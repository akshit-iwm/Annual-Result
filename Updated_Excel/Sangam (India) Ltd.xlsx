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DDC97EF1-28B8-473B-80B4-E22BD35DF23F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Sheet1" sheetId="10" r:id="rId2"/>
    <sheet name="QTR Raw" sheetId="3" r:id="rId3"/>
    <sheet name="Sheet3" sheetId="11" r:id="rId4"/>
    <sheet name="Annual Raw" sheetId="2" r:id="rId5"/>
    <sheet name="QTR Share Price" sheetId="4" r:id="rId6"/>
    <sheet name="QTR No. of Shares" sheetId="6" r:id="rId7"/>
    <sheet name="Share price Daily" sheetId="9" r:id="rId8"/>
    <sheet name="Sheet2" sheetId="5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98" i="1" l="1"/>
  <c r="AB72" i="1"/>
  <c r="AC72" i="1"/>
  <c r="AD72" i="1"/>
  <c r="AE72" i="1"/>
  <c r="AB73" i="1"/>
  <c r="AC73" i="1"/>
  <c r="AD73" i="1"/>
  <c r="AE73" i="1"/>
  <c r="AB74" i="1"/>
  <c r="AC74" i="1"/>
  <c r="AD74" i="1"/>
  <c r="AE74" i="1"/>
  <c r="AB76" i="1"/>
  <c r="AC76" i="1"/>
  <c r="AD76" i="1"/>
  <c r="AE76" i="1"/>
  <c r="AB77" i="1"/>
  <c r="AC77" i="1"/>
  <c r="AD77" i="1"/>
  <c r="AE77" i="1"/>
  <c r="AB78" i="1"/>
  <c r="AC78" i="1"/>
  <c r="AD78" i="1"/>
  <c r="AE78" i="1"/>
  <c r="AB79" i="1"/>
  <c r="AC79" i="1"/>
  <c r="AD79" i="1"/>
  <c r="AE79" i="1"/>
  <c r="AE71" i="1" l="1"/>
  <c r="AD71" i="1"/>
  <c r="AC71" i="1"/>
  <c r="AB71" i="1"/>
  <c r="AE70" i="1"/>
  <c r="AD70" i="1"/>
  <c r="AC70" i="1"/>
  <c r="AB70" i="1"/>
  <c r="CH199" i="1"/>
  <c r="CH201" i="1"/>
  <c r="CH204" i="1"/>
  <c r="CH198" i="1"/>
  <c r="CH202" i="1"/>
  <c r="AE199" i="1"/>
  <c r="AD199" i="1"/>
  <c r="AC199" i="1"/>
  <c r="AB199" i="1"/>
  <c r="AE201" i="1"/>
  <c r="AD201" i="1"/>
  <c r="AC201" i="1"/>
  <c r="AB201" i="1"/>
  <c r="AE206" i="1"/>
  <c r="AD206" i="1"/>
  <c r="AC206" i="1"/>
  <c r="AB206" i="1"/>
  <c r="AB204" i="1"/>
  <c r="AC204" i="1"/>
  <c r="AD204" i="1"/>
  <c r="AE204" i="1"/>
  <c r="AB198" i="1"/>
  <c r="AC198" i="1"/>
  <c r="AD198" i="1"/>
  <c r="AE198" i="1"/>
  <c r="AB202" i="1"/>
  <c r="AC202" i="1"/>
  <c r="AD202" i="1"/>
  <c r="AE202" i="1"/>
  <c r="AB205" i="1"/>
  <c r="AC205" i="1"/>
  <c r="AD205" i="1"/>
  <c r="AE205" i="1"/>
  <c r="AB68" i="1" l="1"/>
  <c r="AC68" i="1"/>
  <c r="AD68" i="1"/>
  <c r="AE68" i="1"/>
  <c r="CM5" i="1" l="1"/>
  <c r="CL9" i="1"/>
  <c r="CM9" i="1" s="1"/>
  <c r="CN9" i="1" s="1"/>
  <c r="CO9" i="1" s="1"/>
  <c r="CP9" i="1" s="1"/>
  <c r="CQ9" i="1" s="1"/>
  <c r="CR9" i="1" s="1"/>
  <c r="CS9" i="1" s="1"/>
  <c r="CT9" i="1" s="1"/>
  <c r="CU9" i="1" s="1"/>
  <c r="CV9" i="1" s="1"/>
  <c r="CW9" i="1" s="1"/>
  <c r="CX9" i="1" s="1"/>
  <c r="CY9" i="1" s="1"/>
  <c r="CZ9" i="1" s="1"/>
  <c r="DA9" i="1" s="1"/>
  <c r="DB9" i="1" s="1"/>
  <c r="AB9" i="1"/>
  <c r="AC9" i="1" s="1"/>
  <c r="AD9" i="1" s="1"/>
  <c r="AE9" i="1" s="1"/>
  <c r="Z9" i="1"/>
  <c r="Y9" i="1" s="1"/>
  <c r="CP16" i="1" l="1"/>
  <c r="CK9" i="1"/>
  <c r="CJ9" i="1" s="1"/>
  <c r="CI9" i="1" s="1"/>
  <c r="CH9" i="1" s="1"/>
  <c r="CG9" i="1" s="1"/>
  <c r="CF9" i="1" s="1"/>
  <c r="CE9" i="1" s="1"/>
  <c r="CD9" i="1" s="1"/>
  <c r="CC9" i="1" s="1"/>
  <c r="CB9" i="1" s="1"/>
  <c r="CA9" i="1" s="1"/>
  <c r="CS16" i="1"/>
  <c r="CO16" i="1"/>
  <c r="CR16" i="1"/>
  <c r="CM16" i="1"/>
  <c r="CQ16" i="1"/>
  <c r="CK6" i="1"/>
  <c r="Y16" i="1"/>
  <c r="Z16" i="1"/>
  <c r="Y12" i="1"/>
  <c r="Z12" i="1"/>
  <c r="X15" i="1"/>
  <c r="Y15" i="1"/>
  <c r="Z15" i="1"/>
  <c r="CM21" i="1"/>
  <c r="CN21" i="1" s="1"/>
  <c r="CO21" i="1" s="1"/>
  <c r="CP21" i="1" s="1"/>
  <c r="CT23" i="1"/>
  <c r="CT16" i="1" s="1"/>
  <c r="DB5" i="1"/>
  <c r="DA5" i="1"/>
  <c r="CZ5" i="1"/>
  <c r="CY5" i="1"/>
  <c r="CX5" i="1"/>
  <c r="CW5" i="1"/>
  <c r="CV5" i="1"/>
  <c r="CU5" i="1"/>
  <c r="CT5" i="1"/>
  <c r="CS5" i="1"/>
  <c r="CR5" i="1"/>
  <c r="CQ5" i="1"/>
  <c r="CN23" i="1"/>
  <c r="AB23" i="1" s="1"/>
  <c r="CP5" i="1"/>
  <c r="CO5" i="1"/>
  <c r="CN5" i="1"/>
  <c r="CL6" i="1"/>
  <c r="CM6" i="1" s="1"/>
  <c r="CN6" i="1" s="1"/>
  <c r="CO6" i="1" s="1"/>
  <c r="CP6" i="1" s="1"/>
  <c r="CQ6" i="1" s="1"/>
  <c r="CR6" i="1" s="1"/>
  <c r="CS6" i="1" s="1"/>
  <c r="CT6" i="1" s="1"/>
  <c r="CU6" i="1" s="1"/>
  <c r="CV6" i="1" s="1"/>
  <c r="CW6" i="1" s="1"/>
  <c r="CX6" i="1" s="1"/>
  <c r="CY6" i="1" s="1"/>
  <c r="CZ6" i="1" s="1"/>
  <c r="DA6" i="1" s="1"/>
  <c r="DB6" i="1" s="1"/>
  <c r="CM22" i="1"/>
  <c r="CM15" i="1" s="1"/>
  <c r="CM20" i="1"/>
  <c r="CM19" i="1"/>
  <c r="X23" i="1"/>
  <c r="Y23" i="1"/>
  <c r="Z23" i="1"/>
  <c r="AA23" i="1"/>
  <c r="AA22" i="1"/>
  <c r="Z22" i="1"/>
  <c r="Y22" i="1"/>
  <c r="X22" i="1"/>
  <c r="X21" i="1"/>
  <c r="Y21" i="1"/>
  <c r="Z21" i="1"/>
  <c r="AA21" i="1"/>
  <c r="AA20" i="1"/>
  <c r="AA19" i="1"/>
  <c r="Z19" i="1"/>
  <c r="Y19" i="1"/>
  <c r="X19" i="1"/>
  <c r="Z20" i="1"/>
  <c r="Y20" i="1"/>
  <c r="X20" i="1"/>
  <c r="AA16" i="1"/>
  <c r="X16" i="1"/>
  <c r="AA15" i="1"/>
  <c r="AA14" i="1"/>
  <c r="Z14" i="1"/>
  <c r="Y14" i="1"/>
  <c r="X14" i="1"/>
  <c r="AA13" i="1"/>
  <c r="Z13" i="1"/>
  <c r="Y13" i="1"/>
  <c r="X13" i="1"/>
  <c r="AA12" i="1"/>
  <c r="X12" i="1"/>
  <c r="CN16" i="1" l="1"/>
  <c r="AB16" i="1" s="1"/>
  <c r="CM12" i="1"/>
  <c r="CN12" i="1" s="1"/>
  <c r="CO12" i="1" s="1"/>
  <c r="CP12" i="1" s="1"/>
  <c r="CQ12" i="1" s="1"/>
  <c r="CR12" i="1" s="1"/>
  <c r="CM14" i="1"/>
  <c r="CN20" i="1"/>
  <c r="CO20" i="1" s="1"/>
  <c r="CP20" i="1" s="1"/>
  <c r="CQ20" i="1" s="1"/>
  <c r="CN19" i="1"/>
  <c r="CO19" i="1" s="1"/>
  <c r="CP19" i="1" s="1"/>
  <c r="CQ19" i="1" s="1"/>
  <c r="CU23" i="1"/>
  <c r="CU16" i="1" s="1"/>
  <c r="AC16" i="1"/>
  <c r="AC23" i="1"/>
  <c r="CN22" i="1"/>
  <c r="AB21" i="1"/>
  <c r="CP14" i="1"/>
  <c r="CQ21" i="1"/>
  <c r="CN14" i="1"/>
  <c r="CO14" i="1"/>
  <c r="AA6" i="1"/>
  <c r="CS12" i="1" l="1"/>
  <c r="CT12" i="1" s="1"/>
  <c r="CU12" i="1" s="1"/>
  <c r="CV12" i="1" s="1"/>
  <c r="CW12" i="1" s="1"/>
  <c r="CX12" i="1" s="1"/>
  <c r="CY12" i="1" s="1"/>
  <c r="AB12" i="1"/>
  <c r="AB14" i="1"/>
  <c r="CV23" i="1"/>
  <c r="CV16" i="1" s="1"/>
  <c r="CR19" i="1"/>
  <c r="CS19" i="1" s="1"/>
  <c r="CT19" i="1" s="1"/>
  <c r="CU19" i="1" s="1"/>
  <c r="CR20" i="1"/>
  <c r="CS20" i="1" s="1"/>
  <c r="CT20" i="1" s="1"/>
  <c r="CU20" i="1" s="1"/>
  <c r="AB20" i="1"/>
  <c r="CO22" i="1"/>
  <c r="CN15" i="1"/>
  <c r="AB19" i="1"/>
  <c r="CR21" i="1"/>
  <c r="CQ14" i="1"/>
  <c r="CL298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90" i="1"/>
  <c r="AB56" i="1"/>
  <c r="AC56" i="1"/>
  <c r="AD56" i="1"/>
  <c r="AE56" i="1"/>
  <c r="AJ268" i="1"/>
  <c r="AB5" i="2"/>
  <c r="AB13" i="2"/>
  <c r="AA68" i="1" s="1"/>
  <c r="AB21" i="2"/>
  <c r="AB29" i="2"/>
  <c r="AB40" i="2"/>
  <c r="AB48" i="2"/>
  <c r="AA179" i="1" s="1"/>
  <c r="AB56" i="2"/>
  <c r="AA181" i="1" s="1"/>
  <c r="AE12" i="2"/>
  <c r="AE24" i="2"/>
  <c r="AE36" i="2"/>
  <c r="AE51" i="2"/>
  <c r="AB10" i="2"/>
  <c r="AB26" i="2"/>
  <c r="AB45" i="2"/>
  <c r="AA176" i="1" s="1"/>
  <c r="AD60" i="2"/>
  <c r="AD68" i="2"/>
  <c r="AD76" i="2"/>
  <c r="AD84" i="2"/>
  <c r="AD92" i="2"/>
  <c r="AD104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95" i="2"/>
  <c r="AE58" i="2"/>
  <c r="AB78" i="2"/>
  <c r="AA219" i="1" s="1"/>
  <c r="AC24" i="2"/>
  <c r="AC78" i="2"/>
  <c r="AC106" i="2"/>
  <c r="AD59" i="2"/>
  <c r="AC18" i="2"/>
  <c r="AE64" i="2"/>
  <c r="AE76" i="2"/>
  <c r="AB88" i="2"/>
  <c r="AB108" i="2"/>
  <c r="AA133" i="1" s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197" i="1" s="1"/>
  <c r="AB85" i="2"/>
  <c r="AA229" i="1" s="1"/>
  <c r="AB93" i="2"/>
  <c r="AA231" i="1" s="1"/>
  <c r="AB105" i="2"/>
  <c r="AE104" i="2"/>
  <c r="AF26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5" i="2"/>
  <c r="AE99" i="2"/>
  <c r="AE63" i="2"/>
  <c r="AD81" i="2"/>
  <c r="AD97" i="2"/>
  <c r="AC43" i="2"/>
  <c r="AC82" i="2"/>
  <c r="AC110" i="2"/>
  <c r="AC49" i="2"/>
  <c r="AE78" i="2"/>
  <c r="AF14" i="2"/>
  <c r="AE31" i="2"/>
  <c r="AC104" i="2"/>
  <c r="AB82" i="2"/>
  <c r="AB98" i="2"/>
  <c r="AE46" i="2"/>
  <c r="AD26" i="2"/>
  <c r="AD40" i="2"/>
  <c r="AB7" i="2"/>
  <c r="AA56" i="1" s="1"/>
  <c r="AB15" i="2"/>
  <c r="AA75" i="1" s="1"/>
  <c r="AB23" i="2"/>
  <c r="AA89" i="1" s="1"/>
  <c r="AB31" i="2"/>
  <c r="AB42" i="2"/>
  <c r="AA172" i="1" s="1"/>
  <c r="AB50" i="2"/>
  <c r="AA212" i="1" s="1"/>
  <c r="AB58" i="2"/>
  <c r="AC15" i="2"/>
  <c r="AC27" i="2"/>
  <c r="AC42" i="2"/>
  <c r="AC54" i="2"/>
  <c r="AB14" i="2"/>
  <c r="AA69" i="1" s="1"/>
  <c r="AB30" i="2"/>
  <c r="AA93" i="1" s="1"/>
  <c r="AB49" i="2"/>
  <c r="AA222" i="1" s="1"/>
  <c r="AD62" i="2"/>
  <c r="AD70" i="2"/>
  <c r="AD78" i="2"/>
  <c r="AD86" i="2"/>
  <c r="AD94" i="2"/>
  <c r="AD106" i="2"/>
  <c r="AE108" i="2"/>
  <c r="AD31" i="2"/>
  <c r="AF62" i="2"/>
  <c r="AC22" i="2"/>
  <c r="AE66" i="2"/>
  <c r="AE90" i="2"/>
  <c r="AF49" i="2"/>
  <c r="AD75" i="2"/>
  <c r="AD91" i="2"/>
  <c r="AC16" i="2"/>
  <c r="AC76" i="2"/>
  <c r="AB66" i="2"/>
  <c r="AE85" i="2"/>
  <c r="AD45" i="2"/>
  <c r="AD21" i="2"/>
  <c r="AB47" i="2"/>
  <c r="AA178" i="1" s="1"/>
  <c r="AC71" i="2"/>
  <c r="AF66" i="2"/>
  <c r="AF82" i="2"/>
  <c r="AE87" i="2"/>
  <c r="AC94" i="2"/>
  <c r="AD74" i="2"/>
  <c r="AC10" i="2"/>
  <c r="AE84" i="2"/>
  <c r="AD67" i="2"/>
  <c r="AE61" i="2"/>
  <c r="AF5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A186" i="1" s="1"/>
  <c r="AB71" i="2"/>
  <c r="AA194" i="1" s="1"/>
  <c r="AB79" i="2"/>
  <c r="AA200" i="1" s="1"/>
  <c r="AB87" i="2"/>
  <c r="AA180" i="1" s="1"/>
  <c r="AB95" i="2"/>
  <c r="AA230" i="1" s="1"/>
  <c r="AB107" i="2"/>
  <c r="AA132" i="1" s="1"/>
  <c r="AC109" i="2"/>
  <c r="AF34" i="2"/>
  <c r="AD63" i="2"/>
  <c r="AE25" i="2"/>
  <c r="AE52" i="2"/>
  <c r="AC67" i="2"/>
  <c r="AC79" i="2"/>
  <c r="AC91" i="2"/>
  <c r="AB16" i="2"/>
  <c r="AB51" i="2"/>
  <c r="AA213" i="1" s="1"/>
  <c r="AC47" i="2"/>
  <c r="AB76" i="2"/>
  <c r="AA196" i="1" s="1"/>
  <c r="AB92" i="2"/>
  <c r="AE19" i="2"/>
  <c r="AE79" i="2"/>
  <c r="AE107" i="2"/>
  <c r="AF68" i="2"/>
  <c r="AF84" i="2"/>
  <c r="AF104" i="2"/>
  <c r="AC62" i="2"/>
  <c r="AC86" i="2"/>
  <c r="AB80" i="2"/>
  <c r="AA205" i="1" s="1"/>
  <c r="AB96" i="2"/>
  <c r="AC84" i="2"/>
  <c r="AF88" i="2"/>
  <c r="AE69" i="2"/>
  <c r="AE93" i="2"/>
  <c r="AD34" i="2"/>
  <c r="AE8" i="2"/>
  <c r="AE32" i="2"/>
  <c r="AB90" i="2"/>
  <c r="AF27" i="2"/>
  <c r="AE10" i="2"/>
  <c r="AF43" i="2"/>
  <c r="AB83" i="2"/>
  <c r="AA223" i="1" s="1"/>
  <c r="AC93" i="2"/>
  <c r="AF53" i="2"/>
  <c r="AC73" i="2"/>
  <c r="AF64" i="2"/>
  <c r="AF76" i="2"/>
  <c r="AC8" i="2"/>
  <c r="AB72" i="2"/>
  <c r="AA206" i="1" s="1"/>
  <c r="AE109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F6" i="2"/>
  <c r="AB36" i="2"/>
  <c r="AB64" i="2"/>
  <c r="AA187" i="1" s="1"/>
  <c r="AC26" i="2"/>
  <c r="AC53" i="2"/>
  <c r="AE68" i="2"/>
  <c r="AE80" i="2"/>
  <c r="AE92" i="2"/>
  <c r="AD19" i="2"/>
  <c r="AD54" i="2"/>
  <c r="AE50" i="2"/>
  <c r="AF78" i="2"/>
  <c r="AF94" i="2"/>
  <c r="AC32" i="2"/>
  <c r="AC80" i="2"/>
  <c r="AC108" i="2"/>
  <c r="AD69" i="2"/>
  <c r="AD85" i="2"/>
  <c r="AD105" i="2"/>
  <c r="AE65" i="2"/>
  <c r="AE89" i="2"/>
  <c r="AE59" i="2"/>
  <c r="AD79" i="2"/>
  <c r="AB86" i="2"/>
  <c r="AA189" i="1" s="1"/>
  <c r="AC66" i="2"/>
  <c r="AB89" i="2"/>
  <c r="AB97" i="2"/>
  <c r="AF10" i="2"/>
  <c r="AC30" i="2"/>
  <c r="AC57" i="2"/>
  <c r="AE70" i="2"/>
  <c r="AE82" i="2"/>
  <c r="AB24" i="2"/>
  <c r="AF60" i="2"/>
  <c r="AD53" i="2"/>
  <c r="AE47" i="2"/>
  <c r="AD56" i="2"/>
  <c r="AF73" i="2"/>
  <c r="AF81" i="2"/>
  <c r="AF89" i="2"/>
  <c r="AE33" i="2"/>
  <c r="AC83" i="2"/>
  <c r="AD73" i="2"/>
  <c r="AD109" i="2"/>
  <c r="AD90" i="2"/>
  <c r="AD50" i="2"/>
  <c r="AE60" i="2"/>
  <c r="AC99" i="2"/>
  <c r="AF30" i="2"/>
  <c r="AB62" i="2"/>
  <c r="AA185" i="1" s="1"/>
  <c r="AA188" i="1" s="1"/>
  <c r="AC88" i="2"/>
  <c r="AE34" i="2"/>
  <c r="AC85" i="2"/>
  <c r="AB32" i="2"/>
  <c r="AA99" i="1" s="1"/>
  <c r="AB68" i="2"/>
  <c r="AA190" i="1" s="1"/>
  <c r="AE91" i="2"/>
  <c r="AF92" i="2"/>
  <c r="AF80" i="2"/>
  <c r="AB9" i="2"/>
  <c r="AB17" i="2"/>
  <c r="AA73" i="1" s="1"/>
  <c r="AB25" i="2"/>
  <c r="AA90" i="1" s="1"/>
  <c r="AB33" i="2"/>
  <c r="AA100" i="1" s="1"/>
  <c r="AB44" i="2"/>
  <c r="AB52" i="2"/>
  <c r="AA210" i="1" s="1"/>
  <c r="AE6" i="2"/>
  <c r="AE18" i="2"/>
  <c r="AE30" i="2"/>
  <c r="AE45" i="2"/>
  <c r="AE57" i="2"/>
  <c r="AB18" i="2"/>
  <c r="AA79" i="1" s="1"/>
  <c r="AB34" i="2"/>
  <c r="AB53" i="2"/>
  <c r="AD64" i="2"/>
  <c r="AD72" i="2"/>
  <c r="AD80" i="2"/>
  <c r="AD88" i="2"/>
  <c r="AD96" i="2"/>
  <c r="AD108" i="2"/>
  <c r="AD7" i="2"/>
  <c r="AD42" i="2"/>
  <c r="AE5" i="2"/>
  <c r="AE29" i="2"/>
  <c r="AE56" i="2"/>
  <c r="AC69" i="2"/>
  <c r="AC81" i="2"/>
  <c r="AE94" i="2"/>
  <c r="AF22" i="2"/>
  <c r="AF57" i="2"/>
  <c r="AD95" i="2"/>
  <c r="AE35" i="2"/>
  <c r="AE83" i="2"/>
  <c r="AE7" i="2"/>
  <c r="AB70" i="2"/>
  <c r="AB106" i="2"/>
  <c r="AA131" i="1" s="1"/>
  <c r="AC90" i="2"/>
  <c r="AB109" i="2"/>
  <c r="AF45" i="2"/>
  <c r="AC74" i="2"/>
  <c r="AE88" i="2"/>
  <c r="AB43" i="2"/>
  <c r="AA173" i="1" s="1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A203" i="1" s="1"/>
  <c r="AB81" i="2"/>
  <c r="AC6" i="2"/>
  <c r="AC95" i="2"/>
  <c r="AC64" i="2"/>
  <c r="AC51" i="2"/>
  <c r="AC20" i="2"/>
  <c r="AF72" i="2"/>
  <c r="AF108" i="2"/>
  <c r="AD18" i="2"/>
  <c r="AE20" i="2"/>
  <c r="AD5" i="2"/>
  <c r="AF65" i="2"/>
  <c r="AF97" i="2"/>
  <c r="AF109" i="2"/>
  <c r="AE9" i="2"/>
  <c r="AC59" i="2"/>
  <c r="AE98" i="2"/>
  <c r="AD61" i="2"/>
  <c r="AE54" i="2"/>
  <c r="AD89" i="2"/>
  <c r="AC70" i="2"/>
  <c r="AD66" i="2"/>
  <c r="AD98" i="2"/>
  <c r="AD110" i="2"/>
  <c r="AE72" i="2"/>
  <c r="AD83" i="2"/>
  <c r="AB74" i="2"/>
  <c r="AF46" i="2"/>
  <c r="AF8" i="2"/>
  <c r="AB67" i="2"/>
  <c r="AA191" i="1" s="1"/>
  <c r="AB91" i="2"/>
  <c r="AC98" i="2"/>
  <c r="AE15" i="2"/>
  <c r="AC72" i="2"/>
  <c r="AD10" i="2"/>
  <c r="AB12" i="2"/>
  <c r="AA63" i="1" s="1"/>
  <c r="AD27" i="2"/>
  <c r="AF98" i="2"/>
  <c r="AE23" i="2"/>
  <c r="AD82" i="2"/>
  <c r="AD15" i="2"/>
  <c r="AD99" i="2"/>
  <c r="AE73" i="2"/>
  <c r="AF19" i="2"/>
  <c r="AB84" i="2"/>
  <c r="AC96" i="2"/>
  <c r="AF96" i="2"/>
  <c r="AE81" i="2"/>
  <c r="AB11" i="2"/>
  <c r="AA60" i="1" s="1"/>
  <c r="AB19" i="2"/>
  <c r="AA77" i="1" s="1"/>
  <c r="AB27" i="2"/>
  <c r="AA86" i="1" s="1"/>
  <c r="AB35" i="2"/>
  <c r="AA105" i="1" s="1"/>
  <c r="AB46" i="2"/>
  <c r="AB54" i="2"/>
  <c r="AA208" i="1" s="1"/>
  <c r="AC9" i="2"/>
  <c r="AC21" i="2"/>
  <c r="AC33" i="2"/>
  <c r="AC48" i="2"/>
  <c r="AB6" i="2"/>
  <c r="AA55" i="1" s="1"/>
  <c r="AB22" i="2"/>
  <c r="AB41" i="2"/>
  <c r="AA171" i="1" s="1"/>
  <c r="AB57" i="2"/>
  <c r="AA211" i="1" s="1"/>
  <c r="AC34" i="2"/>
  <c r="AC36" i="2"/>
  <c r="AB110" i="2"/>
  <c r="AA121" i="1" s="1"/>
  <c r="AE97" i="2"/>
  <c r="AF35" i="2"/>
  <c r="AE22" i="2"/>
  <c r="AF24" i="2"/>
  <c r="AB59" i="2"/>
  <c r="AF18" i="2"/>
  <c r="AE13" i="2"/>
  <c r="AC61" i="2"/>
  <c r="AE106" i="2"/>
  <c r="AB104" i="2"/>
  <c r="AE42" i="2"/>
  <c r="AF11" i="2"/>
  <c r="AE49" i="2"/>
  <c r="AB75" i="2"/>
  <c r="AA218" i="1" s="1"/>
  <c r="AB99" i="2"/>
  <c r="AE40" i="2"/>
  <c r="AE67" i="2"/>
  <c r="AC60" i="2"/>
  <c r="AE27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C68" i="2"/>
  <c r="AC92" i="2"/>
  <c r="AC55" i="2"/>
  <c r="AD77" i="2"/>
  <c r="AD93" i="2"/>
  <c r="AE11" i="2"/>
  <c r="AE77" i="2"/>
  <c r="AE105" i="2"/>
  <c r="AE71" i="2"/>
  <c r="AB94" i="2"/>
  <c r="AC45" i="2"/>
  <c r="AB8" i="2"/>
  <c r="AA174" i="1" l="1"/>
  <c r="AA220" i="1"/>
  <c r="AA209" i="1"/>
  <c r="AA101" i="1"/>
  <c r="AA232" i="1"/>
  <c r="AA234" i="1"/>
  <c r="AA207" i="1"/>
  <c r="AA238" i="1"/>
  <c r="AA311" i="1"/>
  <c r="AA87" i="1"/>
  <c r="AA253" i="1"/>
  <c r="AA312" i="1"/>
  <c r="AA215" i="1"/>
  <c r="AA242" i="1"/>
  <c r="AA290" i="1"/>
  <c r="AA57" i="1"/>
  <c r="AA307" i="1"/>
  <c r="AA239" i="1"/>
  <c r="AA80" i="1"/>
  <c r="AA81" i="1" s="1"/>
  <c r="AA182" i="1"/>
  <c r="AA192" i="1"/>
  <c r="AC12" i="1"/>
  <c r="AC20" i="1"/>
  <c r="AD12" i="1"/>
  <c r="AC19" i="1"/>
  <c r="CZ12" i="1"/>
  <c r="DA12" i="1" s="1"/>
  <c r="DB12" i="1" s="1"/>
  <c r="AE12" i="1" s="1"/>
  <c r="CP22" i="1"/>
  <c r="CO15" i="1"/>
  <c r="CV20" i="1"/>
  <c r="CW20" i="1" s="1"/>
  <c r="CX20" i="1" s="1"/>
  <c r="CY20" i="1" s="1"/>
  <c r="CV19" i="1"/>
  <c r="CW19" i="1" s="1"/>
  <c r="CX19" i="1" s="1"/>
  <c r="CY19" i="1" s="1"/>
  <c r="CW23" i="1"/>
  <c r="CW16" i="1" s="1"/>
  <c r="CS21" i="1"/>
  <c r="CR14" i="1"/>
  <c r="B1" i="9"/>
  <c r="AD113" i="2"/>
  <c r="AB112" i="2"/>
  <c r="AA127" i="1" s="1"/>
  <c r="L1" i="9"/>
  <c r="AE111" i="2"/>
  <c r="AF111" i="2"/>
  <c r="AF113" i="2"/>
  <c r="AF112" i="2"/>
  <c r="AC112" i="2"/>
  <c r="A1" i="9"/>
  <c r="AC113" i="2"/>
  <c r="AE112" i="2"/>
  <c r="AE113" i="2"/>
  <c r="AB111" i="2"/>
  <c r="AB113" i="2"/>
  <c r="AA128" i="1" s="1"/>
  <c r="AC111" i="2"/>
  <c r="AD112" i="2"/>
  <c r="AD111" i="2"/>
  <c r="AA216" i="1" l="1"/>
  <c r="AA224" i="1" s="1"/>
  <c r="AA241" i="1"/>
  <c r="AA244" i="1"/>
  <c r="AA243" i="1" s="1"/>
  <c r="AA64" i="1"/>
  <c r="AA152" i="1"/>
  <c r="AA303" i="1"/>
  <c r="AA227" i="1"/>
  <c r="AA163" i="1" s="1"/>
  <c r="AA183" i="1"/>
  <c r="AA91" i="1"/>
  <c r="AA305" i="1"/>
  <c r="AD20" i="1"/>
  <c r="AD19" i="1"/>
  <c r="CQ22" i="1"/>
  <c r="CP15" i="1"/>
  <c r="AB15" i="1" s="1"/>
  <c r="CZ19" i="1"/>
  <c r="DA19" i="1" s="1"/>
  <c r="DB19" i="1" s="1"/>
  <c r="CZ20" i="1"/>
  <c r="DA20" i="1" s="1"/>
  <c r="DB20" i="1" s="1"/>
  <c r="CX23" i="1"/>
  <c r="AB22" i="1"/>
  <c r="CT21" i="1"/>
  <c r="AC21" i="1" s="1"/>
  <c r="CS14" i="1"/>
  <c r="DB298" i="1"/>
  <c r="DA298" i="1"/>
  <c r="CZ298" i="1"/>
  <c r="CY298" i="1"/>
  <c r="CX298" i="1"/>
  <c r="CW298" i="1"/>
  <c r="CV298" i="1"/>
  <c r="CU298" i="1"/>
  <c r="CT298" i="1"/>
  <c r="CS298" i="1"/>
  <c r="CR298" i="1"/>
  <c r="CQ298" i="1"/>
  <c r="CP298" i="1"/>
  <c r="CO298" i="1"/>
  <c r="CN298" i="1"/>
  <c r="CM298" i="1"/>
  <c r="CK298" i="1"/>
  <c r="CK190" i="1"/>
  <c r="CM190" i="1" s="1"/>
  <c r="CN190" i="1" s="1"/>
  <c r="CO190" i="1" s="1"/>
  <c r="CP190" i="1" s="1"/>
  <c r="CQ190" i="1" s="1"/>
  <c r="CR190" i="1" s="1"/>
  <c r="CS190" i="1" s="1"/>
  <c r="CT190" i="1" s="1"/>
  <c r="CU190" i="1" s="1"/>
  <c r="CV190" i="1" s="1"/>
  <c r="CW190" i="1" s="1"/>
  <c r="CX190" i="1" s="1"/>
  <c r="CY190" i="1" s="1"/>
  <c r="CZ190" i="1" s="1"/>
  <c r="DA190" i="1" s="1"/>
  <c r="DB190" i="1" s="1"/>
  <c r="CH214" i="1"/>
  <c r="CJ298" i="1"/>
  <c r="Z298" i="1"/>
  <c r="AA245" i="1" l="1"/>
  <c r="AA240" i="1"/>
  <c r="AA65" i="1"/>
  <c r="AA82" i="1"/>
  <c r="AA225" i="1"/>
  <c r="AD23" i="1"/>
  <c r="CX16" i="1"/>
  <c r="AE19" i="1"/>
  <c r="AE20" i="1"/>
  <c r="CY23" i="1"/>
  <c r="CY16" i="1" s="1"/>
  <c r="AD16" i="1"/>
  <c r="CR22" i="1"/>
  <c r="CQ15" i="1"/>
  <c r="CU21" i="1"/>
  <c r="CT14" i="1"/>
  <c r="AC14" i="1" s="1"/>
  <c r="CI298" i="1"/>
  <c r="CG190" i="1"/>
  <c r="CG298" i="1"/>
  <c r="CH298" i="1"/>
  <c r="AB60" i="1"/>
  <c r="AC60" i="1"/>
  <c r="AD60" i="1"/>
  <c r="AE60" i="1"/>
  <c r="AB61" i="1"/>
  <c r="AC61" i="1"/>
  <c r="AD61" i="1"/>
  <c r="AE61" i="1"/>
  <c r="AB101" i="1"/>
  <c r="AC101" i="1"/>
  <c r="AD101" i="1"/>
  <c r="AE101" i="1"/>
  <c r="AB218" i="1"/>
  <c r="AC218" i="1"/>
  <c r="AD218" i="1"/>
  <c r="AE218" i="1"/>
  <c r="AB232" i="1"/>
  <c r="AC232" i="1"/>
  <c r="AD232" i="1"/>
  <c r="AE232" i="1"/>
  <c r="CE190" i="1"/>
  <c r="CE298" i="1"/>
  <c r="CF298" i="1"/>
  <c r="AI256" i="1"/>
  <c r="AI261" i="1"/>
  <c r="AI265" i="1"/>
  <c r="AI268" i="1"/>
  <c r="AI298" i="1"/>
  <c r="Y298" i="1"/>
  <c r="AM190" i="1"/>
  <c r="AO190" i="1"/>
  <c r="AQ190" i="1"/>
  <c r="AS190" i="1"/>
  <c r="AU190" i="1"/>
  <c r="AW190" i="1"/>
  <c r="AY190" i="1"/>
  <c r="BA190" i="1"/>
  <c r="BC190" i="1"/>
  <c r="BE190" i="1"/>
  <c r="BG190" i="1"/>
  <c r="BI190" i="1"/>
  <c r="BK190" i="1"/>
  <c r="BM190" i="1"/>
  <c r="BO190" i="1"/>
  <c r="BQ190" i="1"/>
  <c r="BS190" i="1"/>
  <c r="BU190" i="1"/>
  <c r="BW190" i="1"/>
  <c r="BY190" i="1"/>
  <c r="CA190" i="1"/>
  <c r="CC190" i="1"/>
  <c r="CD298" i="1"/>
  <c r="CC298" i="1"/>
  <c r="AJ298" i="1"/>
  <c r="AK298" i="1"/>
  <c r="AL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88" i="1" l="1"/>
  <c r="AA166" i="1"/>
  <c r="AA83" i="1"/>
  <c r="AA291" i="1"/>
  <c r="AA292" i="1" s="1"/>
  <c r="CS22" i="1"/>
  <c r="CR15" i="1"/>
  <c r="CZ23" i="1"/>
  <c r="CZ16" i="1" s="1"/>
  <c r="CV21" i="1"/>
  <c r="CU14" i="1"/>
  <c r="Y1" i="1"/>
  <c r="Z1" i="1" s="1"/>
  <c r="AA109" i="1" l="1"/>
  <c r="AA92" i="1"/>
  <c r="DA23" i="1"/>
  <c r="DA16" i="1" s="1"/>
  <c r="CT22" i="1"/>
  <c r="CS15" i="1"/>
  <c r="CW21" i="1"/>
  <c r="CV14" i="1"/>
  <c r="AA1" i="1"/>
  <c r="AB1" i="1" s="1"/>
  <c r="AC1" i="1" s="1"/>
  <c r="AD1" i="1" s="1"/>
  <c r="AE1" i="1" s="1"/>
  <c r="AA94" i="1" l="1"/>
  <c r="AA95" i="1"/>
  <c r="CU22" i="1"/>
  <c r="CT15" i="1"/>
  <c r="AC15" i="1" s="1"/>
  <c r="DB23" i="1"/>
  <c r="DB16" i="1" s="1"/>
  <c r="AC22" i="1"/>
  <c r="CX21" i="1"/>
  <c r="AD21" i="1" s="1"/>
  <c r="CW14" i="1"/>
  <c r="A1" i="3"/>
  <c r="AA293" i="1" l="1"/>
  <c r="AA96" i="1"/>
  <c r="AA304" i="1" s="1"/>
  <c r="AA102" i="1"/>
  <c r="AE23" i="1"/>
  <c r="AE16" i="1"/>
  <c r="CV22" i="1"/>
  <c r="CU15" i="1"/>
  <c r="CY21" i="1"/>
  <c r="CX14" i="1"/>
  <c r="AD14" i="1" s="1"/>
  <c r="A1" i="6"/>
  <c r="A1" i="4"/>
  <c r="AA252" i="1" l="1"/>
  <c r="AA254" i="1" s="1"/>
  <c r="AA108" i="1"/>
  <c r="AA106" i="1"/>
  <c r="CW22" i="1"/>
  <c r="CV15" i="1"/>
  <c r="CZ21" i="1"/>
  <c r="CY14" i="1"/>
  <c r="AB89" i="1"/>
  <c r="BQ5" i="3"/>
  <c r="BQ11" i="3"/>
  <c r="BQ17" i="3"/>
  <c r="BQ23" i="3"/>
  <c r="BQ29" i="3"/>
  <c r="BQ35" i="3"/>
  <c r="BQ41" i="3"/>
  <c r="BR6" i="3"/>
  <c r="BR12" i="3"/>
  <c r="BO45" i="3"/>
  <c r="BT34" i="3"/>
  <c r="BM33" i="3"/>
  <c r="BL14" i="3"/>
  <c r="BJ33" i="3"/>
  <c r="BG15" i="3"/>
  <c r="BI36" i="3"/>
  <c r="BF20" i="3"/>
  <c r="CL56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61" i="1" s="1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N18" i="3"/>
  <c r="BF38" i="3"/>
  <c r="BJ38" i="3"/>
  <c r="BN36" i="3"/>
  <c r="BT13" i="3"/>
  <c r="BP20" i="3"/>
  <c r="BI33" i="3"/>
  <c r="BN9" i="3"/>
  <c r="BH26" i="3"/>
  <c r="BF45" i="3"/>
  <c r="CL117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Z200" i="1" s="1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X200" i="1" s="1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Y47" i="2"/>
  <c r="Z94" i="2"/>
  <c r="AA13" i="2"/>
  <c r="AA32" i="2"/>
  <c r="AA82" i="2"/>
  <c r="AV10" i="3"/>
  <c r="BC36" i="3"/>
  <c r="Z83" i="2"/>
  <c r="Z17" i="2"/>
  <c r="EX5" i="4" a="1"/>
  <c r="FE14" i="4" a="1"/>
  <c r="FF8" i="4" a="1"/>
  <c r="BU5" i="3"/>
  <c r="BU11" i="3"/>
  <c r="BU17" i="3"/>
  <c r="BU23" i="3"/>
  <c r="BU29" i="3"/>
  <c r="BU35" i="3"/>
  <c r="BU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E46" i="3"/>
  <c r="BL9" i="3"/>
  <c r="BT19" i="3"/>
  <c r="BP26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BC33" i="3"/>
  <c r="BA10" i="3"/>
  <c r="BC5" i="3"/>
  <c r="Y52" i="2"/>
  <c r="Z8" i="2"/>
  <c r="BD5" i="3"/>
  <c r="Z93" i="2"/>
  <c r="AA15" i="2"/>
  <c r="Z75" i="1" s="1"/>
  <c r="FC12" i="4" a="1"/>
  <c r="EZ8" i="4" a="1"/>
  <c r="FD6" i="4" a="1"/>
  <c r="EX14" i="4" a="1"/>
  <c r="FB15" i="4" a="1"/>
  <c r="Z76" i="2"/>
  <c r="BQ6" i="3"/>
  <c r="BQ12" i="3"/>
  <c r="BQ18" i="3"/>
  <c r="BQ24" i="3"/>
  <c r="BQ30" i="3"/>
  <c r="BQ36" i="3"/>
  <c r="BQ42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E85" i="3"/>
  <c r="BF22" i="3"/>
  <c r="BH41" i="3"/>
  <c r="BF8" i="3"/>
  <c r="BF16" i="3"/>
  <c r="CL69" i="1" s="1"/>
  <c r="BT25" i="3"/>
  <c r="BP28" i="3"/>
  <c r="BM35" i="3"/>
  <c r="BF13" i="3"/>
  <c r="BL28" i="3"/>
  <c r="BI6" i="3"/>
  <c r="BE22" i="3"/>
  <c r="BI38" i="3"/>
  <c r="BH7" i="3"/>
  <c r="Z66" i="2"/>
  <c r="BU6" i="3"/>
  <c r="BU12" i="3"/>
  <c r="BU18" i="3"/>
  <c r="BU24" i="3"/>
  <c r="BU30" i="3"/>
  <c r="BU36" i="3"/>
  <c r="BU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J14" i="3"/>
  <c r="BJ22" i="3"/>
  <c r="BT31" i="3"/>
  <c r="BP34" i="3"/>
  <c r="BE37" i="3"/>
  <c r="BN13" i="3"/>
  <c r="BL30" i="3"/>
  <c r="BK7" i="3"/>
  <c r="BK23" i="3"/>
  <c r="BE40" i="3"/>
  <c r="BL13" i="3"/>
  <c r="AA109" i="2"/>
  <c r="Y22" i="2"/>
  <c r="Y51" i="2"/>
  <c r="AA80" i="2"/>
  <c r="Z205" i="1" s="1"/>
  <c r="CH205" i="1" s="1"/>
  <c r="AA7" i="2"/>
  <c r="Z50" i="2"/>
  <c r="Z72" i="2"/>
  <c r="Y206" i="1" s="1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BQ7" i="3"/>
  <c r="BQ13" i="3"/>
  <c r="BQ19" i="3"/>
  <c r="BQ25" i="3"/>
  <c r="BQ31" i="3"/>
  <c r="BQ37" i="3"/>
  <c r="BQ45" i="3"/>
  <c r="BR8" i="3"/>
  <c r="BS35" i="3"/>
  <c r="BT15" i="3"/>
  <c r="BP30" i="3"/>
  <c r="BM41" i="3"/>
  <c r="BF21" i="3"/>
  <c r="CL77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60" i="3" s="1"/>
  <c r="BP22" i="3"/>
  <c r="BM37" i="3"/>
  <c r="BN19" i="3"/>
  <c r="BN45" i="3"/>
  <c r="BM22" i="3"/>
  <c r="BH5" i="3"/>
  <c r="BL37" i="3"/>
  <c r="BP9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55" i="1" s="1"/>
  <c r="BH25" i="3"/>
  <c r="BL45" i="3"/>
  <c r="BN20" i="3"/>
  <c r="BN28" i="3"/>
  <c r="BT37" i="3"/>
  <c r="BP40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Z78" i="2"/>
  <c r="Z63" i="2"/>
  <c r="EY14" i="4" a="1"/>
  <c r="FF11" i="4" a="1"/>
  <c r="FA16" i="4" a="1"/>
  <c r="FB5" i="4" a="1"/>
  <c r="EX8" i="4" a="1"/>
  <c r="Y50" i="2"/>
  <c r="Z10" i="2"/>
  <c r="AA71" i="2"/>
  <c r="BA12" i="3"/>
  <c r="AA27" i="2"/>
  <c r="BA13" i="3"/>
  <c r="AA107" i="2"/>
  <c r="BB34" i="3"/>
  <c r="BC11" i="3"/>
  <c r="Z14" i="2"/>
  <c r="Z75" i="2"/>
  <c r="AA22" i="2"/>
  <c r="BU7" i="3"/>
  <c r="BU13" i="3"/>
  <c r="BU19" i="3"/>
  <c r="BU25" i="3"/>
  <c r="BU31" i="3"/>
  <c r="BU37" i="3"/>
  <c r="BU45" i="3"/>
  <c r="BV8" i="3"/>
  <c r="BS36" i="3"/>
  <c r="BT23" i="3"/>
  <c r="BP38" i="3"/>
  <c r="BK42" i="3"/>
  <c r="BL22" i="3"/>
  <c r="BN41" i="3"/>
  <c r="BI24" i="3"/>
  <c r="BF10" i="3"/>
  <c r="CL60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99" i="1" s="1"/>
  <c r="BL7" i="3"/>
  <c r="BN26" i="3"/>
  <c r="BJ46" i="3"/>
  <c r="BH27" i="3"/>
  <c r="BH35" i="3"/>
  <c r="BT45" i="3"/>
  <c r="BG40" i="3"/>
  <c r="BF17" i="3"/>
  <c r="CL73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Y205" i="1" s="1"/>
  <c r="Z86" i="2"/>
  <c r="BD10" i="3"/>
  <c r="BB5" i="3"/>
  <c r="BB91" i="3" s="1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AA59" i="2"/>
  <c r="BC46" i="3"/>
  <c r="FC7" i="4" a="1"/>
  <c r="FF6" i="4" a="1"/>
  <c r="FB11" i="4" a="1"/>
  <c r="EY16" i="4" a="1"/>
  <c r="FA14" i="4" a="1"/>
  <c r="EY5" i="4" a="1"/>
  <c r="FD11" i="4" a="1"/>
  <c r="EZ6" i="4" a="1"/>
  <c r="AA41" i="2"/>
  <c r="BD11" i="3"/>
  <c r="BD19" i="3"/>
  <c r="AA16" i="2"/>
  <c r="AA23" i="2"/>
  <c r="BD20" i="3"/>
  <c r="FC9" i="4" a="1"/>
  <c r="FD13" i="4" a="1"/>
  <c r="FC11" i="4" a="1"/>
  <c r="FD9" i="4" a="1"/>
  <c r="AA68" i="2"/>
  <c r="BD42" i="3"/>
  <c r="AY29" i="3"/>
  <c r="BC25" i="3"/>
  <c r="AA62" i="2"/>
  <c r="AA91" i="2"/>
  <c r="Z15" i="2"/>
  <c r="Y75" i="1" s="1"/>
  <c r="BA27" i="3"/>
  <c r="Y16" i="2"/>
  <c r="C5" i="2"/>
  <c r="AA60" i="2"/>
  <c r="BQ8" i="3"/>
  <c r="BQ14" i="3"/>
  <c r="BQ20" i="3"/>
  <c r="BQ26" i="3"/>
  <c r="BQ32" i="3"/>
  <c r="BQ38" i="3"/>
  <c r="BQ46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89" i="1" s="1"/>
  <c r="BG5" i="3"/>
  <c r="BG79" i="3" s="1"/>
  <c r="BK25" i="3"/>
  <c r="BF18" i="3"/>
  <c r="CL79" i="1" s="1"/>
  <c r="BP25" i="3"/>
  <c r="BP35" i="3"/>
  <c r="BI7" i="3"/>
  <c r="BG12" i="3"/>
  <c r="BE17" i="3"/>
  <c r="BM21" i="3"/>
  <c r="BK30" i="3"/>
  <c r="BN11" i="3"/>
  <c r="BJ31" i="3"/>
  <c r="BK11" i="3"/>
  <c r="BE32" i="3"/>
  <c r="BF42" i="3"/>
  <c r="CL105" i="1" s="1"/>
  <c r="BH9" i="3"/>
  <c r="BJ28" i="3"/>
  <c r="BL33" i="3"/>
  <c r="BL41" i="3"/>
  <c r="BT8" i="3"/>
  <c r="BM25" i="3"/>
  <c r="BI41" i="3"/>
  <c r="BL18" i="3"/>
  <c r="BF35" i="3"/>
  <c r="CL100" i="1" s="1"/>
  <c r="BG11" i="3"/>
  <c r="BE28" i="3"/>
  <c r="BJ8" i="3"/>
  <c r="BF28" i="3"/>
  <c r="CL86" i="1" s="1"/>
  <c r="AA54" i="2"/>
  <c r="AA18" i="2"/>
  <c r="Z79" i="1" s="1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BA37" i="3"/>
  <c r="AA5" i="2"/>
  <c r="Z98" i="2"/>
  <c r="Z99" i="2"/>
  <c r="BC21" i="3"/>
  <c r="AA67" i="2"/>
  <c r="Z60" i="2"/>
  <c r="EZ14" i="4" a="1"/>
  <c r="FD12" i="4" a="1"/>
  <c r="FB9" i="4" a="1"/>
  <c r="Y24" i="2"/>
  <c r="Z40" i="2"/>
  <c r="Z91" i="2"/>
  <c r="BB14" i="3"/>
  <c r="BU8" i="3"/>
  <c r="BU14" i="3"/>
  <c r="BU20" i="3"/>
  <c r="BU26" i="3"/>
  <c r="BU32" i="3"/>
  <c r="BU38" i="3"/>
  <c r="BU46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101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J6" i="3"/>
  <c r="BF40" i="3"/>
  <c r="BH11" i="3"/>
  <c r="BT1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9" i="2"/>
  <c r="AA83" i="2"/>
  <c r="BA46" i="3"/>
  <c r="EZ15" i="4" a="1"/>
  <c r="AA44" i="2"/>
  <c r="AA11" i="2"/>
  <c r="BC19" i="3"/>
  <c r="AA64" i="2"/>
  <c r="BQ9" i="3"/>
  <c r="BQ15" i="3"/>
  <c r="BQ21" i="3"/>
  <c r="BQ27" i="3"/>
  <c r="BQ33" i="3"/>
  <c r="BQ39" i="3"/>
  <c r="BQ5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93" i="1" s="1"/>
  <c r="BI8" i="3"/>
  <c r="BG29" i="3"/>
  <c r="BN30" i="3"/>
  <c r="BT16" i="3"/>
  <c r="BP41" i="3"/>
  <c r="BP13" i="3"/>
  <c r="BG8" i="3"/>
  <c r="BE13" i="3"/>
  <c r="BM17" i="3"/>
  <c r="BK22" i="3"/>
  <c r="BK36" i="3"/>
  <c r="BF15" i="3"/>
  <c r="CL68" i="1" s="1"/>
  <c r="BH34" i="3"/>
  <c r="BM14" i="3"/>
  <c r="BG35" i="3"/>
  <c r="BH15" i="3"/>
  <c r="BJ12" i="3"/>
  <c r="BL31" i="3"/>
  <c r="BN12" i="3"/>
  <c r="BM46" i="3"/>
  <c r="BJ30" i="3"/>
  <c r="BT30" i="3"/>
  <c r="BE29" i="3"/>
  <c r="BM45" i="3"/>
  <c r="BL20" i="3"/>
  <c r="BJ37" i="3"/>
  <c r="BI14" i="3"/>
  <c r="BI30" i="3"/>
  <c r="BJ16" i="3"/>
  <c r="BN40" i="3"/>
  <c r="Y14" i="2"/>
  <c r="Z55" i="2"/>
  <c r="AA53" i="2"/>
  <c r="BD28" i="3"/>
  <c r="BU9" i="3"/>
  <c r="BU15" i="3"/>
  <c r="BU21" i="3"/>
  <c r="BU27" i="3"/>
  <c r="BU33" i="3"/>
  <c r="BU39" i="3"/>
  <c r="BQ62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F14" i="3"/>
  <c r="CL75" i="1" s="1"/>
  <c r="BH33" i="3"/>
  <c r="BH19" i="3"/>
  <c r="BG45" i="3"/>
  <c r="BT42" i="3"/>
  <c r="BG30" i="3"/>
  <c r="BJ5" i="3"/>
  <c r="BH22" i="3"/>
  <c r="BF39" i="3"/>
  <c r="BK15" i="3"/>
  <c r="BK31" i="3"/>
  <c r="BN22" i="3"/>
  <c r="BK45" i="3"/>
  <c r="AA55" i="2"/>
  <c r="AA24" i="2"/>
  <c r="AA72" i="2"/>
  <c r="Z206" i="1" s="1"/>
  <c r="CH206" i="1" s="1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X75" i="1" s="1"/>
  <c r="Z68" i="2"/>
  <c r="BC14" i="3"/>
  <c r="BA40" i="3"/>
  <c r="BD45" i="3"/>
  <c r="AA108" i="2"/>
  <c r="Z18" i="2"/>
  <c r="Y79" i="1" s="1"/>
  <c r="Y11" i="2"/>
  <c r="AA84" i="2"/>
  <c r="Y77" i="2"/>
  <c r="AA52" i="2"/>
  <c r="BQ10" i="3"/>
  <c r="BQ16" i="3"/>
  <c r="BQ22" i="3"/>
  <c r="BQ28" i="3"/>
  <c r="BQ34" i="3"/>
  <c r="BQ40" i="3"/>
  <c r="BR5" i="3"/>
  <c r="BR84" i="3" s="1"/>
  <c r="BR11" i="3"/>
  <c r="BS41" i="3"/>
  <c r="BT14" i="3"/>
  <c r="BM31" i="3"/>
  <c r="BL10" i="3"/>
  <c r="BH30" i="3"/>
  <c r="BE12" i="3"/>
  <c r="BM32" i="3"/>
  <c r="BF46" i="3"/>
  <c r="CL118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L15" i="3"/>
  <c r="BN34" i="3"/>
  <c r="BL25" i="3"/>
  <c r="BL17" i="3"/>
  <c r="BP6" i="3"/>
  <c r="BP8" i="3"/>
  <c r="BE31" i="3"/>
  <c r="BF7" i="3"/>
  <c r="BN23" i="3"/>
  <c r="BL40" i="3"/>
  <c r="BM16" i="3"/>
  <c r="BG33" i="3"/>
  <c r="BH29" i="3"/>
  <c r="Y13" i="2"/>
  <c r="AA19" i="2"/>
  <c r="AA77" i="2"/>
  <c r="Y10" i="2"/>
  <c r="Y72" i="2"/>
  <c r="X206" i="1" s="1"/>
  <c r="Y32" i="2"/>
  <c r="BD33" i="3"/>
  <c r="BB17" i="3"/>
  <c r="BB25" i="3"/>
  <c r="BD23" i="3"/>
  <c r="Z25" i="2"/>
  <c r="Y44" i="2"/>
  <c r="AA8" i="2"/>
  <c r="Z44" i="2"/>
  <c r="Z79" i="2"/>
  <c r="Y200" i="1" s="1"/>
  <c r="Z19" i="2"/>
  <c r="Y78" i="2"/>
  <c r="BD6" i="3"/>
  <c r="BA42" i="3"/>
  <c r="BU10" i="3"/>
  <c r="BU16" i="3"/>
  <c r="BU22" i="3"/>
  <c r="BU28" i="3"/>
  <c r="BU34" i="3"/>
  <c r="BU40" i="3"/>
  <c r="BV5" i="3"/>
  <c r="BV77" i="3" s="1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63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F32" i="3"/>
  <c r="BF24" i="3"/>
  <c r="BT9" i="3"/>
  <c r="BP14" i="3"/>
  <c r="BG32" i="3"/>
  <c r="BL8" i="3"/>
  <c r="BF25" i="3"/>
  <c r="CL90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Y104" i="2"/>
  <c r="AA81" i="2"/>
  <c r="AA42" i="2"/>
  <c r="AA89" i="2"/>
  <c r="BB12" i="3"/>
  <c r="Z87" i="2"/>
  <c r="Z24" i="2"/>
  <c r="AA25" i="2"/>
  <c r="BA30" i="3"/>
  <c r="BB29" i="3"/>
  <c r="FF16" i="4" a="1"/>
  <c r="FD8" i="4" a="1"/>
  <c r="EX15" i="4" a="1"/>
  <c r="EZ13" i="4" a="1"/>
  <c r="AA21" i="2"/>
  <c r="BD31" i="3"/>
  <c r="Y97" i="2"/>
  <c r="FE8" i="4" a="1"/>
  <c r="FE13" i="4" a="1"/>
  <c r="BA28" i="3"/>
  <c r="Z7" i="2"/>
  <c r="FD15" i="4" a="1"/>
  <c r="FB8" i="4" a="1"/>
  <c r="BA23" i="3"/>
  <c r="Z84" i="2"/>
  <c r="Y70" i="2"/>
  <c r="FA12" i="4" a="1"/>
  <c r="Y64" i="2"/>
  <c r="AA26" i="2"/>
  <c r="AA104" i="2"/>
  <c r="AA92" i="2"/>
  <c r="BC9" i="3"/>
  <c r="Y86" i="2"/>
  <c r="AA43" i="2"/>
  <c r="Y107" i="2"/>
  <c r="BD40" i="3"/>
  <c r="BB40" i="3"/>
  <c r="EX11" i="4" a="1"/>
  <c r="FB7" i="4" a="1"/>
  <c r="EX7" i="4" a="1"/>
  <c r="EX12" i="4" a="1"/>
  <c r="Z71" i="2"/>
  <c r="AA57" i="2"/>
  <c r="EY7" i="4" a="1"/>
  <c r="FA9" i="4" a="1"/>
  <c r="EZ9" i="4" a="1"/>
  <c r="BB7" i="3"/>
  <c r="BC31" i="3"/>
  <c r="BB36" i="3"/>
  <c r="FF13" i="4" a="1"/>
  <c r="BA14" i="3"/>
  <c r="EZ7" i="4" a="1"/>
  <c r="AA51" i="2"/>
  <c r="Z12" i="2"/>
  <c r="Z35" i="2"/>
  <c r="AA34" i="2"/>
  <c r="BB8" i="3"/>
  <c r="Y66" i="2"/>
  <c r="Z56" i="2"/>
  <c r="BC35" i="3"/>
  <c r="FA11" i="4" a="1"/>
  <c r="FF7" i="4" a="1"/>
  <c r="EY8" i="4" a="1"/>
  <c r="Y5" i="2"/>
  <c r="EY9" i="4" a="1"/>
  <c r="Z88" i="2"/>
  <c r="FE11" i="4" a="1"/>
  <c r="Y81" i="2"/>
  <c r="Y40" i="2"/>
  <c r="BD34" i="3"/>
  <c r="Y99" i="2"/>
  <c r="BB16" i="3"/>
  <c r="Z92" i="2"/>
  <c r="BC34" i="3"/>
  <c r="BA25" i="3"/>
  <c r="Z43" i="2"/>
  <c r="EZ11" i="4" a="1"/>
  <c r="FB6" i="4" a="1"/>
  <c r="BB35" i="3"/>
  <c r="Y69" i="2"/>
  <c r="EY6" i="4" a="1"/>
  <c r="EY11" i="4" a="1"/>
  <c r="EY13" i="4" a="1"/>
  <c r="Y80" i="2"/>
  <c r="X205" i="1" s="1"/>
  <c r="BD7" i="3"/>
  <c r="EZ12" i="4" a="1"/>
  <c r="Y35" i="2"/>
  <c r="BD8" i="3"/>
  <c r="Z46" i="2"/>
  <c r="X6" i="2"/>
  <c r="BA24" i="3"/>
  <c r="BD25" i="3"/>
  <c r="BD17" i="3"/>
  <c r="BB23" i="3"/>
  <c r="Z82" i="2"/>
  <c r="AA45" i="2"/>
  <c r="FF15" i="4" a="1"/>
  <c r="FB13" i="4" a="1"/>
  <c r="EX6" i="4" a="1"/>
  <c r="FD5" i="4" a="1"/>
  <c r="FA5" i="4" a="1"/>
  <c r="Z28" i="2"/>
  <c r="EZ16" i="4" a="1"/>
  <c r="FB16" i="4" a="1"/>
  <c r="Y7" i="2"/>
  <c r="Z41" i="2"/>
  <c r="FE6" i="4" a="1"/>
  <c r="FE7" i="4" a="1"/>
  <c r="BD46" i="3"/>
  <c r="BB45" i="3"/>
  <c r="BA41" i="3"/>
  <c r="Z90" i="2"/>
  <c r="AA33" i="2"/>
  <c r="Y93" i="2"/>
  <c r="BB6" i="3"/>
  <c r="AA69" i="2"/>
  <c r="BD14" i="3"/>
  <c r="AA95" i="2"/>
  <c r="BC24" i="3"/>
  <c r="FB14" i="4" a="1"/>
  <c r="AA31" i="2"/>
  <c r="BA21" i="3"/>
  <c r="BA38" i="3"/>
  <c r="FD14" i="4" a="1"/>
  <c r="AA49" i="2"/>
  <c r="Z97" i="2"/>
  <c r="EZ5" i="4" a="1"/>
  <c r="BD21" i="3"/>
  <c r="BA16" i="3"/>
  <c r="BA35" i="3"/>
  <c r="AA96" i="2"/>
  <c r="BD29" i="3"/>
  <c r="BC45" i="3"/>
  <c r="Y45" i="2"/>
  <c r="BB33" i="3"/>
  <c r="AA97" i="2"/>
  <c r="BC22" i="3"/>
  <c r="Z26" i="2"/>
  <c r="BD27" i="3"/>
  <c r="Y41" i="2"/>
  <c r="FE5" i="4" a="1"/>
  <c r="FC8" i="4" a="1"/>
  <c r="FE9" i="4" a="1"/>
  <c r="FA13" i="4" a="1"/>
  <c r="FE16" i="4" a="1"/>
  <c r="Z52" i="2"/>
  <c r="FC13" i="4" a="1"/>
  <c r="Z57" i="2"/>
  <c r="Y84" i="2"/>
  <c r="Y18" i="2"/>
  <c r="X79" i="1" s="1"/>
  <c r="Z42" i="2"/>
  <c r="EY12" i="4" a="1"/>
  <c r="Z23" i="2"/>
  <c r="Y43" i="2"/>
  <c r="Z6" i="2"/>
  <c r="AA99" i="2"/>
  <c r="BD9" i="3"/>
  <c r="Y67" i="2"/>
  <c r="BC6" i="3"/>
  <c r="BB28" i="3"/>
  <c r="Y29" i="2"/>
  <c r="FA8" i="4" a="1"/>
  <c r="FA15" i="4" a="1"/>
  <c r="FB12" i="4" a="1"/>
  <c r="W6" i="2"/>
  <c r="BQ59" i="3"/>
  <c r="BL86" i="3"/>
  <c r="BM60" i="3"/>
  <c r="BG80" i="3"/>
  <c r="BM95" i="3"/>
  <c r="BM62" i="3"/>
  <c r="BB58" i="3"/>
  <c r="BB66" i="3"/>
  <c r="BB83" i="3"/>
  <c r="BG95" i="3"/>
  <c r="BM81" i="3"/>
  <c r="BD89" i="3"/>
  <c r="BI72" i="3"/>
  <c r="BD73" i="3"/>
  <c r="BL58" i="3"/>
  <c r="BE83" i="3"/>
  <c r="BE87" i="3"/>
  <c r="BI62" i="3"/>
  <c r="BI85" i="3"/>
  <c r="BQ70" i="3"/>
  <c r="BQ67" i="3"/>
  <c r="BQ96" i="3"/>
  <c r="BO67" i="3"/>
  <c r="BS71" i="3"/>
  <c r="BS65" i="3"/>
  <c r="BS86" i="3"/>
  <c r="BU49" i="3"/>
  <c r="BU86" i="3"/>
  <c r="BU97" i="3"/>
  <c r="BR78" i="3"/>
  <c r="BR83" i="3"/>
  <c r="BV87" i="3"/>
  <c r="BS76" i="3"/>
  <c r="BG82" i="3"/>
  <c r="BL95" i="3"/>
  <c r="BE59" i="3"/>
  <c r="BI77" i="3"/>
  <c r="BM58" i="3"/>
  <c r="BK85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BQ49" i="3"/>
  <c r="BL90" i="3"/>
  <c r="BC65" i="3"/>
  <c r="BM56" i="3"/>
  <c r="BG92" i="3"/>
  <c r="BM74" i="3"/>
  <c r="BM90" i="3"/>
  <c r="BB70" i="3"/>
  <c r="BG74" i="3"/>
  <c r="BM97" i="3"/>
  <c r="BD55" i="3"/>
  <c r="BI80" i="3"/>
  <c r="BQ47" i="3"/>
  <c r="BE86" i="3"/>
  <c r="BE57" i="3"/>
  <c r="BI70" i="3"/>
  <c r="BI76" i="3"/>
  <c r="BQ86" i="3"/>
  <c r="BQ64" i="3"/>
  <c r="BQ95" i="3"/>
  <c r="BS80" i="3"/>
  <c r="BU56" i="3"/>
  <c r="BU83" i="3"/>
  <c r="BU65" i="3"/>
  <c r="BR76" i="3"/>
  <c r="BO64" i="3"/>
  <c r="BG68" i="3"/>
  <c r="BE67" i="3"/>
  <c r="BI60" i="3"/>
  <c r="BM8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FU13" i="4" a="1"/>
  <c r="FS15" i="4" a="1"/>
  <c r="GZ15" i="4" a="1"/>
  <c r="FV16" i="4" a="1"/>
  <c r="GT16" i="4" a="1"/>
  <c r="FN14" i="4" a="1"/>
  <c r="GJ11" i="4" a="1"/>
  <c r="GL14" i="4" a="1"/>
  <c r="GC13" i="4" a="1"/>
  <c r="HH11" i="4" a="1"/>
  <c r="BQ85" i="3"/>
  <c r="BU50" i="3"/>
  <c r="BM65" i="3"/>
  <c r="BG67" i="3"/>
  <c r="BQ61" i="3"/>
  <c r="BU63" i="3"/>
  <c r="BM73" i="3"/>
  <c r="BG96" i="3"/>
  <c r="BE82" i="3"/>
  <c r="BM84" i="3"/>
  <c r="BM57" i="3"/>
  <c r="BB50" i="3"/>
  <c r="BB71" i="3"/>
  <c r="BB94" i="3"/>
  <c r="BG64" i="3"/>
  <c r="BM88" i="3"/>
  <c r="BD82" i="3"/>
  <c r="BD93" i="3"/>
  <c r="BI92" i="3"/>
  <c r="BB77" i="3"/>
  <c r="BQ50" i="3"/>
  <c r="BL59" i="3"/>
  <c r="BE84" i="3"/>
  <c r="BE61" i="3"/>
  <c r="BI90" i="3"/>
  <c r="BQ79" i="3"/>
  <c r="BQ71" i="3"/>
  <c r="BU72" i="3"/>
  <c r="BO97" i="3"/>
  <c r="BO84" i="3"/>
  <c r="BS55" i="3"/>
  <c r="BS69" i="3"/>
  <c r="BU59" i="3"/>
  <c r="BU77" i="3"/>
  <c r="BU81" i="3"/>
  <c r="BR64" i="3"/>
  <c r="BR80" i="3"/>
  <c r="BV92" i="3"/>
  <c r="BO47" i="3"/>
  <c r="BO78" i="3"/>
  <c r="BS87" i="3"/>
  <c r="BG62" i="3"/>
  <c r="BL50" i="3"/>
  <c r="BE73" i="3"/>
  <c r="BI91" i="3"/>
  <c r="BM89" i="3"/>
  <c r="GT14" i="4" a="1"/>
  <c r="GN6" i="4" a="1"/>
  <c r="GK8" i="4" a="1"/>
  <c r="GB8" i="4" a="1"/>
  <c r="BU58" i="3"/>
  <c r="BQ58" i="3"/>
  <c r="BR71" i="3"/>
  <c r="BM77" i="3"/>
  <c r="BG89" i="3"/>
  <c r="BE74" i="3"/>
  <c r="BM49" i="3"/>
  <c r="BM76" i="3"/>
  <c r="BB79" i="3"/>
  <c r="BB90" i="3"/>
  <c r="BG72" i="3"/>
  <c r="BM92" i="3"/>
  <c r="BD88" i="3"/>
  <c r="BU47" i="3"/>
  <c r="BI49" i="3"/>
  <c r="BI86" i="3"/>
  <c r="BB80" i="3"/>
  <c r="BQ54" i="3"/>
  <c r="BL71" i="3"/>
  <c r="BE78" i="3"/>
  <c r="BE48" i="3"/>
  <c r="BI94" i="3"/>
  <c r="BQ76" i="3"/>
  <c r="BQ80" i="3"/>
  <c r="BU74" i="3"/>
  <c r="BR58" i="3"/>
  <c r="BV65" i="3"/>
  <c r="BO49" i="3"/>
  <c r="BO88" i="3"/>
  <c r="BO77" i="3"/>
  <c r="BS84" i="3"/>
  <c r="BS78" i="3"/>
  <c r="BS64" i="3"/>
  <c r="BU60" i="3"/>
  <c r="BU85" i="3"/>
  <c r="BU88" i="3"/>
  <c r="BR74" i="3"/>
  <c r="BV62" i="3"/>
  <c r="BV88" i="3"/>
  <c r="BO48" i="3"/>
  <c r="BO91" i="3"/>
  <c r="BS89" i="3"/>
  <c r="BG47" i="3"/>
  <c r="BE49" i="3"/>
  <c r="BE77" i="3"/>
  <c r="BI61" i="3"/>
  <c r="BM55" i="3"/>
  <c r="FK15" i="4" a="1"/>
  <c r="FJ7" i="4" a="1"/>
  <c r="GU8" i="4" a="1"/>
  <c r="GZ8" i="4" a="1"/>
  <c r="BU66" i="3"/>
  <c r="BG86" i="3"/>
  <c r="BG55" i="3"/>
  <c r="BG83" i="3"/>
  <c r="BE62" i="3"/>
  <c r="BM48" i="3"/>
  <c r="BB55" i="3"/>
  <c r="BB87" i="3"/>
  <c r="BG94" i="3"/>
  <c r="BD70" i="3"/>
  <c r="BU48" i="3"/>
  <c r="BI69" i="3"/>
  <c r="BI74" i="3"/>
  <c r="BB82" i="3"/>
  <c r="BQ55" i="3"/>
  <c r="BL80" i="3"/>
  <c r="BE72" i="3"/>
  <c r="BE70" i="3"/>
  <c r="BI47" i="3"/>
  <c r="BQ72" i="3"/>
  <c r="BQ81" i="3"/>
  <c r="BU75" i="3"/>
  <c r="BO55" i="3"/>
  <c r="BO89" i="3"/>
  <c r="BS85" i="3"/>
  <c r="BS47" i="3"/>
  <c r="BU62" i="3"/>
  <c r="BU89" i="3"/>
  <c r="BU64" i="3"/>
  <c r="BR72" i="3"/>
  <c r="BV50" i="3"/>
  <c r="BV96" i="3"/>
  <c r="BO69" i="3"/>
  <c r="BE47" i="3"/>
  <c r="BE81" i="3"/>
  <c r="BI50" i="3"/>
  <c r="BG63" i="3"/>
  <c r="BG65" i="3"/>
  <c r="BE56" i="3"/>
  <c r="BM59" i="3"/>
  <c r="BB65" i="3"/>
  <c r="BB74" i="3"/>
  <c r="BB78" i="3"/>
  <c r="BG77" i="3"/>
  <c r="BD49" i="3"/>
  <c r="BU54" i="3"/>
  <c r="BI73" i="3"/>
  <c r="BI97" i="3"/>
  <c r="BB57" i="3"/>
  <c r="BL81" i="3"/>
  <c r="BM91" i="3"/>
  <c r="BG88" i="3"/>
  <c r="BM93" i="3"/>
  <c r="BM61" i="3"/>
  <c r="BB85" i="3"/>
  <c r="BB89" i="3"/>
  <c r="BD62" i="3"/>
  <c r="BU55" i="3"/>
  <c r="BI83" i="3"/>
  <c r="BI84" i="3"/>
  <c r="BD92" i="3"/>
  <c r="BQ60" i="3"/>
  <c r="BL69" i="3"/>
  <c r="BE93" i="3"/>
  <c r="BE92" i="3"/>
  <c r="BI54" i="3"/>
  <c r="BQ74" i="3"/>
  <c r="BQ83" i="3"/>
  <c r="BU87" i="3"/>
  <c r="BR57" i="3"/>
  <c r="BV83" i="3"/>
  <c r="BO63" i="3"/>
  <c r="BO50" i="3"/>
  <c r="BO87" i="3"/>
  <c r="BS97" i="3"/>
  <c r="BU67" i="3"/>
  <c r="BU91" i="3"/>
  <c r="BV54" i="3"/>
  <c r="BO85" i="3"/>
  <c r="BS62" i="3"/>
  <c r="BS94" i="3"/>
  <c r="BE54" i="3"/>
  <c r="BI65" i="3"/>
  <c r="BM75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BL84" i="3"/>
  <c r="BM64" i="3"/>
  <c r="BL63" i="3"/>
  <c r="BM50" i="3"/>
  <c r="BG87" i="3"/>
  <c r="BG49" i="3"/>
  <c r="BM78" i="3"/>
  <c r="BM86" i="3"/>
  <c r="BB49" i="3"/>
  <c r="BB73" i="3"/>
  <c r="BB72" i="3"/>
  <c r="BG56" i="3"/>
  <c r="BE75" i="3"/>
  <c r="BD78" i="3"/>
  <c r="BU68" i="3"/>
  <c r="BI93" i="3"/>
  <c r="BI48" i="3"/>
  <c r="BB86" i="3"/>
  <c r="BD86" i="3"/>
  <c r="BQ88" i="3"/>
  <c r="BL57" i="3"/>
  <c r="BL67" i="3"/>
  <c r="BE66" i="3"/>
  <c r="BE50" i="3"/>
  <c r="BE64" i="3"/>
  <c r="BI55" i="3"/>
  <c r="BQ91" i="3"/>
  <c r="BQ94" i="3"/>
  <c r="BQ75" i="3"/>
  <c r="BR70" i="3"/>
  <c r="BV71" i="3"/>
  <c r="BO68" i="3"/>
  <c r="BO58" i="3"/>
  <c r="BO92" i="3"/>
  <c r="BS90" i="3"/>
  <c r="BS93" i="3"/>
  <c r="BU82" i="3"/>
  <c r="BU93" i="3"/>
  <c r="BR86" i="3"/>
  <c r="BR47" i="3"/>
  <c r="BR97" i="3"/>
  <c r="BV95" i="3"/>
  <c r="BV61" i="3"/>
  <c r="BV69" i="3"/>
  <c r="BO73" i="3"/>
  <c r="BS67" i="3"/>
  <c r="BQ77" i="3"/>
  <c r="BL72" i="3"/>
  <c r="BM66" i="3"/>
  <c r="BG61" i="3"/>
  <c r="BG81" i="3"/>
  <c r="BM72" i="3"/>
  <c r="BM67" i="3"/>
  <c r="BB97" i="3"/>
  <c r="BB47" i="3"/>
  <c r="BB60" i="3"/>
  <c r="BG60" i="3"/>
  <c r="BE90" i="3"/>
  <c r="BD83" i="3"/>
  <c r="BU79" i="3"/>
  <c r="BI95" i="3"/>
  <c r="BI78" i="3"/>
  <c r="BD61" i="3"/>
  <c r="BL77" i="3"/>
  <c r="BL76" i="3"/>
  <c r="BL89" i="3"/>
  <c r="BE94" i="3"/>
  <c r="BE76" i="3"/>
  <c r="BI82" i="3"/>
  <c r="BI59" i="3"/>
  <c r="BQ68" i="3"/>
  <c r="BQ92" i="3"/>
  <c r="BQ78" i="3"/>
  <c r="BR89" i="3"/>
  <c r="BV59" i="3"/>
  <c r="BO71" i="3"/>
  <c r="BO62" i="3"/>
  <c r="BO95" i="3"/>
  <c r="BG69" i="3"/>
  <c r="BB96" i="3"/>
  <c r="BL65" i="3"/>
  <c r="BI58" i="3"/>
  <c r="BQ84" i="3"/>
  <c r="BR91" i="3"/>
  <c r="BS63" i="3"/>
  <c r="BS50" i="3"/>
  <c r="BU95" i="3"/>
  <c r="BR96" i="3"/>
  <c r="BV74" i="3"/>
  <c r="BO54" i="3"/>
  <c r="BE65" i="3"/>
  <c r="BM87" i="3"/>
  <c r="FL5" i="4" a="1"/>
  <c r="FI6" i="4" a="1"/>
  <c r="GI9" i="4" a="1"/>
  <c r="FO5" i="4" a="1"/>
  <c r="FS8" i="4" a="1"/>
  <c r="FL11" i="4" a="1"/>
  <c r="GX8" i="4" a="1"/>
  <c r="FX7" i="4" a="1"/>
  <c r="GK9" i="4" a="1"/>
  <c r="FO15" i="4" a="1"/>
  <c r="GD6" i="4" a="1"/>
  <c r="HC6" i="4" a="1"/>
  <c r="HH12" i="4" a="1"/>
  <c r="GK6" i="4" a="1"/>
  <c r="FT6" i="4" a="1"/>
  <c r="GN9" i="4" a="1"/>
  <c r="FJ5" i="4" a="1"/>
  <c r="GO8" i="4" a="1"/>
  <c r="FH11" i="4" a="1"/>
  <c r="GV5" i="4" a="1"/>
  <c r="GV11" i="4" a="1"/>
  <c r="GU12" i="4" a="1"/>
  <c r="GR13" i="4" a="1"/>
  <c r="GL11" i="4" a="1"/>
  <c r="GN12" i="4" a="1"/>
  <c r="GM13" i="4" a="1"/>
  <c r="GJ14" i="4" a="1"/>
  <c r="HC9" i="4" a="1"/>
  <c r="FZ14" i="4" a="1"/>
  <c r="GN15" i="4" a="1"/>
  <c r="FL16" i="4" a="1"/>
  <c r="GL16" i="4" a="1"/>
  <c r="GO11" i="4" a="1"/>
  <c r="HG9" i="4" a="1"/>
  <c r="GA14" i="4" a="1"/>
  <c r="HE13" i="4" a="1"/>
  <c r="GL12" i="4" a="1"/>
  <c r="HC14" i="4" a="1"/>
  <c r="GU15" i="4" a="1"/>
  <c r="FQ16" i="4" a="1"/>
  <c r="GO16" i="4" a="1"/>
  <c r="GY9" i="4" a="1"/>
  <c r="BD97" i="3"/>
  <c r="BD66" i="3"/>
  <c r="BB93" i="3"/>
  <c r="BS73" i="3"/>
  <c r="BU84" i="3"/>
  <c r="BR94" i="3"/>
  <c r="BV78" i="3"/>
  <c r="BG91" i="3"/>
  <c r="BB95" i="3"/>
  <c r="BE55" i="3"/>
  <c r="BI89" i="3"/>
  <c r="BL79" i="3"/>
  <c r="BI57" i="3"/>
  <c r="BQ63" i="3"/>
  <c r="BR54" i="3"/>
  <c r="BO59" i="3"/>
  <c r="BG75" i="3"/>
  <c r="BB62" i="3"/>
  <c r="BE96" i="3"/>
  <c r="BI64" i="3"/>
  <c r="BD50" i="3"/>
  <c r="BL61" i="3"/>
  <c r="BI81" i="3"/>
  <c r="BQ97" i="3"/>
  <c r="BV64" i="3"/>
  <c r="BO66" i="3"/>
  <c r="BS68" i="3"/>
  <c r="BU70" i="3"/>
  <c r="BR73" i="3"/>
  <c r="BV89" i="3"/>
  <c r="BO60" i="3"/>
  <c r="BG48" i="3"/>
  <c r="BI63" i="3"/>
  <c r="GB5" i="4" a="1"/>
  <c r="GQ7" i="4" a="1"/>
  <c r="FT12" i="4" a="1"/>
  <c r="FV5" i="4" a="1"/>
  <c r="GQ8" i="4" a="1"/>
  <c r="GJ6" i="4" a="1"/>
  <c r="FU5" i="4" a="1"/>
  <c r="FQ8" i="4" a="1"/>
  <c r="FJ11" i="4" a="1"/>
  <c r="GO9" i="4" a="1"/>
  <c r="GK7" i="4" a="1"/>
  <c r="HD8" i="4" a="1"/>
  <c r="HB13" i="4" a="1"/>
  <c r="FZ7" i="4" a="1"/>
  <c r="FO9" i="4" a="1"/>
  <c r="FY12" i="4" a="1"/>
  <c r="GY5" i="4" a="1"/>
  <c r="HF5" i="4" a="1"/>
  <c r="GD11" i="4" a="1"/>
  <c r="GW9" i="4" a="1"/>
  <c r="HD11" i="4" a="1"/>
  <c r="HC12" i="4" a="1"/>
  <c r="HE6" i="4" a="1"/>
  <c r="GY11" i="4" a="1"/>
  <c r="GV12" i="4" a="1"/>
  <c r="GU13" i="4" a="1"/>
  <c r="GR14" i="4" a="1"/>
  <c r="GG11" i="4" a="1"/>
  <c r="GP14" i="4" a="1"/>
  <c r="GR15" i="4" a="1"/>
  <c r="FP16" i="4" a="1"/>
  <c r="GP16" i="4" a="1"/>
  <c r="FH13" i="4" a="1"/>
  <c r="HE11" i="4" a="1"/>
  <c r="HB14" i="4" a="1"/>
  <c r="FH15" i="4" a="1"/>
  <c r="FP13" i="4" a="1"/>
  <c r="FQ15" i="4" a="1"/>
  <c r="GY15" i="4" a="1"/>
  <c r="FU16" i="4" a="1"/>
  <c r="GS16" i="4" a="1"/>
  <c r="GZ11" i="4" a="1"/>
  <c r="BG54" i="3"/>
  <c r="BB59" i="3"/>
  <c r="BM96" i="3"/>
  <c r="BI88" i="3"/>
  <c r="BD85" i="3"/>
  <c r="BL83" i="3"/>
  <c r="BE63" i="3"/>
  <c r="BI66" i="3"/>
  <c r="BQ90" i="3"/>
  <c r="BV75" i="3"/>
  <c r="BO75" i="3"/>
  <c r="BS75" i="3"/>
  <c r="BU57" i="3"/>
  <c r="BR88" i="3"/>
  <c r="BR79" i="3"/>
  <c r="BV63" i="3"/>
  <c r="BO61" i="3"/>
  <c r="BG90" i="3"/>
  <c r="BI71" i="3"/>
  <c r="FX6" i="4" a="1"/>
  <c r="FG9" i="4" a="1"/>
  <c r="GJ12" i="4" a="1"/>
  <c r="GH5" i="4" a="1"/>
  <c r="FY6" i="4" a="1"/>
  <c r="GD7" i="4" a="1"/>
  <c r="GG5" i="4" a="1"/>
  <c r="GY8" i="4" a="1"/>
  <c r="FV11" i="4" a="1"/>
  <c r="FI5" i="4" a="1"/>
  <c r="HD7" i="4" a="1"/>
  <c r="FZ9" i="4" a="1"/>
  <c r="FX14" i="4" a="1"/>
  <c r="GZ5" i="4" a="1"/>
  <c r="FJ6" i="4" a="1"/>
  <c r="GZ12" i="4" a="1"/>
  <c r="FU6" i="4" a="1"/>
  <c r="GN5" i="4" a="1"/>
  <c r="FS7" i="4" a="1"/>
  <c r="HE9" i="4" a="1"/>
  <c r="FG12" i="4" a="1"/>
  <c r="FI13" i="4" a="1"/>
  <c r="FN7" i="4" a="1"/>
  <c r="HB11" i="4" a="1"/>
  <c r="HA12" i="4" a="1"/>
  <c r="GX13" i="4" a="1"/>
  <c r="GW14" i="4" a="1"/>
  <c r="GR11" i="4" a="1"/>
  <c r="GU14" i="4" a="1"/>
  <c r="GT15" i="4" a="1"/>
  <c r="FR16" i="4" a="1"/>
  <c r="GR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D64" i="3"/>
  <c r="BD69" i="3"/>
  <c r="BQ65" i="3"/>
  <c r="BM70" i="3"/>
  <c r="BB63" i="3"/>
  <c r="BI96" i="3"/>
  <c r="BQ48" i="3"/>
  <c r="BL49" i="3"/>
  <c r="BE95" i="3"/>
  <c r="BI67" i="3"/>
  <c r="BQ66" i="3"/>
  <c r="BV49" i="3"/>
  <c r="BO81" i="3"/>
  <c r="BS59" i="3"/>
  <c r="BU71" i="3"/>
  <c r="BR48" i="3"/>
  <c r="BR68" i="3"/>
  <c r="BV70" i="3"/>
  <c r="BO83" i="3"/>
  <c r="BI56" i="3"/>
  <c r="GH7" i="4" a="1"/>
  <c r="GE9" i="4" a="1"/>
  <c r="HE12" i="4" a="1"/>
  <c r="HB5" i="4" a="1"/>
  <c r="GG6" i="4" a="1"/>
  <c r="FX9" i="4" a="1"/>
  <c r="FX5" i="4" a="1"/>
  <c r="GX5" i="4" a="1"/>
  <c r="GS5" i="4" a="1"/>
  <c r="FY5" i="4" a="1"/>
  <c r="GG8" i="4" a="1"/>
  <c r="GT9" i="4" a="1"/>
  <c r="GV14" i="4" a="1"/>
  <c r="FV6" i="4" a="1"/>
  <c r="GG7" i="4" a="1"/>
  <c r="GT13" i="4" a="1"/>
  <c r="GS6" i="4" a="1"/>
  <c r="GW6" i="4" a="1"/>
  <c r="FS9" i="4" a="1"/>
  <c r="FG11" i="4" a="1"/>
  <c r="FO12" i="4" a="1"/>
  <c r="FL13" i="4" a="1"/>
  <c r="GI7" i="4" a="1"/>
  <c r="HG11" i="4" a="1"/>
  <c r="HD12" i="4" a="1"/>
  <c r="HC13" i="4" a="1"/>
  <c r="GZ14" i="4" a="1"/>
  <c r="FK12" i="4" a="1"/>
  <c r="HF14" i="4" a="1"/>
  <c r="GV15" i="4" a="1"/>
  <c r="FT16" i="4" a="1"/>
  <c r="GV16" i="4" a="1"/>
  <c r="GY14" i="4" a="1"/>
  <c r="GI12" i="4" a="1"/>
  <c r="FI15" i="4" a="1"/>
  <c r="HF6" i="4" a="1"/>
  <c r="GV13" i="4" a="1"/>
  <c r="GB15" i="4" a="1"/>
  <c r="HC15" i="4" a="1"/>
  <c r="FY16" i="4" a="1"/>
  <c r="GW16" i="4" a="1"/>
  <c r="GN13" i="4" a="1"/>
  <c r="BM80" i="3"/>
  <c r="BB68" i="3"/>
  <c r="BB76" i="3"/>
  <c r="BQ57" i="3"/>
  <c r="BL93" i="3"/>
  <c r="BE80" i="3"/>
  <c r="BQ82" i="3"/>
  <c r="BV60" i="3"/>
  <c r="BO94" i="3"/>
  <c r="BS60" i="3"/>
  <c r="BU69" i="3"/>
  <c r="BR49" i="3"/>
  <c r="BV79" i="3"/>
  <c r="BV97" i="3"/>
  <c r="BO96" i="3"/>
  <c r="BI75" i="3"/>
  <c r="HF7" i="4" a="1"/>
  <c r="HH7" i="4" a="1"/>
  <c r="GQ13" i="4" a="1"/>
  <c r="GC6" i="4" a="1"/>
  <c r="GA7" i="4" a="1"/>
  <c r="FQ12" i="4" a="1"/>
  <c r="GL5" i="4" a="1"/>
  <c r="FQ6" i="4" a="1"/>
  <c r="FH8" i="4" a="1"/>
  <c r="GI5" i="4" a="1"/>
  <c r="GS8" i="4" a="1"/>
  <c r="HF9" i="4" a="1"/>
  <c r="GZ7" i="4" a="1"/>
  <c r="GT6" i="4" a="1"/>
  <c r="FX8" i="4" a="1"/>
  <c r="FP14" i="4" a="1"/>
  <c r="FR7" i="4" a="1"/>
  <c r="FT9" i="4" a="1"/>
  <c r="GP11" i="4" a="1"/>
  <c r="FK11" i="4" a="1"/>
  <c r="FR12" i="4" a="1"/>
  <c r="BL88" i="3"/>
  <c r="BM68" i="3"/>
  <c r="BB88" i="3"/>
  <c r="BD75" i="3"/>
  <c r="BB61" i="3"/>
  <c r="BQ73" i="3"/>
  <c r="BL68" i="3"/>
  <c r="BE60" i="3"/>
  <c r="BQ69" i="3"/>
  <c r="BV85" i="3"/>
  <c r="BO57" i="3"/>
  <c r="BS77" i="3"/>
  <c r="BU80" i="3"/>
  <c r="BR55" i="3"/>
  <c r="BV57" i="3"/>
  <c r="BV73" i="3"/>
  <c r="BS66" i="3"/>
  <c r="BL54" i="3"/>
  <c r="BI79" i="3"/>
  <c r="FN6" i="4" a="1"/>
  <c r="FR9" i="4" a="1"/>
  <c r="FH14" i="4" a="1"/>
  <c r="GX7" i="4" a="1"/>
  <c r="FL9" i="4" a="1"/>
  <c r="GO12" i="4" a="1"/>
  <c r="HA6" i="4" a="1"/>
  <c r="GB6" i="4" a="1"/>
  <c r="GH11" i="4" a="1"/>
  <c r="GT5" i="4" a="1"/>
  <c r="GP5" i="4" a="1"/>
  <c r="FP11" i="4" a="1"/>
  <c r="FI9" i="4" a="1"/>
  <c r="FM7" i="4" a="1"/>
  <c r="FU9" i="4" a="1"/>
  <c r="GN14" i="4" a="1"/>
  <c r="GM7" i="4" a="1"/>
  <c r="GM9" i="4" a="1"/>
  <c r="FL12" i="4" a="1"/>
  <c r="FS11" i="4" a="1"/>
  <c r="FW12" i="4" a="1"/>
  <c r="FT13" i="4" a="1"/>
  <c r="FM8" i="4" a="1"/>
  <c r="FM12" i="4" a="1"/>
  <c r="FJ13" i="4" a="1"/>
  <c r="FI14" i="4" a="1"/>
  <c r="HH14" i="4" a="1"/>
  <c r="GQ12" i="4" a="1"/>
  <c r="FP15" i="4" a="1"/>
  <c r="HB15" i="4" a="1"/>
  <c r="FZ16" i="4" a="1"/>
  <c r="GZ16" i="4" a="1"/>
  <c r="GP6" i="4" a="1"/>
  <c r="FM13" i="4" a="1"/>
  <c r="FT15" i="4" a="1"/>
  <c r="HH8" i="4" a="1"/>
  <c r="FG14" i="4" a="1"/>
  <c r="GI15" i="4" a="1"/>
  <c r="HG15" i="4" a="1"/>
  <c r="GC16" i="4" a="1"/>
  <c r="HA16" i="4" a="1"/>
  <c r="BD84" i="3"/>
  <c r="BD58" i="3"/>
  <c r="BD95" i="3"/>
  <c r="BM71" i="3"/>
  <c r="BB67" i="3"/>
  <c r="BD94" i="3"/>
  <c r="BB54" i="3"/>
  <c r="BL78" i="3"/>
  <c r="BE68" i="3"/>
  <c r="BQ87" i="3"/>
  <c r="BO65" i="3"/>
  <c r="BS96" i="3"/>
  <c r="BU73" i="3"/>
  <c r="BR59" i="3"/>
  <c r="BV72" i="3"/>
  <c r="BS70" i="3"/>
  <c r="BL73" i="3"/>
  <c r="BI87" i="3"/>
  <c r="BJ97" i="3"/>
  <c r="BJ81" i="3"/>
  <c r="GL6" i="4" a="1"/>
  <c r="GH9" i="4" a="1"/>
  <c r="GF14" i="4" a="1"/>
  <c r="GW5" i="4" a="1"/>
  <c r="GJ9" i="4" a="1"/>
  <c r="FK13" i="4" a="1"/>
  <c r="FW7" i="4" a="1"/>
  <c r="FV7" i="4" a="1"/>
  <c r="HF11" i="4" a="1"/>
  <c r="FP6" i="4" a="1"/>
  <c r="FL6" i="4" a="1"/>
  <c r="HD5" i="4" a="1"/>
  <c r="FQ5" i="4" a="1"/>
  <c r="GF7" i="4" a="1"/>
  <c r="GR9" i="4" a="1"/>
  <c r="FJ15" i="4" a="1"/>
  <c r="HH5" i="4" a="1"/>
  <c r="FL7" i="4" a="1"/>
  <c r="GR12" i="4" a="1"/>
  <c r="FW11" i="4" a="1"/>
  <c r="FZ12" i="4" a="1"/>
  <c r="FY13" i="4" a="1"/>
  <c r="FK9" i="4" a="1"/>
  <c r="FP12" i="4" a="1"/>
  <c r="FO13" i="4" a="1"/>
  <c r="FL14" i="4" a="1"/>
  <c r="FO6" i="4" a="1"/>
  <c r="HB12" i="4" a="1"/>
  <c r="GC15" i="4" a="1"/>
  <c r="HD15" i="4" a="1"/>
  <c r="GB16" i="4" a="1"/>
  <c r="HB16" i="4" a="1"/>
  <c r="GJ7" i="4" a="1"/>
  <c r="FX13" i="4" a="1"/>
  <c r="FX15" i="4" a="1"/>
  <c r="GU9" i="4" a="1"/>
  <c r="FR14" i="4" a="1"/>
  <c r="GK15" i="4" a="1"/>
  <c r="FG16" i="4" a="1"/>
  <c r="GE16" i="4" a="1"/>
  <c r="HC16" i="4" a="1"/>
  <c r="BD72" i="3"/>
  <c r="BD67" i="3"/>
  <c r="BD90" i="3"/>
  <c r="BM82" i="3"/>
  <c r="BM79" i="3"/>
  <c r="BB64" i="3"/>
  <c r="BD76" i="3"/>
  <c r="BL70" i="3"/>
  <c r="BE71" i="3"/>
  <c r="BU78" i="3"/>
  <c r="BO72" i="3"/>
  <c r="BS92" i="3"/>
  <c r="BU96" i="3"/>
  <c r="BR75" i="3"/>
  <c r="BV67" i="3"/>
  <c r="BS74" i="3"/>
  <c r="BE79" i="3"/>
  <c r="BM69" i="3"/>
  <c r="BJ74" i="3"/>
  <c r="BJ87" i="3"/>
  <c r="BM94" i="3"/>
  <c r="BG58" i="3"/>
  <c r="BD54" i="3"/>
  <c r="BL82" i="3"/>
  <c r="BE88" i="3"/>
  <c r="BU76" i="3"/>
  <c r="BO82" i="3"/>
  <c r="BS91" i="3"/>
  <c r="BU90" i="3"/>
  <c r="BR95" i="3"/>
  <c r="BV91" i="3"/>
  <c r="BS81" i="3"/>
  <c r="BE89" i="3"/>
  <c r="BM47" i="3"/>
  <c r="BJ82" i="3"/>
  <c r="BJ48" i="3"/>
  <c r="BJ85" i="3"/>
  <c r="GE15" i="4" a="1"/>
  <c r="FU7" i="4" a="1"/>
  <c r="FR11" i="4" a="1"/>
  <c r="GH8" i="4" a="1"/>
  <c r="GQ6" i="4" a="1"/>
  <c r="FT8" i="4" a="1"/>
  <c r="HD14" i="4" a="1"/>
  <c r="GO5" i="4" a="1"/>
  <c r="GM6" i="4" a="1"/>
  <c r="GY13" i="4" a="1"/>
  <c r="FO7" i="4" a="1"/>
  <c r="HG7" i="4" a="1"/>
  <c r="FH9" i="4" a="1"/>
  <c r="FN5" i="4" a="1"/>
  <c r="GI8" i="4" a="1"/>
  <c r="FN11" i="4" a="1"/>
  <c r="GD9" i="4" a="1"/>
  <c r="FP7" i="4" a="1"/>
  <c r="GJ8" i="4" a="1"/>
  <c r="FM14" i="4" a="1"/>
  <c r="GE11" i="4" a="1"/>
  <c r="GH12" i="4" a="1"/>
  <c r="GG13" i="4" a="1"/>
  <c r="GA9" i="4" a="1"/>
  <c r="FX12" i="4" a="1"/>
  <c r="FW13" i="4" a="1"/>
  <c r="FT14" i="4" a="1"/>
  <c r="GT8" i="4" a="1"/>
  <c r="HA13" i="4" a="1"/>
  <c r="GH15" i="4" a="1"/>
  <c r="HH15" i="4" a="1"/>
  <c r="GF16" i="4" a="1"/>
  <c r="HF16" i="4" a="1"/>
  <c r="HB8" i="4" a="1"/>
  <c r="HH13" i="4" a="1"/>
  <c r="GD15" i="4" a="1"/>
  <c r="FY11" i="4" a="1"/>
  <c r="GH14" i="4" a="1"/>
  <c r="GO15" i="4" a="1"/>
  <c r="FK16" i="4" a="1"/>
  <c r="BG97" i="3"/>
  <c r="BU61" i="3"/>
  <c r="BL94" i="3"/>
  <c r="BE97" i="3"/>
  <c r="BQ93" i="3"/>
  <c r="BR62" i="3"/>
  <c r="BO90" i="3"/>
  <c r="BS72" i="3"/>
  <c r="BU92" i="3"/>
  <c r="BR85" i="3"/>
  <c r="BV80" i="3"/>
  <c r="BS54" i="3"/>
  <c r="BE58" i="3"/>
  <c r="BM54" i="3"/>
  <c r="BJ47" i="3"/>
  <c r="BJ64" i="3"/>
  <c r="FM5" i="4" a="1"/>
  <c r="FY8" i="4" a="1"/>
  <c r="FZ11" i="4" a="1"/>
  <c r="FY9" i="4" a="1"/>
  <c r="HG6" i="4" a="1"/>
  <c r="BG50" i="3"/>
  <c r="BG73" i="3"/>
  <c r="BL48" i="3"/>
  <c r="BI68" i="3"/>
  <c r="BQ89" i="3"/>
  <c r="BR65" i="3"/>
  <c r="BS48" i="3"/>
  <c r="BS57" i="3"/>
  <c r="BU94" i="3"/>
  <c r="BR82" i="3"/>
  <c r="BV58" i="3"/>
  <c r="BJ58" i="3"/>
  <c r="FP5" i="4" a="1"/>
  <c r="GE8" i="4" a="1"/>
  <c r="GV7" i="4" a="1"/>
  <c r="FH7" i="4" a="1"/>
  <c r="FG7" i="4" a="1"/>
  <c r="FR5" i="4" a="1"/>
  <c r="FN9" i="4" a="1"/>
  <c r="GO13" i="4" a="1"/>
  <c r="FG13" i="4" a="1"/>
  <c r="FQ9" i="4" a="1"/>
  <c r="GP15" i="4" a="1"/>
  <c r="HD16" i="4" a="1"/>
  <c r="FV14" i="4" a="1"/>
  <c r="HD13" i="4" a="1"/>
  <c r="FM16" i="4" a="1"/>
  <c r="GL8" i="4" a="1"/>
  <c r="BD47" i="3"/>
  <c r="BD71" i="3"/>
  <c r="Y113" i="2"/>
  <c r="FH16" i="4" a="1"/>
  <c r="GX14" i="4" a="1"/>
  <c r="GA16" i="4" a="1"/>
  <c r="BD74" i="3"/>
  <c r="BD68" i="3"/>
  <c r="BJ66" i="3"/>
  <c r="GY6" i="4" a="1"/>
  <c r="GR7" i="4" a="1"/>
  <c r="GB9" i="4" a="1"/>
  <c r="FR6" i="4" a="1"/>
  <c r="FW8" i="4" a="1"/>
  <c r="GA6" i="4" a="1"/>
  <c r="GA11" i="4" a="1"/>
  <c r="GW13" i="4" a="1"/>
  <c r="FR13" i="4" a="1"/>
  <c r="GL9" i="4" a="1"/>
  <c r="GX15" i="4" a="1"/>
  <c r="HH16" i="4" a="1"/>
  <c r="GQ14" i="4" a="1"/>
  <c r="FW14" i="4" a="1"/>
  <c r="FO16" i="4" a="1"/>
  <c r="GG9" i="4" a="1"/>
  <c r="BD48" i="3"/>
  <c r="BD79" i="3"/>
  <c r="GU5" i="4" a="1"/>
  <c r="GA15" i="4" a="1"/>
  <c r="BD80" i="3"/>
  <c r="BJ92" i="3"/>
  <c r="GM5" i="4" a="1"/>
  <c r="GR8" i="4" a="1"/>
  <c r="GB7" i="4" a="1"/>
  <c r="FW9" i="4" a="1"/>
  <c r="GW8" i="4" a="1"/>
  <c r="GN7" i="4" a="1"/>
  <c r="GK11" i="4" a="1"/>
  <c r="GT7" i="4" a="1"/>
  <c r="FZ13" i="4" a="1"/>
  <c r="FQ11" i="4" a="1"/>
  <c r="HF15" i="4" a="1"/>
  <c r="HE7" i="4" a="1"/>
  <c r="FM15" i="4" a="1"/>
  <c r="GM14" i="4" a="1"/>
  <c r="FS16" i="4" a="1"/>
  <c r="GC11" i="4" a="1"/>
  <c r="BD60" i="3"/>
  <c r="BD77" i="3"/>
  <c r="HH6" i="4" a="1"/>
  <c r="FM9" i="4" a="1"/>
  <c r="FP8" i="4" a="1"/>
  <c r="HA5" i="4" a="1"/>
  <c r="FJ8" i="4" a="1"/>
  <c r="GS11" i="4" a="1"/>
  <c r="GH13" i="4" a="1"/>
  <c r="FV12" i="4" a="1"/>
  <c r="FS12" i="4" a="1"/>
  <c r="FS14" i="4" a="1"/>
  <c r="GD13" i="4" a="1"/>
  <c r="GG14" i="4" a="1"/>
  <c r="FU11" i="4" a="1"/>
  <c r="GS15" i="4" a="1"/>
  <c r="BJ57" i="3"/>
  <c r="FP9" i="4" a="1"/>
  <c r="Y111" i="2"/>
  <c r="BJ83" i="3"/>
  <c r="HH9" i="4" a="1"/>
  <c r="GB11" i="4" a="1"/>
  <c r="GZ9" i="4" a="1"/>
  <c r="GW7" i="4" a="1"/>
  <c r="GL7" i="4" a="1"/>
  <c r="HA8" i="4" a="1"/>
  <c r="HA11" i="4" a="1"/>
  <c r="GF9" i="4" a="1"/>
  <c r="GP13" i="4" a="1"/>
  <c r="GF13" i="4" a="1"/>
  <c r="FJ16" i="4" a="1"/>
  <c r="FV15" i="4" a="1"/>
  <c r="FM11" i="4" a="1"/>
  <c r="FN15" i="4" a="1"/>
  <c r="GG16" i="4" a="1"/>
  <c r="BD87" i="3"/>
  <c r="HC11" i="4" a="1"/>
  <c r="GH16" i="4" a="1"/>
  <c r="GQ16" i="4" a="1"/>
  <c r="BD91" i="3"/>
  <c r="BO56" i="3"/>
  <c r="FW6" i="4" a="1"/>
  <c r="GI13" i="4" a="1"/>
  <c r="GB12" i="4" a="1"/>
  <c r="GU6" i="4" a="1"/>
  <c r="HD9" i="4" a="1"/>
  <c r="FK8" i="4" a="1"/>
  <c r="GE12" i="4" a="1"/>
  <c r="GI11" i="4" a="1"/>
  <c r="HF13" i="4" a="1"/>
  <c r="FJ14" i="4" a="1"/>
  <c r="FN16" i="4" a="1"/>
  <c r="FV8" i="4" a="1"/>
  <c r="GD12" i="4" a="1"/>
  <c r="GG15" i="4" a="1"/>
  <c r="GI16" i="4" a="1"/>
  <c r="BD59" i="3"/>
  <c r="BD81" i="3"/>
  <c r="GD16" i="4" a="1"/>
  <c r="GM16" i="4" a="1"/>
  <c r="FI7" i="4" a="1"/>
  <c r="FT11" i="4" a="1"/>
  <c r="FU12" i="4" a="1"/>
  <c r="FL15" i="4" a="1"/>
  <c r="BS58" i="3"/>
  <c r="GX11" i="4" a="1"/>
  <c r="FW15" i="4" a="1"/>
  <c r="FU14" i="4" a="1"/>
  <c r="GM11" i="4" a="1"/>
  <c r="GF11" i="4" a="1"/>
  <c r="GC9" i="4" a="1"/>
  <c r="GM12" i="4" a="1"/>
  <c r="GT11" i="4" a="1"/>
  <c r="FQ14" i="4" a="1"/>
  <c r="FO14" i="4" a="1"/>
  <c r="FX16" i="4" a="1"/>
  <c r="FV9" i="4" a="1"/>
  <c r="GI14" i="4" a="1"/>
  <c r="GM15" i="4" a="1"/>
  <c r="GK16" i="4" a="1"/>
  <c r="BD56" i="3"/>
  <c r="HA14" i="4" a="1"/>
  <c r="GO7" i="4" a="1"/>
  <c r="GS14" i="4" a="1"/>
  <c r="FI12" i="4" a="1"/>
  <c r="GY7" i="4" a="1"/>
  <c r="GV9" i="4" a="1"/>
  <c r="GP12" i="4" a="1"/>
  <c r="FH12" i="4" a="1"/>
  <c r="GB14" i="4" a="1"/>
  <c r="GE14" i="4" a="1"/>
  <c r="GQ9" i="4" a="1"/>
  <c r="GD8" i="4" a="1"/>
  <c r="GQ15" i="4" a="1"/>
  <c r="BD65" i="3"/>
  <c r="HA9" i="4" a="1"/>
  <c r="GS9" i="4" a="1"/>
  <c r="GX12" i="4" a="1"/>
  <c r="FI11" i="4" a="1"/>
  <c r="BE91" i="3"/>
  <c r="BE69" i="3"/>
  <c r="GA5" i="4" a="1"/>
  <c r="GU7" i="4" a="1"/>
  <c r="GV6" i="4" a="1"/>
  <c r="GE5" i="4" a="1"/>
  <c r="GE6" i="4" a="1"/>
  <c r="GL13" i="4" a="1"/>
  <c r="FQ13" i="4" a="1"/>
  <c r="GC12" i="4" a="1"/>
  <c r="GO14" i="4" a="1"/>
  <c r="GF15" i="4" a="1"/>
  <c r="GJ16" i="4" a="1"/>
  <c r="GT12" i="4" a="1"/>
  <c r="GW11" i="4" a="1"/>
  <c r="GW15" i="4" a="1"/>
  <c r="GY16" i="4" a="1"/>
  <c r="BD57" i="3"/>
  <c r="FY7" i="4" a="1"/>
  <c r="FK14" i="4" a="1"/>
  <c r="BM85" i="3"/>
  <c r="FS6" i="4" a="1"/>
  <c r="FK6" i="4" a="1"/>
  <c r="GP7" i="4" a="1"/>
  <c r="GJ5" i="4" a="1"/>
  <c r="FK5" i="4" a="1"/>
  <c r="GK14" i="4" a="1"/>
  <c r="GB13" i="4" a="1"/>
  <c r="GF12" i="4" a="1"/>
  <c r="HE14" i="4" a="1"/>
  <c r="GJ15" i="4" a="1"/>
  <c r="GN16" i="4" a="1"/>
  <c r="GS13" i="4" a="1"/>
  <c r="GA12" i="4" a="1"/>
  <c r="HE15" i="4" a="1"/>
  <c r="HE16" i="4" a="1"/>
  <c r="BD63" i="3"/>
  <c r="GJ13" i="4" a="1"/>
  <c r="GS12" i="4" a="1"/>
  <c r="GL15" i="4" a="1"/>
  <c r="GX16" i="4" a="1"/>
  <c r="HG12" i="4" a="1"/>
  <c r="FI16" i="4" a="1"/>
  <c r="HG16" i="4" a="1"/>
  <c r="BD96" i="3"/>
  <c r="BM63" i="3"/>
  <c r="GC5" i="4" a="1"/>
  <c r="HA7" i="4" a="1"/>
  <c r="HB6" i="4" a="1"/>
  <c r="HE5" i="4" a="1"/>
  <c r="FM6" i="4" a="1"/>
  <c r="FW5" i="4" a="1"/>
  <c r="FG15" i="4" a="1"/>
  <c r="BG66" i="3"/>
  <c r="BN92" i="3" l="1"/>
  <c r="BN57" i="3"/>
  <c r="BN93" i="3"/>
  <c r="BN71" i="3"/>
  <c r="BN83" i="3"/>
  <c r="BA80" i="3"/>
  <c r="BA57" i="3"/>
  <c r="BN65" i="3"/>
  <c r="BN86" i="3"/>
  <c r="BN75" i="3"/>
  <c r="BN96" i="3"/>
  <c r="BN85" i="3"/>
  <c r="BN77" i="3"/>
  <c r="BN61" i="3"/>
  <c r="BN56" i="3"/>
  <c r="BN91" i="3"/>
  <c r="BN79" i="3"/>
  <c r="BN55" i="3"/>
  <c r="BN66" i="3"/>
  <c r="BN97" i="3"/>
  <c r="BN49" i="3"/>
  <c r="BN89" i="3"/>
  <c r="BN90" i="3"/>
  <c r="BN68" i="3"/>
  <c r="BN84" i="3"/>
  <c r="BN95" i="3"/>
  <c r="BN58" i="3"/>
  <c r="BN80" i="3"/>
  <c r="BN62" i="3"/>
  <c r="BN69" i="3"/>
  <c r="BN88" i="3"/>
  <c r="BN76" i="3"/>
  <c r="BN59" i="3"/>
  <c r="BN81" i="3"/>
  <c r="BN54" i="3"/>
  <c r="BN64" i="3"/>
  <c r="BN48" i="3"/>
  <c r="BN60" i="3"/>
  <c r="BN74" i="3"/>
  <c r="BN94" i="3"/>
  <c r="BN47" i="3"/>
  <c r="BN70" i="3"/>
  <c r="BN82" i="3"/>
  <c r="BN63" i="3"/>
  <c r="BN78" i="3"/>
  <c r="BN67" i="3"/>
  <c r="BN50" i="3"/>
  <c r="BN73" i="3"/>
  <c r="BN87" i="3"/>
  <c r="BG76" i="3"/>
  <c r="BB81" i="3"/>
  <c r="BL91" i="3"/>
  <c r="BR92" i="3"/>
  <c r="BO76" i="3"/>
  <c r="BR66" i="3"/>
  <c r="BV82" i="3"/>
  <c r="BO86" i="3"/>
  <c r="BG71" i="3"/>
  <c r="BB84" i="3"/>
  <c r="BB48" i="3"/>
  <c r="BG57" i="3"/>
  <c r="BL75" i="3"/>
  <c r="BR93" i="3"/>
  <c r="BO80" i="3"/>
  <c r="BO70" i="3"/>
  <c r="BS95" i="3"/>
  <c r="BS82" i="3"/>
  <c r="BV86" i="3"/>
  <c r="BV66" i="3"/>
  <c r="BS79" i="3"/>
  <c r="BL85" i="3"/>
  <c r="BL96" i="3"/>
  <c r="BR50" i="3"/>
  <c r="BO74" i="3"/>
  <c r="BS83" i="3"/>
  <c r="BV90" i="3"/>
  <c r="BG70" i="3"/>
  <c r="BB56" i="3"/>
  <c r="BL56" i="3"/>
  <c r="BR77" i="3"/>
  <c r="BV94" i="3"/>
  <c r="BR56" i="3"/>
  <c r="BB69" i="3"/>
  <c r="BL64" i="3"/>
  <c r="BO79" i="3"/>
  <c r="BS61" i="3"/>
  <c r="BV84" i="3"/>
  <c r="BO93" i="3"/>
  <c r="BS49" i="3"/>
  <c r="BG84" i="3"/>
  <c r="BG78" i="3"/>
  <c r="BG85" i="3"/>
  <c r="BB92" i="3"/>
  <c r="BG93" i="3"/>
  <c r="BB75" i="3"/>
  <c r="BL66" i="3"/>
  <c r="BS56" i="3"/>
  <c r="BR81" i="3"/>
  <c r="BR90" i="3"/>
  <c r="BV55" i="3"/>
  <c r="BL60" i="3"/>
  <c r="BV56" i="3"/>
  <c r="BV93" i="3"/>
  <c r="BR87" i="3"/>
  <c r="BV68" i="3"/>
  <c r="Y112" i="2"/>
  <c r="BL97" i="3"/>
  <c r="BL47" i="3"/>
  <c r="BV47" i="3"/>
  <c r="BR67" i="3"/>
  <c r="BL74" i="3"/>
  <c r="BL87" i="3"/>
  <c r="BR63" i="3"/>
  <c r="BV81" i="3"/>
  <c r="BR69" i="3"/>
  <c r="BR61" i="3"/>
  <c r="BL92" i="3"/>
  <c r="BS88" i="3"/>
  <c r="BR60" i="3"/>
  <c r="BN72" i="3"/>
  <c r="BP50" i="3"/>
  <c r="BP92" i="3"/>
  <c r="BV76" i="3"/>
  <c r="BP95" i="3"/>
  <c r="BP77" i="3"/>
  <c r="BP76" i="3"/>
  <c r="BP97" i="3"/>
  <c r="BP58" i="3"/>
  <c r="BP82" i="3"/>
  <c r="BP87" i="3"/>
  <c r="BP78" i="3"/>
  <c r="BP47" i="3"/>
  <c r="BP49" i="3"/>
  <c r="BP85" i="3"/>
  <c r="BP48" i="3"/>
  <c r="BP84" i="3"/>
  <c r="BP80" i="3"/>
  <c r="BP89" i="3"/>
  <c r="BP59" i="3"/>
  <c r="BP83" i="3"/>
  <c r="BP56" i="3"/>
  <c r="BP54" i="3"/>
  <c r="BP73" i="3"/>
  <c r="BP88" i="3"/>
  <c r="BP70" i="3"/>
  <c r="BP64" i="3"/>
  <c r="BP81" i="3"/>
  <c r="BP66" i="3"/>
  <c r="BP91" i="3"/>
  <c r="BP75" i="3"/>
  <c r="BP55" i="3"/>
  <c r="BP67" i="3"/>
  <c r="BP94" i="3"/>
  <c r="BP93" i="3"/>
  <c r="BP61" i="3"/>
  <c r="BP68" i="3"/>
  <c r="BP63" i="3"/>
  <c r="BP69" i="3"/>
  <c r="BP90" i="3"/>
  <c r="BP86" i="3"/>
  <c r="BP74" i="3"/>
  <c r="BP96" i="3"/>
  <c r="BP79" i="3"/>
  <c r="BP71" i="3"/>
  <c r="BP72" i="3"/>
  <c r="BP62" i="3"/>
  <c r="BP65" i="3"/>
  <c r="CL80" i="1"/>
  <c r="CX22" i="1"/>
  <c r="AD22" i="1" s="1"/>
  <c r="CW15" i="1"/>
  <c r="DA21" i="1"/>
  <c r="CZ14" i="1"/>
  <c r="BK81" i="3"/>
  <c r="BK90" i="3"/>
  <c r="BK73" i="3"/>
  <c r="BK70" i="3"/>
  <c r="BK61" i="3"/>
  <c r="BK79" i="3"/>
  <c r="BK62" i="3"/>
  <c r="BK56" i="3"/>
  <c r="BK47" i="3"/>
  <c r="BK78" i="3"/>
  <c r="BK65" i="3"/>
  <c r="BK59" i="3"/>
  <c r="BK58" i="3"/>
  <c r="BK64" i="3"/>
  <c r="BK77" i="3"/>
  <c r="BK60" i="3"/>
  <c r="BK54" i="3"/>
  <c r="BK71" i="3"/>
  <c r="BK88" i="3"/>
  <c r="BK66" i="3"/>
  <c r="BK91" i="3"/>
  <c r="BK63" i="3"/>
  <c r="BK48" i="3"/>
  <c r="BK96" i="3"/>
  <c r="BK50" i="3"/>
  <c r="BK76" i="3"/>
  <c r="BK83" i="3"/>
  <c r="BK89" i="3"/>
  <c r="BK92" i="3"/>
  <c r="BK97" i="3"/>
  <c r="BK94" i="3"/>
  <c r="BK69" i="3"/>
  <c r="BK80" i="3"/>
  <c r="BK95" i="3"/>
  <c r="BK93" i="3"/>
  <c r="BK74" i="3"/>
  <c r="BK72" i="3"/>
  <c r="BK55" i="3"/>
  <c r="BK67" i="3"/>
  <c r="BK87" i="3"/>
  <c r="BK49" i="3"/>
  <c r="BK68" i="3"/>
  <c r="BK75" i="3"/>
  <c r="BK86" i="3"/>
  <c r="BK82" i="3"/>
  <c r="BK57" i="3"/>
  <c r="Z111" i="2"/>
  <c r="Z112" i="2"/>
  <c r="Y127" i="1" s="1"/>
  <c r="Z113" i="2"/>
  <c r="Y128" i="1" s="1"/>
  <c r="BC54" i="3"/>
  <c r="BC71" i="3"/>
  <c r="BC50" i="3"/>
  <c r="CI128" i="1" s="1"/>
  <c r="BC69" i="3"/>
  <c r="BC84" i="3"/>
  <c r="BC48" i="3"/>
  <c r="BC82" i="3"/>
  <c r="BC47" i="3"/>
  <c r="BC55" i="3"/>
  <c r="BC80" i="3"/>
  <c r="BC89" i="3"/>
  <c r="BC73" i="3"/>
  <c r="BC94" i="3"/>
  <c r="BC58" i="3"/>
  <c r="BC66" i="3"/>
  <c r="BC75" i="3"/>
  <c r="BC56" i="3"/>
  <c r="BC62" i="3"/>
  <c r="BC97" i="3"/>
  <c r="BC64" i="3"/>
  <c r="BC93" i="3"/>
  <c r="BC60" i="3"/>
  <c r="BC67" i="3"/>
  <c r="BC79" i="3"/>
  <c r="BC72" i="3"/>
  <c r="BC90" i="3"/>
  <c r="BC78" i="3"/>
  <c r="BC63" i="3"/>
  <c r="BC87" i="3"/>
  <c r="BC85" i="3"/>
  <c r="BC86" i="3"/>
  <c r="BC96" i="3"/>
  <c r="BC74" i="3"/>
  <c r="BC49" i="3"/>
  <c r="CI127" i="1" s="1"/>
  <c r="BC83" i="3"/>
  <c r="BC92" i="3"/>
  <c r="BC81" i="3"/>
  <c r="BC59" i="3"/>
  <c r="BC57" i="3"/>
  <c r="BC88" i="3"/>
  <c r="BC76" i="3"/>
  <c r="BC70" i="3"/>
  <c r="BC68" i="3"/>
  <c r="BC91" i="3"/>
  <c r="BC61" i="3"/>
  <c r="BC95" i="3"/>
  <c r="BC77" i="3"/>
  <c r="BT67" i="3"/>
  <c r="BT78" i="3"/>
  <c r="BT89" i="3"/>
  <c r="BT77" i="3"/>
  <c r="BT64" i="3"/>
  <c r="BT85" i="3"/>
  <c r="BT74" i="3"/>
  <c r="BT73" i="3"/>
  <c r="BT76" i="3"/>
  <c r="BT81" i="3"/>
  <c r="BT95" i="3"/>
  <c r="BT69" i="3"/>
  <c r="BT70" i="3"/>
  <c r="BT79" i="3"/>
  <c r="BT82" i="3"/>
  <c r="BT65" i="3"/>
  <c r="BT86" i="3"/>
  <c r="BT62" i="3"/>
  <c r="BT50" i="3"/>
  <c r="BT96" i="3"/>
  <c r="BT83" i="3"/>
  <c r="BT61" i="3"/>
  <c r="BT71" i="3"/>
  <c r="BT48" i="3"/>
  <c r="BT94" i="3"/>
  <c r="BT93" i="3"/>
  <c r="BT59" i="3"/>
  <c r="BT47" i="3"/>
  <c r="BT97" i="3"/>
  <c r="BT84" i="3"/>
  <c r="BT72" i="3"/>
  <c r="BT66" i="3"/>
  <c r="BT90" i="3"/>
  <c r="BT88" i="3"/>
  <c r="BT92" i="3"/>
  <c r="BT68" i="3"/>
  <c r="BT57" i="3"/>
  <c r="BT87" i="3"/>
  <c r="BT75" i="3"/>
  <c r="BT63" i="3"/>
  <c r="BT54" i="3"/>
  <c r="BT80" i="3"/>
  <c r="BT58" i="3"/>
  <c r="BT56" i="3"/>
  <c r="BT60" i="3"/>
  <c r="BT55" i="3"/>
  <c r="BT91" i="3"/>
  <c r="BF87" i="3"/>
  <c r="CL214" i="1" s="1"/>
  <c r="BF57" i="3"/>
  <c r="CL172" i="1" s="1"/>
  <c r="BF83" i="3"/>
  <c r="CL219" i="1" s="1"/>
  <c r="BF88" i="3"/>
  <c r="CL181" i="1" s="1"/>
  <c r="BF63" i="3"/>
  <c r="CL179" i="1" s="1"/>
  <c r="CM179" i="1" s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CX179" i="1" s="1"/>
  <c r="CY179" i="1" s="1"/>
  <c r="CZ179" i="1" s="1"/>
  <c r="DA179" i="1" s="1"/>
  <c r="DB179" i="1" s="1"/>
  <c r="BF62" i="3"/>
  <c r="CL178" i="1" s="1"/>
  <c r="BF49" i="3"/>
  <c r="CL127" i="1" s="1"/>
  <c r="BF64" i="3"/>
  <c r="CL212" i="1" s="1"/>
  <c r="BF94" i="3"/>
  <c r="BF55" i="3"/>
  <c r="BF91" i="3"/>
  <c r="CL209" i="1" s="1"/>
  <c r="BF47" i="3"/>
  <c r="BF85" i="3"/>
  <c r="CL205" i="1" s="1"/>
  <c r="BF90" i="3"/>
  <c r="CL180" i="1" s="1"/>
  <c r="BF76" i="3"/>
  <c r="BF92" i="3"/>
  <c r="CL211" i="1" s="1"/>
  <c r="BF68" i="3"/>
  <c r="CL188" i="1" s="1"/>
  <c r="BF78" i="3"/>
  <c r="CL206" i="1" s="1"/>
  <c r="BF97" i="3"/>
  <c r="BF72" i="3"/>
  <c r="CL189" i="1" s="1"/>
  <c r="BF96" i="3"/>
  <c r="CL222" i="1" s="1"/>
  <c r="BF70" i="3"/>
  <c r="CL187" i="1" s="1"/>
  <c r="BF79" i="3"/>
  <c r="CL203" i="1" s="1"/>
  <c r="BF75" i="3"/>
  <c r="BF74" i="3"/>
  <c r="CL191" i="1" s="1"/>
  <c r="BF81" i="3"/>
  <c r="CL196" i="1" s="1"/>
  <c r="CL238" i="1" s="1"/>
  <c r="CM238" i="1" s="1"/>
  <c r="CN238" i="1" s="1"/>
  <c r="CO238" i="1" s="1"/>
  <c r="CP238" i="1" s="1"/>
  <c r="CQ238" i="1" s="1"/>
  <c r="CR238" i="1" s="1"/>
  <c r="CS238" i="1" s="1"/>
  <c r="CT238" i="1" s="1"/>
  <c r="BF58" i="3"/>
  <c r="CL173" i="1" s="1"/>
  <c r="BF59" i="3"/>
  <c r="BF69" i="3"/>
  <c r="BF56" i="3"/>
  <c r="CL171" i="1" s="1"/>
  <c r="BF54" i="3"/>
  <c r="BF48" i="3"/>
  <c r="BF93" i="3"/>
  <c r="BF73" i="3"/>
  <c r="BF60" i="3"/>
  <c r="CL176" i="1" s="1"/>
  <c r="BF61" i="3"/>
  <c r="BF77" i="3"/>
  <c r="CL194" i="1" s="1"/>
  <c r="BF82" i="3"/>
  <c r="CL197" i="1" s="1"/>
  <c r="CL239" i="1" s="1"/>
  <c r="BF65" i="3"/>
  <c r="CL213" i="1" s="1"/>
  <c r="BF95" i="3"/>
  <c r="CL223" i="1" s="1"/>
  <c r="BF86" i="3"/>
  <c r="BF84" i="3"/>
  <c r="CL200" i="1" s="1"/>
  <c r="BF80" i="3"/>
  <c r="CL218" i="1" s="1"/>
  <c r="BF71" i="3"/>
  <c r="BF50" i="3"/>
  <c r="CL128" i="1" s="1"/>
  <c r="BF67" i="3"/>
  <c r="BF66" i="3"/>
  <c r="CL210" i="1" s="1"/>
  <c r="BF89" i="3"/>
  <c r="CL208" i="1" s="1"/>
  <c r="BA68" i="3"/>
  <c r="BA74" i="3"/>
  <c r="BA95" i="3"/>
  <c r="BA87" i="3"/>
  <c r="BA93" i="3"/>
  <c r="BA49" i="3"/>
  <c r="CG127" i="1" s="1"/>
  <c r="BA72" i="3"/>
  <c r="BA55" i="3"/>
  <c r="BA50" i="3"/>
  <c r="CG128" i="1" s="1"/>
  <c r="BA48" i="3"/>
  <c r="BA54" i="3"/>
  <c r="BA91" i="3"/>
  <c r="BA83" i="3"/>
  <c r="BA64" i="3"/>
  <c r="BA76" i="3"/>
  <c r="BA94" i="3"/>
  <c r="BA61" i="3"/>
  <c r="BA97" i="3"/>
  <c r="BA92" i="3"/>
  <c r="BA59" i="3"/>
  <c r="BA47" i="3"/>
  <c r="BA96" i="3"/>
  <c r="BA71" i="3"/>
  <c r="BA66" i="3"/>
  <c r="BA79" i="3"/>
  <c r="BA86" i="3"/>
  <c r="BA88" i="3"/>
  <c r="BA78" i="3"/>
  <c r="BA75" i="3"/>
  <c r="BA65" i="3"/>
  <c r="BA62" i="3"/>
  <c r="BA63" i="3"/>
  <c r="BA70" i="3"/>
  <c r="BA67" i="3"/>
  <c r="BA85" i="3"/>
  <c r="BA73" i="3"/>
  <c r="BA82" i="3"/>
  <c r="BA77" i="3"/>
  <c r="BA84" i="3"/>
  <c r="BA69" i="3"/>
  <c r="BA81" i="3"/>
  <c r="BA60" i="3"/>
  <c r="BA56" i="3"/>
  <c r="BA89" i="3"/>
  <c r="BA58" i="3"/>
  <c r="BA90" i="3"/>
  <c r="BH55" i="3"/>
  <c r="BH77" i="3"/>
  <c r="BH74" i="3"/>
  <c r="BH58" i="3"/>
  <c r="BH66" i="3"/>
  <c r="BH56" i="3"/>
  <c r="BH65" i="3"/>
  <c r="BH85" i="3"/>
  <c r="BH82" i="3"/>
  <c r="BH48" i="3"/>
  <c r="BH97" i="3"/>
  <c r="BH67" i="3"/>
  <c r="BH69" i="3"/>
  <c r="BH93" i="3"/>
  <c r="BH75" i="3"/>
  <c r="BH91" i="3"/>
  <c r="BH80" i="3"/>
  <c r="BH89" i="3"/>
  <c r="BH50" i="3"/>
  <c r="BH76" i="3"/>
  <c r="BH71" i="3"/>
  <c r="BH84" i="3"/>
  <c r="BH68" i="3"/>
  <c r="BH95" i="3"/>
  <c r="BH64" i="3"/>
  <c r="BH73" i="3"/>
  <c r="BH96" i="3"/>
  <c r="BH62" i="3"/>
  <c r="BH78" i="3"/>
  <c r="BH87" i="3"/>
  <c r="BH88" i="3"/>
  <c r="BH61" i="3"/>
  <c r="BH70" i="3"/>
  <c r="BH90" i="3"/>
  <c r="BH79" i="3"/>
  <c r="BH47" i="3"/>
  <c r="BH54" i="3"/>
  <c r="BH72" i="3"/>
  <c r="BH83" i="3"/>
  <c r="BH94" i="3"/>
  <c r="BH86" i="3"/>
  <c r="BH59" i="3"/>
  <c r="BH57" i="3"/>
  <c r="BH81" i="3"/>
  <c r="BH49" i="3"/>
  <c r="BH92" i="3"/>
  <c r="BH60" i="3"/>
  <c r="BH63" i="3"/>
  <c r="AA112" i="2"/>
  <c r="Z127" i="1" s="1"/>
  <c r="AA111" i="2"/>
  <c r="AA113" i="2"/>
  <c r="Z128" i="1" s="1"/>
  <c r="BL62" i="3"/>
  <c r="BL55" i="3"/>
  <c r="CL290" i="1"/>
  <c r="CL57" i="1"/>
  <c r="CL64" i="1" s="1"/>
  <c r="CL253" i="1"/>
  <c r="CL312" i="1"/>
  <c r="BJ86" i="3"/>
  <c r="BJ88" i="3"/>
  <c r="BJ55" i="3"/>
  <c r="BJ71" i="3"/>
  <c r="BJ49" i="3"/>
  <c r="BJ78" i="3"/>
  <c r="BJ62" i="3"/>
  <c r="BJ73" i="3"/>
  <c r="BJ84" i="3"/>
  <c r="BJ95" i="3"/>
  <c r="BJ94" i="3"/>
  <c r="BJ79" i="3"/>
  <c r="BJ60" i="3"/>
  <c r="BJ50" i="3"/>
  <c r="BJ90" i="3"/>
  <c r="BJ72" i="3"/>
  <c r="BJ61" i="3"/>
  <c r="BJ80" i="3"/>
  <c r="BJ63" i="3"/>
  <c r="BJ96" i="3"/>
  <c r="BJ69" i="3"/>
  <c r="BJ89" i="3"/>
  <c r="BJ75" i="3"/>
  <c r="BJ93" i="3"/>
  <c r="BJ77" i="3"/>
  <c r="BJ76" i="3"/>
  <c r="BJ56" i="3"/>
  <c r="BJ68" i="3"/>
  <c r="BJ91" i="3"/>
  <c r="BJ65" i="3"/>
  <c r="BJ59" i="3"/>
  <c r="BJ70" i="3"/>
  <c r="BJ54" i="3"/>
  <c r="BJ67" i="3"/>
  <c r="CL311" i="1"/>
  <c r="CL119" i="1"/>
  <c r="CJ222" i="1"/>
  <c r="JQ16" i="4" s="1"/>
  <c r="CJ179" i="1"/>
  <c r="CK179" i="1" s="1"/>
  <c r="KG16" i="4" s="1"/>
  <c r="CJ172" i="1"/>
  <c r="CK172" i="1" s="1"/>
  <c r="KE16" i="4" s="1"/>
  <c r="JZ16" i="4" s="1"/>
  <c r="KC9" i="4" s="1"/>
  <c r="CJ213" i="1"/>
  <c r="KD9" i="4" s="1"/>
  <c r="CJ171" i="1"/>
  <c r="JV16" i="4" s="1"/>
  <c r="KA16" i="4" s="1"/>
  <c r="JX16" i="4" s="1"/>
  <c r="CJ196" i="1"/>
  <c r="CJ209" i="1"/>
  <c r="CJ214" i="1"/>
  <c r="JY16" i="4" s="1"/>
  <c r="KH9" i="4" s="1"/>
  <c r="CJ194" i="1"/>
  <c r="CJ176" i="1"/>
  <c r="CK176" i="1" s="1"/>
  <c r="KB7" i="4" s="1"/>
  <c r="CJ218" i="1"/>
  <c r="CJ203" i="1"/>
  <c r="JY9" i="4" s="1"/>
  <c r="JS16" i="4" s="1"/>
  <c r="KH16" i="4" s="1"/>
  <c r="CJ188" i="1"/>
  <c r="CJ191" i="1"/>
  <c r="CK191" i="1" s="1"/>
  <c r="JW16" i="4" s="1"/>
  <c r="X128" i="1"/>
  <c r="JW9" i="4" s="1"/>
  <c r="JX9" i="4" s="1"/>
  <c r="CJ180" i="1"/>
  <c r="CK180" i="1" s="1"/>
  <c r="CJ189" i="1"/>
  <c r="CK189" i="1" s="1"/>
  <c r="KF16" i="4" s="1"/>
  <c r="JZ9" i="4" s="1"/>
  <c r="CJ223" i="1"/>
  <c r="CK223" i="1" s="1"/>
  <c r="CJ173" i="1"/>
  <c r="CJ200" i="1"/>
  <c r="KA9" i="4" s="1"/>
  <c r="JU9" i="4" s="1"/>
  <c r="JQ9" i="4" s="1"/>
  <c r="JR9" i="4" s="1"/>
  <c r="JT9" i="4" s="1"/>
  <c r="KH7" i="4" s="1"/>
  <c r="KD16" i="4" s="1"/>
  <c r="JV9" i="4" s="1"/>
  <c r="CJ212" i="1"/>
  <c r="JT16" i="4" s="1"/>
  <c r="KG9" i="4" s="1"/>
  <c r="CJ205" i="1"/>
  <c r="KC16" i="4" s="1"/>
  <c r="JU16" i="4" s="1"/>
  <c r="KB16" i="4" s="1"/>
  <c r="JS9" i="4" s="1"/>
  <c r="CJ128" i="1"/>
  <c r="CJ210" i="1"/>
  <c r="KE9" i="4" s="1"/>
  <c r="JR16" i="4" s="1"/>
  <c r="CJ219" i="1"/>
  <c r="CK128" i="1"/>
  <c r="CJ206" i="1"/>
  <c r="CH127" i="1"/>
  <c r="CJ211" i="1"/>
  <c r="CJ178" i="1"/>
  <c r="CJ127" i="1"/>
  <c r="CJ187" i="1"/>
  <c r="CK187" i="1" s="1"/>
  <c r="CK127" i="1"/>
  <c r="CJ181" i="1"/>
  <c r="CK181" i="1" s="1"/>
  <c r="CJ197" i="1"/>
  <c r="CH128" i="1"/>
  <c r="KF15" i="4" s="1"/>
  <c r="JQ8" i="4" s="1"/>
  <c r="KF9" i="4" s="1"/>
  <c r="CJ208" i="1"/>
  <c r="CJ215" i="1" s="1"/>
  <c r="X101" i="1"/>
  <c r="CH86" i="1"/>
  <c r="CI55" i="1"/>
  <c r="X191" i="1"/>
  <c r="Y55" i="1"/>
  <c r="X173" i="1"/>
  <c r="Y89" i="1"/>
  <c r="Y172" i="1"/>
  <c r="Y211" i="1"/>
  <c r="Y210" i="1"/>
  <c r="X171" i="1"/>
  <c r="X176" i="1"/>
  <c r="CJ93" i="1"/>
  <c r="CG100" i="1"/>
  <c r="CG69" i="1"/>
  <c r="CJ77" i="1"/>
  <c r="Z222" i="1"/>
  <c r="CG77" i="1"/>
  <c r="Z230" i="1"/>
  <c r="CJ75" i="1"/>
  <c r="CH55" i="1"/>
  <c r="X231" i="1"/>
  <c r="Z100" i="1"/>
  <c r="CJ118" i="1"/>
  <c r="CI118" i="1" s="1"/>
  <c r="CH118" i="1" s="1"/>
  <c r="CG118" i="1" s="1"/>
  <c r="CF118" i="1" s="1"/>
  <c r="CE118" i="1" s="1"/>
  <c r="CD118" i="1" s="1"/>
  <c r="CC118" i="1" s="1"/>
  <c r="CB118" i="1" s="1"/>
  <c r="CA118" i="1" s="1"/>
  <c r="BZ118" i="1" s="1"/>
  <c r="BY118" i="1" s="1"/>
  <c r="BX118" i="1" s="1"/>
  <c r="BW118" i="1" s="1"/>
  <c r="BV118" i="1" s="1"/>
  <c r="BU118" i="1" s="1"/>
  <c r="BT118" i="1" s="1"/>
  <c r="BS118" i="1" s="1"/>
  <c r="BR118" i="1" s="1"/>
  <c r="BQ118" i="1" s="1"/>
  <c r="BP118" i="1" s="1"/>
  <c r="BO118" i="1" s="1"/>
  <c r="BN118" i="1" s="1"/>
  <c r="BM118" i="1" s="1"/>
  <c r="BL118" i="1" s="1"/>
  <c r="BK118" i="1" s="1"/>
  <c r="BJ118" i="1" s="1"/>
  <c r="BI118" i="1" s="1"/>
  <c r="BH118" i="1" s="1"/>
  <c r="BG118" i="1" s="1"/>
  <c r="BF118" i="1" s="1"/>
  <c r="BE118" i="1" s="1"/>
  <c r="BD118" i="1" s="1"/>
  <c r="BC118" i="1" s="1"/>
  <c r="BB118" i="1" s="1"/>
  <c r="BA118" i="1" s="1"/>
  <c r="AZ118" i="1" s="1"/>
  <c r="AY118" i="1" s="1"/>
  <c r="AX118" i="1" s="1"/>
  <c r="AW118" i="1" s="1"/>
  <c r="AV118" i="1" s="1"/>
  <c r="AU118" i="1" s="1"/>
  <c r="AT118" i="1" s="1"/>
  <c r="AS118" i="1" s="1"/>
  <c r="AR118" i="1" s="1"/>
  <c r="AQ118" i="1" s="1"/>
  <c r="AP118" i="1" s="1"/>
  <c r="AO118" i="1" s="1"/>
  <c r="AN118" i="1" s="1"/>
  <c r="AM118" i="1" s="1"/>
  <c r="AL118" i="1" s="1"/>
  <c r="AK118" i="1" s="1"/>
  <c r="AJ118" i="1" s="1"/>
  <c r="AI118" i="1" s="1"/>
  <c r="Y171" i="1"/>
  <c r="X56" i="1"/>
  <c r="JN16" i="4" s="1"/>
  <c r="Z176" i="1"/>
  <c r="CH176" i="1" s="1"/>
  <c r="CI176" i="1" s="1"/>
  <c r="CH89" i="1"/>
  <c r="CJ73" i="1"/>
  <c r="CJ90" i="1"/>
  <c r="X105" i="1"/>
  <c r="CH100" i="1"/>
  <c r="Y173" i="1"/>
  <c r="CG90" i="1"/>
  <c r="CI99" i="1"/>
  <c r="CH69" i="1"/>
  <c r="CJ99" i="1"/>
  <c r="CI100" i="1"/>
  <c r="Y181" i="1"/>
  <c r="Y105" i="1"/>
  <c r="Y63" i="1"/>
  <c r="Z213" i="1"/>
  <c r="CH213" i="1" s="1"/>
  <c r="CG75" i="1"/>
  <c r="JN9" i="4" s="1"/>
  <c r="Z211" i="1"/>
  <c r="CH211" i="1" s="1"/>
  <c r="Y194" i="1"/>
  <c r="X132" i="1"/>
  <c r="Z173" i="1"/>
  <c r="CH173" i="1" s="1"/>
  <c r="X189" i="1"/>
  <c r="X185" i="1" s="1"/>
  <c r="X187" i="1"/>
  <c r="CG89" i="1"/>
  <c r="Y56" i="1"/>
  <c r="CG86" i="1"/>
  <c r="JP16" i="4" s="1"/>
  <c r="CH93" i="1"/>
  <c r="Z90" i="1"/>
  <c r="Y180" i="1"/>
  <c r="Y209" i="1" s="1"/>
  <c r="CH61" i="1"/>
  <c r="Z172" i="1"/>
  <c r="CH172" i="1" s="1"/>
  <c r="CI172" i="1" s="1"/>
  <c r="CG68" i="1"/>
  <c r="Z93" i="1"/>
  <c r="Z180" i="1"/>
  <c r="CH180" i="1" s="1"/>
  <c r="CI180" i="1" s="1"/>
  <c r="CI61" i="1"/>
  <c r="CJ79" i="1"/>
  <c r="Y68" i="1"/>
  <c r="Z101" i="1"/>
  <c r="X223" i="1"/>
  <c r="CK79" i="1"/>
  <c r="CK56" i="1"/>
  <c r="CK75" i="1"/>
  <c r="CK99" i="1"/>
  <c r="CM99" i="1" s="1"/>
  <c r="CG105" i="1"/>
  <c r="CJ55" i="1"/>
  <c r="X219" i="1"/>
  <c r="Y77" i="1"/>
  <c r="Y90" i="1"/>
  <c r="CJ89" i="1"/>
  <c r="CH90" i="1"/>
  <c r="CH73" i="1"/>
  <c r="X99" i="1"/>
  <c r="Z197" i="1"/>
  <c r="Z77" i="1"/>
  <c r="X68" i="1"/>
  <c r="CK61" i="1"/>
  <c r="Z210" i="1"/>
  <c r="CH210" i="1" s="1"/>
  <c r="X197" i="1"/>
  <c r="X60" i="1"/>
  <c r="Z133" i="1"/>
  <c r="CJ117" i="1"/>
  <c r="CI75" i="1"/>
  <c r="Y190" i="1"/>
  <c r="X172" i="1"/>
  <c r="Y178" i="1"/>
  <c r="Z231" i="1"/>
  <c r="X190" i="1"/>
  <c r="CK89" i="1"/>
  <c r="CJ86" i="1"/>
  <c r="X69" i="1"/>
  <c r="CK93" i="1"/>
  <c r="Z187" i="1"/>
  <c r="CH187" i="1" s="1"/>
  <c r="CI187" i="1" s="1"/>
  <c r="Z60" i="1"/>
  <c r="Z223" i="1"/>
  <c r="CH223" i="1" s="1"/>
  <c r="CI223" i="1" s="1"/>
  <c r="Z55" i="1"/>
  <c r="X222" i="1"/>
  <c r="Y121" i="1"/>
  <c r="X55" i="1"/>
  <c r="CH56" i="1"/>
  <c r="Z121" i="1"/>
  <c r="CK100" i="1"/>
  <c r="CM100" i="1" s="1"/>
  <c r="CN100" i="1" s="1"/>
  <c r="CO100" i="1" s="1"/>
  <c r="CP100" i="1" s="1"/>
  <c r="CQ100" i="1" s="1"/>
  <c r="CR100" i="1" s="1"/>
  <c r="CS100" i="1" s="1"/>
  <c r="CT100" i="1" s="1"/>
  <c r="CU100" i="1" s="1"/>
  <c r="CK117" i="1"/>
  <c r="CH75" i="1"/>
  <c r="Z191" i="1"/>
  <c r="CH191" i="1" s="1"/>
  <c r="CI191" i="1" s="1"/>
  <c r="CI77" i="1"/>
  <c r="CH63" i="1"/>
  <c r="X121" i="1"/>
  <c r="Y213" i="1"/>
  <c r="CH60" i="1"/>
  <c r="CH105" i="1"/>
  <c r="Y99" i="1"/>
  <c r="X181" i="1"/>
  <c r="CH101" i="1"/>
  <c r="Y131" i="1"/>
  <c r="Z203" i="1"/>
  <c r="CH203" i="1" s="1"/>
  <c r="CH79" i="1"/>
  <c r="X90" i="1"/>
  <c r="X131" i="1"/>
  <c r="Z131" i="1"/>
  <c r="CI60" i="1"/>
  <c r="CG101" i="1"/>
  <c r="CI56" i="1"/>
  <c r="Y208" i="1"/>
  <c r="Z208" i="1"/>
  <c r="CK86" i="1"/>
  <c r="CK253" i="1" s="1"/>
  <c r="CK73" i="1"/>
  <c r="CK101" i="1"/>
  <c r="CI90" i="1"/>
  <c r="CE93" i="1"/>
  <c r="CJ105" i="1"/>
  <c r="Z190" i="1"/>
  <c r="CH190" i="1" s="1"/>
  <c r="CI190" i="1" s="1"/>
  <c r="JO9" i="4" s="1"/>
  <c r="CJ56" i="1"/>
  <c r="Z89" i="1"/>
  <c r="CJ63" i="1"/>
  <c r="Z171" i="1"/>
  <c r="CI101" i="1"/>
  <c r="X230" i="1"/>
  <c r="CG79" i="1"/>
  <c r="CJ61" i="1"/>
  <c r="X179" i="1"/>
  <c r="X93" i="1"/>
  <c r="Y176" i="1"/>
  <c r="Z181" i="1"/>
  <c r="CH181" i="1" s="1"/>
  <c r="CI181" i="1" s="1"/>
  <c r="CH77" i="1"/>
  <c r="CJ60" i="1"/>
  <c r="Y189" i="1"/>
  <c r="Y185" i="1" s="1"/>
  <c r="Y60" i="1"/>
  <c r="Z179" i="1"/>
  <c r="CH179" i="1" s="1"/>
  <c r="CI179" i="1" s="1"/>
  <c r="CJ101" i="1"/>
  <c r="Y93" i="1"/>
  <c r="X218" i="1"/>
  <c r="X196" i="1"/>
  <c r="X203" i="1"/>
  <c r="CK60" i="1"/>
  <c r="Y218" i="1"/>
  <c r="Y69" i="1"/>
  <c r="CI63" i="1"/>
  <c r="CH99" i="1"/>
  <c r="Z132" i="1"/>
  <c r="Z86" i="1"/>
  <c r="CG61" i="1"/>
  <c r="Z194" i="1"/>
  <c r="X212" i="1"/>
  <c r="Y186" i="1"/>
  <c r="Y219" i="1"/>
  <c r="JP9" i="4" s="1"/>
  <c r="X180" i="1"/>
  <c r="X209" i="1" s="1"/>
  <c r="X208" i="1"/>
  <c r="Z218" i="1"/>
  <c r="CJ68" i="1"/>
  <c r="Y100" i="1"/>
  <c r="CG99" i="1"/>
  <c r="CG63" i="1"/>
  <c r="CI89" i="1"/>
  <c r="X211" i="1"/>
  <c r="Z63" i="1"/>
  <c r="Y229" i="1"/>
  <c r="Y203" i="1"/>
  <c r="CJ100" i="1"/>
  <c r="CG55" i="1"/>
  <c r="Y101" i="1"/>
  <c r="Y230" i="1"/>
  <c r="Y197" i="1"/>
  <c r="Y222" i="1"/>
  <c r="CI68" i="1"/>
  <c r="CI69" i="1"/>
  <c r="CG56" i="1"/>
  <c r="X63" i="1"/>
  <c r="Y191" i="1"/>
  <c r="X229" i="1"/>
  <c r="CK77" i="1"/>
  <c r="Z229" i="1"/>
  <c r="CI73" i="1"/>
  <c r="Z196" i="1"/>
  <c r="Z105" i="1"/>
  <c r="X100" i="1"/>
  <c r="X133" i="1"/>
  <c r="X73" i="1"/>
  <c r="CG93" i="1"/>
  <c r="CG73" i="1"/>
  <c r="Y212" i="1"/>
  <c r="Z56" i="1"/>
  <c r="X213" i="1"/>
  <c r="CK55" i="1"/>
  <c r="CK63" i="1"/>
  <c r="CK90" i="1"/>
  <c r="Y196" i="1"/>
  <c r="Y231" i="1"/>
  <c r="X210" i="1"/>
  <c r="CG60" i="1"/>
  <c r="CI105" i="1"/>
  <c r="Z212" i="1"/>
  <c r="X77" i="1"/>
  <c r="Z178" i="1"/>
  <c r="Z219" i="1"/>
  <c r="CH219" i="1" s="1"/>
  <c r="Y133" i="1"/>
  <c r="Z69" i="1"/>
  <c r="Y179" i="1"/>
  <c r="CK118" i="1"/>
  <c r="CK68" i="1"/>
  <c r="Y73" i="1"/>
  <c r="Y223" i="1"/>
  <c r="CB60" i="1"/>
  <c r="Z99" i="1"/>
  <c r="Z68" i="1"/>
  <c r="X178" i="1"/>
  <c r="JO16" i="4" s="1"/>
  <c r="X186" i="1"/>
  <c r="X86" i="1"/>
  <c r="Y86" i="1"/>
  <c r="CJ69" i="1"/>
  <c r="CI93" i="1"/>
  <c r="CI86" i="1"/>
  <c r="X194" i="1"/>
  <c r="Z186" i="1"/>
  <c r="CH186" i="1" s="1"/>
  <c r="Z189" i="1"/>
  <c r="CH189" i="1" s="1"/>
  <c r="CI189" i="1" s="1"/>
  <c r="CH200" i="1"/>
  <c r="Y132" i="1"/>
  <c r="CH68" i="1"/>
  <c r="CI79" i="1"/>
  <c r="Y187" i="1"/>
  <c r="X89" i="1"/>
  <c r="Z73" i="1"/>
  <c r="CK105" i="1"/>
  <c r="CK69" i="1"/>
  <c r="AC89" i="1"/>
  <c r="BG59" i="3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T32" i="3"/>
  <c r="AA6" i="6" a="1"/>
  <c r="L5" i="6" a="1"/>
  <c r="AR5" i="3"/>
  <c r="AZ32" i="3"/>
  <c r="AF23" i="3"/>
  <c r="AU30" i="3"/>
  <c r="X5" i="6" a="1"/>
  <c r="EQ12" i="4" a="1"/>
  <c r="EP12" i="4" a="1"/>
  <c r="EM11" i="4" a="1"/>
  <c r="ES16" i="4" a="1"/>
  <c r="EM14" i="4" a="1"/>
  <c r="ET8" i="4" a="1"/>
  <c r="EM13" i="4" a="1"/>
  <c r="EL14" i="4" a="1"/>
  <c r="EV16" i="4" a="1"/>
  <c r="AY19" i="3"/>
  <c r="AY11" i="3"/>
  <c r="AY28" i="3"/>
  <c r="AF36" i="3"/>
  <c r="W5" i="6" a="1"/>
  <c r="AF28" i="3"/>
  <c r="AH5" i="6" a="1"/>
  <c r="AY16" i="3"/>
  <c r="AF33" i="3"/>
  <c r="AV15" i="3"/>
  <c r="AT16" i="3"/>
  <c r="X6" i="6" a="1"/>
  <c r="ER13" i="4" a="1"/>
  <c r="EN14" i="4" a="1"/>
  <c r="EW12" i="4" a="1"/>
  <c r="EQ5" i="4" a="1"/>
  <c r="EU16" i="4" a="1"/>
  <c r="EU15" i="4" a="1"/>
  <c r="EL7" i="4" a="1"/>
  <c r="EV5" i="4" a="1"/>
  <c r="AS5" i="3"/>
  <c r="EQ9" i="4" a="1"/>
  <c r="EU12" i="4" a="1"/>
  <c r="C5" i="4" a="1"/>
  <c r="EW14" i="4" a="1"/>
  <c r="AW35" i="3"/>
  <c r="AV14" i="3"/>
  <c r="AS36" i="3"/>
  <c r="U6" i="6" a="1"/>
  <c r="AW7" i="3"/>
  <c r="AV41" i="3"/>
  <c r="AF9" i="3"/>
  <c r="AT45" i="3"/>
  <c r="AS32" i="3"/>
  <c r="AU6" i="3"/>
  <c r="AV36" i="3"/>
  <c r="AW8" i="3"/>
  <c r="AW9" i="3"/>
  <c r="EU9" i="4" a="1"/>
  <c r="AY30" i="3"/>
  <c r="AT5" i="6" a="1"/>
  <c r="AZ34" i="3"/>
  <c r="EO7" i="4" a="1"/>
  <c r="EU5" i="4" a="1"/>
  <c r="EN12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BT49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W38" i="3"/>
  <c r="AX11" i="3"/>
  <c r="AT34" i="3"/>
  <c r="EP5" i="4" a="1"/>
  <c r="EO13" i="4" a="1"/>
  <c r="EO14" i="4" a="1"/>
  <c r="ES15" i="4" a="1"/>
  <c r="EO11" i="4" a="1"/>
  <c r="EQ14" i="4" a="1"/>
  <c r="EL5" i="4" a="1"/>
  <c r="AX17" i="3"/>
  <c r="AZ35" i="3"/>
  <c r="AV16" i="3"/>
  <c r="AH6" i="6" a="1"/>
  <c r="AZ29" i="3"/>
  <c r="EM15" i="4" a="1"/>
  <c r="ES14" i="4" a="1"/>
  <c r="AU22" i="3"/>
  <c r="AZ37" i="3"/>
  <c r="AS22" i="3"/>
  <c r="AU26" i="3"/>
  <c r="AF5" i="6" a="1"/>
  <c r="EM8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ES7" i="4" a="1"/>
  <c r="ET13" i="4" a="1"/>
  <c r="AY33" i="3"/>
  <c r="AS19" i="3"/>
  <c r="AY36" i="3"/>
  <c r="AW36" i="3"/>
  <c r="AT11" i="3"/>
  <c r="AU8" i="3"/>
  <c r="AF13" i="3"/>
  <c r="AS27" i="3"/>
  <c r="EM16" i="4" a="1"/>
  <c r="AY7" i="3"/>
  <c r="AX5" i="3"/>
  <c r="AZ7" i="3"/>
  <c r="AB5" i="6" a="1"/>
  <c r="AP7" i="3"/>
  <c r="EV7" i="4" a="1"/>
  <c r="AV21" i="3"/>
  <c r="R5" i="6" a="1"/>
  <c r="AT13" i="3"/>
  <c r="AW6" i="6" a="1"/>
  <c r="AS15" i="3"/>
  <c r="P6" i="6" a="1"/>
  <c r="AT37" i="3"/>
  <c r="AX7" i="3"/>
  <c r="AT25" i="3"/>
  <c r="AF21" i="3"/>
  <c r="AX8" i="3"/>
  <c r="AW25" i="3"/>
  <c r="ET16" i="4" a="1"/>
  <c r="EV6" i="4" a="1"/>
  <c r="EP7" i="4" a="1"/>
  <c r="AF11" i="3"/>
  <c r="AW10" i="3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EL9" i="4" a="1"/>
  <c r="EM12" i="4" a="1"/>
  <c r="EN11" i="4" a="1"/>
  <c r="EV8" i="4" a="1"/>
  <c r="ER9" i="4" a="1"/>
  <c r="AT40" i="3"/>
  <c r="AV39" i="3"/>
  <c r="AT14" i="3"/>
  <c r="AX25" i="3"/>
  <c r="AY5" i="3"/>
  <c r="AV30" i="3"/>
  <c r="C6" i="6" a="1"/>
  <c r="AF18" i="3"/>
  <c r="AS40" i="3"/>
  <c r="AS38" i="3"/>
  <c r="F6" i="6" a="1"/>
  <c r="AY9" i="3"/>
  <c r="EU13" i="4" a="1"/>
  <c r="EV14" i="4" a="1"/>
  <c r="EW11" i="4" a="1"/>
  <c r="AW39" i="3"/>
  <c r="AX35" i="3"/>
  <c r="BV48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V12" i="4" a="1"/>
  <c r="N6" i="6" a="1"/>
  <c r="AW42" i="3"/>
  <c r="AE5" i="6" a="1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R15" i="4" a="1"/>
  <c r="EW7" i="4" a="1"/>
  <c r="AW37" i="3"/>
  <c r="AY17" i="3"/>
  <c r="AS41" i="3"/>
  <c r="AS13" i="3"/>
  <c r="AV27" i="3"/>
  <c r="AV12" i="3"/>
  <c r="EP15" i="4" a="1"/>
  <c r="EU14" i="4" a="1"/>
  <c r="EO9" i="4" a="1"/>
  <c r="EU6" i="4" a="1"/>
  <c r="EN9" i="4" a="1"/>
  <c r="AV5" i="6" a="1"/>
  <c r="AS35" i="3"/>
  <c r="AX29" i="3"/>
  <c r="AK5" i="6" a="1"/>
  <c r="AX36" i="3"/>
  <c r="AX22" i="3"/>
  <c r="AZ14" i="3"/>
  <c r="AS17" i="3"/>
  <c r="AF30" i="3"/>
  <c r="AF40" i="3"/>
  <c r="AF34" i="3"/>
  <c r="AD6" i="6" a="1"/>
  <c r="BK84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S12" i="4" a="1"/>
  <c r="EL12" i="4" a="1"/>
  <c r="EP9" i="4" a="1"/>
  <c r="ES6" i="4" a="1"/>
  <c r="ET5" i="4" a="1"/>
  <c r="AZ16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M6" i="4" a="1"/>
  <c r="EV11" i="4" a="1"/>
  <c r="EL11" i="4" a="1"/>
  <c r="AT39" i="3"/>
  <c r="AW30" i="3"/>
  <c r="K5" i="6" a="1"/>
  <c r="AV13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Z27" i="3"/>
  <c r="AZ26" i="3"/>
  <c r="AM5" i="6" a="1"/>
  <c r="AF17" i="3"/>
  <c r="ER16" i="4" a="1"/>
  <c r="EV9" i="4" a="1"/>
  <c r="AT6" i="3"/>
  <c r="S6" i="6" a="1"/>
  <c r="AS42" i="3"/>
  <c r="ES11" i="4" a="1"/>
  <c r="EQ16" i="4" a="1"/>
  <c r="EP14" i="4" a="1"/>
  <c r="AU34" i="3"/>
  <c r="AX21" i="3"/>
  <c r="AT29" i="3"/>
  <c r="AY23" i="3"/>
  <c r="AS6" i="3"/>
  <c r="AU40" i="3"/>
  <c r="AT6" i="6" a="1"/>
  <c r="EN16" i="4" a="1"/>
  <c r="X127" i="1" l="1"/>
  <c r="KB8" i="4" s="1"/>
  <c r="KB9" i="4" s="1"/>
  <c r="KG8" i="4" s="1"/>
  <c r="X215" i="1"/>
  <c r="Y215" i="1"/>
  <c r="CH194" i="1"/>
  <c r="AA261" i="1"/>
  <c r="JN21" i="4"/>
  <c r="CH131" i="1" s="1"/>
  <c r="CL242" i="1"/>
  <c r="CL215" i="1"/>
  <c r="Z80" i="1"/>
  <c r="CJ80" i="1"/>
  <c r="X80" i="1"/>
  <c r="Y80" i="1"/>
  <c r="CK80" i="1"/>
  <c r="CH80" i="1"/>
  <c r="CI80" i="1"/>
  <c r="CG80" i="1"/>
  <c r="CY22" i="1"/>
  <c r="CX15" i="1"/>
  <c r="AD15" i="1" s="1"/>
  <c r="DB21" i="1"/>
  <c r="DB14" i="1" s="1"/>
  <c r="DA14" i="1"/>
  <c r="CL32" i="1"/>
  <c r="CL35" i="1"/>
  <c r="CL36" i="1"/>
  <c r="CL38" i="1"/>
  <c r="CL33" i="1"/>
  <c r="Y238" i="1"/>
  <c r="CL174" i="1"/>
  <c r="CL146" i="1" s="1"/>
  <c r="Y239" i="1"/>
  <c r="CL81" i="1"/>
  <c r="Y261" i="1"/>
  <c r="JS21" i="4"/>
  <c r="CM223" i="1"/>
  <c r="CN223" i="1" s="1"/>
  <c r="CO223" i="1" s="1"/>
  <c r="CP223" i="1" s="1"/>
  <c r="CQ223" i="1" s="1"/>
  <c r="CR223" i="1" s="1"/>
  <c r="CS223" i="1" s="1"/>
  <c r="CT223" i="1" s="1"/>
  <c r="CU223" i="1" s="1"/>
  <c r="CV223" i="1" s="1"/>
  <c r="CW223" i="1" s="1"/>
  <c r="CX223" i="1" s="1"/>
  <c r="CY223" i="1" s="1"/>
  <c r="CZ223" i="1" s="1"/>
  <c r="DA223" i="1" s="1"/>
  <c r="DB223" i="1" s="1"/>
  <c r="JP7" i="4"/>
  <c r="X232" i="1"/>
  <c r="Z232" i="1"/>
  <c r="Y244" i="1"/>
  <c r="CM172" i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CX172" i="1" s="1"/>
  <c r="CY172" i="1" s="1"/>
  <c r="CZ172" i="1" s="1"/>
  <c r="DA172" i="1" s="1"/>
  <c r="DB172" i="1" s="1"/>
  <c r="CM176" i="1"/>
  <c r="CN176" i="1" s="1"/>
  <c r="CO176" i="1" s="1"/>
  <c r="CP176" i="1" s="1"/>
  <c r="CQ176" i="1" s="1"/>
  <c r="CR176" i="1" s="1"/>
  <c r="CS176" i="1" s="1"/>
  <c r="CT176" i="1" s="1"/>
  <c r="CU176" i="1" s="1"/>
  <c r="CV176" i="1" s="1"/>
  <c r="CW176" i="1" s="1"/>
  <c r="CX176" i="1" s="1"/>
  <c r="CY176" i="1" s="1"/>
  <c r="CZ176" i="1" s="1"/>
  <c r="DA176" i="1" s="1"/>
  <c r="DB176" i="1" s="1"/>
  <c r="KC14" i="4"/>
  <c r="CM191" i="1"/>
  <c r="CN191" i="1" s="1"/>
  <c r="CO191" i="1" s="1"/>
  <c r="CP191" i="1" s="1"/>
  <c r="CQ191" i="1" s="1"/>
  <c r="CR191" i="1" s="1"/>
  <c r="CS191" i="1" s="1"/>
  <c r="CT191" i="1" s="1"/>
  <c r="CU191" i="1" s="1"/>
  <c r="CV191" i="1" s="1"/>
  <c r="CW191" i="1" s="1"/>
  <c r="CX191" i="1" s="1"/>
  <c r="CY191" i="1" s="1"/>
  <c r="CZ191" i="1" s="1"/>
  <c r="DA191" i="1" s="1"/>
  <c r="DB191" i="1" s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DB180" i="1" s="1"/>
  <c r="CM189" i="1"/>
  <c r="CN189" i="1" s="1"/>
  <c r="CO189" i="1" s="1"/>
  <c r="CP189" i="1" s="1"/>
  <c r="CQ189" i="1" s="1"/>
  <c r="CR189" i="1" s="1"/>
  <c r="CS189" i="1" s="1"/>
  <c r="CT189" i="1" s="1"/>
  <c r="CU189" i="1" s="1"/>
  <c r="CV189" i="1" s="1"/>
  <c r="CW189" i="1" s="1"/>
  <c r="CX189" i="1" s="1"/>
  <c r="CY189" i="1" s="1"/>
  <c r="CZ189" i="1" s="1"/>
  <c r="DA189" i="1" s="1"/>
  <c r="DB189" i="1" s="1"/>
  <c r="KB14" i="4"/>
  <c r="CM181" i="1"/>
  <c r="CN181" i="1" s="1"/>
  <c r="CO181" i="1" s="1"/>
  <c r="CP181" i="1" s="1"/>
  <c r="CQ181" i="1" s="1"/>
  <c r="CR181" i="1" s="1"/>
  <c r="CS181" i="1" s="1"/>
  <c r="CT181" i="1" s="1"/>
  <c r="CU181" i="1" s="1"/>
  <c r="CV181" i="1" s="1"/>
  <c r="CW181" i="1" s="1"/>
  <c r="CX181" i="1" s="1"/>
  <c r="CY181" i="1" s="1"/>
  <c r="CZ181" i="1" s="1"/>
  <c r="DA181" i="1" s="1"/>
  <c r="DB181" i="1" s="1"/>
  <c r="CL152" i="1"/>
  <c r="CL153" i="1" s="1"/>
  <c r="CL220" i="1"/>
  <c r="CL182" i="1"/>
  <c r="CL244" i="1"/>
  <c r="CL243" i="1" s="1"/>
  <c r="CL192" i="1"/>
  <c r="CL207" i="1"/>
  <c r="KE21" i="4"/>
  <c r="JX14" i="4"/>
  <c r="JV8" i="4"/>
  <c r="KE8" i="4"/>
  <c r="Y220" i="1"/>
  <c r="Z268" i="1" s="1"/>
  <c r="JQ7" i="4"/>
  <c r="KH14" i="4"/>
  <c r="JW15" i="4"/>
  <c r="KB21" i="4"/>
  <c r="JR21" i="4"/>
  <c r="CL131" i="1" s="1"/>
  <c r="KH8" i="4"/>
  <c r="JX8" i="4"/>
  <c r="KA8" i="4"/>
  <c r="JN15" i="4"/>
  <c r="CH311" i="1"/>
  <c r="X239" i="1"/>
  <c r="CK119" i="1"/>
  <c r="X238" i="1"/>
  <c r="X188" i="1"/>
  <c r="X87" i="1" s="1"/>
  <c r="JR15" i="4"/>
  <c r="JS14" i="4"/>
  <c r="KH21" i="4"/>
  <c r="JR14" i="4"/>
  <c r="KE15" i="4"/>
  <c r="KE20" i="4" s="1"/>
  <c r="Y174" i="1"/>
  <c r="KB19" i="4"/>
  <c r="JV14" i="4"/>
  <c r="JW7" i="4"/>
  <c r="JP14" i="4"/>
  <c r="JP19" i="4" s="1"/>
  <c r="CJ132" i="1" s="1"/>
  <c r="CK57" i="1"/>
  <c r="CK64" i="1" s="1"/>
  <c r="KE14" i="4"/>
  <c r="KD21" i="4"/>
  <c r="AB100" i="1"/>
  <c r="KA7" i="4"/>
  <c r="JY15" i="4"/>
  <c r="X242" i="1"/>
  <c r="JY7" i="4"/>
  <c r="X182" i="1"/>
  <c r="X91" i="1" s="1"/>
  <c r="KD14" i="4"/>
  <c r="KC21" i="4"/>
  <c r="CI253" i="1"/>
  <c r="CI312" i="1"/>
  <c r="CH196" i="1"/>
  <c r="CH238" i="1" s="1"/>
  <c r="CI238" i="1" s="1"/>
  <c r="Z238" i="1"/>
  <c r="Z207" i="1"/>
  <c r="AA255" i="1" s="1"/>
  <c r="JP8" i="4"/>
  <c r="Y290" i="1"/>
  <c r="Y57" i="1"/>
  <c r="Y64" i="1" s="1"/>
  <c r="JU15" i="4"/>
  <c r="KG14" i="4"/>
  <c r="JQ14" i="4"/>
  <c r="JQ19" i="4" s="1"/>
  <c r="CK132" i="1" s="1"/>
  <c r="CK87" i="1"/>
  <c r="CJ192" i="1"/>
  <c r="Z220" i="1"/>
  <c r="AA268" i="1" s="1"/>
  <c r="CH218" i="1"/>
  <c r="CH220" i="1" s="1"/>
  <c r="Y188" i="1"/>
  <c r="Y192" i="1" s="1"/>
  <c r="JS7" i="4"/>
  <c r="JU14" i="4"/>
  <c r="CN69" i="1"/>
  <c r="CR69" i="1" s="1"/>
  <c r="CV69" i="1" s="1"/>
  <c r="CZ69" i="1" s="1"/>
  <c r="CG290" i="1"/>
  <c r="CJ152" i="1"/>
  <c r="CG57" i="1"/>
  <c r="CG64" i="1" s="1"/>
  <c r="CH208" i="1"/>
  <c r="Z242" i="1"/>
  <c r="Z290" i="1"/>
  <c r="Z57" i="1"/>
  <c r="CP69" i="1"/>
  <c r="CT69" i="1" s="1"/>
  <c r="CX69" i="1" s="1"/>
  <c r="DB69" i="1" s="1"/>
  <c r="CI290" i="1"/>
  <c r="CI57" i="1"/>
  <c r="CI64" i="1" s="1"/>
  <c r="CK178" i="1"/>
  <c r="CJ182" i="1"/>
  <c r="CK194" i="1"/>
  <c r="CL261" i="1" s="1"/>
  <c r="JY14" i="4"/>
  <c r="JQ21" i="4"/>
  <c r="CK131" i="1" s="1"/>
  <c r="X253" i="1"/>
  <c r="X312" i="1"/>
  <c r="JO14" i="4"/>
  <c r="Y242" i="1"/>
  <c r="CG311" i="1"/>
  <c r="KB15" i="4"/>
  <c r="KB20" i="4" s="1"/>
  <c r="JT15" i="4"/>
  <c r="JV7" i="4"/>
  <c r="KF21" i="4"/>
  <c r="JY8" i="4"/>
  <c r="KD7" i="4"/>
  <c r="CJ174" i="1"/>
  <c r="CK171" i="1"/>
  <c r="CM171" i="1" s="1"/>
  <c r="CN171" i="1" s="1"/>
  <c r="CO171" i="1" s="1"/>
  <c r="CP171" i="1" s="1"/>
  <c r="CQ171" i="1" s="1"/>
  <c r="CR171" i="1" s="1"/>
  <c r="CS171" i="1" s="1"/>
  <c r="CT171" i="1" s="1"/>
  <c r="CU171" i="1" s="1"/>
  <c r="CV171" i="1" s="1"/>
  <c r="CW171" i="1" s="1"/>
  <c r="CX171" i="1" s="1"/>
  <c r="CY171" i="1" s="1"/>
  <c r="CZ171" i="1" s="1"/>
  <c r="DA171" i="1" s="1"/>
  <c r="DB171" i="1" s="1"/>
  <c r="CK222" i="1"/>
  <c r="CM222" i="1" s="1"/>
  <c r="CN222" i="1" s="1"/>
  <c r="CO222" i="1" s="1"/>
  <c r="CP222" i="1" s="1"/>
  <c r="CQ222" i="1" s="1"/>
  <c r="CR222" i="1" s="1"/>
  <c r="CS222" i="1" s="1"/>
  <c r="CT222" i="1" s="1"/>
  <c r="CU222" i="1" s="1"/>
  <c r="CV222" i="1" s="1"/>
  <c r="CW222" i="1" s="1"/>
  <c r="CX222" i="1" s="1"/>
  <c r="CY222" i="1" s="1"/>
  <c r="CZ222" i="1" s="1"/>
  <c r="DA222" i="1" s="1"/>
  <c r="DB222" i="1" s="1"/>
  <c r="CJ311" i="1"/>
  <c r="CH222" i="1"/>
  <c r="CH253" i="1"/>
  <c r="CH312" i="1"/>
  <c r="JU8" i="4"/>
  <c r="KF7" i="4"/>
  <c r="Y207" i="1"/>
  <c r="Y232" i="1"/>
  <c r="Z239" i="1"/>
  <c r="CH197" i="1"/>
  <c r="CH239" i="1" s="1"/>
  <c r="CI239" i="1" s="1"/>
  <c r="CG253" i="1"/>
  <c r="CG312" i="1"/>
  <c r="JN7" i="4"/>
  <c r="JO8" i="4"/>
  <c r="CJ207" i="1"/>
  <c r="KC15" i="4"/>
  <c r="Y182" i="1"/>
  <c r="Y91" i="1" s="1"/>
  <c r="JN14" i="4"/>
  <c r="JN19" i="4" s="1"/>
  <c r="CH132" i="1" s="1"/>
  <c r="JN8" i="4"/>
  <c r="JN20" i="4" s="1"/>
  <c r="CH133" i="1" s="1"/>
  <c r="X207" i="1"/>
  <c r="CN99" i="1"/>
  <c r="CO99" i="1" s="1"/>
  <c r="CP99" i="1" s="1"/>
  <c r="CQ99" i="1" s="1"/>
  <c r="CO69" i="1"/>
  <c r="CS69" i="1" s="1"/>
  <c r="CW69" i="1" s="1"/>
  <c r="DA69" i="1" s="1"/>
  <c r="JO15" i="4"/>
  <c r="JR7" i="4"/>
  <c r="JT14" i="4"/>
  <c r="JZ14" i="4"/>
  <c r="JT8" i="4"/>
  <c r="JV15" i="4"/>
  <c r="JV20" i="4" s="1"/>
  <c r="CJ238" i="1"/>
  <c r="CK238" i="1" s="1"/>
  <c r="CH178" i="1"/>
  <c r="Z182" i="1"/>
  <c r="X220" i="1"/>
  <c r="CI311" i="1"/>
  <c r="JP15" i="4"/>
  <c r="Z261" i="1"/>
  <c r="KD15" i="4"/>
  <c r="KH15" i="4"/>
  <c r="KH20" i="4" s="1"/>
  <c r="JX21" i="4"/>
  <c r="KG21" i="4"/>
  <c r="Y253" i="1"/>
  <c r="Y312" i="1"/>
  <c r="CJ57" i="1"/>
  <c r="CJ64" i="1" s="1"/>
  <c r="CJ290" i="1"/>
  <c r="JO7" i="4"/>
  <c r="CM69" i="1"/>
  <c r="CQ69" i="1" s="1"/>
  <c r="CU69" i="1" s="1"/>
  <c r="CY69" i="1" s="1"/>
  <c r="CI194" i="1"/>
  <c r="CJ261" i="1" s="1"/>
  <c r="CH171" i="1"/>
  <c r="CI171" i="1" s="1"/>
  <c r="Z174" i="1"/>
  <c r="Z185" i="1"/>
  <c r="CI117" i="1"/>
  <c r="CJ119" i="1"/>
  <c r="CJ242" i="1"/>
  <c r="CK242" i="1" s="1"/>
  <c r="KF8" i="4"/>
  <c r="KF20" i="4" s="1"/>
  <c r="KC7" i="4"/>
  <c r="KC19" i="4" s="1"/>
  <c r="JU7" i="4"/>
  <c r="JT21" i="4"/>
  <c r="CJ244" i="1"/>
  <c r="JZ8" i="4"/>
  <c r="KD8" i="4"/>
  <c r="CJ220" i="1"/>
  <c r="JR8" i="4"/>
  <c r="KA21" i="4"/>
  <c r="CH212" i="1"/>
  <c r="CJ253" i="1"/>
  <c r="CJ312" i="1"/>
  <c r="Z311" i="1"/>
  <c r="CK152" i="1"/>
  <c r="CH57" i="1"/>
  <c r="CH64" i="1" s="1"/>
  <c r="CH290" i="1"/>
  <c r="JW14" i="4"/>
  <c r="JZ7" i="4"/>
  <c r="JS15" i="4"/>
  <c r="JY21" i="4"/>
  <c r="JZ21" i="4"/>
  <c r="CI186" i="1"/>
  <c r="CJ186" i="1" s="1"/>
  <c r="JO21" i="4"/>
  <c r="CI131" i="1" s="1"/>
  <c r="Z312" i="1"/>
  <c r="Z253" i="1"/>
  <c r="X311" i="1"/>
  <c r="X174" i="1"/>
  <c r="CJ239" i="1"/>
  <c r="CK239" i="1" s="1"/>
  <c r="CM239" i="1" s="1"/>
  <c r="CN239" i="1" s="1"/>
  <c r="CO239" i="1" s="1"/>
  <c r="CP239" i="1" s="1"/>
  <c r="CQ239" i="1" s="1"/>
  <c r="CR239" i="1" s="1"/>
  <c r="CM187" i="1"/>
  <c r="CN187" i="1" s="1"/>
  <c r="CO187" i="1" s="1"/>
  <c r="CP187" i="1" s="1"/>
  <c r="KG7" i="4"/>
  <c r="JU21" i="4"/>
  <c r="JX15" i="4"/>
  <c r="JS8" i="4"/>
  <c r="KA15" i="4"/>
  <c r="KA20" i="4" s="1"/>
  <c r="JT7" i="4"/>
  <c r="JZ15" i="4"/>
  <c r="JW8" i="4"/>
  <c r="JW20" i="4" s="1"/>
  <c r="JW21" i="4"/>
  <c r="KE7" i="4"/>
  <c r="KA14" i="4"/>
  <c r="X57" i="1"/>
  <c r="X64" i="1" s="1"/>
  <c r="X290" i="1"/>
  <c r="Z209" i="1"/>
  <c r="Y311" i="1"/>
  <c r="JP21" i="4"/>
  <c r="CJ131" i="1" s="1"/>
  <c r="KC8" i="4"/>
  <c r="KF14" i="4"/>
  <c r="KG15" i="4"/>
  <c r="KG20" i="4" s="1"/>
  <c r="JX7" i="4"/>
  <c r="JX19" i="4" s="1"/>
  <c r="JV21" i="4"/>
  <c r="JQ15" i="4"/>
  <c r="JQ20" i="4" s="1"/>
  <c r="CK133" i="1" s="1"/>
  <c r="BY77" i="1"/>
  <c r="CA56" i="1"/>
  <c r="CE77" i="1"/>
  <c r="CA77" i="1"/>
  <c r="CF77" i="1"/>
  <c r="CD77" i="1"/>
  <c r="BZ77" i="1"/>
  <c r="BL77" i="1"/>
  <c r="CC77" i="1"/>
  <c r="CB77" i="1"/>
  <c r="CF56" i="1"/>
  <c r="CD56" i="1"/>
  <c r="BY56" i="1"/>
  <c r="CE56" i="1"/>
  <c r="BZ56" i="1"/>
  <c r="CC56" i="1"/>
  <c r="CB56" i="1"/>
  <c r="BL56" i="1"/>
  <c r="CD79" i="1"/>
  <c r="CC99" i="1"/>
  <c r="CA55" i="1"/>
  <c r="CA290" i="1" s="1"/>
  <c r="CD93" i="1"/>
  <c r="AH7" i="6" s="1"/>
  <c r="CD89" i="1"/>
  <c r="CF90" i="1"/>
  <c r="BY99" i="1"/>
  <c r="BL99" i="1"/>
  <c r="CD100" i="1"/>
  <c r="AV7" i="6" s="1"/>
  <c r="CB69" i="1"/>
  <c r="R7" i="6" s="1"/>
  <c r="X7" i="6" s="1"/>
  <c r="CD99" i="1"/>
  <c r="CD63" i="1"/>
  <c r="V7" i="6" s="1"/>
  <c r="BY63" i="1"/>
  <c r="CB55" i="1"/>
  <c r="CB290" i="1" s="1"/>
  <c r="BY105" i="1"/>
  <c r="BL55" i="1"/>
  <c r="AW7" i="6" s="1"/>
  <c r="BY73" i="1"/>
  <c r="CA60" i="1"/>
  <c r="CB75" i="1"/>
  <c r="BZ90" i="1"/>
  <c r="O7" i="6" s="1"/>
  <c r="BL101" i="1"/>
  <c r="AQ7" i="6" s="1"/>
  <c r="CF55" i="1"/>
  <c r="JJ9" i="4" s="1"/>
  <c r="BY100" i="1"/>
  <c r="AM7" i="6" s="1"/>
  <c r="JM16" i="4" s="1"/>
  <c r="CF101" i="1"/>
  <c r="CA68" i="1"/>
  <c r="BL75" i="1"/>
  <c r="BL100" i="1"/>
  <c r="CF89" i="1"/>
  <c r="BL90" i="1"/>
  <c r="BZ99" i="1"/>
  <c r="CC79" i="1"/>
  <c r="CC73" i="1"/>
  <c r="JM9" i="4" s="1"/>
  <c r="CA73" i="1"/>
  <c r="JL16" i="4" s="1"/>
  <c r="BZ68" i="1"/>
  <c r="CB73" i="1"/>
  <c r="CC60" i="1"/>
  <c r="JK16" i="4" s="1"/>
  <c r="CA105" i="1"/>
  <c r="BZ61" i="1"/>
  <c r="CE63" i="1"/>
  <c r="CC61" i="1"/>
  <c r="C7" i="6" s="1"/>
  <c r="T7" i="6" s="1"/>
  <c r="BY68" i="1"/>
  <c r="CC100" i="1"/>
  <c r="CC55" i="1"/>
  <c r="CC290" i="1" s="1"/>
  <c r="CB89" i="1"/>
  <c r="JL9" i="4" s="1"/>
  <c r="CF93" i="1"/>
  <c r="AL7" i="6" s="1"/>
  <c r="BZ86" i="1"/>
  <c r="BZ253" i="1" s="1"/>
  <c r="BZ89" i="1"/>
  <c r="J7" i="6" s="1"/>
  <c r="BY101" i="1"/>
  <c r="Z7" i="6" s="1"/>
  <c r="BL69" i="1"/>
  <c r="CF60" i="1"/>
  <c r="CF75" i="1"/>
  <c r="BZ60" i="1"/>
  <c r="CA63" i="1"/>
  <c r="CD61" i="1"/>
  <c r="BL73" i="1"/>
  <c r="BY61" i="1"/>
  <c r="CE86" i="1"/>
  <c r="CE253" i="1" s="1"/>
  <c r="AD7" i="6" s="1"/>
  <c r="CF79" i="1"/>
  <c r="CE69" i="1"/>
  <c r="CA101" i="1"/>
  <c r="CD90" i="1"/>
  <c r="CB68" i="1"/>
  <c r="CD101" i="1"/>
  <c r="AP7" i="6" s="1"/>
  <c r="Y7" i="6" s="1"/>
  <c r="CA79" i="1"/>
  <c r="AA7" i="6" s="1"/>
  <c r="AJ7" i="6" s="1"/>
  <c r="BY55" i="1"/>
  <c r="BY75" i="1"/>
  <c r="CB93" i="1"/>
  <c r="CE79" i="1"/>
  <c r="I7" i="6" s="1"/>
  <c r="AK7" i="6" s="1"/>
  <c r="CE61" i="1"/>
  <c r="K7" i="6" s="1"/>
  <c r="F7" i="6" s="1"/>
  <c r="CB99" i="1"/>
  <c r="CF68" i="1"/>
  <c r="AC7" i="6" s="1"/>
  <c r="AE7" i="6" s="1"/>
  <c r="M7" i="6" s="1"/>
  <c r="Q7" i="6" s="1"/>
  <c r="CA100" i="1"/>
  <c r="BZ100" i="1"/>
  <c r="CA90" i="1"/>
  <c r="CF100" i="1"/>
  <c r="AU7" i="6" s="1"/>
  <c r="BL63" i="1"/>
  <c r="CE68" i="1"/>
  <c r="CB86" i="1"/>
  <c r="CB253" i="1" s="1"/>
  <c r="CC101" i="1"/>
  <c r="CC105" i="1"/>
  <c r="AX7" i="6" s="1"/>
  <c r="BZ75" i="1"/>
  <c r="AT7" i="6" s="1"/>
  <c r="S7" i="6" s="1"/>
  <c r="BY60" i="1"/>
  <c r="CE89" i="1"/>
  <c r="CA99" i="1"/>
  <c r="CB101" i="1"/>
  <c r="CA89" i="1"/>
  <c r="CF105" i="1"/>
  <c r="CF73" i="1"/>
  <c r="CA69" i="1"/>
  <c r="AN7" i="6" s="1"/>
  <c r="CE100" i="1"/>
  <c r="CC63" i="1"/>
  <c r="CE105" i="1"/>
  <c r="CF63" i="1"/>
  <c r="G7" i="6" s="1"/>
  <c r="BL86" i="1"/>
  <c r="AF7" i="6" s="1"/>
  <c r="CC69" i="1"/>
  <c r="CD69" i="1"/>
  <c r="JJ16" i="4" s="1"/>
  <c r="BY79" i="1"/>
  <c r="CB100" i="1"/>
  <c r="CE55" i="1"/>
  <c r="AB7" i="6" s="1"/>
  <c r="BL61" i="1"/>
  <c r="CD105" i="1"/>
  <c r="BY69" i="1"/>
  <c r="BZ63" i="1"/>
  <c r="CD73" i="1"/>
  <c r="L7" i="6" s="1"/>
  <c r="BL93" i="1"/>
  <c r="BZ55" i="1"/>
  <c r="BZ290" i="1" s="1"/>
  <c r="CA86" i="1"/>
  <c r="BZ93" i="1"/>
  <c r="BY86" i="1"/>
  <c r="BY253" i="1" s="1"/>
  <c r="AI7" i="6" s="1"/>
  <c r="CC93" i="1"/>
  <c r="D7" i="6" s="1"/>
  <c r="BZ73" i="1"/>
  <c r="AG7" i="6" s="1"/>
  <c r="BZ69" i="1"/>
  <c r="BL105" i="1"/>
  <c r="W7" i="6" s="1"/>
  <c r="CB105" i="1"/>
  <c r="CE101" i="1"/>
  <c r="CF69" i="1"/>
  <c r="CC75" i="1"/>
  <c r="CD75" i="1"/>
  <c r="CE60" i="1"/>
  <c r="BY89" i="1"/>
  <c r="CC89" i="1"/>
  <c r="BZ105" i="1"/>
  <c r="AS7" i="6" s="1"/>
  <c r="BZ101" i="1"/>
  <c r="CE90" i="1"/>
  <c r="CD60" i="1"/>
  <c r="BL89" i="1"/>
  <c r="CB61" i="1"/>
  <c r="CC86" i="1"/>
  <c r="CC253" i="1" s="1"/>
  <c r="BY93" i="1"/>
  <c r="H7" i="6" s="1"/>
  <c r="CA75" i="1"/>
  <c r="BZ79" i="1"/>
  <c r="CD55" i="1"/>
  <c r="CD290" i="1" s="1"/>
  <c r="AR7" i="6" s="1"/>
  <c r="CF61" i="1"/>
  <c r="BL60" i="1"/>
  <c r="BL68" i="1"/>
  <c r="JK9" i="4" s="1"/>
  <c r="AO7" i="6" s="1"/>
  <c r="CA93" i="1"/>
  <c r="BL79" i="1"/>
  <c r="CA61" i="1"/>
  <c r="CE99" i="1"/>
  <c r="CD68" i="1"/>
  <c r="P7" i="6" s="1"/>
  <c r="E7" i="6" s="1"/>
  <c r="U7" i="6" s="1"/>
  <c r="CC68" i="1"/>
  <c r="AY7" i="6" s="1"/>
  <c r="CD86" i="1"/>
  <c r="CB63" i="1"/>
  <c r="CC90" i="1"/>
  <c r="CB90" i="1"/>
  <c r="CE75" i="1"/>
  <c r="CE73" i="1"/>
  <c r="CF86" i="1"/>
  <c r="CF253" i="1" s="1"/>
  <c r="CB79" i="1"/>
  <c r="BY90" i="1"/>
  <c r="CF99" i="1"/>
  <c r="N7" i="6" s="1"/>
  <c r="AC100" i="1"/>
  <c r="CV100" i="1"/>
  <c r="CW100" i="1" s="1"/>
  <c r="CX100" i="1" s="1"/>
  <c r="CY100" i="1" s="1"/>
  <c r="AD89" i="1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X61" i="3"/>
  <c r="AS64" i="3"/>
  <c r="AY67" i="3"/>
  <c r="AY74" i="3"/>
  <c r="C65" i="3"/>
  <c r="AU87" i="3"/>
  <c r="AS82" i="3"/>
  <c r="AU86" i="3"/>
  <c r="AT48" i="3"/>
  <c r="AV54" i="3"/>
  <c r="AY70" i="3"/>
  <c r="AX77" i="3"/>
  <c r="AZ86" i="3"/>
  <c r="AX91" i="3"/>
  <c r="AY79" i="3"/>
  <c r="AT74" i="3"/>
  <c r="AV73" i="3"/>
  <c r="AT58" i="3"/>
  <c r="AS72" i="3"/>
  <c r="AV78" i="3"/>
  <c r="AW85" i="3"/>
  <c r="AU96" i="3"/>
  <c r="AV65" i="3"/>
  <c r="AV59" i="3"/>
  <c r="AV88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S60" i="3"/>
  <c r="AS88" i="3"/>
  <c r="AY90" i="3"/>
  <c r="AU74" i="3"/>
  <c r="AT81" i="3"/>
  <c r="AW79" i="3"/>
  <c r="AW84" i="3"/>
  <c r="AV62" i="3"/>
  <c r="AS95" i="3"/>
  <c r="AZ56" i="3"/>
  <c r="AX86" i="3"/>
  <c r="AS81" i="3"/>
  <c r="AV79" i="3"/>
  <c r="AZ48" i="3"/>
  <c r="AF70" i="3"/>
  <c r="C87" i="3"/>
  <c r="AY60" i="3"/>
  <c r="AY77" i="3"/>
  <c r="AX78" i="3"/>
  <c r="C63" i="3"/>
  <c r="AY91" i="3"/>
  <c r="AW80" i="3"/>
  <c r="AU83" i="3"/>
  <c r="AY57" i="3"/>
  <c r="AV61" i="3"/>
  <c r="AU62" i="3"/>
  <c r="AT56" i="3"/>
  <c r="AX83" i="3"/>
  <c r="AV86" i="3"/>
  <c r="AT88" i="3"/>
  <c r="C92" i="3"/>
  <c r="C76" i="3"/>
  <c r="AX64" i="3"/>
  <c r="AS71" i="3"/>
  <c r="AV56" i="3"/>
  <c r="AY80" i="3"/>
  <c r="AU67" i="3"/>
  <c r="AU64" i="3"/>
  <c r="AT85" i="3"/>
  <c r="AX87" i="3"/>
  <c r="AS61" i="3"/>
  <c r="AY86" i="3"/>
  <c r="AZ95" i="3"/>
  <c r="AX59" i="3"/>
  <c r="AU49" i="3"/>
  <c r="AT95" i="3"/>
  <c r="C58" i="3"/>
  <c r="AS80" i="3"/>
  <c r="C96" i="3"/>
  <c r="AV76" i="3"/>
  <c r="AZ59" i="3"/>
  <c r="AF47" i="3"/>
  <c r="AS59" i="3"/>
  <c r="AV80" i="3"/>
  <c r="AV50" i="3"/>
  <c r="AU65" i="3"/>
  <c r="AT55" i="3"/>
  <c r="C78" i="3"/>
  <c r="AS57" i="3"/>
  <c r="AV60" i="3"/>
  <c r="AX65" i="3"/>
  <c r="AW56" i="3"/>
  <c r="AX90" i="3"/>
  <c r="AZ83" i="3"/>
  <c r="AY64" i="3"/>
  <c r="AZ80" i="3"/>
  <c r="AF87" i="3"/>
  <c r="AS91" i="3"/>
  <c r="C82" i="3"/>
  <c r="AY83" i="3"/>
  <c r="AU97" i="3"/>
  <c r="AW91" i="3"/>
  <c r="AW57" i="3"/>
  <c r="AU59" i="3"/>
  <c r="AS68" i="3"/>
  <c r="AV74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74" i="3"/>
  <c r="AF91" i="3"/>
  <c r="C85" i="3"/>
  <c r="AT89" i="3"/>
  <c r="AU56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Y61" i="3"/>
  <c r="AW49" i="3"/>
  <c r="AX73" i="3"/>
  <c r="AX55" i="3"/>
  <c r="AV75" i="3"/>
  <c r="AZ92" i="3"/>
  <c r="AT77" i="3"/>
  <c r="C60" i="3"/>
  <c r="AS85" i="3"/>
  <c r="AY66" i="3"/>
  <c r="AF72" i="3"/>
  <c r="AV83" i="3"/>
  <c r="AV57" i="3"/>
  <c r="AW97" i="3"/>
  <c r="C91" i="3"/>
  <c r="AZ94" i="3"/>
  <c r="AT70" i="3"/>
  <c r="AW86" i="3"/>
  <c r="AT80" i="3"/>
  <c r="AY82" i="3"/>
  <c r="AW59" i="3"/>
  <c r="AW48" i="3"/>
  <c r="AV64" i="3"/>
  <c r="AZ73" i="3"/>
  <c r="AU73" i="3"/>
  <c r="AT69" i="3"/>
  <c r="AV81" i="3"/>
  <c r="AZ88" i="3"/>
  <c r="AS76" i="3"/>
  <c r="AF93" i="3"/>
  <c r="AZ64" i="3"/>
  <c r="AW60" i="3"/>
  <c r="AY78" i="3"/>
  <c r="AW94" i="3"/>
  <c r="AU82" i="3"/>
  <c r="AX54" i="3"/>
  <c r="AX48" i="3"/>
  <c r="AU54" i="3"/>
  <c r="AY72" i="3"/>
  <c r="AZ69" i="3"/>
  <c r="AX68" i="3"/>
  <c r="AX50" i="3"/>
  <c r="C66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F63" i="3"/>
  <c r="AT61" i="3"/>
  <c r="AW95" i="3"/>
  <c r="AT54" i="3"/>
  <c r="AS79" i="3"/>
  <c r="AS87" i="3"/>
  <c r="AV70" i="3"/>
  <c r="AU66" i="3"/>
  <c r="AT82" i="3"/>
  <c r="AF94" i="3"/>
  <c r="AX92" i="3"/>
  <c r="AS66" i="3"/>
  <c r="AV47" i="3"/>
  <c r="AY89" i="3"/>
  <c r="AT76" i="3"/>
  <c r="AT67" i="3"/>
  <c r="AZ70" i="3"/>
  <c r="AW78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F55" i="3"/>
  <c r="AT83" i="3"/>
  <c r="AZ55" i="3"/>
  <c r="C73" i="3"/>
  <c r="AZ60" i="3"/>
  <c r="AF89" i="3"/>
  <c r="AF62" i="3"/>
  <c r="AY97" i="3"/>
  <c r="AY65" i="3"/>
  <c r="AF56" i="3"/>
  <c r="AY93" i="3"/>
  <c r="AX93" i="3"/>
  <c r="C86" i="3"/>
  <c r="AY88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76" i="3"/>
  <c r="AX70" i="3"/>
  <c r="AT79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AZ77" i="3"/>
  <c r="C80" i="3"/>
  <c r="AV96" i="3"/>
  <c r="AU75" i="3"/>
  <c r="AY54" i="3"/>
  <c r="AX80" i="3"/>
  <c r="AT97" i="3"/>
  <c r="AX76" i="3"/>
  <c r="AY47" i="3"/>
  <c r="C62" i="3"/>
  <c r="AZ65" i="3"/>
  <c r="AW72" i="3"/>
  <c r="AS84" i="3"/>
  <c r="AU92" i="3"/>
  <c r="AX71" i="3"/>
  <c r="AU60" i="3"/>
  <c r="JX20" i="4" l="1"/>
  <c r="KH19" i="4"/>
  <c r="JS19" i="4"/>
  <c r="Z64" i="1"/>
  <c r="AA66" i="1" s="1"/>
  <c r="AA58" i="1"/>
  <c r="AA247" i="1"/>
  <c r="Z91" i="1"/>
  <c r="AA265" i="1"/>
  <c r="AA308" i="1"/>
  <c r="Z234" i="1"/>
  <c r="AA266" i="1"/>
  <c r="AA264" i="1" s="1"/>
  <c r="JR20" i="4"/>
  <c r="CL133" i="1" s="1"/>
  <c r="JW19" i="4"/>
  <c r="CH242" i="1"/>
  <c r="CI242" i="1" s="1"/>
  <c r="CH209" i="1"/>
  <c r="Z215" i="1"/>
  <c r="AA256" i="1" s="1"/>
  <c r="AA257" i="1" s="1"/>
  <c r="AA258" i="1" s="1"/>
  <c r="CC80" i="1"/>
  <c r="CB80" i="1"/>
  <c r="CA80" i="1"/>
  <c r="CF80" i="1"/>
  <c r="BY80" i="1"/>
  <c r="CD80" i="1"/>
  <c r="CE80" i="1"/>
  <c r="BZ80" i="1"/>
  <c r="CL29" i="1"/>
  <c r="CM29" i="1" s="1"/>
  <c r="CN29" i="1" s="1"/>
  <c r="CO29" i="1" s="1"/>
  <c r="CP29" i="1" s="1"/>
  <c r="CQ29" i="1" s="1"/>
  <c r="CR29" i="1" s="1"/>
  <c r="CS29" i="1" s="1"/>
  <c r="CT29" i="1" s="1"/>
  <c r="CU29" i="1" s="1"/>
  <c r="CV29" i="1" s="1"/>
  <c r="CW29" i="1" s="1"/>
  <c r="CX29" i="1" s="1"/>
  <c r="CY29" i="1" s="1"/>
  <c r="CZ29" i="1" s="1"/>
  <c r="DA29" i="1" s="1"/>
  <c r="DB29" i="1" s="1"/>
  <c r="CL28" i="1"/>
  <c r="CM28" i="1" s="1"/>
  <c r="CL27" i="1"/>
  <c r="CM27" i="1" s="1"/>
  <c r="AB99" i="1"/>
  <c r="CZ22" i="1"/>
  <c r="CY15" i="1"/>
  <c r="AE14" i="1"/>
  <c r="AE21" i="1"/>
  <c r="CL58" i="1"/>
  <c r="CH32" i="1"/>
  <c r="CL43" i="1" s="1"/>
  <c r="CH38" i="1"/>
  <c r="CL49" i="1" s="1"/>
  <c r="CH36" i="1"/>
  <c r="CL47" i="1" s="1"/>
  <c r="CH35" i="1"/>
  <c r="CH33" i="1"/>
  <c r="CI38" i="1"/>
  <c r="CI36" i="1"/>
  <c r="CI35" i="1"/>
  <c r="CI33" i="1"/>
  <c r="CI32" i="1"/>
  <c r="CK65" i="1"/>
  <c r="CK38" i="1"/>
  <c r="CK36" i="1"/>
  <c r="CK35" i="1"/>
  <c r="CK33" i="1"/>
  <c r="CK32" i="1"/>
  <c r="CJ32" i="1"/>
  <c r="CJ38" i="1"/>
  <c r="CJ36" i="1"/>
  <c r="CJ35" i="1"/>
  <c r="CJ33" i="1"/>
  <c r="CG36" i="1"/>
  <c r="CG35" i="1"/>
  <c r="CG33" i="1"/>
  <c r="CG32" i="1"/>
  <c r="CG38" i="1"/>
  <c r="CL37" i="1"/>
  <c r="CL34" i="1"/>
  <c r="CL216" i="1"/>
  <c r="CL224" i="1" s="1"/>
  <c r="Y307" i="1"/>
  <c r="CL305" i="1"/>
  <c r="Y81" i="1"/>
  <c r="CL241" i="1"/>
  <c r="CL245" i="1" s="1"/>
  <c r="CK153" i="1"/>
  <c r="CK157" i="1" s="1"/>
  <c r="X192" i="1"/>
  <c r="X303" i="1" s="1"/>
  <c r="CL307" i="1"/>
  <c r="CJ161" i="1"/>
  <c r="X227" i="1"/>
  <c r="X163" i="1" s="1"/>
  <c r="CK81" i="1"/>
  <c r="CL183" i="1"/>
  <c r="CL227" i="1"/>
  <c r="CL163" i="1" s="1"/>
  <c r="CH81" i="1"/>
  <c r="JV19" i="4"/>
  <c r="KD19" i="4"/>
  <c r="X234" i="1"/>
  <c r="X183" i="1"/>
  <c r="CL82" i="1"/>
  <c r="CL65" i="1"/>
  <c r="CL156" i="1"/>
  <c r="CL148" i="1"/>
  <c r="JY20" i="4"/>
  <c r="Y243" i="1"/>
  <c r="JO20" i="4"/>
  <c r="CI133" i="1" s="1"/>
  <c r="JR19" i="4"/>
  <c r="CL132" i="1" s="1"/>
  <c r="JP20" i="4"/>
  <c r="CJ133" i="1" s="1"/>
  <c r="CJ162" i="1" s="1"/>
  <c r="KD20" i="4"/>
  <c r="CL247" i="1"/>
  <c r="CL59" i="1"/>
  <c r="CL303" i="1"/>
  <c r="CL284" i="1"/>
  <c r="CL162" i="1"/>
  <c r="CL158" i="1"/>
  <c r="CL150" i="1"/>
  <c r="CJ243" i="1"/>
  <c r="CK243" i="1" s="1"/>
  <c r="Z216" i="1"/>
  <c r="CJ153" i="1"/>
  <c r="CJ156" i="1" s="1"/>
  <c r="CI81" i="1"/>
  <c r="CH207" i="1"/>
  <c r="CH241" i="1" s="1"/>
  <c r="Y234" i="1"/>
  <c r="CJ146" i="1"/>
  <c r="CJ148" i="1" s="1"/>
  <c r="KA19" i="4"/>
  <c r="Y87" i="1"/>
  <c r="JY19" i="4"/>
  <c r="KE19" i="4"/>
  <c r="CH174" i="1"/>
  <c r="CH307" i="1" s="1"/>
  <c r="Z247" i="1"/>
  <c r="Z58" i="1"/>
  <c r="Z152" i="1"/>
  <c r="CJ183" i="1"/>
  <c r="CI261" i="1"/>
  <c r="X307" i="1"/>
  <c r="Y268" i="1"/>
  <c r="CG81" i="1"/>
  <c r="KC20" i="4"/>
  <c r="JO19" i="4"/>
  <c r="CI132" i="1" s="1"/>
  <c r="CK182" i="1"/>
  <c r="X216" i="1"/>
  <c r="X244" i="1"/>
  <c r="X243" i="1" s="1"/>
  <c r="Y256" i="1"/>
  <c r="CJ241" i="1"/>
  <c r="CJ216" i="1"/>
  <c r="CJ224" i="1" s="1"/>
  <c r="CJ59" i="1"/>
  <c r="Z241" i="1"/>
  <c r="CK162" i="1"/>
  <c r="X152" i="1"/>
  <c r="CJ185" i="1"/>
  <c r="CK185" i="1" s="1"/>
  <c r="CK186" i="1"/>
  <c r="CL186" i="1" s="1"/>
  <c r="CL185" i="1" s="1"/>
  <c r="CM185" i="1" s="1"/>
  <c r="CN185" i="1" s="1"/>
  <c r="CO185" i="1" s="1"/>
  <c r="CP185" i="1" s="1"/>
  <c r="Z255" i="1"/>
  <c r="Y241" i="1"/>
  <c r="Y216" i="1"/>
  <c r="Y224" i="1" s="1"/>
  <c r="AB187" i="1"/>
  <c r="CQ187" i="1"/>
  <c r="CR187" i="1" s="1"/>
  <c r="CS187" i="1" s="1"/>
  <c r="CT187" i="1" s="1"/>
  <c r="Z308" i="1"/>
  <c r="Z265" i="1"/>
  <c r="Z183" i="1"/>
  <c r="Z227" i="1"/>
  <c r="Z163" i="1" s="1"/>
  <c r="CR99" i="1"/>
  <c r="CS99" i="1" s="1"/>
  <c r="CT99" i="1" s="1"/>
  <c r="CU99" i="1" s="1"/>
  <c r="Z81" i="1"/>
  <c r="CK58" i="1"/>
  <c r="CJ284" i="1"/>
  <c r="CH59" i="1"/>
  <c r="CI178" i="1"/>
  <c r="CI182" i="1" s="1"/>
  <c r="CJ308" i="1" s="1"/>
  <c r="CH182" i="1"/>
  <c r="Y255" i="1"/>
  <c r="X241" i="1"/>
  <c r="JS20" i="4"/>
  <c r="KF19" i="4"/>
  <c r="CK59" i="1"/>
  <c r="CJ81" i="1"/>
  <c r="CK161" i="1"/>
  <c r="JZ20" i="4"/>
  <c r="CH117" i="1"/>
  <c r="CI119" i="1"/>
  <c r="Y305" i="1"/>
  <c r="JT20" i="4"/>
  <c r="KG19" i="4"/>
  <c r="CJ307" i="1"/>
  <c r="CK268" i="1"/>
  <c r="CJ305" i="1"/>
  <c r="CJ303" i="1"/>
  <c r="X81" i="1"/>
  <c r="JZ19" i="4"/>
  <c r="CI268" i="1"/>
  <c r="JU20" i="4"/>
  <c r="CI59" i="1"/>
  <c r="CL66" i="1"/>
  <c r="Z188" i="1"/>
  <c r="CH185" i="1"/>
  <c r="JT19" i="4"/>
  <c r="Y308" i="1"/>
  <c r="Y183" i="1"/>
  <c r="Y265" i="1"/>
  <c r="Y227" i="1"/>
  <c r="Y163" i="1" s="1"/>
  <c r="CI222" i="1"/>
  <c r="CK261" i="1"/>
  <c r="JU19" i="4"/>
  <c r="Z307" i="1"/>
  <c r="Y58" i="1"/>
  <c r="Y152" i="1"/>
  <c r="Y247" i="1"/>
  <c r="Y303" i="1"/>
  <c r="BZ179" i="1"/>
  <c r="CA179" i="1" s="1"/>
  <c r="BL127" i="1"/>
  <c r="CF128" i="1"/>
  <c r="CB200" i="1"/>
  <c r="CC200" i="1" s="1"/>
  <c r="CD208" i="1"/>
  <c r="CB223" i="1"/>
  <c r="CC223" i="1" s="1"/>
  <c r="BL178" i="1"/>
  <c r="BM178" i="1" s="1"/>
  <c r="CD187" i="1"/>
  <c r="CD178" i="1"/>
  <c r="CE178" i="1" s="1"/>
  <c r="CF181" i="1"/>
  <c r="CG181" i="1" s="1"/>
  <c r="CB181" i="1"/>
  <c r="CC181" i="1" s="1"/>
  <c r="CB214" i="1"/>
  <c r="CC214" i="1" s="1"/>
  <c r="CB196" i="1"/>
  <c r="CB238" i="1" s="1"/>
  <c r="CC238" i="1" s="1"/>
  <c r="BZ208" i="1"/>
  <c r="BZ223" i="1"/>
  <c r="CA223" i="1" s="1"/>
  <c r="BZ209" i="1"/>
  <c r="CA209" i="1" s="1"/>
  <c r="BZ219" i="1"/>
  <c r="BZ213" i="1"/>
  <c r="CA213" i="1" s="1"/>
  <c r="BZ186" i="1"/>
  <c r="BL197" i="1"/>
  <c r="BL239" i="1" s="1"/>
  <c r="BM239" i="1" s="1"/>
  <c r="BL208" i="1"/>
  <c r="BL176" i="1"/>
  <c r="BM176" i="1" s="1"/>
  <c r="CA127" i="1"/>
  <c r="CF127" i="1"/>
  <c r="CF200" i="1"/>
  <c r="CG200" i="1" s="1"/>
  <c r="CF187" i="1"/>
  <c r="CB128" i="1"/>
  <c r="CF196" i="1"/>
  <c r="CF238" i="1" s="1"/>
  <c r="CG238" i="1" s="1"/>
  <c r="CG196" i="1" s="1"/>
  <c r="CF176" i="1"/>
  <c r="CG176" i="1" s="1"/>
  <c r="CB212" i="1"/>
  <c r="CC212" i="1" s="1"/>
  <c r="CF223" i="1"/>
  <c r="CG223" i="1" s="1"/>
  <c r="CB179" i="1"/>
  <c r="CC179" i="1" s="1"/>
  <c r="CB222" i="1"/>
  <c r="CC222" i="1" s="1"/>
  <c r="CD128" i="1"/>
  <c r="CB218" i="1"/>
  <c r="CD197" i="1"/>
  <c r="CD239" i="1" s="1"/>
  <c r="CE239" i="1" s="1"/>
  <c r="CD176" i="1"/>
  <c r="CE176" i="1" s="1"/>
  <c r="BL179" i="1"/>
  <c r="CD185" i="1"/>
  <c r="CD210" i="1"/>
  <c r="CE210" i="1" s="1"/>
  <c r="CD218" i="1"/>
  <c r="CD206" i="1"/>
  <c r="CE206" i="1" s="1"/>
  <c r="CF194" i="1"/>
  <c r="CF180" i="1"/>
  <c r="CG180" i="1" s="1"/>
  <c r="CB206" i="1"/>
  <c r="CC206" i="1" s="1"/>
  <c r="BL209" i="1"/>
  <c r="BM209" i="1" s="1"/>
  <c r="BL222" i="1"/>
  <c r="BM222" i="1" s="1"/>
  <c r="BL223" i="1"/>
  <c r="CB180" i="1"/>
  <c r="CC180" i="1" s="1"/>
  <c r="CE128" i="1"/>
  <c r="BZ218" i="1"/>
  <c r="BZ222" i="1"/>
  <c r="CA222" i="1" s="1"/>
  <c r="BZ173" i="1"/>
  <c r="BZ181" i="1"/>
  <c r="CA181" i="1" s="1"/>
  <c r="CF197" i="1"/>
  <c r="CF239" i="1" s="1"/>
  <c r="CG239" i="1" s="1"/>
  <c r="CG197" i="1" s="1"/>
  <c r="CF186" i="1"/>
  <c r="CF212" i="1"/>
  <c r="CB173" i="1"/>
  <c r="CB197" i="1"/>
  <c r="CB239" i="1" s="1"/>
  <c r="CC239" i="1" s="1"/>
  <c r="CD219" i="1"/>
  <c r="CD214" i="1"/>
  <c r="CE214" i="1" s="1"/>
  <c r="CB127" i="1"/>
  <c r="BZ211" i="1"/>
  <c r="CA211" i="1" s="1"/>
  <c r="BZ187" i="1"/>
  <c r="BZ171" i="1"/>
  <c r="BZ205" i="1"/>
  <c r="CA205" i="1" s="1"/>
  <c r="BZ128" i="1"/>
  <c r="BZ178" i="1"/>
  <c r="CA178" i="1" s="1"/>
  <c r="BZ180" i="1"/>
  <c r="CA180" i="1" s="1"/>
  <c r="BZ206" i="1"/>
  <c r="CA206" i="1" s="1"/>
  <c r="BZ185" i="1"/>
  <c r="BL187" i="1"/>
  <c r="BL212" i="1"/>
  <c r="BM212" i="1" s="1"/>
  <c r="CF178" i="1"/>
  <c r="CF208" i="1"/>
  <c r="CD209" i="1"/>
  <c r="CE209" i="1" s="1"/>
  <c r="CF209" i="1"/>
  <c r="CG209" i="1" s="1"/>
  <c r="CB185" i="1"/>
  <c r="CB209" i="1"/>
  <c r="CC209" i="1" s="1"/>
  <c r="BY128" i="1"/>
  <c r="CD222" i="1"/>
  <c r="CE222" i="1" s="1"/>
  <c r="CD189" i="1"/>
  <c r="CE189" i="1" s="1"/>
  <c r="BL219" i="1"/>
  <c r="CB208" i="1"/>
  <c r="CB172" i="1"/>
  <c r="CC172" i="1" s="1"/>
  <c r="BL213" i="1"/>
  <c r="BM213" i="1" s="1"/>
  <c r="CD181" i="1"/>
  <c r="CE181" i="1" s="1"/>
  <c r="CD205" i="1"/>
  <c r="CE205" i="1" s="1"/>
  <c r="CD173" i="1"/>
  <c r="CD200" i="1"/>
  <c r="CE200" i="1" s="1"/>
  <c r="CD211" i="1"/>
  <c r="CE211" i="1" s="1"/>
  <c r="CD194" i="1"/>
  <c r="CE194" i="1" s="1"/>
  <c r="CF171" i="1"/>
  <c r="CF172" i="1"/>
  <c r="CG172" i="1" s="1"/>
  <c r="CF210" i="1"/>
  <c r="CG210" i="1" s="1"/>
  <c r="CF222" i="1"/>
  <c r="CG222" i="1" s="1"/>
  <c r="CB219" i="1"/>
  <c r="CB194" i="1"/>
  <c r="AI128" i="1"/>
  <c r="BL205" i="1"/>
  <c r="BM205" i="1" s="1"/>
  <c r="BL189" i="1"/>
  <c r="BM189" i="1" s="1"/>
  <c r="BL180" i="1"/>
  <c r="BM180" i="1" s="1"/>
  <c r="CB178" i="1"/>
  <c r="CC178" i="1" s="1"/>
  <c r="BL200" i="1"/>
  <c r="BM200" i="1" s="1"/>
  <c r="BZ189" i="1"/>
  <c r="CA189" i="1" s="1"/>
  <c r="BZ127" i="1"/>
  <c r="BL214" i="1"/>
  <c r="BM214" i="1" s="1"/>
  <c r="CB186" i="1"/>
  <c r="CF205" i="1"/>
  <c r="CG205" i="1" s="1"/>
  <c r="CB205" i="1"/>
  <c r="CC205" i="1" s="1"/>
  <c r="CD127" i="1"/>
  <c r="CC128" i="1"/>
  <c r="CD172" i="1"/>
  <c r="CE172" i="1" s="1"/>
  <c r="BL173" i="1"/>
  <c r="CD179" i="1"/>
  <c r="CE179" i="1" s="1"/>
  <c r="CF218" i="1"/>
  <c r="CF214" i="1"/>
  <c r="CG214" i="1" s="1"/>
  <c r="CE127" i="1"/>
  <c r="BZ197" i="1"/>
  <c r="BZ239" i="1" s="1"/>
  <c r="CA239" i="1" s="1"/>
  <c r="BZ176" i="1"/>
  <c r="CA176" i="1" s="1"/>
  <c r="BZ196" i="1"/>
  <c r="BZ238" i="1" s="1"/>
  <c r="CA238" i="1" s="1"/>
  <c r="BZ172" i="1"/>
  <c r="CA172" i="1" s="1"/>
  <c r="BZ212" i="1"/>
  <c r="BZ210" i="1"/>
  <c r="CA210" i="1" s="1"/>
  <c r="BZ200" i="1"/>
  <c r="CA200" i="1" s="1"/>
  <c r="BZ194" i="1"/>
  <c r="CA194" i="1" s="1"/>
  <c r="BZ214" i="1"/>
  <c r="CA214" i="1" s="1"/>
  <c r="BL211" i="1"/>
  <c r="BM211" i="1" s="1"/>
  <c r="BL196" i="1"/>
  <c r="BL238" i="1" s="1"/>
  <c r="BM238" i="1" s="1"/>
  <c r="BL185" i="1"/>
  <c r="BL186" i="1"/>
  <c r="CA128" i="1"/>
  <c r="CF211" i="1"/>
  <c r="CG211" i="1" s="1"/>
  <c r="CF213" i="1"/>
  <c r="CG213" i="1" s="1"/>
  <c r="CF219" i="1"/>
  <c r="CB171" i="1"/>
  <c r="CC171" i="1" s="1"/>
  <c r="CF185" i="1"/>
  <c r="CF173" i="1"/>
  <c r="CF179" i="1"/>
  <c r="CG179" i="1" s="1"/>
  <c r="CD180" i="1"/>
  <c r="CE180" i="1" s="1"/>
  <c r="CB211" i="1"/>
  <c r="CC211" i="1" s="1"/>
  <c r="CB189" i="1"/>
  <c r="CC189" i="1" s="1"/>
  <c r="CB210" i="1"/>
  <c r="CC210" i="1" s="1"/>
  <c r="CD171" i="1"/>
  <c r="BL194" i="1"/>
  <c r="CB187" i="1"/>
  <c r="BL181" i="1"/>
  <c r="BM181" i="1" s="1"/>
  <c r="CD186" i="1"/>
  <c r="CD196" i="1"/>
  <c r="CD238" i="1" s="1"/>
  <c r="CE238" i="1" s="1"/>
  <c r="CD213" i="1"/>
  <c r="CE213" i="1" s="1"/>
  <c r="CD212" i="1"/>
  <c r="CE212" i="1" s="1"/>
  <c r="CD223" i="1"/>
  <c r="CE223" i="1" s="1"/>
  <c r="CF189" i="1"/>
  <c r="CG189" i="1" s="1"/>
  <c r="CF206" i="1"/>
  <c r="CG206" i="1" s="1"/>
  <c r="CC127" i="1"/>
  <c r="CB213" i="1"/>
  <c r="CC213" i="1" s="1"/>
  <c r="CB176" i="1"/>
  <c r="CC176" i="1" s="1"/>
  <c r="BL218" i="1"/>
  <c r="BL171" i="1"/>
  <c r="BM171" i="1" s="1"/>
  <c r="BL210" i="1"/>
  <c r="BM210" i="1" s="1"/>
  <c r="BL206" i="1"/>
  <c r="BM206" i="1" s="1"/>
  <c r="BL172" i="1"/>
  <c r="BM172" i="1" s="1"/>
  <c r="BL312" i="1"/>
  <c r="CH152" i="1"/>
  <c r="CB191" i="1"/>
  <c r="CC191" i="1" s="1"/>
  <c r="CF191" i="1"/>
  <c r="CG191" i="1" s="1"/>
  <c r="CD191" i="1"/>
  <c r="CE191" i="1" s="1"/>
  <c r="BL191" i="1"/>
  <c r="BM191" i="1" s="1"/>
  <c r="BZ191" i="1"/>
  <c r="CA191" i="1" s="1"/>
  <c r="BL203" i="1"/>
  <c r="CD203" i="1"/>
  <c r="CB203" i="1"/>
  <c r="CF203" i="1"/>
  <c r="BZ203" i="1"/>
  <c r="CA311" i="1"/>
  <c r="JJ21" i="4"/>
  <c r="CD131" i="1" s="1"/>
  <c r="CA57" i="1"/>
  <c r="JK14" i="4"/>
  <c r="BL57" i="1"/>
  <c r="BL64" i="1" s="1"/>
  <c r="BY57" i="1"/>
  <c r="BY64" i="1" s="1"/>
  <c r="BL253" i="1"/>
  <c r="CF57" i="1"/>
  <c r="CF311" i="1"/>
  <c r="JL21" i="4"/>
  <c r="CF131" i="1" s="1"/>
  <c r="CF152" i="1"/>
  <c r="CE290" i="1"/>
  <c r="CC312" i="1"/>
  <c r="CE311" i="1"/>
  <c r="CC311" i="1"/>
  <c r="JM7" i="4"/>
  <c r="CA312" i="1"/>
  <c r="JJ8" i="4"/>
  <c r="BZ311" i="1"/>
  <c r="BZ57" i="1"/>
  <c r="BZ64" i="1" s="1"/>
  <c r="CA253" i="1"/>
  <c r="CD312" i="1"/>
  <c r="CB152" i="1"/>
  <c r="JK21" i="4"/>
  <c r="CE131" i="1" s="1"/>
  <c r="JK15" i="4"/>
  <c r="CD311" i="1"/>
  <c r="JL14" i="4"/>
  <c r="CI152" i="1"/>
  <c r="CF290" i="1"/>
  <c r="BY312" i="1"/>
  <c r="JL8" i="4"/>
  <c r="BL311" i="1"/>
  <c r="CE152" i="1"/>
  <c r="CD57" i="1"/>
  <c r="CD64" i="1" s="1"/>
  <c r="CC57" i="1"/>
  <c r="CC64" i="1" s="1"/>
  <c r="CD253" i="1"/>
  <c r="CE57" i="1"/>
  <c r="CE64" i="1" s="1"/>
  <c r="CG152" i="1"/>
  <c r="CD152" i="1"/>
  <c r="CB57" i="1"/>
  <c r="CB64" i="1" s="1"/>
  <c r="CB311" i="1"/>
  <c r="CC152" i="1"/>
  <c r="JJ15" i="4"/>
  <c r="CB312" i="1"/>
  <c r="BY311" i="1"/>
  <c r="JM8" i="4"/>
  <c r="JL7" i="4"/>
  <c r="CF312" i="1"/>
  <c r="JJ7" i="4"/>
  <c r="JK8" i="4"/>
  <c r="JM21" i="4"/>
  <c r="CG131" i="1" s="1"/>
  <c r="BZ312" i="1"/>
  <c r="CE312" i="1"/>
  <c r="JK7" i="4"/>
  <c r="BL80" i="1"/>
  <c r="JL15" i="4"/>
  <c r="JM14" i="4"/>
  <c r="JM15" i="4"/>
  <c r="JJ14" i="4"/>
  <c r="CS239" i="1"/>
  <c r="AD100" i="1"/>
  <c r="CZ100" i="1"/>
  <c r="DA100" i="1" s="1"/>
  <c r="DB100" i="1" s="1"/>
  <c r="AE89" i="1"/>
  <c r="U55" i="1"/>
  <c r="V55" i="1"/>
  <c r="W55" i="1"/>
  <c r="CH215" i="1" l="1"/>
  <c r="CH244" i="1" s="1"/>
  <c r="CH243" i="1" s="1"/>
  <c r="CI243" i="1" s="1"/>
  <c r="CI214" i="1" s="1"/>
  <c r="CF64" i="1"/>
  <c r="AA113" i="1" s="1"/>
  <c r="AA112" i="1"/>
  <c r="CD242" i="1"/>
  <c r="CE242" i="1" s="1"/>
  <c r="CD215" i="1"/>
  <c r="BZ242" i="1"/>
  <c r="CA242" i="1" s="1"/>
  <c r="BZ215" i="1"/>
  <c r="BL242" i="1"/>
  <c r="BM242" i="1" s="1"/>
  <c r="BL215" i="1"/>
  <c r="CF242" i="1"/>
  <c r="CG242" i="1" s="1"/>
  <c r="CG208" i="1" s="1"/>
  <c r="CF215" i="1"/>
  <c r="CB242" i="1"/>
  <c r="CC242" i="1" s="1"/>
  <c r="CB215" i="1"/>
  <c r="CM38" i="1"/>
  <c r="CA64" i="1"/>
  <c r="CA65" i="1" s="1"/>
  <c r="CK43" i="1"/>
  <c r="CM81" i="1"/>
  <c r="CN81" i="1" s="1"/>
  <c r="CO81" i="1" s="1"/>
  <c r="CP81" i="1" s="1"/>
  <c r="CM49" i="1"/>
  <c r="CK44" i="1"/>
  <c r="CI27" i="1"/>
  <c r="CH27" i="1"/>
  <c r="CN27" i="1"/>
  <c r="CM36" i="1"/>
  <c r="CM47" i="1" s="1"/>
  <c r="CG29" i="1"/>
  <c r="CG27" i="1"/>
  <c r="CJ29" i="1"/>
  <c r="CH29" i="1"/>
  <c r="CM35" i="1"/>
  <c r="CM46" i="1" s="1"/>
  <c r="CN28" i="1"/>
  <c r="CL26" i="1"/>
  <c r="CM26" i="1" s="1"/>
  <c r="CN26" i="1" s="1"/>
  <c r="CO26" i="1" s="1"/>
  <c r="CP26" i="1" s="1"/>
  <c r="CJ28" i="1"/>
  <c r="CI28" i="1"/>
  <c r="CH28" i="1"/>
  <c r="CG28" i="1"/>
  <c r="CJ27" i="1"/>
  <c r="CL46" i="1"/>
  <c r="CL44" i="1"/>
  <c r="CK46" i="1"/>
  <c r="CK28" i="1"/>
  <c r="CK47" i="1"/>
  <c r="CK27" i="1"/>
  <c r="CK29" i="1"/>
  <c r="CK49" i="1"/>
  <c r="CN38" i="1"/>
  <c r="CN49" i="1" s="1"/>
  <c r="DA22" i="1"/>
  <c r="CZ15" i="1"/>
  <c r="AA32" i="1"/>
  <c r="AA33" i="1"/>
  <c r="AA36" i="1"/>
  <c r="CI29" i="1"/>
  <c r="AA38" i="1"/>
  <c r="AA35" i="1"/>
  <c r="CI34" i="1"/>
  <c r="CH37" i="1"/>
  <c r="CG37" i="1"/>
  <c r="CL39" i="1"/>
  <c r="CG34" i="1"/>
  <c r="CJ34" i="1"/>
  <c r="CL225" i="1"/>
  <c r="CK34" i="1"/>
  <c r="CI37" i="1"/>
  <c r="CL67" i="1"/>
  <c r="CC38" i="1"/>
  <c r="CG49" i="1" s="1"/>
  <c r="CC36" i="1"/>
  <c r="CC27" i="1" s="1"/>
  <c r="CC35" i="1"/>
  <c r="CC28" i="1" s="1"/>
  <c r="CC33" i="1"/>
  <c r="CG44" i="1" s="1"/>
  <c r="CC32" i="1"/>
  <c r="CG43" i="1" s="1"/>
  <c r="CD82" i="1"/>
  <c r="CD38" i="1"/>
  <c r="CD29" i="1" s="1"/>
  <c r="CD36" i="1"/>
  <c r="CD27" i="1" s="1"/>
  <c r="CD35" i="1"/>
  <c r="CD28" i="1" s="1"/>
  <c r="CD33" i="1"/>
  <c r="CH44" i="1" s="1"/>
  <c r="CD32" i="1"/>
  <c r="CH43" i="1" s="1"/>
  <c r="CF38" i="1"/>
  <c r="CF29" i="1" s="1"/>
  <c r="CF36" i="1"/>
  <c r="CF27" i="1" s="1"/>
  <c r="CF35" i="1"/>
  <c r="CF28" i="1" s="1"/>
  <c r="CF33" i="1"/>
  <c r="CJ44" i="1" s="1"/>
  <c r="CF32" i="1"/>
  <c r="CJ43" i="1" s="1"/>
  <c r="CK82" i="1"/>
  <c r="CK88" i="1" s="1"/>
  <c r="CK92" i="1" s="1"/>
  <c r="CK37" i="1"/>
  <c r="CH34" i="1"/>
  <c r="CE33" i="1"/>
  <c r="CI44" i="1" s="1"/>
  <c r="CE32" i="1"/>
  <c r="CI43" i="1" s="1"/>
  <c r="CE38" i="1"/>
  <c r="CI49" i="1" s="1"/>
  <c r="CE36" i="1"/>
  <c r="CE27" i="1" s="1"/>
  <c r="CE35" i="1"/>
  <c r="CE28" i="1" s="1"/>
  <c r="CJ37" i="1"/>
  <c r="Y262" i="1"/>
  <c r="Y260" i="1" s="1"/>
  <c r="CL240" i="1"/>
  <c r="X224" i="1"/>
  <c r="X225" i="1" s="1"/>
  <c r="CL165" i="1"/>
  <c r="CK158" i="1"/>
  <c r="X305" i="1"/>
  <c r="CK156" i="1"/>
  <c r="CJ265" i="1"/>
  <c r="CI162" i="1"/>
  <c r="CM243" i="1"/>
  <c r="CN243" i="1" s="1"/>
  <c r="CO243" i="1" s="1"/>
  <c r="CP243" i="1" s="1"/>
  <c r="CQ243" i="1" s="1"/>
  <c r="CR243" i="1" s="1"/>
  <c r="CK244" i="1"/>
  <c r="CL83" i="1"/>
  <c r="CL291" i="1"/>
  <c r="CL292" i="1" s="1"/>
  <c r="CL88" i="1"/>
  <c r="CL92" i="1" s="1"/>
  <c r="CL149" i="1"/>
  <c r="CL157" i="1"/>
  <c r="CL161" i="1"/>
  <c r="CL164" i="1" s="1"/>
  <c r="CI153" i="1"/>
  <c r="CI156" i="1" s="1"/>
  <c r="CL308" i="1"/>
  <c r="CL265" i="1"/>
  <c r="CK188" i="1"/>
  <c r="CJ158" i="1"/>
  <c r="Y257" i="1"/>
  <c r="CJ150" i="1"/>
  <c r="CJ157" i="1"/>
  <c r="CH216" i="1"/>
  <c r="CJ149" i="1"/>
  <c r="AC99" i="1"/>
  <c r="CJ225" i="1"/>
  <c r="Z244" i="1"/>
  <c r="Z243" i="1" s="1"/>
  <c r="Z256" i="1"/>
  <c r="Z257" i="1" s="1"/>
  <c r="CJ240" i="1"/>
  <c r="CK240" i="1" s="1"/>
  <c r="CJ245" i="1"/>
  <c r="CM242" i="1"/>
  <c r="X65" i="1"/>
  <c r="X82" i="1"/>
  <c r="Y66" i="1"/>
  <c r="CU187" i="1"/>
  <c r="CV187" i="1" s="1"/>
  <c r="CW187" i="1" s="1"/>
  <c r="CX187" i="1" s="1"/>
  <c r="AC187" i="1"/>
  <c r="CM194" i="1"/>
  <c r="CK308" i="1"/>
  <c r="CK265" i="1"/>
  <c r="CG117" i="1"/>
  <c r="CH119" i="1"/>
  <c r="CH188" i="1"/>
  <c r="CI185" i="1"/>
  <c r="CI188" i="1" s="1"/>
  <c r="Y225" i="1"/>
  <c r="CM178" i="1"/>
  <c r="CK66" i="1"/>
  <c r="CG82" i="1"/>
  <c r="CH67" i="1"/>
  <c r="CG65" i="1"/>
  <c r="CK67" i="1"/>
  <c r="CJ82" i="1"/>
  <c r="CJ65" i="1"/>
  <c r="Z192" i="1"/>
  <c r="AA262" i="1" s="1"/>
  <c r="AA260" i="1" s="1"/>
  <c r="Z87" i="1"/>
  <c r="Y240" i="1"/>
  <c r="Y245" i="1"/>
  <c r="CI161" i="1"/>
  <c r="Z240" i="1"/>
  <c r="CH82" i="1"/>
  <c r="CL84" i="1" s="1"/>
  <c r="CI67" i="1"/>
  <c r="CH65" i="1"/>
  <c r="X240" i="1"/>
  <c r="X245" i="1"/>
  <c r="Y82" i="1"/>
  <c r="Y65" i="1"/>
  <c r="Z66" i="1"/>
  <c r="CV99" i="1"/>
  <c r="CW99" i="1" s="1"/>
  <c r="CX99" i="1" s="1"/>
  <c r="CY99" i="1" s="1"/>
  <c r="CZ99" i="1" s="1"/>
  <c r="DA99" i="1" s="1"/>
  <c r="DB99" i="1" s="1"/>
  <c r="AE99" i="1" s="1"/>
  <c r="CH227" i="1"/>
  <c r="CH183" i="1"/>
  <c r="CI65" i="1"/>
  <c r="CI82" i="1"/>
  <c r="CJ67" i="1"/>
  <c r="Z82" i="1"/>
  <c r="Z65" i="1"/>
  <c r="CH240" i="1"/>
  <c r="CI240" i="1" s="1"/>
  <c r="CI308" i="1"/>
  <c r="CI265" i="1"/>
  <c r="BZ220" i="1"/>
  <c r="BL220" i="1"/>
  <c r="CB261" i="1"/>
  <c r="CA171" i="1"/>
  <c r="BZ174" i="1"/>
  <c r="BL174" i="1"/>
  <c r="CB220" i="1"/>
  <c r="CC268" i="1" s="1"/>
  <c r="CG178" i="1"/>
  <c r="CG182" i="1" s="1"/>
  <c r="CF182" i="1"/>
  <c r="CD188" i="1"/>
  <c r="CE87" i="1" s="1"/>
  <c r="CC194" i="1"/>
  <c r="CD261" i="1" s="1"/>
  <c r="CE171" i="1"/>
  <c r="CD174" i="1"/>
  <c r="BM194" i="1"/>
  <c r="BM261" i="1" s="1"/>
  <c r="CD220" i="1"/>
  <c r="CF261" i="1"/>
  <c r="CE182" i="1"/>
  <c r="BM179" i="1"/>
  <c r="BM182" i="1" s="1"/>
  <c r="BL182" i="1"/>
  <c r="CG194" i="1"/>
  <c r="CG212" i="1"/>
  <c r="CG171" i="1"/>
  <c r="CF174" i="1"/>
  <c r="CA212" i="1"/>
  <c r="BZ188" i="1"/>
  <c r="BZ192" i="1" s="1"/>
  <c r="CA182" i="1"/>
  <c r="CB188" i="1"/>
  <c r="CF220" i="1"/>
  <c r="BL188" i="1"/>
  <c r="CF188" i="1"/>
  <c r="CF192" i="1" s="1"/>
  <c r="CC182" i="1"/>
  <c r="CB182" i="1"/>
  <c r="CE261" i="1"/>
  <c r="BZ182" i="1"/>
  <c r="CB174" i="1"/>
  <c r="CD182" i="1"/>
  <c r="BM203" i="1"/>
  <c r="BL207" i="1"/>
  <c r="CE203" i="1"/>
  <c r="CD207" i="1"/>
  <c r="CC203" i="1"/>
  <c r="CB207" i="1"/>
  <c r="CG203" i="1"/>
  <c r="CG207" i="1" s="1"/>
  <c r="CG241" i="1" s="1"/>
  <c r="CG240" i="1" s="1"/>
  <c r="CF207" i="1"/>
  <c r="CA203" i="1"/>
  <c r="BZ207" i="1"/>
  <c r="CA81" i="1"/>
  <c r="CA59" i="1"/>
  <c r="JK19" i="4"/>
  <c r="CE132" i="1" s="1"/>
  <c r="BL81" i="1"/>
  <c r="CC58" i="1"/>
  <c r="CC81" i="1"/>
  <c r="CI284" i="1"/>
  <c r="CF82" i="1"/>
  <c r="CG59" i="1"/>
  <c r="CJ58" i="1"/>
  <c r="BY81" i="1"/>
  <c r="JL20" i="4"/>
  <c r="CF133" i="1" s="1"/>
  <c r="CF81" i="1"/>
  <c r="Y112" i="1"/>
  <c r="JJ19" i="4"/>
  <c r="CD132" i="1" s="1"/>
  <c r="JM20" i="4"/>
  <c r="CG133" i="1" s="1"/>
  <c r="CD81" i="1"/>
  <c r="JM19" i="4"/>
  <c r="CG132" i="1" s="1"/>
  <c r="JJ20" i="4"/>
  <c r="CD133" i="1" s="1"/>
  <c r="JL19" i="4"/>
  <c r="CF132" i="1" s="1"/>
  <c r="JK20" i="4"/>
  <c r="CE133" i="1" s="1"/>
  <c r="CD247" i="1"/>
  <c r="CD58" i="1"/>
  <c r="BZ59" i="1"/>
  <c r="CD284" i="1"/>
  <c r="BZ81" i="1"/>
  <c r="CE196" i="1"/>
  <c r="CE247" i="1"/>
  <c r="CG247" i="1"/>
  <c r="CF58" i="1"/>
  <c r="CH284" i="1"/>
  <c r="CJ247" i="1"/>
  <c r="CE81" i="1"/>
  <c r="CC67" i="1"/>
  <c r="CF284" i="1"/>
  <c r="CB59" i="1"/>
  <c r="Z112" i="1"/>
  <c r="CE58" i="1"/>
  <c r="CG284" i="1"/>
  <c r="CF59" i="1"/>
  <c r="CF247" i="1"/>
  <c r="CE284" i="1"/>
  <c r="CC59" i="1"/>
  <c r="CC284" i="1"/>
  <c r="CE197" i="1"/>
  <c r="CB81" i="1"/>
  <c r="CB65" i="1"/>
  <c r="CB82" i="1"/>
  <c r="CD59" i="1"/>
  <c r="CH58" i="1"/>
  <c r="CI247" i="1"/>
  <c r="CI58" i="1"/>
  <c r="CG58" i="1"/>
  <c r="CE59" i="1"/>
  <c r="CH247" i="1"/>
  <c r="CA261" i="1"/>
  <c r="BL65" i="1"/>
  <c r="BL82" i="1"/>
  <c r="BY65" i="1"/>
  <c r="BY82" i="1"/>
  <c r="CT239" i="1"/>
  <c r="AE100" i="1"/>
  <c r="V290" i="1"/>
  <c r="W290" i="1"/>
  <c r="U290" i="1"/>
  <c r="CG215" i="1" l="1"/>
  <c r="AA114" i="1"/>
  <c r="CI244" i="1"/>
  <c r="CH245" i="1"/>
  <c r="CL248" i="1" s="1"/>
  <c r="CE208" i="1"/>
  <c r="CE215" i="1" s="1"/>
  <c r="CE244" i="1" s="1"/>
  <c r="CE243" i="1" s="1"/>
  <c r="CB67" i="1"/>
  <c r="AA272" i="1"/>
  <c r="AA269" i="1"/>
  <c r="AA270" i="1" s="1"/>
  <c r="AA84" i="1"/>
  <c r="AA309" i="1"/>
  <c r="AA310" i="1" s="1"/>
  <c r="CL85" i="1"/>
  <c r="CL309" i="1"/>
  <c r="CF244" i="1"/>
  <c r="CF243" i="1" s="1"/>
  <c r="BZ244" i="1"/>
  <c r="BZ243" i="1" s="1"/>
  <c r="CB244" i="1"/>
  <c r="CB243" i="1" s="1"/>
  <c r="BL244" i="1"/>
  <c r="BL243" i="1" s="1"/>
  <c r="CD244" i="1"/>
  <c r="CD243" i="1" s="1"/>
  <c r="CA82" i="1"/>
  <c r="CA291" i="1" s="1"/>
  <c r="CA292" i="1" s="1"/>
  <c r="CQ26" i="1"/>
  <c r="CR26" i="1" s="1"/>
  <c r="CS26" i="1" s="1"/>
  <c r="CT26" i="1" s="1"/>
  <c r="CU26" i="1" s="1"/>
  <c r="CV26" i="1" s="1"/>
  <c r="CW26" i="1" s="1"/>
  <c r="CX26" i="1" s="1"/>
  <c r="CY26" i="1" s="1"/>
  <c r="CZ26" i="1" s="1"/>
  <c r="DA26" i="1" s="1"/>
  <c r="DB26" i="1" s="1"/>
  <c r="CJ47" i="1"/>
  <c r="CI46" i="1"/>
  <c r="CH26" i="1"/>
  <c r="CG26" i="1"/>
  <c r="CI26" i="1"/>
  <c r="CM34" i="1"/>
  <c r="CM45" i="1" s="1"/>
  <c r="CG46" i="1"/>
  <c r="CL45" i="1"/>
  <c r="CI47" i="1"/>
  <c r="CL40" i="1"/>
  <c r="CM37" i="1"/>
  <c r="CM48" i="1" s="1"/>
  <c r="CH46" i="1"/>
  <c r="CJ46" i="1"/>
  <c r="CO28" i="1"/>
  <c r="CN35" i="1"/>
  <c r="CH49" i="1"/>
  <c r="CJ49" i="1"/>
  <c r="CG47" i="1"/>
  <c r="CO27" i="1"/>
  <c r="CN36" i="1"/>
  <c r="CN47" i="1" s="1"/>
  <c r="CJ26" i="1"/>
  <c r="CH47" i="1"/>
  <c r="CL48" i="1"/>
  <c r="CK48" i="1"/>
  <c r="CK26" i="1"/>
  <c r="CK45" i="1"/>
  <c r="AA34" i="1"/>
  <c r="AA27" i="1"/>
  <c r="AA29" i="1"/>
  <c r="Y33" i="1"/>
  <c r="Y32" i="1"/>
  <c r="AA37" i="1"/>
  <c r="AA28" i="1"/>
  <c r="Z33" i="1"/>
  <c r="AA44" i="1" s="1"/>
  <c r="CO38" i="1"/>
  <c r="CO49" i="1" s="1"/>
  <c r="DB22" i="1"/>
  <c r="DB15" i="1" s="1"/>
  <c r="DA15" i="1"/>
  <c r="CN34" i="1"/>
  <c r="Z32" i="1"/>
  <c r="Z43" i="1" s="1"/>
  <c r="Y35" i="1"/>
  <c r="Y36" i="1"/>
  <c r="CC29" i="1"/>
  <c r="Y38" i="1"/>
  <c r="Z35" i="1"/>
  <c r="Z28" i="1" s="1"/>
  <c r="Z36" i="1"/>
  <c r="Z27" i="1" s="1"/>
  <c r="CE29" i="1"/>
  <c r="Z38" i="1"/>
  <c r="Z29" i="1" s="1"/>
  <c r="CI39" i="1"/>
  <c r="CH39" i="1"/>
  <c r="CG39" i="1"/>
  <c r="CF37" i="1"/>
  <c r="CJ48" i="1" s="1"/>
  <c r="CK39" i="1"/>
  <c r="CJ39" i="1"/>
  <c r="CD65" i="1"/>
  <c r="CK83" i="1"/>
  <c r="CE67" i="1"/>
  <c r="CD34" i="1"/>
  <c r="CD26" i="1" s="1"/>
  <c r="CC37" i="1"/>
  <c r="CG48" i="1" s="1"/>
  <c r="CH66" i="1"/>
  <c r="CD66" i="1"/>
  <c r="CE34" i="1"/>
  <c r="CE26" i="1" s="1"/>
  <c r="CF34" i="1"/>
  <c r="CF26" i="1" s="1"/>
  <c r="CD37" i="1"/>
  <c r="CH48" i="1" s="1"/>
  <c r="CE37" i="1"/>
  <c r="CI48" i="1" s="1"/>
  <c r="CC34" i="1"/>
  <c r="CC26" i="1" s="1"/>
  <c r="CI158" i="1"/>
  <c r="CI157" i="1"/>
  <c r="CL94" i="1"/>
  <c r="CL95" i="1"/>
  <c r="CK192" i="1"/>
  <c r="CL87" i="1"/>
  <c r="CL166" i="1"/>
  <c r="CL285" i="1"/>
  <c r="CC261" i="1"/>
  <c r="AD99" i="1"/>
  <c r="Z245" i="1"/>
  <c r="Z262" i="1"/>
  <c r="Z260" i="1" s="1"/>
  <c r="Z303" i="1"/>
  <c r="Z305" i="1"/>
  <c r="CJ87" i="1"/>
  <c r="CI192" i="1"/>
  <c r="CJ262" i="1" s="1"/>
  <c r="CJ260" i="1" s="1"/>
  <c r="CN194" i="1"/>
  <c r="CN261" i="1" s="1"/>
  <c r="CH84" i="1"/>
  <c r="X83" i="1"/>
  <c r="X88" i="1"/>
  <c r="X166" i="1"/>
  <c r="X291" i="1"/>
  <c r="X292" i="1" s="1"/>
  <c r="Y84" i="1"/>
  <c r="CI85" i="1"/>
  <c r="CH309" i="1"/>
  <c r="CK166" i="1"/>
  <c r="CH291" i="1"/>
  <c r="CH292" i="1" s="1"/>
  <c r="CH83" i="1"/>
  <c r="CH88" i="1"/>
  <c r="CH92" i="1" s="1"/>
  <c r="CK84" i="1"/>
  <c r="CG83" i="1"/>
  <c r="CH85" i="1"/>
  <c r="CG88" i="1"/>
  <c r="CG291" i="1"/>
  <c r="CG292" i="1" s="1"/>
  <c r="CJ285" i="1"/>
  <c r="CJ166" i="1"/>
  <c r="Y309" i="1"/>
  <c r="Y310" i="1" s="1"/>
  <c r="Y83" i="1"/>
  <c r="Y291" i="1"/>
  <c r="Y292" i="1" s="1"/>
  <c r="Z84" i="1"/>
  <c r="Y166" i="1"/>
  <c r="Y88" i="1"/>
  <c r="CY187" i="1"/>
  <c r="CZ187" i="1" s="1"/>
  <c r="DA187" i="1" s="1"/>
  <c r="DB187" i="1" s="1"/>
  <c r="AE187" i="1" s="1"/>
  <c r="AD187" i="1"/>
  <c r="CH162" i="1"/>
  <c r="CH161" i="1"/>
  <c r="CH146" i="1"/>
  <c r="CF117" i="1"/>
  <c r="CG119" i="1"/>
  <c r="CG153" i="1" s="1"/>
  <c r="CG156" i="1" s="1"/>
  <c r="CH153" i="1"/>
  <c r="AB185" i="1"/>
  <c r="CQ185" i="1"/>
  <c r="CR185" i="1" s="1"/>
  <c r="CS185" i="1" s="1"/>
  <c r="CT185" i="1" s="1"/>
  <c r="Y248" i="1"/>
  <c r="Y249" i="1" s="1"/>
  <c r="Z224" i="1"/>
  <c r="Z225" i="1" s="1"/>
  <c r="CN242" i="1"/>
  <c r="CM244" i="1"/>
  <c r="CI88" i="1"/>
  <c r="CI83" i="1"/>
  <c r="CI291" i="1"/>
  <c r="CI292" i="1" s="1"/>
  <c r="CJ85" i="1"/>
  <c r="CI309" i="1"/>
  <c r="CI310" i="1" s="1"/>
  <c r="CN178" i="1"/>
  <c r="CM182" i="1"/>
  <c r="CH192" i="1"/>
  <c r="CI87" i="1"/>
  <c r="CK85" i="1"/>
  <c r="CJ291" i="1"/>
  <c r="CJ292" i="1" s="1"/>
  <c r="CJ83" i="1"/>
  <c r="CJ88" i="1"/>
  <c r="CJ92" i="1" s="1"/>
  <c r="CJ309" i="1"/>
  <c r="CJ310" i="1" s="1"/>
  <c r="Z88" i="1"/>
  <c r="Z309" i="1"/>
  <c r="Z310" i="1" s="1"/>
  <c r="Z83" i="1"/>
  <c r="Z166" i="1"/>
  <c r="Z291" i="1"/>
  <c r="Z292" i="1" s="1"/>
  <c r="CH163" i="1"/>
  <c r="CI91" i="1"/>
  <c r="CK241" i="1"/>
  <c r="CK245" i="1" s="1"/>
  <c r="CI241" i="1"/>
  <c r="CI200" i="1"/>
  <c r="CK95" i="1"/>
  <c r="CK94" i="1"/>
  <c r="CM261" i="1"/>
  <c r="CS243" i="1"/>
  <c r="CG308" i="1"/>
  <c r="CH261" i="1"/>
  <c r="CG261" i="1"/>
  <c r="CA268" i="1"/>
  <c r="BZ307" i="1"/>
  <c r="CD265" i="1"/>
  <c r="CF308" i="1"/>
  <c r="BM268" i="1"/>
  <c r="BL307" i="1"/>
  <c r="CF265" i="1"/>
  <c r="CF183" i="1"/>
  <c r="BL183" i="1"/>
  <c r="BL227" i="1"/>
  <c r="BL163" i="1" s="1"/>
  <c r="CA87" i="1"/>
  <c r="CA188" i="1"/>
  <c r="CB192" i="1"/>
  <c r="CC87" i="1"/>
  <c r="CC188" i="1"/>
  <c r="BZ227" i="1"/>
  <c r="BZ183" i="1"/>
  <c r="CD192" i="1"/>
  <c r="CE188" i="1"/>
  <c r="CE268" i="1"/>
  <c r="CD307" i="1"/>
  <c r="CA308" i="1"/>
  <c r="CA265" i="1"/>
  <c r="BM265" i="1"/>
  <c r="BM308" i="1"/>
  <c r="CG268" i="1"/>
  <c r="CF227" i="1"/>
  <c r="CF307" i="1"/>
  <c r="BM188" i="1"/>
  <c r="BM192" i="1" s="1"/>
  <c r="BL192" i="1"/>
  <c r="BL305" i="1" s="1"/>
  <c r="CG87" i="1"/>
  <c r="CG188" i="1"/>
  <c r="CH308" i="1"/>
  <c r="CH265" i="1"/>
  <c r="CG265" i="1"/>
  <c r="CB308" i="1"/>
  <c r="CB183" i="1"/>
  <c r="CB227" i="1"/>
  <c r="CB265" i="1"/>
  <c r="CB307" i="1"/>
  <c r="CC308" i="1"/>
  <c r="CC265" i="1"/>
  <c r="CE265" i="1"/>
  <c r="CD308" i="1"/>
  <c r="CD183" i="1"/>
  <c r="CD227" i="1"/>
  <c r="CE308" i="1"/>
  <c r="BL241" i="1"/>
  <c r="BL216" i="1"/>
  <c r="CD241" i="1"/>
  <c r="CD216" i="1"/>
  <c r="CB241" i="1"/>
  <c r="CB216" i="1"/>
  <c r="CF241" i="1"/>
  <c r="CF216" i="1"/>
  <c r="CF224" i="1" s="1"/>
  <c r="BZ241" i="1"/>
  <c r="BZ216" i="1"/>
  <c r="BZ224" i="1" s="1"/>
  <c r="BZ67" i="1"/>
  <c r="BZ82" i="1"/>
  <c r="BZ65" i="1"/>
  <c r="CA67" i="1"/>
  <c r="CG244" i="1"/>
  <c r="CH256" i="1"/>
  <c r="CG256" i="1"/>
  <c r="CJ66" i="1"/>
  <c r="CF65" i="1"/>
  <c r="CG67" i="1"/>
  <c r="CF66" i="1"/>
  <c r="BZ305" i="1"/>
  <c r="CF305" i="1"/>
  <c r="CF303" i="1"/>
  <c r="CG85" i="1"/>
  <c r="CI166" i="1"/>
  <c r="CG66" i="1"/>
  <c r="CC65" i="1"/>
  <c r="Y113" i="1"/>
  <c r="CC82" i="1"/>
  <c r="CC88" i="1" s="1"/>
  <c r="CC92" i="1" s="1"/>
  <c r="CD67" i="1"/>
  <c r="CC66" i="1"/>
  <c r="CE207" i="1"/>
  <c r="CG255" i="1"/>
  <c r="CI285" i="1"/>
  <c r="CG309" i="1"/>
  <c r="CF83" i="1"/>
  <c r="CF291" i="1"/>
  <c r="CF292" i="1" s="1"/>
  <c r="CJ84" i="1"/>
  <c r="CF88" i="1"/>
  <c r="CG216" i="1"/>
  <c r="CH255" i="1"/>
  <c r="CD83" i="1"/>
  <c r="CB83" i="1"/>
  <c r="CB291" i="1"/>
  <c r="CB292" i="1" s="1"/>
  <c r="CB88" i="1"/>
  <c r="CB92" i="1" s="1"/>
  <c r="CF84" i="1"/>
  <c r="CD291" i="1"/>
  <c r="CD292" i="1" s="1"/>
  <c r="CD88" i="1"/>
  <c r="CD92" i="1" s="1"/>
  <c r="CD95" i="1" s="1"/>
  <c r="CD293" i="1" s="1"/>
  <c r="CF67" i="1"/>
  <c r="CE66" i="1"/>
  <c r="CI66" i="1"/>
  <c r="Z113" i="1"/>
  <c r="CE82" i="1"/>
  <c r="CG285" i="1" s="1"/>
  <c r="CE65" i="1"/>
  <c r="BY88" i="1"/>
  <c r="BY92" i="1" s="1"/>
  <c r="BY83" i="1"/>
  <c r="BL88" i="1"/>
  <c r="BL92" i="1" s="1"/>
  <c r="BL83" i="1"/>
  <c r="CU239" i="1"/>
  <c r="AB213" i="1"/>
  <c r="A1" i="1"/>
  <c r="CL310" i="1" l="1"/>
  <c r="CE256" i="1"/>
  <c r="CF256" i="1"/>
  <c r="CA88" i="1"/>
  <c r="CA92" i="1" s="1"/>
  <c r="CA95" i="1" s="1"/>
  <c r="CA102" i="1" s="1"/>
  <c r="CA252" i="1" s="1"/>
  <c r="CA254" i="1" s="1"/>
  <c r="CA83" i="1"/>
  <c r="CB85" i="1"/>
  <c r="CB309" i="1"/>
  <c r="Z248" i="1"/>
  <c r="Z249" i="1" s="1"/>
  <c r="AA248" i="1"/>
  <c r="AA249" i="1" s="1"/>
  <c r="Z44" i="1"/>
  <c r="CG40" i="1"/>
  <c r="CJ40" i="1"/>
  <c r="CH40" i="1"/>
  <c r="CN45" i="1"/>
  <c r="AA49" i="1"/>
  <c r="CI45" i="1"/>
  <c r="CJ45" i="1"/>
  <c r="CI40" i="1"/>
  <c r="AE22" i="1"/>
  <c r="CM39" i="1"/>
  <c r="CN46" i="1"/>
  <c r="CN37" i="1"/>
  <c r="CN48" i="1" s="1"/>
  <c r="AA43" i="1"/>
  <c r="AA46" i="1"/>
  <c r="CH45" i="1"/>
  <c r="AA47" i="1"/>
  <c r="CP27" i="1"/>
  <c r="CO36" i="1"/>
  <c r="CO47" i="1" s="1"/>
  <c r="CP28" i="1"/>
  <c r="CO35" i="1"/>
  <c r="CO46" i="1" s="1"/>
  <c r="CL50" i="1"/>
  <c r="CG45" i="1"/>
  <c r="AA26" i="1"/>
  <c r="AA39" i="1"/>
  <c r="CK40" i="1"/>
  <c r="CK50" i="1"/>
  <c r="Y28" i="1"/>
  <c r="Z46" i="1"/>
  <c r="Y29" i="1"/>
  <c r="Z49" i="1"/>
  <c r="Y27" i="1"/>
  <c r="Z47" i="1"/>
  <c r="Y34" i="1"/>
  <c r="AE15" i="1"/>
  <c r="Z34" i="1"/>
  <c r="Z26" i="1" s="1"/>
  <c r="CP38" i="1"/>
  <c r="CP49" i="1" s="1"/>
  <c r="CL98" i="1"/>
  <c r="CO34" i="1"/>
  <c r="CO45" i="1" s="1"/>
  <c r="Y37" i="1"/>
  <c r="Z37" i="1"/>
  <c r="AA48" i="1" s="1"/>
  <c r="CF39" i="1"/>
  <c r="CF40" i="1" s="1"/>
  <c r="CC39" i="1"/>
  <c r="CC40" i="1" s="1"/>
  <c r="CD39" i="1"/>
  <c r="CD40" i="1" s="1"/>
  <c r="CE39" i="1"/>
  <c r="CE40" i="1" s="1"/>
  <c r="CL102" i="1"/>
  <c r="CL96" i="1"/>
  <c r="CL304" i="1" s="1"/>
  <c r="CL293" i="1"/>
  <c r="CL262" i="1"/>
  <c r="CL260" i="1" s="1"/>
  <c r="CK262" i="1"/>
  <c r="CK260" i="1" s="1"/>
  <c r="CL167" i="1"/>
  <c r="CL168" i="1"/>
  <c r="CH310" i="1"/>
  <c r="CI92" i="1"/>
  <c r="CL109" i="1"/>
  <c r="CG157" i="1"/>
  <c r="CG161" i="1"/>
  <c r="CG162" i="1"/>
  <c r="CM65" i="1"/>
  <c r="CM240" i="1"/>
  <c r="CU185" i="1"/>
  <c r="CV185" i="1" s="1"/>
  <c r="CW185" i="1" s="1"/>
  <c r="CX185" i="1" s="1"/>
  <c r="AC185" i="1"/>
  <c r="Y109" i="1"/>
  <c r="Y92" i="1"/>
  <c r="CH95" i="1"/>
  <c r="CL97" i="1" s="1"/>
  <c r="CH94" i="1"/>
  <c r="CI262" i="1"/>
  <c r="CI260" i="1" s="1"/>
  <c r="CH305" i="1"/>
  <c r="CH224" i="1"/>
  <c r="CH225" i="1" s="1"/>
  <c r="CH303" i="1"/>
  <c r="CM308" i="1"/>
  <c r="CM265" i="1"/>
  <c r="CG92" i="1"/>
  <c r="CJ109" i="1"/>
  <c r="CO194" i="1"/>
  <c r="CP194" i="1" s="1"/>
  <c r="CK96" i="1"/>
  <c r="CK102" i="1"/>
  <c r="CO178" i="1"/>
  <c r="CN182" i="1"/>
  <c r="CE117" i="1"/>
  <c r="CF119" i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X109" i="1"/>
  <c r="X92" i="1"/>
  <c r="CG158" i="1"/>
  <c r="CO242" i="1"/>
  <c r="CN244" i="1"/>
  <c r="CH148" i="1"/>
  <c r="CH149" i="1"/>
  <c r="CH150" i="1"/>
  <c r="CJ95" i="1"/>
  <c r="CJ94" i="1"/>
  <c r="CH164" i="1"/>
  <c r="CH156" i="1"/>
  <c r="CH157" i="1"/>
  <c r="CH158" i="1"/>
  <c r="Z92" i="1"/>
  <c r="Z109" i="1"/>
  <c r="CH165" i="1"/>
  <c r="CT243" i="1"/>
  <c r="CF225" i="1"/>
  <c r="CG310" i="1"/>
  <c r="CA192" i="1"/>
  <c r="CB87" i="1"/>
  <c r="CB224" i="1"/>
  <c r="CB225" i="1" s="1"/>
  <c r="CD224" i="1"/>
  <c r="CD225" i="1" s="1"/>
  <c r="CB305" i="1"/>
  <c r="CB303" i="1"/>
  <c r="CE192" i="1"/>
  <c r="CF87" i="1"/>
  <c r="BZ225" i="1"/>
  <c r="CD87" i="1"/>
  <c r="CC192" i="1"/>
  <c r="BZ163" i="1"/>
  <c r="CA91" i="1"/>
  <c r="CD303" i="1"/>
  <c r="CD305" i="1"/>
  <c r="CF163" i="1"/>
  <c r="CG91" i="1"/>
  <c r="CH87" i="1"/>
  <c r="CG192" i="1"/>
  <c r="CB163" i="1"/>
  <c r="CC91" i="1"/>
  <c r="CD163" i="1"/>
  <c r="CE91" i="1"/>
  <c r="CF240" i="1"/>
  <c r="CF245" i="1"/>
  <c r="CJ248" i="1" s="1"/>
  <c r="BL245" i="1"/>
  <c r="BL240" i="1"/>
  <c r="CD245" i="1"/>
  <c r="CD240" i="1"/>
  <c r="CB245" i="1"/>
  <c r="CB240" i="1"/>
  <c r="BZ240" i="1"/>
  <c r="BZ245" i="1"/>
  <c r="CG257" i="1"/>
  <c r="BZ83" i="1"/>
  <c r="BZ88" i="1"/>
  <c r="CA309" i="1"/>
  <c r="CA310" i="1" s="1"/>
  <c r="CA85" i="1"/>
  <c r="BZ291" i="1"/>
  <c r="BZ292" i="1" s="1"/>
  <c r="CD84" i="1"/>
  <c r="BZ85" i="1"/>
  <c r="BZ309" i="1"/>
  <c r="CB166" i="1"/>
  <c r="CH257" i="1"/>
  <c r="CD166" i="1"/>
  <c r="CC309" i="1"/>
  <c r="CC310" i="1" s="1"/>
  <c r="CE255" i="1"/>
  <c r="CE216" i="1"/>
  <c r="CG243" i="1"/>
  <c r="CG245" i="1"/>
  <c r="CC291" i="1"/>
  <c r="CC292" i="1" s="1"/>
  <c r="CG84" i="1"/>
  <c r="Y114" i="1"/>
  <c r="CC83" i="1"/>
  <c r="CC285" i="1"/>
  <c r="CD309" i="1"/>
  <c r="CD310" i="1" s="1"/>
  <c r="CC166" i="1"/>
  <c r="CD285" i="1"/>
  <c r="CC85" i="1"/>
  <c r="CD85" i="1"/>
  <c r="CC84" i="1"/>
  <c r="CC95" i="1"/>
  <c r="CC94" i="1"/>
  <c r="CF92" i="1"/>
  <c r="CE241" i="1"/>
  <c r="CF255" i="1"/>
  <c r="CD94" i="1"/>
  <c r="CD96" i="1"/>
  <c r="CD304" i="1" s="1"/>
  <c r="CF166" i="1"/>
  <c r="CD102" i="1"/>
  <c r="CD106" i="1" s="1"/>
  <c r="CE85" i="1"/>
  <c r="CE166" i="1"/>
  <c r="CE285" i="1"/>
  <c r="CB94" i="1"/>
  <c r="CB95" i="1"/>
  <c r="CE309" i="1"/>
  <c r="CE310" i="1" s="1"/>
  <c r="CF309" i="1"/>
  <c r="CF310" i="1" s="1"/>
  <c r="CE291" i="1"/>
  <c r="CE292" i="1" s="1"/>
  <c r="Z114" i="1"/>
  <c r="CE84" i="1"/>
  <c r="CH166" i="1"/>
  <c r="CE83" i="1"/>
  <c r="CG166" i="1"/>
  <c r="CE88" i="1"/>
  <c r="CH285" i="1"/>
  <c r="CF85" i="1"/>
  <c r="CI84" i="1"/>
  <c r="CF285" i="1"/>
  <c r="BL95" i="1"/>
  <c r="BL94" i="1"/>
  <c r="BY94" i="1"/>
  <c r="BY95" i="1"/>
  <c r="CV239" i="1"/>
  <c r="AC213" i="1"/>
  <c r="CB310" i="1" l="1"/>
  <c r="CE257" i="1"/>
  <c r="CF257" i="1"/>
  <c r="CA94" i="1"/>
  <c r="CA173" i="1"/>
  <c r="CA174" i="1" s="1"/>
  <c r="CA106" i="1"/>
  <c r="CA293" i="1"/>
  <c r="CA96" i="1"/>
  <c r="CA304" i="1" s="1"/>
  <c r="CD109" i="1"/>
  <c r="CJ50" i="1"/>
  <c r="CO37" i="1"/>
  <c r="CO48" i="1" s="1"/>
  <c r="CN39" i="1"/>
  <c r="CN55" i="1" s="1"/>
  <c r="CM55" i="1"/>
  <c r="CM50" i="1"/>
  <c r="CQ28" i="1"/>
  <c r="CP35" i="1"/>
  <c r="CP46" i="1" s="1"/>
  <c r="CQ27" i="1"/>
  <c r="CP36" i="1"/>
  <c r="CH50" i="1"/>
  <c r="CG50" i="1"/>
  <c r="AA45" i="1"/>
  <c r="CI50" i="1"/>
  <c r="CQ81" i="1"/>
  <c r="Y26" i="1"/>
  <c r="Z45" i="1"/>
  <c r="Y39" i="1"/>
  <c r="Z48" i="1"/>
  <c r="CP34" i="1"/>
  <c r="AB38" i="1"/>
  <c r="AB49" i="1" s="1"/>
  <c r="CQ38" i="1"/>
  <c r="CQ49" i="1" s="1"/>
  <c r="Z39" i="1"/>
  <c r="AA50" i="1" s="1"/>
  <c r="CI95" i="1"/>
  <c r="CI96" i="1" s="1"/>
  <c r="CI304" i="1" s="1"/>
  <c r="CI94" i="1"/>
  <c r="CM94" i="1" s="1"/>
  <c r="CN94" i="1" s="1"/>
  <c r="CO94" i="1" s="1"/>
  <c r="CP94" i="1" s="1"/>
  <c r="CL106" i="1"/>
  <c r="CL120" i="1"/>
  <c r="CL252" i="1"/>
  <c r="CL254" i="1" s="1"/>
  <c r="CN65" i="1"/>
  <c r="CO261" i="1"/>
  <c r="CP261" i="1"/>
  <c r="CQ194" i="1"/>
  <c r="CF153" i="1"/>
  <c r="CF146" i="1"/>
  <c r="CF161" i="1"/>
  <c r="CF164" i="1" s="1"/>
  <c r="CF167" i="1" s="1"/>
  <c r="CF162" i="1"/>
  <c r="CF165" i="1" s="1"/>
  <c r="CF168" i="1" s="1"/>
  <c r="X95" i="1"/>
  <c r="X94" i="1"/>
  <c r="CD117" i="1"/>
  <c r="CE119" i="1"/>
  <c r="CY185" i="1"/>
  <c r="CZ185" i="1" s="1"/>
  <c r="DA185" i="1" s="1"/>
  <c r="DB185" i="1" s="1"/>
  <c r="AE185" i="1" s="1"/>
  <c r="AD185" i="1"/>
  <c r="CK98" i="1"/>
  <c r="CJ102" i="1"/>
  <c r="CJ96" i="1"/>
  <c r="CJ304" i="1" s="1"/>
  <c r="CJ293" i="1"/>
  <c r="CN308" i="1"/>
  <c r="CN265" i="1"/>
  <c r="Y94" i="1"/>
  <c r="Y95" i="1"/>
  <c r="Y115" i="1" s="1"/>
  <c r="CG95" i="1"/>
  <c r="CG97" i="1" s="1"/>
  <c r="CG94" i="1"/>
  <c r="Z95" i="1"/>
  <c r="AA97" i="1" s="1"/>
  <c r="Z94" i="1"/>
  <c r="CP178" i="1"/>
  <c r="CO182" i="1"/>
  <c r="CN240" i="1"/>
  <c r="CM241" i="1"/>
  <c r="CM245" i="1" s="1"/>
  <c r="CH293" i="1"/>
  <c r="CH102" i="1"/>
  <c r="CH96" i="1"/>
  <c r="CH304" i="1" s="1"/>
  <c r="CH97" i="1"/>
  <c r="CP242" i="1"/>
  <c r="CO244" i="1"/>
  <c r="CK120" i="1"/>
  <c r="CK106" i="1"/>
  <c r="CU243" i="1"/>
  <c r="CA262" i="1"/>
  <c r="CA260" i="1" s="1"/>
  <c r="CB262" i="1"/>
  <c r="CB260" i="1" s="1"/>
  <c r="CE262" i="1"/>
  <c r="CE260" i="1" s="1"/>
  <c r="CF262" i="1"/>
  <c r="CF260" i="1" s="1"/>
  <c r="CH262" i="1"/>
  <c r="CH260" i="1" s="1"/>
  <c r="CG262" i="1"/>
  <c r="CG260" i="1" s="1"/>
  <c r="CD262" i="1"/>
  <c r="CD260" i="1" s="1"/>
  <c r="CC262" i="1"/>
  <c r="CC260" i="1" s="1"/>
  <c r="CF248" i="1"/>
  <c r="CM58" i="1"/>
  <c r="CD248" i="1"/>
  <c r="CH248" i="1"/>
  <c r="BZ92" i="1"/>
  <c r="CB109" i="1"/>
  <c r="CD286" i="1"/>
  <c r="CF95" i="1"/>
  <c r="CF94" i="1"/>
  <c r="CC97" i="1"/>
  <c r="CC293" i="1"/>
  <c r="CC102" i="1"/>
  <c r="CC96" i="1"/>
  <c r="CC304" i="1" s="1"/>
  <c r="CD98" i="1"/>
  <c r="CE240" i="1"/>
  <c r="CE245" i="1"/>
  <c r="CA183" i="1"/>
  <c r="CC98" i="1"/>
  <c r="CD252" i="1"/>
  <c r="CD254" i="1" s="1"/>
  <c r="CH167" i="1"/>
  <c r="CH168" i="1"/>
  <c r="CF109" i="1"/>
  <c r="CH109" i="1"/>
  <c r="CE92" i="1"/>
  <c r="CB102" i="1"/>
  <c r="CB98" i="1"/>
  <c r="CB293" i="1"/>
  <c r="CB96" i="1"/>
  <c r="CB304" i="1" s="1"/>
  <c r="BL102" i="1"/>
  <c r="BL96" i="1"/>
  <c r="BL304" i="1" s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BY96" i="1"/>
  <c r="BY304" i="1" s="1"/>
  <c r="BY102" i="1"/>
  <c r="CW239" i="1"/>
  <c r="AE213" i="1"/>
  <c r="AD213" i="1"/>
  <c r="CA266" i="1" l="1"/>
  <c r="CA264" i="1" s="1"/>
  <c r="CF293" i="1"/>
  <c r="AA115" i="1"/>
  <c r="CO39" i="1"/>
  <c r="CN50" i="1"/>
  <c r="CP37" i="1"/>
  <c r="CP48" i="1" s="1"/>
  <c r="AB35" i="1"/>
  <c r="AB28" i="1" s="1"/>
  <c r="CR27" i="1"/>
  <c r="CQ36" i="1"/>
  <c r="CQ47" i="1" s="1"/>
  <c r="CO55" i="1"/>
  <c r="CO50" i="1"/>
  <c r="AB34" i="1"/>
  <c r="AB45" i="1" s="1"/>
  <c r="CP45" i="1"/>
  <c r="Z50" i="1"/>
  <c r="CP47" i="1"/>
  <c r="AB36" i="1"/>
  <c r="CR28" i="1"/>
  <c r="CQ35" i="1"/>
  <c r="CQ46" i="1" s="1"/>
  <c r="CR81" i="1"/>
  <c r="CS81" i="1" s="1"/>
  <c r="CT81" i="1" s="1"/>
  <c r="CR38" i="1"/>
  <c r="CR49" i="1" s="1"/>
  <c r="AB29" i="1"/>
  <c r="CQ34" i="1"/>
  <c r="CQ45" i="1" s="1"/>
  <c r="CJ98" i="1"/>
  <c r="CL286" i="1"/>
  <c r="CI293" i="1"/>
  <c r="CI102" i="1"/>
  <c r="CL108" i="1" s="1"/>
  <c r="CI98" i="1"/>
  <c r="CO65" i="1"/>
  <c r="CP65" i="1" s="1"/>
  <c r="CQ65" i="1" s="1"/>
  <c r="CQ242" i="1"/>
  <c r="CP244" i="1"/>
  <c r="CO308" i="1"/>
  <c r="CO265" i="1"/>
  <c r="X96" i="1"/>
  <c r="X304" i="1" s="1"/>
  <c r="Y97" i="1"/>
  <c r="X293" i="1"/>
  <c r="X102" i="1"/>
  <c r="CQ178" i="1"/>
  <c r="CP182" i="1"/>
  <c r="Z102" i="1"/>
  <c r="Z96" i="1"/>
  <c r="Z304" i="1" s="1"/>
  <c r="Z293" i="1"/>
  <c r="CQ261" i="1"/>
  <c r="CR194" i="1"/>
  <c r="CO240" i="1"/>
  <c r="CN241" i="1"/>
  <c r="CN245" i="1" s="1"/>
  <c r="CF156" i="1"/>
  <c r="CF157" i="1"/>
  <c r="CF158" i="1"/>
  <c r="CK97" i="1"/>
  <c r="CG293" i="1"/>
  <c r="CG102" i="1"/>
  <c r="CH98" i="1"/>
  <c r="CJ286" i="1"/>
  <c r="CG96" i="1"/>
  <c r="CG304" i="1" s="1"/>
  <c r="CJ120" i="1"/>
  <c r="CJ252" i="1"/>
  <c r="CJ254" i="1" s="1"/>
  <c r="CJ106" i="1"/>
  <c r="Y293" i="1"/>
  <c r="Z97" i="1"/>
  <c r="Y96" i="1"/>
  <c r="Y304" i="1" s="1"/>
  <c r="Y102" i="1"/>
  <c r="CE153" i="1"/>
  <c r="CE162" i="1"/>
  <c r="CE161" i="1"/>
  <c r="CC117" i="1"/>
  <c r="CD119" i="1"/>
  <c r="CH252" i="1"/>
  <c r="CH254" i="1" s="1"/>
  <c r="CH258" i="1" s="1"/>
  <c r="CH272" i="1" s="1"/>
  <c r="CH120" i="1"/>
  <c r="CH106" i="1"/>
  <c r="CF148" i="1"/>
  <c r="CF150" i="1"/>
  <c r="CF149" i="1"/>
  <c r="CV243" i="1"/>
  <c r="CW243" i="1" s="1"/>
  <c r="CX243" i="1" s="1"/>
  <c r="CY243" i="1" s="1"/>
  <c r="CZ243" i="1" s="1"/>
  <c r="DA243" i="1" s="1"/>
  <c r="DB243" i="1" s="1"/>
  <c r="CN58" i="1"/>
  <c r="CF97" i="1"/>
  <c r="CF96" i="1"/>
  <c r="CF304" i="1" s="1"/>
  <c r="BZ95" i="1"/>
  <c r="BZ94" i="1"/>
  <c r="CJ97" i="1"/>
  <c r="CG98" i="1"/>
  <c r="CI286" i="1"/>
  <c r="CF102" i="1"/>
  <c r="CD108" i="1"/>
  <c r="CC106" i="1"/>
  <c r="CC173" i="1"/>
  <c r="CC174" i="1" s="1"/>
  <c r="CC252" i="1"/>
  <c r="CC254" i="1" s="1"/>
  <c r="CB106" i="1"/>
  <c r="CB252" i="1"/>
  <c r="CB254" i="1" s="1"/>
  <c r="CB266" i="1"/>
  <c r="CB264" i="1" s="1"/>
  <c r="CE95" i="1"/>
  <c r="CE94" i="1"/>
  <c r="BY252" i="1"/>
  <c r="BY254" i="1" s="1"/>
  <c r="BY106" i="1"/>
  <c r="BL252" i="1"/>
  <c r="BL254" i="1" s="1"/>
  <c r="BL106" i="1"/>
  <c r="CX239" i="1"/>
  <c r="AB180" i="1"/>
  <c r="AB190" i="1"/>
  <c r="AB189" i="1"/>
  <c r="AB181" i="1"/>
  <c r="AB176" i="1"/>
  <c r="AB210" i="1"/>
  <c r="AB203" i="1"/>
  <c r="AB172" i="1"/>
  <c r="CP39" i="1" l="1"/>
  <c r="AB26" i="1"/>
  <c r="AB37" i="1"/>
  <c r="AB48" i="1" s="1"/>
  <c r="AB46" i="1"/>
  <c r="CQ37" i="1"/>
  <c r="CQ48" i="1" s="1"/>
  <c r="CU81" i="1"/>
  <c r="CV81" i="1" s="1"/>
  <c r="CP55" i="1"/>
  <c r="CP50" i="1"/>
  <c r="CS28" i="1"/>
  <c r="CR35" i="1"/>
  <c r="CR46" i="1" s="1"/>
  <c r="AB27" i="1"/>
  <c r="AB47" i="1"/>
  <c r="CS27" i="1"/>
  <c r="CR36" i="1"/>
  <c r="CR47" i="1" s="1"/>
  <c r="AB39" i="1"/>
  <c r="CS38" i="1"/>
  <c r="CS49" i="1" s="1"/>
  <c r="CR34" i="1"/>
  <c r="CR45" i="1" s="1"/>
  <c r="CI106" i="1"/>
  <c r="CI252" i="1"/>
  <c r="CI254" i="1" s="1"/>
  <c r="CI173" i="1"/>
  <c r="CI174" i="1" s="1"/>
  <c r="CJ266" i="1" s="1"/>
  <c r="CJ264" i="1" s="1"/>
  <c r="CI120" i="1"/>
  <c r="CK123" i="1" s="1"/>
  <c r="CR65" i="1"/>
  <c r="CS65" i="1" s="1"/>
  <c r="CP308" i="1"/>
  <c r="CP265" i="1"/>
  <c r="CP240" i="1"/>
  <c r="CO241" i="1"/>
  <c r="CO245" i="1" s="1"/>
  <c r="CB117" i="1"/>
  <c r="CC119" i="1"/>
  <c r="CC146" i="1" s="1"/>
  <c r="CE156" i="1"/>
  <c r="CE158" i="1"/>
  <c r="CE157" i="1"/>
  <c r="CJ108" i="1"/>
  <c r="CG252" i="1"/>
  <c r="CG254" i="1" s="1"/>
  <c r="CG258" i="1" s="1"/>
  <c r="CG272" i="1" s="1"/>
  <c r="CG120" i="1"/>
  <c r="CG106" i="1"/>
  <c r="CG173" i="1"/>
  <c r="CG174" i="1" s="1"/>
  <c r="CR261" i="1"/>
  <c r="CS194" i="1"/>
  <c r="CR178" i="1"/>
  <c r="CQ182" i="1"/>
  <c r="CD153" i="1"/>
  <c r="CD161" i="1"/>
  <c r="CD164" i="1" s="1"/>
  <c r="CD167" i="1" s="1"/>
  <c r="CD146" i="1"/>
  <c r="CD162" i="1"/>
  <c r="CD165" i="1" s="1"/>
  <c r="CD168" i="1" s="1"/>
  <c r="CD120" i="1"/>
  <c r="Y252" i="1"/>
  <c r="Y254" i="1" s="1"/>
  <c r="Y258" i="1" s="1"/>
  <c r="Y272" i="1" s="1"/>
  <c r="Y266" i="1"/>
  <c r="Y264" i="1" s="1"/>
  <c r="Y108" i="1"/>
  <c r="Y106" i="1"/>
  <c r="Z108" i="1"/>
  <c r="Z106" i="1"/>
  <c r="Z252" i="1"/>
  <c r="Z254" i="1" s="1"/>
  <c r="Z258" i="1" s="1"/>
  <c r="Z272" i="1" s="1"/>
  <c r="Z266" i="1"/>
  <c r="Z264" i="1" s="1"/>
  <c r="CR242" i="1"/>
  <c r="CQ244" i="1"/>
  <c r="X252" i="1"/>
  <c r="X254" i="1" s="1"/>
  <c r="X106" i="1"/>
  <c r="X108" i="1"/>
  <c r="CO58" i="1"/>
  <c r="BZ96" i="1"/>
  <c r="BZ304" i="1" s="1"/>
  <c r="BZ98" i="1"/>
  <c r="CC286" i="1"/>
  <c r="BZ102" i="1"/>
  <c r="CC108" i="1" s="1"/>
  <c r="BZ293" i="1"/>
  <c r="CD97" i="1"/>
  <c r="CA98" i="1"/>
  <c r="CF252" i="1"/>
  <c r="CF254" i="1" s="1"/>
  <c r="CF258" i="1" s="1"/>
  <c r="CF272" i="1" s="1"/>
  <c r="CF106" i="1"/>
  <c r="CF120" i="1"/>
  <c r="CC183" i="1"/>
  <c r="CC109" i="1" s="1"/>
  <c r="CC266" i="1"/>
  <c r="CC264" i="1" s="1"/>
  <c r="CD266" i="1"/>
  <c r="CD264" i="1" s="1"/>
  <c r="CG286" i="1"/>
  <c r="CI97" i="1"/>
  <c r="CH286" i="1"/>
  <c r="CE98" i="1"/>
  <c r="CE96" i="1"/>
  <c r="CE304" i="1" s="1"/>
  <c r="CE97" i="1"/>
  <c r="CF98" i="1"/>
  <c r="CE102" i="1"/>
  <c r="CF286" i="1"/>
  <c r="CE286" i="1"/>
  <c r="Z115" i="1"/>
  <c r="CE293" i="1"/>
  <c r="CY239" i="1"/>
  <c r="AC190" i="1"/>
  <c r="AC180" i="1"/>
  <c r="AB223" i="1"/>
  <c r="AC176" i="1"/>
  <c r="AC210" i="1"/>
  <c r="AB209" i="1"/>
  <c r="AC203" i="1"/>
  <c r="AC181" i="1"/>
  <c r="AB211" i="1"/>
  <c r="AC172" i="1"/>
  <c r="AC189" i="1"/>
  <c r="CW81" i="1" l="1"/>
  <c r="CR37" i="1"/>
  <c r="CR48" i="1" s="1"/>
  <c r="CQ39" i="1"/>
  <c r="CQ50" i="1" s="1"/>
  <c r="CK140" i="1"/>
  <c r="CG143" i="1"/>
  <c r="CT27" i="1"/>
  <c r="CS36" i="1"/>
  <c r="CS47" i="1" s="1"/>
  <c r="CT28" i="1"/>
  <c r="CS35" i="1"/>
  <c r="CS46" i="1" s="1"/>
  <c r="AB50" i="1"/>
  <c r="CT38" i="1"/>
  <c r="CT49" i="1" s="1"/>
  <c r="CS34" i="1"/>
  <c r="CS45" i="1" s="1"/>
  <c r="CI108" i="1"/>
  <c r="CI266" i="1"/>
  <c r="CI264" i="1" s="1"/>
  <c r="CI146" i="1"/>
  <c r="CI149" i="1" s="1"/>
  <c r="CI183" i="1"/>
  <c r="CI109" i="1" s="1"/>
  <c r="CJ123" i="1"/>
  <c r="CL123" i="1"/>
  <c r="CT65" i="1"/>
  <c r="CU65" i="1" s="1"/>
  <c r="Y269" i="1"/>
  <c r="Y270" i="1" s="1"/>
  <c r="Z269" i="1"/>
  <c r="Z270" i="1" s="1"/>
  <c r="CK139" i="1"/>
  <c r="CK141" i="1"/>
  <c r="CX81" i="1"/>
  <c r="CY81" i="1" s="1"/>
  <c r="CQ94" i="1"/>
  <c r="CI123" i="1"/>
  <c r="CE143" i="1" s="1"/>
  <c r="CQ308" i="1"/>
  <c r="CQ265" i="1"/>
  <c r="CS178" i="1"/>
  <c r="CR182" i="1"/>
  <c r="CC153" i="1"/>
  <c r="CC120" i="1"/>
  <c r="CA117" i="1"/>
  <c r="CB119" i="1"/>
  <c r="CS261" i="1"/>
  <c r="CT194" i="1"/>
  <c r="CQ240" i="1"/>
  <c r="CP241" i="1"/>
  <c r="CP245" i="1" s="1"/>
  <c r="CD156" i="1"/>
  <c r="CD157" i="1"/>
  <c r="CD158" i="1"/>
  <c r="CG266" i="1"/>
  <c r="CG264" i="1" s="1"/>
  <c r="CG269" i="1" s="1"/>
  <c r="CG219" i="1" s="1"/>
  <c r="CG220" i="1" s="1"/>
  <c r="CG183" i="1"/>
  <c r="CG109" i="1" s="1"/>
  <c r="CG146" i="1"/>
  <c r="CH266" i="1"/>
  <c r="CH264" i="1" s="1"/>
  <c r="CD148" i="1"/>
  <c r="CD149" i="1"/>
  <c r="CD150" i="1"/>
  <c r="CS242" i="1"/>
  <c r="CR244" i="1"/>
  <c r="CP58" i="1"/>
  <c r="CQ58" i="1" s="1"/>
  <c r="CR58" i="1" s="1"/>
  <c r="CS58" i="1" s="1"/>
  <c r="CB108" i="1"/>
  <c r="BZ106" i="1"/>
  <c r="BZ252" i="1"/>
  <c r="BZ254" i="1" s="1"/>
  <c r="CE106" i="1"/>
  <c r="CE173" i="1"/>
  <c r="CE174" i="1" s="1"/>
  <c r="CE108" i="1" s="1"/>
  <c r="CE252" i="1"/>
  <c r="CE254" i="1" s="1"/>
  <c r="CE258" i="1" s="1"/>
  <c r="CE272" i="1" s="1"/>
  <c r="CE120" i="1"/>
  <c r="CF108" i="1"/>
  <c r="CG108" i="1"/>
  <c r="CH108" i="1"/>
  <c r="CZ239" i="1"/>
  <c r="AE190" i="1"/>
  <c r="AD190" i="1"/>
  <c r="AE180" i="1"/>
  <c r="AD180" i="1"/>
  <c r="AC223" i="1"/>
  <c r="AE210" i="1"/>
  <c r="AD210" i="1"/>
  <c r="AE203" i="1"/>
  <c r="AD203" i="1"/>
  <c r="AD172" i="1"/>
  <c r="AE172" i="1"/>
  <c r="AC209" i="1"/>
  <c r="AE181" i="1"/>
  <c r="AD181" i="1"/>
  <c r="AE189" i="1"/>
  <c r="AD189" i="1"/>
  <c r="AC211" i="1"/>
  <c r="AE176" i="1"/>
  <c r="AD176" i="1"/>
  <c r="CR39" i="1" l="1"/>
  <c r="CQ55" i="1"/>
  <c r="CL141" i="1"/>
  <c r="CH143" i="1"/>
  <c r="CJ141" i="1"/>
  <c r="CF143" i="1"/>
  <c r="CR55" i="1"/>
  <c r="CR50" i="1"/>
  <c r="CS37" i="1"/>
  <c r="CS48" i="1" s="1"/>
  <c r="CU28" i="1"/>
  <c r="CT35" i="1"/>
  <c r="CU27" i="1"/>
  <c r="CT36" i="1"/>
  <c r="CT34" i="1"/>
  <c r="AC38" i="1"/>
  <c r="AC49" i="1" s="1"/>
  <c r="CU38" i="1"/>
  <c r="CU49" i="1" s="1"/>
  <c r="CI148" i="1"/>
  <c r="CI150" i="1"/>
  <c r="CJ139" i="1"/>
  <c r="CJ140" i="1"/>
  <c r="CV65" i="1"/>
  <c r="CW65" i="1" s="1"/>
  <c r="CX65" i="1" s="1"/>
  <c r="CY65" i="1" s="1"/>
  <c r="CZ65" i="1" s="1"/>
  <c r="CL139" i="1"/>
  <c r="CL140" i="1"/>
  <c r="CZ81" i="1"/>
  <c r="DA81" i="1" s="1"/>
  <c r="DB81" i="1" s="1"/>
  <c r="CI141" i="1"/>
  <c r="CI140" i="1"/>
  <c r="CI139" i="1"/>
  <c r="CR94" i="1"/>
  <c r="CG270" i="1"/>
  <c r="CG307" i="1"/>
  <c r="CH268" i="1"/>
  <c r="CH269" i="1" s="1"/>
  <c r="CH270" i="1" s="1"/>
  <c r="CG303" i="1"/>
  <c r="CG305" i="1"/>
  <c r="CG227" i="1"/>
  <c r="CG224" i="1"/>
  <c r="CG225" i="1" s="1"/>
  <c r="CB153" i="1"/>
  <c r="CB146" i="1"/>
  <c r="CB120" i="1"/>
  <c r="CE123" i="1" s="1"/>
  <c r="CT242" i="1"/>
  <c r="CS244" i="1"/>
  <c r="CT178" i="1"/>
  <c r="CS182" i="1"/>
  <c r="BZ117" i="1"/>
  <c r="CA119" i="1"/>
  <c r="CR308" i="1"/>
  <c r="CR265" i="1"/>
  <c r="CG149" i="1"/>
  <c r="CG150" i="1"/>
  <c r="CG148" i="1"/>
  <c r="CR240" i="1"/>
  <c r="CQ241" i="1"/>
  <c r="CQ245" i="1" s="1"/>
  <c r="CT261" i="1"/>
  <c r="CU194" i="1"/>
  <c r="CU261" i="1" s="1"/>
  <c r="CF123" i="1"/>
  <c r="CH123" i="1"/>
  <c r="CG123" i="1"/>
  <c r="CK124" i="1" s="1"/>
  <c r="CE146" i="1"/>
  <c r="CF266" i="1"/>
  <c r="CF264" i="1" s="1"/>
  <c r="CE183" i="1"/>
  <c r="CE109" i="1" s="1"/>
  <c r="CE266" i="1"/>
  <c r="CE264" i="1" s="1"/>
  <c r="CE269" i="1" s="1"/>
  <c r="CE219" i="1" s="1"/>
  <c r="CE220" i="1" s="1"/>
  <c r="CE224" i="1" s="1"/>
  <c r="CT58" i="1"/>
  <c r="DA239" i="1"/>
  <c r="AE223" i="1"/>
  <c r="AD223" i="1"/>
  <c r="AE209" i="1"/>
  <c r="AD209" i="1"/>
  <c r="AE211" i="1"/>
  <c r="AD211" i="1"/>
  <c r="BY290" i="1"/>
  <c r="CT37" i="1" l="1"/>
  <c r="CT48" i="1" s="1"/>
  <c r="CL124" i="1"/>
  <c r="CD143" i="1"/>
  <c r="CV28" i="1"/>
  <c r="CU35" i="1"/>
  <c r="CU46" i="1" s="1"/>
  <c r="CT47" i="1"/>
  <c r="AC36" i="1"/>
  <c r="CS39" i="1"/>
  <c r="AC34" i="1"/>
  <c r="AC26" i="1" s="1"/>
  <c r="CT45" i="1"/>
  <c r="CV27" i="1"/>
  <c r="CU36" i="1"/>
  <c r="CU47" i="1" s="1"/>
  <c r="CT46" i="1"/>
  <c r="AC35" i="1"/>
  <c r="CV38" i="1"/>
  <c r="CV49" i="1" s="1"/>
  <c r="CU34" i="1"/>
  <c r="CU45" i="1" s="1"/>
  <c r="AC29" i="1"/>
  <c r="CL144" i="1"/>
  <c r="DA65" i="1"/>
  <c r="DB65" i="1" s="1"/>
  <c r="CS94" i="1"/>
  <c r="CU242" i="1"/>
  <c r="CT244" i="1"/>
  <c r="CG163" i="1"/>
  <c r="CH91" i="1"/>
  <c r="BY117" i="1"/>
  <c r="BZ119" i="1"/>
  <c r="CA120" i="1"/>
  <c r="CD123" i="1" s="1"/>
  <c r="CA146" i="1"/>
  <c r="CV194" i="1"/>
  <c r="CV261" i="1" s="1"/>
  <c r="CS308" i="1"/>
  <c r="CS265" i="1"/>
  <c r="CS240" i="1"/>
  <c r="CR241" i="1"/>
  <c r="CR245" i="1" s="1"/>
  <c r="CU238" i="1"/>
  <c r="CU178" i="1"/>
  <c r="CT182" i="1"/>
  <c r="CE148" i="1"/>
  <c r="CE149" i="1"/>
  <c r="CE150" i="1"/>
  <c r="CE303" i="1"/>
  <c r="CE139" i="1"/>
  <c r="CE140" i="1"/>
  <c r="CI124" i="1"/>
  <c r="CE141" i="1"/>
  <c r="CE307" i="1"/>
  <c r="CG139" i="1"/>
  <c r="CG141" i="1"/>
  <c r="CG140" i="1"/>
  <c r="CE227" i="1"/>
  <c r="CE163" i="1" s="1"/>
  <c r="CE165" i="1" s="1"/>
  <c r="CE168" i="1" s="1"/>
  <c r="CF268" i="1"/>
  <c r="CF269" i="1" s="1"/>
  <c r="CF270" i="1" s="1"/>
  <c r="CE305" i="1"/>
  <c r="CH140" i="1"/>
  <c r="CK144" i="1" s="1"/>
  <c r="CH139" i="1"/>
  <c r="CH141" i="1"/>
  <c r="CE270" i="1"/>
  <c r="CJ124" i="1"/>
  <c r="CF141" i="1"/>
  <c r="CF139" i="1"/>
  <c r="CF140" i="1"/>
  <c r="CU58" i="1"/>
  <c r="CV58" i="1" s="1"/>
  <c r="DB239" i="1"/>
  <c r="CE225" i="1"/>
  <c r="AB69" i="1"/>
  <c r="CT39" i="1" l="1"/>
  <c r="CT55" i="1" s="1"/>
  <c r="CU37" i="1"/>
  <c r="CU48" i="1" s="1"/>
  <c r="AC45" i="1"/>
  <c r="AC47" i="1"/>
  <c r="AC27" i="1"/>
  <c r="CT50" i="1"/>
  <c r="CW27" i="1"/>
  <c r="CV36" i="1"/>
  <c r="CV47" i="1" s="1"/>
  <c r="AC46" i="1"/>
  <c r="AC37" i="1"/>
  <c r="AC28" i="1"/>
  <c r="CS55" i="1"/>
  <c r="CS50" i="1"/>
  <c r="CW28" i="1"/>
  <c r="CV35" i="1"/>
  <c r="CV46" i="1" s="1"/>
  <c r="CW38" i="1"/>
  <c r="CW49" i="1" s="1"/>
  <c r="CV34" i="1"/>
  <c r="CV45" i="1" s="1"/>
  <c r="CT94" i="1"/>
  <c r="CU94" i="1" s="1"/>
  <c r="CW194" i="1"/>
  <c r="CW261" i="1" s="1"/>
  <c r="CD140" i="1"/>
  <c r="CG144" i="1" s="1"/>
  <c r="CD139" i="1"/>
  <c r="CD141" i="1"/>
  <c r="BZ146" i="1"/>
  <c r="BZ120" i="1"/>
  <c r="CC123" i="1" s="1"/>
  <c r="CG124" i="1" s="1"/>
  <c r="CT308" i="1"/>
  <c r="CT265" i="1"/>
  <c r="CV238" i="1"/>
  <c r="CG164" i="1"/>
  <c r="CG167" i="1" s="1"/>
  <c r="CG165" i="1"/>
  <c r="CG168" i="1" s="1"/>
  <c r="CV178" i="1"/>
  <c r="CU182" i="1"/>
  <c r="BX117" i="1"/>
  <c r="BW117" i="1" s="1"/>
  <c r="BV117" i="1" s="1"/>
  <c r="BU117" i="1" s="1"/>
  <c r="BT117" i="1" s="1"/>
  <c r="BS117" i="1" s="1"/>
  <c r="BR117" i="1" s="1"/>
  <c r="BQ117" i="1" s="1"/>
  <c r="BP117" i="1" s="1"/>
  <c r="BO117" i="1" s="1"/>
  <c r="BN117" i="1" s="1"/>
  <c r="BM117" i="1" s="1"/>
  <c r="BL117" i="1" s="1"/>
  <c r="BY119" i="1"/>
  <c r="BY120" i="1" s="1"/>
  <c r="CH124" i="1"/>
  <c r="CT240" i="1"/>
  <c r="CS241" i="1"/>
  <c r="CS245" i="1" s="1"/>
  <c r="CV242" i="1"/>
  <c r="CU244" i="1"/>
  <c r="CJ144" i="1"/>
  <c r="CH144" i="1"/>
  <c r="CF91" i="1"/>
  <c r="CI144" i="1"/>
  <c r="CW58" i="1"/>
  <c r="CE164" i="1"/>
  <c r="CE167" i="1" s="1"/>
  <c r="AC69" i="1"/>
  <c r="BY291" i="1"/>
  <c r="BY292" i="1" s="1"/>
  <c r="CU39" i="1" l="1"/>
  <c r="CU50" i="1" s="1"/>
  <c r="CV37" i="1"/>
  <c r="CV48" i="1" s="1"/>
  <c r="CX28" i="1"/>
  <c r="CW35" i="1"/>
  <c r="CW46" i="1" s="1"/>
  <c r="CU55" i="1"/>
  <c r="AC48" i="1"/>
  <c r="AC39" i="1"/>
  <c r="AC50" i="1" s="1"/>
  <c r="CX27" i="1"/>
  <c r="CW36" i="1"/>
  <c r="CW47" i="1" s="1"/>
  <c r="CX38" i="1"/>
  <c r="CX49" i="1" s="1"/>
  <c r="CW34" i="1"/>
  <c r="CW45" i="1" s="1"/>
  <c r="CB123" i="1"/>
  <c r="CF124" i="1" s="1"/>
  <c r="CV94" i="1"/>
  <c r="CW94" i="1" s="1"/>
  <c r="CW238" i="1"/>
  <c r="CU240" i="1"/>
  <c r="CT241" i="1"/>
  <c r="CT245" i="1" s="1"/>
  <c r="CV244" i="1"/>
  <c r="CW242" i="1"/>
  <c r="CW178" i="1"/>
  <c r="CV182" i="1"/>
  <c r="BK117" i="1"/>
  <c r="BJ117" i="1" s="1"/>
  <c r="BI117" i="1" s="1"/>
  <c r="BH117" i="1" s="1"/>
  <c r="BG117" i="1" s="1"/>
  <c r="BF117" i="1" s="1"/>
  <c r="BE117" i="1" s="1"/>
  <c r="BD117" i="1" s="1"/>
  <c r="BC117" i="1" s="1"/>
  <c r="BB117" i="1" s="1"/>
  <c r="BA117" i="1" s="1"/>
  <c r="AZ117" i="1" s="1"/>
  <c r="AY117" i="1" s="1"/>
  <c r="AX117" i="1" s="1"/>
  <c r="AW117" i="1" s="1"/>
  <c r="AV117" i="1" s="1"/>
  <c r="AU117" i="1" s="1"/>
  <c r="AT117" i="1" s="1"/>
  <c r="AS117" i="1" s="1"/>
  <c r="AR117" i="1" s="1"/>
  <c r="AQ117" i="1" s="1"/>
  <c r="AP117" i="1" s="1"/>
  <c r="AO117" i="1" s="1"/>
  <c r="AN117" i="1" s="1"/>
  <c r="AM117" i="1" s="1"/>
  <c r="AL117" i="1" s="1"/>
  <c r="BL119" i="1"/>
  <c r="CU308" i="1"/>
  <c r="CU265" i="1"/>
  <c r="CX194" i="1"/>
  <c r="CX58" i="1"/>
  <c r="CY58" i="1" s="1"/>
  <c r="CZ58" i="1" s="1"/>
  <c r="AD69" i="1"/>
  <c r="BY293" i="1"/>
  <c r="CV39" i="1" l="1"/>
  <c r="CV50" i="1" s="1"/>
  <c r="CY27" i="1"/>
  <c r="CX36" i="1"/>
  <c r="CX47" i="1" s="1"/>
  <c r="CW37" i="1"/>
  <c r="CW48" i="1" s="1"/>
  <c r="CY28" i="1"/>
  <c r="CX35" i="1"/>
  <c r="CY38" i="1"/>
  <c r="CY49" i="1" s="1"/>
  <c r="CX34" i="1"/>
  <c r="AD38" i="1"/>
  <c r="AD49" i="1" s="1"/>
  <c r="CY194" i="1"/>
  <c r="CX261" i="1"/>
  <c r="CX94" i="1"/>
  <c r="CY94" i="1" s="1"/>
  <c r="CZ94" i="1" s="1"/>
  <c r="BL146" i="1"/>
  <c r="BL120" i="1"/>
  <c r="CV308" i="1"/>
  <c r="CV265" i="1"/>
  <c r="AK117" i="1"/>
  <c r="AJ117" i="1" s="1"/>
  <c r="AI117" i="1" s="1"/>
  <c r="AL119" i="1"/>
  <c r="CX178" i="1"/>
  <c r="CW182" i="1"/>
  <c r="CX242" i="1"/>
  <c r="CW244" i="1"/>
  <c r="CV240" i="1"/>
  <c r="CU241" i="1"/>
  <c r="CU245" i="1" s="1"/>
  <c r="CX238" i="1"/>
  <c r="DA58" i="1"/>
  <c r="DB58" i="1" s="1"/>
  <c r="AE69" i="1"/>
  <c r="CV55" i="1" l="1"/>
  <c r="CW39" i="1"/>
  <c r="CW50" i="1" s="1"/>
  <c r="CX37" i="1"/>
  <c r="CX48" i="1" s="1"/>
  <c r="AD34" i="1"/>
  <c r="AD26" i="1" s="1"/>
  <c r="CX45" i="1"/>
  <c r="CZ28" i="1"/>
  <c r="CY35" i="1"/>
  <c r="CY46" i="1" s="1"/>
  <c r="CX46" i="1"/>
  <c r="AD35" i="1"/>
  <c r="AD36" i="1"/>
  <c r="AD47" i="1" s="1"/>
  <c r="CZ27" i="1"/>
  <c r="CY36" i="1"/>
  <c r="CY47" i="1" s="1"/>
  <c r="CZ38" i="1"/>
  <c r="CZ49" i="1" s="1"/>
  <c r="AD29" i="1"/>
  <c r="CY34" i="1"/>
  <c r="CY45" i="1" s="1"/>
  <c r="CY261" i="1"/>
  <c r="CZ194" i="1"/>
  <c r="CZ261" i="1" s="1"/>
  <c r="DA94" i="1"/>
  <c r="DB94" i="1" s="1"/>
  <c r="CW240" i="1"/>
  <c r="CV241" i="1"/>
  <c r="CV245" i="1" s="1"/>
  <c r="CY242" i="1"/>
  <c r="CX244" i="1"/>
  <c r="CW308" i="1"/>
  <c r="CW265" i="1"/>
  <c r="CY178" i="1"/>
  <c r="CX182" i="1"/>
  <c r="CY238" i="1"/>
  <c r="BI119" i="1"/>
  <c r="AT119" i="1"/>
  <c r="BT119" i="1"/>
  <c r="AV119" i="1"/>
  <c r="AX119" i="1"/>
  <c r="AR119" i="1"/>
  <c r="CW55" i="1" l="1"/>
  <c r="CX39" i="1"/>
  <c r="AD27" i="1"/>
  <c r="AD45" i="1"/>
  <c r="AD28" i="1"/>
  <c r="AD46" i="1"/>
  <c r="AD37" i="1"/>
  <c r="AD48" i="1" s="1"/>
  <c r="DA28" i="1"/>
  <c r="CZ35" i="1"/>
  <c r="CZ46" i="1" s="1"/>
  <c r="DA27" i="1"/>
  <c r="CZ36" i="1"/>
  <c r="CZ47" i="1" s="1"/>
  <c r="CY37" i="1"/>
  <c r="CZ34" i="1"/>
  <c r="CZ45" i="1" s="1"/>
  <c r="DB38" i="1"/>
  <c r="DB49" i="1" s="1"/>
  <c r="DA38" i="1"/>
  <c r="DA49" i="1" s="1"/>
  <c r="DA194" i="1"/>
  <c r="DB194" i="1" s="1"/>
  <c r="DB261" i="1" s="1"/>
  <c r="CZ238" i="1"/>
  <c r="CX308" i="1"/>
  <c r="CX265" i="1"/>
  <c r="CZ178" i="1"/>
  <c r="CY182" i="1"/>
  <c r="CZ242" i="1"/>
  <c r="CY244" i="1"/>
  <c r="CX240" i="1"/>
  <c r="CW241" i="1"/>
  <c r="CW245" i="1" s="1"/>
  <c r="AO119" i="1"/>
  <c r="BK119" i="1"/>
  <c r="AN119" i="1"/>
  <c r="AW119" i="1"/>
  <c r="BB119" i="1"/>
  <c r="BM119" i="1"/>
  <c r="BQ119" i="1"/>
  <c r="AJ119" i="1"/>
  <c r="BS119" i="1"/>
  <c r="BR119" i="1"/>
  <c r="BO119" i="1"/>
  <c r="AM119" i="1"/>
  <c r="AI119" i="1"/>
  <c r="AP119" i="1"/>
  <c r="AZ119" i="1"/>
  <c r="AS119" i="1"/>
  <c r="BN119" i="1"/>
  <c r="BU119" i="1"/>
  <c r="BA119" i="1"/>
  <c r="BC119" i="1"/>
  <c r="AU119" i="1"/>
  <c r="BW119" i="1"/>
  <c r="BP119" i="1"/>
  <c r="BJ119" i="1"/>
  <c r="BH119" i="1"/>
  <c r="BX119" i="1"/>
  <c r="BG119" i="1"/>
  <c r="AQ119" i="1"/>
  <c r="AY119" i="1"/>
  <c r="AK119" i="1"/>
  <c r="BE119" i="1"/>
  <c r="BD119" i="1"/>
  <c r="BV119" i="1"/>
  <c r="BF119" i="1"/>
  <c r="CX55" i="1" l="1"/>
  <c r="CX50" i="1"/>
  <c r="AD39" i="1"/>
  <c r="AD50" i="1" s="1"/>
  <c r="DB28" i="1"/>
  <c r="DB35" i="1" s="1"/>
  <c r="DB46" i="1" s="1"/>
  <c r="DA35" i="1"/>
  <c r="DA46" i="1" s="1"/>
  <c r="CZ37" i="1"/>
  <c r="CZ48" i="1" s="1"/>
  <c r="CY39" i="1"/>
  <c r="CY48" i="1"/>
  <c r="DB27" i="1"/>
  <c r="DB36" i="1" s="1"/>
  <c r="DB47" i="1" s="1"/>
  <c r="DA36" i="1"/>
  <c r="DA47" i="1" s="1"/>
  <c r="DB34" i="1"/>
  <c r="DB45" i="1" s="1"/>
  <c r="DA34" i="1"/>
  <c r="AE38" i="1"/>
  <c r="AE49" i="1" s="1"/>
  <c r="DA261" i="1"/>
  <c r="CY308" i="1"/>
  <c r="CY265" i="1"/>
  <c r="CY240" i="1"/>
  <c r="CX241" i="1"/>
  <c r="CX245" i="1" s="1"/>
  <c r="DA178" i="1"/>
  <c r="CZ182" i="1"/>
  <c r="CZ244" i="1"/>
  <c r="DA242" i="1"/>
  <c r="DA238" i="1"/>
  <c r="BL290" i="1"/>
  <c r="AE35" i="1" l="1"/>
  <c r="AE36" i="1"/>
  <c r="AE47" i="1" s="1"/>
  <c r="DB37" i="1"/>
  <c r="DB48" i="1" s="1"/>
  <c r="DA37" i="1"/>
  <c r="DA48" i="1" s="1"/>
  <c r="CZ39" i="1"/>
  <c r="CZ55" i="1" s="1"/>
  <c r="AE34" i="1"/>
  <c r="AE26" i="1" s="1"/>
  <c r="DA45" i="1"/>
  <c r="CY55" i="1"/>
  <c r="CY50" i="1"/>
  <c r="AE29" i="1"/>
  <c r="DB238" i="1"/>
  <c r="CZ308" i="1"/>
  <c r="CZ265" i="1"/>
  <c r="DB178" i="1"/>
  <c r="DB182" i="1" s="1"/>
  <c r="DA182" i="1"/>
  <c r="DB242" i="1"/>
  <c r="DB244" i="1" s="1"/>
  <c r="DA244" i="1"/>
  <c r="CZ240" i="1"/>
  <c r="CY241" i="1"/>
  <c r="CY245" i="1" s="1"/>
  <c r="CM131" i="1"/>
  <c r="AB194" i="1"/>
  <c r="AE28" i="1" l="1"/>
  <c r="AE46" i="1"/>
  <c r="AE37" i="1"/>
  <c r="AE27" i="1"/>
  <c r="DB39" i="1"/>
  <c r="DB50" i="1" s="1"/>
  <c r="DA39" i="1"/>
  <c r="DA55" i="1" s="1"/>
  <c r="AE45" i="1"/>
  <c r="CZ50" i="1"/>
  <c r="DA265" i="1"/>
  <c r="DA308" i="1"/>
  <c r="DA240" i="1"/>
  <c r="CZ241" i="1"/>
  <c r="CZ245" i="1" s="1"/>
  <c r="DB308" i="1"/>
  <c r="DB265" i="1"/>
  <c r="CN131" i="1"/>
  <c r="AB261" i="1"/>
  <c r="AE39" i="1" l="1"/>
  <c r="AE50" i="1" s="1"/>
  <c r="AE48" i="1"/>
  <c r="DB55" i="1"/>
  <c r="DA50" i="1"/>
  <c r="CO131" i="1"/>
  <c r="CM117" i="1"/>
  <c r="X7" i="2"/>
  <c r="E33" i="2"/>
  <c r="M22" i="2"/>
  <c r="G6" i="2"/>
  <c r="M16" i="2"/>
  <c r="U21" i="2"/>
  <c r="U15" i="2"/>
  <c r="T75" i="1" s="1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79" i="1" s="1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U79" i="1" s="1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CA9" i="4" a="1"/>
  <c r="BK15" i="4" a="1"/>
  <c r="CA12" i="4" a="1"/>
  <c r="DZ6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R75" i="1" s="1"/>
  <c r="V10" i="2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R79" i="1" s="1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V79" i="1" s="1"/>
  <c r="G5" i="2"/>
  <c r="H31" i="2"/>
  <c r="M27" i="2"/>
  <c r="S30" i="2"/>
  <c r="I29" i="2"/>
  <c r="N26" i="2"/>
  <c r="F7" i="2"/>
  <c r="X25" i="2"/>
  <c r="W26" i="2"/>
  <c r="X18" i="2"/>
  <c r="W79" i="1" s="1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W75" i="1" s="1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V29" i="2"/>
  <c r="G29" i="2"/>
  <c r="Q55" i="2"/>
  <c r="W29" i="2"/>
  <c r="P30" i="2"/>
  <c r="AR89" i="3"/>
  <c r="O24" i="2"/>
  <c r="U24" i="2"/>
  <c r="AR84" i="3"/>
  <c r="C11" i="2"/>
  <c r="E21" i="2"/>
  <c r="AR19" i="3"/>
  <c r="AR24" i="3"/>
  <c r="AR33" i="3"/>
  <c r="E21" i="3"/>
  <c r="AD14" i="3"/>
  <c r="P45" i="3"/>
  <c r="M45" i="3"/>
  <c r="E34" i="3"/>
  <c r="D31" i="3"/>
  <c r="AD11" i="3"/>
  <c r="CX7" i="4" a="1"/>
  <c r="BK8" i="4" a="1"/>
  <c r="BX9" i="4" a="1"/>
  <c r="DL15" i="4" a="1"/>
  <c r="CZ12" i="4" a="1"/>
  <c r="C15" i="4" a="1"/>
  <c r="C9" i="4" a="1"/>
  <c r="CF9" i="4" a="1"/>
  <c r="T7" i="4" a="1"/>
  <c r="DG15" i="4" a="1"/>
  <c r="EG16" i="4" a="1"/>
  <c r="R14" i="4" a="1"/>
  <c r="DQ13" i="4" a="1"/>
  <c r="V12" i="4" a="1"/>
  <c r="CV6" i="4" a="1"/>
  <c r="CV12" i="4" a="1"/>
  <c r="P9" i="4" a="1"/>
  <c r="BI5" i="4" a="1"/>
  <c r="AL5" i="4" a="1"/>
  <c r="BF12" i="4" a="1"/>
  <c r="DP11" i="4" a="1"/>
  <c r="EB8" i="4" a="1"/>
  <c r="V5" i="4" a="1"/>
  <c r="EE12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F24" i="2"/>
  <c r="J33" i="2"/>
  <c r="D12" i="2"/>
  <c r="I24" i="2"/>
  <c r="F19" i="2"/>
  <c r="D13" i="2"/>
  <c r="C7" i="2"/>
  <c r="V17" i="2"/>
  <c r="AR48" i="3"/>
  <c r="I34" i="2"/>
  <c r="L27" i="2"/>
  <c r="J46" i="3"/>
  <c r="AD17" i="3"/>
  <c r="L46" i="3"/>
  <c r="AB45" i="3"/>
  <c r="E35" i="3"/>
  <c r="AR45" i="3"/>
  <c r="F9" i="3"/>
  <c r="AR28" i="3"/>
  <c r="D35" i="3"/>
  <c r="F35" i="3"/>
  <c r="AL12" i="4" a="1"/>
  <c r="BF13" i="4" a="1"/>
  <c r="J9" i="4" a="1"/>
  <c r="EG12" i="4" a="1"/>
  <c r="BE11" i="4" a="1"/>
  <c r="L9" i="4" a="1"/>
  <c r="BV13" i="4" a="1"/>
  <c r="CQ14" i="4" a="1"/>
  <c r="V15" i="4" a="1"/>
  <c r="CT8" i="4" a="1"/>
  <c r="AB11" i="4" a="1"/>
  <c r="R6" i="4" a="1"/>
  <c r="BT13" i="4" a="1"/>
  <c r="AQ13" i="4" a="1"/>
  <c r="AC15" i="4" a="1"/>
  <c r="CU6" i="4" a="1"/>
  <c r="M14" i="4" a="1"/>
  <c r="C8" i="4" a="1"/>
  <c r="DP16" i="4" a="1"/>
  <c r="EF13" i="4" a="1"/>
  <c r="AB9" i="4" a="1"/>
  <c r="AH5" i="4" a="1"/>
  <c r="DF11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I23" i="2"/>
  <c r="P34" i="2"/>
  <c r="H54" i="2"/>
  <c r="P33" i="2"/>
  <c r="L36" i="2"/>
  <c r="E23" i="2"/>
  <c r="T11" i="2"/>
  <c r="R26" i="2"/>
  <c r="AR95" i="3"/>
  <c r="X29" i="2"/>
  <c r="AR86" i="3"/>
  <c r="H45" i="3"/>
  <c r="F19" i="3"/>
  <c r="AI45" i="3"/>
  <c r="D30" i="3"/>
  <c r="AR38" i="3"/>
  <c r="AD7" i="3"/>
  <c r="D38" i="3"/>
  <c r="F21" i="3"/>
  <c r="F40" i="3"/>
  <c r="EH5" i="4" a="1"/>
  <c r="DA11" i="4" a="1"/>
  <c r="CC11" i="4" a="1"/>
  <c r="CT11" i="4" a="1"/>
  <c r="AS6" i="4" a="1"/>
  <c r="DG8" i="4" a="1"/>
  <c r="BZ8" i="4" a="1"/>
  <c r="CX14" i="4" a="1"/>
  <c r="EI14" i="4" a="1"/>
  <c r="S15" i="4" a="1"/>
  <c r="EG5" i="4" a="1"/>
  <c r="EA5" i="4" a="1"/>
  <c r="AD11" i="4" a="1"/>
  <c r="AG15" i="4" a="1"/>
  <c r="AO11" i="4" a="1"/>
  <c r="CZ15" i="4" a="1"/>
  <c r="DE15" i="4" a="1"/>
  <c r="BI6" i="4" a="1"/>
  <c r="CW7" i="4" a="1"/>
  <c r="AD7" i="4" a="1"/>
  <c r="X8" i="4" a="1"/>
  <c r="CN7" i="4" a="1"/>
  <c r="BI7" i="4" a="1"/>
  <c r="DG5" i="4" a="1"/>
  <c r="DP12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L34" i="2"/>
  <c r="Q21" i="2"/>
  <c r="U7" i="2"/>
  <c r="G24" i="2"/>
  <c r="H11" i="2"/>
  <c r="T31" i="2"/>
  <c r="AR90" i="3"/>
  <c r="K22" i="2"/>
  <c r="AS47" i="3"/>
  <c r="E9" i="2"/>
  <c r="AR96" i="3"/>
  <c r="F8" i="3"/>
  <c r="E26" i="3"/>
  <c r="AE45" i="3"/>
  <c r="E23" i="3"/>
  <c r="E33" i="3"/>
  <c r="F24" i="3"/>
  <c r="AO46" i="3"/>
  <c r="E15" i="3"/>
  <c r="K45" i="3"/>
  <c r="R16" i="4" a="1"/>
  <c r="DL9" i="4" a="1"/>
  <c r="BL13" i="4" a="1"/>
  <c r="DG12" i="4" a="1"/>
  <c r="DV5" i="4" a="1"/>
  <c r="BH5" i="4" a="1"/>
  <c r="I14" i="4" a="1"/>
  <c r="CD5" i="4" a="1"/>
  <c r="CN16" i="4" a="1"/>
  <c r="DM12" i="4" a="1"/>
  <c r="AH8" i="4" a="1"/>
  <c r="DM15" i="4" a="1"/>
  <c r="AE6" i="4" a="1"/>
  <c r="M5" i="4" a="1"/>
  <c r="CO9" i="4" a="1"/>
  <c r="P16" i="4" a="1"/>
  <c r="AV16" i="4" a="1"/>
  <c r="BY5" i="4" a="1"/>
  <c r="DX6" i="4" a="1"/>
  <c r="DX13" i="4" a="1"/>
  <c r="DL11" i="4" a="1"/>
  <c r="AF8" i="4" a="1"/>
  <c r="BO5" i="4" a="1"/>
  <c r="EE11" i="4" a="1"/>
  <c r="CF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Q19" i="2"/>
  <c r="J21" i="2"/>
  <c r="Q9" i="2"/>
  <c r="T13" i="2"/>
  <c r="S7" i="2"/>
  <c r="W14" i="2"/>
  <c r="AR57" i="3"/>
  <c r="H14" i="2"/>
  <c r="AR83" i="3"/>
  <c r="M21" i="2"/>
  <c r="AR81" i="3"/>
  <c r="D37" i="3"/>
  <c r="C45" i="3"/>
  <c r="D40" i="3"/>
  <c r="AR32" i="3"/>
  <c r="Q45" i="3"/>
  <c r="E13" i="3"/>
  <c r="E16" i="3"/>
  <c r="D25" i="3"/>
  <c r="D41" i="3"/>
  <c r="F11" i="4" a="1"/>
  <c r="BF11" i="4" a="1"/>
  <c r="F12" i="4" a="1"/>
  <c r="Z15" i="4" a="1"/>
  <c r="S11" i="4" a="1"/>
  <c r="AD8" i="4" a="1"/>
  <c r="DS12" i="4" a="1"/>
  <c r="AF16" i="4" a="1"/>
  <c r="EG14" i="4" a="1"/>
  <c r="AC16" i="4" a="1"/>
  <c r="BN16" i="4" a="1"/>
  <c r="Q14" i="4" a="1"/>
  <c r="BU8" i="4" a="1"/>
  <c r="CV9" i="4" a="1"/>
  <c r="DL6" i="4" a="1"/>
  <c r="BH6" i="4" a="1"/>
  <c r="DE12" i="4" a="1"/>
  <c r="AM5" i="4" a="1"/>
  <c r="AK7" i="4" a="1"/>
  <c r="F16" i="4" a="1"/>
  <c r="AY9" i="4" a="1"/>
  <c r="CM13" i="4" a="1"/>
  <c r="DN12" i="4" a="1"/>
  <c r="EJ7" i="4" a="1"/>
  <c r="CE5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DD14" i="4" a="1"/>
  <c r="CL14" i="4" a="1"/>
  <c r="CG13" i="4" a="1"/>
  <c r="K5" i="4" a="1"/>
  <c r="EK13" i="4" a="1"/>
  <c r="S13" i="4" a="1"/>
  <c r="BN14" i="4" a="1"/>
  <c r="DW12" i="4" a="1"/>
  <c r="AX5" i="4" a="1"/>
  <c r="DK8" i="4" a="1"/>
  <c r="Q5" i="2"/>
  <c r="U18" i="2"/>
  <c r="T79" i="1" s="1"/>
  <c r="Q24" i="2"/>
  <c r="G25" i="2"/>
  <c r="P32" i="2"/>
  <c r="C14" i="2"/>
  <c r="AR55" i="3"/>
  <c r="C26" i="2"/>
  <c r="V19" i="2"/>
  <c r="H35" i="2"/>
  <c r="O14" i="2"/>
  <c r="F22" i="3"/>
  <c r="F29" i="3"/>
  <c r="D29" i="3"/>
  <c r="D10" i="3"/>
  <c r="D32" i="3"/>
  <c r="D22" i="3"/>
  <c r="AR8" i="3"/>
  <c r="Y46" i="3"/>
  <c r="D46" i="3"/>
  <c r="BO14" i="4" a="1"/>
  <c r="CY15" i="4" a="1"/>
  <c r="EJ5" i="4" a="1"/>
  <c r="DK7" i="4" a="1"/>
  <c r="BX8" i="4" a="1"/>
  <c r="BO8" i="4" a="1"/>
  <c r="BP7" i="4" a="1"/>
  <c r="Q12" i="4" a="1"/>
  <c r="DQ16" i="4" a="1"/>
  <c r="AK14" i="4" a="1"/>
  <c r="BZ5" i="4" a="1"/>
  <c r="BE12" i="4" a="1"/>
  <c r="X7" i="4" a="1"/>
  <c r="BS7" i="4" a="1"/>
  <c r="DI8" i="4" a="1"/>
  <c r="AO5" i="4" a="1"/>
  <c r="DG11" i="4" a="1"/>
  <c r="AY7" i="4" a="1"/>
  <c r="AF9" i="4" a="1"/>
  <c r="AK6" i="4" a="1"/>
  <c r="BL8" i="4" a="1"/>
  <c r="EK8" i="4" a="1"/>
  <c r="DR11" i="4" a="1"/>
  <c r="AP15" i="4" a="1"/>
  <c r="CR5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AT11" i="4" a="1"/>
  <c r="BS8" i="4" a="1"/>
  <c r="DI12" i="4" a="1"/>
  <c r="I6" i="4" a="1"/>
  <c r="BG9" i="4" a="1"/>
  <c r="CU11" i="4" a="1"/>
  <c r="AP8" i="4" a="1"/>
  <c r="CK12" i="4" a="1"/>
  <c r="DA5" i="4" a="1"/>
  <c r="BU5" i="4" a="1"/>
  <c r="U36" i="2"/>
  <c r="F17" i="2"/>
  <c r="D10" i="2"/>
  <c r="H27" i="2"/>
  <c r="Q20" i="2"/>
  <c r="Q32" i="2"/>
  <c r="AR93" i="3"/>
  <c r="J16" i="2"/>
  <c r="AR47" i="3"/>
  <c r="T17" i="2"/>
  <c r="AF48" i="3"/>
  <c r="AE46" i="3"/>
  <c r="AA45" i="3"/>
  <c r="F42" i="3"/>
  <c r="D11" i="3"/>
  <c r="AD46" i="3"/>
  <c r="E24" i="3"/>
  <c r="AR18" i="3"/>
  <c r="F7" i="3"/>
  <c r="F26" i="3"/>
  <c r="AZ15" i="4" a="1"/>
  <c r="DZ14" i="4" a="1"/>
  <c r="AI9" i="4" a="1"/>
  <c r="CM16" i="4" a="1"/>
  <c r="CR8" i="4" a="1"/>
  <c r="BZ15" i="4" a="1"/>
  <c r="BL9" i="4" a="1"/>
  <c r="BG5" i="4" a="1"/>
  <c r="DH15" i="4" a="1"/>
  <c r="DI14" i="4" a="1"/>
  <c r="EE14" i="4" a="1"/>
  <c r="BM15" i="4" a="1"/>
  <c r="CX6" i="4" a="1"/>
  <c r="AA12" i="4" a="1"/>
  <c r="D13" i="4" a="1"/>
  <c r="CJ9" i="4" a="1"/>
  <c r="CA8" i="4" a="1"/>
  <c r="DI16" i="4" a="1"/>
  <c r="W13" i="4" a="1"/>
  <c r="CP14" i="4" a="1"/>
  <c r="CF14" i="4" a="1"/>
  <c r="U14" i="2"/>
  <c r="S13" i="2"/>
  <c r="E31" i="2"/>
  <c r="H7" i="2"/>
  <c r="M15" i="2"/>
  <c r="P25" i="2"/>
  <c r="M24" i="2"/>
  <c r="C65" i="2"/>
  <c r="P12" i="2"/>
  <c r="H25" i="2"/>
  <c r="AR37" i="3"/>
  <c r="AI46" i="3"/>
  <c r="E20" i="3"/>
  <c r="D21" i="3"/>
  <c r="K46" i="3"/>
  <c r="G6" i="3"/>
  <c r="F27" i="3"/>
  <c r="E29" i="3"/>
  <c r="Q46" i="3"/>
  <c r="D28" i="3"/>
  <c r="DT7" i="4" a="1"/>
  <c r="BN7" i="4" a="1"/>
  <c r="BV14" i="4" a="1"/>
  <c r="BW11" i="4" a="1"/>
  <c r="DT12" i="4" a="1"/>
  <c r="DF15" i="4" a="1"/>
  <c r="DP14" i="4" a="1"/>
  <c r="BC12" i="4" a="1"/>
  <c r="CT14" i="4" a="1"/>
  <c r="CG12" i="4" a="1"/>
  <c r="CA15" i="4" a="1"/>
  <c r="CY16" i="4" a="1"/>
  <c r="BK6" i="4" a="1"/>
  <c r="CS8" i="4" a="1"/>
  <c r="K14" i="4" a="1"/>
  <c r="CH7" i="4" a="1"/>
  <c r="DQ8" i="4" a="1"/>
  <c r="AC12" i="4" a="1"/>
  <c r="BZ9" i="4" a="1"/>
  <c r="BQ9" i="4" a="1"/>
  <c r="BE7" i="4" a="1"/>
  <c r="DB16" i="4" a="1"/>
  <c r="AK5" i="4" a="1"/>
  <c r="AH15" i="4" a="1"/>
  <c r="CL9" i="4" a="1"/>
  <c r="DJ14" i="4" a="1"/>
  <c r="DR12" i="4" a="1"/>
  <c r="BK11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U23" i="2"/>
  <c r="Q12" i="2"/>
  <c r="X63" i="2"/>
  <c r="L21" i="2"/>
  <c r="G11" i="2"/>
  <c r="L11" i="2"/>
  <c r="AR68" i="3"/>
  <c r="Q34" i="2"/>
  <c r="I11" i="2"/>
  <c r="E22" i="2"/>
  <c r="G7" i="3"/>
  <c r="AR12" i="3"/>
  <c r="T46" i="3"/>
  <c r="G46" i="3"/>
  <c r="E42" i="3"/>
  <c r="AL45" i="3"/>
  <c r="AD12" i="3"/>
  <c r="G12" i="3"/>
  <c r="AB46" i="3"/>
  <c r="F41" i="3"/>
  <c r="X13" i="4" a="1"/>
  <c r="BU6" i="4" a="1"/>
  <c r="AV9" i="4" a="1"/>
  <c r="D14" i="4" a="1"/>
  <c r="DK5" i="4" a="1"/>
  <c r="DB14" i="4" a="1"/>
  <c r="DV7" i="4" a="1"/>
  <c r="DP9" i="4" a="1"/>
  <c r="BK13" i="4" a="1"/>
  <c r="EK5" i="4" a="1"/>
  <c r="CQ13" i="4" a="1"/>
  <c r="ED14" i="4" a="1"/>
  <c r="CN8" i="4" a="1"/>
  <c r="DY16" i="4" a="1"/>
  <c r="R11" i="4" a="1"/>
  <c r="AQ15" i="4" a="1"/>
  <c r="O7" i="4" a="1"/>
  <c r="J7" i="4" a="1"/>
  <c r="AX6" i="4" a="1"/>
  <c r="BR13" i="4" a="1"/>
  <c r="BD5" i="4" a="1"/>
  <c r="BC5" i="4" a="1"/>
  <c r="EI6" i="4" a="1"/>
  <c r="DG16" i="4" a="1"/>
  <c r="DU5" i="4" a="1"/>
  <c r="AY6" i="4" a="1"/>
  <c r="DP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I28" i="2"/>
  <c r="I15" i="2"/>
  <c r="N10" i="2"/>
  <c r="H18" i="2"/>
  <c r="L8" i="2"/>
  <c r="T10" i="2"/>
  <c r="C30" i="2"/>
  <c r="V45" i="3"/>
  <c r="E7" i="3"/>
  <c r="Y16" i="4" a="1"/>
  <c r="DR16" i="4" a="1"/>
  <c r="AP9" i="4" a="1"/>
  <c r="BH12" i="4" a="1"/>
  <c r="CX15" i="4" a="1"/>
  <c r="BK12" i="4" a="1"/>
  <c r="AZ8" i="4" a="1"/>
  <c r="EG6" i="4" a="1"/>
  <c r="BA7" i="4" a="1"/>
  <c r="CJ13" i="4" a="1"/>
  <c r="BE5" i="4" a="1"/>
  <c r="AA6" i="4" a="1"/>
  <c r="E9" i="4" a="1"/>
  <c r="DN15" i="4" a="1"/>
  <c r="AO7" i="4" a="1"/>
  <c r="BN9" i="4" a="1"/>
  <c r="CC14" i="4" a="1"/>
  <c r="CF13" i="4" a="1"/>
  <c r="AH9" i="4" a="1"/>
  <c r="W15" i="4" a="1"/>
  <c r="V11" i="4" a="1"/>
  <c r="CO7" i="4" a="1"/>
  <c r="DA13" i="4" a="1"/>
  <c r="DX14" i="4" a="1"/>
  <c r="N6" i="4" a="1"/>
  <c r="EC13" i="4" a="1"/>
  <c r="BY16" i="4" a="1"/>
  <c r="CX8" i="4" a="1"/>
  <c r="AW11" i="4" a="1"/>
  <c r="CN6" i="4" a="1"/>
  <c r="DU13" i="4" a="1"/>
  <c r="BA11" i="4" a="1"/>
  <c r="BL15" i="4" a="1"/>
  <c r="CZ7" i="4" a="1"/>
  <c r="CU7" i="4" a="1"/>
  <c r="BA12" i="4" a="1"/>
  <c r="DB11" i="4" a="1"/>
  <c r="DE7" i="4" a="1"/>
  <c r="CV8" i="4" a="1"/>
  <c r="BX11" i="4" a="1"/>
  <c r="AE8" i="4" a="1"/>
  <c r="EG13" i="4" a="1"/>
  <c r="BO6" i="4" a="1"/>
  <c r="EJ8" i="4" a="1"/>
  <c r="DY15" i="4" a="1"/>
  <c r="CI6" i="4" a="1"/>
  <c r="DM7" i="4" a="1"/>
  <c r="N8" i="4" a="1"/>
  <c r="DV14" i="4" a="1"/>
  <c r="Y15" i="4" a="1"/>
  <c r="BD8" i="4" a="1"/>
  <c r="DB15" i="4" a="1"/>
  <c r="BC6" i="4" a="1"/>
  <c r="EE7" i="4" a="1"/>
  <c r="DN13" i="4" a="1"/>
  <c r="EH14" i="4" a="1"/>
  <c r="AT7" i="4" a="1"/>
  <c r="EI15" i="4" a="1"/>
  <c r="N18" i="2"/>
  <c r="R36" i="2"/>
  <c r="V25" i="2"/>
  <c r="D15" i="3"/>
  <c r="F30" i="3"/>
  <c r="Y5" i="4" a="1"/>
  <c r="BQ7" i="4" a="1"/>
  <c r="EK15" i="4" a="1"/>
  <c r="DZ16" i="4" a="1"/>
  <c r="X15" i="4" a="1"/>
  <c r="DF13" i="4" a="1"/>
  <c r="EA8" i="4" a="1"/>
  <c r="AM6" i="4" a="1"/>
  <c r="DU11" i="4" a="1"/>
  <c r="AL15" i="4" a="1"/>
  <c r="I16" i="4" a="1"/>
  <c r="DX7" i="4" a="1"/>
  <c r="G14" i="4" a="1"/>
  <c r="AR5" i="4" a="1"/>
  <c r="DF6" i="4" a="1"/>
  <c r="AS13" i="4" a="1"/>
  <c r="AZ5" i="4" a="1"/>
  <c r="BO9" i="4" a="1"/>
  <c r="CE11" i="4" a="1"/>
  <c r="AF13" i="4" a="1"/>
  <c r="CG6" i="4" a="1"/>
  <c r="DR7" i="4" a="1"/>
  <c r="CD14" i="4" a="1"/>
  <c r="BZ14" i="4" a="1"/>
  <c r="AP5" i="4" a="1"/>
  <c r="DL7" i="4" a="1"/>
  <c r="C14" i="4" a="1"/>
  <c r="H16" i="4" a="1"/>
  <c r="AT9" i="4" a="1"/>
  <c r="BJ13" i="4" a="1"/>
  <c r="DK15" i="4" a="1"/>
  <c r="EE9" i="4" a="1"/>
  <c r="DB9" i="4" a="1"/>
  <c r="CB16" i="4" a="1"/>
  <c r="DU15" i="4" a="1"/>
  <c r="CE12" i="4" a="1"/>
  <c r="BD7" i="4" a="1"/>
  <c r="G5" i="4" a="1"/>
  <c r="CH9" i="4" a="1"/>
  <c r="DK11" i="4" a="1"/>
  <c r="T11" i="4" a="1"/>
  <c r="K12" i="4" a="1"/>
  <c r="CX5" i="4" a="1"/>
  <c r="CB8" i="4" a="1"/>
  <c r="BX15" i="4" a="1"/>
  <c r="CZ6" i="4" a="1"/>
  <c r="AV13" i="4" a="1"/>
  <c r="CQ9" i="4" a="1"/>
  <c r="DI6" i="4" a="1"/>
  <c r="CR14" i="4" a="1"/>
  <c r="CH5" i="4" a="1"/>
  <c r="BI12" i="4" a="1"/>
  <c r="DL8" i="4" a="1"/>
  <c r="BP13" i="4" a="1"/>
  <c r="DP13" i="4" a="1"/>
  <c r="Q33" i="2"/>
  <c r="AR50" i="3"/>
  <c r="I26" i="2"/>
  <c r="AR25" i="3"/>
  <c r="AR29" i="3"/>
  <c r="AK9" i="4" a="1"/>
  <c r="AJ14" i="4" a="1"/>
  <c r="BA5" i="4" a="1"/>
  <c r="DC7" i="4" a="1"/>
  <c r="CU8" i="4" a="1"/>
  <c r="CP13" i="4" a="1"/>
  <c r="CQ8" i="4" a="1"/>
  <c r="P8" i="4" a="1"/>
  <c r="CJ11" i="4" a="1"/>
  <c r="AU16" i="4" a="1"/>
  <c r="AR8" i="4" a="1"/>
  <c r="DW5" i="4" a="1"/>
  <c r="AS9" i="4" a="1"/>
  <c r="BW7" i="4" a="1"/>
  <c r="F7" i="4" a="1"/>
  <c r="CR6" i="4" a="1"/>
  <c r="DC13" i="4" a="1"/>
  <c r="EK16" i="4" a="1"/>
  <c r="AC9" i="4" a="1"/>
  <c r="ED5" i="4" a="1"/>
  <c r="DC8" i="4" a="1"/>
  <c r="DJ7" i="4" a="1"/>
  <c r="DF9" i="4" a="1"/>
  <c r="P5" i="4" a="1"/>
  <c r="DT5" i="4" a="1"/>
  <c r="CE8" i="4" a="1"/>
  <c r="BH8" i="4" a="1"/>
  <c r="Y14" i="4" a="1"/>
  <c r="EG9" i="4" a="1"/>
  <c r="EB12" i="4" a="1"/>
  <c r="EI11" i="4" a="1"/>
  <c r="AM13" i="4" a="1"/>
  <c r="CW12" i="4" a="1"/>
  <c r="DU14" i="4" a="1"/>
  <c r="ED13" i="4" a="1"/>
  <c r="CC15" i="4" a="1"/>
  <c r="S16" i="4" a="1"/>
  <c r="CC9" i="4" a="1"/>
  <c r="BW14" i="4" a="1"/>
  <c r="AS7" i="4" a="1"/>
  <c r="AD14" i="4" a="1"/>
  <c r="CJ15" i="4" a="1"/>
  <c r="DU12" i="4" a="1"/>
  <c r="AW16" i="4" a="1"/>
  <c r="BK14" i="4" a="1"/>
  <c r="DO7" i="4" a="1"/>
  <c r="DE9" i="4" a="1"/>
  <c r="DV13" i="4" a="1"/>
  <c r="O13" i="4" a="1"/>
  <c r="DA12" i="4" a="1"/>
  <c r="BV6" i="4" a="1"/>
  <c r="EK9" i="4" a="1"/>
  <c r="BM12" i="4" a="1"/>
  <c r="DS9" i="4" a="1"/>
  <c r="CP16" i="4" a="1"/>
  <c r="DC6" i="4" a="1"/>
  <c r="DJ12" i="4" a="1"/>
  <c r="AO15" i="4" a="1"/>
  <c r="EK11" i="4" a="1"/>
  <c r="CM5" i="4" a="1"/>
  <c r="Z11" i="4" a="1"/>
  <c r="AJ6" i="4" a="1"/>
  <c r="BF8" i="4" a="1"/>
  <c r="O9" i="4" a="1"/>
  <c r="CH12" i="4" a="1"/>
  <c r="AV6" i="4" a="1"/>
  <c r="AY15" i="4" a="1"/>
  <c r="N16" i="4" a="1"/>
  <c r="C12" i="4" a="1"/>
  <c r="AS16" i="4" a="1"/>
  <c r="DW8" i="4" a="1"/>
  <c r="AI12" i="4" a="1"/>
  <c r="H13" i="2"/>
  <c r="P18" i="2"/>
  <c r="AJ46" i="3"/>
  <c r="AD8" i="3"/>
  <c r="E27" i="3"/>
  <c r="CF16" i="4" a="1"/>
  <c r="DY11" i="4" a="1"/>
  <c r="R13" i="4" a="1"/>
  <c r="BP11" i="4" a="1"/>
  <c r="CI13" i="4" a="1"/>
  <c r="AP16" i="4" a="1"/>
  <c r="AU13" i="4" a="1"/>
  <c r="CT12" i="4" a="1"/>
  <c r="AW14" i="4" a="1"/>
  <c r="AZ6" i="4" a="1"/>
  <c r="EI12" i="4" a="1"/>
  <c r="N12" i="4" a="1"/>
  <c r="G11" i="4" a="1"/>
  <c r="DN6" i="4" a="1"/>
  <c r="V8" i="4" a="1"/>
  <c r="AE15" i="4" a="1"/>
  <c r="DR6" i="4" a="1"/>
  <c r="AU15" i="4" a="1"/>
  <c r="DZ13" i="4" a="1"/>
  <c r="CM11" i="4" a="1"/>
  <c r="CT6" i="4" a="1"/>
  <c r="AV14" i="4" a="1"/>
  <c r="DK9" i="4" a="1"/>
  <c r="CV15" i="4" a="1"/>
  <c r="BE13" i="4" a="1"/>
  <c r="CL5" i="4" a="1"/>
  <c r="DJ13" i="4" a="1"/>
  <c r="DH16" i="4" a="1"/>
  <c r="AE5" i="4" a="1"/>
  <c r="CU15" i="4" a="1"/>
  <c r="CX11" i="4" a="1"/>
  <c r="AC8" i="4" a="1"/>
  <c r="AG6" i="4" a="1"/>
  <c r="Q16" i="4" a="1"/>
  <c r="DD12" i="4" a="1"/>
  <c r="I8" i="4" a="1"/>
  <c r="CO14" i="4" a="1"/>
  <c r="AW13" i="4" a="1"/>
  <c r="M15" i="4" a="1"/>
  <c r="L8" i="4" a="1"/>
  <c r="CY7" i="4" a="1"/>
  <c r="E11" i="4" a="1"/>
  <c r="AQ6" i="4" a="1"/>
  <c r="BK7" i="4" a="1"/>
  <c r="DT14" i="4" a="1"/>
  <c r="BR9" i="4" a="1"/>
  <c r="W11" i="2"/>
  <c r="V20" i="2"/>
  <c r="F32" i="3"/>
  <c r="F31" i="3"/>
  <c r="G8" i="3"/>
  <c r="BJ12" i="4" a="1"/>
  <c r="AB13" i="4" a="1"/>
  <c r="DN9" i="4" a="1"/>
  <c r="AE7" i="4" a="1"/>
  <c r="AD5" i="4" a="1"/>
  <c r="X6" i="4" a="1"/>
  <c r="DS6" i="4" a="1"/>
  <c r="BG12" i="4" a="1"/>
  <c r="AY11" i="4" a="1"/>
  <c r="L6" i="4" a="1"/>
  <c r="BY14" i="4" a="1"/>
  <c r="AN13" i="4" a="1"/>
  <c r="EB6" i="4" a="1"/>
  <c r="AX15" i="4" a="1"/>
  <c r="DG7" i="4" a="1"/>
  <c r="BJ7" i="4" a="1"/>
  <c r="N7" i="4" a="1"/>
  <c r="AX14" i="4" a="1"/>
  <c r="CD12" i="4" a="1"/>
  <c r="BR7" i="4" a="1"/>
  <c r="X14" i="4" a="1"/>
  <c r="BL11" i="4" a="1"/>
  <c r="EA14" i="4" a="1"/>
  <c r="DK6" i="4" a="1"/>
  <c r="AY13" i="4" a="1"/>
  <c r="BD9" i="4" a="1"/>
  <c r="CV11" i="4" a="1"/>
  <c r="BG16" i="4" a="1"/>
  <c r="DJ5" i="4" a="1"/>
  <c r="EC16" i="4" a="1"/>
  <c r="CT16" i="4" a="1"/>
  <c r="BO7" i="4" a="1"/>
  <c r="CB6" i="4" a="1"/>
  <c r="CV16" i="4" a="1"/>
  <c r="DS15" i="4" a="1"/>
  <c r="BQ12" i="4" a="1"/>
  <c r="EB7" i="4" a="1"/>
  <c r="AF15" i="4" a="1"/>
  <c r="AN14" i="4" a="1"/>
  <c r="CP11" i="4" a="1"/>
  <c r="AL14" i="4" a="1"/>
  <c r="BU15" i="4" a="1"/>
  <c r="BW5" i="4" a="1"/>
  <c r="ED12" i="4" a="1"/>
  <c r="DD16" i="4" a="1"/>
  <c r="AW6" i="4" a="1"/>
  <c r="DT15" i="4" a="1"/>
  <c r="BQ5" i="4" a="1"/>
  <c r="CS9" i="4" a="1"/>
  <c r="W8" i="4" a="1"/>
  <c r="BV16" i="4" a="1"/>
  <c r="BB14" i="4" a="1"/>
  <c r="Z16" i="4" a="1"/>
  <c r="AO14" i="4" a="1"/>
  <c r="AL8" i="4" a="1"/>
  <c r="BI14" i="4" a="1"/>
  <c r="C16" i="4" a="1"/>
  <c r="CI11" i="4" a="1"/>
  <c r="BT14" i="4" a="1"/>
  <c r="BT12" i="4" a="1"/>
  <c r="AH16" i="4" a="1"/>
  <c r="EB13" i="4" a="1"/>
  <c r="W16" i="4" a="1"/>
  <c r="BF6" i="4" a="1"/>
  <c r="BL6" i="4" a="1"/>
  <c r="CC6" i="4" a="1"/>
  <c r="L14" i="4" a="1"/>
  <c r="DY9" i="4" a="1"/>
  <c r="AO16" i="4" a="1"/>
  <c r="AO6" i="4" a="1"/>
  <c r="CB11" i="4" a="1"/>
  <c r="AA5" i="4" a="1"/>
  <c r="EH12" i="4" a="1"/>
  <c r="U13" i="2"/>
  <c r="X32" i="2"/>
  <c r="E25" i="3"/>
  <c r="AQ45" i="3"/>
  <c r="J45" i="3"/>
  <c r="AN7" i="4" a="1"/>
  <c r="DF5" i="4" a="1"/>
  <c r="M7" i="4" a="1"/>
  <c r="BT9" i="4" a="1"/>
  <c r="DD13" i="4" a="1"/>
  <c r="BS12" i="4" a="1"/>
  <c r="DI13" i="4" a="1"/>
  <c r="U20" i="2"/>
  <c r="K19" i="2"/>
  <c r="AR36" i="3"/>
  <c r="AR46" i="3"/>
  <c r="F38" i="3"/>
  <c r="BU12" i="4" a="1"/>
  <c r="CO6" i="4" a="1"/>
  <c r="AK13" i="4" a="1"/>
  <c r="CN14" i="4" a="1"/>
  <c r="CU9" i="4" a="1"/>
  <c r="T8" i="4" a="1"/>
  <c r="BS16" i="4" a="1"/>
  <c r="BJ9" i="4" a="1"/>
  <c r="EJ13" i="4" a="1"/>
  <c r="DO9" i="4" a="1"/>
  <c r="DM13" i="4" a="1"/>
  <c r="AB15" i="4" a="1"/>
  <c r="DW14" i="4" a="1"/>
  <c r="CD9" i="4" a="1"/>
  <c r="DF14" i="4" a="1"/>
  <c r="M16" i="4" a="1"/>
  <c r="BT5" i="4" a="1"/>
  <c r="BS11" i="4" a="1"/>
  <c r="AL7" i="4" a="1"/>
  <c r="EE15" i="4" a="1"/>
  <c r="CQ12" i="4" a="1"/>
  <c r="CY9" i="4" a="1"/>
  <c r="BT6" i="4" a="1"/>
  <c r="CZ5" i="4" a="1"/>
  <c r="M12" i="4" a="1"/>
  <c r="BL14" i="4" a="1"/>
  <c r="BZ12" i="4" a="1"/>
  <c r="EF8" i="4" a="1"/>
  <c r="AF12" i="4" a="1"/>
  <c r="CH11" i="4" a="1"/>
  <c r="S14" i="4" a="1"/>
  <c r="X12" i="4" a="1"/>
  <c r="CZ13" i="4" a="1"/>
  <c r="DY12" i="4" a="1"/>
  <c r="H7" i="4" a="1"/>
  <c r="BP6" i="4" a="1"/>
  <c r="CA14" i="4" a="1"/>
  <c r="CE16" i="4" a="1"/>
  <c r="L12" i="4" a="1"/>
  <c r="CZ14" i="4" a="1"/>
  <c r="K13" i="4" a="1"/>
  <c r="D33" i="2"/>
  <c r="E20" i="2"/>
  <c r="D36" i="3"/>
  <c r="D8" i="3"/>
  <c r="R45" i="3"/>
  <c r="E14" i="4" a="1"/>
  <c r="BW15" i="4" a="1"/>
  <c r="U16" i="4" a="1"/>
  <c r="DY8" i="4" a="1"/>
  <c r="C7" i="4" a="1"/>
  <c r="G12" i="4" a="1"/>
  <c r="CF6" i="4" a="1"/>
  <c r="D7" i="4" a="1"/>
  <c r="DL5" i="4" a="1"/>
  <c r="D9" i="4" a="1"/>
  <c r="BH16" i="4" a="1"/>
  <c r="BV11" i="4" a="1"/>
  <c r="CS5" i="4" a="1"/>
  <c r="EB16" i="4" a="1"/>
  <c r="F13" i="4" a="1"/>
  <c r="AB6" i="4" a="1"/>
  <c r="DX11" i="4" a="1"/>
  <c r="AC5" i="4" a="1"/>
  <c r="H14" i="4" a="1"/>
  <c r="AU12" i="4" a="1"/>
  <c r="K6" i="4" a="1"/>
  <c r="AK16" i="4" a="1"/>
  <c r="AG13" i="4" a="1"/>
  <c r="AP6" i="4" a="1"/>
  <c r="CY11" i="4" a="1"/>
  <c r="G8" i="2"/>
  <c r="X26" i="2"/>
  <c r="G31" i="3"/>
  <c r="E36" i="3"/>
  <c r="ED16" i="4" a="1"/>
  <c r="DU7" i="4" a="1"/>
  <c r="BB13" i="4" a="1"/>
  <c r="DF7" i="4" a="1"/>
  <c r="CC8" i="4" a="1"/>
  <c r="BH14" i="4" a="1"/>
  <c r="BY15" i="4" a="1"/>
  <c r="BB16" i="4" a="1"/>
  <c r="T12" i="4" a="1"/>
  <c r="DJ6" i="4" a="1"/>
  <c r="U12" i="4" a="1"/>
  <c r="DH6" i="4" a="1"/>
  <c r="BW12" i="4" a="1"/>
  <c r="Y12" i="4" a="1"/>
  <c r="D12" i="4" a="1"/>
  <c r="CL6" i="4" a="1"/>
  <c r="DX12" i="4" a="1"/>
  <c r="CN9" i="4" a="1"/>
  <c r="AV5" i="4" a="1"/>
  <c r="ED11" i="4" a="1"/>
  <c r="BW13" i="4" a="1"/>
  <c r="CP7" i="4" a="1"/>
  <c r="DZ7" i="4" a="1"/>
  <c r="CV7" i="4" a="1"/>
  <c r="BD14" i="4" a="1"/>
  <c r="DX15" i="4" a="1"/>
  <c r="J15" i="4" a="1"/>
  <c r="DI15" i="4" a="1"/>
  <c r="CP6" i="4" a="1"/>
  <c r="EK7" i="4" a="1"/>
  <c r="AD13" i="4" a="1"/>
  <c r="O14" i="4" a="1"/>
  <c r="CR15" i="4" a="1"/>
  <c r="DW11" i="4" a="1"/>
  <c r="AU6" i="4" a="1"/>
  <c r="BA13" i="4" a="1"/>
  <c r="BU16" i="4" a="1"/>
  <c r="G15" i="4" a="1"/>
  <c r="Z14" i="4" a="1"/>
  <c r="DK12" i="4" a="1"/>
  <c r="K11" i="4" a="1"/>
  <c r="AV7" i="4" a="1"/>
  <c r="DN16" i="4" a="1"/>
  <c r="DN11" i="4" a="1"/>
  <c r="AL11" i="4" a="1"/>
  <c r="Q9" i="4" a="1"/>
  <c r="DD15" i="4" a="1"/>
  <c r="CO11" i="4" a="1"/>
  <c r="DT8" i="4" a="1"/>
  <c r="BL5" i="4" a="1"/>
  <c r="BG14" i="4" a="1"/>
  <c r="R15" i="4" a="1"/>
  <c r="AN16" i="4" a="1"/>
  <c r="AQ11" i="4" a="1"/>
  <c r="AF6" i="4" a="1"/>
  <c r="AL16" i="4" a="1"/>
  <c r="DR13" i="4" a="1"/>
  <c r="AC7" i="4" a="1"/>
  <c r="EG15" i="4" a="1"/>
  <c r="CA13" i="4" a="1"/>
  <c r="DY13" i="4" a="1"/>
  <c r="AH14" i="4" a="1"/>
  <c r="E15" i="2"/>
  <c r="M9" i="2"/>
  <c r="E14" i="3"/>
  <c r="D6" i="3"/>
  <c r="BV7" i="4" a="1"/>
  <c r="AG12" i="4" a="1"/>
  <c r="AZ7" i="4" a="1"/>
  <c r="BX16" i="4" a="1"/>
  <c r="CK14" i="4" a="1"/>
  <c r="EC11" i="4" a="1"/>
  <c r="U9" i="4" a="1"/>
  <c r="CN15" i="4" a="1"/>
  <c r="AP11" i="4" a="1"/>
  <c r="DT9" i="4" a="1"/>
  <c r="Z7" i="4" a="1"/>
  <c r="AW7" i="4" a="1"/>
  <c r="BV8" i="4" a="1"/>
  <c r="AJ16" i="4" a="1"/>
  <c r="N14" i="4" a="1"/>
  <c r="CH13" i="4" a="1"/>
  <c r="R8" i="4" a="1"/>
  <c r="EA6" i="4" a="1"/>
  <c r="AE11" i="4" a="1"/>
  <c r="L13" i="4" a="1"/>
  <c r="AF11" i="4" a="1"/>
  <c r="DO15" i="4" a="1"/>
  <c r="ED7" i="4" a="1"/>
  <c r="E13" i="4" a="1"/>
  <c r="DS16" i="4" a="1"/>
  <c r="X16" i="4" a="1"/>
  <c r="EA11" i="4" a="1"/>
  <c r="AR15" i="4" a="1"/>
  <c r="N15" i="4" a="1"/>
  <c r="CK8" i="4" a="1"/>
  <c r="CL13" i="4" a="1"/>
  <c r="AU9" i="4" a="1"/>
  <c r="AR14" i="4" a="1"/>
  <c r="H8" i="4" a="1"/>
  <c r="DW9" i="4" a="1"/>
  <c r="DF8" i="4" a="1"/>
  <c r="L6" i="2"/>
  <c r="C15" i="2"/>
  <c r="E18" i="3"/>
  <c r="AD9" i="3"/>
  <c r="EJ14" i="4" a="1"/>
  <c r="BF7" i="4" a="1"/>
  <c r="CB13" i="4" a="1"/>
  <c r="AC14" i="4" a="1"/>
  <c r="AG9" i="4" a="1"/>
  <c r="DZ12" i="4" a="1"/>
  <c r="CS15" i="4" a="1"/>
  <c r="AY12" i="4" a="1"/>
  <c r="BZ11" i="4" a="1"/>
  <c r="AK12" i="4" a="1"/>
  <c r="CK6" i="4" a="1"/>
  <c r="DP8" i="4" a="1"/>
  <c r="U11" i="4" a="1"/>
  <c r="EC9" i="4" a="1"/>
  <c r="AS5" i="4" a="1"/>
  <c r="EH7" i="4" a="1"/>
  <c r="BT15" i="4" a="1"/>
  <c r="R5" i="4" a="1"/>
  <c r="DP6" i="4" a="1"/>
  <c r="DZ9" i="4" a="1"/>
  <c r="BX13" i="4" a="1"/>
  <c r="DW7" i="4" a="1"/>
  <c r="AH7" i="4" a="1"/>
  <c r="DB6" i="4" a="1"/>
  <c r="EE8" i="4" a="1"/>
  <c r="CD7" i="4" a="1"/>
  <c r="CJ6" i="4" a="1"/>
  <c r="BN15" i="4" a="1"/>
  <c r="CE14" i="4" a="1"/>
  <c r="BN12" i="4" a="1"/>
  <c r="AB7" i="4" a="1"/>
  <c r="BF16" i="4" a="1"/>
  <c r="CK7" i="4" a="1"/>
  <c r="BQ13" i="4" a="1"/>
  <c r="H11" i="4" a="1"/>
  <c r="L15" i="4" a="1"/>
  <c r="AN6" i="4" a="1"/>
  <c r="DB5" i="4" a="1"/>
  <c r="CI9" i="4" a="1"/>
  <c r="BW9" i="4" a="1"/>
  <c r="BE14" i="4" a="1"/>
  <c r="N5" i="4" a="1"/>
  <c r="BO11" i="4" a="1"/>
  <c r="DG6" i="4" a="1"/>
  <c r="Q11" i="4" a="1"/>
  <c r="BC11" i="4" a="1"/>
  <c r="DA6" i="4" a="1"/>
  <c r="AS12" i="4" a="1"/>
  <c r="BV12" i="4" a="1"/>
  <c r="CW8" i="4" a="1"/>
  <c r="BI11" i="4" a="1"/>
  <c r="DE5" i="4" a="1"/>
  <c r="BF15" i="4" a="1"/>
  <c r="AJ15" i="4" a="1"/>
  <c r="AP12" i="4" a="1"/>
  <c r="H28" i="2"/>
  <c r="I21" i="2"/>
  <c r="W46" i="3"/>
  <c r="AR31" i="3"/>
  <c r="CI7" i="4" a="1"/>
  <c r="AN8" i="4" a="1"/>
  <c r="BG8" i="4" a="1"/>
  <c r="DO12" i="4" a="1"/>
  <c r="X5" i="4" a="1"/>
  <c r="CM6" i="4" a="1"/>
  <c r="DQ14" i="4" a="1"/>
  <c r="CE6" i="4" a="1"/>
  <c r="CP8" i="4" a="1"/>
  <c r="BP5" i="4" a="1"/>
  <c r="DS5" i="4" a="1"/>
  <c r="BS14" i="4" a="1"/>
  <c r="BD11" i="4" a="1"/>
  <c r="AL6" i="4" a="1"/>
  <c r="CQ11" i="4" a="1"/>
  <c r="EE6" i="4" a="1"/>
  <c r="AZ9" i="4" a="1"/>
  <c r="AX9" i="4" a="1"/>
  <c r="CF15" i="4" a="1"/>
  <c r="DR14" i="4" a="1"/>
  <c r="DJ9" i="4" a="1"/>
  <c r="BQ16" i="4" a="1"/>
  <c r="DJ8" i="4" a="1"/>
  <c r="Z9" i="4" a="1"/>
  <c r="DL12" i="4" a="1"/>
  <c r="S7" i="4" a="1"/>
  <c r="AA14" i="4" a="1"/>
  <c r="CA16" i="4" a="1"/>
  <c r="E15" i="4" a="1"/>
  <c r="AY8" i="4" a="1"/>
  <c r="DQ12" i="4" a="1"/>
  <c r="CP5" i="4" a="1"/>
  <c r="S8" i="4" a="1"/>
  <c r="AU14" i="4" a="1"/>
  <c r="DZ15" i="4" a="1"/>
  <c r="EF12" i="4" a="1"/>
  <c r="Z12" i="4" a="1"/>
  <c r="EE5" i="4" a="1"/>
  <c r="BY12" i="4" a="1"/>
  <c r="BM7" i="4" a="1"/>
  <c r="W14" i="4" a="1"/>
  <c r="D5" i="4" a="1"/>
  <c r="CN5" i="4" a="1"/>
  <c r="CA6" i="4" a="1"/>
  <c r="Q8" i="4" a="1"/>
  <c r="BH13" i="4" a="1"/>
  <c r="EI13" i="4" a="1"/>
  <c r="DA16" i="4" a="1"/>
  <c r="BH11" i="4" a="1"/>
  <c r="S6" i="4" a="1"/>
  <c r="BA16" i="4" a="1"/>
  <c r="EK14" i="4" a="1"/>
  <c r="BR8" i="4" a="1"/>
  <c r="AM16" i="4" a="1"/>
  <c r="EJ9" i="4" a="1"/>
  <c r="CO12" i="4" a="1"/>
  <c r="E71" i="3"/>
  <c r="D57" i="3"/>
  <c r="AD86" i="3"/>
  <c r="E58" i="3"/>
  <c r="E86" i="3"/>
  <c r="D74" i="3"/>
  <c r="E95" i="3"/>
  <c r="D94" i="3"/>
  <c r="AD89" i="3"/>
  <c r="AD97" i="3"/>
  <c r="D56" i="3"/>
  <c r="D81" i="3"/>
  <c r="D68" i="3"/>
  <c r="AD67" i="3"/>
  <c r="AD72" i="3"/>
  <c r="E84" i="3"/>
  <c r="E74" i="3"/>
  <c r="D66" i="3"/>
  <c r="AD79" i="3"/>
  <c r="E82" i="3"/>
  <c r="D88" i="3"/>
  <c r="E62" i="3"/>
  <c r="E56" i="3"/>
  <c r="D91" i="3"/>
  <c r="AD93" i="3"/>
  <c r="E65" i="3"/>
  <c r="D79" i="3"/>
  <c r="AD55" i="3"/>
  <c r="E78" i="3"/>
  <c r="AD56" i="3"/>
  <c r="AD66" i="3"/>
  <c r="E89" i="3"/>
  <c r="AD61" i="3"/>
  <c r="D96" i="3"/>
  <c r="E75" i="3"/>
  <c r="AD71" i="3"/>
  <c r="D62" i="3"/>
  <c r="E57" i="3"/>
  <c r="D58" i="3"/>
  <c r="D64" i="3"/>
  <c r="D59" i="3"/>
  <c r="E66" i="3"/>
  <c r="E64" i="3"/>
  <c r="E83" i="3"/>
  <c r="AD60" i="3"/>
  <c r="AD70" i="3"/>
  <c r="E85" i="3"/>
  <c r="D93" i="3"/>
  <c r="AD87" i="3"/>
  <c r="E96" i="3"/>
  <c r="D78" i="3"/>
  <c r="E77" i="3"/>
  <c r="D55" i="3"/>
  <c r="AD80" i="3"/>
  <c r="D85" i="3"/>
  <c r="AD65" i="3"/>
  <c r="E67" i="3"/>
  <c r="D63" i="3"/>
  <c r="AD77" i="3"/>
  <c r="AD90" i="3"/>
  <c r="D87" i="3"/>
  <c r="E76" i="3"/>
  <c r="D97" i="3"/>
  <c r="E91" i="3"/>
  <c r="AD76" i="3"/>
  <c r="AD95" i="3"/>
  <c r="AD91" i="3"/>
  <c r="D92" i="3"/>
  <c r="E80" i="3"/>
  <c r="D73" i="3"/>
  <c r="AD57" i="3"/>
  <c r="E55" i="3"/>
  <c r="D84" i="3"/>
  <c r="AD54" i="3"/>
  <c r="D75" i="3"/>
  <c r="D89" i="3"/>
  <c r="E73" i="3"/>
  <c r="AD81" i="3"/>
  <c r="D77" i="3"/>
  <c r="E61" i="3"/>
  <c r="E97" i="3"/>
  <c r="D83" i="3"/>
  <c r="E90" i="3"/>
  <c r="D67" i="3"/>
  <c r="AD69" i="3"/>
  <c r="E68" i="3"/>
  <c r="E94" i="3"/>
  <c r="AD85" i="3"/>
  <c r="AD88" i="3"/>
  <c r="D82" i="3"/>
  <c r="AD62" i="3"/>
  <c r="AD83" i="3"/>
  <c r="E63" i="3"/>
  <c r="AD58" i="3"/>
  <c r="AD82" i="3"/>
  <c r="AD68" i="3"/>
  <c r="E69" i="3"/>
  <c r="D86" i="3"/>
  <c r="D70" i="3"/>
  <c r="E92" i="3"/>
  <c r="E79" i="3"/>
  <c r="AD74" i="3"/>
  <c r="E88" i="3"/>
  <c r="D71" i="3"/>
  <c r="D76" i="3"/>
  <c r="AD59" i="3"/>
  <c r="AD75" i="3"/>
  <c r="AD78" i="3"/>
  <c r="E59" i="3"/>
  <c r="E60" i="3"/>
  <c r="D60" i="3"/>
  <c r="E93" i="3"/>
  <c r="E87" i="3"/>
  <c r="AD92" i="3"/>
  <c r="AD63" i="3"/>
  <c r="E72" i="3"/>
  <c r="D80" i="3"/>
  <c r="D61" i="3"/>
  <c r="E70" i="3"/>
  <c r="E54" i="3"/>
  <c r="AD96" i="3"/>
  <c r="D72" i="3"/>
  <c r="D90" i="3"/>
  <c r="E81" i="3"/>
  <c r="D65" i="3"/>
  <c r="AD84" i="3"/>
  <c r="D69" i="3"/>
  <c r="AD94" i="3"/>
  <c r="D95" i="3"/>
  <c r="D54" i="3"/>
  <c r="AD64" i="3"/>
  <c r="AD73" i="3"/>
  <c r="U75" i="1" l="1"/>
  <c r="S75" i="1"/>
  <c r="F93" i="3"/>
  <c r="F84" i="3"/>
  <c r="F47" i="3"/>
  <c r="F75" i="3"/>
  <c r="F79" i="3"/>
  <c r="F63" i="3"/>
  <c r="F54" i="3"/>
  <c r="F97" i="3"/>
  <c r="F61" i="3"/>
  <c r="F74" i="3"/>
  <c r="F59" i="3"/>
  <c r="F48" i="3"/>
  <c r="F65" i="3"/>
  <c r="F83" i="3"/>
  <c r="F80" i="3"/>
  <c r="F96" i="3"/>
  <c r="F50" i="3"/>
  <c r="F67" i="3"/>
  <c r="F58" i="3"/>
  <c r="F85" i="3"/>
  <c r="F81" i="3"/>
  <c r="F86" i="3"/>
  <c r="F64" i="3"/>
  <c r="F68" i="3"/>
  <c r="F49" i="3"/>
  <c r="F78" i="3"/>
  <c r="F69" i="3"/>
  <c r="F62" i="3"/>
  <c r="F56" i="3"/>
  <c r="F89" i="3"/>
  <c r="F66" i="3"/>
  <c r="F90" i="3"/>
  <c r="F91" i="3"/>
  <c r="F94" i="3"/>
  <c r="F55" i="3"/>
  <c r="F60" i="3"/>
  <c r="F73" i="3"/>
  <c r="F77" i="3"/>
  <c r="F57" i="3"/>
  <c r="F82" i="3"/>
  <c r="F95" i="3"/>
  <c r="F88" i="3"/>
  <c r="F72" i="3"/>
  <c r="F92" i="3"/>
  <c r="F87" i="3"/>
  <c r="F71" i="3"/>
  <c r="F70" i="3"/>
  <c r="F76" i="3"/>
  <c r="V75" i="1"/>
  <c r="G56" i="3"/>
  <c r="G70" i="3"/>
  <c r="G91" i="3"/>
  <c r="G61" i="3"/>
  <c r="G79" i="3"/>
  <c r="G64" i="3"/>
  <c r="G93" i="3"/>
  <c r="G54" i="3"/>
  <c r="G63" i="3"/>
  <c r="G81" i="3"/>
  <c r="G95" i="3"/>
  <c r="G88" i="3"/>
  <c r="G80" i="3"/>
  <c r="G73" i="3"/>
  <c r="G55" i="3"/>
  <c r="G87" i="3"/>
  <c r="G74" i="3"/>
  <c r="G67" i="3"/>
  <c r="G78" i="3"/>
  <c r="G83" i="3"/>
  <c r="G89" i="3"/>
  <c r="G69" i="3"/>
  <c r="G65" i="3"/>
  <c r="G82" i="3"/>
  <c r="G72" i="3"/>
  <c r="G66" i="3"/>
  <c r="G96" i="3"/>
  <c r="G58" i="3"/>
  <c r="G75" i="3"/>
  <c r="G62" i="3"/>
  <c r="G76" i="3"/>
  <c r="G59" i="3"/>
  <c r="G71" i="3"/>
  <c r="G77" i="3"/>
  <c r="G68" i="3"/>
  <c r="G86" i="3"/>
  <c r="G90" i="3"/>
  <c r="G97" i="3"/>
  <c r="G60" i="3"/>
  <c r="G57" i="3"/>
  <c r="G92" i="3"/>
  <c r="G84" i="3"/>
  <c r="G85" i="3"/>
  <c r="G94" i="3"/>
  <c r="IA16" i="4" s="1"/>
  <c r="IW16" i="4" s="1"/>
  <c r="IK16" i="4" s="1"/>
  <c r="IZ9" i="4" s="1"/>
  <c r="IM9" i="4" s="1"/>
  <c r="IQ9" i="4" s="1"/>
  <c r="HY9" i="4" s="1"/>
  <c r="AK79" i="1"/>
  <c r="B75" i="1"/>
  <c r="K55" i="1"/>
  <c r="K290" i="1" s="1"/>
  <c r="HV16" i="4" s="1"/>
  <c r="JC16" i="4" s="1"/>
  <c r="HZ16" i="4" s="1"/>
  <c r="HU9" i="4" s="1"/>
  <c r="AJ55" i="1"/>
  <c r="AJ290" i="1" s="1"/>
  <c r="AK75" i="1"/>
  <c r="D75" i="1"/>
  <c r="IF16" i="4" s="1"/>
  <c r="JF16" i="4" s="1"/>
  <c r="IH16" i="4" s="1"/>
  <c r="HU16" i="4" s="1"/>
  <c r="HU21" i="4" s="1"/>
  <c r="AO131" i="1" s="1"/>
  <c r="C100" i="1"/>
  <c r="IU9" i="4" s="1"/>
  <c r="J77" i="1"/>
  <c r="IL9" i="4" s="1"/>
  <c r="AK90" i="1"/>
  <c r="W99" i="1"/>
  <c r="T68" i="1"/>
  <c r="JE9" i="4" s="1"/>
  <c r="IX16" i="4" s="1"/>
  <c r="IK7" i="4" s="1"/>
  <c r="V60" i="1"/>
  <c r="IB16" i="4" s="1"/>
  <c r="IP16" i="4" s="1"/>
  <c r="O79" i="1"/>
  <c r="G68" i="1"/>
  <c r="IC16" i="4" s="1"/>
  <c r="HS9" i="4" s="1"/>
  <c r="JC9" i="4" s="1"/>
  <c r="JI9" i="4" s="1"/>
  <c r="IO9" i="4" s="1"/>
  <c r="JI16" i="4" s="1"/>
  <c r="IC9" i="4" s="1"/>
  <c r="HT8" i="4" s="1"/>
  <c r="BX93" i="1"/>
  <c r="BX90" i="1"/>
  <c r="BX128" i="1"/>
  <c r="P100" i="1"/>
  <c r="IN15" i="4" s="1"/>
  <c r="JG9" i="4" s="1"/>
  <c r="HQ16" i="4" s="1"/>
  <c r="AJ68" i="1"/>
  <c r="U90" i="1"/>
  <c r="U311" i="1" s="1"/>
  <c r="M79" i="1"/>
  <c r="JI8" i="4" s="1"/>
  <c r="IS7" i="4" s="1"/>
  <c r="HV15" i="4" s="1"/>
  <c r="IJ9" i="4" s="1"/>
  <c r="IB9" i="4" s="1"/>
  <c r="B93" i="1"/>
  <c r="G79" i="1"/>
  <c r="H75" i="1"/>
  <c r="JD9" i="4" s="1"/>
  <c r="IG16" i="4" s="1"/>
  <c r="AM61" i="1"/>
  <c r="BJ61" i="1"/>
  <c r="AK105" i="1"/>
  <c r="BX61" i="1"/>
  <c r="H60" i="1"/>
  <c r="BX185" i="1"/>
  <c r="K60" i="1"/>
  <c r="F60" i="1"/>
  <c r="W186" i="1"/>
  <c r="P63" i="1"/>
  <c r="T89" i="1"/>
  <c r="HR16" i="4" s="1"/>
  <c r="HP15" i="4" s="1"/>
  <c r="IL16" i="4" s="1"/>
  <c r="IL21" i="4" s="1"/>
  <c r="BF131" i="1" s="1"/>
  <c r="ID8" i="4" s="1"/>
  <c r="IR9" i="4" s="1"/>
  <c r="HZ15" i="4" s="1"/>
  <c r="IK9" i="4" s="1"/>
  <c r="IN9" i="4" s="1"/>
  <c r="JD7" i="4" s="1"/>
  <c r="AJ86" i="1"/>
  <c r="AJ253" i="1" s="1"/>
  <c r="AK93" i="1"/>
  <c r="AM55" i="1"/>
  <c r="AJ77" i="1"/>
  <c r="AK56" i="1"/>
  <c r="G90" i="1"/>
  <c r="O63" i="1"/>
  <c r="O90" i="1"/>
  <c r="L75" i="1"/>
  <c r="G56" i="1"/>
  <c r="R68" i="1"/>
  <c r="T69" i="1"/>
  <c r="AL101" i="1"/>
  <c r="BX79" i="1"/>
  <c r="AJ63" i="1"/>
  <c r="AL105" i="1"/>
  <c r="S73" i="1"/>
  <c r="P99" i="1"/>
  <c r="G86" i="1"/>
  <c r="G253" i="1" s="1"/>
  <c r="E73" i="1"/>
  <c r="IV16" i="4" s="1"/>
  <c r="IS16" i="4" s="1"/>
  <c r="HQ9" i="4" s="1"/>
  <c r="IG9" i="4" s="1"/>
  <c r="HP9" i="4" s="1"/>
  <c r="IQ16" i="4" s="1"/>
  <c r="JG16" i="4" s="1"/>
  <c r="BX55" i="1"/>
  <c r="CA152" i="1" s="1"/>
  <c r="CA153" i="1" s="1"/>
  <c r="AJ60" i="1"/>
  <c r="AJ93" i="1"/>
  <c r="AL93" i="1"/>
  <c r="N69" i="1"/>
  <c r="G105" i="1"/>
  <c r="U77" i="1"/>
  <c r="B69" i="1"/>
  <c r="O99" i="1"/>
  <c r="F90" i="1"/>
  <c r="II16" i="4" s="1"/>
  <c r="JF9" i="4" s="1"/>
  <c r="HT9" i="4" s="1"/>
  <c r="IW9" i="4" s="1"/>
  <c r="JA16" i="4" s="1"/>
  <c r="HX16" i="4" s="1"/>
  <c r="IE9" i="4" s="1"/>
  <c r="HP16" i="4" s="1"/>
  <c r="IM8" i="4" s="1"/>
  <c r="IJ16" i="4" s="1"/>
  <c r="AJ90" i="1"/>
  <c r="AK69" i="1"/>
  <c r="BX196" i="1"/>
  <c r="BX219" i="1"/>
  <c r="G69" i="1"/>
  <c r="BX172" i="1"/>
  <c r="BY172" i="1" s="1"/>
  <c r="V69" i="1"/>
  <c r="R56" i="1"/>
  <c r="S68" i="1"/>
  <c r="P77" i="1"/>
  <c r="JA9" i="4" s="1"/>
  <c r="IC8" i="4" s="1"/>
  <c r="IH9" i="4" s="1"/>
  <c r="JH9" i="4" s="1"/>
  <c r="JA8" i="4" s="1"/>
  <c r="HW7" i="4" s="1"/>
  <c r="IF15" i="4" s="1"/>
  <c r="IM16" i="4" s="1"/>
  <c r="HV9" i="4" s="1"/>
  <c r="IW14" i="4" s="1"/>
  <c r="HY8" i="4" s="1"/>
  <c r="ID16" i="4" s="1"/>
  <c r="AK68" i="1"/>
  <c r="AK89" i="1"/>
  <c r="AK101" i="1"/>
  <c r="BX222" i="1"/>
  <c r="BY222" i="1" s="1"/>
  <c r="BX180" i="1"/>
  <c r="BY180" i="1" s="1"/>
  <c r="G60" i="1"/>
  <c r="T56" i="1"/>
  <c r="IW15" i="4" s="1"/>
  <c r="JI7" i="4" s="1"/>
  <c r="IK14" i="4" s="1"/>
  <c r="IE16" i="4" s="1"/>
  <c r="IO16" i="4" s="1"/>
  <c r="AL77" i="1"/>
  <c r="W101" i="1"/>
  <c r="BX223" i="1"/>
  <c r="BY223" i="1" s="1"/>
  <c r="S60" i="1"/>
  <c r="D89" i="1"/>
  <c r="O100" i="1"/>
  <c r="G208" i="1"/>
  <c r="H89" i="1"/>
  <c r="IV9" i="4" s="1"/>
  <c r="II9" i="4" s="1"/>
  <c r="IY9" i="4" s="1"/>
  <c r="IT16" i="4" s="1"/>
  <c r="HW16" i="4" s="1"/>
  <c r="IZ16" i="4" s="1"/>
  <c r="HZ9" i="4" s="1"/>
  <c r="IH7" i="4" s="1"/>
  <c r="IT9" i="4" s="1"/>
  <c r="JB16" i="4" s="1"/>
  <c r="HR9" i="4" s="1"/>
  <c r="AL100" i="1"/>
  <c r="AJ100" i="1"/>
  <c r="BX86" i="1"/>
  <c r="BX253" i="1" s="1"/>
  <c r="AK100" i="1"/>
  <c r="BJ73" i="1"/>
  <c r="K86" i="1"/>
  <c r="K253" i="1" s="1"/>
  <c r="U73" i="1"/>
  <c r="B56" i="1"/>
  <c r="C68" i="1"/>
  <c r="E77" i="1"/>
  <c r="C63" i="1"/>
  <c r="I100" i="1"/>
  <c r="JF14" i="4" s="1"/>
  <c r="IA9" i="4" s="1"/>
  <c r="HS16" i="4" s="1"/>
  <c r="IU16" i="4" s="1"/>
  <c r="IU21" i="4" s="1"/>
  <c r="BO131" i="1" s="1"/>
  <c r="HV7" i="4" s="1"/>
  <c r="IN16" i="4" s="1"/>
  <c r="IH14" i="4" s="1"/>
  <c r="HW9" i="4" s="1"/>
  <c r="IR16" i="4" s="1"/>
  <c r="IX8" i="4" s="1"/>
  <c r="HU7" i="4" s="1"/>
  <c r="IP9" i="4" s="1"/>
  <c r="BJ63" i="1"/>
  <c r="AK99" i="1"/>
  <c r="BJ75" i="1"/>
  <c r="AK77" i="1"/>
  <c r="B60" i="1"/>
  <c r="BX200" i="1"/>
  <c r="BY200" i="1" s="1"/>
  <c r="BX208" i="1"/>
  <c r="O93" i="1"/>
  <c r="V101" i="1"/>
  <c r="F101" i="1"/>
  <c r="U101" i="1"/>
  <c r="B90" i="1"/>
  <c r="B105" i="1"/>
  <c r="V100" i="1"/>
  <c r="L63" i="1"/>
  <c r="K75" i="1"/>
  <c r="I63" i="1"/>
  <c r="D101" i="1"/>
  <c r="S56" i="1"/>
  <c r="N93" i="1"/>
  <c r="C73" i="1"/>
  <c r="D69" i="1"/>
  <c r="J101" i="1"/>
  <c r="B73" i="1"/>
  <c r="Q208" i="1"/>
  <c r="W89" i="1"/>
  <c r="C178" i="1"/>
  <c r="U63" i="1"/>
  <c r="T55" i="1"/>
  <c r="T290" i="1" s="1"/>
  <c r="W171" i="1"/>
  <c r="R105" i="1"/>
  <c r="HP8" i="4" s="1"/>
  <c r="IN7" i="4" s="1"/>
  <c r="AJ75" i="1"/>
  <c r="AJ79" i="1"/>
  <c r="BX101" i="1"/>
  <c r="BX73" i="1"/>
  <c r="BX105" i="1"/>
  <c r="AJ99" i="1"/>
  <c r="AK86" i="1"/>
  <c r="AK253" i="1" s="1"/>
  <c r="AL73" i="1"/>
  <c r="BX206" i="1"/>
  <c r="BY206" i="1" s="1"/>
  <c r="BX194" i="1"/>
  <c r="BY194" i="1" s="1"/>
  <c r="BZ261" i="1" s="1"/>
  <c r="I93" i="1"/>
  <c r="E75" i="1"/>
  <c r="B68" i="1"/>
  <c r="BX213" i="1"/>
  <c r="BY213" i="1" s="1"/>
  <c r="I69" i="1"/>
  <c r="S99" i="1"/>
  <c r="BX189" i="1"/>
  <c r="BY189" i="1" s="1"/>
  <c r="BX181" i="1"/>
  <c r="BY181" i="1" s="1"/>
  <c r="BX171" i="1"/>
  <c r="BY171" i="1" s="1"/>
  <c r="G99" i="1"/>
  <c r="K93" i="1"/>
  <c r="J55" i="1"/>
  <c r="J290" i="1" s="1"/>
  <c r="B99" i="1"/>
  <c r="E100" i="1"/>
  <c r="L101" i="1"/>
  <c r="Q75" i="1"/>
  <c r="S86" i="1"/>
  <c r="S253" i="1" s="1"/>
  <c r="E90" i="1"/>
  <c r="I55" i="1"/>
  <c r="I290" i="1" s="1"/>
  <c r="E60" i="1"/>
  <c r="H99" i="1"/>
  <c r="U100" i="1"/>
  <c r="Q55" i="1"/>
  <c r="Q79" i="1"/>
  <c r="J63" i="1"/>
  <c r="E86" i="1"/>
  <c r="E253" i="1" s="1"/>
  <c r="O86" i="1"/>
  <c r="O253" i="1" s="1"/>
  <c r="U56" i="1"/>
  <c r="U57" i="1" s="1"/>
  <c r="G101" i="1"/>
  <c r="W69" i="1"/>
  <c r="R86" i="1"/>
  <c r="R253" i="1" s="1"/>
  <c r="I79" i="1"/>
  <c r="H86" i="1"/>
  <c r="H253" i="1" s="1"/>
  <c r="W100" i="1"/>
  <c r="JH16" i="4" s="1"/>
  <c r="HX9" i="4" s="1"/>
  <c r="BJ55" i="1"/>
  <c r="BJ290" i="1" s="1"/>
  <c r="AL89" i="1"/>
  <c r="BX56" i="1"/>
  <c r="AJ89" i="1"/>
  <c r="AK55" i="1"/>
  <c r="AK290" i="1" s="1"/>
  <c r="AJ73" i="1"/>
  <c r="BX77" i="1"/>
  <c r="AL79" i="1"/>
  <c r="BX210" i="1"/>
  <c r="BY210" i="1" s="1"/>
  <c r="R60" i="1"/>
  <c r="U86" i="1"/>
  <c r="U312" i="1" s="1"/>
  <c r="B100" i="1"/>
  <c r="F63" i="1"/>
  <c r="C93" i="1"/>
  <c r="BX205" i="1"/>
  <c r="BY205" i="1" s="1"/>
  <c r="S90" i="1"/>
  <c r="BX211" i="1"/>
  <c r="BY211" i="1" s="1"/>
  <c r="BX212" i="1"/>
  <c r="BY212" i="1" s="1"/>
  <c r="L89" i="1"/>
  <c r="K90" i="1"/>
  <c r="K69" i="1"/>
  <c r="D55" i="1"/>
  <c r="D290" i="1" s="1"/>
  <c r="J173" i="1"/>
  <c r="D60" i="1"/>
  <c r="P89" i="1"/>
  <c r="V86" i="1"/>
  <c r="V312" i="1" s="1"/>
  <c r="E63" i="1"/>
  <c r="W90" i="1"/>
  <c r="W311" i="1" s="1"/>
  <c r="E56" i="1"/>
  <c r="H101" i="1"/>
  <c r="R93" i="1"/>
  <c r="L86" i="1"/>
  <c r="L253" i="1" s="1"/>
  <c r="L90" i="1"/>
  <c r="D93" i="1"/>
  <c r="Q99" i="1"/>
  <c r="G77" i="1"/>
  <c r="V89" i="1"/>
  <c r="L77" i="1"/>
  <c r="W68" i="1"/>
  <c r="K105" i="1"/>
  <c r="Q63" i="1"/>
  <c r="Q90" i="1"/>
  <c r="R100" i="1"/>
  <c r="Q105" i="1"/>
  <c r="F75" i="1"/>
  <c r="T73" i="1"/>
  <c r="F56" i="1"/>
  <c r="R99" i="1"/>
  <c r="U99" i="1"/>
  <c r="AM73" i="1"/>
  <c r="F68" i="1"/>
  <c r="BX197" i="1"/>
  <c r="T99" i="1"/>
  <c r="H68" i="1"/>
  <c r="M99" i="1"/>
  <c r="W105" i="1"/>
  <c r="BX203" i="1"/>
  <c r="BY203" i="1" s="1"/>
  <c r="BX173" i="1"/>
  <c r="BY173" i="1" s="1"/>
  <c r="BX191" i="1"/>
  <c r="BY191" i="1" s="1"/>
  <c r="H55" i="1"/>
  <c r="H290" i="1" s="1"/>
  <c r="M68" i="1"/>
  <c r="BL128" i="1"/>
  <c r="BX187" i="1"/>
  <c r="P90" i="1"/>
  <c r="I105" i="1"/>
  <c r="C86" i="1"/>
  <c r="C253" i="1" s="1"/>
  <c r="P68" i="1"/>
  <c r="M93" i="1"/>
  <c r="D90" i="1"/>
  <c r="O60" i="1"/>
  <c r="L105" i="1"/>
  <c r="O77" i="1"/>
  <c r="C89" i="1"/>
  <c r="J105" i="1"/>
  <c r="N79" i="1"/>
  <c r="B86" i="1"/>
  <c r="B77" i="1"/>
  <c r="L100" i="1"/>
  <c r="P73" i="1"/>
  <c r="N100" i="1"/>
  <c r="H79" i="1"/>
  <c r="G93" i="1"/>
  <c r="K56" i="1"/>
  <c r="P105" i="1"/>
  <c r="I68" i="1"/>
  <c r="D99" i="1"/>
  <c r="K101" i="1"/>
  <c r="N68" i="1"/>
  <c r="G73" i="1"/>
  <c r="IE8" i="4" s="1"/>
  <c r="IF8" i="4" s="1"/>
  <c r="AM90" i="1"/>
  <c r="AM93" i="1"/>
  <c r="AM69" i="1"/>
  <c r="AM86" i="1"/>
  <c r="AJ105" i="1"/>
  <c r="AK73" i="1"/>
  <c r="AL75" i="1"/>
  <c r="AK60" i="1"/>
  <c r="AK63" i="1"/>
  <c r="AL60" i="1"/>
  <c r="E79" i="1"/>
  <c r="E93" i="1"/>
  <c r="Q93" i="1"/>
  <c r="D68" i="1"/>
  <c r="BX179" i="1"/>
  <c r="BY179" i="1" s="1"/>
  <c r="R101" i="1"/>
  <c r="R69" i="1"/>
  <c r="U93" i="1"/>
  <c r="M63" i="1"/>
  <c r="I101" i="1"/>
  <c r="BX178" i="1"/>
  <c r="BY178" i="1" s="1"/>
  <c r="S89" i="1"/>
  <c r="M89" i="1"/>
  <c r="B101" i="1"/>
  <c r="W73" i="1"/>
  <c r="H100" i="1"/>
  <c r="O101" i="1"/>
  <c r="P75" i="1"/>
  <c r="N101" i="1"/>
  <c r="J93" i="1"/>
  <c r="O73" i="1"/>
  <c r="J90" i="1"/>
  <c r="D105" i="1"/>
  <c r="R89" i="1"/>
  <c r="U69" i="1"/>
  <c r="H63" i="1"/>
  <c r="S100" i="1"/>
  <c r="P60" i="1"/>
  <c r="M90" i="1"/>
  <c r="M101" i="1"/>
  <c r="N86" i="1"/>
  <c r="N253" i="1" s="1"/>
  <c r="K68" i="1"/>
  <c r="I86" i="1"/>
  <c r="I253" i="1" s="1"/>
  <c r="G63" i="1"/>
  <c r="C55" i="1"/>
  <c r="C290" i="1" s="1"/>
  <c r="V90" i="1"/>
  <c r="V311" i="1" s="1"/>
  <c r="I56" i="1"/>
  <c r="M69" i="1"/>
  <c r="M105" i="1"/>
  <c r="V63" i="1"/>
  <c r="H77" i="1"/>
  <c r="J73" i="1"/>
  <c r="O89" i="1"/>
  <c r="T60" i="1"/>
  <c r="T90" i="1"/>
  <c r="S63" i="1"/>
  <c r="E55" i="1"/>
  <c r="E290" i="1" s="1"/>
  <c r="Q100" i="1"/>
  <c r="J100" i="1"/>
  <c r="P181" i="1"/>
  <c r="C99" i="1"/>
  <c r="M60" i="1"/>
  <c r="F73" i="1"/>
  <c r="C77" i="1"/>
  <c r="W77" i="1"/>
  <c r="S105" i="1"/>
  <c r="AL86" i="1"/>
  <c r="AL253" i="1" s="1"/>
  <c r="BX89" i="1"/>
  <c r="AM56" i="1"/>
  <c r="AL68" i="1"/>
  <c r="AK61" i="1"/>
  <c r="BX75" i="1"/>
  <c r="AM60" i="1"/>
  <c r="AL63" i="1"/>
  <c r="AM79" i="1"/>
  <c r="AL55" i="1"/>
  <c r="BJ79" i="1"/>
  <c r="AJ101" i="1"/>
  <c r="AM63" i="1"/>
  <c r="D176" i="1"/>
  <c r="BX209" i="1"/>
  <c r="BY209" i="1" s="1"/>
  <c r="Q56" i="1"/>
  <c r="B89" i="1"/>
  <c r="I89" i="1"/>
  <c r="C60" i="1"/>
  <c r="BX127" i="1"/>
  <c r="I73" i="1"/>
  <c r="S55" i="1"/>
  <c r="B79" i="1"/>
  <c r="M55" i="1"/>
  <c r="S69" i="1"/>
  <c r="M56" i="1"/>
  <c r="W86" i="1"/>
  <c r="W312" i="1" s="1"/>
  <c r="N60" i="1"/>
  <c r="O55" i="1"/>
  <c r="O290" i="1" s="1"/>
  <c r="G55" i="1"/>
  <c r="G290" i="1" s="1"/>
  <c r="K99" i="1"/>
  <c r="I90" i="1"/>
  <c r="S93" i="1"/>
  <c r="I75" i="1"/>
  <c r="E105" i="1"/>
  <c r="J89" i="1"/>
  <c r="F100" i="1"/>
  <c r="P93" i="1"/>
  <c r="K63" i="1"/>
  <c r="R90" i="1"/>
  <c r="L79" i="1"/>
  <c r="T63" i="1"/>
  <c r="IX9" i="4" s="1"/>
  <c r="IP8" i="4" s="1"/>
  <c r="IU14" i="4" s="1"/>
  <c r="JG7" i="4" s="1"/>
  <c r="IG15" i="4" s="1"/>
  <c r="JD16" i="4" s="1"/>
  <c r="JD21" i="4" s="1"/>
  <c r="BX131" i="1" s="1"/>
  <c r="BX143" i="1" s="1"/>
  <c r="BX100" i="1"/>
  <c r="BX60" i="1"/>
  <c r="AM89" i="1"/>
  <c r="AM77" i="1"/>
  <c r="BX68" i="1"/>
  <c r="AM75" i="1"/>
  <c r="AL61" i="1"/>
  <c r="AL90" i="1"/>
  <c r="BJ60" i="1"/>
  <c r="BX99" i="1"/>
  <c r="M75" i="1"/>
  <c r="W63" i="1"/>
  <c r="C90" i="1"/>
  <c r="P208" i="1"/>
  <c r="G100" i="1"/>
  <c r="V77" i="1"/>
  <c r="BX218" i="1"/>
  <c r="P211" i="1"/>
  <c r="J79" i="1"/>
  <c r="D56" i="1"/>
  <c r="BY127" i="1"/>
  <c r="D73" i="1"/>
  <c r="L60" i="1"/>
  <c r="L56" i="1"/>
  <c r="O68" i="1"/>
  <c r="F69" i="1"/>
  <c r="G89" i="1"/>
  <c r="S101" i="1"/>
  <c r="V93" i="1"/>
  <c r="M100" i="1"/>
  <c r="Q68" i="1"/>
  <c r="N90" i="1"/>
  <c r="M86" i="1"/>
  <c r="M253" i="1" s="1"/>
  <c r="N77" i="1"/>
  <c r="V73" i="1"/>
  <c r="U105" i="1"/>
  <c r="N55" i="1"/>
  <c r="N56" i="1"/>
  <c r="J60" i="1"/>
  <c r="P79" i="1"/>
  <c r="T77" i="1"/>
  <c r="E68" i="1"/>
  <c r="L93" i="1"/>
  <c r="Q60" i="1"/>
  <c r="BX186" i="1"/>
  <c r="Q73" i="1"/>
  <c r="I99" i="1"/>
  <c r="H90" i="1"/>
  <c r="G75" i="1"/>
  <c r="O105" i="1"/>
  <c r="L99" i="1"/>
  <c r="S77" i="1"/>
  <c r="K79" i="1"/>
  <c r="F86" i="1"/>
  <c r="M77" i="1"/>
  <c r="I77" i="1"/>
  <c r="F99" i="1"/>
  <c r="Q89" i="1"/>
  <c r="C56" i="1"/>
  <c r="N63" i="1"/>
  <c r="Q101" i="1"/>
  <c r="N75" i="1"/>
  <c r="J99" i="1"/>
  <c r="N73" i="1"/>
  <c r="O56" i="1"/>
  <c r="K73" i="1"/>
  <c r="E218" i="1"/>
  <c r="H69" i="1"/>
  <c r="P55" i="1"/>
  <c r="F89" i="1"/>
  <c r="L69" i="1"/>
  <c r="HY7" i="4" s="1"/>
  <c r="BX69" i="1"/>
  <c r="BJ69" i="1"/>
  <c r="AJ56" i="1"/>
  <c r="AM68" i="1"/>
  <c r="BJ68" i="1"/>
  <c r="AL56" i="1"/>
  <c r="J75" i="1"/>
  <c r="C69" i="1"/>
  <c r="J86" i="1"/>
  <c r="J253" i="1" s="1"/>
  <c r="J69" i="1"/>
  <c r="E99" i="1"/>
  <c r="Q77" i="1"/>
  <c r="T100" i="1"/>
  <c r="I60" i="1"/>
  <c r="BX176" i="1"/>
  <c r="BY176" i="1" s="1"/>
  <c r="U60" i="1"/>
  <c r="Q86" i="1"/>
  <c r="Q253" i="1" s="1"/>
  <c r="N89" i="1"/>
  <c r="D63" i="1"/>
  <c r="W93" i="1"/>
  <c r="E101" i="1"/>
  <c r="L68" i="1"/>
  <c r="Q69" i="1"/>
  <c r="F105" i="1"/>
  <c r="H73" i="1"/>
  <c r="H105" i="1"/>
  <c r="P86" i="1"/>
  <c r="P253" i="1" s="1"/>
  <c r="R77" i="1"/>
  <c r="J56" i="1"/>
  <c r="K77" i="1"/>
  <c r="U89" i="1"/>
  <c r="V105" i="1"/>
  <c r="R73" i="1"/>
  <c r="P69" i="1"/>
  <c r="C101" i="1"/>
  <c r="K100" i="1"/>
  <c r="J68" i="1"/>
  <c r="D77" i="1"/>
  <c r="T93" i="1"/>
  <c r="R63" i="1"/>
  <c r="B55" i="1"/>
  <c r="B290" i="1" s="1"/>
  <c r="W60" i="1"/>
  <c r="K89" i="1"/>
  <c r="P219" i="1"/>
  <c r="N99" i="1"/>
  <c r="T101" i="1"/>
  <c r="T86" i="1"/>
  <c r="T253" i="1" s="1"/>
  <c r="E89" i="1"/>
  <c r="AL69" i="1"/>
  <c r="AL99" i="1"/>
  <c r="BX63" i="1"/>
  <c r="AJ61" i="1"/>
  <c r="AJ69" i="1"/>
  <c r="F79" i="1"/>
  <c r="B63" i="1"/>
  <c r="L55" i="1"/>
  <c r="L290" i="1" s="1"/>
  <c r="E69" i="1"/>
  <c r="D86" i="1"/>
  <c r="D253" i="1" s="1"/>
  <c r="BX214" i="1"/>
  <c r="BY214" i="1" s="1"/>
  <c r="D79" i="1"/>
  <c r="P56" i="1"/>
  <c r="L73" i="1"/>
  <c r="H56" i="1"/>
  <c r="V56" i="1"/>
  <c r="V57" i="1" s="1"/>
  <c r="C79" i="1"/>
  <c r="U68" i="1"/>
  <c r="P101" i="1"/>
  <c r="H93" i="1"/>
  <c r="R55" i="1"/>
  <c r="R290" i="1" s="1"/>
  <c r="F93" i="1"/>
  <c r="C105" i="1"/>
  <c r="M73" i="1"/>
  <c r="C75" i="1"/>
  <c r="V99" i="1"/>
  <c r="O69" i="1"/>
  <c r="G222" i="1"/>
  <c r="T105" i="1"/>
  <c r="O75" i="1"/>
  <c r="V68" i="1"/>
  <c r="N105" i="1"/>
  <c r="F77" i="1"/>
  <c r="F55" i="1"/>
  <c r="F290" i="1" s="1"/>
  <c r="D100" i="1"/>
  <c r="W56" i="1"/>
  <c r="W57" i="1" s="1"/>
  <c r="DB240" i="1"/>
  <c r="DB241" i="1" s="1"/>
  <c r="DB245" i="1" s="1"/>
  <c r="DA241" i="1"/>
  <c r="DA245" i="1" s="1"/>
  <c r="BJ222" i="1"/>
  <c r="BK222" i="1" s="1"/>
  <c r="BJ209" i="1"/>
  <c r="BK209" i="1" s="1"/>
  <c r="BJ196" i="1"/>
  <c r="AJ178" i="1"/>
  <c r="AK178" i="1" s="1"/>
  <c r="AJ222" i="1"/>
  <c r="AK222" i="1" s="1"/>
  <c r="AJ181" i="1"/>
  <c r="AK181" i="1" s="1"/>
  <c r="AJ218" i="1"/>
  <c r="BJ181" i="1"/>
  <c r="BK181" i="1" s="1"/>
  <c r="AJ176" i="1"/>
  <c r="AK176" i="1" s="1"/>
  <c r="BJ218" i="1"/>
  <c r="BJ219" i="1"/>
  <c r="BJ205" i="1"/>
  <c r="BK205" i="1" s="1"/>
  <c r="BJ212" i="1"/>
  <c r="AJ213" i="1"/>
  <c r="AK213" i="1" s="1"/>
  <c r="AJ208" i="1"/>
  <c r="AJ210" i="1"/>
  <c r="AK210" i="1" s="1"/>
  <c r="BJ211" i="1"/>
  <c r="BK211" i="1" s="1"/>
  <c r="AJ212" i="1"/>
  <c r="AK212" i="1" s="1"/>
  <c r="BJ178" i="1"/>
  <c r="BK178" i="1" s="1"/>
  <c r="BJ185" i="1"/>
  <c r="BJ197" i="1"/>
  <c r="BJ223" i="1"/>
  <c r="AJ214" i="1"/>
  <c r="AK214" i="1" s="1"/>
  <c r="AJ206" i="1"/>
  <c r="AK206" i="1" s="1"/>
  <c r="AJ209" i="1"/>
  <c r="AK209" i="1" s="1"/>
  <c r="BJ173" i="1"/>
  <c r="BJ180" i="1"/>
  <c r="BK180" i="1" s="1"/>
  <c r="BJ194" i="1"/>
  <c r="BK194" i="1" s="1"/>
  <c r="BL261" i="1" s="1"/>
  <c r="BJ214" i="1"/>
  <c r="BK214" i="1" s="1"/>
  <c r="BJ189" i="1"/>
  <c r="BK189" i="1" s="1"/>
  <c r="BJ179" i="1"/>
  <c r="BK179" i="1" s="1"/>
  <c r="BJ206" i="1"/>
  <c r="BK206" i="1" s="1"/>
  <c r="BJ186" i="1"/>
  <c r="AJ187" i="1"/>
  <c r="AJ196" i="1"/>
  <c r="AJ197" i="1"/>
  <c r="AJ219" i="1"/>
  <c r="AJ173" i="1"/>
  <c r="AJ200" i="1"/>
  <c r="AK200" i="1" s="1"/>
  <c r="AJ179" i="1"/>
  <c r="AK179" i="1" s="1"/>
  <c r="BJ200" i="1"/>
  <c r="BK200" i="1" s="1"/>
  <c r="AJ171" i="1"/>
  <c r="AK171" i="1" s="1"/>
  <c r="BJ172" i="1"/>
  <c r="BK172" i="1" s="1"/>
  <c r="BJ208" i="1"/>
  <c r="BJ213" i="1"/>
  <c r="BK213" i="1" s="1"/>
  <c r="BJ187" i="1"/>
  <c r="BJ210" i="1"/>
  <c r="BK210" i="1" s="1"/>
  <c r="AJ223" i="1"/>
  <c r="AK223" i="1" s="1"/>
  <c r="AJ180" i="1"/>
  <c r="AK180" i="1" s="1"/>
  <c r="AJ186" i="1"/>
  <c r="AJ211" i="1"/>
  <c r="AK211" i="1" s="1"/>
  <c r="AJ172" i="1"/>
  <c r="AK172" i="1" s="1"/>
  <c r="AJ194" i="1"/>
  <c r="AK194" i="1" s="1"/>
  <c r="BJ176" i="1"/>
  <c r="BK176" i="1" s="1"/>
  <c r="BJ171" i="1"/>
  <c r="AJ185" i="1"/>
  <c r="AJ189" i="1"/>
  <c r="AK189" i="1" s="1"/>
  <c r="AJ205" i="1"/>
  <c r="AK205" i="1" s="1"/>
  <c r="AJ203" i="1"/>
  <c r="AK203" i="1" s="1"/>
  <c r="AJ191" i="1"/>
  <c r="AK191" i="1" s="1"/>
  <c r="BJ191" i="1"/>
  <c r="BK191" i="1" s="1"/>
  <c r="BJ203" i="1"/>
  <c r="HQ8" i="4"/>
  <c r="IL8" i="4"/>
  <c r="IE14" i="4"/>
  <c r="IV14" i="4"/>
  <c r="IC15" i="4"/>
  <c r="IV15" i="4"/>
  <c r="IO15" i="4"/>
  <c r="HX7" i="4"/>
  <c r="JB8" i="4"/>
  <c r="IW8" i="4"/>
  <c r="IA14" i="4"/>
  <c r="JA7" i="4"/>
  <c r="JG14" i="4"/>
  <c r="IM7" i="4"/>
  <c r="IB7" i="4"/>
  <c r="JF7" i="4"/>
  <c r="HQ14" i="4"/>
  <c r="HR7" i="4"/>
  <c r="HZ7" i="4"/>
  <c r="JD14" i="4"/>
  <c r="HY14" i="4"/>
  <c r="IB14" i="4"/>
  <c r="IN14" i="4"/>
  <c r="IA15" i="4"/>
  <c r="IZ15" i="4"/>
  <c r="IY7" i="4"/>
  <c r="HY15" i="4"/>
  <c r="IS14" i="4"/>
  <c r="IV8" i="4"/>
  <c r="JI21" i="4"/>
  <c r="CC131" i="1" s="1"/>
  <c r="HX15" i="4"/>
  <c r="JE7" i="4"/>
  <c r="II14" i="4"/>
  <c r="IJ14" i="4"/>
  <c r="JC15" i="4"/>
  <c r="IB8" i="4"/>
  <c r="IE15" i="4"/>
  <c r="JC14" i="4"/>
  <c r="HS15" i="4"/>
  <c r="JC21" i="4"/>
  <c r="BW131" i="1" s="1"/>
  <c r="JH8" i="4"/>
  <c r="HQ15" i="4"/>
  <c r="HZ8" i="4"/>
  <c r="JB7" i="4"/>
  <c r="IT8" i="4"/>
  <c r="IT7" i="4"/>
  <c r="JD15" i="4"/>
  <c r="IS8" i="4"/>
  <c r="IQ7" i="4"/>
  <c r="IP7" i="4"/>
  <c r="HV8" i="4"/>
  <c r="HW15" i="4"/>
  <c r="JH15" i="4"/>
  <c r="JB14" i="4"/>
  <c r="IR8" i="4"/>
  <c r="CP131" i="1"/>
  <c r="CN117" i="1"/>
  <c r="CM119" i="1"/>
  <c r="AJ215" i="1" l="1"/>
  <c r="AL211" i="1"/>
  <c r="AM211" i="1" s="1"/>
  <c r="AL179" i="1"/>
  <c r="AM179" i="1" s="1"/>
  <c r="AL173" i="1"/>
  <c r="AL213" i="1"/>
  <c r="AM213" i="1" s="1"/>
  <c r="AL185" i="1"/>
  <c r="AL197" i="1"/>
  <c r="AL128" i="1"/>
  <c r="AL223" i="1"/>
  <c r="AM223" i="1" s="1"/>
  <c r="AL187" i="1"/>
  <c r="AL222" i="1"/>
  <c r="AM222" i="1" s="1"/>
  <c r="AL210" i="1"/>
  <c r="AM210" i="1" s="1"/>
  <c r="AL176" i="1"/>
  <c r="AM176" i="1" s="1"/>
  <c r="AL208" i="1"/>
  <c r="AL200" i="1"/>
  <c r="AM200" i="1" s="1"/>
  <c r="AL214" i="1"/>
  <c r="AM214" i="1" s="1"/>
  <c r="AL218" i="1"/>
  <c r="AL196" i="1"/>
  <c r="AL209" i="1"/>
  <c r="AM209" i="1" s="1"/>
  <c r="AL171" i="1"/>
  <c r="AM171" i="1" s="1"/>
  <c r="AL180" i="1"/>
  <c r="AM180" i="1" s="1"/>
  <c r="AL172" i="1"/>
  <c r="AM172" i="1" s="1"/>
  <c r="AL178" i="1"/>
  <c r="AM178" i="1" s="1"/>
  <c r="AL186" i="1"/>
  <c r="AL219" i="1"/>
  <c r="AL181" i="1"/>
  <c r="AM181" i="1" s="1"/>
  <c r="AL127" i="1"/>
  <c r="AL205" i="1"/>
  <c r="AM205" i="1" s="1"/>
  <c r="BJ215" i="1"/>
  <c r="AL194" i="1"/>
  <c r="AM194" i="1" s="1"/>
  <c r="AM261" i="1" s="1"/>
  <c r="AL191" i="1"/>
  <c r="AM191" i="1" s="1"/>
  <c r="AL203" i="1"/>
  <c r="BX215" i="1"/>
  <c r="AL206" i="1"/>
  <c r="AM206" i="1" s="1"/>
  <c r="AL212" i="1"/>
  <c r="AM212" i="1" s="1"/>
  <c r="AL189" i="1"/>
  <c r="AM189" i="1" s="1"/>
  <c r="HQ21" i="4"/>
  <c r="AK131" i="1" s="1"/>
  <c r="IG21" i="4"/>
  <c r="BA131" i="1" s="1"/>
  <c r="IF9" i="4" s="1"/>
  <c r="IJ21" i="4"/>
  <c r="BD131" i="1" s="1"/>
  <c r="J80" i="1"/>
  <c r="U80" i="1"/>
  <c r="II21" i="4"/>
  <c r="BC131" i="1" s="1"/>
  <c r="HV21" i="4"/>
  <c r="AP131" i="1" s="1"/>
  <c r="HX21" i="4"/>
  <c r="AR131" i="1" s="1"/>
  <c r="IW21" i="4"/>
  <c r="BQ131" i="1" s="1"/>
  <c r="IH21" i="4"/>
  <c r="BB131" i="1" s="1"/>
  <c r="HP21" i="4"/>
  <c r="AJ131" i="1" s="1"/>
  <c r="IP21" i="4"/>
  <c r="BJ131" i="1" s="1"/>
  <c r="IZ21" i="4"/>
  <c r="BT131" i="1" s="1"/>
  <c r="JG21" i="4"/>
  <c r="CA131" i="1" s="1"/>
  <c r="CA143" i="1" s="1"/>
  <c r="IA21" i="4"/>
  <c r="AU131" i="1" s="1"/>
  <c r="IM21" i="4"/>
  <c r="BG131" i="1" s="1"/>
  <c r="JH21" i="4"/>
  <c r="CB131" i="1" s="1"/>
  <c r="CB143" i="1" s="1"/>
  <c r="HW21" i="4"/>
  <c r="AQ131" i="1" s="1"/>
  <c r="IQ21" i="4"/>
  <c r="BK131" i="1" s="1"/>
  <c r="IV21" i="4"/>
  <c r="BP131" i="1" s="1"/>
  <c r="IT21" i="4"/>
  <c r="BN131" i="1" s="1"/>
  <c r="HS21" i="4"/>
  <c r="AM131" i="1" s="1"/>
  <c r="IN21" i="4"/>
  <c r="BH131" i="1" s="1"/>
  <c r="HR21" i="4"/>
  <c r="AL131" i="1" s="1"/>
  <c r="BX290" i="1"/>
  <c r="K80" i="1"/>
  <c r="D80" i="1"/>
  <c r="Q80" i="1"/>
  <c r="I80" i="1"/>
  <c r="M80" i="1"/>
  <c r="H80" i="1"/>
  <c r="C80" i="1"/>
  <c r="T80" i="1"/>
  <c r="V80" i="1"/>
  <c r="V81" i="1" s="1"/>
  <c r="E80" i="1"/>
  <c r="N80" i="1"/>
  <c r="B80" i="1"/>
  <c r="G80" i="1"/>
  <c r="S80" i="1"/>
  <c r="L80" i="1"/>
  <c r="O80" i="1"/>
  <c r="BX80" i="1"/>
  <c r="P80" i="1"/>
  <c r="F80" i="1"/>
  <c r="W80" i="1"/>
  <c r="R80" i="1"/>
  <c r="V152" i="1"/>
  <c r="V64" i="1"/>
  <c r="U64" i="1"/>
  <c r="X247" i="1"/>
  <c r="W64" i="1"/>
  <c r="CC139" i="1"/>
  <c r="CC143" i="1"/>
  <c r="H311" i="1"/>
  <c r="AM57" i="1"/>
  <c r="AM64" i="1" s="1"/>
  <c r="AM65" i="1" s="1"/>
  <c r="D311" i="1"/>
  <c r="Q311" i="1"/>
  <c r="M311" i="1"/>
  <c r="V58" i="1"/>
  <c r="B57" i="1"/>
  <c r="BX311" i="1"/>
  <c r="AL80" i="1"/>
  <c r="F311" i="1"/>
  <c r="BX239" i="1"/>
  <c r="BY239" i="1" s="1"/>
  <c r="AJ57" i="1"/>
  <c r="AJ64" i="1" s="1"/>
  <c r="AJ238" i="1"/>
  <c r="C311" i="1"/>
  <c r="BY174" i="1"/>
  <c r="BY146" i="1" s="1"/>
  <c r="K311" i="1"/>
  <c r="Q57" i="1"/>
  <c r="D57" i="1"/>
  <c r="D64" i="1" s="1"/>
  <c r="S312" i="1"/>
  <c r="T311" i="1"/>
  <c r="T57" i="1"/>
  <c r="BX238" i="1"/>
  <c r="BY238" i="1" s="1"/>
  <c r="X58" i="1"/>
  <c r="W247" i="1"/>
  <c r="W253" i="1"/>
  <c r="I312" i="1"/>
  <c r="Q290" i="1"/>
  <c r="U253" i="1"/>
  <c r="AJ91" i="1"/>
  <c r="U152" i="1"/>
  <c r="W152" i="1"/>
  <c r="F57" i="1"/>
  <c r="BJ242" i="1"/>
  <c r="BK242" i="1" s="1"/>
  <c r="AL312" i="1"/>
  <c r="B312" i="1"/>
  <c r="T312" i="1"/>
  <c r="C312" i="1"/>
  <c r="P242" i="1"/>
  <c r="I311" i="1"/>
  <c r="K57" i="1"/>
  <c r="K64" i="1" s="1"/>
  <c r="B311" i="1"/>
  <c r="N312" i="1"/>
  <c r="IY14" i="4"/>
  <c r="IY19" i="4" s="1"/>
  <c r="BS132" i="1" s="1"/>
  <c r="BS161" i="1" s="1"/>
  <c r="IJ15" i="4"/>
  <c r="I57" i="1"/>
  <c r="BJ238" i="1"/>
  <c r="BK238" i="1" s="1"/>
  <c r="AJ242" i="1"/>
  <c r="BJ239" i="1"/>
  <c r="BK239" i="1" s="1"/>
  <c r="AM290" i="1"/>
  <c r="AM311" i="1"/>
  <c r="AM253" i="1"/>
  <c r="AM312" i="1"/>
  <c r="M290" i="1"/>
  <c r="M57" i="1"/>
  <c r="IQ14" i="4"/>
  <c r="IQ19" i="4" s="1"/>
  <c r="BK132" i="1" s="1"/>
  <c r="BK161" i="1" s="1"/>
  <c r="BX220" i="1"/>
  <c r="BY268" i="1" s="1"/>
  <c r="BX188" i="1"/>
  <c r="JF15" i="4"/>
  <c r="JF20" i="4" s="1"/>
  <c r="BZ133" i="1" s="1"/>
  <c r="IZ8" i="4"/>
  <c r="IZ20" i="4" s="1"/>
  <c r="BT133" i="1" s="1"/>
  <c r="BT162" i="1" s="1"/>
  <c r="IK21" i="4"/>
  <c r="BE131" i="1" s="1"/>
  <c r="IL14" i="4"/>
  <c r="IH15" i="4"/>
  <c r="IH20" i="4" s="1"/>
  <c r="BB133" i="1" s="1"/>
  <c r="BB162" i="1" s="1"/>
  <c r="IP14" i="4"/>
  <c r="IP19" i="4" s="1"/>
  <c r="BJ132" i="1" s="1"/>
  <c r="BJ161" i="1" s="1"/>
  <c r="JH7" i="4"/>
  <c r="HX14" i="4"/>
  <c r="HX19" i="4" s="1"/>
  <c r="AR132" i="1" s="1"/>
  <c r="AR161" i="1" s="1"/>
  <c r="IC14" i="4"/>
  <c r="IC19" i="4" s="1"/>
  <c r="AW132" i="1" s="1"/>
  <c r="AW161" i="1" s="1"/>
  <c r="JB15" i="4"/>
  <c r="JB20" i="4" s="1"/>
  <c r="BV133" i="1" s="1"/>
  <c r="BV162" i="1" s="1"/>
  <c r="HS14" i="4"/>
  <c r="HS19" i="4" s="1"/>
  <c r="AM132" i="1" s="1"/>
  <c r="HZ21" i="4"/>
  <c r="AT131" i="1" s="1"/>
  <c r="IF7" i="4"/>
  <c r="JD8" i="4"/>
  <c r="JD20" i="4" s="1"/>
  <c r="BX133" i="1" s="1"/>
  <c r="BX162" i="1" s="1"/>
  <c r="IG14" i="4"/>
  <c r="IV7" i="4"/>
  <c r="IV19" i="4" s="1"/>
  <c r="BP132" i="1" s="1"/>
  <c r="BP161" i="1" s="1"/>
  <c r="JF21" i="4"/>
  <c r="BZ131" i="1" s="1"/>
  <c r="HP7" i="4"/>
  <c r="IM15" i="4"/>
  <c r="IM20" i="4" s="1"/>
  <c r="BG133" i="1" s="1"/>
  <c r="BG162" i="1" s="1"/>
  <c r="HU14" i="4"/>
  <c r="HU19" i="4" s="1"/>
  <c r="AO132" i="1" s="1"/>
  <c r="AO161" i="1" s="1"/>
  <c r="JG15" i="4"/>
  <c r="JG20" i="4" s="1"/>
  <c r="CA133" i="1" s="1"/>
  <c r="IA7" i="4"/>
  <c r="IA19" i="4" s="1"/>
  <c r="AU132" i="1" s="1"/>
  <c r="AU161" i="1" s="1"/>
  <c r="HS7" i="4"/>
  <c r="HR14" i="4"/>
  <c r="HR19" i="4" s="1"/>
  <c r="AL132" i="1" s="1"/>
  <c r="IA8" i="4"/>
  <c r="IA20" i="4" s="1"/>
  <c r="AU133" i="1" s="1"/>
  <c r="AU162" i="1" s="1"/>
  <c r="HV14" i="4"/>
  <c r="HV19" i="4" s="1"/>
  <c r="AP132" i="1" s="1"/>
  <c r="AP161" i="1" s="1"/>
  <c r="HX8" i="4"/>
  <c r="HX20" i="4" s="1"/>
  <c r="AR133" i="1" s="1"/>
  <c r="AR162" i="1" s="1"/>
  <c r="IU15" i="4"/>
  <c r="IB21" i="4"/>
  <c r="AV131" i="1" s="1"/>
  <c r="JE8" i="4"/>
  <c r="IC21" i="4"/>
  <c r="AW131" i="1" s="1"/>
  <c r="IH8" i="4"/>
  <c r="IB15" i="4"/>
  <c r="IB20" i="4" s="1"/>
  <c r="AV133" i="1" s="1"/>
  <c r="AV162" i="1" s="1"/>
  <c r="HW14" i="4"/>
  <c r="HW19" i="4" s="1"/>
  <c r="AQ132" i="1" s="1"/>
  <c r="AQ161" i="1" s="1"/>
  <c r="IX7" i="4"/>
  <c r="IO8" i="4"/>
  <c r="IO20" i="4" s="1"/>
  <c r="BI133" i="1" s="1"/>
  <c r="BI162" i="1" s="1"/>
  <c r="JA15" i="4"/>
  <c r="JA20" i="4" s="1"/>
  <c r="BU133" i="1" s="1"/>
  <c r="BU162" i="1" s="1"/>
  <c r="JC7" i="4"/>
  <c r="JC19" i="4" s="1"/>
  <c r="BW132" i="1" s="1"/>
  <c r="BW161" i="1" s="1"/>
  <c r="JI15" i="4"/>
  <c r="JI20" i="4" s="1"/>
  <c r="CC133" i="1" s="1"/>
  <c r="ID7" i="4"/>
  <c r="JH14" i="4"/>
  <c r="IW7" i="4"/>
  <c r="IL15" i="4"/>
  <c r="IL20" i="4" s="1"/>
  <c r="BF133" i="1" s="1"/>
  <c r="BF162" i="1" s="1"/>
  <c r="IZ14" i="4"/>
  <c r="HT15" i="4"/>
  <c r="HT20" i="4" s="1"/>
  <c r="AN133" i="1" s="1"/>
  <c r="AN162" i="1" s="1"/>
  <c r="IU7" i="4"/>
  <c r="IK8" i="4"/>
  <c r="BX242" i="1"/>
  <c r="IX14" i="4"/>
  <c r="IX19" i="4" s="1"/>
  <c r="BR132" i="1" s="1"/>
  <c r="BR161" i="1" s="1"/>
  <c r="IQ15" i="4"/>
  <c r="II8" i="4"/>
  <c r="HS8" i="4"/>
  <c r="HS20" i="4" s="1"/>
  <c r="AM133" i="1" s="1"/>
  <c r="IJ8" i="4"/>
  <c r="IJ20" i="4" s="1"/>
  <c r="BD133" i="1" s="1"/>
  <c r="BD162" i="1" s="1"/>
  <c r="IJ7" i="4"/>
  <c r="IJ19" i="4" s="1"/>
  <c r="BD132" i="1" s="1"/>
  <c r="BD161" i="1" s="1"/>
  <c r="JA21" i="4"/>
  <c r="BU131" i="1" s="1"/>
  <c r="IQ8" i="4"/>
  <c r="IG7" i="4"/>
  <c r="IG19" i="4" s="1"/>
  <c r="BA132" i="1" s="1"/>
  <c r="BA161" i="1" s="1"/>
  <c r="II15" i="4"/>
  <c r="II20" i="4" s="1"/>
  <c r="BC133" i="1" s="1"/>
  <c r="BC162" i="1" s="1"/>
  <c r="IE7" i="4"/>
  <c r="IE19" i="4" s="1"/>
  <c r="AY132" i="1" s="1"/>
  <c r="AY161" i="1" s="1"/>
  <c r="IE21" i="4"/>
  <c r="AY131" i="1" s="1"/>
  <c r="JC8" i="4"/>
  <c r="JC20" i="4" s="1"/>
  <c r="BW133" i="1" s="1"/>
  <c r="BW162" i="1" s="1"/>
  <c r="HQ7" i="4"/>
  <c r="HQ19" i="4" s="1"/>
  <c r="AK132" i="1" s="1"/>
  <c r="IO21" i="4"/>
  <c r="BI131" i="1" s="1"/>
  <c r="II7" i="4"/>
  <c r="II19" i="4" s="1"/>
  <c r="BC132" i="1" s="1"/>
  <c r="BC161" i="1" s="1"/>
  <c r="IY15" i="4"/>
  <c r="IY20" i="4" s="1"/>
  <c r="BS133" i="1" s="1"/>
  <c r="BS162" i="1" s="1"/>
  <c r="IY8" i="4"/>
  <c r="JA14" i="4"/>
  <c r="JA19" i="4" s="1"/>
  <c r="BU132" i="1" s="1"/>
  <c r="BU161" i="1" s="1"/>
  <c r="IT15" i="4"/>
  <c r="IT20" i="4" s="1"/>
  <c r="BN133" i="1" s="1"/>
  <c r="BN162" i="1" s="1"/>
  <c r="IM14" i="4"/>
  <c r="IM19" i="4" s="1"/>
  <c r="BG132" i="1" s="1"/>
  <c r="BG161" i="1" s="1"/>
  <c r="JE14" i="4"/>
  <c r="JE19" i="4" s="1"/>
  <c r="BY132" i="1" s="1"/>
  <c r="IX15" i="4"/>
  <c r="IX20" i="4" s="1"/>
  <c r="BR133" i="1" s="1"/>
  <c r="BR162" i="1" s="1"/>
  <c r="IT14" i="4"/>
  <c r="IT19" i="4" s="1"/>
  <c r="BN132" i="1" s="1"/>
  <c r="BN161" i="1" s="1"/>
  <c r="IR15" i="4"/>
  <c r="IR20" i="4" s="1"/>
  <c r="BL133" i="1" s="1"/>
  <c r="BL150" i="1" s="1"/>
  <c r="IR21" i="4"/>
  <c r="BL131" i="1" s="1"/>
  <c r="BL148" i="1" s="1"/>
  <c r="AK80" i="1"/>
  <c r="Q242" i="1"/>
  <c r="N311" i="1"/>
  <c r="S311" i="1"/>
  <c r="AM80" i="1"/>
  <c r="BY182" i="1"/>
  <c r="J311" i="1"/>
  <c r="AJ80" i="1"/>
  <c r="S290" i="1"/>
  <c r="S57" i="1"/>
  <c r="S64" i="1" s="1"/>
  <c r="N290" i="1"/>
  <c r="N57" i="1"/>
  <c r="N64" i="1" s="1"/>
  <c r="F253" i="1"/>
  <c r="F312" i="1"/>
  <c r="IN8" i="4"/>
  <c r="HR15" i="4"/>
  <c r="HZ14" i="4"/>
  <c r="HZ19" i="4" s="1"/>
  <c r="AT132" i="1" s="1"/>
  <c r="AT161" i="1" s="1"/>
  <c r="BX57" i="1"/>
  <c r="BX64" i="1" s="1"/>
  <c r="IL7" i="4"/>
  <c r="HT14" i="4"/>
  <c r="ID15" i="4"/>
  <c r="ID20" i="4" s="1"/>
  <c r="AX133" i="1" s="1"/>
  <c r="AX162" i="1" s="1"/>
  <c r="IR7" i="4"/>
  <c r="IU8" i="4"/>
  <c r="IS15" i="4"/>
  <c r="IS20" i="4" s="1"/>
  <c r="BM133" i="1" s="1"/>
  <c r="BM162" i="1" s="1"/>
  <c r="HU8" i="4"/>
  <c r="IG8" i="4"/>
  <c r="AL311" i="1"/>
  <c r="AL57" i="1"/>
  <c r="IO7" i="4"/>
  <c r="ID14" i="4"/>
  <c r="HR8" i="4"/>
  <c r="JG8" i="4"/>
  <c r="IC7" i="4"/>
  <c r="JI14" i="4"/>
  <c r="JI19" i="4" s="1"/>
  <c r="CC132" i="1" s="1"/>
  <c r="HT7" i="4"/>
  <c r="BX174" i="1"/>
  <c r="IX21" i="4"/>
  <c r="BR131" i="1" s="1"/>
  <c r="AL290" i="1"/>
  <c r="AM152" i="1"/>
  <c r="AM153" i="1" s="1"/>
  <c r="AJ87" i="1"/>
  <c r="IF14" i="4"/>
  <c r="JF8" i="4"/>
  <c r="IK15" i="4"/>
  <c r="IP15" i="4"/>
  <c r="IP20" i="4" s="1"/>
  <c r="BJ133" i="1" s="1"/>
  <c r="BJ162" i="1" s="1"/>
  <c r="IR14" i="4"/>
  <c r="K312" i="1"/>
  <c r="V253" i="1"/>
  <c r="H312" i="1"/>
  <c r="P312" i="1"/>
  <c r="HW8" i="4"/>
  <c r="HW20" i="4" s="1"/>
  <c r="AQ133" i="1" s="1"/>
  <c r="AQ162" i="1" s="1"/>
  <c r="O312" i="1"/>
  <c r="AK57" i="1"/>
  <c r="R312" i="1"/>
  <c r="P57" i="1"/>
  <c r="P64" i="1" s="1"/>
  <c r="P290" i="1"/>
  <c r="D312" i="1"/>
  <c r="P311" i="1"/>
  <c r="J312" i="1"/>
  <c r="H57" i="1"/>
  <c r="H64" i="1" s="1"/>
  <c r="Q312" i="1"/>
  <c r="G57" i="1"/>
  <c r="G64" i="1" s="1"/>
  <c r="BX182" i="1"/>
  <c r="W58" i="1"/>
  <c r="M312" i="1"/>
  <c r="G242" i="1"/>
  <c r="E57" i="1"/>
  <c r="E64" i="1" s="1"/>
  <c r="L312" i="1"/>
  <c r="L311" i="1"/>
  <c r="J57" i="1"/>
  <c r="J64" i="1" s="1"/>
  <c r="G311" i="1"/>
  <c r="C57" i="1"/>
  <c r="C64" i="1" s="1"/>
  <c r="O57" i="1"/>
  <c r="O64" i="1" s="1"/>
  <c r="L57" i="1"/>
  <c r="L64" i="1" s="1"/>
  <c r="O311" i="1"/>
  <c r="BX312" i="1"/>
  <c r="R311" i="1"/>
  <c r="BX207" i="1"/>
  <c r="G312" i="1"/>
  <c r="R57" i="1"/>
  <c r="R64" i="1" s="1"/>
  <c r="V247" i="1"/>
  <c r="BJ220" i="1"/>
  <c r="BK268" i="1" s="1"/>
  <c r="BJ188" i="1"/>
  <c r="BK182" i="1"/>
  <c r="BK171" i="1"/>
  <c r="BJ174" i="1"/>
  <c r="AJ220" i="1"/>
  <c r="AK268" i="1" s="1"/>
  <c r="BK212" i="1"/>
  <c r="BJ182" i="1"/>
  <c r="AJ182" i="1"/>
  <c r="AJ261" i="1"/>
  <c r="AI255" i="1"/>
  <c r="AI257" i="1" s="1"/>
  <c r="AJ188" i="1"/>
  <c r="AK87" i="1" s="1"/>
  <c r="AJ207" i="1"/>
  <c r="AJ239" i="1"/>
  <c r="AK239" i="1" s="1"/>
  <c r="AK182" i="1"/>
  <c r="AJ174" i="1"/>
  <c r="BK203" i="1"/>
  <c r="BJ207" i="1"/>
  <c r="HP20" i="4"/>
  <c r="AJ133" i="1" s="1"/>
  <c r="JF19" i="4"/>
  <c r="BZ132" i="1" s="1"/>
  <c r="IB19" i="4"/>
  <c r="AV132" i="1" s="1"/>
  <c r="AV161" i="1" s="1"/>
  <c r="JD19" i="4"/>
  <c r="BX132" i="1" s="1"/>
  <c r="IW20" i="4"/>
  <c r="BQ133" i="1" s="1"/>
  <c r="BQ162" i="1" s="1"/>
  <c r="HQ20" i="4"/>
  <c r="AK133" i="1" s="1"/>
  <c r="HV20" i="4"/>
  <c r="AP133" i="1" s="1"/>
  <c r="AP162" i="1" s="1"/>
  <c r="HY20" i="4"/>
  <c r="AS133" i="1" s="1"/>
  <c r="AS162" i="1" s="1"/>
  <c r="IN19" i="4"/>
  <c r="BH132" i="1" s="1"/>
  <c r="BH161" i="1" s="1"/>
  <c r="IS19" i="4"/>
  <c r="BM132" i="1" s="1"/>
  <c r="BM161" i="1" s="1"/>
  <c r="IC20" i="4"/>
  <c r="AW133" i="1" s="1"/>
  <c r="AW162" i="1" s="1"/>
  <c r="CC156" i="1"/>
  <c r="JH20" i="4"/>
  <c r="CB133" i="1" s="1"/>
  <c r="IV20" i="4"/>
  <c r="BP133" i="1" s="1"/>
  <c r="BP162" i="1" s="1"/>
  <c r="CC148" i="1"/>
  <c r="IE20" i="4"/>
  <c r="AY133" i="1" s="1"/>
  <c r="AY162" i="1" s="1"/>
  <c r="JG19" i="4"/>
  <c r="CA132" i="1" s="1"/>
  <c r="IF20" i="4"/>
  <c r="AZ133" i="1" s="1"/>
  <c r="AZ162" i="1" s="1"/>
  <c r="HZ20" i="4"/>
  <c r="AT133" i="1" s="1"/>
  <c r="AT162" i="1" s="1"/>
  <c r="HY19" i="4"/>
  <c r="AS132" i="1" s="1"/>
  <c r="AS161" i="1" s="1"/>
  <c r="JB19" i="4"/>
  <c r="BV132" i="1" s="1"/>
  <c r="BV161" i="1" s="1"/>
  <c r="IK19" i="4"/>
  <c r="BE132" i="1" s="1"/>
  <c r="BE161" i="1" s="1"/>
  <c r="IH19" i="4"/>
  <c r="BB132" i="1" s="1"/>
  <c r="BB161" i="1" s="1"/>
  <c r="AK261" i="1"/>
  <c r="BK261" i="1"/>
  <c r="BY261" i="1"/>
  <c r="CM86" i="1"/>
  <c r="AB131" i="1"/>
  <c r="CQ131" i="1"/>
  <c r="AC194" i="1"/>
  <c r="CN119" i="1"/>
  <c r="CO117" i="1"/>
  <c r="AL242" i="1" l="1"/>
  <c r="AM242" i="1" s="1"/>
  <c r="BX244" i="1"/>
  <c r="AL239" i="1"/>
  <c r="AM239" i="1" s="1"/>
  <c r="AL238" i="1"/>
  <c r="AM238" i="1" s="1"/>
  <c r="AL261" i="1"/>
  <c r="AM182" i="1"/>
  <c r="AL220" i="1"/>
  <c r="AM268" i="1" s="1"/>
  <c r="BJ244" i="1"/>
  <c r="AL188" i="1"/>
  <c r="AM188" i="1" s="1"/>
  <c r="AL174" i="1"/>
  <c r="AL182" i="1"/>
  <c r="AM203" i="1"/>
  <c r="AL207" i="1"/>
  <c r="AL215" i="1"/>
  <c r="AL244" i="1" s="1"/>
  <c r="AM192" i="1"/>
  <c r="IF21" i="4"/>
  <c r="AZ131" i="1" s="1"/>
  <c r="HU15" i="4"/>
  <c r="U65" i="1"/>
  <c r="IU20" i="4"/>
  <c r="BO133" i="1" s="1"/>
  <c r="BO162" i="1" s="1"/>
  <c r="JH19" i="4"/>
  <c r="CB132" i="1" s="1"/>
  <c r="IQ20" i="4"/>
  <c r="BK133" i="1" s="1"/>
  <c r="BK162" i="1" s="1"/>
  <c r="AM156" i="1"/>
  <c r="IR19" i="4"/>
  <c r="BL132" i="1" s="1"/>
  <c r="W81" i="1"/>
  <c r="V65" i="1"/>
  <c r="IG20" i="4"/>
  <c r="BA133" i="1" s="1"/>
  <c r="BA162" i="1" s="1"/>
  <c r="CB148" i="1"/>
  <c r="CB156" i="1"/>
  <c r="CB139" i="1"/>
  <c r="IL19" i="4"/>
  <c r="BF132" i="1" s="1"/>
  <c r="BF161" i="1" s="1"/>
  <c r="HR20" i="4"/>
  <c r="AL133" i="1" s="1"/>
  <c r="CA148" i="1"/>
  <c r="CA156" i="1"/>
  <c r="IN20" i="4"/>
  <c r="BH133" i="1" s="1"/>
  <c r="BH162" i="1" s="1"/>
  <c r="IW19" i="4"/>
  <c r="BQ132" i="1" s="1"/>
  <c r="BQ161" i="1" s="1"/>
  <c r="IU19" i="4"/>
  <c r="BO132" i="1" s="1"/>
  <c r="BO161" i="1" s="1"/>
  <c r="Q64" i="1"/>
  <c r="Q65" i="1" s="1"/>
  <c r="I152" i="1"/>
  <c r="I64" i="1"/>
  <c r="I65" i="1" s="1"/>
  <c r="F152" i="1"/>
  <c r="F64" i="1"/>
  <c r="F65" i="1" s="1"/>
  <c r="M152" i="1"/>
  <c r="M64" i="1"/>
  <c r="M65" i="1" s="1"/>
  <c r="T152" i="1"/>
  <c r="T64" i="1"/>
  <c r="U66" i="1" s="1"/>
  <c r="B64" i="1"/>
  <c r="B65" i="1" s="1"/>
  <c r="BZ148" i="1"/>
  <c r="BZ143" i="1"/>
  <c r="AM81" i="1"/>
  <c r="N247" i="1"/>
  <c r="Q58" i="1"/>
  <c r="AJ81" i="1"/>
  <c r="Q152" i="1"/>
  <c r="AK59" i="1"/>
  <c r="D81" i="1"/>
  <c r="U247" i="1"/>
  <c r="BZ266" i="1"/>
  <c r="N152" i="1"/>
  <c r="N58" i="1"/>
  <c r="U58" i="1"/>
  <c r="K152" i="1"/>
  <c r="BJ243" i="1"/>
  <c r="N65" i="1"/>
  <c r="IK20" i="4"/>
  <c r="BE133" i="1" s="1"/>
  <c r="BE162" i="1" s="1"/>
  <c r="BX81" i="1"/>
  <c r="ID19" i="4"/>
  <c r="AX132" i="1" s="1"/>
  <c r="AX161" i="1" s="1"/>
  <c r="BY188" i="1"/>
  <c r="BY87" i="1"/>
  <c r="BX192" i="1"/>
  <c r="O65" i="1"/>
  <c r="O152" i="1"/>
  <c r="O247" i="1"/>
  <c r="L65" i="1"/>
  <c r="L247" i="1"/>
  <c r="BX241" i="1"/>
  <c r="BX216" i="1"/>
  <c r="E81" i="1"/>
  <c r="X66" i="1"/>
  <c r="W65" i="1"/>
  <c r="T247" i="1"/>
  <c r="T58" i="1"/>
  <c r="BY59" i="1"/>
  <c r="CB58" i="1"/>
  <c r="CC247" i="1"/>
  <c r="HT19" i="4"/>
  <c r="AN132" i="1" s="1"/>
  <c r="AN161" i="1" s="1"/>
  <c r="IF19" i="4"/>
  <c r="AZ132" i="1" s="1"/>
  <c r="AZ161" i="1" s="1"/>
  <c r="BY308" i="1"/>
  <c r="BY242" i="1"/>
  <c r="B81" i="1"/>
  <c r="BY183" i="1"/>
  <c r="BZ308" i="1"/>
  <c r="BZ310" i="1" s="1"/>
  <c r="BZ265" i="1"/>
  <c r="S152" i="1"/>
  <c r="AJ65" i="1"/>
  <c r="AJ82" i="1"/>
  <c r="AL81" i="1"/>
  <c r="AL64" i="1"/>
  <c r="AM67" i="1" s="1"/>
  <c r="AM59" i="1"/>
  <c r="BX146" i="1"/>
  <c r="BX150" i="1" s="1"/>
  <c r="BX307" i="1"/>
  <c r="BY266" i="1"/>
  <c r="I247" i="1"/>
  <c r="H58" i="1"/>
  <c r="G247" i="1"/>
  <c r="G58" i="1"/>
  <c r="J247" i="1"/>
  <c r="J152" i="1"/>
  <c r="R152" i="1"/>
  <c r="R58" i="1"/>
  <c r="V66" i="1"/>
  <c r="BY265" i="1"/>
  <c r="S58" i="1"/>
  <c r="V82" i="1"/>
  <c r="BX227" i="1"/>
  <c r="BY91" i="1" s="1"/>
  <c r="S247" i="1"/>
  <c r="BX183" i="1"/>
  <c r="W66" i="1"/>
  <c r="M247" i="1"/>
  <c r="Q247" i="1"/>
  <c r="AM284" i="1"/>
  <c r="E247" i="1"/>
  <c r="O58" i="1"/>
  <c r="P58" i="1"/>
  <c r="G152" i="1"/>
  <c r="M58" i="1"/>
  <c r="P65" i="1"/>
  <c r="AK64" i="1"/>
  <c r="AK81" i="1"/>
  <c r="F58" i="1"/>
  <c r="W82" i="1"/>
  <c r="L58" i="1"/>
  <c r="AM82" i="1"/>
  <c r="AM291" i="1" s="1"/>
  <c r="AM292" i="1" s="1"/>
  <c r="F247" i="1"/>
  <c r="L152" i="1"/>
  <c r="P152" i="1"/>
  <c r="AL59" i="1"/>
  <c r="H152" i="1"/>
  <c r="P247" i="1"/>
  <c r="H247" i="1"/>
  <c r="E58" i="1"/>
  <c r="I58" i="1"/>
  <c r="E152" i="1"/>
  <c r="BK308" i="1"/>
  <c r="K58" i="1"/>
  <c r="AJ183" i="1"/>
  <c r="J58" i="1"/>
  <c r="K247" i="1"/>
  <c r="D58" i="1"/>
  <c r="CM158" i="1"/>
  <c r="CN158" i="1" s="1"/>
  <c r="CO158" i="1" s="1"/>
  <c r="CP158" i="1" s="1"/>
  <c r="CQ158" i="1" s="1"/>
  <c r="CR158" i="1" s="1"/>
  <c r="CS158" i="1" s="1"/>
  <c r="CT158" i="1" s="1"/>
  <c r="CU158" i="1" s="1"/>
  <c r="CV158" i="1" s="1"/>
  <c r="CW158" i="1" s="1"/>
  <c r="CX158" i="1" s="1"/>
  <c r="CY158" i="1" s="1"/>
  <c r="CZ158" i="1" s="1"/>
  <c r="DA158" i="1" s="1"/>
  <c r="DB158" i="1" s="1"/>
  <c r="CM157" i="1"/>
  <c r="CN157" i="1" s="1"/>
  <c r="CO157" i="1" s="1"/>
  <c r="CP157" i="1" s="1"/>
  <c r="CQ157" i="1" s="1"/>
  <c r="CR157" i="1" s="1"/>
  <c r="CS157" i="1" s="1"/>
  <c r="CT157" i="1" s="1"/>
  <c r="CU157" i="1" s="1"/>
  <c r="CV157" i="1" s="1"/>
  <c r="CW157" i="1" s="1"/>
  <c r="CX157" i="1" s="1"/>
  <c r="CY157" i="1" s="1"/>
  <c r="CZ157" i="1" s="1"/>
  <c r="DA157" i="1" s="1"/>
  <c r="DB157" i="1" s="1"/>
  <c r="D247" i="1"/>
  <c r="C58" i="1"/>
  <c r="C81" i="1"/>
  <c r="C247" i="1"/>
  <c r="R247" i="1"/>
  <c r="AK265" i="1"/>
  <c r="BK188" i="1"/>
  <c r="BJ192" i="1"/>
  <c r="BJ305" i="1" s="1"/>
  <c r="BL265" i="1"/>
  <c r="BL308" i="1"/>
  <c r="BJ146" i="1"/>
  <c r="BJ307" i="1"/>
  <c r="AJ227" i="1"/>
  <c r="AK91" i="1" s="1"/>
  <c r="AJ265" i="1"/>
  <c r="AJ256" i="1"/>
  <c r="AJ244" i="1"/>
  <c r="AK188" i="1"/>
  <c r="AJ216" i="1"/>
  <c r="BJ183" i="1"/>
  <c r="BJ227" i="1"/>
  <c r="BJ163" i="1" s="1"/>
  <c r="AJ192" i="1"/>
  <c r="BK265" i="1"/>
  <c r="AJ255" i="1"/>
  <c r="AJ241" i="1"/>
  <c r="BJ241" i="1"/>
  <c r="BJ216" i="1"/>
  <c r="AM157" i="1"/>
  <c r="AM161" i="1"/>
  <c r="BZ149" i="1"/>
  <c r="BZ161" i="1"/>
  <c r="BZ164" i="1" s="1"/>
  <c r="AM162" i="1"/>
  <c r="AM158" i="1"/>
  <c r="BX161" i="1"/>
  <c r="CA150" i="1"/>
  <c r="CA162" i="1"/>
  <c r="CA158" i="1"/>
  <c r="CC149" i="1"/>
  <c r="CC161" i="1"/>
  <c r="CC157" i="1"/>
  <c r="CC140" i="1"/>
  <c r="CF144" i="1" s="1"/>
  <c r="CC150" i="1"/>
  <c r="CC158" i="1"/>
  <c r="CC162" i="1"/>
  <c r="AL161" i="1"/>
  <c r="BZ162" i="1"/>
  <c r="BZ165" i="1" s="1"/>
  <c r="BZ150" i="1"/>
  <c r="CB150" i="1"/>
  <c r="CB162" i="1"/>
  <c r="CB165" i="1" s="1"/>
  <c r="CB168" i="1" s="1"/>
  <c r="CC141" i="1"/>
  <c r="CB158" i="1"/>
  <c r="BL162" i="1"/>
  <c r="BL165" i="1" s="1"/>
  <c r="CB141" i="1"/>
  <c r="CA157" i="1"/>
  <c r="CA161" i="1"/>
  <c r="CA149" i="1"/>
  <c r="BY161" i="1"/>
  <c r="D65" i="1"/>
  <c r="D82" i="1"/>
  <c r="C82" i="1"/>
  <c r="D66" i="1"/>
  <c r="C65" i="1"/>
  <c r="BY149" i="1"/>
  <c r="K65" i="1"/>
  <c r="CM253" i="1"/>
  <c r="CM186" i="1"/>
  <c r="CM188" i="1" s="1"/>
  <c r="CM192" i="1" s="1"/>
  <c r="CM262" i="1" s="1"/>
  <c r="CM260" i="1" s="1"/>
  <c r="CR131" i="1"/>
  <c r="AC261" i="1"/>
  <c r="AB212" i="1"/>
  <c r="AB171" i="1"/>
  <c r="CO119" i="1"/>
  <c r="CP117" i="1"/>
  <c r="CA284" i="1"/>
  <c r="BX245" i="1" l="1"/>
  <c r="CB248" i="1" s="1"/>
  <c r="BX243" i="1"/>
  <c r="AL243" i="1"/>
  <c r="AM308" i="1"/>
  <c r="AM87" i="1"/>
  <c r="AL192" i="1"/>
  <c r="AL146" i="1"/>
  <c r="AL307" i="1"/>
  <c r="AL265" i="1"/>
  <c r="AM265" i="1"/>
  <c r="AL227" i="1"/>
  <c r="AL308" i="1"/>
  <c r="AL183" i="1"/>
  <c r="AL241" i="1"/>
  <c r="AL216" i="1"/>
  <c r="BL161" i="1"/>
  <c r="BL164" i="1" s="1"/>
  <c r="BL149" i="1"/>
  <c r="CB140" i="1"/>
  <c r="CB157" i="1"/>
  <c r="CB149" i="1"/>
  <c r="CB161" i="1"/>
  <c r="CB164" i="1" s="1"/>
  <c r="CB167" i="1" s="1"/>
  <c r="HU20" i="4"/>
  <c r="AO133" i="1" s="1"/>
  <c r="AO162" i="1" s="1"/>
  <c r="HY16" i="4"/>
  <c r="HY21" i="4" s="1"/>
  <c r="AS131" i="1" s="1"/>
  <c r="IO14" i="4" s="1"/>
  <c r="B82" i="1"/>
  <c r="R66" i="1"/>
  <c r="AL162" i="1"/>
  <c r="C66" i="1"/>
  <c r="R65" i="1"/>
  <c r="BZ264" i="1"/>
  <c r="T65" i="1"/>
  <c r="BX224" i="1"/>
  <c r="BX225" i="1" s="1"/>
  <c r="Q66" i="1"/>
  <c r="N66" i="1"/>
  <c r="O66" i="1"/>
  <c r="BX240" i="1"/>
  <c r="L66" i="1"/>
  <c r="BX163" i="1"/>
  <c r="BX164" i="1" s="1"/>
  <c r="M66" i="1"/>
  <c r="BZ87" i="1"/>
  <c r="BY192" i="1"/>
  <c r="BZ262" i="1" s="1"/>
  <c r="BZ260" i="1" s="1"/>
  <c r="BY264" i="1"/>
  <c r="BX305" i="1"/>
  <c r="BX65" i="1"/>
  <c r="CB66" i="1"/>
  <c r="BY67" i="1"/>
  <c r="BX82" i="1"/>
  <c r="S65" i="1"/>
  <c r="S66" i="1"/>
  <c r="T66" i="1"/>
  <c r="AJ83" i="1"/>
  <c r="AJ88" i="1"/>
  <c r="AJ92" i="1" s="1"/>
  <c r="AJ291" i="1"/>
  <c r="AJ292" i="1" s="1"/>
  <c r="H65" i="1"/>
  <c r="I66" i="1"/>
  <c r="G65" i="1"/>
  <c r="H66" i="1"/>
  <c r="G66" i="1"/>
  <c r="AL82" i="1"/>
  <c r="AL65" i="1"/>
  <c r="BX149" i="1"/>
  <c r="BX148" i="1"/>
  <c r="W84" i="1"/>
  <c r="V88" i="1"/>
  <c r="V92" i="1" s="1"/>
  <c r="V166" i="1"/>
  <c r="V291" i="1"/>
  <c r="V292" i="1" s="1"/>
  <c r="AL67" i="1"/>
  <c r="AK65" i="1"/>
  <c r="AK67" i="1"/>
  <c r="W291" i="1"/>
  <c r="W292" i="1" s="1"/>
  <c r="X84" i="1"/>
  <c r="X309" i="1"/>
  <c r="W88" i="1"/>
  <c r="W92" i="1" s="1"/>
  <c r="W83" i="1"/>
  <c r="W166" i="1"/>
  <c r="W309" i="1"/>
  <c r="AM88" i="1"/>
  <c r="AM92" i="1" s="1"/>
  <c r="AM83" i="1"/>
  <c r="J65" i="1"/>
  <c r="J66" i="1"/>
  <c r="E66" i="1"/>
  <c r="F66" i="1"/>
  <c r="E65" i="1"/>
  <c r="AK82" i="1"/>
  <c r="AK291" i="1" s="1"/>
  <c r="AK292" i="1" s="1"/>
  <c r="V83" i="1"/>
  <c r="P66" i="1"/>
  <c r="E82" i="1"/>
  <c r="K66" i="1"/>
  <c r="AJ224" i="1"/>
  <c r="AJ225" i="1" s="1"/>
  <c r="AJ257" i="1"/>
  <c r="BL87" i="1"/>
  <c r="BK192" i="1"/>
  <c r="BL262" i="1" s="1"/>
  <c r="BL260" i="1" s="1"/>
  <c r="BJ148" i="1"/>
  <c r="BJ149" i="1"/>
  <c r="BJ150" i="1"/>
  <c r="AK192" i="1"/>
  <c r="AL87" i="1"/>
  <c r="BJ164" i="1"/>
  <c r="BJ165" i="1"/>
  <c r="AJ262" i="1"/>
  <c r="AJ260" i="1" s="1"/>
  <c r="BJ245" i="1"/>
  <c r="BJ240" i="1"/>
  <c r="D83" i="1"/>
  <c r="D88" i="1"/>
  <c r="D92" i="1" s="1"/>
  <c r="D291" i="1"/>
  <c r="D292" i="1" s="1"/>
  <c r="D309" i="1"/>
  <c r="D166" i="1"/>
  <c r="C83" i="1"/>
  <c r="D84" i="1"/>
  <c r="CN86" i="1"/>
  <c r="CS131" i="1"/>
  <c r="AB222" i="1"/>
  <c r="CP119" i="1"/>
  <c r="CQ117" i="1"/>
  <c r="AC171" i="1"/>
  <c r="AC212" i="1"/>
  <c r="CB284" i="1"/>
  <c r="BQ1" i="1"/>
  <c r="BR1" i="1" s="1"/>
  <c r="BS1" i="1" s="1"/>
  <c r="BT1" i="1" s="1"/>
  <c r="AL150" i="1" l="1"/>
  <c r="AL224" i="1"/>
  <c r="AL225" i="1" s="1"/>
  <c r="AM262" i="1"/>
  <c r="AM260" i="1" s="1"/>
  <c r="AL305" i="1"/>
  <c r="AL148" i="1"/>
  <c r="AL149" i="1"/>
  <c r="AL163" i="1"/>
  <c r="AM91" i="1"/>
  <c r="AL240" i="1"/>
  <c r="AL245" i="1"/>
  <c r="CE144" i="1"/>
  <c r="IO19" i="4"/>
  <c r="BI132" i="1" s="1"/>
  <c r="BI161" i="1" s="1"/>
  <c r="IZ7" i="4"/>
  <c r="B83" i="1"/>
  <c r="B166" i="1"/>
  <c r="C309" i="1"/>
  <c r="C84" i="1"/>
  <c r="BX165" i="1"/>
  <c r="AK85" i="1"/>
  <c r="AK88" i="1"/>
  <c r="AK92" i="1" s="1"/>
  <c r="AK94" i="1" s="1"/>
  <c r="AK83" i="1"/>
  <c r="BY262" i="1"/>
  <c r="BY260" i="1" s="1"/>
  <c r="BX83" i="1"/>
  <c r="BX88" i="1"/>
  <c r="CB84" i="1"/>
  <c r="CA166" i="1"/>
  <c r="BX291" i="1"/>
  <c r="BX292" i="1" s="1"/>
  <c r="BY85" i="1"/>
  <c r="BY309" i="1"/>
  <c r="BY310" i="1" s="1"/>
  <c r="AJ95" i="1"/>
  <c r="AJ94" i="1"/>
  <c r="AM309" i="1"/>
  <c r="AM310" i="1" s="1"/>
  <c r="AL309" i="1"/>
  <c r="AL310" i="1" s="1"/>
  <c r="AM285" i="1"/>
  <c r="AL85" i="1"/>
  <c r="AM166" i="1"/>
  <c r="AM95" i="1"/>
  <c r="AM96" i="1" s="1"/>
  <c r="AM304" i="1" s="1"/>
  <c r="AM94" i="1"/>
  <c r="E83" i="1"/>
  <c r="E84" i="1"/>
  <c r="V95" i="1"/>
  <c r="V94" i="1"/>
  <c r="W94" i="1"/>
  <c r="W95" i="1"/>
  <c r="AL83" i="1"/>
  <c r="AL88" i="1"/>
  <c r="AL92" i="1" s="1"/>
  <c r="AM85" i="1"/>
  <c r="AL291" i="1"/>
  <c r="AL292" i="1" s="1"/>
  <c r="AL262" i="1"/>
  <c r="AL260" i="1" s="1"/>
  <c r="AK262" i="1"/>
  <c r="AK260" i="1" s="1"/>
  <c r="D95" i="1"/>
  <c r="D94" i="1"/>
  <c r="CN186" i="1"/>
  <c r="CN188" i="1" s="1"/>
  <c r="CO86" i="1" s="1"/>
  <c r="CT131" i="1"/>
  <c r="AB191" i="1"/>
  <c r="AD212" i="1"/>
  <c r="AE212" i="1"/>
  <c r="AD171" i="1"/>
  <c r="AE171" i="1"/>
  <c r="CQ119" i="1"/>
  <c r="CR117" i="1"/>
  <c r="AC222" i="1"/>
  <c r="BU1" i="1"/>
  <c r="Q81" i="1"/>
  <c r="P81" i="1"/>
  <c r="O81" i="1"/>
  <c r="I81" i="1"/>
  <c r="H81" i="1"/>
  <c r="G81" i="1"/>
  <c r="U81" i="1"/>
  <c r="T81" i="1"/>
  <c r="S81" i="1"/>
  <c r="R81" i="1"/>
  <c r="N81" i="1"/>
  <c r="M81" i="1"/>
  <c r="L81" i="1"/>
  <c r="K81" i="1"/>
  <c r="J81" i="1"/>
  <c r="F81" i="1"/>
  <c r="AL164" i="1" l="1"/>
  <c r="AL165" i="1"/>
  <c r="IZ19" i="4"/>
  <c r="BT132" i="1" s="1"/>
  <c r="BT161" i="1" s="1"/>
  <c r="JE15" i="4"/>
  <c r="AK95" i="1"/>
  <c r="AK98" i="1" s="1"/>
  <c r="V96" i="1"/>
  <c r="V304" i="1" s="1"/>
  <c r="V102" i="1"/>
  <c r="W97" i="1"/>
  <c r="W102" i="1"/>
  <c r="W106" i="1" s="1"/>
  <c r="W293" i="1"/>
  <c r="W96" i="1"/>
  <c r="W304" i="1" s="1"/>
  <c r="X97" i="1"/>
  <c r="BX92" i="1"/>
  <c r="CA109" i="1"/>
  <c r="AJ96" i="1"/>
  <c r="AJ102" i="1"/>
  <c r="AJ293" i="1"/>
  <c r="AL95" i="1"/>
  <c r="AL94" i="1"/>
  <c r="D293" i="1"/>
  <c r="D96" i="1"/>
  <c r="D102" i="1"/>
  <c r="CO253" i="1"/>
  <c r="CO186" i="1"/>
  <c r="CN192" i="1"/>
  <c r="CN253" i="1"/>
  <c r="AC131" i="1"/>
  <c r="CU131" i="1"/>
  <c r="AD222" i="1"/>
  <c r="AE222" i="1"/>
  <c r="AD194" i="1"/>
  <c r="CR119" i="1"/>
  <c r="CS117" i="1"/>
  <c r="AC191" i="1"/>
  <c r="BV1" i="1"/>
  <c r="BW1" i="1" s="1"/>
  <c r="BX1" i="1" s="1"/>
  <c r="AM293" i="1"/>
  <c r="B291" i="1"/>
  <c r="B292" i="1" s="1"/>
  <c r="BL291" i="1"/>
  <c r="BL292" i="1" s="1"/>
  <c r="G82" i="1"/>
  <c r="O82" i="1"/>
  <c r="H82" i="1"/>
  <c r="P82" i="1"/>
  <c r="I82" i="1"/>
  <c r="Q82" i="1"/>
  <c r="J82" i="1"/>
  <c r="R82" i="1"/>
  <c r="K82" i="1"/>
  <c r="S82" i="1"/>
  <c r="L82" i="1"/>
  <c r="T82" i="1"/>
  <c r="M82" i="1"/>
  <c r="U82" i="1"/>
  <c r="F82" i="1"/>
  <c r="F309" i="1" s="1"/>
  <c r="N82" i="1"/>
  <c r="AK102" i="1" l="1"/>
  <c r="AK173" i="1" s="1"/>
  <c r="AK174" i="1" s="1"/>
  <c r="AK183" i="1" s="1"/>
  <c r="AK96" i="1"/>
  <c r="AK293" i="1"/>
  <c r="JE20" i="4"/>
  <c r="BY133" i="1" s="1"/>
  <c r="IY16" i="4"/>
  <c r="IY21" i="4" s="1"/>
  <c r="BS131" i="1" s="1"/>
  <c r="JE16" i="4" s="1"/>
  <c r="JE21" i="4" s="1"/>
  <c r="BY131" i="1" s="1"/>
  <c r="AJ120" i="1"/>
  <c r="AJ252" i="1"/>
  <c r="AJ254" i="1" s="1"/>
  <c r="AJ258" i="1" s="1"/>
  <c r="AJ272" i="1" s="1"/>
  <c r="AJ266" i="1"/>
  <c r="AJ264" i="1" s="1"/>
  <c r="AJ106" i="1"/>
  <c r="BX94" i="1"/>
  <c r="BX95" i="1"/>
  <c r="BY98" i="1" s="1"/>
  <c r="AL98" i="1"/>
  <c r="AM286" i="1"/>
  <c r="AM98" i="1"/>
  <c r="AL96" i="1"/>
  <c r="AL304" i="1" s="1"/>
  <c r="AL293" i="1"/>
  <c r="AL102" i="1"/>
  <c r="T309" i="1"/>
  <c r="P309" i="1"/>
  <c r="D252" i="1"/>
  <c r="D254" i="1" s="1"/>
  <c r="D106" i="1"/>
  <c r="AK252" i="1"/>
  <c r="AK254" i="1" s="1"/>
  <c r="AK120" i="1"/>
  <c r="AK106" i="1"/>
  <c r="M309" i="1"/>
  <c r="R309" i="1"/>
  <c r="I309" i="1"/>
  <c r="K309" i="1"/>
  <c r="G309" i="1"/>
  <c r="H309" i="1"/>
  <c r="L309" i="1"/>
  <c r="S309" i="1"/>
  <c r="O309" i="1"/>
  <c r="J309" i="1"/>
  <c r="N309" i="1"/>
  <c r="U309" i="1"/>
  <c r="V309" i="1"/>
  <c r="Q309" i="1"/>
  <c r="R166" i="1"/>
  <c r="S84" i="1"/>
  <c r="T166" i="1"/>
  <c r="U84" i="1"/>
  <c r="U166" i="1"/>
  <c r="V84" i="1"/>
  <c r="P166" i="1"/>
  <c r="Q84" i="1"/>
  <c r="Q166" i="1"/>
  <c r="R84" i="1"/>
  <c r="I166" i="1"/>
  <c r="J84" i="1"/>
  <c r="S166" i="1"/>
  <c r="T84" i="1"/>
  <c r="H166" i="1"/>
  <c r="I84" i="1"/>
  <c r="E166" i="1"/>
  <c r="F84" i="1"/>
  <c r="L166" i="1"/>
  <c r="M84" i="1"/>
  <c r="O166" i="1"/>
  <c r="P84" i="1"/>
  <c r="N166" i="1"/>
  <c r="O84" i="1"/>
  <c r="K166" i="1"/>
  <c r="L84" i="1"/>
  <c r="F166" i="1"/>
  <c r="G84" i="1"/>
  <c r="G166" i="1"/>
  <c r="H84" i="1"/>
  <c r="M166" i="1"/>
  <c r="N84" i="1"/>
  <c r="J166" i="1"/>
  <c r="K84" i="1"/>
  <c r="CN262" i="1"/>
  <c r="CN260" i="1" s="1"/>
  <c r="CO188" i="1"/>
  <c r="CV131" i="1"/>
  <c r="AD261" i="1"/>
  <c r="AE191" i="1"/>
  <c r="AD191" i="1"/>
  <c r="CT117" i="1"/>
  <c r="CS119" i="1"/>
  <c r="C166" i="1"/>
  <c r="BY1" i="1"/>
  <c r="L83" i="1"/>
  <c r="N83" i="1"/>
  <c r="F83" i="1"/>
  <c r="O83" i="1"/>
  <c r="U88" i="1"/>
  <c r="U92" i="1" s="1"/>
  <c r="U83" i="1"/>
  <c r="G83" i="1"/>
  <c r="S83" i="1"/>
  <c r="M83" i="1"/>
  <c r="R83" i="1"/>
  <c r="J83" i="1"/>
  <c r="I83" i="1"/>
  <c r="P83" i="1"/>
  <c r="H83" i="1"/>
  <c r="K83" i="1"/>
  <c r="T83" i="1"/>
  <c r="Q83" i="1"/>
  <c r="T291" i="1"/>
  <c r="T292" i="1" s="1"/>
  <c r="Q291" i="1"/>
  <c r="Q292" i="1" s="1"/>
  <c r="K291" i="1"/>
  <c r="K292" i="1" s="1"/>
  <c r="O291" i="1"/>
  <c r="O292" i="1" s="1"/>
  <c r="U291" i="1"/>
  <c r="U292" i="1" s="1"/>
  <c r="L291" i="1"/>
  <c r="L292" i="1" s="1"/>
  <c r="C291" i="1"/>
  <c r="C292" i="1" s="1"/>
  <c r="I291" i="1"/>
  <c r="I292" i="1" s="1"/>
  <c r="G291" i="1"/>
  <c r="G292" i="1" s="1"/>
  <c r="R291" i="1"/>
  <c r="R292" i="1" s="1"/>
  <c r="P291" i="1"/>
  <c r="P292" i="1" s="1"/>
  <c r="F291" i="1"/>
  <c r="F292" i="1" s="1"/>
  <c r="M291" i="1"/>
  <c r="M292" i="1" s="1"/>
  <c r="N291" i="1"/>
  <c r="N292" i="1" s="1"/>
  <c r="E291" i="1"/>
  <c r="E292" i="1" s="1"/>
  <c r="S291" i="1"/>
  <c r="S292" i="1" s="1"/>
  <c r="J291" i="1"/>
  <c r="J292" i="1" s="1"/>
  <c r="H291" i="1"/>
  <c r="H292" i="1" s="1"/>
  <c r="B88" i="1"/>
  <c r="L88" i="1"/>
  <c r="Q88" i="1"/>
  <c r="T88" i="1"/>
  <c r="N88" i="1"/>
  <c r="S88" i="1"/>
  <c r="F88" i="1"/>
  <c r="K88" i="1"/>
  <c r="H88" i="1"/>
  <c r="I88" i="1"/>
  <c r="P88" i="1"/>
  <c r="C88" i="1"/>
  <c r="O88" i="1"/>
  <c r="R88" i="1"/>
  <c r="M88" i="1"/>
  <c r="G88" i="1"/>
  <c r="E88" i="1"/>
  <c r="J88" i="1"/>
  <c r="BY150" i="1" l="1"/>
  <c r="BY162" i="1"/>
  <c r="BY148" i="1"/>
  <c r="BY143" i="1"/>
  <c r="JB9" i="4" s="1"/>
  <c r="BX102" i="1"/>
  <c r="BX120" i="1" s="1"/>
  <c r="CA123" i="1" s="1"/>
  <c r="BW143" i="1" s="1"/>
  <c r="BX96" i="1"/>
  <c r="BX304" i="1" s="1"/>
  <c r="AJ269" i="1"/>
  <c r="AJ270" i="1" s="1"/>
  <c r="BX293" i="1"/>
  <c r="CB97" i="1"/>
  <c r="AL120" i="1"/>
  <c r="AL106" i="1"/>
  <c r="AL252" i="1"/>
  <c r="AL254" i="1" s="1"/>
  <c r="AK266" i="1"/>
  <c r="AK264" i="1" s="1"/>
  <c r="AL266" i="1"/>
  <c r="AL264" i="1" s="1"/>
  <c r="BK223" i="1"/>
  <c r="BM223" i="1"/>
  <c r="CO192" i="1"/>
  <c r="CP86" i="1"/>
  <c r="CW131" i="1"/>
  <c r="AE194" i="1"/>
  <c r="AE261" i="1" s="1"/>
  <c r="CT119" i="1"/>
  <c r="CU117" i="1"/>
  <c r="BZ1" i="1"/>
  <c r="U95" i="1"/>
  <c r="V97" i="1" s="1"/>
  <c r="U94" i="1"/>
  <c r="P92" i="1"/>
  <c r="P95" i="1" s="1"/>
  <c r="R92" i="1"/>
  <c r="R95" i="1" s="1"/>
  <c r="E92" i="1"/>
  <c r="S92" i="1"/>
  <c r="S94" i="1" s="1"/>
  <c r="G92" i="1"/>
  <c r="G95" i="1" s="1"/>
  <c r="K92" i="1"/>
  <c r="K95" i="1" s="1"/>
  <c r="B92" i="1"/>
  <c r="O92" i="1"/>
  <c r="O95" i="1" s="1"/>
  <c r="H92" i="1"/>
  <c r="H95" i="1" s="1"/>
  <c r="N92" i="1"/>
  <c r="N95" i="1" s="1"/>
  <c r="L92" i="1"/>
  <c r="L94" i="1" s="1"/>
  <c r="C92" i="1"/>
  <c r="M92" i="1"/>
  <c r="M94" i="1" s="1"/>
  <c r="T92" i="1"/>
  <c r="T95" i="1" s="1"/>
  <c r="F92" i="1"/>
  <c r="F94" i="1" s="1"/>
  <c r="J92" i="1"/>
  <c r="J94" i="1" s="1"/>
  <c r="I92" i="1"/>
  <c r="I94" i="1" s="1"/>
  <c r="Q92" i="1"/>
  <c r="Q95" i="1" s="1"/>
  <c r="V293" i="1"/>
  <c r="CA108" i="1" l="1"/>
  <c r="JB21" i="4"/>
  <c r="BV131" i="1" s="1"/>
  <c r="HP14" i="4"/>
  <c r="BX106" i="1"/>
  <c r="BX252" i="1"/>
  <c r="BX254" i="1" s="1"/>
  <c r="R97" i="1"/>
  <c r="CE124" i="1"/>
  <c r="CA141" i="1"/>
  <c r="CA140" i="1"/>
  <c r="CD144" i="1" s="1"/>
  <c r="CA139" i="1"/>
  <c r="U97" i="1"/>
  <c r="O97" i="1"/>
  <c r="AB86" i="1"/>
  <c r="B95" i="1"/>
  <c r="B94" i="1"/>
  <c r="C95" i="1"/>
  <c r="C94" i="1"/>
  <c r="E95" i="1"/>
  <c r="E102" i="1" s="1"/>
  <c r="E94" i="1"/>
  <c r="P97" i="1"/>
  <c r="H97" i="1"/>
  <c r="Q97" i="1"/>
  <c r="BJ224" i="1"/>
  <c r="BJ225" i="1" s="1"/>
  <c r="BL224" i="1"/>
  <c r="BL225" i="1" s="1"/>
  <c r="CP253" i="1"/>
  <c r="CP186" i="1"/>
  <c r="CO262" i="1"/>
  <c r="CO260" i="1" s="1"/>
  <c r="CX131" i="1"/>
  <c r="CV117" i="1"/>
  <c r="CU119" i="1"/>
  <c r="CA1" i="1"/>
  <c r="CB1" i="1" s="1"/>
  <c r="O94" i="1"/>
  <c r="BL293" i="1"/>
  <c r="S95" i="1"/>
  <c r="U96" i="1"/>
  <c r="U304" i="1" s="1"/>
  <c r="P96" i="1"/>
  <c r="P304" i="1" s="1"/>
  <c r="Q102" i="1"/>
  <c r="Q96" i="1"/>
  <c r="Q304" i="1" s="1"/>
  <c r="L95" i="1"/>
  <c r="P94" i="1"/>
  <c r="H96" i="1"/>
  <c r="H304" i="1" s="1"/>
  <c r="G96" i="1"/>
  <c r="G304" i="1" s="1"/>
  <c r="U102" i="1"/>
  <c r="N96" i="1"/>
  <c r="N304" i="1" s="1"/>
  <c r="R96" i="1"/>
  <c r="R304" i="1" s="1"/>
  <c r="K96" i="1"/>
  <c r="K304" i="1" s="1"/>
  <c r="O102" i="1"/>
  <c r="O96" i="1"/>
  <c r="O304" i="1" s="1"/>
  <c r="T102" i="1"/>
  <c r="T96" i="1"/>
  <c r="T304" i="1" s="1"/>
  <c r="R94" i="1"/>
  <c r="K94" i="1"/>
  <c r="N94" i="1"/>
  <c r="G94" i="1"/>
  <c r="H94" i="1"/>
  <c r="J95" i="1"/>
  <c r="K97" i="1" s="1"/>
  <c r="M95" i="1"/>
  <c r="N97" i="1" s="1"/>
  <c r="T94" i="1"/>
  <c r="F95" i="1"/>
  <c r="G97" i="1" s="1"/>
  <c r="I95" i="1"/>
  <c r="I97" i="1" s="1"/>
  <c r="O293" i="1"/>
  <c r="Q94" i="1"/>
  <c r="P293" i="1"/>
  <c r="P102" i="1"/>
  <c r="K293" i="1"/>
  <c r="K102" i="1"/>
  <c r="H293" i="1"/>
  <c r="H102" i="1"/>
  <c r="R102" i="1"/>
  <c r="N102" i="1"/>
  <c r="G102" i="1"/>
  <c r="G293" i="1"/>
  <c r="R293" i="1"/>
  <c r="N293" i="1"/>
  <c r="Q293" i="1"/>
  <c r="U293" i="1"/>
  <c r="T293" i="1"/>
  <c r="V106" i="1"/>
  <c r="V252" i="1"/>
  <c r="V254" i="1" s="1"/>
  <c r="HP19" i="4" l="1"/>
  <c r="AJ132" i="1" s="1"/>
  <c r="ID9" i="4"/>
  <c r="ID21" i="4" s="1"/>
  <c r="AX131" i="1" s="1"/>
  <c r="IS9" i="4" s="1"/>
  <c r="E293" i="1"/>
  <c r="AB253" i="1"/>
  <c r="E96" i="1"/>
  <c r="E304" i="1" s="1"/>
  <c r="E97" i="1"/>
  <c r="D97" i="1"/>
  <c r="C96" i="1"/>
  <c r="B96" i="1"/>
  <c r="C97" i="1"/>
  <c r="F97" i="1"/>
  <c r="M97" i="1"/>
  <c r="S96" i="1"/>
  <c r="S304" i="1" s="1"/>
  <c r="T97" i="1"/>
  <c r="L97" i="1"/>
  <c r="J97" i="1"/>
  <c r="S97" i="1"/>
  <c r="AB186" i="1"/>
  <c r="AB188" i="1" s="1"/>
  <c r="AB87" i="1" s="1"/>
  <c r="CP188" i="1"/>
  <c r="AD131" i="1"/>
  <c r="CY131" i="1"/>
  <c r="CV119" i="1"/>
  <c r="CW117" i="1"/>
  <c r="CC1" i="1"/>
  <c r="K106" i="1"/>
  <c r="G106" i="1"/>
  <c r="E106" i="1"/>
  <c r="S102" i="1"/>
  <c r="S293" i="1"/>
  <c r="L293" i="1"/>
  <c r="L102" i="1"/>
  <c r="O252" i="1"/>
  <c r="O254" i="1" s="1"/>
  <c r="O106" i="1"/>
  <c r="B293" i="1"/>
  <c r="B102" i="1"/>
  <c r="M102" i="1"/>
  <c r="M96" i="1"/>
  <c r="M304" i="1" s="1"/>
  <c r="C293" i="1"/>
  <c r="I102" i="1"/>
  <c r="I96" i="1"/>
  <c r="I304" i="1" s="1"/>
  <c r="J102" i="1"/>
  <c r="J96" i="1"/>
  <c r="J304" i="1" s="1"/>
  <c r="F102" i="1"/>
  <c r="F96" i="1"/>
  <c r="F304" i="1" s="1"/>
  <c r="L96" i="1"/>
  <c r="L304" i="1" s="1"/>
  <c r="J293" i="1"/>
  <c r="E252" i="1"/>
  <c r="E254" i="1" s="1"/>
  <c r="R252" i="1"/>
  <c r="R254" i="1" s="1"/>
  <c r="M293" i="1"/>
  <c r="R106" i="1"/>
  <c r="I293" i="1"/>
  <c r="H106" i="1"/>
  <c r="H252" i="1"/>
  <c r="H254" i="1" s="1"/>
  <c r="F293" i="1"/>
  <c r="C102" i="1"/>
  <c r="N252" i="1"/>
  <c r="N254" i="1" s="1"/>
  <c r="N106" i="1"/>
  <c r="G252" i="1"/>
  <c r="G254" i="1" s="1"/>
  <c r="P106" i="1"/>
  <c r="K252" i="1"/>
  <c r="K254" i="1" s="1"/>
  <c r="P252" i="1"/>
  <c r="P254" i="1" s="1"/>
  <c r="U106" i="1"/>
  <c r="U252" i="1"/>
  <c r="U254" i="1" s="1"/>
  <c r="Q106" i="1"/>
  <c r="Q252" i="1"/>
  <c r="Q254" i="1" s="1"/>
  <c r="T106" i="1"/>
  <c r="T252" i="1"/>
  <c r="T254" i="1" s="1"/>
  <c r="IS21" i="4" l="1"/>
  <c r="BM131" i="1" s="1"/>
  <c r="HT16" i="4"/>
  <c r="HT21" i="4" s="1"/>
  <c r="AN131" i="1" s="1"/>
  <c r="CP192" i="1"/>
  <c r="CP262" i="1" s="1"/>
  <c r="CP260" i="1" s="1"/>
  <c r="CQ86" i="1"/>
  <c r="CZ131" i="1"/>
  <c r="CX117" i="1"/>
  <c r="CW119" i="1"/>
  <c r="CD1" i="1"/>
  <c r="CE1" i="1" s="1"/>
  <c r="CF1" i="1" s="1"/>
  <c r="CG1" i="1" s="1"/>
  <c r="CH1" i="1" s="1"/>
  <c r="CI1" i="1" s="1"/>
  <c r="CJ1" i="1" s="1"/>
  <c r="CK1" i="1" s="1"/>
  <c r="L252" i="1"/>
  <c r="L254" i="1" s="1"/>
  <c r="J252" i="1"/>
  <c r="J254" i="1" s="1"/>
  <c r="M252" i="1"/>
  <c r="M254" i="1" s="1"/>
  <c r="B106" i="1"/>
  <c r="F106" i="1"/>
  <c r="I106" i="1"/>
  <c r="C106" i="1"/>
  <c r="L106" i="1"/>
  <c r="S106" i="1"/>
  <c r="J106" i="1"/>
  <c r="S252" i="1"/>
  <c r="S254" i="1" s="1"/>
  <c r="M106" i="1"/>
  <c r="I252" i="1"/>
  <c r="I254" i="1" s="1"/>
  <c r="F252" i="1"/>
  <c r="F254" i="1" s="1"/>
  <c r="C252" i="1"/>
  <c r="C254" i="1" s="1"/>
  <c r="CQ253" i="1" l="1"/>
  <c r="CQ186" i="1"/>
  <c r="DA131" i="1"/>
  <c r="CX119" i="1"/>
  <c r="CY117" i="1"/>
  <c r="AB178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W205" i="1" s="1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S206" i="1" s="1"/>
  <c r="E47" i="2"/>
  <c r="I70" i="2"/>
  <c r="P112" i="2"/>
  <c r="V78" i="2"/>
  <c r="L59" i="2"/>
  <c r="N48" i="2"/>
  <c r="N59" i="2"/>
  <c r="V51" i="2"/>
  <c r="V58" i="2"/>
  <c r="K47" i="2"/>
  <c r="T85" i="2"/>
  <c r="W72" i="2"/>
  <c r="V206" i="1" s="1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S200" i="1" s="1"/>
  <c r="C99" i="2"/>
  <c r="F86" i="2"/>
  <c r="M106" i="2"/>
  <c r="I89" i="2"/>
  <c r="O56" i="2"/>
  <c r="K75" i="2"/>
  <c r="Q83" i="2"/>
  <c r="P104" i="2"/>
  <c r="P85" i="2"/>
  <c r="K107" i="2"/>
  <c r="H91" i="2"/>
  <c r="U79" i="2"/>
  <c r="T200" i="1" s="1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V200" i="1" s="1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W200" i="1" s="1"/>
  <c r="E58" i="2"/>
  <c r="R91" i="2"/>
  <c r="E41" i="2"/>
  <c r="W95" i="2"/>
  <c r="P98" i="2"/>
  <c r="H46" i="2"/>
  <c r="E81" i="2"/>
  <c r="X72" i="2"/>
  <c r="W206" i="1" s="1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E82" i="2"/>
  <c r="O113" i="2"/>
  <c r="U66" i="2"/>
  <c r="V55" i="2"/>
  <c r="S80" i="2"/>
  <c r="R205" i="1" s="1"/>
  <c r="P83" i="2"/>
  <c r="T76" i="2"/>
  <c r="U44" i="2"/>
  <c r="P76" i="2"/>
  <c r="U99" i="2"/>
  <c r="U80" i="2"/>
  <c r="T205" i="1" s="1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U206" i="1" s="1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R200" i="1" s="1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T206" i="1" s="1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U205" i="1" s="1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D53" i="2"/>
  <c r="T65" i="2"/>
  <c r="W68" i="2"/>
  <c r="W107" i="2"/>
  <c r="S48" i="2"/>
  <c r="R93" i="2"/>
  <c r="O51" i="2"/>
  <c r="O60" i="2"/>
  <c r="R72" i="2"/>
  <c r="M72" i="2"/>
  <c r="L64" i="2"/>
  <c r="J48" i="2"/>
  <c r="K112" i="2"/>
  <c r="D67" i="2"/>
  <c r="U43" i="2"/>
  <c r="H88" i="2"/>
  <c r="D41" i="2"/>
  <c r="P77" i="2"/>
  <c r="X109" i="2"/>
  <c r="W112" i="2"/>
  <c r="G83" i="2"/>
  <c r="AB68" i="3"/>
  <c r="AP83" i="3"/>
  <c r="AP58" i="3"/>
  <c r="AB49" i="3"/>
  <c r="AB84" i="3"/>
  <c r="T8" i="3"/>
  <c r="C23" i="3"/>
  <c r="AP10" i="3"/>
  <c r="R24" i="3"/>
  <c r="Q36" i="3"/>
  <c r="V24" i="3"/>
  <c r="AE9" i="3"/>
  <c r="I9" i="3"/>
  <c r="U19" i="3"/>
  <c r="AG17" i="3"/>
  <c r="W40" i="3"/>
  <c r="X28" i="3"/>
  <c r="AL37" i="3"/>
  <c r="V41" i="3"/>
  <c r="W15" i="3"/>
  <c r="AB22" i="3"/>
  <c r="AI9" i="3"/>
  <c r="AD38" i="3"/>
  <c r="J42" i="3"/>
  <c r="H19" i="3"/>
  <c r="M22" i="3"/>
  <c r="AA40" i="3"/>
  <c r="AK24" i="3"/>
  <c r="H36" i="3"/>
  <c r="AN23" i="3"/>
  <c r="AP26" i="3"/>
  <c r="T28" i="3"/>
  <c r="Q38" i="3"/>
  <c r="AA21" i="3"/>
  <c r="V25" i="3"/>
  <c r="C30" i="3"/>
  <c r="R26" i="3"/>
  <c r="AQ19" i="3"/>
  <c r="G50" i="3"/>
  <c r="AG23" i="3"/>
  <c r="AB24" i="3"/>
  <c r="H25" i="3"/>
  <c r="T10" i="3"/>
  <c r="AB29" i="3"/>
  <c r="AN24" i="3"/>
  <c r="AB13" i="3"/>
  <c r="AP22" i="3"/>
  <c r="M30" i="3"/>
  <c r="AJ32" i="3"/>
  <c r="R37" i="3"/>
  <c r="O26" i="3"/>
  <c r="AB27" i="3"/>
  <c r="H23" i="3"/>
  <c r="AN38" i="3"/>
  <c r="AL29" i="3"/>
  <c r="L42" i="3"/>
  <c r="J5" i="3"/>
  <c r="C20" i="3"/>
  <c r="T37" i="3"/>
  <c r="AN21" i="3"/>
  <c r="T9" i="3"/>
  <c r="Y35" i="3"/>
  <c r="I104" i="2"/>
  <c r="C53" i="2"/>
  <c r="N72" i="2"/>
  <c r="J63" i="2"/>
  <c r="O86" i="2"/>
  <c r="R83" i="2"/>
  <c r="H71" i="2"/>
  <c r="I43" i="2"/>
  <c r="O65" i="2"/>
  <c r="J69" i="2"/>
  <c r="U59" i="2"/>
  <c r="N79" i="2"/>
  <c r="X111" i="2"/>
  <c r="E113" i="2"/>
  <c r="E97" i="2"/>
  <c r="I75" i="2"/>
  <c r="E87" i="2"/>
  <c r="I40" i="2"/>
  <c r="P92" i="2"/>
  <c r="S64" i="2"/>
  <c r="M47" i="2"/>
  <c r="AP70" i="3"/>
  <c r="AB92" i="3"/>
  <c r="AP92" i="3"/>
  <c r="C49" i="3"/>
  <c r="AB95" i="3"/>
  <c r="AL33" i="3"/>
  <c r="AQ13" i="3"/>
  <c r="Q34" i="3"/>
  <c r="Z10" i="3"/>
  <c r="AH33" i="3"/>
  <c r="AI24" i="3"/>
  <c r="I19" i="3"/>
  <c r="P41" i="3"/>
  <c r="AH17" i="3"/>
  <c r="W18" i="3"/>
  <c r="Y13" i="3"/>
  <c r="AI21" i="3"/>
  <c r="AP30" i="3"/>
  <c r="AC22" i="3"/>
  <c r="R15" i="3"/>
  <c r="AJ16" i="3"/>
  <c r="K35" i="3"/>
  <c r="AP34" i="3"/>
  <c r="G35" i="3"/>
  <c r="P22" i="3"/>
  <c r="L31" i="3"/>
  <c r="AB18" i="3"/>
  <c r="H21" i="3"/>
  <c r="J18" i="3"/>
  <c r="Y28" i="3"/>
  <c r="W7" i="3"/>
  <c r="AN34" i="3"/>
  <c r="AE42" i="3"/>
  <c r="AC8" i="3"/>
  <c r="AC6" i="3"/>
  <c r="M7" i="3"/>
  <c r="AC33" i="3"/>
  <c r="AP15" i="3"/>
  <c r="AH35" i="3"/>
  <c r="AI23" i="3"/>
  <c r="K21" i="3"/>
  <c r="AO31" i="3"/>
  <c r="R42" i="3"/>
  <c r="Z31" i="3"/>
  <c r="U33" i="3"/>
  <c r="AA5" i="3"/>
  <c r="AA57" i="3" s="1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R31" i="3"/>
  <c r="C13" i="3"/>
  <c r="AG41" i="3"/>
  <c r="AQ35" i="3"/>
  <c r="S22" i="3"/>
  <c r="V35" i="3"/>
  <c r="V28" i="3"/>
  <c r="O31" i="3"/>
  <c r="O12" i="3"/>
  <c r="AE26" i="3"/>
  <c r="H8" i="3"/>
  <c r="AM6" i="3"/>
  <c r="W30" i="3"/>
  <c r="AH18" i="3"/>
  <c r="AE27" i="3"/>
  <c r="T43" i="2"/>
  <c r="N81" i="2"/>
  <c r="C69" i="2"/>
  <c r="U111" i="2"/>
  <c r="G93" i="2"/>
  <c r="W67" i="2"/>
  <c r="U77" i="2"/>
  <c r="J113" i="2"/>
  <c r="K68" i="2"/>
  <c r="D95" i="2"/>
  <c r="W82" i="2"/>
  <c r="V70" i="2"/>
  <c r="W110" i="2"/>
  <c r="H58" i="2"/>
  <c r="D56" i="2"/>
  <c r="F59" i="2"/>
  <c r="R59" i="2"/>
  <c r="R40" i="2"/>
  <c r="F81" i="2"/>
  <c r="O109" i="2"/>
  <c r="L97" i="2"/>
  <c r="AB73" i="3"/>
  <c r="AP55" i="3"/>
  <c r="AP62" i="3"/>
  <c r="AB86" i="3"/>
  <c r="AB74" i="3"/>
  <c r="J36" i="3"/>
  <c r="R18" i="3"/>
  <c r="X30" i="3"/>
  <c r="E49" i="3"/>
  <c r="AO15" i="3"/>
  <c r="S36" i="3"/>
  <c r="AA25" i="3"/>
  <c r="AD28" i="3"/>
  <c r="Y6" i="3"/>
  <c r="N34" i="3"/>
  <c r="P25" i="3"/>
  <c r="AI30" i="3"/>
  <c r="I26" i="3"/>
  <c r="I39" i="3"/>
  <c r="Y39" i="3"/>
  <c r="P13" i="3"/>
  <c r="M39" i="3"/>
  <c r="AC36" i="3"/>
  <c r="AN35" i="3"/>
  <c r="C32" i="3"/>
  <c r="L6" i="3"/>
  <c r="M9" i="3"/>
  <c r="O16" i="3"/>
  <c r="V34" i="3"/>
  <c r="AO24" i="3"/>
  <c r="AJ15" i="3"/>
  <c r="AM9" i="3"/>
  <c r="R20" i="3"/>
  <c r="AK9" i="3"/>
  <c r="AO34" i="3"/>
  <c r="AJ20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P28" i="3"/>
  <c r="T15" i="3"/>
  <c r="AD23" i="3"/>
  <c r="C58" i="2"/>
  <c r="L51" i="2"/>
  <c r="T80" i="2"/>
  <c r="S205" i="1" s="1"/>
  <c r="Q88" i="2"/>
  <c r="C60" i="2"/>
  <c r="N74" i="2"/>
  <c r="C105" i="2"/>
  <c r="J111" i="2"/>
  <c r="X105" i="2"/>
  <c r="F79" i="2"/>
  <c r="T56" i="2"/>
  <c r="G87" i="2"/>
  <c r="V46" i="2"/>
  <c r="K46" i="2"/>
  <c r="I69" i="2"/>
  <c r="W104" i="2"/>
  <c r="G64" i="2"/>
  <c r="N70" i="2"/>
  <c r="X81" i="2"/>
  <c r="T110" i="2"/>
  <c r="S98" i="2"/>
  <c r="AP96" i="3"/>
  <c r="AP59" i="3"/>
  <c r="AB62" i="3"/>
  <c r="AB70" i="3"/>
  <c r="T23" i="3"/>
  <c r="C37" i="3"/>
  <c r="N26" i="3"/>
  <c r="M10" i="3"/>
  <c r="Z6" i="3"/>
  <c r="L25" i="3"/>
  <c r="AE32" i="3"/>
  <c r="X27" i="3"/>
  <c r="I36" i="3"/>
  <c r="AA12" i="3"/>
  <c r="AL30" i="3"/>
  <c r="K36" i="3"/>
  <c r="I8" i="3"/>
  <c r="AE34" i="3"/>
  <c r="S42" i="3"/>
  <c r="AG28" i="3"/>
  <c r="AM14" i="3"/>
  <c r="AH36" i="3"/>
  <c r="AE7" i="3"/>
  <c r="C12" i="3"/>
  <c r="O41" i="3"/>
  <c r="AA42" i="3"/>
  <c r="R40" i="3"/>
  <c r="P27" i="3"/>
  <c r="AJ23" i="3"/>
  <c r="AL22" i="3"/>
  <c r="AJ14" i="3"/>
  <c r="AB30" i="3"/>
  <c r="AP9" i="3"/>
  <c r="J17" i="3"/>
  <c r="L16" i="3"/>
  <c r="AC25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T95" i="2"/>
  <c r="U96" i="2"/>
  <c r="X99" i="2"/>
  <c r="J79" i="2"/>
  <c r="L53" i="2"/>
  <c r="J73" i="2"/>
  <c r="L98" i="2"/>
  <c r="X76" i="2"/>
  <c r="H69" i="2"/>
  <c r="C52" i="2"/>
  <c r="U106" i="2"/>
  <c r="P93" i="2"/>
  <c r="I81" i="2"/>
  <c r="C78" i="2"/>
  <c r="F77" i="2"/>
  <c r="T74" i="2"/>
  <c r="N67" i="2"/>
  <c r="Q51" i="2"/>
  <c r="K63" i="2"/>
  <c r="U64" i="2"/>
  <c r="F93" i="2"/>
  <c r="AB57" i="3"/>
  <c r="AP78" i="3"/>
  <c r="AP82" i="3"/>
  <c r="AP89" i="3"/>
  <c r="C28" i="3"/>
  <c r="L19" i="3"/>
  <c r="AM16" i="3"/>
  <c r="T24" i="3"/>
  <c r="X31" i="3"/>
  <c r="I28" i="3"/>
  <c r="O28" i="3"/>
  <c r="I37" i="3"/>
  <c r="N19" i="3"/>
  <c r="AE21" i="3"/>
  <c r="X24" i="3"/>
  <c r="AD20" i="3"/>
  <c r="AH42" i="3"/>
  <c r="AG37" i="3"/>
  <c r="U41" i="3"/>
  <c r="X10" i="3"/>
  <c r="AM40" i="3"/>
  <c r="AC27" i="3"/>
  <c r="AG27" i="3"/>
  <c r="C22" i="3"/>
  <c r="O35" i="3"/>
  <c r="C25" i="3"/>
  <c r="AN25" i="3"/>
  <c r="K23" i="3"/>
  <c r="V33" i="3"/>
  <c r="Y38" i="3"/>
  <c r="R6" i="3"/>
  <c r="AG10" i="3"/>
  <c r="M26" i="3"/>
  <c r="AO32" i="3"/>
  <c r="C34" i="3"/>
  <c r="L23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N112" i="2"/>
  <c r="J82" i="2"/>
  <c r="U62" i="2"/>
  <c r="U63" i="2"/>
  <c r="R111" i="2"/>
  <c r="K84" i="2"/>
  <c r="J70" i="2"/>
  <c r="L96" i="2"/>
  <c r="X56" i="2"/>
  <c r="E56" i="2"/>
  <c r="D104" i="2"/>
  <c r="S83" i="2"/>
  <c r="X53" i="2"/>
  <c r="S56" i="2"/>
  <c r="X97" i="2"/>
  <c r="K73" i="2"/>
  <c r="G70" i="2"/>
  <c r="X112" i="2"/>
  <c r="Q47" i="2"/>
  <c r="F82" i="2"/>
  <c r="V79" i="2"/>
  <c r="U200" i="1" s="1"/>
  <c r="AB59" i="3"/>
  <c r="C47" i="3"/>
  <c r="AP87" i="3"/>
  <c r="AB69" i="3"/>
  <c r="R29" i="3"/>
  <c r="M35" i="3"/>
  <c r="G36" i="3"/>
  <c r="T25" i="3"/>
  <c r="AH21" i="3"/>
  <c r="P5" i="3"/>
  <c r="AB20" i="3"/>
  <c r="X7" i="3"/>
  <c r="R35" i="3"/>
  <c r="S32" i="3"/>
  <c r="P30" i="3"/>
  <c r="Q35" i="3"/>
  <c r="Z11" i="3"/>
  <c r="AI15" i="3"/>
  <c r="AB38" i="3"/>
  <c r="R32" i="3"/>
  <c r="AC29" i="3"/>
  <c r="AJ30" i="3"/>
  <c r="M32" i="3"/>
  <c r="AM12" i="3"/>
  <c r="N10" i="3"/>
  <c r="O15" i="3"/>
  <c r="AO14" i="3"/>
  <c r="T30" i="3"/>
  <c r="C17" i="3"/>
  <c r="AI38" i="3"/>
  <c r="AK22" i="3"/>
  <c r="AB10" i="3"/>
  <c r="Z9" i="3"/>
  <c r="X38" i="3"/>
  <c r="AO11" i="3"/>
  <c r="C42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V9" i="3"/>
  <c r="D63" i="2"/>
  <c r="Q76" i="2"/>
  <c r="L77" i="2"/>
  <c r="F60" i="2"/>
  <c r="Q90" i="2"/>
  <c r="N111" i="2"/>
  <c r="R70" i="2"/>
  <c r="G59" i="2"/>
  <c r="N86" i="2"/>
  <c r="F64" i="2"/>
  <c r="I111" i="2"/>
  <c r="G54" i="2"/>
  <c r="C40" i="2"/>
  <c r="W86" i="2"/>
  <c r="P57" i="2"/>
  <c r="J60" i="2"/>
  <c r="P56" i="2"/>
  <c r="H97" i="2"/>
  <c r="E78" i="2"/>
  <c r="K111" i="2"/>
  <c r="U113" i="2"/>
  <c r="AB78" i="3"/>
  <c r="AB50" i="3"/>
  <c r="AB87" i="3"/>
  <c r="AB64" i="3"/>
  <c r="Z30" i="3"/>
  <c r="AJ38" i="3"/>
  <c r="AJ31" i="3"/>
  <c r="AO39" i="3"/>
  <c r="Y17" i="3"/>
  <c r="AD24" i="3"/>
  <c r="AH16" i="3"/>
  <c r="O37" i="3"/>
  <c r="L37" i="3"/>
  <c r="K29" i="3"/>
  <c r="X34" i="3"/>
  <c r="AE14" i="3"/>
  <c r="X35" i="3"/>
  <c r="N5" i="3"/>
  <c r="X36" i="3"/>
  <c r="AL31" i="3"/>
  <c r="U31" i="3"/>
  <c r="AG7" i="3"/>
  <c r="T50" i="2"/>
  <c r="U81" i="2"/>
  <c r="H44" i="2"/>
  <c r="E71" i="2"/>
  <c r="W80" i="2"/>
  <c r="V205" i="1" s="1"/>
  <c r="S72" i="2"/>
  <c r="R206" i="1" s="1"/>
  <c r="W41" i="2"/>
  <c r="E93" i="2"/>
  <c r="M95" i="2"/>
  <c r="I87" i="2"/>
  <c r="T71" i="2"/>
  <c r="E80" i="2"/>
  <c r="P60" i="2"/>
  <c r="I110" i="2"/>
  <c r="X104" i="2"/>
  <c r="G86" i="2"/>
  <c r="E48" i="2"/>
  <c r="W52" i="2"/>
  <c r="W96" i="2"/>
  <c r="O47" i="2"/>
  <c r="N47" i="2"/>
  <c r="AB55" i="3"/>
  <c r="AP57" i="3"/>
  <c r="AB54" i="3"/>
  <c r="AP67" i="3"/>
  <c r="W5" i="3"/>
  <c r="L32" i="3"/>
  <c r="M17" i="3"/>
  <c r="AL41" i="3"/>
  <c r="O21" i="3"/>
  <c r="AE31" i="3"/>
  <c r="W33" i="3"/>
  <c r="M29" i="3"/>
  <c r="AI11" i="3"/>
  <c r="J37" i="3"/>
  <c r="S35" i="3"/>
  <c r="Q31" i="3"/>
  <c r="AA30" i="3"/>
  <c r="AN12" i="3"/>
  <c r="AE39" i="3"/>
  <c r="AH24" i="3"/>
  <c r="AH22" i="3"/>
  <c r="AN20" i="3"/>
  <c r="P8" i="3"/>
  <c r="Z28" i="3"/>
  <c r="F46" i="2"/>
  <c r="F111" i="2"/>
  <c r="W105" i="2"/>
  <c r="C57" i="2"/>
  <c r="X89" i="2"/>
  <c r="U90" i="2"/>
  <c r="G88" i="2"/>
  <c r="U89" i="2"/>
  <c r="O55" i="2"/>
  <c r="D60" i="2"/>
  <c r="Q42" i="2"/>
  <c r="C104" i="2"/>
  <c r="W45" i="2"/>
  <c r="H63" i="2"/>
  <c r="G67" i="2"/>
  <c r="X78" i="2"/>
  <c r="G55" i="2"/>
  <c r="N55" i="2"/>
  <c r="P45" i="2"/>
  <c r="F97" i="2"/>
  <c r="C87" i="2"/>
  <c r="AB48" i="3"/>
  <c r="AP79" i="3"/>
  <c r="AP54" i="3"/>
  <c r="AB66" i="3"/>
  <c r="P32" i="3"/>
  <c r="O39" i="3"/>
  <c r="T17" i="3"/>
  <c r="R25" i="3"/>
  <c r="V8" i="3"/>
  <c r="X12" i="3"/>
  <c r="G41" i="3"/>
  <c r="K40" i="3"/>
  <c r="AN9" i="3"/>
  <c r="AA8" i="3"/>
  <c r="H13" i="3"/>
  <c r="U11" i="3"/>
  <c r="M15" i="3"/>
  <c r="H11" i="3"/>
  <c r="H24" i="3"/>
  <c r="Y11" i="3"/>
  <c r="Z35" i="3"/>
  <c r="AA36" i="3"/>
  <c r="AP40" i="3"/>
  <c r="M20" i="3"/>
  <c r="AD32" i="3"/>
  <c r="Q26" i="3"/>
  <c r="AI10" i="3"/>
  <c r="O18" i="3"/>
  <c r="AA6" i="3"/>
  <c r="AN7" i="3"/>
  <c r="J27" i="3"/>
  <c r="AN6" i="3"/>
  <c r="L14" i="3"/>
  <c r="AI34" i="3"/>
  <c r="C15" i="3"/>
  <c r="O24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O78" i="2"/>
  <c r="W87" i="2"/>
  <c r="N90" i="2"/>
  <c r="F51" i="2"/>
  <c r="J84" i="2"/>
  <c r="T47" i="2"/>
  <c r="F43" i="2"/>
  <c r="G105" i="2"/>
  <c r="X107" i="2"/>
  <c r="Q61" i="2"/>
  <c r="C90" i="2"/>
  <c r="X87" i="2"/>
  <c r="M68" i="2"/>
  <c r="R107" i="2"/>
  <c r="F45" i="2"/>
  <c r="P48" i="2"/>
  <c r="U85" i="2"/>
  <c r="H109" i="2"/>
  <c r="E77" i="2"/>
  <c r="U40" i="2"/>
  <c r="AB83" i="3"/>
  <c r="AB77" i="3"/>
  <c r="AP63" i="3"/>
  <c r="AP80" i="3"/>
  <c r="AP49" i="3"/>
  <c r="I22" i="3"/>
  <c r="AN33" i="3"/>
  <c r="AL20" i="3"/>
  <c r="AD50" i="3"/>
  <c r="R36" i="3"/>
  <c r="Z8" i="3"/>
  <c r="W37" i="3"/>
  <c r="U15" i="3"/>
  <c r="L11" i="3"/>
  <c r="V31" i="3"/>
  <c r="AP13" i="3"/>
  <c r="AJ41" i="3"/>
  <c r="W19" i="3"/>
  <c r="AM8" i="3"/>
  <c r="AM41" i="3"/>
  <c r="M23" i="3"/>
  <c r="Y25" i="3"/>
  <c r="AB37" i="3"/>
  <c r="AM39" i="3"/>
  <c r="AM26" i="3"/>
  <c r="AH37" i="3"/>
  <c r="AQ36" i="3"/>
  <c r="AI5" i="3"/>
  <c r="G32" i="3"/>
  <c r="Q23" i="3"/>
  <c r="T41" i="3"/>
  <c r="AP14" i="3"/>
  <c r="R17" i="3"/>
  <c r="U12" i="3"/>
  <c r="AC7" i="3"/>
  <c r="M33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C96" i="2"/>
  <c r="I66" i="2"/>
  <c r="E85" i="2"/>
  <c r="U73" i="2"/>
  <c r="R113" i="2"/>
  <c r="J40" i="2"/>
  <c r="D55" i="2"/>
  <c r="V66" i="2"/>
  <c r="P53" i="2"/>
  <c r="L66" i="2"/>
  <c r="D58" i="2"/>
  <c r="X43" i="2"/>
  <c r="O52" i="2"/>
  <c r="Q50" i="2"/>
  <c r="G42" i="2"/>
  <c r="C61" i="2"/>
  <c r="N63" i="2"/>
  <c r="L67" i="2"/>
  <c r="O61" i="2"/>
  <c r="M42" i="2"/>
  <c r="AP68" i="3"/>
  <c r="AB72" i="3"/>
  <c r="AB96" i="3"/>
  <c r="AB56" i="3"/>
  <c r="AP69" i="3"/>
  <c r="AI6" i="3"/>
  <c r="AH23" i="3"/>
  <c r="J16" i="3"/>
  <c r="AN22" i="3"/>
  <c r="AJ22" i="3"/>
  <c r="AK21" i="3"/>
  <c r="AI16" i="3"/>
  <c r="G42" i="3"/>
  <c r="S33" i="3"/>
  <c r="M11" i="3"/>
  <c r="AQ18" i="3"/>
  <c r="AJ24" i="3"/>
  <c r="W29" i="3"/>
  <c r="U24" i="3"/>
  <c r="AM21" i="3"/>
  <c r="AB23" i="3"/>
  <c r="Z12" i="3"/>
  <c r="X15" i="3"/>
  <c r="S34" i="3"/>
  <c r="AN37" i="3"/>
  <c r="H40" i="3"/>
  <c r="AN27" i="3"/>
  <c r="C19" i="3"/>
  <c r="AH11" i="3"/>
  <c r="Y19" i="3"/>
  <c r="S17" i="3"/>
  <c r="AK11" i="3"/>
  <c r="P6" i="3"/>
  <c r="AL16" i="3"/>
  <c r="J38" i="3"/>
  <c r="AB1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I113" i="2"/>
  <c r="S63" i="2"/>
  <c r="R74" i="2"/>
  <c r="W61" i="2"/>
  <c r="Q79" i="2"/>
  <c r="T41" i="2"/>
  <c r="V56" i="2"/>
  <c r="M43" i="2"/>
  <c r="M84" i="2"/>
  <c r="L99" i="2"/>
  <c r="O104" i="2"/>
  <c r="J77" i="2"/>
  <c r="Q86" i="2"/>
  <c r="O67" i="2"/>
  <c r="G94" i="2"/>
  <c r="T58" i="2"/>
  <c r="Q73" i="2"/>
  <c r="S66" i="2"/>
  <c r="J81" i="2"/>
  <c r="M59" i="2"/>
  <c r="AB81" i="3"/>
  <c r="AB47" i="3"/>
  <c r="AP91" i="3"/>
  <c r="AP76" i="3"/>
  <c r="AB85" i="3"/>
  <c r="AG39" i="3"/>
  <c r="H41" i="3"/>
  <c r="AQ39" i="3"/>
  <c r="AE10" i="3"/>
  <c r="W22" i="3"/>
  <c r="AD35" i="3"/>
  <c r="AI41" i="3"/>
  <c r="AA9" i="3"/>
  <c r="N14" i="3"/>
  <c r="N39" i="3"/>
  <c r="L29" i="3"/>
  <c r="O5" i="3"/>
  <c r="AQ8" i="3"/>
  <c r="AO21" i="3"/>
  <c r="AP23" i="3"/>
  <c r="H27" i="3"/>
  <c r="AG15" i="3"/>
  <c r="AC42" i="3"/>
  <c r="AK29" i="3"/>
  <c r="X16" i="3"/>
  <c r="O42" i="3"/>
  <c r="I13" i="3"/>
  <c r="AC13" i="3"/>
  <c r="L20" i="3"/>
  <c r="S9" i="3"/>
  <c r="I15" i="3"/>
  <c r="L30" i="3"/>
  <c r="T22" i="3"/>
  <c r="W6" i="3"/>
  <c r="AE18" i="3"/>
  <c r="K42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K15" i="3"/>
  <c r="AC16" i="3"/>
  <c r="AD48" i="3"/>
  <c r="Z36" i="3"/>
  <c r="Y36" i="3"/>
  <c r="L27" i="3"/>
  <c r="Z23" i="3"/>
  <c r="Y33" i="3"/>
  <c r="AD30" i="3"/>
  <c r="J20" i="3"/>
  <c r="AD36" i="3"/>
  <c r="AL26" i="3"/>
  <c r="O32" i="3"/>
  <c r="V22" i="3"/>
  <c r="AE35" i="3"/>
  <c r="AQ5" i="3"/>
  <c r="AQ66" i="3" s="1"/>
  <c r="L40" i="3"/>
  <c r="AK27" i="3"/>
  <c r="S40" i="3"/>
  <c r="S27" i="3"/>
  <c r="I7" i="3"/>
  <c r="AE5" i="3"/>
  <c r="AE76" i="3" s="1"/>
  <c r="Z29" i="3"/>
  <c r="AN5" i="3"/>
  <c r="AN66" i="3" s="1"/>
  <c r="M27" i="3"/>
  <c r="T19" i="3"/>
  <c r="AM17" i="3"/>
  <c r="AJ26" i="3"/>
  <c r="S29" i="3"/>
  <c r="U5" i="3"/>
  <c r="U94" i="3" s="1"/>
  <c r="Z5" i="3"/>
  <c r="C10" i="3"/>
  <c r="N12" i="3"/>
  <c r="AG14" i="3"/>
  <c r="S15" i="3"/>
  <c r="AK23" i="3"/>
  <c r="T27" i="3"/>
  <c r="T36" i="3"/>
  <c r="J22" i="3"/>
  <c r="S14" i="3"/>
  <c r="AK16" i="3"/>
  <c r="K25" i="3"/>
  <c r="AI26" i="3"/>
  <c r="W32" i="3"/>
  <c r="N41" i="3"/>
  <c r="AA19" i="3"/>
  <c r="AO27" i="3"/>
  <c r="J19" i="3"/>
  <c r="V15" i="3"/>
  <c r="L35" i="3"/>
  <c r="O34" i="3"/>
  <c r="K9" i="3"/>
  <c r="AO37" i="3"/>
  <c r="AQ11" i="3"/>
  <c r="Z33" i="3"/>
  <c r="S10" i="3"/>
  <c r="U17" i="3"/>
  <c r="V19" i="3"/>
  <c r="AD42" i="3"/>
  <c r="AJ37" i="3"/>
  <c r="AC26" i="3"/>
  <c r="AP8" i="3"/>
  <c r="H9" i="3"/>
  <c r="Y16" i="3"/>
  <c r="C40" i="3"/>
  <c r="X26" i="3"/>
  <c r="W13" i="3"/>
  <c r="AA11" i="3"/>
  <c r="AE17" i="3"/>
  <c r="Q14" i="3"/>
  <c r="R41" i="3"/>
  <c r="AB14" i="3"/>
  <c r="O36" i="3"/>
  <c r="Q37" i="3"/>
  <c r="AA18" i="3"/>
  <c r="AC32" i="3"/>
  <c r="AL5" i="3"/>
  <c r="AI13" i="3"/>
  <c r="AD22" i="3"/>
  <c r="V10" i="3"/>
  <c r="AA28" i="3"/>
  <c r="R16" i="3"/>
  <c r="AN15" i="3"/>
  <c r="AE22" i="3"/>
  <c r="Y41" i="3"/>
  <c r="AH20" i="3"/>
  <c r="AO5" i="3"/>
  <c r="AP32" i="3"/>
  <c r="AA31" i="3"/>
  <c r="AG26" i="3"/>
  <c r="U37" i="3"/>
  <c r="H32" i="3"/>
  <c r="W35" i="3"/>
  <c r="H10" i="3"/>
  <c r="M12" i="3"/>
  <c r="AH28" i="3"/>
  <c r="Z38" i="3"/>
  <c r="L15" i="3"/>
  <c r="Q12" i="3"/>
  <c r="Y29" i="3"/>
  <c r="AA22" i="3"/>
  <c r="AP24" i="3"/>
  <c r="AC35" i="3"/>
  <c r="AK26" i="3"/>
  <c r="V42" i="3"/>
  <c r="AC40" i="3"/>
  <c r="AJ40" i="3"/>
  <c r="AM27" i="3"/>
  <c r="Z17" i="3"/>
  <c r="AN13" i="3"/>
  <c r="AL19" i="3"/>
  <c r="AE12" i="3"/>
  <c r="J10" i="3"/>
  <c r="K26" i="3"/>
  <c r="J31" i="3"/>
  <c r="C26" i="3"/>
  <c r="V39" i="3"/>
  <c r="V23" i="3"/>
  <c r="AC34" i="3"/>
  <c r="L24" i="3"/>
  <c r="K41" i="3"/>
  <c r="AG29" i="3"/>
  <c r="AQ28" i="3"/>
  <c r="C35" i="3"/>
  <c r="AG11" i="3"/>
  <c r="AJ29" i="3"/>
  <c r="AA20" i="3"/>
  <c r="U7" i="3"/>
  <c r="AM19" i="3"/>
  <c r="V17" i="3"/>
  <c r="O13" i="3"/>
  <c r="AG22" i="3"/>
  <c r="V37" i="3"/>
  <c r="X23" i="3"/>
  <c r="AJ6" i="3"/>
  <c r="K5" i="3"/>
  <c r="K50" i="3" s="1"/>
  <c r="C18" i="3"/>
  <c r="AC15" i="3"/>
  <c r="G47" i="3"/>
  <c r="AJ21" i="3"/>
  <c r="K8" i="3"/>
  <c r="M40" i="3"/>
  <c r="S37" i="3"/>
  <c r="AB42" i="3"/>
  <c r="M13" i="3"/>
  <c r="AM13" i="3"/>
  <c r="AL39" i="3"/>
  <c r="I21" i="3"/>
  <c r="S24" i="3"/>
  <c r="AI36" i="3"/>
  <c r="P11" i="3"/>
  <c r="AP39" i="3"/>
  <c r="AB36" i="3"/>
  <c r="Q6" i="3"/>
  <c r="AK42" i="3"/>
  <c r="AD27" i="3"/>
  <c r="Q13" i="3"/>
  <c r="V21" i="3"/>
  <c r="AN39" i="3"/>
  <c r="AP27" i="3"/>
  <c r="AB40" i="3"/>
  <c r="Z14" i="3"/>
  <c r="AE13" i="3"/>
  <c r="X41" i="3"/>
  <c r="AA37" i="3"/>
  <c r="AA35" i="3"/>
  <c r="Y5" i="3"/>
  <c r="AC11" i="3"/>
  <c r="C36" i="3"/>
  <c r="X11" i="3"/>
  <c r="V40" i="3"/>
  <c r="C11" i="3"/>
  <c r="AO19" i="3"/>
  <c r="AA26" i="3"/>
  <c r="AH30" i="3"/>
  <c r="T5" i="3"/>
  <c r="C33" i="3"/>
  <c r="AQ25" i="3"/>
  <c r="H12" i="3"/>
  <c r="M25" i="3"/>
  <c r="Q19" i="3"/>
  <c r="C27" i="3"/>
  <c r="G48" i="3"/>
  <c r="L39" i="3"/>
  <c r="Y32" i="3"/>
  <c r="AI20" i="3"/>
  <c r="S39" i="3"/>
  <c r="X40" i="3"/>
  <c r="C14" i="3"/>
  <c r="Y26" i="3"/>
  <c r="AJ27" i="3"/>
  <c r="AM42" i="3"/>
  <c r="J14" i="3"/>
  <c r="H22" i="3"/>
  <c r="R11" i="3"/>
  <c r="S20" i="3"/>
  <c r="W14" i="3"/>
  <c r="AI33" i="3"/>
  <c r="AO16" i="3"/>
  <c r="AI40" i="3"/>
  <c r="AN36" i="3"/>
  <c r="AA39" i="3"/>
  <c r="R30" i="3"/>
  <c r="O20" i="3"/>
  <c r="AG8" i="3"/>
  <c r="X25" i="3"/>
  <c r="AK20" i="3"/>
  <c r="R33" i="3"/>
  <c r="I10" i="3"/>
  <c r="R23" i="3"/>
  <c r="AP20" i="3"/>
  <c r="AQ27" i="3"/>
  <c r="Z41" i="3"/>
  <c r="Z42" i="3"/>
  <c r="C4" i="3"/>
  <c r="W20" i="3"/>
  <c r="Q20" i="3"/>
  <c r="AQ10" i="3"/>
  <c r="O40" i="3"/>
  <c r="AM18" i="3"/>
  <c r="AM15" i="3"/>
  <c r="K33" i="3"/>
  <c r="M14" i="3"/>
  <c r="O33" i="3"/>
  <c r="N27" i="3"/>
  <c r="Q17" i="3"/>
  <c r="AQ7" i="3"/>
  <c r="AO22" i="3"/>
  <c r="V20" i="3"/>
  <c r="AH8" i="3"/>
  <c r="T31" i="3"/>
  <c r="AD31" i="3"/>
  <c r="R39" i="3"/>
  <c r="Z13" i="3"/>
  <c r="L13" i="3"/>
  <c r="C29" i="3"/>
  <c r="U8" i="3"/>
  <c r="AB9" i="3"/>
  <c r="Z27" i="3"/>
  <c r="P33" i="3"/>
  <c r="AD34" i="3"/>
  <c r="AQ40" i="3"/>
  <c r="I17" i="3"/>
  <c r="J11" i="3"/>
  <c r="S11" i="3"/>
  <c r="AP28" i="3"/>
  <c r="O11" i="3"/>
  <c r="Z37" i="3"/>
  <c r="T12" i="3"/>
  <c r="AK39" i="3"/>
  <c r="Z7" i="3"/>
  <c r="AH25" i="3"/>
  <c r="P31" i="3"/>
  <c r="R13" i="3"/>
  <c r="X17" i="3"/>
  <c r="AM31" i="3"/>
  <c r="AH38" i="3"/>
  <c r="J28" i="3"/>
  <c r="T18" i="3"/>
  <c r="K34" i="3"/>
  <c r="Y27" i="3"/>
  <c r="AM36" i="3"/>
  <c r="R19" i="3"/>
  <c r="C16" i="3"/>
  <c r="AG40" i="3"/>
  <c r="AC41" i="3"/>
  <c r="AA38" i="3"/>
  <c r="Q18" i="3"/>
  <c r="AI14" i="3"/>
  <c r="L10" i="3"/>
  <c r="AJ7" i="3"/>
  <c r="U40" i="3"/>
  <c r="AA27" i="3"/>
  <c r="AP11" i="3"/>
  <c r="E50" i="3"/>
  <c r="Q40" i="3"/>
  <c r="AE30" i="3"/>
  <c r="AB35" i="3"/>
  <c r="N6" i="3"/>
  <c r="O14" i="3"/>
  <c r="AP29" i="3"/>
  <c r="P26" i="3"/>
  <c r="U38" i="3"/>
  <c r="K28" i="3"/>
  <c r="X19" i="3"/>
  <c r="AQ17" i="3"/>
  <c r="R5" i="3"/>
  <c r="R77" i="3" s="1"/>
  <c r="AO40" i="3"/>
  <c r="AJ19" i="3"/>
  <c r="L21" i="3"/>
  <c r="K20" i="3"/>
  <c r="L36" i="3"/>
  <c r="T7" i="3"/>
  <c r="M19" i="3"/>
  <c r="AP38" i="3"/>
  <c r="T13" i="3"/>
  <c r="Q10" i="3"/>
  <c r="Q29" i="3"/>
  <c r="O9" i="3"/>
  <c r="V6" i="3"/>
  <c r="S13" i="3"/>
  <c r="AM5" i="3"/>
  <c r="I25" i="3"/>
  <c r="Y30" i="3"/>
  <c r="AC23" i="3"/>
  <c r="AC5" i="3"/>
  <c r="I6" i="3"/>
  <c r="AD33" i="3"/>
  <c r="AL36" i="3"/>
  <c r="AI22" i="3"/>
  <c r="AA7" i="3"/>
  <c r="C31" i="3"/>
  <c r="W17" i="3"/>
  <c r="K17" i="3"/>
  <c r="K27" i="3"/>
  <c r="AB8" i="3"/>
  <c r="AC10" i="3"/>
  <c r="AJ9" i="3"/>
  <c r="Q25" i="3"/>
  <c r="Q8" i="3"/>
  <c r="N16" i="3"/>
  <c r="AH7" i="3"/>
  <c r="M31" i="3"/>
  <c r="S38" i="3"/>
  <c r="L38" i="3"/>
  <c r="AL21" i="3"/>
  <c r="U23" i="3"/>
  <c r="Y20" i="3"/>
  <c r="R21" i="3"/>
  <c r="AL25" i="3"/>
  <c r="X9" i="3"/>
  <c r="AM10" i="3"/>
  <c r="Y12" i="3"/>
  <c r="Y10" i="3"/>
  <c r="K31" i="3"/>
  <c r="N20" i="3"/>
  <c r="H42" i="3"/>
  <c r="AI28" i="3"/>
  <c r="AQ41" i="3"/>
  <c r="AJ13" i="3"/>
  <c r="AQ30" i="3"/>
  <c r="N9" i="3"/>
  <c r="AQ15" i="3"/>
  <c r="Q15" i="3"/>
  <c r="I12" i="3"/>
  <c r="AL28" i="3"/>
  <c r="AN11" i="3"/>
  <c r="K12" i="3"/>
  <c r="T29" i="3"/>
  <c r="AL14" i="3"/>
  <c r="N23" i="3"/>
  <c r="AP35" i="3"/>
  <c r="AG9" i="3"/>
  <c r="AQ16" i="3"/>
  <c r="W39" i="3"/>
  <c r="K37" i="3"/>
  <c r="M21" i="3"/>
  <c r="AO36" i="3"/>
  <c r="I5" i="3"/>
  <c r="I83" i="3" s="1"/>
  <c r="N18" i="3"/>
  <c r="U16" i="3"/>
  <c r="M18" i="3"/>
  <c r="AP21" i="3"/>
  <c r="Q7" i="3"/>
  <c r="AE19" i="3"/>
  <c r="J9" i="3"/>
  <c r="U18" i="3"/>
  <c r="AH9" i="3"/>
  <c r="K32" i="3"/>
  <c r="J35" i="3"/>
  <c r="AQ20" i="3"/>
  <c r="AI64" i="3"/>
  <c r="AK56" i="3"/>
  <c r="AI58" i="3"/>
  <c r="Q58" i="3"/>
  <c r="H81" i="3"/>
  <c r="O95" i="3"/>
  <c r="AN75" i="3"/>
  <c r="M61" i="3"/>
  <c r="AN96" i="3"/>
  <c r="M91" i="3"/>
  <c r="T49" i="3"/>
  <c r="AK60" i="3"/>
  <c r="AK95" i="3"/>
  <c r="AI90" i="3"/>
  <c r="AA89" i="3"/>
  <c r="AA58" i="3"/>
  <c r="Z93" i="3"/>
  <c r="AA97" i="3"/>
  <c r="Z73" i="3"/>
  <c r="AA55" i="3"/>
  <c r="AO73" i="3"/>
  <c r="N96" i="3"/>
  <c r="Z47" i="3"/>
  <c r="AJ57" i="3"/>
  <c r="H49" i="3"/>
  <c r="N49" i="3"/>
  <c r="L92" i="3"/>
  <c r="J86" i="3"/>
  <c r="Q85" i="3"/>
  <c r="AI70" i="3"/>
  <c r="Q57" i="3"/>
  <c r="V57" i="3"/>
  <c r="M47" i="3"/>
  <c r="AI89" i="3"/>
  <c r="N94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I50" i="3"/>
  <c r="AI65" i="3"/>
  <c r="N69" i="3"/>
  <c r="AE61" i="3"/>
  <c r="AI85" i="3"/>
  <c r="P71" i="3"/>
  <c r="O54" i="3"/>
  <c r="X69" i="3"/>
  <c r="P92" i="3"/>
  <c r="L72" i="3"/>
  <c r="O69" i="3"/>
  <c r="X91" i="3"/>
  <c r="O88" i="3"/>
  <c r="AI74" i="3"/>
  <c r="Q70" i="3"/>
  <c r="AO59" i="3"/>
  <c r="W77" i="3"/>
  <c r="N62" i="3"/>
  <c r="H63" i="3"/>
  <c r="AI76" i="3"/>
  <c r="M97" i="3"/>
  <c r="H88" i="3"/>
  <c r="O60" i="3"/>
  <c r="L80" i="3"/>
  <c r="H89" i="3"/>
  <c r="AK69" i="3"/>
  <c r="L66" i="3"/>
  <c r="L59" i="3"/>
  <c r="AI84" i="3"/>
  <c r="O66" i="3"/>
  <c r="AI75" i="3"/>
  <c r="AK77" i="3"/>
  <c r="H64" i="3"/>
  <c r="Q87" i="3"/>
  <c r="J72" i="3"/>
  <c r="O90" i="3"/>
  <c r="M95" i="3"/>
  <c r="T63" i="3"/>
  <c r="W59" i="3"/>
  <c r="AK85" i="3"/>
  <c r="AA76" i="3"/>
  <c r="AL96" i="3"/>
  <c r="AH66" i="3"/>
  <c r="S79" i="3"/>
  <c r="AH71" i="3"/>
  <c r="Y94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W81" i="3"/>
  <c r="N97" i="3"/>
  <c r="Z97" i="3"/>
  <c r="AG90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H79" i="3"/>
  <c r="Z57" i="3"/>
  <c r="O92" i="3"/>
  <c r="AJ81" i="3"/>
  <c r="U95" i="3"/>
  <c r="AQ95" i="3"/>
  <c r="Z96" i="3"/>
  <c r="AG71" i="3"/>
  <c r="M64" i="3"/>
  <c r="Q66" i="3"/>
  <c r="W94" i="3"/>
  <c r="AG83" i="3"/>
  <c r="S84" i="3"/>
  <c r="Q64" i="3"/>
  <c r="I86" i="3"/>
  <c r="Y90" i="3"/>
  <c r="Z63" i="3"/>
  <c r="AA92" i="3"/>
  <c r="AE58" i="3"/>
  <c r="U92" i="3"/>
  <c r="AH90" i="3"/>
  <c r="W47" i="3"/>
  <c r="Y92" i="3"/>
  <c r="AL47" i="3"/>
  <c r="AK94" i="3"/>
  <c r="M74" i="3"/>
  <c r="V88" i="3"/>
  <c r="AQ85" i="3"/>
  <c r="M82" i="3"/>
  <c r="AE73" i="3"/>
  <c r="T76" i="3"/>
  <c r="AG80" i="3"/>
  <c r="AH60" i="3"/>
  <c r="P73" i="3"/>
  <c r="U78" i="3"/>
  <c r="AL90" i="3"/>
  <c r="I89" i="3"/>
  <c r="S86" i="3"/>
  <c r="AK79" i="3"/>
  <c r="AI86" i="3"/>
  <c r="AH63" i="3"/>
  <c r="AL49" i="3"/>
  <c r="AE86" i="3"/>
  <c r="N75" i="3"/>
  <c r="AL74" i="3"/>
  <c r="T89" i="3"/>
  <c r="M79" i="3"/>
  <c r="AO91" i="3"/>
  <c r="V68" i="3"/>
  <c r="S50" i="3"/>
  <c r="Y50" i="3"/>
  <c r="AN97" i="3"/>
  <c r="AK96" i="3"/>
  <c r="AA65" i="3"/>
  <c r="J85" i="3"/>
  <c r="AE75" i="3"/>
  <c r="H48" i="3"/>
  <c r="Q75" i="3"/>
  <c r="AO54" i="3"/>
  <c r="AO97" i="3"/>
  <c r="W56" i="3"/>
  <c r="AK48" i="3"/>
  <c r="J66" i="3"/>
  <c r="AL68" i="3"/>
  <c r="U60" i="3"/>
  <c r="Q76" i="3"/>
  <c r="AH76" i="3"/>
  <c r="Y80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G47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L60" i="3"/>
  <c r="H65" i="3"/>
  <c r="AJ55" i="3"/>
  <c r="H74" i="3"/>
  <c r="P80" i="3"/>
  <c r="AA56" i="3"/>
  <c r="AA48" i="3"/>
  <c r="W62" i="3"/>
  <c r="X68" i="3"/>
  <c r="U83" i="3"/>
  <c r="AH61" i="3"/>
  <c r="H50" i="3"/>
  <c r="P67" i="3"/>
  <c r="J77" i="3"/>
  <c r="O55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T71" i="3"/>
  <c r="U82" i="3"/>
  <c r="P74" i="3"/>
  <c r="X66" i="3"/>
  <c r="AE60" i="3"/>
  <c r="W95" i="3"/>
  <c r="AK68" i="3"/>
  <c r="AN64" i="3"/>
  <c r="J80" i="3"/>
  <c r="H97" i="3"/>
  <c r="M87" i="3"/>
  <c r="AN90" i="3"/>
  <c r="S72" i="3"/>
  <c r="AO50" i="3"/>
  <c r="W96" i="3"/>
  <c r="AE93" i="3"/>
  <c r="U74" i="3"/>
  <c r="Q81" i="3"/>
  <c r="AH74" i="3"/>
  <c r="Y5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AN91" i="3"/>
  <c r="V86" i="3"/>
  <c r="S82" i="3"/>
  <c r="U91" i="3"/>
  <c r="AQ73" i="3"/>
  <c r="I62" i="3"/>
  <c r="AQ70" i="3"/>
  <c r="X62" i="3"/>
  <c r="AL86" i="3"/>
  <c r="P54" i="3"/>
  <c r="X60" i="3"/>
  <c r="W97" i="3"/>
  <c r="AL57" i="3"/>
  <c r="T94" i="3"/>
  <c r="Y82" i="3"/>
  <c r="AJ89" i="3"/>
  <c r="V77" i="3"/>
  <c r="H68" i="3"/>
  <c r="L82" i="3"/>
  <c r="AE67" i="3"/>
  <c r="AE84" i="3"/>
  <c r="Q82" i="3"/>
  <c r="N85" i="3"/>
  <c r="U68" i="3"/>
  <c r="V87" i="3"/>
  <c r="W48" i="3"/>
  <c r="AJ97" i="3"/>
  <c r="AG67" i="3"/>
  <c r="U65" i="3"/>
  <c r="AE70" i="3"/>
  <c r="AO83" i="3"/>
  <c r="AH57" i="3"/>
  <c r="Y70" i="3"/>
  <c r="AE92" i="3"/>
  <c r="AO79" i="3"/>
  <c r="X70" i="3"/>
  <c r="AQ80" i="3"/>
  <c r="X88" i="3"/>
  <c r="H86" i="3"/>
  <c r="AO67" i="3"/>
  <c r="W64" i="3"/>
  <c r="Z81" i="3"/>
  <c r="Y58" i="3"/>
  <c r="AE50" i="3"/>
  <c r="AQ84" i="3"/>
  <c r="H71" i="3"/>
  <c r="L47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T92" i="3"/>
  <c r="AA64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H75" i="3"/>
  <c r="P58" i="3"/>
  <c r="L77" i="3"/>
  <c r="AE85" i="3"/>
  <c r="J95" i="3"/>
  <c r="Q96" i="3"/>
  <c r="Z80" i="3"/>
  <c r="W82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Y85" i="3"/>
  <c r="AN69" i="3"/>
  <c r="AQ96" i="3"/>
  <c r="H78" i="3"/>
  <c r="P78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Z61" i="3"/>
  <c r="T70" i="3"/>
  <c r="Q78" i="3"/>
  <c r="AO47" i="3"/>
  <c r="N72" i="3"/>
  <c r="AG97" i="3"/>
  <c r="AL59" i="3"/>
  <c r="Z83" i="3"/>
  <c r="L81" i="3"/>
  <c r="AK72" i="3"/>
  <c r="L83" i="3"/>
  <c r="AA66" i="3"/>
  <c r="L91" i="3"/>
  <c r="J96" i="3"/>
  <c r="J93" i="3"/>
  <c r="AQ83" i="3"/>
  <c r="W49" i="3"/>
  <c r="AG69" i="3"/>
  <c r="V83" i="3"/>
  <c r="J58" i="3"/>
  <c r="AQ74" i="3"/>
  <c r="AK63" i="3"/>
  <c r="AA73" i="3"/>
  <c r="O72" i="3"/>
  <c r="W88" i="3"/>
  <c r="AG77" i="3"/>
  <c r="S68" i="3"/>
  <c r="AQ63" i="3"/>
  <c r="T72" i="3"/>
  <c r="W73" i="3"/>
  <c r="AA49" i="3"/>
  <c r="H92" i="3"/>
  <c r="P60" i="3"/>
  <c r="AJ72" i="3"/>
  <c r="J87" i="3"/>
  <c r="W57" i="3"/>
  <c r="AG81" i="3"/>
  <c r="AJ96" i="3"/>
  <c r="AO96" i="3"/>
  <c r="Y75" i="3"/>
  <c r="I47" i="3"/>
  <c r="AL56" i="3"/>
  <c r="Z84" i="3"/>
  <c r="P68" i="3"/>
  <c r="AN92" i="3"/>
  <c r="N95" i="3"/>
  <c r="AG92" i="3"/>
  <c r="AO77" i="3"/>
  <c r="X79" i="3"/>
  <c r="AI93" i="3"/>
  <c r="AK57" i="3"/>
  <c r="AJ91" i="3"/>
  <c r="P75" i="3"/>
  <c r="P57" i="3"/>
  <c r="AN85" i="3"/>
  <c r="AN65" i="3"/>
  <c r="AN79" i="3"/>
  <c r="X73" i="3"/>
  <c r="AA50" i="3"/>
  <c r="V65" i="3"/>
  <c r="AK71" i="3"/>
  <c r="AA54" i="3"/>
  <c r="AG87" i="3"/>
  <c r="Z78" i="3"/>
  <c r="S57" i="3"/>
  <c r="N65" i="3"/>
  <c r="AA71" i="3"/>
  <c r="AK66" i="3"/>
  <c r="Q91" i="3"/>
  <c r="AK55" i="3"/>
  <c r="L89" i="3"/>
  <c r="AI72" i="3"/>
  <c r="P90" i="3"/>
  <c r="AE48" i="3"/>
  <c r="AL82" i="3"/>
  <c r="N81" i="3"/>
  <c r="AG48" i="3"/>
  <c r="AN81" i="3"/>
  <c r="AK90" i="3"/>
  <c r="AK64" i="3"/>
  <c r="M55" i="3"/>
  <c r="W90" i="3"/>
  <c r="AN50" i="3"/>
  <c r="AE94" i="3"/>
  <c r="W91" i="3"/>
  <c r="AL88" i="3"/>
  <c r="T87" i="3"/>
  <c r="Z50" i="3"/>
  <c r="Q65" i="3"/>
  <c r="N60" i="3"/>
  <c r="Z95" i="3"/>
  <c r="AN87" i="3"/>
  <c r="J67" i="3"/>
  <c r="S64" i="3"/>
  <c r="AO87" i="3"/>
  <c r="S62" i="3"/>
  <c r="AK47" i="3"/>
  <c r="T82" i="3"/>
  <c r="N63" i="3"/>
  <c r="N55" i="3"/>
  <c r="H56" i="3"/>
  <c r="U70" i="3"/>
  <c r="AH93" i="3"/>
  <c r="AK92" i="3"/>
  <c r="T77" i="3"/>
  <c r="P77" i="3"/>
  <c r="AK73" i="3"/>
  <c r="AJ61" i="3"/>
  <c r="L68" i="3"/>
  <c r="O87" i="3"/>
  <c r="AE82" i="3"/>
  <c r="AJ67" i="3"/>
  <c r="AE55" i="3"/>
  <c r="AA95" i="3"/>
  <c r="AG86" i="3"/>
  <c r="N47" i="3"/>
  <c r="AC55" i="3"/>
  <c r="AG68" i="3"/>
  <c r="AN57" i="3"/>
  <c r="V80" i="3"/>
  <c r="S94" i="3"/>
  <c r="U96" i="3"/>
  <c r="Y73" i="3"/>
  <c r="I56" i="3"/>
  <c r="Y78" i="3"/>
  <c r="AN95" i="3"/>
  <c r="AL63" i="3"/>
  <c r="AC95" i="3"/>
  <c r="J82" i="3"/>
  <c r="V81" i="3"/>
  <c r="J54" i="3"/>
  <c r="AK58" i="3"/>
  <c r="S88" i="3"/>
  <c r="V63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W60" i="3"/>
  <c r="AK82" i="3"/>
  <c r="AA61" i="3"/>
  <c r="AL92" i="3"/>
  <c r="AH67" i="3"/>
  <c r="S61" i="3"/>
  <c r="Z79" i="3"/>
  <c r="AH86" i="3"/>
  <c r="Y95" i="3"/>
  <c r="H95" i="3"/>
  <c r="P91" i="3"/>
  <c r="AC96" i="3"/>
  <c r="S89" i="3"/>
  <c r="AO70" i="3"/>
  <c r="I71" i="3"/>
  <c r="AE62" i="3"/>
  <c r="J61" i="3"/>
  <c r="AK50" i="3"/>
  <c r="AH81" i="3"/>
  <c r="I94" i="3"/>
  <c r="AO75" i="3"/>
  <c r="I85" i="3"/>
  <c r="V82" i="3"/>
  <c r="P83" i="3"/>
  <c r="AK75" i="3"/>
  <c r="P49" i="3"/>
  <c r="P95" i="3"/>
  <c r="AK70" i="3"/>
  <c r="O73" i="3"/>
  <c r="AJ86" i="3"/>
  <c r="X95" i="3"/>
  <c r="J62" i="3"/>
  <c r="AQ90" i="3"/>
  <c r="N74" i="3"/>
  <c r="AG72" i="3"/>
  <c r="AQ69" i="3"/>
  <c r="I82" i="3"/>
  <c r="X48" i="3"/>
  <c r="U72" i="3"/>
  <c r="P81" i="3"/>
  <c r="AJ78" i="3"/>
  <c r="X87" i="3"/>
  <c r="AE77" i="3"/>
  <c r="AA68" i="3"/>
  <c r="T56" i="3"/>
  <c r="AL80" i="3"/>
  <c r="T81" i="3"/>
  <c r="AQ89" i="3"/>
  <c r="Q83" i="3"/>
  <c r="AJ68" i="3"/>
  <c r="AJ90" i="3"/>
  <c r="AJ92" i="3"/>
  <c r="L55" i="3"/>
  <c r="P63" i="3"/>
  <c r="V58" i="3"/>
  <c r="AC89" i="3"/>
  <c r="X75" i="3"/>
  <c r="V75" i="3"/>
  <c r="L67" i="3"/>
  <c r="P59" i="3"/>
  <c r="M96" i="3"/>
  <c r="AC82" i="3"/>
  <c r="AN78" i="3"/>
  <c r="AJ94" i="3"/>
  <c r="AA59" i="3"/>
  <c r="AH72" i="3"/>
  <c r="N83" i="3"/>
  <c r="T80" i="3"/>
  <c r="AG88" i="3"/>
  <c r="AN86" i="3"/>
  <c r="V55" i="3"/>
  <c r="S97" i="3"/>
  <c r="U62" i="3"/>
  <c r="AQ62" i="3"/>
  <c r="I59" i="3"/>
  <c r="AQ59" i="3"/>
  <c r="X57" i="3"/>
  <c r="AL58" i="3"/>
  <c r="T59" i="3"/>
  <c r="T48" i="3"/>
  <c r="Y86" i="3"/>
  <c r="Z87" i="3"/>
  <c r="U88" i="3"/>
  <c r="AL71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W93" i="3"/>
  <c r="AK87" i="3"/>
  <c r="Q50" i="3"/>
  <c r="AL70" i="3"/>
  <c r="AH85" i="3"/>
  <c r="Q84" i="3"/>
  <c r="AC47" i="3"/>
  <c r="AH91" i="3"/>
  <c r="Y65" i="3"/>
  <c r="M63" i="3"/>
  <c r="O82" i="3"/>
  <c r="T88" i="3"/>
  <c r="AH65" i="3"/>
  <c r="AO55" i="3"/>
  <c r="I90" i="3"/>
  <c r="AN61" i="3"/>
  <c r="X96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AA62" i="3"/>
  <c r="I61" i="3"/>
  <c r="H57" i="3"/>
  <c r="AE71" i="3"/>
  <c r="U55" i="3"/>
  <c r="AH47" i="3"/>
  <c r="AJ62" i="3"/>
  <c r="X64" i="3"/>
  <c r="AN56" i="3"/>
  <c r="Z71" i="3"/>
  <c r="AA67" i="3"/>
  <c r="J63" i="3"/>
  <c r="AC62" i="3"/>
  <c r="AQ68" i="3"/>
  <c r="AA78" i="3"/>
  <c r="AH78" i="3"/>
  <c r="U50" i="3"/>
  <c r="P65" i="3"/>
  <c r="AI78" i="3"/>
  <c r="O96" i="3"/>
  <c r="O47" i="3"/>
  <c r="H58" i="3"/>
  <c r="H82" i="3"/>
  <c r="U56" i="3"/>
  <c r="AN60" i="3"/>
  <c r="J48" i="3"/>
  <c r="I79" i="3"/>
  <c r="N59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AE88" i="3"/>
  <c r="O75" i="3"/>
  <c r="T62" i="3"/>
  <c r="U54" i="3"/>
  <c r="I76" i="3"/>
  <c r="AL91" i="3"/>
  <c r="L90" i="3"/>
  <c r="AA60" i="3"/>
  <c r="J49" i="3"/>
  <c r="N79" i="3"/>
  <c r="N73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J64" i="3"/>
  <c r="U81" i="3"/>
  <c r="Q79" i="3"/>
  <c r="AC54" i="3"/>
  <c r="AH82" i="3"/>
  <c r="Y81" i="3"/>
  <c r="AL76" i="3"/>
  <c r="J55" i="3"/>
  <c r="T61" i="3"/>
  <c r="U71" i="3"/>
  <c r="V74" i="3"/>
  <c r="I67" i="3"/>
  <c r="V91" i="3"/>
  <c r="Z94" i="3"/>
  <c r="AH54" i="3"/>
  <c r="W83" i="3"/>
  <c r="AL72" i="3"/>
  <c r="J91" i="3"/>
  <c r="L69" i="3"/>
  <c r="J56" i="3"/>
  <c r="AE72" i="3"/>
  <c r="P86" i="3"/>
  <c r="X54" i="3"/>
  <c r="X47" i="3"/>
  <c r="W87" i="3"/>
  <c r="N77" i="3"/>
  <c r="U48" i="3"/>
  <c r="V92" i="3"/>
  <c r="AG61" i="3"/>
  <c r="V54" i="3"/>
  <c r="X59" i="3"/>
  <c r="AL83" i="3"/>
  <c r="S96" i="3"/>
  <c r="U86" i="3"/>
  <c r="AQ87" i="3"/>
  <c r="W78" i="3"/>
  <c r="Z75" i="3"/>
  <c r="T67" i="3"/>
  <c r="AN49" i="3"/>
  <c r="Q72" i="3"/>
  <c r="AO69" i="3"/>
  <c r="AG74" i="3"/>
  <c r="S80" i="3"/>
  <c r="I92" i="3"/>
  <c r="L96" i="3"/>
  <c r="T74" i="3"/>
  <c r="AI82" i="3"/>
  <c r="N6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E91" i="3"/>
  <c r="AG96" i="3"/>
  <c r="U73" i="3"/>
  <c r="J57" i="3"/>
  <c r="T66" i="3"/>
  <c r="AH62" i="3"/>
  <c r="Y76" i="3"/>
  <c r="AL95" i="3"/>
  <c r="AE57" i="3"/>
  <c r="AO60" i="3"/>
  <c r="I60" i="3"/>
  <c r="S67" i="3"/>
  <c r="I95" i="3"/>
  <c r="O61" i="3"/>
  <c r="T60" i="3"/>
  <c r="AA69" i="3"/>
  <c r="T90" i="3"/>
  <c r="AH80" i="3"/>
  <c r="M75" i="3"/>
  <c r="AI55" i="3"/>
  <c r="H54" i="3"/>
  <c r="AK78" i="3"/>
  <c r="AK91" i="3"/>
  <c r="AI59" i="3"/>
  <c r="M56" i="3"/>
  <c r="M77" i="3"/>
  <c r="O68" i="3"/>
  <c r="AI81" i="3"/>
  <c r="AE78" i="3"/>
  <c r="P64" i="3"/>
  <c r="AC88" i="3"/>
  <c r="AG57" i="3"/>
  <c r="S92" i="3"/>
  <c r="I70" i="3"/>
  <c r="AL55" i="3"/>
  <c r="M70" i="3"/>
  <c r="AI67" i="3"/>
  <c r="O85" i="3"/>
  <c r="V90" i="3"/>
  <c r="Z69" i="3"/>
  <c r="S91" i="3"/>
  <c r="Y68" i="3"/>
  <c r="T85" i="3"/>
  <c r="AC80" i="3"/>
  <c r="M90" i="3"/>
  <c r="N80" i="3"/>
  <c r="AL97" i="3"/>
  <c r="T83" i="3"/>
  <c r="AA75" i="3"/>
  <c r="U49" i="3"/>
  <c r="AQ71" i="3"/>
  <c r="AE87" i="3"/>
  <c r="T68" i="3"/>
  <c r="V76" i="3"/>
  <c r="AL48" i="3"/>
  <c r="W79" i="3"/>
  <c r="X72" i="3"/>
  <c r="AC66" i="3"/>
  <c r="W63" i="3"/>
  <c r="AQ93" i="3"/>
  <c r="AI50" i="3"/>
  <c r="AE54" i="3"/>
  <c r="U80" i="3"/>
  <c r="AE97" i="3"/>
  <c r="V84" i="3"/>
  <c r="AL64" i="3"/>
  <c r="I75" i="3"/>
  <c r="P85" i="3"/>
  <c r="N68" i="3"/>
  <c r="Z85" i="3"/>
  <c r="M84" i="3"/>
  <c r="O93" i="3"/>
  <c r="Z62" i="3"/>
  <c r="AG79" i="3"/>
  <c r="H94" i="3"/>
  <c r="X85" i="3"/>
  <c r="U90" i="3"/>
  <c r="AO94" i="3"/>
  <c r="X71" i="3"/>
  <c r="AN47" i="3"/>
  <c r="AK76" i="3"/>
  <c r="Y71" i="3"/>
  <c r="V73" i="3"/>
  <c r="I73" i="3"/>
  <c r="T91" i="3"/>
  <c r="AJ73" i="3"/>
  <c r="J65" i="3"/>
  <c r="AA84" i="3"/>
  <c r="H76" i="3"/>
  <c r="AL54" i="3"/>
  <c r="AJ95" i="3"/>
  <c r="AN71" i="3"/>
  <c r="O81" i="3"/>
  <c r="X63" i="3"/>
  <c r="Z74" i="3"/>
  <c r="W55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AO71" i="3"/>
  <c r="I48" i="3"/>
  <c r="Q86" i="3"/>
  <c r="N50" i="3"/>
  <c r="AA88" i="3"/>
  <c r="AG56" i="3"/>
  <c r="S47" i="3"/>
  <c r="M92" i="3"/>
  <c r="S69" i="3"/>
  <c r="AK93" i="3"/>
  <c r="H69" i="3"/>
  <c r="AI97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J47" i="3"/>
  <c r="AG85" i="3"/>
  <c r="U58" i="3"/>
  <c r="AJ59" i="3"/>
  <c r="AO62" i="3"/>
  <c r="AH96" i="3"/>
  <c r="Y87" i="3"/>
  <c r="I49" i="3"/>
  <c r="AJ75" i="3"/>
  <c r="AO84" i="3"/>
  <c r="X94" i="3"/>
  <c r="AQ78" i="3"/>
  <c r="AC57" i="3"/>
  <c r="N48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O76" i="3"/>
  <c r="H60" i="3"/>
  <c r="AO8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AG82" i="3"/>
  <c r="J74" i="3"/>
  <c r="P55" i="3"/>
  <c r="N86" i="3"/>
  <c r="I78" i="3"/>
  <c r="AJ64" i="3"/>
  <c r="AI61" i="3"/>
  <c r="H90" i="3"/>
  <c r="O94" i="3"/>
  <c r="L57" i="3"/>
  <c r="AA82" i="3"/>
  <c r="M78" i="3"/>
  <c r="W84" i="3"/>
  <c r="AC81" i="3"/>
  <c r="T93" i="3"/>
  <c r="T78" i="3"/>
  <c r="I65" i="3"/>
  <c r="Q80" i="3"/>
  <c r="Y97" i="3"/>
  <c r="AI60" i="3"/>
  <c r="M94" i="3"/>
  <c r="O78" i="3"/>
  <c r="H62" i="3"/>
  <c r="P61" i="3"/>
  <c r="O50" i="3"/>
  <c r="Z49" i="3"/>
  <c r="AC84" i="3"/>
  <c r="W86" i="3"/>
  <c r="AK89" i="3"/>
  <c r="AA87" i="3"/>
  <c r="AL89" i="3"/>
  <c r="AH56" i="3"/>
  <c r="AG49" i="3"/>
  <c r="Z76" i="3"/>
  <c r="AL61" i="3"/>
  <c r="AH64" i="3"/>
  <c r="Y84" i="3"/>
  <c r="H47" i="3"/>
  <c r="P69" i="3"/>
  <c r="AC86" i="3"/>
  <c r="S85" i="3"/>
  <c r="AO49" i="3"/>
  <c r="I77" i="3"/>
  <c r="H70" i="3"/>
  <c r="Q74" i="3"/>
  <c r="AQ58" i="3"/>
  <c r="J92" i="3"/>
  <c r="Q71" i="3"/>
  <c r="S71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Y91" i="3"/>
  <c r="X56" i="3"/>
  <c r="AI49" i="3"/>
  <c r="AN88" i="3"/>
  <c r="Z65" i="3"/>
  <c r="N54" i="3"/>
  <c r="N89" i="3"/>
  <c r="L79" i="3"/>
  <c r="AE83" i="3"/>
  <c r="J97" i="3"/>
  <c r="L58" i="3"/>
  <c r="V67" i="3"/>
  <c r="AA63" i="3"/>
  <c r="Q89" i="3"/>
  <c r="J59" i="3"/>
  <c r="AH94" i="3"/>
  <c r="N70" i="3"/>
  <c r="H93" i="3"/>
  <c r="J75" i="3"/>
  <c r="O70" i="3"/>
  <c r="M88" i="3"/>
  <c r="AA86" i="3"/>
  <c r="X76" i="3"/>
  <c r="AL79" i="3"/>
  <c r="AG94" i="3"/>
  <c r="U93" i="3"/>
  <c r="AO92" i="3"/>
  <c r="AO80" i="3"/>
  <c r="AQ60" i="3"/>
  <c r="L95" i="3"/>
  <c r="P72" i="3"/>
  <c r="Y60" i="3"/>
  <c r="AG91" i="3"/>
  <c r="AH58" i="3"/>
  <c r="J84" i="3"/>
  <c r="Y48" i="3"/>
  <c r="AK86" i="3"/>
  <c r="V50" i="3"/>
  <c r="AA70" i="3"/>
  <c r="AQ75" i="3"/>
  <c r="J76" i="3"/>
  <c r="AH59" i="3"/>
  <c r="N61" i="3"/>
  <c r="P48" i="3"/>
  <c r="AO61" i="3"/>
  <c r="M73" i="3"/>
  <c r="V62" i="3"/>
  <c r="I72" i="3"/>
  <c r="AN68" i="3"/>
  <c r="AE63" i="3"/>
  <c r="Q77" i="3"/>
  <c r="U89" i="3"/>
  <c r="AK88" i="3"/>
  <c r="Y77" i="3"/>
  <c r="AO85" i="3"/>
  <c r="Q95" i="3"/>
  <c r="AH97" i="3"/>
  <c r="Z91" i="3"/>
  <c r="V94" i="3"/>
  <c r="AC83" i="3" l="1"/>
  <c r="AM47" i="3"/>
  <c r="AC97" i="3"/>
  <c r="AC78" i="3"/>
  <c r="AM59" i="3"/>
  <c r="AM84" i="3"/>
  <c r="AC68" i="3"/>
  <c r="AM80" i="3"/>
  <c r="AC56" i="3"/>
  <c r="AC65" i="3"/>
  <c r="K72" i="3"/>
  <c r="R47" i="3"/>
  <c r="AC69" i="3"/>
  <c r="AC71" i="3"/>
  <c r="AM96" i="3"/>
  <c r="R78" i="3"/>
  <c r="AC79" i="3"/>
  <c r="R79" i="3"/>
  <c r="R50" i="3"/>
  <c r="K78" i="3"/>
  <c r="AC85" i="3"/>
  <c r="AC76" i="3"/>
  <c r="K63" i="3"/>
  <c r="R84" i="3"/>
  <c r="AM75" i="3"/>
  <c r="AC58" i="3"/>
  <c r="R55" i="3"/>
  <c r="AM62" i="3"/>
  <c r="AC87" i="3"/>
  <c r="AC48" i="3"/>
  <c r="AC67" i="3"/>
  <c r="AC92" i="3"/>
  <c r="AM71" i="3"/>
  <c r="K86" i="3"/>
  <c r="AC73" i="3"/>
  <c r="K75" i="3"/>
  <c r="R86" i="3"/>
  <c r="AM74" i="3"/>
  <c r="R90" i="3"/>
  <c r="AC63" i="3"/>
  <c r="R82" i="3"/>
  <c r="AM76" i="3"/>
  <c r="K77" i="3"/>
  <c r="R70" i="3"/>
  <c r="K61" i="3"/>
  <c r="K59" i="3"/>
  <c r="AM69" i="3"/>
  <c r="K82" i="3"/>
  <c r="R71" i="3"/>
  <c r="AC70" i="3"/>
  <c r="K80" i="3"/>
  <c r="AM60" i="3"/>
  <c r="AC94" i="3"/>
  <c r="AM50" i="3"/>
  <c r="R76" i="3"/>
  <c r="K56" i="3"/>
  <c r="R96" i="3"/>
  <c r="AM82" i="3"/>
  <c r="AC60" i="3"/>
  <c r="R67" i="3"/>
  <c r="K79" i="3"/>
  <c r="AM61" i="3"/>
  <c r="AM93" i="3"/>
  <c r="AC59" i="3"/>
  <c r="R58" i="3"/>
  <c r="K67" i="3"/>
  <c r="AC61" i="3"/>
  <c r="R60" i="3"/>
  <c r="R87" i="3"/>
  <c r="AM73" i="3"/>
  <c r="AM70" i="3"/>
  <c r="R85" i="3"/>
  <c r="K95" i="3"/>
  <c r="AM92" i="3"/>
  <c r="R48" i="3"/>
  <c r="R63" i="3"/>
  <c r="R91" i="3"/>
  <c r="K48" i="3"/>
  <c r="K74" i="3"/>
  <c r="R75" i="3"/>
  <c r="K81" i="3"/>
  <c r="AM94" i="3"/>
  <c r="K88" i="3"/>
  <c r="AM95" i="3"/>
  <c r="K76" i="3"/>
  <c r="R57" i="3"/>
  <c r="AM86" i="3"/>
  <c r="R88" i="3"/>
  <c r="R95" i="3"/>
  <c r="AM97" i="3"/>
  <c r="R56" i="3"/>
  <c r="K73" i="3"/>
  <c r="K87" i="3"/>
  <c r="R69" i="3"/>
  <c r="AM57" i="3"/>
  <c r="K71" i="3"/>
  <c r="R81" i="3"/>
  <c r="R65" i="3"/>
  <c r="AM78" i="3"/>
  <c r="R61" i="3"/>
  <c r="AM68" i="3"/>
  <c r="K97" i="3"/>
  <c r="AM66" i="3"/>
  <c r="AM90" i="3"/>
  <c r="K84" i="3"/>
  <c r="K68" i="3"/>
  <c r="R64" i="3"/>
  <c r="AM49" i="3"/>
  <c r="R68" i="3"/>
  <c r="AM65" i="3"/>
  <c r="AM83" i="3"/>
  <c r="R93" i="3"/>
  <c r="K90" i="3"/>
  <c r="R80" i="3"/>
  <c r="R62" i="3"/>
  <c r="K60" i="3"/>
  <c r="AM48" i="3"/>
  <c r="AM87" i="3"/>
  <c r="AM72" i="3"/>
  <c r="K83" i="3"/>
  <c r="R59" i="3"/>
  <c r="K96" i="3"/>
  <c r="K66" i="3"/>
  <c r="AM79" i="3"/>
  <c r="AM55" i="3"/>
  <c r="K70" i="3"/>
  <c r="R97" i="3"/>
  <c r="R94" i="3"/>
  <c r="AM77" i="3"/>
  <c r="AM67" i="3"/>
  <c r="K89" i="3"/>
  <c r="K62" i="3"/>
  <c r="R74" i="3"/>
  <c r="AM81" i="3"/>
  <c r="AM88" i="3"/>
  <c r="K55" i="3"/>
  <c r="K64" i="3"/>
  <c r="K91" i="3"/>
  <c r="AM89" i="3"/>
  <c r="AM58" i="3"/>
  <c r="K92" i="3"/>
  <c r="K93" i="3"/>
  <c r="K58" i="3"/>
  <c r="K85" i="3"/>
  <c r="K47" i="3"/>
  <c r="R66" i="3"/>
  <c r="K57" i="3"/>
  <c r="R54" i="3"/>
  <c r="K54" i="3"/>
  <c r="AM91" i="3"/>
  <c r="AM56" i="3"/>
  <c r="K94" i="3"/>
  <c r="R83" i="3"/>
  <c r="R49" i="3"/>
  <c r="K49" i="3"/>
  <c r="K69" i="3"/>
  <c r="K65" i="3"/>
  <c r="V59" i="3"/>
  <c r="V93" i="3"/>
  <c r="M54" i="3"/>
  <c r="M81" i="3"/>
  <c r="AI91" i="3"/>
  <c r="AI48" i="3"/>
  <c r="Q92" i="3"/>
  <c r="Q49" i="3"/>
  <c r="AW127" i="1" s="1"/>
  <c r="Q90" i="3"/>
  <c r="S60" i="3"/>
  <c r="S83" i="3"/>
  <c r="AH88" i="3"/>
  <c r="BN181" i="1" s="1"/>
  <c r="BO181" i="1" s="1"/>
  <c r="AH87" i="3"/>
  <c r="BN214" i="1" s="1"/>
  <c r="BO214" i="1" s="1"/>
  <c r="AO90" i="3"/>
  <c r="AO57" i="3"/>
  <c r="T97" i="3"/>
  <c r="T73" i="3"/>
  <c r="AM85" i="3"/>
  <c r="AM63" i="3"/>
  <c r="AM64" i="3"/>
  <c r="AM54" i="3"/>
  <c r="AC49" i="3"/>
  <c r="BI127" i="1" s="1"/>
  <c r="AC64" i="3"/>
  <c r="AG50" i="3"/>
  <c r="BM128" i="1" s="1"/>
  <c r="AG63" i="3"/>
  <c r="AG78" i="3"/>
  <c r="AG89" i="3"/>
  <c r="W54" i="3"/>
  <c r="W72" i="3"/>
  <c r="W66" i="3"/>
  <c r="AJ77" i="3"/>
  <c r="BP194" i="1" s="1"/>
  <c r="BQ194" i="1" s="1"/>
  <c r="AJ80" i="3"/>
  <c r="BP218" i="1" s="1"/>
  <c r="AJ49" i="3"/>
  <c r="BP127" i="1" s="1"/>
  <c r="AJ71" i="3"/>
  <c r="M59" i="3"/>
  <c r="M89" i="3"/>
  <c r="M85" i="3"/>
  <c r="M80" i="3"/>
  <c r="M68" i="3"/>
  <c r="M50" i="3"/>
  <c r="AS128" i="1" s="1"/>
  <c r="M65" i="3"/>
  <c r="M71" i="3"/>
  <c r="M58" i="3"/>
  <c r="X92" i="3"/>
  <c r="BD211" i="1" s="1"/>
  <c r="BE211" i="1" s="1"/>
  <c r="X74" i="3"/>
  <c r="BD191" i="1" s="1"/>
  <c r="BE191" i="1" s="1"/>
  <c r="O65" i="3"/>
  <c r="O49" i="3"/>
  <c r="AU127" i="1" s="1"/>
  <c r="O89" i="3"/>
  <c r="O80" i="3"/>
  <c r="S54" i="3"/>
  <c r="S90" i="3"/>
  <c r="S77" i="3"/>
  <c r="S78" i="3"/>
  <c r="AH95" i="3"/>
  <c r="BN223" i="1" s="1"/>
  <c r="BO223" i="1" s="1"/>
  <c r="AH75" i="3"/>
  <c r="BN191" i="1" s="1"/>
  <c r="BO191" i="1" s="1"/>
  <c r="AH92" i="3"/>
  <c r="BN211" i="1" s="1"/>
  <c r="BO211" i="1" s="1"/>
  <c r="AH68" i="3"/>
  <c r="BN185" i="1" s="1"/>
  <c r="AQ49" i="3"/>
  <c r="BW127" i="1" s="1"/>
  <c r="AQ50" i="3"/>
  <c r="BW128" i="1" s="1"/>
  <c r="AQ47" i="3"/>
  <c r="AQ67" i="3"/>
  <c r="AQ65" i="3"/>
  <c r="AQ76" i="3"/>
  <c r="AE64" i="3"/>
  <c r="AE79" i="3"/>
  <c r="AN55" i="3"/>
  <c r="AN74" i="3"/>
  <c r="BT191" i="1" s="1"/>
  <c r="BU191" i="1" s="1"/>
  <c r="U97" i="3"/>
  <c r="U63" i="3"/>
  <c r="U59" i="3"/>
  <c r="Z59" i="3"/>
  <c r="Z66" i="3"/>
  <c r="BF210" i="1" s="1"/>
  <c r="BG210" i="1" s="1"/>
  <c r="AL65" i="3"/>
  <c r="BR213" i="1" s="1"/>
  <c r="BS213" i="1" s="1"/>
  <c r="AL81" i="3"/>
  <c r="BR196" i="1" s="1"/>
  <c r="AL67" i="3"/>
  <c r="AL75" i="3"/>
  <c r="BR191" i="1" s="1"/>
  <c r="BS191" i="1" s="1"/>
  <c r="AO56" i="3"/>
  <c r="AO65" i="3"/>
  <c r="Y72" i="3"/>
  <c r="Y66" i="3"/>
  <c r="Y57" i="3"/>
  <c r="Y55" i="3"/>
  <c r="Y49" i="3"/>
  <c r="BE127" i="1" s="1"/>
  <c r="R72" i="3"/>
  <c r="AX189" i="1" s="1"/>
  <c r="AY189" i="1" s="1"/>
  <c r="R89" i="3"/>
  <c r="AX208" i="1" s="1"/>
  <c r="R73" i="3"/>
  <c r="R92" i="3"/>
  <c r="AX211" i="1" s="1"/>
  <c r="AY211" i="1" s="1"/>
  <c r="I88" i="3"/>
  <c r="I91" i="3"/>
  <c r="BW56" i="1"/>
  <c r="AP100" i="1"/>
  <c r="BA79" i="1"/>
  <c r="BV77" i="1"/>
  <c r="AS79" i="1"/>
  <c r="BA69" i="1"/>
  <c r="AT79" i="1"/>
  <c r="AS77" i="1"/>
  <c r="BW69" i="1"/>
  <c r="BV100" i="1"/>
  <c r="AT89" i="1"/>
  <c r="BR75" i="1"/>
  <c r="AZ93" i="1"/>
  <c r="AQ61" i="1"/>
  <c r="BT63" i="1"/>
  <c r="BR86" i="1"/>
  <c r="BR253" i="1" s="1"/>
  <c r="AO61" i="1"/>
  <c r="AW68" i="1"/>
  <c r="BW68" i="1"/>
  <c r="BO86" i="1"/>
  <c r="BO253" i="1" s="1"/>
  <c r="AN105" i="1"/>
  <c r="AT56" i="1"/>
  <c r="BE60" i="1"/>
  <c r="BE61" i="1"/>
  <c r="BS60" i="1"/>
  <c r="BR90" i="1"/>
  <c r="AX77" i="1"/>
  <c r="BE56" i="1"/>
  <c r="BA89" i="1"/>
  <c r="BR77" i="1"/>
  <c r="AT69" i="1"/>
  <c r="AW90" i="1"/>
  <c r="BI60" i="1"/>
  <c r="AQ73" i="1"/>
  <c r="BC73" i="1"/>
  <c r="AO55" i="1"/>
  <c r="BI89" i="1"/>
  <c r="AO90" i="1"/>
  <c r="BB55" i="1"/>
  <c r="BB290" i="1" s="1"/>
  <c r="AW93" i="1"/>
  <c r="AW60" i="1"/>
  <c r="AQ56" i="1"/>
  <c r="AR77" i="1"/>
  <c r="BW73" i="1"/>
  <c r="AQ86" i="1"/>
  <c r="AV101" i="1"/>
  <c r="BV93" i="1"/>
  <c r="AU75" i="1"/>
  <c r="AT55" i="1"/>
  <c r="BH100" i="1"/>
  <c r="AK128" i="1"/>
  <c r="BV63" i="1"/>
  <c r="AR60" i="1"/>
  <c r="BO75" i="1"/>
  <c r="AW79" i="1"/>
  <c r="AI69" i="1"/>
  <c r="AQ99" i="1"/>
  <c r="AZ79" i="1"/>
  <c r="AP86" i="1"/>
  <c r="AP253" i="1" s="1"/>
  <c r="BD73" i="1"/>
  <c r="BN90" i="1"/>
  <c r="AZ61" i="1"/>
  <c r="AU63" i="1"/>
  <c r="BV86" i="1"/>
  <c r="BV253" i="1" s="1"/>
  <c r="AY63" i="1"/>
  <c r="AP63" i="1"/>
  <c r="AO73" i="1"/>
  <c r="BJ99" i="1"/>
  <c r="AI93" i="1"/>
  <c r="BB56" i="1"/>
  <c r="AW73" i="1"/>
  <c r="AS75" i="1"/>
  <c r="BS68" i="1"/>
  <c r="BS79" i="1"/>
  <c r="BW60" i="1"/>
  <c r="AW56" i="1"/>
  <c r="BC56" i="1"/>
  <c r="BF105" i="1"/>
  <c r="BV56" i="1"/>
  <c r="AX89" i="1"/>
  <c r="AO60" i="1"/>
  <c r="BQ56" i="1"/>
  <c r="BD90" i="1"/>
  <c r="AU56" i="1"/>
  <c r="BU69" i="1"/>
  <c r="BC75" i="1"/>
  <c r="AY56" i="1"/>
  <c r="AX63" i="1"/>
  <c r="AP75" i="1"/>
  <c r="BS105" i="1"/>
  <c r="BE101" i="1"/>
  <c r="AI75" i="1"/>
  <c r="BO56" i="1"/>
  <c r="AS90" i="1"/>
  <c r="AN61" i="1"/>
  <c r="BW90" i="1"/>
  <c r="BG101" i="1"/>
  <c r="AI63" i="1"/>
  <c r="BD63" i="1"/>
  <c r="BI63" i="1"/>
  <c r="BG100" i="1"/>
  <c r="BF75" i="1"/>
  <c r="BB77" i="1"/>
  <c r="BQ105" i="1"/>
  <c r="AW55" i="1"/>
  <c r="AW290" i="1" s="1"/>
  <c r="AV63" i="1"/>
  <c r="AO77" i="1"/>
  <c r="BH105" i="1"/>
  <c r="BP77" i="1"/>
  <c r="BI68" i="1"/>
  <c r="AI79" i="1"/>
  <c r="BP55" i="1"/>
  <c r="BP290" i="1" s="1"/>
  <c r="BD89" i="1"/>
  <c r="BB73" i="1"/>
  <c r="BG56" i="1"/>
  <c r="BP93" i="1"/>
  <c r="BM63" i="1"/>
  <c r="AI100" i="1"/>
  <c r="BW86" i="1"/>
  <c r="BW253" i="1" s="1"/>
  <c r="BM93" i="1"/>
  <c r="BI99" i="1"/>
  <c r="BB89" i="1"/>
  <c r="AI101" i="1"/>
  <c r="AQ101" i="1"/>
  <c r="AP60" i="1"/>
  <c r="BK61" i="1"/>
  <c r="BF73" i="1"/>
  <c r="BB105" i="1"/>
  <c r="BQ101" i="1"/>
  <c r="BI100" i="1"/>
  <c r="BE93" i="1"/>
  <c r="AW61" i="1"/>
  <c r="AR68" i="1"/>
  <c r="BN86" i="1"/>
  <c r="BN253" i="1" s="1"/>
  <c r="AS61" i="1"/>
  <c r="AN60" i="1"/>
  <c r="BC100" i="1"/>
  <c r="BM101" i="1"/>
  <c r="BN56" i="1"/>
  <c r="BT68" i="1"/>
  <c r="AX69" i="1"/>
  <c r="BG86" i="1"/>
  <c r="BG253" i="1" s="1"/>
  <c r="BB60" i="1"/>
  <c r="BG79" i="1"/>
  <c r="BH75" i="1"/>
  <c r="AW75" i="1"/>
  <c r="BK73" i="1"/>
  <c r="BG63" i="1"/>
  <c r="BD101" i="1"/>
  <c r="BE69" i="1"/>
  <c r="BV55" i="1"/>
  <c r="BV290" i="1" s="1"/>
  <c r="BI101" i="1"/>
  <c r="BJ105" i="1"/>
  <c r="BA73" i="1"/>
  <c r="AY60" i="1"/>
  <c r="BW63" i="1"/>
  <c r="AU99" i="1"/>
  <c r="AR100" i="1"/>
  <c r="BB68" i="1"/>
  <c r="BO101" i="1"/>
  <c r="AQ90" i="1"/>
  <c r="BQ69" i="1"/>
  <c r="AY75" i="1"/>
  <c r="BQ89" i="1"/>
  <c r="AY68" i="1"/>
  <c r="BM75" i="1"/>
  <c r="AT61" i="1"/>
  <c r="AI60" i="1"/>
  <c r="AY93" i="1"/>
  <c r="BP101" i="1"/>
  <c r="BS73" i="1"/>
  <c r="BF93" i="1"/>
  <c r="BK100" i="1"/>
  <c r="BR101" i="1"/>
  <c r="AP56" i="1"/>
  <c r="BF89" i="1"/>
  <c r="BI69" i="1"/>
  <c r="AQ68" i="1"/>
  <c r="AT90" i="1"/>
  <c r="BM100" i="1"/>
  <c r="AW63" i="1"/>
  <c r="AY79" i="1"/>
  <c r="BN61" i="1"/>
  <c r="AV75" i="1"/>
  <c r="BQ90" i="1"/>
  <c r="BT101" i="1"/>
  <c r="BB75" i="1"/>
  <c r="BU105" i="1"/>
  <c r="BR89" i="1"/>
  <c r="AJ127" i="1"/>
  <c r="BM61" i="1"/>
  <c r="BT79" i="1"/>
  <c r="AQ63" i="1"/>
  <c r="BH86" i="1"/>
  <c r="BH253" i="1" s="1"/>
  <c r="BA99" i="1"/>
  <c r="BO90" i="1"/>
  <c r="BI86" i="1"/>
  <c r="BI253" i="1" s="1"/>
  <c r="AV105" i="1"/>
  <c r="AU90" i="1"/>
  <c r="BO79" i="1"/>
  <c r="BH90" i="1"/>
  <c r="BP86" i="1"/>
  <c r="BA101" i="1"/>
  <c r="BS93" i="1"/>
  <c r="BD77" i="1"/>
  <c r="AY77" i="1"/>
  <c r="BF101" i="1"/>
  <c r="BK55" i="1"/>
  <c r="BK290" i="1" s="1"/>
  <c r="AO105" i="1"/>
  <c r="BW75" i="1"/>
  <c r="BP99" i="1"/>
  <c r="BC69" i="1"/>
  <c r="AQ105" i="1"/>
  <c r="BK79" i="1"/>
  <c r="BC55" i="1"/>
  <c r="BC290" i="1" s="1"/>
  <c r="AO68" i="1"/>
  <c r="AR56" i="1"/>
  <c r="AU105" i="1"/>
  <c r="BD69" i="1"/>
  <c r="BQ93" i="1"/>
  <c r="BI105" i="1"/>
  <c r="BM68" i="1"/>
  <c r="BV89" i="1"/>
  <c r="BU77" i="1"/>
  <c r="BW55" i="1"/>
  <c r="BW57" i="1" s="1"/>
  <c r="AR93" i="1"/>
  <c r="AT75" i="1"/>
  <c r="BJ100" i="1"/>
  <c r="BK60" i="1"/>
  <c r="BH205" i="1"/>
  <c r="BI205" i="1" s="1"/>
  <c r="BV209" i="1"/>
  <c r="BW209" i="1" s="1"/>
  <c r="BH196" i="1"/>
  <c r="P203" i="1"/>
  <c r="N191" i="1"/>
  <c r="P189" i="1"/>
  <c r="P185" i="1" s="1"/>
  <c r="I197" i="1"/>
  <c r="I239" i="1" s="1"/>
  <c r="L173" i="1"/>
  <c r="U181" i="1"/>
  <c r="S171" i="1"/>
  <c r="P200" i="1"/>
  <c r="R186" i="1"/>
  <c r="H128" i="1"/>
  <c r="AV89" i="1"/>
  <c r="AX60" i="1"/>
  <c r="AT105" i="1"/>
  <c r="BK56" i="1"/>
  <c r="BO105" i="1"/>
  <c r="AN79" i="1"/>
  <c r="BH101" i="1"/>
  <c r="BW77" i="1"/>
  <c r="BQ99" i="1"/>
  <c r="AX75" i="1"/>
  <c r="BA86" i="1"/>
  <c r="BA253" i="1" s="1"/>
  <c r="BM77" i="1"/>
  <c r="BH61" i="1"/>
  <c r="BR69" i="1"/>
  <c r="AV55" i="1"/>
  <c r="BQ63" i="1"/>
  <c r="AY73" i="1"/>
  <c r="BN63" i="1"/>
  <c r="AY99" i="1"/>
  <c r="BD68" i="1"/>
  <c r="BF61" i="1"/>
  <c r="BH89" i="1"/>
  <c r="BS77" i="1"/>
  <c r="BC93" i="1"/>
  <c r="BW79" i="1"/>
  <c r="AS63" i="1"/>
  <c r="AM105" i="1"/>
  <c r="BO69" i="1"/>
  <c r="BQ77" i="1"/>
  <c r="AP69" i="1"/>
  <c r="BN89" i="1"/>
  <c r="BO55" i="1"/>
  <c r="BV186" i="1"/>
  <c r="BH171" i="1"/>
  <c r="BI171" i="1" s="1"/>
  <c r="BH222" i="1"/>
  <c r="BI222" i="1" s="1"/>
  <c r="BH189" i="1"/>
  <c r="BI189" i="1" s="1"/>
  <c r="BV185" i="1"/>
  <c r="L172" i="1"/>
  <c r="K191" i="1"/>
  <c r="M186" i="1"/>
  <c r="F172" i="1"/>
  <c r="P212" i="1"/>
  <c r="N210" i="1"/>
  <c r="W173" i="1"/>
  <c r="Q128" i="1"/>
  <c r="T203" i="1"/>
  <c r="D229" i="1"/>
  <c r="BG89" i="1"/>
  <c r="BV79" i="1"/>
  <c r="BR99" i="1"/>
  <c r="AO75" i="1"/>
  <c r="BN93" i="1"/>
  <c r="BC63" i="1"/>
  <c r="AS55" i="1"/>
  <c r="AS290" i="1" s="1"/>
  <c r="BM55" i="1"/>
  <c r="BU90" i="1"/>
  <c r="BT75" i="1"/>
  <c r="AZ69" i="1"/>
  <c r="AP68" i="1"/>
  <c r="BA61" i="1"/>
  <c r="AX73" i="1"/>
  <c r="BV75" i="1"/>
  <c r="AW89" i="1"/>
  <c r="AM101" i="1"/>
  <c r="BS101" i="1"/>
  <c r="BE90" i="1"/>
  <c r="AS89" i="1"/>
  <c r="AR63" i="1"/>
  <c r="BA68" i="1"/>
  <c r="BJ128" i="1"/>
  <c r="BR56" i="1"/>
  <c r="BV127" i="1"/>
  <c r="BV218" i="1"/>
  <c r="BV179" i="1"/>
  <c r="BW179" i="1" s="1"/>
  <c r="BH194" i="1"/>
  <c r="BH219" i="1"/>
  <c r="D197" i="1"/>
  <c r="D239" i="1" s="1"/>
  <c r="T229" i="1"/>
  <c r="O179" i="1"/>
  <c r="E176" i="1"/>
  <c r="Q132" i="1"/>
  <c r="L190" i="1"/>
  <c r="W180" i="1"/>
  <c r="W209" i="1" s="1"/>
  <c r="W132" i="1"/>
  <c r="E173" i="1"/>
  <c r="S178" i="1"/>
  <c r="E213" i="1"/>
  <c r="V180" i="1"/>
  <c r="V209" i="1" s="1"/>
  <c r="N219" i="1"/>
  <c r="AQ69" i="1"/>
  <c r="BU101" i="1"/>
  <c r="BQ68" i="1"/>
  <c r="BR63" i="1"/>
  <c r="BU55" i="1"/>
  <c r="BJ127" i="1"/>
  <c r="BD56" i="1"/>
  <c r="AY86" i="1"/>
  <c r="AY253" i="1" s="1"/>
  <c r="BD79" i="1"/>
  <c r="AN93" i="1"/>
  <c r="BH73" i="1"/>
  <c r="BA105" i="1"/>
  <c r="AY90" i="1"/>
  <c r="BK69" i="1"/>
  <c r="BO93" i="1"/>
  <c r="BP60" i="1"/>
  <c r="BS86" i="1"/>
  <c r="BS253" i="1" s="1"/>
  <c r="AS86" i="1"/>
  <c r="AS253" i="1" s="1"/>
  <c r="BQ55" i="1"/>
  <c r="BA93" i="1"/>
  <c r="BR79" i="1"/>
  <c r="BT60" i="1"/>
  <c r="AO56" i="1"/>
  <c r="BA100" i="1"/>
  <c r="AU60" i="1"/>
  <c r="BG75" i="1"/>
  <c r="AW86" i="1"/>
  <c r="BN99" i="1"/>
  <c r="AP93" i="1"/>
  <c r="AY89" i="1"/>
  <c r="BI75" i="1"/>
  <c r="BU93" i="1"/>
  <c r="AP77" i="1"/>
  <c r="AO100" i="1"/>
  <c r="BS56" i="1"/>
  <c r="BH55" i="1"/>
  <c r="AN100" i="1"/>
  <c r="AR101" i="1"/>
  <c r="BW89" i="1"/>
  <c r="AI68" i="1"/>
  <c r="BO99" i="1"/>
  <c r="AR75" i="1"/>
  <c r="BT55" i="1"/>
  <c r="BG55" i="1"/>
  <c r="AU79" i="1"/>
  <c r="BO60" i="1"/>
  <c r="AW101" i="1"/>
  <c r="AS56" i="1"/>
  <c r="BF100" i="1"/>
  <c r="BE63" i="1"/>
  <c r="AN63" i="1"/>
  <c r="AS68" i="1"/>
  <c r="BA63" i="1"/>
  <c r="BD61" i="1"/>
  <c r="AX90" i="1"/>
  <c r="AZ73" i="1"/>
  <c r="BH210" i="1"/>
  <c r="BI210" i="1" s="1"/>
  <c r="BV203" i="1"/>
  <c r="B180" i="1"/>
  <c r="B209" i="1" s="1"/>
  <c r="O176" i="1"/>
  <c r="W219" i="1"/>
  <c r="F191" i="1"/>
  <c r="G186" i="1"/>
  <c r="V176" i="1"/>
  <c r="B117" i="1"/>
  <c r="P172" i="1"/>
  <c r="B211" i="1"/>
  <c r="BF86" i="1"/>
  <c r="BT56" i="1"/>
  <c r="BT61" i="1"/>
  <c r="AY100" i="1"/>
  <c r="BO63" i="1"/>
  <c r="AS93" i="1"/>
  <c r="AU77" i="1"/>
  <c r="AS73" i="1"/>
  <c r="BV172" i="1"/>
  <c r="BW172" i="1" s="1"/>
  <c r="M178" i="1"/>
  <c r="N178" i="1"/>
  <c r="V210" i="1"/>
  <c r="D179" i="1"/>
  <c r="F189" i="1"/>
  <c r="F185" i="1" s="1"/>
  <c r="H121" i="1"/>
  <c r="D205" i="1"/>
  <c r="S194" i="1"/>
  <c r="H180" i="1"/>
  <c r="H209" i="1" s="1"/>
  <c r="L230" i="1"/>
  <c r="D231" i="1"/>
  <c r="V171" i="1"/>
  <c r="D194" i="1"/>
  <c r="S212" i="1"/>
  <c r="BD100" i="1"/>
  <c r="BK75" i="1"/>
  <c r="BD99" i="1"/>
  <c r="AQ93" i="1"/>
  <c r="BN69" i="1"/>
  <c r="BE73" i="1"/>
  <c r="BH212" i="1"/>
  <c r="BI212" i="1" s="1"/>
  <c r="BH214" i="1"/>
  <c r="BI214" i="1" s="1"/>
  <c r="BH128" i="1"/>
  <c r="BH206" i="1"/>
  <c r="BI206" i="1" s="1"/>
  <c r="T128" i="1"/>
  <c r="D219" i="1"/>
  <c r="O181" i="1"/>
  <c r="O211" i="1"/>
  <c r="V189" i="1"/>
  <c r="V185" i="1" s="1"/>
  <c r="F208" i="1"/>
  <c r="E187" i="1"/>
  <c r="M189" i="1"/>
  <c r="M185" i="1" s="1"/>
  <c r="K197" i="1"/>
  <c r="K239" i="1" s="1"/>
  <c r="P196" i="1"/>
  <c r="P238" i="1" s="1"/>
  <c r="C186" i="1"/>
  <c r="BD55" i="1"/>
  <c r="BD290" i="1" s="1"/>
  <c r="BN55" i="1"/>
  <c r="BN290" i="1" s="1"/>
  <c r="BQ86" i="1"/>
  <c r="BQ253" i="1" s="1"/>
  <c r="BE77" i="1"/>
  <c r="AZ55" i="1"/>
  <c r="AZ290" i="1" s="1"/>
  <c r="AP101" i="1"/>
  <c r="AV61" i="1"/>
  <c r="AM99" i="1"/>
  <c r="BO73" i="1"/>
  <c r="BG68" i="1"/>
  <c r="AR99" i="1"/>
  <c r="AT73" i="1"/>
  <c r="BP105" i="1"/>
  <c r="BC90" i="1"/>
  <c r="BE105" i="1"/>
  <c r="AN101" i="1"/>
  <c r="AS105" i="1"/>
  <c r="BT105" i="1"/>
  <c r="BF79" i="1"/>
  <c r="BM56" i="1"/>
  <c r="BW101" i="1"/>
  <c r="BF77" i="1"/>
  <c r="AR73" i="1"/>
  <c r="BU61" i="1"/>
  <c r="AV68" i="1"/>
  <c r="BA75" i="1"/>
  <c r="BA90" i="1"/>
  <c r="AQ60" i="1"/>
  <c r="BJ77" i="1"/>
  <c r="BJ80" i="1" s="1"/>
  <c r="BM99" i="1"/>
  <c r="AQ55" i="1"/>
  <c r="AQ290" i="1" s="1"/>
  <c r="BT93" i="1"/>
  <c r="AO79" i="1"/>
  <c r="BV73" i="1"/>
  <c r="AZ63" i="1"/>
  <c r="BI73" i="1"/>
  <c r="AI105" i="1"/>
  <c r="BU63" i="1"/>
  <c r="BH60" i="1"/>
  <c r="AI73" i="1"/>
  <c r="BU75" i="1"/>
  <c r="AU68" i="1"/>
  <c r="AT60" i="1"/>
  <c r="BS61" i="1"/>
  <c r="BI93" i="1"/>
  <c r="BO68" i="1"/>
  <c r="BF63" i="1"/>
  <c r="AW100" i="1"/>
  <c r="AX100" i="1"/>
  <c r="BH56" i="1"/>
  <c r="BN77" i="1"/>
  <c r="AZ90" i="1"/>
  <c r="AS100" i="1"/>
  <c r="AX93" i="1"/>
  <c r="BH186" i="1"/>
  <c r="BV214" i="1"/>
  <c r="BW214" i="1" s="1"/>
  <c r="P178" i="1"/>
  <c r="W127" i="1"/>
  <c r="J203" i="1"/>
  <c r="R181" i="1"/>
  <c r="R223" i="1"/>
  <c r="C117" i="1"/>
  <c r="D181" i="1"/>
  <c r="W181" i="1"/>
  <c r="T186" i="1"/>
  <c r="M127" i="1"/>
  <c r="AT63" i="1"/>
  <c r="AZ105" i="1"/>
  <c r="AO63" i="1"/>
  <c r="BS100" i="1"/>
  <c r="BT69" i="1"/>
  <c r="BI77" i="1"/>
  <c r="AZ56" i="1"/>
  <c r="BG69" i="1"/>
  <c r="BO100" i="1"/>
  <c r="BU79" i="1"/>
  <c r="BT86" i="1"/>
  <c r="BT253" i="1" s="1"/>
  <c r="AY101" i="1"/>
  <c r="BR61" i="1"/>
  <c r="BK93" i="1"/>
  <c r="BQ60" i="1"/>
  <c r="AQ79" i="1"/>
  <c r="AO99" i="1"/>
  <c r="BM79" i="1"/>
  <c r="BU60" i="1"/>
  <c r="BN60" i="1"/>
  <c r="AO93" i="1"/>
  <c r="AV77" i="1"/>
  <c r="BT73" i="1"/>
  <c r="AR89" i="1"/>
  <c r="AI99" i="1"/>
  <c r="AS101" i="1"/>
  <c r="BM60" i="1"/>
  <c r="AX55" i="1"/>
  <c r="AQ89" i="1"/>
  <c r="BT90" i="1"/>
  <c r="AI90" i="1"/>
  <c r="AU100" i="1"/>
  <c r="BD60" i="1"/>
  <c r="BN105" i="1"/>
  <c r="BJ56" i="1"/>
  <c r="BJ57" i="1" s="1"/>
  <c r="BJ64" i="1" s="1"/>
  <c r="BK77" i="1"/>
  <c r="AU86" i="1"/>
  <c r="AU253" i="1" s="1"/>
  <c r="AO86" i="1"/>
  <c r="BS69" i="1"/>
  <c r="AI86" i="1"/>
  <c r="AI253" i="1" s="1"/>
  <c r="BV208" i="1"/>
  <c r="BV197" i="1"/>
  <c r="BV206" i="1"/>
  <c r="BW206" i="1" s="1"/>
  <c r="BH172" i="1"/>
  <c r="BI172" i="1" s="1"/>
  <c r="E231" i="1"/>
  <c r="T187" i="1"/>
  <c r="J186" i="1"/>
  <c r="P213" i="1"/>
  <c r="M191" i="1"/>
  <c r="E197" i="1"/>
  <c r="E239" i="1" s="1"/>
  <c r="B219" i="1"/>
  <c r="O231" i="1"/>
  <c r="T131" i="1"/>
  <c r="B210" i="1"/>
  <c r="W196" i="1"/>
  <c r="I203" i="1"/>
  <c r="I200" i="1"/>
  <c r="S230" i="1"/>
  <c r="AW105" i="1"/>
  <c r="AQ75" i="1"/>
  <c r="AW77" i="1"/>
  <c r="BA60" i="1"/>
  <c r="AY55" i="1"/>
  <c r="BQ75" i="1"/>
  <c r="BR55" i="1"/>
  <c r="BJ101" i="1"/>
  <c r="BR73" i="1"/>
  <c r="AN69" i="1"/>
  <c r="BK89" i="1"/>
  <c r="BU73" i="1"/>
  <c r="BE89" i="1"/>
  <c r="AV93" i="1"/>
  <c r="BG60" i="1"/>
  <c r="BC60" i="1"/>
  <c r="AR79" i="1"/>
  <c r="BP63" i="1"/>
  <c r="BR105" i="1"/>
  <c r="AV69" i="1"/>
  <c r="AZ101" i="1"/>
  <c r="BW61" i="1"/>
  <c r="AV100" i="1"/>
  <c r="BI90" i="1"/>
  <c r="AR69" i="1"/>
  <c r="AP73" i="1"/>
  <c r="BP75" i="1"/>
  <c r="BP89" i="1"/>
  <c r="BG105" i="1"/>
  <c r="AI61" i="1"/>
  <c r="BS75" i="1"/>
  <c r="BM86" i="1"/>
  <c r="AY105" i="1"/>
  <c r="BK99" i="1"/>
  <c r="BG61" i="1"/>
  <c r="AR90" i="1"/>
  <c r="BF55" i="1"/>
  <c r="AS60" i="1"/>
  <c r="AT101" i="1"/>
  <c r="AZ89" i="1"/>
  <c r="BH187" i="1"/>
  <c r="BH178" i="1"/>
  <c r="BI178" i="1" s="1"/>
  <c r="BV222" i="1"/>
  <c r="BW222" i="1" s="1"/>
  <c r="S121" i="1"/>
  <c r="F187" i="1"/>
  <c r="F180" i="1"/>
  <c r="F209" i="1" s="1"/>
  <c r="S181" i="1"/>
  <c r="E200" i="1"/>
  <c r="B118" i="1"/>
  <c r="K213" i="1"/>
  <c r="BJ89" i="1"/>
  <c r="AZ68" i="1"/>
  <c r="AV86" i="1"/>
  <c r="AV253" i="1" s="1"/>
  <c r="AR61" i="1"/>
  <c r="BU100" i="1"/>
  <c r="BP100" i="1"/>
  <c r="BV105" i="1"/>
  <c r="BE75" i="1"/>
  <c r="BS99" i="1"/>
  <c r="BF56" i="1"/>
  <c r="BJ90" i="1"/>
  <c r="BJ311" i="1" s="1"/>
  <c r="AP89" i="1"/>
  <c r="AZ77" i="1"/>
  <c r="AV73" i="1"/>
  <c r="BW105" i="1"/>
  <c r="BB63" i="1"/>
  <c r="BD93" i="1"/>
  <c r="BU89" i="1"/>
  <c r="AZ75" i="1"/>
  <c r="BR68" i="1"/>
  <c r="AX86" i="1"/>
  <c r="AX253" i="1" s="1"/>
  <c r="AU55" i="1"/>
  <c r="BP56" i="1"/>
  <c r="BU99" i="1"/>
  <c r="AX56" i="1"/>
  <c r="BP68" i="1"/>
  <c r="BB99" i="1"/>
  <c r="AU69" i="1"/>
  <c r="AR55" i="1"/>
  <c r="BT100" i="1"/>
  <c r="AO101" i="1"/>
  <c r="AV90" i="1"/>
  <c r="AT99" i="1"/>
  <c r="BE55" i="1"/>
  <c r="BJ86" i="1"/>
  <c r="BG90" i="1"/>
  <c r="BU68" i="1"/>
  <c r="AK127" i="1"/>
  <c r="AX79" i="1"/>
  <c r="BH191" i="1"/>
  <c r="BI191" i="1" s="1"/>
  <c r="BV178" i="1"/>
  <c r="BW178" i="1" s="1"/>
  <c r="C181" i="1"/>
  <c r="V121" i="1"/>
  <c r="C230" i="1"/>
  <c r="J190" i="1"/>
  <c r="I128" i="1"/>
  <c r="T197" i="1"/>
  <c r="T239" i="1" s="1"/>
  <c r="V191" i="1"/>
  <c r="F231" i="1"/>
  <c r="S173" i="1"/>
  <c r="BN79" i="1"/>
  <c r="BS55" i="1"/>
  <c r="BS290" i="1" s="1"/>
  <c r="BK101" i="1"/>
  <c r="AU61" i="1"/>
  <c r="BB86" i="1"/>
  <c r="BB100" i="1"/>
  <c r="BW100" i="1"/>
  <c r="BD105" i="1"/>
  <c r="BK68" i="1"/>
  <c r="BH68" i="1"/>
  <c r="BA56" i="1"/>
  <c r="BJ93" i="1"/>
  <c r="BM90" i="1"/>
  <c r="BQ79" i="1"/>
  <c r="AX61" i="1"/>
  <c r="BH69" i="1"/>
  <c r="AS69" i="1"/>
  <c r="BR100" i="1"/>
  <c r="BW99" i="1"/>
  <c r="BF69" i="1"/>
  <c r="BM69" i="1"/>
  <c r="BE68" i="1"/>
  <c r="BG93" i="1"/>
  <c r="BB101" i="1"/>
  <c r="AX99" i="1"/>
  <c r="BI61" i="1"/>
  <c r="BC89" i="1"/>
  <c r="AP55" i="1"/>
  <c r="BN101" i="1"/>
  <c r="BC105" i="1"/>
  <c r="BQ100" i="1"/>
  <c r="BP79" i="1"/>
  <c r="BU86" i="1"/>
  <c r="BU253" i="1" s="1"/>
  <c r="BS89" i="1"/>
  <c r="AM127" i="1"/>
  <c r="AN68" i="1"/>
  <c r="AI55" i="1"/>
  <c r="AI239" i="1" s="1"/>
  <c r="BP61" i="1"/>
  <c r="BK86" i="1"/>
  <c r="AT86" i="1"/>
  <c r="AT93" i="1"/>
  <c r="BA55" i="1"/>
  <c r="AJ128" i="1"/>
  <c r="AX105" i="1"/>
  <c r="AQ77" i="1"/>
  <c r="BO89" i="1"/>
  <c r="BN100" i="1"/>
  <c r="BV68" i="1"/>
  <c r="BI55" i="1"/>
  <c r="BI290" i="1" s="1"/>
  <c r="BK105" i="1"/>
  <c r="BT99" i="1"/>
  <c r="BE86" i="1"/>
  <c r="AP79" i="1"/>
  <c r="AN77" i="1"/>
  <c r="BH79" i="1"/>
  <c r="AM100" i="1"/>
  <c r="BV99" i="1"/>
  <c r="AQ100" i="1"/>
  <c r="BP69" i="1"/>
  <c r="AX68" i="1"/>
  <c r="BO77" i="1"/>
  <c r="BC79" i="1"/>
  <c r="BN73" i="1"/>
  <c r="BF60" i="1"/>
  <c r="AW99" i="1"/>
  <c r="BH223" i="1"/>
  <c r="BI223" i="1" s="1"/>
  <c r="AI127" i="1"/>
  <c r="BV211" i="1"/>
  <c r="BW211" i="1" s="1"/>
  <c r="BH211" i="1"/>
  <c r="BI211" i="1" s="1"/>
  <c r="BV187" i="1"/>
  <c r="L178" i="1"/>
  <c r="R187" i="1"/>
  <c r="D180" i="1"/>
  <c r="D209" i="1" s="1"/>
  <c r="H218" i="1"/>
  <c r="D128" i="1"/>
  <c r="M200" i="1"/>
  <c r="H173" i="1"/>
  <c r="G194" i="1"/>
  <c r="Q223" i="1"/>
  <c r="N189" i="1"/>
  <c r="N185" i="1" s="1"/>
  <c r="I186" i="1"/>
  <c r="M206" i="1"/>
  <c r="BE100" i="1"/>
  <c r="BT77" i="1"/>
  <c r="AI56" i="1"/>
  <c r="AR105" i="1"/>
  <c r="BR93" i="1"/>
  <c r="AN89" i="1"/>
  <c r="AU101" i="1"/>
  <c r="BH93" i="1"/>
  <c r="AZ60" i="1"/>
  <c r="AN90" i="1"/>
  <c r="BM89" i="1"/>
  <c r="AM128" i="1"/>
  <c r="AX101" i="1"/>
  <c r="BB90" i="1"/>
  <c r="BG77" i="1"/>
  <c r="AZ86" i="1"/>
  <c r="BV101" i="1"/>
  <c r="BT89" i="1"/>
  <c r="AP105" i="1"/>
  <c r="BC68" i="1"/>
  <c r="BD86" i="1"/>
  <c r="BM73" i="1"/>
  <c r="BV60" i="1"/>
  <c r="AI89" i="1"/>
  <c r="BH200" i="1"/>
  <c r="BI200" i="1" s="1"/>
  <c r="BH127" i="1"/>
  <c r="BV173" i="1"/>
  <c r="BV219" i="1"/>
  <c r="BH185" i="1"/>
  <c r="F223" i="1"/>
  <c r="V127" i="1"/>
  <c r="O197" i="1"/>
  <c r="O239" i="1" s="1"/>
  <c r="C171" i="1"/>
  <c r="T173" i="1"/>
  <c r="C191" i="1"/>
  <c r="J127" i="1"/>
  <c r="I179" i="1"/>
  <c r="K187" i="1"/>
  <c r="L206" i="1"/>
  <c r="Q206" i="1"/>
  <c r="N213" i="1"/>
  <c r="Q231" i="1"/>
  <c r="R179" i="1"/>
  <c r="V132" i="1"/>
  <c r="V190" i="1"/>
  <c r="W213" i="1"/>
  <c r="G200" i="1"/>
  <c r="T223" i="1"/>
  <c r="J191" i="1"/>
  <c r="H178" i="1"/>
  <c r="E190" i="1"/>
  <c r="C196" i="1"/>
  <c r="C238" i="1" s="1"/>
  <c r="W128" i="1"/>
  <c r="T219" i="1"/>
  <c r="D191" i="1"/>
  <c r="E206" i="1"/>
  <c r="G171" i="1"/>
  <c r="R133" i="1"/>
  <c r="H132" i="1"/>
  <c r="G230" i="1"/>
  <c r="P190" i="1"/>
  <c r="O180" i="1"/>
  <c r="O209" i="1" s="1"/>
  <c r="I211" i="1"/>
  <c r="I178" i="1"/>
  <c r="B194" i="1"/>
  <c r="B206" i="1"/>
  <c r="E194" i="1"/>
  <c r="I205" i="1"/>
  <c r="H196" i="1"/>
  <c r="H238" i="1" s="1"/>
  <c r="R189" i="1"/>
  <c r="R185" i="1" s="1"/>
  <c r="V203" i="1"/>
  <c r="H223" i="1"/>
  <c r="G127" i="1"/>
  <c r="C212" i="1"/>
  <c r="N208" i="1"/>
  <c r="W212" i="1"/>
  <c r="Q230" i="1"/>
  <c r="I212" i="1"/>
  <c r="J196" i="1"/>
  <c r="J238" i="1" s="1"/>
  <c r="N171" i="1"/>
  <c r="L121" i="1"/>
  <c r="U132" i="1"/>
  <c r="W203" i="1"/>
  <c r="K230" i="1"/>
  <c r="L231" i="1"/>
  <c r="H133" i="1"/>
  <c r="L179" i="1"/>
  <c r="S176" i="1"/>
  <c r="T211" i="1"/>
  <c r="V179" i="1"/>
  <c r="J197" i="1"/>
  <c r="J239" i="1" s="1"/>
  <c r="S211" i="1"/>
  <c r="C218" i="1"/>
  <c r="L181" i="1"/>
  <c r="U190" i="1"/>
  <c r="H213" i="1"/>
  <c r="S189" i="1"/>
  <c r="S185" i="1" s="1"/>
  <c r="P206" i="1"/>
  <c r="I222" i="1"/>
  <c r="F222" i="1"/>
  <c r="Q203" i="1"/>
  <c r="N200" i="1"/>
  <c r="G172" i="1"/>
  <c r="F181" i="1"/>
  <c r="B231" i="1"/>
  <c r="K205" i="1"/>
  <c r="H172" i="1"/>
  <c r="U178" i="1"/>
  <c r="I180" i="1"/>
  <c r="I209" i="1" s="1"/>
  <c r="E127" i="1"/>
  <c r="C194" i="1"/>
  <c r="M173" i="1"/>
  <c r="K181" i="1"/>
  <c r="Q205" i="1"/>
  <c r="N186" i="1"/>
  <c r="M210" i="1"/>
  <c r="R231" i="1"/>
  <c r="F121" i="1"/>
  <c r="J206" i="1"/>
  <c r="S190" i="1"/>
  <c r="S179" i="1"/>
  <c r="H181" i="1"/>
  <c r="C200" i="1"/>
  <c r="S218" i="1"/>
  <c r="N180" i="1"/>
  <c r="N209" i="1" s="1"/>
  <c r="J230" i="1"/>
  <c r="V223" i="1"/>
  <c r="L189" i="1"/>
  <c r="L185" i="1" s="1"/>
  <c r="C206" i="1"/>
  <c r="D117" i="1"/>
  <c r="V218" i="1"/>
  <c r="B222" i="1"/>
  <c r="W133" i="1"/>
  <c r="E230" i="1"/>
  <c r="E171" i="1"/>
  <c r="C176" i="1"/>
  <c r="S172" i="1"/>
  <c r="T218" i="1"/>
  <c r="C133" i="1"/>
  <c r="F178" i="1"/>
  <c r="J210" i="1"/>
  <c r="C229" i="1"/>
  <c r="J222" i="1"/>
  <c r="K231" i="1"/>
  <c r="E128" i="1"/>
  <c r="N190" i="1"/>
  <c r="D210" i="1"/>
  <c r="O187" i="1"/>
  <c r="L229" i="1"/>
  <c r="H222" i="1"/>
  <c r="N230" i="1"/>
  <c r="H230" i="1"/>
  <c r="D131" i="1"/>
  <c r="D230" i="1"/>
  <c r="AR86" i="1"/>
  <c r="AR253" i="1" s="1"/>
  <c r="AV79" i="1"/>
  <c r="BH77" i="1"/>
  <c r="AP99" i="1"/>
  <c r="BH63" i="1"/>
  <c r="BV69" i="1"/>
  <c r="BB79" i="1"/>
  <c r="BN75" i="1"/>
  <c r="AZ100" i="1"/>
  <c r="BE79" i="1"/>
  <c r="BC61" i="1"/>
  <c r="BH99" i="1"/>
  <c r="AN55" i="1"/>
  <c r="AN290" i="1" s="1"/>
  <c r="BB61" i="1"/>
  <c r="AW69" i="1"/>
  <c r="BF68" i="1"/>
  <c r="BQ61" i="1"/>
  <c r="AV99" i="1"/>
  <c r="AT68" i="1"/>
  <c r="AN56" i="1"/>
  <c r="BH209" i="1"/>
  <c r="BI209" i="1" s="1"/>
  <c r="M197" i="1"/>
  <c r="M239" i="1" s="1"/>
  <c r="N133" i="1"/>
  <c r="B181" i="1"/>
  <c r="R208" i="1"/>
  <c r="U176" i="1"/>
  <c r="G197" i="1"/>
  <c r="G239" i="1" s="1"/>
  <c r="I230" i="1"/>
  <c r="B213" i="1"/>
  <c r="J223" i="1"/>
  <c r="M121" i="1"/>
  <c r="S210" i="1"/>
  <c r="Q176" i="1"/>
  <c r="G131" i="1"/>
  <c r="Q173" i="1"/>
  <c r="R178" i="1"/>
  <c r="R128" i="1"/>
  <c r="J194" i="1"/>
  <c r="P132" i="1"/>
  <c r="U231" i="1"/>
  <c r="D132" i="1"/>
  <c r="F212" i="1"/>
  <c r="O173" i="1"/>
  <c r="D208" i="1"/>
  <c r="B185" i="1"/>
  <c r="V131" i="1"/>
  <c r="F210" i="1"/>
  <c r="J213" i="1"/>
  <c r="K133" i="1"/>
  <c r="D213" i="1"/>
  <c r="C208" i="1"/>
  <c r="T180" i="1"/>
  <c r="T209" i="1" s="1"/>
  <c r="P231" i="1"/>
  <c r="Q187" i="1"/>
  <c r="U194" i="1"/>
  <c r="K176" i="1"/>
  <c r="G229" i="1"/>
  <c r="Q213" i="1"/>
  <c r="O178" i="1"/>
  <c r="L219" i="1"/>
  <c r="J180" i="1"/>
  <c r="J209" i="1" s="1"/>
  <c r="B172" i="1"/>
  <c r="D200" i="1"/>
  <c r="L176" i="1"/>
  <c r="U203" i="1"/>
  <c r="C121" i="1"/>
  <c r="K212" i="1"/>
  <c r="Q181" i="1"/>
  <c r="W231" i="1"/>
  <c r="T190" i="1"/>
  <c r="O132" i="1"/>
  <c r="E211" i="1"/>
  <c r="K127" i="1"/>
  <c r="D187" i="1"/>
  <c r="H205" i="1"/>
  <c r="U218" i="1"/>
  <c r="M212" i="1"/>
  <c r="H131" i="1"/>
  <c r="O190" i="1"/>
  <c r="Q189" i="1"/>
  <c r="Q185" i="1" s="1"/>
  <c r="J212" i="1"/>
  <c r="H219" i="1"/>
  <c r="M187" i="1"/>
  <c r="E212" i="1"/>
  <c r="C219" i="1"/>
  <c r="C205" i="1"/>
  <c r="K189" i="1"/>
  <c r="K185" i="1" s="1"/>
  <c r="N197" i="1"/>
  <c r="N239" i="1" s="1"/>
  <c r="L211" i="1"/>
  <c r="C185" i="1"/>
  <c r="O186" i="1"/>
  <c r="D189" i="1"/>
  <c r="S219" i="1"/>
  <c r="D185" i="1"/>
  <c r="V231" i="1"/>
  <c r="V133" i="1"/>
  <c r="W223" i="1"/>
  <c r="I173" i="1"/>
  <c r="J208" i="1"/>
  <c r="R131" i="1"/>
  <c r="S133" i="1"/>
  <c r="L194" i="1"/>
  <c r="U191" i="1"/>
  <c r="O212" i="1"/>
  <c r="I172" i="1"/>
  <c r="D223" i="1"/>
  <c r="J179" i="1"/>
  <c r="N121" i="1"/>
  <c r="K200" i="1"/>
  <c r="M133" i="1"/>
  <c r="I190" i="1"/>
  <c r="W172" i="1"/>
  <c r="G181" i="1"/>
  <c r="H189" i="1"/>
  <c r="H185" i="1" s="1"/>
  <c r="Q127" i="1"/>
  <c r="C189" i="1"/>
  <c r="V208" i="1"/>
  <c r="V172" i="1"/>
  <c r="Q186" i="1"/>
  <c r="B178" i="1"/>
  <c r="E222" i="1"/>
  <c r="Q180" i="1"/>
  <c r="Q209" i="1" s="1"/>
  <c r="O171" i="1"/>
  <c r="K171" i="1"/>
  <c r="E131" i="1"/>
  <c r="N131" i="1"/>
  <c r="E172" i="1"/>
  <c r="H197" i="1"/>
  <c r="H239" i="1" s="1"/>
  <c r="R173" i="1"/>
  <c r="K179" i="1"/>
  <c r="O172" i="1"/>
  <c r="Q179" i="1"/>
  <c r="J133" i="1"/>
  <c r="B191" i="1"/>
  <c r="I231" i="1"/>
  <c r="P186" i="1"/>
  <c r="H229" i="1"/>
  <c r="I194" i="1"/>
  <c r="G121" i="1"/>
  <c r="U222" i="1"/>
  <c r="E133" i="1"/>
  <c r="B171" i="1"/>
  <c r="M176" i="1"/>
  <c r="P229" i="1"/>
  <c r="F194" i="1"/>
  <c r="O196" i="1"/>
  <c r="O238" i="1" s="1"/>
  <c r="S196" i="1"/>
  <c r="S238" i="1" s="1"/>
  <c r="O223" i="1"/>
  <c r="N128" i="1"/>
  <c r="BH173" i="1"/>
  <c r="BH213" i="1"/>
  <c r="BI213" i="1" s="1"/>
  <c r="W176" i="1"/>
  <c r="S186" i="1"/>
  <c r="H203" i="1"/>
  <c r="I191" i="1"/>
  <c r="N212" i="1"/>
  <c r="F196" i="1"/>
  <c r="F238" i="1" s="1"/>
  <c r="L191" i="1"/>
  <c r="D127" i="1"/>
  <c r="C190" i="1"/>
  <c r="I213" i="1"/>
  <c r="U197" i="1"/>
  <c r="U239" i="1" s="1"/>
  <c r="J219" i="1"/>
  <c r="L213" i="1"/>
  <c r="G190" i="1"/>
  <c r="G191" i="1"/>
  <c r="E181" i="1"/>
  <c r="Q194" i="1"/>
  <c r="W179" i="1"/>
  <c r="H176" i="1"/>
  <c r="M128" i="1"/>
  <c r="L200" i="1"/>
  <c r="M131" i="1"/>
  <c r="Q196" i="1"/>
  <c r="Q238" i="1" s="1"/>
  <c r="D212" i="1"/>
  <c r="S223" i="1"/>
  <c r="C127" i="1"/>
  <c r="B131" i="1"/>
  <c r="R194" i="1"/>
  <c r="C180" i="1"/>
  <c r="C209" i="1" s="1"/>
  <c r="O133" i="1"/>
  <c r="I196" i="1"/>
  <c r="I238" i="1" s="1"/>
  <c r="R132" i="1"/>
  <c r="R222" i="1"/>
  <c r="T191" i="1"/>
  <c r="W121" i="1"/>
  <c r="J172" i="1"/>
  <c r="T178" i="1"/>
  <c r="V230" i="1"/>
  <c r="D171" i="1"/>
  <c r="N223" i="1"/>
  <c r="F179" i="1"/>
  <c r="E180" i="1"/>
  <c r="E209" i="1" s="1"/>
  <c r="I218" i="1"/>
  <c r="J176" i="1"/>
  <c r="Q121" i="1"/>
  <c r="Q200" i="1"/>
  <c r="P180" i="1"/>
  <c r="P209" i="1" s="1"/>
  <c r="Q131" i="1"/>
  <c r="L196" i="1"/>
  <c r="L238" i="1" s="1"/>
  <c r="S191" i="1"/>
  <c r="V211" i="1"/>
  <c r="I219" i="1"/>
  <c r="F203" i="1"/>
  <c r="R197" i="1"/>
  <c r="R239" i="1" s="1"/>
  <c r="Q219" i="1"/>
  <c r="V186" i="1"/>
  <c r="I181" i="1"/>
  <c r="F132" i="1"/>
  <c r="W218" i="1"/>
  <c r="G187" i="1"/>
  <c r="S197" i="1"/>
  <c r="S239" i="1" s="1"/>
  <c r="S187" i="1"/>
  <c r="D121" i="1"/>
  <c r="K229" i="1"/>
  <c r="M213" i="1"/>
  <c r="N179" i="1"/>
  <c r="Q191" i="1"/>
  <c r="U131" i="1"/>
  <c r="G132" i="1"/>
  <c r="BH180" i="1"/>
  <c r="BI180" i="1" s="1"/>
  <c r="BV171" i="1"/>
  <c r="BW171" i="1" s="1"/>
  <c r="B186" i="1"/>
  <c r="K219" i="1"/>
  <c r="W229" i="1"/>
  <c r="L133" i="1"/>
  <c r="F213" i="1"/>
  <c r="T133" i="1"/>
  <c r="F219" i="1"/>
  <c r="S222" i="1"/>
  <c r="Q190" i="1"/>
  <c r="J171" i="1"/>
  <c r="W189" i="1"/>
  <c r="W185" i="1" s="1"/>
  <c r="U133" i="1"/>
  <c r="S231" i="1"/>
  <c r="G205" i="1"/>
  <c r="R121" i="1"/>
  <c r="J211" i="1"/>
  <c r="G178" i="1"/>
  <c r="N187" i="1"/>
  <c r="V219" i="1"/>
  <c r="R171" i="1"/>
  <c r="T127" i="1"/>
  <c r="D118" i="1"/>
  <c r="E208" i="1"/>
  <c r="M230" i="1"/>
  <c r="S180" i="1"/>
  <c r="S209" i="1" s="1"/>
  <c r="S131" i="1"/>
  <c r="R176" i="1"/>
  <c r="D133" i="1"/>
  <c r="U212" i="1"/>
  <c r="K211" i="1"/>
  <c r="W230" i="1"/>
  <c r="B176" i="1"/>
  <c r="R190" i="1"/>
  <c r="F127" i="1"/>
  <c r="G180" i="1"/>
  <c r="G209" i="1" s="1"/>
  <c r="K121" i="1"/>
  <c r="U121" i="1"/>
  <c r="V181" i="1"/>
  <c r="Q229" i="1"/>
  <c r="C118" i="1"/>
  <c r="P230" i="1"/>
  <c r="L128" i="1"/>
  <c r="T181" i="1"/>
  <c r="R127" i="1"/>
  <c r="P197" i="1"/>
  <c r="P239" i="1" s="1"/>
  <c r="E210" i="1"/>
  <c r="V197" i="1"/>
  <c r="V239" i="1" s="1"/>
  <c r="P222" i="1"/>
  <c r="C211" i="1"/>
  <c r="P191" i="1"/>
  <c r="U173" i="1"/>
  <c r="M219" i="1"/>
  <c r="K210" i="1"/>
  <c r="B229" i="1"/>
  <c r="R229" i="1"/>
  <c r="J200" i="1"/>
  <c r="E205" i="1"/>
  <c r="R213" i="1"/>
  <c r="J231" i="1"/>
  <c r="F197" i="1"/>
  <c r="F239" i="1" s="1"/>
  <c r="J189" i="1"/>
  <c r="J185" i="1" s="1"/>
  <c r="D186" i="1"/>
  <c r="R191" i="1"/>
  <c r="O203" i="1"/>
  <c r="F206" i="1"/>
  <c r="D218" i="1"/>
  <c r="O213" i="1"/>
  <c r="G213" i="1"/>
  <c r="T222" i="1"/>
  <c r="P173" i="1"/>
  <c r="J128" i="1"/>
  <c r="BU56" i="1"/>
  <c r="BC77" i="1"/>
  <c r="AU73" i="1"/>
  <c r="BF99" i="1"/>
  <c r="AS99" i="1"/>
  <c r="BI56" i="1"/>
  <c r="BI79" i="1"/>
  <c r="BV194" i="1"/>
  <c r="BV205" i="1"/>
  <c r="BW205" i="1" s="1"/>
  <c r="BV196" i="1"/>
  <c r="BV213" i="1"/>
  <c r="BW213" i="1" s="1"/>
  <c r="BH218" i="1"/>
  <c r="BH181" i="1"/>
  <c r="BI181" i="1" s="1"/>
  <c r="C132" i="1"/>
  <c r="J187" i="1"/>
  <c r="G231" i="1"/>
  <c r="M208" i="1"/>
  <c r="O210" i="1"/>
  <c r="T121" i="1"/>
  <c r="S127" i="1"/>
  <c r="L186" i="1"/>
  <c r="F205" i="1"/>
  <c r="B223" i="1"/>
  <c r="M222" i="1"/>
  <c r="O189" i="1"/>
  <c r="O185" i="1" s="1"/>
  <c r="L218" i="1"/>
  <c r="B197" i="1"/>
  <c r="B239" i="1" s="1"/>
  <c r="W210" i="1"/>
  <c r="F186" i="1"/>
  <c r="L223" i="1"/>
  <c r="E132" i="1"/>
  <c r="P218" i="1"/>
  <c r="P220" i="1" s="1"/>
  <c r="Q268" i="1" s="1"/>
  <c r="U186" i="1"/>
  <c r="D190" i="1"/>
  <c r="L127" i="1"/>
  <c r="F190" i="1"/>
  <c r="L171" i="1"/>
  <c r="U196" i="1"/>
  <c r="U238" i="1" s="1"/>
  <c r="G206" i="1"/>
  <c r="E179" i="1"/>
  <c r="S132" i="1"/>
  <c r="P131" i="1"/>
  <c r="Q197" i="1"/>
  <c r="C210" i="1"/>
  <c r="M196" i="1"/>
  <c r="M238" i="1" s="1"/>
  <c r="U128" i="1"/>
  <c r="V178" i="1"/>
  <c r="R219" i="1"/>
  <c r="K128" i="1"/>
  <c r="K206" i="1"/>
  <c r="J205" i="1"/>
  <c r="L208" i="1"/>
  <c r="V194" i="1"/>
  <c r="V128" i="1"/>
  <c r="M132" i="1"/>
  <c r="O194" i="1"/>
  <c r="O191" i="1"/>
  <c r="C223" i="1"/>
  <c r="F176" i="1"/>
  <c r="N222" i="1"/>
  <c r="W222" i="1"/>
  <c r="N196" i="1"/>
  <c r="N238" i="1" s="1"/>
  <c r="H191" i="1"/>
  <c r="F131" i="1"/>
  <c r="I127" i="1"/>
  <c r="K218" i="1"/>
  <c r="I132" i="1"/>
  <c r="T172" i="1"/>
  <c r="J132" i="1"/>
  <c r="O229" i="1"/>
  <c r="P223" i="1"/>
  <c r="J218" i="1"/>
  <c r="N181" i="1"/>
  <c r="L131" i="1"/>
  <c r="E189" i="1"/>
  <c r="E185" i="1" s="1"/>
  <c r="B173" i="1"/>
  <c r="V222" i="1"/>
  <c r="F211" i="1"/>
  <c r="T176" i="1"/>
  <c r="W178" i="1"/>
  <c r="O206" i="1"/>
  <c r="Q211" i="1"/>
  <c r="G189" i="1"/>
  <c r="G185" i="1" s="1"/>
  <c r="T194" i="1"/>
  <c r="R203" i="1"/>
  <c r="D173" i="1"/>
  <c r="N211" i="1"/>
  <c r="I210" i="1"/>
  <c r="O200" i="1"/>
  <c r="H171" i="1"/>
  <c r="I171" i="1"/>
  <c r="N132" i="1"/>
  <c r="G128" i="1"/>
  <c r="P133" i="1"/>
  <c r="R211" i="1"/>
  <c r="N203" i="1"/>
  <c r="W131" i="1"/>
  <c r="U229" i="1"/>
  <c r="C231" i="1"/>
  <c r="W194" i="1"/>
  <c r="X261" i="1" s="1"/>
  <c r="T208" i="1"/>
  <c r="F173" i="1"/>
  <c r="K208" i="1"/>
  <c r="U172" i="1"/>
  <c r="I208" i="1"/>
  <c r="BR60" i="1"/>
  <c r="AT77" i="1"/>
  <c r="AT100" i="1"/>
  <c r="BB93" i="1"/>
  <c r="AV56" i="1"/>
  <c r="BK63" i="1"/>
  <c r="AP90" i="1"/>
  <c r="BG73" i="1"/>
  <c r="BQ73" i="1"/>
  <c r="BE99" i="1"/>
  <c r="AZ99" i="1"/>
  <c r="BN68" i="1"/>
  <c r="BS63" i="1"/>
  <c r="BK90" i="1"/>
  <c r="AO69" i="1"/>
  <c r="BS90" i="1"/>
  <c r="BP90" i="1"/>
  <c r="BW93" i="1"/>
  <c r="BC101" i="1"/>
  <c r="BV90" i="1"/>
  <c r="BP73" i="1"/>
  <c r="BB69" i="1"/>
  <c r="BV61" i="1"/>
  <c r="AI77" i="1"/>
  <c r="BV176" i="1"/>
  <c r="BW176" i="1" s="1"/>
  <c r="BV189" i="1"/>
  <c r="BW189" i="1" s="1"/>
  <c r="BV191" i="1"/>
  <c r="BW191" i="1" s="1"/>
  <c r="BV180" i="1"/>
  <c r="BW180" i="1" s="1"/>
  <c r="BV210" i="1"/>
  <c r="BW210" i="1" s="1"/>
  <c r="BV200" i="1"/>
  <c r="BW200" i="1" s="1"/>
  <c r="U230" i="1"/>
  <c r="T213" i="1"/>
  <c r="U223" i="1"/>
  <c r="M211" i="1"/>
  <c r="R230" i="1"/>
  <c r="H200" i="1"/>
  <c r="C128" i="1"/>
  <c r="H231" i="1"/>
  <c r="L187" i="1"/>
  <c r="G211" i="1"/>
  <c r="V187" i="1"/>
  <c r="B121" i="1"/>
  <c r="O222" i="1"/>
  <c r="C173" i="1"/>
  <c r="C203" i="1"/>
  <c r="M218" i="1"/>
  <c r="I229" i="1"/>
  <c r="C187" i="1"/>
  <c r="B190" i="1"/>
  <c r="N205" i="1"/>
  <c r="P127" i="1"/>
  <c r="K203" i="1"/>
  <c r="K222" i="1"/>
  <c r="P187" i="1"/>
  <c r="Q178" i="1"/>
  <c r="R196" i="1"/>
  <c r="R238" i="1" s="1"/>
  <c r="D211" i="1"/>
  <c r="N176" i="1"/>
  <c r="K196" i="1"/>
  <c r="K238" i="1" s="1"/>
  <c r="T212" i="1"/>
  <c r="G203" i="1"/>
  <c r="U208" i="1"/>
  <c r="H186" i="1"/>
  <c r="L222" i="1"/>
  <c r="V229" i="1"/>
  <c r="P179" i="1"/>
  <c r="Q218" i="1"/>
  <c r="I121" i="1"/>
  <c r="C222" i="1"/>
  <c r="Q133" i="1"/>
  <c r="S229" i="1"/>
  <c r="J178" i="1"/>
  <c r="U213" i="1"/>
  <c r="M179" i="1"/>
  <c r="U219" i="1"/>
  <c r="O127" i="1"/>
  <c r="D178" i="1"/>
  <c r="E223" i="1"/>
  <c r="D222" i="1"/>
  <c r="K190" i="1"/>
  <c r="B203" i="1"/>
  <c r="W211" i="1"/>
  <c r="F128" i="1"/>
  <c r="C179" i="1"/>
  <c r="S213" i="1"/>
  <c r="H208" i="1"/>
  <c r="U180" i="1"/>
  <c r="U209" i="1" s="1"/>
  <c r="L205" i="1"/>
  <c r="H179" i="1"/>
  <c r="L180" i="1"/>
  <c r="L209" i="1" s="1"/>
  <c r="B212" i="1"/>
  <c r="H190" i="1"/>
  <c r="G218" i="1"/>
  <c r="K132" i="1"/>
  <c r="M190" i="1"/>
  <c r="S203" i="1"/>
  <c r="H187" i="1"/>
  <c r="F133" i="1"/>
  <c r="H211" i="1"/>
  <c r="G173" i="1"/>
  <c r="P128" i="1"/>
  <c r="T210" i="1"/>
  <c r="G223" i="1"/>
  <c r="AN75" i="1"/>
  <c r="AO89" i="1"/>
  <c r="AV60" i="1"/>
  <c r="BM105" i="1"/>
  <c r="AY69" i="1"/>
  <c r="AN73" i="1"/>
  <c r="BV223" i="1"/>
  <c r="BW223" i="1" s="1"/>
  <c r="BH179" i="1"/>
  <c r="BI179" i="1" s="1"/>
  <c r="BV181" i="1"/>
  <c r="BW181" i="1" s="1"/>
  <c r="BH208" i="1"/>
  <c r="D172" i="1"/>
  <c r="C172" i="1"/>
  <c r="W190" i="1"/>
  <c r="B133" i="1"/>
  <c r="B230" i="1"/>
  <c r="W208" i="1"/>
  <c r="J131" i="1"/>
  <c r="B200" i="1"/>
  <c r="R172" i="1"/>
  <c r="C131" i="1"/>
  <c r="D203" i="1"/>
  <c r="F229" i="1"/>
  <c r="B205" i="1"/>
  <c r="J229" i="1"/>
  <c r="V196" i="1"/>
  <c r="V238" i="1" s="1"/>
  <c r="P205" i="1"/>
  <c r="B218" i="1"/>
  <c r="I189" i="1"/>
  <c r="I185" i="1" s="1"/>
  <c r="R218" i="1"/>
  <c r="C197" i="1"/>
  <c r="C239" i="1" s="1"/>
  <c r="L132" i="1"/>
  <c r="G210" i="1"/>
  <c r="I187" i="1"/>
  <c r="M223" i="1"/>
  <c r="L203" i="1"/>
  <c r="H127" i="1"/>
  <c r="P171" i="1"/>
  <c r="R212" i="1"/>
  <c r="M203" i="1"/>
  <c r="J121" i="1"/>
  <c r="L210" i="1"/>
  <c r="H212" i="1"/>
  <c r="I131" i="1"/>
  <c r="U179" i="1"/>
  <c r="L197" i="1"/>
  <c r="L239" i="1" s="1"/>
  <c r="O205" i="1"/>
  <c r="K194" i="1"/>
  <c r="K178" i="1"/>
  <c r="E196" i="1"/>
  <c r="E238" i="1" s="1"/>
  <c r="N229" i="1"/>
  <c r="M171" i="1"/>
  <c r="O218" i="1"/>
  <c r="S208" i="1"/>
  <c r="O131" i="1"/>
  <c r="O208" i="1"/>
  <c r="N173" i="1"/>
  <c r="T179" i="1"/>
  <c r="Q172" i="1"/>
  <c r="P194" i="1"/>
  <c r="I223" i="1"/>
  <c r="V173" i="1"/>
  <c r="E186" i="1"/>
  <c r="H194" i="1"/>
  <c r="T196" i="1"/>
  <c r="T238" i="1" s="1"/>
  <c r="N218" i="1"/>
  <c r="U187" i="1"/>
  <c r="E121" i="1"/>
  <c r="M181" i="1"/>
  <c r="P121" i="1"/>
  <c r="Q210" i="1"/>
  <c r="M229" i="1"/>
  <c r="Q171" i="1"/>
  <c r="E203" i="1"/>
  <c r="R180" i="1"/>
  <c r="R209" i="1" s="1"/>
  <c r="F218" i="1"/>
  <c r="V212" i="1"/>
  <c r="P176" i="1"/>
  <c r="M180" i="1"/>
  <c r="M209" i="1" s="1"/>
  <c r="U211" i="1"/>
  <c r="BC99" i="1"/>
  <c r="BD75" i="1"/>
  <c r="BF90" i="1"/>
  <c r="AP61" i="1"/>
  <c r="BG99" i="1"/>
  <c r="AN86" i="1"/>
  <c r="AY61" i="1"/>
  <c r="AU93" i="1"/>
  <c r="BC86" i="1"/>
  <c r="BC253" i="1" s="1"/>
  <c r="AU89" i="1"/>
  <c r="BA77" i="1"/>
  <c r="BO61" i="1"/>
  <c r="AN99" i="1"/>
  <c r="BV212" i="1"/>
  <c r="BW212" i="1" s="1"/>
  <c r="BV128" i="1"/>
  <c r="BH197" i="1"/>
  <c r="BH203" i="1"/>
  <c r="BI203" i="1" s="1"/>
  <c r="BH176" i="1"/>
  <c r="BI176" i="1" s="1"/>
  <c r="K223" i="1"/>
  <c r="E191" i="1"/>
  <c r="Q212" i="1"/>
  <c r="G196" i="1"/>
  <c r="G238" i="1" s="1"/>
  <c r="T132" i="1"/>
  <c r="F200" i="1"/>
  <c r="G176" i="1"/>
  <c r="I176" i="1"/>
  <c r="K172" i="1"/>
  <c r="O121" i="1"/>
  <c r="M194" i="1"/>
  <c r="K131" i="1"/>
  <c r="T189" i="1"/>
  <c r="T185" i="1" s="1"/>
  <c r="E229" i="1"/>
  <c r="G133" i="1"/>
  <c r="R210" i="1"/>
  <c r="T231" i="1"/>
  <c r="M172" i="1"/>
  <c r="N127" i="1"/>
  <c r="N231" i="1"/>
  <c r="D206" i="1"/>
  <c r="B208" i="1"/>
  <c r="U127" i="1"/>
  <c r="U171" i="1"/>
  <c r="T230" i="1"/>
  <c r="B189" i="1"/>
  <c r="V213" i="1"/>
  <c r="W191" i="1"/>
  <c r="B132" i="1"/>
  <c r="Q222" i="1"/>
  <c r="F230" i="1"/>
  <c r="N206" i="1"/>
  <c r="M205" i="1"/>
  <c r="G212" i="1"/>
  <c r="I133" i="1"/>
  <c r="H206" i="1"/>
  <c r="B187" i="1"/>
  <c r="U189" i="1"/>
  <c r="U185" i="1" s="1"/>
  <c r="O219" i="1"/>
  <c r="B196" i="1"/>
  <c r="B238" i="1" s="1"/>
  <c r="N172" i="1"/>
  <c r="K173" i="1"/>
  <c r="U210" i="1"/>
  <c r="P210" i="1"/>
  <c r="N194" i="1"/>
  <c r="T171" i="1"/>
  <c r="H210" i="1"/>
  <c r="W187" i="1"/>
  <c r="G219" i="1"/>
  <c r="L212" i="1"/>
  <c r="M231" i="1"/>
  <c r="B179" i="1"/>
  <c r="G179" i="1"/>
  <c r="I206" i="1"/>
  <c r="E219" i="1"/>
  <c r="E220" i="1" s="1"/>
  <c r="F268" i="1" s="1"/>
  <c r="D196" i="1"/>
  <c r="D238" i="1" s="1"/>
  <c r="K180" i="1"/>
  <c r="K209" i="1" s="1"/>
  <c r="S128" i="1"/>
  <c r="E178" i="1"/>
  <c r="K186" i="1"/>
  <c r="C213" i="1"/>
  <c r="W197" i="1"/>
  <c r="O230" i="1"/>
  <c r="O128" i="1"/>
  <c r="F171" i="1"/>
  <c r="J181" i="1"/>
  <c r="AX194" i="1"/>
  <c r="AY194" i="1" s="1"/>
  <c r="AZ208" i="1"/>
  <c r="BR180" i="1"/>
  <c r="BS180" i="1" s="1"/>
  <c r="AZ209" i="1"/>
  <c r="BA209" i="1" s="1"/>
  <c r="BT185" i="1"/>
  <c r="BP211" i="1"/>
  <c r="BQ211" i="1" s="1"/>
  <c r="BF179" i="1"/>
  <c r="BG179" i="1" s="1"/>
  <c r="AP200" i="1"/>
  <c r="AQ200" i="1" s="1"/>
  <c r="BR218" i="1"/>
  <c r="BF128" i="1"/>
  <c r="AZ214" i="1"/>
  <c r="BA214" i="1" s="1"/>
  <c r="BD189" i="1"/>
  <c r="BE189" i="1" s="1"/>
  <c r="AZ171" i="1"/>
  <c r="BA171" i="1" s="1"/>
  <c r="BF205" i="1"/>
  <c r="BG205" i="1" s="1"/>
  <c r="BT210" i="1"/>
  <c r="BU210" i="1" s="1"/>
  <c r="BN173" i="1"/>
  <c r="BN180" i="1"/>
  <c r="BO180" i="1" s="1"/>
  <c r="AP179" i="1"/>
  <c r="AQ179" i="1" s="1"/>
  <c r="AT185" i="1"/>
  <c r="AZ185" i="1"/>
  <c r="BF209" i="1"/>
  <c r="BG209" i="1" s="1"/>
  <c r="BR181" i="1"/>
  <c r="BS181" i="1" s="1"/>
  <c r="BD205" i="1"/>
  <c r="BE205" i="1" s="1"/>
  <c r="AP203" i="1"/>
  <c r="AQ203" i="1" s="1"/>
  <c r="AV189" i="1"/>
  <c r="AW189" i="1" s="1"/>
  <c r="BB189" i="1"/>
  <c r="BC189" i="1" s="1"/>
  <c r="AN171" i="1"/>
  <c r="AR223" i="1"/>
  <c r="AS223" i="1" s="1"/>
  <c r="AT210" i="1"/>
  <c r="AU210" i="1" s="1"/>
  <c r="BA127" i="1"/>
  <c r="BN176" i="1"/>
  <c r="BO176" i="1" s="1"/>
  <c r="BP181" i="1"/>
  <c r="BQ181" i="1" s="1"/>
  <c r="BF178" i="1"/>
  <c r="BG178" i="1" s="1"/>
  <c r="BF222" i="1"/>
  <c r="BG222" i="1" s="1"/>
  <c r="AZ219" i="1"/>
  <c r="BP180" i="1"/>
  <c r="BQ180" i="1" s="1"/>
  <c r="BD214" i="1"/>
  <c r="BE214" i="1" s="1"/>
  <c r="BG127" i="1"/>
  <c r="AZ206" i="1"/>
  <c r="BA206" i="1" s="1"/>
  <c r="BD219" i="1"/>
  <c r="BT171" i="1"/>
  <c r="BU171" i="1" s="1"/>
  <c r="BD212" i="1"/>
  <c r="BE212" i="1" s="1"/>
  <c r="BT214" i="1"/>
  <c r="BU214" i="1" s="1"/>
  <c r="BR186" i="1"/>
  <c r="BP196" i="1"/>
  <c r="AT218" i="1"/>
  <c r="BF223" i="1"/>
  <c r="BG223" i="1" s="1"/>
  <c r="AZ189" i="1"/>
  <c r="BA189" i="1" s="1"/>
  <c r="BT200" i="1"/>
  <c r="BU200" i="1" s="1"/>
  <c r="BP178" i="1"/>
  <c r="BQ178" i="1" s="1"/>
  <c r="BP206" i="1"/>
  <c r="BQ206" i="1" s="1"/>
  <c r="BT128" i="1"/>
  <c r="AR203" i="1"/>
  <c r="AS203" i="1" s="1"/>
  <c r="BF172" i="1"/>
  <c r="BG172" i="1" s="1"/>
  <c r="BB178" i="1"/>
  <c r="BF171" i="1"/>
  <c r="BG171" i="1" s="1"/>
  <c r="AZ205" i="1"/>
  <c r="BA205" i="1" s="1"/>
  <c r="BP185" i="1"/>
  <c r="AV196" i="1"/>
  <c r="BR212" i="1"/>
  <c r="BS212" i="1" s="1"/>
  <c r="BP173" i="1"/>
  <c r="BR127" i="1"/>
  <c r="BB128" i="1"/>
  <c r="BD128" i="1"/>
  <c r="AT179" i="1"/>
  <c r="AU179" i="1" s="1"/>
  <c r="BN179" i="1"/>
  <c r="BO179" i="1" s="1"/>
  <c r="BB200" i="1"/>
  <c r="BC200" i="1" s="1"/>
  <c r="BF186" i="1"/>
  <c r="AT176" i="1"/>
  <c r="AU176" i="1" s="1"/>
  <c r="BB186" i="1"/>
  <c r="AN176" i="1"/>
  <c r="AO176" i="1" s="1"/>
  <c r="BB180" i="1"/>
  <c r="BC180" i="1" s="1"/>
  <c r="AP194" i="1"/>
  <c r="AV194" i="1"/>
  <c r="AV213" i="1"/>
  <c r="AW213" i="1" s="1"/>
  <c r="AN172" i="1"/>
  <c r="AO172" i="1" s="1"/>
  <c r="AN128" i="1"/>
  <c r="BE128" i="1"/>
  <c r="BB173" i="1"/>
  <c r="AZ197" i="1"/>
  <c r="BT196" i="1"/>
  <c r="AP173" i="1"/>
  <c r="BR210" i="1"/>
  <c r="BS210" i="1" s="1"/>
  <c r="AT187" i="1"/>
  <c r="BN200" i="1"/>
  <c r="BO200" i="1" s="1"/>
  <c r="BN186" i="1"/>
  <c r="AY128" i="1"/>
  <c r="BB219" i="1"/>
  <c r="BD185" i="1"/>
  <c r="BT208" i="1"/>
  <c r="BA128" i="1"/>
  <c r="BR200" i="1"/>
  <c r="BS200" i="1" s="1"/>
  <c r="BB181" i="1"/>
  <c r="BC181" i="1" s="1"/>
  <c r="BP197" i="1"/>
  <c r="AT196" i="1"/>
  <c r="BC127" i="1"/>
  <c r="BD210" i="1"/>
  <c r="BE210" i="1" s="1"/>
  <c r="BR197" i="1"/>
  <c r="BT218" i="1"/>
  <c r="AV212" i="1"/>
  <c r="AW212" i="1" s="1"/>
  <c r="BN206" i="1"/>
  <c r="BO206" i="1" s="1"/>
  <c r="AZ196" i="1"/>
  <c r="AP178" i="1"/>
  <c r="AQ178" i="1" s="1"/>
  <c r="BP171" i="1"/>
  <c r="BQ171" i="1" s="1"/>
  <c r="BD180" i="1"/>
  <c r="BE180" i="1" s="1"/>
  <c r="BP186" i="1"/>
  <c r="AP213" i="1"/>
  <c r="AQ213" i="1" s="1"/>
  <c r="BD223" i="1"/>
  <c r="BE223" i="1" s="1"/>
  <c r="AV218" i="1"/>
  <c r="AV171" i="1"/>
  <c r="AW171" i="1" s="1"/>
  <c r="AR173" i="1"/>
  <c r="AR206" i="1"/>
  <c r="AS206" i="1" s="1"/>
  <c r="AZ194" i="1"/>
  <c r="BA194" i="1" s="1"/>
  <c r="AP222" i="1"/>
  <c r="AQ222" i="1" s="1"/>
  <c r="AP206" i="1"/>
  <c r="AN191" i="1"/>
  <c r="AO191" i="1" s="1"/>
  <c r="AV179" i="1"/>
  <c r="AW179" i="1" s="1"/>
  <c r="AV180" i="1"/>
  <c r="AW180" i="1" s="1"/>
  <c r="AR209" i="1"/>
  <c r="AS209" i="1" s="1"/>
  <c r="AV187" i="1"/>
  <c r="AR172" i="1"/>
  <c r="AS172" i="1" s="1"/>
  <c r="AR214" i="1"/>
  <c r="AS214" i="1" s="1"/>
  <c r="AN213" i="1"/>
  <c r="AO213" i="1" s="1"/>
  <c r="AR178" i="1"/>
  <c r="AN219" i="1"/>
  <c r="AV223" i="1"/>
  <c r="AW223" i="1" s="1"/>
  <c r="AR208" i="1"/>
  <c r="AN180" i="1"/>
  <c r="AO180" i="1" s="1"/>
  <c r="AR176" i="1"/>
  <c r="AS176" i="1" s="1"/>
  <c r="AR200" i="1"/>
  <c r="AS200" i="1" s="1"/>
  <c r="BB185" i="1"/>
  <c r="AV127" i="1"/>
  <c r="AR219" i="1"/>
  <c r="AV208" i="1"/>
  <c r="AT212" i="1"/>
  <c r="AU212" i="1" s="1"/>
  <c r="AT208" i="1"/>
  <c r="AR127" i="1"/>
  <c r="BO128" i="1"/>
  <c r="BT194" i="1"/>
  <c r="AP187" i="1"/>
  <c r="BF213" i="1"/>
  <c r="BG213" i="1" s="1"/>
  <c r="BN127" i="1"/>
  <c r="AV219" i="1"/>
  <c r="AR196" i="1"/>
  <c r="BP212" i="1"/>
  <c r="BQ212" i="1" s="1"/>
  <c r="AV210" i="1"/>
  <c r="AW210" i="1" s="1"/>
  <c r="BT181" i="1"/>
  <c r="BU181" i="1" s="1"/>
  <c r="AR205" i="1"/>
  <c r="AS205" i="1" s="1"/>
  <c r="BB197" i="1"/>
  <c r="AT172" i="1"/>
  <c r="AU172" i="1" s="1"/>
  <c r="BO127" i="1"/>
  <c r="BB194" i="1"/>
  <c r="BC194" i="1" s="1"/>
  <c r="BD171" i="1"/>
  <c r="BR189" i="1"/>
  <c r="BS189" i="1" s="1"/>
  <c r="BB208" i="1"/>
  <c r="BF219" i="1"/>
  <c r="BP208" i="1"/>
  <c r="BN218" i="1"/>
  <c r="AZ180" i="1"/>
  <c r="BA180" i="1" s="1"/>
  <c r="BN196" i="1"/>
  <c r="BR172" i="1"/>
  <c r="BS172" i="1" s="1"/>
  <c r="BF197" i="1"/>
  <c r="BQ128" i="1"/>
  <c r="AT189" i="1"/>
  <c r="AU189" i="1" s="1"/>
  <c r="AT180" i="1"/>
  <c r="AU180" i="1" s="1"/>
  <c r="AZ176" i="1"/>
  <c r="BA176" i="1" s="1"/>
  <c r="BD222" i="1"/>
  <c r="BE222" i="1" s="1"/>
  <c r="BD176" i="1"/>
  <c r="BE176" i="1" s="1"/>
  <c r="BT173" i="1"/>
  <c r="BB209" i="1"/>
  <c r="BC209" i="1" s="1"/>
  <c r="BF185" i="1"/>
  <c r="AZ187" i="1"/>
  <c r="AZ211" i="1"/>
  <c r="BA211" i="1" s="1"/>
  <c r="BF208" i="1"/>
  <c r="BF189" i="1"/>
  <c r="BG189" i="1" s="1"/>
  <c r="BD213" i="1"/>
  <c r="BE213" i="1" s="1"/>
  <c r="BN213" i="1"/>
  <c r="BO213" i="1" s="1"/>
  <c r="AQ128" i="1"/>
  <c r="BR128" i="1"/>
  <c r="AZ181" i="1"/>
  <c r="BA181" i="1" s="1"/>
  <c r="BD200" i="1"/>
  <c r="BE200" i="1" s="1"/>
  <c r="BD178" i="1"/>
  <c r="BE178" i="1" s="1"/>
  <c r="BT189" i="1"/>
  <c r="BU189" i="1" s="1"/>
  <c r="BP128" i="1"/>
  <c r="AV209" i="1"/>
  <c r="AW209" i="1" s="1"/>
  <c r="BN128" i="1"/>
  <c r="BR223" i="1"/>
  <c r="BS223" i="1" s="1"/>
  <c r="AN223" i="1"/>
  <c r="AO223" i="1" s="1"/>
  <c r="AT213" i="1"/>
  <c r="AO127" i="1"/>
  <c r="BN187" i="1"/>
  <c r="BN222" i="1"/>
  <c r="BO222" i="1" s="1"/>
  <c r="BN178" i="1"/>
  <c r="BN197" i="1"/>
  <c r="BN209" i="1"/>
  <c r="BO209" i="1" s="1"/>
  <c r="AY127" i="1"/>
  <c r="BR206" i="1"/>
  <c r="BS206" i="1" s="1"/>
  <c r="BB212" i="1"/>
  <c r="BC212" i="1" s="1"/>
  <c r="BB210" i="1"/>
  <c r="BC210" i="1" s="1"/>
  <c r="AZ210" i="1"/>
  <c r="BA210" i="1" s="1"/>
  <c r="BF206" i="1"/>
  <c r="BG206" i="1" s="1"/>
  <c r="BD197" i="1"/>
  <c r="BT209" i="1"/>
  <c r="BU209" i="1" s="1"/>
  <c r="BT219" i="1"/>
  <c r="BP203" i="1"/>
  <c r="BQ203" i="1" s="1"/>
  <c r="BP210" i="1"/>
  <c r="BQ210" i="1" s="1"/>
  <c r="AP172" i="1"/>
  <c r="AQ172" i="1" s="1"/>
  <c r="AZ172" i="1"/>
  <c r="BA172" i="1" s="1"/>
  <c r="BN205" i="1"/>
  <c r="BO205" i="1" s="1"/>
  <c r="BR187" i="1"/>
  <c r="BR211" i="1"/>
  <c r="BS211" i="1" s="1"/>
  <c r="BB176" i="1"/>
  <c r="BC176" i="1" s="1"/>
  <c r="AZ186" i="1"/>
  <c r="AP212" i="1"/>
  <c r="AQ212" i="1" s="1"/>
  <c r="AW128" i="1"/>
  <c r="AS127" i="1"/>
  <c r="AT181" i="1"/>
  <c r="AU181" i="1" s="1"/>
  <c r="AT197" i="1"/>
  <c r="AT211" i="1"/>
  <c r="AU211" i="1" s="1"/>
  <c r="AT200" i="1"/>
  <c r="AU200" i="1" s="1"/>
  <c r="AT209" i="1"/>
  <c r="AU209" i="1" s="1"/>
  <c r="AT171" i="1"/>
  <c r="BB213" i="1"/>
  <c r="BC213" i="1" s="1"/>
  <c r="AZ222" i="1"/>
  <c r="BA222" i="1" s="1"/>
  <c r="AZ213" i="1"/>
  <c r="BA213" i="1" s="1"/>
  <c r="BF173" i="1"/>
  <c r="BD173" i="1"/>
  <c r="BD194" i="1"/>
  <c r="BE194" i="1" s="1"/>
  <c r="AP128" i="1"/>
  <c r="BG128" i="1"/>
  <c r="BF176" i="1"/>
  <c r="BG176" i="1" s="1"/>
  <c r="AZ223" i="1"/>
  <c r="BA223" i="1" s="1"/>
  <c r="BF194" i="1"/>
  <c r="BG194" i="1" s="1"/>
  <c r="BD206" i="1"/>
  <c r="BE206" i="1" s="1"/>
  <c r="BP176" i="1"/>
  <c r="BQ176" i="1" s="1"/>
  <c r="BK127" i="1"/>
  <c r="AP176" i="1"/>
  <c r="AQ176" i="1" s="1"/>
  <c r="AT203" i="1"/>
  <c r="AU203" i="1" s="1"/>
  <c r="AT173" i="1"/>
  <c r="BN208" i="1"/>
  <c r="BB187" i="1"/>
  <c r="BB206" i="1"/>
  <c r="BC206" i="1" s="1"/>
  <c r="AZ212" i="1"/>
  <c r="BA212" i="1" s="1"/>
  <c r="BP200" i="1"/>
  <c r="BQ200" i="1" s="1"/>
  <c r="AN200" i="1"/>
  <c r="AO200" i="1" s="1"/>
  <c r="BT197" i="1"/>
  <c r="BD208" i="1"/>
  <c r="BF180" i="1"/>
  <c r="BG180" i="1" s="1"/>
  <c r="BT213" i="1"/>
  <c r="BU213" i="1" s="1"/>
  <c r="AN218" i="1"/>
  <c r="AZ191" i="1"/>
  <c r="BA191" i="1" s="1"/>
  <c r="AP180" i="1"/>
  <c r="AQ180" i="1" s="1"/>
  <c r="AP196" i="1"/>
  <c r="AN214" i="1"/>
  <c r="AO214" i="1" s="1"/>
  <c r="BP179" i="1"/>
  <c r="BQ179" i="1" s="1"/>
  <c r="AV200" i="1"/>
  <c r="AW200" i="1" s="1"/>
  <c r="AR179" i="1"/>
  <c r="AS179" i="1" s="1"/>
  <c r="AR128" i="1"/>
  <c r="BT205" i="1"/>
  <c r="BU205" i="1" s="1"/>
  <c r="BP214" i="1"/>
  <c r="BQ214" i="1" s="1"/>
  <c r="AN222" i="1"/>
  <c r="AO222" i="1" s="1"/>
  <c r="AV128" i="1"/>
  <c r="AP181" i="1"/>
  <c r="AQ181" i="1" s="1"/>
  <c r="AV172" i="1"/>
  <c r="AW172" i="1" s="1"/>
  <c r="AV222" i="1"/>
  <c r="AW222" i="1" s="1"/>
  <c r="AR171" i="1"/>
  <c r="AV178" i="1"/>
  <c r="BD127" i="1"/>
  <c r="AP208" i="1"/>
  <c r="BP187" i="1"/>
  <c r="AN205" i="1"/>
  <c r="AO205" i="1" s="1"/>
  <c r="AR191" i="1"/>
  <c r="AS191" i="1" s="1"/>
  <c r="BI128" i="1"/>
  <c r="AR213" i="1"/>
  <c r="AS213" i="1" s="1"/>
  <c r="AP219" i="1"/>
  <c r="AN209" i="1"/>
  <c r="AO209" i="1" s="1"/>
  <c r="AV181" i="1"/>
  <c r="AW181" i="1" s="1"/>
  <c r="BP209" i="1"/>
  <c r="BQ209" i="1" s="1"/>
  <c r="AN210" i="1"/>
  <c r="AO210" i="1" s="1"/>
  <c r="AN189" i="1"/>
  <c r="AO189" i="1" s="1"/>
  <c r="AR181" i="1"/>
  <c r="AS181" i="1" s="1"/>
  <c r="AV214" i="1"/>
  <c r="AW214" i="1" s="1"/>
  <c r="BQ127" i="1"/>
  <c r="AR212" i="1"/>
  <c r="AS212" i="1" s="1"/>
  <c r="AP127" i="1"/>
  <c r="BR178" i="1"/>
  <c r="BS178" i="1" s="1"/>
  <c r="AV206" i="1"/>
  <c r="AW206" i="1" s="1"/>
  <c r="AN203" i="1"/>
  <c r="AO203" i="1" s="1"/>
  <c r="AN186" i="1"/>
  <c r="AR222" i="1"/>
  <c r="AS222" i="1" s="1"/>
  <c r="AV197" i="1"/>
  <c r="AN206" i="1"/>
  <c r="AR180" i="1"/>
  <c r="AS180" i="1" s="1"/>
  <c r="BB127" i="1"/>
  <c r="AZ200" i="1"/>
  <c r="BA200" i="1" s="1"/>
  <c r="BD218" i="1"/>
  <c r="BR209" i="1"/>
  <c r="BS209" i="1" s="1"/>
  <c r="BT186" i="1"/>
  <c r="BK128" i="1"/>
  <c r="BB179" i="1"/>
  <c r="BC179" i="1" s="1"/>
  <c r="BF196" i="1"/>
  <c r="BT179" i="1"/>
  <c r="BU179" i="1" s="1"/>
  <c r="BR194" i="1"/>
  <c r="BT178" i="1"/>
  <c r="AP211" i="1"/>
  <c r="AQ211" i="1" s="1"/>
  <c r="AT223" i="1"/>
  <c r="AU223" i="1" s="1"/>
  <c r="AT214" i="1"/>
  <c r="AU214" i="1" s="1"/>
  <c r="BC128" i="1"/>
  <c r="AZ178" i="1"/>
  <c r="BA178" i="1" s="1"/>
  <c r="BF214" i="1"/>
  <c r="BG214" i="1" s="1"/>
  <c r="BD196" i="1"/>
  <c r="AT128" i="1"/>
  <c r="BB196" i="1"/>
  <c r="BT211" i="1"/>
  <c r="BU211" i="1" s="1"/>
  <c r="BB205" i="1"/>
  <c r="BC205" i="1" s="1"/>
  <c r="AN194" i="1"/>
  <c r="BP213" i="1"/>
  <c r="BQ213" i="1" s="1"/>
  <c r="AN187" i="1"/>
  <c r="BT127" i="1"/>
  <c r="AP197" i="1"/>
  <c r="AV185" i="1"/>
  <c r="BD181" i="1"/>
  <c r="BE181" i="1" s="1"/>
  <c r="BB222" i="1"/>
  <c r="BC222" i="1" s="1"/>
  <c r="BU127" i="1"/>
  <c r="AZ128" i="1"/>
  <c r="BF200" i="1"/>
  <c r="BG200" i="1" s="1"/>
  <c r="BF181" i="1"/>
  <c r="BG181" i="1" s="1"/>
  <c r="BD187" i="1"/>
  <c r="BN194" i="1"/>
  <c r="BR214" i="1"/>
  <c r="BS214" i="1" s="1"/>
  <c r="BR173" i="1"/>
  <c r="BR179" i="1"/>
  <c r="BS179" i="1" s="1"/>
  <c r="BR171" i="1"/>
  <c r="BB223" i="1"/>
  <c r="BC223" i="1" s="1"/>
  <c r="AZ173" i="1"/>
  <c r="BF212" i="1"/>
  <c r="BG212" i="1" s="1"/>
  <c r="BD172" i="1"/>
  <c r="BE172" i="1" s="1"/>
  <c r="BT223" i="1"/>
  <c r="BU223" i="1" s="1"/>
  <c r="BP219" i="1"/>
  <c r="AP186" i="1"/>
  <c r="AV186" i="1"/>
  <c r="BR205" i="1"/>
  <c r="BS205" i="1" s="1"/>
  <c r="BN219" i="1"/>
  <c r="BN172" i="1"/>
  <c r="BO172" i="1" s="1"/>
  <c r="BN212" i="1"/>
  <c r="BO212" i="1" s="1"/>
  <c r="BR219" i="1"/>
  <c r="BR176" i="1"/>
  <c r="BS176" i="1" s="1"/>
  <c r="BB218" i="1"/>
  <c r="BF187" i="1"/>
  <c r="BT172" i="1"/>
  <c r="BU172" i="1" s="1"/>
  <c r="BP222" i="1"/>
  <c r="BQ222" i="1" s="1"/>
  <c r="BP205" i="1"/>
  <c r="BQ205" i="1" s="1"/>
  <c r="BM127" i="1"/>
  <c r="BN210" i="1"/>
  <c r="BO210" i="1" s="1"/>
  <c r="BN171" i="1"/>
  <c r="BO171" i="1" s="1"/>
  <c r="BR185" i="1"/>
  <c r="BR222" i="1"/>
  <c r="BS222" i="1" s="1"/>
  <c r="BR208" i="1"/>
  <c r="BB211" i="1"/>
  <c r="BC211" i="1" s="1"/>
  <c r="AZ218" i="1"/>
  <c r="BT187" i="1"/>
  <c r="AP210" i="1"/>
  <c r="AQ210" i="1" s="1"/>
  <c r="AT194" i="1"/>
  <c r="AU194" i="1" s="1"/>
  <c r="AT219" i="1"/>
  <c r="AT178" i="1"/>
  <c r="AU178" i="1" s="1"/>
  <c r="AT206" i="1"/>
  <c r="BN189" i="1"/>
  <c r="BO189" i="1" s="1"/>
  <c r="BB214" i="1"/>
  <c r="BC214" i="1" s="1"/>
  <c r="BU128" i="1"/>
  <c r="AZ179" i="1"/>
  <c r="BA179" i="1" s="1"/>
  <c r="BF211" i="1"/>
  <c r="BG211" i="1" s="1"/>
  <c r="BP172" i="1"/>
  <c r="BQ172" i="1" s="1"/>
  <c r="BF218" i="1"/>
  <c r="BF127" i="1"/>
  <c r="BD179" i="1"/>
  <c r="BE179" i="1" s="1"/>
  <c r="BT176" i="1"/>
  <c r="BU176" i="1" s="1"/>
  <c r="AP214" i="1"/>
  <c r="AQ214" i="1" s="1"/>
  <c r="AT222" i="1"/>
  <c r="AU222" i="1" s="1"/>
  <c r="AT205" i="1"/>
  <c r="AU205" i="1" s="1"/>
  <c r="BT180" i="1"/>
  <c r="BU180" i="1" s="1"/>
  <c r="AU128" i="1"/>
  <c r="BB172" i="1"/>
  <c r="BC172" i="1" s="1"/>
  <c r="AZ127" i="1"/>
  <c r="BT206" i="1"/>
  <c r="BU206" i="1" s="1"/>
  <c r="AP223" i="1"/>
  <c r="AQ223" i="1" s="1"/>
  <c r="BB171" i="1"/>
  <c r="AN197" i="1"/>
  <c r="BD209" i="1"/>
  <c r="BE209" i="1" s="1"/>
  <c r="BT222" i="1"/>
  <c r="BU222" i="1" s="1"/>
  <c r="BP189" i="1"/>
  <c r="BQ189" i="1" s="1"/>
  <c r="AP189" i="1"/>
  <c r="AQ189" i="1" s="1"/>
  <c r="AN178" i="1"/>
  <c r="BP223" i="1"/>
  <c r="BQ223" i="1" s="1"/>
  <c r="AP171" i="1"/>
  <c r="AQ171" i="1" s="1"/>
  <c r="AN173" i="1"/>
  <c r="AV176" i="1"/>
  <c r="AW176" i="1" s="1"/>
  <c r="AR189" i="1"/>
  <c r="AS189" i="1" s="1"/>
  <c r="AR194" i="1"/>
  <c r="AS194" i="1" s="1"/>
  <c r="AR187" i="1"/>
  <c r="AP218" i="1"/>
  <c r="AP205" i="1"/>
  <c r="AQ205" i="1" s="1"/>
  <c r="AN208" i="1"/>
  <c r="AV211" i="1"/>
  <c r="AW211" i="1" s="1"/>
  <c r="AP185" i="1"/>
  <c r="AR186" i="1"/>
  <c r="AR185" i="1"/>
  <c r="AR218" i="1"/>
  <c r="BD186" i="1"/>
  <c r="AN196" i="1"/>
  <c r="AV173" i="1"/>
  <c r="AR197" i="1"/>
  <c r="BT212" i="1"/>
  <c r="BU212" i="1" s="1"/>
  <c r="AN212" i="1"/>
  <c r="AO212" i="1" s="1"/>
  <c r="AR211" i="1"/>
  <c r="AS211" i="1" s="1"/>
  <c r="AP209" i="1"/>
  <c r="AQ209" i="1" s="1"/>
  <c r="AN181" i="1"/>
  <c r="AO181" i="1" s="1"/>
  <c r="AN211" i="1"/>
  <c r="AO211" i="1" s="1"/>
  <c r="AR210" i="1"/>
  <c r="AS210" i="1" s="1"/>
  <c r="AN185" i="1"/>
  <c r="AT186" i="1"/>
  <c r="AT127" i="1"/>
  <c r="AN127" i="1"/>
  <c r="AN179" i="1"/>
  <c r="AO179" i="1" s="1"/>
  <c r="AO128" i="1"/>
  <c r="AV205" i="1"/>
  <c r="AW205" i="1" s="1"/>
  <c r="AV191" i="1"/>
  <c r="AW191" i="1" s="1"/>
  <c r="AV203" i="1"/>
  <c r="AP191" i="1"/>
  <c r="AQ191" i="1" s="1"/>
  <c r="BF191" i="1"/>
  <c r="BG191" i="1" s="1"/>
  <c r="AT191" i="1"/>
  <c r="AU191" i="1" s="1"/>
  <c r="BP191" i="1"/>
  <c r="BQ191" i="1" s="1"/>
  <c r="BB191" i="1"/>
  <c r="BC191" i="1" s="1"/>
  <c r="BT203" i="1"/>
  <c r="BB203" i="1"/>
  <c r="BF203" i="1"/>
  <c r="BD203" i="1"/>
  <c r="AZ203" i="1"/>
  <c r="BR203" i="1"/>
  <c r="BN203" i="1"/>
  <c r="AT290" i="1"/>
  <c r="CQ188" i="1"/>
  <c r="DB131" i="1"/>
  <c r="CY119" i="1"/>
  <c r="CZ117" i="1"/>
  <c r="Q215" i="1" l="1"/>
  <c r="AX203" i="1"/>
  <c r="W215" i="1"/>
  <c r="AX196" i="1"/>
  <c r="AX172" i="1"/>
  <c r="AY172" i="1" s="1"/>
  <c r="AX210" i="1"/>
  <c r="AY210" i="1" s="1"/>
  <c r="AQ127" i="1"/>
  <c r="AX128" i="1"/>
  <c r="AX127" i="1"/>
  <c r="AX205" i="1"/>
  <c r="AY205" i="1" s="1"/>
  <c r="AX214" i="1"/>
  <c r="AY214" i="1" s="1"/>
  <c r="AX176" i="1"/>
  <c r="AY176" i="1" s="1"/>
  <c r="AX219" i="1"/>
  <c r="AX213" i="1"/>
  <c r="AY213" i="1" s="1"/>
  <c r="AX222" i="1"/>
  <c r="AY222" i="1" s="1"/>
  <c r="AX185" i="1"/>
  <c r="BS127" i="1"/>
  <c r="AX173" i="1"/>
  <c r="AX197" i="1"/>
  <c r="AX212" i="1"/>
  <c r="AX186" i="1"/>
  <c r="AX191" i="1"/>
  <c r="AY191" i="1" s="1"/>
  <c r="AX180" i="1"/>
  <c r="AY180" i="1" s="1"/>
  <c r="AX206" i="1"/>
  <c r="AY206" i="1" s="1"/>
  <c r="BS128" i="1"/>
  <c r="AX171" i="1"/>
  <c r="AX209" i="1"/>
  <c r="AY209" i="1" s="1"/>
  <c r="AX178" i="1"/>
  <c r="AX218" i="1"/>
  <c r="AX223" i="1"/>
  <c r="AY223" i="1" s="1"/>
  <c r="AX179" i="1"/>
  <c r="AY179" i="1" s="1"/>
  <c r="AX187" i="1"/>
  <c r="AX200" i="1"/>
  <c r="AY200" i="1" s="1"/>
  <c r="AX181" i="1"/>
  <c r="AY181" i="1" s="1"/>
  <c r="BH215" i="1"/>
  <c r="BP239" i="1"/>
  <c r="BQ239" i="1" s="1"/>
  <c r="AT238" i="1"/>
  <c r="AU238" i="1" s="1"/>
  <c r="AW57" i="1"/>
  <c r="AR215" i="1"/>
  <c r="P215" i="1"/>
  <c r="G215" i="1"/>
  <c r="AX215" i="1"/>
  <c r="BT215" i="1"/>
  <c r="BV215" i="1"/>
  <c r="AZ215" i="1"/>
  <c r="AV215" i="1"/>
  <c r="BB215" i="1"/>
  <c r="BF215" i="1"/>
  <c r="BD215" i="1"/>
  <c r="AP215" i="1"/>
  <c r="BR215" i="1"/>
  <c r="AN215" i="1"/>
  <c r="F242" i="1"/>
  <c r="F215" i="1"/>
  <c r="N242" i="1"/>
  <c r="N215" i="1"/>
  <c r="R242" i="1"/>
  <c r="R215" i="1"/>
  <c r="D242" i="1"/>
  <c r="D215" i="1"/>
  <c r="C242" i="1"/>
  <c r="C215" i="1"/>
  <c r="J242" i="1"/>
  <c r="J215" i="1"/>
  <c r="V242" i="1"/>
  <c r="V215" i="1"/>
  <c r="E242" i="1"/>
  <c r="E215" i="1"/>
  <c r="M242" i="1"/>
  <c r="M215" i="1"/>
  <c r="L242" i="1"/>
  <c r="L215" i="1"/>
  <c r="T242" i="1"/>
  <c r="T215" i="1"/>
  <c r="K242" i="1"/>
  <c r="K215" i="1"/>
  <c r="I242" i="1"/>
  <c r="I215" i="1"/>
  <c r="U242" i="1"/>
  <c r="U215" i="1"/>
  <c r="H242" i="1"/>
  <c r="H215" i="1"/>
  <c r="S242" i="1"/>
  <c r="S215" i="1"/>
  <c r="O242" i="1"/>
  <c r="O215" i="1"/>
  <c r="B242" i="1"/>
  <c r="B215" i="1"/>
  <c r="AT242" i="1"/>
  <c r="AU242" i="1" s="1"/>
  <c r="AT215" i="1"/>
  <c r="BP242" i="1"/>
  <c r="BQ242" i="1" s="1"/>
  <c r="BP215" i="1"/>
  <c r="BN215" i="1"/>
  <c r="AV311" i="1"/>
  <c r="J174" i="1"/>
  <c r="AZ239" i="1"/>
  <c r="BA239" i="1" s="1"/>
  <c r="J261" i="1"/>
  <c r="BW80" i="1"/>
  <c r="BW81" i="1" s="1"/>
  <c r="BW64" i="1"/>
  <c r="AZ238" i="1"/>
  <c r="BA238" i="1" s="1"/>
  <c r="I261" i="1"/>
  <c r="AT311" i="1"/>
  <c r="BP57" i="1"/>
  <c r="BP64" i="1" s="1"/>
  <c r="L261" i="1"/>
  <c r="O261" i="1"/>
  <c r="H174" i="1"/>
  <c r="H108" i="1" s="1"/>
  <c r="AR311" i="1"/>
  <c r="AV80" i="1"/>
  <c r="AQ312" i="1"/>
  <c r="D220" i="1"/>
  <c r="E268" i="1" s="1"/>
  <c r="R261" i="1"/>
  <c r="C119" i="1"/>
  <c r="C161" i="1" s="1"/>
  <c r="BP312" i="1"/>
  <c r="AO311" i="1"/>
  <c r="AN57" i="1"/>
  <c r="AN58" i="1" s="1"/>
  <c r="BM152" i="1"/>
  <c r="BM153" i="1" s="1"/>
  <c r="BM158" i="1" s="1"/>
  <c r="Q220" i="1"/>
  <c r="R268" i="1" s="1"/>
  <c r="AQ57" i="1"/>
  <c r="AQ64" i="1" s="1"/>
  <c r="AQ311" i="1"/>
  <c r="AW311" i="1"/>
  <c r="BP253" i="1"/>
  <c r="AZ311" i="1"/>
  <c r="BF311" i="1"/>
  <c r="D119" i="1"/>
  <c r="D161" i="1" s="1"/>
  <c r="D261" i="1"/>
  <c r="BG80" i="1"/>
  <c r="R232" i="1"/>
  <c r="BE57" i="1"/>
  <c r="BE64" i="1" s="1"/>
  <c r="AT57" i="1"/>
  <c r="AT64" i="1" s="1"/>
  <c r="BB80" i="1"/>
  <c r="M261" i="1"/>
  <c r="BN312" i="1"/>
  <c r="BN311" i="1"/>
  <c r="BN57" i="1"/>
  <c r="AQ253" i="1"/>
  <c r="E232" i="1"/>
  <c r="O207" i="1"/>
  <c r="O241" i="1" s="1"/>
  <c r="O240" i="1" s="1"/>
  <c r="Q188" i="1"/>
  <c r="Q87" i="1" s="1"/>
  <c r="V220" i="1"/>
  <c r="W268" i="1" s="1"/>
  <c r="BO80" i="1"/>
  <c r="AZ152" i="1"/>
  <c r="AZ153" i="1" s="1"/>
  <c r="AZ156" i="1" s="1"/>
  <c r="P188" i="1"/>
  <c r="P192" i="1" s="1"/>
  <c r="D174" i="1"/>
  <c r="E244" i="1"/>
  <c r="B174" i="1"/>
  <c r="B234" i="1" s="1"/>
  <c r="F182" i="1"/>
  <c r="F91" i="1" s="1"/>
  <c r="AN80" i="1"/>
  <c r="BV312" i="1"/>
  <c r="BB239" i="1"/>
  <c r="BC239" i="1" s="1"/>
  <c r="T188" i="1"/>
  <c r="T192" i="1" s="1"/>
  <c r="K220" i="1"/>
  <c r="L268" i="1" s="1"/>
  <c r="AN311" i="1"/>
  <c r="BT80" i="1"/>
  <c r="AQ152" i="1"/>
  <c r="AQ153" i="1" s="1"/>
  <c r="AQ158" i="1" s="1"/>
  <c r="BB311" i="1"/>
  <c r="BE80" i="1"/>
  <c r="BN87" i="1"/>
  <c r="BF239" i="1"/>
  <c r="BG239" i="1" s="1"/>
  <c r="BB57" i="1"/>
  <c r="BB64" i="1" s="1"/>
  <c r="AN152" i="1"/>
  <c r="AN153" i="1" s="1"/>
  <c r="AN156" i="1" s="1"/>
  <c r="BF242" i="1"/>
  <c r="BG242" i="1" s="1"/>
  <c r="N261" i="1"/>
  <c r="AY80" i="1"/>
  <c r="M220" i="1"/>
  <c r="BK91" i="1"/>
  <c r="V261" i="1"/>
  <c r="AZ57" i="1"/>
  <c r="AZ64" i="1" s="1"/>
  <c r="BR57" i="1"/>
  <c r="BR64" i="1" s="1"/>
  <c r="BB238" i="1"/>
  <c r="BC238" i="1" s="1"/>
  <c r="Q174" i="1"/>
  <c r="I174" i="1"/>
  <c r="BB242" i="1"/>
  <c r="BC242" i="1" s="1"/>
  <c r="AN312" i="1"/>
  <c r="BY152" i="1"/>
  <c r="BY153" i="1" s="1"/>
  <c r="BY157" i="1" s="1"/>
  <c r="BD239" i="1"/>
  <c r="BE239" i="1" s="1"/>
  <c r="BN239" i="1"/>
  <c r="BO239" i="1" s="1"/>
  <c r="BN238" i="1"/>
  <c r="BO238" i="1" s="1"/>
  <c r="B220" i="1"/>
  <c r="C268" i="1" s="1"/>
  <c r="H220" i="1"/>
  <c r="I268" i="1" s="1"/>
  <c r="BA312" i="1"/>
  <c r="BV242" i="1"/>
  <c r="BW242" i="1" s="1"/>
  <c r="BD311" i="1"/>
  <c r="BD80" i="1"/>
  <c r="BU80" i="1"/>
  <c r="BE311" i="1"/>
  <c r="BD57" i="1"/>
  <c r="BD64" i="1" s="1"/>
  <c r="AY311" i="1"/>
  <c r="BK80" i="1"/>
  <c r="AR80" i="1"/>
  <c r="BJ81" i="1"/>
  <c r="BM80" i="1"/>
  <c r="AI91" i="1"/>
  <c r="BV220" i="1"/>
  <c r="BW268" i="1" s="1"/>
  <c r="L207" i="1"/>
  <c r="L241" i="1" s="1"/>
  <c r="H182" i="1"/>
  <c r="T220" i="1"/>
  <c r="U268" i="1" s="1"/>
  <c r="G174" i="1"/>
  <c r="G108" i="1" s="1"/>
  <c r="G232" i="1"/>
  <c r="I182" i="1"/>
  <c r="E261" i="1"/>
  <c r="V207" i="1"/>
  <c r="V241" i="1" s="1"/>
  <c r="V240" i="1" s="1"/>
  <c r="C244" i="1"/>
  <c r="K232" i="1"/>
  <c r="L232" i="1"/>
  <c r="D188" i="1"/>
  <c r="D87" i="1" s="1"/>
  <c r="BV238" i="1"/>
  <c r="BW238" i="1" s="1"/>
  <c r="BH220" i="1"/>
  <c r="BI268" i="1" s="1"/>
  <c r="J188" i="1"/>
  <c r="J192" i="1" s="1"/>
  <c r="L174" i="1"/>
  <c r="L234" i="1" s="1"/>
  <c r="G207" i="1"/>
  <c r="J207" i="1"/>
  <c r="W261" i="1"/>
  <c r="G188" i="1"/>
  <c r="G87" i="1" s="1"/>
  <c r="G182" i="1"/>
  <c r="F174" i="1"/>
  <c r="AT239" i="1"/>
  <c r="AU239" i="1" s="1"/>
  <c r="BN242" i="1"/>
  <c r="BO242" i="1" s="1"/>
  <c r="BD242" i="1"/>
  <c r="BE242" i="1" s="1"/>
  <c r="AP238" i="1"/>
  <c r="AQ238" i="1" s="1"/>
  <c r="BD238" i="1"/>
  <c r="BE238" i="1" s="1"/>
  <c r="AN239" i="1"/>
  <c r="AO239" i="1" s="1"/>
  <c r="AN242" i="1"/>
  <c r="AO242" i="1" s="1"/>
  <c r="AN238" i="1"/>
  <c r="AO238" i="1" s="1"/>
  <c r="AV290" i="1"/>
  <c r="AY152" i="1"/>
  <c r="AY153" i="1" s="1"/>
  <c r="AY156" i="1" s="1"/>
  <c r="BI194" i="1"/>
  <c r="BJ261" i="1" s="1"/>
  <c r="AO253" i="1"/>
  <c r="AO312" i="1"/>
  <c r="BA152" i="1"/>
  <c r="BA153" i="1" s="1"/>
  <c r="BA157" i="1" s="1"/>
  <c r="AY290" i="1"/>
  <c r="BB152" i="1"/>
  <c r="BB153" i="1" s="1"/>
  <c r="BB156" i="1" s="1"/>
  <c r="BR290" i="1"/>
  <c r="BR312" i="1"/>
  <c r="BM253" i="1"/>
  <c r="BM262" i="1"/>
  <c r="BM260" i="1" s="1"/>
  <c r="BM87" i="1"/>
  <c r="BF57" i="1"/>
  <c r="BF64" i="1" s="1"/>
  <c r="BF290" i="1"/>
  <c r="AU311" i="1"/>
  <c r="AW152" i="1"/>
  <c r="AW153" i="1" s="1"/>
  <c r="AW156" i="1" s="1"/>
  <c r="AU290" i="1"/>
  <c r="BJ253" i="1"/>
  <c r="BJ312" i="1"/>
  <c r="BJ82" i="1"/>
  <c r="BJ65" i="1"/>
  <c r="BV174" i="1"/>
  <c r="AS80" i="1"/>
  <c r="BR80" i="1"/>
  <c r="AP152" i="1"/>
  <c r="AP153" i="1" s="1"/>
  <c r="AP156" i="1" s="1"/>
  <c r="AI80" i="1"/>
  <c r="AW80" i="1"/>
  <c r="AU57" i="1"/>
  <c r="BC80" i="1"/>
  <c r="S174" i="1"/>
  <c r="AP80" i="1"/>
  <c r="BV188" i="1"/>
  <c r="BW87" i="1" s="1"/>
  <c r="AZ80" i="1"/>
  <c r="V174" i="1"/>
  <c r="BN80" i="1"/>
  <c r="M188" i="1"/>
  <c r="M192" i="1" s="1"/>
  <c r="C188" i="1"/>
  <c r="C192" i="1" s="1"/>
  <c r="AM102" i="1"/>
  <c r="AT80" i="1"/>
  <c r="BI80" i="1"/>
  <c r="P182" i="1"/>
  <c r="AQ80" i="1"/>
  <c r="AX152" i="1"/>
  <c r="AX153" i="1" s="1"/>
  <c r="AX158" i="1" s="1"/>
  <c r="AY312" i="1"/>
  <c r="BQ80" i="1"/>
  <c r="BP80" i="1"/>
  <c r="BS80" i="1"/>
  <c r="BH188" i="1"/>
  <c r="BH192" i="1" s="1"/>
  <c r="BI182" i="1"/>
  <c r="BJ308" i="1" s="1"/>
  <c r="BG311" i="1"/>
  <c r="AX80" i="1"/>
  <c r="F232" i="1"/>
  <c r="BH80" i="1"/>
  <c r="BM311" i="1"/>
  <c r="U182" i="1"/>
  <c r="S182" i="1"/>
  <c r="S91" i="1" s="1"/>
  <c r="S220" i="1"/>
  <c r="E174" i="1"/>
  <c r="E234" i="1" s="1"/>
  <c r="BV80" i="1"/>
  <c r="BF80" i="1"/>
  <c r="K261" i="1"/>
  <c r="P232" i="1"/>
  <c r="D207" i="1"/>
  <c r="D241" i="1" s="1"/>
  <c r="D240" i="1" s="1"/>
  <c r="C220" i="1"/>
  <c r="D268" i="1" s="1"/>
  <c r="O174" i="1"/>
  <c r="O108" i="1" s="1"/>
  <c r="K174" i="1"/>
  <c r="U207" i="1"/>
  <c r="U241" i="1" s="1"/>
  <c r="U240" i="1" s="1"/>
  <c r="G261" i="1"/>
  <c r="E182" i="1"/>
  <c r="Q261" i="1"/>
  <c r="T182" i="1"/>
  <c r="S188" i="1"/>
  <c r="S87" i="1" s="1"/>
  <c r="B188" i="1"/>
  <c r="B87" i="1" s="1"/>
  <c r="W232" i="1"/>
  <c r="Q232" i="1"/>
  <c r="AU80" i="1"/>
  <c r="J220" i="1"/>
  <c r="N182" i="1"/>
  <c r="N91" i="1" s="1"/>
  <c r="E188" i="1"/>
  <c r="E87" i="1" s="1"/>
  <c r="W182" i="1"/>
  <c r="U261" i="1"/>
  <c r="R207" i="1"/>
  <c r="N207" i="1"/>
  <c r="U232" i="1"/>
  <c r="AV57" i="1"/>
  <c r="AO80" i="1"/>
  <c r="BS311" i="1"/>
  <c r="BP311" i="1"/>
  <c r="BW182" i="1"/>
  <c r="BX308" i="1" s="1"/>
  <c r="H232" i="1"/>
  <c r="L188" i="1"/>
  <c r="L192" i="1" s="1"/>
  <c r="V188" i="1"/>
  <c r="K207" i="1"/>
  <c r="H188" i="1"/>
  <c r="B232" i="1"/>
  <c r="R174" i="1"/>
  <c r="R234" i="1" s="1"/>
  <c r="J232" i="1"/>
  <c r="I188" i="1"/>
  <c r="I87" i="1" s="1"/>
  <c r="R220" i="1"/>
  <c r="S268" i="1" s="1"/>
  <c r="M207" i="1"/>
  <c r="H244" i="1"/>
  <c r="H243" i="1" s="1"/>
  <c r="K182" i="1"/>
  <c r="N232" i="1"/>
  <c r="M174" i="1"/>
  <c r="H261" i="1"/>
  <c r="N220" i="1"/>
  <c r="O268" i="1" s="1"/>
  <c r="E207" i="1"/>
  <c r="F220" i="1"/>
  <c r="M244" i="1"/>
  <c r="BA80" i="1"/>
  <c r="BH239" i="1"/>
  <c r="BI239" i="1" s="1"/>
  <c r="R244" i="1"/>
  <c r="T232" i="1"/>
  <c r="I207" i="1"/>
  <c r="I241" i="1" s="1"/>
  <c r="I240" i="1" s="1"/>
  <c r="AZ242" i="1"/>
  <c r="BA242" i="1" s="1"/>
  <c r="BP238" i="1"/>
  <c r="BQ238" i="1" s="1"/>
  <c r="AV238" i="1"/>
  <c r="AW238" i="1" s="1"/>
  <c r="BT238" i="1"/>
  <c r="BU238" i="1" s="1"/>
  <c r="BT242" i="1"/>
  <c r="BU242" i="1" s="1"/>
  <c r="BR239" i="1"/>
  <c r="BS239" i="1" s="1"/>
  <c r="AR242" i="1"/>
  <c r="AS242" i="1" s="1"/>
  <c r="AV242" i="1"/>
  <c r="AW242" i="1" s="1"/>
  <c r="AR238" i="1"/>
  <c r="AS238" i="1" s="1"/>
  <c r="BH261" i="1"/>
  <c r="BT239" i="1"/>
  <c r="BU239" i="1" s="1"/>
  <c r="AP242" i="1"/>
  <c r="AQ242" i="1" s="1"/>
  <c r="AV239" i="1"/>
  <c r="AW239" i="1" s="1"/>
  <c r="BF238" i="1"/>
  <c r="BG238" i="1" s="1"/>
  <c r="AP239" i="1"/>
  <c r="AQ239" i="1" s="1"/>
  <c r="BK311" i="1"/>
  <c r="BK57" i="1"/>
  <c r="BK64" i="1" s="1"/>
  <c r="BO57" i="1"/>
  <c r="BO311" i="1"/>
  <c r="BQ152" i="1"/>
  <c r="BQ153" i="1" s="1"/>
  <c r="BO290" i="1"/>
  <c r="BP152" i="1"/>
  <c r="BP153" i="1" s="1"/>
  <c r="BM57" i="1"/>
  <c r="BM59" i="1" s="1"/>
  <c r="BM290" i="1"/>
  <c r="BM312" i="1"/>
  <c r="BO152" i="1"/>
  <c r="BO153" i="1" s="1"/>
  <c r="BN152" i="1"/>
  <c r="BN153" i="1" s="1"/>
  <c r="BU290" i="1"/>
  <c r="BX152" i="1"/>
  <c r="BX153" i="1" s="1"/>
  <c r="BQ290" i="1"/>
  <c r="BQ57" i="1"/>
  <c r="BQ311" i="1"/>
  <c r="BQ312" i="1"/>
  <c r="AW253" i="1"/>
  <c r="AW312" i="1"/>
  <c r="BH290" i="1"/>
  <c r="BH311" i="1"/>
  <c r="BH57" i="1"/>
  <c r="BH64" i="1" s="1"/>
  <c r="BH238" i="1"/>
  <c r="BI238" i="1" s="1"/>
  <c r="BH312" i="1"/>
  <c r="BH242" i="1"/>
  <c r="BI242" i="1" s="1"/>
  <c r="BT312" i="1"/>
  <c r="BT311" i="1"/>
  <c r="BT290" i="1"/>
  <c r="BT57" i="1"/>
  <c r="BT58" i="1" s="1"/>
  <c r="BG290" i="1"/>
  <c r="BG57" i="1"/>
  <c r="BG312" i="1"/>
  <c r="BH152" i="1"/>
  <c r="BH153" i="1" s="1"/>
  <c r="BW203" i="1"/>
  <c r="BV207" i="1"/>
  <c r="BV241" i="1" s="1"/>
  <c r="BF253" i="1"/>
  <c r="BF312" i="1"/>
  <c r="AR290" i="1"/>
  <c r="AR312" i="1"/>
  <c r="AR57" i="1"/>
  <c r="AU152" i="1"/>
  <c r="AU153" i="1" s="1"/>
  <c r="AU156" i="1" s="1"/>
  <c r="BE290" i="1"/>
  <c r="BG152" i="1"/>
  <c r="BG153" i="1" s="1"/>
  <c r="BB312" i="1"/>
  <c r="BB253" i="1"/>
  <c r="AP290" i="1"/>
  <c r="AP311" i="1"/>
  <c r="AR152" i="1"/>
  <c r="AR153" i="1" s="1"/>
  <c r="AP57" i="1"/>
  <c r="BK312" i="1"/>
  <c r="BK253" i="1"/>
  <c r="BK262" i="1"/>
  <c r="BK260" i="1" s="1"/>
  <c r="BK87" i="1"/>
  <c r="AT253" i="1"/>
  <c r="AT312" i="1"/>
  <c r="BA290" i="1"/>
  <c r="BC152" i="1"/>
  <c r="BC153" i="1" s="1"/>
  <c r="BA57" i="1"/>
  <c r="BA311" i="1"/>
  <c r="BE253" i="1"/>
  <c r="BE312" i="1"/>
  <c r="AZ312" i="1"/>
  <c r="AZ253" i="1"/>
  <c r="BD253" i="1"/>
  <c r="BD312" i="1"/>
  <c r="BW194" i="1"/>
  <c r="BX261" i="1" s="1"/>
  <c r="Q239" i="1"/>
  <c r="Q207" i="1"/>
  <c r="Q241" i="1" s="1"/>
  <c r="AN253" i="1"/>
  <c r="AN87" i="1"/>
  <c r="AR188" i="1"/>
  <c r="AR192" i="1" s="1"/>
  <c r="AI238" i="1"/>
  <c r="AX312" i="1"/>
  <c r="B182" i="1"/>
  <c r="BS57" i="1"/>
  <c r="BR242" i="1"/>
  <c r="BS242" i="1" s="1"/>
  <c r="BR238" i="1"/>
  <c r="BS238" i="1" s="1"/>
  <c r="Q182" i="1"/>
  <c r="O232" i="1"/>
  <c r="Q244" i="1"/>
  <c r="V244" i="1"/>
  <c r="S207" i="1"/>
  <c r="S241" i="1" s="1"/>
  <c r="C182" i="1"/>
  <c r="O188" i="1"/>
  <c r="O87" i="1" s="1"/>
  <c r="M232" i="1"/>
  <c r="I244" i="1"/>
  <c r="L182" i="1"/>
  <c r="O182" i="1"/>
  <c r="BC312" i="1"/>
  <c r="AO57" i="1"/>
  <c r="AX290" i="1"/>
  <c r="AV312" i="1"/>
  <c r="BO312" i="1"/>
  <c r="AX311" i="1"/>
  <c r="AS311" i="1"/>
  <c r="S232" i="1"/>
  <c r="V182" i="1"/>
  <c r="AX57" i="1"/>
  <c r="AO290" i="1"/>
  <c r="BC311" i="1"/>
  <c r="AI87" i="1"/>
  <c r="H207" i="1"/>
  <c r="U174" i="1"/>
  <c r="U108" i="1" s="1"/>
  <c r="P174" i="1"/>
  <c r="G220" i="1"/>
  <c r="H268" i="1" s="1"/>
  <c r="B207" i="1"/>
  <c r="I232" i="1"/>
  <c r="V232" i="1"/>
  <c r="L220" i="1"/>
  <c r="R182" i="1"/>
  <c r="D232" i="1"/>
  <c r="C232" i="1"/>
  <c r="R188" i="1"/>
  <c r="T174" i="1"/>
  <c r="N188" i="1"/>
  <c r="N87" i="1" s="1"/>
  <c r="B119" i="1"/>
  <c r="BF152" i="1"/>
  <c r="BF153" i="1" s="1"/>
  <c r="BF157" i="1" s="1"/>
  <c r="BR311" i="1"/>
  <c r="AO152" i="1"/>
  <c r="AO153" i="1" s="1"/>
  <c r="AO156" i="1" s="1"/>
  <c r="BD152" i="1"/>
  <c r="BD153" i="1" s="1"/>
  <c r="BT152" i="1"/>
  <c r="BT153" i="1" s="1"/>
  <c r="BT158" i="1" s="1"/>
  <c r="BS152" i="1"/>
  <c r="BS153" i="1" s="1"/>
  <c r="BS156" i="1" s="1"/>
  <c r="F207" i="1"/>
  <c r="F241" i="1" s="1"/>
  <c r="BS312" i="1"/>
  <c r="BE152" i="1"/>
  <c r="BE153" i="1" s="1"/>
  <c r="AT152" i="1"/>
  <c r="AT153" i="1" s="1"/>
  <c r="AS57" i="1"/>
  <c r="AI242" i="1"/>
  <c r="AY57" i="1"/>
  <c r="AV152" i="1"/>
  <c r="AV153" i="1" s="1"/>
  <c r="BU57" i="1"/>
  <c r="BU64" i="1" s="1"/>
  <c r="AP312" i="1"/>
  <c r="U188" i="1"/>
  <c r="J182" i="1"/>
  <c r="AS312" i="1"/>
  <c r="AU312" i="1"/>
  <c r="BV152" i="1"/>
  <c r="BV153" i="1" s="1"/>
  <c r="BU311" i="1"/>
  <c r="AS152" i="1"/>
  <c r="AS153" i="1" s="1"/>
  <c r="AS158" i="1" s="1"/>
  <c r="BC57" i="1"/>
  <c r="BR152" i="1"/>
  <c r="BR153" i="1" s="1"/>
  <c r="AW64" i="1"/>
  <c r="I220" i="1"/>
  <c r="BW152" i="1"/>
  <c r="BW153" i="1" s="1"/>
  <c r="BW290" i="1"/>
  <c r="BU312" i="1"/>
  <c r="BV311" i="1"/>
  <c r="BW312" i="1"/>
  <c r="BU152" i="1"/>
  <c r="BU153" i="1" s="1"/>
  <c r="BU157" i="1" s="1"/>
  <c r="BH207" i="1"/>
  <c r="BH241" i="1" s="1"/>
  <c r="BW311" i="1"/>
  <c r="BV57" i="1"/>
  <c r="BH174" i="1"/>
  <c r="BH146" i="1" s="1"/>
  <c r="BH150" i="1" s="1"/>
  <c r="BZ152" i="1"/>
  <c r="BZ153" i="1" s="1"/>
  <c r="BV239" i="1"/>
  <c r="BW239" i="1" s="1"/>
  <c r="U244" i="1"/>
  <c r="K188" i="1"/>
  <c r="K87" i="1" s="1"/>
  <c r="W188" i="1"/>
  <c r="BH182" i="1"/>
  <c r="BH244" i="1"/>
  <c r="BI152" i="1"/>
  <c r="BI153" i="1" s="1"/>
  <c r="BI157" i="1" s="1"/>
  <c r="BM91" i="1"/>
  <c r="P207" i="1"/>
  <c r="C261" i="1"/>
  <c r="U220" i="1"/>
  <c r="V268" i="1" s="1"/>
  <c r="AI290" i="1"/>
  <c r="BL152" i="1"/>
  <c r="BL153" i="1" s="1"/>
  <c r="BL156" i="1" s="1"/>
  <c r="AI57" i="1"/>
  <c r="O220" i="1"/>
  <c r="BK152" i="1"/>
  <c r="BK153" i="1" s="1"/>
  <c r="AI241" i="1"/>
  <c r="BI312" i="1"/>
  <c r="AI244" i="1"/>
  <c r="BI311" i="1"/>
  <c r="T261" i="1"/>
  <c r="M182" i="1"/>
  <c r="S261" i="1"/>
  <c r="BI57" i="1"/>
  <c r="AI262" i="1"/>
  <c r="AI260" i="1" s="1"/>
  <c r="BJ152" i="1"/>
  <c r="BJ153" i="1" s="1"/>
  <c r="AX242" i="1"/>
  <c r="AY242" i="1" s="1"/>
  <c r="AX239" i="1"/>
  <c r="AY239" i="1" s="1"/>
  <c r="AX238" i="1"/>
  <c r="AY238" i="1" s="1"/>
  <c r="T207" i="1"/>
  <c r="P261" i="1"/>
  <c r="N174" i="1"/>
  <c r="F188" i="1"/>
  <c r="BV182" i="1"/>
  <c r="AL152" i="1"/>
  <c r="AL153" i="1" s="1"/>
  <c r="C174" i="1"/>
  <c r="F261" i="1"/>
  <c r="D182" i="1"/>
  <c r="C207" i="1"/>
  <c r="C241" i="1" s="1"/>
  <c r="C240" i="1" s="1"/>
  <c r="BD220" i="1"/>
  <c r="BE268" i="1" s="1"/>
  <c r="J234" i="1"/>
  <c r="J108" i="1"/>
  <c r="AN220" i="1"/>
  <c r="AO268" i="1" s="1"/>
  <c r="AV220" i="1"/>
  <c r="AW268" i="1" s="1"/>
  <c r="BN220" i="1"/>
  <c r="BO268" i="1" s="1"/>
  <c r="BR188" i="1"/>
  <c r="AX220" i="1"/>
  <c r="AY268" i="1" s="1"/>
  <c r="BS182" i="1"/>
  <c r="AZ188" i="1"/>
  <c r="BP188" i="1"/>
  <c r="BT220" i="1"/>
  <c r="BU268" i="1" s="1"/>
  <c r="BP220" i="1"/>
  <c r="BQ268" i="1" s="1"/>
  <c r="BB220" i="1"/>
  <c r="AZ220" i="1"/>
  <c r="BA268" i="1" s="1"/>
  <c r="BE182" i="1"/>
  <c r="AR220" i="1"/>
  <c r="AS268" i="1" s="1"/>
  <c r="AQ194" i="1"/>
  <c r="AW194" i="1"/>
  <c r="AQ206" i="1"/>
  <c r="AP207" i="1"/>
  <c r="AP241" i="1" s="1"/>
  <c r="AS178" i="1"/>
  <c r="AS182" i="1" s="1"/>
  <c r="AR182" i="1"/>
  <c r="AU171" i="1"/>
  <c r="AT174" i="1"/>
  <c r="AT146" i="1" s="1"/>
  <c r="AS171" i="1"/>
  <c r="AR174" i="1"/>
  <c r="BO194" i="1"/>
  <c r="BN261" i="1"/>
  <c r="BT188" i="1"/>
  <c r="AT188" i="1"/>
  <c r="BF220" i="1"/>
  <c r="BG268" i="1" s="1"/>
  <c r="BF188" i="1"/>
  <c r="AV188" i="1"/>
  <c r="BD188" i="1"/>
  <c r="AP188" i="1"/>
  <c r="AU206" i="1"/>
  <c r="AT207" i="1"/>
  <c r="BC171" i="1"/>
  <c r="BB174" i="1"/>
  <c r="BB146" i="1" s="1"/>
  <c r="AO178" i="1"/>
  <c r="AO182" i="1" s="1"/>
  <c r="AN182" i="1"/>
  <c r="AR239" i="1"/>
  <c r="AS239" i="1" s="1"/>
  <c r="AR207" i="1"/>
  <c r="AR241" i="1" s="1"/>
  <c r="AO171" i="1"/>
  <c r="AN174" i="1"/>
  <c r="BC178" i="1"/>
  <c r="BC182" i="1" s="1"/>
  <c r="BB182" i="1"/>
  <c r="BU194" i="1"/>
  <c r="BV261" i="1" s="1"/>
  <c r="BE171" i="1"/>
  <c r="BD174" i="1"/>
  <c r="AU213" i="1"/>
  <c r="BO178" i="1"/>
  <c r="BO182" i="1" s="1"/>
  <c r="BN182" i="1"/>
  <c r="AW178" i="1"/>
  <c r="AW182" i="1" s="1"/>
  <c r="AV182" i="1"/>
  <c r="AO206" i="1"/>
  <c r="AN207" i="1"/>
  <c r="BS194" i="1"/>
  <c r="BR261" i="1"/>
  <c r="BU178" i="1"/>
  <c r="BU182" i="1" s="1"/>
  <c r="BT182" i="1"/>
  <c r="AO194" i="1"/>
  <c r="AN261" i="1"/>
  <c r="BS171" i="1"/>
  <c r="BR174" i="1"/>
  <c r="BR146" i="1" s="1"/>
  <c r="BF261" i="1"/>
  <c r="AQ182" i="1"/>
  <c r="AT261" i="1"/>
  <c r="AN188" i="1"/>
  <c r="AP220" i="1"/>
  <c r="BN188" i="1"/>
  <c r="BB188" i="1"/>
  <c r="AT220" i="1"/>
  <c r="AU268" i="1" s="1"/>
  <c r="AZ174" i="1"/>
  <c r="BR220" i="1"/>
  <c r="BN174" i="1"/>
  <c r="AS261" i="1"/>
  <c r="BT174" i="1"/>
  <c r="BF182" i="1"/>
  <c r="BE261" i="1"/>
  <c r="BP207" i="1"/>
  <c r="BP241" i="1" s="1"/>
  <c r="AZ182" i="1"/>
  <c r="BQ261" i="1"/>
  <c r="AP182" i="1"/>
  <c r="AP174" i="1"/>
  <c r="AP146" i="1" s="1"/>
  <c r="BP174" i="1"/>
  <c r="BP146" i="1" s="1"/>
  <c r="BP148" i="1" s="1"/>
  <c r="BP182" i="1"/>
  <c r="BG182" i="1"/>
  <c r="BA182" i="1"/>
  <c r="AT182" i="1"/>
  <c r="BF174" i="1"/>
  <c r="BQ182" i="1"/>
  <c r="BR182" i="1"/>
  <c r="BD182" i="1"/>
  <c r="AV174" i="1"/>
  <c r="AU182" i="1"/>
  <c r="AW203" i="1"/>
  <c r="AV207" i="1"/>
  <c r="BC203" i="1"/>
  <c r="BB207" i="1"/>
  <c r="BG203" i="1"/>
  <c r="BF207" i="1"/>
  <c r="BE203" i="1"/>
  <c r="BD207" i="1"/>
  <c r="BO203" i="1"/>
  <c r="BN207" i="1"/>
  <c r="BU203" i="1"/>
  <c r="BT207" i="1"/>
  <c r="AY203" i="1"/>
  <c r="AX207" i="1"/>
  <c r="BS203" i="1"/>
  <c r="BR207" i="1"/>
  <c r="BA203" i="1"/>
  <c r="AZ207" i="1"/>
  <c r="AU261" i="1"/>
  <c r="AV261" i="1"/>
  <c r="BB261" i="1"/>
  <c r="BA261" i="1"/>
  <c r="AY261" i="1"/>
  <c r="AZ261" i="1"/>
  <c r="BC261" i="1"/>
  <c r="BD261" i="1"/>
  <c r="BG261" i="1"/>
  <c r="CB247" i="1"/>
  <c r="X112" i="1"/>
  <c r="BZ303" i="1"/>
  <c r="CA58" i="1"/>
  <c r="BZ284" i="1"/>
  <c r="BX59" i="1"/>
  <c r="CQ192" i="1"/>
  <c r="CR86" i="1"/>
  <c r="AE131" i="1"/>
  <c r="AB179" i="1"/>
  <c r="AB182" i="1" s="1"/>
  <c r="AB308" i="1" s="1"/>
  <c r="CZ119" i="1"/>
  <c r="DA117" i="1"/>
  <c r="AX174" i="1" l="1"/>
  <c r="AY171" i="1"/>
  <c r="AY178" i="1"/>
  <c r="AY182" i="1" s="1"/>
  <c r="AX182" i="1"/>
  <c r="AY212" i="1"/>
  <c r="AX188" i="1"/>
  <c r="BB244" i="1"/>
  <c r="BD244" i="1"/>
  <c r="AN244" i="1"/>
  <c r="BF244" i="1"/>
  <c r="AV244" i="1"/>
  <c r="AZ244" i="1"/>
  <c r="P244" i="1"/>
  <c r="P243" i="1" s="1"/>
  <c r="K244" i="1"/>
  <c r="F244" i="1"/>
  <c r="F243" i="1" s="1"/>
  <c r="AW81" i="1"/>
  <c r="BP81" i="1"/>
  <c r="B244" i="1"/>
  <c r="B243" i="1" s="1"/>
  <c r="T244" i="1"/>
  <c r="T243" i="1" s="1"/>
  <c r="K266" i="1"/>
  <c r="J307" i="1"/>
  <c r="AX244" i="1"/>
  <c r="BV244" i="1"/>
  <c r="AT244" i="1"/>
  <c r="AT243" i="1" s="1"/>
  <c r="BT244" i="1"/>
  <c r="BP244" i="1"/>
  <c r="BP243" i="1" s="1"/>
  <c r="BR244" i="1"/>
  <c r="BN244" i="1"/>
  <c r="O255" i="1"/>
  <c r="BP58" i="1"/>
  <c r="BP59" i="1"/>
  <c r="BQ59" i="1"/>
  <c r="AZ58" i="1"/>
  <c r="H183" i="1"/>
  <c r="H109" i="1" s="1"/>
  <c r="D227" i="1"/>
  <c r="D163" i="1" s="1"/>
  <c r="D164" i="1" s="1"/>
  <c r="D167" i="1" s="1"/>
  <c r="H234" i="1"/>
  <c r="C162" i="1"/>
  <c r="AV243" i="1"/>
  <c r="AX156" i="1"/>
  <c r="C120" i="1"/>
  <c r="C122" i="1" s="1"/>
  <c r="BB158" i="1"/>
  <c r="AQ81" i="1"/>
  <c r="V227" i="1"/>
  <c r="V163" i="1" s="1"/>
  <c r="AN59" i="1"/>
  <c r="B108" i="1"/>
  <c r="AQ156" i="1"/>
  <c r="AN81" i="1"/>
  <c r="BM157" i="1"/>
  <c r="BM156" i="1"/>
  <c r="AN284" i="1"/>
  <c r="AN64" i="1"/>
  <c r="AN82" i="1" s="1"/>
  <c r="AU58" i="1"/>
  <c r="BO58" i="1"/>
  <c r="AN247" i="1"/>
  <c r="AO247" i="1"/>
  <c r="AR58" i="1"/>
  <c r="S255" i="1"/>
  <c r="AQ58" i="1"/>
  <c r="BN81" i="1"/>
  <c r="AR64" i="1"/>
  <c r="BX265" i="1"/>
  <c r="R241" i="1"/>
  <c r="R240" i="1" s="1"/>
  <c r="BB243" i="1"/>
  <c r="G255" i="1"/>
  <c r="L255" i="1"/>
  <c r="AO284" i="1"/>
  <c r="N255" i="1"/>
  <c r="AT81" i="1"/>
  <c r="AP81" i="1"/>
  <c r="BB157" i="1"/>
  <c r="BB81" i="1"/>
  <c r="D162" i="1"/>
  <c r="D120" i="1"/>
  <c r="D122" i="1" s="1"/>
  <c r="BL59" i="1"/>
  <c r="BY156" i="1"/>
  <c r="AU59" i="1"/>
  <c r="AW157" i="1"/>
  <c r="AN158" i="1"/>
  <c r="BY158" i="1"/>
  <c r="BD58" i="1"/>
  <c r="BD243" i="1"/>
  <c r="R307" i="1"/>
  <c r="H307" i="1"/>
  <c r="BI87" i="1"/>
  <c r="AN157" i="1"/>
  <c r="Q192" i="1"/>
  <c r="Q303" i="1" s="1"/>
  <c r="C266" i="1"/>
  <c r="T255" i="1"/>
  <c r="V307" i="1"/>
  <c r="BM81" i="1"/>
  <c r="BU81" i="1"/>
  <c r="BR58" i="1"/>
  <c r="K241" i="1"/>
  <c r="K240" i="1" s="1"/>
  <c r="J87" i="1"/>
  <c r="BV243" i="1"/>
  <c r="T265" i="1"/>
  <c r="S227" i="1"/>
  <c r="S163" i="1" s="1"/>
  <c r="G308" i="1"/>
  <c r="G310" i="1" s="1"/>
  <c r="BD81" i="1"/>
  <c r="BN64" i="1"/>
  <c r="BN65" i="1" s="1"/>
  <c r="AP157" i="1"/>
  <c r="BN58" i="1"/>
  <c r="BE59" i="1"/>
  <c r="R255" i="1"/>
  <c r="G265" i="1"/>
  <c r="BA156" i="1"/>
  <c r="BU247" i="1"/>
  <c r="H308" i="1"/>
  <c r="H310" i="1" s="1"/>
  <c r="BQ81" i="1"/>
  <c r="BI261" i="1"/>
  <c r="BE81" i="1"/>
  <c r="U256" i="1"/>
  <c r="AP158" i="1"/>
  <c r="BA158" i="1"/>
  <c r="BY58" i="1"/>
  <c r="P87" i="1"/>
  <c r="BF59" i="1"/>
  <c r="R108" i="1"/>
  <c r="B227" i="1"/>
  <c r="B163" i="1" s="1"/>
  <c r="F266" i="1"/>
  <c r="AY158" i="1"/>
  <c r="BJ265" i="1"/>
  <c r="BJ58" i="1"/>
  <c r="C308" i="1"/>
  <c r="C310" i="1" s="1"/>
  <c r="BW188" i="1"/>
  <c r="BW192" i="1" s="1"/>
  <c r="BI59" i="1"/>
  <c r="AY157" i="1"/>
  <c r="BH81" i="1"/>
  <c r="E108" i="1"/>
  <c r="H216" i="1"/>
  <c r="BA81" i="1"/>
  <c r="U308" i="1"/>
  <c r="U310" i="1" s="1"/>
  <c r="AO157" i="1"/>
  <c r="BL58" i="1"/>
  <c r="AO158" i="1"/>
  <c r="BV192" i="1"/>
  <c r="BV305" i="1" s="1"/>
  <c r="AX157" i="1"/>
  <c r="BI188" i="1"/>
  <c r="BJ87" i="1" s="1"/>
  <c r="N227" i="1"/>
  <c r="N163" i="1" s="1"/>
  <c r="Q240" i="1"/>
  <c r="E192" i="1"/>
  <c r="E305" i="1" s="1"/>
  <c r="G192" i="1"/>
  <c r="G303" i="1" s="1"/>
  <c r="S192" i="1"/>
  <c r="S305" i="1" s="1"/>
  <c r="BF58" i="1"/>
  <c r="BF81" i="1"/>
  <c r="B307" i="1"/>
  <c r="B192" i="1"/>
  <c r="C262" i="1" s="1"/>
  <c r="C260" i="1" s="1"/>
  <c r="O234" i="1"/>
  <c r="AY247" i="1"/>
  <c r="BW261" i="1"/>
  <c r="BH59" i="1"/>
  <c r="BU58" i="1"/>
  <c r="BQ58" i="1"/>
  <c r="R216" i="1"/>
  <c r="BG284" i="1"/>
  <c r="T303" i="1"/>
  <c r="F256" i="1"/>
  <c r="BF243" i="1"/>
  <c r="O192" i="1"/>
  <c r="P262" i="1" s="1"/>
  <c r="P260" i="1" s="1"/>
  <c r="F216" i="1"/>
  <c r="BV307" i="1"/>
  <c r="BR81" i="1"/>
  <c r="V183" i="1"/>
  <c r="V109" i="1" s="1"/>
  <c r="M216" i="1"/>
  <c r="M224" i="1" s="1"/>
  <c r="L303" i="1"/>
  <c r="K255" i="1"/>
  <c r="I266" i="1"/>
  <c r="N268" i="1"/>
  <c r="M307" i="1"/>
  <c r="Q108" i="1"/>
  <c r="Q234" i="1"/>
  <c r="R266" i="1"/>
  <c r="Q307" i="1"/>
  <c r="F183" i="1"/>
  <c r="F109" i="1" s="1"/>
  <c r="BO247" i="1"/>
  <c r="BO64" i="1"/>
  <c r="BO82" i="1" s="1"/>
  <c r="BR284" i="1"/>
  <c r="V112" i="1"/>
  <c r="F227" i="1"/>
  <c r="F163" i="1" s="1"/>
  <c r="F307" i="1"/>
  <c r="G268" i="1"/>
  <c r="V87" i="1"/>
  <c r="V192" i="1"/>
  <c r="V305" i="1" s="1"/>
  <c r="AQ59" i="1"/>
  <c r="AP64" i="1"/>
  <c r="AP65" i="1" s="1"/>
  <c r="AP58" i="1"/>
  <c r="BK59" i="1"/>
  <c r="BN284" i="1"/>
  <c r="BM284" i="1"/>
  <c r="BK81" i="1"/>
  <c r="F255" i="1"/>
  <c r="E241" i="1"/>
  <c r="E240" i="1" s="1"/>
  <c r="G244" i="1"/>
  <c r="G243" i="1" s="1"/>
  <c r="H256" i="1"/>
  <c r="G256" i="1"/>
  <c r="S234" i="1"/>
  <c r="S183" i="1"/>
  <c r="S109" i="1" s="1"/>
  <c r="S108" i="1"/>
  <c r="T87" i="1"/>
  <c r="G266" i="1"/>
  <c r="M256" i="1"/>
  <c r="L244" i="1"/>
  <c r="L243" i="1" s="1"/>
  <c r="L216" i="1"/>
  <c r="L224" i="1" s="1"/>
  <c r="D234" i="1"/>
  <c r="E266" i="1"/>
  <c r="D307" i="1"/>
  <c r="D108" i="1"/>
  <c r="J266" i="1"/>
  <c r="F234" i="1"/>
  <c r="I183" i="1"/>
  <c r="I109" i="1" s="1"/>
  <c r="I308" i="1"/>
  <c r="I310" i="1" s="1"/>
  <c r="AV64" i="1"/>
  <c r="AZ66" i="1" s="1"/>
  <c r="AW59" i="1"/>
  <c r="AV81" i="1"/>
  <c r="J227" i="1"/>
  <c r="J163" i="1" s="1"/>
  <c r="BS59" i="1"/>
  <c r="BU284" i="1"/>
  <c r="BO81" i="1"/>
  <c r="AU158" i="1"/>
  <c r="E216" i="1"/>
  <c r="AI240" i="1"/>
  <c r="D256" i="1"/>
  <c r="E256" i="1"/>
  <c r="D216" i="1"/>
  <c r="D244" i="1"/>
  <c r="D243" i="1" s="1"/>
  <c r="AQ247" i="1"/>
  <c r="AU157" i="1"/>
  <c r="P216" i="1"/>
  <c r="P224" i="1" s="1"/>
  <c r="I265" i="1"/>
  <c r="K268" i="1"/>
  <c r="J91" i="1"/>
  <c r="J183" i="1"/>
  <c r="J109" i="1" s="1"/>
  <c r="H265" i="1"/>
  <c r="AT58" i="1"/>
  <c r="BA58" i="1"/>
  <c r="I91" i="1"/>
  <c r="I108" i="1"/>
  <c r="U192" i="1"/>
  <c r="U303" i="1" s="1"/>
  <c r="U87" i="1"/>
  <c r="T108" i="1"/>
  <c r="T266" i="1"/>
  <c r="T234" i="1"/>
  <c r="T307" i="1"/>
  <c r="G216" i="1"/>
  <c r="F108" i="1"/>
  <c r="M241" i="1"/>
  <c r="M240" i="1" s="1"/>
  <c r="M255" i="1"/>
  <c r="AW284" i="1"/>
  <c r="BA59" i="1"/>
  <c r="I234" i="1"/>
  <c r="AT247" i="1"/>
  <c r="Q183" i="1"/>
  <c r="Q109" i="1" s="1"/>
  <c r="AZ157" i="1"/>
  <c r="N241" i="1"/>
  <c r="N240" i="1" s="1"/>
  <c r="BM64" i="1"/>
  <c r="BM65" i="1" s="1"/>
  <c r="L256" i="1"/>
  <c r="H266" i="1"/>
  <c r="J256" i="1"/>
  <c r="AW158" i="1"/>
  <c r="K216" i="1"/>
  <c r="V255" i="1"/>
  <c r="L87" i="1"/>
  <c r="AV58" i="1"/>
  <c r="BH58" i="1"/>
  <c r="BF82" i="1"/>
  <c r="BF291" i="1" s="1"/>
  <c r="BF292" i="1" s="1"/>
  <c r="BV146" i="1"/>
  <c r="BV150" i="1" s="1"/>
  <c r="C256" i="1"/>
  <c r="M87" i="1"/>
  <c r="D192" i="1"/>
  <c r="I192" i="1"/>
  <c r="I303" i="1" s="1"/>
  <c r="J241" i="1"/>
  <c r="J240" i="1" s="1"/>
  <c r="V308" i="1"/>
  <c r="V310" i="1" s="1"/>
  <c r="H227" i="1"/>
  <c r="H163" i="1" s="1"/>
  <c r="G234" i="1"/>
  <c r="T227" i="1"/>
  <c r="T163" i="1" s="1"/>
  <c r="BH240" i="1"/>
  <c r="E255" i="1"/>
  <c r="AZ81" i="1"/>
  <c r="BH243" i="1"/>
  <c r="BH227" i="1"/>
  <c r="BH163" i="1" s="1"/>
  <c r="BK58" i="1"/>
  <c r="AZ158" i="1"/>
  <c r="BT284" i="1"/>
  <c r="BQ64" i="1"/>
  <c r="BQ82" i="1" s="1"/>
  <c r="BQ83" i="1" s="1"/>
  <c r="C87" i="1"/>
  <c r="BG64" i="1"/>
  <c r="BG82" i="1" s="1"/>
  <c r="H91" i="1"/>
  <c r="BG81" i="1"/>
  <c r="AV59" i="1"/>
  <c r="AQ157" i="1"/>
  <c r="AU64" i="1"/>
  <c r="AU67" i="1" s="1"/>
  <c r="AP240" i="1"/>
  <c r="J255" i="1"/>
  <c r="BS81" i="1"/>
  <c r="AU81" i="1"/>
  <c r="AV247" i="1"/>
  <c r="S266" i="1"/>
  <c r="BK284" i="1"/>
  <c r="P265" i="1"/>
  <c r="V265" i="1"/>
  <c r="V266" i="1"/>
  <c r="B216" i="1"/>
  <c r="AI243" i="1"/>
  <c r="U255" i="1"/>
  <c r="AZ243" i="1"/>
  <c r="L108" i="1"/>
  <c r="G241" i="1"/>
  <c r="G240" i="1" s="1"/>
  <c r="H255" i="1"/>
  <c r="G183" i="1"/>
  <c r="G109" i="1" s="1"/>
  <c r="G91" i="1"/>
  <c r="G227" i="1"/>
  <c r="G163" i="1" s="1"/>
  <c r="V234" i="1"/>
  <c r="V108" i="1"/>
  <c r="P91" i="1"/>
  <c r="P183" i="1"/>
  <c r="P109" i="1" s="1"/>
  <c r="P227" i="1"/>
  <c r="P163" i="1" s="1"/>
  <c r="U265" i="1"/>
  <c r="U91" i="1"/>
  <c r="T268" i="1"/>
  <c r="S307" i="1"/>
  <c r="P256" i="1"/>
  <c r="O244" i="1"/>
  <c r="O245" i="1" s="1"/>
  <c r="Q91" i="1"/>
  <c r="Q265" i="1"/>
  <c r="Q308" i="1"/>
  <c r="Q310" i="1" s="1"/>
  <c r="L183" i="1"/>
  <c r="L109" i="1" s="1"/>
  <c r="L91" i="1"/>
  <c r="L308" i="1"/>
  <c r="L310" i="1" s="1"/>
  <c r="L265" i="1"/>
  <c r="Q266" i="1"/>
  <c r="P234" i="1"/>
  <c r="P266" i="1"/>
  <c r="P108" i="1"/>
  <c r="P307" i="1"/>
  <c r="R91" i="1"/>
  <c r="R265" i="1"/>
  <c r="AZ59" i="1"/>
  <c r="AY64" i="1"/>
  <c r="AZ67" i="1" s="1"/>
  <c r="Q255" i="1"/>
  <c r="P255" i="1"/>
  <c r="N112" i="1"/>
  <c r="AI81" i="1"/>
  <c r="N244" i="1"/>
  <c r="N243" i="1" s="1"/>
  <c r="O256" i="1"/>
  <c r="O257" i="1" s="1"/>
  <c r="O258" i="1" s="1"/>
  <c r="T241" i="1"/>
  <c r="T245" i="1" s="1"/>
  <c r="T305" i="1"/>
  <c r="T216" i="1"/>
  <c r="T224" i="1" s="1"/>
  <c r="BJ88" i="1"/>
  <c r="BJ92" i="1" s="1"/>
  <c r="BJ94" i="1" s="1"/>
  <c r="BJ83" i="1"/>
  <c r="BJ291" i="1"/>
  <c r="BJ292" i="1" s="1"/>
  <c r="AM106" i="1"/>
  <c r="AM173" i="1"/>
  <c r="AM174" i="1" s="1"/>
  <c r="AM183" i="1" s="1"/>
  <c r="AM109" i="1" s="1"/>
  <c r="AM252" i="1"/>
  <c r="AM254" i="1" s="1"/>
  <c r="AM120" i="1"/>
  <c r="AM123" i="1" s="1"/>
  <c r="AM139" i="1" s="1"/>
  <c r="E183" i="1"/>
  <c r="E109" i="1" s="1"/>
  <c r="F308" i="1"/>
  <c r="F310" i="1" s="1"/>
  <c r="F265" i="1"/>
  <c r="E227" i="1"/>
  <c r="E163" i="1" s="1"/>
  <c r="E91" i="1"/>
  <c r="BV245" i="1"/>
  <c r="BZ248" i="1" s="1"/>
  <c r="BP157" i="1"/>
  <c r="BP158" i="1"/>
  <c r="BP156" i="1"/>
  <c r="BO156" i="1"/>
  <c r="BO157" i="1"/>
  <c r="BO158" i="1"/>
  <c r="BN157" i="1"/>
  <c r="BN158" i="1"/>
  <c r="BN156" i="1"/>
  <c r="BG156" i="1"/>
  <c r="BG158" i="1"/>
  <c r="BG157" i="1"/>
  <c r="AS188" i="1"/>
  <c r="AS87" i="1"/>
  <c r="BR156" i="1"/>
  <c r="BR158" i="1"/>
  <c r="BR157" i="1"/>
  <c r="BW157" i="1"/>
  <c r="BW158" i="1"/>
  <c r="BW156" i="1"/>
  <c r="BV247" i="1"/>
  <c r="BV58" i="1"/>
  <c r="BJ156" i="1"/>
  <c r="BJ157" i="1"/>
  <c r="S256" i="1"/>
  <c r="I216" i="1"/>
  <c r="U266" i="1"/>
  <c r="L305" i="1"/>
  <c r="BH245" i="1"/>
  <c r="BL248" i="1" s="1"/>
  <c r="AI245" i="1"/>
  <c r="M265" i="1"/>
  <c r="BL303" i="1"/>
  <c r="BT243" i="1"/>
  <c r="BP240" i="1"/>
  <c r="L266" i="1"/>
  <c r="K307" i="1"/>
  <c r="K234" i="1"/>
  <c r="K108" i="1"/>
  <c r="T91" i="1"/>
  <c r="T183" i="1"/>
  <c r="T308" i="1"/>
  <c r="T310" i="1" s="1"/>
  <c r="X308" i="1"/>
  <c r="X310" i="1" s="1"/>
  <c r="W91" i="1"/>
  <c r="W265" i="1"/>
  <c r="W308" i="1"/>
  <c r="W310" i="1" s="1"/>
  <c r="X265" i="1"/>
  <c r="H87" i="1"/>
  <c r="H192" i="1"/>
  <c r="H305" i="1" s="1"/>
  <c r="K91" i="1"/>
  <c r="K227" i="1"/>
  <c r="K163" i="1" s="1"/>
  <c r="K308" i="1"/>
  <c r="K310" i="1" s="1"/>
  <c r="K265" i="1"/>
  <c r="K264" i="1" s="1"/>
  <c r="K183" i="1"/>
  <c r="K109" i="1" s="1"/>
  <c r="M266" i="1"/>
  <c r="M108" i="1"/>
  <c r="M234" i="1"/>
  <c r="BL247" i="1"/>
  <c r="U112" i="1"/>
  <c r="BK247" i="1"/>
  <c r="BP247" i="1"/>
  <c r="BO59" i="1"/>
  <c r="BQ284" i="1"/>
  <c r="BS58" i="1"/>
  <c r="BQ156" i="1"/>
  <c r="BQ157" i="1"/>
  <c r="BQ158" i="1"/>
  <c r="BN59" i="1"/>
  <c r="BP284" i="1"/>
  <c r="BO284" i="1"/>
  <c r="BX158" i="1"/>
  <c r="BX156" i="1"/>
  <c r="BX157" i="1"/>
  <c r="BR247" i="1"/>
  <c r="BS284" i="1"/>
  <c r="BQ247" i="1"/>
  <c r="BR59" i="1"/>
  <c r="BX58" i="1"/>
  <c r="BT81" i="1"/>
  <c r="BX247" i="1"/>
  <c r="BT247" i="1"/>
  <c r="BU59" i="1"/>
  <c r="BT64" i="1"/>
  <c r="BT82" i="1" s="1"/>
  <c r="BW284" i="1"/>
  <c r="BH284" i="1"/>
  <c r="BG59" i="1"/>
  <c r="T112" i="1"/>
  <c r="BH157" i="1"/>
  <c r="BH158" i="1"/>
  <c r="BH156" i="1"/>
  <c r="AR81" i="1"/>
  <c r="AR59" i="1"/>
  <c r="AR247" i="1"/>
  <c r="AU284" i="1"/>
  <c r="AR156" i="1"/>
  <c r="AR157" i="1"/>
  <c r="AR158" i="1"/>
  <c r="AU247" i="1"/>
  <c r="AS284" i="1"/>
  <c r="BC156" i="1"/>
  <c r="BC158" i="1"/>
  <c r="BC157" i="1"/>
  <c r="BA64" i="1"/>
  <c r="BB67" i="1" s="1"/>
  <c r="BB59" i="1"/>
  <c r="BF247" i="1"/>
  <c r="BE247" i="1"/>
  <c r="BE58" i="1"/>
  <c r="BA247" i="1"/>
  <c r="BW58" i="1"/>
  <c r="W112" i="1"/>
  <c r="BS64" i="1"/>
  <c r="BS82" i="1" s="1"/>
  <c r="BV284" i="1"/>
  <c r="BT59" i="1"/>
  <c r="BS247" i="1"/>
  <c r="C91" i="1"/>
  <c r="C227" i="1"/>
  <c r="C163" i="1" s="1"/>
  <c r="AO64" i="1"/>
  <c r="AO66" i="1" s="1"/>
  <c r="AQ284" i="1"/>
  <c r="AX58" i="1"/>
  <c r="AY284" i="1"/>
  <c r="I255" i="1"/>
  <c r="H241" i="1"/>
  <c r="R87" i="1"/>
  <c r="R192" i="1"/>
  <c r="R305" i="1" s="1"/>
  <c r="B162" i="1"/>
  <c r="B120" i="1"/>
  <c r="B161" i="1"/>
  <c r="BD157" i="1"/>
  <c r="BD158" i="1"/>
  <c r="BE158" i="1"/>
  <c r="BE156" i="1"/>
  <c r="AT156" i="1"/>
  <c r="AT158" i="1"/>
  <c r="AT157" i="1"/>
  <c r="AS59" i="1"/>
  <c r="AS58" i="1"/>
  <c r="AV284" i="1"/>
  <c r="AS81" i="1"/>
  <c r="AS247" i="1"/>
  <c r="AY81" i="1"/>
  <c r="AY58" i="1"/>
  <c r="AZ247" i="1"/>
  <c r="AV156" i="1"/>
  <c r="AV157" i="1"/>
  <c r="AV158" i="1"/>
  <c r="AT65" i="1"/>
  <c r="AT82" i="1"/>
  <c r="BY247" i="1"/>
  <c r="BX284" i="1"/>
  <c r="BX303" i="1"/>
  <c r="J308" i="1"/>
  <c r="J310" i="1" s="1"/>
  <c r="J265" i="1"/>
  <c r="J264" i="1" s="1"/>
  <c r="BV158" i="1"/>
  <c r="BV156" i="1"/>
  <c r="BV157" i="1"/>
  <c r="BH247" i="1"/>
  <c r="BD59" i="1"/>
  <c r="BG247" i="1"/>
  <c r="BG58" i="1"/>
  <c r="AW65" i="1"/>
  <c r="AW82" i="1"/>
  <c r="J268" i="1"/>
  <c r="I307" i="1"/>
  <c r="BV64" i="1"/>
  <c r="BV67" i="1" s="1"/>
  <c r="BZ58" i="1"/>
  <c r="BZ247" i="1"/>
  <c r="CA247" i="1"/>
  <c r="BY284" i="1"/>
  <c r="BW247" i="1"/>
  <c r="BW59" i="1"/>
  <c r="BZ158" i="1"/>
  <c r="BZ157" i="1"/>
  <c r="BZ156" i="1"/>
  <c r="W192" i="1"/>
  <c r="W87" i="1"/>
  <c r="BK158" i="1"/>
  <c r="BK156" i="1"/>
  <c r="BI58" i="1"/>
  <c r="BI247" i="1"/>
  <c r="BJ247" i="1"/>
  <c r="BW265" i="1"/>
  <c r="BV183" i="1"/>
  <c r="AL158" i="1"/>
  <c r="AL156" i="1"/>
  <c r="AL157" i="1"/>
  <c r="AX243" i="1"/>
  <c r="BI64" i="1"/>
  <c r="BI67" i="1" s="1"/>
  <c r="BS158" i="1"/>
  <c r="V256" i="1"/>
  <c r="R183" i="1"/>
  <c r="R109" i="1" s="1"/>
  <c r="T256" i="1"/>
  <c r="S216" i="1"/>
  <c r="V216" i="1"/>
  <c r="R256" i="1"/>
  <c r="R308" i="1"/>
  <c r="R310" i="1" s="1"/>
  <c r="C307" i="1"/>
  <c r="B183" i="1"/>
  <c r="B109" i="1" s="1"/>
  <c r="R227" i="1"/>
  <c r="R163" i="1" s="1"/>
  <c r="S244" i="1"/>
  <c r="BH216" i="1"/>
  <c r="BH224" i="1" s="1"/>
  <c r="BF284" i="1"/>
  <c r="BS157" i="1"/>
  <c r="BT156" i="1"/>
  <c r="BB284" i="1"/>
  <c r="AS156" i="1"/>
  <c r="AW247" i="1"/>
  <c r="BB58" i="1"/>
  <c r="R112" i="1"/>
  <c r="BI81" i="1"/>
  <c r="BV240" i="1"/>
  <c r="S112" i="1"/>
  <c r="AZ65" i="1"/>
  <c r="BC58" i="1"/>
  <c r="BT157" i="1"/>
  <c r="AL284" i="1"/>
  <c r="AW58" i="1"/>
  <c r="BR243" i="1"/>
  <c r="N256" i="1"/>
  <c r="L307" i="1"/>
  <c r="L227" i="1"/>
  <c r="L163" i="1" s="1"/>
  <c r="G307" i="1"/>
  <c r="Q216" i="1"/>
  <c r="C265" i="1"/>
  <c r="O265" i="1"/>
  <c r="V91" i="1"/>
  <c r="C183" i="1"/>
  <c r="C109" i="1" s="1"/>
  <c r="AO58" i="1"/>
  <c r="BC81" i="1"/>
  <c r="AP247" i="1"/>
  <c r="BA284" i="1"/>
  <c r="AI64" i="1"/>
  <c r="Q256" i="1"/>
  <c r="BI158" i="1"/>
  <c r="AX64" i="1"/>
  <c r="BB247" i="1"/>
  <c r="AP59" i="1"/>
  <c r="B91" i="1"/>
  <c r="O183" i="1"/>
  <c r="O109" i="1" s="1"/>
  <c r="BC247" i="1"/>
  <c r="AO59" i="1"/>
  <c r="AO81" i="1"/>
  <c r="P112" i="1"/>
  <c r="AX59" i="1"/>
  <c r="BE284" i="1"/>
  <c r="BI284" i="1"/>
  <c r="AJ59" i="1"/>
  <c r="BD247" i="1"/>
  <c r="BF158" i="1"/>
  <c r="M91" i="1"/>
  <c r="N265" i="1"/>
  <c r="O227" i="1"/>
  <c r="O163" i="1" s="1"/>
  <c r="Q227" i="1"/>
  <c r="Q163" i="1" s="1"/>
  <c r="S308" i="1"/>
  <c r="S310" i="1" s="1"/>
  <c r="BD156" i="1"/>
  <c r="AZ284" i="1"/>
  <c r="BD284" i="1"/>
  <c r="BC284" i="1"/>
  <c r="AR284" i="1"/>
  <c r="BC64" i="1"/>
  <c r="AM58" i="1"/>
  <c r="BU158" i="1"/>
  <c r="BF156" i="1"/>
  <c r="BJ303" i="1"/>
  <c r="BC59" i="1"/>
  <c r="AT284" i="1"/>
  <c r="AX247" i="1"/>
  <c r="BL158" i="1"/>
  <c r="BE157" i="1"/>
  <c r="AY59" i="1"/>
  <c r="AZ82" i="1"/>
  <c r="AL303" i="1"/>
  <c r="M308" i="1"/>
  <c r="M310" i="1" s="1"/>
  <c r="P308" i="1"/>
  <c r="P310" i="1" s="1"/>
  <c r="I256" i="1"/>
  <c r="U183" i="1"/>
  <c r="U109" i="1" s="1"/>
  <c r="O216" i="1"/>
  <c r="J244" i="1"/>
  <c r="J243" i="1" s="1"/>
  <c r="K192" i="1"/>
  <c r="O91" i="1"/>
  <c r="N192" i="1"/>
  <c r="AS157" i="1"/>
  <c r="AX81" i="1"/>
  <c r="BJ284" i="1"/>
  <c r="BM247" i="1"/>
  <c r="BJ59" i="1"/>
  <c r="Q112" i="1"/>
  <c r="BL284" i="1"/>
  <c r="AT59" i="1"/>
  <c r="O112" i="1"/>
  <c r="U216" i="1"/>
  <c r="B241" i="1"/>
  <c r="N308" i="1"/>
  <c r="N310" i="1" s="1"/>
  <c r="K256" i="1"/>
  <c r="U234" i="1"/>
  <c r="BN247" i="1"/>
  <c r="BM58" i="1"/>
  <c r="AX284" i="1"/>
  <c r="S265" i="1"/>
  <c r="AS64" i="1"/>
  <c r="AP284" i="1"/>
  <c r="M268" i="1"/>
  <c r="BU156" i="1"/>
  <c r="BU261" i="1"/>
  <c r="O308" i="1"/>
  <c r="O310" i="1" s="1"/>
  <c r="J216" i="1"/>
  <c r="J224" i="1" s="1"/>
  <c r="I227" i="1"/>
  <c r="I163" i="1" s="1"/>
  <c r="BH149" i="1"/>
  <c r="BH148" i="1"/>
  <c r="BI265" i="1"/>
  <c r="BI308" i="1"/>
  <c r="BH307" i="1"/>
  <c r="BH265" i="1"/>
  <c r="BH183" i="1"/>
  <c r="BL157" i="1"/>
  <c r="BV216" i="1"/>
  <c r="BV59" i="1"/>
  <c r="BV81" i="1"/>
  <c r="BJ158" i="1"/>
  <c r="BK157" i="1"/>
  <c r="AR240" i="1"/>
  <c r="N216" i="1"/>
  <c r="BV227" i="1"/>
  <c r="BV163" i="1" s="1"/>
  <c r="U307" i="1"/>
  <c r="P241" i="1"/>
  <c r="P245" i="1" s="1"/>
  <c r="F192" i="1"/>
  <c r="F87" i="1"/>
  <c r="BW308" i="1"/>
  <c r="C255" i="1"/>
  <c r="D308" i="1"/>
  <c r="D310" i="1" s="1"/>
  <c r="D265" i="1"/>
  <c r="D91" i="1"/>
  <c r="D183" i="1"/>
  <c r="D109" i="1" s="1"/>
  <c r="N234" i="1"/>
  <c r="N108" i="1"/>
  <c r="N307" i="1"/>
  <c r="N266" i="1"/>
  <c r="C216" i="1"/>
  <c r="C224" i="1" s="1"/>
  <c r="O266" i="1"/>
  <c r="N183" i="1"/>
  <c r="N109" i="1" s="1"/>
  <c r="BI156" i="1"/>
  <c r="M227" i="1"/>
  <c r="M163" i="1" s="1"/>
  <c r="U227" i="1"/>
  <c r="U163" i="1" s="1"/>
  <c r="D255" i="1"/>
  <c r="E265" i="1"/>
  <c r="O307" i="1"/>
  <c r="P268" i="1"/>
  <c r="M183" i="1"/>
  <c r="M109" i="1" s="1"/>
  <c r="C234" i="1"/>
  <c r="C108" i="1"/>
  <c r="D266" i="1"/>
  <c r="J305" i="1"/>
  <c r="J303" i="1"/>
  <c r="BR308" i="1"/>
  <c r="F240" i="1"/>
  <c r="F245" i="1"/>
  <c r="P303" i="1"/>
  <c r="P305" i="1"/>
  <c r="S240" i="1"/>
  <c r="AX261" i="1"/>
  <c r="AW261" i="1"/>
  <c r="M262" i="1"/>
  <c r="M260" i="1" s="1"/>
  <c r="M303" i="1"/>
  <c r="M305" i="1"/>
  <c r="L240" i="1"/>
  <c r="AR261" i="1"/>
  <c r="AQ261" i="1"/>
  <c r="BB227" i="1"/>
  <c r="AV227" i="1"/>
  <c r="C243" i="1"/>
  <c r="C245" i="1"/>
  <c r="BS87" i="1"/>
  <c r="BS188" i="1"/>
  <c r="BR192" i="1"/>
  <c r="AQ308" i="1"/>
  <c r="AN146" i="1"/>
  <c r="AN149" i="1" s="1"/>
  <c r="AN307" i="1"/>
  <c r="AV308" i="1"/>
  <c r="AR265" i="1"/>
  <c r="AR308" i="1"/>
  <c r="AO188" i="1"/>
  <c r="AO87" i="1"/>
  <c r="AN192" i="1"/>
  <c r="AN305" i="1" s="1"/>
  <c r="BC87" i="1"/>
  <c r="BB192" i="1"/>
  <c r="BC188" i="1"/>
  <c r="Q245" i="1"/>
  <c r="Q243" i="1"/>
  <c r="AV265" i="1"/>
  <c r="BT183" i="1"/>
  <c r="I243" i="1"/>
  <c r="I245" i="1"/>
  <c r="K243" i="1"/>
  <c r="E243" i="1"/>
  <c r="U243" i="1"/>
  <c r="U245" i="1"/>
  <c r="V243" i="1"/>
  <c r="V245" i="1"/>
  <c r="BN227" i="1"/>
  <c r="BN183" i="1"/>
  <c r="BC265" i="1"/>
  <c r="BC308" i="1"/>
  <c r="BB183" i="1"/>
  <c r="AT307" i="1"/>
  <c r="AS265" i="1"/>
  <c r="AS308" i="1"/>
  <c r="AR227" i="1"/>
  <c r="AS91" i="1" s="1"/>
  <c r="AR183" i="1"/>
  <c r="AR146" i="1"/>
  <c r="AR305" i="1"/>
  <c r="AX146" i="1"/>
  <c r="AX307" i="1"/>
  <c r="BU87" i="1"/>
  <c r="BT192" i="1"/>
  <c r="BU188" i="1"/>
  <c r="BG188" i="1"/>
  <c r="BG87" i="1"/>
  <c r="BF192" i="1"/>
  <c r="AW87" i="1"/>
  <c r="AV192" i="1"/>
  <c r="AW188" i="1"/>
  <c r="BE87" i="1"/>
  <c r="BE188" i="1"/>
  <c r="BD192" i="1"/>
  <c r="AQ188" i="1"/>
  <c r="AP192" i="1"/>
  <c r="AQ87" i="1"/>
  <c r="R243" i="1"/>
  <c r="AT241" i="1"/>
  <c r="AT216" i="1"/>
  <c r="BB149" i="1"/>
  <c r="BB150" i="1"/>
  <c r="BB148" i="1"/>
  <c r="AO308" i="1"/>
  <c r="AO265" i="1"/>
  <c r="AN308" i="1"/>
  <c r="AN265" i="1"/>
  <c r="AN183" i="1"/>
  <c r="AN227" i="1"/>
  <c r="BN192" i="1"/>
  <c r="BO188" i="1"/>
  <c r="BO87" i="1"/>
  <c r="AY188" i="1"/>
  <c r="AX192" i="1"/>
  <c r="AY87" i="1"/>
  <c r="AR244" i="1"/>
  <c r="AR216" i="1"/>
  <c r="AR224" i="1" s="1"/>
  <c r="BN307" i="1"/>
  <c r="BN146" i="1"/>
  <c r="BF265" i="1"/>
  <c r="BF227" i="1"/>
  <c r="BP308" i="1"/>
  <c r="BP265" i="1"/>
  <c r="BP227" i="1"/>
  <c r="BR183" i="1"/>
  <c r="BS308" i="1"/>
  <c r="BS265" i="1"/>
  <c r="BR227" i="1"/>
  <c r="BA188" i="1"/>
  <c r="BA87" i="1"/>
  <c r="AZ192" i="1"/>
  <c r="BQ87" i="1"/>
  <c r="BP192" i="1"/>
  <c r="BQ188" i="1"/>
  <c r="BC268" i="1"/>
  <c r="BB307" i="1"/>
  <c r="AR307" i="1"/>
  <c r="AR303" i="1"/>
  <c r="AX265" i="1"/>
  <c r="AX227" i="1"/>
  <c r="AX183" i="1"/>
  <c r="AX308" i="1"/>
  <c r="BO261" i="1"/>
  <c r="BP261" i="1"/>
  <c r="AT192" i="1"/>
  <c r="AU87" i="1"/>
  <c r="AU188" i="1"/>
  <c r="BD146" i="1"/>
  <c r="BD307" i="1"/>
  <c r="BO265" i="1"/>
  <c r="BO308" i="1"/>
  <c r="BN308" i="1"/>
  <c r="BN265" i="1"/>
  <c r="AW308" i="1"/>
  <c r="AW265" i="1"/>
  <c r="AN241" i="1"/>
  <c r="AN216" i="1"/>
  <c r="BT261" i="1"/>
  <c r="BS261" i="1"/>
  <c r="BV308" i="1"/>
  <c r="BU308" i="1"/>
  <c r="BU265" i="1"/>
  <c r="BV265" i="1"/>
  <c r="BT227" i="1"/>
  <c r="BT308" i="1"/>
  <c r="BT265" i="1"/>
  <c r="AP261" i="1"/>
  <c r="AO261" i="1"/>
  <c r="M243" i="1"/>
  <c r="AZ227" i="1"/>
  <c r="AZ308" i="1"/>
  <c r="AZ183" i="1"/>
  <c r="AZ265" i="1"/>
  <c r="AN243" i="1"/>
  <c r="AT183" i="1"/>
  <c r="AT308" i="1"/>
  <c r="AT265" i="1"/>
  <c r="AT227" i="1"/>
  <c r="BD265" i="1"/>
  <c r="BD183" i="1"/>
  <c r="BE308" i="1"/>
  <c r="BE265" i="1"/>
  <c r="BD227" i="1"/>
  <c r="BD308" i="1"/>
  <c r="AV146" i="1"/>
  <c r="AV307" i="1"/>
  <c r="AQ265" i="1"/>
  <c r="AP265" i="1"/>
  <c r="AP308" i="1"/>
  <c r="BG308" i="1"/>
  <c r="BH308" i="1"/>
  <c r="BB265" i="1"/>
  <c r="BA308" i="1"/>
  <c r="BB308" i="1"/>
  <c r="BA265" i="1"/>
  <c r="AU265" i="1"/>
  <c r="AU308" i="1"/>
  <c r="BP245" i="1"/>
  <c r="BP248" i="1" s="1"/>
  <c r="BR265" i="1"/>
  <c r="AY265" i="1"/>
  <c r="AY308" i="1"/>
  <c r="AQ268" i="1"/>
  <c r="AP307" i="1"/>
  <c r="AZ146" i="1"/>
  <c r="AZ307" i="1"/>
  <c r="BS268" i="1"/>
  <c r="BR307" i="1"/>
  <c r="BT146" i="1"/>
  <c r="BT307" i="1"/>
  <c r="BF308" i="1"/>
  <c r="BF183" i="1"/>
  <c r="AP227" i="1"/>
  <c r="AP183" i="1"/>
  <c r="AP149" i="1"/>
  <c r="AP148" i="1"/>
  <c r="AP150" i="1"/>
  <c r="AP244" i="1"/>
  <c r="AP216" i="1"/>
  <c r="BF146" i="1"/>
  <c r="BF307" i="1"/>
  <c r="BP150" i="1"/>
  <c r="AV183" i="1"/>
  <c r="BQ308" i="1"/>
  <c r="BP307" i="1"/>
  <c r="BP183" i="1"/>
  <c r="BP216" i="1"/>
  <c r="BG265" i="1"/>
  <c r="BQ265" i="1"/>
  <c r="BP149" i="1"/>
  <c r="AV241" i="1"/>
  <c r="AV245" i="1" s="1"/>
  <c r="AV216" i="1"/>
  <c r="BB241" i="1"/>
  <c r="BB216" i="1"/>
  <c r="BD241" i="1"/>
  <c r="BD216" i="1"/>
  <c r="AX241" i="1"/>
  <c r="AX216" i="1"/>
  <c r="BF241" i="1"/>
  <c r="BF216" i="1"/>
  <c r="BT241" i="1"/>
  <c r="BT216" i="1"/>
  <c r="BR241" i="1"/>
  <c r="BR245" i="1" s="1"/>
  <c r="BR216" i="1"/>
  <c r="BN241" i="1"/>
  <c r="BN216" i="1"/>
  <c r="AZ241" i="1"/>
  <c r="AZ216" i="1"/>
  <c r="BL67" i="1"/>
  <c r="BK65" i="1"/>
  <c r="BK82" i="1"/>
  <c r="BK67" i="1"/>
  <c r="BU82" i="1"/>
  <c r="BY66" i="1"/>
  <c r="BU65" i="1"/>
  <c r="BP82" i="1"/>
  <c r="BP66" i="1"/>
  <c r="BP65" i="1"/>
  <c r="BN243" i="1"/>
  <c r="BF65" i="1"/>
  <c r="BJ66" i="1"/>
  <c r="BE67" i="1"/>
  <c r="BD65" i="1"/>
  <c r="BD82" i="1"/>
  <c r="BD66" i="1"/>
  <c r="BE82" i="1"/>
  <c r="BE65" i="1"/>
  <c r="BF67" i="1"/>
  <c r="BR82" i="1"/>
  <c r="BR65" i="1"/>
  <c r="BH82" i="1"/>
  <c r="BH65" i="1"/>
  <c r="BL66" i="1"/>
  <c r="BH66" i="1"/>
  <c r="AT149" i="1"/>
  <c r="AT150" i="1"/>
  <c r="AT148" i="1"/>
  <c r="BW65" i="1"/>
  <c r="X113" i="1"/>
  <c r="CA66" i="1"/>
  <c r="BX67" i="1"/>
  <c r="BW82" i="1"/>
  <c r="BR150" i="1"/>
  <c r="BR148" i="1"/>
  <c r="BR149" i="1"/>
  <c r="BH305" i="1"/>
  <c r="BH303" i="1"/>
  <c r="AQ82" i="1"/>
  <c r="AQ66" i="1"/>
  <c r="AQ65" i="1"/>
  <c r="BB65" i="1"/>
  <c r="BB82" i="1"/>
  <c r="BF66" i="1"/>
  <c r="CR253" i="1"/>
  <c r="CR186" i="1"/>
  <c r="CQ262" i="1"/>
  <c r="CQ260" i="1" s="1"/>
  <c r="AB265" i="1"/>
  <c r="DB117" i="1"/>
  <c r="DB119" i="1" s="1"/>
  <c r="DA119" i="1"/>
  <c r="D165" i="1" l="1"/>
  <c r="D168" i="1" s="1"/>
  <c r="C123" i="1"/>
  <c r="C140" i="1" s="1"/>
  <c r="F264" i="1"/>
  <c r="T264" i="1"/>
  <c r="F262" i="1"/>
  <c r="F260" i="1" s="1"/>
  <c r="U257" i="1"/>
  <c r="U258" i="1" s="1"/>
  <c r="E224" i="1"/>
  <c r="E225" i="1" s="1"/>
  <c r="AR66" i="1"/>
  <c r="AN65" i="1"/>
  <c r="AR67" i="1"/>
  <c r="AN67" i="1"/>
  <c r="AR65" i="1"/>
  <c r="BV303" i="1"/>
  <c r="BN66" i="1"/>
  <c r="AR82" i="1"/>
  <c r="AR83" i="1" s="1"/>
  <c r="AN66" i="1"/>
  <c r="G264" i="1"/>
  <c r="BN82" i="1"/>
  <c r="BN88" i="1" s="1"/>
  <c r="Q264" i="1"/>
  <c r="BQ88" i="1"/>
  <c r="BQ92" i="1" s="1"/>
  <c r="BQ95" i="1" s="1"/>
  <c r="R245" i="1"/>
  <c r="R248" i="1" s="1"/>
  <c r="R249" i="1" s="1"/>
  <c r="AU66" i="1"/>
  <c r="Q224" i="1"/>
  <c r="Q225" i="1" s="1"/>
  <c r="Q305" i="1"/>
  <c r="AM146" i="1"/>
  <c r="AM148" i="1" s="1"/>
  <c r="BR66" i="1"/>
  <c r="D123" i="1"/>
  <c r="D139" i="1" s="1"/>
  <c r="E303" i="1"/>
  <c r="S257" i="1"/>
  <c r="S258" i="1" s="1"/>
  <c r="BW67" i="1"/>
  <c r="V248" i="1"/>
  <c r="V249" i="1" s="1"/>
  <c r="F257" i="1"/>
  <c r="F258" i="1" s="1"/>
  <c r="L257" i="1"/>
  <c r="L258" i="1" s="1"/>
  <c r="N257" i="1"/>
  <c r="N258" i="1" s="1"/>
  <c r="G257" i="1"/>
  <c r="G258" i="1" s="1"/>
  <c r="E262" i="1"/>
  <c r="E260" i="1" s="1"/>
  <c r="AM140" i="1"/>
  <c r="O305" i="1"/>
  <c r="O113" i="1"/>
  <c r="C264" i="1"/>
  <c r="T257" i="1"/>
  <c r="T258" i="1" s="1"/>
  <c r="B164" i="1"/>
  <c r="B167" i="1" s="1"/>
  <c r="G224" i="1"/>
  <c r="G225" i="1" s="1"/>
  <c r="AQ67" i="1"/>
  <c r="AM266" i="1"/>
  <c r="AM264" i="1" s="1"/>
  <c r="R113" i="1"/>
  <c r="U262" i="1"/>
  <c r="U260" i="1" s="1"/>
  <c r="P257" i="1"/>
  <c r="P258" i="1" s="1"/>
  <c r="P272" i="1" s="1"/>
  <c r="B224" i="1"/>
  <c r="B303" i="1" s="1"/>
  <c r="AT66" i="1"/>
  <c r="Q262" i="1"/>
  <c r="Q260" i="1" s="1"/>
  <c r="U305" i="1"/>
  <c r="C257" i="1"/>
  <c r="C258" i="1" s="1"/>
  <c r="C272" i="1" s="1"/>
  <c r="S224" i="1"/>
  <c r="S225" i="1" s="1"/>
  <c r="H257" i="1"/>
  <c r="H258" i="1" s="1"/>
  <c r="E257" i="1"/>
  <c r="E258" i="1" s="1"/>
  <c r="R264" i="1"/>
  <c r="BX87" i="1"/>
  <c r="V257" i="1"/>
  <c r="V258" i="1" s="1"/>
  <c r="K245" i="1"/>
  <c r="AO65" i="1"/>
  <c r="AP66" i="1"/>
  <c r="U224" i="1"/>
  <c r="U225" i="1" s="1"/>
  <c r="BS65" i="1"/>
  <c r="AP82" i="1"/>
  <c r="AQ85" i="1" s="1"/>
  <c r="T113" i="1"/>
  <c r="BO66" i="1"/>
  <c r="AP67" i="1"/>
  <c r="BA66" i="1"/>
  <c r="M257" i="1"/>
  <c r="M258" i="1" s="1"/>
  <c r="M272" i="1" s="1"/>
  <c r="B165" i="1"/>
  <c r="B168" i="1" s="1"/>
  <c r="AV66" i="1"/>
  <c r="BU67" i="1"/>
  <c r="O224" i="1"/>
  <c r="O225" i="1" s="1"/>
  <c r="I224" i="1"/>
  <c r="I225" i="1" s="1"/>
  <c r="L245" i="1"/>
  <c r="BV224" i="1"/>
  <c r="BV225" i="1" s="1"/>
  <c r="D262" i="1"/>
  <c r="D260" i="1" s="1"/>
  <c r="G245" i="1"/>
  <c r="G248" i="1" s="1"/>
  <c r="G249" i="1" s="1"/>
  <c r="AY67" i="1"/>
  <c r="AW67" i="1"/>
  <c r="K257" i="1"/>
  <c r="K258" i="1" s="1"/>
  <c r="AV65" i="1"/>
  <c r="BQ67" i="1"/>
  <c r="J225" i="1"/>
  <c r="R257" i="1"/>
  <c r="R258" i="1" s="1"/>
  <c r="I264" i="1"/>
  <c r="R224" i="1"/>
  <c r="R225" i="1" s="1"/>
  <c r="BF83" i="1"/>
  <c r="U113" i="1"/>
  <c r="T262" i="1"/>
  <c r="T260" i="1" s="1"/>
  <c r="S264" i="1"/>
  <c r="V264" i="1"/>
  <c r="D224" i="1"/>
  <c r="D225" i="1" s="1"/>
  <c r="BP67" i="1"/>
  <c r="BI192" i="1"/>
  <c r="BJ262" i="1" s="1"/>
  <c r="BJ260" i="1" s="1"/>
  <c r="BO67" i="1"/>
  <c r="AV82" i="1"/>
  <c r="AV88" i="1" s="1"/>
  <c r="U264" i="1"/>
  <c r="BJ84" i="1"/>
  <c r="H264" i="1"/>
  <c r="BJ95" i="1"/>
  <c r="BJ102" i="1" s="1"/>
  <c r="BT65" i="1"/>
  <c r="BV148" i="1"/>
  <c r="BX66" i="1"/>
  <c r="BV149" i="1"/>
  <c r="G305" i="1"/>
  <c r="S303" i="1"/>
  <c r="R262" i="1"/>
  <c r="R260" i="1" s="1"/>
  <c r="P264" i="1"/>
  <c r="AV67" i="1"/>
  <c r="BF88" i="1"/>
  <c r="BF92" i="1" s="1"/>
  <c r="BF94" i="1" s="1"/>
  <c r="V303" i="1"/>
  <c r="BI91" i="1"/>
  <c r="N245" i="1"/>
  <c r="V262" i="1"/>
  <c r="V260" i="1" s="1"/>
  <c r="BT66" i="1"/>
  <c r="O303" i="1"/>
  <c r="L225" i="1"/>
  <c r="BO65" i="1"/>
  <c r="E264" i="1"/>
  <c r="V224" i="1"/>
  <c r="V225" i="1" s="1"/>
  <c r="BH67" i="1"/>
  <c r="Q257" i="1"/>
  <c r="Q258" i="1" s="1"/>
  <c r="BG65" i="1"/>
  <c r="BS66" i="1"/>
  <c r="BG67" i="1"/>
  <c r="AU65" i="1"/>
  <c r="BM67" i="1"/>
  <c r="AY65" i="1"/>
  <c r="AO82" i="1"/>
  <c r="AO67" i="1"/>
  <c r="AY66" i="1"/>
  <c r="V113" i="1"/>
  <c r="BM82" i="1"/>
  <c r="U114" i="1" s="1"/>
  <c r="BU66" i="1"/>
  <c r="AY82" i="1"/>
  <c r="AZ85" i="1" s="1"/>
  <c r="T240" i="1"/>
  <c r="BK66" i="1"/>
  <c r="N224" i="1"/>
  <c r="N225" i="1" s="1"/>
  <c r="AM108" i="1"/>
  <c r="M245" i="1"/>
  <c r="J262" i="1"/>
  <c r="J260" i="1" s="1"/>
  <c r="D257" i="1"/>
  <c r="D258" i="1" s="1"/>
  <c r="BR67" i="1"/>
  <c r="AU82" i="1"/>
  <c r="AU291" i="1" s="1"/>
  <c r="AU292" i="1" s="1"/>
  <c r="BQ66" i="1"/>
  <c r="BQ291" i="1"/>
  <c r="BQ292" i="1" s="1"/>
  <c r="BQ65" i="1"/>
  <c r="AM141" i="1"/>
  <c r="O243" i="1"/>
  <c r="D245" i="1"/>
  <c r="D248" i="1" s="1"/>
  <c r="D249" i="1" s="1"/>
  <c r="I305" i="1"/>
  <c r="P225" i="1"/>
  <c r="J257" i="1"/>
  <c r="J258" i="1" s="1"/>
  <c r="BN67" i="1"/>
  <c r="E245" i="1"/>
  <c r="L264" i="1"/>
  <c r="AT87" i="1"/>
  <c r="AS192" i="1"/>
  <c r="AT262" i="1" s="1"/>
  <c r="AT260" i="1" s="1"/>
  <c r="I257" i="1"/>
  <c r="I258" i="1" s="1"/>
  <c r="BH225" i="1"/>
  <c r="BV248" i="1"/>
  <c r="T109" i="1"/>
  <c r="T225" i="1"/>
  <c r="H262" i="1"/>
  <c r="H260" i="1" s="1"/>
  <c r="I262" i="1"/>
  <c r="I260" i="1" s="1"/>
  <c r="R303" i="1"/>
  <c r="S262" i="1"/>
  <c r="S260" i="1" s="1"/>
  <c r="X262" i="1"/>
  <c r="X260" i="1" s="1"/>
  <c r="W262" i="1"/>
  <c r="W260" i="1" s="1"/>
  <c r="S243" i="1"/>
  <c r="S245" i="1"/>
  <c r="T248" i="1" s="1"/>
  <c r="T249" i="1" s="1"/>
  <c r="H224" i="1"/>
  <c r="H225" i="1" s="1"/>
  <c r="H303" i="1"/>
  <c r="BE66" i="1"/>
  <c r="BA67" i="1"/>
  <c r="BA82" i="1"/>
  <c r="BA65" i="1"/>
  <c r="B123" i="1"/>
  <c r="B122" i="1"/>
  <c r="BV66" i="1"/>
  <c r="BV82" i="1"/>
  <c r="BW85" i="1" s="1"/>
  <c r="BZ66" i="1"/>
  <c r="BV65" i="1"/>
  <c r="M264" i="1"/>
  <c r="N264" i="1"/>
  <c r="C225" i="1"/>
  <c r="O264" i="1"/>
  <c r="BD84" i="1"/>
  <c r="BT67" i="1"/>
  <c r="BW66" i="1"/>
  <c r="BS67" i="1"/>
  <c r="C165" i="1"/>
  <c r="C168" i="1" s="1"/>
  <c r="C164" i="1"/>
  <c r="C167" i="1" s="1"/>
  <c r="H240" i="1"/>
  <c r="H245" i="1"/>
  <c r="I248" i="1" s="1"/>
  <c r="I249" i="1" s="1"/>
  <c r="AT88" i="1"/>
  <c r="AT92" i="1" s="1"/>
  <c r="AT95" i="1" s="1"/>
  <c r="AT291" i="1"/>
  <c r="AT292" i="1" s="1"/>
  <c r="AT83" i="1"/>
  <c r="AW88" i="1"/>
  <c r="AW92" i="1" s="1"/>
  <c r="AW94" i="1" s="1"/>
  <c r="AW83" i="1"/>
  <c r="AW291" i="1"/>
  <c r="AW292" i="1" s="1"/>
  <c r="BM66" i="1"/>
  <c r="BI65" i="1"/>
  <c r="BI66" i="1"/>
  <c r="BI82" i="1"/>
  <c r="BL285" i="1" s="1"/>
  <c r="BJ67" i="1"/>
  <c r="AJ67" i="1"/>
  <c r="AI82" i="1"/>
  <c r="N113" i="1"/>
  <c r="AI65" i="1"/>
  <c r="AM66" i="1"/>
  <c r="Q113" i="1"/>
  <c r="BB66" i="1"/>
  <c r="AX67" i="1"/>
  <c r="AX65" i="1"/>
  <c r="AX66" i="1"/>
  <c r="AX82" i="1"/>
  <c r="BC66" i="1"/>
  <c r="BC67" i="1"/>
  <c r="BD67" i="1"/>
  <c r="S113" i="1"/>
  <c r="BC82" i="1"/>
  <c r="BD309" i="1" s="1"/>
  <c r="BD310" i="1" s="1"/>
  <c r="BC65" i="1"/>
  <c r="BG66" i="1"/>
  <c r="AZ83" i="1"/>
  <c r="AZ291" i="1"/>
  <c r="AZ292" i="1" s="1"/>
  <c r="AZ88" i="1"/>
  <c r="AZ92" i="1" s="1"/>
  <c r="K224" i="1"/>
  <c r="K225" i="1" s="1"/>
  <c r="K303" i="1"/>
  <c r="N303" i="1"/>
  <c r="O262" i="1"/>
  <c r="O260" i="1" s="1"/>
  <c r="O272" i="1" s="1"/>
  <c r="N305" i="1"/>
  <c r="N262" i="1"/>
  <c r="N260" i="1" s="1"/>
  <c r="B240" i="1"/>
  <c r="B245" i="1"/>
  <c r="C248" i="1" s="1"/>
  <c r="C249" i="1" s="1"/>
  <c r="AS67" i="1"/>
  <c r="AS65" i="1"/>
  <c r="AT67" i="1"/>
  <c r="AS82" i="1"/>
  <c r="AW66" i="1"/>
  <c r="AS66" i="1"/>
  <c r="K305" i="1"/>
  <c r="K262" i="1"/>
  <c r="K260" i="1" s="1"/>
  <c r="L262" i="1"/>
  <c r="L260" i="1" s="1"/>
  <c r="G262" i="1"/>
  <c r="G260" i="1" s="1"/>
  <c r="P113" i="1"/>
  <c r="J245" i="1"/>
  <c r="BW91" i="1"/>
  <c r="M225" i="1"/>
  <c r="F305" i="1"/>
  <c r="F303" i="1"/>
  <c r="C303" i="1"/>
  <c r="F224" i="1"/>
  <c r="F225" i="1" s="1"/>
  <c r="P240" i="1"/>
  <c r="D264" i="1"/>
  <c r="AW91" i="1"/>
  <c r="AV163" i="1"/>
  <c r="BS192" i="1"/>
  <c r="BT87" i="1"/>
  <c r="BR305" i="1"/>
  <c r="BR303" i="1"/>
  <c r="AP87" i="1"/>
  <c r="AO192" i="1"/>
  <c r="AN148" i="1"/>
  <c r="AN150" i="1"/>
  <c r="Q248" i="1"/>
  <c r="Q249" i="1" s="1"/>
  <c r="BR224" i="1"/>
  <c r="BR225" i="1" s="1"/>
  <c r="BB163" i="1"/>
  <c r="BC91" i="1"/>
  <c r="AR225" i="1"/>
  <c r="AN224" i="1"/>
  <c r="AN225" i="1" s="1"/>
  <c r="BP224" i="1"/>
  <c r="BP225" i="1" s="1"/>
  <c r="BN163" i="1"/>
  <c r="BO91" i="1"/>
  <c r="AZ87" i="1"/>
  <c r="AY192" i="1"/>
  <c r="BN262" i="1"/>
  <c r="BN260" i="1" s="1"/>
  <c r="BN305" i="1"/>
  <c r="BN303" i="1"/>
  <c r="BN150" i="1"/>
  <c r="BN149" i="1"/>
  <c r="BN148" i="1"/>
  <c r="BP163" i="1"/>
  <c r="BQ91" i="1"/>
  <c r="BB224" i="1"/>
  <c r="BB225" i="1" s="1"/>
  <c r="BF224" i="1"/>
  <c r="BF225" i="1" s="1"/>
  <c r="BT224" i="1"/>
  <c r="BT225" i="1" s="1"/>
  <c r="BF305" i="1"/>
  <c r="BF303" i="1"/>
  <c r="AP305" i="1"/>
  <c r="AP303" i="1"/>
  <c r="BG91" i="1"/>
  <c r="BF163" i="1"/>
  <c r="BD87" i="1"/>
  <c r="BC192" i="1"/>
  <c r="BN224" i="1"/>
  <c r="BN225" i="1" s="1"/>
  <c r="AZ224" i="1"/>
  <c r="AZ225" i="1" s="1"/>
  <c r="AN303" i="1"/>
  <c r="AN262" i="1"/>
  <c r="AN260" i="1" s="1"/>
  <c r="BT305" i="1"/>
  <c r="BT303" i="1"/>
  <c r="AW192" i="1"/>
  <c r="AX87" i="1"/>
  <c r="BS91" i="1"/>
  <c r="BR163" i="1"/>
  <c r="BA192" i="1"/>
  <c r="BB87" i="1"/>
  <c r="AZ303" i="1"/>
  <c r="AZ305" i="1"/>
  <c r="BR87" i="1"/>
  <c r="BQ192" i="1"/>
  <c r="AN240" i="1"/>
  <c r="AN245" i="1"/>
  <c r="BB305" i="1"/>
  <c r="BB303" i="1"/>
  <c r="BG192" i="1"/>
  <c r="BH87" i="1"/>
  <c r="AV303" i="1"/>
  <c r="AV305" i="1"/>
  <c r="BE192" i="1"/>
  <c r="BF87" i="1"/>
  <c r="BD303" i="1"/>
  <c r="BD305" i="1"/>
  <c r="AX305" i="1"/>
  <c r="AX303" i="1"/>
  <c r="AU91" i="1"/>
  <c r="AT163" i="1"/>
  <c r="AP224" i="1"/>
  <c r="AP225" i="1" s="1"/>
  <c r="BD224" i="1"/>
  <c r="BD225" i="1" s="1"/>
  <c r="AR148" i="1"/>
  <c r="AR150" i="1"/>
  <c r="AR149" i="1"/>
  <c r="AX150" i="1"/>
  <c r="AX149" i="1"/>
  <c r="AX148" i="1"/>
  <c r="BV87" i="1"/>
  <c r="BU192" i="1"/>
  <c r="AQ192" i="1"/>
  <c r="AR87" i="1"/>
  <c r="AT245" i="1"/>
  <c r="AT240" i="1"/>
  <c r="AO91" i="1"/>
  <c r="AN163" i="1"/>
  <c r="AR245" i="1"/>
  <c r="AR243" i="1"/>
  <c r="AV87" i="1"/>
  <c r="AU192" i="1"/>
  <c r="BD149" i="1"/>
  <c r="BD148" i="1"/>
  <c r="BD150" i="1"/>
  <c r="BU91" i="1"/>
  <c r="BT163" i="1"/>
  <c r="BE91" i="1"/>
  <c r="BD163" i="1"/>
  <c r="AV150" i="1"/>
  <c r="AV148" i="1"/>
  <c r="AV149" i="1"/>
  <c r="U248" i="1"/>
  <c r="U249" i="1" s="1"/>
  <c r="P248" i="1"/>
  <c r="P249" i="1" s="1"/>
  <c r="AV224" i="1"/>
  <c r="AV225" i="1" s="1"/>
  <c r="AX224" i="1"/>
  <c r="AX225" i="1" s="1"/>
  <c r="BP87" i="1"/>
  <c r="BO192" i="1"/>
  <c r="BP305" i="1"/>
  <c r="BP303" i="1"/>
  <c r="AY91" i="1"/>
  <c r="AX163" i="1"/>
  <c r="AT224" i="1"/>
  <c r="AT225" i="1" s="1"/>
  <c r="AT305" i="1"/>
  <c r="AT303" i="1"/>
  <c r="AP163" i="1"/>
  <c r="AQ91" i="1"/>
  <c r="AZ163" i="1"/>
  <c r="BA91" i="1"/>
  <c r="AZ149" i="1"/>
  <c r="AZ150" i="1"/>
  <c r="AZ148" i="1"/>
  <c r="AP245" i="1"/>
  <c r="AP248" i="1" s="1"/>
  <c r="AP243" i="1"/>
  <c r="AX240" i="1"/>
  <c r="AX245" i="1"/>
  <c r="BF240" i="1"/>
  <c r="BF245" i="1"/>
  <c r="BJ248" i="1" s="1"/>
  <c r="BT150" i="1"/>
  <c r="BT149" i="1"/>
  <c r="BT148" i="1"/>
  <c r="BF149" i="1"/>
  <c r="BF150" i="1"/>
  <c r="BF148" i="1"/>
  <c r="AV240" i="1"/>
  <c r="BR240" i="1"/>
  <c r="BN240" i="1"/>
  <c r="BN245" i="1"/>
  <c r="BB245" i="1"/>
  <c r="BB240" i="1"/>
  <c r="BD240" i="1"/>
  <c r="BD245" i="1"/>
  <c r="BT245" i="1"/>
  <c r="BT240" i="1"/>
  <c r="BX262" i="1"/>
  <c r="BX260" i="1" s="1"/>
  <c r="BW262" i="1"/>
  <c r="BW260" i="1" s="1"/>
  <c r="AZ245" i="1"/>
  <c r="AZ248" i="1" s="1"/>
  <c r="AZ240" i="1"/>
  <c r="BS285" i="1"/>
  <c r="BO84" i="1"/>
  <c r="BK84" i="1"/>
  <c r="BK85" i="1"/>
  <c r="BK83" i="1"/>
  <c r="BL85" i="1"/>
  <c r="BK291" i="1"/>
  <c r="BK292" i="1" s="1"/>
  <c r="BK88" i="1"/>
  <c r="BK92" i="1" s="1"/>
  <c r="BK309" i="1"/>
  <c r="BK310" i="1" s="1"/>
  <c r="BL309" i="1"/>
  <c r="BL310" i="1" s="1"/>
  <c r="BU84" i="1"/>
  <c r="BU83" i="1"/>
  <c r="BU291" i="1"/>
  <c r="BU292" i="1" s="1"/>
  <c r="BY84" i="1"/>
  <c r="BU88" i="1"/>
  <c r="BU92" i="1" s="1"/>
  <c r="BF309" i="1"/>
  <c r="BF310" i="1" s="1"/>
  <c r="BQ85" i="1"/>
  <c r="BP83" i="1"/>
  <c r="BP84" i="1"/>
  <c r="BP291" i="1"/>
  <c r="BP292" i="1" s="1"/>
  <c r="BP88" i="1"/>
  <c r="BP92" i="1" s="1"/>
  <c r="BQ309" i="1"/>
  <c r="BQ310" i="1" s="1"/>
  <c r="BE85" i="1"/>
  <c r="BD88" i="1"/>
  <c r="BD92" i="1" s="1"/>
  <c r="BD83" i="1"/>
  <c r="BD291" i="1"/>
  <c r="BD292" i="1" s="1"/>
  <c r="BE309" i="1"/>
  <c r="BE310" i="1" s="1"/>
  <c r="BE291" i="1"/>
  <c r="BE292" i="1" s="1"/>
  <c r="BE83" i="1"/>
  <c r="BE88" i="1"/>
  <c r="BE92" i="1" s="1"/>
  <c r="BF85" i="1"/>
  <c r="BO83" i="1"/>
  <c r="BO88" i="1"/>
  <c r="BO92" i="1" s="1"/>
  <c r="BO291" i="1"/>
  <c r="BO292" i="1" s="1"/>
  <c r="BP85" i="1"/>
  <c r="BP309" i="1"/>
  <c r="BP310" i="1" s="1"/>
  <c r="BH164" i="1"/>
  <c r="BH165" i="1"/>
  <c r="BT309" i="1"/>
  <c r="BT310" i="1" s="1"/>
  <c r="BV164" i="1"/>
  <c r="BV165" i="1"/>
  <c r="BS84" i="1"/>
  <c r="BS88" i="1"/>
  <c r="BS92" i="1" s="1"/>
  <c r="BS83" i="1"/>
  <c r="BS291" i="1"/>
  <c r="BS292" i="1" s="1"/>
  <c r="BS309" i="1"/>
  <c r="BS310" i="1" s="1"/>
  <c r="BS166" i="1"/>
  <c r="BT285" i="1"/>
  <c r="BR309" i="1"/>
  <c r="BR310" i="1" s="1"/>
  <c r="BR83" i="1"/>
  <c r="BR85" i="1"/>
  <c r="BS85" i="1"/>
  <c r="V114" i="1"/>
  <c r="BR285" i="1"/>
  <c r="BR291" i="1"/>
  <c r="BR292" i="1" s="1"/>
  <c r="BR166" i="1"/>
  <c r="BR88" i="1"/>
  <c r="BT166" i="1"/>
  <c r="BT85" i="1"/>
  <c r="BG83" i="1"/>
  <c r="BH285" i="1"/>
  <c r="BG166" i="1"/>
  <c r="BG309" i="1"/>
  <c r="BG310" i="1" s="1"/>
  <c r="BG88" i="1"/>
  <c r="BG291" i="1"/>
  <c r="BG292" i="1" s="1"/>
  <c r="BH166" i="1"/>
  <c r="BH85" i="1"/>
  <c r="BG285" i="1"/>
  <c r="BG85" i="1"/>
  <c r="BL84" i="1"/>
  <c r="BH83" i="1"/>
  <c r="BH88" i="1"/>
  <c r="BH92" i="1" s="1"/>
  <c r="BH291" i="1"/>
  <c r="BH292" i="1" s="1"/>
  <c r="BH309" i="1"/>
  <c r="BH310" i="1" s="1"/>
  <c r="BH84" i="1"/>
  <c r="BW84" i="1"/>
  <c r="AN309" i="1"/>
  <c r="AN310" i="1" s="1"/>
  <c r="AN88" i="1"/>
  <c r="AN85" i="1"/>
  <c r="AN83" i="1"/>
  <c r="AN291" i="1"/>
  <c r="AN292" i="1" s="1"/>
  <c r="AN285" i="1"/>
  <c r="AN166" i="1"/>
  <c r="AN84" i="1"/>
  <c r="BB88" i="1"/>
  <c r="BF84" i="1"/>
  <c r="BB291" i="1"/>
  <c r="BB292" i="1" s="1"/>
  <c r="BB83" i="1"/>
  <c r="BW291" i="1"/>
  <c r="BW292" i="1" s="1"/>
  <c r="BX85" i="1"/>
  <c r="X114" i="1"/>
  <c r="BW83" i="1"/>
  <c r="BZ166" i="1"/>
  <c r="BZ285" i="1"/>
  <c r="BW88" i="1"/>
  <c r="CA84" i="1"/>
  <c r="BX309" i="1"/>
  <c r="BX310" i="1" s="1"/>
  <c r="AQ83" i="1"/>
  <c r="AQ291" i="1"/>
  <c r="AQ292" i="1" s="1"/>
  <c r="AQ88" i="1"/>
  <c r="AQ84" i="1"/>
  <c r="BT88" i="1"/>
  <c r="BU309" i="1"/>
  <c r="BU310" i="1" s="1"/>
  <c r="BT83" i="1"/>
  <c r="BX84" i="1"/>
  <c r="BU85" i="1"/>
  <c r="BT291" i="1"/>
  <c r="BT292" i="1" s="1"/>
  <c r="BT84" i="1"/>
  <c r="BU166" i="1"/>
  <c r="CR188" i="1"/>
  <c r="AC178" i="1"/>
  <c r="C139" i="1" l="1"/>
  <c r="C141" i="1"/>
  <c r="C124" i="1"/>
  <c r="F272" i="1"/>
  <c r="BN83" i="1"/>
  <c r="F269" i="1"/>
  <c r="F270" i="1" s="1"/>
  <c r="C143" i="1"/>
  <c r="B143" i="1"/>
  <c r="D141" i="1"/>
  <c r="BV85" i="1"/>
  <c r="BQ94" i="1"/>
  <c r="AQ309" i="1"/>
  <c r="AQ310" i="1" s="1"/>
  <c r="AT285" i="1"/>
  <c r="U272" i="1"/>
  <c r="AR84" i="1"/>
  <c r="BO309" i="1"/>
  <c r="BO310" i="1" s="1"/>
  <c r="BN291" i="1"/>
  <c r="BN292" i="1" s="1"/>
  <c r="AM149" i="1"/>
  <c r="BY166" i="1"/>
  <c r="BW285" i="1"/>
  <c r="BO85" i="1"/>
  <c r="BN309" i="1"/>
  <c r="BN310" i="1" s="1"/>
  <c r="AM150" i="1"/>
  <c r="AY88" i="1"/>
  <c r="AY92" i="1" s="1"/>
  <c r="AY95" i="1" s="1"/>
  <c r="D272" i="1"/>
  <c r="AR291" i="1"/>
  <c r="AR292" i="1" s="1"/>
  <c r="AY291" i="1"/>
  <c r="AY292" i="1" s="1"/>
  <c r="AR309" i="1"/>
  <c r="AR310" i="1" s="1"/>
  <c r="AR85" i="1"/>
  <c r="AR88" i="1"/>
  <c r="AR92" i="1" s="1"/>
  <c r="AR94" i="1" s="1"/>
  <c r="AQ166" i="1"/>
  <c r="V272" i="1"/>
  <c r="R272" i="1"/>
  <c r="AW309" i="1"/>
  <c r="AW310" i="1" s="1"/>
  <c r="BI166" i="1"/>
  <c r="D124" i="1"/>
  <c r="BR84" i="1"/>
  <c r="AW85" i="1"/>
  <c r="BV84" i="1"/>
  <c r="D140" i="1"/>
  <c r="N272" i="1"/>
  <c r="BQ166" i="1"/>
  <c r="BX166" i="1"/>
  <c r="BX167" i="1" s="1"/>
  <c r="BQ285" i="1"/>
  <c r="BN84" i="1"/>
  <c r="G272" i="1"/>
  <c r="L269" i="1"/>
  <c r="L270" i="1" s="1"/>
  <c r="L272" i="1"/>
  <c r="T272" i="1"/>
  <c r="AP88" i="1"/>
  <c r="AP92" i="1" s="1"/>
  <c r="AP94" i="1" s="1"/>
  <c r="AV291" i="1"/>
  <c r="AV292" i="1" s="1"/>
  <c r="AP291" i="1"/>
  <c r="AP292" i="1" s="1"/>
  <c r="L248" i="1"/>
  <c r="L249" i="1" s="1"/>
  <c r="E272" i="1"/>
  <c r="AO84" i="1"/>
  <c r="BO285" i="1"/>
  <c r="AV83" i="1"/>
  <c r="BM309" i="1"/>
  <c r="BM310" i="1" s="1"/>
  <c r="AP84" i="1"/>
  <c r="C269" i="1"/>
  <c r="C270" i="1" s="1"/>
  <c r="AZ285" i="1"/>
  <c r="AP83" i="1"/>
  <c r="AT84" i="1"/>
  <c r="K248" i="1"/>
  <c r="K249" i="1" s="1"/>
  <c r="AY309" i="1"/>
  <c r="AY310" i="1" s="1"/>
  <c r="S269" i="1"/>
  <c r="S270" i="1" s="1"/>
  <c r="AX84" i="1"/>
  <c r="AX309" i="1"/>
  <c r="AX310" i="1" s="1"/>
  <c r="AY85" i="1"/>
  <c r="B225" i="1"/>
  <c r="M269" i="1"/>
  <c r="M270" i="1" s="1"/>
  <c r="BA166" i="1"/>
  <c r="E269" i="1"/>
  <c r="E270" i="1" s="1"/>
  <c r="P269" i="1"/>
  <c r="P270" i="1" s="1"/>
  <c r="BJ96" i="1"/>
  <c r="BJ304" i="1" s="1"/>
  <c r="P114" i="1"/>
  <c r="AY285" i="1"/>
  <c r="U269" i="1"/>
  <c r="U270" i="1" s="1"/>
  <c r="BJ293" i="1"/>
  <c r="AY166" i="1"/>
  <c r="AX85" i="1"/>
  <c r="AZ84" i="1"/>
  <c r="AZ309" i="1"/>
  <c r="AZ310" i="1" s="1"/>
  <c r="M248" i="1"/>
  <c r="M249" i="1" s="1"/>
  <c r="Q272" i="1"/>
  <c r="BB84" i="1"/>
  <c r="AU309" i="1"/>
  <c r="AU310" i="1" s="1"/>
  <c r="S272" i="1"/>
  <c r="AX291" i="1"/>
  <c r="AX292" i="1" s="1"/>
  <c r="AU85" i="1"/>
  <c r="BM291" i="1"/>
  <c r="BM292" i="1" s="1"/>
  <c r="T269" i="1"/>
  <c r="T270" i="1" s="1"/>
  <c r="AU84" i="1"/>
  <c r="BM85" i="1"/>
  <c r="BI262" i="1"/>
  <c r="BI260" i="1" s="1"/>
  <c r="AW285" i="1"/>
  <c r="BQ84" i="1"/>
  <c r="I272" i="1"/>
  <c r="BE166" i="1"/>
  <c r="Q114" i="1"/>
  <c r="AV85" i="1"/>
  <c r="BM83" i="1"/>
  <c r="AU88" i="1"/>
  <c r="AU92" i="1" s="1"/>
  <c r="AU94" i="1" s="1"/>
  <c r="BF95" i="1"/>
  <c r="BF102" i="1" s="1"/>
  <c r="BM88" i="1"/>
  <c r="BM92" i="1" s="1"/>
  <c r="BM94" i="1" s="1"/>
  <c r="BM285" i="1"/>
  <c r="N248" i="1"/>
  <c r="N249" i="1" s="1"/>
  <c r="V269" i="1"/>
  <c r="V270" i="1" s="1"/>
  <c r="BC309" i="1"/>
  <c r="BC310" i="1" s="1"/>
  <c r="BP166" i="1"/>
  <c r="BK285" i="1"/>
  <c r="BN166" i="1"/>
  <c r="AU83" i="1"/>
  <c r="AS262" i="1"/>
  <c r="AS260" i="1" s="1"/>
  <c r="BM166" i="1"/>
  <c r="D303" i="1"/>
  <c r="R269" i="1"/>
  <c r="R270" i="1" s="1"/>
  <c r="BP285" i="1"/>
  <c r="AW166" i="1"/>
  <c r="BN85" i="1"/>
  <c r="AV309" i="1"/>
  <c r="AV310" i="1" s="1"/>
  <c r="BO166" i="1"/>
  <c r="Q269" i="1"/>
  <c r="Q270" i="1" s="1"/>
  <c r="H269" i="1"/>
  <c r="H270" i="1" s="1"/>
  <c r="BE285" i="1"/>
  <c r="BN285" i="1"/>
  <c r="E248" i="1"/>
  <c r="E249" i="1" s="1"/>
  <c r="AX166" i="1"/>
  <c r="J269" i="1"/>
  <c r="J270" i="1" s="1"/>
  <c r="AO309" i="1"/>
  <c r="AO310" i="1" s="1"/>
  <c r="G269" i="1"/>
  <c r="G270" i="1" s="1"/>
  <c r="AP166" i="1"/>
  <c r="BK166" i="1"/>
  <c r="BV309" i="1"/>
  <c r="BV310" i="1" s="1"/>
  <c r="AY83" i="1"/>
  <c r="O248" i="1"/>
  <c r="O249" i="1" s="1"/>
  <c r="AV84" i="1"/>
  <c r="AY84" i="1"/>
  <c r="BI83" i="1"/>
  <c r="I269" i="1"/>
  <c r="I270" i="1" s="1"/>
  <c r="BY285" i="1"/>
  <c r="AO166" i="1"/>
  <c r="BB285" i="1"/>
  <c r="BV166" i="1"/>
  <c r="BV168" i="1" s="1"/>
  <c r="BI88" i="1"/>
  <c r="BJ109" i="1" s="1"/>
  <c r="H272" i="1"/>
  <c r="AV166" i="1"/>
  <c r="AT94" i="1"/>
  <c r="BW166" i="1"/>
  <c r="AX88" i="1"/>
  <c r="AZ166" i="1"/>
  <c r="BV285" i="1"/>
  <c r="BX285" i="1"/>
  <c r="AR166" i="1"/>
  <c r="BI85" i="1"/>
  <c r="AP309" i="1"/>
  <c r="AP310" i="1" s="1"/>
  <c r="AW95" i="1"/>
  <c r="AW293" i="1" s="1"/>
  <c r="AO88" i="1"/>
  <c r="AO92" i="1" s="1"/>
  <c r="AO94" i="1" s="1"/>
  <c r="BI309" i="1"/>
  <c r="BI310" i="1" s="1"/>
  <c r="BD285" i="1"/>
  <c r="AP285" i="1"/>
  <c r="BE84" i="1"/>
  <c r="H248" i="1"/>
  <c r="H249" i="1" s="1"/>
  <c r="O269" i="1"/>
  <c r="O270" i="1" s="1"/>
  <c r="BA85" i="1"/>
  <c r="S248" i="1"/>
  <c r="S249" i="1" s="1"/>
  <c r="AQ285" i="1"/>
  <c r="BC285" i="1"/>
  <c r="BB166" i="1"/>
  <c r="AR285" i="1"/>
  <c r="F248" i="1"/>
  <c r="F249" i="1" s="1"/>
  <c r="J248" i="1"/>
  <c r="J249" i="1" s="1"/>
  <c r="N269" i="1"/>
  <c r="N270" i="1" s="1"/>
  <c r="BA84" i="1"/>
  <c r="BD166" i="1"/>
  <c r="BI285" i="1"/>
  <c r="BC166" i="1"/>
  <c r="BM84" i="1"/>
  <c r="BI291" i="1"/>
  <c r="BI292" i="1" s="1"/>
  <c r="AO291" i="1"/>
  <c r="AO292" i="1" s="1"/>
  <c r="BJ166" i="1"/>
  <c r="BJ168" i="1" s="1"/>
  <c r="J272" i="1"/>
  <c r="AT166" i="1"/>
  <c r="BJ285" i="1"/>
  <c r="AP85" i="1"/>
  <c r="BJ309" i="1"/>
  <c r="BJ310" i="1" s="1"/>
  <c r="AO83" i="1"/>
  <c r="BW309" i="1"/>
  <c r="BW310" i="1" s="1"/>
  <c r="BB85" i="1"/>
  <c r="AX83" i="1"/>
  <c r="AO85" i="1"/>
  <c r="AO285" i="1"/>
  <c r="T114" i="1"/>
  <c r="O114" i="1"/>
  <c r="BJ85" i="1"/>
  <c r="D269" i="1"/>
  <c r="D270" i="1" s="1"/>
  <c r="AS84" i="1"/>
  <c r="BB309" i="1"/>
  <c r="BB310" i="1" s="1"/>
  <c r="R114" i="1"/>
  <c r="BL166" i="1"/>
  <c r="BI84" i="1"/>
  <c r="AI83" i="1"/>
  <c r="AI291" i="1"/>
  <c r="AI292" i="1" s="1"/>
  <c r="AL285" i="1"/>
  <c r="N114" i="1"/>
  <c r="AI88" i="1"/>
  <c r="AM84" i="1"/>
  <c r="AJ85" i="1"/>
  <c r="AL166" i="1"/>
  <c r="BA285" i="1"/>
  <c r="AX285" i="1"/>
  <c r="BC83" i="1"/>
  <c r="S114" i="1"/>
  <c r="BC88" i="1"/>
  <c r="BF166" i="1"/>
  <c r="BG84" i="1"/>
  <c r="BD85" i="1"/>
  <c r="BC85" i="1"/>
  <c r="BC291" i="1"/>
  <c r="BC292" i="1" s="1"/>
  <c r="BF285" i="1"/>
  <c r="BC84" i="1"/>
  <c r="AZ94" i="1"/>
  <c r="AZ95" i="1"/>
  <c r="AS85" i="1"/>
  <c r="AS309" i="1"/>
  <c r="AS310" i="1" s="1"/>
  <c r="AU285" i="1"/>
  <c r="AU166" i="1"/>
  <c r="AV285" i="1"/>
  <c r="AT85" i="1"/>
  <c r="AW84" i="1"/>
  <c r="AS88" i="1"/>
  <c r="AS291" i="1"/>
  <c r="AS292" i="1" s="1"/>
  <c r="AS166" i="1"/>
  <c r="AS285" i="1"/>
  <c r="AT309" i="1"/>
  <c r="AT310" i="1" s="1"/>
  <c r="AS83" i="1"/>
  <c r="K269" i="1"/>
  <c r="K270" i="1" s="1"/>
  <c r="K272" i="1"/>
  <c r="BA88" i="1"/>
  <c r="BA291" i="1"/>
  <c r="BA292" i="1" s="1"/>
  <c r="BA83" i="1"/>
  <c r="BA309" i="1"/>
  <c r="BA310" i="1" s="1"/>
  <c r="B140" i="1"/>
  <c r="B139" i="1"/>
  <c r="B141" i="1"/>
  <c r="BV291" i="1"/>
  <c r="BV292" i="1" s="1"/>
  <c r="BV83" i="1"/>
  <c r="BZ84" i="1"/>
  <c r="BV88" i="1"/>
  <c r="BV109" i="1" s="1"/>
  <c r="AV164" i="1"/>
  <c r="AV165" i="1"/>
  <c r="BT262" i="1"/>
  <c r="BT260" i="1" s="1"/>
  <c r="BS262" i="1"/>
  <c r="BS260" i="1" s="1"/>
  <c r="AP262" i="1"/>
  <c r="AP260" i="1" s="1"/>
  <c r="AO262" i="1"/>
  <c r="AO260" i="1" s="1"/>
  <c r="BB165" i="1"/>
  <c r="BB164" i="1"/>
  <c r="BN165" i="1"/>
  <c r="BN164" i="1"/>
  <c r="BP164" i="1"/>
  <c r="BP165" i="1"/>
  <c r="AY262" i="1"/>
  <c r="AY260" i="1" s="1"/>
  <c r="AZ262" i="1"/>
  <c r="AZ260" i="1" s="1"/>
  <c r="BF165" i="1"/>
  <c r="BF164" i="1"/>
  <c r="BC262" i="1"/>
  <c r="BC260" i="1" s="1"/>
  <c r="BD262" i="1"/>
  <c r="BD260" i="1" s="1"/>
  <c r="AX262" i="1"/>
  <c r="AX260" i="1" s="1"/>
  <c r="AW262" i="1"/>
  <c r="AW260" i="1" s="1"/>
  <c r="BB262" i="1"/>
  <c r="BB260" i="1" s="1"/>
  <c r="BA262" i="1"/>
  <c r="BA260" i="1" s="1"/>
  <c r="BR262" i="1"/>
  <c r="BR260" i="1" s="1"/>
  <c r="BQ262" i="1"/>
  <c r="BQ260" i="1" s="1"/>
  <c r="BH262" i="1"/>
  <c r="BH260" i="1" s="1"/>
  <c r="BG262" i="1"/>
  <c r="BG260" i="1" s="1"/>
  <c r="AR262" i="1"/>
  <c r="AR260" i="1" s="1"/>
  <c r="AQ262" i="1"/>
  <c r="AQ260" i="1" s="1"/>
  <c r="AR248" i="1"/>
  <c r="AV248" i="1"/>
  <c r="BR164" i="1"/>
  <c r="BR167" i="1" s="1"/>
  <c r="BR165" i="1"/>
  <c r="BR168" i="1" s="1"/>
  <c r="BE262" i="1"/>
  <c r="BE260" i="1" s="1"/>
  <c r="BF262" i="1"/>
  <c r="BF260" i="1" s="1"/>
  <c r="AT165" i="1"/>
  <c r="AT164" i="1"/>
  <c r="AN165" i="1"/>
  <c r="AN168" i="1" s="1"/>
  <c r="AN164" i="1"/>
  <c r="AN167" i="1" s="1"/>
  <c r="AT248" i="1"/>
  <c r="AX248" i="1"/>
  <c r="BV262" i="1"/>
  <c r="BV260" i="1" s="1"/>
  <c r="BU262" i="1"/>
  <c r="BU260" i="1" s="1"/>
  <c r="AV262" i="1"/>
  <c r="AV260" i="1" s="1"/>
  <c r="AU262" i="1"/>
  <c r="AU260" i="1" s="1"/>
  <c r="BT165" i="1"/>
  <c r="BT168" i="1" s="1"/>
  <c r="BT164" i="1"/>
  <c r="BT167" i="1" s="1"/>
  <c r="BD165" i="1"/>
  <c r="BD164" i="1"/>
  <c r="BO262" i="1"/>
  <c r="BO260" i="1" s="1"/>
  <c r="BP262" i="1"/>
  <c r="BP260" i="1" s="1"/>
  <c r="AX164" i="1"/>
  <c r="AX165" i="1"/>
  <c r="AP164" i="1"/>
  <c r="AP165" i="1"/>
  <c r="AZ164" i="1"/>
  <c r="AZ165" i="1"/>
  <c r="BH248" i="1"/>
  <c r="BD248" i="1"/>
  <c r="BN248" i="1"/>
  <c r="BR248" i="1"/>
  <c r="BB248" i="1"/>
  <c r="BF248" i="1"/>
  <c r="BT248" i="1"/>
  <c r="BX248" i="1"/>
  <c r="BK95" i="1"/>
  <c r="BK94" i="1"/>
  <c r="BU95" i="1"/>
  <c r="BY97" i="1" s="1"/>
  <c r="BU94" i="1"/>
  <c r="BP94" i="1"/>
  <c r="BP95" i="1"/>
  <c r="BQ98" i="1" s="1"/>
  <c r="BE94" i="1"/>
  <c r="BE95" i="1"/>
  <c r="BD94" i="1"/>
  <c r="BD95" i="1"/>
  <c r="BO95" i="1"/>
  <c r="BO94" i="1"/>
  <c r="BR92" i="1"/>
  <c r="BR109" i="1"/>
  <c r="BN92" i="1"/>
  <c r="BH95" i="1"/>
  <c r="BH94" i="1"/>
  <c r="AQ92" i="1"/>
  <c r="BZ109" i="1"/>
  <c r="BW92" i="1"/>
  <c r="BB92" i="1"/>
  <c r="AN109" i="1"/>
  <c r="AN92" i="1"/>
  <c r="BH167" i="1"/>
  <c r="BH168" i="1"/>
  <c r="AV92" i="1"/>
  <c r="BT92" i="1"/>
  <c r="BT109" i="1"/>
  <c r="BZ167" i="1"/>
  <c r="BZ168" i="1"/>
  <c r="BG92" i="1"/>
  <c r="BH109" i="1"/>
  <c r="BS94" i="1"/>
  <c r="BS95" i="1"/>
  <c r="BJ106" i="1"/>
  <c r="BJ252" i="1"/>
  <c r="BJ254" i="1" s="1"/>
  <c r="BJ120" i="1"/>
  <c r="BQ96" i="1"/>
  <c r="BQ304" i="1" s="1"/>
  <c r="BQ102" i="1"/>
  <c r="BQ293" i="1"/>
  <c r="AT102" i="1"/>
  <c r="AT293" i="1"/>
  <c r="AT96" i="1"/>
  <c r="AT304" i="1" s="1"/>
  <c r="CR192" i="1"/>
  <c r="CS86" i="1"/>
  <c r="AV168" i="1" l="1"/>
  <c r="BB167" i="1"/>
  <c r="AZ109" i="1"/>
  <c r="AY94" i="1"/>
  <c r="BX168" i="1"/>
  <c r="AR95" i="1"/>
  <c r="AR293" i="1" s="1"/>
  <c r="AP95" i="1"/>
  <c r="AP97" i="1" s="1"/>
  <c r="AZ167" i="1"/>
  <c r="BD168" i="1"/>
  <c r="AP168" i="1"/>
  <c r="AP167" i="1"/>
  <c r="BF96" i="1"/>
  <c r="BF304" i="1" s="1"/>
  <c r="BF293" i="1"/>
  <c r="AU95" i="1"/>
  <c r="AU98" i="1" s="1"/>
  <c r="AR109" i="1"/>
  <c r="BN168" i="1"/>
  <c r="AV167" i="1"/>
  <c r="AZ168" i="1"/>
  <c r="BD167" i="1"/>
  <c r="BP109" i="1"/>
  <c r="BM95" i="1"/>
  <c r="BM96" i="1" s="1"/>
  <c r="BM304" i="1" s="1"/>
  <c r="BP168" i="1"/>
  <c r="AW102" i="1"/>
  <c r="AW252" i="1" s="1"/>
  <c r="AW254" i="1" s="1"/>
  <c r="BN109" i="1"/>
  <c r="BJ97" i="1"/>
  <c r="AX167" i="1"/>
  <c r="BP167" i="1"/>
  <c r="BV167" i="1"/>
  <c r="AX109" i="1"/>
  <c r="AX168" i="1"/>
  <c r="AX92" i="1"/>
  <c r="AX95" i="1" s="1"/>
  <c r="BN167" i="1"/>
  <c r="BI92" i="1"/>
  <c r="BI94" i="1" s="1"/>
  <c r="BL109" i="1"/>
  <c r="AW96" i="1"/>
  <c r="AW304" i="1" s="1"/>
  <c r="BB168" i="1"/>
  <c r="BX109" i="1"/>
  <c r="AT167" i="1"/>
  <c r="AO95" i="1"/>
  <c r="AO97" i="1" s="1"/>
  <c r="AT168" i="1"/>
  <c r="BJ167" i="1"/>
  <c r="AP109" i="1"/>
  <c r="BF168" i="1"/>
  <c r="BF167" i="1"/>
  <c r="BL167" i="1"/>
  <c r="BL168" i="1"/>
  <c r="AI92" i="1"/>
  <c r="AI95" i="1" s="1"/>
  <c r="AL109" i="1"/>
  <c r="AL168" i="1"/>
  <c r="AL167" i="1"/>
  <c r="BC92" i="1"/>
  <c r="BF109" i="1"/>
  <c r="AZ293" i="1"/>
  <c r="AZ102" i="1"/>
  <c r="AZ96" i="1"/>
  <c r="AZ304" i="1" s="1"/>
  <c r="AS92" i="1"/>
  <c r="AT109" i="1"/>
  <c r="AV109" i="1"/>
  <c r="BA92" i="1"/>
  <c r="BA94" i="1" s="1"/>
  <c r="BD109" i="1"/>
  <c r="BB109" i="1"/>
  <c r="BV92" i="1"/>
  <c r="BY109" i="1"/>
  <c r="BL98" i="1"/>
  <c r="BK102" i="1"/>
  <c r="BK96" i="1"/>
  <c r="BK304" i="1" s="1"/>
  <c r="AY293" i="1"/>
  <c r="AY96" i="1"/>
  <c r="AY304" i="1" s="1"/>
  <c r="AZ98" i="1"/>
  <c r="AY102" i="1"/>
  <c r="BU96" i="1"/>
  <c r="BU304" i="1" s="1"/>
  <c r="BU293" i="1"/>
  <c r="BU102" i="1"/>
  <c r="BK98" i="1"/>
  <c r="BK293" i="1"/>
  <c r="BU97" i="1"/>
  <c r="BP102" i="1"/>
  <c r="BP97" i="1"/>
  <c r="BP293" i="1"/>
  <c r="BP96" i="1"/>
  <c r="BP304" i="1" s="1"/>
  <c r="BE96" i="1"/>
  <c r="BE304" i="1" s="1"/>
  <c r="BE102" i="1"/>
  <c r="BE293" i="1"/>
  <c r="BF98" i="1"/>
  <c r="BF106" i="1"/>
  <c r="BF252" i="1"/>
  <c r="BF254" i="1" s="1"/>
  <c r="BF120" i="1"/>
  <c r="BS97" i="1"/>
  <c r="BD102" i="1"/>
  <c r="BD293" i="1"/>
  <c r="BD96" i="1"/>
  <c r="BD304" i="1" s="1"/>
  <c r="BD97" i="1"/>
  <c r="BE98" i="1"/>
  <c r="BO293" i="1"/>
  <c r="BO96" i="1"/>
  <c r="BO304" i="1" s="1"/>
  <c r="BO102" i="1"/>
  <c r="BP98" i="1"/>
  <c r="BO97" i="1"/>
  <c r="BR95" i="1"/>
  <c r="BR94" i="1"/>
  <c r="BH97" i="1"/>
  <c r="BW95" i="1"/>
  <c r="BW97" i="1" s="1"/>
  <c r="BW94" i="1"/>
  <c r="BN95" i="1"/>
  <c r="BN94" i="1"/>
  <c r="AQ95" i="1"/>
  <c r="AQ94" i="1"/>
  <c r="BT95" i="1"/>
  <c r="BT94" i="1"/>
  <c r="AV94" i="1"/>
  <c r="AV95" i="1"/>
  <c r="AN95" i="1"/>
  <c r="AN94" i="1"/>
  <c r="BH102" i="1"/>
  <c r="BL97" i="1"/>
  <c r="BH293" i="1"/>
  <c r="BH96" i="1"/>
  <c r="BH304" i="1" s="1"/>
  <c r="BG94" i="1"/>
  <c r="BG95" i="1"/>
  <c r="BB95" i="1"/>
  <c r="BB94" i="1"/>
  <c r="BS293" i="1"/>
  <c r="BS96" i="1"/>
  <c r="BS304" i="1" s="1"/>
  <c r="BS102" i="1"/>
  <c r="BQ252" i="1"/>
  <c r="BQ254" i="1" s="1"/>
  <c r="BQ173" i="1"/>
  <c r="BQ174" i="1" s="1"/>
  <c r="BQ120" i="1"/>
  <c r="BQ106" i="1"/>
  <c r="AT120" i="1"/>
  <c r="AT252" i="1"/>
  <c r="AT254" i="1" s="1"/>
  <c r="AT106" i="1"/>
  <c r="CS253" i="1"/>
  <c r="CS186" i="1"/>
  <c r="CR262" i="1"/>
  <c r="CR260" i="1" s="1"/>
  <c r="AC179" i="1"/>
  <c r="AC182" i="1" s="1"/>
  <c r="AC308" i="1" s="1"/>
  <c r="AP293" i="1" l="1"/>
  <c r="AR96" i="1"/>
  <c r="AR304" i="1" s="1"/>
  <c r="AP102" i="1"/>
  <c r="AP120" i="1" s="1"/>
  <c r="AT97" i="1"/>
  <c r="AR102" i="1"/>
  <c r="AR252" i="1" s="1"/>
  <c r="AR254" i="1" s="1"/>
  <c r="BM102" i="1"/>
  <c r="BM120" i="1" s="1"/>
  <c r="AP96" i="1"/>
  <c r="AP304" i="1" s="1"/>
  <c r="AY97" i="1"/>
  <c r="AU293" i="1"/>
  <c r="BQ97" i="1"/>
  <c r="BM286" i="1"/>
  <c r="BM293" i="1"/>
  <c r="AU102" i="1"/>
  <c r="AU106" i="1" s="1"/>
  <c r="BM98" i="1"/>
  <c r="AW106" i="1"/>
  <c r="AW173" i="1"/>
  <c r="AW174" i="1" s="1"/>
  <c r="AW146" i="1" s="1"/>
  <c r="AU96" i="1"/>
  <c r="AU304" i="1" s="1"/>
  <c r="AI94" i="1"/>
  <c r="AO102" i="1"/>
  <c r="AO120" i="1" s="1"/>
  <c r="BI95" i="1"/>
  <c r="BI98" i="1" s="1"/>
  <c r="AW120" i="1"/>
  <c r="AX94" i="1"/>
  <c r="AO96" i="1"/>
  <c r="AO304" i="1" s="1"/>
  <c r="AP98" i="1"/>
  <c r="BA95" i="1"/>
  <c r="BE97" i="1" s="1"/>
  <c r="AO293" i="1"/>
  <c r="AS95" i="1"/>
  <c r="AV286" i="1" s="1"/>
  <c r="AS94" i="1"/>
  <c r="BC95" i="1"/>
  <c r="BC293" i="1" s="1"/>
  <c r="BC94" i="1"/>
  <c r="AZ120" i="1"/>
  <c r="AZ252" i="1"/>
  <c r="AZ254" i="1" s="1"/>
  <c r="AZ106" i="1"/>
  <c r="BV94" i="1"/>
  <c r="BV95" i="1"/>
  <c r="BV97" i="1" s="1"/>
  <c r="BK106" i="1"/>
  <c r="BK252" i="1"/>
  <c r="BK254" i="1" s="1"/>
  <c r="BK173" i="1"/>
  <c r="BK174" i="1" s="1"/>
  <c r="BK120" i="1"/>
  <c r="BU173" i="1"/>
  <c r="BU174" i="1" s="1"/>
  <c r="BU106" i="1"/>
  <c r="BU252" i="1"/>
  <c r="BU254" i="1" s="1"/>
  <c r="BU120" i="1"/>
  <c r="BS98" i="1"/>
  <c r="BS286" i="1"/>
  <c r="AY252" i="1"/>
  <c r="AY254" i="1" s="1"/>
  <c r="AY120" i="1"/>
  <c r="AY173" i="1"/>
  <c r="AY174" i="1" s="1"/>
  <c r="AY106" i="1"/>
  <c r="BP106" i="1"/>
  <c r="BP252" i="1"/>
  <c r="BP254" i="1" s="1"/>
  <c r="BP120" i="1"/>
  <c r="BE120" i="1"/>
  <c r="BE252" i="1"/>
  <c r="BE254" i="1" s="1"/>
  <c r="BE106" i="1"/>
  <c r="BE173" i="1"/>
  <c r="BE174" i="1" s="1"/>
  <c r="BD106" i="1"/>
  <c r="BD252" i="1"/>
  <c r="BD254" i="1" s="1"/>
  <c r="BD120" i="1"/>
  <c r="BO106" i="1"/>
  <c r="BO120" i="1"/>
  <c r="BO252" i="1"/>
  <c r="BO254" i="1" s="1"/>
  <c r="BO173" i="1"/>
  <c r="BO174" i="1" s="1"/>
  <c r="AI96" i="1"/>
  <c r="AI293" i="1"/>
  <c r="AJ98" i="1"/>
  <c r="AM97" i="1"/>
  <c r="AI102" i="1"/>
  <c r="AL286" i="1"/>
  <c r="BR96" i="1"/>
  <c r="BR304" i="1" s="1"/>
  <c r="BR293" i="1"/>
  <c r="BR102" i="1"/>
  <c r="BR266" i="1" s="1"/>
  <c r="BR264" i="1" s="1"/>
  <c r="BR98" i="1"/>
  <c r="BR286" i="1"/>
  <c r="AN96" i="1"/>
  <c r="AN304" i="1" s="1"/>
  <c r="AQ286" i="1"/>
  <c r="AO98" i="1"/>
  <c r="AN286" i="1"/>
  <c r="AN97" i="1"/>
  <c r="AP286" i="1"/>
  <c r="AR97" i="1"/>
  <c r="AO286" i="1"/>
  <c r="AN102" i="1"/>
  <c r="AN98" i="1"/>
  <c r="AN293" i="1"/>
  <c r="BX97" i="1"/>
  <c r="BT96" i="1"/>
  <c r="BT304" i="1" s="1"/>
  <c r="BT293" i="1"/>
  <c r="BT102" i="1"/>
  <c r="BU98" i="1"/>
  <c r="BT97" i="1"/>
  <c r="AZ97" i="1"/>
  <c r="AV96" i="1"/>
  <c r="AV304" i="1" s="1"/>
  <c r="AV293" i="1"/>
  <c r="AV102" i="1"/>
  <c r="AY286" i="1"/>
  <c r="AW286" i="1"/>
  <c r="AW98" i="1"/>
  <c r="AV97" i="1"/>
  <c r="AV98" i="1"/>
  <c r="AX286" i="1"/>
  <c r="AR98" i="1"/>
  <c r="AQ97" i="1"/>
  <c r="AQ293" i="1"/>
  <c r="AQ102" i="1"/>
  <c r="AQ96" i="1"/>
  <c r="AQ304" i="1" s="1"/>
  <c r="AQ98" i="1"/>
  <c r="AU97" i="1"/>
  <c r="AR286" i="1"/>
  <c r="BN293" i="1"/>
  <c r="BR97" i="1"/>
  <c r="BN102" i="1"/>
  <c r="BQ108" i="1" s="1"/>
  <c r="BN97" i="1"/>
  <c r="BN96" i="1"/>
  <c r="BN304" i="1" s="1"/>
  <c r="BO98" i="1"/>
  <c r="BN286" i="1"/>
  <c r="BQ286" i="1"/>
  <c r="BN98" i="1"/>
  <c r="BO286" i="1"/>
  <c r="BP286" i="1"/>
  <c r="BB96" i="1"/>
  <c r="BB304" i="1" s="1"/>
  <c r="BF97" i="1"/>
  <c r="BB293" i="1"/>
  <c r="BB102" i="1"/>
  <c r="BB97" i="1"/>
  <c r="AX102" i="1"/>
  <c r="AX293" i="1"/>
  <c r="AX96" i="1"/>
  <c r="AX304" i="1" s="1"/>
  <c r="AZ286" i="1"/>
  <c r="AX98" i="1"/>
  <c r="AY98" i="1"/>
  <c r="AX97" i="1"/>
  <c r="BH106" i="1"/>
  <c r="BH120" i="1"/>
  <c r="BH252" i="1"/>
  <c r="BH254" i="1" s="1"/>
  <c r="BT286" i="1"/>
  <c r="BT98" i="1"/>
  <c r="BK97" i="1"/>
  <c r="BG102" i="1"/>
  <c r="BH286" i="1"/>
  <c r="BG96" i="1"/>
  <c r="BG304" i="1" s="1"/>
  <c r="BH98" i="1"/>
  <c r="BG286" i="1"/>
  <c r="BG293" i="1"/>
  <c r="BG98" i="1"/>
  <c r="BW293" i="1"/>
  <c r="BX98" i="1"/>
  <c r="BW102" i="1"/>
  <c r="X115" i="1"/>
  <c r="CA97" i="1"/>
  <c r="BW96" i="1"/>
  <c r="BW304" i="1" s="1"/>
  <c r="BZ286" i="1"/>
  <c r="BS252" i="1"/>
  <c r="BS254" i="1" s="1"/>
  <c r="BS106" i="1"/>
  <c r="BS173" i="1"/>
  <c r="BS174" i="1" s="1"/>
  <c r="BS120" i="1"/>
  <c r="BQ266" i="1"/>
  <c r="BQ264" i="1" s="1"/>
  <c r="BQ183" i="1"/>
  <c r="BQ109" i="1" s="1"/>
  <c r="BQ146" i="1"/>
  <c r="CS188" i="1"/>
  <c r="AC265" i="1"/>
  <c r="CA285" i="1"/>
  <c r="CB285" i="1"/>
  <c r="BU285" i="1"/>
  <c r="BM252" i="1" l="1"/>
  <c r="BM254" i="1" s="1"/>
  <c r="BM173" i="1"/>
  <c r="BM174" i="1" s="1"/>
  <c r="BM146" i="1" s="1"/>
  <c r="AP252" i="1"/>
  <c r="AP254" i="1" s="1"/>
  <c r="BM106" i="1"/>
  <c r="AW183" i="1"/>
  <c r="AW109" i="1" s="1"/>
  <c r="AW266" i="1"/>
  <c r="AW264" i="1" s="1"/>
  <c r="AR120" i="1"/>
  <c r="AR106" i="1"/>
  <c r="AP106" i="1"/>
  <c r="BA97" i="1"/>
  <c r="AO106" i="1"/>
  <c r="BM97" i="1"/>
  <c r="AU173" i="1"/>
  <c r="AU174" i="1" s="1"/>
  <c r="AU266" i="1" s="1"/>
  <c r="AU264" i="1" s="1"/>
  <c r="AU252" i="1"/>
  <c r="AU254" i="1" s="1"/>
  <c r="AU120" i="1"/>
  <c r="AO252" i="1"/>
  <c r="AO254" i="1" s="1"/>
  <c r="AO173" i="1"/>
  <c r="AO174" i="1" s="1"/>
  <c r="AO108" i="1" s="1"/>
  <c r="BI286" i="1"/>
  <c r="BI293" i="1"/>
  <c r="BI102" i="1"/>
  <c r="BK108" i="1" s="1"/>
  <c r="BK286" i="1"/>
  <c r="BL286" i="1"/>
  <c r="BI97" i="1"/>
  <c r="BJ286" i="1"/>
  <c r="BD98" i="1"/>
  <c r="BI96" i="1"/>
  <c r="BI304" i="1" s="1"/>
  <c r="BF286" i="1"/>
  <c r="BJ98" i="1"/>
  <c r="BA293" i="1"/>
  <c r="BA96" i="1"/>
  <c r="BA304" i="1" s="1"/>
  <c r="BB98" i="1"/>
  <c r="BA98" i="1"/>
  <c r="BB286" i="1"/>
  <c r="BA102" i="1"/>
  <c r="BA173" i="1" s="1"/>
  <c r="BA174" i="1" s="1"/>
  <c r="BA108" i="1" s="1"/>
  <c r="BG97" i="1"/>
  <c r="BC102" i="1"/>
  <c r="BC106" i="1" s="1"/>
  <c r="BA286" i="1"/>
  <c r="BC97" i="1"/>
  <c r="AS286" i="1"/>
  <c r="BC96" i="1"/>
  <c r="BC304" i="1" s="1"/>
  <c r="AT286" i="1"/>
  <c r="AS96" i="1"/>
  <c r="AS304" i="1" s="1"/>
  <c r="AW97" i="1"/>
  <c r="AS293" i="1"/>
  <c r="AT98" i="1"/>
  <c r="AS102" i="1"/>
  <c r="AS97" i="1"/>
  <c r="AU286" i="1"/>
  <c r="AS98" i="1"/>
  <c r="BC98" i="1"/>
  <c r="BD286" i="1"/>
  <c r="BC286" i="1"/>
  <c r="BE286" i="1"/>
  <c r="BV98" i="1"/>
  <c r="BZ97" i="1"/>
  <c r="BV293" i="1"/>
  <c r="BV102" i="1"/>
  <c r="BX108" i="1" s="1"/>
  <c r="BV96" i="1"/>
  <c r="BV304" i="1" s="1"/>
  <c r="BW286" i="1"/>
  <c r="BV286" i="1"/>
  <c r="BX286" i="1"/>
  <c r="BW98" i="1"/>
  <c r="BY286" i="1"/>
  <c r="BM123" i="1"/>
  <c r="BI143" i="1" s="1"/>
  <c r="BK146" i="1"/>
  <c r="BL266" i="1"/>
  <c r="BL264" i="1" s="1"/>
  <c r="BK266" i="1"/>
  <c r="BK264" i="1" s="1"/>
  <c r="BK183" i="1"/>
  <c r="BK109" i="1" s="1"/>
  <c r="BU266" i="1"/>
  <c r="BU264" i="1" s="1"/>
  <c r="BU146" i="1"/>
  <c r="BU183" i="1"/>
  <c r="BU109" i="1" s="1"/>
  <c r="AY146" i="1"/>
  <c r="AY266" i="1"/>
  <c r="AY264" i="1" s="1"/>
  <c r="AY183" i="1"/>
  <c r="AY109" i="1" s="1"/>
  <c r="AZ266" i="1"/>
  <c r="AZ264" i="1" s="1"/>
  <c r="AX266" i="1"/>
  <c r="AX264" i="1" s="1"/>
  <c r="BF266" i="1"/>
  <c r="BF264" i="1" s="1"/>
  <c r="BE146" i="1"/>
  <c r="BE183" i="1"/>
  <c r="BE109" i="1" s="1"/>
  <c r="BE266" i="1"/>
  <c r="BE264" i="1" s="1"/>
  <c r="BO266" i="1"/>
  <c r="BO264" i="1" s="1"/>
  <c r="BO183" i="1"/>
  <c r="BO109" i="1" s="1"/>
  <c r="BP266" i="1"/>
  <c r="BP264" i="1" s="1"/>
  <c r="BO146" i="1"/>
  <c r="AI120" i="1"/>
  <c r="AL123" i="1" s="1"/>
  <c r="AI106" i="1"/>
  <c r="AL108" i="1"/>
  <c r="N115" i="1"/>
  <c r="AI266" i="1"/>
  <c r="AI264" i="1" s="1"/>
  <c r="AI252" i="1"/>
  <c r="AI254" i="1" s="1"/>
  <c r="AI258" i="1" s="1"/>
  <c r="AI272" i="1" s="1"/>
  <c r="AY108" i="1"/>
  <c r="BT108" i="1"/>
  <c r="BR106" i="1"/>
  <c r="BR252" i="1"/>
  <c r="BR254" i="1" s="1"/>
  <c r="BR120" i="1"/>
  <c r="BR108" i="1"/>
  <c r="V115" i="1"/>
  <c r="AW108" i="1"/>
  <c r="BO108" i="1"/>
  <c r="BU108" i="1"/>
  <c r="BW173" i="1"/>
  <c r="BW174" i="1" s="1"/>
  <c r="BW252" i="1"/>
  <c r="BW254" i="1" s="1"/>
  <c r="BW106" i="1"/>
  <c r="BZ108" i="1"/>
  <c r="BW120" i="1"/>
  <c r="BN106" i="1"/>
  <c r="BN120" i="1"/>
  <c r="BN252" i="1"/>
  <c r="BN254" i="1" s="1"/>
  <c r="BN108" i="1"/>
  <c r="U115" i="1"/>
  <c r="BP108" i="1"/>
  <c r="AV252" i="1"/>
  <c r="AV254" i="1" s="1"/>
  <c r="AV106" i="1"/>
  <c r="AV120" i="1"/>
  <c r="Q115" i="1"/>
  <c r="AX108" i="1"/>
  <c r="BT252" i="1"/>
  <c r="BT254" i="1" s="1"/>
  <c r="BT106" i="1"/>
  <c r="BT120" i="1"/>
  <c r="AX106" i="1"/>
  <c r="AX120" i="1"/>
  <c r="AX252" i="1"/>
  <c r="AX254" i="1" s="1"/>
  <c r="AZ108" i="1"/>
  <c r="BB120" i="1"/>
  <c r="BB106" i="1"/>
  <c r="BB252" i="1"/>
  <c r="BB254" i="1" s="1"/>
  <c r="AQ173" i="1"/>
  <c r="AQ174" i="1" s="1"/>
  <c r="AQ252" i="1"/>
  <c r="AQ254" i="1" s="1"/>
  <c r="AQ106" i="1"/>
  <c r="AQ120" i="1"/>
  <c r="AR108" i="1"/>
  <c r="BG106" i="1"/>
  <c r="BG120" i="1"/>
  <c r="BG173" i="1"/>
  <c r="BG174" i="1" s="1"/>
  <c r="BH108" i="1"/>
  <c r="BG252" i="1"/>
  <c r="BG254" i="1" s="1"/>
  <c r="AN106" i="1"/>
  <c r="AP108" i="1"/>
  <c r="AN120" i="1"/>
  <c r="AN252" i="1"/>
  <c r="AN254" i="1" s="1"/>
  <c r="AN108" i="1"/>
  <c r="O115" i="1"/>
  <c r="AN266" i="1"/>
  <c r="AN264" i="1" s="1"/>
  <c r="BT266" i="1"/>
  <c r="BT264" i="1" s="1"/>
  <c r="BS146" i="1"/>
  <c r="BS183" i="1"/>
  <c r="BS109" i="1" s="1"/>
  <c r="BS266" i="1"/>
  <c r="BS264" i="1" s="1"/>
  <c r="BS108" i="1"/>
  <c r="BQ148" i="1"/>
  <c r="BQ149" i="1"/>
  <c r="BQ150" i="1"/>
  <c r="AW149" i="1"/>
  <c r="AW148" i="1"/>
  <c r="AW150" i="1"/>
  <c r="CS192" i="1"/>
  <c r="CT86" i="1"/>
  <c r="AD178" i="1"/>
  <c r="W113" i="1"/>
  <c r="BL108" i="1" l="1"/>
  <c r="BM266" i="1"/>
  <c r="BM264" i="1" s="1"/>
  <c r="BM108" i="1"/>
  <c r="BN266" i="1"/>
  <c r="BN264" i="1" s="1"/>
  <c r="BM183" i="1"/>
  <c r="BM109" i="1" s="1"/>
  <c r="AU146" i="1"/>
  <c r="AU150" i="1" s="1"/>
  <c r="BC252" i="1"/>
  <c r="BC254" i="1" s="1"/>
  <c r="AV266" i="1"/>
  <c r="AV264" i="1" s="1"/>
  <c r="AO266" i="1"/>
  <c r="AO264" i="1" s="1"/>
  <c r="BJ108" i="1"/>
  <c r="AU183" i="1"/>
  <c r="AU109" i="1" s="1"/>
  <c r="AO183" i="1"/>
  <c r="AO109" i="1" s="1"/>
  <c r="BY108" i="1"/>
  <c r="AO146" i="1"/>
  <c r="AO150" i="1" s="1"/>
  <c r="AP266" i="1"/>
  <c r="AP264" i="1" s="1"/>
  <c r="BI106" i="1"/>
  <c r="BI173" i="1"/>
  <c r="BI174" i="1" s="1"/>
  <c r="BI266" i="1" s="1"/>
  <c r="BI264" i="1" s="1"/>
  <c r="BI120" i="1"/>
  <c r="BL123" i="1" s="1"/>
  <c r="T115" i="1"/>
  <c r="BI252" i="1"/>
  <c r="BI254" i="1" s="1"/>
  <c r="BC120" i="1"/>
  <c r="BF123" i="1" s="1"/>
  <c r="BF141" i="1" s="1"/>
  <c r="S115" i="1"/>
  <c r="R115" i="1"/>
  <c r="BA120" i="1"/>
  <c r="BB108" i="1"/>
  <c r="BA106" i="1"/>
  <c r="BC173" i="1"/>
  <c r="BC174" i="1" s="1"/>
  <c r="BC146" i="1" s="1"/>
  <c r="BE108" i="1"/>
  <c r="BF108" i="1"/>
  <c r="BA252" i="1"/>
  <c r="BA254" i="1" s="1"/>
  <c r="BD108" i="1"/>
  <c r="AS120" i="1"/>
  <c r="AS252" i="1"/>
  <c r="AS254" i="1" s="1"/>
  <c r="AS173" i="1"/>
  <c r="AS174" i="1" s="1"/>
  <c r="AS108" i="1" s="1"/>
  <c r="AS106" i="1"/>
  <c r="AU108" i="1"/>
  <c r="AV108" i="1"/>
  <c r="P115" i="1"/>
  <c r="AT108" i="1"/>
  <c r="BV266" i="1"/>
  <c r="BV264" i="1" s="1"/>
  <c r="BV108" i="1"/>
  <c r="BA183" i="1"/>
  <c r="BA109" i="1" s="1"/>
  <c r="BB266" i="1"/>
  <c r="BB264" i="1" s="1"/>
  <c r="BA146" i="1"/>
  <c r="BA266" i="1"/>
  <c r="BA264" i="1" s="1"/>
  <c r="BV252" i="1"/>
  <c r="BV254" i="1" s="1"/>
  <c r="BV106" i="1"/>
  <c r="BV120" i="1"/>
  <c r="BM139" i="1"/>
  <c r="BM141" i="1"/>
  <c r="BM140" i="1"/>
  <c r="BK150" i="1"/>
  <c r="BK148" i="1"/>
  <c r="BK149" i="1"/>
  <c r="BU148" i="1"/>
  <c r="BU150" i="1"/>
  <c r="BU149" i="1"/>
  <c r="AY148" i="1"/>
  <c r="AY149" i="1"/>
  <c r="AY150" i="1"/>
  <c r="BR123" i="1"/>
  <c r="BR140" i="1" s="1"/>
  <c r="BT123" i="1"/>
  <c r="BS123" i="1"/>
  <c r="AI269" i="1"/>
  <c r="AI270" i="1" s="1"/>
  <c r="BM149" i="1"/>
  <c r="BM150" i="1"/>
  <c r="BM148" i="1"/>
  <c r="BU123" i="1"/>
  <c r="BU139" i="1" s="1"/>
  <c r="BE148" i="1"/>
  <c r="BE150" i="1"/>
  <c r="BE149" i="1"/>
  <c r="BO148" i="1"/>
  <c r="BO149" i="1"/>
  <c r="BO150" i="1"/>
  <c r="AL139" i="1"/>
  <c r="AL140" i="1"/>
  <c r="AL141" i="1"/>
  <c r="AZ123" i="1"/>
  <c r="AY123" i="1"/>
  <c r="AY140" i="1" s="1"/>
  <c r="AX123" i="1"/>
  <c r="AW123" i="1"/>
  <c r="AR123" i="1"/>
  <c r="BQ123" i="1"/>
  <c r="BO123" i="1"/>
  <c r="BN123" i="1"/>
  <c r="BP123" i="1"/>
  <c r="AQ123" i="1"/>
  <c r="AN123" i="1"/>
  <c r="AP123" i="1"/>
  <c r="AO123" i="1"/>
  <c r="BG123" i="1"/>
  <c r="BH123" i="1"/>
  <c r="BZ123" i="1"/>
  <c r="BG266" i="1"/>
  <c r="BG264" i="1" s="1"/>
  <c r="BG183" i="1"/>
  <c r="BG109" i="1" s="1"/>
  <c r="BG146" i="1"/>
  <c r="BG108" i="1"/>
  <c r="BH266" i="1"/>
  <c r="BH264" i="1" s="1"/>
  <c r="AQ183" i="1"/>
  <c r="AQ109" i="1" s="1"/>
  <c r="AQ266" i="1"/>
  <c r="AQ264" i="1" s="1"/>
  <c r="AQ146" i="1"/>
  <c r="AR266" i="1"/>
  <c r="AR264" i="1" s="1"/>
  <c r="AQ108" i="1"/>
  <c r="BW266" i="1"/>
  <c r="BW264" i="1" s="1"/>
  <c r="BX266" i="1"/>
  <c r="BX264" i="1" s="1"/>
  <c r="BW183" i="1"/>
  <c r="BW109" i="1" s="1"/>
  <c r="BW108" i="1"/>
  <c r="BW146" i="1"/>
  <c r="BS148" i="1"/>
  <c r="BS149" i="1"/>
  <c r="BS150" i="1"/>
  <c r="AC86" i="1"/>
  <c r="CT253" i="1"/>
  <c r="CT186" i="1"/>
  <c r="CS262" i="1"/>
  <c r="CS260" i="1" s="1"/>
  <c r="W114" i="1"/>
  <c r="AU149" i="1" l="1"/>
  <c r="AU148" i="1"/>
  <c r="BI183" i="1"/>
  <c r="BI109" i="1" s="1"/>
  <c r="BI146" i="1"/>
  <c r="BI149" i="1" s="1"/>
  <c r="BD123" i="1"/>
  <c r="BD139" i="1" s="1"/>
  <c r="AO149" i="1"/>
  <c r="BJ123" i="1"/>
  <c r="BF143" i="1" s="1"/>
  <c r="AO148" i="1"/>
  <c r="BF139" i="1"/>
  <c r="BB143" i="1"/>
  <c r="BJ266" i="1"/>
  <c r="BJ264" i="1" s="1"/>
  <c r="BK123" i="1"/>
  <c r="BK139" i="1" s="1"/>
  <c r="BI123" i="1"/>
  <c r="BM124" i="1" s="1"/>
  <c r="BI108" i="1"/>
  <c r="BA123" i="1"/>
  <c r="BA140" i="1" s="1"/>
  <c r="BB123" i="1"/>
  <c r="BB141" i="1" s="1"/>
  <c r="BF140" i="1"/>
  <c r="BE123" i="1"/>
  <c r="BE140" i="1" s="1"/>
  <c r="BD266" i="1"/>
  <c r="BD264" i="1" s="1"/>
  <c r="BC123" i="1"/>
  <c r="BC140" i="1" s="1"/>
  <c r="BC108" i="1"/>
  <c r="BC183" i="1"/>
  <c r="BC109" i="1" s="1"/>
  <c r="BC266" i="1"/>
  <c r="BC264" i="1" s="1"/>
  <c r="AT266" i="1"/>
  <c r="AT264" i="1" s="1"/>
  <c r="AS183" i="1"/>
  <c r="AS109" i="1" s="1"/>
  <c r="AS146" i="1"/>
  <c r="AS266" i="1"/>
  <c r="AS264" i="1" s="1"/>
  <c r="AU123" i="1"/>
  <c r="AV123" i="1"/>
  <c r="AT123" i="1"/>
  <c r="AX124" i="1" s="1"/>
  <c r="AS123" i="1"/>
  <c r="BY123" i="1"/>
  <c r="BX123" i="1"/>
  <c r="BX124" i="1" s="1"/>
  <c r="BW123" i="1"/>
  <c r="BW140" i="1" s="1"/>
  <c r="BV123" i="1"/>
  <c r="BZ124" i="1" s="1"/>
  <c r="BA148" i="1"/>
  <c r="BA149" i="1"/>
  <c r="BA150" i="1"/>
  <c r="BL139" i="1"/>
  <c r="BL140" i="1"/>
  <c r="BN143" i="1"/>
  <c r="BR139" i="1"/>
  <c r="BR141" i="1"/>
  <c r="BP143" i="1"/>
  <c r="BT141" i="1"/>
  <c r="BT139" i="1"/>
  <c r="BT140" i="1"/>
  <c r="BS141" i="1"/>
  <c r="BO143" i="1"/>
  <c r="BS140" i="1"/>
  <c r="BS139" i="1"/>
  <c r="BH143" i="1"/>
  <c r="BL141" i="1"/>
  <c r="BT124" i="1"/>
  <c r="BV143" i="1"/>
  <c r="BQ143" i="1"/>
  <c r="BU141" i="1"/>
  <c r="BU140" i="1"/>
  <c r="BC149" i="1"/>
  <c r="BC148" i="1"/>
  <c r="BC150" i="1"/>
  <c r="BQ140" i="1"/>
  <c r="BM143" i="1"/>
  <c r="AQ140" i="1"/>
  <c r="AQ139" i="1"/>
  <c r="BU124" i="1"/>
  <c r="CD124" i="1"/>
  <c r="BZ141" i="1"/>
  <c r="AN141" i="1"/>
  <c r="AR124" i="1"/>
  <c r="AN140" i="1"/>
  <c r="AN139" i="1"/>
  <c r="BO139" i="1"/>
  <c r="BK143" i="1"/>
  <c r="BO140" i="1"/>
  <c r="BO141" i="1"/>
  <c r="AQ124" i="1"/>
  <c r="AQ141" i="1"/>
  <c r="BQ139" i="1"/>
  <c r="BQ124" i="1"/>
  <c r="BQ141" i="1"/>
  <c r="AW139" i="1"/>
  <c r="AW140" i="1"/>
  <c r="AS143" i="1"/>
  <c r="AW141" i="1"/>
  <c r="AV143" i="1"/>
  <c r="AZ141" i="1"/>
  <c r="AZ140" i="1"/>
  <c r="AZ139" i="1"/>
  <c r="AY141" i="1"/>
  <c r="AU143" i="1"/>
  <c r="AM143" i="1"/>
  <c r="BS124" i="1"/>
  <c r="AO141" i="1"/>
  <c r="AO139" i="1"/>
  <c r="AO140" i="1"/>
  <c r="BP124" i="1"/>
  <c r="BL143" i="1"/>
  <c r="BP140" i="1"/>
  <c r="BP141" i="1"/>
  <c r="BP139" i="1"/>
  <c r="BC143" i="1"/>
  <c r="BG139" i="1"/>
  <c r="BG140" i="1"/>
  <c r="BG141" i="1"/>
  <c r="AY139" i="1"/>
  <c r="BZ140" i="1"/>
  <c r="CC144" i="1" s="1"/>
  <c r="BZ139" i="1"/>
  <c r="BH141" i="1"/>
  <c r="BH139" i="1"/>
  <c r="BD143" i="1"/>
  <c r="BL124" i="1"/>
  <c r="BH140" i="1"/>
  <c r="AP141" i="1"/>
  <c r="AP124" i="1"/>
  <c r="AL143" i="1"/>
  <c r="AP140" i="1"/>
  <c r="AP139" i="1"/>
  <c r="BR124" i="1"/>
  <c r="BJ143" i="1"/>
  <c r="BN141" i="1"/>
  <c r="BN139" i="1"/>
  <c r="BN140" i="1"/>
  <c r="AN143" i="1"/>
  <c r="AR141" i="1"/>
  <c r="AR140" i="1"/>
  <c r="AR139" i="1"/>
  <c r="AX140" i="1"/>
  <c r="AX139" i="1"/>
  <c r="AT143" i="1"/>
  <c r="AX141" i="1"/>
  <c r="BW148" i="1"/>
  <c r="BW150" i="1"/>
  <c r="BW149" i="1"/>
  <c r="BG148" i="1"/>
  <c r="BG150" i="1"/>
  <c r="BG149" i="1"/>
  <c r="AQ149" i="1"/>
  <c r="AQ150" i="1"/>
  <c r="AQ148" i="1"/>
  <c r="AC253" i="1"/>
  <c r="AC186" i="1"/>
  <c r="AC188" i="1" s="1"/>
  <c r="AC87" i="1" s="1"/>
  <c r="CT188" i="1"/>
  <c r="AD179" i="1"/>
  <c r="AD182" i="1" s="1"/>
  <c r="AD308" i="1" s="1"/>
  <c r="AR163" i="1"/>
  <c r="W115" i="1"/>
  <c r="AZ143" i="1" l="1"/>
  <c r="BD141" i="1"/>
  <c r="BJ139" i="1"/>
  <c r="BJ124" i="1"/>
  <c r="BJ140" i="1"/>
  <c r="BD124" i="1"/>
  <c r="BD140" i="1"/>
  <c r="BG144" i="1" s="1"/>
  <c r="BI148" i="1"/>
  <c r="BI150" i="1"/>
  <c r="BJ141" i="1"/>
  <c r="BH124" i="1"/>
  <c r="BB139" i="1"/>
  <c r="BA124" i="1"/>
  <c r="BN124" i="1"/>
  <c r="BA139" i="1"/>
  <c r="BW139" i="1"/>
  <c r="BA143" i="1"/>
  <c r="BC141" i="1"/>
  <c r="BE143" i="1"/>
  <c r="BI140" i="1"/>
  <c r="BK124" i="1"/>
  <c r="BI139" i="1"/>
  <c r="BG143" i="1"/>
  <c r="BI141" i="1"/>
  <c r="BE141" i="1"/>
  <c r="BK141" i="1"/>
  <c r="BB140" i="1"/>
  <c r="BK140" i="1"/>
  <c r="AY143" i="1"/>
  <c r="BO124" i="1"/>
  <c r="BX140" i="1"/>
  <c r="AW143" i="1"/>
  <c r="AX143" i="1"/>
  <c r="BB124" i="1"/>
  <c r="BF124" i="1"/>
  <c r="BA141" i="1"/>
  <c r="BW124" i="1"/>
  <c r="BV124" i="1"/>
  <c r="BX141" i="1"/>
  <c r="BT143" i="1"/>
  <c r="BE124" i="1"/>
  <c r="BE139" i="1"/>
  <c r="BG124" i="1"/>
  <c r="BI124" i="1"/>
  <c r="BC139" i="1"/>
  <c r="BC124" i="1"/>
  <c r="BW141" i="1"/>
  <c r="BX139" i="1"/>
  <c r="CB124" i="1"/>
  <c r="BS143" i="1"/>
  <c r="CA124" i="1"/>
  <c r="AU141" i="1"/>
  <c r="AU140" i="1"/>
  <c r="AQ143" i="1"/>
  <c r="AU139" i="1"/>
  <c r="AU124" i="1"/>
  <c r="AY124" i="1"/>
  <c r="AP143" i="1"/>
  <c r="AS150" i="1"/>
  <c r="AS149" i="1"/>
  <c r="AS148" i="1"/>
  <c r="AV140" i="1"/>
  <c r="AY144" i="1" s="1"/>
  <c r="AV139" i="1"/>
  <c r="AZ124" i="1"/>
  <c r="AV141" i="1"/>
  <c r="AR143" i="1"/>
  <c r="AV124" i="1"/>
  <c r="AT140" i="1"/>
  <c r="AT141" i="1"/>
  <c r="AT139" i="1"/>
  <c r="AT124" i="1"/>
  <c r="AS124" i="1"/>
  <c r="AS140" i="1"/>
  <c r="AO143" i="1"/>
  <c r="AS141" i="1"/>
  <c r="AS139" i="1"/>
  <c r="AW124" i="1"/>
  <c r="BY124" i="1"/>
  <c r="CC124" i="1"/>
  <c r="BY141" i="1"/>
  <c r="BU143" i="1"/>
  <c r="BY140" i="1"/>
  <c r="BY139" i="1"/>
  <c r="BV139" i="1"/>
  <c r="BV140" i="1"/>
  <c r="BV141" i="1"/>
  <c r="BR143" i="1"/>
  <c r="BT144" i="1"/>
  <c r="BH144" i="1"/>
  <c r="AZ144" i="1"/>
  <c r="AR144" i="1"/>
  <c r="BA144" i="1"/>
  <c r="AQ144" i="1"/>
  <c r="AP144" i="1"/>
  <c r="AO144" i="1"/>
  <c r="BP144" i="1"/>
  <c r="BO144" i="1"/>
  <c r="BR144" i="1"/>
  <c r="BS144" i="1"/>
  <c r="BQ144" i="1"/>
  <c r="BU144" i="1"/>
  <c r="CU86" i="1"/>
  <c r="CT192" i="1"/>
  <c r="AD265" i="1"/>
  <c r="AB192" i="1"/>
  <c r="AR164" i="1"/>
  <c r="AR167" i="1" s="1"/>
  <c r="AR165" i="1"/>
  <c r="AR168" i="1" s="1"/>
  <c r="CA286" i="1"/>
  <c r="CB286" i="1"/>
  <c r="W252" i="1"/>
  <c r="W254" i="1" s="1"/>
  <c r="BU286" i="1"/>
  <c r="BK144" i="1" l="1"/>
  <c r="BF144" i="1"/>
  <c r="BM144" i="1"/>
  <c r="BJ144" i="1"/>
  <c r="BE144" i="1"/>
  <c r="BL144" i="1"/>
  <c r="BI144" i="1"/>
  <c r="BN144" i="1"/>
  <c r="CA144" i="1"/>
  <c r="BD144" i="1"/>
  <c r="BB144" i="1"/>
  <c r="BC144" i="1"/>
  <c r="BX144" i="1"/>
  <c r="BZ144" i="1"/>
  <c r="BW144" i="1"/>
  <c r="AW144" i="1"/>
  <c r="AX144" i="1"/>
  <c r="BY144" i="1"/>
  <c r="AV144" i="1"/>
  <c r="BV144" i="1"/>
  <c r="AT144" i="1"/>
  <c r="AU144" i="1"/>
  <c r="AS144" i="1"/>
  <c r="CB144" i="1"/>
  <c r="CT262" i="1"/>
  <c r="CT260" i="1" s="1"/>
  <c r="CU253" i="1"/>
  <c r="CU186" i="1"/>
  <c r="AB262" i="1"/>
  <c r="AB260" i="1" s="1"/>
  <c r="AE178" i="1"/>
  <c r="CU188" i="1" l="1"/>
  <c r="CU192" i="1" l="1"/>
  <c r="CV86" i="1"/>
  <c r="AE179" i="1"/>
  <c r="AE182" i="1" s="1"/>
  <c r="AE308" i="1" s="1"/>
  <c r="CV253" i="1" l="1"/>
  <c r="CV186" i="1"/>
  <c r="CU262" i="1"/>
  <c r="CU260" i="1" s="1"/>
  <c r="AE265" i="1"/>
  <c r="AC192" i="1"/>
  <c r="W174" i="1"/>
  <c r="CV188" i="1" l="1"/>
  <c r="W108" i="1"/>
  <c r="AC262" i="1"/>
  <c r="AC260" i="1" s="1"/>
  <c r="X266" i="1"/>
  <c r="X264" i="1" s="1"/>
  <c r="W266" i="1"/>
  <c r="W264" i="1" s="1"/>
  <c r="W183" i="1"/>
  <c r="W109" i="1" s="1"/>
  <c r="W234" i="1"/>
  <c r="CW86" i="1" l="1"/>
  <c r="CV192" i="1"/>
  <c r="CV262" i="1" l="1"/>
  <c r="CV260" i="1" s="1"/>
  <c r="CW253" i="1"/>
  <c r="CW186" i="1"/>
  <c r="CW188" i="1" l="1"/>
  <c r="CW192" i="1" l="1"/>
  <c r="CX86" i="1"/>
  <c r="AD86" i="1" l="1"/>
  <c r="CX253" i="1"/>
  <c r="CX186" i="1"/>
  <c r="CW262" i="1"/>
  <c r="CW260" i="1" s="1"/>
  <c r="AD253" i="1" l="1"/>
  <c r="AD186" i="1"/>
  <c r="AD188" i="1" s="1"/>
  <c r="CX188" i="1"/>
  <c r="AD192" i="1" l="1"/>
  <c r="AD262" i="1" s="1"/>
  <c r="AD260" i="1" s="1"/>
  <c r="AD87" i="1"/>
  <c r="CX192" i="1"/>
  <c r="CY86" i="1"/>
  <c r="CY253" i="1" l="1"/>
  <c r="CY186" i="1"/>
  <c r="CX262" i="1"/>
  <c r="CX260" i="1" s="1"/>
  <c r="CY188" i="1" l="1"/>
  <c r="W239" i="1"/>
  <c r="CY192" i="1" l="1"/>
  <c r="CZ86" i="1"/>
  <c r="W242" i="1"/>
  <c r="X256" i="1"/>
  <c r="CZ253" i="1" l="1"/>
  <c r="CZ186" i="1"/>
  <c r="CY262" i="1"/>
  <c r="CY260" i="1" s="1"/>
  <c r="W244" i="1"/>
  <c r="W243" i="1" s="1"/>
  <c r="W256" i="1"/>
  <c r="W207" i="1"/>
  <c r="X255" i="1" s="1"/>
  <c r="X257" i="1" s="1"/>
  <c r="X258" i="1" s="1"/>
  <c r="X272" i="1" s="1"/>
  <c r="W238" i="1"/>
  <c r="CZ188" i="1" l="1"/>
  <c r="W241" i="1"/>
  <c r="W216" i="1"/>
  <c r="W255" i="1"/>
  <c r="W257" i="1" s="1"/>
  <c r="W258" i="1" s="1"/>
  <c r="CZ192" i="1" l="1"/>
  <c r="CZ262" i="1" s="1"/>
  <c r="CZ260" i="1" s="1"/>
  <c r="DA86" i="1"/>
  <c r="W240" i="1"/>
  <c r="W245" i="1"/>
  <c r="W269" i="1"/>
  <c r="W272" i="1"/>
  <c r="DA253" i="1" l="1"/>
  <c r="DA186" i="1"/>
  <c r="W248" i="1"/>
  <c r="W249" i="1" s="1"/>
  <c r="X248" i="1"/>
  <c r="X249" i="1" s="1"/>
  <c r="DA188" i="1" l="1"/>
  <c r="W220" i="1"/>
  <c r="X268" i="1" l="1"/>
  <c r="X269" i="1" s="1"/>
  <c r="X270" i="1" s="1"/>
  <c r="W305" i="1"/>
  <c r="W307" i="1"/>
  <c r="W303" i="1"/>
  <c r="DA192" i="1"/>
  <c r="DA262" i="1" s="1"/>
  <c r="DA260" i="1" s="1"/>
  <c r="DB86" i="1"/>
  <c r="W227" i="1"/>
  <c r="W163" i="1" s="1"/>
  <c r="W224" i="1"/>
  <c r="W270" i="1"/>
  <c r="AE86" i="1" l="1"/>
  <c r="AE253" i="1" s="1"/>
  <c r="DB253" i="1"/>
  <c r="DB186" i="1"/>
  <c r="W225" i="1"/>
  <c r="DB188" i="1" l="1"/>
  <c r="DB192" i="1" s="1"/>
  <c r="DB262" i="1" s="1"/>
  <c r="DB260" i="1" s="1"/>
  <c r="AE186" i="1"/>
  <c r="AE188" i="1" s="1"/>
  <c r="C111" i="2"/>
  <c r="C112" i="2"/>
  <c r="C113" i="2"/>
  <c r="AE192" i="1" l="1"/>
  <c r="AE262" i="1" s="1"/>
  <c r="AE260" i="1" s="1"/>
  <c r="AE87" i="1"/>
  <c r="B127" i="1"/>
  <c r="B128" i="1"/>
  <c r="AK238" i="1" l="1"/>
  <c r="AK196" i="1" s="1"/>
  <c r="AM196" i="1" l="1"/>
  <c r="AO196" i="1" l="1"/>
  <c r="AQ196" i="1" l="1"/>
  <c r="AS196" i="1" l="1"/>
  <c r="AU196" i="1" l="1"/>
  <c r="AW196" i="1" l="1"/>
  <c r="AY196" i="1" l="1"/>
  <c r="BA196" i="1" l="1"/>
  <c r="BC196" i="1" l="1"/>
  <c r="BE196" i="1" l="1"/>
  <c r="BG196" i="1" l="1"/>
  <c r="BI196" i="1" l="1"/>
  <c r="BK196" i="1" l="1"/>
  <c r="BM196" i="1" l="1"/>
  <c r="BO196" i="1" l="1"/>
  <c r="BQ196" i="1" l="1"/>
  <c r="BS196" i="1" l="1"/>
  <c r="BU196" i="1" l="1"/>
  <c r="BW196" i="1" l="1"/>
  <c r="BY196" i="1" l="1"/>
  <c r="AK197" i="1" l="1"/>
  <c r="AK207" i="1" s="1"/>
  <c r="AL255" i="1" l="1"/>
  <c r="AK255" i="1"/>
  <c r="AK241" i="1"/>
  <c r="AM197" i="1"/>
  <c r="AM207" i="1" s="1"/>
  <c r="AM241" i="1" l="1"/>
  <c r="AM240" i="1" s="1"/>
  <c r="AN255" i="1"/>
  <c r="AM255" i="1"/>
  <c r="AJ240" i="1"/>
  <c r="AK240" i="1"/>
  <c r="AO197" i="1" l="1"/>
  <c r="AO207" i="1" s="1"/>
  <c r="AP255" i="1" l="1"/>
  <c r="AO241" i="1"/>
  <c r="AO240" i="1" s="1"/>
  <c r="AO255" i="1"/>
  <c r="AQ197" i="1" l="1"/>
  <c r="AQ207" i="1" s="1"/>
  <c r="AQ241" i="1" l="1"/>
  <c r="AQ240" i="1" s="1"/>
  <c r="AR255" i="1"/>
  <c r="AQ255" i="1"/>
  <c r="AS197" i="1" l="1"/>
  <c r="AS207" i="1" s="1"/>
  <c r="AT255" i="1" l="1"/>
  <c r="AS241" i="1"/>
  <c r="AS240" i="1" s="1"/>
  <c r="AS255" i="1"/>
  <c r="AU197" i="1" l="1"/>
  <c r="AU207" i="1" s="1"/>
  <c r="AU241" i="1" l="1"/>
  <c r="AU240" i="1" s="1"/>
  <c r="AV255" i="1"/>
  <c r="AU255" i="1"/>
  <c r="AW197" i="1" l="1"/>
  <c r="AW207" i="1" s="1"/>
  <c r="AW241" i="1" l="1"/>
  <c r="AW240" i="1" s="1"/>
  <c r="AX255" i="1"/>
  <c r="AW255" i="1"/>
  <c r="AY197" i="1" l="1"/>
  <c r="AY207" i="1" s="1"/>
  <c r="AY241" i="1" l="1"/>
  <c r="AY240" i="1" s="1"/>
  <c r="AZ255" i="1"/>
  <c r="AY255" i="1"/>
  <c r="BA197" i="1" l="1"/>
  <c r="BA207" i="1" s="1"/>
  <c r="BB255" i="1" l="1"/>
  <c r="BA241" i="1"/>
  <c r="BA240" i="1" s="1"/>
  <c r="BA255" i="1"/>
  <c r="BC197" i="1" l="1"/>
  <c r="BC207" i="1" s="1"/>
  <c r="BD255" i="1" l="1"/>
  <c r="BC241" i="1"/>
  <c r="BC240" i="1" s="1"/>
  <c r="BC255" i="1"/>
  <c r="BE197" i="1" l="1"/>
  <c r="BE207" i="1" s="1"/>
  <c r="BF255" i="1" l="1"/>
  <c r="BE241" i="1"/>
  <c r="BE240" i="1" s="1"/>
  <c r="BE255" i="1"/>
  <c r="BG197" i="1" l="1"/>
  <c r="BG207" i="1" s="1"/>
  <c r="BG241" i="1" l="1"/>
  <c r="BG240" i="1" s="1"/>
  <c r="BH255" i="1"/>
  <c r="BG255" i="1"/>
  <c r="BI197" i="1" l="1"/>
  <c r="BI207" i="1" s="1"/>
  <c r="BJ255" i="1" l="1"/>
  <c r="BI241" i="1"/>
  <c r="BI240" i="1" s="1"/>
  <c r="BI255" i="1"/>
  <c r="BK197" i="1" l="1"/>
  <c r="BK207" i="1" s="1"/>
  <c r="BL255" i="1" l="1"/>
  <c r="BK241" i="1"/>
  <c r="BK240" i="1" s="1"/>
  <c r="BK255" i="1"/>
  <c r="BM197" i="1" l="1"/>
  <c r="BM207" i="1" s="1"/>
  <c r="BM241" i="1" l="1"/>
  <c r="BM240" i="1" s="1"/>
  <c r="BN255" i="1"/>
  <c r="BM255" i="1"/>
  <c r="BO197" i="1" l="1"/>
  <c r="BO207" i="1" s="1"/>
  <c r="BO241" i="1" l="1"/>
  <c r="BO240" i="1" s="1"/>
  <c r="BP255" i="1"/>
  <c r="BO255" i="1"/>
  <c r="BQ197" i="1" l="1"/>
  <c r="BQ207" i="1" s="1"/>
  <c r="BR255" i="1" l="1"/>
  <c r="BQ241" i="1"/>
  <c r="BQ240" i="1" s="1"/>
  <c r="BQ255" i="1"/>
  <c r="BS197" i="1" l="1"/>
  <c r="BS207" i="1" s="1"/>
  <c r="BT255" i="1" l="1"/>
  <c r="BS241" i="1"/>
  <c r="BS240" i="1" s="1"/>
  <c r="BS255" i="1"/>
  <c r="BU197" i="1" l="1"/>
  <c r="BU207" i="1" s="1"/>
  <c r="BU241" i="1" l="1"/>
  <c r="BU240" i="1" s="1"/>
  <c r="BV255" i="1"/>
  <c r="BU255" i="1"/>
  <c r="BW197" i="1" l="1"/>
  <c r="BW207" i="1" s="1"/>
  <c r="BW241" i="1" l="1"/>
  <c r="BW240" i="1" s="1"/>
  <c r="BX255" i="1"/>
  <c r="BW255" i="1"/>
  <c r="BY197" i="1" l="1"/>
  <c r="BY207" i="1" s="1"/>
  <c r="BZ255" i="1" l="1"/>
  <c r="BY241" i="1"/>
  <c r="BY240" i="1" s="1"/>
  <c r="BY255" i="1"/>
  <c r="AK242" i="1" l="1"/>
  <c r="AK208" i="1" s="1"/>
  <c r="AK215" i="1" s="1"/>
  <c r="AK216" i="1" l="1"/>
  <c r="AK244" i="1"/>
  <c r="AL256" i="1"/>
  <c r="AL257" i="1" s="1"/>
  <c r="AL258" i="1" s="1"/>
  <c r="AL272" i="1" s="1"/>
  <c r="AK256" i="1"/>
  <c r="AK257" i="1" s="1"/>
  <c r="AK258" i="1" s="1"/>
  <c r="AM208" i="1"/>
  <c r="AM215" i="1" s="1"/>
  <c r="AK272" i="1" l="1"/>
  <c r="AK269" i="1"/>
  <c r="AK219" i="1" s="1"/>
  <c r="AK220" i="1" s="1"/>
  <c r="AK224" i="1" s="1"/>
  <c r="AK225" i="1" s="1"/>
  <c r="AN256" i="1"/>
  <c r="AN257" i="1" s="1"/>
  <c r="AN258" i="1" s="1"/>
  <c r="AN272" i="1" s="1"/>
  <c r="AM244" i="1"/>
  <c r="AM243" i="1" s="1"/>
  <c r="AM256" i="1"/>
  <c r="AM257" i="1" s="1"/>
  <c r="AM258" i="1" s="1"/>
  <c r="AM216" i="1"/>
  <c r="AJ243" i="1"/>
  <c r="AJ245" i="1"/>
  <c r="AN248" i="1" s="1"/>
  <c r="AK243" i="1"/>
  <c r="AK245" i="1"/>
  <c r="AO208" i="1"/>
  <c r="AO215" i="1" s="1"/>
  <c r="AM245" i="1" l="1"/>
  <c r="AO244" i="1"/>
  <c r="AO243" i="1" s="1"/>
  <c r="AP256" i="1"/>
  <c r="AP257" i="1" s="1"/>
  <c r="AP258" i="1" s="1"/>
  <c r="AP272" i="1" s="1"/>
  <c r="AO256" i="1"/>
  <c r="AO257" i="1" s="1"/>
  <c r="AO258" i="1" s="1"/>
  <c r="AM272" i="1"/>
  <c r="AM269" i="1"/>
  <c r="AO216" i="1"/>
  <c r="AL268" i="1" l="1"/>
  <c r="AL269" i="1" s="1"/>
  <c r="AL270" i="1" s="1"/>
  <c r="AK270" i="1"/>
  <c r="AO245" i="1"/>
  <c r="AO248" i="1" s="1"/>
  <c r="AO272" i="1"/>
  <c r="AO269" i="1"/>
  <c r="AQ208" i="1"/>
  <c r="AQ215" i="1" s="1"/>
  <c r="AK227" i="1"/>
  <c r="AL91" i="1" s="1"/>
  <c r="AM219" i="1"/>
  <c r="AM220" i="1" s="1"/>
  <c r="AM224" i="1" s="1"/>
  <c r="AN268" i="1" l="1"/>
  <c r="AN269" i="1" s="1"/>
  <c r="AN270" i="1" s="1"/>
  <c r="AM307" i="1"/>
  <c r="AM305" i="1"/>
  <c r="AM303" i="1"/>
  <c r="AQ244" i="1"/>
  <c r="AQ243" i="1" s="1"/>
  <c r="AR256" i="1"/>
  <c r="AR257" i="1" s="1"/>
  <c r="AR258" i="1" s="1"/>
  <c r="AR272" i="1" s="1"/>
  <c r="AQ256" i="1"/>
  <c r="AQ257" i="1" s="1"/>
  <c r="AQ258" i="1" s="1"/>
  <c r="AM270" i="1"/>
  <c r="AQ216" i="1"/>
  <c r="AO219" i="1"/>
  <c r="AO220" i="1" s="1"/>
  <c r="AM227" i="1"/>
  <c r="AO305" i="1" l="1"/>
  <c r="AO307" i="1"/>
  <c r="AO303" i="1"/>
  <c r="AM163" i="1"/>
  <c r="AM164" i="1" s="1"/>
  <c r="AM167" i="1" s="1"/>
  <c r="AN91" i="1"/>
  <c r="AQ245" i="1"/>
  <c r="AQ248" i="1" s="1"/>
  <c r="AQ272" i="1"/>
  <c r="AQ269" i="1"/>
  <c r="AP268" i="1"/>
  <c r="AP269" i="1" s="1"/>
  <c r="AP270" i="1" s="1"/>
  <c r="AO270" i="1"/>
  <c r="AS208" i="1"/>
  <c r="AS215" i="1" s="1"/>
  <c r="AO227" i="1"/>
  <c r="AO224" i="1"/>
  <c r="AM225" i="1"/>
  <c r="AM165" i="1" l="1"/>
  <c r="AM168" i="1" s="1"/>
  <c r="AO163" i="1"/>
  <c r="AO165" i="1" s="1"/>
  <c r="AO168" i="1" s="1"/>
  <c r="AP91" i="1"/>
  <c r="AS244" i="1"/>
  <c r="AS243" i="1" s="1"/>
  <c r="AT256" i="1"/>
  <c r="AT257" i="1" s="1"/>
  <c r="AT258" i="1" s="1"/>
  <c r="AT272" i="1" s="1"/>
  <c r="AS256" i="1"/>
  <c r="AS257" i="1" s="1"/>
  <c r="AS258" i="1" s="1"/>
  <c r="AO225" i="1"/>
  <c r="AS216" i="1"/>
  <c r="AQ219" i="1"/>
  <c r="AQ220" i="1" s="1"/>
  <c r="AQ305" i="1" l="1"/>
  <c r="AQ307" i="1"/>
  <c r="AQ303" i="1"/>
  <c r="AO164" i="1"/>
  <c r="AO167" i="1" s="1"/>
  <c r="AS245" i="1"/>
  <c r="AS248" i="1" s="1"/>
  <c r="AS272" i="1"/>
  <c r="AS269" i="1"/>
  <c r="AR268" i="1"/>
  <c r="AR269" i="1" s="1"/>
  <c r="AR270" i="1" s="1"/>
  <c r="AQ270" i="1"/>
  <c r="AQ224" i="1"/>
  <c r="AQ227" i="1"/>
  <c r="AU208" i="1"/>
  <c r="AU215" i="1" s="1"/>
  <c r="AQ163" i="1" l="1"/>
  <c r="AQ164" i="1" s="1"/>
  <c r="AQ167" i="1" s="1"/>
  <c r="AR91" i="1"/>
  <c r="AU244" i="1"/>
  <c r="AU243" i="1" s="1"/>
  <c r="AV256" i="1"/>
  <c r="AV257" i="1" s="1"/>
  <c r="AV258" i="1" s="1"/>
  <c r="AV272" i="1" s="1"/>
  <c r="AU256" i="1"/>
  <c r="AU257" i="1" s="1"/>
  <c r="AU258" i="1" s="1"/>
  <c r="AU216" i="1"/>
  <c r="AS219" i="1"/>
  <c r="AS220" i="1" s="1"/>
  <c r="AQ225" i="1"/>
  <c r="AS307" i="1" l="1"/>
  <c r="AS305" i="1"/>
  <c r="AS303" i="1"/>
  <c r="AQ165" i="1"/>
  <c r="AQ168" i="1" s="1"/>
  <c r="AU245" i="1"/>
  <c r="AU248" i="1" s="1"/>
  <c r="AU272" i="1"/>
  <c r="AU269" i="1"/>
  <c r="AT268" i="1"/>
  <c r="AT269" i="1" s="1"/>
  <c r="AT270" i="1" s="1"/>
  <c r="AS270" i="1"/>
  <c r="AS227" i="1"/>
  <c r="AS224" i="1"/>
  <c r="AW208" i="1"/>
  <c r="AW215" i="1" s="1"/>
  <c r="AS163" i="1" l="1"/>
  <c r="AS164" i="1" s="1"/>
  <c r="AS167" i="1" s="1"/>
  <c r="AT91" i="1"/>
  <c r="AW244" i="1"/>
  <c r="AW245" i="1" s="1"/>
  <c r="AW248" i="1" s="1"/>
  <c r="AX256" i="1"/>
  <c r="AX257" i="1" s="1"/>
  <c r="AX258" i="1" s="1"/>
  <c r="AX272" i="1" s="1"/>
  <c r="AW256" i="1"/>
  <c r="AW257" i="1" s="1"/>
  <c r="AW258" i="1" s="1"/>
  <c r="AU219" i="1"/>
  <c r="AU220" i="1" s="1"/>
  <c r="AS225" i="1"/>
  <c r="AW216" i="1"/>
  <c r="AU307" i="1" l="1"/>
  <c r="AU305" i="1"/>
  <c r="AU303" i="1"/>
  <c r="AS165" i="1"/>
  <c r="AS168" i="1" s="1"/>
  <c r="AW243" i="1"/>
  <c r="AW272" i="1"/>
  <c r="AW269" i="1"/>
  <c r="AV268" i="1"/>
  <c r="AV269" i="1" s="1"/>
  <c r="AV270" i="1" s="1"/>
  <c r="AU270" i="1"/>
  <c r="AU227" i="1"/>
  <c r="AU224" i="1"/>
  <c r="AY208" i="1"/>
  <c r="AY215" i="1" s="1"/>
  <c r="AU163" i="1" l="1"/>
  <c r="AU165" i="1" s="1"/>
  <c r="AU168" i="1" s="1"/>
  <c r="AV91" i="1"/>
  <c r="AY244" i="1"/>
  <c r="AY243" i="1" s="1"/>
  <c r="AZ256" i="1"/>
  <c r="AZ257" i="1" s="1"/>
  <c r="AZ258" i="1" s="1"/>
  <c r="AZ272" i="1" s="1"/>
  <c r="AY256" i="1"/>
  <c r="AY257" i="1" s="1"/>
  <c r="AY258" i="1" s="1"/>
  <c r="AW219" i="1"/>
  <c r="AW220" i="1" s="1"/>
  <c r="AY216" i="1"/>
  <c r="AU225" i="1"/>
  <c r="AW305" i="1" l="1"/>
  <c r="AW307" i="1"/>
  <c r="AW303" i="1"/>
  <c r="AU164" i="1"/>
  <c r="AU167" i="1" s="1"/>
  <c r="AY245" i="1"/>
  <c r="AY248" i="1" s="1"/>
  <c r="AY272" i="1"/>
  <c r="AY269" i="1"/>
  <c r="AX268" i="1"/>
  <c r="AX269" i="1" s="1"/>
  <c r="AX270" i="1" s="1"/>
  <c r="AW270" i="1"/>
  <c r="BA208" i="1"/>
  <c r="BA215" i="1" s="1"/>
  <c r="AW224" i="1"/>
  <c r="AW227" i="1"/>
  <c r="AW163" i="1" l="1"/>
  <c r="AW165" i="1" s="1"/>
  <c r="AW168" i="1" s="1"/>
  <c r="AX91" i="1"/>
  <c r="BB256" i="1"/>
  <c r="BB257" i="1" s="1"/>
  <c r="BB258" i="1" s="1"/>
  <c r="BB272" i="1" s="1"/>
  <c r="BA244" i="1"/>
  <c r="BA243" i="1" s="1"/>
  <c r="BA256" i="1"/>
  <c r="BA257" i="1" s="1"/>
  <c r="BA258" i="1" s="1"/>
  <c r="AW225" i="1"/>
  <c r="BA216" i="1"/>
  <c r="AY219" i="1"/>
  <c r="AY220" i="1" s="1"/>
  <c r="AY305" i="1" l="1"/>
  <c r="AY307" i="1"/>
  <c r="AY303" i="1"/>
  <c r="AW164" i="1"/>
  <c r="AW167" i="1" s="1"/>
  <c r="BA245" i="1"/>
  <c r="BA248" i="1" s="1"/>
  <c r="BA272" i="1"/>
  <c r="BA269" i="1"/>
  <c r="AZ268" i="1"/>
  <c r="AZ269" i="1" s="1"/>
  <c r="AZ270" i="1" s="1"/>
  <c r="AY270" i="1"/>
  <c r="AY224" i="1"/>
  <c r="AY227" i="1"/>
  <c r="BC208" i="1"/>
  <c r="BC215" i="1" s="1"/>
  <c r="AY163" i="1" l="1"/>
  <c r="AY165" i="1" s="1"/>
  <c r="AY168" i="1" s="1"/>
  <c r="AZ91" i="1"/>
  <c r="BC244" i="1"/>
  <c r="BC243" i="1" s="1"/>
  <c r="BD256" i="1"/>
  <c r="BD257" i="1" s="1"/>
  <c r="BD258" i="1" s="1"/>
  <c r="BD272" i="1" s="1"/>
  <c r="BC256" i="1"/>
  <c r="BC257" i="1" s="1"/>
  <c r="BC258" i="1" s="1"/>
  <c r="AY225" i="1"/>
  <c r="BC216" i="1"/>
  <c r="BA219" i="1"/>
  <c r="BA220" i="1" s="1"/>
  <c r="BA307" i="1" l="1"/>
  <c r="BA305" i="1"/>
  <c r="BA303" i="1"/>
  <c r="AY164" i="1"/>
  <c r="AY167" i="1" s="1"/>
  <c r="BC245" i="1"/>
  <c r="BC248" i="1" s="1"/>
  <c r="BC272" i="1"/>
  <c r="BC269" i="1"/>
  <c r="BB268" i="1"/>
  <c r="BB269" i="1" s="1"/>
  <c r="BB270" i="1" s="1"/>
  <c r="BA270" i="1"/>
  <c r="BE208" i="1"/>
  <c r="BE215" i="1" s="1"/>
  <c r="BA227" i="1"/>
  <c r="BA224" i="1"/>
  <c r="BA163" i="1" l="1"/>
  <c r="BA164" i="1" s="1"/>
  <c r="BA167" i="1" s="1"/>
  <c r="BB91" i="1"/>
  <c r="BE244" i="1"/>
  <c r="BE243" i="1" s="1"/>
  <c r="BF256" i="1"/>
  <c r="BF257" i="1" s="1"/>
  <c r="BF258" i="1" s="1"/>
  <c r="BF272" i="1" s="1"/>
  <c r="BE256" i="1"/>
  <c r="BE257" i="1" s="1"/>
  <c r="BE258" i="1" s="1"/>
  <c r="BC219" i="1"/>
  <c r="BC220" i="1" s="1"/>
  <c r="BA225" i="1"/>
  <c r="BE216" i="1"/>
  <c r="BC307" i="1" l="1"/>
  <c r="BC305" i="1"/>
  <c r="BC303" i="1"/>
  <c r="BA165" i="1"/>
  <c r="BA168" i="1" s="1"/>
  <c r="BE245" i="1"/>
  <c r="BE248" i="1" s="1"/>
  <c r="BE272" i="1"/>
  <c r="BE269" i="1"/>
  <c r="BD268" i="1"/>
  <c r="BD269" i="1" s="1"/>
  <c r="BD270" i="1" s="1"/>
  <c r="BC270" i="1"/>
  <c r="BG208" i="1"/>
  <c r="BG215" i="1" s="1"/>
  <c r="BC224" i="1"/>
  <c r="BC227" i="1"/>
  <c r="BC163" i="1" l="1"/>
  <c r="BC164" i="1" s="1"/>
  <c r="BC167" i="1" s="1"/>
  <c r="BD91" i="1"/>
  <c r="BG244" i="1"/>
  <c r="BG245" i="1" s="1"/>
  <c r="BG248" i="1" s="1"/>
  <c r="BH256" i="1"/>
  <c r="BH257" i="1" s="1"/>
  <c r="BH258" i="1" s="1"/>
  <c r="BH272" i="1" s="1"/>
  <c r="BG256" i="1"/>
  <c r="BG257" i="1" s="1"/>
  <c r="BG258" i="1" s="1"/>
  <c r="BC225" i="1"/>
  <c r="BE219" i="1"/>
  <c r="BE220" i="1" s="1"/>
  <c r="BG216" i="1"/>
  <c r="BE305" i="1" l="1"/>
  <c r="BE307" i="1"/>
  <c r="BE303" i="1"/>
  <c r="BC165" i="1"/>
  <c r="BC168" i="1" s="1"/>
  <c r="BG243" i="1"/>
  <c r="BG272" i="1"/>
  <c r="BG269" i="1"/>
  <c r="BF268" i="1"/>
  <c r="BF269" i="1" s="1"/>
  <c r="BF270" i="1" s="1"/>
  <c r="BE270" i="1"/>
  <c r="BE227" i="1"/>
  <c r="BE224" i="1"/>
  <c r="BI208" i="1"/>
  <c r="BI215" i="1" s="1"/>
  <c r="BE163" i="1" l="1"/>
  <c r="BE164" i="1" s="1"/>
  <c r="BE167" i="1" s="1"/>
  <c r="BF91" i="1"/>
  <c r="BI244" i="1"/>
  <c r="BI243" i="1" s="1"/>
  <c r="BJ256" i="1"/>
  <c r="BJ257" i="1" s="1"/>
  <c r="BJ258" i="1" s="1"/>
  <c r="BJ272" i="1" s="1"/>
  <c r="BI256" i="1"/>
  <c r="BI257" i="1" s="1"/>
  <c r="BI258" i="1" s="1"/>
  <c r="BE225" i="1"/>
  <c r="BG219" i="1"/>
  <c r="BG220" i="1" s="1"/>
  <c r="BI216" i="1"/>
  <c r="BG305" i="1" l="1"/>
  <c r="BG307" i="1"/>
  <c r="BG303" i="1"/>
  <c r="BE165" i="1"/>
  <c r="BE168" i="1" s="1"/>
  <c r="BI245" i="1"/>
  <c r="BI248" i="1" s="1"/>
  <c r="BI272" i="1"/>
  <c r="BI269" i="1"/>
  <c r="BH268" i="1"/>
  <c r="BH269" i="1" s="1"/>
  <c r="BH270" i="1" s="1"/>
  <c r="BG270" i="1"/>
  <c r="BG224" i="1"/>
  <c r="BG227" i="1"/>
  <c r="BK208" i="1"/>
  <c r="BK215" i="1" s="1"/>
  <c r="BG163" i="1" l="1"/>
  <c r="BG164" i="1" s="1"/>
  <c r="BG167" i="1" s="1"/>
  <c r="BH91" i="1"/>
  <c r="BL256" i="1"/>
  <c r="BL257" i="1" s="1"/>
  <c r="BL258" i="1" s="1"/>
  <c r="BL272" i="1" s="1"/>
  <c r="BK244" i="1"/>
  <c r="BK243" i="1" s="1"/>
  <c r="BK256" i="1"/>
  <c r="BK257" i="1" s="1"/>
  <c r="BK258" i="1" s="1"/>
  <c r="BK216" i="1"/>
  <c r="BG225" i="1"/>
  <c r="BI219" i="1"/>
  <c r="BI220" i="1" s="1"/>
  <c r="BI307" i="1" l="1"/>
  <c r="BI305" i="1"/>
  <c r="BI303" i="1"/>
  <c r="BG165" i="1"/>
  <c r="BG168" i="1" s="1"/>
  <c r="BK245" i="1"/>
  <c r="BK248" i="1" s="1"/>
  <c r="BK272" i="1"/>
  <c r="BK269" i="1"/>
  <c r="BJ268" i="1"/>
  <c r="BJ269" i="1" s="1"/>
  <c r="BJ270" i="1" s="1"/>
  <c r="BI270" i="1"/>
  <c r="BI227" i="1"/>
  <c r="BI224" i="1"/>
  <c r="BM208" i="1"/>
  <c r="BM215" i="1" s="1"/>
  <c r="BI163" i="1" l="1"/>
  <c r="BI165" i="1" s="1"/>
  <c r="BI168" i="1" s="1"/>
  <c r="BJ91" i="1"/>
  <c r="BM244" i="1"/>
  <c r="BM243" i="1" s="1"/>
  <c r="BN256" i="1"/>
  <c r="BN257" i="1" s="1"/>
  <c r="BN258" i="1" s="1"/>
  <c r="BN272" i="1" s="1"/>
  <c r="BM256" i="1"/>
  <c r="BM257" i="1" s="1"/>
  <c r="BM258" i="1" s="1"/>
  <c r="BM216" i="1"/>
  <c r="BI225" i="1"/>
  <c r="BK219" i="1"/>
  <c r="BK220" i="1" s="1"/>
  <c r="BK307" i="1" l="1"/>
  <c r="BK305" i="1"/>
  <c r="BK303" i="1"/>
  <c r="BI164" i="1"/>
  <c r="BI167" i="1" s="1"/>
  <c r="BM245" i="1"/>
  <c r="BM248" i="1" s="1"/>
  <c r="BM272" i="1"/>
  <c r="BM269" i="1"/>
  <c r="BL268" i="1"/>
  <c r="BL269" i="1" s="1"/>
  <c r="BL270" i="1" s="1"/>
  <c r="BK270" i="1"/>
  <c r="BK227" i="1"/>
  <c r="BK224" i="1"/>
  <c r="BO208" i="1"/>
  <c r="BO215" i="1" s="1"/>
  <c r="BK163" i="1" l="1"/>
  <c r="BK165" i="1" s="1"/>
  <c r="BK168" i="1" s="1"/>
  <c r="BL91" i="1"/>
  <c r="BO244" i="1"/>
  <c r="BO243" i="1" s="1"/>
  <c r="BP256" i="1"/>
  <c r="BP257" i="1" s="1"/>
  <c r="BP258" i="1" s="1"/>
  <c r="BP272" i="1" s="1"/>
  <c r="BO256" i="1"/>
  <c r="BO257" i="1" s="1"/>
  <c r="BO258" i="1" s="1"/>
  <c r="BM219" i="1"/>
  <c r="BM220" i="1" s="1"/>
  <c r="BK225" i="1"/>
  <c r="BO216" i="1"/>
  <c r="BM305" i="1" l="1"/>
  <c r="BM307" i="1"/>
  <c r="BM303" i="1"/>
  <c r="BK164" i="1"/>
  <c r="BK167" i="1" s="1"/>
  <c r="BO245" i="1"/>
  <c r="BO248" i="1" s="1"/>
  <c r="BO272" i="1"/>
  <c r="BO269" i="1"/>
  <c r="BN268" i="1"/>
  <c r="BN269" i="1" s="1"/>
  <c r="BN270" i="1" s="1"/>
  <c r="BM270" i="1"/>
  <c r="BM224" i="1"/>
  <c r="BM227" i="1"/>
  <c r="BQ208" i="1"/>
  <c r="BQ215" i="1" s="1"/>
  <c r="BM163" i="1" l="1"/>
  <c r="BM164" i="1" s="1"/>
  <c r="BM167" i="1" s="1"/>
  <c r="BN91" i="1"/>
  <c r="BQ244" i="1"/>
  <c r="BQ243" i="1" s="1"/>
  <c r="BR256" i="1"/>
  <c r="BR257" i="1" s="1"/>
  <c r="BR258" i="1" s="1"/>
  <c r="BR272" i="1" s="1"/>
  <c r="BQ256" i="1"/>
  <c r="BQ257" i="1" s="1"/>
  <c r="BQ258" i="1" s="1"/>
  <c r="BO219" i="1"/>
  <c r="BO220" i="1" s="1"/>
  <c r="BQ216" i="1"/>
  <c r="BM225" i="1"/>
  <c r="BO305" i="1" l="1"/>
  <c r="BO307" i="1"/>
  <c r="BO303" i="1"/>
  <c r="BM165" i="1"/>
  <c r="BM168" i="1" s="1"/>
  <c r="BQ245" i="1"/>
  <c r="BQ248" i="1" s="1"/>
  <c r="BQ272" i="1"/>
  <c r="BQ269" i="1"/>
  <c r="BP268" i="1"/>
  <c r="BP269" i="1" s="1"/>
  <c r="BP270" i="1" s="1"/>
  <c r="BO270" i="1"/>
  <c r="BS208" i="1"/>
  <c r="BS215" i="1" s="1"/>
  <c r="BO224" i="1"/>
  <c r="BO227" i="1"/>
  <c r="BO163" i="1" l="1"/>
  <c r="BO164" i="1" s="1"/>
  <c r="BO167" i="1" s="1"/>
  <c r="BP91" i="1"/>
  <c r="BS244" i="1"/>
  <c r="BS243" i="1" s="1"/>
  <c r="BT256" i="1"/>
  <c r="BT257" i="1" s="1"/>
  <c r="BT258" i="1" s="1"/>
  <c r="BT272" i="1" s="1"/>
  <c r="BS256" i="1"/>
  <c r="BS257" i="1" s="1"/>
  <c r="BS258" i="1" s="1"/>
  <c r="BO225" i="1"/>
  <c r="BS216" i="1"/>
  <c r="BQ219" i="1"/>
  <c r="BQ220" i="1" s="1"/>
  <c r="BQ307" i="1" l="1"/>
  <c r="BQ305" i="1"/>
  <c r="BQ303" i="1"/>
  <c r="BO165" i="1"/>
  <c r="BO168" i="1" s="1"/>
  <c r="BS245" i="1"/>
  <c r="BS248" i="1" s="1"/>
  <c r="BS272" i="1"/>
  <c r="BS269" i="1"/>
  <c r="BR268" i="1"/>
  <c r="BR269" i="1" s="1"/>
  <c r="BR270" i="1" s="1"/>
  <c r="BQ270" i="1"/>
  <c r="BQ224" i="1"/>
  <c r="BQ227" i="1"/>
  <c r="BU208" i="1"/>
  <c r="BU215" i="1" s="1"/>
  <c r="BQ163" i="1" l="1"/>
  <c r="BQ164" i="1" s="1"/>
  <c r="BQ167" i="1" s="1"/>
  <c r="BR91" i="1"/>
  <c r="BU244" i="1"/>
  <c r="BU243" i="1" s="1"/>
  <c r="BV256" i="1"/>
  <c r="BV257" i="1" s="1"/>
  <c r="BV258" i="1" s="1"/>
  <c r="BV272" i="1" s="1"/>
  <c r="BU256" i="1"/>
  <c r="BU257" i="1" s="1"/>
  <c r="BU258" i="1" s="1"/>
  <c r="BS219" i="1"/>
  <c r="BS220" i="1" s="1"/>
  <c r="BQ225" i="1"/>
  <c r="BU216" i="1"/>
  <c r="BS307" i="1" l="1"/>
  <c r="BS305" i="1"/>
  <c r="BS303" i="1"/>
  <c r="BQ165" i="1"/>
  <c r="BQ168" i="1" s="1"/>
  <c r="BU245" i="1"/>
  <c r="BU248" i="1" s="1"/>
  <c r="BU272" i="1"/>
  <c r="BU269" i="1"/>
  <c r="BT268" i="1"/>
  <c r="BT269" i="1" s="1"/>
  <c r="BT270" i="1" s="1"/>
  <c r="BS270" i="1"/>
  <c r="BS224" i="1"/>
  <c r="BS227" i="1"/>
  <c r="BW208" i="1"/>
  <c r="BW215" i="1" s="1"/>
  <c r="BS163" i="1" l="1"/>
  <c r="BS165" i="1" s="1"/>
  <c r="BS168" i="1" s="1"/>
  <c r="BT91" i="1"/>
  <c r="BW244" i="1"/>
  <c r="BW243" i="1" s="1"/>
  <c r="BX256" i="1"/>
  <c r="BX257" i="1" s="1"/>
  <c r="BX258" i="1" s="1"/>
  <c r="BX272" i="1" s="1"/>
  <c r="BW256" i="1"/>
  <c r="BW257" i="1" s="1"/>
  <c r="BW258" i="1" s="1"/>
  <c r="BW216" i="1"/>
  <c r="BS225" i="1"/>
  <c r="BU219" i="1"/>
  <c r="BU220" i="1" s="1"/>
  <c r="BU305" i="1" l="1"/>
  <c r="BU307" i="1"/>
  <c r="BU303" i="1"/>
  <c r="BS164" i="1"/>
  <c r="BS167" i="1" s="1"/>
  <c r="BW245" i="1"/>
  <c r="BW248" i="1" s="1"/>
  <c r="BW272" i="1"/>
  <c r="BW269" i="1"/>
  <c r="BV268" i="1"/>
  <c r="BV269" i="1" s="1"/>
  <c r="BV270" i="1" s="1"/>
  <c r="BU270" i="1"/>
  <c r="BU224" i="1"/>
  <c r="BU227" i="1"/>
  <c r="BY208" i="1"/>
  <c r="BY215" i="1" s="1"/>
  <c r="BU163" i="1" l="1"/>
  <c r="BU165" i="1" s="1"/>
  <c r="BU168" i="1" s="1"/>
  <c r="BV91" i="1"/>
  <c r="BZ256" i="1"/>
  <c r="BZ257" i="1" s="1"/>
  <c r="BZ258" i="1" s="1"/>
  <c r="BZ272" i="1" s="1"/>
  <c r="BY244" i="1"/>
  <c r="BY243" i="1" s="1"/>
  <c r="BY256" i="1"/>
  <c r="BY257" i="1" s="1"/>
  <c r="BY258" i="1" s="1"/>
  <c r="BW219" i="1"/>
  <c r="BW220" i="1" s="1"/>
  <c r="BY216" i="1"/>
  <c r="BU225" i="1"/>
  <c r="BW305" i="1" l="1"/>
  <c r="BW307" i="1"/>
  <c r="BW303" i="1"/>
  <c r="BU164" i="1"/>
  <c r="BU167" i="1" s="1"/>
  <c r="BY245" i="1"/>
  <c r="BY248" i="1" s="1"/>
  <c r="BY272" i="1"/>
  <c r="BY269" i="1"/>
  <c r="BX268" i="1"/>
  <c r="BX269" i="1" s="1"/>
  <c r="BX270" i="1" s="1"/>
  <c r="BW270" i="1"/>
  <c r="BW224" i="1"/>
  <c r="BW227" i="1"/>
  <c r="BW163" i="1" l="1"/>
  <c r="BW165" i="1" s="1"/>
  <c r="BW168" i="1" s="1"/>
  <c r="BX91" i="1"/>
  <c r="BW225" i="1"/>
  <c r="BY219" i="1"/>
  <c r="BY220" i="1" s="1"/>
  <c r="BY307" i="1" l="1"/>
  <c r="BY305" i="1"/>
  <c r="BY303" i="1"/>
  <c r="BW164" i="1"/>
  <c r="BW167" i="1" s="1"/>
  <c r="BZ268" i="1"/>
  <c r="BZ269" i="1" s="1"/>
  <c r="BZ270" i="1" s="1"/>
  <c r="BY270" i="1"/>
  <c r="BY227" i="1"/>
  <c r="BY224" i="1"/>
  <c r="BY163" i="1" l="1"/>
  <c r="BY164" i="1" s="1"/>
  <c r="BY167" i="1" s="1"/>
  <c r="BZ91" i="1"/>
  <c r="BY225" i="1"/>
  <c r="CC197" i="1"/>
  <c r="CC196" i="1"/>
  <c r="CA196" i="1"/>
  <c r="CA208" i="1"/>
  <c r="CA215" i="1" s="1"/>
  <c r="CA197" i="1"/>
  <c r="BY165" i="1" l="1"/>
  <c r="BY168" i="1" s="1"/>
  <c r="CA207" i="1"/>
  <c r="CA241" i="1" s="1"/>
  <c r="CA240" i="1" s="1"/>
  <c r="CB256" i="1"/>
  <c r="CA244" i="1"/>
  <c r="CA243" i="1" s="1"/>
  <c r="CA256" i="1"/>
  <c r="CC208" i="1"/>
  <c r="CC215" i="1" s="1"/>
  <c r="CC207" i="1"/>
  <c r="CA216" i="1" l="1"/>
  <c r="CA255" i="1"/>
  <c r="CA257" i="1" s="1"/>
  <c r="CA258" i="1" s="1"/>
  <c r="CA272" i="1" s="1"/>
  <c r="CB255" i="1"/>
  <c r="CB257" i="1" s="1"/>
  <c r="CB258" i="1" s="1"/>
  <c r="CB272" i="1" s="1"/>
  <c r="CA245" i="1"/>
  <c r="CD255" i="1"/>
  <c r="CC241" i="1"/>
  <c r="CC240" i="1" s="1"/>
  <c r="CC255" i="1"/>
  <c r="CC244" i="1"/>
  <c r="CC243" i="1" s="1"/>
  <c r="CD256" i="1"/>
  <c r="CC256" i="1"/>
  <c r="CC216" i="1"/>
  <c r="CA248" i="1" l="1"/>
  <c r="CE248" i="1"/>
  <c r="CC257" i="1"/>
  <c r="CC258" i="1" s="1"/>
  <c r="CC272" i="1" s="1"/>
  <c r="CD257" i="1"/>
  <c r="CD258" i="1" s="1"/>
  <c r="CD272" i="1" s="1"/>
  <c r="CA269" i="1"/>
  <c r="CA219" i="1" s="1"/>
  <c r="CA220" i="1" s="1"/>
  <c r="CC245" i="1"/>
  <c r="CA307" i="1" l="1"/>
  <c r="CA305" i="1"/>
  <c r="CA303" i="1"/>
  <c r="CC248" i="1"/>
  <c r="CG248" i="1"/>
  <c r="CC269" i="1"/>
  <c r="CC219" i="1" s="1"/>
  <c r="CC220" i="1" s="1"/>
  <c r="CB268" i="1"/>
  <c r="CB269" i="1" s="1"/>
  <c r="CB270" i="1" s="1"/>
  <c r="CA270" i="1"/>
  <c r="CA227" i="1"/>
  <c r="CA224" i="1"/>
  <c r="CC305" i="1" l="1"/>
  <c r="CC307" i="1"/>
  <c r="CC303" i="1"/>
  <c r="CA163" i="1"/>
  <c r="CA164" i="1" s="1"/>
  <c r="CA167" i="1" s="1"/>
  <c r="CB91" i="1"/>
  <c r="CD268" i="1"/>
  <c r="CD269" i="1" s="1"/>
  <c r="CD270" i="1" s="1"/>
  <c r="CC270" i="1"/>
  <c r="CC224" i="1"/>
  <c r="CC227" i="1"/>
  <c r="CA225" i="1"/>
  <c r="CA165" i="1" l="1"/>
  <c r="CA168" i="1" s="1"/>
  <c r="CC163" i="1"/>
  <c r="CC164" i="1" s="1"/>
  <c r="CC167" i="1" s="1"/>
  <c r="CD91" i="1"/>
  <c r="CC225" i="1"/>
  <c r="CC165" i="1" l="1"/>
  <c r="CC168" i="1" s="1"/>
  <c r="CI197" i="1" l="1"/>
  <c r="CI208" i="1"/>
  <c r="CI215" i="1" s="1"/>
  <c r="CI196" i="1"/>
  <c r="CJ256" i="1" l="1"/>
  <c r="CI207" i="1"/>
  <c r="CI256" i="1"/>
  <c r="CJ255" i="1" l="1"/>
  <c r="CJ257" i="1" s="1"/>
  <c r="CJ258" i="1" s="1"/>
  <c r="CJ272" i="1" s="1"/>
  <c r="CI216" i="1"/>
  <c r="CI255" i="1"/>
  <c r="CI257" i="1" s="1"/>
  <c r="CI258" i="1" s="1"/>
  <c r="CI272" i="1" s="1"/>
  <c r="CI245" i="1" l="1"/>
  <c r="CI248" i="1" s="1"/>
  <c r="CI269" i="1"/>
  <c r="CI219" i="1" s="1"/>
  <c r="CI220" i="1" s="1"/>
  <c r="CI307" i="1" l="1"/>
  <c r="CI305" i="1"/>
  <c r="CI303" i="1"/>
  <c r="CI270" i="1"/>
  <c r="CJ268" i="1"/>
  <c r="CJ269" i="1" s="1"/>
  <c r="CI227" i="1"/>
  <c r="CI224" i="1"/>
  <c r="CI163" i="1" l="1"/>
  <c r="CI165" i="1" s="1"/>
  <c r="CI168" i="1" s="1"/>
  <c r="CJ91" i="1"/>
  <c r="CJ270" i="1"/>
  <c r="CI225" i="1"/>
  <c r="CI164" i="1" l="1"/>
  <c r="CI167" i="1" s="1"/>
  <c r="CJ227" i="1"/>
  <c r="CJ163" i="1" l="1"/>
  <c r="CK91" i="1"/>
  <c r="CJ164" i="1" l="1"/>
  <c r="CJ167" i="1" s="1"/>
  <c r="CJ165" i="1"/>
  <c r="CJ168" i="1" s="1"/>
  <c r="CK290" i="1" l="1"/>
  <c r="CK312" i="1"/>
  <c r="CK311" i="1"/>
  <c r="CN57" i="1"/>
  <c r="CN312" i="1"/>
  <c r="CM57" i="1"/>
  <c r="CM312" i="1"/>
  <c r="CN290" i="1"/>
  <c r="CM290" i="1"/>
  <c r="CM152" i="1"/>
  <c r="CM153" i="1" s="1"/>
  <c r="CM156" i="1" s="1"/>
  <c r="CN152" i="1"/>
  <c r="CN153" i="1" s="1"/>
  <c r="CN156" i="1" s="1"/>
  <c r="CM200" i="1" l="1"/>
  <c r="CQ312" i="1"/>
  <c r="CO57" i="1"/>
  <c r="CN80" i="1"/>
  <c r="CN75" i="1" s="1"/>
  <c r="CR312" i="1"/>
  <c r="CN197" i="1"/>
  <c r="CN64" i="1"/>
  <c r="CN196" i="1"/>
  <c r="CN208" i="1"/>
  <c r="CM80" i="1"/>
  <c r="CM75" i="1" s="1"/>
  <c r="CM208" i="1"/>
  <c r="CN59" i="1"/>
  <c r="CN214" i="1"/>
  <c r="CN200" i="1"/>
  <c r="CM197" i="1"/>
  <c r="CM59" i="1"/>
  <c r="CM64" i="1"/>
  <c r="CM63" i="1" s="1"/>
  <c r="CM214" i="1"/>
  <c r="CM196" i="1"/>
  <c r="CK196" i="1"/>
  <c r="CK208" i="1"/>
  <c r="CK197" i="1"/>
  <c r="CM284" i="1"/>
  <c r="CK214" i="1"/>
  <c r="CK284" i="1"/>
  <c r="CK200" i="1"/>
  <c r="CN284" i="1"/>
  <c r="CN215" i="1" l="1"/>
  <c r="CM215" i="1"/>
  <c r="CK215" i="1"/>
  <c r="CO284" i="1"/>
  <c r="CN63" i="1"/>
  <c r="CN66" i="1"/>
  <c r="CN82" i="1"/>
  <c r="CN207" i="1"/>
  <c r="CM207" i="1"/>
  <c r="CR57" i="1"/>
  <c r="CM66" i="1"/>
  <c r="CR290" i="1"/>
  <c r="CQ57" i="1"/>
  <c r="CQ290" i="1"/>
  <c r="CM82" i="1"/>
  <c r="CR152" i="1"/>
  <c r="CR153" i="1" s="1"/>
  <c r="CR156" i="1" s="1"/>
  <c r="CP312" i="1"/>
  <c r="CN67" i="1"/>
  <c r="CO152" i="1"/>
  <c r="CO153" i="1" s="1"/>
  <c r="CO156" i="1" s="1"/>
  <c r="CO312" i="1"/>
  <c r="CO290" i="1"/>
  <c r="CK207" i="1"/>
  <c r="CM67" i="1"/>
  <c r="CP290" i="1"/>
  <c r="CP57" i="1"/>
  <c r="CQ152" i="1"/>
  <c r="CQ153" i="1" s="1"/>
  <c r="CQ156" i="1" s="1"/>
  <c r="AB55" i="1"/>
  <c r="AB312" i="1" s="1"/>
  <c r="CP152" i="1"/>
  <c r="CP153" i="1" s="1"/>
  <c r="CP156" i="1" s="1"/>
  <c r="CO196" i="1"/>
  <c r="CO64" i="1"/>
  <c r="CO214" i="1"/>
  <c r="CO208" i="1"/>
  <c r="CO80" i="1"/>
  <c r="CO75" i="1" s="1"/>
  <c r="CO197" i="1"/>
  <c r="CO200" i="1"/>
  <c r="CO59" i="1"/>
  <c r="CO215" i="1" l="1"/>
  <c r="CK256" i="1"/>
  <c r="CL256" i="1"/>
  <c r="CK255" i="1"/>
  <c r="CL255" i="1"/>
  <c r="CN309" i="1"/>
  <c r="CN310" i="1" s="1"/>
  <c r="CN256" i="1"/>
  <c r="CN83" i="1"/>
  <c r="CN291" i="1"/>
  <c r="CN292" i="1" s="1"/>
  <c r="CN84" i="1"/>
  <c r="CN88" i="1"/>
  <c r="CN216" i="1"/>
  <c r="CM216" i="1"/>
  <c r="CN255" i="1"/>
  <c r="CR214" i="1"/>
  <c r="CR64" i="1"/>
  <c r="CR196" i="1"/>
  <c r="CR197" i="1"/>
  <c r="CR59" i="1"/>
  <c r="CR200" i="1"/>
  <c r="CR80" i="1"/>
  <c r="CR75" i="1" s="1"/>
  <c r="CR208" i="1"/>
  <c r="CQ59" i="1"/>
  <c r="CQ80" i="1"/>
  <c r="CQ75" i="1" s="1"/>
  <c r="CQ200" i="1"/>
  <c r="CQ197" i="1"/>
  <c r="CQ214" i="1"/>
  <c r="CQ208" i="1"/>
  <c r="CQ196" i="1"/>
  <c r="CN85" i="1"/>
  <c r="CM84" i="1"/>
  <c r="CM291" i="1"/>
  <c r="CM292" i="1" s="1"/>
  <c r="CM83" i="1"/>
  <c r="CM88" i="1"/>
  <c r="CQ64" i="1"/>
  <c r="CK216" i="1"/>
  <c r="CK309" i="1"/>
  <c r="CK310" i="1" s="1"/>
  <c r="CS152" i="1"/>
  <c r="CS153" i="1" s="1"/>
  <c r="CS156" i="1" s="1"/>
  <c r="CS312" i="1"/>
  <c r="CM309" i="1"/>
  <c r="CM310" i="1" s="1"/>
  <c r="CK291" i="1"/>
  <c r="CK292" i="1" s="1"/>
  <c r="CK285" i="1"/>
  <c r="CN285" i="1"/>
  <c r="CR284" i="1"/>
  <c r="CP284" i="1"/>
  <c r="AB57" i="1"/>
  <c r="CS57" i="1"/>
  <c r="CS290" i="1"/>
  <c r="CO207" i="1"/>
  <c r="CM166" i="1"/>
  <c r="CN166" i="1"/>
  <c r="CM256" i="1"/>
  <c r="CP197" i="1"/>
  <c r="AB197" i="1" s="1"/>
  <c r="AB239" i="1" s="1"/>
  <c r="CP196" i="1"/>
  <c r="CP214" i="1"/>
  <c r="CP64" i="1"/>
  <c r="CP63" i="1" s="1"/>
  <c r="CP208" i="1"/>
  <c r="AB208" i="1" s="1"/>
  <c r="AB242" i="1" s="1"/>
  <c r="CP200" i="1"/>
  <c r="AB200" i="1" s="1"/>
  <c r="CP59" i="1"/>
  <c r="CP80" i="1"/>
  <c r="CP75" i="1" s="1"/>
  <c r="AB75" i="1" s="1"/>
  <c r="CT312" i="1"/>
  <c r="CO82" i="1"/>
  <c r="CO66" i="1"/>
  <c r="CO67" i="1"/>
  <c r="CM255" i="1"/>
  <c r="CQ284" i="1"/>
  <c r="CO63" i="1"/>
  <c r="CM285" i="1"/>
  <c r="CM85" i="1"/>
  <c r="CR215" i="1" l="1"/>
  <c r="CQ215" i="1"/>
  <c r="CP215" i="1"/>
  <c r="CK257" i="1"/>
  <c r="CL257" i="1"/>
  <c r="CL258" i="1" s="1"/>
  <c r="CL272" i="1" s="1"/>
  <c r="CU312" i="1"/>
  <c r="CU57" i="1"/>
  <c r="CU290" i="1"/>
  <c r="CS284" i="1"/>
  <c r="CW312" i="1"/>
  <c r="CR207" i="1"/>
  <c r="CN257" i="1"/>
  <c r="CR66" i="1"/>
  <c r="CR67" i="1"/>
  <c r="CR82" i="1"/>
  <c r="CR63" i="1"/>
  <c r="CV312" i="1"/>
  <c r="CV290" i="1"/>
  <c r="CV57" i="1"/>
  <c r="CQ63" i="1"/>
  <c r="CQ66" i="1"/>
  <c r="CQ82" i="1"/>
  <c r="CQ207" i="1"/>
  <c r="CO166" i="1"/>
  <c r="CO309" i="1"/>
  <c r="CO310" i="1" s="1"/>
  <c r="AB152" i="1"/>
  <c r="AB247" i="1"/>
  <c r="CQ67" i="1"/>
  <c r="AB63" i="1"/>
  <c r="AB64" i="1" s="1"/>
  <c r="CM257" i="1"/>
  <c r="CO216" i="1"/>
  <c r="CO255" i="1"/>
  <c r="CO285" i="1"/>
  <c r="AC55" i="1"/>
  <c r="AC312" i="1" s="1"/>
  <c r="CV152" i="1"/>
  <c r="CV153" i="1" s="1"/>
  <c r="CV156" i="1" s="1"/>
  <c r="AB58" i="1"/>
  <c r="AB112" i="1"/>
  <c r="AB196" i="1"/>
  <c r="CP207" i="1"/>
  <c r="CS196" i="1"/>
  <c r="CS64" i="1"/>
  <c r="CS63" i="1" s="1"/>
  <c r="CS214" i="1"/>
  <c r="CS59" i="1"/>
  <c r="CS197" i="1"/>
  <c r="CS208" i="1"/>
  <c r="CS200" i="1"/>
  <c r="CS80" i="1"/>
  <c r="CS75" i="1" s="1"/>
  <c r="CT152" i="1"/>
  <c r="CT153" i="1" s="1"/>
  <c r="CT156" i="1" s="1"/>
  <c r="CO256" i="1"/>
  <c r="CO84" i="1"/>
  <c r="CO291" i="1"/>
  <c r="CO292" i="1" s="1"/>
  <c r="CO88" i="1"/>
  <c r="CO85" i="1"/>
  <c r="CO83" i="1"/>
  <c r="CP66" i="1"/>
  <c r="CP82" i="1"/>
  <c r="CP67" i="1"/>
  <c r="CT290" i="1"/>
  <c r="CT57" i="1"/>
  <c r="AB214" i="1"/>
  <c r="AB215" i="1" s="1"/>
  <c r="CU152" i="1"/>
  <c r="CU153" i="1" s="1"/>
  <c r="CU156" i="1" s="1"/>
  <c r="CS215" i="1" l="1"/>
  <c r="CU80" i="1"/>
  <c r="CU75" i="1" s="1"/>
  <c r="CU196" i="1"/>
  <c r="CU64" i="1"/>
  <c r="CU214" i="1"/>
  <c r="CU197" i="1"/>
  <c r="CU208" i="1"/>
  <c r="CU200" i="1"/>
  <c r="CU59" i="1"/>
  <c r="CQ256" i="1"/>
  <c r="CV196" i="1"/>
  <c r="CV64" i="1"/>
  <c r="CV66" i="1" s="1"/>
  <c r="CV214" i="1"/>
  <c r="CR256" i="1"/>
  <c r="CR216" i="1"/>
  <c r="CR291" i="1"/>
  <c r="CR292" i="1" s="1"/>
  <c r="CR83" i="1"/>
  <c r="CR88" i="1"/>
  <c r="CR84" i="1"/>
  <c r="CV200" i="1"/>
  <c r="CV197" i="1"/>
  <c r="CV80" i="1"/>
  <c r="CV75" i="1" s="1"/>
  <c r="CV59" i="1"/>
  <c r="CV208" i="1"/>
  <c r="CQ88" i="1"/>
  <c r="CQ83" i="1"/>
  <c r="CQ84" i="1"/>
  <c r="CR85" i="1"/>
  <c r="CR309" i="1"/>
  <c r="CR310" i="1" s="1"/>
  <c r="CQ291" i="1"/>
  <c r="CQ292" i="1" s="1"/>
  <c r="CR255" i="1"/>
  <c r="CQ216" i="1"/>
  <c r="AB66" i="1"/>
  <c r="CP166" i="1"/>
  <c r="CP309" i="1"/>
  <c r="CP310" i="1" s="1"/>
  <c r="CQ309" i="1"/>
  <c r="CQ310" i="1" s="1"/>
  <c r="CS256" i="1"/>
  <c r="CV284" i="1"/>
  <c r="CP256" i="1"/>
  <c r="CP291" i="1"/>
  <c r="CP292" i="1" s="1"/>
  <c r="CP84" i="1"/>
  <c r="CP85" i="1"/>
  <c r="AB80" i="1" s="1"/>
  <c r="CP83" i="1"/>
  <c r="CP88" i="1"/>
  <c r="CT284" i="1"/>
  <c r="CP285" i="1"/>
  <c r="CU284" i="1"/>
  <c r="CR285" i="1"/>
  <c r="CQ285" i="1"/>
  <c r="CS82" i="1"/>
  <c r="CS309" i="1" s="1"/>
  <c r="CS310" i="1" s="1"/>
  <c r="CS66" i="1"/>
  <c r="CS67" i="1"/>
  <c r="AC57" i="1"/>
  <c r="CO257" i="1"/>
  <c r="CW290" i="1"/>
  <c r="CW57" i="1"/>
  <c r="CQ166" i="1"/>
  <c r="CW152" i="1"/>
  <c r="CW153" i="1" s="1"/>
  <c r="CW156" i="1" s="1"/>
  <c r="CS207" i="1"/>
  <c r="CT196" i="1"/>
  <c r="CT208" i="1"/>
  <c r="AC208" i="1" s="1"/>
  <c r="AC242" i="1" s="1"/>
  <c r="CT64" i="1"/>
  <c r="CT63" i="1" s="1"/>
  <c r="AC63" i="1" s="1"/>
  <c r="CT197" i="1"/>
  <c r="AC197" i="1" s="1"/>
  <c r="AC239" i="1" s="1"/>
  <c r="CT214" i="1"/>
  <c r="CT215" i="1" s="1"/>
  <c r="CT80" i="1"/>
  <c r="CT75" i="1" s="1"/>
  <c r="AC75" i="1" s="1"/>
  <c r="CT59" i="1"/>
  <c r="CT200" i="1"/>
  <c r="AC200" i="1" s="1"/>
  <c r="AB113" i="1"/>
  <c r="AB65" i="1"/>
  <c r="CQ85" i="1"/>
  <c r="CQ255" i="1"/>
  <c r="CP216" i="1"/>
  <c r="CP255" i="1"/>
  <c r="AB244" i="1"/>
  <c r="AB243" i="1" s="1"/>
  <c r="AB256" i="1"/>
  <c r="CR166" i="1"/>
  <c r="AB207" i="1"/>
  <c r="AB238" i="1"/>
  <c r="CV215" i="1" l="1"/>
  <c r="CU215" i="1"/>
  <c r="AB81" i="1"/>
  <c r="AB82" i="1"/>
  <c r="AB309" i="1" s="1"/>
  <c r="AB310" i="1" s="1"/>
  <c r="AC64" i="1"/>
  <c r="CU63" i="1"/>
  <c r="CU82" i="1"/>
  <c r="CU83" i="1" s="1"/>
  <c r="CU66" i="1"/>
  <c r="CU207" i="1"/>
  <c r="CY312" i="1"/>
  <c r="CY57" i="1"/>
  <c r="CY290" i="1"/>
  <c r="CW284" i="1"/>
  <c r="DA312" i="1"/>
  <c r="CQ257" i="1"/>
  <c r="CV207" i="1"/>
  <c r="CV63" i="1"/>
  <c r="CV67" i="1"/>
  <c r="CV82" i="1"/>
  <c r="CZ312" i="1"/>
  <c r="CZ290" i="1"/>
  <c r="CZ57" i="1"/>
  <c r="CZ208" i="1" s="1"/>
  <c r="CR257" i="1"/>
  <c r="CX152" i="1"/>
  <c r="CX153" i="1" s="1"/>
  <c r="CX156" i="1" s="1"/>
  <c r="CX312" i="1"/>
  <c r="CP257" i="1"/>
  <c r="AC152" i="1"/>
  <c r="AC247" i="1"/>
  <c r="CT207" i="1"/>
  <c r="CT255" i="1" s="1"/>
  <c r="AC196" i="1"/>
  <c r="CS216" i="1"/>
  <c r="CS255" i="1"/>
  <c r="CS257" i="1" s="1"/>
  <c r="CY152" i="1"/>
  <c r="CY153" i="1" s="1"/>
  <c r="CY156" i="1" s="1"/>
  <c r="CS85" i="1"/>
  <c r="CS83" i="1"/>
  <c r="CS88" i="1"/>
  <c r="CS291" i="1"/>
  <c r="CS292" i="1" s="1"/>
  <c r="CS84" i="1"/>
  <c r="AB216" i="1"/>
  <c r="AB241" i="1"/>
  <c r="AB255" i="1"/>
  <c r="AB257" i="1" s="1"/>
  <c r="CW64" i="1"/>
  <c r="CW63" i="1" s="1"/>
  <c r="CW214" i="1"/>
  <c r="CW196" i="1"/>
  <c r="CW59" i="1"/>
  <c r="CW200" i="1"/>
  <c r="CW197" i="1"/>
  <c r="CW208" i="1"/>
  <c r="CW80" i="1"/>
  <c r="CW75" i="1" s="1"/>
  <c r="AC214" i="1"/>
  <c r="AC215" i="1" s="1"/>
  <c r="CS166" i="1"/>
  <c r="CK304" i="1"/>
  <c r="CK286" i="1"/>
  <c r="CK293" i="1"/>
  <c r="CS285" i="1"/>
  <c r="CT67" i="1"/>
  <c r="CT66" i="1"/>
  <c r="CT82" i="1"/>
  <c r="AC58" i="1"/>
  <c r="AC112" i="1"/>
  <c r="CX290" i="1"/>
  <c r="CX57" i="1"/>
  <c r="CZ152" i="1"/>
  <c r="CZ153" i="1" s="1"/>
  <c r="CZ156" i="1" s="1"/>
  <c r="CU67" i="1"/>
  <c r="AD55" i="1"/>
  <c r="AD312" i="1" s="1"/>
  <c r="AB114" i="1" l="1"/>
  <c r="CW215" i="1"/>
  <c r="AB83" i="1"/>
  <c r="AB88" i="1"/>
  <c r="AB166" i="1"/>
  <c r="AB84" i="1"/>
  <c r="CU216" i="1"/>
  <c r="CU84" i="1"/>
  <c r="CU291" i="1"/>
  <c r="CU292" i="1" s="1"/>
  <c r="CU88" i="1"/>
  <c r="CV255" i="1"/>
  <c r="CY197" i="1"/>
  <c r="CY64" i="1"/>
  <c r="CY208" i="1"/>
  <c r="CY200" i="1"/>
  <c r="CY214" i="1"/>
  <c r="CY215" i="1" s="1"/>
  <c r="CY80" i="1"/>
  <c r="CY75" i="1" s="1"/>
  <c r="CY196" i="1"/>
  <c r="CZ284" i="1"/>
  <c r="CV309" i="1"/>
  <c r="CV310" i="1" s="1"/>
  <c r="CV88" i="1"/>
  <c r="CV291" i="1"/>
  <c r="CV292" i="1" s="1"/>
  <c r="CV83" i="1"/>
  <c r="CV85" i="1"/>
  <c r="CV84" i="1"/>
  <c r="CZ80" i="1"/>
  <c r="CZ75" i="1" s="1"/>
  <c r="CZ196" i="1"/>
  <c r="CZ59" i="1"/>
  <c r="CZ214" i="1"/>
  <c r="CZ215" i="1" s="1"/>
  <c r="CZ200" i="1"/>
  <c r="CZ197" i="1"/>
  <c r="CZ64" i="1"/>
  <c r="CV216" i="1"/>
  <c r="CV256" i="1"/>
  <c r="AC66" i="1"/>
  <c r="CU166" i="1"/>
  <c r="CT309" i="1"/>
  <c r="CT310" i="1" s="1"/>
  <c r="CU309" i="1"/>
  <c r="CU310" i="1" s="1"/>
  <c r="CX284" i="1"/>
  <c r="CY284" i="1"/>
  <c r="CY59" i="1"/>
  <c r="CU256" i="1"/>
  <c r="CT256" i="1"/>
  <c r="CT257" i="1" s="1"/>
  <c r="CK252" i="1"/>
  <c r="CK254" i="1" s="1"/>
  <c r="CK258" i="1" s="1"/>
  <c r="CK272" i="1" s="1"/>
  <c r="CK173" i="1"/>
  <c r="CV285" i="1"/>
  <c r="AC113" i="1"/>
  <c r="AC65" i="1"/>
  <c r="CW207" i="1"/>
  <c r="CT285" i="1"/>
  <c r="AC238" i="1"/>
  <c r="AC207" i="1"/>
  <c r="DA290" i="1"/>
  <c r="DA57" i="1"/>
  <c r="DA284" i="1" s="1"/>
  <c r="CT216" i="1"/>
  <c r="CU255" i="1"/>
  <c r="CX196" i="1"/>
  <c r="CX197" i="1"/>
  <c r="AD197" i="1" s="1"/>
  <c r="AD239" i="1" s="1"/>
  <c r="CX64" i="1"/>
  <c r="CX208" i="1"/>
  <c r="AD208" i="1" s="1"/>
  <c r="AD242" i="1" s="1"/>
  <c r="CX214" i="1"/>
  <c r="CX215" i="1" s="1"/>
  <c r="CX59" i="1"/>
  <c r="CX80" i="1"/>
  <c r="CX75" i="1" s="1"/>
  <c r="AD75" i="1" s="1"/>
  <c r="CX200" i="1"/>
  <c r="AD200" i="1" s="1"/>
  <c r="CT88" i="1"/>
  <c r="CT84" i="1"/>
  <c r="CT83" i="1"/>
  <c r="CT291" i="1"/>
  <c r="CT292" i="1" s="1"/>
  <c r="CT85" i="1"/>
  <c r="AC80" i="1" s="1"/>
  <c r="CW67" i="1"/>
  <c r="CW66" i="1"/>
  <c r="CW82" i="1"/>
  <c r="CU285" i="1"/>
  <c r="CU85" i="1"/>
  <c r="AD57" i="1"/>
  <c r="DA152" i="1"/>
  <c r="DA153" i="1" s="1"/>
  <c r="DA156" i="1" s="1"/>
  <c r="AC244" i="1"/>
  <c r="AC243" i="1" s="1"/>
  <c r="AC256" i="1"/>
  <c r="AB240" i="1"/>
  <c r="AB245" i="1"/>
  <c r="AB248" i="1" s="1"/>
  <c r="AB249" i="1" s="1"/>
  <c r="CT166" i="1"/>
  <c r="CV166" i="1"/>
  <c r="CW256" i="1" l="1"/>
  <c r="AC81" i="1"/>
  <c r="AC82" i="1"/>
  <c r="AC309" i="1" s="1"/>
  <c r="AC310" i="1" s="1"/>
  <c r="CZ256" i="1"/>
  <c r="CV257" i="1"/>
  <c r="CY207" i="1"/>
  <c r="CY67" i="1"/>
  <c r="CY63" i="1"/>
  <c r="CY66" i="1"/>
  <c r="CY82" i="1"/>
  <c r="CZ207" i="1"/>
  <c r="CZ63" i="1"/>
  <c r="CZ66" i="1"/>
  <c r="CZ82" i="1"/>
  <c r="CZ67" i="1"/>
  <c r="CW285" i="1"/>
  <c r="CW309" i="1"/>
  <c r="CW310" i="1" s="1"/>
  <c r="DB152" i="1"/>
  <c r="DB153" i="1" s="1"/>
  <c r="DB156" i="1" s="1"/>
  <c r="DB312" i="1"/>
  <c r="AD152" i="1"/>
  <c r="AD247" i="1"/>
  <c r="CU257" i="1"/>
  <c r="AD214" i="1"/>
  <c r="AD215" i="1" s="1"/>
  <c r="DA214" i="1"/>
  <c r="DA208" i="1"/>
  <c r="DA197" i="1"/>
  <c r="DA64" i="1"/>
  <c r="DA196" i="1"/>
  <c r="DA80" i="1"/>
  <c r="DA75" i="1" s="1"/>
  <c r="DA59" i="1"/>
  <c r="DA200" i="1"/>
  <c r="CK174" i="1"/>
  <c r="CL266" i="1" s="1"/>
  <c r="CL264" i="1" s="1"/>
  <c r="CX67" i="1"/>
  <c r="CX82" i="1"/>
  <c r="CX66" i="1"/>
  <c r="AC241" i="1"/>
  <c r="AC216" i="1"/>
  <c r="AC255" i="1"/>
  <c r="AC257" i="1" s="1"/>
  <c r="DB57" i="1"/>
  <c r="DB284" i="1" s="1"/>
  <c r="DB290" i="1"/>
  <c r="CW216" i="1"/>
  <c r="CW255" i="1"/>
  <c r="AD196" i="1"/>
  <c r="CX207" i="1"/>
  <c r="AD112" i="1"/>
  <c r="AD58" i="1"/>
  <c r="CW88" i="1"/>
  <c r="CW84" i="1"/>
  <c r="CW291" i="1"/>
  <c r="CW292" i="1" s="1"/>
  <c r="CW85" i="1"/>
  <c r="CW83" i="1"/>
  <c r="CW166" i="1"/>
  <c r="CX63" i="1"/>
  <c r="AD63" i="1" s="1"/>
  <c r="AD64" i="1" s="1"/>
  <c r="AE55" i="1"/>
  <c r="AE312" i="1" s="1"/>
  <c r="AC84" i="1" l="1"/>
  <c r="DA215" i="1"/>
  <c r="CW257" i="1"/>
  <c r="AC83" i="1"/>
  <c r="AC166" i="1"/>
  <c r="AC114" i="1"/>
  <c r="AC88" i="1"/>
  <c r="CY216" i="1"/>
  <c r="CY84" i="1"/>
  <c r="CY88" i="1"/>
  <c r="CY83" i="1"/>
  <c r="CY291" i="1"/>
  <c r="CY292" i="1" s="1"/>
  <c r="CK146" i="1"/>
  <c r="CK108" i="1"/>
  <c r="CY309" i="1"/>
  <c r="CY310" i="1" s="1"/>
  <c r="CZ255" i="1"/>
  <c r="CZ257" i="1" s="1"/>
  <c r="CZ216" i="1"/>
  <c r="CZ309" i="1"/>
  <c r="CZ310" i="1" s="1"/>
  <c r="CZ83" i="1"/>
  <c r="CZ291" i="1"/>
  <c r="CZ292" i="1" s="1"/>
  <c r="CZ85" i="1"/>
  <c r="CZ88" i="1"/>
  <c r="CZ84" i="1"/>
  <c r="AD66" i="1"/>
  <c r="CZ166" i="1"/>
  <c r="CX309" i="1"/>
  <c r="CX310" i="1" s="1"/>
  <c r="CY285" i="1"/>
  <c r="CY85" i="1"/>
  <c r="CZ285" i="1"/>
  <c r="CX285" i="1"/>
  <c r="CY166" i="1"/>
  <c r="CX166" i="1"/>
  <c r="DA207" i="1"/>
  <c r="DA255" i="1" s="1"/>
  <c r="AD65" i="1"/>
  <c r="AD113" i="1"/>
  <c r="CY255" i="1"/>
  <c r="CX216" i="1"/>
  <c r="CY256" i="1"/>
  <c r="CX256" i="1"/>
  <c r="AD244" i="1"/>
  <c r="AD243" i="1" s="1"/>
  <c r="AD256" i="1"/>
  <c r="DA67" i="1"/>
  <c r="DA66" i="1"/>
  <c r="DA82" i="1"/>
  <c r="DA309" i="1" s="1"/>
  <c r="DA310" i="1" s="1"/>
  <c r="CX255" i="1"/>
  <c r="CX88" i="1"/>
  <c r="CX84" i="1"/>
  <c r="CX83" i="1"/>
  <c r="CX291" i="1"/>
  <c r="CX292" i="1" s="1"/>
  <c r="CX85" i="1"/>
  <c r="AD80" i="1" s="1"/>
  <c r="AD238" i="1"/>
  <c r="AD207" i="1"/>
  <c r="CK266" i="1"/>
  <c r="CK264" i="1" s="1"/>
  <c r="CK269" i="1" s="1"/>
  <c r="CK183" i="1"/>
  <c r="CK109" i="1" s="1"/>
  <c r="AC240" i="1"/>
  <c r="AC245" i="1"/>
  <c r="AC248" i="1" s="1"/>
  <c r="AC249" i="1" s="1"/>
  <c r="DA63" i="1"/>
  <c r="DB197" i="1"/>
  <c r="AE197" i="1" s="1"/>
  <c r="AE239" i="1" s="1"/>
  <c r="DB64" i="1"/>
  <c r="DB63" i="1" s="1"/>
  <c r="DB196" i="1"/>
  <c r="DB80" i="1"/>
  <c r="DB75" i="1" s="1"/>
  <c r="AE75" i="1" s="1"/>
  <c r="DB208" i="1"/>
  <c r="AE208" i="1" s="1"/>
  <c r="AE242" i="1" s="1"/>
  <c r="DB59" i="1"/>
  <c r="DB200" i="1"/>
  <c r="AE200" i="1" s="1"/>
  <c r="DB214" i="1"/>
  <c r="DB215" i="1" s="1"/>
  <c r="AE57" i="1"/>
  <c r="AD81" i="1" l="1"/>
  <c r="AD82" i="1"/>
  <c r="AD309" i="1" s="1"/>
  <c r="AD310" i="1" s="1"/>
  <c r="CK150" i="1"/>
  <c r="CK148" i="1"/>
  <c r="CK149" i="1"/>
  <c r="AE152" i="1"/>
  <c r="AE247" i="1"/>
  <c r="DA216" i="1"/>
  <c r="CK219" i="1"/>
  <c r="CK220" i="1" s="1"/>
  <c r="CL268" i="1" s="1"/>
  <c r="CL269" i="1" s="1"/>
  <c r="CL270" i="1" s="1"/>
  <c r="DB67" i="1"/>
  <c r="DB82" i="1"/>
  <c r="DB309" i="1" s="1"/>
  <c r="DB310" i="1" s="1"/>
  <c r="DB66" i="1"/>
  <c r="CX257" i="1"/>
  <c r="CY257" i="1"/>
  <c r="AD216" i="1"/>
  <c r="AD241" i="1"/>
  <c r="AD255" i="1"/>
  <c r="AD257" i="1" s="1"/>
  <c r="DB207" i="1"/>
  <c r="AE196" i="1"/>
  <c r="DA88" i="1"/>
  <c r="DA83" i="1"/>
  <c r="DA84" i="1"/>
  <c r="DA85" i="1"/>
  <c r="DA291" i="1"/>
  <c r="DA292" i="1" s="1"/>
  <c r="AE58" i="1"/>
  <c r="AE112" i="1"/>
  <c r="AE63" i="1"/>
  <c r="DA166" i="1"/>
  <c r="DA285" i="1"/>
  <c r="AE214" i="1"/>
  <c r="AE215" i="1" s="1"/>
  <c r="DB256" i="1"/>
  <c r="DA256" i="1"/>
  <c r="DA257" i="1" s="1"/>
  <c r="AD88" i="1" l="1"/>
  <c r="AD84" i="1"/>
  <c r="AD114" i="1"/>
  <c r="AD166" i="1"/>
  <c r="AD83" i="1"/>
  <c r="AE64" i="1"/>
  <c r="AE66" i="1" s="1"/>
  <c r="CK270" i="1"/>
  <c r="CK307" i="1"/>
  <c r="CK303" i="1"/>
  <c r="CK305" i="1"/>
  <c r="DB88" i="1"/>
  <c r="DB85" i="1"/>
  <c r="AE80" i="1" s="1"/>
  <c r="AE81" i="1" s="1"/>
  <c r="DB291" i="1"/>
  <c r="DB292" i="1" s="1"/>
  <c r="DB83" i="1"/>
  <c r="DB84" i="1"/>
  <c r="DB166" i="1"/>
  <c r="AD245" i="1"/>
  <c r="AD248" i="1" s="1"/>
  <c r="AD249" i="1" s="1"/>
  <c r="AD240" i="1"/>
  <c r="AE207" i="1"/>
  <c r="AE238" i="1"/>
  <c r="CK224" i="1"/>
  <c r="CK227" i="1"/>
  <c r="DB216" i="1"/>
  <c r="DB255" i="1"/>
  <c r="DB257" i="1" s="1"/>
  <c r="AE244" i="1"/>
  <c r="AE243" i="1" s="1"/>
  <c r="AE256" i="1"/>
  <c r="DB285" i="1"/>
  <c r="AE65" i="1" l="1"/>
  <c r="AE82" i="1"/>
  <c r="AE83" i="1" s="1"/>
  <c r="AE113" i="1"/>
  <c r="CK163" i="1"/>
  <c r="CL91" i="1"/>
  <c r="CM91" i="1" s="1"/>
  <c r="CN91" i="1" s="1"/>
  <c r="CO91" i="1" s="1"/>
  <c r="CP91" i="1" s="1"/>
  <c r="CQ91" i="1" s="1"/>
  <c r="CR91" i="1" s="1"/>
  <c r="CS91" i="1" s="1"/>
  <c r="CT91" i="1" s="1"/>
  <c r="CU91" i="1" s="1"/>
  <c r="CV91" i="1" s="1"/>
  <c r="CW91" i="1" s="1"/>
  <c r="CX91" i="1" s="1"/>
  <c r="CY91" i="1" s="1"/>
  <c r="CZ91" i="1" s="1"/>
  <c r="DA91" i="1" s="1"/>
  <c r="DB91" i="1" s="1"/>
  <c r="CK225" i="1"/>
  <c r="AE216" i="1"/>
  <c r="AE241" i="1"/>
  <c r="AE255" i="1"/>
  <c r="AE257" i="1" s="1"/>
  <c r="AE84" i="1" l="1"/>
  <c r="AE88" i="1"/>
  <c r="AE309" i="1"/>
  <c r="AE310" i="1" s="1"/>
  <c r="AE166" i="1"/>
  <c r="AE114" i="1"/>
  <c r="CK164" i="1"/>
  <c r="CK167" i="1" s="1"/>
  <c r="CK165" i="1"/>
  <c r="CK168" i="1" s="1"/>
  <c r="AE245" i="1"/>
  <c r="AE248" i="1" s="1"/>
  <c r="AE249" i="1" s="1"/>
  <c r="AE240" i="1"/>
  <c r="CM141" i="1" l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CM149" i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CM150" i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CM140" i="1" l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M268" i="1" l="1"/>
  <c r="AB268" i="1"/>
  <c r="CM90" i="1" l="1"/>
  <c r="CM311" i="1" s="1"/>
  <c r="CM92" i="1" l="1"/>
  <c r="CM93" i="1" l="1"/>
  <c r="CM95" i="1" l="1"/>
  <c r="CM97" i="1" l="1"/>
  <c r="CM98" i="1"/>
  <c r="CM293" i="1"/>
  <c r="CM102" i="1"/>
  <c r="CM96" i="1"/>
  <c r="CM304" i="1" s="1"/>
  <c r="CM286" i="1"/>
  <c r="CM252" i="1" l="1"/>
  <c r="CM254" i="1" s="1"/>
  <c r="CM258" i="1" s="1"/>
  <c r="CM272" i="1" s="1"/>
  <c r="CM120" i="1"/>
  <c r="CM173" i="1"/>
  <c r="CM174" i="1" l="1"/>
  <c r="CM123" i="1"/>
  <c r="CI143" i="1" s="1"/>
  <c r="CM124" i="1" l="1"/>
  <c r="CM132" i="1"/>
  <c r="CM139" i="1"/>
  <c r="CM133" i="1"/>
  <c r="CM183" i="1"/>
  <c r="CM109" i="1" s="1"/>
  <c r="CM146" i="1"/>
  <c r="CM148" i="1" s="1"/>
  <c r="CM266" i="1"/>
  <c r="CM264" i="1" s="1"/>
  <c r="CM269" i="1" s="1"/>
  <c r="CM108" i="1"/>
  <c r="CM219" i="1" l="1"/>
  <c r="CM220" i="1" s="1"/>
  <c r="CM136" i="1"/>
  <c r="CM162" i="1"/>
  <c r="CM135" i="1"/>
  <c r="CM161" i="1"/>
  <c r="CM270" i="1" l="1"/>
  <c r="CM307" i="1"/>
  <c r="CM305" i="1"/>
  <c r="CM303" i="1"/>
  <c r="CN268" i="1"/>
  <c r="CM224" i="1"/>
  <c r="CM227" i="1"/>
  <c r="CM225" i="1" l="1"/>
  <c r="CN90" i="1"/>
  <c r="CN311" i="1" s="1"/>
  <c r="CM163" i="1"/>
  <c r="CM164" i="1" l="1"/>
  <c r="CM167" i="1" s="1"/>
  <c r="CM165" i="1"/>
  <c r="CM168" i="1" s="1"/>
  <c r="CN92" i="1"/>
  <c r="CN93" i="1" l="1"/>
  <c r="CN95" i="1" s="1"/>
  <c r="CN97" i="1" l="1"/>
  <c r="CN98" i="1"/>
  <c r="CN102" i="1"/>
  <c r="CN293" i="1"/>
  <c r="CN96" i="1"/>
  <c r="CN304" i="1" s="1"/>
  <c r="CN286" i="1"/>
  <c r="CN120" i="1" l="1"/>
  <c r="CN252" i="1"/>
  <c r="CN254" i="1" s="1"/>
  <c r="CN258" i="1" s="1"/>
  <c r="CN272" i="1" s="1"/>
  <c r="CN173" i="1"/>
  <c r="CN123" i="1" l="1"/>
  <c r="CJ143" i="1" s="1"/>
  <c r="CN174" i="1"/>
  <c r="CN124" i="1" l="1"/>
  <c r="CN183" i="1"/>
  <c r="CN109" i="1" s="1"/>
  <c r="CN266" i="1"/>
  <c r="CN264" i="1" s="1"/>
  <c r="CN269" i="1" s="1"/>
  <c r="CN146" i="1"/>
  <c r="CN148" i="1" s="1"/>
  <c r="CN108" i="1"/>
  <c r="CN139" i="1"/>
  <c r="CN132" i="1"/>
  <c r="CN133" i="1"/>
  <c r="CN135" i="1" l="1"/>
  <c r="CN161" i="1"/>
  <c r="CN219" i="1"/>
  <c r="CN220" i="1" s="1"/>
  <c r="CN162" i="1"/>
  <c r="CN136" i="1"/>
  <c r="CN270" i="1" l="1"/>
  <c r="CN307" i="1"/>
  <c r="CN305" i="1"/>
  <c r="CN303" i="1"/>
  <c r="CN224" i="1"/>
  <c r="CN227" i="1"/>
  <c r="CO268" i="1"/>
  <c r="CN225" i="1" l="1"/>
  <c r="CO90" i="1"/>
  <c r="CO311" i="1" s="1"/>
  <c r="CN163" i="1"/>
  <c r="CO92" i="1" l="1"/>
  <c r="CN165" i="1"/>
  <c r="CN168" i="1" s="1"/>
  <c r="CN164" i="1"/>
  <c r="CN167" i="1" s="1"/>
  <c r="CO93" i="1" l="1"/>
  <c r="CO95" i="1" l="1"/>
  <c r="CO96" i="1" l="1"/>
  <c r="CO304" i="1" s="1"/>
  <c r="CO98" i="1"/>
  <c r="CO97" i="1"/>
  <c r="CO293" i="1"/>
  <c r="CO102" i="1"/>
  <c r="CO286" i="1"/>
  <c r="CO120" i="1" l="1"/>
  <c r="CO252" i="1"/>
  <c r="CO254" i="1" s="1"/>
  <c r="CO258" i="1" s="1"/>
  <c r="CO272" i="1" s="1"/>
  <c r="CO173" i="1"/>
  <c r="CO174" i="1" l="1"/>
  <c r="CO123" i="1"/>
  <c r="CK143" i="1" s="1"/>
  <c r="CO124" i="1" l="1"/>
  <c r="CO133" i="1"/>
  <c r="CO139" i="1"/>
  <c r="CO132" i="1"/>
  <c r="CO146" i="1"/>
  <c r="CO148" i="1" s="1"/>
  <c r="CO266" i="1"/>
  <c r="CO264" i="1" s="1"/>
  <c r="CO269" i="1" s="1"/>
  <c r="CO183" i="1"/>
  <c r="CO109" i="1" s="1"/>
  <c r="CO108" i="1"/>
  <c r="CO219" i="1" l="1"/>
  <c r="CO220" i="1" s="1"/>
  <c r="CO135" i="1"/>
  <c r="CO161" i="1"/>
  <c r="CO162" i="1"/>
  <c r="CO136" i="1"/>
  <c r="CO270" i="1" l="1"/>
  <c r="CO305" i="1"/>
  <c r="CO303" i="1"/>
  <c r="CO307" i="1"/>
  <c r="CO224" i="1"/>
  <c r="CO227" i="1"/>
  <c r="CP268" i="1"/>
  <c r="CP90" i="1" l="1"/>
  <c r="CP311" i="1" s="1"/>
  <c r="CO163" i="1"/>
  <c r="CO225" i="1"/>
  <c r="CO165" i="1" l="1"/>
  <c r="CO168" i="1" s="1"/>
  <c r="CO164" i="1"/>
  <c r="CO167" i="1" s="1"/>
  <c r="CP92" i="1"/>
  <c r="AB90" i="1"/>
  <c r="AB91" i="1" l="1"/>
  <c r="AB311" i="1"/>
  <c r="AB92" i="1"/>
  <c r="CP93" i="1"/>
  <c r="AB93" i="1" s="1"/>
  <c r="AB94" i="1" l="1"/>
  <c r="CP95" i="1"/>
  <c r="CP96" i="1" s="1"/>
  <c r="CP304" i="1" s="1"/>
  <c r="AB95" i="1"/>
  <c r="CP97" i="1" l="1"/>
  <c r="CP286" i="1"/>
  <c r="CP293" i="1"/>
  <c r="CP102" i="1"/>
  <c r="CP173" i="1" s="1"/>
  <c r="CP98" i="1"/>
  <c r="AB97" i="1"/>
  <c r="AB102" i="1"/>
  <c r="AB96" i="1"/>
  <c r="AB304" i="1" s="1"/>
  <c r="AB115" i="1"/>
  <c r="CP252" i="1" l="1"/>
  <c r="CP254" i="1" s="1"/>
  <c r="CP258" i="1" s="1"/>
  <c r="CP272" i="1" s="1"/>
  <c r="CP120" i="1"/>
  <c r="CP123" i="1" s="1"/>
  <c r="CL143" i="1" s="1"/>
  <c r="AB173" i="1"/>
  <c r="AB174" i="1" s="1"/>
  <c r="AB108" i="1" s="1"/>
  <c r="CP174" i="1"/>
  <c r="AB105" i="1"/>
  <c r="AB106" i="1" s="1"/>
  <c r="AB252" i="1"/>
  <c r="AB254" i="1" s="1"/>
  <c r="AB258" i="1" s="1"/>
  <c r="AB272" i="1" s="1"/>
  <c r="CP124" i="1" l="1"/>
  <c r="AB183" i="1"/>
  <c r="AB109" i="1" s="1"/>
  <c r="AB234" i="1"/>
  <c r="AB266" i="1"/>
  <c r="AB264" i="1" s="1"/>
  <c r="AB269" i="1" s="1"/>
  <c r="CP132" i="1"/>
  <c r="CP139" i="1"/>
  <c r="CP133" i="1"/>
  <c r="CP266" i="1"/>
  <c r="CP264" i="1" s="1"/>
  <c r="CP269" i="1" s="1"/>
  <c r="CP183" i="1"/>
  <c r="CP109" i="1" s="1"/>
  <c r="CP146" i="1"/>
  <c r="CP148" i="1" s="1"/>
  <c r="CP108" i="1"/>
  <c r="CP219" i="1" l="1"/>
  <c r="CP135" i="1"/>
  <c r="CP161" i="1"/>
  <c r="AB132" i="1"/>
  <c r="CP162" i="1"/>
  <c r="CP136" i="1"/>
  <c r="AB133" i="1"/>
  <c r="AB136" i="1" l="1"/>
  <c r="CP220" i="1"/>
  <c r="AB219" i="1"/>
  <c r="AB220" i="1" s="1"/>
  <c r="AB135" i="1"/>
  <c r="AB307" i="1" l="1"/>
  <c r="AB305" i="1"/>
  <c r="AB303" i="1"/>
  <c r="CP305" i="1"/>
  <c r="CP303" i="1"/>
  <c r="CP307" i="1"/>
  <c r="CP224" i="1"/>
  <c r="CQ268" i="1"/>
  <c r="CP227" i="1"/>
  <c r="CP270" i="1"/>
  <c r="AB227" i="1"/>
  <c r="AB163" i="1" s="1"/>
  <c r="AB224" i="1"/>
  <c r="AC268" i="1"/>
  <c r="AB270" i="1"/>
  <c r="AB225" i="1" l="1"/>
  <c r="CP163" i="1"/>
  <c r="CQ90" i="1"/>
  <c r="CQ311" i="1" s="1"/>
  <c r="CP225" i="1"/>
  <c r="CQ92" i="1" l="1"/>
  <c r="CP164" i="1"/>
  <c r="CP167" i="1" s="1"/>
  <c r="CP165" i="1"/>
  <c r="CP168" i="1" s="1"/>
  <c r="CQ93" i="1" l="1"/>
  <c r="CQ95" i="1" s="1"/>
  <c r="CQ102" i="1" l="1"/>
  <c r="CQ96" i="1"/>
  <c r="CQ304" i="1" s="1"/>
  <c r="CQ97" i="1"/>
  <c r="CQ98" i="1"/>
  <c r="CQ293" i="1"/>
  <c r="CQ286" i="1"/>
  <c r="CQ120" i="1" l="1"/>
  <c r="CQ252" i="1"/>
  <c r="CQ254" i="1" s="1"/>
  <c r="CQ258" i="1" s="1"/>
  <c r="CQ272" i="1" s="1"/>
  <c r="CQ173" i="1"/>
  <c r="CQ174" i="1" l="1"/>
  <c r="CQ123" i="1"/>
  <c r="CQ124" i="1" l="1"/>
  <c r="CQ133" i="1"/>
  <c r="CQ132" i="1"/>
  <c r="CQ139" i="1"/>
  <c r="CQ183" i="1"/>
  <c r="CQ109" i="1" s="1"/>
  <c r="CQ266" i="1"/>
  <c r="CQ264" i="1" s="1"/>
  <c r="CQ269" i="1" s="1"/>
  <c r="CQ146" i="1"/>
  <c r="CQ148" i="1" s="1"/>
  <c r="CQ108" i="1"/>
  <c r="CQ219" i="1" l="1"/>
  <c r="CQ220" i="1" s="1"/>
  <c r="CQ270" i="1" s="1"/>
  <c r="CQ161" i="1"/>
  <c r="CQ135" i="1"/>
  <c r="CQ162" i="1"/>
  <c r="CQ136" i="1"/>
  <c r="CQ307" i="1" l="1"/>
  <c r="CQ305" i="1"/>
  <c r="CQ303" i="1"/>
  <c r="CQ227" i="1"/>
  <c r="CR268" i="1"/>
  <c r="CQ224" i="1"/>
  <c r="CQ225" i="1" l="1"/>
  <c r="CQ163" i="1"/>
  <c r="CR90" i="1"/>
  <c r="CR311" i="1" s="1"/>
  <c r="CR92" i="1" l="1"/>
  <c r="CQ164" i="1"/>
  <c r="CQ167" i="1" s="1"/>
  <c r="CQ165" i="1"/>
  <c r="CQ168" i="1" s="1"/>
  <c r="CR93" i="1" l="1"/>
  <c r="CR95" i="1" s="1"/>
  <c r="CR293" i="1" l="1"/>
  <c r="CR96" i="1"/>
  <c r="CR304" i="1" s="1"/>
  <c r="CR102" i="1"/>
  <c r="CR97" i="1"/>
  <c r="CR98" i="1"/>
  <c r="CR286" i="1"/>
  <c r="CR120" i="1" l="1"/>
  <c r="CR252" i="1"/>
  <c r="CR254" i="1" s="1"/>
  <c r="CR258" i="1" s="1"/>
  <c r="CR272" i="1" s="1"/>
  <c r="CR173" i="1"/>
  <c r="CR174" i="1" l="1"/>
  <c r="CR123" i="1"/>
  <c r="CR124" i="1" l="1"/>
  <c r="CR139" i="1"/>
  <c r="CR132" i="1"/>
  <c r="CR133" i="1"/>
  <c r="CR183" i="1"/>
  <c r="CR109" i="1" s="1"/>
  <c r="CR266" i="1"/>
  <c r="CR264" i="1" s="1"/>
  <c r="CR269" i="1" s="1"/>
  <c r="CR146" i="1"/>
  <c r="CR148" i="1" s="1"/>
  <c r="CR108" i="1"/>
  <c r="CR219" i="1" l="1"/>
  <c r="CR220" i="1" s="1"/>
  <c r="CR162" i="1"/>
  <c r="CR136" i="1"/>
  <c r="CR161" i="1"/>
  <c r="CR135" i="1"/>
  <c r="CR307" i="1" l="1"/>
  <c r="CR305" i="1"/>
  <c r="CR303" i="1"/>
  <c r="CS268" i="1"/>
  <c r="CR227" i="1"/>
  <c r="CR224" i="1"/>
  <c r="CR270" i="1"/>
  <c r="CR225" i="1" l="1"/>
  <c r="CR163" i="1"/>
  <c r="CS90" i="1"/>
  <c r="CS311" i="1" s="1"/>
  <c r="CS92" i="1" l="1"/>
  <c r="CR164" i="1"/>
  <c r="CR167" i="1" s="1"/>
  <c r="CR165" i="1"/>
  <c r="CR168" i="1" s="1"/>
  <c r="CS93" i="1" l="1"/>
  <c r="CS95" i="1" l="1"/>
  <c r="CS102" i="1" l="1"/>
  <c r="CS98" i="1"/>
  <c r="CS293" i="1"/>
  <c r="CS97" i="1"/>
  <c r="CS96" i="1"/>
  <c r="CS304" i="1" s="1"/>
  <c r="CS286" i="1"/>
  <c r="CS120" i="1" l="1"/>
  <c r="CS252" i="1"/>
  <c r="CS254" i="1" s="1"/>
  <c r="CS258" i="1" s="1"/>
  <c r="CS272" i="1" s="1"/>
  <c r="CS173" i="1"/>
  <c r="CS174" i="1" l="1"/>
  <c r="CS123" i="1"/>
  <c r="CS124" i="1" l="1"/>
  <c r="CS132" i="1"/>
  <c r="CS133" i="1"/>
  <c r="CS139" i="1"/>
  <c r="CS183" i="1"/>
  <c r="CS109" i="1" s="1"/>
  <c r="CS146" i="1"/>
  <c r="CS148" i="1" s="1"/>
  <c r="CS266" i="1"/>
  <c r="CS264" i="1" s="1"/>
  <c r="CS269" i="1" s="1"/>
  <c r="CS108" i="1"/>
  <c r="CS219" i="1" l="1"/>
  <c r="CS220" i="1" s="1"/>
  <c r="CS162" i="1"/>
  <c r="CS136" i="1"/>
  <c r="CS161" i="1"/>
  <c r="CS135" i="1"/>
  <c r="CS305" i="1" l="1"/>
  <c r="CS307" i="1"/>
  <c r="CS303" i="1"/>
  <c r="CT268" i="1"/>
  <c r="CS224" i="1"/>
  <c r="CS227" i="1"/>
  <c r="CS270" i="1"/>
  <c r="CT90" i="1" l="1"/>
  <c r="CT311" i="1" s="1"/>
  <c r="CS163" i="1"/>
  <c r="CS225" i="1"/>
  <c r="CS165" i="1" l="1"/>
  <c r="CS168" i="1" s="1"/>
  <c r="CS164" i="1"/>
  <c r="CS167" i="1" s="1"/>
  <c r="CT92" i="1"/>
  <c r="AC90" i="1"/>
  <c r="AC91" i="1" l="1"/>
  <c r="AC311" i="1"/>
  <c r="AC92" i="1"/>
  <c r="CT93" i="1"/>
  <c r="AC93" i="1" s="1"/>
  <c r="AC94" i="1" l="1"/>
  <c r="CT95" i="1"/>
  <c r="CT98" i="1" s="1"/>
  <c r="AC95" i="1"/>
  <c r="CT97" i="1" l="1"/>
  <c r="CT102" i="1"/>
  <c r="CT293" i="1"/>
  <c r="CT286" i="1"/>
  <c r="CT96" i="1"/>
  <c r="CT304" i="1" s="1"/>
  <c r="AC97" i="1"/>
  <c r="AC96" i="1"/>
  <c r="AC304" i="1" s="1"/>
  <c r="AC115" i="1"/>
  <c r="AC102" i="1"/>
  <c r="CT173" i="1" l="1"/>
  <c r="CT120" i="1"/>
  <c r="CT123" i="1" s="1"/>
  <c r="CT252" i="1"/>
  <c r="CT254" i="1" s="1"/>
  <c r="CT258" i="1" s="1"/>
  <c r="CT272" i="1" s="1"/>
  <c r="AC105" i="1"/>
  <c r="AC106" i="1" s="1"/>
  <c r="AC252" i="1"/>
  <c r="AC254" i="1" s="1"/>
  <c r="AC258" i="1" s="1"/>
  <c r="AC272" i="1" s="1"/>
  <c r="CT174" i="1" l="1"/>
  <c r="AC173" i="1"/>
  <c r="AC174" i="1" s="1"/>
  <c r="AC183" i="1" s="1"/>
  <c r="AC109" i="1" s="1"/>
  <c r="CT124" i="1"/>
  <c r="CT139" i="1"/>
  <c r="CT132" i="1"/>
  <c r="CT133" i="1"/>
  <c r="CT183" i="1" l="1"/>
  <c r="CT109" i="1" s="1"/>
  <c r="CT146" i="1"/>
  <c r="CT148" i="1" s="1"/>
  <c r="CT266" i="1"/>
  <c r="CT264" i="1" s="1"/>
  <c r="CT269" i="1" s="1"/>
  <c r="CT219" i="1" s="1"/>
  <c r="CT108" i="1"/>
  <c r="AC108" i="1"/>
  <c r="AC266" i="1"/>
  <c r="AC264" i="1" s="1"/>
  <c r="AC269" i="1" s="1"/>
  <c r="AC234" i="1"/>
  <c r="CT161" i="1"/>
  <c r="CT135" i="1"/>
  <c r="AC132" i="1"/>
  <c r="CT162" i="1"/>
  <c r="CT136" i="1"/>
  <c r="AC133" i="1"/>
  <c r="AC135" i="1" l="1"/>
  <c r="CT220" i="1"/>
  <c r="AC219" i="1"/>
  <c r="AC220" i="1" s="1"/>
  <c r="AC136" i="1"/>
  <c r="CT305" i="1" l="1"/>
  <c r="CT307" i="1"/>
  <c r="CT303" i="1"/>
  <c r="AC307" i="1"/>
  <c r="AC305" i="1"/>
  <c r="AC303" i="1"/>
  <c r="CU268" i="1"/>
  <c r="CT224" i="1"/>
  <c r="CT227" i="1"/>
  <c r="CT270" i="1"/>
  <c r="AD268" i="1"/>
  <c r="AC227" i="1"/>
  <c r="AC163" i="1" s="1"/>
  <c r="AC224" i="1"/>
  <c r="AC270" i="1"/>
  <c r="AC225" i="1" l="1"/>
  <c r="CT225" i="1"/>
  <c r="CT163" i="1"/>
  <c r="CU90" i="1"/>
  <c r="CU311" i="1" s="1"/>
  <c r="CU92" i="1" l="1"/>
  <c r="CT164" i="1"/>
  <c r="CT167" i="1" s="1"/>
  <c r="CT165" i="1"/>
  <c r="CT168" i="1" s="1"/>
  <c r="CU93" i="1" l="1"/>
  <c r="CU95" i="1" s="1"/>
  <c r="CU96" i="1" l="1"/>
  <c r="CU304" i="1" s="1"/>
  <c r="CU97" i="1"/>
  <c r="CU98" i="1"/>
  <c r="CU102" i="1"/>
  <c r="CU293" i="1"/>
  <c r="CU286" i="1"/>
  <c r="CU252" i="1" l="1"/>
  <c r="CU254" i="1" s="1"/>
  <c r="CU258" i="1" s="1"/>
  <c r="CU272" i="1" s="1"/>
  <c r="CU120" i="1"/>
  <c r="CU173" i="1"/>
  <c r="CU174" i="1" l="1"/>
  <c r="CU123" i="1"/>
  <c r="CU124" i="1" l="1"/>
  <c r="CU139" i="1"/>
  <c r="CU133" i="1"/>
  <c r="CU132" i="1"/>
  <c r="CU183" i="1"/>
  <c r="CU109" i="1" s="1"/>
  <c r="CU266" i="1"/>
  <c r="CU264" i="1" s="1"/>
  <c r="CU269" i="1" s="1"/>
  <c r="CU146" i="1"/>
  <c r="CU148" i="1" s="1"/>
  <c r="CU108" i="1"/>
  <c r="CU219" i="1" l="1"/>
  <c r="CU220" i="1" s="1"/>
  <c r="CU161" i="1"/>
  <c r="CU135" i="1"/>
  <c r="CU162" i="1"/>
  <c r="CU136" i="1"/>
  <c r="CU307" i="1" l="1"/>
  <c r="CU303" i="1"/>
  <c r="CU305" i="1"/>
  <c r="CU224" i="1"/>
  <c r="CU227" i="1"/>
  <c r="CV268" i="1"/>
  <c r="CU270" i="1"/>
  <c r="CU225" i="1" l="1"/>
  <c r="CV90" i="1"/>
  <c r="CV311" i="1" s="1"/>
  <c r="CU163" i="1"/>
  <c r="CU164" i="1" l="1"/>
  <c r="CU167" i="1" s="1"/>
  <c r="CU165" i="1"/>
  <c r="CU168" i="1" s="1"/>
  <c r="CV92" i="1"/>
  <c r="CV93" i="1" l="1"/>
  <c r="CV95" i="1" l="1"/>
  <c r="CV102" i="1" l="1"/>
  <c r="CV293" i="1"/>
  <c r="CV96" i="1"/>
  <c r="CV304" i="1" s="1"/>
  <c r="CV98" i="1"/>
  <c r="CV97" i="1"/>
  <c r="CV286" i="1"/>
  <c r="CV252" i="1" l="1"/>
  <c r="CV254" i="1" s="1"/>
  <c r="CV258" i="1" s="1"/>
  <c r="CV272" i="1" s="1"/>
  <c r="CV120" i="1"/>
  <c r="CV173" i="1"/>
  <c r="CV174" i="1" l="1"/>
  <c r="CV123" i="1"/>
  <c r="CV124" i="1" l="1"/>
  <c r="CV132" i="1"/>
  <c r="CV133" i="1"/>
  <c r="CV139" i="1"/>
  <c r="CV146" i="1"/>
  <c r="CV148" i="1" s="1"/>
  <c r="CV183" i="1"/>
  <c r="CV109" i="1" s="1"/>
  <c r="CV266" i="1"/>
  <c r="CV264" i="1" s="1"/>
  <c r="CV269" i="1" s="1"/>
  <c r="CV108" i="1"/>
  <c r="CV219" i="1" l="1"/>
  <c r="CV220" i="1" s="1"/>
  <c r="CV162" i="1"/>
  <c r="CV136" i="1"/>
  <c r="CV161" i="1"/>
  <c r="CV135" i="1"/>
  <c r="CV305" i="1" l="1"/>
  <c r="CV303" i="1"/>
  <c r="CV307" i="1"/>
  <c r="CV227" i="1"/>
  <c r="CW268" i="1"/>
  <c r="CV224" i="1"/>
  <c r="CV270" i="1"/>
  <c r="CV225" i="1" l="1"/>
  <c r="CV163" i="1"/>
  <c r="CW90" i="1"/>
  <c r="CW311" i="1" s="1"/>
  <c r="CW92" i="1" l="1"/>
  <c r="CV165" i="1"/>
  <c r="CV168" i="1" s="1"/>
  <c r="CV164" i="1"/>
  <c r="CV167" i="1" s="1"/>
  <c r="CW93" i="1" l="1"/>
  <c r="CW95" i="1" l="1"/>
  <c r="CW96" i="1" l="1"/>
  <c r="CW304" i="1" s="1"/>
  <c r="CW98" i="1"/>
  <c r="CW102" i="1"/>
  <c r="CW97" i="1"/>
  <c r="CW293" i="1"/>
  <c r="CW286" i="1"/>
  <c r="CW252" i="1" l="1"/>
  <c r="CW254" i="1" s="1"/>
  <c r="CW258" i="1" s="1"/>
  <c r="CW272" i="1" s="1"/>
  <c r="CW120" i="1"/>
  <c r="CW173" i="1"/>
  <c r="CW174" i="1" l="1"/>
  <c r="CW123" i="1"/>
  <c r="CW124" i="1" l="1"/>
  <c r="CW139" i="1"/>
  <c r="CW133" i="1"/>
  <c r="CW132" i="1"/>
  <c r="CW266" i="1"/>
  <c r="CW264" i="1" s="1"/>
  <c r="CW269" i="1" s="1"/>
  <c r="CW183" i="1"/>
  <c r="CW109" i="1" s="1"/>
  <c r="CW146" i="1"/>
  <c r="CW148" i="1" s="1"/>
  <c r="CW108" i="1"/>
  <c r="CW219" i="1" l="1"/>
  <c r="CW220" i="1" s="1"/>
  <c r="CW161" i="1"/>
  <c r="CW135" i="1"/>
  <c r="CW162" i="1"/>
  <c r="CW136" i="1"/>
  <c r="CW305" i="1" l="1"/>
  <c r="CW303" i="1"/>
  <c r="CW307" i="1"/>
  <c r="CW224" i="1"/>
  <c r="CX268" i="1"/>
  <c r="CW227" i="1"/>
  <c r="CW270" i="1"/>
  <c r="CX90" i="1" l="1"/>
  <c r="CX311" i="1" s="1"/>
  <c r="CW163" i="1"/>
  <c r="CW225" i="1"/>
  <c r="CW164" i="1" l="1"/>
  <c r="CW167" i="1" s="1"/>
  <c r="CW165" i="1"/>
  <c r="CW168" i="1" s="1"/>
  <c r="CX92" i="1"/>
  <c r="AD90" i="1"/>
  <c r="AD91" i="1" l="1"/>
  <c r="AD311" i="1"/>
  <c r="AD92" i="1"/>
  <c r="CX93" i="1"/>
  <c r="AD93" i="1" s="1"/>
  <c r="AD94" i="1" l="1"/>
  <c r="CX95" i="1"/>
  <c r="CX286" i="1" s="1"/>
  <c r="AD95" i="1"/>
  <c r="CX98" i="1" l="1"/>
  <c r="CX293" i="1"/>
  <c r="CX102" i="1"/>
  <c r="CX96" i="1"/>
  <c r="CX304" i="1" s="1"/>
  <c r="CX97" i="1"/>
  <c r="AD97" i="1"/>
  <c r="AD115" i="1"/>
  <c r="AD102" i="1"/>
  <c r="AD96" i="1"/>
  <c r="AD304" i="1" s="1"/>
  <c r="CX120" i="1" l="1"/>
  <c r="CX123" i="1" s="1"/>
  <c r="CX252" i="1"/>
  <c r="CX254" i="1" s="1"/>
  <c r="CX258" i="1" s="1"/>
  <c r="CX272" i="1" s="1"/>
  <c r="CX173" i="1"/>
  <c r="AD105" i="1"/>
  <c r="AD106" i="1" s="1"/>
  <c r="AD252" i="1"/>
  <c r="AD254" i="1" s="1"/>
  <c r="AD258" i="1" s="1"/>
  <c r="AD272" i="1" s="1"/>
  <c r="AD173" i="1" l="1"/>
  <c r="AD174" i="1" s="1"/>
  <c r="CX174" i="1"/>
  <c r="CX266" i="1" s="1"/>
  <c r="CX264" i="1" s="1"/>
  <c r="CX269" i="1" s="1"/>
  <c r="CX124" i="1"/>
  <c r="CX132" i="1"/>
  <c r="CX139" i="1"/>
  <c r="CX133" i="1"/>
  <c r="AD234" i="1" l="1"/>
  <c r="AD183" i="1"/>
  <c r="AD109" i="1" s="1"/>
  <c r="AD108" i="1"/>
  <c r="AD266" i="1"/>
  <c r="AD264" i="1" s="1"/>
  <c r="AD269" i="1" s="1"/>
  <c r="CX183" i="1"/>
  <c r="CX109" i="1" s="1"/>
  <c r="CX146" i="1"/>
  <c r="CX148" i="1" s="1"/>
  <c r="CX108" i="1"/>
  <c r="CX219" i="1"/>
  <c r="CX136" i="1"/>
  <c r="CX162" i="1"/>
  <c r="AD133" i="1"/>
  <c r="CX161" i="1"/>
  <c r="CX135" i="1"/>
  <c r="AD132" i="1"/>
  <c r="AD136" i="1" l="1"/>
  <c r="AD135" i="1"/>
  <c r="CX220" i="1"/>
  <c r="AD219" i="1"/>
  <c r="AD220" i="1" s="1"/>
  <c r="AD307" i="1" l="1"/>
  <c r="AD305" i="1"/>
  <c r="AD303" i="1"/>
  <c r="CX307" i="1"/>
  <c r="CX305" i="1"/>
  <c r="CX303" i="1"/>
  <c r="AE268" i="1"/>
  <c r="AD224" i="1"/>
  <c r="AD227" i="1"/>
  <c r="AD163" i="1" s="1"/>
  <c r="AD270" i="1"/>
  <c r="CY268" i="1"/>
  <c r="CX224" i="1"/>
  <c r="CX227" i="1"/>
  <c r="CX270" i="1"/>
  <c r="AD225" i="1" l="1"/>
  <c r="CX163" i="1"/>
  <c r="CY90" i="1"/>
  <c r="CY311" i="1" s="1"/>
  <c r="CX225" i="1"/>
  <c r="CY92" i="1" l="1"/>
  <c r="CX164" i="1"/>
  <c r="CX167" i="1" s="1"/>
  <c r="CX165" i="1"/>
  <c r="CX168" i="1" s="1"/>
  <c r="CY93" i="1" l="1"/>
  <c r="CY95" i="1" l="1"/>
  <c r="CY96" i="1" l="1"/>
  <c r="CY304" i="1" s="1"/>
  <c r="CY293" i="1"/>
  <c r="CY97" i="1"/>
  <c r="CY98" i="1"/>
  <c r="CY102" i="1"/>
  <c r="CY286" i="1"/>
  <c r="CY120" i="1" l="1"/>
  <c r="CY252" i="1"/>
  <c r="CY254" i="1" s="1"/>
  <c r="CY258" i="1" s="1"/>
  <c r="CY272" i="1" s="1"/>
  <c r="CY173" i="1"/>
  <c r="CY174" i="1" l="1"/>
  <c r="CY123" i="1"/>
  <c r="CY124" i="1" s="1"/>
  <c r="CY132" i="1" l="1"/>
  <c r="CY139" i="1"/>
  <c r="CY133" i="1"/>
  <c r="CY146" i="1"/>
  <c r="CY148" i="1" s="1"/>
  <c r="CY183" i="1"/>
  <c r="CY109" i="1" s="1"/>
  <c r="CY266" i="1"/>
  <c r="CY264" i="1" s="1"/>
  <c r="CY269" i="1" s="1"/>
  <c r="CY108" i="1"/>
  <c r="CY219" i="1" l="1"/>
  <c r="CY220" i="1" s="1"/>
  <c r="CY162" i="1"/>
  <c r="CY136" i="1"/>
  <c r="CY135" i="1"/>
  <c r="CY161" i="1"/>
  <c r="CY270" i="1" l="1"/>
  <c r="CY307" i="1"/>
  <c r="CY305" i="1"/>
  <c r="CY303" i="1"/>
  <c r="CZ268" i="1"/>
  <c r="CY224" i="1"/>
  <c r="CY227" i="1"/>
  <c r="CY225" i="1" l="1"/>
  <c r="CZ90" i="1"/>
  <c r="CZ311" i="1" s="1"/>
  <c r="CY163" i="1"/>
  <c r="CY165" i="1" l="1"/>
  <c r="CY168" i="1" s="1"/>
  <c r="CY164" i="1"/>
  <c r="CY167" i="1" s="1"/>
  <c r="CZ92" i="1"/>
  <c r="CZ93" i="1" l="1"/>
  <c r="CZ95" i="1" l="1"/>
  <c r="CZ293" i="1" l="1"/>
  <c r="CZ97" i="1"/>
  <c r="CZ96" i="1"/>
  <c r="CZ304" i="1" s="1"/>
  <c r="CZ98" i="1"/>
  <c r="CZ102" i="1"/>
  <c r="CZ286" i="1"/>
  <c r="CZ252" i="1" l="1"/>
  <c r="CZ254" i="1" s="1"/>
  <c r="CZ258" i="1" s="1"/>
  <c r="CZ272" i="1" s="1"/>
  <c r="CZ120" i="1"/>
  <c r="CZ173" i="1"/>
  <c r="CZ174" i="1" l="1"/>
  <c r="CZ123" i="1"/>
  <c r="CZ124" i="1" s="1"/>
  <c r="CZ139" i="1" l="1"/>
  <c r="CZ133" i="1"/>
  <c r="CZ132" i="1"/>
  <c r="CZ183" i="1"/>
  <c r="CZ109" i="1" s="1"/>
  <c r="CZ266" i="1"/>
  <c r="CZ264" i="1" s="1"/>
  <c r="CZ269" i="1" s="1"/>
  <c r="CZ146" i="1"/>
  <c r="CZ148" i="1" s="1"/>
  <c r="CZ108" i="1"/>
  <c r="CZ219" i="1" l="1"/>
  <c r="CZ220" i="1" s="1"/>
  <c r="CZ161" i="1"/>
  <c r="CZ135" i="1"/>
  <c r="CZ136" i="1"/>
  <c r="CZ162" i="1"/>
  <c r="CZ305" i="1" l="1"/>
  <c r="CZ303" i="1"/>
  <c r="CZ307" i="1"/>
  <c r="CZ224" i="1"/>
  <c r="CZ227" i="1"/>
  <c r="DA268" i="1"/>
  <c r="CZ270" i="1"/>
  <c r="CZ163" i="1" l="1"/>
  <c r="DA90" i="1"/>
  <c r="DA311" i="1" s="1"/>
  <c r="CZ225" i="1"/>
  <c r="DA92" i="1" l="1"/>
  <c r="CZ164" i="1"/>
  <c r="CZ167" i="1" s="1"/>
  <c r="CZ165" i="1"/>
  <c r="CZ168" i="1" s="1"/>
  <c r="DA93" i="1" l="1"/>
  <c r="DA95" i="1" l="1"/>
  <c r="DA293" i="1" l="1"/>
  <c r="DA102" i="1"/>
  <c r="DA97" i="1"/>
  <c r="DA98" i="1"/>
  <c r="DA96" i="1"/>
  <c r="DA304" i="1" s="1"/>
  <c r="DA286" i="1"/>
  <c r="DA120" i="1" l="1"/>
  <c r="DA252" i="1"/>
  <c r="DA254" i="1" s="1"/>
  <c r="DA258" i="1" s="1"/>
  <c r="DA272" i="1" s="1"/>
  <c r="DA173" i="1"/>
  <c r="DA174" i="1" l="1"/>
  <c r="DA123" i="1"/>
  <c r="DA124" i="1" s="1"/>
  <c r="DA133" i="1" l="1"/>
  <c r="DA132" i="1"/>
  <c r="DA139" i="1"/>
  <c r="DA183" i="1"/>
  <c r="DA109" i="1" s="1"/>
  <c r="DA266" i="1"/>
  <c r="DA264" i="1" s="1"/>
  <c r="DA269" i="1" s="1"/>
  <c r="DA146" i="1"/>
  <c r="DA148" i="1" s="1"/>
  <c r="DA108" i="1"/>
  <c r="DA219" i="1" l="1"/>
  <c r="DA220" i="1" s="1"/>
  <c r="DA161" i="1"/>
  <c r="DA135" i="1"/>
  <c r="DA136" i="1"/>
  <c r="DA162" i="1"/>
  <c r="DA270" i="1" l="1"/>
  <c r="DA307" i="1"/>
  <c r="DA303" i="1"/>
  <c r="DA305" i="1"/>
  <c r="DA227" i="1"/>
  <c r="DB268" i="1"/>
  <c r="DA224" i="1"/>
  <c r="DA225" i="1" l="1"/>
  <c r="DA163" i="1"/>
  <c r="DB90" i="1"/>
  <c r="DB311" i="1" s="1"/>
  <c r="DA165" i="1" l="1"/>
  <c r="DA168" i="1" s="1"/>
  <c r="DA164" i="1"/>
  <c r="DA167" i="1" s="1"/>
  <c r="DB92" i="1"/>
  <c r="AE90" i="1"/>
  <c r="AE91" i="1" l="1"/>
  <c r="AE311" i="1"/>
  <c r="AE92" i="1"/>
  <c r="DB93" i="1"/>
  <c r="AE93" i="1" s="1"/>
  <c r="AE94" i="1" l="1"/>
  <c r="DB95" i="1"/>
  <c r="AE95" i="1"/>
  <c r="AE97" i="1" s="1"/>
  <c r="AE96" i="1" l="1"/>
  <c r="AE304" i="1" s="1"/>
  <c r="AE102" i="1"/>
  <c r="AE115" i="1"/>
  <c r="DB97" i="1"/>
  <c r="DB98" i="1"/>
  <c r="DB293" i="1"/>
  <c r="DB96" i="1"/>
  <c r="DB304" i="1" s="1"/>
  <c r="DB102" i="1"/>
  <c r="DB286" i="1"/>
  <c r="AE105" i="1" l="1"/>
  <c r="AE106" i="1" s="1"/>
  <c r="AE252" i="1"/>
  <c r="AE254" i="1" s="1"/>
  <c r="AE258" i="1" s="1"/>
  <c r="AE272" i="1" s="1"/>
  <c r="DB252" i="1"/>
  <c r="DB254" i="1" s="1"/>
  <c r="DB258" i="1" s="1"/>
  <c r="DB272" i="1" s="1"/>
  <c r="DB120" i="1"/>
  <c r="DB123" i="1" s="1"/>
  <c r="DB124" i="1" s="1"/>
  <c r="DB173" i="1"/>
  <c r="AE173" i="1" l="1"/>
  <c r="AE174" i="1" s="1"/>
  <c r="DB174" i="1"/>
  <c r="DB133" i="1"/>
  <c r="DB132" i="1"/>
  <c r="DB139" i="1"/>
  <c r="DB161" i="1" l="1"/>
  <c r="DB135" i="1"/>
  <c r="AE132" i="1"/>
  <c r="DB162" i="1"/>
  <c r="DB136" i="1"/>
  <c r="AE133" i="1"/>
  <c r="DB266" i="1"/>
  <c r="DB264" i="1" s="1"/>
  <c r="DB269" i="1" s="1"/>
  <c r="DB183" i="1"/>
  <c r="DB109" i="1" s="1"/>
  <c r="DB146" i="1"/>
  <c r="DB148" i="1" s="1"/>
  <c r="DB108" i="1"/>
  <c r="AE266" i="1"/>
  <c r="AE264" i="1" s="1"/>
  <c r="AE269" i="1" s="1"/>
  <c r="AE183" i="1"/>
  <c r="AE109" i="1" s="1"/>
  <c r="AE234" i="1"/>
  <c r="AE108" i="1"/>
  <c r="AE136" i="1" l="1"/>
  <c r="AE135" i="1"/>
  <c r="DB219" i="1"/>
  <c r="AE219" i="1" l="1"/>
  <c r="AE220" i="1" s="1"/>
  <c r="DB220" i="1"/>
  <c r="DB303" i="1" l="1"/>
  <c r="DB307" i="1"/>
  <c r="DB305" i="1"/>
  <c r="AE305" i="1"/>
  <c r="AE303" i="1"/>
  <c r="AE307" i="1"/>
  <c r="DB224" i="1"/>
  <c r="DB227" i="1"/>
  <c r="DB163" i="1" s="1"/>
  <c r="DB270" i="1"/>
  <c r="AE227" i="1"/>
  <c r="AE163" i="1" s="1"/>
  <c r="AE224" i="1"/>
  <c r="AE270" i="1"/>
  <c r="AE225" i="1" l="1"/>
  <c r="DB164" i="1"/>
  <c r="DB167" i="1" s="1"/>
  <c r="DB165" i="1"/>
  <c r="DB168" i="1" s="1"/>
  <c r="DB225" i="1"/>
  <c r="CM13" i="1"/>
  <c r="CN13" i="1" l="1"/>
  <c r="CO13" i="1" l="1"/>
  <c r="CP13" i="1" l="1"/>
  <c r="CQ13" i="1" l="1"/>
  <c r="AB13" i="1"/>
  <c r="CR13" i="1" l="1"/>
  <c r="CS13" i="1" l="1"/>
  <c r="CT13" i="1" l="1"/>
  <c r="AC13" i="1" s="1"/>
  <c r="CU13" i="1" l="1"/>
  <c r="CV13" i="1" l="1"/>
  <c r="CW13" i="1" l="1"/>
  <c r="CX13" i="1" l="1"/>
  <c r="AD13" i="1" s="1"/>
  <c r="CY13" i="1" l="1"/>
  <c r="CZ13" i="1" l="1"/>
  <c r="DA13" i="1" l="1"/>
  <c r="DB13" i="1" l="1"/>
  <c r="AE13" i="1" s="1"/>
  <c r="AB117" i="1" l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H119" i="1"/>
  <c r="H120" i="1"/>
  <c r="H123" i="1"/>
  <c r="H140" i="1"/>
  <c r="AA119" i="1"/>
  <c r="AA120" i="1"/>
  <c r="AA123" i="1"/>
  <c r="Z143" i="1"/>
  <c r="AC117" i="1"/>
  <c r="AD117" i="1"/>
  <c r="AE117" i="1"/>
  <c r="AE119" i="1"/>
  <c r="AE161" i="1"/>
  <c r="AE164" i="1"/>
  <c r="AB118" i="1"/>
  <c r="AA118" i="1"/>
  <c r="AC118" i="1"/>
  <c r="AD118" i="1"/>
  <c r="AE118" i="1"/>
  <c r="Z119" i="1"/>
  <c r="Z153" i="1"/>
  <c r="Z158" i="1"/>
  <c r="AB119" i="1"/>
  <c r="AB146" i="1"/>
  <c r="AB150" i="1"/>
  <c r="AB162" i="1"/>
  <c r="AB165" i="1"/>
  <c r="AB168" i="1"/>
  <c r="M119" i="1"/>
  <c r="M120" i="1"/>
  <c r="M122" i="1"/>
  <c r="J119" i="1"/>
  <c r="J120" i="1"/>
  <c r="J123" i="1"/>
  <c r="J140" i="1"/>
  <c r="M123" i="1"/>
  <c r="W119" i="1"/>
  <c r="W153" i="1"/>
  <c r="W120" i="1"/>
  <c r="J124" i="1"/>
  <c r="L119" i="1"/>
  <c r="L120" i="1"/>
  <c r="L123" i="1"/>
  <c r="L141" i="1"/>
  <c r="K119" i="1"/>
  <c r="K162" i="1"/>
  <c r="K165" i="1"/>
  <c r="Z161" i="1"/>
  <c r="K168" i="1"/>
  <c r="AE167" i="1"/>
  <c r="AD119" i="1"/>
  <c r="AD146" i="1"/>
  <c r="AD161" i="1"/>
  <c r="AD164" i="1"/>
  <c r="AD167" i="1"/>
  <c r="Z164" i="1"/>
  <c r="L162" i="1"/>
  <c r="L165" i="1"/>
  <c r="L168" i="1"/>
  <c r="X119" i="1"/>
  <c r="X120" i="1"/>
  <c r="X123" i="1"/>
  <c r="X141" i="1"/>
  <c r="J153" i="1"/>
  <c r="Q119" i="1"/>
  <c r="Q161" i="1"/>
  <c r="Q164" i="1"/>
  <c r="I119" i="1"/>
  <c r="I162" i="1"/>
  <c r="I165" i="1"/>
  <c r="I168" i="1"/>
  <c r="I120" i="1"/>
  <c r="I123" i="1"/>
  <c r="I140" i="1"/>
  <c r="K120" i="1"/>
  <c r="K123" i="1"/>
  <c r="J143" i="1"/>
  <c r="J156" i="1"/>
  <c r="K153" i="1"/>
  <c r="L124" i="1"/>
  <c r="AA139" i="1"/>
  <c r="V119" i="1"/>
  <c r="AC119" i="1"/>
  <c r="X124" i="1"/>
  <c r="H146" i="1"/>
  <c r="J162" i="1"/>
  <c r="X153" i="1"/>
  <c r="Q153" i="1"/>
  <c r="K122" i="1"/>
  <c r="G117" i="1"/>
  <c r="F117" i="1"/>
  <c r="J122" i="1"/>
  <c r="J146" i="1"/>
  <c r="AC120" i="1"/>
  <c r="L161" i="1"/>
  <c r="H149" i="1"/>
  <c r="U119" i="1"/>
  <c r="U146" i="1"/>
  <c r="U150" i="1"/>
  <c r="AA153" i="1"/>
  <c r="AB161" i="1"/>
  <c r="AE162" i="1"/>
  <c r="G143" i="1"/>
  <c r="W123" i="1"/>
  <c r="AB153" i="1"/>
  <c r="AE153" i="1"/>
  <c r="K139" i="1"/>
  <c r="L143" i="1"/>
  <c r="AA157" i="1"/>
  <c r="Z167" i="1"/>
  <c r="K156" i="1"/>
  <c r="R119" i="1"/>
  <c r="R162" i="1"/>
  <c r="R165" i="1"/>
  <c r="R168" i="1"/>
  <c r="E117" i="1"/>
  <c r="E119" i="1"/>
  <c r="E153" i="1"/>
  <c r="E157" i="1"/>
  <c r="AC122" i="1"/>
  <c r="V161" i="1"/>
  <c r="AA156" i="1"/>
  <c r="H162" i="1"/>
  <c r="H165" i="1"/>
  <c r="H168" i="1"/>
  <c r="Q120" i="1"/>
  <c r="Q123" i="1"/>
  <c r="Q124" i="1"/>
  <c r="N119" i="1"/>
  <c r="N153" i="1"/>
  <c r="N157" i="1"/>
  <c r="H122" i="1"/>
  <c r="H124" i="1"/>
  <c r="AB149" i="1"/>
  <c r="Q141" i="1"/>
  <c r="O119" i="1"/>
  <c r="O120" i="1"/>
  <c r="O123" i="1"/>
  <c r="O124" i="1"/>
  <c r="AE146" i="1"/>
  <c r="AA141" i="1"/>
  <c r="L139" i="1"/>
  <c r="H161" i="1"/>
  <c r="Q162" i="1"/>
  <c r="F119" i="1"/>
  <c r="F120" i="1"/>
  <c r="F123" i="1"/>
  <c r="F140" i="1"/>
  <c r="J139" i="1"/>
  <c r="F153" i="1"/>
  <c r="F156" i="1"/>
  <c r="G119" i="1"/>
  <c r="G153" i="1"/>
  <c r="G158" i="1"/>
  <c r="R153" i="1"/>
  <c r="R157" i="1"/>
  <c r="Z157" i="1"/>
  <c r="W122" i="1"/>
  <c r="U120" i="1"/>
  <c r="U123" i="1"/>
  <c r="U141" i="1"/>
  <c r="V120" i="1"/>
  <c r="V123" i="1"/>
  <c r="V124" i="1"/>
  <c r="S119" i="1"/>
  <c r="S120" i="1"/>
  <c r="S123" i="1"/>
  <c r="S124" i="1"/>
  <c r="M124" i="1"/>
  <c r="I124" i="1"/>
  <c r="V139" i="1"/>
  <c r="V153" i="1"/>
  <c r="V157" i="1"/>
  <c r="W161" i="1"/>
  <c r="W157" i="1"/>
  <c r="W162" i="1"/>
  <c r="W158" i="1"/>
  <c r="G120" i="1"/>
  <c r="G123" i="1"/>
  <c r="G139" i="1"/>
  <c r="K141" i="1"/>
  <c r="K158" i="1"/>
  <c r="H139" i="1"/>
  <c r="V141" i="1"/>
  <c r="V158" i="1"/>
  <c r="M139" i="1"/>
  <c r="M153" i="1"/>
  <c r="M156" i="1"/>
  <c r="R143" i="1"/>
  <c r="F143" i="1"/>
  <c r="U153" i="1"/>
  <c r="U156" i="1"/>
  <c r="E120" i="1"/>
  <c r="E123" i="1"/>
  <c r="E140" i="1"/>
  <c r="M140" i="1"/>
  <c r="K140" i="1"/>
  <c r="K143" i="1"/>
  <c r="L140" i="1"/>
  <c r="H143" i="1"/>
  <c r="U143" i="1"/>
  <c r="G140" i="1"/>
  <c r="S140" i="1"/>
  <c r="J157" i="1"/>
  <c r="AD120" i="1"/>
  <c r="W164" i="1"/>
  <c r="AE120" i="1"/>
  <c r="AE123" i="1"/>
  <c r="AE140" i="1"/>
  <c r="AA162" i="1"/>
  <c r="AA165" i="1"/>
  <c r="AA161" i="1"/>
  <c r="AA164" i="1"/>
  <c r="AA146" i="1"/>
  <c r="AA148" i="1"/>
  <c r="Z162" i="1"/>
  <c r="Z146" i="1"/>
  <c r="Z148" i="1"/>
  <c r="Y119" i="1"/>
  <c r="Y146" i="1"/>
  <c r="Y148" i="1"/>
  <c r="V140" i="1"/>
  <c r="W156" i="1"/>
  <c r="I139" i="1"/>
  <c r="I143" i="1"/>
  <c r="E139" i="1"/>
  <c r="L122" i="1"/>
  <c r="G162" i="1"/>
  <c r="G165" i="1"/>
  <c r="Z149" i="1"/>
  <c r="AD148" i="1"/>
  <c r="X161" i="1"/>
  <c r="X164" i="1"/>
  <c r="U157" i="1"/>
  <c r="F161" i="1"/>
  <c r="F164" i="1"/>
  <c r="E124" i="1"/>
  <c r="I141" i="1"/>
  <c r="AA124" i="1"/>
  <c r="AE122" i="1"/>
  <c r="V162" i="1"/>
  <c r="H153" i="1"/>
  <c r="H164" i="1"/>
  <c r="H167" i="1"/>
  <c r="AA122" i="1"/>
  <c r="R161" i="1"/>
  <c r="R164" i="1"/>
  <c r="U162" i="1"/>
  <c r="G161" i="1"/>
  <c r="P119" i="1"/>
  <c r="P162" i="1"/>
  <c r="P165" i="1"/>
  <c r="E161" i="1"/>
  <c r="K146" i="1"/>
  <c r="M162" i="1"/>
  <c r="U161" i="1"/>
  <c r="U164" i="1"/>
  <c r="J148" i="1"/>
  <c r="S162" i="1"/>
  <c r="AA168" i="1"/>
  <c r="AE148" i="1"/>
  <c r="J165" i="1"/>
  <c r="Q156" i="1"/>
  <c r="P120" i="1"/>
  <c r="P122" i="1"/>
  <c r="Q158" i="1"/>
  <c r="U149" i="1"/>
  <c r="J141" i="1"/>
  <c r="Z120" i="1"/>
  <c r="AB120" i="1"/>
  <c r="AE165" i="1"/>
  <c r="M141" i="1"/>
  <c r="AD143" i="1"/>
  <c r="AB123" i="1"/>
  <c r="P161" i="1"/>
  <c r="P164" i="1"/>
  <c r="Z118" i="1"/>
  <c r="Y118" i="1"/>
  <c r="X118" i="1"/>
  <c r="W118" i="1"/>
  <c r="V118" i="1"/>
  <c r="U118" i="1"/>
  <c r="T118" i="1"/>
  <c r="I153" i="1"/>
  <c r="AB164" i="1"/>
  <c r="AC153" i="1"/>
  <c r="M161" i="1"/>
  <c r="M164" i="1"/>
  <c r="M167" i="1"/>
  <c r="S118" i="1"/>
  <c r="R118" i="1"/>
  <c r="Q118" i="1"/>
  <c r="P118" i="1"/>
  <c r="O118" i="1"/>
  <c r="W141" i="1"/>
  <c r="AE158" i="1"/>
  <c r="N118" i="1"/>
  <c r="M118" i="1"/>
  <c r="L118" i="1"/>
  <c r="K118" i="1"/>
  <c r="J118" i="1"/>
  <c r="I118" i="1"/>
  <c r="H118" i="1"/>
  <c r="Y161" i="1"/>
  <c r="Y164" i="1"/>
  <c r="Y167" i="1"/>
  <c r="AB124" i="1"/>
  <c r="AA143" i="1"/>
  <c r="I122" i="1"/>
  <c r="U140" i="1"/>
  <c r="N158" i="1"/>
  <c r="L164" i="1"/>
  <c r="Y149" i="1"/>
  <c r="AA149" i="1"/>
  <c r="T119" i="1"/>
  <c r="T146" i="1"/>
  <c r="T150" i="1"/>
  <c r="D143" i="1"/>
  <c r="V156" i="1"/>
  <c r="R120" i="1"/>
  <c r="R123" i="1"/>
  <c r="Q143" i="1"/>
  <c r="R141" i="1"/>
  <c r="Q140" i="1"/>
  <c r="AC157" i="1"/>
  <c r="V165" i="1"/>
  <c r="V164" i="1"/>
  <c r="J168" i="1"/>
  <c r="W124" i="1"/>
  <c r="AB156" i="1"/>
  <c r="F139" i="1"/>
  <c r="U122" i="1"/>
  <c r="R140" i="1"/>
  <c r="AB158" i="1"/>
  <c r="W140" i="1"/>
  <c r="AD150" i="1"/>
  <c r="X167" i="1"/>
  <c r="N120" i="1"/>
  <c r="N123" i="1"/>
  <c r="M143" i="1"/>
  <c r="N139" i="1"/>
  <c r="X156" i="1"/>
  <c r="M165" i="1"/>
  <c r="M168" i="1"/>
  <c r="Y162" i="1"/>
  <c r="H158" i="1"/>
  <c r="AA150" i="1"/>
  <c r="AE156" i="1"/>
  <c r="F122" i="1"/>
  <c r="O139" i="1"/>
  <c r="W139" i="1"/>
  <c r="AD162" i="1"/>
  <c r="AC162" i="1"/>
  <c r="Y120" i="1"/>
  <c r="X146" i="1"/>
  <c r="T161" i="1"/>
  <c r="T164" i="1"/>
  <c r="W167" i="1"/>
  <c r="X139" i="1"/>
  <c r="T120" i="1"/>
  <c r="T123" i="1"/>
  <c r="J150" i="1"/>
  <c r="H157" i="1"/>
  <c r="R156" i="1"/>
  <c r="Y123" i="1"/>
  <c r="Y140" i="1"/>
  <c r="H148" i="1"/>
  <c r="T162" i="1"/>
  <c r="T165" i="1"/>
  <c r="T168" i="1"/>
  <c r="X122" i="1"/>
  <c r="X158" i="1"/>
  <c r="X140" i="1"/>
  <c r="S153" i="1"/>
  <c r="P153" i="1"/>
  <c r="P156" i="1"/>
  <c r="Q157" i="1"/>
  <c r="K157" i="1"/>
  <c r="F158" i="1"/>
  <c r="P157" i="1"/>
  <c r="G122" i="1"/>
  <c r="N122" i="1"/>
  <c r="S156" i="1"/>
  <c r="X162" i="1"/>
  <c r="H156" i="1"/>
  <c r="O153" i="1"/>
  <c r="O158" i="1"/>
  <c r="F157" i="1"/>
  <c r="K124" i="1"/>
  <c r="S161" i="1"/>
  <c r="AD123" i="1"/>
  <c r="Y153" i="1"/>
  <c r="Y158" i="1"/>
  <c r="AD153" i="1"/>
  <c r="S122" i="1"/>
  <c r="S164" i="1"/>
  <c r="AC143" i="1"/>
  <c r="T143" i="1"/>
  <c r="AD158" i="1"/>
  <c r="AA140" i="1"/>
  <c r="V146" i="1"/>
  <c r="W143" i="1"/>
  <c r="E141" i="1"/>
  <c r="E162" i="1"/>
  <c r="E165" i="1"/>
  <c r="E168" i="1"/>
  <c r="R146" i="1"/>
  <c r="R149" i="1"/>
  <c r="N161" i="1"/>
  <c r="N164" i="1"/>
  <c r="N167" i="1"/>
  <c r="E146" i="1"/>
  <c r="E150" i="1"/>
  <c r="I146" i="1"/>
  <c r="I148" i="1"/>
  <c r="S146" i="1"/>
  <c r="S148" i="1"/>
  <c r="F146" i="1"/>
  <c r="F148" i="1"/>
  <c r="J161" i="1"/>
  <c r="J164" i="1"/>
  <c r="J167" i="1"/>
  <c r="Q146" i="1"/>
  <c r="Q149" i="1"/>
  <c r="K161" i="1"/>
  <c r="K164" i="1"/>
  <c r="K167" i="1"/>
  <c r="O162" i="1"/>
  <c r="O165" i="1"/>
  <c r="O168" i="1"/>
  <c r="Q167" i="1"/>
  <c r="I161" i="1"/>
  <c r="I164" i="1"/>
  <c r="U165" i="1"/>
  <c r="G146" i="1"/>
  <c r="G164" i="1"/>
  <c r="E164" i="1"/>
  <c r="O161" i="1"/>
  <c r="Q165" i="1"/>
  <c r="U167" i="1"/>
  <c r="P146" i="1"/>
  <c r="P150" i="1"/>
  <c r="H150" i="1"/>
  <c r="AC123" i="1"/>
  <c r="O157" i="1"/>
  <c r="R150" i="1"/>
  <c r="S165" i="1"/>
  <c r="N162" i="1"/>
  <c r="N165" i="1"/>
  <c r="F149" i="1"/>
  <c r="P123" i="1"/>
  <c r="O156" i="1"/>
  <c r="X165" i="1"/>
  <c r="S157" i="1"/>
  <c r="AD139" i="1"/>
  <c r="U124" i="1"/>
  <c r="Q148" i="1"/>
  <c r="J158" i="1"/>
  <c r="AC161" i="1"/>
  <c r="H141" i="1"/>
  <c r="O140" i="1"/>
  <c r="Z123" i="1"/>
  <c r="Z124" i="1"/>
  <c r="W165" i="1"/>
  <c r="J149" i="1"/>
  <c r="AE141" i="1"/>
  <c r="Y143" i="1"/>
  <c r="O141" i="1"/>
  <c r="R148" i="1"/>
  <c r="F162" i="1"/>
  <c r="L146" i="1"/>
  <c r="N146" i="1"/>
  <c r="W146" i="1"/>
  <c r="AB157" i="1"/>
  <c r="I158" i="1"/>
  <c r="AC146" i="1"/>
  <c r="AD149" i="1"/>
  <c r="AE157" i="1"/>
  <c r="E158" i="1"/>
  <c r="AA158" i="1"/>
  <c r="G118" i="1"/>
  <c r="Z165" i="1"/>
  <c r="M157" i="1"/>
  <c r="Y150" i="1"/>
  <c r="M146" i="1"/>
  <c r="M149" i="1"/>
  <c r="Z156" i="1"/>
  <c r="N143" i="1"/>
  <c r="AC141" i="1"/>
  <c r="S141" i="1"/>
  <c r="Z150" i="1"/>
  <c r="AB141" i="1"/>
  <c r="AD165" i="1"/>
  <c r="AD168" i="1"/>
  <c r="X157" i="1"/>
  <c r="S150" i="1"/>
  <c r="AB140" i="1"/>
  <c r="U148" i="1"/>
  <c r="Z139" i="1"/>
  <c r="U139" i="1"/>
  <c r="M158" i="1"/>
  <c r="G168" i="1"/>
  <c r="T149" i="1"/>
  <c r="V149" i="1"/>
  <c r="X149" i="1"/>
  <c r="P140" i="1"/>
  <c r="I156" i="1"/>
  <c r="V168" i="1"/>
  <c r="V167" i="1"/>
  <c r="S149" i="1"/>
  <c r="G150" i="1"/>
  <c r="T140" i="1"/>
  <c r="T141" i="1"/>
  <c r="E143" i="1"/>
  <c r="Q139" i="1"/>
  <c r="I150" i="1"/>
  <c r="R139" i="1"/>
  <c r="E156" i="1"/>
  <c r="V143" i="1"/>
  <c r="P143" i="1"/>
  <c r="P167" i="1"/>
  <c r="N140" i="1"/>
  <c r="AB148" i="1"/>
  <c r="N124" i="1"/>
  <c r="L153" i="1"/>
  <c r="O164" i="1"/>
  <c r="O167" i="1"/>
  <c r="L156" i="1"/>
  <c r="V148" i="1"/>
  <c r="F124" i="1"/>
  <c r="Y165" i="1"/>
  <c r="F167" i="1"/>
  <c r="AE124" i="1"/>
  <c r="AB122" i="1"/>
  <c r="K150" i="1"/>
  <c r="F165" i="1"/>
  <c r="F168" i="1"/>
  <c r="T153" i="1"/>
  <c r="T158" i="1"/>
  <c r="N156" i="1"/>
  <c r="AD124" i="1"/>
  <c r="Z140" i="1"/>
  <c r="L148" i="1"/>
  <c r="I157" i="1"/>
  <c r="Y168" i="1"/>
  <c r="AE150" i="1"/>
  <c r="I167" i="1"/>
  <c r="T148" i="1"/>
  <c r="P168" i="1"/>
  <c r="E167" i="1"/>
  <c r="P148" i="1"/>
  <c r="F150" i="1"/>
  <c r="AC140" i="1"/>
  <c r="R167" i="1"/>
  <c r="Y157" i="1"/>
  <c r="AC165" i="1"/>
  <c r="AC168" i="1"/>
  <c r="E148" i="1"/>
  <c r="R158" i="1"/>
  <c r="V122" i="1"/>
  <c r="O143" i="1"/>
  <c r="G156" i="1"/>
  <c r="AD122" i="1"/>
  <c r="O146" i="1"/>
  <c r="O149" i="1"/>
  <c r="AE168" i="1"/>
  <c r="Z122" i="1"/>
  <c r="K149" i="1"/>
  <c r="AA167" i="1"/>
  <c r="S139" i="1"/>
  <c r="AE149" i="1"/>
  <c r="K148" i="1"/>
  <c r="F118" i="1"/>
  <c r="E118" i="1"/>
  <c r="I149" i="1"/>
  <c r="Y139" i="1"/>
  <c r="O148" i="1"/>
  <c r="L167" i="1"/>
  <c r="T156" i="1"/>
  <c r="P149" i="1"/>
  <c r="E149" i="1"/>
  <c r="O150" i="1"/>
  <c r="G141" i="1"/>
  <c r="U158" i="1"/>
  <c r="G124" i="1"/>
  <c r="E122" i="1"/>
  <c r="P141" i="1"/>
  <c r="N148" i="1"/>
  <c r="T157" i="1"/>
  <c r="N168" i="1"/>
  <c r="Y124" i="1"/>
  <c r="P124" i="1"/>
  <c r="T139" i="1"/>
  <c r="AC156" i="1"/>
  <c r="R124" i="1"/>
  <c r="W148" i="1"/>
  <c r="AB167" i="1"/>
  <c r="F141" i="1"/>
  <c r="O122" i="1"/>
  <c r="N141" i="1"/>
  <c r="Q168" i="1"/>
  <c r="L157" i="1"/>
  <c r="AD157" i="1"/>
  <c r="AC149" i="1"/>
  <c r="X143" i="1"/>
  <c r="G157" i="1"/>
  <c r="AE139" i="1"/>
  <c r="AC139" i="1"/>
  <c r="AC150" i="1"/>
  <c r="Y156" i="1"/>
  <c r="G149" i="1"/>
  <c r="AC158" i="1"/>
  <c r="S158" i="1"/>
  <c r="Z141" i="1"/>
  <c r="N149" i="1"/>
  <c r="AB139" i="1"/>
  <c r="AC164" i="1"/>
  <c r="AC167" i="1"/>
  <c r="G148" i="1"/>
  <c r="G167" i="1"/>
  <c r="X150" i="1"/>
  <c r="Q150" i="1"/>
  <c r="S168" i="1"/>
  <c r="P158" i="1"/>
  <c r="S167" i="1"/>
  <c r="AD156" i="1"/>
  <c r="W168" i="1"/>
  <c r="L149" i="1"/>
  <c r="N150" i="1"/>
  <c r="Z168" i="1"/>
  <c r="L150" i="1"/>
  <c r="T167" i="1"/>
  <c r="AD141" i="1"/>
  <c r="Y141" i="1"/>
  <c r="Y122" i="1"/>
  <c r="R122" i="1"/>
  <c r="X168" i="1"/>
  <c r="V150" i="1"/>
  <c r="M150" i="1"/>
  <c r="Q122" i="1"/>
  <c r="AB143" i="1"/>
  <c r="W150" i="1"/>
  <c r="T122" i="1"/>
  <c r="X148" i="1"/>
  <c r="S143" i="1"/>
  <c r="AC124" i="1"/>
  <c r="L158" i="1"/>
  <c r="U168" i="1"/>
  <c r="T124" i="1"/>
  <c r="AD140" i="1"/>
  <c r="P139" i="1"/>
  <c r="M148" i="1"/>
  <c r="W149" i="1"/>
  <c r="AC1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Rucheeta Kadge</author>
  </authors>
  <commentList>
    <comment ref="I12" authorId="0" shapeId="0" xr:uid="{D9084242-C44F-408B-B7F6-83537E0892BF}">
      <text>
        <r>
          <rPr>
            <b/>
            <sz val="9"/>
            <color indexed="81"/>
            <rFont val="Tahoma"/>
            <family val="2"/>
          </rPr>
          <t xml:space="preserve">crore SPA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<sst xmlns="http://schemas.openxmlformats.org/spreadsheetml/2006/main" count="725" uniqueCount="588">
  <si>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</si>
  <si>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</si>
  <si>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</si>
  <si>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</si>
  <si>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</si>
  <si>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</si>
  <si>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</si>
  <si>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</si>
  <si>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</si>
  <si>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</si>
  <si>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</si>
  <si>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</si>
  <si>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</si>
  <si>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</si>
  <si>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</si>
  <si>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</si>
  <si>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</si>
  <si>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</si>
  <si>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</si>
  <si>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</si>
  <si>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</si>
  <si>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</si>
  <si>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</si>
  <si>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</si>
  <si>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</si>
  <si>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</si>
  <si>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</si>
  <si>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</si>
  <si>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</si>
  <si>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</si>
  <si>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</si>
  <si>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</si>
  <si>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</si>
  <si>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</si>
  <si>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</si>
  <si>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</si>
  <si>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</si>
  <si>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</si>
  <si>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</si>
  <si>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</si>
  <si>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</si>
  <si>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</si>
  <si>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</si>
  <si>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</si>
  <si>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</si>
  <si>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</si>
  <si>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</si>
  <si>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</si>
  <si>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</si>
  <si>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</si>
  <si>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</si>
  <si>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</si>
  <si>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</si>
  <si>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</si>
  <si>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</si>
  <si>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</si>
  <si>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</si>
  <si>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</si>
  <si>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</si>
  <si>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</si>
  <si>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</si>
  <si>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</si>
  <si>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</si>
  <si>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</si>
  <si>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</si>
  <si>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</si>
  <si>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</si>
  <si>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</si>
  <si>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</si>
  <si>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</si>
  <si>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</si>
  <si>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</si>
  <si>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</si>
  <si>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</si>
  <si>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</si>
  <si>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</si>
  <si>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</si>
  <si>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</si>
  <si>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</si>
  <si>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</si>
  <si>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</si>
  <si>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</si>
  <si>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</si>
  <si>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</si>
  <si>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</si>
  <si>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</si>
  <si>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</si>
  <si>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</si>
  <si>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</si>
  <si>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</si>
  <si>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</si>
  <si>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</si>
  <si>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</si>
  <si>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</si>
  <si>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</si>
  <si>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</si>
  <si>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</si>
  <si>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</si>
  <si>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</si>
  <si>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</si>
  <si>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</si>
  <si>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</si>
  <si>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</si>
  <si>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</si>
  <si>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</si>
  <si>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</si>
  <si>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</si>
  <si>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</si>
  <si>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</si>
  <si>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</si>
  <si>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</si>
  <si>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</si>
  <si>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</si>
  <si>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</si>
  <si>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</si>
  <si>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</si>
  <si>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</si>
  <si>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</si>
  <si>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</si>
  <si>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</si>
  <si>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</si>
  <si>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</si>
  <si>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</si>
  <si>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</si>
  <si>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</si>
  <si>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</si>
  <si>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</si>
  <si>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</si>
  <si>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</si>
  <si>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</si>
  <si>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</si>
  <si>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</si>
  <si>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</si>
  <si>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</si>
  <si>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</si>
  <si>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</si>
  <si>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</si>
  <si>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</si>
  <si>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</si>
  <si>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</si>
  <si>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</si>
  <si>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</si>
  <si>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</si>
  <si>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</si>
  <si>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</si>
  <si>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</si>
  <si>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</si>
  <si>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</si>
  <si>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</si>
  <si>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</si>
  <si>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</si>
  <si>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</si>
  <si>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</si>
  <si>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</si>
  <si>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</si>
  <si>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</si>
  <si>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</si>
  <si>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</si>
  <si>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</si>
  <si>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</si>
  <si>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</si>
  <si>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</si>
  <si>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</si>
  <si>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</si>
  <si>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</si>
  <si>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</si>
  <si>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</si>
  <si>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</si>
  <si>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</si>
  <si>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</si>
  <si>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</si>
  <si>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</si>
  <si>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</si>
  <si>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</si>
  <si>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</si>
  <si>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</si>
  <si>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</si>
  <si>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</si>
  <si>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</si>
  <si>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</si>
  <si>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</si>
  <si>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</si>
  <si>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</si>
  <si>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</si>
  <si>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</si>
  <si>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</si>
  <si>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</si>
  <si>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</si>
  <si>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</si>
  <si>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</si>
  <si>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</si>
  <si>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</si>
  <si>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</si>
  <si>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</si>
  <si>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</si>
  <si>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</si>
  <si>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</si>
  <si>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</si>
  <si>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</si>
  <si>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</si>
  <si>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</si>
  <si>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</si>
  <si>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</si>
  <si>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</si>
  <si>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</si>
  <si>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</si>
  <si>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</si>
  <si>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</si>
  <si>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</si>
  <si>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</si>
  <si>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</si>
  <si>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</si>
  <si>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</si>
  <si>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</si>
  <si>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</si>
  <si>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</si>
  <si>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</si>
  <si>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</si>
  <si>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</si>
  <si>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</si>
  <si>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</si>
  <si>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</si>
  <si>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</si>
  <si>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</si>
  <si>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</si>
  <si>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</si>
  <si>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</si>
  <si>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</si>
  <si>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</si>
  <si>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</si>
  <si>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</si>
  <si>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</si>
  <si>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</si>
  <si>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</si>
  <si>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</si>
  <si>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</si>
  <si>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</si>
  <si>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</si>
  <si>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</si>
  <si>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</si>
  <si>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</si>
  <si>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</si>
  <si>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</si>
  <si>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</si>
  <si>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</si>
  <si>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</si>
  <si>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</si>
  <si>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</si>
  <si>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</si>
  <si>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</si>
  <si>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</si>
  <si>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</si>
  <si>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</si>
  <si>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</si>
  <si>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</si>
  <si>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</si>
  <si>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</si>
  <si>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</si>
  <si>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</si>
  <si>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</si>
  <si>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</si>
  <si>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</si>
  <si>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</si>
  <si>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</si>
  <si>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</si>
  <si>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</si>
  <si>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</si>
  <si>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</si>
  <si>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</si>
  <si>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</si>
  <si>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</si>
  <si>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</si>
  <si>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</si>
  <si>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</si>
  <si>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</si>
  <si>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</si>
  <si>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</si>
  <si>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</si>
  <si>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</si>
  <si>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</si>
  <si>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</si>
  <si>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</si>
  <si>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</si>
  <si>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</si>
  <si>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</si>
  <si>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</si>
  <si>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</si>
  <si>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</si>
  <si>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</si>
  <si>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</si>
  <si>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</si>
  <si>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</si>
  <si>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</si>
  <si>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</si>
  <si>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</si>
  <si>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</si>
  <si>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</si>
  <si>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</si>
  <si>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</si>
  <si>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</si>
  <si>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</si>
  <si>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</si>
  <si>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</si>
  <si>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</si>
  <si>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</si>
  <si>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</si>
  <si>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</si>
  <si>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</si>
  <si>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</si>
  <si>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</si>
  <si>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</si>
  <si>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</si>
  <si>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</si>
  <si>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</si>
  <si>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</si>
  <si>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</si>
  <si>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</si>
  <si>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</si>
  <si>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</si>
  <si>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</si>
  <si>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</si>
  <si>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</si>
  <si>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</si>
  <si>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</si>
  <si>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</si>
  <si>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</si>
  <si>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</si>
  <si>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</si>
  <si>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</si>
  <si>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</si>
  <si>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</si>
  <si>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</si>
  <si>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</si>
  <si>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</si>
  <si>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</si>
  <si>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</si>
  <si>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</si>
  <si>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</si>
  <si>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</si>
  <si>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</si>
  <si>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</si>
  <si>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</si>
  <si>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</si>
  <si>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</si>
  <si>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</si>
  <si>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</si>
  <si>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</si>
  <si>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</si>
  <si>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</si>
  <si>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</si>
  <si>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</si>
  <si>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</si>
  <si>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</si>
  <si>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</si>
  <si>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</si>
  <si>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</si>
  <si>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</si>
  <si>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</si>
  <si>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</si>
  <si>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</si>
  <si>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</si>
  <si>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</si>
  <si>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</si>
  <si>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</si>
  <si>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</si>
  <si>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</si>
  <si>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</si>
  <si>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</si>
  <si>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</si>
  <si>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</si>
  <si>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</si>
  <si>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</si>
  <si>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</si>
  <si>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</si>
  <si>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</si>
  <si>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</si>
  <si>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</si>
  <si>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</si>
  <si>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</si>
  <si>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</si>
  <si>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</si>
  <si>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</si>
  <si>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</si>
  <si>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</si>
  <si>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</si>
  <si>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</si>
  <si>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</si>
  <si>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</si>
  <si>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</si>
  <si>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</si>
  <si>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</si>
  <si>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</si>
  <si>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</si>
  <si>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</si>
  <si>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</si>
  <si>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</si>
  <si>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</si>
  <si>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</si>
  <si>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</si>
  <si>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</si>
  <si>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</si>
  <si>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</si>
  <si>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</si>
  <si>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</si>
  <si>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</si>
  <si>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</si>
  <si>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</si>
  <si>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</si>
  <si>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</si>
  <si>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</si>
  <si>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</si>
  <si>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</si>
  <si>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</si>
  <si>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</si>
  <si>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</si>
  <si>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</si>
  <si>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</si>
  <si>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</si>
  <si>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</si>
  <si>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</si>
  <si>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</si>
  <si>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</si>
  <si>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</si>
  <si>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</si>
  <si>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</si>
  <si>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</si>
  <si>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</si>
  <si>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</si>
  <si>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</si>
  <si>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</si>
  <si>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</si>
  <si>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</si>
  <si>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</si>
  <si>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</si>
  <si>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</si>
  <si>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</si>
  <si>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</si>
  <si>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</si>
  <si>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</si>
  <si>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</si>
  <si>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</si>
  <si>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</si>
  <si>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</si>
  <si>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</si>
  <si>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</si>
  <si>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</si>
  <si>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</si>
  <si>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</si>
  <si>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</si>
  <si>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</si>
  <si>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</si>
  <si>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</si>
  <si>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</si>
  <si>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</si>
  <si>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</si>
  <si>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</si>
  <si>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</si>
  <si>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</si>
  <si>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</si>
  <si>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</si>
  <si>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</si>
  <si>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</si>
  <si>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</si>
  <si>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</si>
  <si>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</si>
  <si>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</si>
  <si>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</si>
  <si>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</si>
  <si>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</si>
  <si>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</si>
  <si>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</si>
  <si>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</si>
  <si>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</si>
  <si>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</si>
  <si>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</si>
  <si>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</si>
  <si>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</si>
  <si>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</si>
  <si>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</si>
  <si>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</si>
  <si>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</si>
  <si>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</si>
  <si>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</si>
  <si>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</si>
  <si>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</si>
  <si>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</si>
  <si>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</si>
  <si>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</si>
  <si>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</si>
  <si>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</si>
  <si>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</si>
  <si>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</si>
  <si>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</si>
  <si>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</si>
  <si>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</si>
  <si>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</si>
  <si>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</si>
  <si>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</si>
  <si>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</si>
  <si>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</si>
  <si>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</si>
  <si>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</si>
  <si>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</si>
  <si>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</si>
  <si>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</si>
  <si>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</si>
  <si>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</si>
  <si>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</si>
  <si>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</si>
  <si>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</si>
  <si>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</si>
  <si>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</si>
  <si>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</si>
  <si>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</si>
  <si>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Sangam (India) Ltd.</t>
  </si>
  <si>
    <t>DATE</t>
  </si>
  <si>
    <t>ADJCLOSE</t>
  </si>
  <si>
    <t>ADJHIGH</t>
  </si>
  <si>
    <t>ADJLOW</t>
  </si>
  <si>
    <t>ADJOPEN</t>
  </si>
  <si>
    <t>CLOSE</t>
  </si>
  <si>
    <t>VOLUME</t>
  </si>
  <si>
    <t>RF</t>
  </si>
  <si>
    <t>Capacity</t>
  </si>
  <si>
    <t>Yarn (MT)</t>
  </si>
  <si>
    <t>Garments (lakh pcs)</t>
  </si>
  <si>
    <t>Utilization %</t>
  </si>
  <si>
    <t>Yarn - Utilization %</t>
  </si>
  <si>
    <t>Green Fibre - Utilization %</t>
  </si>
  <si>
    <t xml:space="preserve">PV Fabric - Utilization % </t>
  </si>
  <si>
    <t xml:space="preserve">Denim Fabric - Utilization % </t>
  </si>
  <si>
    <t xml:space="preserve">Garments - Utilization % </t>
  </si>
  <si>
    <t>Revenue Breakup - Segment wise</t>
  </si>
  <si>
    <t>PV Yarn</t>
  </si>
  <si>
    <t>Cotton Yarn</t>
  </si>
  <si>
    <t xml:space="preserve">Denim Fabric </t>
  </si>
  <si>
    <t xml:space="preserve">Woven Fabric with processing </t>
  </si>
  <si>
    <t xml:space="preserve">Garments </t>
  </si>
  <si>
    <t xml:space="preserve">Total </t>
  </si>
  <si>
    <t>Checksum</t>
  </si>
  <si>
    <t>Unit metrics</t>
  </si>
  <si>
    <t>Denim Fabric MMPA</t>
  </si>
  <si>
    <t>Yarn (MTPA)</t>
  </si>
  <si>
    <t>Weaving (MMPA)</t>
  </si>
  <si>
    <t>Fabric (processing)</t>
  </si>
  <si>
    <t>mn pcs</t>
  </si>
  <si>
    <t>Processing</t>
  </si>
  <si>
    <t>Denim Fabric</t>
  </si>
  <si>
    <t>PV Fabric (weaving)</t>
  </si>
  <si>
    <t>PV Fabric MMPA (Weaving)</t>
  </si>
  <si>
    <t>Garments  (per pcs)</t>
  </si>
  <si>
    <t>PV Fabric - per meter</t>
  </si>
  <si>
    <t>Denim - per meter</t>
  </si>
  <si>
    <t>Spinning - per kg</t>
  </si>
  <si>
    <t>Spinning (PV + Cotton Yarn)</t>
  </si>
  <si>
    <t>Knitting &amp; Weaving (Denim + Woven Fabric)</t>
  </si>
  <si>
    <t>Revenue Growth % y-o-y</t>
  </si>
  <si>
    <t>PV Yarn - %</t>
  </si>
  <si>
    <t>Cotton Yarn - %</t>
  </si>
  <si>
    <t>Spinning (PV + Cotton Yarn) - %</t>
  </si>
  <si>
    <t>Denim Fabric  - %</t>
  </si>
  <si>
    <t xml:space="preserve">Woven Fabric with processing  -% </t>
  </si>
  <si>
    <t>Knitting &amp; Weaving (Denim + Woven Fabric) - %</t>
  </si>
  <si>
    <t>Garments  - %</t>
  </si>
  <si>
    <t>Total - %</t>
  </si>
  <si>
    <t>Production Quantity</t>
  </si>
  <si>
    <t>Yarn (MT) -Production Quantity</t>
  </si>
  <si>
    <t>Green Fibre (MT) - Production Quantity</t>
  </si>
  <si>
    <t>PV Fabric MMPA - Production Quantity</t>
  </si>
  <si>
    <t>Denim Fabric MMPA - Production Quantity</t>
  </si>
  <si>
    <t>Green Fibre (MT)(polyster)</t>
  </si>
  <si>
    <t>Garments (mn pieces pa)</t>
  </si>
  <si>
    <t>Packing Material Consumed</t>
  </si>
  <si>
    <t>Sales Commissions &amp; Incentives</t>
  </si>
  <si>
    <t>Freight Octroi</t>
  </si>
  <si>
    <t>Balances with customs and excise authorities(STLA)</t>
  </si>
  <si>
    <t>Advance Against Supplies(STLA)</t>
  </si>
  <si>
    <t>Prepaid Expenses (OCA)</t>
  </si>
  <si>
    <t>Capital Advances (LTLA)</t>
  </si>
  <si>
    <t>Security Deposits (LTLA)</t>
  </si>
  <si>
    <t>Consumption Of Dyes &amp;Chemicals</t>
  </si>
  <si>
    <t>Processing Charges</t>
  </si>
  <si>
    <t>Stores &amp; spare Parts Consumed</t>
  </si>
  <si>
    <t>Repairs &amp; Maintenance</t>
  </si>
  <si>
    <t>Other Manufacturing Expenses(others)</t>
  </si>
  <si>
    <t>Other Non Current Assets(prepaid exp)</t>
  </si>
  <si>
    <t>Other Current Assets(others)</t>
  </si>
  <si>
    <t>Other Current Liabilities(others)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</si>
</sst>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0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left"/>
    </xf>
    <xf numFmtId="9" fontId="20" fillId="2" borderId="0" xfId="1" applyFont="1" applyFill="1" applyAlignment="1">
      <alignment horizontal="center"/>
    </xf>
    <xf numFmtId="9" fontId="20" fillId="7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0" fillId="0" borderId="0" xfId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9" fillId="2" borderId="0" xfId="1" applyFont="1" applyFill="1" applyAlignment="1"/>
    <xf numFmtId="9" fontId="9" fillId="7" borderId="0" xfId="1" applyFont="1" applyFill="1" applyAlignment="1"/>
    <xf numFmtId="12" fontId="2" fillId="7" borderId="0" xfId="2" applyNumberFormat="1" applyFont="1" applyFill="1"/>
    <xf numFmtId="43" fontId="18" fillId="2" borderId="4" xfId="2" applyFont="1" applyFill="1" applyBorder="1" applyAlignment="1">
      <alignment horizontal="left"/>
    </xf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166" fontId="4" fillId="10" borderId="0" xfId="1" applyNumberFormat="1" applyFont="1" applyFill="1"/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313"/>
  <sheetViews>
    <sheetView tabSelected="1" zoomScale="107" zoomScaleNormal="100" workbookViewId="0">
      <pane xSplit="1" ySplit="1" topLeftCell="R65" activePane="bottomRight" state="frozen"/>
      <selection pane="topRight" activeCell="B1" sqref="B1"/>
      <selection pane="bottomLeft" activeCell="A2" sqref="A2"/>
      <selection pane="bottomRight" activeCell="R89" sqref="R89"/>
    </sheetView>
  </sheetViews>
  <sheetFormatPr defaultColWidth="11.140625" defaultRowHeight="12" outlineLevelRow="1" x14ac:dyDescent="0.2"/>
  <cols>
    <col min="1" max="1" width="35.85546875" style="2" customWidth="1"/>
    <col min="2" max="23" width="11.140625" style="2" customWidth="1"/>
    <col min="24" max="26" width="11.140625" style="2"/>
    <col min="27" max="29" width="11.140625" style="19"/>
    <col min="30" max="31" width="12.140625" style="19" bestFit="1" customWidth="1"/>
    <col min="32" max="34" width="11.140625" style="2"/>
    <col min="35" max="74" width="11.140625" style="2" customWidth="1"/>
    <col min="75" max="89" width="11.140625" style="2"/>
    <col min="90" max="91" width="11.140625" style="24"/>
    <col min="92" max="92" width="11.28515625" style="24" customWidth="1"/>
    <col min="93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Sangam (India)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>EOMONTH(AA1,12)</f>
        <v>46477</v>
      </c>
      <c r="AC1" s="80">
        <f>EOMONTH(AB1,12)</f>
        <v>46843</v>
      </c>
      <c r="AD1" s="80">
        <f>EOMONTH(AC1,12)</f>
        <v>47208</v>
      </c>
      <c r="AE1" s="80">
        <f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 t="shared" ref="BQ1:DB1" si="1">EOMONTH(BP1,3)</f>
        <v>44196</v>
      </c>
      <c r="BR1" s="79">
        <f t="shared" si="1"/>
        <v>44286</v>
      </c>
      <c r="BS1" s="79">
        <f t="shared" si="1"/>
        <v>44377</v>
      </c>
      <c r="BT1" s="79">
        <f t="shared" si="1"/>
        <v>44469</v>
      </c>
      <c r="BU1" s="79">
        <f t="shared" si="1"/>
        <v>44561</v>
      </c>
      <c r="BV1" s="79">
        <f t="shared" si="1"/>
        <v>44651</v>
      </c>
      <c r="BW1" s="79">
        <f t="shared" si="1"/>
        <v>44742</v>
      </c>
      <c r="BX1" s="79">
        <f t="shared" si="1"/>
        <v>44834</v>
      </c>
      <c r="BY1" s="79">
        <f t="shared" si="1"/>
        <v>44926</v>
      </c>
      <c r="BZ1" s="79">
        <f t="shared" si="1"/>
        <v>45016</v>
      </c>
      <c r="CA1" s="79">
        <f t="shared" si="1"/>
        <v>45107</v>
      </c>
      <c r="CB1" s="79">
        <f t="shared" si="1"/>
        <v>45199</v>
      </c>
      <c r="CC1" s="79">
        <f t="shared" si="1"/>
        <v>45291</v>
      </c>
      <c r="CD1" s="79">
        <f t="shared" si="1"/>
        <v>45382</v>
      </c>
      <c r="CE1" s="79">
        <f t="shared" si="1"/>
        <v>45473</v>
      </c>
      <c r="CF1" s="79">
        <f t="shared" si="1"/>
        <v>45565</v>
      </c>
      <c r="CG1" s="79">
        <f t="shared" si="1"/>
        <v>45657</v>
      </c>
      <c r="CH1" s="79">
        <f t="shared" si="1"/>
        <v>45747</v>
      </c>
      <c r="CI1" s="79">
        <f t="shared" si="1"/>
        <v>45838</v>
      </c>
      <c r="CJ1" s="79">
        <f t="shared" si="1"/>
        <v>45930</v>
      </c>
      <c r="CK1" s="79">
        <f t="shared" si="1"/>
        <v>46022</v>
      </c>
      <c r="CL1" s="79">
        <f t="shared" si="1"/>
        <v>46112</v>
      </c>
      <c r="CM1" s="80">
        <f t="shared" si="1"/>
        <v>46203</v>
      </c>
      <c r="CN1" s="80">
        <f t="shared" si="1"/>
        <v>46295</v>
      </c>
      <c r="CO1" s="80">
        <f t="shared" si="1"/>
        <v>46387</v>
      </c>
      <c r="CP1" s="80">
        <f t="shared" si="1"/>
        <v>46477</v>
      </c>
      <c r="CQ1" s="80">
        <f t="shared" si="1"/>
        <v>46568</v>
      </c>
      <c r="CR1" s="80">
        <f t="shared" si="1"/>
        <v>46660</v>
      </c>
      <c r="CS1" s="80">
        <f t="shared" si="1"/>
        <v>46752</v>
      </c>
      <c r="CT1" s="80">
        <f t="shared" si="1"/>
        <v>46843</v>
      </c>
      <c r="CU1" s="80">
        <f t="shared" si="1"/>
        <v>46934</v>
      </c>
      <c r="CV1" s="80">
        <f t="shared" si="1"/>
        <v>47026</v>
      </c>
      <c r="CW1" s="80">
        <f t="shared" si="1"/>
        <v>47118</v>
      </c>
      <c r="CX1" s="80">
        <f t="shared" si="1"/>
        <v>47208</v>
      </c>
      <c r="CY1" s="80">
        <f t="shared" si="1"/>
        <v>47299</v>
      </c>
      <c r="CZ1" s="80">
        <f t="shared" si="1"/>
        <v>47391</v>
      </c>
      <c r="DA1" s="80">
        <f t="shared" si="1"/>
        <v>47483</v>
      </c>
      <c r="DB1" s="80">
        <f t="shared" si="1"/>
        <v>47573</v>
      </c>
      <c r="DE1" s="148" t="s">
        <v>444</v>
      </c>
      <c r="DF1" s="184">
        <v>46112</v>
      </c>
    </row>
    <row r="2" spans="1:110" s="109" customFormat="1" x14ac:dyDescent="0.2">
      <c r="A2" s="151" t="s">
        <v>498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1" customFormat="1" x14ac:dyDescent="0.2">
      <c r="A4" s="151" t="s">
        <v>523</v>
      </c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>
        <v>85500</v>
      </c>
      <c r="W5" s="156"/>
      <c r="X5" s="156"/>
      <c r="Y5" s="156">
        <v>103140</v>
      </c>
      <c r="Z5" s="156">
        <v>114420</v>
      </c>
      <c r="AA5" s="157">
        <v>114420</v>
      </c>
      <c r="AB5" s="157">
        <v>114420</v>
      </c>
      <c r="AC5" s="157">
        <v>114420</v>
      </c>
      <c r="AD5" s="157">
        <v>114420</v>
      </c>
      <c r="AE5" s="157">
        <v>114420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>
        <v>28605</v>
      </c>
      <c r="CF5" s="156">
        <v>28605</v>
      </c>
      <c r="CG5" s="156">
        <v>28605</v>
      </c>
      <c r="CH5" s="156">
        <v>28605</v>
      </c>
      <c r="CI5" s="156">
        <v>28605</v>
      </c>
      <c r="CJ5" s="156">
        <v>28605</v>
      </c>
      <c r="CK5" s="156">
        <v>28605</v>
      </c>
      <c r="CL5" s="156">
        <v>28605</v>
      </c>
      <c r="CM5" s="157">
        <f t="shared" ref="CM5:DB5" si="2">114420/4</f>
        <v>28605</v>
      </c>
      <c r="CN5" s="157">
        <f t="shared" si="2"/>
        <v>28605</v>
      </c>
      <c r="CO5" s="157">
        <f t="shared" si="2"/>
        <v>28605</v>
      </c>
      <c r="CP5" s="157">
        <f t="shared" si="2"/>
        <v>28605</v>
      </c>
      <c r="CQ5" s="157">
        <f t="shared" si="2"/>
        <v>28605</v>
      </c>
      <c r="CR5" s="157">
        <f t="shared" si="2"/>
        <v>28605</v>
      </c>
      <c r="CS5" s="157">
        <f t="shared" si="2"/>
        <v>28605</v>
      </c>
      <c r="CT5" s="157">
        <f t="shared" si="2"/>
        <v>28605</v>
      </c>
      <c r="CU5" s="157">
        <f t="shared" si="2"/>
        <v>28605</v>
      </c>
      <c r="CV5" s="157">
        <f t="shared" si="2"/>
        <v>28605</v>
      </c>
      <c r="CW5" s="157">
        <f t="shared" si="2"/>
        <v>28605</v>
      </c>
      <c r="CX5" s="157">
        <f t="shared" si="2"/>
        <v>28605</v>
      </c>
      <c r="CY5" s="157">
        <f t="shared" si="2"/>
        <v>28605</v>
      </c>
      <c r="CZ5" s="157">
        <f t="shared" si="2"/>
        <v>28605</v>
      </c>
      <c r="DA5" s="157">
        <f t="shared" si="2"/>
        <v>28605</v>
      </c>
      <c r="DB5" s="157">
        <f t="shared" si="2"/>
        <v>28605</v>
      </c>
      <c r="DE5" s="159"/>
    </row>
    <row r="6" spans="1:110" s="158" customFormat="1" x14ac:dyDescent="0.2">
      <c r="A6" s="155" t="s">
        <v>570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>
        <f>AA13/AA20</f>
        <v>15385.567010309278</v>
      </c>
      <c r="AB6" s="157">
        <v>15385.567010309278</v>
      </c>
      <c r="AC6" s="157">
        <v>15385.567010309278</v>
      </c>
      <c r="AD6" s="157">
        <v>15385.567010309278</v>
      </c>
      <c r="AE6" s="157">
        <v>15385.567010309278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56">
        <f t="shared" ref="CK6:CL6" si="3">CK13/CK20</f>
        <v>3904.1237113402062</v>
      </c>
      <c r="CL6" s="156">
        <f t="shared" si="3"/>
        <v>3788.6597938144332</v>
      </c>
      <c r="CM6" s="157">
        <f>+CL6</f>
        <v>3788.6597938144332</v>
      </c>
      <c r="CN6" s="157">
        <f t="shared" ref="CN6:DB6" si="4">+CM6</f>
        <v>3788.6597938144332</v>
      </c>
      <c r="CO6" s="157">
        <f t="shared" si="4"/>
        <v>3788.6597938144332</v>
      </c>
      <c r="CP6" s="157">
        <f t="shared" si="4"/>
        <v>3788.6597938144332</v>
      </c>
      <c r="CQ6" s="157">
        <f t="shared" si="4"/>
        <v>3788.6597938144332</v>
      </c>
      <c r="CR6" s="157">
        <f t="shared" si="4"/>
        <v>3788.6597938144332</v>
      </c>
      <c r="CS6" s="157">
        <f t="shared" si="4"/>
        <v>3788.6597938144332</v>
      </c>
      <c r="CT6" s="157">
        <f t="shared" si="4"/>
        <v>3788.6597938144332</v>
      </c>
      <c r="CU6" s="157">
        <f t="shared" si="4"/>
        <v>3788.6597938144332</v>
      </c>
      <c r="CV6" s="157">
        <f t="shared" si="4"/>
        <v>3788.6597938144332</v>
      </c>
      <c r="CW6" s="157">
        <f t="shared" si="4"/>
        <v>3788.6597938144332</v>
      </c>
      <c r="CX6" s="157">
        <f t="shared" si="4"/>
        <v>3788.6597938144332</v>
      </c>
      <c r="CY6" s="157">
        <f t="shared" si="4"/>
        <v>3788.6597938144332</v>
      </c>
      <c r="CZ6" s="157">
        <f t="shared" si="4"/>
        <v>3788.6597938144332</v>
      </c>
      <c r="DA6" s="157">
        <f t="shared" si="4"/>
        <v>3788.6597938144332</v>
      </c>
      <c r="DB6" s="157">
        <f t="shared" si="4"/>
        <v>3788.6597938144332</v>
      </c>
      <c r="DE6" s="159"/>
    </row>
    <row r="7" spans="1:110" s="158" customFormat="1" x14ac:dyDescent="0.2">
      <c r="A7" s="155" t="s">
        <v>549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>
        <v>30</v>
      </c>
      <c r="W7" s="156">
        <v>30</v>
      </c>
      <c r="X7" s="156">
        <v>32.4</v>
      </c>
      <c r="Y7" s="156">
        <v>48</v>
      </c>
      <c r="Z7" s="156">
        <v>48</v>
      </c>
      <c r="AA7" s="157">
        <v>71</v>
      </c>
      <c r="AB7" s="157">
        <v>71</v>
      </c>
      <c r="AC7" s="157">
        <v>71</v>
      </c>
      <c r="AD7" s="157">
        <v>71</v>
      </c>
      <c r="AE7" s="157">
        <v>71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>
        <v>12</v>
      </c>
      <c r="CB7" s="156">
        <v>12</v>
      </c>
      <c r="CC7" s="156">
        <v>12</v>
      </c>
      <c r="CD7" s="156">
        <v>12</v>
      </c>
      <c r="CE7" s="156">
        <v>12</v>
      </c>
      <c r="CF7" s="156">
        <v>12</v>
      </c>
      <c r="CG7" s="156">
        <v>12</v>
      </c>
      <c r="CH7" s="156">
        <v>12</v>
      </c>
      <c r="CI7" s="156">
        <v>17.75</v>
      </c>
      <c r="CJ7" s="156">
        <v>17.75</v>
      </c>
      <c r="CK7" s="156">
        <v>17.75</v>
      </c>
      <c r="CL7" s="156">
        <v>17.75</v>
      </c>
      <c r="CM7" s="157">
        <v>17.75</v>
      </c>
      <c r="CN7" s="157">
        <v>17.75</v>
      </c>
      <c r="CO7" s="157">
        <v>17.75</v>
      </c>
      <c r="CP7" s="157">
        <v>17.75</v>
      </c>
      <c r="CQ7" s="157">
        <v>17.75</v>
      </c>
      <c r="CR7" s="157">
        <v>17.75</v>
      </c>
      <c r="CS7" s="157">
        <v>17.75</v>
      </c>
      <c r="CT7" s="157">
        <v>17.75</v>
      </c>
      <c r="CU7" s="157">
        <v>17.75</v>
      </c>
      <c r="CV7" s="157">
        <v>17.75</v>
      </c>
      <c r="CW7" s="157">
        <v>17.75</v>
      </c>
      <c r="CX7" s="157">
        <v>17.75</v>
      </c>
      <c r="CY7" s="157">
        <v>17.75</v>
      </c>
      <c r="CZ7" s="157">
        <v>17.75</v>
      </c>
      <c r="DA7" s="157">
        <v>17.75</v>
      </c>
      <c r="DB7" s="157">
        <v>17.75</v>
      </c>
      <c r="DE7" s="159"/>
    </row>
    <row r="8" spans="1:110" s="158" customFormat="1" x14ac:dyDescent="0.2">
      <c r="A8" s="155" t="s">
        <v>541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>
        <v>48</v>
      </c>
      <c r="W8" s="156">
        <v>48</v>
      </c>
      <c r="X8" s="156">
        <v>48</v>
      </c>
      <c r="Y8" s="156">
        <v>48</v>
      </c>
      <c r="Z8" s="156">
        <v>60</v>
      </c>
      <c r="AA8" s="157">
        <v>60</v>
      </c>
      <c r="AB8" s="157">
        <v>60</v>
      </c>
      <c r="AC8" s="157">
        <v>60</v>
      </c>
      <c r="AD8" s="157">
        <v>60</v>
      </c>
      <c r="AE8" s="157">
        <v>60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>
        <v>12</v>
      </c>
      <c r="CB8" s="156">
        <v>12</v>
      </c>
      <c r="CC8" s="156">
        <v>12</v>
      </c>
      <c r="CD8" s="156">
        <v>12</v>
      </c>
      <c r="CE8" s="156">
        <v>15</v>
      </c>
      <c r="CF8" s="156">
        <v>15</v>
      </c>
      <c r="CG8" s="156">
        <v>15</v>
      </c>
      <c r="CH8" s="156">
        <v>15</v>
      </c>
      <c r="CI8" s="156">
        <v>15</v>
      </c>
      <c r="CJ8" s="156">
        <v>15</v>
      </c>
      <c r="CK8" s="156">
        <v>15</v>
      </c>
      <c r="CL8" s="156">
        <v>15</v>
      </c>
      <c r="CM8" s="157">
        <v>15</v>
      </c>
      <c r="CN8" s="157">
        <v>15</v>
      </c>
      <c r="CO8" s="157">
        <v>15</v>
      </c>
      <c r="CP8" s="157">
        <v>15</v>
      </c>
      <c r="CQ8" s="157">
        <v>15</v>
      </c>
      <c r="CR8" s="157">
        <v>15</v>
      </c>
      <c r="CS8" s="157">
        <v>15</v>
      </c>
      <c r="CT8" s="157">
        <v>15</v>
      </c>
      <c r="CU8" s="157">
        <v>15</v>
      </c>
      <c r="CV8" s="157">
        <v>15</v>
      </c>
      <c r="CW8" s="157">
        <v>15</v>
      </c>
      <c r="CX8" s="157">
        <v>15</v>
      </c>
      <c r="CY8" s="157">
        <v>15</v>
      </c>
      <c r="CZ8" s="157">
        <v>15</v>
      </c>
      <c r="DA8" s="157">
        <v>15</v>
      </c>
      <c r="DB8" s="157">
        <v>15</v>
      </c>
      <c r="DE8" s="159"/>
    </row>
    <row r="9" spans="1:110" s="158" customFormat="1" x14ac:dyDescent="0.2">
      <c r="A9" s="155" t="s">
        <v>571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>
        <f>+Z9</f>
        <v>13.5</v>
      </c>
      <c r="Z9" s="156">
        <f>+AA9</f>
        <v>13.5</v>
      </c>
      <c r="AA9" s="157">
        <v>13.5</v>
      </c>
      <c r="AB9" s="157">
        <f>+AA9</f>
        <v>13.5</v>
      </c>
      <c r="AC9" s="157">
        <f>+AB9</f>
        <v>13.5</v>
      </c>
      <c r="AD9" s="157">
        <f>+AC9</f>
        <v>13.5</v>
      </c>
      <c r="AE9" s="157">
        <f>+AD9</f>
        <v>13.5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>
        <f t="shared" ref="CA9:CJ9" si="5">+CB9</f>
        <v>3.375</v>
      </c>
      <c r="CB9" s="156">
        <f t="shared" si="5"/>
        <v>3.375</v>
      </c>
      <c r="CC9" s="156">
        <f t="shared" si="5"/>
        <v>3.375</v>
      </c>
      <c r="CD9" s="156">
        <f t="shared" si="5"/>
        <v>3.375</v>
      </c>
      <c r="CE9" s="156">
        <f t="shared" si="5"/>
        <v>3.375</v>
      </c>
      <c r="CF9" s="156">
        <f t="shared" si="5"/>
        <v>3.375</v>
      </c>
      <c r="CG9" s="156">
        <f t="shared" si="5"/>
        <v>3.375</v>
      </c>
      <c r="CH9" s="156">
        <f t="shared" si="5"/>
        <v>3.375</v>
      </c>
      <c r="CI9" s="156">
        <f t="shared" si="5"/>
        <v>3.375</v>
      </c>
      <c r="CJ9" s="156">
        <f t="shared" si="5"/>
        <v>3.375</v>
      </c>
      <c r="CK9" s="156">
        <f>+CL9</f>
        <v>3.375</v>
      </c>
      <c r="CL9" s="156">
        <f>+AA9/4</f>
        <v>3.375</v>
      </c>
      <c r="CM9" s="157">
        <f>+CL9</f>
        <v>3.375</v>
      </c>
      <c r="CN9" s="157">
        <f t="shared" ref="CN9:DB9" si="6">+CM9</f>
        <v>3.375</v>
      </c>
      <c r="CO9" s="157">
        <f t="shared" si="6"/>
        <v>3.375</v>
      </c>
      <c r="CP9" s="157">
        <f t="shared" si="6"/>
        <v>3.375</v>
      </c>
      <c r="CQ9" s="157">
        <f t="shared" si="6"/>
        <v>3.375</v>
      </c>
      <c r="CR9" s="157">
        <f t="shared" si="6"/>
        <v>3.375</v>
      </c>
      <c r="CS9" s="157">
        <f t="shared" si="6"/>
        <v>3.375</v>
      </c>
      <c r="CT9" s="157">
        <f t="shared" si="6"/>
        <v>3.375</v>
      </c>
      <c r="CU9" s="157">
        <f t="shared" si="6"/>
        <v>3.375</v>
      </c>
      <c r="CV9" s="157">
        <f t="shared" si="6"/>
        <v>3.375</v>
      </c>
      <c r="CW9" s="157">
        <f t="shared" si="6"/>
        <v>3.375</v>
      </c>
      <c r="CX9" s="157">
        <f t="shared" si="6"/>
        <v>3.375</v>
      </c>
      <c r="CY9" s="157">
        <f t="shared" si="6"/>
        <v>3.375</v>
      </c>
      <c r="CZ9" s="157">
        <f t="shared" si="6"/>
        <v>3.375</v>
      </c>
      <c r="DA9" s="157">
        <f t="shared" si="6"/>
        <v>3.375</v>
      </c>
      <c r="DB9" s="157">
        <f t="shared" si="6"/>
        <v>3.375</v>
      </c>
      <c r="DE9" s="159"/>
    </row>
    <row r="10" spans="1:110" s="158" customFormat="1" x14ac:dyDescent="0.2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6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1" customFormat="1" x14ac:dyDescent="0.2">
      <c r="A11" s="151" t="s">
        <v>565</v>
      </c>
    </row>
    <row r="12" spans="1:110" s="158" customFormat="1" x14ac:dyDescent="0.2">
      <c r="A12" s="155" t="s">
        <v>566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>
        <f>SUM(BW12:BZ12)</f>
        <v>77010</v>
      </c>
      <c r="Y12" s="156">
        <f>SUM(CA12:CD12)</f>
        <v>85926</v>
      </c>
      <c r="Z12" s="156">
        <f>SUM(CE12:CH12)</f>
        <v>84446</v>
      </c>
      <c r="AA12" s="157">
        <f>SUM(CI12:CL12)</f>
        <v>93690</v>
      </c>
      <c r="AB12" s="157">
        <f>SUM(CM12:CP12)</f>
        <v>108699</v>
      </c>
      <c r="AC12" s="157">
        <f>SUM(CQ12:CT12)</f>
        <v>108699</v>
      </c>
      <c r="AD12" s="157">
        <f>SUM(CU12:CX12)</f>
        <v>108699</v>
      </c>
      <c r="AE12" s="157">
        <f>SUM(CY12:DB12)</f>
        <v>108699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>
        <v>16489</v>
      </c>
      <c r="BX12" s="156">
        <v>19507</v>
      </c>
      <c r="BY12" s="156">
        <v>20108</v>
      </c>
      <c r="BZ12" s="156">
        <v>20906</v>
      </c>
      <c r="CA12" s="156">
        <v>21135</v>
      </c>
      <c r="CB12" s="156">
        <v>21205</v>
      </c>
      <c r="CC12" s="156">
        <v>20867</v>
      </c>
      <c r="CD12" s="156">
        <v>22719</v>
      </c>
      <c r="CE12" s="156">
        <v>20862</v>
      </c>
      <c r="CF12" s="156">
        <v>21177</v>
      </c>
      <c r="CG12" s="156">
        <v>20531</v>
      </c>
      <c r="CH12" s="156">
        <v>21876</v>
      </c>
      <c r="CI12" s="156">
        <v>21226</v>
      </c>
      <c r="CJ12" s="156">
        <v>24470</v>
      </c>
      <c r="CK12" s="156">
        <v>23636</v>
      </c>
      <c r="CL12" s="156">
        <v>24358</v>
      </c>
      <c r="CM12" s="157">
        <f>CM5*CM19</f>
        <v>27174.75</v>
      </c>
      <c r="CN12" s="157">
        <f t="shared" ref="CN12:DB12" si="7">CM12</f>
        <v>27174.75</v>
      </c>
      <c r="CO12" s="157">
        <f t="shared" si="7"/>
        <v>27174.75</v>
      </c>
      <c r="CP12" s="157">
        <f t="shared" si="7"/>
        <v>27174.75</v>
      </c>
      <c r="CQ12" s="157">
        <f t="shared" si="7"/>
        <v>27174.75</v>
      </c>
      <c r="CR12" s="157">
        <f t="shared" si="7"/>
        <v>27174.75</v>
      </c>
      <c r="CS12" s="157">
        <f t="shared" si="7"/>
        <v>27174.75</v>
      </c>
      <c r="CT12" s="157">
        <f t="shared" si="7"/>
        <v>27174.75</v>
      </c>
      <c r="CU12" s="157">
        <f t="shared" si="7"/>
        <v>27174.75</v>
      </c>
      <c r="CV12" s="157">
        <f t="shared" si="7"/>
        <v>27174.75</v>
      </c>
      <c r="CW12" s="157">
        <f t="shared" si="7"/>
        <v>27174.75</v>
      </c>
      <c r="CX12" s="157">
        <f t="shared" si="7"/>
        <v>27174.75</v>
      </c>
      <c r="CY12" s="157">
        <f t="shared" si="7"/>
        <v>27174.75</v>
      </c>
      <c r="CZ12" s="157">
        <f t="shared" si="7"/>
        <v>27174.75</v>
      </c>
      <c r="DA12" s="157">
        <f t="shared" si="7"/>
        <v>27174.75</v>
      </c>
      <c r="DB12" s="157">
        <f t="shared" si="7"/>
        <v>27174.75</v>
      </c>
      <c r="DE12" s="159"/>
    </row>
    <row r="13" spans="1:110" s="158" customFormat="1" x14ac:dyDescent="0.2">
      <c r="A13" s="155" t="s">
        <v>567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>
        <f>SUM(BW13:BZ13)</f>
        <v>0</v>
      </c>
      <c r="Y13" s="156">
        <f>SUM(CA13:CD13)</f>
        <v>0</v>
      </c>
      <c r="Z13" s="156">
        <f>SUM(CE13:CH13)</f>
        <v>0</v>
      </c>
      <c r="AA13" s="157">
        <f>SUM(CI13:CL13)</f>
        <v>7462</v>
      </c>
      <c r="AB13" s="157">
        <f>SUM(CM13:CP13)</f>
        <v>14700</v>
      </c>
      <c r="AC13" s="157">
        <f>SUM(CQ13:CT13)</f>
        <v>14700</v>
      </c>
      <c r="AD13" s="157">
        <f>SUM(CU13:CX13)</f>
        <v>14700</v>
      </c>
      <c r="AE13" s="157">
        <f>SUM(CY13:DB13)</f>
        <v>14700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>
        <v>0</v>
      </c>
      <c r="BX13" s="156">
        <v>0</v>
      </c>
      <c r="BY13" s="156">
        <v>0</v>
      </c>
      <c r="BZ13" s="156">
        <v>0</v>
      </c>
      <c r="CA13" s="156">
        <v>0</v>
      </c>
      <c r="CB13" s="156">
        <v>0</v>
      </c>
      <c r="CC13" s="156">
        <v>0</v>
      </c>
      <c r="CD13" s="156">
        <v>0</v>
      </c>
      <c r="CE13" s="156">
        <v>0</v>
      </c>
      <c r="CF13" s="156">
        <v>0</v>
      </c>
      <c r="CG13" s="156">
        <v>0</v>
      </c>
      <c r="CH13" s="156">
        <v>0</v>
      </c>
      <c r="CI13" s="156">
        <v>0</v>
      </c>
      <c r="CJ13" s="156">
        <v>0</v>
      </c>
      <c r="CK13" s="156">
        <v>3787</v>
      </c>
      <c r="CL13" s="156">
        <v>3675</v>
      </c>
      <c r="CM13" s="157">
        <f>CM6*CM20</f>
        <v>3675</v>
      </c>
      <c r="CN13" s="157">
        <f t="shared" ref="CN13:DB13" si="8">CM13</f>
        <v>3675</v>
      </c>
      <c r="CO13" s="157">
        <f t="shared" si="8"/>
        <v>3675</v>
      </c>
      <c r="CP13" s="157">
        <f t="shared" si="8"/>
        <v>3675</v>
      </c>
      <c r="CQ13" s="157">
        <f t="shared" si="8"/>
        <v>3675</v>
      </c>
      <c r="CR13" s="157">
        <f t="shared" si="8"/>
        <v>3675</v>
      </c>
      <c r="CS13" s="157">
        <f t="shared" si="8"/>
        <v>3675</v>
      </c>
      <c r="CT13" s="157">
        <f t="shared" si="8"/>
        <v>3675</v>
      </c>
      <c r="CU13" s="157">
        <f t="shared" si="8"/>
        <v>3675</v>
      </c>
      <c r="CV13" s="157">
        <f t="shared" si="8"/>
        <v>3675</v>
      </c>
      <c r="CW13" s="157">
        <f t="shared" si="8"/>
        <v>3675</v>
      </c>
      <c r="CX13" s="157">
        <f t="shared" si="8"/>
        <v>3675</v>
      </c>
      <c r="CY13" s="157">
        <f t="shared" si="8"/>
        <v>3675</v>
      </c>
      <c r="CZ13" s="157">
        <f t="shared" si="8"/>
        <v>3675</v>
      </c>
      <c r="DA13" s="157">
        <f t="shared" si="8"/>
        <v>3675</v>
      </c>
      <c r="DB13" s="157">
        <f t="shared" si="8"/>
        <v>3675</v>
      </c>
      <c r="DE13" s="159"/>
    </row>
    <row r="14" spans="1:110" s="158" customFormat="1" x14ac:dyDescent="0.2">
      <c r="A14" s="155" t="s">
        <v>568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>
        <f>SUM(BW14:BZ14)</f>
        <v>28.800000000000004</v>
      </c>
      <c r="Y14" s="156">
        <f>SUM(CA14:CD14)</f>
        <v>36.6</v>
      </c>
      <c r="Z14" s="156">
        <f>SUM(CE14:CH14)</f>
        <v>42.7</v>
      </c>
      <c r="AA14" s="157">
        <f>SUM(CI14:CL14)</f>
        <v>63.400000000000006</v>
      </c>
      <c r="AB14" s="157">
        <f>SUM(CM14:CP14)</f>
        <v>68.124499999999998</v>
      </c>
      <c r="AC14" s="157">
        <f>SUM(CQ14:CT14)</f>
        <v>68.124499999999998</v>
      </c>
      <c r="AD14" s="157">
        <f>SUM(CU14:CX14)</f>
        <v>68.124499999999998</v>
      </c>
      <c r="AE14" s="157">
        <f>SUM(CY14:DB14)</f>
        <v>68.124499999999998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>
        <v>6.2</v>
      </c>
      <c r="BX14" s="156">
        <v>7.9</v>
      </c>
      <c r="BY14" s="156">
        <v>7.6</v>
      </c>
      <c r="BZ14" s="156">
        <v>7.1</v>
      </c>
      <c r="CA14" s="156">
        <v>9.6999999999999993</v>
      </c>
      <c r="CB14" s="156">
        <v>7.8</v>
      </c>
      <c r="CC14" s="156">
        <v>9.5</v>
      </c>
      <c r="CD14" s="156">
        <v>9.6</v>
      </c>
      <c r="CE14" s="156">
        <v>9.3000000000000007</v>
      </c>
      <c r="CF14" s="156">
        <v>10.8</v>
      </c>
      <c r="CG14" s="156">
        <v>8.1999999999999993</v>
      </c>
      <c r="CH14" s="156">
        <v>14.4</v>
      </c>
      <c r="CI14" s="156">
        <v>12.9</v>
      </c>
      <c r="CJ14" s="156">
        <v>16.2</v>
      </c>
      <c r="CK14" s="156">
        <v>16.8</v>
      </c>
      <c r="CL14" s="156">
        <v>17.5</v>
      </c>
      <c r="CM14" s="157">
        <f>CM7*CM21</f>
        <v>17.031124999999999</v>
      </c>
      <c r="CN14" s="157">
        <f t="shared" ref="CN14:DB14" si="9">CN7*CN21</f>
        <v>17.031124999999999</v>
      </c>
      <c r="CO14" s="157">
        <f t="shared" si="9"/>
        <v>17.031124999999999</v>
      </c>
      <c r="CP14" s="157">
        <f t="shared" si="9"/>
        <v>17.031124999999999</v>
      </c>
      <c r="CQ14" s="157">
        <f t="shared" si="9"/>
        <v>17.031124999999999</v>
      </c>
      <c r="CR14" s="157">
        <f t="shared" si="9"/>
        <v>17.031124999999999</v>
      </c>
      <c r="CS14" s="157">
        <f t="shared" si="9"/>
        <v>17.031124999999999</v>
      </c>
      <c r="CT14" s="157">
        <f t="shared" si="9"/>
        <v>17.031124999999999</v>
      </c>
      <c r="CU14" s="157">
        <f t="shared" si="9"/>
        <v>17.031124999999999</v>
      </c>
      <c r="CV14" s="157">
        <f t="shared" si="9"/>
        <v>17.031124999999999</v>
      </c>
      <c r="CW14" s="157">
        <f t="shared" si="9"/>
        <v>17.031124999999999</v>
      </c>
      <c r="CX14" s="157">
        <f t="shared" si="9"/>
        <v>17.031124999999999</v>
      </c>
      <c r="CY14" s="157">
        <f t="shared" si="9"/>
        <v>17.031124999999999</v>
      </c>
      <c r="CZ14" s="157">
        <f t="shared" si="9"/>
        <v>17.031124999999999</v>
      </c>
      <c r="DA14" s="157">
        <f t="shared" si="9"/>
        <v>17.031124999999999</v>
      </c>
      <c r="DB14" s="157">
        <f t="shared" si="9"/>
        <v>17.031124999999999</v>
      </c>
      <c r="DE14" s="159"/>
    </row>
    <row r="15" spans="1:110" s="158" customFormat="1" x14ac:dyDescent="0.2">
      <c r="A15" s="155" t="s">
        <v>569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>
        <f>SUM(BW15:BZ15)</f>
        <v>34.4</v>
      </c>
      <c r="Y15" s="156">
        <f>SUM(CA15:CD15)</f>
        <v>42.6</v>
      </c>
      <c r="Z15" s="156">
        <f>SUM(CE15:CH15)</f>
        <v>48.8</v>
      </c>
      <c r="AA15" s="157">
        <f>SUM(CI15:CL15)</f>
        <v>49.800000000000004</v>
      </c>
      <c r="AB15" s="157">
        <f>SUM(CM15:CP15)</f>
        <v>58.8</v>
      </c>
      <c r="AC15" s="157">
        <f>SUM(CQ15:CT15)</f>
        <v>58.8</v>
      </c>
      <c r="AD15" s="157">
        <f>SUM(CU15:CX15)</f>
        <v>58.8</v>
      </c>
      <c r="AE15" s="157">
        <f>SUM(CY15:DB15)</f>
        <v>58.8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>
        <v>10.6</v>
      </c>
      <c r="BX15" s="156">
        <v>7.4</v>
      </c>
      <c r="BY15" s="156">
        <v>7.2</v>
      </c>
      <c r="BZ15" s="156">
        <v>9.1999999999999993</v>
      </c>
      <c r="CA15" s="156">
        <v>10.3</v>
      </c>
      <c r="CB15" s="156">
        <v>9.5</v>
      </c>
      <c r="CC15" s="156">
        <v>10.9</v>
      </c>
      <c r="CD15" s="156">
        <v>11.9</v>
      </c>
      <c r="CE15" s="156">
        <v>12.2</v>
      </c>
      <c r="CF15" s="156">
        <v>11.6</v>
      </c>
      <c r="CG15" s="156">
        <v>12</v>
      </c>
      <c r="CH15" s="156">
        <v>13</v>
      </c>
      <c r="CI15" s="156">
        <v>11.8</v>
      </c>
      <c r="CJ15" s="156">
        <v>11.2</v>
      </c>
      <c r="CK15" s="156">
        <v>13.2</v>
      </c>
      <c r="CL15" s="156">
        <v>13.6</v>
      </c>
      <c r="CM15" s="157">
        <f>CM8*CM22</f>
        <v>14.7</v>
      </c>
      <c r="CN15" s="157">
        <f t="shared" ref="CN15:DB15" si="10">CN8*CN22</f>
        <v>14.7</v>
      </c>
      <c r="CO15" s="157">
        <f t="shared" si="10"/>
        <v>14.7</v>
      </c>
      <c r="CP15" s="157">
        <f t="shared" si="10"/>
        <v>14.7</v>
      </c>
      <c r="CQ15" s="157">
        <f t="shared" si="10"/>
        <v>14.7</v>
      </c>
      <c r="CR15" s="157">
        <f t="shared" si="10"/>
        <v>14.7</v>
      </c>
      <c r="CS15" s="157">
        <f t="shared" si="10"/>
        <v>14.7</v>
      </c>
      <c r="CT15" s="157">
        <f t="shared" si="10"/>
        <v>14.7</v>
      </c>
      <c r="CU15" s="157">
        <f t="shared" si="10"/>
        <v>14.7</v>
      </c>
      <c r="CV15" s="157">
        <f t="shared" si="10"/>
        <v>14.7</v>
      </c>
      <c r="CW15" s="157">
        <f t="shared" si="10"/>
        <v>14.7</v>
      </c>
      <c r="CX15" s="157">
        <f t="shared" si="10"/>
        <v>14.7</v>
      </c>
      <c r="CY15" s="157">
        <f t="shared" si="10"/>
        <v>14.7</v>
      </c>
      <c r="CZ15" s="157">
        <f t="shared" si="10"/>
        <v>14.7</v>
      </c>
      <c r="DA15" s="157">
        <f t="shared" si="10"/>
        <v>14.7</v>
      </c>
      <c r="DB15" s="157">
        <f t="shared" si="10"/>
        <v>14.7</v>
      </c>
      <c r="DE15" s="159"/>
    </row>
    <row r="16" spans="1:110" s="158" customFormat="1" x14ac:dyDescent="0.2">
      <c r="A16" s="155" t="s">
        <v>525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>
        <f>SUM(BW16:BZ16)</f>
        <v>46</v>
      </c>
      <c r="Y16" s="156">
        <f>SUM(CA16:CD16)</f>
        <v>41</v>
      </c>
      <c r="Z16" s="156">
        <f>SUM(CE16:CH16)</f>
        <v>39</v>
      </c>
      <c r="AA16" s="157">
        <f>SUM(CI16:CL16)</f>
        <v>44</v>
      </c>
      <c r="AB16" s="157">
        <f>SUM(CM16:CP16)</f>
        <v>81</v>
      </c>
      <c r="AC16" s="157">
        <f>SUM(CQ16:CT16)</f>
        <v>121.5</v>
      </c>
      <c r="AD16" s="157">
        <f>SUM(CU16:CX16)</f>
        <v>128.25</v>
      </c>
      <c r="AE16" s="157">
        <f>SUM(CY16:DB16)</f>
        <v>128.25</v>
      </c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>
        <v>12</v>
      </c>
      <c r="BX16" s="156">
        <v>11</v>
      </c>
      <c r="BY16" s="156">
        <v>11</v>
      </c>
      <c r="BZ16" s="156">
        <v>12</v>
      </c>
      <c r="CA16" s="156">
        <v>8</v>
      </c>
      <c r="CB16" s="156">
        <v>9</v>
      </c>
      <c r="CC16" s="156">
        <v>10</v>
      </c>
      <c r="CD16" s="156">
        <v>14</v>
      </c>
      <c r="CE16" s="156">
        <v>12</v>
      </c>
      <c r="CF16" s="156">
        <v>11</v>
      </c>
      <c r="CG16" s="156">
        <v>9</v>
      </c>
      <c r="CH16" s="156">
        <v>7</v>
      </c>
      <c r="CI16" s="156">
        <v>6</v>
      </c>
      <c r="CJ16" s="156">
        <v>9</v>
      </c>
      <c r="CK16" s="156">
        <v>14</v>
      </c>
      <c r="CL16" s="156">
        <v>15</v>
      </c>
      <c r="CM16" s="157">
        <f>CM9*CM23*10</f>
        <v>18.5625</v>
      </c>
      <c r="CN16" s="157">
        <f t="shared" ref="CN16:DB16" si="11">CN9*CN23*10</f>
        <v>18.5625</v>
      </c>
      <c r="CO16" s="157">
        <f t="shared" si="11"/>
        <v>20.25</v>
      </c>
      <c r="CP16" s="157">
        <f t="shared" si="11"/>
        <v>23.625</v>
      </c>
      <c r="CQ16" s="157">
        <f t="shared" si="11"/>
        <v>27</v>
      </c>
      <c r="CR16" s="157">
        <f t="shared" si="11"/>
        <v>30.375</v>
      </c>
      <c r="CS16" s="157">
        <f t="shared" si="11"/>
        <v>32.0625</v>
      </c>
      <c r="CT16" s="157">
        <f t="shared" si="11"/>
        <v>32.0625</v>
      </c>
      <c r="CU16" s="157">
        <f t="shared" si="11"/>
        <v>32.0625</v>
      </c>
      <c r="CV16" s="157">
        <f t="shared" si="11"/>
        <v>32.0625</v>
      </c>
      <c r="CW16" s="157">
        <f t="shared" si="11"/>
        <v>32.0625</v>
      </c>
      <c r="CX16" s="157">
        <f t="shared" si="11"/>
        <v>32.0625</v>
      </c>
      <c r="CY16" s="157">
        <f t="shared" si="11"/>
        <v>32.0625</v>
      </c>
      <c r="CZ16" s="157">
        <f t="shared" si="11"/>
        <v>32.0625</v>
      </c>
      <c r="DA16" s="157">
        <f t="shared" si="11"/>
        <v>32.0625</v>
      </c>
      <c r="DB16" s="157">
        <f t="shared" si="11"/>
        <v>32.0625</v>
      </c>
      <c r="DE16" s="159"/>
    </row>
    <row r="17" spans="1:109" s="158" customFormat="1" x14ac:dyDescent="0.2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7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/>
      <c r="CG17" s="156"/>
      <c r="CH17" s="156"/>
      <c r="CI17" s="156"/>
      <c r="CJ17" s="156"/>
      <c r="CK17" s="156"/>
      <c r="CL17" s="156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09" s="151" customFormat="1" x14ac:dyDescent="0.2">
      <c r="A18" s="151" t="s">
        <v>526</v>
      </c>
    </row>
    <row r="19" spans="1:109" s="189" customFormat="1" x14ac:dyDescent="0.2">
      <c r="A19" s="186" t="s">
        <v>527</v>
      </c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91">
        <f>AVERAGE(BW19:BZ19)</f>
        <v>0.87</v>
      </c>
      <c r="Y19" s="191">
        <f>AVERAGE(CA19:CD19)</f>
        <v>0.85499999999999998</v>
      </c>
      <c r="Z19" s="191">
        <f>AVERAGE(CE19:CH19)</f>
        <v>0.7975000000000001</v>
      </c>
      <c r="AA19" s="192">
        <f>AVERAGE(CI19:CL19)</f>
        <v>0.89999999999999991</v>
      </c>
      <c r="AB19" s="192">
        <f>AVERAGE(CM19:CP19)</f>
        <v>0.95</v>
      </c>
      <c r="AC19" s="192">
        <f>AVERAGE(CQ19:CT19)</f>
        <v>0.95</v>
      </c>
      <c r="AD19" s="192">
        <f>AVERAGE(CU19:CX19)</f>
        <v>0.95</v>
      </c>
      <c r="AE19" s="192">
        <f>AVERAGE(CY19:DB19)</f>
        <v>0.95</v>
      </c>
      <c r="AI19" s="187"/>
      <c r="AJ19" s="187"/>
      <c r="AK19" s="187"/>
      <c r="AL19" s="187"/>
      <c r="AM19" s="187"/>
      <c r="AN19" s="187"/>
      <c r="AO19" s="187"/>
      <c r="AP19" s="187"/>
      <c r="AQ19" s="187"/>
      <c r="AR19" s="187"/>
      <c r="AS19" s="187"/>
      <c r="AT19" s="191"/>
      <c r="AU19" s="191"/>
      <c r="AV19" s="191"/>
      <c r="AW19" s="191"/>
      <c r="AX19" s="191"/>
      <c r="AY19" s="191"/>
      <c r="AZ19" s="191"/>
      <c r="BA19" s="191"/>
      <c r="BB19" s="191"/>
      <c r="BC19" s="191"/>
      <c r="BD19" s="191"/>
      <c r="BE19" s="191"/>
      <c r="BF19" s="191"/>
      <c r="BG19" s="191"/>
      <c r="BH19" s="191"/>
      <c r="BI19" s="191"/>
      <c r="BJ19" s="191"/>
      <c r="BK19" s="191"/>
      <c r="BL19" s="191"/>
      <c r="BM19" s="191"/>
      <c r="BN19" s="191"/>
      <c r="BO19" s="191"/>
      <c r="BP19" s="191"/>
      <c r="BQ19" s="191"/>
      <c r="BR19" s="191"/>
      <c r="BS19" s="191"/>
      <c r="BT19" s="191"/>
      <c r="BU19" s="191"/>
      <c r="BV19" s="191"/>
      <c r="BW19" s="191">
        <v>0.77</v>
      </c>
      <c r="BX19" s="191">
        <v>0.91</v>
      </c>
      <c r="BY19" s="191">
        <v>0.94</v>
      </c>
      <c r="BZ19" s="191">
        <v>0.86</v>
      </c>
      <c r="CA19" s="191">
        <v>0.87</v>
      </c>
      <c r="CB19" s="191">
        <v>0.88</v>
      </c>
      <c r="CC19" s="191">
        <v>0.8</v>
      </c>
      <c r="CD19" s="191">
        <v>0.87</v>
      </c>
      <c r="CE19" s="191">
        <v>0.79</v>
      </c>
      <c r="CF19" s="191">
        <v>0.78</v>
      </c>
      <c r="CG19" s="191">
        <v>0.75</v>
      </c>
      <c r="CH19" s="191">
        <v>0.87</v>
      </c>
      <c r="CI19" s="191">
        <v>0.82</v>
      </c>
      <c r="CJ19" s="191">
        <v>0.92</v>
      </c>
      <c r="CK19" s="191">
        <v>0.91</v>
      </c>
      <c r="CL19" s="191">
        <v>0.95</v>
      </c>
      <c r="CM19" s="192">
        <f>+CL19</f>
        <v>0.95</v>
      </c>
      <c r="CN19" s="192">
        <f t="shared" ref="CN19:DB23" si="12">+CM19</f>
        <v>0.95</v>
      </c>
      <c r="CO19" s="192">
        <f t="shared" si="12"/>
        <v>0.95</v>
      </c>
      <c r="CP19" s="192">
        <f t="shared" si="12"/>
        <v>0.95</v>
      </c>
      <c r="CQ19" s="192">
        <f t="shared" si="12"/>
        <v>0.95</v>
      </c>
      <c r="CR19" s="192">
        <f t="shared" si="12"/>
        <v>0.95</v>
      </c>
      <c r="CS19" s="192">
        <f t="shared" si="12"/>
        <v>0.95</v>
      </c>
      <c r="CT19" s="192">
        <f t="shared" si="12"/>
        <v>0.95</v>
      </c>
      <c r="CU19" s="192">
        <f t="shared" si="12"/>
        <v>0.95</v>
      </c>
      <c r="CV19" s="192">
        <f t="shared" si="12"/>
        <v>0.95</v>
      </c>
      <c r="CW19" s="192">
        <f t="shared" si="12"/>
        <v>0.95</v>
      </c>
      <c r="CX19" s="192">
        <f t="shared" si="12"/>
        <v>0.95</v>
      </c>
      <c r="CY19" s="192">
        <f t="shared" si="12"/>
        <v>0.95</v>
      </c>
      <c r="CZ19" s="192">
        <f t="shared" si="12"/>
        <v>0.95</v>
      </c>
      <c r="DA19" s="192">
        <f t="shared" si="12"/>
        <v>0.95</v>
      </c>
      <c r="DB19" s="192">
        <f t="shared" si="12"/>
        <v>0.95</v>
      </c>
      <c r="DE19" s="190"/>
    </row>
    <row r="20" spans="1:109" s="189" customFormat="1" x14ac:dyDescent="0.2">
      <c r="A20" s="186" t="s">
        <v>528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91">
        <f>SUM(BW20:BZ20)</f>
        <v>0</v>
      </c>
      <c r="Y20" s="191">
        <f>SUM(CA20:CD20)</f>
        <v>0</v>
      </c>
      <c r="Z20" s="191">
        <f>SUM(CE20:CH20)</f>
        <v>0</v>
      </c>
      <c r="AA20" s="192">
        <f>AVERAGE(CI20:CL20)</f>
        <v>0.48499999999999999</v>
      </c>
      <c r="AB20" s="192">
        <f>AVERAGE(CM20:CP20)</f>
        <v>0.97</v>
      </c>
      <c r="AC20" s="192">
        <f>AVERAGE(CQ20:CT20)</f>
        <v>0.97</v>
      </c>
      <c r="AD20" s="192">
        <f>AVERAGE(CU20:CX20)</f>
        <v>0.97</v>
      </c>
      <c r="AE20" s="192">
        <f>AVERAGE(CY20:DB20)</f>
        <v>0.97</v>
      </c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7"/>
      <c r="AT20" s="191"/>
      <c r="AU20" s="191"/>
      <c r="AV20" s="191"/>
      <c r="AW20" s="191"/>
      <c r="AX20" s="191"/>
      <c r="AY20" s="191"/>
      <c r="AZ20" s="191"/>
      <c r="BA20" s="191"/>
      <c r="BB20" s="191"/>
      <c r="BC20" s="191"/>
      <c r="BD20" s="191"/>
      <c r="BE20" s="191"/>
      <c r="BF20" s="191"/>
      <c r="BG20" s="191"/>
      <c r="BH20" s="191"/>
      <c r="BI20" s="191"/>
      <c r="BJ20" s="191"/>
      <c r="BK20" s="191"/>
      <c r="BL20" s="191"/>
      <c r="BM20" s="191"/>
      <c r="BN20" s="191"/>
      <c r="BO20" s="191"/>
      <c r="BP20" s="191"/>
      <c r="BQ20" s="191"/>
      <c r="BR20" s="191"/>
      <c r="BS20" s="191"/>
      <c r="BT20" s="191"/>
      <c r="BU20" s="191"/>
      <c r="BV20" s="191"/>
      <c r="BW20" s="191">
        <v>0</v>
      </c>
      <c r="BX20" s="191">
        <v>0</v>
      </c>
      <c r="BY20" s="191">
        <v>0</v>
      </c>
      <c r="BZ20" s="191">
        <v>0</v>
      </c>
      <c r="CA20" s="191">
        <v>0</v>
      </c>
      <c r="CB20" s="191">
        <v>0</v>
      </c>
      <c r="CC20" s="191">
        <v>0</v>
      </c>
      <c r="CD20" s="191">
        <v>0</v>
      </c>
      <c r="CE20" s="191">
        <v>0</v>
      </c>
      <c r="CF20" s="191">
        <v>0</v>
      </c>
      <c r="CG20" s="191">
        <v>0</v>
      </c>
      <c r="CH20" s="191">
        <v>0</v>
      </c>
      <c r="CI20" s="191">
        <v>0</v>
      </c>
      <c r="CJ20" s="191">
        <v>0</v>
      </c>
      <c r="CK20" s="191">
        <v>0.97</v>
      </c>
      <c r="CL20" s="191">
        <v>0.97</v>
      </c>
      <c r="CM20" s="192">
        <f>+CL20</f>
        <v>0.97</v>
      </c>
      <c r="CN20" s="192">
        <f t="shared" si="12"/>
        <v>0.97</v>
      </c>
      <c r="CO20" s="192">
        <f t="shared" si="12"/>
        <v>0.97</v>
      </c>
      <c r="CP20" s="192">
        <f t="shared" si="12"/>
        <v>0.97</v>
      </c>
      <c r="CQ20" s="192">
        <f t="shared" si="12"/>
        <v>0.97</v>
      </c>
      <c r="CR20" s="192">
        <f t="shared" si="12"/>
        <v>0.97</v>
      </c>
      <c r="CS20" s="192">
        <f t="shared" si="12"/>
        <v>0.97</v>
      </c>
      <c r="CT20" s="192">
        <f t="shared" si="12"/>
        <v>0.97</v>
      </c>
      <c r="CU20" s="192">
        <f t="shared" si="12"/>
        <v>0.97</v>
      </c>
      <c r="CV20" s="192">
        <f t="shared" si="12"/>
        <v>0.97</v>
      </c>
      <c r="CW20" s="192">
        <f t="shared" si="12"/>
        <v>0.97</v>
      </c>
      <c r="CX20" s="192">
        <f t="shared" si="12"/>
        <v>0.97</v>
      </c>
      <c r="CY20" s="192">
        <f t="shared" si="12"/>
        <v>0.97</v>
      </c>
      <c r="CZ20" s="192">
        <f t="shared" si="12"/>
        <v>0.97</v>
      </c>
      <c r="DA20" s="192">
        <f t="shared" si="12"/>
        <v>0.97</v>
      </c>
      <c r="DB20" s="192">
        <f t="shared" si="12"/>
        <v>0.97</v>
      </c>
      <c r="DE20" s="190"/>
    </row>
    <row r="21" spans="1:109" s="189" customFormat="1" x14ac:dyDescent="0.2">
      <c r="A21" s="186" t="s">
        <v>529</v>
      </c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91">
        <f>AVERAGE(BW21:BZ21)</f>
        <v>0.89249999999999996</v>
      </c>
      <c r="Y21" s="191">
        <f>AVERAGE(CA21:CD21)</f>
        <v>0.85000000000000009</v>
      </c>
      <c r="Z21" s="191">
        <f>AVERAGE(CE21:CH21)</f>
        <v>0.87499999999999989</v>
      </c>
      <c r="AA21" s="192">
        <f>AVERAGE(CI21:CL21)</f>
        <v>0.88500000000000001</v>
      </c>
      <c r="AB21" s="192">
        <f>AVERAGE(CM21:CP21)</f>
        <v>0.95949999999999991</v>
      </c>
      <c r="AC21" s="192">
        <f>AVERAGE(CQ21:CT21)</f>
        <v>0.95949999999999991</v>
      </c>
      <c r="AD21" s="192">
        <f>AVERAGE(CU21:CX21)</f>
        <v>0.95949999999999991</v>
      </c>
      <c r="AE21" s="192">
        <f>AVERAGE(CY21:DB21)</f>
        <v>0.95949999999999991</v>
      </c>
      <c r="AI21" s="187"/>
      <c r="AJ21" s="187"/>
      <c r="AK21" s="187"/>
      <c r="AL21" s="187"/>
      <c r="AM21" s="187"/>
      <c r="AN21" s="187"/>
      <c r="AO21" s="187"/>
      <c r="AP21" s="187"/>
      <c r="AQ21" s="187"/>
      <c r="AR21" s="187"/>
      <c r="AS21" s="187"/>
      <c r="AT21" s="191"/>
      <c r="AU21" s="191"/>
      <c r="AV21" s="191"/>
      <c r="AW21" s="191"/>
      <c r="AX21" s="191"/>
      <c r="AY21" s="191"/>
      <c r="AZ21" s="191"/>
      <c r="BA21" s="191"/>
      <c r="BB21" s="191"/>
      <c r="BC21" s="191"/>
      <c r="BD21" s="191"/>
      <c r="BE21" s="191"/>
      <c r="BF21" s="191"/>
      <c r="BG21" s="191"/>
      <c r="BH21" s="191"/>
      <c r="BI21" s="191"/>
      <c r="BJ21" s="191"/>
      <c r="BK21" s="191"/>
      <c r="BL21" s="191"/>
      <c r="BM21" s="191"/>
      <c r="BN21" s="191"/>
      <c r="BO21" s="191"/>
      <c r="BP21" s="191"/>
      <c r="BQ21" s="191"/>
      <c r="BR21" s="191"/>
      <c r="BS21" s="191"/>
      <c r="BT21" s="191"/>
      <c r="BU21" s="191"/>
      <c r="BV21" s="191"/>
      <c r="BW21" s="191">
        <v>0.77</v>
      </c>
      <c r="BX21" s="191">
        <v>0.98</v>
      </c>
      <c r="BY21" s="191">
        <v>0.94</v>
      </c>
      <c r="BZ21" s="191">
        <v>0.88</v>
      </c>
      <c r="CA21" s="191">
        <v>0.93</v>
      </c>
      <c r="CB21" s="191">
        <v>0.73</v>
      </c>
      <c r="CC21" s="191">
        <v>0.87</v>
      </c>
      <c r="CD21" s="191">
        <v>0.87</v>
      </c>
      <c r="CE21" s="191">
        <v>0.84</v>
      </c>
      <c r="CF21" s="191">
        <v>0.96</v>
      </c>
      <c r="CG21" s="191">
        <v>0.82</v>
      </c>
      <c r="CH21" s="191">
        <v>0.88</v>
      </c>
      <c r="CI21" s="191">
        <v>0.75</v>
      </c>
      <c r="CJ21" s="191">
        <v>0.94</v>
      </c>
      <c r="CK21" s="191">
        <v>0.9</v>
      </c>
      <c r="CL21" s="191">
        <v>0.95</v>
      </c>
      <c r="CM21" s="192">
        <f>+CL21*1.01</f>
        <v>0.95949999999999991</v>
      </c>
      <c r="CN21" s="192">
        <f t="shared" si="12"/>
        <v>0.95949999999999991</v>
      </c>
      <c r="CO21" s="192">
        <f t="shared" si="12"/>
        <v>0.95949999999999991</v>
      </c>
      <c r="CP21" s="192">
        <f t="shared" si="12"/>
        <v>0.95949999999999991</v>
      </c>
      <c r="CQ21" s="192">
        <f t="shared" si="12"/>
        <v>0.95949999999999991</v>
      </c>
      <c r="CR21" s="192">
        <f t="shared" si="12"/>
        <v>0.95949999999999991</v>
      </c>
      <c r="CS21" s="192">
        <f t="shared" si="12"/>
        <v>0.95949999999999991</v>
      </c>
      <c r="CT21" s="192">
        <f t="shared" si="12"/>
        <v>0.95949999999999991</v>
      </c>
      <c r="CU21" s="192">
        <f t="shared" si="12"/>
        <v>0.95949999999999991</v>
      </c>
      <c r="CV21" s="192">
        <f t="shared" si="12"/>
        <v>0.95949999999999991</v>
      </c>
      <c r="CW21" s="192">
        <f t="shared" si="12"/>
        <v>0.95949999999999991</v>
      </c>
      <c r="CX21" s="192">
        <f t="shared" si="12"/>
        <v>0.95949999999999991</v>
      </c>
      <c r="CY21" s="192">
        <f t="shared" si="12"/>
        <v>0.95949999999999991</v>
      </c>
      <c r="CZ21" s="192">
        <f t="shared" si="12"/>
        <v>0.95949999999999991</v>
      </c>
      <c r="DA21" s="192">
        <f t="shared" si="12"/>
        <v>0.95949999999999991</v>
      </c>
      <c r="DB21" s="192">
        <f t="shared" si="12"/>
        <v>0.95949999999999991</v>
      </c>
      <c r="DE21" s="190"/>
    </row>
    <row r="22" spans="1:109" s="189" customFormat="1" x14ac:dyDescent="0.2">
      <c r="A22" s="186" t="s">
        <v>530</v>
      </c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91">
        <f>AVERAGE(BW22:BZ22)</f>
        <v>0.71500000000000008</v>
      </c>
      <c r="Y22" s="191">
        <f>AVERAGE(CA22:CD22)</f>
        <v>0.88749999999999996</v>
      </c>
      <c r="Z22" s="191">
        <f>AVERAGE(CE22:CH22)</f>
        <v>0.91500000000000004</v>
      </c>
      <c r="AA22" s="192">
        <f>AVERAGE(CI22:CL22)</f>
        <v>0.92249999999999999</v>
      </c>
      <c r="AB22" s="192">
        <f>AVERAGE(CM22:CP22)</f>
        <v>0.98</v>
      </c>
      <c r="AC22" s="192">
        <f>AVERAGE(CQ22:CT22)</f>
        <v>0.98</v>
      </c>
      <c r="AD22" s="192">
        <f>AVERAGE(CU22:CX22)</f>
        <v>0.98</v>
      </c>
      <c r="AE22" s="192">
        <f>AVERAGE(CY22:DB22)</f>
        <v>0.98</v>
      </c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  <c r="AT22" s="191"/>
      <c r="AU22" s="191"/>
      <c r="AV22" s="191"/>
      <c r="AW22" s="191"/>
      <c r="AX22" s="191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  <c r="BK22" s="191"/>
      <c r="BL22" s="191"/>
      <c r="BM22" s="191"/>
      <c r="BN22" s="191"/>
      <c r="BO22" s="191"/>
      <c r="BP22" s="191"/>
      <c r="BQ22" s="191"/>
      <c r="BR22" s="191"/>
      <c r="BS22" s="191"/>
      <c r="BT22" s="191"/>
      <c r="BU22" s="191"/>
      <c r="BV22" s="191"/>
      <c r="BW22" s="191">
        <v>0.88</v>
      </c>
      <c r="BX22" s="191">
        <v>0.62</v>
      </c>
      <c r="BY22" s="191">
        <v>0.6</v>
      </c>
      <c r="BZ22" s="191">
        <v>0.76</v>
      </c>
      <c r="CA22" s="191">
        <v>0.86</v>
      </c>
      <c r="CB22" s="191">
        <v>0.79</v>
      </c>
      <c r="CC22" s="191">
        <v>0.91</v>
      </c>
      <c r="CD22" s="191">
        <v>0.99</v>
      </c>
      <c r="CE22" s="191">
        <v>0.94</v>
      </c>
      <c r="CF22" s="191">
        <v>0.9</v>
      </c>
      <c r="CG22" s="191">
        <v>0.89</v>
      </c>
      <c r="CH22" s="191">
        <v>0.93</v>
      </c>
      <c r="CI22" s="191">
        <v>0.92</v>
      </c>
      <c r="CJ22" s="191">
        <v>0.86</v>
      </c>
      <c r="CK22" s="191">
        <v>0.93</v>
      </c>
      <c r="CL22" s="191">
        <v>0.98</v>
      </c>
      <c r="CM22" s="192">
        <f>+CL22</f>
        <v>0.98</v>
      </c>
      <c r="CN22" s="192">
        <f t="shared" si="12"/>
        <v>0.98</v>
      </c>
      <c r="CO22" s="192">
        <f t="shared" si="12"/>
        <v>0.98</v>
      </c>
      <c r="CP22" s="192">
        <f t="shared" si="12"/>
        <v>0.98</v>
      </c>
      <c r="CQ22" s="192">
        <f t="shared" si="12"/>
        <v>0.98</v>
      </c>
      <c r="CR22" s="192">
        <f t="shared" si="12"/>
        <v>0.98</v>
      </c>
      <c r="CS22" s="192">
        <f t="shared" si="12"/>
        <v>0.98</v>
      </c>
      <c r="CT22" s="192">
        <f t="shared" si="12"/>
        <v>0.98</v>
      </c>
      <c r="CU22" s="192">
        <f t="shared" si="12"/>
        <v>0.98</v>
      </c>
      <c r="CV22" s="192">
        <f t="shared" si="12"/>
        <v>0.98</v>
      </c>
      <c r="CW22" s="192">
        <f t="shared" si="12"/>
        <v>0.98</v>
      </c>
      <c r="CX22" s="192">
        <f t="shared" si="12"/>
        <v>0.98</v>
      </c>
      <c r="CY22" s="192">
        <f t="shared" si="12"/>
        <v>0.98</v>
      </c>
      <c r="CZ22" s="192">
        <f t="shared" si="12"/>
        <v>0.98</v>
      </c>
      <c r="DA22" s="192">
        <f t="shared" si="12"/>
        <v>0.98</v>
      </c>
      <c r="DB22" s="192">
        <f t="shared" si="12"/>
        <v>0.98</v>
      </c>
      <c r="DE22" s="190"/>
    </row>
    <row r="23" spans="1:109" s="189" customFormat="1" x14ac:dyDescent="0.2">
      <c r="A23" s="186" t="s">
        <v>531</v>
      </c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91">
        <f>AVERAGE(BW23:BZ23)</f>
        <v>0.59499999999999997</v>
      </c>
      <c r="Y23" s="191">
        <f>AVERAGE(CA23:CD23)</f>
        <v>0.42500000000000004</v>
      </c>
      <c r="Z23" s="191">
        <f>AVERAGE(CE23:CH23)</f>
        <v>0.38999999999999996</v>
      </c>
      <c r="AA23" s="192">
        <f>AVERAGE(CI23:CL23)</f>
        <v>0.30249999999999999</v>
      </c>
      <c r="AB23" s="192">
        <f>AVERAGE(CM23:CP23)</f>
        <v>0.60000000000000009</v>
      </c>
      <c r="AC23" s="192">
        <f>AVERAGE(CQ23:CT23)</f>
        <v>0.90000000000000013</v>
      </c>
      <c r="AD23" s="192">
        <f>AVERAGE(CU23:CX23)</f>
        <v>0.95</v>
      </c>
      <c r="AE23" s="192">
        <f>AVERAGE(CY23:DB23)</f>
        <v>0.95</v>
      </c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7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91"/>
      <c r="BN23" s="191"/>
      <c r="BO23" s="191"/>
      <c r="BP23" s="191"/>
      <c r="BQ23" s="191"/>
      <c r="BR23" s="191"/>
      <c r="BS23" s="191"/>
      <c r="BT23" s="191"/>
      <c r="BU23" s="191"/>
      <c r="BV23" s="191"/>
      <c r="BW23" s="191">
        <v>0.86</v>
      </c>
      <c r="BX23" s="191">
        <v>0.54</v>
      </c>
      <c r="BY23" s="191">
        <v>0.55000000000000004</v>
      </c>
      <c r="BZ23" s="191">
        <v>0.43</v>
      </c>
      <c r="CA23" s="191">
        <v>0.31</v>
      </c>
      <c r="CB23" s="191">
        <v>0.39</v>
      </c>
      <c r="CC23" s="191">
        <v>0.4</v>
      </c>
      <c r="CD23" s="191">
        <v>0.6</v>
      </c>
      <c r="CE23" s="191">
        <v>0.5</v>
      </c>
      <c r="CF23" s="191">
        <v>0.46</v>
      </c>
      <c r="CG23" s="191">
        <v>0.36</v>
      </c>
      <c r="CH23" s="191">
        <v>0.24</v>
      </c>
      <c r="CI23" s="191">
        <v>0.2</v>
      </c>
      <c r="CJ23" s="191">
        <v>0.18</v>
      </c>
      <c r="CK23" s="191">
        <v>0.34</v>
      </c>
      <c r="CL23" s="191">
        <v>0.49</v>
      </c>
      <c r="CM23" s="192">
        <v>0.55000000000000004</v>
      </c>
      <c r="CN23" s="192">
        <f>+CM23</f>
        <v>0.55000000000000004</v>
      </c>
      <c r="CO23" s="192">
        <v>0.6</v>
      </c>
      <c r="CP23" s="192">
        <v>0.7</v>
      </c>
      <c r="CQ23" s="192">
        <v>0.8</v>
      </c>
      <c r="CR23" s="192">
        <v>0.9</v>
      </c>
      <c r="CS23" s="192">
        <v>0.95</v>
      </c>
      <c r="CT23" s="192">
        <f>+CS23</f>
        <v>0.95</v>
      </c>
      <c r="CU23" s="192">
        <f t="shared" si="12"/>
        <v>0.95</v>
      </c>
      <c r="CV23" s="192">
        <f t="shared" si="12"/>
        <v>0.95</v>
      </c>
      <c r="CW23" s="192">
        <f t="shared" si="12"/>
        <v>0.95</v>
      </c>
      <c r="CX23" s="192">
        <f t="shared" si="12"/>
        <v>0.95</v>
      </c>
      <c r="CY23" s="192">
        <f t="shared" si="12"/>
        <v>0.95</v>
      </c>
      <c r="CZ23" s="192">
        <f t="shared" si="12"/>
        <v>0.95</v>
      </c>
      <c r="DA23" s="192">
        <f t="shared" si="12"/>
        <v>0.95</v>
      </c>
      <c r="DB23" s="192">
        <f t="shared" si="12"/>
        <v>0.95</v>
      </c>
      <c r="DE23" s="190"/>
    </row>
    <row r="24" spans="1:109" s="189" customFormat="1" x14ac:dyDescent="0.2">
      <c r="A24" s="186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91"/>
      <c r="Y24" s="191"/>
      <c r="Z24" s="191"/>
      <c r="AA24" s="192"/>
      <c r="AB24" s="192"/>
      <c r="AC24" s="192"/>
      <c r="AD24" s="192"/>
      <c r="AE24" s="192"/>
      <c r="AI24" s="187"/>
      <c r="AJ24" s="187"/>
      <c r="AK24" s="187"/>
      <c r="AL24" s="187"/>
      <c r="AM24" s="187"/>
      <c r="AN24" s="187"/>
      <c r="AO24" s="187"/>
      <c r="AP24" s="187"/>
      <c r="AQ24" s="187"/>
      <c r="AR24" s="187"/>
      <c r="AS24" s="187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91"/>
      <c r="BN24" s="191"/>
      <c r="BO24" s="191"/>
      <c r="BP24" s="191"/>
      <c r="BQ24" s="191"/>
      <c r="BR24" s="191"/>
      <c r="BS24" s="191"/>
      <c r="BT24" s="191"/>
      <c r="BU24" s="191"/>
      <c r="BV24" s="191"/>
      <c r="BW24" s="191"/>
      <c r="BX24" s="191"/>
      <c r="BY24" s="191"/>
      <c r="BZ24" s="191"/>
      <c r="CA24" s="191"/>
      <c r="CB24" s="191"/>
      <c r="CC24" s="191"/>
      <c r="CD24" s="191"/>
      <c r="CE24" s="191"/>
      <c r="CF24" s="191"/>
      <c r="CG24" s="191"/>
      <c r="CH24" s="191"/>
      <c r="CI24" s="191"/>
      <c r="CJ24" s="191"/>
      <c r="CK24" s="191"/>
      <c r="CL24" s="191"/>
      <c r="CM24" s="188"/>
      <c r="CN24" s="188"/>
      <c r="CO24" s="188"/>
      <c r="CP24" s="188"/>
      <c r="CQ24" s="188"/>
      <c r="CR24" s="188"/>
      <c r="CS24" s="188"/>
      <c r="CT24" s="188"/>
      <c r="CU24" s="188"/>
      <c r="CV24" s="188"/>
      <c r="CW24" s="188"/>
      <c r="CX24" s="188"/>
      <c r="CY24" s="188"/>
      <c r="CZ24" s="188"/>
      <c r="DA24" s="188"/>
      <c r="DB24" s="188"/>
      <c r="DE24" s="190"/>
    </row>
    <row r="25" spans="1:109" s="151" customFormat="1" x14ac:dyDescent="0.2">
      <c r="A25" s="151" t="s">
        <v>540</v>
      </c>
    </row>
    <row r="26" spans="1:109" s="158" customFormat="1" x14ac:dyDescent="0.2">
      <c r="A26" s="155" t="s">
        <v>553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>
        <f t="shared" ref="Y26:AE26" si="13">Y34*10^7/Y12/1000</f>
        <v>74.49158578311571</v>
      </c>
      <c r="Z26" s="156">
        <f t="shared" si="13"/>
        <v>169.4184093977216</v>
      </c>
      <c r="AA26" s="157">
        <f t="shared" si="13"/>
        <v>174.3168534528765</v>
      </c>
      <c r="AB26" s="157">
        <f t="shared" si="13"/>
        <v>185.53548138665388</v>
      </c>
      <c r="AC26" s="157">
        <f t="shared" si="13"/>
        <v>190.50576777549895</v>
      </c>
      <c r="AD26" s="157">
        <f t="shared" si="13"/>
        <v>193.84240097820978</v>
      </c>
      <c r="AE26" s="157">
        <f t="shared" si="13"/>
        <v>194.61893441209182</v>
      </c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56"/>
      <c r="CB26" s="156"/>
      <c r="CC26" s="156">
        <f t="shared" ref="CC26:CL26" si="14">CC34*10^7/CC12/1000</f>
        <v>148.82350122202521</v>
      </c>
      <c r="CD26" s="156">
        <f t="shared" si="14"/>
        <v>145.04441216602839</v>
      </c>
      <c r="CE26" s="156">
        <f t="shared" si="14"/>
        <v>159.45930399769918</v>
      </c>
      <c r="CF26" s="156">
        <f t="shared" si="14"/>
        <v>153.13443830570901</v>
      </c>
      <c r="CG26" s="156">
        <f t="shared" si="14"/>
        <v>187.29477375675808</v>
      </c>
      <c r="CH26" s="156">
        <f t="shared" si="14"/>
        <v>177.90226732492226</v>
      </c>
      <c r="CI26" s="156">
        <f t="shared" si="14"/>
        <v>163.71374729105813</v>
      </c>
      <c r="CJ26" s="156">
        <f t="shared" si="14"/>
        <v>167.06726604004902</v>
      </c>
      <c r="CK26" s="156">
        <f t="shared" si="14"/>
        <v>180.26019631071247</v>
      </c>
      <c r="CL26" s="156">
        <f t="shared" si="14"/>
        <v>185.07233763034731</v>
      </c>
      <c r="CM26" s="157">
        <f>+CL26*1.001</f>
        <v>185.25740996797762</v>
      </c>
      <c r="CN26" s="157">
        <f t="shared" ref="CN26:DB26" si="15">+CM26*1.001</f>
        <v>185.44266737794558</v>
      </c>
      <c r="CO26" s="157">
        <f t="shared" si="15"/>
        <v>185.6281100453235</v>
      </c>
      <c r="CP26" s="157">
        <f t="shared" si="15"/>
        <v>185.81373815536881</v>
      </c>
      <c r="CQ26" s="157">
        <f>+CP26*1.01</f>
        <v>187.6718755369225</v>
      </c>
      <c r="CR26" s="157">
        <f>+CQ26*1.01</f>
        <v>189.54859429229174</v>
      </c>
      <c r="CS26" s="157">
        <f>+CR26*1.01</f>
        <v>191.44408023521467</v>
      </c>
      <c r="CT26" s="157">
        <f>+CS26*1.01</f>
        <v>193.35852103756682</v>
      </c>
      <c r="CU26" s="157">
        <f t="shared" si="15"/>
        <v>193.55187955860436</v>
      </c>
      <c r="CV26" s="157">
        <f t="shared" si="15"/>
        <v>193.74543143816294</v>
      </c>
      <c r="CW26" s="157">
        <f t="shared" si="15"/>
        <v>193.93917686960108</v>
      </c>
      <c r="CX26" s="157">
        <f t="shared" si="15"/>
        <v>194.13311604647066</v>
      </c>
      <c r="CY26" s="157">
        <f t="shared" si="15"/>
        <v>194.32724916251712</v>
      </c>
      <c r="CZ26" s="157">
        <f t="shared" si="15"/>
        <v>194.5215764116796</v>
      </c>
      <c r="DA26" s="157">
        <f t="shared" si="15"/>
        <v>194.71609798809126</v>
      </c>
      <c r="DB26" s="157">
        <f t="shared" si="15"/>
        <v>194.91081408607934</v>
      </c>
      <c r="DE26" s="159"/>
    </row>
    <row r="27" spans="1:109" s="158" customFormat="1" x14ac:dyDescent="0.2">
      <c r="A27" s="155" t="s">
        <v>551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>
        <f t="shared" ref="Y27:AE27" si="16">Y36*100/Y14</f>
        <v>775.62076502732236</v>
      </c>
      <c r="Z27" s="156">
        <f t="shared" si="16"/>
        <v>1179.6992974238874</v>
      </c>
      <c r="AA27" s="157">
        <f t="shared" si="16"/>
        <v>993.83406940063071</v>
      </c>
      <c r="AB27" s="157">
        <f t="shared" si="16"/>
        <v>911.45006835955269</v>
      </c>
      <c r="AC27" s="157">
        <f t="shared" si="16"/>
        <v>915.10134098011235</v>
      </c>
      <c r="AD27" s="157">
        <f t="shared" si="16"/>
        <v>918.76724061339871</v>
      </c>
      <c r="AE27" s="157">
        <f t="shared" si="16"/>
        <v>922.44782585528344</v>
      </c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6"/>
      <c r="BS27" s="156"/>
      <c r="BT27" s="156"/>
      <c r="BU27" s="156"/>
      <c r="BV27" s="156"/>
      <c r="BW27" s="156"/>
      <c r="BX27" s="156"/>
      <c r="BY27" s="156"/>
      <c r="BZ27" s="156"/>
      <c r="CA27" s="156"/>
      <c r="CB27" s="156"/>
      <c r="CC27" s="156">
        <f t="shared" ref="CC27:CL27" si="17">CC36*10/CC14</f>
        <v>143.83368421052631</v>
      </c>
      <c r="CD27" s="156">
        <f t="shared" si="17"/>
        <v>153.37</v>
      </c>
      <c r="CE27" s="156">
        <f t="shared" si="17"/>
        <v>149.04301075268816</v>
      </c>
      <c r="CF27" s="156">
        <f t="shared" si="17"/>
        <v>131.36861111111111</v>
      </c>
      <c r="CG27" s="156">
        <f t="shared" si="17"/>
        <v>137.92500000000004</v>
      </c>
      <c r="CH27" s="156">
        <f t="shared" si="17"/>
        <v>76.489583333333329</v>
      </c>
      <c r="CI27" s="156">
        <f t="shared" si="17"/>
        <v>171.42294573643412</v>
      </c>
      <c r="CJ27" s="156">
        <f t="shared" si="17"/>
        <v>82.500370370370362</v>
      </c>
      <c r="CK27" s="156">
        <f t="shared" si="17"/>
        <v>69.166071428571414</v>
      </c>
      <c r="CL27" s="156">
        <f t="shared" si="17"/>
        <v>90.917485714285704</v>
      </c>
      <c r="CM27" s="157">
        <f>+CL27*1.001</f>
        <v>91.008403199999975</v>
      </c>
      <c r="CN27" s="157">
        <f t="shared" ref="CN27:DB27" si="18">+CM27*1.001</f>
        <v>91.099411603199968</v>
      </c>
      <c r="CO27" s="157">
        <f t="shared" si="18"/>
        <v>91.190511014803164</v>
      </c>
      <c r="CP27" s="157">
        <f t="shared" si="18"/>
        <v>91.281701525817951</v>
      </c>
      <c r="CQ27" s="157">
        <f t="shared" si="18"/>
        <v>91.372983227343752</v>
      </c>
      <c r="CR27" s="157">
        <f t="shared" si="18"/>
        <v>91.464356210571083</v>
      </c>
      <c r="CS27" s="157">
        <f t="shared" si="18"/>
        <v>91.555820566781648</v>
      </c>
      <c r="CT27" s="157">
        <f t="shared" si="18"/>
        <v>91.647376387348416</v>
      </c>
      <c r="CU27" s="157">
        <f t="shared" si="18"/>
        <v>91.739023763735759</v>
      </c>
      <c r="CV27" s="157">
        <f t="shared" si="18"/>
        <v>91.830762787499481</v>
      </c>
      <c r="CW27" s="157">
        <f t="shared" si="18"/>
        <v>91.922593550286976</v>
      </c>
      <c r="CX27" s="157">
        <f t="shared" si="18"/>
        <v>92.014516143837255</v>
      </c>
      <c r="CY27" s="157">
        <f t="shared" si="18"/>
        <v>92.10653065998109</v>
      </c>
      <c r="CZ27" s="157">
        <f t="shared" si="18"/>
        <v>92.198637190641065</v>
      </c>
      <c r="DA27" s="157">
        <f t="shared" si="18"/>
        <v>92.2908358278317</v>
      </c>
      <c r="DB27" s="157">
        <f t="shared" si="18"/>
        <v>92.383126663659525</v>
      </c>
      <c r="DE27" s="159"/>
    </row>
    <row r="28" spans="1:109" s="158" customFormat="1" x14ac:dyDescent="0.2">
      <c r="A28" s="155" t="s">
        <v>552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>
        <f t="shared" ref="Y28:AE28" si="19">Y35*100/Y15</f>
        <v>858.24178403755866</v>
      </c>
      <c r="Z28" s="156">
        <f t="shared" si="19"/>
        <v>1714.8344262295082</v>
      </c>
      <c r="AA28" s="157">
        <f t="shared" si="19"/>
        <v>1771.0347389558231</v>
      </c>
      <c r="AB28" s="157">
        <f t="shared" si="19"/>
        <v>1824.3894342164253</v>
      </c>
      <c r="AC28" s="157">
        <f t="shared" si="19"/>
        <v>1831.6979455892777</v>
      </c>
      <c r="AD28" s="157">
        <f t="shared" si="19"/>
        <v>1839.0357348879313</v>
      </c>
      <c r="AE28" s="157">
        <f t="shared" si="19"/>
        <v>1846.4029193998736</v>
      </c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56"/>
      <c r="CB28" s="156"/>
      <c r="CC28" s="156">
        <f t="shared" ref="CC28:CL28" si="20">CC35*10/CC15</f>
        <v>142.45412844036696</v>
      </c>
      <c r="CD28" s="156">
        <f t="shared" si="20"/>
        <v>176.75294117647056</v>
      </c>
      <c r="CE28" s="156">
        <f t="shared" si="20"/>
        <v>164.74139344262295</v>
      </c>
      <c r="CF28" s="156">
        <f t="shared" si="20"/>
        <v>163.07827586206898</v>
      </c>
      <c r="CG28" s="156">
        <f t="shared" si="20"/>
        <v>194.78074999999998</v>
      </c>
      <c r="CH28" s="156">
        <f t="shared" si="20"/>
        <v>163.80538461538461</v>
      </c>
      <c r="CI28" s="156">
        <f t="shared" si="20"/>
        <v>167.32415254237287</v>
      </c>
      <c r="CJ28" s="156">
        <f t="shared" si="20"/>
        <v>196.54500000000002</v>
      </c>
      <c r="CK28" s="156">
        <f t="shared" si="20"/>
        <v>164.3218181818182</v>
      </c>
      <c r="CL28" s="156">
        <f t="shared" si="20"/>
        <v>181.98352941176472</v>
      </c>
      <c r="CM28" s="157">
        <f t="shared" ref="CM28:DB29" si="21">+CL28*1.001</f>
        <v>182.16551294117647</v>
      </c>
      <c r="CN28" s="157">
        <f t="shared" si="21"/>
        <v>182.34767845411764</v>
      </c>
      <c r="CO28" s="157">
        <f t="shared" si="21"/>
        <v>182.53002613257175</v>
      </c>
      <c r="CP28" s="157">
        <f t="shared" si="21"/>
        <v>182.7125561587043</v>
      </c>
      <c r="CQ28" s="157">
        <f t="shared" si="21"/>
        <v>182.89526871486299</v>
      </c>
      <c r="CR28" s="157">
        <f t="shared" si="21"/>
        <v>183.07816398357784</v>
      </c>
      <c r="CS28" s="157">
        <f t="shared" si="21"/>
        <v>183.2612421475614</v>
      </c>
      <c r="CT28" s="157">
        <f t="shared" si="21"/>
        <v>183.44450338970896</v>
      </c>
      <c r="CU28" s="157">
        <f t="shared" si="21"/>
        <v>183.62794789309865</v>
      </c>
      <c r="CV28" s="157">
        <f t="shared" si="21"/>
        <v>183.81157584099174</v>
      </c>
      <c r="CW28" s="157">
        <f t="shared" si="21"/>
        <v>183.9953874168327</v>
      </c>
      <c r="CX28" s="157">
        <f t="shared" si="21"/>
        <v>184.17938280424951</v>
      </c>
      <c r="CY28" s="157">
        <f t="shared" si="21"/>
        <v>184.36356218705373</v>
      </c>
      <c r="CZ28" s="157">
        <f t="shared" si="21"/>
        <v>184.54792574924076</v>
      </c>
      <c r="DA28" s="157">
        <f t="shared" si="21"/>
        <v>184.73247367498999</v>
      </c>
      <c r="DB28" s="157">
        <f t="shared" si="21"/>
        <v>184.91720614866495</v>
      </c>
      <c r="DE28" s="159"/>
    </row>
    <row r="29" spans="1:109" s="158" customFormat="1" x14ac:dyDescent="0.2">
      <c r="A29" s="155" t="s">
        <v>550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>
        <f t="shared" ref="Y29:AE29" si="22">Y38*100/Y16</f>
        <v>79.647317073170726</v>
      </c>
      <c r="Z29" s="156">
        <f t="shared" si="22"/>
        <v>219.76538461538459</v>
      </c>
      <c r="AA29" s="157">
        <f t="shared" si="22"/>
        <v>202.93022727272728</v>
      </c>
      <c r="AB29" s="157">
        <f t="shared" si="22"/>
        <v>177.2448577234955</v>
      </c>
      <c r="AC29" s="157">
        <f t="shared" si="22"/>
        <v>177.94871990313953</v>
      </c>
      <c r="AD29" s="157">
        <f t="shared" si="22"/>
        <v>178.64918567482755</v>
      </c>
      <c r="AE29" s="157">
        <f t="shared" si="22"/>
        <v>179.36485502741618</v>
      </c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56"/>
      <c r="CB29" s="156"/>
      <c r="CC29" s="156">
        <f t="shared" ref="CC29:CL29" si="23">CC38*100/CC16</f>
        <v>186.32999999999998</v>
      </c>
      <c r="CD29" s="156">
        <f t="shared" si="23"/>
        <v>100.16</v>
      </c>
      <c r="CE29" s="156">
        <f t="shared" si="23"/>
        <v>173.26250000000002</v>
      </c>
      <c r="CF29" s="156">
        <f t="shared" si="23"/>
        <v>184.25727272727272</v>
      </c>
      <c r="CG29" s="156">
        <f t="shared" si="23"/>
        <v>251.32999999999998</v>
      </c>
      <c r="CH29" s="156">
        <f t="shared" si="23"/>
        <v>314.69999999999993</v>
      </c>
      <c r="CI29" s="156">
        <f t="shared" si="23"/>
        <v>394.88499999999999</v>
      </c>
      <c r="CJ29" s="156">
        <f t="shared" si="23"/>
        <v>262.05999999999995</v>
      </c>
      <c r="CK29" s="156">
        <f t="shared" si="23"/>
        <v>110.66571428571429</v>
      </c>
      <c r="CL29" s="156">
        <f t="shared" si="23"/>
        <v>176.78399999999999</v>
      </c>
      <c r="CM29" s="157">
        <f t="shared" si="21"/>
        <v>176.96078399999996</v>
      </c>
      <c r="CN29" s="157">
        <f t="shared" si="21"/>
        <v>177.13774478399995</v>
      </c>
      <c r="CO29" s="157">
        <f t="shared" si="21"/>
        <v>177.31488252878393</v>
      </c>
      <c r="CP29" s="157">
        <f t="shared" si="21"/>
        <v>177.4921974113127</v>
      </c>
      <c r="CQ29" s="157">
        <f t="shared" si="21"/>
        <v>177.66968960872398</v>
      </c>
      <c r="CR29" s="157">
        <f t="shared" si="21"/>
        <v>177.84735929833269</v>
      </c>
      <c r="CS29" s="157">
        <f t="shared" si="21"/>
        <v>178.025206657631</v>
      </c>
      <c r="CT29" s="157">
        <f t="shared" si="21"/>
        <v>178.20323186428863</v>
      </c>
      <c r="CU29" s="157">
        <f t="shared" si="21"/>
        <v>178.3814350961529</v>
      </c>
      <c r="CV29" s="157">
        <f t="shared" si="21"/>
        <v>178.55981653124903</v>
      </c>
      <c r="CW29" s="157">
        <f t="shared" si="21"/>
        <v>178.73837634778025</v>
      </c>
      <c r="CX29" s="157">
        <f t="shared" si="21"/>
        <v>178.917114724128</v>
      </c>
      <c r="CY29" s="157">
        <f t="shared" si="21"/>
        <v>179.0960318388521</v>
      </c>
      <c r="CZ29" s="157">
        <f t="shared" si="21"/>
        <v>179.27512787069094</v>
      </c>
      <c r="DA29" s="157">
        <f t="shared" si="21"/>
        <v>179.45440299856162</v>
      </c>
      <c r="DB29" s="157">
        <f t="shared" si="21"/>
        <v>179.63385740156016</v>
      </c>
      <c r="DE29" s="159"/>
    </row>
    <row r="30" spans="1:109" s="158" customFormat="1" x14ac:dyDescent="0.2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7"/>
      <c r="AB30" s="157"/>
      <c r="AC30" s="157"/>
      <c r="AD30" s="157"/>
      <c r="AE30" s="157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/>
      <c r="CB30" s="156"/>
      <c r="CC30" s="156"/>
      <c r="CD30" s="156"/>
      <c r="CE30" s="156"/>
      <c r="CF30" s="156"/>
      <c r="CG30" s="156"/>
      <c r="CH30" s="156"/>
      <c r="CI30" s="156"/>
      <c r="CJ30" s="156"/>
      <c r="CK30" s="156"/>
      <c r="CL30" s="156"/>
      <c r="CM30" s="157"/>
      <c r="CN30" s="157"/>
      <c r="CO30" s="157"/>
      <c r="CP30" s="157"/>
      <c r="CQ30" s="157"/>
      <c r="CR30" s="157"/>
      <c r="CS30" s="157"/>
      <c r="CT30" s="157"/>
      <c r="CU30" s="157"/>
      <c r="CV30" s="157"/>
      <c r="CW30" s="157"/>
      <c r="CX30" s="157"/>
      <c r="CY30" s="157"/>
      <c r="CZ30" s="157"/>
      <c r="DA30" s="157"/>
      <c r="DB30" s="157"/>
      <c r="DE30" s="159"/>
    </row>
    <row r="31" spans="1:109" s="151" customFormat="1" x14ac:dyDescent="0.2">
      <c r="A31" s="151" t="s">
        <v>532</v>
      </c>
    </row>
    <row r="32" spans="1:109" s="158" customFormat="1" x14ac:dyDescent="0.2">
      <c r="A32" s="155" t="s">
        <v>533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>
        <f>SUM(CA32:CD32)</f>
        <v>393.46520000000004</v>
      </c>
      <c r="Z32" s="156">
        <f>SUM(CE32:CH32)</f>
        <v>730.66549999999995</v>
      </c>
      <c r="AA32" s="157">
        <f>SUM(CI32:CL32)</f>
        <v>744.43010000000004</v>
      </c>
      <c r="AB32" s="157"/>
      <c r="AC32" s="157"/>
      <c r="AD32" s="157"/>
      <c r="AE32" s="157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56"/>
      <c r="CB32" s="156"/>
      <c r="CC32" s="156">
        <f>CC57*34%</f>
        <v>211.17400000000004</v>
      </c>
      <c r="CD32" s="156">
        <f>CD57*26%</f>
        <v>182.2912</v>
      </c>
      <c r="CE32" s="156">
        <f>CE57*26%</f>
        <v>180.19299999999998</v>
      </c>
      <c r="CF32" s="156">
        <f>CF57*22%</f>
        <v>148.63419999999999</v>
      </c>
      <c r="CG32" s="156">
        <f>CG57*27%</f>
        <v>203.57730000000001</v>
      </c>
      <c r="CH32" s="156">
        <f>CH57*27%</f>
        <v>198.261</v>
      </c>
      <c r="CI32" s="156">
        <f>CI57*19%</f>
        <v>150.05629999999999</v>
      </c>
      <c r="CJ32" s="156">
        <f>CJ57*23%</f>
        <v>180.82139999999998</v>
      </c>
      <c r="CK32" s="156">
        <f>CK57*26%</f>
        <v>201.41159999999999</v>
      </c>
      <c r="CL32" s="156">
        <f>CL57*24%</f>
        <v>212.14079999999998</v>
      </c>
      <c r="CM32" s="157"/>
      <c r="CN32" s="157"/>
      <c r="CO32" s="157"/>
      <c r="CP32" s="157"/>
      <c r="CQ32" s="157"/>
      <c r="CR32" s="157"/>
      <c r="CS32" s="157"/>
      <c r="CT32" s="157"/>
      <c r="CU32" s="157"/>
      <c r="CV32" s="157"/>
      <c r="CW32" s="157"/>
      <c r="CX32" s="157"/>
      <c r="CY32" s="157"/>
      <c r="CZ32" s="157"/>
      <c r="DA32" s="157"/>
      <c r="DB32" s="157"/>
      <c r="DE32" s="159"/>
    </row>
    <row r="33" spans="1:109" s="158" customFormat="1" x14ac:dyDescent="0.2">
      <c r="A33" s="155" t="s">
        <v>534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>
        <f>SUM(CA33:CD33)</f>
        <v>246.6112</v>
      </c>
      <c r="Z33" s="156">
        <f>SUM(CE33:CH33)</f>
        <v>700.00519999999995</v>
      </c>
      <c r="AA33" s="157">
        <f>SUM(CI33:CL33)</f>
        <v>888.74450000000002</v>
      </c>
      <c r="AB33" s="157"/>
      <c r="AC33" s="157"/>
      <c r="AD33" s="157"/>
      <c r="AE33" s="157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56"/>
      <c r="CB33" s="156"/>
      <c r="CC33" s="156">
        <f>CC57*16%</f>
        <v>99.376000000000005</v>
      </c>
      <c r="CD33" s="156">
        <f>CD57*21%</f>
        <v>147.23519999999999</v>
      </c>
      <c r="CE33" s="156">
        <f>CE57*22%</f>
        <v>152.471</v>
      </c>
      <c r="CF33" s="156">
        <f>CF57*26%</f>
        <v>175.65860000000001</v>
      </c>
      <c r="CG33" s="156">
        <f>CG57*24%</f>
        <v>180.95759999999999</v>
      </c>
      <c r="CH33" s="156">
        <f>CH57*26%</f>
        <v>190.91800000000001</v>
      </c>
      <c r="CI33" s="156">
        <f>CI57*25%</f>
        <v>197.4425</v>
      </c>
      <c r="CJ33" s="156">
        <f>CJ57*29%</f>
        <v>227.99219999999997</v>
      </c>
      <c r="CK33" s="156">
        <f>CK57*29%</f>
        <v>224.65139999999997</v>
      </c>
      <c r="CL33" s="156">
        <f>CL57*27%</f>
        <v>238.6584</v>
      </c>
      <c r="CM33" s="157"/>
      <c r="CN33" s="157"/>
      <c r="CO33" s="157"/>
      <c r="CP33" s="157"/>
      <c r="CQ33" s="157"/>
      <c r="CR33" s="157"/>
      <c r="CS33" s="157"/>
      <c r="CT33" s="157"/>
      <c r="CU33" s="157"/>
      <c r="CV33" s="157"/>
      <c r="CW33" s="157"/>
      <c r="CX33" s="157"/>
      <c r="CY33" s="157"/>
      <c r="CZ33" s="157"/>
      <c r="DA33" s="157"/>
      <c r="DB33" s="157"/>
      <c r="DE33" s="159"/>
    </row>
    <row r="34" spans="1:109" s="109" customFormat="1" x14ac:dyDescent="0.2">
      <c r="A34" s="185" t="s">
        <v>554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>
        <f>SUM(Y32:Y33)</f>
        <v>640.07640000000004</v>
      </c>
      <c r="Z34" s="107">
        <f>SUM(Z32:Z33)</f>
        <v>1430.6706999999999</v>
      </c>
      <c r="AA34" s="108">
        <f>SUM(AA32:AA33)</f>
        <v>1633.1746000000001</v>
      </c>
      <c r="AB34" s="108">
        <f>SUM(CM34:CP34)</f>
        <v>2016.752129124789</v>
      </c>
      <c r="AC34" s="108">
        <f>SUM(CQ34:CT34)</f>
        <v>2070.778645142896</v>
      </c>
      <c r="AD34" s="108">
        <f>SUM(CU34:CX34)</f>
        <v>2107.0475143930425</v>
      </c>
      <c r="AE34" s="108">
        <f>SUM(CY34:DB34)</f>
        <v>2115.4883551659968</v>
      </c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7"/>
      <c r="BU34" s="107"/>
      <c r="BV34" s="107"/>
      <c r="BW34" s="107"/>
      <c r="BX34" s="107"/>
      <c r="BY34" s="107"/>
      <c r="BZ34" s="107"/>
      <c r="CA34" s="107"/>
      <c r="CB34" s="107"/>
      <c r="CC34" s="107">
        <f t="shared" ref="CC34:CK34" si="24">SUM(CC32:CC33)</f>
        <v>310.55000000000007</v>
      </c>
      <c r="CD34" s="107">
        <f t="shared" si="24"/>
        <v>329.52639999999997</v>
      </c>
      <c r="CE34" s="107">
        <f t="shared" si="24"/>
        <v>332.66399999999999</v>
      </c>
      <c r="CF34" s="107">
        <f t="shared" si="24"/>
        <v>324.2928</v>
      </c>
      <c r="CG34" s="107">
        <f t="shared" si="24"/>
        <v>384.53489999999999</v>
      </c>
      <c r="CH34" s="107">
        <f t="shared" si="24"/>
        <v>389.17899999999997</v>
      </c>
      <c r="CI34" s="107">
        <f t="shared" si="24"/>
        <v>347.49879999999996</v>
      </c>
      <c r="CJ34" s="107">
        <f t="shared" si="24"/>
        <v>408.81359999999995</v>
      </c>
      <c r="CK34" s="107">
        <f t="shared" si="24"/>
        <v>426.06299999999999</v>
      </c>
      <c r="CL34" s="107">
        <f>SUM(CL32:CL33)</f>
        <v>450.79919999999998</v>
      </c>
      <c r="CM34" s="108">
        <f t="shared" ref="CM34:DB34" si="25">CM26*CM12/10000</f>
        <v>503.43238015272999</v>
      </c>
      <c r="CN34" s="108">
        <f t="shared" si="25"/>
        <v>503.93581253288266</v>
      </c>
      <c r="CO34" s="108">
        <f t="shared" si="25"/>
        <v>504.43974834541547</v>
      </c>
      <c r="CP34" s="108">
        <f t="shared" si="25"/>
        <v>504.94418809376089</v>
      </c>
      <c r="CQ34" s="108">
        <f t="shared" si="25"/>
        <v>509.99362997469848</v>
      </c>
      <c r="CR34" s="108">
        <f t="shared" si="25"/>
        <v>515.09356627444549</v>
      </c>
      <c r="CS34" s="108">
        <f t="shared" si="25"/>
        <v>520.24450193718997</v>
      </c>
      <c r="CT34" s="108">
        <f t="shared" si="25"/>
        <v>525.44694695656187</v>
      </c>
      <c r="CU34" s="108">
        <f t="shared" si="25"/>
        <v>525.97239390351842</v>
      </c>
      <c r="CV34" s="108">
        <f t="shared" si="25"/>
        <v>526.49836629742174</v>
      </c>
      <c r="CW34" s="108">
        <f t="shared" si="25"/>
        <v>527.0248646637192</v>
      </c>
      <c r="CX34" s="108">
        <f t="shared" si="25"/>
        <v>527.55188952838284</v>
      </c>
      <c r="CY34" s="108">
        <f t="shared" si="25"/>
        <v>528.0794414179112</v>
      </c>
      <c r="CZ34" s="108">
        <f t="shared" si="25"/>
        <v>528.60752085932904</v>
      </c>
      <c r="DA34" s="108">
        <f t="shared" si="25"/>
        <v>529.13612838018832</v>
      </c>
      <c r="DB34" s="108">
        <f t="shared" si="25"/>
        <v>529.6652645085685</v>
      </c>
      <c r="DE34" s="117"/>
    </row>
    <row r="35" spans="1:109" s="158" customFormat="1" x14ac:dyDescent="0.2">
      <c r="A35" s="155" t="s">
        <v>535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>
        <f>SUM(CA35:CD35)</f>
        <v>365.61099999999999</v>
      </c>
      <c r="Z35" s="156">
        <f>SUM(CE35:CH35)</f>
        <v>836.83920000000001</v>
      </c>
      <c r="AA35" s="157">
        <f>SUM(CI35:CL35)</f>
        <v>881.97530000000006</v>
      </c>
      <c r="AB35" s="157">
        <f>SUM(CM35:CP35)</f>
        <v>1072.740987319258</v>
      </c>
      <c r="AC35" s="157">
        <f>SUM(CQ35:CT35)</f>
        <v>1077.0383920064953</v>
      </c>
      <c r="AD35" s="157">
        <f>SUM(CU35:CX35)</f>
        <v>1081.3530121141036</v>
      </c>
      <c r="AE35" s="157">
        <f>SUM(CY35:DB35)</f>
        <v>1085.6849166071256</v>
      </c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  <c r="CB35" s="156"/>
      <c r="CC35" s="156">
        <f>CC57*25%</f>
        <v>155.27500000000001</v>
      </c>
      <c r="CD35" s="156">
        <f>CD57*30%</f>
        <v>210.33599999999998</v>
      </c>
      <c r="CE35" s="156">
        <f>CE57*29%</f>
        <v>200.98449999999997</v>
      </c>
      <c r="CF35" s="156">
        <f>CF57*28%</f>
        <v>189.17080000000001</v>
      </c>
      <c r="CG35" s="156">
        <f>CG57*31%</f>
        <v>233.73689999999999</v>
      </c>
      <c r="CH35" s="156">
        <f>CH57*29%</f>
        <v>212.94699999999997</v>
      </c>
      <c r="CI35" s="156">
        <f>CI57*25%</f>
        <v>197.4425</v>
      </c>
      <c r="CJ35" s="156">
        <f>CJ57*28%</f>
        <v>220.13040000000001</v>
      </c>
      <c r="CK35" s="156">
        <f>CK57*28%</f>
        <v>216.90480000000002</v>
      </c>
      <c r="CL35" s="156">
        <f>CL57*28%</f>
        <v>247.49760000000001</v>
      </c>
      <c r="CM35" s="157">
        <f t="shared" ref="CM35:DB35" si="26">CM28*CM15/10</f>
        <v>267.78330402352941</v>
      </c>
      <c r="CN35" s="157">
        <f t="shared" si="26"/>
        <v>268.05108732755292</v>
      </c>
      <c r="CO35" s="157">
        <f t="shared" si="26"/>
        <v>268.31913841488046</v>
      </c>
      <c r="CP35" s="157">
        <f t="shared" si="26"/>
        <v>268.58745755329534</v>
      </c>
      <c r="CQ35" s="157">
        <f t="shared" si="26"/>
        <v>268.85604501084856</v>
      </c>
      <c r="CR35" s="157">
        <f t="shared" si="26"/>
        <v>269.12490105585937</v>
      </c>
      <c r="CS35" s="157">
        <f t="shared" si="26"/>
        <v>269.39402595691524</v>
      </c>
      <c r="CT35" s="157">
        <f t="shared" si="26"/>
        <v>269.66341998287214</v>
      </c>
      <c r="CU35" s="157">
        <f t="shared" si="26"/>
        <v>269.933083402855</v>
      </c>
      <c r="CV35" s="157">
        <f t="shared" si="26"/>
        <v>270.20301648625781</v>
      </c>
      <c r="CW35" s="157">
        <f t="shared" si="26"/>
        <v>270.47321950274403</v>
      </c>
      <c r="CX35" s="157">
        <f t="shared" si="26"/>
        <v>270.74369272224675</v>
      </c>
      <c r="CY35" s="157">
        <f t="shared" si="26"/>
        <v>271.014436414969</v>
      </c>
      <c r="CZ35" s="157">
        <f t="shared" si="26"/>
        <v>271.28545085138387</v>
      </c>
      <c r="DA35" s="157">
        <f t="shared" si="26"/>
        <v>271.55673630223527</v>
      </c>
      <c r="DB35" s="157">
        <f t="shared" si="26"/>
        <v>271.82829303853748</v>
      </c>
      <c r="DE35" s="159"/>
    </row>
    <row r="36" spans="1:109" s="158" customFormat="1" x14ac:dyDescent="0.2">
      <c r="A36" s="155" t="s">
        <v>536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>
        <f>SUM(CA36:CD36)</f>
        <v>283.87720000000002</v>
      </c>
      <c r="Z36" s="156">
        <f>SUM(CE36:CH36)</f>
        <v>503.73159999999996</v>
      </c>
      <c r="AA36" s="157">
        <f>SUM(CI36:CL36)</f>
        <v>630.09079999999994</v>
      </c>
      <c r="AB36" s="157">
        <f>SUM(CM36:CP36)</f>
        <v>620.92080181960341</v>
      </c>
      <c r="AC36" s="157">
        <f>SUM(CQ36:CT36)</f>
        <v>623.4082130359966</v>
      </c>
      <c r="AD36" s="157">
        <f>SUM(CU36:CX36)</f>
        <v>625.90558883167478</v>
      </c>
      <c r="AE36" s="157">
        <f>SUM(CY36:DB36)</f>
        <v>628.41296912478253</v>
      </c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56"/>
      <c r="CB36" s="156"/>
      <c r="CC36" s="156">
        <f>CC57*22%</f>
        <v>136.642</v>
      </c>
      <c r="CD36" s="156">
        <f>CD57*21%</f>
        <v>147.23519999999999</v>
      </c>
      <c r="CE36" s="156">
        <f>CE57*20%</f>
        <v>138.60999999999999</v>
      </c>
      <c r="CF36" s="156">
        <f>CF57*21%</f>
        <v>141.87809999999999</v>
      </c>
      <c r="CG36" s="156">
        <f>CG57*15%</f>
        <v>113.0985</v>
      </c>
      <c r="CH36" s="156">
        <f>CH57*15%</f>
        <v>110.145</v>
      </c>
      <c r="CI36" s="156">
        <f>CI57*28%</f>
        <v>221.13560000000001</v>
      </c>
      <c r="CJ36" s="156">
        <f>CJ57*17%</f>
        <v>133.6506</v>
      </c>
      <c r="CK36" s="156">
        <f>CK57*15%</f>
        <v>116.19899999999998</v>
      </c>
      <c r="CL36" s="156">
        <f>CL57*18%</f>
        <v>159.10559999999998</v>
      </c>
      <c r="CM36" s="157">
        <f t="shared" ref="CM36:DB36" si="27">CM27*CM14/10</f>
        <v>154.99754909495996</v>
      </c>
      <c r="CN36" s="157">
        <f t="shared" si="27"/>
        <v>155.15254664405489</v>
      </c>
      <c r="CO36" s="157">
        <f t="shared" si="27"/>
        <v>155.30769919069894</v>
      </c>
      <c r="CP36" s="157">
        <f t="shared" si="27"/>
        <v>155.46300688988964</v>
      </c>
      <c r="CQ36" s="157">
        <f t="shared" si="27"/>
        <v>155.61846989677946</v>
      </c>
      <c r="CR36" s="157">
        <f t="shared" si="27"/>
        <v>155.77408836667624</v>
      </c>
      <c r="CS36" s="157">
        <f t="shared" si="27"/>
        <v>155.92986245504289</v>
      </c>
      <c r="CT36" s="157">
        <f t="shared" si="27"/>
        <v>156.08579231749792</v>
      </c>
      <c r="CU36" s="157">
        <f t="shared" si="27"/>
        <v>156.24187810981542</v>
      </c>
      <c r="CV36" s="157">
        <f t="shared" si="27"/>
        <v>156.39811998792521</v>
      </c>
      <c r="CW36" s="157">
        <f t="shared" si="27"/>
        <v>156.55451810791311</v>
      </c>
      <c r="CX36" s="157">
        <f t="shared" si="27"/>
        <v>156.71107262602101</v>
      </c>
      <c r="CY36" s="157">
        <f t="shared" si="27"/>
        <v>156.86778369864703</v>
      </c>
      <c r="CZ36" s="157">
        <f t="shared" si="27"/>
        <v>157.02465148234566</v>
      </c>
      <c r="DA36" s="157">
        <f t="shared" si="27"/>
        <v>157.18167613382801</v>
      </c>
      <c r="DB36" s="157">
        <f t="shared" si="27"/>
        <v>157.33885780996184</v>
      </c>
      <c r="DE36" s="159"/>
    </row>
    <row r="37" spans="1:109" s="109" customFormat="1" x14ac:dyDescent="0.2">
      <c r="A37" s="185" t="s">
        <v>555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>
        <f t="shared" ref="Y37:AE37" si="28">SUM(Y35:Y36)</f>
        <v>649.48820000000001</v>
      </c>
      <c r="Z37" s="107">
        <f t="shared" si="28"/>
        <v>1340.5708</v>
      </c>
      <c r="AA37" s="108">
        <f t="shared" si="28"/>
        <v>1512.0661</v>
      </c>
      <c r="AB37" s="108">
        <f t="shared" si="28"/>
        <v>1693.6617891388614</v>
      </c>
      <c r="AC37" s="108">
        <f t="shared" si="28"/>
        <v>1700.4466050424919</v>
      </c>
      <c r="AD37" s="108">
        <f t="shared" si="28"/>
        <v>1707.2586009457784</v>
      </c>
      <c r="AE37" s="108">
        <f t="shared" si="28"/>
        <v>1714.0978857319083</v>
      </c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  <c r="BY37" s="107"/>
      <c r="BZ37" s="107"/>
      <c r="CA37" s="107"/>
      <c r="CB37" s="107"/>
      <c r="CC37" s="107">
        <f t="shared" ref="CC37:CK37" si="29">SUM(CC35:CC36)</f>
        <v>291.91700000000003</v>
      </c>
      <c r="CD37" s="107">
        <f t="shared" si="29"/>
        <v>357.57119999999998</v>
      </c>
      <c r="CE37" s="107">
        <f t="shared" si="29"/>
        <v>339.59449999999993</v>
      </c>
      <c r="CF37" s="107">
        <f t="shared" si="29"/>
        <v>331.0489</v>
      </c>
      <c r="CG37" s="107">
        <f t="shared" si="29"/>
        <v>346.83539999999999</v>
      </c>
      <c r="CH37" s="107">
        <f t="shared" si="29"/>
        <v>323.09199999999998</v>
      </c>
      <c r="CI37" s="107">
        <f t="shared" si="29"/>
        <v>418.57810000000001</v>
      </c>
      <c r="CJ37" s="107">
        <f t="shared" si="29"/>
        <v>353.78100000000001</v>
      </c>
      <c r="CK37" s="107">
        <f t="shared" si="29"/>
        <v>333.10379999999998</v>
      </c>
      <c r="CL37" s="107">
        <f>SUM(CL35:CL36)</f>
        <v>406.60320000000002</v>
      </c>
      <c r="CM37" s="108">
        <f t="shared" ref="CM37:DB37" si="30">SUM(CM35:CM36)</f>
        <v>422.7808531184894</v>
      </c>
      <c r="CN37" s="108">
        <f t="shared" si="30"/>
        <v>423.20363397160781</v>
      </c>
      <c r="CO37" s="108">
        <f t="shared" si="30"/>
        <v>423.6268376055794</v>
      </c>
      <c r="CP37" s="108">
        <f t="shared" si="30"/>
        <v>424.05046444318498</v>
      </c>
      <c r="CQ37" s="108">
        <f t="shared" si="30"/>
        <v>424.47451490762802</v>
      </c>
      <c r="CR37" s="108">
        <f t="shared" si="30"/>
        <v>424.89898942253558</v>
      </c>
      <c r="CS37" s="108">
        <f t="shared" si="30"/>
        <v>425.32388841195814</v>
      </c>
      <c r="CT37" s="108">
        <f t="shared" si="30"/>
        <v>425.74921230037006</v>
      </c>
      <c r="CU37" s="108">
        <f t="shared" si="30"/>
        <v>426.17496151267039</v>
      </c>
      <c r="CV37" s="108">
        <f t="shared" si="30"/>
        <v>426.60113647418302</v>
      </c>
      <c r="CW37" s="108">
        <f t="shared" si="30"/>
        <v>427.02773761065714</v>
      </c>
      <c r="CX37" s="108">
        <f t="shared" si="30"/>
        <v>427.45476534826776</v>
      </c>
      <c r="CY37" s="108">
        <f t="shared" si="30"/>
        <v>427.88222011361603</v>
      </c>
      <c r="CZ37" s="108">
        <f t="shared" si="30"/>
        <v>428.31010233372956</v>
      </c>
      <c r="DA37" s="108">
        <f t="shared" si="30"/>
        <v>428.7384124360633</v>
      </c>
      <c r="DB37" s="108">
        <f t="shared" si="30"/>
        <v>429.16715084849932</v>
      </c>
      <c r="DE37" s="117"/>
    </row>
    <row r="38" spans="1:109" s="109" customFormat="1" x14ac:dyDescent="0.2">
      <c r="A38" s="185" t="s">
        <v>537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56"/>
      <c r="Y38" s="156">
        <f>SUM(CA38:CD38)</f>
        <v>32.6554</v>
      </c>
      <c r="Z38" s="156">
        <f>SUM(CE38:CH38)</f>
        <v>85.708499999999987</v>
      </c>
      <c r="AA38" s="157">
        <f>SUM(CI38:CL38)</f>
        <v>89.289299999999997</v>
      </c>
      <c r="AB38" s="157">
        <f>SUM(CM38:CP38)</f>
        <v>143.56833475603136</v>
      </c>
      <c r="AC38" s="157">
        <f>SUM(CQ38:CT38)</f>
        <v>216.20769468231452</v>
      </c>
      <c r="AD38" s="157">
        <f>SUM(CU38:CX38)</f>
        <v>229.11758062796633</v>
      </c>
      <c r="AE38" s="157">
        <f>SUM(CY38:DB38)</f>
        <v>230.03542657266127</v>
      </c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7"/>
      <c r="BU38" s="107"/>
      <c r="BV38" s="107"/>
      <c r="BW38" s="107"/>
      <c r="BX38" s="107"/>
      <c r="BY38" s="107"/>
      <c r="BZ38" s="107"/>
      <c r="CA38" s="107"/>
      <c r="CB38" s="107"/>
      <c r="CC38" s="107">
        <f>CC57*3%</f>
        <v>18.632999999999999</v>
      </c>
      <c r="CD38" s="107">
        <f>CD57*2%</f>
        <v>14.022400000000001</v>
      </c>
      <c r="CE38" s="107">
        <f t="shared" ref="CE38:CJ38" si="31">CE57*3%</f>
        <v>20.791499999999999</v>
      </c>
      <c r="CF38" s="107">
        <f t="shared" si="31"/>
        <v>20.2683</v>
      </c>
      <c r="CG38" s="107">
        <f t="shared" si="31"/>
        <v>22.619699999999998</v>
      </c>
      <c r="CH38" s="107">
        <f t="shared" si="31"/>
        <v>22.028999999999996</v>
      </c>
      <c r="CI38" s="107">
        <f t="shared" si="31"/>
        <v>23.693099999999998</v>
      </c>
      <c r="CJ38" s="107">
        <f t="shared" si="31"/>
        <v>23.585399999999996</v>
      </c>
      <c r="CK38" s="107">
        <f>CK57*2%</f>
        <v>15.4932</v>
      </c>
      <c r="CL38" s="107">
        <f>CL57*3%</f>
        <v>26.517599999999998</v>
      </c>
      <c r="CM38" s="108">
        <f t="shared" ref="CM38:DB38" si="32">CM29*CM16/100</f>
        <v>32.848345529999989</v>
      </c>
      <c r="CN38" s="108">
        <f t="shared" si="32"/>
        <v>32.881193875529988</v>
      </c>
      <c r="CO38" s="108">
        <f t="shared" si="32"/>
        <v>35.906263712078747</v>
      </c>
      <c r="CP38" s="108">
        <f t="shared" si="32"/>
        <v>41.932531638422624</v>
      </c>
      <c r="CQ38" s="108">
        <f t="shared" si="32"/>
        <v>47.970816194355479</v>
      </c>
      <c r="CR38" s="108">
        <f t="shared" si="32"/>
        <v>54.021135386868558</v>
      </c>
      <c r="CS38" s="108">
        <f t="shared" si="32"/>
        <v>57.079331884602944</v>
      </c>
      <c r="CT38" s="108">
        <f t="shared" si="32"/>
        <v>57.136411216487538</v>
      </c>
      <c r="CU38" s="108">
        <f t="shared" si="32"/>
        <v>57.193547627704021</v>
      </c>
      <c r="CV38" s="108">
        <f t="shared" si="32"/>
        <v>57.250741175331726</v>
      </c>
      <c r="CW38" s="108">
        <f t="shared" si="32"/>
        <v>57.307991916507042</v>
      </c>
      <c r="CX38" s="108">
        <f t="shared" si="32"/>
        <v>57.365299908423538</v>
      </c>
      <c r="CY38" s="108">
        <f t="shared" si="32"/>
        <v>57.422665208331956</v>
      </c>
      <c r="CZ38" s="108">
        <f t="shared" si="32"/>
        <v>57.480087873540278</v>
      </c>
      <c r="DA38" s="108">
        <f t="shared" si="32"/>
        <v>57.537567961413814</v>
      </c>
      <c r="DB38" s="108">
        <f t="shared" si="32"/>
        <v>57.595105529375225</v>
      </c>
      <c r="DE38" s="117"/>
    </row>
    <row r="39" spans="1:109" s="199" customFormat="1" x14ac:dyDescent="0.2">
      <c r="A39" s="196" t="s">
        <v>538</v>
      </c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>
        <f t="shared" ref="Y39:AE39" si="33">Y38+Y37+Y34</f>
        <v>1322.22</v>
      </c>
      <c r="Z39" s="197">
        <f t="shared" si="33"/>
        <v>2856.95</v>
      </c>
      <c r="AA39" s="198">
        <f t="shared" si="33"/>
        <v>3234.5299999999997</v>
      </c>
      <c r="AB39" s="198">
        <f t="shared" si="33"/>
        <v>3853.9822530196816</v>
      </c>
      <c r="AC39" s="198">
        <f t="shared" si="33"/>
        <v>3987.4329448677026</v>
      </c>
      <c r="AD39" s="198">
        <f t="shared" si="33"/>
        <v>4043.4236959667874</v>
      </c>
      <c r="AE39" s="198">
        <f t="shared" si="33"/>
        <v>4059.6216674705665</v>
      </c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197"/>
      <c r="AY39" s="197"/>
      <c r="AZ39" s="197"/>
      <c r="BA39" s="197"/>
      <c r="BB39" s="197"/>
      <c r="BC39" s="197"/>
      <c r="BD39" s="197"/>
      <c r="BE39" s="197"/>
      <c r="BF39" s="197"/>
      <c r="BG39" s="197"/>
      <c r="BH39" s="197"/>
      <c r="BI39" s="197"/>
      <c r="BJ39" s="197"/>
      <c r="BK39" s="197"/>
      <c r="BL39" s="197"/>
      <c r="BM39" s="197"/>
      <c r="BN39" s="197"/>
      <c r="BO39" s="197"/>
      <c r="BP39" s="197"/>
      <c r="BQ39" s="197"/>
      <c r="BR39" s="197"/>
      <c r="BS39" s="197"/>
      <c r="BT39" s="197"/>
      <c r="BU39" s="197"/>
      <c r="BV39" s="197"/>
      <c r="BW39" s="197"/>
      <c r="BX39" s="197"/>
      <c r="BY39" s="197"/>
      <c r="BZ39" s="197"/>
      <c r="CA39" s="197"/>
      <c r="CB39" s="197"/>
      <c r="CC39" s="197">
        <f t="shared" ref="CC39:CK39" si="34">CC38+CC37+CC34</f>
        <v>621.10000000000014</v>
      </c>
      <c r="CD39" s="197">
        <f t="shared" si="34"/>
        <v>701.11999999999989</v>
      </c>
      <c r="CE39" s="197">
        <f t="shared" si="34"/>
        <v>693.05</v>
      </c>
      <c r="CF39" s="197">
        <f t="shared" si="34"/>
        <v>675.61</v>
      </c>
      <c r="CG39" s="197">
        <f t="shared" si="34"/>
        <v>753.99</v>
      </c>
      <c r="CH39" s="197">
        <f t="shared" si="34"/>
        <v>734.3</v>
      </c>
      <c r="CI39" s="197">
        <f t="shared" si="34"/>
        <v>789.77</v>
      </c>
      <c r="CJ39" s="197">
        <f t="shared" si="34"/>
        <v>786.18</v>
      </c>
      <c r="CK39" s="197">
        <f t="shared" si="34"/>
        <v>774.66</v>
      </c>
      <c r="CL39" s="197">
        <f>CL38+CL37+CL34</f>
        <v>883.92000000000007</v>
      </c>
      <c r="CM39" s="198">
        <f t="shared" ref="CM39:DB39" si="35">CM38+CM37+CM34</f>
        <v>959.06157880121941</v>
      </c>
      <c r="CN39" s="198">
        <f t="shared" si="35"/>
        <v>960.0206403800205</v>
      </c>
      <c r="CO39" s="198">
        <f t="shared" si="35"/>
        <v>963.97284966307359</v>
      </c>
      <c r="CP39" s="198">
        <f t="shared" si="35"/>
        <v>970.92718417536844</v>
      </c>
      <c r="CQ39" s="198">
        <f t="shared" si="35"/>
        <v>982.43896107668195</v>
      </c>
      <c r="CR39" s="198">
        <f t="shared" si="35"/>
        <v>994.01369108384961</v>
      </c>
      <c r="CS39" s="198">
        <f t="shared" si="35"/>
        <v>1002.647722233751</v>
      </c>
      <c r="CT39" s="198">
        <f t="shared" si="35"/>
        <v>1008.3325704734195</v>
      </c>
      <c r="CU39" s="198">
        <f t="shared" si="35"/>
        <v>1009.3409030438928</v>
      </c>
      <c r="CV39" s="198">
        <f t="shared" si="35"/>
        <v>1010.3502439469364</v>
      </c>
      <c r="CW39" s="198">
        <f t="shared" si="35"/>
        <v>1011.3605941908834</v>
      </c>
      <c r="CX39" s="198">
        <f t="shared" si="35"/>
        <v>1012.3719547850742</v>
      </c>
      <c r="CY39" s="198">
        <f t="shared" si="35"/>
        <v>1013.3843267398593</v>
      </c>
      <c r="CZ39" s="198">
        <f t="shared" si="35"/>
        <v>1014.397711066599</v>
      </c>
      <c r="DA39" s="198">
        <f t="shared" si="35"/>
        <v>1015.4121087776655</v>
      </c>
      <c r="DB39" s="198">
        <f t="shared" si="35"/>
        <v>1016.4275208864431</v>
      </c>
      <c r="DE39" s="200"/>
    </row>
    <row r="40" spans="1:109" s="158" customFormat="1" x14ac:dyDescent="0.2">
      <c r="A40" s="155" t="s">
        <v>539</v>
      </c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7"/>
      <c r="AB40" s="157"/>
      <c r="AC40" s="157"/>
      <c r="AD40" s="157"/>
      <c r="AE40" s="157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  <c r="BJ40" s="156"/>
      <c r="BK40" s="156"/>
      <c r="BL40" s="156"/>
      <c r="BM40" s="156"/>
      <c r="BN40" s="156"/>
      <c r="BO40" s="156"/>
      <c r="BP40" s="156"/>
      <c r="BQ40" s="156"/>
      <c r="BR40" s="156"/>
      <c r="BS40" s="156"/>
      <c r="BT40" s="156"/>
      <c r="BU40" s="156"/>
      <c r="BV40" s="156"/>
      <c r="BW40" s="156"/>
      <c r="BX40" s="156"/>
      <c r="BY40" s="156"/>
      <c r="BZ40" s="156"/>
      <c r="CA40" s="156"/>
      <c r="CB40" s="156"/>
      <c r="CC40" s="156">
        <f t="shared" ref="CC40:CL40" si="36">CC57-CC39</f>
        <v>0</v>
      </c>
      <c r="CD40" s="156">
        <f t="shared" si="36"/>
        <v>0</v>
      </c>
      <c r="CE40" s="156">
        <f t="shared" si="36"/>
        <v>0</v>
      </c>
      <c r="CF40" s="156">
        <f t="shared" si="36"/>
        <v>0</v>
      </c>
      <c r="CG40" s="156">
        <f t="shared" si="36"/>
        <v>0</v>
      </c>
      <c r="CH40" s="156">
        <f t="shared" si="36"/>
        <v>0</v>
      </c>
      <c r="CI40" s="156">
        <f t="shared" si="36"/>
        <v>0</v>
      </c>
      <c r="CJ40" s="156">
        <f t="shared" si="36"/>
        <v>0</v>
      </c>
      <c r="CK40" s="156">
        <f t="shared" si="36"/>
        <v>0</v>
      </c>
      <c r="CL40" s="156">
        <f t="shared" si="36"/>
        <v>0</v>
      </c>
      <c r="CM40" s="157"/>
      <c r="CN40" s="157"/>
      <c r="CO40" s="157"/>
      <c r="CP40" s="157"/>
      <c r="CQ40" s="157"/>
      <c r="CR40" s="157"/>
      <c r="CS40" s="157"/>
      <c r="CT40" s="157"/>
      <c r="CU40" s="157"/>
      <c r="CV40" s="157"/>
      <c r="CW40" s="157"/>
      <c r="CX40" s="157"/>
      <c r="CY40" s="157"/>
      <c r="CZ40" s="157"/>
      <c r="DA40" s="157"/>
      <c r="DB40" s="157"/>
      <c r="DE40" s="159"/>
    </row>
    <row r="41" spans="1:109" s="158" customFormat="1" x14ac:dyDescent="0.2">
      <c r="A41" s="155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7"/>
      <c r="AB41" s="157"/>
      <c r="AC41" s="157"/>
      <c r="AD41" s="157"/>
      <c r="AE41" s="157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56"/>
      <c r="BJ41" s="156"/>
      <c r="BK41" s="156"/>
      <c r="BL41" s="156"/>
      <c r="BM41" s="156"/>
      <c r="BN41" s="156"/>
      <c r="BO41" s="156"/>
      <c r="BP41" s="156"/>
      <c r="BQ41" s="156"/>
      <c r="BR41" s="156"/>
      <c r="BS41" s="156"/>
      <c r="BT41" s="156"/>
      <c r="BU41" s="156"/>
      <c r="BV41" s="156"/>
      <c r="BW41" s="156"/>
      <c r="BX41" s="156"/>
      <c r="BY41" s="156"/>
      <c r="BZ41" s="156"/>
      <c r="CA41" s="156"/>
      <c r="CB41" s="156"/>
      <c r="CC41" s="156"/>
      <c r="CD41" s="156"/>
      <c r="CE41" s="156"/>
      <c r="CF41" s="156"/>
      <c r="CG41" s="156"/>
      <c r="CH41" s="156"/>
      <c r="CI41" s="156"/>
      <c r="CJ41" s="156"/>
      <c r="CK41" s="156"/>
      <c r="CL41" s="156"/>
      <c r="CM41" s="157"/>
      <c r="CN41" s="157"/>
      <c r="CO41" s="157"/>
      <c r="CP41" s="157"/>
      <c r="CQ41" s="157"/>
      <c r="CR41" s="157"/>
      <c r="CS41" s="157"/>
      <c r="CT41" s="157"/>
      <c r="CU41" s="157"/>
      <c r="CV41" s="157"/>
      <c r="CW41" s="157"/>
      <c r="CX41" s="157"/>
      <c r="CY41" s="157"/>
      <c r="CZ41" s="157"/>
      <c r="DA41" s="157"/>
      <c r="DB41" s="157"/>
      <c r="DE41" s="159"/>
    </row>
    <row r="42" spans="1:109" s="151" customFormat="1" x14ac:dyDescent="0.2">
      <c r="A42" s="151" t="s">
        <v>556</v>
      </c>
    </row>
    <row r="43" spans="1:109" s="158" customFormat="1" x14ac:dyDescent="0.2">
      <c r="A43" s="155" t="s">
        <v>557</v>
      </c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91">
        <f>Z32/Y32-1</f>
        <v>0.85700158489238665</v>
      </c>
      <c r="AA43" s="192">
        <f>AA32/Z32-1</f>
        <v>1.8838442488389173E-2</v>
      </c>
      <c r="AB43" s="192"/>
      <c r="AC43" s="192"/>
      <c r="AD43" s="192"/>
      <c r="AE43" s="192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/>
      <c r="BX43" s="156"/>
      <c r="BY43" s="156"/>
      <c r="BZ43" s="156"/>
      <c r="CA43" s="156"/>
      <c r="CB43" s="156"/>
      <c r="CC43" s="156"/>
      <c r="CD43" s="156"/>
      <c r="CE43" s="156"/>
      <c r="CF43" s="156"/>
      <c r="CG43" s="193">
        <f t="shared" ref="CG43:CL43" si="37">CG32/CC32-1</f>
        <v>-3.5973652059439254E-2</v>
      </c>
      <c r="CH43" s="193">
        <f t="shared" si="37"/>
        <v>8.7605984271319715E-2</v>
      </c>
      <c r="CI43" s="193">
        <f t="shared" si="37"/>
        <v>-0.1672467853912194</v>
      </c>
      <c r="CJ43" s="193">
        <f t="shared" si="37"/>
        <v>0.21655312169070107</v>
      </c>
      <c r="CK43" s="193">
        <f t="shared" si="37"/>
        <v>-1.0638219487143274E-2</v>
      </c>
      <c r="CL43" s="193">
        <f t="shared" si="37"/>
        <v>7.0007717100186051E-2</v>
      </c>
      <c r="CM43" s="194"/>
      <c r="CN43" s="194"/>
      <c r="CO43" s="194"/>
      <c r="CP43" s="194"/>
      <c r="CQ43" s="194"/>
      <c r="CR43" s="194"/>
      <c r="CS43" s="194"/>
      <c r="CT43" s="194"/>
      <c r="CU43" s="194"/>
      <c r="CV43" s="194"/>
      <c r="CW43" s="194"/>
      <c r="CX43" s="194"/>
      <c r="CY43" s="194"/>
      <c r="CZ43" s="194"/>
      <c r="DA43" s="194"/>
      <c r="DB43" s="194"/>
      <c r="DE43" s="159"/>
    </row>
    <row r="44" spans="1:109" s="158" customFormat="1" x14ac:dyDescent="0.2">
      <c r="A44" s="155" t="s">
        <v>558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91">
        <f t="shared" ref="Z44:AE50" si="38">Z33/Y33-1</f>
        <v>1.8384971972075883</v>
      </c>
      <c r="AA44" s="192">
        <f t="shared" si="38"/>
        <v>0.2696255684957769</v>
      </c>
      <c r="AB44" s="192"/>
      <c r="AC44" s="192"/>
      <c r="AD44" s="192"/>
      <c r="AE44" s="192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56"/>
      <c r="BY44" s="156"/>
      <c r="BZ44" s="156"/>
      <c r="CA44" s="156"/>
      <c r="CB44" s="156"/>
      <c r="CC44" s="156"/>
      <c r="CD44" s="156"/>
      <c r="CE44" s="156"/>
      <c r="CF44" s="156"/>
      <c r="CG44" s="193">
        <f t="shared" ref="CG44:CL44" si="39">CG33/CC33-1</f>
        <v>0.82093865722105908</v>
      </c>
      <c r="CH44" s="193">
        <f t="shared" si="39"/>
        <v>0.2966872052335312</v>
      </c>
      <c r="CI44" s="193">
        <f t="shared" si="39"/>
        <v>0.29495117104236201</v>
      </c>
      <c r="CJ44" s="193">
        <f t="shared" si="39"/>
        <v>0.29792791243924266</v>
      </c>
      <c r="CK44" s="193">
        <f t="shared" si="39"/>
        <v>0.24145877266276727</v>
      </c>
      <c r="CL44" s="193">
        <f t="shared" si="39"/>
        <v>0.25005709257377506</v>
      </c>
      <c r="CM44" s="194"/>
      <c r="CN44" s="194"/>
      <c r="CO44" s="194"/>
      <c r="CP44" s="194"/>
      <c r="CQ44" s="194"/>
      <c r="CR44" s="194"/>
      <c r="CS44" s="194"/>
      <c r="CT44" s="194"/>
      <c r="CU44" s="194"/>
      <c r="CV44" s="194"/>
      <c r="CW44" s="194"/>
      <c r="CX44" s="194"/>
      <c r="CY44" s="194"/>
      <c r="CZ44" s="194"/>
      <c r="DA44" s="194"/>
      <c r="DB44" s="194"/>
      <c r="DE44" s="159"/>
    </row>
    <row r="45" spans="1:109" s="158" customFormat="1" x14ac:dyDescent="0.2">
      <c r="A45" s="185" t="s">
        <v>559</v>
      </c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91">
        <f t="shared" si="38"/>
        <v>1.2351561469849535</v>
      </c>
      <c r="AA45" s="192">
        <f t="shared" si="38"/>
        <v>0.14154473143260726</v>
      </c>
      <c r="AB45" s="192">
        <f t="shared" si="38"/>
        <v>0.23486621033953692</v>
      </c>
      <c r="AC45" s="192">
        <f t="shared" si="38"/>
        <v>2.6788872681916098E-2</v>
      </c>
      <c r="AD45" s="192">
        <f t="shared" si="38"/>
        <v>1.7514604632038688E-2</v>
      </c>
      <c r="AE45" s="192">
        <f t="shared" si="38"/>
        <v>4.0060040009992637E-3</v>
      </c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  <c r="BJ45" s="156"/>
      <c r="BK45" s="156"/>
      <c r="BL45" s="156"/>
      <c r="BM45" s="156"/>
      <c r="BN45" s="156"/>
      <c r="BO45" s="156"/>
      <c r="BP45" s="156"/>
      <c r="BQ45" s="156"/>
      <c r="BR45" s="156"/>
      <c r="BS45" s="156"/>
      <c r="BT45" s="156"/>
      <c r="BU45" s="156"/>
      <c r="BV45" s="156"/>
      <c r="BW45" s="156"/>
      <c r="BX45" s="156"/>
      <c r="BY45" s="156"/>
      <c r="BZ45" s="156"/>
      <c r="CA45" s="156"/>
      <c r="CB45" s="156"/>
      <c r="CC45" s="156"/>
      <c r="CD45" s="156"/>
      <c r="CE45" s="156"/>
      <c r="CF45" s="156"/>
      <c r="CG45" s="193">
        <f t="shared" ref="CG45:CL45" si="40">CG34/CC34-1</f>
        <v>0.23823828691032012</v>
      </c>
      <c r="CH45" s="193">
        <f t="shared" si="40"/>
        <v>0.18102525321188234</v>
      </c>
      <c r="CI45" s="193">
        <f t="shared" si="40"/>
        <v>4.4593944640838767E-2</v>
      </c>
      <c r="CJ45" s="193">
        <f t="shared" si="40"/>
        <v>0.26063113334616106</v>
      </c>
      <c r="CK45" s="193">
        <f t="shared" si="40"/>
        <v>0.10799565917163823</v>
      </c>
      <c r="CL45" s="193">
        <f t="shared" si="40"/>
        <v>0.15833382582307887</v>
      </c>
      <c r="CM45" s="194">
        <f t="shared" ref="CM45:DB50" si="41">CM34/CI34-1</f>
        <v>0.4487312766338476</v>
      </c>
      <c r="CN45" s="194">
        <f t="shared" si="41"/>
        <v>0.23267868909665124</v>
      </c>
      <c r="CO45" s="194">
        <f t="shared" si="41"/>
        <v>0.18395577260972074</v>
      </c>
      <c r="CP45" s="194">
        <f t="shared" si="41"/>
        <v>0.12010888238879058</v>
      </c>
      <c r="CQ45" s="194">
        <f t="shared" si="41"/>
        <v>1.3033031009999752E-2</v>
      </c>
      <c r="CR45" s="194">
        <f t="shared" si="41"/>
        <v>2.214122009999997E-2</v>
      </c>
      <c r="CS45" s="194">
        <f t="shared" si="41"/>
        <v>3.1331301000000034E-2</v>
      </c>
      <c r="CT45" s="194">
        <f t="shared" si="41"/>
        <v>4.0604010000000024E-2</v>
      </c>
      <c r="CU45" s="194">
        <f t="shared" si="41"/>
        <v>3.1331301000000034E-2</v>
      </c>
      <c r="CV45" s="194">
        <f t="shared" si="41"/>
        <v>2.2141220099999526E-2</v>
      </c>
      <c r="CW45" s="194">
        <f t="shared" si="41"/>
        <v>1.3033031009999752E-2</v>
      </c>
      <c r="CX45" s="194">
        <f t="shared" si="41"/>
        <v>4.0060040009994857E-3</v>
      </c>
      <c r="CY45" s="194">
        <f t="shared" si="41"/>
        <v>4.0060040009994857E-3</v>
      </c>
      <c r="CZ45" s="194">
        <f t="shared" si="41"/>
        <v>4.0060040009997078E-3</v>
      </c>
      <c r="DA45" s="194">
        <f t="shared" si="41"/>
        <v>4.0060040009994857E-3</v>
      </c>
      <c r="DB45" s="194">
        <f t="shared" si="41"/>
        <v>4.0060040009997078E-3</v>
      </c>
      <c r="DE45" s="159"/>
    </row>
    <row r="46" spans="1:109" s="158" customFormat="1" x14ac:dyDescent="0.2">
      <c r="A46" s="155" t="s">
        <v>560</v>
      </c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91">
        <f t="shared" si="38"/>
        <v>1.2888786168906297</v>
      </c>
      <c r="AA46" s="192">
        <f t="shared" si="38"/>
        <v>5.3936407376709905E-2</v>
      </c>
      <c r="AB46" s="192">
        <f t="shared" si="38"/>
        <v>0.2162936845501886</v>
      </c>
      <c r="AC46" s="192">
        <f t="shared" si="38"/>
        <v>4.0060040009997078E-3</v>
      </c>
      <c r="AD46" s="192">
        <f t="shared" si="38"/>
        <v>4.0060040009997078E-3</v>
      </c>
      <c r="AE46" s="192">
        <f t="shared" si="38"/>
        <v>4.0060040009994857E-3</v>
      </c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/>
      <c r="BP46" s="156"/>
      <c r="BQ46" s="156"/>
      <c r="BR46" s="156"/>
      <c r="BS46" s="156"/>
      <c r="BT46" s="156"/>
      <c r="BU46" s="156"/>
      <c r="BV46" s="156"/>
      <c r="BW46" s="156"/>
      <c r="BX46" s="156"/>
      <c r="BY46" s="156"/>
      <c r="BZ46" s="156"/>
      <c r="CA46" s="156"/>
      <c r="CB46" s="156"/>
      <c r="CC46" s="156"/>
      <c r="CD46" s="156"/>
      <c r="CE46" s="156"/>
      <c r="CF46" s="156"/>
      <c r="CG46" s="193">
        <f t="shared" ref="CG46:CL46" si="42">CG35/CC35-1</f>
        <v>0.50530928996940894</v>
      </c>
      <c r="CH46" s="193">
        <f t="shared" si="42"/>
        <v>1.2413471778487617E-2</v>
      </c>
      <c r="CI46" s="193">
        <f t="shared" si="42"/>
        <v>-1.7623249554069909E-2</v>
      </c>
      <c r="CJ46" s="193">
        <f t="shared" si="42"/>
        <v>0.16365950770414872</v>
      </c>
      <c r="CK46" s="193">
        <f t="shared" si="42"/>
        <v>-7.2013019767096953E-2</v>
      </c>
      <c r="CL46" s="193">
        <f t="shared" si="42"/>
        <v>0.16224976167778848</v>
      </c>
      <c r="CM46" s="194">
        <f t="shared" si="41"/>
        <v>0.35625969091522558</v>
      </c>
      <c r="CN46" s="194">
        <f t="shared" si="41"/>
        <v>0.21769227388653678</v>
      </c>
      <c r="CO46" s="194">
        <f t="shared" si="41"/>
        <v>0.23703642526527968</v>
      </c>
      <c r="CP46" s="194">
        <f t="shared" si="41"/>
        <v>8.5212371971668865E-2</v>
      </c>
      <c r="CQ46" s="194">
        <f t="shared" si="41"/>
        <v>4.0060040009997078E-3</v>
      </c>
      <c r="CR46" s="194">
        <f t="shared" si="41"/>
        <v>4.0060040009994857E-3</v>
      </c>
      <c r="CS46" s="194">
        <f t="shared" si="41"/>
        <v>4.0060040009997078E-3</v>
      </c>
      <c r="CT46" s="194">
        <f t="shared" si="41"/>
        <v>4.0060040009994857E-3</v>
      </c>
      <c r="CU46" s="194">
        <f t="shared" si="41"/>
        <v>4.0060040009997078E-3</v>
      </c>
      <c r="CV46" s="194">
        <f t="shared" si="41"/>
        <v>4.0060040009997078E-3</v>
      </c>
      <c r="CW46" s="194">
        <f t="shared" si="41"/>
        <v>4.0060040009994857E-3</v>
      </c>
      <c r="CX46" s="194">
        <f t="shared" si="41"/>
        <v>4.0060040009994857E-3</v>
      </c>
      <c r="CY46" s="194">
        <f t="shared" si="41"/>
        <v>4.0060040009994857E-3</v>
      </c>
      <c r="CZ46" s="194">
        <f t="shared" si="41"/>
        <v>4.0060040009994857E-3</v>
      </c>
      <c r="DA46" s="194">
        <f t="shared" si="41"/>
        <v>4.0060040009997078E-3</v>
      </c>
      <c r="DB46" s="194">
        <f t="shared" si="41"/>
        <v>4.0060040009997078E-3</v>
      </c>
      <c r="DE46" s="159"/>
    </row>
    <row r="47" spans="1:109" s="158" customFormat="1" x14ac:dyDescent="0.2">
      <c r="A47" s="155" t="s">
        <v>561</v>
      </c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91">
        <f t="shared" si="38"/>
        <v>0.77447008777034543</v>
      </c>
      <c r="AA47" s="192">
        <f t="shared" si="38"/>
        <v>0.25084628401315312</v>
      </c>
      <c r="AB47" s="192">
        <f t="shared" si="38"/>
        <v>-1.4553455121700809E-2</v>
      </c>
      <c r="AC47" s="192">
        <f t="shared" si="38"/>
        <v>4.0060040009994857E-3</v>
      </c>
      <c r="AD47" s="192">
        <f t="shared" si="38"/>
        <v>4.0060040009994857E-3</v>
      </c>
      <c r="AE47" s="192">
        <f t="shared" si="38"/>
        <v>4.0060040009997078E-3</v>
      </c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  <c r="BJ47" s="156"/>
      <c r="BK47" s="156"/>
      <c r="BL47" s="156"/>
      <c r="BM47" s="156"/>
      <c r="BN47" s="156"/>
      <c r="BO47" s="156"/>
      <c r="BP47" s="156"/>
      <c r="BQ47" s="156"/>
      <c r="BR47" s="156"/>
      <c r="BS47" s="156"/>
      <c r="BT47" s="156"/>
      <c r="BU47" s="156"/>
      <c r="BV47" s="156"/>
      <c r="BW47" s="156"/>
      <c r="BX47" s="156"/>
      <c r="BY47" s="156"/>
      <c r="BZ47" s="156"/>
      <c r="CA47" s="156"/>
      <c r="CB47" s="156"/>
      <c r="CC47" s="156"/>
      <c r="CD47" s="156"/>
      <c r="CE47" s="156"/>
      <c r="CF47" s="156"/>
      <c r="CG47" s="193">
        <f t="shared" ref="CG47:CL47" si="43">CG36/CC36-1</f>
        <v>-0.17230061035406385</v>
      </c>
      <c r="CH47" s="193">
        <f t="shared" si="43"/>
        <v>-0.25191122774988584</v>
      </c>
      <c r="CI47" s="193">
        <f t="shared" si="43"/>
        <v>0.59537984272419031</v>
      </c>
      <c r="CJ47" s="193">
        <f t="shared" si="43"/>
        <v>-5.7989922334736654E-2</v>
      </c>
      <c r="CK47" s="193">
        <f t="shared" si="43"/>
        <v>2.7414156686428104E-2</v>
      </c>
      <c r="CL47" s="193">
        <f t="shared" si="43"/>
        <v>0.44451041808525105</v>
      </c>
      <c r="CM47" s="194">
        <f t="shared" si="41"/>
        <v>-0.29908368849267164</v>
      </c>
      <c r="CN47" s="194">
        <f t="shared" si="41"/>
        <v>0.16088178163102063</v>
      </c>
      <c r="CO47" s="194">
        <f t="shared" si="41"/>
        <v>0.33656657278202884</v>
      </c>
      <c r="CP47" s="194">
        <f t="shared" si="41"/>
        <v>-2.2894185434769954E-2</v>
      </c>
      <c r="CQ47" s="194">
        <f t="shared" si="41"/>
        <v>4.0060040009992637E-3</v>
      </c>
      <c r="CR47" s="194">
        <f t="shared" si="41"/>
        <v>4.0060040009994857E-3</v>
      </c>
      <c r="CS47" s="194">
        <f t="shared" si="41"/>
        <v>4.0060040009994857E-3</v>
      </c>
      <c r="CT47" s="194">
        <f t="shared" si="41"/>
        <v>4.0060040009992637E-3</v>
      </c>
      <c r="CU47" s="194">
        <f t="shared" si="41"/>
        <v>4.0060040009997078E-3</v>
      </c>
      <c r="CV47" s="194">
        <f t="shared" si="41"/>
        <v>4.0060040009997078E-3</v>
      </c>
      <c r="CW47" s="194">
        <f t="shared" si="41"/>
        <v>4.0060040009994857E-3</v>
      </c>
      <c r="CX47" s="194">
        <f t="shared" si="41"/>
        <v>4.0060040009994857E-3</v>
      </c>
      <c r="CY47" s="194">
        <f t="shared" si="41"/>
        <v>4.0060040009997078E-3</v>
      </c>
      <c r="CZ47" s="194">
        <f t="shared" si="41"/>
        <v>4.0060040009997078E-3</v>
      </c>
      <c r="DA47" s="194">
        <f t="shared" si="41"/>
        <v>4.0060040009997078E-3</v>
      </c>
      <c r="DB47" s="194">
        <f t="shared" si="41"/>
        <v>4.0060040009999298E-3</v>
      </c>
      <c r="DE47" s="159"/>
    </row>
    <row r="48" spans="1:109" s="158" customFormat="1" x14ac:dyDescent="0.2">
      <c r="A48" s="185" t="s">
        <v>562</v>
      </c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91">
        <f t="shared" si="38"/>
        <v>1.0640418101514393</v>
      </c>
      <c r="AA48" s="192">
        <f t="shared" si="38"/>
        <v>0.12792707404935277</v>
      </c>
      <c r="AB48" s="192">
        <f t="shared" si="38"/>
        <v>0.12009771870347552</v>
      </c>
      <c r="AC48" s="192">
        <f t="shared" si="38"/>
        <v>4.0060040009997078E-3</v>
      </c>
      <c r="AD48" s="192">
        <f t="shared" si="38"/>
        <v>4.0060040009997078E-3</v>
      </c>
      <c r="AE48" s="192">
        <f t="shared" si="38"/>
        <v>4.0060040009997078E-3</v>
      </c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/>
      <c r="BL48" s="156"/>
      <c r="BM48" s="156"/>
      <c r="BN48" s="156"/>
      <c r="BO48" s="156"/>
      <c r="BP48" s="156"/>
      <c r="BQ48" s="156"/>
      <c r="BR48" s="156"/>
      <c r="BS48" s="156"/>
      <c r="BT48" s="156"/>
      <c r="BU48" s="156"/>
      <c r="BV48" s="156"/>
      <c r="BW48" s="156"/>
      <c r="BX48" s="156"/>
      <c r="BY48" s="156"/>
      <c r="BZ48" s="156"/>
      <c r="CA48" s="156"/>
      <c r="CB48" s="156"/>
      <c r="CC48" s="156"/>
      <c r="CD48" s="156"/>
      <c r="CE48" s="156"/>
      <c r="CF48" s="156"/>
      <c r="CG48" s="193">
        <f t="shared" ref="CG48:CL48" si="44">CG37/CC37-1</f>
        <v>0.18813018769033651</v>
      </c>
      <c r="CH48" s="193">
        <f t="shared" si="44"/>
        <v>-9.6426110380254282E-2</v>
      </c>
      <c r="CI48" s="193">
        <f t="shared" si="44"/>
        <v>0.23258209423297527</v>
      </c>
      <c r="CJ48" s="193">
        <f t="shared" si="44"/>
        <v>6.866689483034083E-2</v>
      </c>
      <c r="CK48" s="193">
        <f t="shared" si="44"/>
        <v>-3.9591114401817173E-2</v>
      </c>
      <c r="CL48" s="193">
        <f t="shared" si="44"/>
        <v>0.25847498545305991</v>
      </c>
      <c r="CM48" s="194">
        <f t="shared" si="41"/>
        <v>1.0040547077091233E-2</v>
      </c>
      <c r="CN48" s="194">
        <f t="shared" si="41"/>
        <v>0.1962305323677862</v>
      </c>
      <c r="CO48" s="194">
        <f t="shared" si="41"/>
        <v>0.27175624416647137</v>
      </c>
      <c r="CP48" s="194">
        <f t="shared" si="41"/>
        <v>4.2909806030018816E-2</v>
      </c>
      <c r="CQ48" s="194">
        <f t="shared" si="41"/>
        <v>4.0060040009994857E-3</v>
      </c>
      <c r="CR48" s="194">
        <f t="shared" si="41"/>
        <v>4.0060040009994857E-3</v>
      </c>
      <c r="CS48" s="194">
        <f t="shared" si="41"/>
        <v>4.0060040009994857E-3</v>
      </c>
      <c r="CT48" s="194">
        <f t="shared" si="41"/>
        <v>4.0060040009994857E-3</v>
      </c>
      <c r="CU48" s="194">
        <f t="shared" si="41"/>
        <v>4.0060040009997078E-3</v>
      </c>
      <c r="CV48" s="194">
        <f t="shared" si="41"/>
        <v>4.0060040009997078E-3</v>
      </c>
      <c r="CW48" s="194">
        <f t="shared" si="41"/>
        <v>4.0060040009994857E-3</v>
      </c>
      <c r="CX48" s="194">
        <f t="shared" si="41"/>
        <v>4.0060040009994857E-3</v>
      </c>
      <c r="CY48" s="194">
        <f t="shared" si="41"/>
        <v>4.0060040009997078E-3</v>
      </c>
      <c r="CZ48" s="194">
        <f t="shared" si="41"/>
        <v>4.0060040009994857E-3</v>
      </c>
      <c r="DA48" s="194">
        <f t="shared" si="41"/>
        <v>4.0060040009997078E-3</v>
      </c>
      <c r="DB48" s="194">
        <f t="shared" si="41"/>
        <v>4.0060040009997078E-3</v>
      </c>
      <c r="DE48" s="159"/>
    </row>
    <row r="49" spans="1:110" s="158" customFormat="1" x14ac:dyDescent="0.2">
      <c r="A49" s="185" t="s">
        <v>563</v>
      </c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91">
        <f t="shared" si="38"/>
        <v>1.6246348230307999</v>
      </c>
      <c r="AA49" s="192">
        <f t="shared" si="38"/>
        <v>4.1778820070354827E-2</v>
      </c>
      <c r="AB49" s="192">
        <f t="shared" si="38"/>
        <v>0.60790077597238823</v>
      </c>
      <c r="AC49" s="192">
        <f t="shared" si="38"/>
        <v>0.50595669337337323</v>
      </c>
      <c r="AD49" s="192">
        <f t="shared" si="38"/>
        <v>5.9710575817484068E-2</v>
      </c>
      <c r="AE49" s="192">
        <f t="shared" si="38"/>
        <v>4.0060040009994857E-3</v>
      </c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  <c r="BJ49" s="156"/>
      <c r="BK49" s="156"/>
      <c r="BL49" s="156"/>
      <c r="BM49" s="156"/>
      <c r="BN49" s="156"/>
      <c r="BO49" s="156"/>
      <c r="BP49" s="156"/>
      <c r="BQ49" s="156"/>
      <c r="BR49" s="156"/>
      <c r="BS49" s="156"/>
      <c r="BT49" s="156"/>
      <c r="BU49" s="156"/>
      <c r="BV49" s="156"/>
      <c r="BW49" s="156"/>
      <c r="BX49" s="156"/>
      <c r="BY49" s="156"/>
      <c r="BZ49" s="156"/>
      <c r="CA49" s="156"/>
      <c r="CB49" s="156"/>
      <c r="CC49" s="156"/>
      <c r="CD49" s="156"/>
      <c r="CE49" s="156"/>
      <c r="CF49" s="156"/>
      <c r="CG49" s="193">
        <f t="shared" ref="CG49:CL49" si="45">CG38/CC38-1</f>
        <v>0.21395910481403946</v>
      </c>
      <c r="CH49" s="193">
        <f t="shared" si="45"/>
        <v>0.57098642172523917</v>
      </c>
      <c r="CI49" s="193">
        <f t="shared" si="45"/>
        <v>0.13955703051727864</v>
      </c>
      <c r="CJ49" s="193">
        <f t="shared" si="45"/>
        <v>0.16365950770414872</v>
      </c>
      <c r="CK49" s="193">
        <f t="shared" si="45"/>
        <v>-0.31505722887571452</v>
      </c>
      <c r="CL49" s="193">
        <f t="shared" si="45"/>
        <v>0.2037586817377095</v>
      </c>
      <c r="CM49" s="194">
        <f t="shared" si="41"/>
        <v>0.38640977879635807</v>
      </c>
      <c r="CN49" s="194">
        <f t="shared" si="41"/>
        <v>0.39413339928642266</v>
      </c>
      <c r="CO49" s="194">
        <f t="shared" si="41"/>
        <v>1.3175498742725034</v>
      </c>
      <c r="CP49" s="194">
        <f t="shared" si="41"/>
        <v>0.58130945630157438</v>
      </c>
      <c r="CQ49" s="194">
        <f t="shared" si="41"/>
        <v>0.46037236945599957</v>
      </c>
      <c r="CR49" s="194">
        <f t="shared" si="41"/>
        <v>0.64291891563799952</v>
      </c>
      <c r="CS49" s="194">
        <f t="shared" si="41"/>
        <v>0.5896761730015827</v>
      </c>
      <c r="CT49" s="194">
        <f t="shared" si="41"/>
        <v>0.3625795768584994</v>
      </c>
      <c r="CU49" s="194">
        <f t="shared" si="41"/>
        <v>0.19225712975118703</v>
      </c>
      <c r="CV49" s="194">
        <f t="shared" si="41"/>
        <v>5.9784115334388543E-2</v>
      </c>
      <c r="CW49" s="194">
        <f t="shared" si="41"/>
        <v>4.0060040009994857E-3</v>
      </c>
      <c r="CX49" s="194">
        <f t="shared" si="41"/>
        <v>4.0060040009994857E-3</v>
      </c>
      <c r="CY49" s="194">
        <f t="shared" si="41"/>
        <v>4.0060040009994857E-3</v>
      </c>
      <c r="CZ49" s="194">
        <f t="shared" si="41"/>
        <v>4.0060040009992637E-3</v>
      </c>
      <c r="DA49" s="194">
        <f t="shared" si="41"/>
        <v>4.0060040009994857E-3</v>
      </c>
      <c r="DB49" s="194">
        <f t="shared" si="41"/>
        <v>4.0060040009997078E-3</v>
      </c>
      <c r="DE49" s="159"/>
    </row>
    <row r="50" spans="1:110" s="158" customFormat="1" x14ac:dyDescent="0.2">
      <c r="A50" s="185" t="s">
        <v>564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91">
        <f t="shared" si="38"/>
        <v>1.1607221188607038</v>
      </c>
      <c r="AA50" s="192">
        <f t="shared" si="38"/>
        <v>0.13216192092966272</v>
      </c>
      <c r="AB50" s="192">
        <f t="shared" si="38"/>
        <v>0.19151229174553386</v>
      </c>
      <c r="AC50" s="192">
        <f t="shared" si="38"/>
        <v>3.46267011851078E-2</v>
      </c>
      <c r="AD50" s="192">
        <f t="shared" si="38"/>
        <v>1.4041803805415976E-2</v>
      </c>
      <c r="AE50" s="192">
        <f t="shared" si="38"/>
        <v>4.0060040009994857E-3</v>
      </c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6"/>
      <c r="BN50" s="156"/>
      <c r="BO50" s="156"/>
      <c r="BP50" s="156"/>
      <c r="BQ50" s="156"/>
      <c r="BR50" s="156"/>
      <c r="BS50" s="156"/>
      <c r="BT50" s="156"/>
      <c r="BU50" s="156"/>
      <c r="BV50" s="156"/>
      <c r="BW50" s="156"/>
      <c r="BX50" s="156"/>
      <c r="BY50" s="156"/>
      <c r="BZ50" s="156"/>
      <c r="CA50" s="156"/>
      <c r="CB50" s="156"/>
      <c r="CC50" s="156"/>
      <c r="CD50" s="156"/>
      <c r="CE50" s="156"/>
      <c r="CF50" s="156"/>
      <c r="CG50" s="193">
        <f t="shared" ref="CG50:CL50" si="46">CG39/CC39-1</f>
        <v>0.21395910481403946</v>
      </c>
      <c r="CH50" s="193">
        <f t="shared" si="46"/>
        <v>4.7324281150159742E-2</v>
      </c>
      <c r="CI50" s="193">
        <f t="shared" si="46"/>
        <v>0.13955703051727864</v>
      </c>
      <c r="CJ50" s="193">
        <f t="shared" si="46"/>
        <v>0.16365950770414872</v>
      </c>
      <c r="CK50" s="193">
        <f t="shared" si="46"/>
        <v>2.7414156686428104E-2</v>
      </c>
      <c r="CL50" s="193">
        <f t="shared" si="46"/>
        <v>0.2037586817377095</v>
      </c>
      <c r="CM50" s="194">
        <f t="shared" si="41"/>
        <v>0.21435554503364207</v>
      </c>
      <c r="CN50" s="194">
        <f t="shared" si="41"/>
        <v>0.22112065987435514</v>
      </c>
      <c r="CO50" s="194">
        <f t="shared" si="41"/>
        <v>0.24438185741237906</v>
      </c>
      <c r="CP50" s="194">
        <f t="shared" si="41"/>
        <v>9.8433324481139062E-2</v>
      </c>
      <c r="CQ50" s="194">
        <f t="shared" si="41"/>
        <v>2.4375267232249254E-2</v>
      </c>
      <c r="CR50" s="194">
        <f t="shared" si="41"/>
        <v>3.540866651614194E-2</v>
      </c>
      <c r="CS50" s="194">
        <f t="shared" si="41"/>
        <v>4.0120292375656508E-2</v>
      </c>
      <c r="CT50" s="194">
        <f t="shared" si="41"/>
        <v>3.8525428999931055E-2</v>
      </c>
      <c r="CU50" s="194">
        <f t="shared" si="41"/>
        <v>2.7382812605200701E-2</v>
      </c>
      <c r="CV50" s="194">
        <f t="shared" si="41"/>
        <v>1.6434937475834799E-2</v>
      </c>
      <c r="CW50" s="194">
        <f t="shared" si="41"/>
        <v>8.6898636120384953E-3</v>
      </c>
      <c r="CX50" s="194">
        <f t="shared" si="41"/>
        <v>4.0060040009994857E-3</v>
      </c>
      <c r="CY50" s="194">
        <f t="shared" si="41"/>
        <v>4.0060040009997078E-3</v>
      </c>
      <c r="CZ50" s="194">
        <f t="shared" si="41"/>
        <v>4.0060040009997078E-3</v>
      </c>
      <c r="DA50" s="194">
        <f t="shared" si="41"/>
        <v>4.0060040009997078E-3</v>
      </c>
      <c r="DB50" s="194">
        <f t="shared" si="41"/>
        <v>4.0060040009997078E-3</v>
      </c>
      <c r="DE50" s="159"/>
    </row>
    <row r="51" spans="1:110" s="158" customFormat="1" x14ac:dyDescent="0.2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7"/>
      <c r="AB51" s="157"/>
      <c r="AC51" s="157"/>
      <c r="AD51" s="157"/>
      <c r="AE51" s="157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/>
      <c r="BL51" s="156"/>
      <c r="BM51" s="156"/>
      <c r="BN51" s="156"/>
      <c r="BO51" s="156"/>
      <c r="BP51" s="156"/>
      <c r="BQ51" s="156"/>
      <c r="BR51" s="156"/>
      <c r="BS51" s="156"/>
      <c r="BT51" s="156"/>
      <c r="BU51" s="156"/>
      <c r="BV51" s="156"/>
      <c r="BW51" s="156"/>
      <c r="BX51" s="156"/>
      <c r="BY51" s="156"/>
      <c r="BZ51" s="156"/>
      <c r="CA51" s="156"/>
      <c r="CB51" s="156"/>
      <c r="CC51" s="156"/>
      <c r="CD51" s="156"/>
      <c r="CE51" s="156"/>
      <c r="CF51" s="156"/>
      <c r="CG51" s="156"/>
      <c r="CH51" s="156"/>
      <c r="CI51" s="156"/>
      <c r="CJ51" s="156"/>
      <c r="CK51" s="156"/>
      <c r="CL51" s="156"/>
      <c r="CM51" s="157"/>
      <c r="CN51" s="157"/>
      <c r="CO51" s="157"/>
      <c r="CP51" s="157"/>
      <c r="CQ51" s="157"/>
      <c r="CR51" s="157"/>
      <c r="CS51" s="157"/>
      <c r="CT51" s="157"/>
      <c r="CU51" s="157"/>
      <c r="CV51" s="157"/>
      <c r="CW51" s="157"/>
      <c r="CX51" s="157"/>
      <c r="CY51" s="157"/>
      <c r="CZ51" s="157"/>
      <c r="DA51" s="157"/>
      <c r="DB51" s="157"/>
      <c r="DE51" s="159"/>
    </row>
    <row r="52" spans="1:110" s="158" customFormat="1" x14ac:dyDescent="0.2">
      <c r="A52" s="155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7"/>
      <c r="AB52" s="157"/>
      <c r="AC52" s="157"/>
      <c r="AD52" s="157"/>
      <c r="AE52" s="157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156"/>
      <c r="BW52" s="156"/>
      <c r="BX52" s="156"/>
      <c r="BY52" s="156"/>
      <c r="BZ52" s="156"/>
      <c r="CA52" s="156"/>
      <c r="CB52" s="156"/>
      <c r="CC52" s="156"/>
      <c r="CD52" s="156"/>
      <c r="CE52" s="156"/>
      <c r="CF52" s="156"/>
      <c r="CG52" s="156"/>
      <c r="CH52" s="156"/>
      <c r="CI52" s="156"/>
      <c r="CJ52" s="156"/>
      <c r="CK52" s="156"/>
      <c r="CL52" s="156"/>
      <c r="CM52" s="157"/>
      <c r="CN52" s="157"/>
      <c r="CO52" s="157"/>
      <c r="CP52" s="157"/>
      <c r="CQ52" s="157"/>
      <c r="CR52" s="157"/>
      <c r="CS52" s="157"/>
      <c r="CT52" s="157"/>
      <c r="CU52" s="157"/>
      <c r="CV52" s="157"/>
      <c r="CW52" s="157"/>
      <c r="CX52" s="157"/>
      <c r="CY52" s="157"/>
      <c r="CZ52" s="157"/>
      <c r="DA52" s="157"/>
      <c r="DB52" s="157"/>
      <c r="DE52" s="159"/>
    </row>
    <row r="53" spans="1:110" s="106" customFormat="1" x14ac:dyDescent="0.2">
      <c r="A53" s="151" t="s">
        <v>499</v>
      </c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5"/>
      <c r="AB53" s="105"/>
      <c r="AC53" s="105"/>
      <c r="AD53" s="105"/>
      <c r="AE53" s="105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  <c r="BY53" s="104"/>
      <c r="BZ53" s="104"/>
      <c r="CA53" s="104"/>
      <c r="CB53" s="104"/>
      <c r="CC53" s="104"/>
      <c r="CD53" s="104"/>
      <c r="CE53" s="104"/>
      <c r="CF53" s="104"/>
      <c r="CG53" s="104"/>
      <c r="CH53" s="104"/>
      <c r="CI53" s="104"/>
      <c r="CJ53" s="104"/>
      <c r="CK53" s="104"/>
      <c r="CL53" s="104"/>
      <c r="CM53" s="105"/>
      <c r="CN53" s="105"/>
      <c r="CO53" s="105"/>
      <c r="CP53" s="105"/>
      <c r="CQ53" s="105"/>
      <c r="CR53" s="105"/>
      <c r="CS53" s="105"/>
      <c r="CT53" s="105"/>
      <c r="CU53" s="105"/>
      <c r="CV53" s="105"/>
      <c r="CW53" s="105"/>
      <c r="CX53" s="105"/>
      <c r="CY53" s="105"/>
      <c r="CZ53" s="105"/>
      <c r="DA53" s="105"/>
      <c r="DB53" s="105"/>
      <c r="DE53" s="118"/>
    </row>
    <row r="54" spans="1:110" s="106" customFormat="1" x14ac:dyDescent="0.2">
      <c r="A54" s="151" t="s">
        <v>484</v>
      </c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05"/>
      <c r="AC54" s="105"/>
      <c r="AD54" s="105"/>
      <c r="AE54" s="105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8"/>
      <c r="AX54" s="118"/>
      <c r="AY54" s="118"/>
      <c r="AZ54" s="118"/>
      <c r="BA54" s="118"/>
      <c r="BB54" s="118"/>
      <c r="BC54" s="118"/>
      <c r="BD54" s="118"/>
      <c r="BE54" s="118"/>
      <c r="BF54" s="118"/>
      <c r="BG54" s="118"/>
      <c r="BH54" s="118"/>
      <c r="BI54" s="118"/>
      <c r="BJ54" s="118"/>
      <c r="BK54" s="118"/>
      <c r="BL54" s="118"/>
      <c r="BM54" s="118"/>
      <c r="BN54" s="118"/>
      <c r="BO54" s="118"/>
      <c r="BP54" s="118"/>
      <c r="BQ54" s="118"/>
      <c r="BR54" s="118"/>
      <c r="BS54" s="118"/>
      <c r="BT54" s="118"/>
      <c r="BU54" s="118"/>
      <c r="BV54" s="118"/>
      <c r="BW54" s="118"/>
      <c r="BX54" s="118"/>
      <c r="BY54" s="118"/>
      <c r="BZ54" s="118"/>
      <c r="CA54" s="118"/>
      <c r="CB54" s="118"/>
      <c r="CC54" s="118"/>
      <c r="CD54" s="118"/>
      <c r="CE54" s="118"/>
      <c r="CF54" s="118"/>
      <c r="CG54" s="118"/>
      <c r="CH54" s="118"/>
      <c r="CI54" s="118"/>
      <c r="CJ54" s="160"/>
      <c r="CK54" s="160"/>
      <c r="CL54" s="160"/>
      <c r="CM54" s="105"/>
      <c r="CN54" s="105"/>
      <c r="CO54" s="105"/>
      <c r="CP54" s="105"/>
      <c r="CQ54" s="105"/>
      <c r="CR54" s="105"/>
      <c r="CS54" s="105"/>
      <c r="CT54" s="105"/>
      <c r="CU54" s="105"/>
      <c r="CV54" s="105"/>
      <c r="CW54" s="105"/>
      <c r="CX54" s="105"/>
      <c r="CY54" s="105"/>
      <c r="CZ54" s="105"/>
      <c r="DA54" s="105"/>
      <c r="DB54" s="105"/>
      <c r="DE54" s="118"/>
    </row>
    <row r="55" spans="1:110" s="25" customFormat="1" outlineLevel="1" x14ac:dyDescent="0.2">
      <c r="A55" s="25" t="s">
        <v>429</v>
      </c>
      <c r="B55" s="25">
        <f>'Annual Raw'!C6</f>
        <v>228.618515</v>
      </c>
      <c r="C55" s="25">
        <f>'Annual Raw'!D6</f>
        <v>217.23502680000001</v>
      </c>
      <c r="D55" s="25">
        <f>'Annual Raw'!E6</f>
        <v>225.4564876</v>
      </c>
      <c r="E55" s="25">
        <f>'Annual Raw'!F6</f>
        <v>298.60218639999999</v>
      </c>
      <c r="F55" s="25">
        <f>'Annual Raw'!G6</f>
        <v>311.3615896</v>
      </c>
      <c r="G55" s="25">
        <f>'Annual Raw'!H6</f>
        <v>363.44456489999999</v>
      </c>
      <c r="H55" s="25">
        <f>'Annual Raw'!I6</f>
        <v>554.76020940000001</v>
      </c>
      <c r="I55" s="25">
        <f>'Annual Raw'!J6</f>
        <v>695.05184650000001</v>
      </c>
      <c r="J55" s="25">
        <f>'Annual Raw'!K6</f>
        <v>749.59416329999999</v>
      </c>
      <c r="K55" s="25">
        <f>'Annual Raw'!L6</f>
        <v>854.98256800000001</v>
      </c>
      <c r="L55" s="25">
        <f>'Annual Raw'!M6</f>
        <v>1183.92</v>
      </c>
      <c r="M55" s="25">
        <f>'Annual Raw'!N6</f>
        <v>1424.61</v>
      </c>
      <c r="N55" s="25">
        <f>'Annual Raw'!O6</f>
        <v>1485.21</v>
      </c>
      <c r="O55" s="25">
        <f>'Annual Raw'!P6</f>
        <v>1464.7</v>
      </c>
      <c r="P55" s="25">
        <f>'Annual Raw'!Q6</f>
        <v>1503.72</v>
      </c>
      <c r="Q55" s="25">
        <f>'Annual Raw'!R6</f>
        <v>1537.83</v>
      </c>
      <c r="R55" s="25">
        <f>'Annual Raw'!S6</f>
        <v>1628.16</v>
      </c>
      <c r="S55" s="25">
        <f>'Annual Raw'!T6</f>
        <v>1648.38</v>
      </c>
      <c r="T55" s="25">
        <f>'Annual Raw'!U6</f>
        <v>1873.53</v>
      </c>
      <c r="U55" s="25">
        <f>'Annual Raw'!V6</f>
        <v>1790.11</v>
      </c>
      <c r="V55" s="25">
        <f>'Annual Raw'!W6</f>
        <v>1358.97</v>
      </c>
      <c r="W55" s="25">
        <f>'Annual Raw'!X6</f>
        <v>2437.7600000000002</v>
      </c>
      <c r="X55" s="25">
        <f>'Annual Raw'!Y6</f>
        <v>2712.3</v>
      </c>
      <c r="Y55" s="25">
        <f>'Annual Raw'!Z6</f>
        <v>2628.06</v>
      </c>
      <c r="Z55" s="25">
        <f>'Annual Raw'!AA6</f>
        <v>2856.95</v>
      </c>
      <c r="AA55" s="25">
        <f>'Annual Raw'!AB6</f>
        <v>3234.53</v>
      </c>
      <c r="AB55" s="17">
        <f>+SUM(CM55:CP55)</f>
        <v>3853.982253019682</v>
      </c>
      <c r="AC55" s="17">
        <f>+SUM(CQ55:CT55)</f>
        <v>3987.4329448677026</v>
      </c>
      <c r="AD55" s="17">
        <f>+SUM(CU55:CX55)</f>
        <v>4043.4236959667869</v>
      </c>
      <c r="AE55" s="17">
        <f>+SUM(CY55:DB55)</f>
        <v>4059.6216674705665</v>
      </c>
      <c r="AI55" s="25">
        <f>'QTR Raw'!C6+'QTR Raw'!C8</f>
        <v>412.53999999999996</v>
      </c>
      <c r="AJ55" s="25">
        <f>'QTR Raw'!D6+'QTR Raw'!D8</f>
        <v>385.66</v>
      </c>
      <c r="AK55" s="25">
        <f>'QTR Raw'!E6+'QTR Raw'!E8</f>
        <v>329.46</v>
      </c>
      <c r="AL55" s="25">
        <f>'QTR Raw'!F6+'QTR Raw'!F8</f>
        <v>357.26</v>
      </c>
      <c r="AM55" s="25">
        <f>'QTR Raw'!G6+'QTR Raw'!G8</f>
        <v>367.62</v>
      </c>
      <c r="AN55" s="25">
        <f>'QTR Raw'!H6+'QTR Raw'!H8</f>
        <v>353.03999999999996</v>
      </c>
      <c r="AO55" s="25">
        <f>'QTR Raw'!I6+'QTR Raw'!I8</f>
        <v>349.58</v>
      </c>
      <c r="AP55" s="25">
        <f>'QTR Raw'!J6+'QTR Raw'!J8</f>
        <v>369.38</v>
      </c>
      <c r="AQ55" s="25">
        <f>'QTR Raw'!K6+'QTR Raw'!K8</f>
        <v>375.03000000000003</v>
      </c>
      <c r="AR55" s="25">
        <f>'QTR Raw'!L6+'QTR Raw'!L8</f>
        <v>370.79</v>
      </c>
      <c r="AS55" s="25">
        <f>'QTR Raw'!M6+'QTR Raw'!M8</f>
        <v>369.02</v>
      </c>
      <c r="AT55" s="25">
        <f>'QTR Raw'!N6+'QTR Raw'!N8</f>
        <v>362.1</v>
      </c>
      <c r="AU55" s="25">
        <f>'QTR Raw'!O6+'QTR Raw'!O8</f>
        <v>366.61</v>
      </c>
      <c r="AV55" s="25">
        <f>'QTR Raw'!P6+'QTR Raw'!P8</f>
        <v>401.02000000000004</v>
      </c>
      <c r="AW55" s="25">
        <f>'QTR Raw'!Q6+'QTR Raw'!Q8</f>
        <v>356.39000000000004</v>
      </c>
      <c r="AX55" s="25">
        <f>'QTR Raw'!R6+'QTR Raw'!R8</f>
        <v>385.71</v>
      </c>
      <c r="AY55" s="25">
        <f>'QTR Raw'!S6+'QTR Raw'!S8</f>
        <v>414.97</v>
      </c>
      <c r="AZ55" s="25">
        <f>'QTR Raw'!T6+'QTR Raw'!T8</f>
        <v>435</v>
      </c>
      <c r="BA55" s="25">
        <f>'QTR Raw'!U6+'QTR Raw'!U8</f>
        <v>358.11</v>
      </c>
      <c r="BB55" s="25">
        <f>'QTR Raw'!V6+'QTR Raw'!V8</f>
        <v>422.59</v>
      </c>
      <c r="BC55" s="25">
        <f>'QTR Raw'!W6+'QTR Raw'!W8</f>
        <v>432</v>
      </c>
      <c r="BD55" s="25">
        <f>'QTR Raw'!X6+'QTR Raw'!X8</f>
        <v>371.21</v>
      </c>
      <c r="BE55" s="25">
        <f>'QTR Raw'!Y6+'QTR Raw'!Y8</f>
        <v>416.45</v>
      </c>
      <c r="BF55" s="25">
        <f>'QTR Raw'!Z6+'QTR Raw'!Z8</f>
        <v>429.37</v>
      </c>
      <c r="BG55" s="25">
        <f>'QTR Raw'!AA6+'QTR Raw'!AA8</f>
        <v>473.95</v>
      </c>
      <c r="BH55" s="25">
        <f>'QTR Raw'!AB6+'QTR Raw'!AB8</f>
        <v>471.05</v>
      </c>
      <c r="BI55" s="25">
        <f>'QTR Raw'!AC6+'QTR Raw'!AC8</f>
        <v>440.14</v>
      </c>
      <c r="BJ55" s="25">
        <f>'QTR Raw'!AD6+'QTR Raw'!AD8</f>
        <v>488.39</v>
      </c>
      <c r="BK55" s="25">
        <f>'QTR Raw'!AE6+'QTR Raw'!AE8</f>
        <v>460.64</v>
      </c>
      <c r="BL55" s="25">
        <f>'QTR Raw'!AF6+'QTR Raw'!AF8</f>
        <v>487.69</v>
      </c>
      <c r="BM55" s="25">
        <f>'QTR Raw'!AG6+'QTR Raw'!AG8</f>
        <v>440.28</v>
      </c>
      <c r="BN55" s="25">
        <f>'QTR Raw'!AH6+'QTR Raw'!AH8</f>
        <v>401.5</v>
      </c>
      <c r="BO55" s="25">
        <f>'QTR Raw'!AI6+'QTR Raw'!AI8</f>
        <v>108.86</v>
      </c>
      <c r="BP55" s="25">
        <f>'QTR Raw'!AJ6+'QTR Raw'!AJ8</f>
        <v>312.44</v>
      </c>
      <c r="BQ55" s="25">
        <f>'QTR Raw'!AK6+'QTR Raw'!AK8</f>
        <v>440.25</v>
      </c>
      <c r="BR55" s="25">
        <f>'QTR Raw'!AL6+'QTR Raw'!AL8</f>
        <v>497.42</v>
      </c>
      <c r="BS55" s="25">
        <f>'QTR Raw'!AM6+'QTR Raw'!AM8</f>
        <v>411.17</v>
      </c>
      <c r="BT55" s="25">
        <f>'QTR Raw'!AN6+'QTR Raw'!AN8</f>
        <v>638.67999999999995</v>
      </c>
      <c r="BU55" s="25">
        <f>'QTR Raw'!AO6+'QTR Raw'!AO8</f>
        <v>649.79999999999995</v>
      </c>
      <c r="BV55" s="25">
        <f>'QTR Raw'!AP6+'QTR Raw'!AP8</f>
        <v>738.11</v>
      </c>
      <c r="BW55" s="25">
        <f>'QTR Raw'!AQ6+'QTR Raw'!AQ8</f>
        <v>713.28</v>
      </c>
      <c r="BX55" s="25">
        <f>'QTR Raw'!AR6+'QTR Raw'!AR8</f>
        <v>709.32</v>
      </c>
      <c r="BY55" s="25">
        <f>'QTR Raw'!AS6+'QTR Raw'!AS8</f>
        <v>605</v>
      </c>
      <c r="BZ55" s="25">
        <f>'QTR Raw'!AT6+'QTR Raw'!AT8</f>
        <v>684.7</v>
      </c>
      <c r="CA55" s="25">
        <f>'QTR Raw'!AU6+'QTR Raw'!AU8</f>
        <v>677.1</v>
      </c>
      <c r="CB55" s="25">
        <f>'QTR Raw'!AV6+'QTR Raw'!AV8</f>
        <v>628.74</v>
      </c>
      <c r="CC55" s="25">
        <f>'QTR Raw'!AW6+'QTR Raw'!AW8</f>
        <v>621.1</v>
      </c>
      <c r="CD55" s="25">
        <f>'QTR Raw'!AX6+'QTR Raw'!AX8</f>
        <v>701.12</v>
      </c>
      <c r="CE55" s="25">
        <f>'QTR Raw'!AY6+'QTR Raw'!AY8</f>
        <v>693.05</v>
      </c>
      <c r="CF55" s="25">
        <f>'QTR Raw'!AZ6+'QTR Raw'!AZ8</f>
        <v>675.61</v>
      </c>
      <c r="CG55" s="25">
        <f>'QTR Raw'!BA6+'QTR Raw'!BA8</f>
        <v>753.99</v>
      </c>
      <c r="CH55" s="25">
        <f>'QTR Raw'!BB6+'QTR Raw'!BB8</f>
        <v>734.3</v>
      </c>
      <c r="CI55" s="25">
        <f>'QTR Raw'!BC6+'QTR Raw'!BC8</f>
        <v>789.77</v>
      </c>
      <c r="CJ55" s="25">
        <f>'QTR Raw'!BD6+'QTR Raw'!BD8</f>
        <v>786.18</v>
      </c>
      <c r="CK55" s="25">
        <f>'QTR Raw'!BE6+'QTR Raw'!BE8</f>
        <v>774.66</v>
      </c>
      <c r="CL55" s="25">
        <f>'QTR Raw'!BF6+'QTR Raw'!BF8</f>
        <v>883.92</v>
      </c>
      <c r="CM55" s="17">
        <f>CM39</f>
        <v>959.06157880121941</v>
      </c>
      <c r="CN55" s="17">
        <f t="shared" ref="CN55:DB55" si="47">CN39</f>
        <v>960.0206403800205</v>
      </c>
      <c r="CO55" s="17">
        <f t="shared" si="47"/>
        <v>963.97284966307359</v>
      </c>
      <c r="CP55" s="17">
        <f t="shared" si="47"/>
        <v>970.92718417536844</v>
      </c>
      <c r="CQ55" s="17">
        <f t="shared" si="47"/>
        <v>982.43896107668195</v>
      </c>
      <c r="CR55" s="17">
        <f t="shared" si="47"/>
        <v>994.01369108384961</v>
      </c>
      <c r="CS55" s="17">
        <f t="shared" si="47"/>
        <v>1002.647722233751</v>
      </c>
      <c r="CT55" s="17">
        <f t="shared" si="47"/>
        <v>1008.3325704734195</v>
      </c>
      <c r="CU55" s="17">
        <f t="shared" si="47"/>
        <v>1009.3409030438928</v>
      </c>
      <c r="CV55" s="17">
        <f t="shared" si="47"/>
        <v>1010.3502439469364</v>
      </c>
      <c r="CW55" s="17">
        <f t="shared" si="47"/>
        <v>1011.3605941908834</v>
      </c>
      <c r="CX55" s="17">
        <f t="shared" si="47"/>
        <v>1012.3719547850742</v>
      </c>
      <c r="CY55" s="17">
        <f t="shared" si="47"/>
        <v>1013.3843267398593</v>
      </c>
      <c r="CZ55" s="17">
        <f t="shared" si="47"/>
        <v>1014.397711066599</v>
      </c>
      <c r="DA55" s="17">
        <f t="shared" si="47"/>
        <v>1015.4121087776655</v>
      </c>
      <c r="DB55" s="17">
        <f t="shared" si="47"/>
        <v>1016.4275208864431</v>
      </c>
      <c r="DE55" s="119"/>
      <c r="DF55" s="25">
        <v>803.68308472985007</v>
      </c>
    </row>
    <row r="56" spans="1:110" s="92" customFormat="1" outlineLevel="1" x14ac:dyDescent="0.2">
      <c r="A56" s="92" t="s">
        <v>108</v>
      </c>
      <c r="B56" s="92">
        <f>'Annual Raw'!C7+'Annual Raw'!C8+'Annual Raw'!C9</f>
        <v>45.127429599999999</v>
      </c>
      <c r="C56" s="92">
        <f>'Annual Raw'!D7+'Annual Raw'!D8+'Annual Raw'!D9</f>
        <v>27.553136899999998</v>
      </c>
      <c r="D56" s="92">
        <f>'Annual Raw'!E7+'Annual Raw'!E8+'Annual Raw'!E9</f>
        <v>29.747752599999998</v>
      </c>
      <c r="E56" s="92">
        <f>'Annual Raw'!F7+'Annual Raw'!F8+'Annual Raw'!F9</f>
        <v>31.447641699999998</v>
      </c>
      <c r="F56" s="92">
        <f>'Annual Raw'!G7+'Annual Raw'!G8+'Annual Raw'!G9</f>
        <v>21.784497200000001</v>
      </c>
      <c r="G56" s="92">
        <f>'Annual Raw'!H7+'Annual Raw'!H8+'Annual Raw'!H9</f>
        <v>16.657602799999999</v>
      </c>
      <c r="H56" s="92">
        <f>'Annual Raw'!I7+'Annual Raw'!I8+'Annual Raw'!I9</f>
        <v>2.4015716999999999</v>
      </c>
      <c r="I56" s="92">
        <f>'Annual Raw'!J7+'Annual Raw'!J8+'Annual Raw'!J9</f>
        <v>1.6698029000000001</v>
      </c>
      <c r="J56" s="92">
        <f>'Annual Raw'!K7+'Annual Raw'!K8+'Annual Raw'!K9</f>
        <v>1.3242461999999999</v>
      </c>
      <c r="K56" s="92">
        <f>'Annual Raw'!L7+'Annual Raw'!L8+'Annual Raw'!L9</f>
        <v>2.7346556</v>
      </c>
      <c r="L56" s="92">
        <f>'Annual Raw'!M7+'Annual Raw'!M8+'Annual Raw'!M9</f>
        <v>12.4</v>
      </c>
      <c r="M56" s="92">
        <f>'Annual Raw'!N7+'Annual Raw'!N8+'Annual Raw'!N9</f>
        <v>7.39</v>
      </c>
      <c r="N56" s="92">
        <f>'Annual Raw'!O7+'Annual Raw'!O8+'Annual Raw'!O9</f>
        <v>6.37</v>
      </c>
      <c r="O56" s="92">
        <f>'Annual Raw'!P7+'Annual Raw'!P8+'Annual Raw'!P9</f>
        <v>32.090000000000003</v>
      </c>
      <c r="P56" s="92">
        <f>'Annual Raw'!Q7+'Annual Raw'!Q8+'Annual Raw'!Q9</f>
        <v>35.06</v>
      </c>
      <c r="Q56" s="92">
        <f>'Annual Raw'!R7+'Annual Raw'!R8+'Annual Raw'!R9</f>
        <v>33.43</v>
      </c>
      <c r="R56" s="92">
        <f>'Annual Raw'!S7+'Annual Raw'!S8+'Annual Raw'!S9</f>
        <v>36.729999999999997</v>
      </c>
      <c r="S56" s="92">
        <f>'Annual Raw'!T7+'Annual Raw'!T8+'Annual Raw'!T9</f>
        <v>11.12</v>
      </c>
      <c r="T56" s="92">
        <f>'Annual Raw'!U7+'Annual Raw'!U8+'Annual Raw'!U9</f>
        <v>0</v>
      </c>
      <c r="U56" s="92">
        <f>'Annual Raw'!V7+'Annual Raw'!V8+'Annual Raw'!V9</f>
        <v>0</v>
      </c>
      <c r="V56" s="92">
        <f>'Annual Raw'!W7+'Annual Raw'!W8+'Annual Raw'!W9</f>
        <v>0</v>
      </c>
      <c r="W56" s="92">
        <f>'Annual Raw'!X7+'Annual Raw'!X8+'Annual Raw'!X9</f>
        <v>0</v>
      </c>
      <c r="X56" s="92">
        <f>'Annual Raw'!Y7+'Annual Raw'!Y8+'Annual Raw'!Y9</f>
        <v>0</v>
      </c>
      <c r="Y56" s="92">
        <f>'Annual Raw'!Z7+'Annual Raw'!Z8+'Annual Raw'!Z9</f>
        <v>0</v>
      </c>
      <c r="Z56" s="92">
        <f>'Annual Raw'!AA7+'Annual Raw'!AA8+'Annual Raw'!AA9</f>
        <v>0</v>
      </c>
      <c r="AA56" s="92">
        <f>'Annual Raw'!AB7+'Annual Raw'!AB8+'Annual Raw'!AB9</f>
        <v>0</v>
      </c>
      <c r="AB56" s="76">
        <f>+SUM(CM56:CP56)</f>
        <v>0</v>
      </c>
      <c r="AC56" s="76">
        <f>+SUM(CQ56:CT56)</f>
        <v>0</v>
      </c>
      <c r="AD56" s="76">
        <f>+SUM(CU56:CX56)</f>
        <v>0</v>
      </c>
      <c r="AE56" s="76">
        <f>+SUM(CY56:DB56)</f>
        <v>0</v>
      </c>
      <c r="AI56" s="92">
        <f>+'QTR Raw'!C20+'QTR Raw'!C19+'QTR Raw'!C13+'QTR Raw'!C7</f>
        <v>0</v>
      </c>
      <c r="AJ56" s="92">
        <f>+'QTR Raw'!D20+'QTR Raw'!D19+'QTR Raw'!D13+'QTR Raw'!D7</f>
        <v>0</v>
      </c>
      <c r="AK56" s="92">
        <f>+'QTR Raw'!E20+'QTR Raw'!E19+'QTR Raw'!E13+'QTR Raw'!E7</f>
        <v>0</v>
      </c>
      <c r="AL56" s="92">
        <f>+'QTR Raw'!F20+'QTR Raw'!F19+'QTR Raw'!F13+'QTR Raw'!F7</f>
        <v>0</v>
      </c>
      <c r="AM56" s="92">
        <f>+'QTR Raw'!G20+'QTR Raw'!G19+'QTR Raw'!G13+'QTR Raw'!G7</f>
        <v>0</v>
      </c>
      <c r="AN56" s="92">
        <f>+'QTR Raw'!H20+'QTR Raw'!H19+'QTR Raw'!H13+'QTR Raw'!H7</f>
        <v>0</v>
      </c>
      <c r="AO56" s="92">
        <f>+'QTR Raw'!I20+'QTR Raw'!I19+'QTR Raw'!I13+'QTR Raw'!I7</f>
        <v>0</v>
      </c>
      <c r="AP56" s="92">
        <f>+'QTR Raw'!J20+'QTR Raw'!J19+'QTR Raw'!J13+'QTR Raw'!J7</f>
        <v>0</v>
      </c>
      <c r="AQ56" s="92">
        <f>+'QTR Raw'!K20+'QTR Raw'!K19+'QTR Raw'!K13+'QTR Raw'!K7</f>
        <v>0</v>
      </c>
      <c r="AR56" s="92">
        <f>+'QTR Raw'!L20+'QTR Raw'!L19+'QTR Raw'!L13+'QTR Raw'!L7</f>
        <v>0</v>
      </c>
      <c r="AS56" s="92">
        <f>+'QTR Raw'!M20+'QTR Raw'!M19+'QTR Raw'!M13+'QTR Raw'!M7</f>
        <v>0</v>
      </c>
      <c r="AT56" s="92">
        <f>+'QTR Raw'!N20+'QTR Raw'!N19+'QTR Raw'!N13+'QTR Raw'!N7</f>
        <v>0</v>
      </c>
      <c r="AU56" s="92">
        <f>+'QTR Raw'!O20+'QTR Raw'!O19+'QTR Raw'!O13+'QTR Raw'!O7</f>
        <v>0</v>
      </c>
      <c r="AV56" s="92">
        <f>+'QTR Raw'!P20+'QTR Raw'!P19+'QTR Raw'!P13+'QTR Raw'!P7</f>
        <v>0</v>
      </c>
      <c r="AW56" s="92">
        <f>+'QTR Raw'!Q20+'QTR Raw'!Q19+'QTR Raw'!Q13+'QTR Raw'!Q7</f>
        <v>0</v>
      </c>
      <c r="AX56" s="92">
        <f>+'QTR Raw'!R20+'QTR Raw'!R19+'QTR Raw'!R13+'QTR Raw'!R7</f>
        <v>0</v>
      </c>
      <c r="AY56" s="92">
        <f>+'QTR Raw'!S20+'QTR Raw'!S19+'QTR Raw'!S13+'QTR Raw'!S7</f>
        <v>8.9</v>
      </c>
      <c r="AZ56" s="92">
        <f>+'QTR Raw'!T20+'QTR Raw'!T19+'QTR Raw'!T13+'QTR Raw'!T7</f>
        <v>9.15</v>
      </c>
      <c r="BA56" s="92">
        <f>+'QTR Raw'!U20+'QTR Raw'!U19+'QTR Raw'!U13+'QTR Raw'!U7</f>
        <v>8.44</v>
      </c>
      <c r="BB56" s="92">
        <f>+'QTR Raw'!V20+'QTR Raw'!V19+'QTR Raw'!V13+'QTR Raw'!V7</f>
        <v>10.24</v>
      </c>
      <c r="BC56" s="92">
        <f>+'QTR Raw'!W20+'QTR Raw'!W19+'QTR Raw'!W13+'QTR Raw'!W7</f>
        <v>10.99</v>
      </c>
      <c r="BD56" s="92">
        <f>+'QTR Raw'!X20+'QTR Raw'!X19+'QTR Raw'!X13+'QTR Raw'!X7</f>
        <v>0</v>
      </c>
      <c r="BE56" s="92">
        <f>+'QTR Raw'!Y20+'QTR Raw'!Y19+'QTR Raw'!Y13+'QTR Raw'!Y7</f>
        <v>0</v>
      </c>
      <c r="BF56" s="92">
        <f>+'QTR Raw'!Z20+'QTR Raw'!Z19+'QTR Raw'!Z13+'QTR Raw'!Z7</f>
        <v>0.13</v>
      </c>
      <c r="BG56" s="92">
        <f>+'QTR Raw'!AA20+'QTR Raw'!AA19+'QTR Raw'!AA13+'QTR Raw'!AA7</f>
        <v>0</v>
      </c>
      <c r="BH56" s="92">
        <f>+'QTR Raw'!AB20+'QTR Raw'!AB19+'QTR Raw'!AB13+'QTR Raw'!AB7</f>
        <v>0</v>
      </c>
      <c r="BI56" s="92">
        <f>+'QTR Raw'!AC20+'QTR Raw'!AC19+'QTR Raw'!AC13+'QTR Raw'!AC7</f>
        <v>0</v>
      </c>
      <c r="BJ56" s="92">
        <f>+'QTR Raw'!AD20+'QTR Raw'!AD19+'QTR Raw'!AD13+'QTR Raw'!AD7</f>
        <v>0</v>
      </c>
      <c r="BK56" s="92">
        <f>+'QTR Raw'!AE20+'QTR Raw'!AE19+'QTR Raw'!AE13+'QTR Raw'!AE7</f>
        <v>0</v>
      </c>
      <c r="BL56" s="92">
        <f>+'QTR Raw'!AF20+'QTR Raw'!AF19+'QTR Raw'!AF13+'QTR Raw'!AF7</f>
        <v>0</v>
      </c>
      <c r="BM56" s="92">
        <f>+'QTR Raw'!AG20+'QTR Raw'!AG19+'QTR Raw'!AG13+'QTR Raw'!AG7</f>
        <v>0</v>
      </c>
      <c r="BN56" s="92">
        <f>+'QTR Raw'!AH20+'QTR Raw'!AH19+'QTR Raw'!AH13+'QTR Raw'!AH7</f>
        <v>0</v>
      </c>
      <c r="BO56" s="92">
        <f>+'QTR Raw'!AI20+'QTR Raw'!AI19+'QTR Raw'!AI13+'QTR Raw'!AI7</f>
        <v>0</v>
      </c>
      <c r="BP56" s="92">
        <f>+'QTR Raw'!AJ20+'QTR Raw'!AJ19+'QTR Raw'!AJ13+'QTR Raw'!AJ7</f>
        <v>0</v>
      </c>
      <c r="BQ56" s="92">
        <f>+'QTR Raw'!AK20+'QTR Raw'!AK19+'QTR Raw'!AK13+'QTR Raw'!AK7</f>
        <v>0</v>
      </c>
      <c r="BR56" s="92">
        <f>+'QTR Raw'!AL20+'QTR Raw'!AL19+'QTR Raw'!AL13+'QTR Raw'!AL7</f>
        <v>0</v>
      </c>
      <c r="BS56" s="92">
        <f>+'QTR Raw'!AM20+'QTR Raw'!AM19+'QTR Raw'!AM13+'QTR Raw'!AM7</f>
        <v>0</v>
      </c>
      <c r="BT56" s="92">
        <f>+'QTR Raw'!AN20+'QTR Raw'!AN19+'QTR Raw'!AN13+'QTR Raw'!AN7</f>
        <v>0</v>
      </c>
      <c r="BU56" s="92">
        <f>+'QTR Raw'!AO20+'QTR Raw'!AO19+'QTR Raw'!AO13+'QTR Raw'!AO7</f>
        <v>0</v>
      </c>
      <c r="BV56" s="92">
        <f>+'QTR Raw'!AP20+'QTR Raw'!AP19+'QTR Raw'!AP13+'QTR Raw'!AP7</f>
        <v>0</v>
      </c>
      <c r="BW56" s="92">
        <f>+'QTR Raw'!AQ20+'QTR Raw'!AQ19+'QTR Raw'!AQ13+'QTR Raw'!AQ7</f>
        <v>0</v>
      </c>
      <c r="BX56" s="92">
        <f>+'QTR Raw'!AR20+'QTR Raw'!AR19+'QTR Raw'!AR13+'QTR Raw'!AR7</f>
        <v>0</v>
      </c>
      <c r="BY56" s="92">
        <f>+'QTR Raw'!AS20+'QTR Raw'!AS19+'QTR Raw'!AS13+'QTR Raw'!AS7</f>
        <v>0</v>
      </c>
      <c r="BZ56" s="92">
        <f>+'QTR Raw'!AT20+'QTR Raw'!AT19+'QTR Raw'!AT13+'QTR Raw'!AT7</f>
        <v>0</v>
      </c>
      <c r="CA56" s="92">
        <f>+'QTR Raw'!AU20+'QTR Raw'!AU19+'QTR Raw'!AU13+'QTR Raw'!AU7</f>
        <v>0</v>
      </c>
      <c r="CB56" s="92">
        <f>+'QTR Raw'!AV20+'QTR Raw'!AV19+'QTR Raw'!AV13+'QTR Raw'!AV7</f>
        <v>0</v>
      </c>
      <c r="CC56" s="92">
        <f>+'QTR Raw'!AW20+'QTR Raw'!AW19+'QTR Raw'!AW13+'QTR Raw'!AW7</f>
        <v>0</v>
      </c>
      <c r="CD56" s="92">
        <f>+'QTR Raw'!AX20+'QTR Raw'!AX19+'QTR Raw'!AX13+'QTR Raw'!AX7</f>
        <v>0</v>
      </c>
      <c r="CE56" s="92">
        <f>+'QTR Raw'!AY20+'QTR Raw'!AY19+'QTR Raw'!AY13+'QTR Raw'!AY7</f>
        <v>0</v>
      </c>
      <c r="CF56" s="92">
        <f>+'QTR Raw'!AZ20+'QTR Raw'!AZ19+'QTR Raw'!AZ13+'QTR Raw'!AZ7</f>
        <v>0</v>
      </c>
      <c r="CG56" s="92">
        <f>+'QTR Raw'!BA20+'QTR Raw'!BA19+'QTR Raw'!BA13+'QTR Raw'!BA7</f>
        <v>0</v>
      </c>
      <c r="CH56" s="92">
        <f>+'QTR Raw'!BB20+'QTR Raw'!BB19+'QTR Raw'!BB13+'QTR Raw'!BB7</f>
        <v>0</v>
      </c>
      <c r="CI56" s="92">
        <f>+'QTR Raw'!BC20+'QTR Raw'!BC19+'QTR Raw'!BC13+'QTR Raw'!BC7</f>
        <v>0</v>
      </c>
      <c r="CJ56" s="92">
        <f>+'QTR Raw'!BD20+'QTR Raw'!BD19+'QTR Raw'!BD13+'QTR Raw'!BD7</f>
        <v>0</v>
      </c>
      <c r="CK56" s="92">
        <f>+'QTR Raw'!BE20+'QTR Raw'!BE19+'QTR Raw'!BE13+'QTR Raw'!BE7</f>
        <v>0</v>
      </c>
      <c r="CL56" s="92">
        <f>+'QTR Raw'!BF20+'QTR Raw'!BF19+'QTR Raw'!BF13+'QTR Raw'!BF7</f>
        <v>0</v>
      </c>
      <c r="CM56" s="74"/>
      <c r="CN56" s="74"/>
      <c r="CO56" s="74"/>
      <c r="CP56" s="74"/>
      <c r="CQ56" s="74"/>
      <c r="CR56" s="74"/>
      <c r="CS56" s="74"/>
      <c r="CT56" s="74"/>
      <c r="CU56" s="74"/>
      <c r="CV56" s="74"/>
      <c r="CW56" s="74"/>
      <c r="CX56" s="74"/>
      <c r="CY56" s="74"/>
      <c r="CZ56" s="74"/>
      <c r="DA56" s="74"/>
      <c r="DB56" s="74"/>
      <c r="DE56" s="120"/>
      <c r="DF56" s="92">
        <v>0</v>
      </c>
    </row>
    <row r="57" spans="1:110" s="26" customFormat="1" x14ac:dyDescent="0.2">
      <c r="A57" s="26" t="s">
        <v>430</v>
      </c>
      <c r="B57" s="26">
        <f>+B55-B56</f>
        <v>183.4910854</v>
      </c>
      <c r="C57" s="26">
        <f>+C55-C56</f>
        <v>189.68188990000002</v>
      </c>
      <c r="D57" s="26">
        <f t="shared" ref="D57:U57" si="48">+D55-D56</f>
        <v>195.70873499999999</v>
      </c>
      <c r="E57" s="26">
        <f t="shared" si="48"/>
        <v>267.15454469999997</v>
      </c>
      <c r="F57" s="26">
        <f t="shared" si="48"/>
        <v>289.57709240000003</v>
      </c>
      <c r="G57" s="26">
        <f t="shared" si="48"/>
        <v>346.78696209999998</v>
      </c>
      <c r="H57" s="26">
        <f t="shared" si="48"/>
        <v>552.35863770000003</v>
      </c>
      <c r="I57" s="26">
        <f t="shared" si="48"/>
        <v>693.38204359999997</v>
      </c>
      <c r="J57" s="26">
        <f t="shared" si="48"/>
        <v>748.26991710000004</v>
      </c>
      <c r="K57" s="26">
        <f t="shared" si="48"/>
        <v>852.24791240000002</v>
      </c>
      <c r="L57" s="26">
        <f t="shared" si="48"/>
        <v>1171.52</v>
      </c>
      <c r="M57" s="26">
        <f t="shared" si="48"/>
        <v>1417.2199999999998</v>
      </c>
      <c r="N57" s="26">
        <f t="shared" si="48"/>
        <v>1478.8400000000001</v>
      </c>
      <c r="O57" s="26">
        <f t="shared" si="48"/>
        <v>1432.6100000000001</v>
      </c>
      <c r="P57" s="26">
        <f t="shared" si="48"/>
        <v>1468.66</v>
      </c>
      <c r="Q57" s="26">
        <f t="shared" si="48"/>
        <v>1504.3999999999999</v>
      </c>
      <c r="R57" s="26">
        <f t="shared" si="48"/>
        <v>1591.43</v>
      </c>
      <c r="S57" s="26">
        <f t="shared" si="48"/>
        <v>1637.2600000000002</v>
      </c>
      <c r="T57" s="26">
        <f t="shared" si="48"/>
        <v>1873.53</v>
      </c>
      <c r="U57" s="26">
        <f t="shared" si="48"/>
        <v>1790.11</v>
      </c>
      <c r="V57" s="26">
        <f t="shared" ref="V57:AE57" si="49">+V55-V56</f>
        <v>1358.97</v>
      </c>
      <c r="W57" s="26">
        <f t="shared" si="49"/>
        <v>2437.7600000000002</v>
      </c>
      <c r="X57" s="26">
        <f t="shared" si="49"/>
        <v>2712.3</v>
      </c>
      <c r="Y57" s="26">
        <f t="shared" si="49"/>
        <v>2628.06</v>
      </c>
      <c r="Z57" s="26">
        <f t="shared" si="49"/>
        <v>2856.95</v>
      </c>
      <c r="AA57" s="26">
        <f t="shared" ref="AA57" si="50">+AA55-AA56</f>
        <v>3234.53</v>
      </c>
      <c r="AB57" s="27">
        <f t="shared" si="49"/>
        <v>3853.982253019682</v>
      </c>
      <c r="AC57" s="27">
        <f t="shared" si="49"/>
        <v>3987.4329448677026</v>
      </c>
      <c r="AD57" s="27">
        <f t="shared" si="49"/>
        <v>4043.4236959667869</v>
      </c>
      <c r="AE57" s="27">
        <f t="shared" si="49"/>
        <v>4059.6216674705665</v>
      </c>
      <c r="AI57" s="26">
        <f t="shared" ref="AI57:AO57" si="51">+AI55-AI56</f>
        <v>412.53999999999996</v>
      </c>
      <c r="AJ57" s="26">
        <f t="shared" si="51"/>
        <v>385.66</v>
      </c>
      <c r="AK57" s="26">
        <f t="shared" si="51"/>
        <v>329.46</v>
      </c>
      <c r="AL57" s="26">
        <f t="shared" si="51"/>
        <v>357.26</v>
      </c>
      <c r="AM57" s="26">
        <f t="shared" si="51"/>
        <v>367.62</v>
      </c>
      <c r="AN57" s="26">
        <f t="shared" si="51"/>
        <v>353.03999999999996</v>
      </c>
      <c r="AO57" s="26">
        <f t="shared" si="51"/>
        <v>349.58</v>
      </c>
      <c r="AP57" s="26">
        <f t="shared" ref="AP57:AW57" si="52">+AP55-AP56</f>
        <v>369.38</v>
      </c>
      <c r="AQ57" s="26">
        <f t="shared" si="52"/>
        <v>375.03000000000003</v>
      </c>
      <c r="AR57" s="26">
        <f t="shared" si="52"/>
        <v>370.79</v>
      </c>
      <c r="AS57" s="26">
        <f t="shared" si="52"/>
        <v>369.02</v>
      </c>
      <c r="AT57" s="26">
        <f t="shared" si="52"/>
        <v>362.1</v>
      </c>
      <c r="AU57" s="26">
        <f t="shared" si="52"/>
        <v>366.61</v>
      </c>
      <c r="AV57" s="26">
        <f t="shared" si="52"/>
        <v>401.02000000000004</v>
      </c>
      <c r="AW57" s="26">
        <f t="shared" si="52"/>
        <v>356.39000000000004</v>
      </c>
      <c r="AX57" s="26">
        <f t="shared" ref="AX57:CF57" si="53">+AX55-AX56</f>
        <v>385.71</v>
      </c>
      <c r="AY57" s="26">
        <f t="shared" si="53"/>
        <v>406.07000000000005</v>
      </c>
      <c r="AZ57" s="26">
        <f t="shared" si="53"/>
        <v>425.85</v>
      </c>
      <c r="BA57" s="26">
        <f t="shared" si="53"/>
        <v>349.67</v>
      </c>
      <c r="BB57" s="26">
        <f t="shared" si="53"/>
        <v>412.34999999999997</v>
      </c>
      <c r="BC57" s="26">
        <f t="shared" si="53"/>
        <v>421.01</v>
      </c>
      <c r="BD57" s="26">
        <f t="shared" si="53"/>
        <v>371.21</v>
      </c>
      <c r="BE57" s="26">
        <f t="shared" si="53"/>
        <v>416.45</v>
      </c>
      <c r="BF57" s="26">
        <f t="shared" si="53"/>
        <v>429.24</v>
      </c>
      <c r="BG57" s="26">
        <f t="shared" si="53"/>
        <v>473.95</v>
      </c>
      <c r="BH57" s="26">
        <f t="shared" si="53"/>
        <v>471.05</v>
      </c>
      <c r="BI57" s="26">
        <f t="shared" si="53"/>
        <v>440.14</v>
      </c>
      <c r="BJ57" s="26">
        <f t="shared" si="53"/>
        <v>488.39</v>
      </c>
      <c r="BK57" s="26">
        <f t="shared" si="53"/>
        <v>460.64</v>
      </c>
      <c r="BL57" s="26">
        <f t="shared" si="53"/>
        <v>487.69</v>
      </c>
      <c r="BM57" s="26">
        <f t="shared" si="53"/>
        <v>440.28</v>
      </c>
      <c r="BN57" s="26">
        <f t="shared" si="53"/>
        <v>401.5</v>
      </c>
      <c r="BO57" s="26">
        <f t="shared" si="53"/>
        <v>108.86</v>
      </c>
      <c r="BP57" s="26">
        <f t="shared" si="53"/>
        <v>312.44</v>
      </c>
      <c r="BQ57" s="26">
        <f t="shared" si="53"/>
        <v>440.25</v>
      </c>
      <c r="BR57" s="26">
        <f t="shared" si="53"/>
        <v>497.42</v>
      </c>
      <c r="BS57" s="26">
        <f t="shared" si="53"/>
        <v>411.17</v>
      </c>
      <c r="BT57" s="26">
        <f t="shared" si="53"/>
        <v>638.67999999999995</v>
      </c>
      <c r="BU57" s="26">
        <f t="shared" si="53"/>
        <v>649.79999999999995</v>
      </c>
      <c r="BV57" s="26">
        <f t="shared" si="53"/>
        <v>738.11</v>
      </c>
      <c r="BW57" s="26">
        <f t="shared" si="53"/>
        <v>713.28</v>
      </c>
      <c r="BX57" s="26">
        <f t="shared" si="53"/>
        <v>709.32</v>
      </c>
      <c r="BY57" s="26">
        <f t="shared" si="53"/>
        <v>605</v>
      </c>
      <c r="BZ57" s="26">
        <f t="shared" si="53"/>
        <v>684.7</v>
      </c>
      <c r="CA57" s="26">
        <f t="shared" si="53"/>
        <v>677.1</v>
      </c>
      <c r="CB57" s="26">
        <f t="shared" si="53"/>
        <v>628.74</v>
      </c>
      <c r="CC57" s="26">
        <f t="shared" si="53"/>
        <v>621.1</v>
      </c>
      <c r="CD57" s="26">
        <f t="shared" si="53"/>
        <v>701.12</v>
      </c>
      <c r="CE57" s="26">
        <f t="shared" si="53"/>
        <v>693.05</v>
      </c>
      <c r="CF57" s="26">
        <f t="shared" si="53"/>
        <v>675.61</v>
      </c>
      <c r="CG57" s="26">
        <f t="shared" ref="CG57:CL57" si="54">+CG55-CG56</f>
        <v>753.99</v>
      </c>
      <c r="CH57" s="26">
        <f t="shared" si="54"/>
        <v>734.3</v>
      </c>
      <c r="CI57" s="26">
        <f t="shared" si="54"/>
        <v>789.77</v>
      </c>
      <c r="CJ57" s="26">
        <f t="shared" si="54"/>
        <v>786.18</v>
      </c>
      <c r="CK57" s="26">
        <f t="shared" si="54"/>
        <v>774.66</v>
      </c>
      <c r="CL57" s="26">
        <f t="shared" si="54"/>
        <v>883.92</v>
      </c>
      <c r="CM57" s="27">
        <f t="shared" ref="CM57:DB57" si="55">+CM55-CM56</f>
        <v>959.06157880121941</v>
      </c>
      <c r="CN57" s="27">
        <f t="shared" si="55"/>
        <v>960.0206403800205</v>
      </c>
      <c r="CO57" s="27">
        <f t="shared" si="55"/>
        <v>963.97284966307359</v>
      </c>
      <c r="CP57" s="27">
        <f t="shared" si="55"/>
        <v>970.92718417536844</v>
      </c>
      <c r="CQ57" s="27">
        <f t="shared" si="55"/>
        <v>982.43896107668195</v>
      </c>
      <c r="CR57" s="27">
        <f t="shared" si="55"/>
        <v>994.01369108384961</v>
      </c>
      <c r="CS57" s="27">
        <f t="shared" si="55"/>
        <v>1002.647722233751</v>
      </c>
      <c r="CT57" s="27">
        <f t="shared" si="55"/>
        <v>1008.3325704734195</v>
      </c>
      <c r="CU57" s="27">
        <f t="shared" si="55"/>
        <v>1009.3409030438928</v>
      </c>
      <c r="CV57" s="27">
        <f t="shared" si="55"/>
        <v>1010.3502439469364</v>
      </c>
      <c r="CW57" s="27">
        <f t="shared" si="55"/>
        <v>1011.3605941908834</v>
      </c>
      <c r="CX57" s="27">
        <f t="shared" si="55"/>
        <v>1012.3719547850742</v>
      </c>
      <c r="CY57" s="27">
        <f t="shared" si="55"/>
        <v>1013.3843267398593</v>
      </c>
      <c r="CZ57" s="27">
        <f t="shared" si="55"/>
        <v>1014.397711066599</v>
      </c>
      <c r="DA57" s="27">
        <f t="shared" si="55"/>
        <v>1015.4121087776655</v>
      </c>
      <c r="DB57" s="27">
        <f t="shared" si="55"/>
        <v>1016.4275208864431</v>
      </c>
      <c r="DE57" s="121"/>
      <c r="DF57" s="26">
        <v>803.68308472985007</v>
      </c>
    </row>
    <row r="58" spans="1:110" s="39" customFormat="1" x14ac:dyDescent="0.2">
      <c r="A58" s="39" t="s">
        <v>483</v>
      </c>
      <c r="C58" s="39">
        <f>C57/B57-1</f>
        <v>3.373899329498431E-2</v>
      </c>
      <c r="D58" s="39">
        <f>D57/C57-1</f>
        <v>3.1773434475886431E-2</v>
      </c>
      <c r="E58" s="39">
        <f>E57/D57-1</f>
        <v>0.36506193604490877</v>
      </c>
      <c r="F58" s="39">
        <f t="shared" ref="F58:R58" si="56">F57/E57-1</f>
        <v>8.3930998535620471E-2</v>
      </c>
      <c r="G58" s="39">
        <f t="shared" si="56"/>
        <v>0.19756352004865962</v>
      </c>
      <c r="H58" s="39">
        <f t="shared" si="56"/>
        <v>0.59278951652375311</v>
      </c>
      <c r="I58" s="39">
        <f t="shared" si="56"/>
        <v>0.2553113073187665</v>
      </c>
      <c r="J58" s="39">
        <f t="shared" si="56"/>
        <v>7.9159640787675123E-2</v>
      </c>
      <c r="K58" s="39">
        <f>K57/J57-1</f>
        <v>0.13895787191736608</v>
      </c>
      <c r="L58" s="39">
        <f t="shared" si="56"/>
        <v>0.37462349036550124</v>
      </c>
      <c r="M58" s="39">
        <f t="shared" si="56"/>
        <v>0.20972753346080286</v>
      </c>
      <c r="N58" s="39">
        <f t="shared" si="56"/>
        <v>4.3479488011741507E-2</v>
      </c>
      <c r="O58" s="39">
        <f t="shared" si="56"/>
        <v>-3.1260988342214135E-2</v>
      </c>
      <c r="P58" s="39">
        <f t="shared" si="56"/>
        <v>2.5163861762796502E-2</v>
      </c>
      <c r="Q58" s="39">
        <f t="shared" si="56"/>
        <v>2.4335108193863642E-2</v>
      </c>
      <c r="R58" s="39">
        <f t="shared" si="56"/>
        <v>5.785030576974215E-2</v>
      </c>
      <c r="S58" s="39">
        <f t="shared" ref="S58:AA58" si="57">S57/R57-1</f>
        <v>2.8797999283663112E-2</v>
      </c>
      <c r="T58" s="39">
        <f t="shared" si="57"/>
        <v>0.14430817341167534</v>
      </c>
      <c r="U58" s="39">
        <f t="shared" si="57"/>
        <v>-4.4525574717245053E-2</v>
      </c>
      <c r="V58" s="39">
        <f t="shared" si="57"/>
        <v>-0.24084553463194991</v>
      </c>
      <c r="W58" s="39">
        <f t="shared" si="57"/>
        <v>0.79382915001802856</v>
      </c>
      <c r="X58" s="39">
        <f t="shared" si="57"/>
        <v>0.11261978209503809</v>
      </c>
      <c r="Y58" s="39">
        <f t="shared" si="57"/>
        <v>-3.1058511226634278E-2</v>
      </c>
      <c r="Z58" s="39">
        <f t="shared" si="57"/>
        <v>8.7094662983341342E-2</v>
      </c>
      <c r="AA58" s="39">
        <f t="shared" si="57"/>
        <v>0.13216192092966295</v>
      </c>
      <c r="AB58" s="40">
        <f>AB57/AA57-1</f>
        <v>0.19151229174553386</v>
      </c>
      <c r="AC58" s="40">
        <f>AC57/AB57-1</f>
        <v>3.4626701185107578E-2</v>
      </c>
      <c r="AD58" s="40">
        <f>AD57/AC57-1</f>
        <v>1.4041803805415976E-2</v>
      </c>
      <c r="AE58" s="40">
        <f>AE57/AD57-1</f>
        <v>4.0060040009997078E-3</v>
      </c>
      <c r="AM58" s="39">
        <f t="shared" ref="AM58:CI58" si="58">+IF(AI57&lt;0,1-AM57/AI57,AM57/AI57-1)</f>
        <v>-0.10888641101468943</v>
      </c>
      <c r="AN58" s="39">
        <f t="shared" si="58"/>
        <v>-8.4582274542343128E-2</v>
      </c>
      <c r="AO58" s="39">
        <f t="shared" si="58"/>
        <v>6.1069629090026112E-2</v>
      </c>
      <c r="AP58" s="39">
        <f t="shared" si="58"/>
        <v>3.3924872641773574E-2</v>
      </c>
      <c r="AQ58" s="39">
        <f t="shared" si="58"/>
        <v>2.0156683531908026E-2</v>
      </c>
      <c r="AR58" s="39">
        <f t="shared" si="58"/>
        <v>5.0277588941763041E-2</v>
      </c>
      <c r="AS58" s="39">
        <f t="shared" si="58"/>
        <v>5.5609588649236263E-2</v>
      </c>
      <c r="AT58" s="39">
        <f t="shared" si="58"/>
        <v>-1.9708701066652123E-2</v>
      </c>
      <c r="AU58" s="39">
        <f t="shared" si="58"/>
        <v>-2.2451537210356531E-2</v>
      </c>
      <c r="AV58" s="39">
        <f t="shared" si="58"/>
        <v>8.1528628064402975E-2</v>
      </c>
      <c r="AW58" s="39">
        <f t="shared" si="58"/>
        <v>-3.4225787220204751E-2</v>
      </c>
      <c r="AX58" s="39">
        <f t="shared" si="58"/>
        <v>6.5202982601491266E-2</v>
      </c>
      <c r="AY58" s="39">
        <f t="shared" si="58"/>
        <v>0.10763481628979044</v>
      </c>
      <c r="AZ58" s="39">
        <f t="shared" si="58"/>
        <v>6.1917111366016631E-2</v>
      </c>
      <c r="BA58" s="39">
        <f t="shared" si="58"/>
        <v>-1.8855747916608268E-2</v>
      </c>
      <c r="BB58" s="39">
        <f t="shared" si="58"/>
        <v>6.9067434082600965E-2</v>
      </c>
      <c r="BC58" s="39">
        <f t="shared" si="58"/>
        <v>3.6791686162484183E-2</v>
      </c>
      <c r="BD58" s="39">
        <f t="shared" si="58"/>
        <v>-0.12830808970294716</v>
      </c>
      <c r="BE58" s="39">
        <f t="shared" si="58"/>
        <v>0.19098006692023906</v>
      </c>
      <c r="BF58" s="39">
        <f t="shared" si="58"/>
        <v>4.0960349217897596E-2</v>
      </c>
      <c r="BG58" s="39">
        <f t="shared" si="58"/>
        <v>0.12574523170471008</v>
      </c>
      <c r="BH58" s="39">
        <f t="shared" si="58"/>
        <v>0.26895827159828678</v>
      </c>
      <c r="BI58" s="39">
        <f t="shared" si="58"/>
        <v>5.6885580501860877E-2</v>
      </c>
      <c r="BJ58" s="39">
        <f t="shared" si="58"/>
        <v>0.13780169602087411</v>
      </c>
      <c r="BK58" s="39">
        <f t="shared" si="58"/>
        <v>-2.8083131131975914E-2</v>
      </c>
      <c r="BL58" s="39">
        <f t="shared" si="58"/>
        <v>3.5325337013055957E-2</v>
      </c>
      <c r="BM58" s="39">
        <f t="shared" si="58"/>
        <v>3.1808061071481042E-4</v>
      </c>
      <c r="BN58" s="39">
        <f t="shared" si="58"/>
        <v>-0.17791109564077889</v>
      </c>
      <c r="BO58" s="39">
        <f t="shared" si="58"/>
        <v>-0.76367662382771795</v>
      </c>
      <c r="BP58" s="39">
        <f t="shared" si="58"/>
        <v>-0.35934712624823151</v>
      </c>
      <c r="BQ58" s="39">
        <f t="shared" si="58"/>
        <v>-6.8138457345212622E-5</v>
      </c>
      <c r="BR58" s="39">
        <f t="shared" si="58"/>
        <v>0.23890410958904118</v>
      </c>
      <c r="BS58" s="39">
        <f t="shared" si="58"/>
        <v>2.7770530957192725</v>
      </c>
      <c r="BT58" s="39">
        <f t="shared" si="58"/>
        <v>1.0441684803482265</v>
      </c>
      <c r="BU58" s="39">
        <f t="shared" si="58"/>
        <v>0.47597955706984663</v>
      </c>
      <c r="BV58" s="39">
        <f t="shared" si="58"/>
        <v>0.48387680431024083</v>
      </c>
      <c r="BW58" s="39">
        <f t="shared" si="58"/>
        <v>0.73475691319892</v>
      </c>
      <c r="BX58" s="39">
        <f t="shared" si="58"/>
        <v>0.11060311893279917</v>
      </c>
      <c r="BY58" s="39">
        <f t="shared" si="58"/>
        <v>-6.8944290550938647E-2</v>
      </c>
      <c r="BZ58" s="39">
        <f t="shared" si="58"/>
        <v>-7.2360488274105461E-2</v>
      </c>
      <c r="CA58" s="39">
        <f t="shared" si="58"/>
        <v>-5.0723418573351164E-2</v>
      </c>
      <c r="CB58" s="39">
        <f t="shared" si="58"/>
        <v>-0.11360175943156836</v>
      </c>
      <c r="CC58" s="39">
        <f t="shared" si="58"/>
        <v>2.6611570247933924E-2</v>
      </c>
      <c r="CD58" s="39">
        <f t="shared" si="58"/>
        <v>2.3981305681320286E-2</v>
      </c>
      <c r="CE58" s="39">
        <f t="shared" si="58"/>
        <v>2.3556343228474219E-2</v>
      </c>
      <c r="CF58" s="39">
        <f t="shared" si="58"/>
        <v>7.4545917231287895E-2</v>
      </c>
      <c r="CG58" s="39">
        <f t="shared" si="58"/>
        <v>0.21395910481403968</v>
      </c>
      <c r="CH58" s="39">
        <f t="shared" si="58"/>
        <v>4.7324281150159742E-2</v>
      </c>
      <c r="CI58" s="39">
        <f t="shared" si="58"/>
        <v>0.13955703051727864</v>
      </c>
      <c r="CJ58" s="39">
        <f>+IF(CF57&lt;0,1-CJ57/CF57,CJ57/CF57-1)</f>
        <v>0.16365950770414872</v>
      </c>
      <c r="CK58" s="39">
        <f>+IF(CG57&lt;0,1-CK57/CG57,CK57/CG57-1)</f>
        <v>2.7414156686428104E-2</v>
      </c>
      <c r="CL58" s="39">
        <f>+IF(CH57&lt;0,1-CL57/CH57,CL57/CH57-1)</f>
        <v>0.2037586817377095</v>
      </c>
      <c r="CM58" s="40">
        <f t="shared" ref="CM58:DB58" si="59">+AVERAGE(CI58:CL58)</f>
        <v>0.13359734416139124</v>
      </c>
      <c r="CN58" s="40">
        <f t="shared" si="59"/>
        <v>0.13210742257241939</v>
      </c>
      <c r="CO58" s="40">
        <f t="shared" si="59"/>
        <v>0.12421940128948705</v>
      </c>
      <c r="CP58" s="40">
        <f t="shared" si="59"/>
        <v>0.14842071244025179</v>
      </c>
      <c r="CQ58" s="40">
        <f t="shared" si="59"/>
        <v>0.13458622011588736</v>
      </c>
      <c r="CR58" s="40">
        <f t="shared" si="59"/>
        <v>0.1348334391045114</v>
      </c>
      <c r="CS58" s="40">
        <f t="shared" si="59"/>
        <v>0.13551494323753441</v>
      </c>
      <c r="CT58" s="40">
        <f t="shared" si="59"/>
        <v>0.13833882872454625</v>
      </c>
      <c r="CU58" s="40">
        <f t="shared" si="59"/>
        <v>0.13581835779561988</v>
      </c>
      <c r="CV58" s="40">
        <f t="shared" si="59"/>
        <v>0.136126392215553</v>
      </c>
      <c r="CW58" s="40">
        <f t="shared" si="59"/>
        <v>0.13644963049331338</v>
      </c>
      <c r="CX58" s="40">
        <f t="shared" si="59"/>
        <v>0.13668330230725811</v>
      </c>
      <c r="CY58" s="40">
        <f t="shared" si="59"/>
        <v>0.1362694207029361</v>
      </c>
      <c r="CZ58" s="40">
        <f t="shared" si="59"/>
        <v>0.13638218642976516</v>
      </c>
      <c r="DA58" s="40">
        <f t="shared" si="59"/>
        <v>0.1364461349833182</v>
      </c>
      <c r="DB58" s="40">
        <f t="shared" si="59"/>
        <v>0.13644526110581939</v>
      </c>
      <c r="DE58" s="122"/>
      <c r="DF58" s="39">
        <v>9.44887440145038E-2</v>
      </c>
    </row>
    <row r="59" spans="1:110" s="39" customFormat="1" x14ac:dyDescent="0.2">
      <c r="A59" s="39" t="s">
        <v>445</v>
      </c>
      <c r="AB59" s="40"/>
      <c r="AC59" s="40"/>
      <c r="AD59" s="40"/>
      <c r="AE59" s="40"/>
      <c r="AJ59" s="39">
        <f>+IF(AI57&lt;0,1-AJ57/AI57,AJ57/AI57-1)</f>
        <v>-6.5157318078246762E-2</v>
      </c>
      <c r="AK59" s="39">
        <f>+IF(AJ57&lt;0,1-AK57/AJ57,AK57/AJ57-1)</f>
        <v>-0.14572421303739058</v>
      </c>
      <c r="AL59" s="39">
        <f>+IF(AK57&lt;0,1-AL57/AK57,AL57/AK57-1)</f>
        <v>8.4380501426576826E-2</v>
      </c>
      <c r="AM59" s="39">
        <f t="shared" ref="AM59:CI59" si="60">+IF(AL57&lt;0,1-AM57/AL57,AM57/AL57-1)</f>
        <v>2.8998488495773467E-2</v>
      </c>
      <c r="AN59" s="39">
        <f t="shared" si="60"/>
        <v>-3.9660519014199536E-2</v>
      </c>
      <c r="AO59" s="39">
        <f t="shared" si="60"/>
        <v>-9.800589168366125E-3</v>
      </c>
      <c r="AP59" s="39">
        <f t="shared" si="60"/>
        <v>5.6639395846444396E-2</v>
      </c>
      <c r="AQ59" s="39">
        <f t="shared" si="60"/>
        <v>1.5295901239915644E-2</v>
      </c>
      <c r="AR59" s="39">
        <f t="shared" si="60"/>
        <v>-1.130576220569024E-2</v>
      </c>
      <c r="AS59" s="39">
        <f t="shared" si="60"/>
        <v>-4.7735915208070301E-3</v>
      </c>
      <c r="AT59" s="39">
        <f t="shared" si="60"/>
        <v>-1.8752371145195235E-2</v>
      </c>
      <c r="AU59" s="39">
        <f t="shared" si="60"/>
        <v>1.245512289422801E-2</v>
      </c>
      <c r="AV59" s="39">
        <f t="shared" si="60"/>
        <v>9.3859960175663559E-2</v>
      </c>
      <c r="AW59" s="39">
        <f t="shared" si="60"/>
        <v>-0.11129120742107623</v>
      </c>
      <c r="AX59" s="39">
        <f t="shared" si="60"/>
        <v>8.2269423945677378E-2</v>
      </c>
      <c r="AY59" s="39">
        <f t="shared" si="60"/>
        <v>5.2785771693759642E-2</v>
      </c>
      <c r="AZ59" s="39">
        <f t="shared" si="60"/>
        <v>4.8710813406555475E-2</v>
      </c>
      <c r="BA59" s="39">
        <f t="shared" si="60"/>
        <v>-0.17888928026300344</v>
      </c>
      <c r="BB59" s="39">
        <f t="shared" si="60"/>
        <v>0.17925472588440505</v>
      </c>
      <c r="BC59" s="39">
        <f t="shared" si="60"/>
        <v>2.100157633078692E-2</v>
      </c>
      <c r="BD59" s="39">
        <f t="shared" si="60"/>
        <v>-0.11828697655637632</v>
      </c>
      <c r="BE59" s="39">
        <f t="shared" si="60"/>
        <v>0.12187171681797371</v>
      </c>
      <c r="BF59" s="39">
        <f t="shared" si="60"/>
        <v>3.0711970224516882E-2</v>
      </c>
      <c r="BG59" s="39">
        <f t="shared" si="60"/>
        <v>0.10416084241915935</v>
      </c>
      <c r="BH59" s="39">
        <f t="shared" si="60"/>
        <v>-6.1187889017828567E-3</v>
      </c>
      <c r="BI59" s="39">
        <f t="shared" si="60"/>
        <v>-6.5619361002016818E-2</v>
      </c>
      <c r="BJ59" s="39">
        <f t="shared" si="60"/>
        <v>0.10962421047848414</v>
      </c>
      <c r="BK59" s="39">
        <f t="shared" si="60"/>
        <v>-5.6819345195438076E-2</v>
      </c>
      <c r="BL59" s="39">
        <f t="shared" si="60"/>
        <v>5.8722646752344509E-2</v>
      </c>
      <c r="BM59" s="39">
        <f t="shared" si="60"/>
        <v>-9.7213393754229216E-2</v>
      </c>
      <c r="BN59" s="39">
        <f t="shared" si="60"/>
        <v>-8.8080312528390992E-2</v>
      </c>
      <c r="BO59" s="39">
        <f t="shared" si="60"/>
        <v>-0.72886674968866749</v>
      </c>
      <c r="BP59" s="39">
        <f t="shared" si="60"/>
        <v>1.8701083961050893</v>
      </c>
      <c r="BQ59" s="39">
        <f t="shared" si="60"/>
        <v>0.40907054154397637</v>
      </c>
      <c r="BR59" s="39">
        <f t="shared" si="60"/>
        <v>0.12985803520726868</v>
      </c>
      <c r="BS59" s="39">
        <f t="shared" si="60"/>
        <v>-0.17339471673837004</v>
      </c>
      <c r="BT59" s="39">
        <f t="shared" si="60"/>
        <v>0.55332344285818502</v>
      </c>
      <c r="BU59" s="39">
        <f t="shared" si="60"/>
        <v>1.7410910001878888E-2</v>
      </c>
      <c r="BV59" s="39">
        <f t="shared" si="60"/>
        <v>0.13590335487842431</v>
      </c>
      <c r="BW59" s="39">
        <f t="shared" si="60"/>
        <v>-3.3639972361843129E-2</v>
      </c>
      <c r="BX59" s="39">
        <f t="shared" si="60"/>
        <v>-5.5518169582771115E-3</v>
      </c>
      <c r="BY59" s="39">
        <f t="shared" si="60"/>
        <v>-0.14707043365476802</v>
      </c>
      <c r="BZ59" s="39">
        <f t="shared" si="60"/>
        <v>0.1317355371900828</v>
      </c>
      <c r="CA59" s="39">
        <f t="shared" si="60"/>
        <v>-1.109975171608002E-2</v>
      </c>
      <c r="CB59" s="39">
        <f t="shared" si="60"/>
        <v>-7.1422241914045226E-2</v>
      </c>
      <c r="CC59" s="39">
        <f t="shared" si="60"/>
        <v>-1.21512867003849E-2</v>
      </c>
      <c r="CD59" s="39">
        <f t="shared" si="60"/>
        <v>0.12883593624215095</v>
      </c>
      <c r="CE59" s="39">
        <f t="shared" si="60"/>
        <v>-1.1510155180283088E-2</v>
      </c>
      <c r="CF59" s="39">
        <f t="shared" si="60"/>
        <v>-2.5164129572180838E-2</v>
      </c>
      <c r="CG59" s="39">
        <f t="shared" si="60"/>
        <v>0.11601367652935868</v>
      </c>
      <c r="CH59" s="39">
        <f t="shared" si="60"/>
        <v>-2.6114404700327665E-2</v>
      </c>
      <c r="CI59" s="39">
        <f t="shared" si="60"/>
        <v>7.5541331880702778E-2</v>
      </c>
      <c r="CJ59" s="39">
        <f>+IF(CI57&lt;0,1-CJ57/CI57,CJ57/CI57-1)</f>
        <v>-4.5456272079212878E-3</v>
      </c>
      <c r="CK59" s="39">
        <f>+IF(CJ57&lt;0,1-CK57/CJ57,CK57/CJ57-1)</f>
        <v>-1.4653132870334984E-2</v>
      </c>
      <c r="CL59" s="39">
        <f>+IF(CK57&lt;0,1-CL57/CK57,CL57/CK57-1)</f>
        <v>0.14104252188056687</v>
      </c>
      <c r="CM59" s="40">
        <f t="shared" ref="CM59:DB59" si="61">+CM57/CL57-1</f>
        <v>8.5009479139763089E-2</v>
      </c>
      <c r="CN59" s="40">
        <f t="shared" si="61"/>
        <v>9.9999999999988987E-4</v>
      </c>
      <c r="CO59" s="40">
        <f t="shared" si="61"/>
        <v>4.1167961571000333E-3</v>
      </c>
      <c r="CP59" s="40">
        <f t="shared" si="61"/>
        <v>7.2142431342598901E-3</v>
      </c>
      <c r="CQ59" s="40">
        <f t="shared" si="61"/>
        <v>1.1856478105606527E-2</v>
      </c>
      <c r="CR59" s="40">
        <f t="shared" si="61"/>
        <v>1.1781627628532299E-2</v>
      </c>
      <c r="CS59" s="40">
        <f t="shared" si="61"/>
        <v>8.6860283991532228E-3</v>
      </c>
      <c r="CT59" s="40">
        <f t="shared" si="61"/>
        <v>5.6698360885949484E-3</v>
      </c>
      <c r="CU59" s="40">
        <f t="shared" si="61"/>
        <v>9.9999999999988987E-4</v>
      </c>
      <c r="CV59" s="40">
        <f t="shared" si="61"/>
        <v>9.9999999999966782E-4</v>
      </c>
      <c r="CW59" s="40">
        <f t="shared" si="61"/>
        <v>1.0000000000001119E-3</v>
      </c>
      <c r="CX59" s="40">
        <f t="shared" si="61"/>
        <v>9.9999999999988987E-4</v>
      </c>
      <c r="CY59" s="40">
        <f t="shared" si="61"/>
        <v>9.9999999999988987E-4</v>
      </c>
      <c r="CZ59" s="40">
        <f t="shared" si="61"/>
        <v>9.9999999999988987E-4</v>
      </c>
      <c r="DA59" s="40">
        <f t="shared" si="61"/>
        <v>9.9999999999988987E-4</v>
      </c>
      <c r="DB59" s="40">
        <f t="shared" si="61"/>
        <v>9.9999999999988987E-4</v>
      </c>
      <c r="DE59" s="122"/>
      <c r="DF59" s="39">
        <v>3.7465578098585306E-2</v>
      </c>
    </row>
    <row r="60" spans="1:110" s="23" customFormat="1" outlineLevel="1" x14ac:dyDescent="0.2">
      <c r="A60" s="23" t="s">
        <v>2</v>
      </c>
      <c r="B60" s="23">
        <f>'Annual Raw'!C11</f>
        <v>-0.50674730000000001</v>
      </c>
      <c r="C60" s="23">
        <f>'Annual Raw'!D11</f>
        <v>3.5157219</v>
      </c>
      <c r="D60" s="23">
        <f>'Annual Raw'!E11</f>
        <v>-7.2267181000000003</v>
      </c>
      <c r="E60" s="23">
        <f>'Annual Raw'!F11</f>
        <v>-2.8291686</v>
      </c>
      <c r="F60" s="23">
        <f>'Annual Raw'!G11</f>
        <v>-5.3305705000000003</v>
      </c>
      <c r="G60" s="23">
        <f>'Annual Raw'!H11</f>
        <v>-6.7168970000000003</v>
      </c>
      <c r="H60" s="23">
        <f>'Annual Raw'!I11</f>
        <v>-20.445547999999999</v>
      </c>
      <c r="I60" s="23">
        <f>'Annual Raw'!J11</f>
        <v>-21.801715999999999</v>
      </c>
      <c r="J60" s="23">
        <f>'Annual Raw'!K11</f>
        <v>9.1524093000000004</v>
      </c>
      <c r="K60" s="23">
        <f>'Annual Raw'!L11</f>
        <v>-1.1278927000000001</v>
      </c>
      <c r="L60" s="23">
        <f>'Annual Raw'!M11</f>
        <v>-43.15</v>
      </c>
      <c r="M60" s="23">
        <f>'Annual Raw'!N11</f>
        <v>15.3</v>
      </c>
      <c r="N60" s="23">
        <f>'Annual Raw'!O11</f>
        <v>-16.84</v>
      </c>
      <c r="O60" s="23">
        <f>'Annual Raw'!P11</f>
        <v>-11.12</v>
      </c>
      <c r="P60" s="23">
        <f>'Annual Raw'!Q11</f>
        <v>-7.37</v>
      </c>
      <c r="Q60" s="23">
        <f>'Annual Raw'!R11</f>
        <v>-22.23</v>
      </c>
      <c r="R60" s="23">
        <f>'Annual Raw'!S11</f>
        <v>-42.79</v>
      </c>
      <c r="S60" s="23">
        <f>'Annual Raw'!T11</f>
        <v>-33.15</v>
      </c>
      <c r="T60" s="23">
        <f>'Annual Raw'!U11</f>
        <v>13.28</v>
      </c>
      <c r="U60" s="23">
        <f>'Annual Raw'!V11</f>
        <v>-11.65</v>
      </c>
      <c r="V60" s="23">
        <f>'Annual Raw'!W11</f>
        <v>27.81</v>
      </c>
      <c r="W60" s="23">
        <f>'Annual Raw'!X11</f>
        <v>-35.67</v>
      </c>
      <c r="X60" s="23">
        <f>'Annual Raw'!Y11</f>
        <v>-94.77</v>
      </c>
      <c r="Y60" s="23">
        <f>'Annual Raw'!Z11</f>
        <v>-23.12</v>
      </c>
      <c r="Z60" s="23">
        <f>'Annual Raw'!AA11</f>
        <v>9.8800000000000008</v>
      </c>
      <c r="AA60" s="23">
        <f>'Annual Raw'!AB11</f>
        <v>61.25</v>
      </c>
      <c r="AB60" s="76">
        <f>+SUM(CM60:CP60)</f>
        <v>0</v>
      </c>
      <c r="AC60" s="76">
        <f>+SUM(CQ60:CT60)</f>
        <v>0</v>
      </c>
      <c r="AD60" s="76">
        <f>+SUM(CU60:CX60)</f>
        <v>0</v>
      </c>
      <c r="AE60" s="76">
        <f>+SUM(CY60:DB60)</f>
        <v>0</v>
      </c>
      <c r="AI60" s="23">
        <f>'QTR Raw'!C10</f>
        <v>11.8</v>
      </c>
      <c r="AJ60" s="23">
        <f>'QTR Raw'!D10</f>
        <v>-23.48</v>
      </c>
      <c r="AK60" s="23">
        <f>'QTR Raw'!E10</f>
        <v>9.31</v>
      </c>
      <c r="AL60" s="23">
        <f>'QTR Raw'!F10</f>
        <v>-14.47</v>
      </c>
      <c r="AM60" s="23">
        <f>'QTR Raw'!G10</f>
        <v>22.28</v>
      </c>
      <c r="AN60" s="23">
        <f>'QTR Raw'!H10</f>
        <v>-21.76</v>
      </c>
      <c r="AO60" s="23">
        <f>'QTR Raw'!I10</f>
        <v>-13.23</v>
      </c>
      <c r="AP60" s="23">
        <f>'QTR Raw'!J10</f>
        <v>1.59</v>
      </c>
      <c r="AQ60" s="23">
        <f>'QTR Raw'!K10</f>
        <v>15.99</v>
      </c>
      <c r="AR60" s="23">
        <f>'QTR Raw'!L10</f>
        <v>-16.57</v>
      </c>
      <c r="AS60" s="23">
        <f>'QTR Raw'!M10</f>
        <v>-3.89</v>
      </c>
      <c r="AT60" s="23">
        <f>'QTR Raw'!N10</f>
        <v>-2.9</v>
      </c>
      <c r="AU60" s="23">
        <f>'QTR Raw'!O10</f>
        <v>-1.83</v>
      </c>
      <c r="AV60" s="23">
        <f>'QTR Raw'!P10</f>
        <v>-17.239999999999998</v>
      </c>
      <c r="AW60" s="23">
        <f>'QTR Raw'!Q10</f>
        <v>-11.23</v>
      </c>
      <c r="AX60" s="23">
        <f>'QTR Raw'!R10</f>
        <v>8.07</v>
      </c>
      <c r="AY60" s="23">
        <f>'QTR Raw'!S10</f>
        <v>-11.99</v>
      </c>
      <c r="AZ60" s="23">
        <f>'QTR Raw'!T10</f>
        <v>-5.86</v>
      </c>
      <c r="BA60" s="23">
        <f>'QTR Raw'!U10</f>
        <v>-28</v>
      </c>
      <c r="BB60" s="23">
        <f>'QTR Raw'!V10</f>
        <v>4.13</v>
      </c>
      <c r="BC60" s="23">
        <f>'QTR Raw'!W10</f>
        <v>10.7</v>
      </c>
      <c r="BD60" s="23">
        <f>'QTR Raw'!X10</f>
        <v>-26.71</v>
      </c>
      <c r="BE60" s="23">
        <f>'QTR Raw'!Y10</f>
        <v>4.01</v>
      </c>
      <c r="BF60" s="23">
        <f>'QTR Raw'!Z10</f>
        <v>-18.75</v>
      </c>
      <c r="BG60" s="23">
        <f>'QTR Raw'!AA10</f>
        <v>27.67</v>
      </c>
      <c r="BH60" s="23">
        <f>'QTR Raw'!AB10</f>
        <v>-20.100000000000001</v>
      </c>
      <c r="BI60" s="23">
        <f>'QTR Raw'!AC10</f>
        <v>-8.58</v>
      </c>
      <c r="BJ60" s="23">
        <f>'QTR Raw'!AD10</f>
        <v>14.29</v>
      </c>
      <c r="BK60" s="23">
        <f>'QTR Raw'!AE10</f>
        <v>-13.34</v>
      </c>
      <c r="BL60" s="23">
        <f>'QTR Raw'!AF10</f>
        <v>9.89</v>
      </c>
      <c r="BM60" s="23">
        <f>'QTR Raw'!AG10</f>
        <v>13.51</v>
      </c>
      <c r="BN60" s="23">
        <f>'QTR Raw'!AH10</f>
        <v>-21.71</v>
      </c>
      <c r="BO60" s="23">
        <f>'QTR Raw'!AI10</f>
        <v>-13.35</v>
      </c>
      <c r="BP60" s="23">
        <f>'QTR Raw'!AJ10</f>
        <v>21.31</v>
      </c>
      <c r="BQ60" s="23">
        <f>'QTR Raw'!AK10</f>
        <v>35.57</v>
      </c>
      <c r="BR60" s="23">
        <f>'QTR Raw'!AL10</f>
        <v>-15.72</v>
      </c>
      <c r="BS60" s="23">
        <f>'QTR Raw'!AM10</f>
        <v>-48.46</v>
      </c>
      <c r="BT60" s="23">
        <f>'QTR Raw'!AN10</f>
        <v>24.57</v>
      </c>
      <c r="BU60" s="23">
        <f>'QTR Raw'!AO10</f>
        <v>-7.71</v>
      </c>
      <c r="BV60" s="23">
        <f>'QTR Raw'!AP10</f>
        <v>-4.07</v>
      </c>
      <c r="BW60" s="23">
        <f>'QTR Raw'!AQ10</f>
        <v>-48.88</v>
      </c>
      <c r="BX60" s="23">
        <f>'QTR Raw'!AR10</f>
        <v>-17.87</v>
      </c>
      <c r="BY60" s="23">
        <f>'QTR Raw'!AS10</f>
        <v>-30.85</v>
      </c>
      <c r="BZ60" s="23">
        <f>'QTR Raw'!AT10</f>
        <v>2.83</v>
      </c>
      <c r="CA60" s="23">
        <f>'QTR Raw'!AU10</f>
        <v>-17.04</v>
      </c>
      <c r="CB60" s="23">
        <f>'QTR Raw'!AV10</f>
        <v>-0.4</v>
      </c>
      <c r="CC60" s="23">
        <f>'QTR Raw'!AW10</f>
        <v>-9.51</v>
      </c>
      <c r="CD60" s="23">
        <f>'QTR Raw'!AX10</f>
        <v>3.83</v>
      </c>
      <c r="CE60" s="23">
        <f>'QTR Raw'!AY10</f>
        <v>-11.33</v>
      </c>
      <c r="CF60" s="23">
        <f>'QTR Raw'!AZ10</f>
        <v>-32.729999999999997</v>
      </c>
      <c r="CG60" s="23">
        <f>'QTR Raw'!BA10</f>
        <v>49.61</v>
      </c>
      <c r="CH60" s="23">
        <f>'QTR Raw'!BB10</f>
        <v>4.18</v>
      </c>
      <c r="CI60" s="23">
        <f>'QTR Raw'!BC10</f>
        <v>-5.48</v>
      </c>
      <c r="CJ60" s="23">
        <f>'QTR Raw'!BD10</f>
        <v>11.69</v>
      </c>
      <c r="CK60" s="23">
        <f>'QTR Raw'!BE10</f>
        <v>-4.75</v>
      </c>
      <c r="CL60" s="23">
        <f>'QTR Raw'!BF10</f>
        <v>59.57</v>
      </c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E60" s="123"/>
      <c r="DF60" s="23">
        <v>61.03</v>
      </c>
    </row>
    <row r="61" spans="1:110" s="23" customFormat="1" outlineLevel="1" x14ac:dyDescent="0.2">
      <c r="A61" s="23" t="s">
        <v>3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76">
        <f>+SUM(CM61:CP61)</f>
        <v>0</v>
      </c>
      <c r="AC61" s="76">
        <f>+SUM(CQ61:CT61)</f>
        <v>0</v>
      </c>
      <c r="AD61" s="76">
        <f>+SUM(CU61:CX61)</f>
        <v>0</v>
      </c>
      <c r="AE61" s="76">
        <f>+SUM(CY61:DB61)</f>
        <v>0</v>
      </c>
      <c r="AI61" s="23">
        <f>'QTR Raw'!C12</f>
        <v>0</v>
      </c>
      <c r="AJ61" s="23">
        <f>'QTR Raw'!D12</f>
        <v>0</v>
      </c>
      <c r="AK61" s="23">
        <f>'QTR Raw'!E12</f>
        <v>0</v>
      </c>
      <c r="AL61" s="23">
        <f>'QTR Raw'!F12</f>
        <v>0</v>
      </c>
      <c r="AM61" s="23">
        <f>'QTR Raw'!G12</f>
        <v>0</v>
      </c>
      <c r="AN61" s="23">
        <f>'QTR Raw'!H12</f>
        <v>0</v>
      </c>
      <c r="AO61" s="23">
        <f>'QTR Raw'!I12</f>
        <v>0</v>
      </c>
      <c r="AP61" s="23">
        <f>'QTR Raw'!J12</f>
        <v>0</v>
      </c>
      <c r="AQ61" s="23">
        <f>'QTR Raw'!K12</f>
        <v>0</v>
      </c>
      <c r="AR61" s="23">
        <f>'QTR Raw'!L12</f>
        <v>0</v>
      </c>
      <c r="AS61" s="23">
        <f>'QTR Raw'!M12</f>
        <v>25.32</v>
      </c>
      <c r="AT61" s="23">
        <f>'QTR Raw'!N12</f>
        <v>-0.62</v>
      </c>
      <c r="AU61" s="23">
        <f>'QTR Raw'!O12</f>
        <v>1.46</v>
      </c>
      <c r="AV61" s="23">
        <f>'QTR Raw'!P12</f>
        <v>2.11</v>
      </c>
      <c r="AW61" s="23">
        <f>'QTR Raw'!Q12</f>
        <v>5.38</v>
      </c>
      <c r="AX61" s="23">
        <f>'QTR Raw'!R12</f>
        <v>3.54</v>
      </c>
      <c r="AY61" s="23">
        <f>'QTR Raw'!S12</f>
        <v>22.03</v>
      </c>
      <c r="AZ61" s="23">
        <f>'QTR Raw'!T12</f>
        <v>17.25</v>
      </c>
      <c r="BA61" s="23">
        <f>'QTR Raw'!U12</f>
        <v>4.25</v>
      </c>
      <c r="BB61" s="23">
        <f>'QTR Raw'!V12</f>
        <v>2.93</v>
      </c>
      <c r="BC61" s="23">
        <f>'QTR Raw'!W12</f>
        <v>26.19</v>
      </c>
      <c r="BD61" s="23">
        <f>'QTR Raw'!X12</f>
        <v>1.41</v>
      </c>
      <c r="BE61" s="23">
        <f>'QTR Raw'!Y12</f>
        <v>3.58</v>
      </c>
      <c r="BF61" s="23">
        <f>'QTR Raw'!Z12</f>
        <v>7.74</v>
      </c>
      <c r="BG61" s="23">
        <f>'QTR Raw'!AA12</f>
        <v>2.0499999999999998</v>
      </c>
      <c r="BH61" s="23">
        <f>'QTR Raw'!AB12</f>
        <v>22.51</v>
      </c>
      <c r="BI61" s="23">
        <f>'QTR Raw'!AC12</f>
        <v>1.6</v>
      </c>
      <c r="BJ61" s="23">
        <f>'QTR Raw'!AD12</f>
        <v>3.37</v>
      </c>
      <c r="BK61" s="23">
        <f>'QTR Raw'!AE12</f>
        <v>5.13</v>
      </c>
      <c r="BL61" s="23">
        <f>'QTR Raw'!AF12</f>
        <v>32.32</v>
      </c>
      <c r="BM61" s="23">
        <f>'QTR Raw'!AG12</f>
        <v>2.1800000000000002</v>
      </c>
      <c r="BN61" s="23">
        <f>'QTR Raw'!AH12</f>
        <v>0.51</v>
      </c>
      <c r="BO61" s="23">
        <f>'QTR Raw'!AI12</f>
        <v>0.61</v>
      </c>
      <c r="BP61" s="23">
        <f>'QTR Raw'!AJ12</f>
        <v>0.56999999999999995</v>
      </c>
      <c r="BQ61" s="23">
        <f>'QTR Raw'!AK12</f>
        <v>8.31</v>
      </c>
      <c r="BR61" s="23">
        <f>'QTR Raw'!AL12</f>
        <v>0.91</v>
      </c>
      <c r="BS61" s="23">
        <f>'QTR Raw'!AM12</f>
        <v>11.24</v>
      </c>
      <c r="BT61" s="23">
        <f>'QTR Raw'!AN12</f>
        <v>21.04</v>
      </c>
      <c r="BU61" s="23">
        <f>'QTR Raw'!AO12</f>
        <v>3.87</v>
      </c>
      <c r="BV61" s="23">
        <f>'QTR Raw'!AP12</f>
        <v>8.61</v>
      </c>
      <c r="BW61" s="23">
        <f>'QTR Raw'!AQ12</f>
        <v>22.2</v>
      </c>
      <c r="BX61" s="23">
        <f>'QTR Raw'!AR12</f>
        <v>20.62</v>
      </c>
      <c r="BY61" s="23">
        <f>'QTR Raw'!AS12</f>
        <v>0.63</v>
      </c>
      <c r="BZ61" s="23">
        <f>'QTR Raw'!AT12</f>
        <v>7.29</v>
      </c>
      <c r="CA61" s="23">
        <f>'QTR Raw'!AU12</f>
        <v>34.15</v>
      </c>
      <c r="CB61" s="23">
        <f>'QTR Raw'!AV12</f>
        <v>-3.89</v>
      </c>
      <c r="CC61" s="23">
        <f>'QTR Raw'!AW12</f>
        <v>2</v>
      </c>
      <c r="CD61" s="23">
        <f>'QTR Raw'!AX12</f>
        <v>6.39</v>
      </c>
      <c r="CE61" s="23">
        <f>'QTR Raw'!AY12</f>
        <v>20.69</v>
      </c>
      <c r="CF61" s="23">
        <f>'QTR Raw'!AZ12</f>
        <v>20.84</v>
      </c>
      <c r="CG61" s="23">
        <f>'QTR Raw'!BA12</f>
        <v>9.69</v>
      </c>
      <c r="CH61" s="23">
        <f>'QTR Raw'!BB12</f>
        <v>16.420000000000002</v>
      </c>
      <c r="CI61" s="23">
        <f>'QTR Raw'!BC12</f>
        <v>70.55</v>
      </c>
      <c r="CJ61" s="23">
        <f>'QTR Raw'!BD12</f>
        <v>19.62</v>
      </c>
      <c r="CK61" s="23">
        <f>'QTR Raw'!BE12</f>
        <v>15.68</v>
      </c>
      <c r="CL61" s="23">
        <f>'QTR Raw'!BF12</f>
        <v>10.59</v>
      </c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E61" s="123"/>
      <c r="DF61" s="23">
        <v>116.44</v>
      </c>
    </row>
    <row r="62" spans="1:110" s="23" customFormat="1" outlineLevel="1" x14ac:dyDescent="0.2">
      <c r="A62" s="23" t="s">
        <v>580</v>
      </c>
      <c r="R62" s="23">
        <v>64.62</v>
      </c>
      <c r="S62" s="23">
        <v>63.51</v>
      </c>
      <c r="T62" s="23">
        <v>80</v>
      </c>
      <c r="U62" s="23">
        <v>80.739999999999995</v>
      </c>
      <c r="V62" s="23">
        <v>52.31</v>
      </c>
      <c r="W62" s="23">
        <v>96.91</v>
      </c>
      <c r="X62" s="23">
        <v>126.99</v>
      </c>
      <c r="Y62" s="23">
        <v>113.91</v>
      </c>
      <c r="Z62" s="23">
        <v>113.44</v>
      </c>
      <c r="AA62" s="23">
        <v>113.44</v>
      </c>
      <c r="AB62" s="76"/>
      <c r="AC62" s="76"/>
      <c r="AD62" s="76"/>
      <c r="AE62" s="76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E62" s="123"/>
    </row>
    <row r="63" spans="1:110" s="23" customFormat="1" outlineLevel="1" x14ac:dyDescent="0.2">
      <c r="A63" s="23" t="s">
        <v>4</v>
      </c>
      <c r="B63" s="23">
        <f>'Annual Raw'!C12</f>
        <v>108.2147915</v>
      </c>
      <c r="C63" s="23">
        <f>'Annual Raw'!D12</f>
        <v>106.921577</v>
      </c>
      <c r="D63" s="23">
        <f>'Annual Raw'!E12</f>
        <v>120.6985723</v>
      </c>
      <c r="E63" s="23">
        <f>'Annual Raw'!F12</f>
        <v>163.0175212</v>
      </c>
      <c r="F63" s="23">
        <f>'Annual Raw'!G12</f>
        <v>177.16084069999999</v>
      </c>
      <c r="G63" s="23">
        <f>'Annual Raw'!H12</f>
        <v>202.08444019999999</v>
      </c>
      <c r="H63" s="23">
        <f>'Annual Raw'!I12</f>
        <v>331.10323690000001</v>
      </c>
      <c r="I63" s="23">
        <f>'Annual Raw'!J12</f>
        <v>434.6933755</v>
      </c>
      <c r="J63" s="23">
        <f>'Annual Raw'!K12</f>
        <v>426.06851160000002</v>
      </c>
      <c r="K63" s="23">
        <f>'Annual Raw'!L12</f>
        <v>465.1707902</v>
      </c>
      <c r="L63" s="23">
        <f>'Annual Raw'!M12</f>
        <v>662.76</v>
      </c>
      <c r="M63" s="23">
        <f>'Annual Raw'!N12</f>
        <v>710.18</v>
      </c>
      <c r="N63" s="23">
        <f>'Annual Raw'!O12</f>
        <v>780.91</v>
      </c>
      <c r="O63" s="23">
        <f>'Annual Raw'!P12</f>
        <v>807.53</v>
      </c>
      <c r="P63" s="23">
        <f>'Annual Raw'!Q12</f>
        <v>796.55</v>
      </c>
      <c r="Q63" s="23">
        <f>'Annual Raw'!R12</f>
        <v>778.47</v>
      </c>
      <c r="R63" s="23">
        <f>'Annual Raw'!S12</f>
        <v>888.71</v>
      </c>
      <c r="S63" s="23">
        <f>'Annual Raw'!T12</f>
        <v>912.08</v>
      </c>
      <c r="T63" s="23">
        <f>'Annual Raw'!U12</f>
        <v>1001.13</v>
      </c>
      <c r="U63" s="23">
        <f>'Annual Raw'!V12</f>
        <v>941.73</v>
      </c>
      <c r="V63" s="23">
        <f>'Annual Raw'!W12</f>
        <v>665.02</v>
      </c>
      <c r="W63" s="23">
        <f>'Annual Raw'!X12</f>
        <v>1282.68</v>
      </c>
      <c r="X63" s="23">
        <f>'Annual Raw'!Y12</f>
        <v>1501.13</v>
      </c>
      <c r="Y63" s="23">
        <f>'Annual Raw'!Z12</f>
        <v>1464.99</v>
      </c>
      <c r="Z63" s="23">
        <f>'Annual Raw'!AA12</f>
        <v>1597.99</v>
      </c>
      <c r="AA63" s="23">
        <f>'Annual Raw'!AB12</f>
        <v>1762.08</v>
      </c>
      <c r="AB63" s="24">
        <f>+SUM(CM63:CP63)</f>
        <v>2286.0944254115693</v>
      </c>
      <c r="AC63" s="24">
        <f>+SUM(CQ63:CT63)</f>
        <v>2360.969918234141</v>
      </c>
      <c r="AD63" s="24">
        <f>+SUM(CU63:CX63)</f>
        <v>2393.6294229360651</v>
      </c>
      <c r="AE63" s="24">
        <f>+SUM(CY63:DB63)</f>
        <v>2403.1885393982679</v>
      </c>
      <c r="AI63" s="23">
        <f>'QTR Raw'!C11</f>
        <v>203.73</v>
      </c>
      <c r="AJ63" s="23">
        <f>'QTR Raw'!D11</f>
        <v>225.81</v>
      </c>
      <c r="AK63" s="23">
        <f>'QTR Raw'!E11</f>
        <v>183.37</v>
      </c>
      <c r="AL63" s="23">
        <f>'QTR Raw'!F11</f>
        <v>221.43</v>
      </c>
      <c r="AM63" s="23">
        <f>'QTR Raw'!G11</f>
        <v>186.1</v>
      </c>
      <c r="AN63" s="23">
        <f>'QTR Raw'!H11</f>
        <v>210.12</v>
      </c>
      <c r="AO63" s="23">
        <f>'QTR Raw'!I11</f>
        <v>214.51</v>
      </c>
      <c r="AP63" s="23">
        <f>'QTR Raw'!J11</f>
        <v>216.54</v>
      </c>
      <c r="AQ63" s="23">
        <f>'QTR Raw'!K11</f>
        <v>210.62</v>
      </c>
      <c r="AR63" s="23">
        <f>'QTR Raw'!L11</f>
        <v>226.37</v>
      </c>
      <c r="AS63" s="23">
        <f>'QTR Raw'!M11</f>
        <v>192.93</v>
      </c>
      <c r="AT63" s="23">
        <f>'QTR Raw'!N11</f>
        <v>200.72</v>
      </c>
      <c r="AU63" s="23">
        <f>'QTR Raw'!O11</f>
        <v>194.79</v>
      </c>
      <c r="AV63" s="23">
        <f>'QTR Raw'!P11</f>
        <v>233.71</v>
      </c>
      <c r="AW63" s="23">
        <f>'QTR Raw'!Q11</f>
        <v>195.94</v>
      </c>
      <c r="AX63" s="23">
        <f>'QTR Raw'!R11</f>
        <v>205.88</v>
      </c>
      <c r="AY63" s="23">
        <f>'QTR Raw'!S11</f>
        <v>219.9</v>
      </c>
      <c r="AZ63" s="23">
        <f>'QTR Raw'!T11</f>
        <v>236.8</v>
      </c>
      <c r="BA63" s="23">
        <f>'QTR Raw'!U11</f>
        <v>213.45</v>
      </c>
      <c r="BB63" s="23">
        <f>'QTR Raw'!V11</f>
        <v>236.61</v>
      </c>
      <c r="BC63" s="23">
        <f>'QTR Raw'!W11</f>
        <v>221.22</v>
      </c>
      <c r="BD63" s="23">
        <f>'QTR Raw'!X11</f>
        <v>228.57</v>
      </c>
      <c r="BE63" s="23">
        <f>'QTR Raw'!Y11</f>
        <v>236.18</v>
      </c>
      <c r="BF63" s="23">
        <f>'QTR Raw'!Z11</f>
        <v>250.69</v>
      </c>
      <c r="BG63" s="23">
        <f>'QTR Raw'!AA11</f>
        <v>251.32</v>
      </c>
      <c r="BH63" s="23">
        <f>'QTR Raw'!AB11</f>
        <v>264.43</v>
      </c>
      <c r="BI63" s="23">
        <f>'QTR Raw'!AC11</f>
        <v>263.94</v>
      </c>
      <c r="BJ63" s="23">
        <f>'QTR Raw'!AD11</f>
        <v>271.89999999999998</v>
      </c>
      <c r="BK63" s="23">
        <f>'QTR Raw'!AE11</f>
        <v>277.77</v>
      </c>
      <c r="BL63" s="23">
        <f>'QTR Raw'!AF11</f>
        <v>251.27</v>
      </c>
      <c r="BM63" s="23">
        <f>'QTR Raw'!AG11</f>
        <v>229.21</v>
      </c>
      <c r="BN63" s="23">
        <f>'QTR Raw'!AH11</f>
        <v>224.08</v>
      </c>
      <c r="BO63" s="23">
        <f>'QTR Raw'!AI11</f>
        <v>65.48</v>
      </c>
      <c r="BP63" s="23">
        <f>'QTR Raw'!AJ11</f>
        <v>153.97</v>
      </c>
      <c r="BQ63" s="23">
        <f>'QTR Raw'!AK11</f>
        <v>212.39</v>
      </c>
      <c r="BR63" s="23">
        <f>'QTR Raw'!AL11</f>
        <v>275.08999999999997</v>
      </c>
      <c r="BS63" s="23">
        <f>'QTR Raw'!AM11</f>
        <v>241.07</v>
      </c>
      <c r="BT63" s="23">
        <f>'QTR Raw'!AN11</f>
        <v>314.52999999999997</v>
      </c>
      <c r="BU63" s="23">
        <f>'QTR Raw'!AO11</f>
        <v>362.64</v>
      </c>
      <c r="BV63" s="23">
        <f>'QTR Raw'!AP11</f>
        <v>416.59</v>
      </c>
      <c r="BW63" s="23">
        <f>'QTR Raw'!AQ11</f>
        <v>425.25</v>
      </c>
      <c r="BX63" s="23">
        <f>'QTR Raw'!AR11</f>
        <v>388.8</v>
      </c>
      <c r="BY63" s="23">
        <f>'QTR Raw'!AS11</f>
        <v>371.3</v>
      </c>
      <c r="BZ63" s="23">
        <f>'QTR Raw'!AT11</f>
        <v>392.03</v>
      </c>
      <c r="CA63" s="23">
        <f>'QTR Raw'!AU11</f>
        <v>386.53</v>
      </c>
      <c r="CB63" s="23">
        <f>'QTR Raw'!AV11</f>
        <v>374.32</v>
      </c>
      <c r="CC63" s="23">
        <f>'QTR Raw'!AW11</f>
        <v>382.68</v>
      </c>
      <c r="CD63" s="23">
        <f>'QTR Raw'!AX11</f>
        <v>396.72</v>
      </c>
      <c r="CE63" s="23">
        <f>'QTR Raw'!AY11</f>
        <v>386.05</v>
      </c>
      <c r="CF63" s="23">
        <f>'QTR Raw'!AZ11</f>
        <v>394.1</v>
      </c>
      <c r="CG63" s="23">
        <f>'QTR Raw'!BA11</f>
        <v>416.41</v>
      </c>
      <c r="CH63" s="23">
        <f>'QTR Raw'!BB11</f>
        <v>447.38</v>
      </c>
      <c r="CI63" s="23">
        <f>'QTR Raw'!BC11</f>
        <v>439.02</v>
      </c>
      <c r="CJ63" s="23">
        <f>'QTR Raw'!BD11</f>
        <v>439.32</v>
      </c>
      <c r="CK63" s="23">
        <f>'QTR Raw'!BE11</f>
        <v>432.62</v>
      </c>
      <c r="CL63" s="23">
        <f>'QTR Raw'!BF11</f>
        <v>452.79</v>
      </c>
      <c r="CM63" s="24">
        <f t="shared" ref="CM63:DB63" si="62">+CM57-CM64</f>
        <v>575.70139900895697</v>
      </c>
      <c r="CN63" s="24">
        <f t="shared" si="62"/>
        <v>567.15721771428116</v>
      </c>
      <c r="CO63" s="24">
        <f t="shared" si="62"/>
        <v>567.59962983392791</v>
      </c>
      <c r="CP63" s="24">
        <f t="shared" si="62"/>
        <v>575.63617885440294</v>
      </c>
      <c r="CQ63" s="24">
        <f t="shared" si="62"/>
        <v>582.76740254318202</v>
      </c>
      <c r="CR63" s="24">
        <f t="shared" si="62"/>
        <v>587.87111282319074</v>
      </c>
      <c r="CS63" s="24">
        <f t="shared" si="62"/>
        <v>593.13665314036552</v>
      </c>
      <c r="CT63" s="24">
        <f t="shared" si="62"/>
        <v>597.19474972740272</v>
      </c>
      <c r="CU63" s="24">
        <f t="shared" si="62"/>
        <v>597.63727499585195</v>
      </c>
      <c r="CV63" s="24">
        <f t="shared" si="62"/>
        <v>597.96265575541941</v>
      </c>
      <c r="CW63" s="24">
        <f t="shared" si="62"/>
        <v>598.66820537794456</v>
      </c>
      <c r="CX63" s="24">
        <f t="shared" si="62"/>
        <v>599.36128680684919</v>
      </c>
      <c r="CY63" s="24">
        <f t="shared" si="62"/>
        <v>599.90413476745232</v>
      </c>
      <c r="CZ63" s="24">
        <f t="shared" si="62"/>
        <v>600.47218769703909</v>
      </c>
      <c r="DA63" s="24">
        <f t="shared" si="62"/>
        <v>601.10121119507721</v>
      </c>
      <c r="DB63" s="24">
        <f t="shared" si="62"/>
        <v>601.71100573869944</v>
      </c>
      <c r="DE63" s="123"/>
      <c r="DF63" s="23">
        <v>491.61122917659259</v>
      </c>
    </row>
    <row r="64" spans="1:110" s="31" customFormat="1" x14ac:dyDescent="0.2">
      <c r="A64" s="31" t="s">
        <v>5</v>
      </c>
      <c r="B64" s="31">
        <f t="shared" ref="B64:Y64" si="63">B57-B60-B63-B61-B62</f>
        <v>75.7830412</v>
      </c>
      <c r="C64" s="31">
        <f t="shared" si="63"/>
        <v>79.244591000000028</v>
      </c>
      <c r="D64" s="31">
        <f t="shared" si="63"/>
        <v>82.236880799999994</v>
      </c>
      <c r="E64" s="31">
        <f t="shared" si="63"/>
        <v>106.96619209999997</v>
      </c>
      <c r="F64" s="31">
        <f t="shared" si="63"/>
        <v>117.74682220000005</v>
      </c>
      <c r="G64" s="31">
        <f t="shared" si="63"/>
        <v>151.41941890000001</v>
      </c>
      <c r="H64" s="31">
        <f t="shared" si="63"/>
        <v>241.70094880000005</v>
      </c>
      <c r="I64" s="31">
        <f t="shared" si="63"/>
        <v>280.49038410000003</v>
      </c>
      <c r="J64" s="31">
        <f t="shared" si="63"/>
        <v>313.04899619999998</v>
      </c>
      <c r="K64" s="31">
        <f t="shared" si="63"/>
        <v>388.20501489999998</v>
      </c>
      <c r="L64" s="31">
        <f t="shared" si="63"/>
        <v>551.91000000000008</v>
      </c>
      <c r="M64" s="31">
        <f t="shared" si="63"/>
        <v>691.7399999999999</v>
      </c>
      <c r="N64" s="31">
        <f t="shared" si="63"/>
        <v>714.7700000000001</v>
      </c>
      <c r="O64" s="31">
        <f t="shared" si="63"/>
        <v>636.20000000000005</v>
      </c>
      <c r="P64" s="31">
        <f t="shared" si="63"/>
        <v>679.48</v>
      </c>
      <c r="Q64" s="31">
        <f t="shared" si="63"/>
        <v>748.15999999999985</v>
      </c>
      <c r="R64" s="31">
        <f t="shared" si="63"/>
        <v>680.89</v>
      </c>
      <c r="S64" s="31">
        <f t="shared" si="63"/>
        <v>694.82000000000028</v>
      </c>
      <c r="T64" s="31">
        <f t="shared" si="63"/>
        <v>779.12</v>
      </c>
      <c r="U64" s="31">
        <f t="shared" si="63"/>
        <v>779.29</v>
      </c>
      <c r="V64" s="31">
        <f t="shared" si="63"/>
        <v>613.83000000000015</v>
      </c>
      <c r="W64" s="31">
        <f t="shared" si="63"/>
        <v>1093.8400000000001</v>
      </c>
      <c r="X64" s="31">
        <f t="shared" si="63"/>
        <v>1178.95</v>
      </c>
      <c r="Y64" s="31">
        <f t="shared" si="63"/>
        <v>1072.2799999999997</v>
      </c>
      <c r="Z64" s="31">
        <f>Z57-Z60-Z63-Z61-Z62</f>
        <v>1135.6399999999996</v>
      </c>
      <c r="AA64" s="31">
        <f>AA57-AA60-AA63-AA61-AA62</f>
        <v>1297.7600000000002</v>
      </c>
      <c r="AB64" s="32">
        <f t="shared" ref="AA64:AE64" si="64">AB57-AB60-AB63-AB61-AB62</f>
        <v>1567.8878276081127</v>
      </c>
      <c r="AC64" s="32">
        <f t="shared" si="64"/>
        <v>1626.4630266335616</v>
      </c>
      <c r="AD64" s="32">
        <f t="shared" si="64"/>
        <v>1649.7942730307218</v>
      </c>
      <c r="AE64" s="32">
        <f t="shared" si="64"/>
        <v>1656.4331280722986</v>
      </c>
      <c r="AI64" s="31">
        <f t="shared" ref="AI64:AO64" si="65">AI57-AI60-AI63-AI61</f>
        <v>197.00999999999996</v>
      </c>
      <c r="AJ64" s="31">
        <f t="shared" si="65"/>
        <v>183.33000000000004</v>
      </c>
      <c r="AK64" s="31">
        <f t="shared" si="65"/>
        <v>136.77999999999997</v>
      </c>
      <c r="AL64" s="31">
        <f t="shared" si="65"/>
        <v>150.30000000000001</v>
      </c>
      <c r="AM64" s="31">
        <f t="shared" si="65"/>
        <v>159.24000000000004</v>
      </c>
      <c r="AN64" s="31">
        <f t="shared" si="65"/>
        <v>164.67999999999995</v>
      </c>
      <c r="AO64" s="31">
        <f t="shared" si="65"/>
        <v>148.30000000000001</v>
      </c>
      <c r="AP64" s="31">
        <f t="shared" ref="AP64:BV64" si="66">AP57-AP60-AP63-AP61</f>
        <v>151.25000000000003</v>
      </c>
      <c r="AQ64" s="31">
        <f t="shared" si="66"/>
        <v>148.42000000000002</v>
      </c>
      <c r="AR64" s="31">
        <f t="shared" si="66"/>
        <v>160.99</v>
      </c>
      <c r="AS64" s="31">
        <f t="shared" si="66"/>
        <v>154.65999999999997</v>
      </c>
      <c r="AT64" s="31">
        <f t="shared" si="66"/>
        <v>164.9</v>
      </c>
      <c r="AU64" s="31">
        <f t="shared" si="66"/>
        <v>172.19</v>
      </c>
      <c r="AV64" s="31">
        <f t="shared" si="66"/>
        <v>182.44000000000003</v>
      </c>
      <c r="AW64" s="31">
        <f t="shared" si="66"/>
        <v>166.30000000000007</v>
      </c>
      <c r="AX64" s="31">
        <f t="shared" si="66"/>
        <v>168.22</v>
      </c>
      <c r="AY64" s="31">
        <f t="shared" si="66"/>
        <v>176.13000000000005</v>
      </c>
      <c r="AZ64" s="31">
        <f t="shared" si="66"/>
        <v>177.66000000000003</v>
      </c>
      <c r="BA64" s="31">
        <f t="shared" si="66"/>
        <v>159.97000000000003</v>
      </c>
      <c r="BB64" s="31">
        <f t="shared" si="66"/>
        <v>168.67999999999995</v>
      </c>
      <c r="BC64" s="31">
        <f t="shared" si="66"/>
        <v>162.9</v>
      </c>
      <c r="BD64" s="31">
        <f t="shared" si="66"/>
        <v>167.93999999999997</v>
      </c>
      <c r="BE64" s="31">
        <f t="shared" si="66"/>
        <v>172.67999999999998</v>
      </c>
      <c r="BF64" s="31">
        <f t="shared" si="66"/>
        <v>189.56</v>
      </c>
      <c r="BG64" s="31">
        <f t="shared" si="66"/>
        <v>192.90999999999997</v>
      </c>
      <c r="BH64" s="31">
        <f t="shared" si="66"/>
        <v>204.21000000000004</v>
      </c>
      <c r="BI64" s="31">
        <f t="shared" si="66"/>
        <v>183.17999999999998</v>
      </c>
      <c r="BJ64" s="31">
        <f t="shared" si="66"/>
        <v>198.82999999999998</v>
      </c>
      <c r="BK64" s="31">
        <f t="shared" si="66"/>
        <v>191.07999999999998</v>
      </c>
      <c r="BL64" s="31">
        <f t="shared" si="66"/>
        <v>194.21</v>
      </c>
      <c r="BM64" s="31">
        <f t="shared" si="66"/>
        <v>195.37999999999997</v>
      </c>
      <c r="BN64" s="31">
        <f t="shared" si="66"/>
        <v>198.61999999999998</v>
      </c>
      <c r="BO64" s="31">
        <f t="shared" si="66"/>
        <v>56.11999999999999</v>
      </c>
      <c r="BP64" s="31">
        <f t="shared" si="66"/>
        <v>136.59</v>
      </c>
      <c r="BQ64" s="31">
        <f t="shared" si="66"/>
        <v>183.98000000000002</v>
      </c>
      <c r="BR64" s="31">
        <f t="shared" si="66"/>
        <v>237.14000000000001</v>
      </c>
      <c r="BS64" s="31">
        <f t="shared" si="66"/>
        <v>207.32</v>
      </c>
      <c r="BT64" s="31">
        <f t="shared" si="66"/>
        <v>278.53999999999991</v>
      </c>
      <c r="BU64" s="31">
        <f t="shared" si="66"/>
        <v>291</v>
      </c>
      <c r="BV64" s="31">
        <f t="shared" si="66"/>
        <v>316.98000000000008</v>
      </c>
      <c r="BW64" s="31">
        <f t="shared" ref="BW64" si="67">BW57-BW60-BW63-BW61-BW62</f>
        <v>314.70999999999998</v>
      </c>
      <c r="BX64" s="31">
        <f t="shared" ref="BX64" si="68">BX57-BX60-BX63-BX61-BX62</f>
        <v>317.77000000000004</v>
      </c>
      <c r="BY64" s="31">
        <f t="shared" ref="BY64" si="69">BY57-BY60-BY63-BY61-BY62</f>
        <v>263.92</v>
      </c>
      <c r="BZ64" s="31">
        <f t="shared" ref="BZ64" si="70">BZ57-BZ60-BZ63-BZ61-BZ62</f>
        <v>282.55</v>
      </c>
      <c r="CA64" s="31">
        <f t="shared" ref="CA64" si="71">CA57-CA60-CA63-CA61-CA62</f>
        <v>273.46000000000004</v>
      </c>
      <c r="CB64" s="31">
        <f t="shared" ref="CB64" si="72">CB57-CB60-CB63-CB61-CB62</f>
        <v>258.70999999999998</v>
      </c>
      <c r="CC64" s="31">
        <f t="shared" ref="CC64" si="73">CC57-CC60-CC63-CC61-CC62</f>
        <v>245.93</v>
      </c>
      <c r="CD64" s="31">
        <f t="shared" ref="CD64" si="74">CD57-CD60-CD63-CD61-CD62</f>
        <v>294.17999999999995</v>
      </c>
      <c r="CE64" s="31">
        <f t="shared" ref="CE64" si="75">CE57-CE60-CE63-CE61-CE62</f>
        <v>297.64</v>
      </c>
      <c r="CF64" s="31">
        <f t="shared" ref="CF64" si="76">CF57-CF60-CF63-CF61-CF62</f>
        <v>293.40000000000003</v>
      </c>
      <c r="CG64" s="31">
        <f t="shared" ref="CG64" si="77">CG57-CG60-CG63-CG61-CG62</f>
        <v>278.27999999999997</v>
      </c>
      <c r="CH64" s="31">
        <f t="shared" ref="CH64" si="78">CH57-CH60-CH63-CH61-CH62</f>
        <v>266.32</v>
      </c>
      <c r="CI64" s="31">
        <f t="shared" ref="CI64" si="79">CI57-CI60-CI63-CI61-CI62</f>
        <v>285.68</v>
      </c>
      <c r="CJ64" s="31">
        <f t="shared" ref="CJ64" si="80">CJ57-CJ60-CJ63-CJ61-CJ62</f>
        <v>315.5499999999999</v>
      </c>
      <c r="CK64" s="31">
        <f t="shared" ref="CK64" si="81">CK57-CK60-CK63-CK61-CK62</f>
        <v>331.10999999999996</v>
      </c>
      <c r="CL64" s="31">
        <f t="shared" ref="CL64" si="82">CL57-CL60-CL63-CL61-CL62</f>
        <v>360.96999999999991</v>
      </c>
      <c r="CM64" s="32">
        <f t="shared" ref="CM64:DB64" si="83">+CM65*CM57</f>
        <v>383.36017979226244</v>
      </c>
      <c r="CN64" s="32">
        <f t="shared" si="83"/>
        <v>392.86342266573939</v>
      </c>
      <c r="CO64" s="32">
        <f t="shared" si="83"/>
        <v>396.37321982914568</v>
      </c>
      <c r="CP64" s="32">
        <f t="shared" si="83"/>
        <v>395.29100532096544</v>
      </c>
      <c r="CQ64" s="32">
        <f t="shared" si="83"/>
        <v>399.67155853349993</v>
      </c>
      <c r="CR64" s="32">
        <f t="shared" si="83"/>
        <v>406.14257826065881</v>
      </c>
      <c r="CS64" s="32">
        <f t="shared" si="83"/>
        <v>409.5110690933854</v>
      </c>
      <c r="CT64" s="32">
        <f t="shared" si="83"/>
        <v>411.13782074601681</v>
      </c>
      <c r="CU64" s="32">
        <f t="shared" si="83"/>
        <v>411.70362804804085</v>
      </c>
      <c r="CV64" s="32">
        <f t="shared" si="83"/>
        <v>412.38758819151701</v>
      </c>
      <c r="CW64" s="32">
        <f t="shared" si="83"/>
        <v>412.69238881293876</v>
      </c>
      <c r="CX64" s="32">
        <f t="shared" si="83"/>
        <v>413.01066797822494</v>
      </c>
      <c r="CY64" s="32">
        <f t="shared" si="83"/>
        <v>413.48019197240694</v>
      </c>
      <c r="CZ64" s="32">
        <f t="shared" si="83"/>
        <v>413.92552336955993</v>
      </c>
      <c r="DA64" s="32">
        <f t="shared" si="83"/>
        <v>414.31089758258821</v>
      </c>
      <c r="DB64" s="32">
        <f t="shared" si="83"/>
        <v>414.71651514774368</v>
      </c>
      <c r="DE64" s="124"/>
      <c r="DF64" s="31">
        <v>312.07185555325748</v>
      </c>
    </row>
    <row r="65" spans="1:110" s="41" customFormat="1" x14ac:dyDescent="0.2">
      <c r="A65" s="41" t="s">
        <v>6</v>
      </c>
      <c r="B65" s="41">
        <f>B64/B57</f>
        <v>0.41300666479135667</v>
      </c>
      <c r="C65" s="41">
        <f t="shared" ref="C65:U65" si="84">C64/C57</f>
        <v>0.41777626236103854</v>
      </c>
      <c r="D65" s="41">
        <f t="shared" si="84"/>
        <v>0.42020035947807849</v>
      </c>
      <c r="E65" s="41">
        <f t="shared" si="84"/>
        <v>0.40039068854365623</v>
      </c>
      <c r="F65" s="41">
        <f t="shared" si="84"/>
        <v>0.4066164945027953</v>
      </c>
      <c r="G65" s="41">
        <f t="shared" si="84"/>
        <v>0.43663527020469844</v>
      </c>
      <c r="H65" s="41">
        <f t="shared" si="84"/>
        <v>0.43757973950843504</v>
      </c>
      <c r="I65" s="41">
        <f t="shared" si="84"/>
        <v>0.40452501862279266</v>
      </c>
      <c r="J65" s="41">
        <f t="shared" si="84"/>
        <v>0.4183637335217949</v>
      </c>
      <c r="K65" s="41">
        <f t="shared" si="84"/>
        <v>0.45550714674886422</v>
      </c>
      <c r="L65" s="41">
        <f t="shared" si="84"/>
        <v>0.47110591368478566</v>
      </c>
      <c r="M65" s="41">
        <f t="shared" si="84"/>
        <v>0.48809641410649018</v>
      </c>
      <c r="N65" s="41">
        <f t="shared" si="84"/>
        <v>0.48333153011820079</v>
      </c>
      <c r="O65" s="41">
        <f t="shared" si="84"/>
        <v>0.44408457291237668</v>
      </c>
      <c r="P65" s="41">
        <f t="shared" si="84"/>
        <v>0.46265303065379326</v>
      </c>
      <c r="Q65" s="41">
        <f t="shared" si="84"/>
        <v>0.49731454400425412</v>
      </c>
      <c r="R65" s="41">
        <f t="shared" si="84"/>
        <v>0.42784791036991887</v>
      </c>
      <c r="S65" s="41">
        <f t="shared" si="84"/>
        <v>0.42437975642231546</v>
      </c>
      <c r="T65" s="41">
        <f t="shared" si="84"/>
        <v>0.41585669831814809</v>
      </c>
      <c r="U65" s="41">
        <f t="shared" si="84"/>
        <v>0.43533078972800554</v>
      </c>
      <c r="V65" s="201">
        <f t="shared" ref="V65:AE65" si="85">V64/V57</f>
        <v>0.45168767522461872</v>
      </c>
      <c r="W65" s="201">
        <f t="shared" si="85"/>
        <v>0.44870700971383565</v>
      </c>
      <c r="X65" s="201">
        <f t="shared" si="85"/>
        <v>0.43466799395347122</v>
      </c>
      <c r="Y65" s="201">
        <f t="shared" si="85"/>
        <v>0.40801199363789248</v>
      </c>
      <c r="Z65" s="201">
        <f t="shared" si="85"/>
        <v>0.39750083130611308</v>
      </c>
      <c r="AA65" s="201">
        <f t="shared" ref="AA65" si="86">AA64/AA57</f>
        <v>0.40122057918770276</v>
      </c>
      <c r="AB65" s="42">
        <f t="shared" si="85"/>
        <v>0.40682279384645254</v>
      </c>
      <c r="AC65" s="42">
        <f t="shared" si="85"/>
        <v>0.40789727353961192</v>
      </c>
      <c r="AD65" s="42">
        <f t="shared" si="85"/>
        <v>0.40801914344923834</v>
      </c>
      <c r="AE65" s="42">
        <f t="shared" si="85"/>
        <v>0.40802647728116359</v>
      </c>
      <c r="AI65" s="41">
        <f t="shared" ref="AI65:AO65" si="87">AI64/AI57</f>
        <v>0.47755369176322293</v>
      </c>
      <c r="AJ65" s="41">
        <f t="shared" si="87"/>
        <v>0.4753669034901209</v>
      </c>
      <c r="AK65" s="41">
        <f t="shared" si="87"/>
        <v>0.41516420809809984</v>
      </c>
      <c r="AL65" s="41">
        <f t="shared" si="87"/>
        <v>0.42070200974080507</v>
      </c>
      <c r="AM65" s="41">
        <f t="shared" si="87"/>
        <v>0.43316468092051585</v>
      </c>
      <c r="AN65" s="41">
        <f t="shared" si="87"/>
        <v>0.46646272377067743</v>
      </c>
      <c r="AO65" s="41">
        <f t="shared" si="87"/>
        <v>0.42422335373877229</v>
      </c>
      <c r="AP65" s="41">
        <f t="shared" ref="AP65:CD65" si="88">AP64/AP57</f>
        <v>0.40946992257296017</v>
      </c>
      <c r="AQ65" s="41">
        <f t="shared" si="88"/>
        <v>0.39575500626616539</v>
      </c>
      <c r="AR65" s="41">
        <f t="shared" si="88"/>
        <v>0.43418107284446722</v>
      </c>
      <c r="AS65" s="41">
        <f t="shared" si="88"/>
        <v>0.41911007533467015</v>
      </c>
      <c r="AT65" s="41">
        <f t="shared" si="88"/>
        <v>0.45539906103286382</v>
      </c>
      <c r="AU65" s="41">
        <f t="shared" si="88"/>
        <v>0.46968167807752104</v>
      </c>
      <c r="AV65" s="41">
        <f t="shared" si="88"/>
        <v>0.4549399032467209</v>
      </c>
      <c r="AW65" s="41">
        <f t="shared" si="88"/>
        <v>0.4666236426386825</v>
      </c>
      <c r="AX65" s="41">
        <f t="shared" si="88"/>
        <v>0.43613077182339066</v>
      </c>
      <c r="AY65" s="41">
        <f t="shared" si="88"/>
        <v>0.43374295072278185</v>
      </c>
      <c r="AZ65" s="41">
        <f t="shared" si="88"/>
        <v>0.41718915110954563</v>
      </c>
      <c r="BA65" s="41">
        <f t="shared" si="88"/>
        <v>0.45748848914690998</v>
      </c>
      <c r="BB65" s="41">
        <f t="shared" si="88"/>
        <v>0.40906996483569774</v>
      </c>
      <c r="BC65" s="41">
        <f t="shared" si="88"/>
        <v>0.38692667632597805</v>
      </c>
      <c r="BD65" s="41">
        <f t="shared" si="88"/>
        <v>0.45241238113197374</v>
      </c>
      <c r="BE65" s="41">
        <f t="shared" si="88"/>
        <v>0.41464761676071554</v>
      </c>
      <c r="BF65" s="41">
        <f t="shared" si="88"/>
        <v>0.44161774298760598</v>
      </c>
      <c r="BG65" s="41">
        <f t="shared" si="88"/>
        <v>0.40702605760101268</v>
      </c>
      <c r="BH65" s="41">
        <f t="shared" si="88"/>
        <v>0.43352085765842274</v>
      </c>
      <c r="BI65" s="41">
        <f t="shared" si="88"/>
        <v>0.41618575907665739</v>
      </c>
      <c r="BJ65" s="41">
        <f t="shared" si="88"/>
        <v>0.40711316775527751</v>
      </c>
      <c r="BK65" s="41">
        <f t="shared" si="88"/>
        <v>0.41481417158735667</v>
      </c>
      <c r="BL65" s="41">
        <f t="shared" si="88"/>
        <v>0.39822428181836822</v>
      </c>
      <c r="BM65" s="41">
        <f t="shared" si="88"/>
        <v>0.44376305987099113</v>
      </c>
      <c r="BN65" s="41">
        <f t="shared" si="88"/>
        <v>0.49469489414694889</v>
      </c>
      <c r="BO65" s="41">
        <f t="shared" si="88"/>
        <v>0.51552452691530393</v>
      </c>
      <c r="BP65" s="41">
        <f t="shared" si="88"/>
        <v>0.43717193701190632</v>
      </c>
      <c r="BQ65" s="41">
        <f t="shared" si="88"/>
        <v>0.41789892106757526</v>
      </c>
      <c r="BR65" s="41">
        <f t="shared" si="88"/>
        <v>0.47673997828796594</v>
      </c>
      <c r="BS65" s="41">
        <f t="shared" si="88"/>
        <v>0.50421966583165112</v>
      </c>
      <c r="BT65" s="41">
        <f t="shared" si="88"/>
        <v>0.43611824387799825</v>
      </c>
      <c r="BU65" s="41">
        <f t="shared" si="88"/>
        <v>0.44783010156971381</v>
      </c>
      <c r="BV65" s="41">
        <f t="shared" si="88"/>
        <v>0.4294481852298439</v>
      </c>
      <c r="BW65" s="41">
        <f t="shared" si="88"/>
        <v>0.4412152310453118</v>
      </c>
      <c r="BX65" s="41">
        <f t="shared" si="88"/>
        <v>0.44799244346698247</v>
      </c>
      <c r="BY65" s="41">
        <f t="shared" si="88"/>
        <v>0.43623140495867774</v>
      </c>
      <c r="BZ65" s="41">
        <f t="shared" si="88"/>
        <v>0.41266247991821237</v>
      </c>
      <c r="CA65" s="41">
        <f t="shared" si="88"/>
        <v>0.40386944321370555</v>
      </c>
      <c r="CB65" s="41">
        <f t="shared" si="88"/>
        <v>0.41147374113305973</v>
      </c>
      <c r="CC65" s="41">
        <f t="shared" si="88"/>
        <v>0.39595878280470131</v>
      </c>
      <c r="CD65" s="41">
        <f t="shared" si="88"/>
        <v>0.41958580556823361</v>
      </c>
      <c r="CE65" s="41">
        <f t="shared" ref="CE65:CL65" si="89">CE64/CE57</f>
        <v>0.42946396363898709</v>
      </c>
      <c r="CF65" s="41">
        <f t="shared" si="89"/>
        <v>0.43427421145335332</v>
      </c>
      <c r="CG65" s="41">
        <f t="shared" si="89"/>
        <v>0.36907651295110011</v>
      </c>
      <c r="CH65" s="41">
        <f t="shared" si="89"/>
        <v>0.36268555086476917</v>
      </c>
      <c r="CI65" s="41">
        <f t="shared" si="89"/>
        <v>0.36172556567101816</v>
      </c>
      <c r="CJ65" s="41">
        <f t="shared" si="89"/>
        <v>0.40137118725991494</v>
      </c>
      <c r="CK65" s="41">
        <f t="shared" si="89"/>
        <v>0.42742622569901628</v>
      </c>
      <c r="CL65" s="41">
        <f t="shared" si="89"/>
        <v>0.40837406100099549</v>
      </c>
      <c r="CM65" s="42">
        <f t="shared" ref="CM65:DB65" si="90">AVERAGE(CI65:CL65)</f>
        <v>0.39972425990773619</v>
      </c>
      <c r="CN65" s="42">
        <f t="shared" si="90"/>
        <v>0.40922393346691577</v>
      </c>
      <c r="CO65" s="42">
        <f t="shared" si="90"/>
        <v>0.41118712001866597</v>
      </c>
      <c r="CP65" s="42">
        <f t="shared" si="90"/>
        <v>0.40712734359857838</v>
      </c>
      <c r="CQ65" s="42">
        <f t="shared" si="90"/>
        <v>0.40681566424797411</v>
      </c>
      <c r="CR65" s="42">
        <f t="shared" si="90"/>
        <v>0.40858851533303359</v>
      </c>
      <c r="CS65" s="42">
        <f t="shared" si="90"/>
        <v>0.408429660799563</v>
      </c>
      <c r="CT65" s="42">
        <f t="shared" si="90"/>
        <v>0.40774029599478728</v>
      </c>
      <c r="CU65" s="42">
        <f t="shared" si="90"/>
        <v>0.40789353409383949</v>
      </c>
      <c r="CV65" s="42">
        <f t="shared" si="90"/>
        <v>0.40816300155530583</v>
      </c>
      <c r="CW65" s="42">
        <f t="shared" si="90"/>
        <v>0.40805662311087387</v>
      </c>
      <c r="CX65" s="42">
        <f t="shared" si="90"/>
        <v>0.40796336368870156</v>
      </c>
      <c r="CY65" s="42">
        <f t="shared" si="90"/>
        <v>0.4080191306121802</v>
      </c>
      <c r="CZ65" s="42">
        <f t="shared" si="90"/>
        <v>0.40805052974176537</v>
      </c>
      <c r="DA65" s="42">
        <f t="shared" si="90"/>
        <v>0.40802241178838028</v>
      </c>
      <c r="DB65" s="42">
        <f t="shared" si="90"/>
        <v>0.40801385895775688</v>
      </c>
      <c r="DE65" s="125"/>
      <c r="DF65" s="41">
        <v>0.38830213237367966</v>
      </c>
    </row>
    <row r="66" spans="1:110" s="39" customFormat="1" x14ac:dyDescent="0.2">
      <c r="A66" s="39" t="s">
        <v>446</v>
      </c>
      <c r="C66" s="39">
        <f t="shared" ref="C66:AE66" si="91">+IF(B64&lt;0,1-C64/B64,C64/B64-1)</f>
        <v>4.5677103283102705E-2</v>
      </c>
      <c r="D66" s="39">
        <f t="shared" si="91"/>
        <v>3.7760177221432878E-2</v>
      </c>
      <c r="E66" s="39">
        <f t="shared" si="91"/>
        <v>0.30070828391633242</v>
      </c>
      <c r="F66" s="39">
        <f t="shared" si="91"/>
        <v>0.10078539665992348</v>
      </c>
      <c r="G66" s="39">
        <f t="shared" si="91"/>
        <v>0.28597456874721439</v>
      </c>
      <c r="H66" s="39">
        <f t="shared" si="91"/>
        <v>0.59623481952221402</v>
      </c>
      <c r="I66" s="39">
        <f t="shared" si="91"/>
        <v>0.16048524216633098</v>
      </c>
      <c r="J66" s="39">
        <f t="shared" si="91"/>
        <v>0.1160774627068577</v>
      </c>
      <c r="K66" s="39">
        <f t="shared" si="91"/>
        <v>0.24007749461679961</v>
      </c>
      <c r="L66" s="39">
        <f t="shared" si="91"/>
        <v>0.42169724454015567</v>
      </c>
      <c r="M66" s="39">
        <f t="shared" si="91"/>
        <v>0.25335652552046484</v>
      </c>
      <c r="N66" s="39">
        <f t="shared" si="91"/>
        <v>3.3292855697227619E-2</v>
      </c>
      <c r="O66" s="39">
        <f t="shared" si="91"/>
        <v>-0.10992347188606133</v>
      </c>
      <c r="P66" s="39">
        <f t="shared" si="91"/>
        <v>6.8028921722728564E-2</v>
      </c>
      <c r="Q66" s="39">
        <f t="shared" si="91"/>
        <v>0.10107729440160096</v>
      </c>
      <c r="R66" s="39">
        <f t="shared" si="91"/>
        <v>-8.9913922155688497E-2</v>
      </c>
      <c r="S66" s="39">
        <f t="shared" si="91"/>
        <v>2.045851752852923E-2</v>
      </c>
      <c r="T66" s="39">
        <f t="shared" si="91"/>
        <v>0.12132638669007756</v>
      </c>
      <c r="U66" s="39">
        <f t="shared" si="91"/>
        <v>2.1819488653851415E-4</v>
      </c>
      <c r="V66" s="39">
        <f t="shared" si="91"/>
        <v>-0.21232147210922736</v>
      </c>
      <c r="W66" s="39">
        <f t="shared" si="91"/>
        <v>0.78199175667530074</v>
      </c>
      <c r="X66" s="39">
        <f t="shared" si="91"/>
        <v>7.7808454618591316E-2</v>
      </c>
      <c r="Y66" s="39">
        <f t="shared" si="91"/>
        <v>-9.0478815895500442E-2</v>
      </c>
      <c r="Z66" s="39">
        <f t="shared" si="91"/>
        <v>5.9089043906442207E-2</v>
      </c>
      <c r="AA66" s="39">
        <f t="shared" si="91"/>
        <v>0.14275650734387724</v>
      </c>
      <c r="AB66" s="40">
        <f t="shared" si="91"/>
        <v>0.2081492938664411</v>
      </c>
      <c r="AC66" s="40">
        <f t="shared" si="91"/>
        <v>3.7359304660721904E-2</v>
      </c>
      <c r="AD66" s="40">
        <f t="shared" si="91"/>
        <v>1.4344775144044197E-2</v>
      </c>
      <c r="AE66" s="40">
        <f t="shared" si="91"/>
        <v>4.0240502407498102E-3</v>
      </c>
      <c r="AM66" s="39">
        <f t="shared" ref="AM66:BR66" si="92">+IF(AI64&lt;0,1-AM64/AI64,AM64/AI64-1)</f>
        <v>-0.19171615654027685</v>
      </c>
      <c r="AN66" s="39">
        <f t="shared" si="92"/>
        <v>-0.1017291223476795</v>
      </c>
      <c r="AO66" s="39">
        <f t="shared" si="92"/>
        <v>8.4222839596432619E-2</v>
      </c>
      <c r="AP66" s="39">
        <f t="shared" si="92"/>
        <v>6.3206919494345204E-3</v>
      </c>
      <c r="AQ66" s="39">
        <f t="shared" si="92"/>
        <v>-6.7947751821150537E-2</v>
      </c>
      <c r="AR66" s="39">
        <f t="shared" si="92"/>
        <v>-2.2407092543113571E-2</v>
      </c>
      <c r="AS66" s="39">
        <f t="shared" si="92"/>
        <v>4.2886041807147279E-2</v>
      </c>
      <c r="AT66" s="39">
        <f t="shared" si="92"/>
        <v>9.0247933884297415E-2</v>
      </c>
      <c r="AU66" s="39">
        <f t="shared" si="92"/>
        <v>0.16015361811076656</v>
      </c>
      <c r="AV66" s="39">
        <f t="shared" si="92"/>
        <v>0.13323808932231818</v>
      </c>
      <c r="AW66" s="39">
        <f t="shared" si="92"/>
        <v>7.5261864735549633E-2</v>
      </c>
      <c r="AX66" s="39">
        <f t="shared" si="92"/>
        <v>2.0133414190418364E-2</v>
      </c>
      <c r="AY66" s="39">
        <f t="shared" si="92"/>
        <v>2.2881700447180853E-2</v>
      </c>
      <c r="AZ66" s="39">
        <f t="shared" si="92"/>
        <v>-2.6200394650295999E-2</v>
      </c>
      <c r="BA66" s="39">
        <f t="shared" si="92"/>
        <v>-3.8063740228502896E-2</v>
      </c>
      <c r="BB66" s="39">
        <f t="shared" si="92"/>
        <v>2.7345143264769778E-3</v>
      </c>
      <c r="BC66" s="39">
        <f t="shared" si="92"/>
        <v>-7.5114971895759108E-2</v>
      </c>
      <c r="BD66" s="39">
        <f t="shared" si="92"/>
        <v>-5.4711246200608188E-2</v>
      </c>
      <c r="BE66" s="39">
        <f t="shared" si="92"/>
        <v>7.9452397324498047E-2</v>
      </c>
      <c r="BF66" s="39">
        <f t="shared" si="92"/>
        <v>0.12378468105288154</v>
      </c>
      <c r="BG66" s="39">
        <f t="shared" si="92"/>
        <v>0.18422344996930606</v>
      </c>
      <c r="BH66" s="39">
        <f t="shared" si="92"/>
        <v>0.21596998928188693</v>
      </c>
      <c r="BI66" s="39">
        <f t="shared" si="92"/>
        <v>6.080611535788738E-2</v>
      </c>
      <c r="BJ66" s="39">
        <f t="shared" si="92"/>
        <v>4.8902722093268514E-2</v>
      </c>
      <c r="BK66" s="39">
        <f t="shared" si="92"/>
        <v>-9.4862889430303854E-3</v>
      </c>
      <c r="BL66" s="39">
        <f t="shared" si="92"/>
        <v>-4.8969198374222755E-2</v>
      </c>
      <c r="BM66" s="39">
        <f t="shared" si="92"/>
        <v>6.6601157331586336E-2</v>
      </c>
      <c r="BN66" s="39">
        <f t="shared" si="92"/>
        <v>-1.0561786450736799E-3</v>
      </c>
      <c r="BO66" s="39">
        <f t="shared" si="92"/>
        <v>-0.70630102574837772</v>
      </c>
      <c r="BP66" s="39">
        <f t="shared" si="92"/>
        <v>-0.29668915091910819</v>
      </c>
      <c r="BQ66" s="39">
        <f t="shared" si="92"/>
        <v>-5.834783498822782E-2</v>
      </c>
      <c r="BR66" s="39">
        <f t="shared" si="92"/>
        <v>0.1939381733964356</v>
      </c>
      <c r="BS66" s="39">
        <f t="shared" ref="BS66:CL66" si="93">+IF(BO64&lt;0,1-BS64/BO64,BS64/BO64-1)</f>
        <v>2.6942266571632221</v>
      </c>
      <c r="BT66" s="39">
        <f t="shared" si="93"/>
        <v>1.0392415257339476</v>
      </c>
      <c r="BU66" s="39">
        <f t="shared" si="93"/>
        <v>0.58169366235460362</v>
      </c>
      <c r="BV66" s="39">
        <f t="shared" si="93"/>
        <v>0.3366787551657251</v>
      </c>
      <c r="BW66" s="39">
        <f t="shared" si="93"/>
        <v>0.51799151070808414</v>
      </c>
      <c r="BX66" s="39">
        <f t="shared" si="93"/>
        <v>0.14084153083937734</v>
      </c>
      <c r="BY66" s="39">
        <f t="shared" si="93"/>
        <v>-9.3058419243986168E-2</v>
      </c>
      <c r="BZ66" s="39">
        <f t="shared" si="93"/>
        <v>-0.10861884030538227</v>
      </c>
      <c r="CA66" s="39">
        <f t="shared" si="93"/>
        <v>-0.13107305138063596</v>
      </c>
      <c r="CB66" s="39">
        <f t="shared" si="93"/>
        <v>-0.18585769581772993</v>
      </c>
      <c r="CC66" s="39">
        <f t="shared" si="93"/>
        <v>-6.8164595331918765E-2</v>
      </c>
      <c r="CD66" s="39">
        <f t="shared" si="93"/>
        <v>4.1160856485577657E-2</v>
      </c>
      <c r="CE66" s="39">
        <f t="shared" si="93"/>
        <v>8.8422438382212976E-2</v>
      </c>
      <c r="CF66" s="39">
        <f t="shared" si="93"/>
        <v>0.1340883614858337</v>
      </c>
      <c r="CG66" s="39">
        <f t="shared" si="93"/>
        <v>0.13154149554751338</v>
      </c>
      <c r="CH66" s="39">
        <f t="shared" si="93"/>
        <v>-9.4703922768373028E-2</v>
      </c>
      <c r="CI66" s="39">
        <f t="shared" si="93"/>
        <v>-4.0182771132912132E-2</v>
      </c>
      <c r="CJ66" s="39">
        <f t="shared" si="93"/>
        <v>7.5494205862303598E-2</v>
      </c>
      <c r="CK66" s="39">
        <f t="shared" si="93"/>
        <v>0.18984476067270362</v>
      </c>
      <c r="CL66" s="39">
        <f t="shared" si="93"/>
        <v>0.35539951937518754</v>
      </c>
      <c r="CM66" s="40">
        <f t="shared" ref="CM66:DB66" si="94">+CM64/CI64-1</f>
        <v>0.3419216598721031</v>
      </c>
      <c r="CN66" s="40">
        <f t="shared" si="94"/>
        <v>0.24501163893436706</v>
      </c>
      <c r="CO66" s="40">
        <f t="shared" si="94"/>
        <v>0.19710434547173361</v>
      </c>
      <c r="CP66" s="40">
        <f t="shared" si="94"/>
        <v>9.5079938280093979E-2</v>
      </c>
      <c r="CQ66" s="40">
        <f t="shared" si="94"/>
        <v>4.2548442955333554E-2</v>
      </c>
      <c r="CR66" s="40">
        <f t="shared" si="94"/>
        <v>3.3800946661857401E-2</v>
      </c>
      <c r="CS66" s="40">
        <f t="shared" si="94"/>
        <v>3.3145148579671213E-2</v>
      </c>
      <c r="CT66" s="40">
        <f t="shared" si="94"/>
        <v>4.0088985612471095E-2</v>
      </c>
      <c r="CU66" s="40">
        <f t="shared" si="94"/>
        <v>3.0104893024386792E-2</v>
      </c>
      <c r="CV66" s="40">
        <f t="shared" si="94"/>
        <v>1.5376398006835545E-2</v>
      </c>
      <c r="CW66" s="40">
        <f t="shared" si="94"/>
        <v>7.7685805333576052E-3</v>
      </c>
      <c r="CX66" s="40">
        <f t="shared" si="94"/>
        <v>4.5552783949913689E-3</v>
      </c>
      <c r="CY66" s="40">
        <f t="shared" si="94"/>
        <v>4.3151524624378546E-3</v>
      </c>
      <c r="CZ66" s="40">
        <f t="shared" si="94"/>
        <v>3.729344000839907E-3</v>
      </c>
      <c r="DA66" s="40">
        <f t="shared" si="94"/>
        <v>3.9218284938689063E-3</v>
      </c>
      <c r="DB66" s="40">
        <f t="shared" si="94"/>
        <v>4.1302738688790974E-3</v>
      </c>
      <c r="DE66" s="122"/>
      <c r="DF66" s="39">
        <v>0.17179278895035099</v>
      </c>
    </row>
    <row r="67" spans="1:110" s="39" customFormat="1" x14ac:dyDescent="0.2">
      <c r="A67" s="39" t="s">
        <v>447</v>
      </c>
      <c r="AB67" s="40"/>
      <c r="AC67" s="40"/>
      <c r="AD67" s="40"/>
      <c r="AE67" s="40"/>
      <c r="AJ67" s="39">
        <f t="shared" ref="AJ67:BO67" si="95">+IF(AI64&lt;0,1-AJ64/AI64,AJ64/AI64-1)</f>
        <v>-6.9438099588852942E-2</v>
      </c>
      <c r="AK67" s="39">
        <f t="shared" si="95"/>
        <v>-0.2539137075219553</v>
      </c>
      <c r="AL67" s="39">
        <f t="shared" si="95"/>
        <v>9.884486035970208E-2</v>
      </c>
      <c r="AM67" s="39">
        <f t="shared" si="95"/>
        <v>5.9481037924151936E-2</v>
      </c>
      <c r="AN67" s="39">
        <f t="shared" si="95"/>
        <v>3.4162270786234128E-2</v>
      </c>
      <c r="AO67" s="39">
        <f t="shared" si="95"/>
        <v>-9.9465630313334663E-2</v>
      </c>
      <c r="AP67" s="39">
        <f t="shared" si="95"/>
        <v>1.9892110586648748E-2</v>
      </c>
      <c r="AQ67" s="39">
        <f t="shared" si="95"/>
        <v>-1.871074380165294E-2</v>
      </c>
      <c r="AR67" s="39">
        <f t="shared" si="95"/>
        <v>8.4692090014822696E-2</v>
      </c>
      <c r="AS67" s="39">
        <f t="shared" si="95"/>
        <v>-3.9319212373439605E-2</v>
      </c>
      <c r="AT67" s="39">
        <f t="shared" si="95"/>
        <v>6.6209750420276992E-2</v>
      </c>
      <c r="AU67" s="39">
        <f t="shared" si="95"/>
        <v>4.4208611279563215E-2</v>
      </c>
      <c r="AV67" s="39">
        <f t="shared" si="95"/>
        <v>5.9527266391776745E-2</v>
      </c>
      <c r="AW67" s="39">
        <f t="shared" si="95"/>
        <v>-8.8467441350580822E-2</v>
      </c>
      <c r="AX67" s="39">
        <f t="shared" si="95"/>
        <v>1.1545399879735019E-2</v>
      </c>
      <c r="AY67" s="39">
        <f t="shared" si="95"/>
        <v>4.7021757222684979E-2</v>
      </c>
      <c r="AZ67" s="39">
        <f t="shared" si="95"/>
        <v>8.6867654573326014E-3</v>
      </c>
      <c r="BA67" s="39">
        <f t="shared" si="95"/>
        <v>-9.9572216593493135E-2</v>
      </c>
      <c r="BB67" s="39">
        <f t="shared" si="95"/>
        <v>5.444770894542672E-2</v>
      </c>
      <c r="BC67" s="39">
        <f t="shared" si="95"/>
        <v>-3.4266065923642119E-2</v>
      </c>
      <c r="BD67" s="39">
        <f t="shared" si="95"/>
        <v>3.0939226519336893E-2</v>
      </c>
      <c r="BE67" s="39">
        <f t="shared" si="95"/>
        <v>2.8224365844944588E-2</v>
      </c>
      <c r="BF67" s="39">
        <f t="shared" si="95"/>
        <v>9.7753069261061087E-2</v>
      </c>
      <c r="BG67" s="39">
        <f t="shared" si="95"/>
        <v>1.7672504747836992E-2</v>
      </c>
      <c r="BH67" s="39">
        <f t="shared" si="95"/>
        <v>5.8576538282100854E-2</v>
      </c>
      <c r="BI67" s="39">
        <f t="shared" si="95"/>
        <v>-0.10298222418099046</v>
      </c>
      <c r="BJ67" s="39">
        <f t="shared" si="95"/>
        <v>8.5435091167157973E-2</v>
      </c>
      <c r="BK67" s="39">
        <f t="shared" si="95"/>
        <v>-3.8978021425338238E-2</v>
      </c>
      <c r="BL67" s="39">
        <f t="shared" si="95"/>
        <v>1.6380573581745939E-2</v>
      </c>
      <c r="BM67" s="39">
        <f t="shared" si="95"/>
        <v>6.024406570207308E-3</v>
      </c>
      <c r="BN67" s="39">
        <f t="shared" si="95"/>
        <v>1.6583068891391273E-2</v>
      </c>
      <c r="BO67" s="39">
        <f t="shared" si="95"/>
        <v>-0.71745040781391611</v>
      </c>
      <c r="BP67" s="39">
        <f t="shared" ref="BP67:CL67" si="96">+IF(BO64&lt;0,1-BP64/BO64,BP64/BO64-1)</f>
        <v>1.433891660727014</v>
      </c>
      <c r="BQ67" s="39">
        <f t="shared" si="96"/>
        <v>0.34695072845742736</v>
      </c>
      <c r="BR67" s="39">
        <f t="shared" si="96"/>
        <v>0.28894445048374817</v>
      </c>
      <c r="BS67" s="39">
        <f t="shared" si="96"/>
        <v>-0.12574850299401208</v>
      </c>
      <c r="BT67" s="39">
        <f t="shared" si="96"/>
        <v>0.343526914914142</v>
      </c>
      <c r="BU67" s="39">
        <f t="shared" si="96"/>
        <v>4.4733251956631248E-2</v>
      </c>
      <c r="BV67" s="39">
        <f t="shared" si="96"/>
        <v>8.9278350515464178E-2</v>
      </c>
      <c r="BW67" s="39">
        <f t="shared" si="96"/>
        <v>-7.161335100006605E-3</v>
      </c>
      <c r="BX67" s="39">
        <f t="shared" si="96"/>
        <v>9.7232372660547295E-3</v>
      </c>
      <c r="BY67" s="39">
        <f t="shared" si="96"/>
        <v>-0.16946218963401205</v>
      </c>
      <c r="BZ67" s="39">
        <f t="shared" si="96"/>
        <v>7.0589572597756778E-2</v>
      </c>
      <c r="CA67" s="39">
        <f t="shared" si="96"/>
        <v>-3.2171297115554665E-2</v>
      </c>
      <c r="CB67" s="39">
        <f t="shared" si="96"/>
        <v>-5.3938418781540487E-2</v>
      </c>
      <c r="CC67" s="39">
        <f t="shared" si="96"/>
        <v>-4.9398940899076038E-2</v>
      </c>
      <c r="CD67" s="39">
        <f t="shared" si="96"/>
        <v>0.19619403895417364</v>
      </c>
      <c r="CE67" s="39">
        <f t="shared" si="96"/>
        <v>1.1761506560609369E-2</v>
      </c>
      <c r="CF67" s="39">
        <f t="shared" si="96"/>
        <v>-1.4245397124042269E-2</v>
      </c>
      <c r="CG67" s="39">
        <f t="shared" si="96"/>
        <v>-5.1533742331288601E-2</v>
      </c>
      <c r="CH67" s="39">
        <f t="shared" si="96"/>
        <v>-4.297829524220198E-2</v>
      </c>
      <c r="CI67" s="39">
        <f t="shared" si="96"/>
        <v>7.2694502853709819E-2</v>
      </c>
      <c r="CJ67" s="39">
        <f t="shared" si="96"/>
        <v>0.10455754690562835</v>
      </c>
      <c r="CK67" s="39">
        <f t="shared" si="96"/>
        <v>4.9310727301537183E-2</v>
      </c>
      <c r="CL67" s="39">
        <f t="shared" si="96"/>
        <v>9.0181510676210275E-2</v>
      </c>
      <c r="CM67" s="40">
        <f t="shared" ref="CM67:DB67" si="97">+CM64/CL64-1</f>
        <v>6.2027813370259421E-2</v>
      </c>
      <c r="CN67" s="40">
        <f t="shared" si="97"/>
        <v>2.4789332263529973E-2</v>
      </c>
      <c r="CO67" s="40">
        <f t="shared" si="97"/>
        <v>8.933886335334762E-3</v>
      </c>
      <c r="CP67" s="40">
        <f t="shared" si="97"/>
        <v>-2.7302916898541696E-3</v>
      </c>
      <c r="CQ67" s="40">
        <f t="shared" si="97"/>
        <v>1.1081843891129317E-2</v>
      </c>
      <c r="CR67" s="40">
        <f t="shared" si="97"/>
        <v>1.6190843679001699E-2</v>
      </c>
      <c r="CS67" s="40">
        <f t="shared" si="97"/>
        <v>8.2938628280553317E-3</v>
      </c>
      <c r="CT67" s="40">
        <f t="shared" si="97"/>
        <v>3.9724241306415831E-3</v>
      </c>
      <c r="CU67" s="40">
        <f t="shared" si="97"/>
        <v>1.3761986211762167E-3</v>
      </c>
      <c r="CV67" s="40">
        <f t="shared" si="97"/>
        <v>1.6612924853709465E-3</v>
      </c>
      <c r="CW67" s="40">
        <f t="shared" si="97"/>
        <v>7.3911201536991378E-4</v>
      </c>
      <c r="CX67" s="40">
        <f t="shared" si="97"/>
        <v>7.7122615757874158E-4</v>
      </c>
      <c r="CY67" s="40">
        <f t="shared" si="97"/>
        <v>1.1368326064806755E-3</v>
      </c>
      <c r="CZ67" s="40">
        <f t="shared" si="97"/>
        <v>1.0770319976602938E-3</v>
      </c>
      <c r="DA67" s="40">
        <f t="shared" si="97"/>
        <v>9.3102307364656411E-4</v>
      </c>
      <c r="DB67" s="40">
        <f t="shared" si="97"/>
        <v>9.7901736961825137E-4</v>
      </c>
      <c r="DE67" s="122"/>
      <c r="DF67" s="39">
        <v>-5.7497944630915621E-2</v>
      </c>
    </row>
    <row r="68" spans="1:110" s="23" customFormat="1" outlineLevel="1" x14ac:dyDescent="0.2">
      <c r="A68" s="23" t="s">
        <v>7</v>
      </c>
      <c r="B68" s="23">
        <f>'Annual Raw'!C13</f>
        <v>16.030760999999998</v>
      </c>
      <c r="C68" s="23">
        <f>'Annual Raw'!D13</f>
        <v>14.322329699999999</v>
      </c>
      <c r="D68" s="23">
        <f>'Annual Raw'!E13</f>
        <v>16.2425411</v>
      </c>
      <c r="E68" s="23">
        <f>'Annual Raw'!F13</f>
        <v>24.662792499999998</v>
      </c>
      <c r="F68" s="23">
        <f>'Annual Raw'!G13</f>
        <v>26.673482100000001</v>
      </c>
      <c r="G68" s="23">
        <f>'Annual Raw'!H13</f>
        <v>27.422207199999999</v>
      </c>
      <c r="H68" s="23">
        <f>'Annual Raw'!I13</f>
        <v>56.216064899999999</v>
      </c>
      <c r="I68" s="23">
        <f>'Annual Raw'!J13</f>
        <v>75.572921899999997</v>
      </c>
      <c r="J68" s="23">
        <f>'Annual Raw'!K13</f>
        <v>91.883766199999997</v>
      </c>
      <c r="K68" s="23">
        <f>'Annual Raw'!L13</f>
        <v>101.5682781</v>
      </c>
      <c r="L68" s="23">
        <f>'Annual Raw'!M13</f>
        <v>104.26</v>
      </c>
      <c r="M68" s="23">
        <f>'Annual Raw'!N13</f>
        <v>109.95</v>
      </c>
      <c r="N68" s="23">
        <f>'Annual Raw'!O13</f>
        <v>142.63999999999999</v>
      </c>
      <c r="O68" s="23">
        <f>'Annual Raw'!P13</f>
        <v>138.58000000000001</v>
      </c>
      <c r="P68" s="23">
        <f>'Annual Raw'!Q13</f>
        <v>155.52000000000001</v>
      </c>
      <c r="Q68" s="23">
        <f>'Annual Raw'!R13</f>
        <v>157.91999999999999</v>
      </c>
      <c r="R68" s="23">
        <f>'Annual Raw'!S13</f>
        <v>172.93</v>
      </c>
      <c r="S68" s="23">
        <f>'Annual Raw'!T13</f>
        <v>231.27</v>
      </c>
      <c r="T68" s="23">
        <f>'Annual Raw'!U13</f>
        <v>247.55</v>
      </c>
      <c r="U68" s="23">
        <f>'Annual Raw'!V13</f>
        <v>228.81</v>
      </c>
      <c r="V68" s="23">
        <f>'Annual Raw'!W13</f>
        <v>157.47</v>
      </c>
      <c r="W68" s="23">
        <f>'Annual Raw'!X13</f>
        <v>245.39</v>
      </c>
      <c r="X68" s="23">
        <f>'Annual Raw'!Y13</f>
        <v>302.32</v>
      </c>
      <c r="Y68" s="23">
        <f>'Annual Raw'!Z13</f>
        <v>299.35000000000002</v>
      </c>
      <c r="Z68" s="23">
        <f>'Annual Raw'!AA13</f>
        <v>299.24</v>
      </c>
      <c r="AA68" s="23">
        <f>'Annual Raw'!AB13</f>
        <v>318.18</v>
      </c>
      <c r="AB68" s="76">
        <f>+SUM(CM68:CP68)</f>
        <v>0</v>
      </c>
      <c r="AC68" s="76">
        <f>+SUM(CQ68:CT68)</f>
        <v>0</v>
      </c>
      <c r="AD68" s="76">
        <f>+SUM(CU68:CX68)</f>
        <v>0</v>
      </c>
      <c r="AE68" s="76">
        <f>+SUM(CY68:DB68)</f>
        <v>0</v>
      </c>
      <c r="AI68" s="23">
        <f>'QTR Raw'!C15</f>
        <v>36.21</v>
      </c>
      <c r="AJ68" s="23">
        <f>'QTR Raw'!D15</f>
        <v>38.58</v>
      </c>
      <c r="AK68" s="23">
        <f>'QTR Raw'!E15</f>
        <v>34.229999999999997</v>
      </c>
      <c r="AL68" s="23">
        <f>'QTR Raw'!F15</f>
        <v>33.619999999999997</v>
      </c>
      <c r="AM68" s="23">
        <f>'QTR Raw'!G15</f>
        <v>32.770000000000003</v>
      </c>
      <c r="AN68" s="23">
        <f>'QTR Raw'!H15</f>
        <v>34.32</v>
      </c>
      <c r="AO68" s="23">
        <f>'QTR Raw'!I15</f>
        <v>35.28</v>
      </c>
      <c r="AP68" s="23">
        <f>'QTR Raw'!J15</f>
        <v>36.21</v>
      </c>
      <c r="AQ68" s="23">
        <f>'QTR Raw'!K15</f>
        <v>37.270000000000003</v>
      </c>
      <c r="AR68" s="23">
        <f>'QTR Raw'!L15</f>
        <v>42.38</v>
      </c>
      <c r="AS68" s="23">
        <f>'QTR Raw'!M15</f>
        <v>38.82</v>
      </c>
      <c r="AT68" s="23">
        <f>'QTR Raw'!N15</f>
        <v>37.049999999999997</v>
      </c>
      <c r="AU68" s="23">
        <f>'QTR Raw'!O15</f>
        <v>40.380000000000003</v>
      </c>
      <c r="AV68" s="23">
        <f>'QTR Raw'!P15</f>
        <v>44.1</v>
      </c>
      <c r="AW68" s="23">
        <f>'QTR Raw'!Q15</f>
        <v>37.69</v>
      </c>
      <c r="AX68" s="23">
        <f>'QTR Raw'!R15</f>
        <v>35.75</v>
      </c>
      <c r="AY68" s="23">
        <f>'QTR Raw'!S15</f>
        <v>38.78</v>
      </c>
      <c r="AZ68" s="23">
        <f>'QTR Raw'!T15</f>
        <v>41.53</v>
      </c>
      <c r="BA68" s="23">
        <f>'QTR Raw'!U15</f>
        <v>44.28</v>
      </c>
      <c r="BB68" s="23">
        <f>'QTR Raw'!V15</f>
        <v>48.34</v>
      </c>
      <c r="BC68" s="23">
        <f>'QTR Raw'!W15</f>
        <v>53.62</v>
      </c>
      <c r="BD68" s="23">
        <f>'QTR Raw'!X15</f>
        <v>55.74</v>
      </c>
      <c r="BE68" s="23">
        <f>'QTR Raw'!Y15</f>
        <v>58.84</v>
      </c>
      <c r="BF68" s="23">
        <f>'QTR Raw'!Z15</f>
        <v>63.07</v>
      </c>
      <c r="BG68" s="23">
        <f>'QTR Raw'!AA15</f>
        <v>60.22</v>
      </c>
      <c r="BH68" s="23">
        <f>'QTR Raw'!AB15</f>
        <v>60.72</v>
      </c>
      <c r="BI68" s="23">
        <f>'QTR Raw'!AC15</f>
        <v>62.62</v>
      </c>
      <c r="BJ68" s="23">
        <f>'QTR Raw'!AD15</f>
        <v>63.99</v>
      </c>
      <c r="BK68" s="23">
        <f>'QTR Raw'!AE15</f>
        <v>59.76</v>
      </c>
      <c r="BL68" s="23">
        <f>'QTR Raw'!AF15</f>
        <v>58.27</v>
      </c>
      <c r="BM68" s="23">
        <f>'QTR Raw'!AG15</f>
        <v>56.75</v>
      </c>
      <c r="BN68" s="23">
        <f>'QTR Raw'!AH15</f>
        <v>54.03</v>
      </c>
      <c r="BO68" s="23">
        <f>'QTR Raw'!AI15</f>
        <v>21.39</v>
      </c>
      <c r="BP68" s="23">
        <f>'QTR Raw'!AJ15</f>
        <v>36.42</v>
      </c>
      <c r="BQ68" s="23">
        <f>'QTR Raw'!AK15</f>
        <v>46.26</v>
      </c>
      <c r="BR68" s="23">
        <f>'QTR Raw'!AL15</f>
        <v>53.4</v>
      </c>
      <c r="BS68" s="23">
        <f>'QTR Raw'!AM15</f>
        <v>49.2</v>
      </c>
      <c r="BT68" s="23">
        <f>'QTR Raw'!AN15</f>
        <v>59.61</v>
      </c>
      <c r="BU68" s="23">
        <f>'QTR Raw'!AO15</f>
        <v>67.77</v>
      </c>
      <c r="BV68" s="23">
        <f>'QTR Raw'!AP15</f>
        <v>68.81</v>
      </c>
      <c r="BW68" s="23">
        <f>'QTR Raw'!AQ15</f>
        <v>79.150000000000006</v>
      </c>
      <c r="BX68" s="23">
        <f>'QTR Raw'!AR15</f>
        <v>80.900000000000006</v>
      </c>
      <c r="BY68" s="23">
        <f>'QTR Raw'!AS15</f>
        <v>71.23</v>
      </c>
      <c r="BZ68" s="23">
        <f>'QTR Raw'!AT15</f>
        <v>71.040000000000006</v>
      </c>
      <c r="CA68" s="23">
        <f>'QTR Raw'!AU15</f>
        <v>77.790000000000006</v>
      </c>
      <c r="CB68" s="23">
        <f>'QTR Raw'!AV15</f>
        <v>74.959999999999994</v>
      </c>
      <c r="CC68" s="23">
        <f>'QTR Raw'!AW15</f>
        <v>70.63</v>
      </c>
      <c r="CD68" s="23">
        <f>'QTR Raw'!AX15</f>
        <v>75.97</v>
      </c>
      <c r="CE68" s="23">
        <f>'QTR Raw'!AY15</f>
        <v>75.22</v>
      </c>
      <c r="CF68" s="23">
        <f>'QTR Raw'!AZ15</f>
        <v>78.03</v>
      </c>
      <c r="CG68" s="23">
        <f>'QTR Raw'!BA15</f>
        <v>72.760000000000005</v>
      </c>
      <c r="CH68" s="23">
        <f>'QTR Raw'!BB15</f>
        <v>73.23</v>
      </c>
      <c r="CI68" s="23">
        <f>'QTR Raw'!BC15</f>
        <v>68.489999999999995</v>
      </c>
      <c r="CJ68" s="23">
        <f>'QTR Raw'!BD15</f>
        <v>77.44</v>
      </c>
      <c r="CK68" s="23">
        <f>'QTR Raw'!BE15</f>
        <v>84.6</v>
      </c>
      <c r="CL68" s="23">
        <f>'QTR Raw'!BF15</f>
        <v>87.65</v>
      </c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E68" s="123"/>
      <c r="DF68" s="23">
        <v>318.18</v>
      </c>
    </row>
    <row r="69" spans="1:110" s="23" customFormat="1" outlineLevel="1" x14ac:dyDescent="0.2">
      <c r="A69" s="23" t="s">
        <v>8</v>
      </c>
      <c r="B69" s="23">
        <f>'Annual Raw'!C14</f>
        <v>9.3838041000000008</v>
      </c>
      <c r="C69" s="23">
        <f>'Annual Raw'!D14</f>
        <v>9.9036197999999995</v>
      </c>
      <c r="D69" s="23">
        <f>'Annual Raw'!E14</f>
        <v>10.1812594</v>
      </c>
      <c r="E69" s="23">
        <f>'Annual Raw'!F14</f>
        <v>13.7621185</v>
      </c>
      <c r="F69" s="23">
        <f>'Annual Raw'!G14</f>
        <v>16.2450726</v>
      </c>
      <c r="G69" s="23">
        <f>'Annual Raw'!H14</f>
        <v>18.710016400000001</v>
      </c>
      <c r="H69" s="23">
        <f>'Annual Raw'!I14</f>
        <v>34.036640599999998</v>
      </c>
      <c r="I69" s="23">
        <f>'Annual Raw'!J14</f>
        <v>44.658973000000003</v>
      </c>
      <c r="J69" s="23">
        <f>'Annual Raw'!K14</f>
        <v>48.801439700000003</v>
      </c>
      <c r="K69" s="23">
        <f>'Annual Raw'!L14</f>
        <v>57.508082199999997</v>
      </c>
      <c r="L69" s="23">
        <f>'Annual Raw'!M14</f>
        <v>67.59</v>
      </c>
      <c r="M69" s="23">
        <f>'Annual Raw'!N14</f>
        <v>82.83</v>
      </c>
      <c r="N69" s="23">
        <f>'Annual Raw'!O14</f>
        <v>94.22</v>
      </c>
      <c r="O69" s="23">
        <f>'Annual Raw'!P14</f>
        <v>105.25</v>
      </c>
      <c r="P69" s="23">
        <f>'Annual Raw'!Q14</f>
        <v>118.62</v>
      </c>
      <c r="Q69" s="23">
        <f>'Annual Raw'!R14</f>
        <v>139.9</v>
      </c>
      <c r="R69" s="23">
        <f>'Annual Raw'!S14</f>
        <v>159.87</v>
      </c>
      <c r="S69" s="23">
        <f>'Annual Raw'!T14</f>
        <v>175.5</v>
      </c>
      <c r="T69" s="23">
        <f>'Annual Raw'!U14</f>
        <v>190.1</v>
      </c>
      <c r="U69" s="23">
        <f>'Annual Raw'!V14</f>
        <v>192.41</v>
      </c>
      <c r="V69" s="23">
        <f>'Annual Raw'!W14</f>
        <v>149.61000000000001</v>
      </c>
      <c r="W69" s="23">
        <f>'Annual Raw'!X14</f>
        <v>200.95</v>
      </c>
      <c r="X69" s="23">
        <f>'Annual Raw'!Y14</f>
        <v>231.23</v>
      </c>
      <c r="Y69" s="23">
        <f>'Annual Raw'!Z14</f>
        <v>257.77999999999997</v>
      </c>
      <c r="Z69" s="23">
        <f>'Annual Raw'!AA14</f>
        <v>266.25</v>
      </c>
      <c r="AA69" s="23">
        <f>'Annual Raw'!AB14</f>
        <v>293.47000000000003</v>
      </c>
      <c r="AB69" s="76">
        <f>+SUM(CM69:CP69)</f>
        <v>314.01290000000006</v>
      </c>
      <c r="AC69" s="76">
        <f>+SUM(CQ69:CT69)</f>
        <v>335.99380300000007</v>
      </c>
      <c r="AD69" s="76">
        <f>+SUM(CU69:CX69)</f>
        <v>359.51336921000012</v>
      </c>
      <c r="AE69" s="76">
        <f>+SUM(CY69:DB69)</f>
        <v>384.67930505470014</v>
      </c>
      <c r="AI69" s="23">
        <f>'QTR Raw'!C16</f>
        <v>22.78</v>
      </c>
      <c r="AJ69" s="23">
        <f>'QTR Raw'!D16</f>
        <v>24.72</v>
      </c>
      <c r="AK69" s="23">
        <f>'QTR Raw'!E16</f>
        <v>22.07</v>
      </c>
      <c r="AL69" s="23">
        <f>'QTR Raw'!F16</f>
        <v>24.65</v>
      </c>
      <c r="AM69" s="23">
        <f>'QTR Raw'!G16</f>
        <v>25.51</v>
      </c>
      <c r="AN69" s="23">
        <f>'QTR Raw'!H16</f>
        <v>27.64</v>
      </c>
      <c r="AO69" s="23">
        <f>'QTR Raw'!I16</f>
        <v>26.14</v>
      </c>
      <c r="AP69" s="23">
        <f>'QTR Raw'!J16</f>
        <v>25.96</v>
      </c>
      <c r="AQ69" s="23">
        <f>'QTR Raw'!K16</f>
        <v>27.75</v>
      </c>
      <c r="AR69" s="23">
        <f>'QTR Raw'!L16</f>
        <v>30</v>
      </c>
      <c r="AS69" s="23">
        <f>'QTR Raw'!M16</f>
        <v>29.63</v>
      </c>
      <c r="AT69" s="23">
        <f>'QTR Raw'!N16</f>
        <v>31.24</v>
      </c>
      <c r="AU69" s="23">
        <f>'QTR Raw'!O16</f>
        <v>33.090000000000003</v>
      </c>
      <c r="AV69" s="23">
        <f>'QTR Raw'!P16</f>
        <v>35.44</v>
      </c>
      <c r="AW69" s="23">
        <f>'QTR Raw'!Q16</f>
        <v>35.21</v>
      </c>
      <c r="AX69" s="23">
        <f>'QTR Raw'!R16</f>
        <v>36.159999999999997</v>
      </c>
      <c r="AY69" s="23">
        <f>'QTR Raw'!S16</f>
        <v>39.32</v>
      </c>
      <c r="AZ69" s="23">
        <f>'QTR Raw'!T16</f>
        <v>40.28</v>
      </c>
      <c r="BA69" s="23">
        <f>'QTR Raw'!U16</f>
        <v>39.15</v>
      </c>
      <c r="BB69" s="23">
        <f>'QTR Raw'!V16</f>
        <v>41.01</v>
      </c>
      <c r="BC69" s="23">
        <f>'QTR Raw'!W16</f>
        <v>42.21</v>
      </c>
      <c r="BD69" s="23">
        <f>'QTR Raw'!X16</f>
        <v>43.37</v>
      </c>
      <c r="BE69" s="23">
        <f>'QTR Raw'!Y16</f>
        <v>42.24</v>
      </c>
      <c r="BF69" s="23">
        <f>'QTR Raw'!Z16</f>
        <v>45.97</v>
      </c>
      <c r="BG69" s="23">
        <f>'QTR Raw'!AA16</f>
        <v>46.39</v>
      </c>
      <c r="BH69" s="23">
        <f>'QTR Raw'!AB16</f>
        <v>47.63</v>
      </c>
      <c r="BI69" s="23">
        <f>'QTR Raw'!AC16</f>
        <v>47.38</v>
      </c>
      <c r="BJ69" s="23">
        <f>'QTR Raw'!AD16</f>
        <v>48.71</v>
      </c>
      <c r="BK69" s="23">
        <f>'QTR Raw'!AE16</f>
        <v>48.49</v>
      </c>
      <c r="BL69" s="23">
        <f>'QTR Raw'!AF16</f>
        <v>49.67</v>
      </c>
      <c r="BM69" s="23">
        <f>'QTR Raw'!AG16</f>
        <v>49.14</v>
      </c>
      <c r="BN69" s="23">
        <f>'QTR Raw'!AH16</f>
        <v>45.11</v>
      </c>
      <c r="BO69" s="23">
        <f>'QTR Raw'!AI16</f>
        <v>24.12</v>
      </c>
      <c r="BP69" s="23">
        <f>'QTR Raw'!AJ16</f>
        <v>34.42</v>
      </c>
      <c r="BQ69" s="23">
        <f>'QTR Raw'!AK16</f>
        <v>42.1</v>
      </c>
      <c r="BR69" s="23">
        <f>'QTR Raw'!AL16</f>
        <v>48.97</v>
      </c>
      <c r="BS69" s="23">
        <f>'QTR Raw'!AM16</f>
        <v>43.94</v>
      </c>
      <c r="BT69" s="23">
        <f>'QTR Raw'!AN16</f>
        <v>52.35</v>
      </c>
      <c r="BU69" s="23">
        <f>'QTR Raw'!AO16</f>
        <v>53.06</v>
      </c>
      <c r="BV69" s="23">
        <f>'QTR Raw'!AP16</f>
        <v>51.6</v>
      </c>
      <c r="BW69" s="23">
        <f>'QTR Raw'!AQ16</f>
        <v>54.95</v>
      </c>
      <c r="BX69" s="23">
        <f>'QTR Raw'!AR16</f>
        <v>59.5</v>
      </c>
      <c r="BY69" s="23">
        <f>'QTR Raw'!AS16</f>
        <v>60.06</v>
      </c>
      <c r="BZ69" s="23">
        <f>'QTR Raw'!AT16</f>
        <v>56.72</v>
      </c>
      <c r="CA69" s="23">
        <f>'QTR Raw'!AU16</f>
        <v>63.88</v>
      </c>
      <c r="CB69" s="23">
        <f>'QTR Raw'!AV16</f>
        <v>63.6</v>
      </c>
      <c r="CC69" s="23">
        <f>'QTR Raw'!AW16</f>
        <v>63.88</v>
      </c>
      <c r="CD69" s="23">
        <f>'QTR Raw'!AX16</f>
        <v>66.42</v>
      </c>
      <c r="CE69" s="23">
        <f>'QTR Raw'!AY16</f>
        <v>68.66</v>
      </c>
      <c r="CF69" s="23">
        <f>'QTR Raw'!AZ16</f>
        <v>71.13</v>
      </c>
      <c r="CG69" s="23">
        <f>'QTR Raw'!BA16</f>
        <v>62.05</v>
      </c>
      <c r="CH69" s="23">
        <f>'QTR Raw'!BB16</f>
        <v>64.41</v>
      </c>
      <c r="CI69" s="23">
        <f>'QTR Raw'!BC16</f>
        <v>66.03</v>
      </c>
      <c r="CJ69" s="23">
        <f>'QTR Raw'!BD16</f>
        <v>73.58</v>
      </c>
      <c r="CK69" s="23">
        <f>'QTR Raw'!BE16</f>
        <v>74.11</v>
      </c>
      <c r="CL69" s="23">
        <f>'QTR Raw'!BF16</f>
        <v>79.75</v>
      </c>
      <c r="CM69" s="24">
        <f t="shared" ref="CM69:DB69" si="98">CI69*107%</f>
        <v>70.652100000000004</v>
      </c>
      <c r="CN69" s="24">
        <f t="shared" si="98"/>
        <v>78.73060000000001</v>
      </c>
      <c r="CO69" s="24">
        <f t="shared" si="98"/>
        <v>79.297700000000006</v>
      </c>
      <c r="CP69" s="24">
        <f t="shared" si="98"/>
        <v>85.33250000000001</v>
      </c>
      <c r="CQ69" s="24">
        <f t="shared" si="98"/>
        <v>75.597747000000012</v>
      </c>
      <c r="CR69" s="24">
        <f t="shared" si="98"/>
        <v>84.241742000000016</v>
      </c>
      <c r="CS69" s="24">
        <f t="shared" si="98"/>
        <v>84.848539000000017</v>
      </c>
      <c r="CT69" s="24">
        <f t="shared" si="98"/>
        <v>91.305775000000011</v>
      </c>
      <c r="CU69" s="24">
        <f t="shared" si="98"/>
        <v>80.889589290000018</v>
      </c>
      <c r="CV69" s="24">
        <f t="shared" si="98"/>
        <v>90.138663940000029</v>
      </c>
      <c r="CW69" s="24">
        <f t="shared" si="98"/>
        <v>90.787936730000027</v>
      </c>
      <c r="CX69" s="24">
        <f t="shared" si="98"/>
        <v>97.697179250000019</v>
      </c>
      <c r="CY69" s="24">
        <f t="shared" si="98"/>
        <v>86.551860540300027</v>
      </c>
      <c r="CZ69" s="24">
        <f t="shared" si="98"/>
        <v>96.448370415800042</v>
      </c>
      <c r="DA69" s="24">
        <f t="shared" si="98"/>
        <v>97.14309230110004</v>
      </c>
      <c r="DB69" s="24">
        <f t="shared" si="98"/>
        <v>104.53598179750003</v>
      </c>
      <c r="DE69" s="123"/>
      <c r="DF69" s="23">
        <v>68.918700000000001</v>
      </c>
    </row>
    <row r="70" spans="1:110" s="23" customFormat="1" outlineLevel="1" x14ac:dyDescent="0.2">
      <c r="A70" s="23" t="s">
        <v>574</v>
      </c>
      <c r="R70" s="23">
        <v>29.56</v>
      </c>
      <c r="S70" s="23">
        <v>29.51</v>
      </c>
      <c r="T70" s="23">
        <v>29.57</v>
      </c>
      <c r="U70" s="23">
        <v>30.41</v>
      </c>
      <c r="V70" s="23">
        <v>41.03</v>
      </c>
      <c r="W70" s="23">
        <v>105.16</v>
      </c>
      <c r="X70" s="23">
        <v>57.78</v>
      </c>
      <c r="Y70" s="23">
        <v>55.57</v>
      </c>
      <c r="Z70" s="23">
        <v>77.67</v>
      </c>
      <c r="AA70" s="23">
        <v>77.67</v>
      </c>
      <c r="AB70" s="76">
        <f>+SUM(CM70:CP70)</f>
        <v>0</v>
      </c>
      <c r="AC70" s="76">
        <f>+SUM(CQ70:CT70)</f>
        <v>0</v>
      </c>
      <c r="AD70" s="76">
        <f>+SUM(CU70:CX70)</f>
        <v>0</v>
      </c>
      <c r="AE70" s="76">
        <f>+SUM(CY70:DB70)</f>
        <v>0</v>
      </c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E70" s="123"/>
      <c r="DF70" s="23">
        <v>0</v>
      </c>
    </row>
    <row r="71" spans="1:110" s="23" customFormat="1" outlineLevel="1" x14ac:dyDescent="0.2">
      <c r="A71" s="23" t="s">
        <v>573</v>
      </c>
      <c r="R71" s="23">
        <v>17.64</v>
      </c>
      <c r="S71" s="23">
        <v>16</v>
      </c>
      <c r="T71" s="23">
        <v>21.36</v>
      </c>
      <c r="U71" s="23">
        <v>22.31</v>
      </c>
      <c r="V71" s="23">
        <v>19.100000000000001</v>
      </c>
      <c r="W71" s="23">
        <v>37.96</v>
      </c>
      <c r="X71" s="23">
        <v>33.08</v>
      </c>
      <c r="Y71" s="23">
        <v>35.31</v>
      </c>
      <c r="Z71" s="23">
        <v>45.5</v>
      </c>
      <c r="AA71" s="23">
        <v>45.5</v>
      </c>
      <c r="AB71" s="76">
        <f>+SUM(CM71:CP71)</f>
        <v>0</v>
      </c>
      <c r="AC71" s="76">
        <f>+SUM(CQ71:CT71)</f>
        <v>0</v>
      </c>
      <c r="AD71" s="76">
        <f>+SUM(CU71:CX71)</f>
        <v>0</v>
      </c>
      <c r="AE71" s="76">
        <f>+SUM(CY71:DB71)</f>
        <v>0</v>
      </c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E71" s="123"/>
      <c r="DF71" s="23">
        <v>0</v>
      </c>
    </row>
    <row r="72" spans="1:110" s="23" customFormat="1" outlineLevel="1" x14ac:dyDescent="0.2">
      <c r="A72" s="23" t="s">
        <v>581</v>
      </c>
      <c r="R72" s="23">
        <v>31.06</v>
      </c>
      <c r="S72" s="23">
        <v>18.75</v>
      </c>
      <c r="T72" s="23">
        <v>17.93</v>
      </c>
      <c r="U72" s="23">
        <v>25.71</v>
      </c>
      <c r="V72" s="23">
        <v>20.2</v>
      </c>
      <c r="W72" s="23">
        <v>33.65</v>
      </c>
      <c r="X72" s="23">
        <v>64.39</v>
      </c>
      <c r="Y72" s="23">
        <v>40.869999999999997</v>
      </c>
      <c r="Z72" s="23">
        <v>44.08</v>
      </c>
      <c r="AA72" s="23">
        <v>44.08</v>
      </c>
      <c r="AB72" s="76">
        <f t="shared" ref="AB72:AB79" si="99">+SUM(CM72:CP72)</f>
        <v>0</v>
      </c>
      <c r="AC72" s="76">
        <f t="shared" ref="AC72:AC79" si="100">+SUM(CQ72:CT72)</f>
        <v>0</v>
      </c>
      <c r="AD72" s="76">
        <f t="shared" ref="AD72:AD79" si="101">+SUM(CU72:CX72)</f>
        <v>0</v>
      </c>
      <c r="AE72" s="76">
        <f t="shared" ref="AE72:AE79" si="102">+SUM(CY72:DB72)</f>
        <v>0</v>
      </c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E72" s="123"/>
      <c r="DF72" s="23">
        <v>0</v>
      </c>
    </row>
    <row r="73" spans="1:110" s="23" customFormat="1" outlineLevel="1" x14ac:dyDescent="0.2">
      <c r="A73" s="23" t="s">
        <v>9</v>
      </c>
      <c r="B73" s="23">
        <f>'Annual Raw'!C17</f>
        <v>1.5825880999999999</v>
      </c>
      <c r="C73" s="23">
        <f>'Annual Raw'!D17</f>
        <v>1.7474395</v>
      </c>
      <c r="D73" s="23">
        <f>'Annual Raw'!E17</f>
        <v>2.1740621999999998</v>
      </c>
      <c r="E73" s="23">
        <f>'Annual Raw'!F17</f>
        <v>3.0154554</v>
      </c>
      <c r="F73" s="23">
        <f>'Annual Raw'!G17</f>
        <v>2.9152570999999998</v>
      </c>
      <c r="G73" s="23">
        <f>'Annual Raw'!H17</f>
        <v>4.0560089000000001</v>
      </c>
      <c r="H73" s="23">
        <f>'Annual Raw'!I17</f>
        <v>6.3435568</v>
      </c>
      <c r="I73" s="23">
        <f>'Annual Raw'!J17</f>
        <v>6.0165522999999999</v>
      </c>
      <c r="J73" s="23">
        <f>'Annual Raw'!K17</f>
        <v>5.2581059999999997</v>
      </c>
      <c r="K73" s="23">
        <f>'Annual Raw'!L17</f>
        <v>6.3856970999999998</v>
      </c>
      <c r="L73" s="23">
        <f>'Annual Raw'!M17</f>
        <v>7.94</v>
      </c>
      <c r="M73" s="23">
        <f>'Annual Raw'!N17</f>
        <v>7.11</v>
      </c>
      <c r="N73" s="23">
        <f>'Annual Raw'!O17</f>
        <v>7.96</v>
      </c>
      <c r="O73" s="23">
        <f>'Annual Raw'!P17</f>
        <v>9.2100000000000009</v>
      </c>
      <c r="P73" s="23">
        <f>'Annual Raw'!Q17</f>
        <v>9.49</v>
      </c>
      <c r="Q73" s="23">
        <f>'Annual Raw'!R17</f>
        <v>14.48</v>
      </c>
      <c r="R73" s="23">
        <f>'Annual Raw'!S17</f>
        <v>16.45</v>
      </c>
      <c r="S73" s="23">
        <f>'Annual Raw'!T17</f>
        <v>15.53</v>
      </c>
      <c r="T73" s="23">
        <f>'Annual Raw'!U17</f>
        <v>16.510000000000002</v>
      </c>
      <c r="U73" s="23">
        <f>'Annual Raw'!V17</f>
        <v>21.69</v>
      </c>
      <c r="V73" s="23">
        <f>'Annual Raw'!W17</f>
        <v>16.61</v>
      </c>
      <c r="W73" s="23">
        <f>'Annual Raw'!X17</f>
        <v>32.76</v>
      </c>
      <c r="X73" s="23">
        <f>'Annual Raw'!Y17</f>
        <v>37.28</v>
      </c>
      <c r="Y73" s="23">
        <f>'Annual Raw'!Z17</f>
        <v>37.549999999999997</v>
      </c>
      <c r="Z73" s="23">
        <f>'Annual Raw'!AA17</f>
        <v>38.590000000000003</v>
      </c>
      <c r="AA73" s="23">
        <f>'Annual Raw'!AB17</f>
        <v>50.71</v>
      </c>
      <c r="AB73" s="76">
        <f t="shared" si="99"/>
        <v>0</v>
      </c>
      <c r="AC73" s="76">
        <f t="shared" si="100"/>
        <v>0</v>
      </c>
      <c r="AD73" s="76">
        <f t="shared" si="101"/>
        <v>0</v>
      </c>
      <c r="AE73" s="76">
        <f t="shared" si="102"/>
        <v>0</v>
      </c>
      <c r="AI73" s="23">
        <f>'QTR Raw'!C17</f>
        <v>0</v>
      </c>
      <c r="AJ73" s="23">
        <f>'QTR Raw'!D17</f>
        <v>0</v>
      </c>
      <c r="AK73" s="23">
        <f>'QTR Raw'!E17</f>
        <v>0</v>
      </c>
      <c r="AL73" s="23">
        <f>'QTR Raw'!F17</f>
        <v>0</v>
      </c>
      <c r="AM73" s="23">
        <f>'QTR Raw'!G17</f>
        <v>0</v>
      </c>
      <c r="AN73" s="23">
        <f>'QTR Raw'!H17</f>
        <v>0</v>
      </c>
      <c r="AO73" s="23">
        <f>'QTR Raw'!I17</f>
        <v>10.38</v>
      </c>
      <c r="AP73" s="23">
        <f>'QTR Raw'!J17</f>
        <v>3.52</v>
      </c>
      <c r="AQ73" s="23">
        <f>'QTR Raw'!K17</f>
        <v>0</v>
      </c>
      <c r="AR73" s="23">
        <f>'QTR Raw'!L17</f>
        <v>0</v>
      </c>
      <c r="AS73" s="23">
        <f>'QTR Raw'!M17</f>
        <v>0</v>
      </c>
      <c r="AT73" s="23">
        <f>'QTR Raw'!N17</f>
        <v>0</v>
      </c>
      <c r="AU73" s="23">
        <f>'QTR Raw'!O17</f>
        <v>0</v>
      </c>
      <c r="AV73" s="23">
        <f>'QTR Raw'!P17</f>
        <v>0</v>
      </c>
      <c r="AW73" s="23">
        <f>'QTR Raw'!Q17</f>
        <v>0</v>
      </c>
      <c r="AX73" s="23">
        <f>'QTR Raw'!R17</f>
        <v>0</v>
      </c>
      <c r="AY73" s="23">
        <f>'QTR Raw'!S17</f>
        <v>0</v>
      </c>
      <c r="AZ73" s="23">
        <f>'QTR Raw'!T17</f>
        <v>0</v>
      </c>
      <c r="BA73" s="23">
        <f>'QTR Raw'!U17</f>
        <v>0</v>
      </c>
      <c r="BB73" s="23">
        <f>'QTR Raw'!V17</f>
        <v>0</v>
      </c>
      <c r="BC73" s="23">
        <f>'QTR Raw'!W17</f>
        <v>0</v>
      </c>
      <c r="BD73" s="23">
        <f>'QTR Raw'!X17</f>
        <v>0</v>
      </c>
      <c r="BE73" s="23">
        <f>'QTR Raw'!Y17</f>
        <v>0</v>
      </c>
      <c r="BF73" s="23">
        <f>'QTR Raw'!Z17</f>
        <v>0</v>
      </c>
      <c r="BG73" s="23">
        <f>'QTR Raw'!AA17</f>
        <v>0</v>
      </c>
      <c r="BH73" s="23">
        <f>'QTR Raw'!AB17</f>
        <v>0</v>
      </c>
      <c r="BI73" s="23">
        <f>'QTR Raw'!AC17</f>
        <v>0</v>
      </c>
      <c r="BJ73" s="23">
        <f>'QTR Raw'!AD17</f>
        <v>0</v>
      </c>
      <c r="BK73" s="23">
        <f>'QTR Raw'!AE17</f>
        <v>0</v>
      </c>
      <c r="BL73" s="23">
        <f>'QTR Raw'!AF17</f>
        <v>0</v>
      </c>
      <c r="BM73" s="23">
        <f>'QTR Raw'!AG17</f>
        <v>0</v>
      </c>
      <c r="BN73" s="23">
        <f>'QTR Raw'!AH17</f>
        <v>0</v>
      </c>
      <c r="BO73" s="23">
        <f>'QTR Raw'!AI17</f>
        <v>0</v>
      </c>
      <c r="BP73" s="23">
        <f>'QTR Raw'!AJ17</f>
        <v>0</v>
      </c>
      <c r="BQ73" s="23">
        <f>'QTR Raw'!AK17</f>
        <v>0</v>
      </c>
      <c r="BR73" s="23">
        <f>'QTR Raw'!AL17</f>
        <v>0</v>
      </c>
      <c r="BS73" s="23">
        <f>'QTR Raw'!AM17</f>
        <v>0</v>
      </c>
      <c r="BT73" s="23">
        <f>'QTR Raw'!AN17</f>
        <v>0</v>
      </c>
      <c r="BU73" s="23">
        <f>'QTR Raw'!AO17</f>
        <v>0</v>
      </c>
      <c r="BV73" s="23">
        <f>'QTR Raw'!AP17</f>
        <v>0</v>
      </c>
      <c r="BW73" s="23">
        <f>'QTR Raw'!AQ17</f>
        <v>0</v>
      </c>
      <c r="BX73" s="23">
        <f>'QTR Raw'!AR17</f>
        <v>0</v>
      </c>
      <c r="BY73" s="23">
        <f>'QTR Raw'!AS17</f>
        <v>0</v>
      </c>
      <c r="BZ73" s="23">
        <f>'QTR Raw'!AT17</f>
        <v>0</v>
      </c>
      <c r="CA73" s="23">
        <f>'QTR Raw'!AU17</f>
        <v>0</v>
      </c>
      <c r="CB73" s="23">
        <f>'QTR Raw'!AV17</f>
        <v>0</v>
      </c>
      <c r="CC73" s="23">
        <f>'QTR Raw'!AW17</f>
        <v>0</v>
      </c>
      <c r="CD73" s="23">
        <f>'QTR Raw'!AX17</f>
        <v>0</v>
      </c>
      <c r="CE73" s="23">
        <f>'QTR Raw'!AY17</f>
        <v>0</v>
      </c>
      <c r="CF73" s="23">
        <f>'QTR Raw'!AZ17</f>
        <v>0</v>
      </c>
      <c r="CG73" s="23">
        <f>'QTR Raw'!BA17</f>
        <v>0</v>
      </c>
      <c r="CH73" s="23">
        <f>'QTR Raw'!BB17</f>
        <v>0</v>
      </c>
      <c r="CI73" s="23">
        <f>'QTR Raw'!BC17</f>
        <v>0</v>
      </c>
      <c r="CJ73" s="23">
        <f>'QTR Raw'!BD17</f>
        <v>0</v>
      </c>
      <c r="CK73" s="23">
        <f>'QTR Raw'!BE17</f>
        <v>0</v>
      </c>
      <c r="CL73" s="23">
        <f>'QTR Raw'!BF17</f>
        <v>0</v>
      </c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E73" s="123"/>
      <c r="DF73" s="23">
        <v>0</v>
      </c>
    </row>
    <row r="74" spans="1:110" s="23" customFormat="1" outlineLevel="1" x14ac:dyDescent="0.2">
      <c r="A74" s="23" t="s">
        <v>582</v>
      </c>
      <c r="R74" s="23">
        <v>33.67</v>
      </c>
      <c r="S74" s="23">
        <v>33.630000000000003</v>
      </c>
      <c r="T74" s="23">
        <v>33.090000000000003</v>
      </c>
      <c r="U74" s="23">
        <v>35.92</v>
      </c>
      <c r="V74" s="23">
        <v>31.47</v>
      </c>
      <c r="W74" s="23">
        <v>39.5</v>
      </c>
      <c r="X74" s="23">
        <v>43.070000000000007</v>
      </c>
      <c r="Y74" s="23">
        <v>39.94</v>
      </c>
      <c r="Z74" s="23">
        <v>36.78</v>
      </c>
      <c r="AA74" s="23">
        <v>36.78</v>
      </c>
      <c r="AB74" s="76">
        <f t="shared" si="99"/>
        <v>0</v>
      </c>
      <c r="AC74" s="76">
        <f t="shared" si="100"/>
        <v>0</v>
      </c>
      <c r="AD74" s="76">
        <f t="shared" si="101"/>
        <v>0</v>
      </c>
      <c r="AE74" s="76">
        <f t="shared" si="102"/>
        <v>0</v>
      </c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E74" s="123"/>
      <c r="DF74" s="23">
        <v>0</v>
      </c>
    </row>
    <row r="75" spans="1:110" s="23" customFormat="1" outlineLevel="1" x14ac:dyDescent="0.2">
      <c r="A75" s="23" t="s">
        <v>584</v>
      </c>
      <c r="B75" s="23">
        <f>'Annual Raw'!C15+'Annual Raw'!C16</f>
        <v>16.0315756</v>
      </c>
      <c r="C75" s="23">
        <f>'Annual Raw'!D15+'Annual Raw'!D16</f>
        <v>22.908752199999999</v>
      </c>
      <c r="D75" s="23">
        <f>'Annual Raw'!E15+'Annual Raw'!E16</f>
        <v>16.6746187</v>
      </c>
      <c r="E75" s="23">
        <f>'Annual Raw'!F15+'Annual Raw'!F16</f>
        <v>19.261937499999998</v>
      </c>
      <c r="F75" s="23">
        <f>'Annual Raw'!G15+'Annual Raw'!G16</f>
        <v>19.939484199999999</v>
      </c>
      <c r="G75" s="23">
        <f>'Annual Raw'!H15+'Annual Raw'!H16</f>
        <v>27.492860199999999</v>
      </c>
      <c r="H75" s="23">
        <f>'Annual Raw'!I15+'Annual Raw'!I16</f>
        <v>29.696939499999999</v>
      </c>
      <c r="I75" s="23">
        <f>'Annual Raw'!J15+'Annual Raw'!J16</f>
        <v>40.396378499999997</v>
      </c>
      <c r="J75" s="23">
        <f>'Annual Raw'!K15+'Annual Raw'!K16</f>
        <v>64.554778600000006</v>
      </c>
      <c r="K75" s="23">
        <f>'Annual Raw'!L15+'Annual Raw'!L16</f>
        <v>68.122469499999994</v>
      </c>
      <c r="L75" s="23">
        <f>'Annual Raw'!M15+'Annual Raw'!M16</f>
        <v>141.46</v>
      </c>
      <c r="M75" s="23">
        <f>'Annual Raw'!N15+'Annual Raw'!N16</f>
        <v>299.42</v>
      </c>
      <c r="N75" s="23">
        <f>'Annual Raw'!O15+'Annual Raw'!O16</f>
        <v>221.51</v>
      </c>
      <c r="O75" s="23">
        <f>'Annual Raw'!P15+'Annual Raw'!P16</f>
        <v>154.04</v>
      </c>
      <c r="P75" s="23">
        <f>'Annual Raw'!Q15+'Annual Raw'!Q16</f>
        <v>143.13</v>
      </c>
      <c r="Q75" s="23">
        <f>'Annual Raw'!R15+'Annual Raw'!R16</f>
        <v>162.49</v>
      </c>
      <c r="R75" s="23">
        <f>((((('Annual Raw'!S15+'Annual Raw'!S16)-64.62)-19.07)-31.06)-33.67)-5.39</f>
        <v>18.47</v>
      </c>
      <c r="S75" s="23">
        <f>((((('Annual Raw'!T15+'Annual Raw'!T16)-63.51)-20.33)-18.75)-33.63)-5.09</f>
        <v>20.210000000000019</v>
      </c>
      <c r="T75" s="23">
        <f>((((('Annual Raw'!U15+'Annual Raw'!U16)-80)-20.98)-17.93)-33.09)-6.46</f>
        <v>26.04999999999999</v>
      </c>
      <c r="U75" s="23">
        <f>((((('Annual Raw'!V15+'Annual Raw'!V16)-80.74)-20.45)-25.71)-35.92)-7.27</f>
        <v>26.259999999999987</v>
      </c>
      <c r="V75" s="23">
        <f>((((('Annual Raw'!W15+'Annual Raw'!W16)-52.31)-16.98)-20.2)-31.47)-4.64</f>
        <v>20.14</v>
      </c>
      <c r="W75" s="23">
        <f>((((('Annual Raw'!X15+'Annual Raw'!X16)-96.91)-29.3)-33.65)-39.5)-6.03</f>
        <v>28.370000000000005</v>
      </c>
      <c r="X75" s="23">
        <f>((((('Annual Raw'!Y15+'Annual Raw'!Y16)-126.99)-32.09)-64.39)-43.07)-7.63</f>
        <v>32.25</v>
      </c>
      <c r="Y75" s="23">
        <f>((((('Annual Raw'!Z15+'Annual Raw'!Z16)-113.91)-32.52)-40.87)-39.94)-8.95</f>
        <v>33.899999999999963</v>
      </c>
      <c r="Z75" s="23">
        <f>((((('Annual Raw'!AA15+'Annual Raw'!AA16)-113.44)-30.16)-44.08)-36.78)-8.9</f>
        <v>34.130000000000017</v>
      </c>
      <c r="AA75" s="23">
        <f>((((('Annual Raw'!AB15+'Annual Raw'!AB16)-113.44)-30.16)-44.08)-36.78)-8.9</f>
        <v>61.229999999999983</v>
      </c>
      <c r="AB75" s="76">
        <f t="shared" si="99"/>
        <v>801.75311277325511</v>
      </c>
      <c r="AC75" s="76">
        <f t="shared" si="100"/>
        <v>781.1503891164698</v>
      </c>
      <c r="AD75" s="76">
        <f t="shared" si="101"/>
        <v>769.43687214539136</v>
      </c>
      <c r="AE75" s="76">
        <f t="shared" si="102"/>
        <v>747.91271987005939</v>
      </c>
      <c r="AI75" s="23">
        <f>'QTR Raw'!C14</f>
        <v>86.1</v>
      </c>
      <c r="AJ75" s="23">
        <f>'QTR Raw'!D14</f>
        <v>59.2</v>
      </c>
      <c r="AK75" s="23">
        <f>'QTR Raw'!E14</f>
        <v>29.18</v>
      </c>
      <c r="AL75" s="23">
        <f>'QTR Raw'!F14</f>
        <v>41.63</v>
      </c>
      <c r="AM75" s="23">
        <f>'QTR Raw'!G14</f>
        <v>54.79</v>
      </c>
      <c r="AN75" s="23">
        <f>'QTR Raw'!H14</f>
        <v>52.5</v>
      </c>
      <c r="AO75" s="23">
        <f>'QTR Raw'!I14</f>
        <v>28.14</v>
      </c>
      <c r="AP75" s="23">
        <f>'QTR Raw'!J14</f>
        <v>34.57</v>
      </c>
      <c r="AQ75" s="23">
        <f>'QTR Raw'!K14</f>
        <v>32.51</v>
      </c>
      <c r="AR75" s="23">
        <f>'QTR Raw'!L14</f>
        <v>34.93</v>
      </c>
      <c r="AS75" s="23">
        <f>'QTR Raw'!M14</f>
        <v>33</v>
      </c>
      <c r="AT75" s="23">
        <f>'QTR Raw'!N14</f>
        <v>37</v>
      </c>
      <c r="AU75" s="23">
        <f>'QTR Raw'!O14</f>
        <v>36.840000000000003</v>
      </c>
      <c r="AV75" s="23">
        <f>'QTR Raw'!P14</f>
        <v>41.18</v>
      </c>
      <c r="AW75" s="23">
        <f>'QTR Raw'!Q14</f>
        <v>38.049999999999997</v>
      </c>
      <c r="AX75" s="23">
        <f>'QTR Raw'!R14</f>
        <v>43.65</v>
      </c>
      <c r="AY75" s="23">
        <f>'QTR Raw'!S14</f>
        <v>43.58</v>
      </c>
      <c r="AZ75" s="23">
        <f>'QTR Raw'!T14</f>
        <v>46.08</v>
      </c>
      <c r="BA75" s="23">
        <f>'QTR Raw'!U14</f>
        <v>40.159999999999997</v>
      </c>
      <c r="BB75" s="23">
        <f>'QTR Raw'!V14</f>
        <v>44.15</v>
      </c>
      <c r="BC75" s="23">
        <f>'QTR Raw'!W14</f>
        <v>38.4</v>
      </c>
      <c r="BD75" s="23">
        <f>'QTR Raw'!X14</f>
        <v>36.04</v>
      </c>
      <c r="BE75" s="23">
        <f>'QTR Raw'!Y14</f>
        <v>41.21</v>
      </c>
      <c r="BF75" s="23">
        <f>'QTR Raw'!Z14</f>
        <v>45.08</v>
      </c>
      <c r="BG75" s="23">
        <f>'QTR Raw'!AA14</f>
        <v>45.9</v>
      </c>
      <c r="BH75" s="23">
        <f>'QTR Raw'!AB14</f>
        <v>48.59</v>
      </c>
      <c r="BI75" s="23">
        <f>'QTR Raw'!AC14</f>
        <v>40</v>
      </c>
      <c r="BJ75" s="23">
        <f>'QTR Raw'!AD14</f>
        <v>47.75</v>
      </c>
      <c r="BK75" s="23">
        <f>'QTR Raw'!AE14</f>
        <v>46.09</v>
      </c>
      <c r="BL75" s="23">
        <f>'QTR Raw'!AF14</f>
        <v>46.72</v>
      </c>
      <c r="BM75" s="23">
        <f>'QTR Raw'!AG14</f>
        <v>47.77</v>
      </c>
      <c r="BN75" s="23">
        <f>'QTR Raw'!AH14</f>
        <v>55.96</v>
      </c>
      <c r="BO75" s="23">
        <f>'QTR Raw'!AI14</f>
        <v>27.2</v>
      </c>
      <c r="BP75" s="23">
        <f>'QTR Raw'!AJ14</f>
        <v>42.13</v>
      </c>
      <c r="BQ75" s="23">
        <f>'QTR Raw'!AK14</f>
        <v>53.82</v>
      </c>
      <c r="BR75" s="23">
        <f>'QTR Raw'!AL14</f>
        <v>61.46</v>
      </c>
      <c r="BS75" s="23">
        <f>'QTR Raw'!AM14</f>
        <v>65.05</v>
      </c>
      <c r="BT75" s="23">
        <f>'QTR Raw'!AN14</f>
        <v>93.11</v>
      </c>
      <c r="BU75" s="23">
        <f>'QTR Raw'!AO14</f>
        <v>93.02</v>
      </c>
      <c r="BV75" s="23">
        <f>'QTR Raw'!AP14</f>
        <v>88.94</v>
      </c>
      <c r="BW75" s="23">
        <f>'QTR Raw'!AQ14</f>
        <v>87.46</v>
      </c>
      <c r="BX75" s="23">
        <f>'QTR Raw'!AR14</f>
        <v>98.7</v>
      </c>
      <c r="BY75" s="23">
        <f>'QTR Raw'!AS14</f>
        <v>73.77</v>
      </c>
      <c r="BZ75" s="23">
        <f>'QTR Raw'!AT14</f>
        <v>83.9</v>
      </c>
      <c r="CA75" s="23">
        <f>'QTR Raw'!AU14</f>
        <v>77.94</v>
      </c>
      <c r="CB75" s="23">
        <f>'QTR Raw'!AV14</f>
        <v>73.650000000000006</v>
      </c>
      <c r="CC75" s="23">
        <f>'QTR Raw'!AW14</f>
        <v>62.98</v>
      </c>
      <c r="CD75" s="23">
        <f>'QTR Raw'!AX14</f>
        <v>85.1</v>
      </c>
      <c r="CE75" s="23">
        <f>'QTR Raw'!AY14</f>
        <v>86.44</v>
      </c>
      <c r="CF75" s="23">
        <f>'QTR Raw'!AZ14</f>
        <v>88.61</v>
      </c>
      <c r="CG75" s="23">
        <f>'QTR Raw'!BA14</f>
        <v>79.48</v>
      </c>
      <c r="CH75" s="23">
        <f>'QTR Raw'!BB14</f>
        <v>70.98</v>
      </c>
      <c r="CI75" s="23">
        <f>'QTR Raw'!BC14</f>
        <v>93.53</v>
      </c>
      <c r="CJ75" s="23">
        <f>'QTR Raw'!BD14</f>
        <v>87.59</v>
      </c>
      <c r="CK75" s="23">
        <f>'QTR Raw'!BE14</f>
        <v>88.02</v>
      </c>
      <c r="CL75" s="23">
        <f>'QTR Raw'!BF14</f>
        <v>91.79</v>
      </c>
      <c r="CM75" s="24">
        <f>+CM80-CM69</f>
        <v>209.36264999441653</v>
      </c>
      <c r="CN75" s="24">
        <f t="shared" ref="CN75:DB75" si="103">+CN80-CN69</f>
        <v>202.31204660689107</v>
      </c>
      <c r="CO75" s="24">
        <f t="shared" si="103"/>
        <v>200.38685890524118</v>
      </c>
      <c r="CP75" s="24">
        <f t="shared" si="103"/>
        <v>189.69155726670638</v>
      </c>
      <c r="CQ75" s="24">
        <f t="shared" si="103"/>
        <v>203.15660300219702</v>
      </c>
      <c r="CR75" s="24">
        <f t="shared" si="103"/>
        <v>195.79241878653764</v>
      </c>
      <c r="CS75" s="24">
        <f t="shared" si="103"/>
        <v>194.90952445882323</v>
      </c>
      <c r="CT75" s="24">
        <f t="shared" si="103"/>
        <v>187.29184286891197</v>
      </c>
      <c r="CU75" s="24">
        <f t="shared" si="103"/>
        <v>201.9207572711245</v>
      </c>
      <c r="CV75" s="24">
        <f t="shared" si="103"/>
        <v>192.05932830477622</v>
      </c>
      <c r="CW75" s="24">
        <f t="shared" si="103"/>
        <v>191.08201576255811</v>
      </c>
      <c r="CX75" s="24">
        <f t="shared" si="103"/>
        <v>184.37477080693253</v>
      </c>
      <c r="CY75" s="24">
        <f t="shared" si="103"/>
        <v>196.39231828798569</v>
      </c>
      <c r="CZ75" s="24">
        <f t="shared" si="103"/>
        <v>186.52872603636408</v>
      </c>
      <c r="DA75" s="24">
        <f t="shared" si="103"/>
        <v>186.02904788234181</v>
      </c>
      <c r="DB75" s="24">
        <f t="shared" si="103"/>
        <v>178.96262766336787</v>
      </c>
      <c r="DE75" s="123"/>
      <c r="DF75" s="23">
        <v>171.15526987704757</v>
      </c>
    </row>
    <row r="76" spans="1:110" s="23" customFormat="1" outlineLevel="1" x14ac:dyDescent="0.2">
      <c r="A76" s="23" t="s">
        <v>572</v>
      </c>
      <c r="R76" s="23">
        <v>19.07</v>
      </c>
      <c r="S76" s="23">
        <v>20.329999999999998</v>
      </c>
      <c r="T76" s="23">
        <v>20.98</v>
      </c>
      <c r="U76" s="23">
        <v>20.45</v>
      </c>
      <c r="V76" s="23">
        <v>16.98</v>
      </c>
      <c r="W76" s="23">
        <v>29.3</v>
      </c>
      <c r="X76" s="23">
        <v>32.090000000000003</v>
      </c>
      <c r="Y76" s="23">
        <v>32.520000000000003</v>
      </c>
      <c r="Z76" s="23">
        <v>30.16</v>
      </c>
      <c r="AA76" s="23">
        <v>30.16</v>
      </c>
      <c r="AB76" s="76">
        <f t="shared" si="99"/>
        <v>0</v>
      </c>
      <c r="AC76" s="76">
        <f t="shared" si="100"/>
        <v>0</v>
      </c>
      <c r="AD76" s="76">
        <f t="shared" si="101"/>
        <v>0</v>
      </c>
      <c r="AE76" s="76">
        <f t="shared" si="102"/>
        <v>0</v>
      </c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E76" s="123"/>
      <c r="DF76" s="23">
        <v>0</v>
      </c>
    </row>
    <row r="77" spans="1:110" s="23" customFormat="1" outlineLevel="1" x14ac:dyDescent="0.2">
      <c r="A77" s="23" t="s">
        <v>11</v>
      </c>
      <c r="B77" s="23">
        <f>'Annual Raw'!C19-'Annual Raw'!C20</f>
        <v>0.85958429999999997</v>
      </c>
      <c r="C77" s="23">
        <f>'Annual Raw'!D19-'Annual Raw'!D20</f>
        <v>1.8891446999999999</v>
      </c>
      <c r="D77" s="23">
        <f>'Annual Raw'!E19-'Annual Raw'!E20</f>
        <v>3.2918764</v>
      </c>
      <c r="E77" s="23">
        <f>'Annual Raw'!F19-'Annual Raw'!F20</f>
        <v>0.96872119999999995</v>
      </c>
      <c r="F77" s="23">
        <f>'Annual Raw'!G19-'Annual Raw'!G20</f>
        <v>1.1552369</v>
      </c>
      <c r="G77" s="23">
        <f>'Annual Raw'!H19-'Annual Raw'!H20</f>
        <v>1.4491316999999999</v>
      </c>
      <c r="H77" s="23">
        <f>'Annual Raw'!I19-'Annual Raw'!I20</f>
        <v>2.2141858000000001</v>
      </c>
      <c r="I77" s="23">
        <f>'Annual Raw'!J19-'Annual Raw'!J20</f>
        <v>3.2491786999999999</v>
      </c>
      <c r="J77" s="23">
        <f>'Annual Raw'!K19-'Annual Raw'!K20</f>
        <v>5.0242019999999998</v>
      </c>
      <c r="K77" s="23">
        <f>'Annual Raw'!L19-'Annual Raw'!L20</f>
        <v>2.5788821</v>
      </c>
      <c r="L77" s="23">
        <f>'Annual Raw'!M19-'Annual Raw'!M20</f>
        <v>7.38</v>
      </c>
      <c r="M77" s="23">
        <f>'Annual Raw'!N19-'Annual Raw'!N20</f>
        <v>13.43</v>
      </c>
      <c r="N77" s="23">
        <f>'Annual Raw'!O19-'Annual Raw'!O20</f>
        <v>1.95</v>
      </c>
      <c r="O77" s="23">
        <f>'Annual Raw'!P19-'Annual Raw'!P20</f>
        <v>2.4500000000000002</v>
      </c>
      <c r="P77" s="23">
        <f>'Annual Raw'!Q19-'Annual Raw'!Q20</f>
        <v>2.0299999999999998</v>
      </c>
      <c r="Q77" s="23">
        <f>'Annual Raw'!R19-'Annual Raw'!R20</f>
        <v>2.92</v>
      </c>
      <c r="R77" s="23">
        <f>'Annual Raw'!S19-'Annual Raw'!S20</f>
        <v>3.16</v>
      </c>
      <c r="S77" s="23">
        <f>'Annual Raw'!T19-'Annual Raw'!T20</f>
        <v>4.3</v>
      </c>
      <c r="T77" s="23">
        <f>'Annual Raw'!U19-'Annual Raw'!U20</f>
        <v>10.29</v>
      </c>
      <c r="U77" s="23">
        <f>'Annual Raw'!V19-'Annual Raw'!V20</f>
        <v>6.52</v>
      </c>
      <c r="V77" s="23">
        <f>'Annual Raw'!W19-'Annual Raw'!W20</f>
        <v>14.44</v>
      </c>
      <c r="W77" s="23">
        <f>'Annual Raw'!X19-'Annual Raw'!X20</f>
        <v>27.39</v>
      </c>
      <c r="X77" s="23">
        <f>'Annual Raw'!Y19-'Annual Raw'!Y20</f>
        <v>36.26</v>
      </c>
      <c r="Y77" s="23">
        <f>'Annual Raw'!Z19-'Annual Raw'!Z20</f>
        <v>15.06</v>
      </c>
      <c r="Z77" s="23">
        <f>'Annual Raw'!AA19-'Annual Raw'!AA20</f>
        <v>11.3</v>
      </c>
      <c r="AA77" s="23">
        <f>'Annual Raw'!AB19-'Annual Raw'!AB20</f>
        <v>40.29</v>
      </c>
      <c r="AB77" s="76">
        <f t="shared" si="99"/>
        <v>0</v>
      </c>
      <c r="AC77" s="76">
        <f t="shared" si="100"/>
        <v>0</v>
      </c>
      <c r="AD77" s="76">
        <f t="shared" si="101"/>
        <v>0</v>
      </c>
      <c r="AE77" s="76">
        <f t="shared" si="102"/>
        <v>0</v>
      </c>
      <c r="AI77" s="23">
        <f>+'QTR Raw'!C21</f>
        <v>0</v>
      </c>
      <c r="AJ77" s="23">
        <f>+'QTR Raw'!D21</f>
        <v>0</v>
      </c>
      <c r="AK77" s="23">
        <f>+'QTR Raw'!E21</f>
        <v>0</v>
      </c>
      <c r="AL77" s="23">
        <f>+'QTR Raw'!F21</f>
        <v>0</v>
      </c>
      <c r="AM77" s="23">
        <f>+'QTR Raw'!G21</f>
        <v>0</v>
      </c>
      <c r="AN77" s="23">
        <f>+'QTR Raw'!H21</f>
        <v>0</v>
      </c>
      <c r="AO77" s="23">
        <f>+'QTR Raw'!I21</f>
        <v>0</v>
      </c>
      <c r="AP77" s="23">
        <f>+'QTR Raw'!J21</f>
        <v>0</v>
      </c>
      <c r="AQ77" s="23">
        <f>+'QTR Raw'!K21</f>
        <v>0</v>
      </c>
      <c r="AR77" s="23">
        <f>+'QTR Raw'!L21</f>
        <v>0</v>
      </c>
      <c r="AS77" s="23">
        <f>+'QTR Raw'!M21</f>
        <v>0</v>
      </c>
      <c r="AT77" s="23">
        <f>+'QTR Raw'!N21</f>
        <v>0</v>
      </c>
      <c r="AU77" s="23">
        <f>+'QTR Raw'!O21</f>
        <v>0</v>
      </c>
      <c r="AV77" s="23">
        <f>+'QTR Raw'!P21</f>
        <v>0</v>
      </c>
      <c r="AW77" s="23">
        <f>+'QTR Raw'!Q21</f>
        <v>0</v>
      </c>
      <c r="AX77" s="23">
        <f>+'QTR Raw'!R21</f>
        <v>0</v>
      </c>
      <c r="AY77" s="23">
        <f>+'QTR Raw'!S21</f>
        <v>0</v>
      </c>
      <c r="AZ77" s="23">
        <f>+'QTR Raw'!T21</f>
        <v>0</v>
      </c>
      <c r="BA77" s="23">
        <f>+'QTR Raw'!U21</f>
        <v>0</v>
      </c>
      <c r="BB77" s="23">
        <f>+'QTR Raw'!V21</f>
        <v>0</v>
      </c>
      <c r="BC77" s="23">
        <f>+'QTR Raw'!W21</f>
        <v>0</v>
      </c>
      <c r="BD77" s="23">
        <f>+'QTR Raw'!X21</f>
        <v>0</v>
      </c>
      <c r="BE77" s="23">
        <f>+'QTR Raw'!Y21</f>
        <v>0</v>
      </c>
      <c r="BF77" s="23">
        <f>+'QTR Raw'!Z21</f>
        <v>0</v>
      </c>
      <c r="BG77" s="23">
        <f>+'QTR Raw'!AA21</f>
        <v>0</v>
      </c>
      <c r="BH77" s="23">
        <f>+'QTR Raw'!AB21</f>
        <v>0</v>
      </c>
      <c r="BI77" s="23">
        <f>+'QTR Raw'!AC21</f>
        <v>0</v>
      </c>
      <c r="BJ77" s="23">
        <f>+'QTR Raw'!AD21</f>
        <v>0</v>
      </c>
      <c r="BK77" s="23">
        <f>+'QTR Raw'!AE21</f>
        <v>0</v>
      </c>
      <c r="BL77" s="23">
        <f>+'QTR Raw'!AF21</f>
        <v>0</v>
      </c>
      <c r="BM77" s="23">
        <f>+'QTR Raw'!AG21</f>
        <v>0</v>
      </c>
      <c r="BN77" s="23">
        <f>+'QTR Raw'!AH21</f>
        <v>0</v>
      </c>
      <c r="BO77" s="23">
        <f>+'QTR Raw'!AI21</f>
        <v>0</v>
      </c>
      <c r="BP77" s="23">
        <f>+'QTR Raw'!AJ21</f>
        <v>0</v>
      </c>
      <c r="BQ77" s="23">
        <f>+'QTR Raw'!AK21</f>
        <v>0</v>
      </c>
      <c r="BR77" s="23">
        <f>+'QTR Raw'!AL21</f>
        <v>0</v>
      </c>
      <c r="BS77" s="23">
        <f>+'QTR Raw'!AM21</f>
        <v>0</v>
      </c>
      <c r="BT77" s="23">
        <f>+'QTR Raw'!AN21</f>
        <v>0</v>
      </c>
      <c r="BU77" s="23">
        <f>+'QTR Raw'!AO21</f>
        <v>0</v>
      </c>
      <c r="BV77" s="23">
        <f>+'QTR Raw'!AP21</f>
        <v>0</v>
      </c>
      <c r="BW77" s="23">
        <f>+'QTR Raw'!AQ21</f>
        <v>0</v>
      </c>
      <c r="BX77" s="23">
        <f>+'QTR Raw'!AR21</f>
        <v>0</v>
      </c>
      <c r="BY77" s="23">
        <f>+'QTR Raw'!AS21</f>
        <v>0</v>
      </c>
      <c r="BZ77" s="23">
        <f>+'QTR Raw'!AT21</f>
        <v>0</v>
      </c>
      <c r="CA77" s="23">
        <f>+'QTR Raw'!AU21</f>
        <v>0</v>
      </c>
      <c r="CB77" s="23">
        <f>+'QTR Raw'!AV21</f>
        <v>0</v>
      </c>
      <c r="CC77" s="23">
        <f>+'QTR Raw'!AW21</f>
        <v>0</v>
      </c>
      <c r="CD77" s="23">
        <f>+'QTR Raw'!AX21</f>
        <v>0</v>
      </c>
      <c r="CE77" s="23">
        <f>+'QTR Raw'!AY21</f>
        <v>0</v>
      </c>
      <c r="CF77" s="23">
        <f>+'QTR Raw'!AZ21</f>
        <v>0</v>
      </c>
      <c r="CG77" s="23">
        <f>+'QTR Raw'!BA21</f>
        <v>0</v>
      </c>
      <c r="CH77" s="23">
        <f>+'QTR Raw'!BB21</f>
        <v>0</v>
      </c>
      <c r="CI77" s="23">
        <f>+'QTR Raw'!BC21</f>
        <v>0</v>
      </c>
      <c r="CJ77" s="23">
        <f>+'QTR Raw'!BD21</f>
        <v>0</v>
      </c>
      <c r="CK77" s="23">
        <f>+'QTR Raw'!BE21</f>
        <v>0</v>
      </c>
      <c r="CL77" s="23">
        <f>+'QTR Raw'!BF21</f>
        <v>0</v>
      </c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E77" s="123"/>
      <c r="DF77" s="23">
        <v>0</v>
      </c>
    </row>
    <row r="78" spans="1:110" s="23" customFormat="1" outlineLevel="1" x14ac:dyDescent="0.2">
      <c r="A78" s="23" t="s">
        <v>583</v>
      </c>
      <c r="R78" s="23">
        <v>5.39</v>
      </c>
      <c r="S78" s="23">
        <v>5.09</v>
      </c>
      <c r="T78" s="23">
        <v>6.46</v>
      </c>
      <c r="U78" s="23">
        <v>7.27</v>
      </c>
      <c r="V78" s="23">
        <v>4.6399999999999997</v>
      </c>
      <c r="W78" s="23">
        <v>6.03</v>
      </c>
      <c r="X78" s="23">
        <v>7.63</v>
      </c>
      <c r="Y78" s="23">
        <v>8.9499999999999993</v>
      </c>
      <c r="Z78" s="23">
        <v>8.9</v>
      </c>
      <c r="AA78" s="23">
        <v>8.9</v>
      </c>
      <c r="AB78" s="76">
        <f t="shared" si="99"/>
        <v>0</v>
      </c>
      <c r="AC78" s="76">
        <f t="shared" si="100"/>
        <v>0</v>
      </c>
      <c r="AD78" s="76">
        <f t="shared" si="101"/>
        <v>0</v>
      </c>
      <c r="AE78" s="76">
        <f t="shared" si="102"/>
        <v>0</v>
      </c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E78" s="123"/>
      <c r="DF78" s="23">
        <v>0</v>
      </c>
    </row>
    <row r="79" spans="1:110" s="23" customFormat="1" outlineLevel="1" x14ac:dyDescent="0.2">
      <c r="A79" s="23" t="s">
        <v>10</v>
      </c>
      <c r="B79" s="23">
        <f>'Annual Raw'!C18</f>
        <v>6.9516515999999999</v>
      </c>
      <c r="C79" s="23">
        <f>'Annual Raw'!D18</f>
        <v>6.2951078999999996</v>
      </c>
      <c r="D79" s="23">
        <f>'Annual Raw'!E18</f>
        <v>6.0050941</v>
      </c>
      <c r="E79" s="23">
        <f>'Annual Raw'!F18</f>
        <v>8.0091558000000003</v>
      </c>
      <c r="F79" s="23">
        <f>'Annual Raw'!G18</f>
        <v>7.7686247000000002</v>
      </c>
      <c r="G79" s="23">
        <f>'Annual Raw'!H18</f>
        <v>12.491468299999999</v>
      </c>
      <c r="H79" s="23">
        <f>'Annual Raw'!I18</f>
        <v>18.1456257</v>
      </c>
      <c r="I79" s="23">
        <f>'Annual Raw'!J18</f>
        <v>22.320437900000002</v>
      </c>
      <c r="J79" s="23">
        <f>'Annual Raw'!K18</f>
        <v>25.741028700000001</v>
      </c>
      <c r="K79" s="23">
        <f>'Annual Raw'!L18</f>
        <v>22.523331899999999</v>
      </c>
      <c r="L79" s="23">
        <f>'Annual Raw'!M18</f>
        <v>27.52</v>
      </c>
      <c r="M79" s="23">
        <f>'Annual Raw'!N18</f>
        <v>31.14</v>
      </c>
      <c r="N79" s="23">
        <f>'Annual Raw'!O18</f>
        <v>38.57</v>
      </c>
      <c r="O79" s="23">
        <f>'Annual Raw'!P18</f>
        <v>38.24</v>
      </c>
      <c r="P79" s="23">
        <f>'Annual Raw'!Q18</f>
        <v>41.58</v>
      </c>
      <c r="Q79" s="23">
        <f>'Annual Raw'!R18</f>
        <v>44.52</v>
      </c>
      <c r="R79" s="23">
        <f>(('Annual Raw'!S18)-17.64)-29.56</f>
        <v>0</v>
      </c>
      <c r="S79" s="23">
        <f>(('Annual Raw'!T18)-16)-29.51</f>
        <v>0</v>
      </c>
      <c r="T79" s="23">
        <f>(('Annual Raw'!U18)-21.36)-29.57</f>
        <v>0</v>
      </c>
      <c r="U79" s="23">
        <f>(('Annual Raw'!V18)-22.31)-30.41</f>
        <v>0</v>
      </c>
      <c r="V79" s="23">
        <f>(('Annual Raw'!W18)-19.1)-41.03</f>
        <v>0</v>
      </c>
      <c r="W79" s="23">
        <f>(('Annual Raw'!X18)-37.96)-105.16</f>
        <v>0</v>
      </c>
      <c r="X79" s="23">
        <f>(('Annual Raw'!Y18)-33.08)-57.78</f>
        <v>0</v>
      </c>
      <c r="Y79" s="23">
        <f>(('Annual Raw'!Z18)-35.31)-55.57</f>
        <v>0</v>
      </c>
      <c r="Z79" s="23">
        <f>(('Annual Raw'!AA18)-45.5)-77.67</f>
        <v>0</v>
      </c>
      <c r="AA79" s="23">
        <f>(('Annual Raw'!AB18)-45.5)-77.67</f>
        <v>-12.810000000000002</v>
      </c>
      <c r="AB79" s="76">
        <f t="shared" si="99"/>
        <v>0</v>
      </c>
      <c r="AC79" s="76">
        <f t="shared" si="100"/>
        <v>0</v>
      </c>
      <c r="AD79" s="76">
        <f t="shared" si="101"/>
        <v>0</v>
      </c>
      <c r="AE79" s="76">
        <f t="shared" si="102"/>
        <v>0</v>
      </c>
      <c r="AI79" s="23">
        <f>'QTR Raw'!C18</f>
        <v>0</v>
      </c>
      <c r="AJ79" s="23">
        <f>'QTR Raw'!D18</f>
        <v>0</v>
      </c>
      <c r="AK79" s="23">
        <f>'QTR Raw'!E18</f>
        <v>0</v>
      </c>
      <c r="AL79" s="23">
        <f>'QTR Raw'!F18</f>
        <v>0</v>
      </c>
      <c r="AM79" s="23">
        <f>'QTR Raw'!G18</f>
        <v>0</v>
      </c>
      <c r="AN79" s="23">
        <f>'QTR Raw'!H18</f>
        <v>0</v>
      </c>
      <c r="AO79" s="23">
        <f>'QTR Raw'!I18</f>
        <v>0</v>
      </c>
      <c r="AP79" s="23">
        <f>'QTR Raw'!J18</f>
        <v>0</v>
      </c>
      <c r="AQ79" s="23">
        <f>'QTR Raw'!K18</f>
        <v>0</v>
      </c>
      <c r="AR79" s="23">
        <f>'QTR Raw'!L18</f>
        <v>0</v>
      </c>
      <c r="AS79" s="23">
        <f>'QTR Raw'!M18</f>
        <v>0</v>
      </c>
      <c r="AT79" s="23">
        <f>'QTR Raw'!N18</f>
        <v>0</v>
      </c>
      <c r="AU79" s="23">
        <f>'QTR Raw'!O18</f>
        <v>0</v>
      </c>
      <c r="AV79" s="23">
        <f>'QTR Raw'!P18</f>
        <v>0</v>
      </c>
      <c r="AW79" s="23">
        <f>'QTR Raw'!Q18</f>
        <v>0</v>
      </c>
      <c r="AX79" s="23">
        <f>'QTR Raw'!R18</f>
        <v>0</v>
      </c>
      <c r="AY79" s="23">
        <f>'QTR Raw'!S18</f>
        <v>0</v>
      </c>
      <c r="AZ79" s="23">
        <f>'QTR Raw'!T18</f>
        <v>0</v>
      </c>
      <c r="BA79" s="23">
        <f>'QTR Raw'!U18</f>
        <v>0</v>
      </c>
      <c r="BB79" s="23">
        <f>'QTR Raw'!V18</f>
        <v>0</v>
      </c>
      <c r="BC79" s="23">
        <f>'QTR Raw'!W18</f>
        <v>0</v>
      </c>
      <c r="BD79" s="23">
        <f>'QTR Raw'!X18</f>
        <v>0</v>
      </c>
      <c r="BE79" s="23">
        <f>'QTR Raw'!Y18</f>
        <v>0</v>
      </c>
      <c r="BF79" s="23">
        <f>'QTR Raw'!Z18</f>
        <v>0</v>
      </c>
      <c r="BG79" s="23">
        <f>'QTR Raw'!AA18</f>
        <v>0</v>
      </c>
      <c r="BH79" s="23">
        <f>'QTR Raw'!AB18</f>
        <v>0</v>
      </c>
      <c r="BI79" s="23">
        <f>'QTR Raw'!AC18</f>
        <v>0</v>
      </c>
      <c r="BJ79" s="23">
        <f>'QTR Raw'!AD18</f>
        <v>0</v>
      </c>
      <c r="BK79" s="23">
        <f>'QTR Raw'!AE18</f>
        <v>0</v>
      </c>
      <c r="BL79" s="23">
        <f>'QTR Raw'!AF18</f>
        <v>0</v>
      </c>
      <c r="BM79" s="23">
        <f>'QTR Raw'!AG18</f>
        <v>0</v>
      </c>
      <c r="BN79" s="23">
        <f>'QTR Raw'!AH18</f>
        <v>0</v>
      </c>
      <c r="BO79" s="23">
        <f>'QTR Raw'!AI18</f>
        <v>0</v>
      </c>
      <c r="BP79" s="23">
        <f>'QTR Raw'!AJ18</f>
        <v>0</v>
      </c>
      <c r="BQ79" s="23">
        <f>'QTR Raw'!AK18</f>
        <v>0</v>
      </c>
      <c r="BR79" s="23">
        <f>'QTR Raw'!AL18</f>
        <v>0</v>
      </c>
      <c r="BS79" s="23">
        <f>'QTR Raw'!AM18</f>
        <v>0</v>
      </c>
      <c r="BT79" s="23">
        <f>'QTR Raw'!AN18</f>
        <v>0</v>
      </c>
      <c r="BU79" s="23">
        <f>'QTR Raw'!AO18</f>
        <v>0</v>
      </c>
      <c r="BV79" s="23">
        <f>'QTR Raw'!AP18</f>
        <v>0</v>
      </c>
      <c r="BW79" s="23">
        <f>'QTR Raw'!AQ18</f>
        <v>0</v>
      </c>
      <c r="BX79" s="23">
        <f>'QTR Raw'!AR18</f>
        <v>0</v>
      </c>
      <c r="BY79" s="23">
        <f>'QTR Raw'!AS18</f>
        <v>0</v>
      </c>
      <c r="BZ79" s="23">
        <f>'QTR Raw'!AT18</f>
        <v>0</v>
      </c>
      <c r="CA79" s="23">
        <f>'QTR Raw'!AU18</f>
        <v>0</v>
      </c>
      <c r="CB79" s="23">
        <f>'QTR Raw'!AV18</f>
        <v>0</v>
      </c>
      <c r="CC79" s="23">
        <f>'QTR Raw'!AW18</f>
        <v>0</v>
      </c>
      <c r="CD79" s="23">
        <f>'QTR Raw'!AX18</f>
        <v>0</v>
      </c>
      <c r="CE79" s="23">
        <f>'QTR Raw'!AY18</f>
        <v>0</v>
      </c>
      <c r="CF79" s="23">
        <f>'QTR Raw'!AZ18</f>
        <v>0</v>
      </c>
      <c r="CG79" s="23">
        <f>'QTR Raw'!BA18</f>
        <v>0</v>
      </c>
      <c r="CH79" s="23">
        <f>'QTR Raw'!BB18</f>
        <v>0</v>
      </c>
      <c r="CI79" s="23">
        <f>'QTR Raw'!BC18</f>
        <v>0</v>
      </c>
      <c r="CJ79" s="23">
        <f>'QTR Raw'!BD18</f>
        <v>0</v>
      </c>
      <c r="CK79" s="23">
        <f>'QTR Raw'!BE18</f>
        <v>0</v>
      </c>
      <c r="CL79" s="23">
        <f>'QTR Raw'!BF18</f>
        <v>0</v>
      </c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E79" s="123"/>
      <c r="DF79" s="23">
        <v>0</v>
      </c>
    </row>
    <row r="80" spans="1:110" s="22" customFormat="1" x14ac:dyDescent="0.2">
      <c r="A80" s="33" t="s">
        <v>347</v>
      </c>
      <c r="B80" s="22">
        <f t="shared" ref="B80:AE80" si="104">+SUM(B68:B79)</f>
        <v>50.839964699999996</v>
      </c>
      <c r="C80" s="22">
        <f t="shared" si="104"/>
        <v>57.066393799999993</v>
      </c>
      <c r="D80" s="22">
        <f t="shared" si="104"/>
        <v>54.569451900000004</v>
      </c>
      <c r="E80" s="22">
        <f t="shared" si="104"/>
        <v>69.680180899999982</v>
      </c>
      <c r="F80" s="22">
        <f t="shared" si="104"/>
        <v>74.697157600000011</v>
      </c>
      <c r="G80" s="22">
        <f t="shared" si="104"/>
        <v>91.621692699999997</v>
      </c>
      <c r="H80" s="22">
        <f t="shared" si="104"/>
        <v>146.6530133</v>
      </c>
      <c r="I80" s="22">
        <f t="shared" si="104"/>
        <v>192.2144423</v>
      </c>
      <c r="J80" s="22">
        <f t="shared" si="104"/>
        <v>241.26332120000001</v>
      </c>
      <c r="K80" s="22">
        <f t="shared" si="104"/>
        <v>258.68674089999996</v>
      </c>
      <c r="L80" s="22">
        <f t="shared" si="104"/>
        <v>356.15</v>
      </c>
      <c r="M80" s="22">
        <f t="shared" si="104"/>
        <v>543.88</v>
      </c>
      <c r="N80" s="22">
        <f t="shared" si="104"/>
        <v>506.84999999999997</v>
      </c>
      <c r="O80" s="22">
        <f t="shared" si="104"/>
        <v>447.77000000000004</v>
      </c>
      <c r="P80" s="22">
        <f t="shared" si="104"/>
        <v>470.36999999999995</v>
      </c>
      <c r="Q80" s="22">
        <f t="shared" si="104"/>
        <v>522.23</v>
      </c>
      <c r="R80" s="22">
        <f t="shared" si="104"/>
        <v>507.27</v>
      </c>
      <c r="S80" s="22">
        <f t="shared" si="104"/>
        <v>570.12</v>
      </c>
      <c r="T80" s="22">
        <f t="shared" si="104"/>
        <v>619.89</v>
      </c>
      <c r="U80" s="22">
        <f t="shared" si="104"/>
        <v>617.76</v>
      </c>
      <c r="V80" s="22">
        <f t="shared" si="104"/>
        <v>491.69</v>
      </c>
      <c r="W80" s="22">
        <f t="shared" si="104"/>
        <v>786.45999999999992</v>
      </c>
      <c r="X80" s="22">
        <f t="shared" si="104"/>
        <v>877.38</v>
      </c>
      <c r="Y80" s="22">
        <f t="shared" si="104"/>
        <v>856.79999999999984</v>
      </c>
      <c r="Z80" s="22">
        <f t="shared" si="104"/>
        <v>892.59999999999991</v>
      </c>
      <c r="AA80" s="22">
        <f t="shared" si="104"/>
        <v>994.16000000000008</v>
      </c>
      <c r="AB80" s="21">
        <f t="shared" si="104"/>
        <v>1115.7660127732552</v>
      </c>
      <c r="AC80" s="21">
        <f t="shared" si="104"/>
        <v>1117.1441921164699</v>
      </c>
      <c r="AD80" s="21">
        <f t="shared" si="104"/>
        <v>1128.9502413553914</v>
      </c>
      <c r="AE80" s="21">
        <f t="shared" si="104"/>
        <v>1132.5920249247595</v>
      </c>
      <c r="AI80" s="22">
        <f t="shared" ref="AI80:BV80" si="105">+SUM(AI68:AI77)</f>
        <v>145.09</v>
      </c>
      <c r="AJ80" s="22">
        <f t="shared" si="105"/>
        <v>122.5</v>
      </c>
      <c r="AK80" s="22">
        <f t="shared" si="105"/>
        <v>85.47999999999999</v>
      </c>
      <c r="AL80" s="22">
        <f t="shared" si="105"/>
        <v>99.9</v>
      </c>
      <c r="AM80" s="22">
        <f t="shared" si="105"/>
        <v>113.07</v>
      </c>
      <c r="AN80" s="22">
        <f t="shared" si="105"/>
        <v>114.46000000000001</v>
      </c>
      <c r="AO80" s="22">
        <f t="shared" si="105"/>
        <v>99.94</v>
      </c>
      <c r="AP80" s="22">
        <f t="shared" si="105"/>
        <v>100.25999999999999</v>
      </c>
      <c r="AQ80" s="22">
        <f t="shared" si="105"/>
        <v>97.53</v>
      </c>
      <c r="AR80" s="22">
        <f t="shared" si="105"/>
        <v>107.31</v>
      </c>
      <c r="AS80" s="22">
        <f t="shared" si="105"/>
        <v>101.45</v>
      </c>
      <c r="AT80" s="22">
        <f t="shared" si="105"/>
        <v>105.28999999999999</v>
      </c>
      <c r="AU80" s="22">
        <f t="shared" si="105"/>
        <v>110.31</v>
      </c>
      <c r="AV80" s="22">
        <f t="shared" si="105"/>
        <v>120.72</v>
      </c>
      <c r="AW80" s="22">
        <f t="shared" si="105"/>
        <v>110.95</v>
      </c>
      <c r="AX80" s="22">
        <f t="shared" si="105"/>
        <v>115.56</v>
      </c>
      <c r="AY80" s="22">
        <f t="shared" si="105"/>
        <v>121.67999999999999</v>
      </c>
      <c r="AZ80" s="22">
        <f t="shared" si="105"/>
        <v>127.89</v>
      </c>
      <c r="BA80" s="22">
        <f t="shared" si="105"/>
        <v>123.59</v>
      </c>
      <c r="BB80" s="22">
        <f t="shared" si="105"/>
        <v>133.5</v>
      </c>
      <c r="BC80" s="22">
        <f t="shared" si="105"/>
        <v>134.22999999999999</v>
      </c>
      <c r="BD80" s="22">
        <f t="shared" si="105"/>
        <v>135.15</v>
      </c>
      <c r="BE80" s="22">
        <f t="shared" si="105"/>
        <v>142.29000000000002</v>
      </c>
      <c r="BF80" s="22">
        <f t="shared" si="105"/>
        <v>154.12</v>
      </c>
      <c r="BG80" s="22">
        <f t="shared" si="105"/>
        <v>152.51</v>
      </c>
      <c r="BH80" s="22">
        <f t="shared" si="105"/>
        <v>156.94</v>
      </c>
      <c r="BI80" s="22">
        <f t="shared" si="105"/>
        <v>150</v>
      </c>
      <c r="BJ80" s="22">
        <f t="shared" si="105"/>
        <v>160.44999999999999</v>
      </c>
      <c r="BK80" s="22">
        <f t="shared" si="105"/>
        <v>154.34</v>
      </c>
      <c r="BL80" s="22">
        <f t="shared" si="105"/>
        <v>154.66</v>
      </c>
      <c r="BM80" s="22">
        <f t="shared" si="105"/>
        <v>153.66</v>
      </c>
      <c r="BN80" s="22">
        <f t="shared" si="105"/>
        <v>155.1</v>
      </c>
      <c r="BO80" s="22">
        <f t="shared" si="105"/>
        <v>72.710000000000008</v>
      </c>
      <c r="BP80" s="22">
        <f t="shared" si="105"/>
        <v>112.97</v>
      </c>
      <c r="BQ80" s="22">
        <f t="shared" si="105"/>
        <v>142.18</v>
      </c>
      <c r="BR80" s="22">
        <f t="shared" si="105"/>
        <v>163.83000000000001</v>
      </c>
      <c r="BS80" s="22">
        <f t="shared" si="105"/>
        <v>158.19</v>
      </c>
      <c r="BT80" s="22">
        <f t="shared" si="105"/>
        <v>205.07</v>
      </c>
      <c r="BU80" s="22">
        <f t="shared" si="105"/>
        <v>213.85</v>
      </c>
      <c r="BV80" s="22">
        <f t="shared" si="105"/>
        <v>209.35</v>
      </c>
      <c r="BW80" s="22">
        <f t="shared" ref="BW80:CL80" si="106">+SUM(BW68:BW79)</f>
        <v>221.56</v>
      </c>
      <c r="BX80" s="22">
        <f t="shared" si="106"/>
        <v>239.10000000000002</v>
      </c>
      <c r="BY80" s="22">
        <f t="shared" si="106"/>
        <v>205.06</v>
      </c>
      <c r="BZ80" s="22">
        <f t="shared" si="106"/>
        <v>211.66000000000003</v>
      </c>
      <c r="CA80" s="22">
        <f t="shared" si="106"/>
        <v>219.61</v>
      </c>
      <c r="CB80" s="22">
        <f t="shared" si="106"/>
        <v>212.21</v>
      </c>
      <c r="CC80" s="22">
        <f t="shared" si="106"/>
        <v>197.48999999999998</v>
      </c>
      <c r="CD80" s="22">
        <f t="shared" si="106"/>
        <v>227.48999999999998</v>
      </c>
      <c r="CE80" s="22">
        <f t="shared" si="106"/>
        <v>230.32</v>
      </c>
      <c r="CF80" s="22">
        <f t="shared" si="106"/>
        <v>237.76999999999998</v>
      </c>
      <c r="CG80" s="22">
        <f t="shared" si="106"/>
        <v>214.29000000000002</v>
      </c>
      <c r="CH80" s="22">
        <f t="shared" si="106"/>
        <v>208.62</v>
      </c>
      <c r="CI80" s="22">
        <f t="shared" si="106"/>
        <v>228.04999999999998</v>
      </c>
      <c r="CJ80" s="22">
        <f t="shared" si="106"/>
        <v>238.60999999999999</v>
      </c>
      <c r="CK80" s="22">
        <f t="shared" si="106"/>
        <v>246.72999999999996</v>
      </c>
      <c r="CL80" s="22">
        <f t="shared" si="106"/>
        <v>259.19</v>
      </c>
      <c r="CM80" s="21">
        <f t="shared" ref="CM80:DB80" si="107">CM81*CM57</f>
        <v>280.01474999441655</v>
      </c>
      <c r="CN80" s="21">
        <f t="shared" si="107"/>
        <v>281.04264660689108</v>
      </c>
      <c r="CO80" s="21">
        <f t="shared" si="107"/>
        <v>279.6845589052412</v>
      </c>
      <c r="CP80" s="21">
        <f t="shared" si="107"/>
        <v>275.02405726670639</v>
      </c>
      <c r="CQ80" s="21">
        <f t="shared" si="107"/>
        <v>278.75435000219704</v>
      </c>
      <c r="CR80" s="21">
        <f t="shared" si="107"/>
        <v>280.03416078653765</v>
      </c>
      <c r="CS80" s="21">
        <f t="shared" si="107"/>
        <v>279.75806345882324</v>
      </c>
      <c r="CT80" s="21">
        <f t="shared" si="107"/>
        <v>278.59761786891198</v>
      </c>
      <c r="CU80" s="21">
        <f t="shared" si="107"/>
        <v>282.8103465611245</v>
      </c>
      <c r="CV80" s="21">
        <f t="shared" si="107"/>
        <v>282.19799224477623</v>
      </c>
      <c r="CW80" s="21">
        <f t="shared" si="107"/>
        <v>281.86995249255813</v>
      </c>
      <c r="CX80" s="21">
        <f t="shared" si="107"/>
        <v>282.07195005693256</v>
      </c>
      <c r="CY80" s="21">
        <f t="shared" si="107"/>
        <v>282.94417882828571</v>
      </c>
      <c r="CZ80" s="21">
        <f t="shared" si="107"/>
        <v>282.97709645216412</v>
      </c>
      <c r="DA80" s="21">
        <f t="shared" si="107"/>
        <v>283.17214018344185</v>
      </c>
      <c r="DB80" s="21">
        <f t="shared" si="107"/>
        <v>283.4986094608679</v>
      </c>
      <c r="DE80" s="126"/>
      <c r="DF80" s="22">
        <v>240.07396987704757</v>
      </c>
    </row>
    <row r="81" spans="1:110" s="44" customFormat="1" x14ac:dyDescent="0.2">
      <c r="A81" s="43" t="s">
        <v>348</v>
      </c>
      <c r="B81" s="44">
        <f t="shared" ref="B81:AE81" si="108">B80/B57</f>
        <v>0.27707048867890122</v>
      </c>
      <c r="C81" s="44">
        <f t="shared" si="108"/>
        <v>0.30085314855353512</v>
      </c>
      <c r="D81" s="44">
        <f t="shared" si="108"/>
        <v>0.27882992499031795</v>
      </c>
      <c r="E81" s="44">
        <f t="shared" si="108"/>
        <v>0.26082349068119742</v>
      </c>
      <c r="F81" s="44">
        <f t="shared" si="108"/>
        <v>0.25795257829586526</v>
      </c>
      <c r="G81" s="44">
        <f t="shared" si="108"/>
        <v>0.26420166474880286</v>
      </c>
      <c r="H81" s="44">
        <f t="shared" si="108"/>
        <v>0.26550324968331712</v>
      </c>
      <c r="I81" s="44">
        <f t="shared" si="108"/>
        <v>0.27721289305681124</v>
      </c>
      <c r="J81" s="44">
        <f t="shared" si="108"/>
        <v>0.32242819828310321</v>
      </c>
      <c r="K81" s="44">
        <f t="shared" si="108"/>
        <v>0.30353461373876162</v>
      </c>
      <c r="L81" s="44">
        <f t="shared" si="108"/>
        <v>0.30400676044796504</v>
      </c>
      <c r="M81" s="44">
        <f t="shared" si="108"/>
        <v>0.38376539986734598</v>
      </c>
      <c r="N81" s="44">
        <f t="shared" si="108"/>
        <v>0.3427348462308295</v>
      </c>
      <c r="O81" s="44">
        <f t="shared" si="108"/>
        <v>0.31255540586761227</v>
      </c>
      <c r="P81" s="44">
        <f t="shared" si="108"/>
        <v>0.32027154004330471</v>
      </c>
      <c r="Q81" s="44">
        <f t="shared" si="108"/>
        <v>0.3471350704599841</v>
      </c>
      <c r="R81" s="44">
        <f t="shared" si="108"/>
        <v>0.31875106036709122</v>
      </c>
      <c r="S81" s="44">
        <f t="shared" si="108"/>
        <v>0.34821592172287841</v>
      </c>
      <c r="T81" s="44">
        <f t="shared" si="108"/>
        <v>0.33086740004163262</v>
      </c>
      <c r="U81" s="44">
        <f t="shared" si="108"/>
        <v>0.34509611141214785</v>
      </c>
      <c r="V81" s="44">
        <f t="shared" si="108"/>
        <v>0.36181078316666299</v>
      </c>
      <c r="W81" s="44">
        <f t="shared" si="108"/>
        <v>0.32261584405355731</v>
      </c>
      <c r="X81" s="44">
        <f t="shared" si="108"/>
        <v>0.3234819157172879</v>
      </c>
      <c r="Y81" s="44">
        <f t="shared" si="108"/>
        <v>0.3260199538823314</v>
      </c>
      <c r="Z81" s="44">
        <f t="shared" si="108"/>
        <v>0.31243108909851414</v>
      </c>
      <c r="AA81" s="44">
        <f t="shared" si="108"/>
        <v>0.30735841065007902</v>
      </c>
      <c r="AB81" s="52">
        <f t="shared" si="108"/>
        <v>0.28950989898799545</v>
      </c>
      <c r="AC81" s="52">
        <f t="shared" si="108"/>
        <v>0.28016626425138169</v>
      </c>
      <c r="AD81" s="52">
        <f t="shared" si="108"/>
        <v>0.27920651562721238</v>
      </c>
      <c r="AE81" s="52">
        <f t="shared" si="108"/>
        <v>0.27898955067663855</v>
      </c>
      <c r="AI81" s="44">
        <f t="shared" ref="AI81:BN81" si="109">AI80/AI57</f>
        <v>0.35169922916565671</v>
      </c>
      <c r="AJ81" s="44">
        <f t="shared" si="109"/>
        <v>0.31763729710107347</v>
      </c>
      <c r="AK81" s="44">
        <f t="shared" si="109"/>
        <v>0.25945486553754626</v>
      </c>
      <c r="AL81" s="44">
        <f t="shared" si="109"/>
        <v>0.27962828192352912</v>
      </c>
      <c r="AM81" s="44">
        <f t="shared" si="109"/>
        <v>0.30757303737555081</v>
      </c>
      <c r="AN81" s="44">
        <f t="shared" si="109"/>
        <v>0.32421255381826425</v>
      </c>
      <c r="AO81" s="44">
        <f t="shared" si="109"/>
        <v>0.28588592024715376</v>
      </c>
      <c r="AP81" s="44">
        <f t="shared" si="109"/>
        <v>0.27142779793166927</v>
      </c>
      <c r="AQ81" s="44">
        <f t="shared" si="109"/>
        <v>0.26005919526437882</v>
      </c>
      <c r="AR81" s="44">
        <f t="shared" si="109"/>
        <v>0.28940909949027749</v>
      </c>
      <c r="AS81" s="44">
        <f t="shared" si="109"/>
        <v>0.27491734865318956</v>
      </c>
      <c r="AT81" s="44">
        <f t="shared" si="109"/>
        <v>0.29077602872134767</v>
      </c>
      <c r="AU81" s="44">
        <f t="shared" si="109"/>
        <v>0.3008919560295682</v>
      </c>
      <c r="AV81" s="44">
        <f t="shared" si="109"/>
        <v>0.30103236746296941</v>
      </c>
      <c r="AW81" s="44">
        <f t="shared" si="109"/>
        <v>0.31131625466483343</v>
      </c>
      <c r="AX81" s="44">
        <f t="shared" si="109"/>
        <v>0.29960332892587699</v>
      </c>
      <c r="AY81" s="44">
        <f t="shared" si="109"/>
        <v>0.29965276922698053</v>
      </c>
      <c r="AZ81" s="44">
        <f t="shared" si="109"/>
        <v>0.30031701303275798</v>
      </c>
      <c r="BA81" s="44">
        <f t="shared" si="109"/>
        <v>0.35344753624846281</v>
      </c>
      <c r="BB81" s="44">
        <f t="shared" si="109"/>
        <v>0.3237540923972354</v>
      </c>
      <c r="BC81" s="44">
        <f t="shared" si="109"/>
        <v>0.31882853138880307</v>
      </c>
      <c r="BD81" s="44">
        <f t="shared" si="109"/>
        <v>0.3640796314754452</v>
      </c>
      <c r="BE81" s="44">
        <f t="shared" si="109"/>
        <v>0.3416736703085605</v>
      </c>
      <c r="BF81" s="44">
        <f t="shared" si="109"/>
        <v>0.35905321032522597</v>
      </c>
      <c r="BG81" s="44">
        <f t="shared" si="109"/>
        <v>0.32178499841755459</v>
      </c>
      <c r="BH81" s="44">
        <f t="shared" si="109"/>
        <v>0.33317057637193503</v>
      </c>
      <c r="BI81" s="44">
        <f t="shared" si="109"/>
        <v>0.34080065433725631</v>
      </c>
      <c r="BJ81" s="44">
        <f t="shared" si="109"/>
        <v>0.3285284301480374</v>
      </c>
      <c r="BK81" s="44">
        <f t="shared" si="109"/>
        <v>0.3350555748523793</v>
      </c>
      <c r="BL81" s="44">
        <f t="shared" si="109"/>
        <v>0.31712768356948062</v>
      </c>
      <c r="BM81" s="44">
        <f t="shared" si="109"/>
        <v>0.34900517852275825</v>
      </c>
      <c r="BN81" s="44">
        <f t="shared" si="109"/>
        <v>0.38630136986301367</v>
      </c>
      <c r="BO81" s="44">
        <f t="shared" ref="BO81:CT81" si="110">BO80/BO57</f>
        <v>0.66792210178210554</v>
      </c>
      <c r="BP81" s="44">
        <f t="shared" si="110"/>
        <v>0.36157342209704263</v>
      </c>
      <c r="BQ81" s="44">
        <f t="shared" si="110"/>
        <v>0.32295286768881321</v>
      </c>
      <c r="BR81" s="44">
        <f t="shared" si="110"/>
        <v>0.32935949499416994</v>
      </c>
      <c r="BS81" s="44">
        <f t="shared" si="110"/>
        <v>0.38473137631636545</v>
      </c>
      <c r="BT81" s="44">
        <f t="shared" si="110"/>
        <v>0.321084110978894</v>
      </c>
      <c r="BU81" s="44">
        <f t="shared" si="110"/>
        <v>0.32910126192674671</v>
      </c>
      <c r="BV81" s="44">
        <f t="shared" si="110"/>
        <v>0.28362981127474224</v>
      </c>
      <c r="BW81" s="44">
        <f t="shared" si="110"/>
        <v>0.31062135486765369</v>
      </c>
      <c r="BX81" s="44">
        <f t="shared" si="110"/>
        <v>0.33708340382338015</v>
      </c>
      <c r="BY81" s="44">
        <f t="shared" si="110"/>
        <v>0.33894214876033057</v>
      </c>
      <c r="BZ81" s="44">
        <f t="shared" si="110"/>
        <v>0.30912808529282898</v>
      </c>
      <c r="CA81" s="44">
        <f t="shared" si="110"/>
        <v>0.32433909319155224</v>
      </c>
      <c r="CB81" s="44">
        <f t="shared" si="110"/>
        <v>0.33751630244616215</v>
      </c>
      <c r="CC81" s="44">
        <f t="shared" si="110"/>
        <v>0.31796812107551115</v>
      </c>
      <c r="CD81" s="44">
        <f t="shared" si="110"/>
        <v>0.32446656777727062</v>
      </c>
      <c r="CE81" s="44">
        <f t="shared" si="110"/>
        <v>0.3323281148546281</v>
      </c>
      <c r="CF81" s="44">
        <f t="shared" si="110"/>
        <v>0.35193380796613427</v>
      </c>
      <c r="CG81" s="44">
        <f t="shared" si="110"/>
        <v>0.28420801336887758</v>
      </c>
      <c r="CH81" s="44">
        <f t="shared" si="110"/>
        <v>0.28410731308729403</v>
      </c>
      <c r="CI81" s="44">
        <f t="shared" si="110"/>
        <v>0.28875495397394174</v>
      </c>
      <c r="CJ81" s="44">
        <f t="shared" si="110"/>
        <v>0.30350555852349337</v>
      </c>
      <c r="CK81" s="44">
        <f t="shared" si="110"/>
        <v>0.31850101980223577</v>
      </c>
      <c r="CL81" s="44">
        <f t="shared" si="110"/>
        <v>0.29322789392705223</v>
      </c>
      <c r="CM81" s="52">
        <f>AVERAGE(CI81:CL81)*0.97</f>
        <v>0.29196743585998036</v>
      </c>
      <c r="CN81" s="52">
        <f>AVERAGE(CJ81:CM81)*0.97</f>
        <v>0.29274646271734472</v>
      </c>
      <c r="CO81" s="52">
        <f>AVERAGE(CK81:CN81)*0.97</f>
        <v>0.29013738198435374</v>
      </c>
      <c r="CP81" s="52">
        <f>AVERAGE(CL81:CO81)*0.97</f>
        <v>0.28325919981351727</v>
      </c>
      <c r="CQ81" s="52">
        <f>AVERAGE(CM81:CP81)*0.98</f>
        <v>0.28373706769192303</v>
      </c>
      <c r="CR81" s="52">
        <f>AVERAGE(CN81:CQ81)*0.98</f>
        <v>0.281720627490749</v>
      </c>
      <c r="CS81" s="52">
        <f>AVERAGE(CO81:CR81)*0.98</f>
        <v>0.27901929786023311</v>
      </c>
      <c r="CT81" s="52">
        <f>AVERAGE(CP81:CS81)*0.98</f>
        <v>0.27629536724982351</v>
      </c>
      <c r="CU81" s="52">
        <f t="shared" ref="CU81:DB81" si="111">AVERAGE(CQ81:CT81)</f>
        <v>0.28019309007318216</v>
      </c>
      <c r="CV81" s="52">
        <f t="shared" si="111"/>
        <v>0.27930709566849699</v>
      </c>
      <c r="CW81" s="52">
        <f t="shared" si="111"/>
        <v>0.27870371271293393</v>
      </c>
      <c r="CX81" s="52">
        <f t="shared" si="111"/>
        <v>0.27862481642610915</v>
      </c>
      <c r="CY81" s="52">
        <f t="shared" si="111"/>
        <v>0.27920717872018053</v>
      </c>
      <c r="CZ81" s="52">
        <f t="shared" si="111"/>
        <v>0.27896070088193015</v>
      </c>
      <c r="DA81" s="52">
        <f t="shared" si="111"/>
        <v>0.27887410218528841</v>
      </c>
      <c r="DB81" s="52">
        <f t="shared" si="111"/>
        <v>0.27891669955337706</v>
      </c>
      <c r="DE81" s="128"/>
      <c r="DF81" s="44">
        <v>0.29871721134674123</v>
      </c>
    </row>
    <row r="82" spans="1:110" s="26" customFormat="1" x14ac:dyDescent="0.2">
      <c r="A82" s="34" t="s">
        <v>12</v>
      </c>
      <c r="B82" s="26">
        <f t="shared" ref="B82:AE82" si="112">B64-B80</f>
        <v>24.943076500000004</v>
      </c>
      <c r="C82" s="26">
        <f t="shared" si="112"/>
        <v>22.178197200000035</v>
      </c>
      <c r="D82" s="26">
        <f t="shared" si="112"/>
        <v>27.66742889999999</v>
      </c>
      <c r="E82" s="26">
        <f t="shared" si="112"/>
        <v>37.28601119999999</v>
      </c>
      <c r="F82" s="26">
        <f t="shared" si="112"/>
        <v>43.049664600000042</v>
      </c>
      <c r="G82" s="26">
        <f t="shared" si="112"/>
        <v>59.797726200000014</v>
      </c>
      <c r="H82" s="26">
        <f t="shared" si="112"/>
        <v>95.047935500000051</v>
      </c>
      <c r="I82" s="26">
        <f t="shared" si="112"/>
        <v>88.275941800000027</v>
      </c>
      <c r="J82" s="26">
        <f t="shared" si="112"/>
        <v>71.785674999999969</v>
      </c>
      <c r="K82" s="26">
        <f t="shared" si="112"/>
        <v>129.51827400000002</v>
      </c>
      <c r="L82" s="26">
        <f t="shared" si="112"/>
        <v>195.7600000000001</v>
      </c>
      <c r="M82" s="26">
        <f t="shared" si="112"/>
        <v>147.8599999999999</v>
      </c>
      <c r="N82" s="26">
        <f t="shared" si="112"/>
        <v>207.92000000000013</v>
      </c>
      <c r="O82" s="26">
        <f t="shared" si="112"/>
        <v>188.43</v>
      </c>
      <c r="P82" s="26">
        <f t="shared" si="112"/>
        <v>209.11000000000007</v>
      </c>
      <c r="Q82" s="26">
        <f t="shared" si="112"/>
        <v>225.92999999999984</v>
      </c>
      <c r="R82" s="26">
        <f t="shared" si="112"/>
        <v>173.62</v>
      </c>
      <c r="S82" s="26">
        <f t="shared" si="112"/>
        <v>124.70000000000027</v>
      </c>
      <c r="T82" s="26">
        <f t="shared" si="112"/>
        <v>159.23000000000002</v>
      </c>
      <c r="U82" s="26">
        <f t="shared" si="112"/>
        <v>161.52999999999997</v>
      </c>
      <c r="V82" s="26">
        <f t="shared" si="112"/>
        <v>122.14000000000016</v>
      </c>
      <c r="W82" s="26">
        <f t="shared" si="112"/>
        <v>307.38000000000022</v>
      </c>
      <c r="X82" s="26">
        <f t="shared" si="112"/>
        <v>301.57000000000005</v>
      </c>
      <c r="Y82" s="26">
        <f t="shared" si="112"/>
        <v>215.4799999999999</v>
      </c>
      <c r="Z82" s="26">
        <f t="shared" si="112"/>
        <v>243.03999999999974</v>
      </c>
      <c r="AA82" s="26">
        <f t="shared" ref="AA82" si="113">AA64-AA80</f>
        <v>303.60000000000014</v>
      </c>
      <c r="AB82" s="27">
        <f t="shared" si="112"/>
        <v>452.12181483485756</v>
      </c>
      <c r="AC82" s="27">
        <f t="shared" si="112"/>
        <v>509.31883451709177</v>
      </c>
      <c r="AD82" s="27">
        <f t="shared" si="112"/>
        <v>520.84403167533037</v>
      </c>
      <c r="AE82" s="27">
        <f t="shared" si="112"/>
        <v>523.84110314753912</v>
      </c>
      <c r="AI82" s="26">
        <f t="shared" ref="AI82:BN82" si="114">AI64-AI80</f>
        <v>51.919999999999959</v>
      </c>
      <c r="AJ82" s="26">
        <f t="shared" si="114"/>
        <v>60.830000000000041</v>
      </c>
      <c r="AK82" s="26">
        <f t="shared" si="114"/>
        <v>51.299999999999983</v>
      </c>
      <c r="AL82" s="26">
        <f t="shared" si="114"/>
        <v>50.400000000000006</v>
      </c>
      <c r="AM82" s="26">
        <f t="shared" si="114"/>
        <v>46.170000000000044</v>
      </c>
      <c r="AN82" s="26">
        <f t="shared" si="114"/>
        <v>50.219999999999942</v>
      </c>
      <c r="AO82" s="26">
        <f t="shared" si="114"/>
        <v>48.360000000000014</v>
      </c>
      <c r="AP82" s="26">
        <f t="shared" si="114"/>
        <v>50.990000000000038</v>
      </c>
      <c r="AQ82" s="26">
        <f t="shared" si="114"/>
        <v>50.890000000000015</v>
      </c>
      <c r="AR82" s="26">
        <f t="shared" si="114"/>
        <v>53.680000000000007</v>
      </c>
      <c r="AS82" s="26">
        <f t="shared" si="114"/>
        <v>53.209999999999965</v>
      </c>
      <c r="AT82" s="26">
        <f t="shared" si="114"/>
        <v>59.610000000000014</v>
      </c>
      <c r="AU82" s="26">
        <f t="shared" si="114"/>
        <v>61.879999999999995</v>
      </c>
      <c r="AV82" s="26">
        <f t="shared" si="114"/>
        <v>61.720000000000027</v>
      </c>
      <c r="AW82" s="26">
        <f t="shared" si="114"/>
        <v>55.350000000000065</v>
      </c>
      <c r="AX82" s="26">
        <f t="shared" si="114"/>
        <v>52.66</v>
      </c>
      <c r="AY82" s="26">
        <f t="shared" si="114"/>
        <v>54.45000000000006</v>
      </c>
      <c r="AZ82" s="26">
        <f t="shared" si="114"/>
        <v>49.770000000000024</v>
      </c>
      <c r="BA82" s="26">
        <f t="shared" si="114"/>
        <v>36.380000000000024</v>
      </c>
      <c r="BB82" s="26">
        <f t="shared" si="114"/>
        <v>35.17999999999995</v>
      </c>
      <c r="BC82" s="26">
        <f t="shared" si="114"/>
        <v>28.670000000000016</v>
      </c>
      <c r="BD82" s="26">
        <f t="shared" si="114"/>
        <v>32.789999999999964</v>
      </c>
      <c r="BE82" s="26">
        <f t="shared" si="114"/>
        <v>30.389999999999958</v>
      </c>
      <c r="BF82" s="26">
        <f t="shared" si="114"/>
        <v>35.44</v>
      </c>
      <c r="BG82" s="26">
        <f t="shared" si="114"/>
        <v>40.399999999999977</v>
      </c>
      <c r="BH82" s="26">
        <f t="shared" si="114"/>
        <v>47.270000000000039</v>
      </c>
      <c r="BI82" s="26">
        <f t="shared" si="114"/>
        <v>33.179999999999978</v>
      </c>
      <c r="BJ82" s="26">
        <f t="shared" si="114"/>
        <v>38.379999999999995</v>
      </c>
      <c r="BK82" s="26">
        <f t="shared" si="114"/>
        <v>36.739999999999981</v>
      </c>
      <c r="BL82" s="26">
        <f t="shared" si="114"/>
        <v>39.550000000000011</v>
      </c>
      <c r="BM82" s="26">
        <f t="shared" si="114"/>
        <v>41.71999999999997</v>
      </c>
      <c r="BN82" s="26">
        <f t="shared" si="114"/>
        <v>43.519999999999982</v>
      </c>
      <c r="BO82" s="26">
        <f t="shared" ref="BO82:CT82" si="115">BO64-BO80</f>
        <v>-16.590000000000018</v>
      </c>
      <c r="BP82" s="26">
        <f t="shared" si="115"/>
        <v>23.620000000000005</v>
      </c>
      <c r="BQ82" s="26">
        <f t="shared" si="115"/>
        <v>41.800000000000011</v>
      </c>
      <c r="BR82" s="26">
        <f t="shared" si="115"/>
        <v>73.31</v>
      </c>
      <c r="BS82" s="26">
        <f t="shared" si="115"/>
        <v>49.129999999999995</v>
      </c>
      <c r="BT82" s="26">
        <f t="shared" si="115"/>
        <v>73.469999999999914</v>
      </c>
      <c r="BU82" s="26">
        <f t="shared" si="115"/>
        <v>77.150000000000006</v>
      </c>
      <c r="BV82" s="26">
        <f t="shared" si="115"/>
        <v>107.63000000000008</v>
      </c>
      <c r="BW82" s="26">
        <f t="shared" si="115"/>
        <v>93.149999999999977</v>
      </c>
      <c r="BX82" s="26">
        <f t="shared" si="115"/>
        <v>78.670000000000016</v>
      </c>
      <c r="BY82" s="26">
        <f t="shared" si="115"/>
        <v>58.860000000000014</v>
      </c>
      <c r="BZ82" s="26">
        <f t="shared" si="115"/>
        <v>70.889999999999986</v>
      </c>
      <c r="CA82" s="26">
        <f t="shared" si="115"/>
        <v>53.850000000000023</v>
      </c>
      <c r="CB82" s="26">
        <f t="shared" si="115"/>
        <v>46.499999999999972</v>
      </c>
      <c r="CC82" s="26">
        <f t="shared" si="115"/>
        <v>48.440000000000026</v>
      </c>
      <c r="CD82" s="26">
        <f t="shared" si="115"/>
        <v>66.689999999999969</v>
      </c>
      <c r="CE82" s="26">
        <f t="shared" si="115"/>
        <v>67.319999999999993</v>
      </c>
      <c r="CF82" s="26">
        <f t="shared" si="115"/>
        <v>55.630000000000052</v>
      </c>
      <c r="CG82" s="26">
        <f t="shared" si="115"/>
        <v>63.989999999999952</v>
      </c>
      <c r="CH82" s="26">
        <f t="shared" si="115"/>
        <v>57.699999999999989</v>
      </c>
      <c r="CI82" s="26">
        <f t="shared" si="115"/>
        <v>57.630000000000024</v>
      </c>
      <c r="CJ82" s="26">
        <f t="shared" si="115"/>
        <v>76.939999999999912</v>
      </c>
      <c r="CK82" s="26">
        <f t="shared" si="115"/>
        <v>84.38</v>
      </c>
      <c r="CL82" s="26">
        <f t="shared" si="115"/>
        <v>101.77999999999992</v>
      </c>
      <c r="CM82" s="27">
        <f t="shared" si="115"/>
        <v>103.3454297978459</v>
      </c>
      <c r="CN82" s="27">
        <f t="shared" si="115"/>
        <v>111.82077605884831</v>
      </c>
      <c r="CO82" s="27">
        <f t="shared" si="115"/>
        <v>116.68866092390448</v>
      </c>
      <c r="CP82" s="27">
        <f t="shared" si="115"/>
        <v>120.26694805425905</v>
      </c>
      <c r="CQ82" s="27">
        <f t="shared" si="115"/>
        <v>120.91720853130289</v>
      </c>
      <c r="CR82" s="27">
        <f t="shared" si="115"/>
        <v>126.10841747412115</v>
      </c>
      <c r="CS82" s="27">
        <f t="shared" si="115"/>
        <v>129.75300563456216</v>
      </c>
      <c r="CT82" s="27">
        <f t="shared" si="115"/>
        <v>132.54020287710483</v>
      </c>
      <c r="CU82" s="27">
        <f t="shared" ref="CU82:DB82" si="116">CU64-CU80</f>
        <v>128.89328148691635</v>
      </c>
      <c r="CV82" s="27">
        <f t="shared" si="116"/>
        <v>130.18959594674078</v>
      </c>
      <c r="CW82" s="27">
        <f t="shared" si="116"/>
        <v>130.82243632038063</v>
      </c>
      <c r="CX82" s="27">
        <f t="shared" si="116"/>
        <v>130.93871792129238</v>
      </c>
      <c r="CY82" s="27">
        <f t="shared" si="116"/>
        <v>130.53601314412123</v>
      </c>
      <c r="CZ82" s="27">
        <f t="shared" si="116"/>
        <v>130.94842691739581</v>
      </c>
      <c r="DA82" s="27">
        <f t="shared" si="116"/>
        <v>131.13875739914636</v>
      </c>
      <c r="DB82" s="27">
        <f t="shared" si="116"/>
        <v>131.21790568687578</v>
      </c>
      <c r="DE82" s="121"/>
      <c r="DF82" s="26">
        <v>71.997885676209904</v>
      </c>
    </row>
    <row r="83" spans="1:110" s="167" customFormat="1" x14ac:dyDescent="0.2">
      <c r="A83" s="164" t="s">
        <v>13</v>
      </c>
      <c r="B83" s="165">
        <f t="shared" ref="B83:AE83" si="117">B82/B57</f>
        <v>0.13593617611245545</v>
      </c>
      <c r="C83" s="165">
        <f t="shared" si="117"/>
        <v>0.11692311380750342</v>
      </c>
      <c r="D83" s="165">
        <f t="shared" si="117"/>
        <v>0.14137043448776054</v>
      </c>
      <c r="E83" s="165">
        <f t="shared" si="117"/>
        <v>0.1395671978624588</v>
      </c>
      <c r="F83" s="165">
        <f t="shared" si="117"/>
        <v>0.14866391620693004</v>
      </c>
      <c r="G83" s="165">
        <f t="shared" si="117"/>
        <v>0.17243360545589559</v>
      </c>
      <c r="H83" s="165">
        <f t="shared" si="117"/>
        <v>0.17207648982511792</v>
      </c>
      <c r="I83" s="165">
        <f t="shared" si="117"/>
        <v>0.12731212556598145</v>
      </c>
      <c r="J83" s="165">
        <f t="shared" si="117"/>
        <v>9.5935535238691694E-2</v>
      </c>
      <c r="K83" s="165">
        <f t="shared" si="117"/>
        <v>0.15197253301010258</v>
      </c>
      <c r="L83" s="165">
        <f t="shared" si="117"/>
        <v>0.16709915323682062</v>
      </c>
      <c r="M83" s="165">
        <f t="shared" si="117"/>
        <v>0.10433101423914419</v>
      </c>
      <c r="N83" s="165">
        <f t="shared" si="117"/>
        <v>0.14059668388737126</v>
      </c>
      <c r="O83" s="165">
        <f t="shared" si="117"/>
        <v>0.13152916704476444</v>
      </c>
      <c r="P83" s="165">
        <f t="shared" si="117"/>
        <v>0.14238149061048852</v>
      </c>
      <c r="Q83" s="165">
        <f t="shared" si="117"/>
        <v>0.15017947354427005</v>
      </c>
      <c r="R83" s="165">
        <f t="shared" si="117"/>
        <v>0.10909685000282765</v>
      </c>
      <c r="S83" s="165">
        <f t="shared" si="117"/>
        <v>7.6163834699437022E-2</v>
      </c>
      <c r="T83" s="165">
        <f t="shared" si="117"/>
        <v>8.4989298276515468E-2</v>
      </c>
      <c r="U83" s="165">
        <f t="shared" si="117"/>
        <v>9.0234678315857672E-2</v>
      </c>
      <c r="V83" s="165">
        <f t="shared" si="117"/>
        <v>8.9876892057955765E-2</v>
      </c>
      <c r="W83" s="165">
        <f t="shared" si="117"/>
        <v>0.12609116566027836</v>
      </c>
      <c r="X83" s="165">
        <f t="shared" si="117"/>
        <v>0.11118607823618333</v>
      </c>
      <c r="Y83" s="165">
        <f t="shared" si="117"/>
        <v>8.1992039755561102E-2</v>
      </c>
      <c r="Z83" s="165">
        <f t="shared" si="117"/>
        <v>8.5069742207598928E-2</v>
      </c>
      <c r="AA83" s="165">
        <f t="shared" si="117"/>
        <v>9.3862168537623747E-2</v>
      </c>
      <c r="AB83" s="166">
        <f t="shared" si="117"/>
        <v>0.1173128948584571</v>
      </c>
      <c r="AC83" s="166">
        <f t="shared" si="117"/>
        <v>0.12773100928823022</v>
      </c>
      <c r="AD83" s="166">
        <f t="shared" si="117"/>
        <v>0.12881262782202596</v>
      </c>
      <c r="AE83" s="166">
        <f t="shared" si="117"/>
        <v>0.12903692660452507</v>
      </c>
      <c r="AI83" s="165">
        <f t="shared" ref="AI83:BN83" si="118">AI82/AI57</f>
        <v>0.12585446259756622</v>
      </c>
      <c r="AJ83" s="165">
        <f t="shared" si="118"/>
        <v>0.15772960638904746</v>
      </c>
      <c r="AK83" s="165">
        <f t="shared" si="118"/>
        <v>0.1557093425605536</v>
      </c>
      <c r="AL83" s="165">
        <f t="shared" si="118"/>
        <v>0.14107372781727595</v>
      </c>
      <c r="AM83" s="165">
        <f t="shared" si="118"/>
        <v>0.12559164354496502</v>
      </c>
      <c r="AN83" s="165">
        <f t="shared" si="118"/>
        <v>0.14225016995241319</v>
      </c>
      <c r="AO83" s="165">
        <f t="shared" si="118"/>
        <v>0.13833743349161856</v>
      </c>
      <c r="AP83" s="165">
        <f t="shared" si="118"/>
        <v>0.13804212464129093</v>
      </c>
      <c r="AQ83" s="165">
        <f t="shared" si="118"/>
        <v>0.13569581100178654</v>
      </c>
      <c r="AR83" s="165">
        <f t="shared" si="118"/>
        <v>0.1447719733541897</v>
      </c>
      <c r="AS83" s="165">
        <f t="shared" si="118"/>
        <v>0.14419272668148059</v>
      </c>
      <c r="AT83" s="165">
        <f t="shared" si="118"/>
        <v>0.16462303231151618</v>
      </c>
      <c r="AU83" s="165">
        <f t="shared" si="118"/>
        <v>0.16878972204795284</v>
      </c>
      <c r="AV83" s="165">
        <f t="shared" si="118"/>
        <v>0.15390753578375149</v>
      </c>
      <c r="AW83" s="165">
        <f t="shared" si="118"/>
        <v>0.15530738797384905</v>
      </c>
      <c r="AX83" s="165">
        <f t="shared" si="118"/>
        <v>0.13652744289751367</v>
      </c>
      <c r="AY83" s="165">
        <f t="shared" si="118"/>
        <v>0.13409018149580135</v>
      </c>
      <c r="AZ83" s="165">
        <f t="shared" si="118"/>
        <v>0.11687213807678765</v>
      </c>
      <c r="BA83" s="165">
        <f t="shared" si="118"/>
        <v>0.10404095289844717</v>
      </c>
      <c r="BB83" s="165">
        <f t="shared" si="118"/>
        <v>8.5315872438462351E-2</v>
      </c>
      <c r="BC83" s="165">
        <f t="shared" si="118"/>
        <v>6.8098144937174934E-2</v>
      </c>
      <c r="BD83" s="165">
        <f t="shared" si="118"/>
        <v>8.8332749656528556E-2</v>
      </c>
      <c r="BE83" s="165">
        <f t="shared" si="118"/>
        <v>7.297394645215502E-2</v>
      </c>
      <c r="BF83" s="165">
        <f t="shared" si="118"/>
        <v>8.2564532662380008E-2</v>
      </c>
      <c r="BG83" s="165">
        <f t="shared" si="118"/>
        <v>8.5241059183458132E-2</v>
      </c>
      <c r="BH83" s="165">
        <f t="shared" si="118"/>
        <v>0.10035028128648771</v>
      </c>
      <c r="BI83" s="165">
        <f t="shared" si="118"/>
        <v>7.5385104739401049E-2</v>
      </c>
      <c r="BJ83" s="165">
        <f t="shared" si="118"/>
        <v>7.8584737607240107E-2</v>
      </c>
      <c r="BK83" s="165">
        <f t="shared" si="118"/>
        <v>7.9758596734977386E-2</v>
      </c>
      <c r="BL83" s="165">
        <f t="shared" si="118"/>
        <v>8.1096598248887639E-2</v>
      </c>
      <c r="BM83" s="165">
        <f t="shared" si="118"/>
        <v>9.4757881348232875E-2</v>
      </c>
      <c r="BN83" s="165">
        <f t="shared" si="118"/>
        <v>0.1083935242839352</v>
      </c>
      <c r="BO83" s="165">
        <f t="shared" ref="BO83:CT83" si="119">BO82/BO57</f>
        <v>-0.15239757486680156</v>
      </c>
      <c r="BP83" s="165">
        <f t="shared" si="119"/>
        <v>7.5598514914863663E-2</v>
      </c>
      <c r="BQ83" s="165">
        <f t="shared" si="119"/>
        <v>9.4946053378762094E-2</v>
      </c>
      <c r="BR83" s="165">
        <f t="shared" si="119"/>
        <v>0.14738048329379599</v>
      </c>
      <c r="BS83" s="165">
        <f t="shared" si="119"/>
        <v>0.11948828951528563</v>
      </c>
      <c r="BT83" s="165">
        <f t="shared" si="119"/>
        <v>0.11503413289910427</v>
      </c>
      <c r="BU83" s="165">
        <f t="shared" si="119"/>
        <v>0.11872883964296709</v>
      </c>
      <c r="BV83" s="165">
        <f t="shared" si="119"/>
        <v>0.14581837395510164</v>
      </c>
      <c r="BW83" s="165">
        <f t="shared" si="119"/>
        <v>0.13059387617765811</v>
      </c>
      <c r="BX83" s="165">
        <f t="shared" si="119"/>
        <v>0.11090903964360234</v>
      </c>
      <c r="BY83" s="165">
        <f t="shared" si="119"/>
        <v>9.7289256198347135E-2</v>
      </c>
      <c r="BZ83" s="165">
        <f t="shared" si="119"/>
        <v>0.10353439462538336</v>
      </c>
      <c r="CA83" s="165">
        <f t="shared" si="119"/>
        <v>7.9530350022153334E-2</v>
      </c>
      <c r="CB83" s="165">
        <f t="shared" si="119"/>
        <v>7.3957438686897553E-2</v>
      </c>
      <c r="CC83" s="165">
        <f t="shared" si="119"/>
        <v>7.7990661729190183E-2</v>
      </c>
      <c r="CD83" s="165">
        <f t="shared" si="119"/>
        <v>9.5119237790962985E-2</v>
      </c>
      <c r="CE83" s="165">
        <f t="shared" si="119"/>
        <v>9.7135848784358991E-2</v>
      </c>
      <c r="CF83" s="165">
        <f t="shared" si="119"/>
        <v>8.2340403487219035E-2</v>
      </c>
      <c r="CG83" s="165">
        <f t="shared" si="119"/>
        <v>8.4868499582222506E-2</v>
      </c>
      <c r="CH83" s="165">
        <f t="shared" si="119"/>
        <v>7.8578237777475135E-2</v>
      </c>
      <c r="CI83" s="165">
        <f t="shared" si="119"/>
        <v>7.2970611697076401E-2</v>
      </c>
      <c r="CJ83" s="165">
        <f t="shared" si="119"/>
        <v>9.7865628736421573E-2</v>
      </c>
      <c r="CK83" s="165">
        <f t="shared" si="119"/>
        <v>0.10892520589678052</v>
      </c>
      <c r="CL83" s="165">
        <f t="shared" si="119"/>
        <v>0.11514616707394325</v>
      </c>
      <c r="CM83" s="166">
        <f t="shared" si="119"/>
        <v>0.10775682404775581</v>
      </c>
      <c r="CN83" s="166">
        <f t="shared" si="119"/>
        <v>0.11647747074957106</v>
      </c>
      <c r="CO83" s="166">
        <f t="shared" si="119"/>
        <v>0.12104973803431221</v>
      </c>
      <c r="CP83" s="166">
        <f t="shared" si="119"/>
        <v>0.12386814378506111</v>
      </c>
      <c r="CQ83" s="166">
        <f t="shared" si="119"/>
        <v>0.12307859655605106</v>
      </c>
      <c r="CR83" s="166">
        <f t="shared" si="119"/>
        <v>0.12686788784228459</v>
      </c>
      <c r="CS83" s="166">
        <f t="shared" si="119"/>
        <v>0.12941036293932992</v>
      </c>
      <c r="CT83" s="166">
        <f t="shared" si="119"/>
        <v>0.1314449287449638</v>
      </c>
      <c r="CU83" s="166">
        <f t="shared" ref="CU83:DZ83" si="120">CU82/CU57</f>
        <v>0.12770044402065733</v>
      </c>
      <c r="CV83" s="166">
        <f t="shared" si="120"/>
        <v>0.12885590588680884</v>
      </c>
      <c r="CW83" s="166">
        <f t="shared" si="120"/>
        <v>0.12935291039793995</v>
      </c>
      <c r="CX83" s="166">
        <f t="shared" si="120"/>
        <v>0.12933854726259242</v>
      </c>
      <c r="CY83" s="166">
        <f t="shared" si="120"/>
        <v>0.12881195189199968</v>
      </c>
      <c r="CZ83" s="166">
        <f t="shared" si="120"/>
        <v>0.12908982885983519</v>
      </c>
      <c r="DA83" s="166">
        <f t="shared" si="120"/>
        <v>0.1291483096030919</v>
      </c>
      <c r="DB83" s="166">
        <f t="shared" si="120"/>
        <v>0.12909715940437985</v>
      </c>
      <c r="DE83" s="168"/>
      <c r="DF83" s="167">
        <v>8.9584921026938449E-2</v>
      </c>
    </row>
    <row r="84" spans="1:110" s="38" customFormat="1" x14ac:dyDescent="0.2">
      <c r="A84" s="39" t="s">
        <v>448</v>
      </c>
      <c r="B84" s="39"/>
      <c r="C84" s="39">
        <f>+IF(B82&lt;0,1-C82/B82,C82/B82-1)</f>
        <v>-0.11084756525523098</v>
      </c>
      <c r="D84" s="39">
        <f>+IF(C82&lt;0,1-D82/C82,D82/C82-1)</f>
        <v>0.2475057666093774</v>
      </c>
      <c r="E84" s="39">
        <f>+IF(D82&lt;0,1-E82/D82,E82/D82-1)</f>
        <v>0.34765002323725147</v>
      </c>
      <c r="F84" s="39">
        <f t="shared" ref="F84:Y84" si="121">+IF(E82&lt;0,1-F82/E82,F82/E82-1)</f>
        <v>0.15457951157832772</v>
      </c>
      <c r="G84" s="39">
        <f t="shared" si="121"/>
        <v>0.3890404665312992</v>
      </c>
      <c r="H84" s="39">
        <f t="shared" si="121"/>
        <v>0.58949079739423316</v>
      </c>
      <c r="I84" s="39">
        <f t="shared" si="121"/>
        <v>-7.1248193497059353E-2</v>
      </c>
      <c r="J84" s="39">
        <f t="shared" si="121"/>
        <v>-0.18680363487212381</v>
      </c>
      <c r="K84" s="39">
        <f t="shared" si="121"/>
        <v>0.80423565007921249</v>
      </c>
      <c r="L84" s="39">
        <f t="shared" si="121"/>
        <v>0.51144694840513449</v>
      </c>
      <c r="M84" s="39">
        <f t="shared" si="121"/>
        <v>-0.24468737229260407</v>
      </c>
      <c r="N84" s="39">
        <f t="shared" si="121"/>
        <v>0.40619504937102846</v>
      </c>
      <c r="O84" s="39">
        <f t="shared" si="121"/>
        <v>-9.3737976144671609E-2</v>
      </c>
      <c r="P84" s="39">
        <f t="shared" si="121"/>
        <v>0.10974897840046727</v>
      </c>
      <c r="Q84" s="39">
        <f t="shared" si="121"/>
        <v>8.0436134092103595E-2</v>
      </c>
      <c r="R84" s="39">
        <f t="shared" si="121"/>
        <v>-0.23153189040853306</v>
      </c>
      <c r="S84" s="39">
        <f t="shared" si="121"/>
        <v>-0.28176477364358787</v>
      </c>
      <c r="T84" s="39">
        <f t="shared" si="121"/>
        <v>0.27690457097032617</v>
      </c>
      <c r="U84" s="39">
        <f t="shared" si="121"/>
        <v>1.4444514224706051E-2</v>
      </c>
      <c r="V84" s="39">
        <f t="shared" si="121"/>
        <v>-0.24385563053302683</v>
      </c>
      <c r="W84" s="39">
        <f t="shared" si="121"/>
        <v>1.5166202718192223</v>
      </c>
      <c r="X84" s="39">
        <f t="shared" si="121"/>
        <v>-1.8901685210489183E-2</v>
      </c>
      <c r="Y84" s="39">
        <f t="shared" si="121"/>
        <v>-0.28547269290711985</v>
      </c>
      <c r="Z84" s="39">
        <f t="shared" ref="Z84:AE84" si="122">+IF(Y82&lt;0,1-Z82/Y82,Z82/Y82-1)</f>
        <v>0.12790050120660768</v>
      </c>
      <c r="AA84" s="39">
        <f t="shared" si="122"/>
        <v>0.24917709019091694</v>
      </c>
      <c r="AB84" s="40">
        <f t="shared" si="122"/>
        <v>0.48920228865236282</v>
      </c>
      <c r="AC84" s="40">
        <f t="shared" si="122"/>
        <v>0.12650798480742642</v>
      </c>
      <c r="AD84" s="40">
        <f t="shared" si="122"/>
        <v>2.2628649044887927E-2</v>
      </c>
      <c r="AE84" s="40">
        <f t="shared" si="122"/>
        <v>5.7542590294612506E-3</v>
      </c>
      <c r="AI84" s="39"/>
      <c r="AJ84" s="39"/>
      <c r="AK84" s="39"/>
      <c r="AL84" s="39"/>
      <c r="AM84" s="39">
        <f t="shared" ref="AM84:BR84" si="123">+IF(AI82&lt;0,1-AM82/AI82,AM82/AI82-1)</f>
        <v>-0.11074730354391216</v>
      </c>
      <c r="AN84" s="39">
        <f t="shared" si="123"/>
        <v>-0.17442051619266963</v>
      </c>
      <c r="AO84" s="39">
        <f t="shared" si="123"/>
        <v>-5.7309941520467311E-2</v>
      </c>
      <c r="AP84" s="39">
        <f t="shared" si="123"/>
        <v>1.1706349206349831E-2</v>
      </c>
      <c r="AQ84" s="39">
        <f t="shared" si="123"/>
        <v>0.1022308858566161</v>
      </c>
      <c r="AR84" s="39">
        <f t="shared" si="123"/>
        <v>6.8896853843091854E-2</v>
      </c>
      <c r="AS84" s="39">
        <f t="shared" si="123"/>
        <v>0.10028949545078469</v>
      </c>
      <c r="AT84" s="39">
        <f t="shared" si="123"/>
        <v>0.16905275544224296</v>
      </c>
      <c r="AU84" s="39">
        <f t="shared" si="123"/>
        <v>0.21595598349380984</v>
      </c>
      <c r="AV84" s="39">
        <f t="shared" si="123"/>
        <v>0.14977645305514198</v>
      </c>
      <c r="AW84" s="39">
        <f t="shared" si="123"/>
        <v>4.0218004134563001E-2</v>
      </c>
      <c r="AX84" s="39">
        <f t="shared" si="123"/>
        <v>-0.11659117597718527</v>
      </c>
      <c r="AY84" s="39">
        <f t="shared" si="123"/>
        <v>-0.12007110536522203</v>
      </c>
      <c r="AZ84" s="39">
        <f t="shared" si="123"/>
        <v>-0.19361633182112759</v>
      </c>
      <c r="BA84" s="39">
        <f t="shared" si="123"/>
        <v>-0.3427280939476065</v>
      </c>
      <c r="BB84" s="39">
        <f t="shared" si="123"/>
        <v>-0.33194075199392414</v>
      </c>
      <c r="BC84" s="39">
        <f t="shared" si="123"/>
        <v>-0.47346189164371011</v>
      </c>
      <c r="BD84" s="39">
        <f t="shared" si="123"/>
        <v>-0.34116937914406376</v>
      </c>
      <c r="BE84" s="39">
        <f t="shared" si="123"/>
        <v>-0.16465090709181041</v>
      </c>
      <c r="BF84" s="39">
        <f t="shared" si="123"/>
        <v>7.3905628197852291E-3</v>
      </c>
      <c r="BG84" s="39">
        <f t="shared" si="123"/>
        <v>0.40913847227066458</v>
      </c>
      <c r="BH84" s="39">
        <f t="shared" si="123"/>
        <v>0.44159804818542514</v>
      </c>
      <c r="BI84" s="39">
        <f t="shared" si="123"/>
        <v>9.1806515301086744E-2</v>
      </c>
      <c r="BJ84" s="39">
        <f t="shared" si="123"/>
        <v>8.2957110609480855E-2</v>
      </c>
      <c r="BK84" s="39">
        <f t="shared" si="123"/>
        <v>-9.0594059405940564E-2</v>
      </c>
      <c r="BL84" s="39">
        <f t="shared" si="123"/>
        <v>-0.16331711444891095</v>
      </c>
      <c r="BM84" s="39">
        <f t="shared" si="123"/>
        <v>0.2573839662447257</v>
      </c>
      <c r="BN84" s="39">
        <f t="shared" si="123"/>
        <v>0.13392391870765996</v>
      </c>
      <c r="BO84" s="39">
        <f t="shared" si="123"/>
        <v>-1.4515514425694074</v>
      </c>
      <c r="BP84" s="39">
        <f t="shared" si="123"/>
        <v>-0.40278128950695324</v>
      </c>
      <c r="BQ84" s="39">
        <f t="shared" si="123"/>
        <v>1.9175455417075327E-3</v>
      </c>
      <c r="BR84" s="39">
        <f t="shared" si="123"/>
        <v>0.68451286764705954</v>
      </c>
      <c r="BS84" s="39">
        <f t="shared" ref="BS84:CL84" si="124">+IF(BO82&lt;0,1-BS82/BO82,BS82/BO82-1)</f>
        <v>3.9614225437010213</v>
      </c>
      <c r="BT84" s="39">
        <f t="shared" si="124"/>
        <v>2.1104995766299703</v>
      </c>
      <c r="BU84" s="39">
        <f t="shared" si="124"/>
        <v>0.84569377990430583</v>
      </c>
      <c r="BV84" s="39">
        <f t="shared" si="124"/>
        <v>0.46814895648615584</v>
      </c>
      <c r="BW84" s="39">
        <f t="shared" si="124"/>
        <v>0.89599023000203504</v>
      </c>
      <c r="BX84" s="39">
        <f t="shared" si="124"/>
        <v>7.0777187967879573E-2</v>
      </c>
      <c r="BY84" s="39">
        <f t="shared" si="124"/>
        <v>-0.23707064160725844</v>
      </c>
      <c r="BZ84" s="39">
        <f t="shared" si="124"/>
        <v>-0.34135464089937817</v>
      </c>
      <c r="CA84" s="39">
        <f t="shared" si="124"/>
        <v>-0.42190016103059547</v>
      </c>
      <c r="CB84" s="39">
        <f t="shared" si="124"/>
        <v>-0.40892335070547903</v>
      </c>
      <c r="CC84" s="39">
        <f t="shared" si="124"/>
        <v>-0.17703024125042444</v>
      </c>
      <c r="CD84" s="39">
        <f t="shared" si="124"/>
        <v>-5.9246720270842435E-2</v>
      </c>
      <c r="CE84" s="39">
        <f t="shared" si="124"/>
        <v>0.25013927576601613</v>
      </c>
      <c r="CF84" s="39">
        <f t="shared" si="124"/>
        <v>0.19634408602150732</v>
      </c>
      <c r="CG84" s="39">
        <f t="shared" si="124"/>
        <v>0.32101568951279758</v>
      </c>
      <c r="CH84" s="39">
        <f t="shared" si="124"/>
        <v>-0.13480281901334512</v>
      </c>
      <c r="CI84" s="39">
        <f t="shared" si="124"/>
        <v>-0.14393939393939348</v>
      </c>
      <c r="CJ84" s="39">
        <f t="shared" si="124"/>
        <v>0.38306669063454679</v>
      </c>
      <c r="CK84" s="39">
        <f t="shared" si="124"/>
        <v>0.31864353805282164</v>
      </c>
      <c r="CL84" s="39">
        <f t="shared" si="124"/>
        <v>0.76395147313691392</v>
      </c>
      <c r="CM84" s="40">
        <f t="shared" ref="CM84:DB84" si="125">+CM82/CI82-1</f>
        <v>0.79325750126402661</v>
      </c>
      <c r="CN84" s="40">
        <f t="shared" si="125"/>
        <v>0.45335035168765847</v>
      </c>
      <c r="CO84" s="40">
        <f t="shared" si="125"/>
        <v>0.38289477274122397</v>
      </c>
      <c r="CP84" s="40">
        <f t="shared" si="125"/>
        <v>0.18163635345116069</v>
      </c>
      <c r="CQ84" s="40">
        <f t="shared" si="125"/>
        <v>0.17002956751768483</v>
      </c>
      <c r="CR84" s="40">
        <f t="shared" si="125"/>
        <v>0.127772690539669</v>
      </c>
      <c r="CS84" s="40">
        <f t="shared" si="125"/>
        <v>0.1119589907641263</v>
      </c>
      <c r="CT84" s="40">
        <f t="shared" si="125"/>
        <v>0.10205010621296084</v>
      </c>
      <c r="CU84" s="40">
        <f t="shared" si="125"/>
        <v>6.5963092040357774E-2</v>
      </c>
      <c r="CV84" s="40">
        <f t="shared" si="125"/>
        <v>3.2362458861694421E-2</v>
      </c>
      <c r="CW84" s="40">
        <f t="shared" si="125"/>
        <v>8.2420494275903255E-3</v>
      </c>
      <c r="CX84" s="40">
        <f t="shared" si="125"/>
        <v>-1.2083012708961949E-2</v>
      </c>
      <c r="CY84" s="40">
        <f t="shared" si="125"/>
        <v>1.2744897470638339E-2</v>
      </c>
      <c r="CZ84" s="40">
        <f t="shared" si="125"/>
        <v>5.8286606171313871E-3</v>
      </c>
      <c r="DA84" s="40">
        <f t="shared" si="125"/>
        <v>2.4179421180559046E-3</v>
      </c>
      <c r="DB84" s="40">
        <f t="shared" si="125"/>
        <v>2.132201765953079E-3</v>
      </c>
      <c r="DE84" s="122"/>
      <c r="DF84" s="38">
        <v>0.24779697879046658</v>
      </c>
    </row>
    <row r="85" spans="1:110" s="38" customFormat="1" x14ac:dyDescent="0.2">
      <c r="A85" s="39" t="s">
        <v>449</v>
      </c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40"/>
      <c r="AC85" s="40"/>
      <c r="AD85" s="40"/>
      <c r="AE85" s="40"/>
      <c r="AI85" s="39"/>
      <c r="AJ85" s="39">
        <f t="shared" ref="AJ85:BO85" si="126">+IF(AI82&lt;0,1-AJ82/AI82,AJ82/AI82-1)</f>
        <v>0.17161016949152708</v>
      </c>
      <c r="AK85" s="39">
        <f t="shared" si="126"/>
        <v>-0.15666611869143598</v>
      </c>
      <c r="AL85" s="39">
        <f t="shared" si="126"/>
        <v>-1.7543859649122417E-2</v>
      </c>
      <c r="AM85" s="39">
        <f t="shared" si="126"/>
        <v>-8.3928571428570686E-2</v>
      </c>
      <c r="AN85" s="39">
        <f t="shared" si="126"/>
        <v>8.7719298245611643E-2</v>
      </c>
      <c r="AO85" s="39">
        <f t="shared" si="126"/>
        <v>-3.7037037037035647E-2</v>
      </c>
      <c r="AP85" s="39">
        <f t="shared" si="126"/>
        <v>5.4383788254756427E-2</v>
      </c>
      <c r="AQ85" s="39">
        <f t="shared" si="126"/>
        <v>-1.9611688566389951E-3</v>
      </c>
      <c r="AR85" s="39">
        <f t="shared" si="126"/>
        <v>5.4824130477500344E-2</v>
      </c>
      <c r="AS85" s="39">
        <f t="shared" si="126"/>
        <v>-8.7555886736222499E-3</v>
      </c>
      <c r="AT85" s="39">
        <f t="shared" si="126"/>
        <v>0.12027814320616526</v>
      </c>
      <c r="AU85" s="39">
        <f t="shared" si="126"/>
        <v>3.8080858916288873E-2</v>
      </c>
      <c r="AV85" s="39">
        <f t="shared" si="126"/>
        <v>-2.5856496444726096E-3</v>
      </c>
      <c r="AW85" s="39">
        <f t="shared" si="126"/>
        <v>-0.10320803629293518</v>
      </c>
      <c r="AX85" s="39">
        <f t="shared" si="126"/>
        <v>-4.8599819331527794E-2</v>
      </c>
      <c r="AY85" s="39">
        <f t="shared" si="126"/>
        <v>3.3991644511964791E-2</v>
      </c>
      <c r="AZ85" s="39">
        <f t="shared" si="126"/>
        <v>-8.5950413223141009E-2</v>
      </c>
      <c r="BA85" s="39">
        <f t="shared" si="126"/>
        <v>-0.26903757283504104</v>
      </c>
      <c r="BB85" s="39">
        <f t="shared" si="126"/>
        <v>-3.2985156679496197E-2</v>
      </c>
      <c r="BC85" s="39">
        <f t="shared" si="126"/>
        <v>-0.18504832291074313</v>
      </c>
      <c r="BD85" s="39">
        <f t="shared" si="126"/>
        <v>0.14370422043948183</v>
      </c>
      <c r="BE85" s="39">
        <f t="shared" si="126"/>
        <v>-7.3193046660567473E-2</v>
      </c>
      <c r="BF85" s="39">
        <f t="shared" si="126"/>
        <v>0.16617308325107105</v>
      </c>
      <c r="BG85" s="39">
        <f t="shared" si="126"/>
        <v>0.13995485327313717</v>
      </c>
      <c r="BH85" s="39">
        <f t="shared" si="126"/>
        <v>0.17004950495049664</v>
      </c>
      <c r="BI85" s="39">
        <f t="shared" si="126"/>
        <v>-0.29807488893590117</v>
      </c>
      <c r="BJ85" s="39">
        <f t="shared" si="126"/>
        <v>0.15672091621458772</v>
      </c>
      <c r="BK85" s="39">
        <f t="shared" si="126"/>
        <v>-4.2730588848358897E-2</v>
      </c>
      <c r="BL85" s="39">
        <f t="shared" si="126"/>
        <v>7.6483396842679241E-2</v>
      </c>
      <c r="BM85" s="39">
        <f t="shared" si="126"/>
        <v>5.4867256637167072E-2</v>
      </c>
      <c r="BN85" s="39">
        <f t="shared" si="126"/>
        <v>4.3144774688399057E-2</v>
      </c>
      <c r="BO85" s="39">
        <f t="shared" si="126"/>
        <v>-1.3812040441176476</v>
      </c>
      <c r="BP85" s="39">
        <f t="shared" ref="BP85:CI85" si="127">+IF(BO82&lt;0,1-BP82/BO82,BP82/BO82-1)</f>
        <v>2.4237492465340553</v>
      </c>
      <c r="BQ85" s="39">
        <f t="shared" si="127"/>
        <v>0.7696867061812025</v>
      </c>
      <c r="BR85" s="39">
        <f t="shared" si="127"/>
        <v>0.75382775119617174</v>
      </c>
      <c r="BS85" s="39">
        <f t="shared" si="127"/>
        <v>-0.32983221934251816</v>
      </c>
      <c r="BT85" s="39">
        <f t="shared" si="127"/>
        <v>0.49542031345409976</v>
      </c>
      <c r="BU85" s="39">
        <f t="shared" si="127"/>
        <v>5.0088471484961206E-2</v>
      </c>
      <c r="BV85" s="39">
        <f t="shared" si="127"/>
        <v>0.39507453013609939</v>
      </c>
      <c r="BW85" s="39">
        <f t="shared" si="127"/>
        <v>-0.13453498095326666</v>
      </c>
      <c r="BX85" s="39">
        <f t="shared" si="127"/>
        <v>-0.15544820182501307</v>
      </c>
      <c r="BY85" s="39">
        <f t="shared" si="127"/>
        <v>-0.25181136392525738</v>
      </c>
      <c r="BZ85" s="39">
        <f t="shared" si="127"/>
        <v>0.20438328236493319</v>
      </c>
      <c r="CA85" s="39">
        <f t="shared" si="127"/>
        <v>-0.24037240795598769</v>
      </c>
      <c r="CB85" s="39">
        <f t="shared" si="127"/>
        <v>-0.13649025069637977</v>
      </c>
      <c r="CC85" s="39">
        <f t="shared" si="127"/>
        <v>4.1720430107528017E-2</v>
      </c>
      <c r="CD85" s="39">
        <f t="shared" si="127"/>
        <v>0.37675474814202992</v>
      </c>
      <c r="CE85" s="39">
        <f t="shared" si="127"/>
        <v>9.4466936572203952E-3</v>
      </c>
      <c r="CF85" s="39">
        <f t="shared" si="127"/>
        <v>-0.17364824717765803</v>
      </c>
      <c r="CG85" s="39">
        <f t="shared" si="127"/>
        <v>0.15027862664030001</v>
      </c>
      <c r="CH85" s="39">
        <f t="shared" si="127"/>
        <v>-9.8296608845131583E-2</v>
      </c>
      <c r="CI85" s="39">
        <f t="shared" si="127"/>
        <v>-1.2131715771224183E-3</v>
      </c>
      <c r="CJ85" s="39">
        <f>+IF(CI82&gt;1,CJ82/CI82-1,1-CJ82/CI82)</f>
        <v>0.33506854069061043</v>
      </c>
      <c r="CK85" s="39">
        <f>+IF(CJ82&gt;1,CK82/CJ82-1,1-CK82/CJ82)</f>
        <v>9.6698726280219471E-2</v>
      </c>
      <c r="CL85" s="39">
        <f>+IF(CK82&gt;1,CL82/CK82-1,1-CL82/CK82)</f>
        <v>0.20621000237022891</v>
      </c>
      <c r="CM85" s="40">
        <f t="shared" ref="CM85:DB85" si="128">+CM82/CL82-1</f>
        <v>1.5380524639870163E-2</v>
      </c>
      <c r="CN85" s="40">
        <f t="shared" si="128"/>
        <v>8.2009879658742957E-2</v>
      </c>
      <c r="CO85" s="40">
        <f t="shared" si="128"/>
        <v>4.3532919700846273E-2</v>
      </c>
      <c r="CP85" s="40">
        <f t="shared" si="128"/>
        <v>3.0665251465076482E-2</v>
      </c>
      <c r="CQ85" s="40">
        <f t="shared" si="128"/>
        <v>5.4068094980714854E-3</v>
      </c>
      <c r="CR85" s="40">
        <f t="shared" si="128"/>
        <v>4.2931928431628963E-2</v>
      </c>
      <c r="CS85" s="40">
        <f t="shared" si="128"/>
        <v>2.8900435303526928E-2</v>
      </c>
      <c r="CT85" s="40">
        <f t="shared" si="128"/>
        <v>2.1480791361339069E-2</v>
      </c>
      <c r="CU85" s="40">
        <f t="shared" si="128"/>
        <v>-2.7515586297766625E-2</v>
      </c>
      <c r="CV85" s="40">
        <f t="shared" si="128"/>
        <v>1.0057269431502647E-2</v>
      </c>
      <c r="CW85" s="40">
        <f t="shared" si="128"/>
        <v>4.8609135702266659E-3</v>
      </c>
      <c r="CX85" s="40">
        <f t="shared" si="128"/>
        <v>8.8885059919663334E-4</v>
      </c>
      <c r="CY85" s="40">
        <f t="shared" si="128"/>
        <v>-3.0755210037509695E-3</v>
      </c>
      <c r="CZ85" s="40">
        <f t="shared" si="128"/>
        <v>3.159386925807528E-3</v>
      </c>
      <c r="DA85" s="40">
        <f t="shared" si="128"/>
        <v>1.4534766566582924E-3</v>
      </c>
      <c r="DB85" s="40">
        <f t="shared" si="128"/>
        <v>6.035461163362843E-4</v>
      </c>
      <c r="DE85" s="122"/>
      <c r="DF85" s="38">
        <v>-0.14674228873891992</v>
      </c>
    </row>
    <row r="86" spans="1:110" s="23" customFormat="1" x14ac:dyDescent="0.2">
      <c r="A86" s="23" t="s">
        <v>14</v>
      </c>
      <c r="B86" s="23">
        <f>'Annual Raw'!C27</f>
        <v>9.6357152999999993</v>
      </c>
      <c r="C86" s="23">
        <f>'Annual Raw'!D27</f>
        <v>10.6737553</v>
      </c>
      <c r="D86" s="23">
        <f>'Annual Raw'!E27</f>
        <v>11.880889399999999</v>
      </c>
      <c r="E86" s="23">
        <f>'Annual Raw'!F27</f>
        <v>16.128715499999998</v>
      </c>
      <c r="F86" s="23">
        <f>'Annual Raw'!G27</f>
        <v>20.3717635</v>
      </c>
      <c r="G86" s="23">
        <f>'Annual Raw'!H27</f>
        <v>20.087075299999999</v>
      </c>
      <c r="H86" s="23">
        <f>'Annual Raw'!I27</f>
        <v>36.570471099999999</v>
      </c>
      <c r="I86" s="23">
        <f>'Annual Raw'!J27</f>
        <v>49.103023899999997</v>
      </c>
      <c r="J86" s="23">
        <f>'Annual Raw'!K27</f>
        <v>59.050209500000001</v>
      </c>
      <c r="K86" s="23">
        <f>'Annual Raw'!L27</f>
        <v>63.074800600000003</v>
      </c>
      <c r="L86" s="23">
        <f>'Annual Raw'!M27</f>
        <v>64</v>
      </c>
      <c r="M86" s="23">
        <f>'Annual Raw'!N27</f>
        <v>67.849999999999994</v>
      </c>
      <c r="N86" s="23">
        <f>'Annual Raw'!O27</f>
        <v>76.98</v>
      </c>
      <c r="O86" s="23">
        <f>'Annual Raw'!P27</f>
        <v>74.319999999999993</v>
      </c>
      <c r="P86" s="23">
        <f>'Annual Raw'!Q27</f>
        <v>80.400000000000006</v>
      </c>
      <c r="Q86" s="23">
        <f>'Annual Raw'!R27</f>
        <v>76.19</v>
      </c>
      <c r="R86" s="23">
        <f>'Annual Raw'!S27</f>
        <v>72.599999999999994</v>
      </c>
      <c r="S86" s="23">
        <f>'Annual Raw'!T27</f>
        <v>77.09</v>
      </c>
      <c r="T86" s="23">
        <f>'Annual Raw'!U27</f>
        <v>80.53</v>
      </c>
      <c r="U86" s="23">
        <f>'Annual Raw'!V27</f>
        <v>81.05</v>
      </c>
      <c r="V86" s="23">
        <f>'Annual Raw'!W27</f>
        <v>80.58</v>
      </c>
      <c r="W86" s="23">
        <f>'Annual Raw'!X27</f>
        <v>70.34</v>
      </c>
      <c r="X86" s="23">
        <f>'Annual Raw'!Y27</f>
        <v>79.39</v>
      </c>
      <c r="Y86" s="23">
        <f>'Annual Raw'!Z27</f>
        <v>96.81</v>
      </c>
      <c r="Z86" s="23">
        <f>'Annual Raw'!AA27</f>
        <v>114.49</v>
      </c>
      <c r="AA86" s="23">
        <f>'Annual Raw'!AB27</f>
        <v>95.36</v>
      </c>
      <c r="AB86" s="76">
        <f>+SUM(CM86:CP86)</f>
        <v>111.64515544043665</v>
      </c>
      <c r="AC86" s="76">
        <f>+SUM(CQ86:CT86)</f>
        <v>110.75160329818975</v>
      </c>
      <c r="AD86" s="76">
        <f>+SUM(CU86:CX86)</f>
        <v>102.87684598678598</v>
      </c>
      <c r="AE86" s="76">
        <f>+SUM(CY86:DB86)</f>
        <v>95.562006553469672</v>
      </c>
      <c r="AI86" s="23">
        <f>'QTR Raw'!C28</f>
        <v>19.39</v>
      </c>
      <c r="AJ86" s="23">
        <f>'QTR Raw'!D28</f>
        <v>19.350000000000001</v>
      </c>
      <c r="AK86" s="23">
        <f>'QTR Raw'!E28</f>
        <v>19.45</v>
      </c>
      <c r="AL86" s="23">
        <f>'QTR Raw'!F28</f>
        <v>18.79</v>
      </c>
      <c r="AM86" s="23">
        <f>'QTR Raw'!G28</f>
        <v>18.670000000000002</v>
      </c>
      <c r="AN86" s="23">
        <f>'QTR Raw'!H28</f>
        <v>18.809999999999999</v>
      </c>
      <c r="AO86" s="23">
        <f>'QTR Raw'!I28</f>
        <v>18.89</v>
      </c>
      <c r="AP86" s="23">
        <f>'QTR Raw'!J28</f>
        <v>17.95</v>
      </c>
      <c r="AQ86" s="23">
        <f>'QTR Raw'!K28</f>
        <v>18.940000000000001</v>
      </c>
      <c r="AR86" s="23">
        <f>'QTR Raw'!L28</f>
        <v>19.149999999999999</v>
      </c>
      <c r="AS86" s="23">
        <f>'QTR Raw'!M28</f>
        <v>19.440000000000001</v>
      </c>
      <c r="AT86" s="23">
        <f>'QTR Raw'!N28</f>
        <v>22.87</v>
      </c>
      <c r="AU86" s="23">
        <f>'QTR Raw'!O28</f>
        <v>20.37</v>
      </c>
      <c r="AV86" s="23">
        <f>'QTR Raw'!P28</f>
        <v>19.27</v>
      </c>
      <c r="AW86" s="23">
        <f>'QTR Raw'!Q28</f>
        <v>18.559999999999999</v>
      </c>
      <c r="AX86" s="23">
        <f>'QTR Raw'!R28</f>
        <v>17.989999999999998</v>
      </c>
      <c r="AY86" s="23">
        <f>'QTR Raw'!S28</f>
        <v>19.43</v>
      </c>
      <c r="AZ86" s="23">
        <f>'QTR Raw'!T28</f>
        <v>19.41</v>
      </c>
      <c r="BA86" s="23">
        <f>'QTR Raw'!U28</f>
        <v>17.059999999999999</v>
      </c>
      <c r="BB86" s="23">
        <f>'QTR Raw'!V28</f>
        <v>16.68</v>
      </c>
      <c r="BC86" s="23">
        <f>'QTR Raw'!W28</f>
        <v>19.12</v>
      </c>
      <c r="BD86" s="23">
        <f>'QTR Raw'!X28</f>
        <v>19.3</v>
      </c>
      <c r="BE86" s="23">
        <f>'QTR Raw'!Y28</f>
        <v>19.48</v>
      </c>
      <c r="BF86" s="23">
        <f>'QTR Raw'!Z28</f>
        <v>19.149999999999999</v>
      </c>
      <c r="BG86" s="23">
        <f>'QTR Raw'!AA28</f>
        <v>20.05</v>
      </c>
      <c r="BH86" s="23">
        <f>'QTR Raw'!AB28</f>
        <v>20.11</v>
      </c>
      <c r="BI86" s="23">
        <f>'QTR Raw'!AC28</f>
        <v>20.37</v>
      </c>
      <c r="BJ86" s="23">
        <f>'QTR Raw'!AD28</f>
        <v>20</v>
      </c>
      <c r="BK86" s="23">
        <f>'QTR Raw'!AE28</f>
        <v>20.16</v>
      </c>
      <c r="BL86" s="23">
        <f>'QTR Raw'!AF28</f>
        <v>20.350000000000001</v>
      </c>
      <c r="BM86" s="23">
        <f>'QTR Raw'!AG28</f>
        <v>20.47</v>
      </c>
      <c r="BN86" s="23">
        <f>'QTR Raw'!AH28</f>
        <v>20.07</v>
      </c>
      <c r="BO86" s="23">
        <f>'QTR Raw'!AI28</f>
        <v>20.48</v>
      </c>
      <c r="BP86" s="23">
        <f>'QTR Raw'!AJ28</f>
        <v>20.54</v>
      </c>
      <c r="BQ86" s="23">
        <f>'QTR Raw'!AK28</f>
        <v>20.329999999999998</v>
      </c>
      <c r="BR86" s="23">
        <f>'QTR Raw'!AL28</f>
        <v>19.23</v>
      </c>
      <c r="BS86" s="23">
        <f>'QTR Raw'!AM28</f>
        <v>19.3</v>
      </c>
      <c r="BT86" s="23">
        <f>'QTR Raw'!AN28</f>
        <v>18.11</v>
      </c>
      <c r="BU86" s="23">
        <f>'QTR Raw'!AO28</f>
        <v>17.989999999999998</v>
      </c>
      <c r="BV86" s="23">
        <f>'QTR Raw'!AP28</f>
        <v>14.94</v>
      </c>
      <c r="BW86" s="23">
        <f>'QTR Raw'!AQ28</f>
        <v>18.5</v>
      </c>
      <c r="BX86" s="23">
        <f>'QTR Raw'!AR28</f>
        <v>22.05</v>
      </c>
      <c r="BY86" s="23">
        <f>'QTR Raw'!AS28</f>
        <v>25.12</v>
      </c>
      <c r="BZ86" s="23">
        <f>'QTR Raw'!AT28</f>
        <v>13.72</v>
      </c>
      <c r="CA86" s="23">
        <f>'QTR Raw'!AU28</f>
        <v>21.64</v>
      </c>
      <c r="CB86" s="23">
        <f>'QTR Raw'!AV28</f>
        <v>22.15</v>
      </c>
      <c r="CC86" s="23">
        <f>'QTR Raw'!AW28</f>
        <v>26.9</v>
      </c>
      <c r="CD86" s="23">
        <f>'QTR Raw'!AX28</f>
        <v>26.12</v>
      </c>
      <c r="CE86" s="23">
        <f>'QTR Raw'!AY28</f>
        <v>28</v>
      </c>
      <c r="CF86" s="23">
        <f>'QTR Raw'!AZ28</f>
        <v>27.77</v>
      </c>
      <c r="CG86" s="23">
        <f>'QTR Raw'!BA28</f>
        <v>28.87</v>
      </c>
      <c r="CH86" s="23">
        <f>'QTR Raw'!BB28</f>
        <v>29.85</v>
      </c>
      <c r="CI86" s="23">
        <f>'QTR Raw'!BC28</f>
        <v>35.880000000000003</v>
      </c>
      <c r="CJ86" s="23">
        <f>'QTR Raw'!BD28</f>
        <v>10.46</v>
      </c>
      <c r="CK86" s="23">
        <f>'QTR Raw'!BE28</f>
        <v>24.52</v>
      </c>
      <c r="CL86" s="23">
        <f>'QTR Raw'!BF28</f>
        <v>24.5</v>
      </c>
      <c r="CM86" s="24">
        <f t="shared" ref="CM86:DB86" si="129">CM87*CL188</f>
        <v>27.574901004496748</v>
      </c>
      <c r="CN86" s="24">
        <f t="shared" si="129"/>
        <v>27.801911993101889</v>
      </c>
      <c r="CO86" s="24">
        <f t="shared" si="129"/>
        <v>28.024775410008314</v>
      </c>
      <c r="CP86" s="24">
        <f t="shared" si="129"/>
        <v>28.243567032829702</v>
      </c>
      <c r="CQ86" s="24">
        <f t="shared" si="129"/>
        <v>28.458361254695717</v>
      </c>
      <c r="CR86" s="24">
        <f t="shared" si="129"/>
        <v>27.938416848228719</v>
      </c>
      <c r="CS86" s="24">
        <f t="shared" si="129"/>
        <v>27.427972011445199</v>
      </c>
      <c r="CT86" s="24">
        <f t="shared" si="129"/>
        <v>26.926853183820114</v>
      </c>
      <c r="CU86" s="24">
        <f t="shared" si="129"/>
        <v>26.43488997584112</v>
      </c>
      <c r="CV86" s="24">
        <f t="shared" si="129"/>
        <v>25.951915111072999</v>
      </c>
      <c r="CW86" s="24">
        <f t="shared" si="129"/>
        <v>25.477764369280649</v>
      </c>
      <c r="CX86" s="24">
        <f t="shared" si="129"/>
        <v>25.012276530591208</v>
      </c>
      <c r="CY86" s="24">
        <f t="shared" si="129"/>
        <v>24.555293320676384</v>
      </c>
      <c r="CZ86" s="24">
        <f t="shared" si="129"/>
        <v>24.106659356936277</v>
      </c>
      <c r="DA86" s="24">
        <f t="shared" si="129"/>
        <v>23.666222095666495</v>
      </c>
      <c r="DB86" s="24">
        <f t="shared" si="129"/>
        <v>23.233831780190513</v>
      </c>
      <c r="DE86" s="123"/>
      <c r="DF86" s="23">
        <v>24.079696226263096</v>
      </c>
    </row>
    <row r="87" spans="1:110" s="46" customFormat="1" x14ac:dyDescent="0.2">
      <c r="A87" s="46" t="s">
        <v>482</v>
      </c>
      <c r="B87" s="46">
        <f>+B86/B188</f>
        <v>0.11377847773997526</v>
      </c>
      <c r="C87" s="46">
        <f>+C86/C188</f>
        <v>0.11822522985950017</v>
      </c>
      <c r="D87" s="46">
        <f>+D86/D188</f>
        <v>0.10740550007794226</v>
      </c>
      <c r="E87" s="46">
        <f t="shared" ref="E87:AE87" si="130">+E86/E188</f>
        <v>9.4127027589364115E-2</v>
      </c>
      <c r="F87" s="46">
        <f t="shared" si="130"/>
        <v>0.11118588598536039</v>
      </c>
      <c r="G87" s="46">
        <f t="shared" si="130"/>
        <v>8.0817188205160581E-2</v>
      </c>
      <c r="H87" s="46">
        <f t="shared" si="130"/>
        <v>9.9978867058092072E-2</v>
      </c>
      <c r="I87" s="46">
        <f t="shared" si="130"/>
        <v>9.905670340178982E-2</v>
      </c>
      <c r="J87" s="46">
        <f t="shared" si="130"/>
        <v>9.6635026580521033E-2</v>
      </c>
      <c r="K87" s="46">
        <f t="shared" si="130"/>
        <v>0.1117537131259051</v>
      </c>
      <c r="L87" s="46">
        <f t="shared" si="130"/>
        <v>0.11882879370207396</v>
      </c>
      <c r="M87" s="46">
        <f t="shared" si="130"/>
        <v>0.10858779847640995</v>
      </c>
      <c r="N87" s="46">
        <f t="shared" si="130"/>
        <v>0.1319868321788629</v>
      </c>
      <c r="O87" s="46">
        <f t="shared" si="130"/>
        <v>0.1382414761630178</v>
      </c>
      <c r="P87" s="46">
        <f t="shared" si="130"/>
        <v>0.14287237445356649</v>
      </c>
      <c r="Q87" s="46">
        <f t="shared" si="130"/>
        <v>0.13029722611759073</v>
      </c>
      <c r="R87" s="46">
        <f t="shared" si="130"/>
        <v>0.11089725964622857</v>
      </c>
      <c r="S87" s="46">
        <f t="shared" si="130"/>
        <v>0.11018838798204741</v>
      </c>
      <c r="T87" s="46">
        <f t="shared" si="130"/>
        <v>0.12419802590993212</v>
      </c>
      <c r="U87" s="46">
        <f t="shared" si="130"/>
        <v>0.1315277011456947</v>
      </c>
      <c r="V87" s="46">
        <f t="shared" si="130"/>
        <v>0.13650454845759005</v>
      </c>
      <c r="W87" s="46">
        <f t="shared" si="130"/>
        <v>0.1168865698427997</v>
      </c>
      <c r="X87" s="46">
        <f t="shared" si="130"/>
        <v>0.10946268286293381</v>
      </c>
      <c r="Y87" s="46">
        <f t="shared" si="130"/>
        <v>9.6125585828898241E-2</v>
      </c>
      <c r="Z87" s="46">
        <f t="shared" si="130"/>
        <v>8.9595805454474292E-2</v>
      </c>
      <c r="AA87" s="46">
        <f t="shared" ref="AA87" si="131">+AA86/AA188</f>
        <v>6.3188305922578403E-2</v>
      </c>
      <c r="AB87" s="110">
        <f t="shared" si="130"/>
        <v>7.1676537409112534E-2</v>
      </c>
      <c r="AC87" s="110">
        <f t="shared" si="130"/>
        <v>7.6545477613254684E-2</v>
      </c>
      <c r="AD87" s="110">
        <f t="shared" si="130"/>
        <v>7.6545477613254698E-2</v>
      </c>
      <c r="AE87" s="110">
        <f t="shared" si="130"/>
        <v>7.6545477613254684E-2</v>
      </c>
      <c r="AI87" s="46" t="e">
        <f t="shared" ref="AI87:BN87" si="132">+AI86/AH188</f>
        <v>#DIV/0!</v>
      </c>
      <c r="AJ87" s="46" t="e">
        <f t="shared" si="132"/>
        <v>#DIV/0!</v>
      </c>
      <c r="AK87" s="46">
        <f t="shared" si="132"/>
        <v>3.1405412387780142E-2</v>
      </c>
      <c r="AL87" s="46">
        <f t="shared" si="132"/>
        <v>3.0339727443002E-2</v>
      </c>
      <c r="AM87" s="46">
        <f t="shared" si="132"/>
        <v>3.1555818473759829E-2</v>
      </c>
      <c r="AN87" s="46">
        <f t="shared" si="132"/>
        <v>3.1792444857601625E-2</v>
      </c>
      <c r="AO87" s="46">
        <f t="shared" si="132"/>
        <v>3.3251188171096638E-2</v>
      </c>
      <c r="AP87" s="46">
        <f t="shared" si="132"/>
        <v>3.1596549903186055E-2</v>
      </c>
      <c r="AQ87" s="46">
        <f t="shared" si="132"/>
        <v>3.4351421938479398E-2</v>
      </c>
      <c r="AR87" s="46">
        <f t="shared" si="132"/>
        <v>3.4732298316889142E-2</v>
      </c>
      <c r="AS87" s="46">
        <f t="shared" si="132"/>
        <v>3.5352525050464642E-2</v>
      </c>
      <c r="AT87" s="46">
        <f t="shared" si="132"/>
        <v>4.1590136209059998E-2</v>
      </c>
      <c r="AU87" s="46">
        <f t="shared" si="132"/>
        <v>3.6009121603705209E-2</v>
      </c>
      <c r="AV87" s="46">
        <f t="shared" si="132"/>
        <v>3.4064593682052002E-2</v>
      </c>
      <c r="AW87" s="46">
        <f t="shared" si="132"/>
        <v>3.4575904916261481E-2</v>
      </c>
      <c r="AX87" s="46">
        <f t="shared" si="132"/>
        <v>3.351403714674267E-2</v>
      </c>
      <c r="AY87" s="46">
        <f t="shared" si="132"/>
        <v>3.3228443410746655E-2</v>
      </c>
      <c r="AZ87" s="46">
        <f t="shared" si="132"/>
        <v>3.3194240175120564E-2</v>
      </c>
      <c r="BA87" s="46">
        <f t="shared" si="132"/>
        <v>2.7409144950355065E-2</v>
      </c>
      <c r="BB87" s="46">
        <f t="shared" si="132"/>
        <v>2.6798624722855952E-2</v>
      </c>
      <c r="BC87" s="46">
        <f t="shared" si="132"/>
        <v>2.9206000061100423E-2</v>
      </c>
      <c r="BD87" s="46">
        <f t="shared" si="132"/>
        <v>2.9480951944520821E-2</v>
      </c>
      <c r="BE87" s="46">
        <f t="shared" si="132"/>
        <v>2.9734102634551396E-2</v>
      </c>
      <c r="BF87" s="46">
        <f t="shared" si="132"/>
        <v>2.9230393503678603E-2</v>
      </c>
      <c r="BG87" s="46">
        <f t="shared" si="132"/>
        <v>2.8632222317424957E-2</v>
      </c>
      <c r="BH87" s="46">
        <f t="shared" si="132"/>
        <v>2.871790477822523E-2</v>
      </c>
      <c r="BI87" s="46">
        <f t="shared" si="132"/>
        <v>3.0142945929148544E-2</v>
      </c>
      <c r="BJ87" s="46">
        <f t="shared" si="132"/>
        <v>2.9595430465536122E-2</v>
      </c>
      <c r="BK87" s="46">
        <f t="shared" si="132"/>
        <v>3.101156780703913E-2</v>
      </c>
      <c r="BL87" s="46">
        <f t="shared" si="132"/>
        <v>3.1303839527442777E-2</v>
      </c>
      <c r="BM87" s="46">
        <f t="shared" si="132"/>
        <v>3.2453428458184698E-2</v>
      </c>
      <c r="BN87" s="46">
        <f t="shared" si="132"/>
        <v>3.1819262782401901E-2</v>
      </c>
      <c r="BO87" s="46">
        <f t="shared" ref="BO87:CL87" si="133">+BO86/BN188</f>
        <v>3.3043983348930266E-2</v>
      </c>
      <c r="BP87" s="46">
        <f t="shared" si="133"/>
        <v>3.3140791893897834E-2</v>
      </c>
      <c r="BQ87" s="46">
        <f t="shared" si="133"/>
        <v>3.4455875124993644E-2</v>
      </c>
      <c r="BR87" s="46">
        <f t="shared" si="133"/>
        <v>3.2591563140857246E-2</v>
      </c>
      <c r="BS87" s="46">
        <f t="shared" si="133"/>
        <v>3.2694685843031632E-2</v>
      </c>
      <c r="BT87" s="46">
        <f t="shared" si="133"/>
        <v>3.0678795886906883E-2</v>
      </c>
      <c r="BU87" s="46">
        <f t="shared" si="133"/>
        <v>3.1918668606507924E-2</v>
      </c>
      <c r="BV87" s="46">
        <f t="shared" si="133"/>
        <v>2.6507221177389021E-2</v>
      </c>
      <c r="BW87" s="46">
        <f t="shared" si="133"/>
        <v>3.0914225556873821E-2</v>
      </c>
      <c r="BX87" s="46">
        <f t="shared" si="133"/>
        <v>3.6846414785355018E-2</v>
      </c>
      <c r="BY87" s="46">
        <f t="shared" si="133"/>
        <v>3.6211618855412998E-2</v>
      </c>
      <c r="BZ87" s="46">
        <f t="shared" si="133"/>
        <v>1.977800201816347E-2</v>
      </c>
      <c r="CA87" s="46">
        <f t="shared" si="133"/>
        <v>2.9932499723359523E-2</v>
      </c>
      <c r="CB87" s="46">
        <f t="shared" si="133"/>
        <v>3.0637932942348119E-2</v>
      </c>
      <c r="CC87" s="46">
        <f t="shared" si="133"/>
        <v>2.9317842468366155E-2</v>
      </c>
      <c r="CD87" s="46">
        <f t="shared" si="133"/>
        <v>2.8467734025045505E-2</v>
      </c>
      <c r="CE87" s="46">
        <f t="shared" si="133"/>
        <v>2.7745023236456959E-2</v>
      </c>
      <c r="CF87" s="46">
        <f t="shared" si="133"/>
        <v>2.7517117688443206E-2</v>
      </c>
      <c r="CG87" s="46">
        <f t="shared" si="133"/>
        <v>2.8533588985856752E-2</v>
      </c>
      <c r="CH87" s="46">
        <f t="shared" si="133"/>
        <v>2.9502169422508627E-2</v>
      </c>
      <c r="CI87" s="46">
        <f t="shared" si="133"/>
        <v>2.807841295926752E-2</v>
      </c>
      <c r="CJ87" s="46">
        <f t="shared" si="133"/>
        <v>8.422103593484543E-3</v>
      </c>
      <c r="CK87" s="46">
        <f t="shared" si="133"/>
        <v>1.7956923888128071E-2</v>
      </c>
      <c r="CL87" s="46">
        <f t="shared" si="133"/>
        <v>1.8270356532957489E-2</v>
      </c>
      <c r="CM87" s="47">
        <f t="shared" ref="CM87:DB87" si="134">CL87</f>
        <v>1.8270356532957489E-2</v>
      </c>
      <c r="CN87" s="47">
        <f t="shared" si="134"/>
        <v>1.8270356532957489E-2</v>
      </c>
      <c r="CO87" s="47">
        <f t="shared" si="134"/>
        <v>1.8270356532957489E-2</v>
      </c>
      <c r="CP87" s="47">
        <f t="shared" si="134"/>
        <v>1.8270356532957489E-2</v>
      </c>
      <c r="CQ87" s="47">
        <f t="shared" si="134"/>
        <v>1.8270356532957489E-2</v>
      </c>
      <c r="CR87" s="47">
        <f t="shared" si="134"/>
        <v>1.8270356532957489E-2</v>
      </c>
      <c r="CS87" s="47">
        <f t="shared" si="134"/>
        <v>1.8270356532957489E-2</v>
      </c>
      <c r="CT87" s="47">
        <f t="shared" si="134"/>
        <v>1.8270356532957489E-2</v>
      </c>
      <c r="CU87" s="47">
        <f t="shared" si="134"/>
        <v>1.8270356532957489E-2</v>
      </c>
      <c r="CV87" s="47">
        <f t="shared" si="134"/>
        <v>1.8270356532957489E-2</v>
      </c>
      <c r="CW87" s="47">
        <f t="shared" si="134"/>
        <v>1.8270356532957489E-2</v>
      </c>
      <c r="CX87" s="47">
        <f t="shared" si="134"/>
        <v>1.8270356532957489E-2</v>
      </c>
      <c r="CY87" s="47">
        <f t="shared" si="134"/>
        <v>1.8270356532957489E-2</v>
      </c>
      <c r="CZ87" s="47">
        <f t="shared" si="134"/>
        <v>1.8270356532957489E-2</v>
      </c>
      <c r="DA87" s="47">
        <f t="shared" si="134"/>
        <v>1.8270356532957489E-2</v>
      </c>
      <c r="DB87" s="47">
        <f t="shared" si="134"/>
        <v>1.8270356532957489E-2</v>
      </c>
      <c r="DE87" s="130"/>
      <c r="DF87" s="46">
        <v>1.7956923888128071E-2</v>
      </c>
    </row>
    <row r="88" spans="1:110" s="26" customFormat="1" x14ac:dyDescent="0.2">
      <c r="A88" s="34" t="s">
        <v>15</v>
      </c>
      <c r="B88" s="26">
        <f>B82-B86</f>
        <v>15.307361200000004</v>
      </c>
      <c r="C88" s="26">
        <f t="shared" ref="C88:T88" si="135">C82-C86</f>
        <v>11.504441900000035</v>
      </c>
      <c r="D88" s="26">
        <f>D82-D86</f>
        <v>15.786539499999991</v>
      </c>
      <c r="E88" s="26">
        <f t="shared" si="135"/>
        <v>21.157295699999992</v>
      </c>
      <c r="F88" s="26">
        <f t="shared" si="135"/>
        <v>22.677901100000042</v>
      </c>
      <c r="G88" s="26">
        <f t="shared" si="135"/>
        <v>39.710650900000019</v>
      </c>
      <c r="H88" s="26">
        <f t="shared" si="135"/>
        <v>58.477464400000052</v>
      </c>
      <c r="I88" s="26">
        <f t="shared" si="135"/>
        <v>39.17291790000003</v>
      </c>
      <c r="J88" s="26">
        <f t="shared" si="135"/>
        <v>12.735465499999968</v>
      </c>
      <c r="K88" s="26">
        <f t="shared" si="135"/>
        <v>66.443473400000016</v>
      </c>
      <c r="L88" s="26">
        <f t="shared" si="135"/>
        <v>131.7600000000001</v>
      </c>
      <c r="M88" s="26">
        <f t="shared" si="135"/>
        <v>80.009999999999906</v>
      </c>
      <c r="N88" s="26">
        <f t="shared" si="135"/>
        <v>130.94000000000011</v>
      </c>
      <c r="O88" s="26">
        <f t="shared" si="135"/>
        <v>114.11000000000001</v>
      </c>
      <c r="P88" s="26">
        <f t="shared" si="135"/>
        <v>128.71000000000006</v>
      </c>
      <c r="Q88" s="26">
        <f t="shared" si="135"/>
        <v>149.73999999999984</v>
      </c>
      <c r="R88" s="26">
        <f t="shared" si="135"/>
        <v>101.02000000000001</v>
      </c>
      <c r="S88" s="26">
        <f t="shared" si="135"/>
        <v>47.610000000000269</v>
      </c>
      <c r="T88" s="26">
        <f t="shared" si="135"/>
        <v>78.700000000000017</v>
      </c>
      <c r="U88" s="26">
        <f t="shared" ref="U88:Z88" si="136">U82-U86</f>
        <v>80.479999999999976</v>
      </c>
      <c r="V88" s="26">
        <f t="shared" si="136"/>
        <v>41.560000000000159</v>
      </c>
      <c r="W88" s="26">
        <f t="shared" si="136"/>
        <v>237.04000000000022</v>
      </c>
      <c r="X88" s="26">
        <f t="shared" si="136"/>
        <v>222.18000000000006</v>
      </c>
      <c r="Y88" s="26">
        <f t="shared" si="136"/>
        <v>118.6699999999999</v>
      </c>
      <c r="Z88" s="26">
        <f t="shared" si="136"/>
        <v>128.54999999999973</v>
      </c>
      <c r="AA88" s="26">
        <f t="shared" ref="AA88" si="137">AA82-AA86</f>
        <v>208.24000000000012</v>
      </c>
      <c r="AB88" s="27">
        <f>AB82-AB86</f>
        <v>340.47665939442089</v>
      </c>
      <c r="AC88" s="27">
        <f>AC82-AC86</f>
        <v>398.56723121890201</v>
      </c>
      <c r="AD88" s="27">
        <f>AD82-AD86</f>
        <v>417.96718568854442</v>
      </c>
      <c r="AE88" s="27">
        <f>AE82-AE86</f>
        <v>428.27909659406942</v>
      </c>
      <c r="AI88" s="26">
        <f t="shared" ref="AI88:AO88" si="138">AI82-AI86</f>
        <v>32.529999999999959</v>
      </c>
      <c r="AJ88" s="26">
        <f t="shared" si="138"/>
        <v>41.48000000000004</v>
      </c>
      <c r="AK88" s="26">
        <f t="shared" si="138"/>
        <v>31.849999999999984</v>
      </c>
      <c r="AL88" s="26">
        <f t="shared" si="138"/>
        <v>31.610000000000007</v>
      </c>
      <c r="AM88" s="26">
        <f t="shared" si="138"/>
        <v>27.500000000000043</v>
      </c>
      <c r="AN88" s="26">
        <f t="shared" si="138"/>
        <v>31.409999999999943</v>
      </c>
      <c r="AO88" s="26">
        <f t="shared" si="138"/>
        <v>29.470000000000013</v>
      </c>
      <c r="AP88" s="26">
        <f t="shared" ref="AP88:CD88" si="139">AP82-AP86</f>
        <v>33.040000000000035</v>
      </c>
      <c r="AQ88" s="26">
        <f t="shared" si="139"/>
        <v>31.950000000000014</v>
      </c>
      <c r="AR88" s="26">
        <f t="shared" si="139"/>
        <v>34.530000000000008</v>
      </c>
      <c r="AS88" s="26">
        <f t="shared" si="139"/>
        <v>33.769999999999968</v>
      </c>
      <c r="AT88" s="26">
        <f t="shared" si="139"/>
        <v>36.740000000000009</v>
      </c>
      <c r="AU88" s="26">
        <f t="shared" si="139"/>
        <v>41.509999999999991</v>
      </c>
      <c r="AV88" s="26">
        <f t="shared" si="139"/>
        <v>42.450000000000031</v>
      </c>
      <c r="AW88" s="26">
        <f t="shared" si="139"/>
        <v>36.790000000000063</v>
      </c>
      <c r="AX88" s="26">
        <f t="shared" si="139"/>
        <v>34.67</v>
      </c>
      <c r="AY88" s="26">
        <f t="shared" si="139"/>
        <v>35.02000000000006</v>
      </c>
      <c r="AZ88" s="26">
        <f t="shared" si="139"/>
        <v>30.360000000000024</v>
      </c>
      <c r="BA88" s="26">
        <f t="shared" si="139"/>
        <v>19.320000000000025</v>
      </c>
      <c r="BB88" s="26">
        <f t="shared" si="139"/>
        <v>18.49999999999995</v>
      </c>
      <c r="BC88" s="26">
        <f t="shared" si="139"/>
        <v>9.5500000000000149</v>
      </c>
      <c r="BD88" s="26">
        <f t="shared" si="139"/>
        <v>13.489999999999963</v>
      </c>
      <c r="BE88" s="26">
        <f t="shared" si="139"/>
        <v>10.909999999999958</v>
      </c>
      <c r="BF88" s="26">
        <f t="shared" si="139"/>
        <v>16.29</v>
      </c>
      <c r="BG88" s="26">
        <f t="shared" si="139"/>
        <v>20.349999999999977</v>
      </c>
      <c r="BH88" s="26">
        <f t="shared" si="139"/>
        <v>27.160000000000039</v>
      </c>
      <c r="BI88" s="26">
        <f t="shared" si="139"/>
        <v>12.809999999999977</v>
      </c>
      <c r="BJ88" s="26">
        <f t="shared" si="139"/>
        <v>18.379999999999995</v>
      </c>
      <c r="BK88" s="26">
        <f t="shared" si="139"/>
        <v>16.579999999999981</v>
      </c>
      <c r="BL88" s="26">
        <f t="shared" si="139"/>
        <v>19.20000000000001</v>
      </c>
      <c r="BM88" s="26">
        <f t="shared" si="139"/>
        <v>21.249999999999972</v>
      </c>
      <c r="BN88" s="26">
        <f t="shared" si="139"/>
        <v>23.449999999999982</v>
      </c>
      <c r="BO88" s="26">
        <f t="shared" si="139"/>
        <v>-37.070000000000022</v>
      </c>
      <c r="BP88" s="26">
        <f t="shared" si="139"/>
        <v>3.0800000000000054</v>
      </c>
      <c r="BQ88" s="26">
        <f t="shared" si="139"/>
        <v>21.470000000000013</v>
      </c>
      <c r="BR88" s="26">
        <f t="shared" si="139"/>
        <v>54.08</v>
      </c>
      <c r="BS88" s="26">
        <f t="shared" si="139"/>
        <v>29.829999999999995</v>
      </c>
      <c r="BT88" s="26">
        <f t="shared" si="139"/>
        <v>55.359999999999914</v>
      </c>
      <c r="BU88" s="26">
        <f t="shared" si="139"/>
        <v>59.160000000000011</v>
      </c>
      <c r="BV88" s="26">
        <f t="shared" si="139"/>
        <v>92.690000000000083</v>
      </c>
      <c r="BW88" s="26">
        <f t="shared" si="139"/>
        <v>74.649999999999977</v>
      </c>
      <c r="BX88" s="26">
        <f t="shared" si="139"/>
        <v>56.620000000000019</v>
      </c>
      <c r="BY88" s="26">
        <f t="shared" si="139"/>
        <v>33.740000000000009</v>
      </c>
      <c r="BZ88" s="26">
        <f t="shared" si="139"/>
        <v>57.169999999999987</v>
      </c>
      <c r="CA88" s="26">
        <f t="shared" si="139"/>
        <v>32.210000000000022</v>
      </c>
      <c r="CB88" s="26">
        <f t="shared" si="139"/>
        <v>24.349999999999973</v>
      </c>
      <c r="CC88" s="26">
        <f t="shared" si="139"/>
        <v>21.540000000000028</v>
      </c>
      <c r="CD88" s="26">
        <f t="shared" si="139"/>
        <v>40.569999999999965</v>
      </c>
      <c r="CE88" s="26">
        <f t="shared" ref="CE88:CL88" si="140">CE82-CE86</f>
        <v>39.319999999999993</v>
      </c>
      <c r="CF88" s="26">
        <f t="shared" si="140"/>
        <v>27.860000000000053</v>
      </c>
      <c r="CG88" s="26">
        <f t="shared" si="140"/>
        <v>35.119999999999948</v>
      </c>
      <c r="CH88" s="26">
        <f t="shared" si="140"/>
        <v>27.849999999999987</v>
      </c>
      <c r="CI88" s="26">
        <f t="shared" si="140"/>
        <v>21.750000000000021</v>
      </c>
      <c r="CJ88" s="26">
        <f t="shared" si="140"/>
        <v>66.479999999999905</v>
      </c>
      <c r="CK88" s="26">
        <f t="shared" si="140"/>
        <v>59.86</v>
      </c>
      <c r="CL88" s="26">
        <f t="shared" si="140"/>
        <v>77.279999999999916</v>
      </c>
      <c r="CM88" s="27">
        <f t="shared" ref="CM88:DB88" si="141">CM82-CM86</f>
        <v>75.770528793349143</v>
      </c>
      <c r="CN88" s="27">
        <f t="shared" si="141"/>
        <v>84.018864065746413</v>
      </c>
      <c r="CO88" s="27">
        <f t="shared" si="141"/>
        <v>88.663885513896162</v>
      </c>
      <c r="CP88" s="27">
        <f t="shared" si="141"/>
        <v>92.023381021429344</v>
      </c>
      <c r="CQ88" s="27">
        <f t="shared" si="141"/>
        <v>92.458847276607173</v>
      </c>
      <c r="CR88" s="27">
        <f t="shared" si="141"/>
        <v>98.170000625892442</v>
      </c>
      <c r="CS88" s="27">
        <f t="shared" si="141"/>
        <v>102.32503362311695</v>
      </c>
      <c r="CT88" s="27">
        <f t="shared" si="141"/>
        <v>105.61334969328472</v>
      </c>
      <c r="CU88" s="27">
        <f t="shared" si="141"/>
        <v>102.45839151107523</v>
      </c>
      <c r="CV88" s="27">
        <f t="shared" si="141"/>
        <v>104.23768083566779</v>
      </c>
      <c r="CW88" s="27">
        <f t="shared" si="141"/>
        <v>105.34467195109998</v>
      </c>
      <c r="CX88" s="27">
        <f t="shared" si="141"/>
        <v>105.92644139070117</v>
      </c>
      <c r="CY88" s="27">
        <f t="shared" si="141"/>
        <v>105.98071982344484</v>
      </c>
      <c r="CZ88" s="27">
        <f t="shared" si="141"/>
        <v>106.84176756045953</v>
      </c>
      <c r="DA88" s="27">
        <f t="shared" si="141"/>
        <v>107.47253530347986</v>
      </c>
      <c r="DB88" s="27">
        <f t="shared" si="141"/>
        <v>107.98407390668527</v>
      </c>
      <c r="DE88" s="121"/>
      <c r="DF88" s="26">
        <v>47.918189449946809</v>
      </c>
    </row>
    <row r="89" spans="1:110" s="23" customFormat="1" x14ac:dyDescent="0.2">
      <c r="A89" s="23" t="s">
        <v>16</v>
      </c>
      <c r="B89" s="23">
        <f>'Annual Raw'!C23</f>
        <v>2.8652171000000002</v>
      </c>
      <c r="C89" s="23">
        <f>'Annual Raw'!D23</f>
        <v>3.3725735999999999</v>
      </c>
      <c r="D89" s="23">
        <f>'Annual Raw'!E23</f>
        <v>2.4245481</v>
      </c>
      <c r="E89" s="23">
        <f>'Annual Raw'!F23</f>
        <v>3.9396309999999999</v>
      </c>
      <c r="F89" s="23">
        <f>'Annual Raw'!G23</f>
        <v>4.0605729999999998</v>
      </c>
      <c r="G89" s="23">
        <f>'Annual Raw'!H23</f>
        <v>3.8310629</v>
      </c>
      <c r="H89" s="23">
        <f>'Annual Raw'!I23</f>
        <v>1.2023453</v>
      </c>
      <c r="I89" s="23">
        <f>'Annual Raw'!J23</f>
        <v>6.8410063000000001</v>
      </c>
      <c r="J89" s="23">
        <f>'Annual Raw'!K23</f>
        <v>6.5305887</v>
      </c>
      <c r="K89" s="23">
        <f>'Annual Raw'!L23</f>
        <v>7.3795812999999999</v>
      </c>
      <c r="L89" s="23">
        <f>'Annual Raw'!M23</f>
        <v>8.01</v>
      </c>
      <c r="M89" s="23">
        <f>'Annual Raw'!N23</f>
        <v>12.53</v>
      </c>
      <c r="N89" s="23">
        <f>'Annual Raw'!O23</f>
        <v>12.56</v>
      </c>
      <c r="O89" s="23">
        <f>'Annual Raw'!P23</f>
        <v>13.1</v>
      </c>
      <c r="P89" s="23">
        <f>'Annual Raw'!Q23</f>
        <v>11.02</v>
      </c>
      <c r="Q89" s="23">
        <f>'Annual Raw'!R23</f>
        <v>24.65</v>
      </c>
      <c r="R89" s="23">
        <f>'Annual Raw'!S23</f>
        <v>24.48</v>
      </c>
      <c r="S89" s="23">
        <f>'Annual Raw'!T23</f>
        <v>25.22</v>
      </c>
      <c r="T89" s="23">
        <f>'Annual Raw'!U23</f>
        <v>9</v>
      </c>
      <c r="U89" s="23">
        <f>'Annual Raw'!V23</f>
        <v>8.4700000000000006</v>
      </c>
      <c r="V89" s="23">
        <f>'Annual Raw'!W23</f>
        <v>9.81</v>
      </c>
      <c r="W89" s="23">
        <f>'Annual Raw'!X23</f>
        <v>7.14</v>
      </c>
      <c r="X89" s="23">
        <f>'Annual Raw'!Y23</f>
        <v>17.14</v>
      </c>
      <c r="Y89" s="23">
        <f>'Annual Raw'!Z23</f>
        <v>12.79</v>
      </c>
      <c r="Z89" s="23">
        <f>'Annual Raw'!AA23</f>
        <v>16.97</v>
      </c>
      <c r="AA89" s="23">
        <f>'Annual Raw'!AB23</f>
        <v>25.19</v>
      </c>
      <c r="AB89" s="76">
        <f>+SUM(CM89:CP89)</f>
        <v>0</v>
      </c>
      <c r="AC89" s="76">
        <f>+SUM(CQ89:CT89)</f>
        <v>0</v>
      </c>
      <c r="AD89" s="76">
        <f>+SUM(CU89:CX89)</f>
        <v>0</v>
      </c>
      <c r="AE89" s="76">
        <f>+SUM(CY89:DB89)</f>
        <v>0</v>
      </c>
      <c r="AI89" s="23">
        <f>'QTR Raw'!C23</f>
        <v>1.54</v>
      </c>
      <c r="AJ89" s="23">
        <f>'QTR Raw'!D23</f>
        <v>0.49</v>
      </c>
      <c r="AK89" s="23">
        <f>'QTR Raw'!E23</f>
        <v>0.92</v>
      </c>
      <c r="AL89" s="23">
        <f>'QTR Raw'!F23</f>
        <v>3.53</v>
      </c>
      <c r="AM89" s="23">
        <f>'QTR Raw'!G23</f>
        <v>1.68</v>
      </c>
      <c r="AN89" s="23">
        <f>'QTR Raw'!H23</f>
        <v>1.78</v>
      </c>
      <c r="AO89" s="23">
        <f>'QTR Raw'!I23</f>
        <v>3.9</v>
      </c>
      <c r="AP89" s="23">
        <f>'QTR Raw'!J23</f>
        <v>-1.27</v>
      </c>
      <c r="AQ89" s="23">
        <f>'QTR Raw'!K23</f>
        <v>1.62</v>
      </c>
      <c r="AR89" s="23">
        <f>'QTR Raw'!L23</f>
        <v>0.49</v>
      </c>
      <c r="AS89" s="23">
        <f>'QTR Raw'!M23</f>
        <v>-0.71</v>
      </c>
      <c r="AT89" s="23">
        <f>'QTR Raw'!N23</f>
        <v>1.34</v>
      </c>
      <c r="AU89" s="23">
        <f>'QTR Raw'!O23</f>
        <v>2.11</v>
      </c>
      <c r="AV89" s="23">
        <f>'QTR Raw'!P23</f>
        <v>1.91</v>
      </c>
      <c r="AW89" s="23">
        <f>'QTR Raw'!Q23</f>
        <v>1.2</v>
      </c>
      <c r="AX89" s="23">
        <f>'QTR Raw'!R23</f>
        <v>14.1</v>
      </c>
      <c r="AY89" s="23">
        <f>'QTR Raw'!S23</f>
        <v>4.53</v>
      </c>
      <c r="AZ89" s="23">
        <f>'QTR Raw'!T23</f>
        <v>4.55</v>
      </c>
      <c r="BA89" s="23">
        <f>'QTR Raw'!U23</f>
        <v>2.4500000000000002</v>
      </c>
      <c r="BB89" s="23">
        <f>'QTR Raw'!V23</f>
        <v>11.81</v>
      </c>
      <c r="BC89" s="23">
        <f>'QTR Raw'!W23</f>
        <v>7.91</v>
      </c>
      <c r="BD89" s="23">
        <f>'QTR Raw'!X23</f>
        <v>3.51</v>
      </c>
      <c r="BE89" s="23">
        <f>'QTR Raw'!Y23</f>
        <v>6.73</v>
      </c>
      <c r="BF89" s="23">
        <f>'QTR Raw'!Z23</f>
        <v>7.08</v>
      </c>
      <c r="BG89" s="23">
        <f>'QTR Raw'!AA23</f>
        <v>2.73</v>
      </c>
      <c r="BH89" s="23">
        <f>'QTR Raw'!AB23</f>
        <v>1.64</v>
      </c>
      <c r="BI89" s="23">
        <f>'QTR Raw'!AC23</f>
        <v>1.58</v>
      </c>
      <c r="BJ89" s="23">
        <f>'QTR Raw'!AD23</f>
        <v>3.05</v>
      </c>
      <c r="BK89" s="23">
        <f>'QTR Raw'!AE23</f>
        <v>4.0999999999999996</v>
      </c>
      <c r="BL89" s="23">
        <f>'QTR Raw'!AF23</f>
        <v>2.19</v>
      </c>
      <c r="BM89" s="23">
        <f>'QTR Raw'!AG23</f>
        <v>1.1000000000000001</v>
      </c>
      <c r="BN89" s="23">
        <f>'QTR Raw'!AH23</f>
        <v>1.08</v>
      </c>
      <c r="BO89" s="23">
        <f>'QTR Raw'!AI23</f>
        <v>1.31</v>
      </c>
      <c r="BP89" s="23">
        <f>'QTR Raw'!AJ23</f>
        <v>0.85</v>
      </c>
      <c r="BQ89" s="23">
        <f>'QTR Raw'!AK23</f>
        <v>2.58</v>
      </c>
      <c r="BR89" s="23">
        <f>'QTR Raw'!AL23</f>
        <v>5.07</v>
      </c>
      <c r="BS89" s="23">
        <f>'QTR Raw'!AM23</f>
        <v>1.78</v>
      </c>
      <c r="BT89" s="23">
        <f>'QTR Raw'!AN23</f>
        <v>3.52</v>
      </c>
      <c r="BU89" s="23">
        <f>'QTR Raw'!AO23</f>
        <v>2.64</v>
      </c>
      <c r="BV89" s="23">
        <f>'QTR Raw'!AP23</f>
        <v>-0.8</v>
      </c>
      <c r="BW89" s="23">
        <f>'QTR Raw'!AQ23</f>
        <v>4.72</v>
      </c>
      <c r="BX89" s="23">
        <f>'QTR Raw'!AR23</f>
        <v>3.09</v>
      </c>
      <c r="BY89" s="23">
        <f>'QTR Raw'!AS23</f>
        <v>3.89</v>
      </c>
      <c r="BZ89" s="23">
        <f>'QTR Raw'!AT23</f>
        <v>5.44</v>
      </c>
      <c r="CA89" s="23">
        <f>'QTR Raw'!AU23</f>
        <v>2.38</v>
      </c>
      <c r="CB89" s="23">
        <f>'QTR Raw'!AV23</f>
        <v>3.81</v>
      </c>
      <c r="CC89" s="23">
        <f>'QTR Raw'!AW23</f>
        <v>2.92</v>
      </c>
      <c r="CD89" s="23">
        <f>'QTR Raw'!AX23</f>
        <v>3.68</v>
      </c>
      <c r="CE89" s="23">
        <f>'QTR Raw'!AY23</f>
        <v>5.05</v>
      </c>
      <c r="CF89" s="23">
        <f>'QTR Raw'!AZ23</f>
        <v>1.43</v>
      </c>
      <c r="CG89" s="23">
        <f>'QTR Raw'!BA23</f>
        <v>-3.19</v>
      </c>
      <c r="CH89" s="23">
        <f>'QTR Raw'!BB23</f>
        <v>12.08</v>
      </c>
      <c r="CI89" s="23">
        <f>'QTR Raw'!BC23</f>
        <v>12.74</v>
      </c>
      <c r="CJ89" s="23">
        <f>'QTR Raw'!BD23</f>
        <v>-1.4</v>
      </c>
      <c r="CK89" s="23">
        <f>'QTR Raw'!BE23</f>
        <v>0.33</v>
      </c>
      <c r="CL89" s="23">
        <f>'QTR Raw'!BF23</f>
        <v>-3.61</v>
      </c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E89" s="123"/>
      <c r="DF89" s="23">
        <v>8.06</v>
      </c>
    </row>
    <row r="90" spans="1:110" s="23" customFormat="1" x14ac:dyDescent="0.2">
      <c r="A90" s="23" t="s">
        <v>17</v>
      </c>
      <c r="B90" s="23">
        <f>'Annual Raw'!C25</f>
        <v>10.024016899999999</v>
      </c>
      <c r="C90" s="23">
        <f>'Annual Raw'!D25</f>
        <v>8.9695940000000007</v>
      </c>
      <c r="D90" s="23">
        <f>'Annual Raw'!E25</f>
        <v>7.0409123999999998</v>
      </c>
      <c r="E90" s="23">
        <f>'Annual Raw'!F25</f>
        <v>9.2696582999999997</v>
      </c>
      <c r="F90" s="23">
        <f>'Annual Raw'!G25</f>
        <v>9.0136955000000007</v>
      </c>
      <c r="G90" s="23">
        <f>'Annual Raw'!H25</f>
        <v>9.7867101000000005</v>
      </c>
      <c r="H90" s="23">
        <f>'Annual Raw'!I25</f>
        <v>22.6199805</v>
      </c>
      <c r="I90" s="23">
        <f>'Annual Raw'!J25</f>
        <v>39.262989400000002</v>
      </c>
      <c r="J90" s="23">
        <f>'Annual Raw'!K25</f>
        <v>51.4265106</v>
      </c>
      <c r="K90" s="23">
        <f>'Annual Raw'!L25</f>
        <v>47.587420399999999</v>
      </c>
      <c r="L90" s="23">
        <f>'Annual Raw'!M25</f>
        <v>56.48</v>
      </c>
      <c r="M90" s="23">
        <f>'Annual Raw'!N25</f>
        <v>66.53</v>
      </c>
      <c r="N90" s="23">
        <f>'Annual Raw'!O25</f>
        <v>68.67</v>
      </c>
      <c r="O90" s="23">
        <f>'Annual Raw'!P25</f>
        <v>66.06</v>
      </c>
      <c r="P90" s="23">
        <f>'Annual Raw'!Q25</f>
        <v>67.22</v>
      </c>
      <c r="Q90" s="23">
        <f>'Annual Raw'!R25</f>
        <v>63.96</v>
      </c>
      <c r="R90" s="23">
        <f>'Annual Raw'!S25</f>
        <v>64.73</v>
      </c>
      <c r="S90" s="23">
        <f>'Annual Raw'!T25</f>
        <v>62.83</v>
      </c>
      <c r="T90" s="23">
        <f>'Annual Raw'!U25</f>
        <v>66.61</v>
      </c>
      <c r="U90" s="23">
        <f>'Annual Raw'!V25</f>
        <v>68.81</v>
      </c>
      <c r="V90" s="23">
        <f>'Annual Raw'!W25</f>
        <v>49.39</v>
      </c>
      <c r="W90" s="23">
        <f>'Annual Raw'!X25</f>
        <v>47.8</v>
      </c>
      <c r="X90" s="23">
        <f>'Annual Raw'!Y25</f>
        <v>53.91</v>
      </c>
      <c r="Y90" s="23">
        <f>'Annual Raw'!Z25</f>
        <v>71.430000000000007</v>
      </c>
      <c r="Z90" s="23">
        <f>'Annual Raw'!AA25</f>
        <v>94.68</v>
      </c>
      <c r="AA90" s="23">
        <f>'Annual Raw'!AB25</f>
        <v>113.95</v>
      </c>
      <c r="AB90" s="76">
        <f>+SUM(CM90:CP90)</f>
        <v>120.85536125324518</v>
      </c>
      <c r="AC90" s="76">
        <f>+SUM(CQ90:CT90)</f>
        <v>106.20474198473721</v>
      </c>
      <c r="AD90" s="76">
        <f>+SUM(CU90:CX90)</f>
        <v>69.571230643364856</v>
      </c>
      <c r="AE90" s="76">
        <f>+SUM(CY90:DB90)</f>
        <v>26.850193413655322</v>
      </c>
      <c r="AI90" s="23">
        <f>'QTR Raw'!C25</f>
        <v>20.03</v>
      </c>
      <c r="AJ90" s="23">
        <f>'QTR Raw'!D25</f>
        <v>15.64</v>
      </c>
      <c r="AK90" s="23">
        <f>'QTR Raw'!E25</f>
        <v>16.72</v>
      </c>
      <c r="AL90" s="23">
        <f>'QTR Raw'!F25</f>
        <v>16.28</v>
      </c>
      <c r="AM90" s="23">
        <f>'QTR Raw'!G25</f>
        <v>16.940000000000001</v>
      </c>
      <c r="AN90" s="23">
        <f>'QTR Raw'!H25</f>
        <v>15.05</v>
      </c>
      <c r="AO90" s="23">
        <f>'QTR Raw'!I25</f>
        <v>16.510000000000002</v>
      </c>
      <c r="AP90" s="23">
        <f>'QTR Raw'!J25</f>
        <v>17.559999999999999</v>
      </c>
      <c r="AQ90" s="23">
        <f>'QTR Raw'!K25</f>
        <v>16.760000000000002</v>
      </c>
      <c r="AR90" s="23">
        <f>'QTR Raw'!L25</f>
        <v>16.29</v>
      </c>
      <c r="AS90" s="23">
        <f>'QTR Raw'!M25</f>
        <v>16.45</v>
      </c>
      <c r="AT90" s="23">
        <f>'QTR Raw'!N25</f>
        <v>17.72</v>
      </c>
      <c r="AU90" s="23">
        <f>'QTR Raw'!O25</f>
        <v>17.55</v>
      </c>
      <c r="AV90" s="23">
        <f>'QTR Raw'!P25</f>
        <v>16.34</v>
      </c>
      <c r="AW90" s="23">
        <f>'QTR Raw'!Q25</f>
        <v>15.1</v>
      </c>
      <c r="AX90" s="23">
        <f>'QTR Raw'!R25</f>
        <v>14.97</v>
      </c>
      <c r="AY90" s="23">
        <f>'QTR Raw'!S25</f>
        <v>16.54</v>
      </c>
      <c r="AZ90" s="23">
        <f>'QTR Raw'!T25</f>
        <v>15.75</v>
      </c>
      <c r="BA90" s="23">
        <f>'QTR Raw'!U25</f>
        <v>16.62</v>
      </c>
      <c r="BB90" s="23">
        <f>'QTR Raw'!V25</f>
        <v>14.68</v>
      </c>
      <c r="BC90" s="23">
        <f>'QTR Raw'!W25</f>
        <v>16.29</v>
      </c>
      <c r="BD90" s="23">
        <f>'QTR Raw'!X25</f>
        <v>16.079999999999998</v>
      </c>
      <c r="BE90" s="23">
        <f>'QTR Raw'!Y25</f>
        <v>12.92</v>
      </c>
      <c r="BF90" s="23">
        <f>'QTR Raw'!Z25</f>
        <v>17.53</v>
      </c>
      <c r="BG90" s="23">
        <f>'QTR Raw'!AA25</f>
        <v>18.12</v>
      </c>
      <c r="BH90" s="23">
        <f>'QTR Raw'!AB25</f>
        <v>15.9</v>
      </c>
      <c r="BI90" s="23">
        <f>'QTR Raw'!AC25</f>
        <v>14.38</v>
      </c>
      <c r="BJ90" s="23">
        <f>'QTR Raw'!AD25</f>
        <v>18.21</v>
      </c>
      <c r="BK90" s="23">
        <f>'QTR Raw'!AE25</f>
        <v>18.84</v>
      </c>
      <c r="BL90" s="23">
        <f>'QTR Raw'!AF25</f>
        <v>17.36</v>
      </c>
      <c r="BM90" s="23">
        <f>'QTR Raw'!AG25</f>
        <v>15.12</v>
      </c>
      <c r="BN90" s="23">
        <f>'QTR Raw'!AH25</f>
        <v>17.489999999999998</v>
      </c>
      <c r="BO90" s="23">
        <f>'QTR Raw'!AI25</f>
        <v>13.85</v>
      </c>
      <c r="BP90" s="23">
        <f>'QTR Raw'!AJ25</f>
        <v>9.73</v>
      </c>
      <c r="BQ90" s="23">
        <f>'QTR Raw'!AK25</f>
        <v>11.81</v>
      </c>
      <c r="BR90" s="23">
        <f>'QTR Raw'!AL25</f>
        <v>14</v>
      </c>
      <c r="BS90" s="23">
        <f>'QTR Raw'!AM25</f>
        <v>11.54</v>
      </c>
      <c r="BT90" s="23">
        <f>'QTR Raw'!AN25</f>
        <v>12.04</v>
      </c>
      <c r="BU90" s="23">
        <f>'QTR Raw'!AO25</f>
        <v>13</v>
      </c>
      <c r="BV90" s="23">
        <f>'QTR Raw'!AP25</f>
        <v>11.22</v>
      </c>
      <c r="BW90" s="23">
        <f>'QTR Raw'!AQ25</f>
        <v>14.29</v>
      </c>
      <c r="BX90" s="23">
        <f>'QTR Raw'!AR25</f>
        <v>16.440000000000001</v>
      </c>
      <c r="BY90" s="23">
        <f>'QTR Raw'!AS25</f>
        <v>13.41</v>
      </c>
      <c r="BZ90" s="23">
        <f>'QTR Raw'!AT25</f>
        <v>9.77</v>
      </c>
      <c r="CA90" s="23">
        <f>'QTR Raw'!AU25</f>
        <v>13.91</v>
      </c>
      <c r="CB90" s="23">
        <f>'QTR Raw'!AV25</f>
        <v>15.76</v>
      </c>
      <c r="CC90" s="23">
        <f>'QTR Raw'!AW25</f>
        <v>18.420000000000002</v>
      </c>
      <c r="CD90" s="23">
        <f>'QTR Raw'!AX25</f>
        <v>23.34</v>
      </c>
      <c r="CE90" s="23">
        <f>'QTR Raw'!AY25</f>
        <v>23.13</v>
      </c>
      <c r="CF90" s="23">
        <f>'QTR Raw'!AZ25</f>
        <v>24.63</v>
      </c>
      <c r="CG90" s="23">
        <f>'QTR Raw'!BA25</f>
        <v>21.45</v>
      </c>
      <c r="CH90" s="23">
        <f>'QTR Raw'!BB25</f>
        <v>25.47</v>
      </c>
      <c r="CI90" s="23">
        <f>'QTR Raw'!BC25</f>
        <v>30.3</v>
      </c>
      <c r="CJ90" s="23">
        <f>'QTR Raw'!BD25</f>
        <v>29.34</v>
      </c>
      <c r="CK90" s="23">
        <f>'QTR Raw'!BE25</f>
        <v>27.39</v>
      </c>
      <c r="CL90" s="23">
        <f>'QTR Raw'!BF25</f>
        <v>26.92</v>
      </c>
      <c r="CM90" s="24">
        <f t="shared" ref="CM90:DB90" si="142">CM91*CL227</f>
        <v>29.804912919668432</v>
      </c>
      <c r="CN90" s="24">
        <f t="shared" si="142"/>
        <v>30.863427614208799</v>
      </c>
      <c r="CO90" s="24">
        <f t="shared" si="142"/>
        <v>30.379392554169907</v>
      </c>
      <c r="CP90" s="24">
        <f t="shared" si="142"/>
        <v>29.807628165198039</v>
      </c>
      <c r="CQ90" s="24">
        <f t="shared" si="142"/>
        <v>29.208061106341535</v>
      </c>
      <c r="CR90" s="24">
        <f t="shared" si="142"/>
        <v>27.585784079522934</v>
      </c>
      <c r="CS90" s="24">
        <f t="shared" si="142"/>
        <v>25.826417587367906</v>
      </c>
      <c r="CT90" s="24">
        <f t="shared" si="142"/>
        <v>23.584479211504828</v>
      </c>
      <c r="CU90" s="24">
        <f t="shared" si="142"/>
        <v>21.177294959516818</v>
      </c>
      <c r="CV90" s="24">
        <f t="shared" si="142"/>
        <v>18.705503935535592</v>
      </c>
      <c r="CW90" s="24">
        <f t="shared" si="142"/>
        <v>16.153770423668952</v>
      </c>
      <c r="CX90" s="24">
        <f t="shared" si="142"/>
        <v>13.534661324643487</v>
      </c>
      <c r="CY90" s="24">
        <f t="shared" si="142"/>
        <v>10.85957692070266</v>
      </c>
      <c r="CZ90" s="24">
        <f t="shared" si="142"/>
        <v>8.1381131488509926</v>
      </c>
      <c r="DA90" s="24">
        <f t="shared" si="142"/>
        <v>5.3509292919493872</v>
      </c>
      <c r="DB90" s="24">
        <f t="shared" si="142"/>
        <v>2.5015740521522813</v>
      </c>
      <c r="DE90" s="123"/>
      <c r="DF90" s="23">
        <v>25.677382954542633</v>
      </c>
    </row>
    <row r="91" spans="1:110" s="46" customFormat="1" x14ac:dyDescent="0.2">
      <c r="A91" s="46" t="s">
        <v>481</v>
      </c>
      <c r="B91" s="46">
        <f>+B90/B182</f>
        <v>0.13429696126212692</v>
      </c>
      <c r="C91" s="46">
        <f>+C90/C182</f>
        <v>0.12532770486517458</v>
      </c>
      <c r="D91" s="46">
        <f>+D90/D182</f>
        <v>6.7421763295107059E-2</v>
      </c>
      <c r="E91" s="46">
        <f t="shared" ref="E91:AE91" si="143">+E90/E182</f>
        <v>5.642423206822221E-2</v>
      </c>
      <c r="F91" s="46">
        <f t="shared" si="143"/>
        <v>4.871128604610217E-2</v>
      </c>
      <c r="G91" s="46">
        <f t="shared" si="143"/>
        <v>3.1371354946109917E-2</v>
      </c>
      <c r="H91" s="46">
        <f t="shared" si="143"/>
        <v>3.5083275627796388E-2</v>
      </c>
      <c r="I91" s="46">
        <f t="shared" si="143"/>
        <v>5.3812343095656807E-2</v>
      </c>
      <c r="J91" s="46">
        <f t="shared" si="143"/>
        <v>7.4229029809144906E-2</v>
      </c>
      <c r="K91" s="46">
        <f t="shared" si="143"/>
        <v>6.8709180877615461E-2</v>
      </c>
      <c r="L91" s="46">
        <f t="shared" si="143"/>
        <v>7.857977628137347E-2</v>
      </c>
      <c r="M91" s="46">
        <f t="shared" si="143"/>
        <v>9.2100891522232678E-2</v>
      </c>
      <c r="N91" s="46">
        <f t="shared" si="143"/>
        <v>0.10344983428743598</v>
      </c>
      <c r="O91" s="46">
        <f t="shared" si="143"/>
        <v>0.11161234730599626</v>
      </c>
      <c r="P91" s="46">
        <f t="shared" si="143"/>
        <v>0.10898007490150939</v>
      </c>
      <c r="Q91" s="46">
        <f t="shared" si="143"/>
        <v>9.8574400863065445E-2</v>
      </c>
      <c r="R91" s="46">
        <f t="shared" si="143"/>
        <v>9.1392991274390767E-2</v>
      </c>
      <c r="S91" s="46">
        <f t="shared" si="143"/>
        <v>7.979527299051295E-2</v>
      </c>
      <c r="T91" s="46">
        <f t="shared" si="143"/>
        <v>9.4175031811112683E-2</v>
      </c>
      <c r="U91" s="46">
        <f t="shared" si="143"/>
        <v>0.10622597526899981</v>
      </c>
      <c r="V91" s="46">
        <f t="shared" si="143"/>
        <v>8.3782866836301956E-2</v>
      </c>
      <c r="W91" s="46">
        <f t="shared" si="143"/>
        <v>7.8788178476651982E-2</v>
      </c>
      <c r="X91" s="46">
        <f t="shared" si="143"/>
        <v>6.5446202032219292E-2</v>
      </c>
      <c r="Y91" s="46">
        <f t="shared" si="143"/>
        <v>6.706916302041277E-2</v>
      </c>
      <c r="Z91" s="46">
        <f t="shared" si="143"/>
        <v>8.3441292335351511E-2</v>
      </c>
      <c r="AA91" s="46">
        <f t="shared" ref="AA91" si="144">+AA90/AA182</f>
        <v>8.9306707211937869E-2</v>
      </c>
      <c r="AB91" s="110">
        <f t="shared" si="143"/>
        <v>0.10173524020846605</v>
      </c>
      <c r="AC91" s="110">
        <f t="shared" si="143"/>
        <v>8.0706371099546495E-2</v>
      </c>
      <c r="AD91" s="110">
        <f t="shared" si="143"/>
        <v>5.9364157417073272E-2</v>
      </c>
      <c r="AE91" s="110">
        <f t="shared" si="143"/>
        <v>2.612038972474592E-2</v>
      </c>
      <c r="AI91" s="46" t="e">
        <f t="shared" ref="AI91:BN91" si="145">(AI90-AI89)/AH227</f>
        <v>#DIV/0!</v>
      </c>
      <c r="AJ91" s="46" t="e">
        <f t="shared" si="145"/>
        <v>#DIV/0!</v>
      </c>
      <c r="AK91" s="46">
        <f t="shared" si="145"/>
        <v>2.6690992634637471E-2</v>
      </c>
      <c r="AL91" s="46">
        <f t="shared" si="145"/>
        <v>2.4103051555005091E-2</v>
      </c>
      <c r="AM91" s="46">
        <f t="shared" si="145"/>
        <v>2.7433214683780963E-2</v>
      </c>
      <c r="AN91" s="46">
        <f t="shared" si="145"/>
        <v>2.3711585380477115E-2</v>
      </c>
      <c r="AO91" s="46">
        <f t="shared" si="145"/>
        <v>2.4169126384789359E-2</v>
      </c>
      <c r="AP91" s="46">
        <f t="shared" si="145"/>
        <v>3.7193343846304537E-2</v>
      </c>
      <c r="AQ91" s="46">
        <f t="shared" si="145"/>
        <v>3.062545513391051E-2</v>
      </c>
      <c r="AR91" s="46">
        <f t="shared" si="145"/>
        <v>3.2338225249449098E-2</v>
      </c>
      <c r="AS91" s="46">
        <f t="shared" si="145"/>
        <v>3.4685586077254256E-2</v>
      </c>
      <c r="AT91" s="46">
        <f t="shared" si="145"/>
        <v>3.4185891285103708E-2</v>
      </c>
      <c r="AU91" s="46">
        <f t="shared" si="145"/>
        <v>2.9088168801808589E-2</v>
      </c>
      <c r="AV91" s="46">
        <f t="shared" si="145"/>
        <v>2.7798002310008355E-2</v>
      </c>
      <c r="AW91" s="46">
        <f t="shared" si="145"/>
        <v>2.6869768610697644E-2</v>
      </c>
      <c r="AX91" s="46">
        <f t="shared" si="145"/>
        <v>1.939364144434755E-3</v>
      </c>
      <c r="AY91" s="46">
        <f t="shared" si="145"/>
        <v>2.0734423286086701E-2</v>
      </c>
      <c r="AZ91" s="46">
        <f t="shared" si="145"/>
        <v>1.8990499737374964E-2</v>
      </c>
      <c r="BA91" s="46">
        <f t="shared" si="145"/>
        <v>2.3213144832331313E-2</v>
      </c>
      <c r="BB91" s="46">
        <f t="shared" si="145"/>
        <v>5.6556273156788683E-3</v>
      </c>
      <c r="BC91" s="46">
        <f t="shared" si="145"/>
        <v>1.3066595980228588E-2</v>
      </c>
      <c r="BD91" s="46">
        <f t="shared" si="145"/>
        <v>1.9696327861583054E-2</v>
      </c>
      <c r="BE91" s="46">
        <f t="shared" si="145"/>
        <v>9.5043606436555697E-3</v>
      </c>
      <c r="BF91" s="46">
        <f t="shared" si="145"/>
        <v>1.4731585994585024E-2</v>
      </c>
      <c r="BG91" s="46">
        <f t="shared" si="145"/>
        <v>2.1526884126895317E-2</v>
      </c>
      <c r="BH91" s="46">
        <f t="shared" si="145"/>
        <v>1.8627213919844173E-2</v>
      </c>
      <c r="BI91" s="46">
        <f t="shared" si="145"/>
        <v>1.9067196973082484E-2</v>
      </c>
      <c r="BJ91" s="46">
        <f t="shared" si="145"/>
        <v>2.3911599287708231E-2</v>
      </c>
      <c r="BK91" s="46">
        <f t="shared" si="145"/>
        <v>2.3047094877728436E-2</v>
      </c>
      <c r="BL91" s="46">
        <f t="shared" si="145"/>
        <v>2.497567647396896E-2</v>
      </c>
      <c r="BM91" s="46">
        <f t="shared" si="145"/>
        <v>2.4288411898203487E-2</v>
      </c>
      <c r="BN91" s="46">
        <f t="shared" si="145"/>
        <v>3.1597643168753069E-2</v>
      </c>
      <c r="BO91" s="46">
        <f t="shared" ref="BO91:CT91" si="146">(BO90-BO89)/BN227</f>
        <v>2.1340321976787719E-2</v>
      </c>
      <c r="BP91" s="46">
        <f t="shared" si="146"/>
        <v>4.0454877983085419E-2</v>
      </c>
      <c r="BQ91" s="46">
        <f t="shared" si="146"/>
        <v>1.759905426533959E-2</v>
      </c>
      <c r="BR91" s="46">
        <f t="shared" si="146"/>
        <v>1.2390624250965744E-2</v>
      </c>
      <c r="BS91" s="46">
        <f t="shared" si="146"/>
        <v>1.9375459075298279E-2</v>
      </c>
      <c r="BT91" s="46">
        <f t="shared" si="146"/>
        <v>2.1452496762976316E-2</v>
      </c>
      <c r="BU91" s="46">
        <f t="shared" si="146"/>
        <v>1.7747627368348923E-2</v>
      </c>
      <c r="BV91" s="46">
        <f t="shared" si="146"/>
        <v>2.1835579803205645E-2</v>
      </c>
      <c r="BW91" s="46">
        <f t="shared" si="146"/>
        <v>1.6376050240421634E-2</v>
      </c>
      <c r="BX91" s="46">
        <f t="shared" si="146"/>
        <v>2.6386805375815846E-2</v>
      </c>
      <c r="BY91" s="46">
        <f t="shared" si="146"/>
        <v>1.2802754205946825E-2</v>
      </c>
      <c r="BZ91" s="46">
        <f t="shared" si="146"/>
        <v>6.9874924906461622E-3</v>
      </c>
      <c r="CA91" s="46">
        <f t="shared" si="146"/>
        <v>1.4615287108632274E-2</v>
      </c>
      <c r="CB91" s="46">
        <f t="shared" si="146"/>
        <v>1.5538978552682343E-2</v>
      </c>
      <c r="CC91" s="46">
        <f t="shared" si="146"/>
        <v>1.7177179839531893E-2</v>
      </c>
      <c r="CD91" s="46">
        <f t="shared" si="146"/>
        <v>2.208069604533305E-2</v>
      </c>
      <c r="CE91" s="46">
        <f t="shared" si="146"/>
        <v>1.7613592081677187E-2</v>
      </c>
      <c r="CF91" s="46">
        <f t="shared" si="146"/>
        <v>2.3101961735247759E-2</v>
      </c>
      <c r="CG91" s="46">
        <f t="shared" si="146"/>
        <v>2.0901903566217638E-2</v>
      </c>
      <c r="CH91" s="46">
        <f t="shared" si="146"/>
        <v>1.0575009578162362E-2</v>
      </c>
      <c r="CI91" s="46">
        <f t="shared" si="146"/>
        <v>1.7491607813449415E-2</v>
      </c>
      <c r="CJ91" s="46">
        <f t="shared" si="146"/>
        <v>3.0405866582223814E-2</v>
      </c>
      <c r="CK91" s="46">
        <f t="shared" si="146"/>
        <v>2.3189647784728769E-2</v>
      </c>
      <c r="CL91" s="46">
        <f t="shared" si="146"/>
        <v>2.7572122444141825E-2</v>
      </c>
      <c r="CM91" s="47">
        <f t="shared" ref="CM91:DB91" si="147">+CL91</f>
        <v>2.7572122444141825E-2</v>
      </c>
      <c r="CN91" s="47">
        <f t="shared" si="147"/>
        <v>2.7572122444141825E-2</v>
      </c>
      <c r="CO91" s="47">
        <f t="shared" si="147"/>
        <v>2.7572122444141825E-2</v>
      </c>
      <c r="CP91" s="47">
        <f t="shared" si="147"/>
        <v>2.7572122444141825E-2</v>
      </c>
      <c r="CQ91" s="47">
        <f t="shared" si="147"/>
        <v>2.7572122444141825E-2</v>
      </c>
      <c r="CR91" s="47">
        <f t="shared" si="147"/>
        <v>2.7572122444141825E-2</v>
      </c>
      <c r="CS91" s="47">
        <f t="shared" si="147"/>
        <v>2.7572122444141825E-2</v>
      </c>
      <c r="CT91" s="47">
        <f t="shared" si="147"/>
        <v>2.7572122444141825E-2</v>
      </c>
      <c r="CU91" s="47">
        <f t="shared" si="147"/>
        <v>2.7572122444141825E-2</v>
      </c>
      <c r="CV91" s="47">
        <f t="shared" si="147"/>
        <v>2.7572122444141825E-2</v>
      </c>
      <c r="CW91" s="47">
        <f t="shared" si="147"/>
        <v>2.7572122444141825E-2</v>
      </c>
      <c r="CX91" s="47">
        <f t="shared" si="147"/>
        <v>2.7572122444141825E-2</v>
      </c>
      <c r="CY91" s="47">
        <f t="shared" si="147"/>
        <v>2.7572122444141825E-2</v>
      </c>
      <c r="CZ91" s="47">
        <f t="shared" si="147"/>
        <v>2.7572122444141825E-2</v>
      </c>
      <c r="DA91" s="47">
        <f t="shared" si="147"/>
        <v>2.7572122444141825E-2</v>
      </c>
      <c r="DB91" s="47">
        <f t="shared" si="147"/>
        <v>2.7572122444141825E-2</v>
      </c>
      <c r="DE91" s="130"/>
      <c r="DF91" s="46">
        <v>2.3189647784728769E-2</v>
      </c>
    </row>
    <row r="92" spans="1:110" s="26" customFormat="1" x14ac:dyDescent="0.2">
      <c r="A92" s="26" t="s">
        <v>19</v>
      </c>
      <c r="B92" s="26">
        <f>B88+B89-B90</f>
        <v>8.1485614000000055</v>
      </c>
      <c r="C92" s="26">
        <f t="shared" ref="C92:T92" si="148">C88+C89-C90</f>
        <v>5.9074215000000336</v>
      </c>
      <c r="D92" s="26">
        <f>D88+D89-D90</f>
        <v>11.170175199999992</v>
      </c>
      <c r="E92" s="26">
        <f t="shared" si="148"/>
        <v>15.827268399999991</v>
      </c>
      <c r="F92" s="26">
        <f t="shared" si="148"/>
        <v>17.72477860000004</v>
      </c>
      <c r="G92" s="26">
        <f t="shared" si="148"/>
        <v>33.755003700000017</v>
      </c>
      <c r="H92" s="26">
        <f t="shared" si="148"/>
        <v>37.059829200000053</v>
      </c>
      <c r="I92" s="26">
        <f t="shared" si="148"/>
        <v>6.7509348000000315</v>
      </c>
      <c r="J92" s="26">
        <f t="shared" si="148"/>
        <v>-32.160456400000029</v>
      </c>
      <c r="K92" s="26">
        <f t="shared" si="148"/>
        <v>26.235634300000015</v>
      </c>
      <c r="L92" s="26">
        <f t="shared" si="148"/>
        <v>83.290000000000106</v>
      </c>
      <c r="M92" s="26">
        <f t="shared" si="148"/>
        <v>26.009999999999906</v>
      </c>
      <c r="N92" s="26">
        <f t="shared" si="148"/>
        <v>74.830000000000112</v>
      </c>
      <c r="O92" s="26">
        <f t="shared" si="148"/>
        <v>61.150000000000006</v>
      </c>
      <c r="P92" s="26">
        <f t="shared" si="148"/>
        <v>72.510000000000076</v>
      </c>
      <c r="Q92" s="26">
        <f t="shared" si="148"/>
        <v>110.42999999999984</v>
      </c>
      <c r="R92" s="26">
        <f t="shared" si="148"/>
        <v>60.77000000000001</v>
      </c>
      <c r="S92" s="26">
        <f t="shared" si="148"/>
        <v>10.00000000000027</v>
      </c>
      <c r="T92" s="26">
        <f t="shared" si="148"/>
        <v>21.090000000000018</v>
      </c>
      <c r="U92" s="26">
        <f t="shared" ref="U92:Z92" si="149">U88+U89-U90</f>
        <v>20.139999999999972</v>
      </c>
      <c r="V92" s="26">
        <f t="shared" si="149"/>
        <v>1.9800000000001603</v>
      </c>
      <c r="W92" s="26">
        <f t="shared" si="149"/>
        <v>196.38000000000022</v>
      </c>
      <c r="X92" s="26">
        <f t="shared" si="149"/>
        <v>185.41000000000005</v>
      </c>
      <c r="Y92" s="26">
        <f t="shared" si="149"/>
        <v>60.029999999999887</v>
      </c>
      <c r="Z92" s="26">
        <f t="shared" si="149"/>
        <v>50.839999999999719</v>
      </c>
      <c r="AA92" s="26">
        <f t="shared" ref="AA92" si="150">AA88+AA89-AA90</f>
        <v>119.48000000000012</v>
      </c>
      <c r="AB92" s="27">
        <f>AB88+AB89-AB90</f>
        <v>219.62129814117571</v>
      </c>
      <c r="AC92" s="27">
        <f>AC88+AC89-AC90</f>
        <v>292.3624892341648</v>
      </c>
      <c r="AD92" s="27">
        <f>AD88+AD89-AD90</f>
        <v>348.39595504517956</v>
      </c>
      <c r="AE92" s="27">
        <f>AE88+AE89-AE90</f>
        <v>401.42890318041407</v>
      </c>
      <c r="AI92" s="26">
        <f t="shared" ref="AI92:AO92" si="151">AI88+AI89-AI90</f>
        <v>14.039999999999957</v>
      </c>
      <c r="AJ92" s="26">
        <f t="shared" si="151"/>
        <v>26.330000000000041</v>
      </c>
      <c r="AK92" s="26">
        <f t="shared" si="151"/>
        <v>16.049999999999983</v>
      </c>
      <c r="AL92" s="26">
        <f t="shared" si="151"/>
        <v>18.860000000000007</v>
      </c>
      <c r="AM92" s="26">
        <f t="shared" si="151"/>
        <v>12.240000000000041</v>
      </c>
      <c r="AN92" s="26">
        <f t="shared" si="151"/>
        <v>18.13999999999994</v>
      </c>
      <c r="AO92" s="26">
        <f t="shared" si="151"/>
        <v>16.86000000000001</v>
      </c>
      <c r="AP92" s="26">
        <f t="shared" ref="AP92:CD92" si="152">AP88+AP89-AP90</f>
        <v>14.210000000000036</v>
      </c>
      <c r="AQ92" s="26">
        <f t="shared" si="152"/>
        <v>16.810000000000013</v>
      </c>
      <c r="AR92" s="26">
        <f t="shared" si="152"/>
        <v>18.730000000000011</v>
      </c>
      <c r="AS92" s="26">
        <f t="shared" si="152"/>
        <v>16.609999999999967</v>
      </c>
      <c r="AT92" s="26">
        <f t="shared" si="152"/>
        <v>20.360000000000014</v>
      </c>
      <c r="AU92" s="26">
        <f t="shared" si="152"/>
        <v>26.06999999999999</v>
      </c>
      <c r="AV92" s="26">
        <f t="shared" si="152"/>
        <v>28.020000000000028</v>
      </c>
      <c r="AW92" s="26">
        <f t="shared" si="152"/>
        <v>22.890000000000065</v>
      </c>
      <c r="AX92" s="26">
        <f t="shared" si="152"/>
        <v>33.800000000000004</v>
      </c>
      <c r="AY92" s="26">
        <f t="shared" si="152"/>
        <v>23.010000000000062</v>
      </c>
      <c r="AZ92" s="26">
        <f t="shared" si="152"/>
        <v>19.160000000000025</v>
      </c>
      <c r="BA92" s="26">
        <f t="shared" si="152"/>
        <v>5.1500000000000234</v>
      </c>
      <c r="BB92" s="26">
        <f t="shared" si="152"/>
        <v>15.629999999999953</v>
      </c>
      <c r="BC92" s="26">
        <f t="shared" si="152"/>
        <v>1.1700000000000159</v>
      </c>
      <c r="BD92" s="26">
        <f t="shared" si="152"/>
        <v>0.91999999999996618</v>
      </c>
      <c r="BE92" s="26">
        <f t="shared" si="152"/>
        <v>4.719999999999958</v>
      </c>
      <c r="BF92" s="26">
        <f t="shared" si="152"/>
        <v>5.8399999999999963</v>
      </c>
      <c r="BG92" s="26">
        <f t="shared" si="152"/>
        <v>4.959999999999976</v>
      </c>
      <c r="BH92" s="26">
        <f t="shared" si="152"/>
        <v>12.900000000000039</v>
      </c>
      <c r="BI92" s="26">
        <f t="shared" si="152"/>
        <v>9.9999999999766942E-3</v>
      </c>
      <c r="BJ92" s="26">
        <f t="shared" si="152"/>
        <v>3.2199999999999953</v>
      </c>
      <c r="BK92" s="26">
        <f t="shared" si="152"/>
        <v>1.8399999999999785</v>
      </c>
      <c r="BL92" s="26">
        <f t="shared" si="152"/>
        <v>4.0300000000000118</v>
      </c>
      <c r="BM92" s="26">
        <f t="shared" si="152"/>
        <v>7.2299999999999738</v>
      </c>
      <c r="BN92" s="26">
        <f t="shared" si="152"/>
        <v>7.0399999999999814</v>
      </c>
      <c r="BO92" s="26">
        <f t="shared" si="152"/>
        <v>-49.610000000000021</v>
      </c>
      <c r="BP92" s="26">
        <f t="shared" si="152"/>
        <v>-5.7999999999999954</v>
      </c>
      <c r="BQ92" s="26">
        <f t="shared" si="152"/>
        <v>12.240000000000011</v>
      </c>
      <c r="BR92" s="26">
        <f t="shared" si="152"/>
        <v>45.15</v>
      </c>
      <c r="BS92" s="26">
        <f t="shared" si="152"/>
        <v>20.069999999999997</v>
      </c>
      <c r="BT92" s="26">
        <f t="shared" si="152"/>
        <v>46.839999999999918</v>
      </c>
      <c r="BU92" s="26">
        <f t="shared" si="152"/>
        <v>48.800000000000011</v>
      </c>
      <c r="BV92" s="26">
        <f t="shared" si="152"/>
        <v>80.670000000000087</v>
      </c>
      <c r="BW92" s="26">
        <f t="shared" si="152"/>
        <v>65.079999999999984</v>
      </c>
      <c r="BX92" s="26">
        <f t="shared" si="152"/>
        <v>43.270000000000024</v>
      </c>
      <c r="BY92" s="26">
        <f t="shared" si="152"/>
        <v>24.22000000000001</v>
      </c>
      <c r="BZ92" s="26">
        <f t="shared" si="152"/>
        <v>52.839999999999989</v>
      </c>
      <c r="CA92" s="26">
        <f t="shared" si="152"/>
        <v>20.680000000000025</v>
      </c>
      <c r="CB92" s="26">
        <f t="shared" si="152"/>
        <v>12.399999999999972</v>
      </c>
      <c r="CC92" s="26">
        <f t="shared" si="152"/>
        <v>6.0400000000000276</v>
      </c>
      <c r="CD92" s="26">
        <f t="shared" si="152"/>
        <v>20.909999999999965</v>
      </c>
      <c r="CE92" s="26">
        <f t="shared" ref="CE92:CL92" si="153">CE88+CE89-CE90</f>
        <v>21.239999999999991</v>
      </c>
      <c r="CF92" s="26">
        <f t="shared" si="153"/>
        <v>4.6600000000000534</v>
      </c>
      <c r="CG92" s="26">
        <f t="shared" si="153"/>
        <v>10.479999999999947</v>
      </c>
      <c r="CH92" s="26">
        <f t="shared" si="153"/>
        <v>14.459999999999987</v>
      </c>
      <c r="CI92" s="26">
        <f t="shared" si="153"/>
        <v>4.1900000000000226</v>
      </c>
      <c r="CJ92" s="26">
        <f t="shared" si="153"/>
        <v>35.739999999999895</v>
      </c>
      <c r="CK92" s="26">
        <f t="shared" si="153"/>
        <v>32.799999999999997</v>
      </c>
      <c r="CL92" s="26">
        <f t="shared" si="153"/>
        <v>46.749999999999915</v>
      </c>
      <c r="CM92" s="27">
        <f t="shared" ref="CM92:DB92" si="154">CM88+CM89-CM90</f>
        <v>45.965615873680711</v>
      </c>
      <c r="CN92" s="27">
        <f t="shared" si="154"/>
        <v>53.155436451537611</v>
      </c>
      <c r="CO92" s="27">
        <f t="shared" si="154"/>
        <v>58.284492959726251</v>
      </c>
      <c r="CP92" s="27">
        <f t="shared" si="154"/>
        <v>62.215752856231305</v>
      </c>
      <c r="CQ92" s="27">
        <f t="shared" si="154"/>
        <v>63.250786170265641</v>
      </c>
      <c r="CR92" s="27">
        <f t="shared" si="154"/>
        <v>70.584216546369504</v>
      </c>
      <c r="CS92" s="27">
        <f t="shared" si="154"/>
        <v>76.498616035749052</v>
      </c>
      <c r="CT92" s="27">
        <f t="shared" si="154"/>
        <v>82.02887048177989</v>
      </c>
      <c r="CU92" s="27">
        <f t="shared" si="154"/>
        <v>81.28109655155842</v>
      </c>
      <c r="CV92" s="27">
        <f t="shared" si="154"/>
        <v>85.5321769001322</v>
      </c>
      <c r="CW92" s="27">
        <f t="shared" si="154"/>
        <v>89.190901527431038</v>
      </c>
      <c r="CX92" s="27">
        <f t="shared" si="154"/>
        <v>92.391780066057692</v>
      </c>
      <c r="CY92" s="27">
        <f t="shared" si="154"/>
        <v>95.121142902742179</v>
      </c>
      <c r="CZ92" s="27">
        <f t="shared" si="154"/>
        <v>98.703654411608539</v>
      </c>
      <c r="DA92" s="27">
        <f t="shared" si="154"/>
        <v>102.12160601153047</v>
      </c>
      <c r="DB92" s="27">
        <f t="shared" si="154"/>
        <v>105.48249985453299</v>
      </c>
      <c r="DE92" s="121"/>
      <c r="DF92" s="26">
        <v>22.240806495404176</v>
      </c>
    </row>
    <row r="93" spans="1:110" s="23" customFormat="1" x14ac:dyDescent="0.2">
      <c r="A93" s="23" t="s">
        <v>20</v>
      </c>
      <c r="B93" s="23">
        <f>'Annual Raw'!C30</f>
        <v>0.68</v>
      </c>
      <c r="C93" s="23">
        <f>'Annual Raw'!D30</f>
        <v>1.3049264</v>
      </c>
      <c r="D93" s="23">
        <f>'Annual Raw'!E30</f>
        <v>3.6016778</v>
      </c>
      <c r="E93" s="23">
        <f>'Annual Raw'!F30</f>
        <v>3.7636771000000002</v>
      </c>
      <c r="F93" s="23">
        <f>'Annual Raw'!G30</f>
        <v>3.6759642000000001</v>
      </c>
      <c r="G93" s="23">
        <f>'Annual Raw'!H30</f>
        <v>8.9796589999999998</v>
      </c>
      <c r="H93" s="23">
        <f>'Annual Raw'!I30</f>
        <v>10.034950200000001</v>
      </c>
      <c r="I93" s="23">
        <f>'Annual Raw'!J30</f>
        <v>1.3763657</v>
      </c>
      <c r="J93" s="23">
        <f>'Annual Raw'!K30</f>
        <v>-16.175999999999998</v>
      </c>
      <c r="K93" s="23">
        <f>'Annual Raw'!L30</f>
        <v>9.0831586000000009</v>
      </c>
      <c r="L93" s="23">
        <f>'Annual Raw'!M30</f>
        <v>26.7</v>
      </c>
      <c r="M93" s="23">
        <f>'Annual Raw'!N30</f>
        <v>8.93</v>
      </c>
      <c r="N93" s="23">
        <f>'Annual Raw'!O30</f>
        <v>23.53</v>
      </c>
      <c r="O93" s="23">
        <f>'Annual Raw'!P30</f>
        <v>20.65</v>
      </c>
      <c r="P93" s="23">
        <f>'Annual Raw'!Q30</f>
        <v>20.59</v>
      </c>
      <c r="Q93" s="23">
        <f>'Annual Raw'!R30</f>
        <v>33.39</v>
      </c>
      <c r="R93" s="23">
        <f>'Annual Raw'!S30</f>
        <v>7.84</v>
      </c>
      <c r="S93" s="23">
        <f>'Annual Raw'!T30</f>
        <v>-18.62</v>
      </c>
      <c r="T93" s="23">
        <f>'Annual Raw'!U30</f>
        <v>7.86</v>
      </c>
      <c r="U93" s="23">
        <f>'Annual Raw'!V30</f>
        <v>6.86</v>
      </c>
      <c r="V93" s="23">
        <f>'Annual Raw'!W30</f>
        <v>-2.23</v>
      </c>
      <c r="W93" s="23">
        <f>'Annual Raw'!X30</f>
        <v>43.44</v>
      </c>
      <c r="X93" s="23">
        <f>'Annual Raw'!Y30</f>
        <v>29.12</v>
      </c>
      <c r="Y93" s="23">
        <f>'Annual Raw'!Z30</f>
        <v>12.57</v>
      </c>
      <c r="Z93" s="23">
        <f>'Annual Raw'!AA30</f>
        <v>12.4</v>
      </c>
      <c r="AA93" s="23">
        <f>'Annual Raw'!AB30</f>
        <v>30.23</v>
      </c>
      <c r="AB93" s="24">
        <f>+SUM(CM93:CP93)</f>
        <v>47.015802307701271</v>
      </c>
      <c r="AC93" s="24">
        <f>+SUM(CQ93:CT93)</f>
        <v>62.198616578080177</v>
      </c>
      <c r="AD93" s="24">
        <f>+SUM(CU93:CX93)</f>
        <v>73.996947434682525</v>
      </c>
      <c r="AE93" s="24">
        <f>+SUM(CY93:DB93)</f>
        <v>85.228786123652242</v>
      </c>
      <c r="AI93" s="23">
        <f>'QTR Raw'!C29</f>
        <v>4.2699999999999996</v>
      </c>
      <c r="AJ93" s="23">
        <f>'QTR Raw'!D29</f>
        <v>8.24</v>
      </c>
      <c r="AK93" s="23">
        <f>'QTR Raw'!E29</f>
        <v>4.9800000000000004</v>
      </c>
      <c r="AL93" s="23">
        <f>'QTR Raw'!F29</f>
        <v>6.04</v>
      </c>
      <c r="AM93" s="23">
        <f>'QTR Raw'!G29</f>
        <v>6.21</v>
      </c>
      <c r="AN93" s="23">
        <f>'QTR Raw'!H29</f>
        <v>5.9</v>
      </c>
      <c r="AO93" s="23">
        <f>'QTR Raw'!I29</f>
        <v>4.71</v>
      </c>
      <c r="AP93" s="23">
        <f>'QTR Raw'!J29</f>
        <v>3.83</v>
      </c>
      <c r="AQ93" s="23">
        <f>'QTR Raw'!K29</f>
        <v>5.47</v>
      </c>
      <c r="AR93" s="23">
        <f>'QTR Raw'!L29</f>
        <v>6.76</v>
      </c>
      <c r="AS93" s="23">
        <f>'QTR Raw'!M29</f>
        <v>2.84</v>
      </c>
      <c r="AT93" s="23">
        <f>'QTR Raw'!N29</f>
        <v>5.52</v>
      </c>
      <c r="AU93" s="23">
        <f>'QTR Raw'!O29</f>
        <v>8.8699999999999992</v>
      </c>
      <c r="AV93" s="23">
        <f>'QTR Raw'!P29</f>
        <v>9.3699999999999992</v>
      </c>
      <c r="AW93" s="23">
        <f>'QTR Raw'!Q29</f>
        <v>7.34</v>
      </c>
      <c r="AX93" s="23">
        <f>'QTR Raw'!R29</f>
        <v>7.81</v>
      </c>
      <c r="AY93" s="23">
        <f>'QTR Raw'!S29</f>
        <v>7.73</v>
      </c>
      <c r="AZ93" s="23">
        <f>'QTR Raw'!T29</f>
        <v>3.71</v>
      </c>
      <c r="BA93" s="23">
        <f>'QTR Raw'!U29</f>
        <v>0.65</v>
      </c>
      <c r="BB93" s="23">
        <f>'QTR Raw'!V29</f>
        <v>-3.98</v>
      </c>
      <c r="BC93" s="23">
        <f>'QTR Raw'!W29</f>
        <v>-0.05</v>
      </c>
      <c r="BD93" s="23">
        <f>'QTR Raw'!X29</f>
        <v>0.5</v>
      </c>
      <c r="BE93" s="23">
        <f>'QTR Raw'!Y29</f>
        <v>0.96</v>
      </c>
      <c r="BF93" s="23">
        <f>'QTR Raw'!Z29</f>
        <v>-19.21</v>
      </c>
      <c r="BG93" s="23">
        <f>'QTR Raw'!AA29</f>
        <v>0.87</v>
      </c>
      <c r="BH93" s="23">
        <f>'QTR Raw'!AB29</f>
        <v>3.74</v>
      </c>
      <c r="BI93" s="23">
        <f>'QTR Raw'!AC29</f>
        <v>0.75</v>
      </c>
      <c r="BJ93" s="23">
        <f>'QTR Raw'!AD29</f>
        <v>2.5</v>
      </c>
      <c r="BK93" s="23">
        <f>'QTR Raw'!AE29</f>
        <v>0.7</v>
      </c>
      <c r="BL93" s="23">
        <f>'QTR Raw'!AF29</f>
        <v>0.92</v>
      </c>
      <c r="BM93" s="23">
        <f>'QTR Raw'!AG29</f>
        <v>1.69</v>
      </c>
      <c r="BN93" s="23">
        <f>'QTR Raw'!AH29</f>
        <v>3.55</v>
      </c>
      <c r="BO93" s="23">
        <f>'QTR Raw'!AI29</f>
        <v>-17.09</v>
      </c>
      <c r="BP93" s="23">
        <f>'QTR Raw'!AJ29</f>
        <v>-1.56</v>
      </c>
      <c r="BQ93" s="23">
        <f>'QTR Raw'!AK29</f>
        <v>4.8099999999999996</v>
      </c>
      <c r="BR93" s="23">
        <f>'QTR Raw'!AL29</f>
        <v>11.61</v>
      </c>
      <c r="BS93" s="23">
        <f>'QTR Raw'!AM29</f>
        <v>7.18</v>
      </c>
      <c r="BT93" s="23">
        <f>'QTR Raw'!AN29</f>
        <v>16.97</v>
      </c>
      <c r="BU93" s="23">
        <f>'QTR Raw'!AO29</f>
        <v>5.0599999999999996</v>
      </c>
      <c r="BV93" s="23">
        <f>'QTR Raw'!AP29</f>
        <v>14.23</v>
      </c>
      <c r="BW93" s="23">
        <f>'QTR Raw'!AQ29</f>
        <v>12.55</v>
      </c>
      <c r="BX93" s="23">
        <f>'QTR Raw'!AR29</f>
        <v>9.73</v>
      </c>
      <c r="BY93" s="23">
        <f>'QTR Raw'!AS29</f>
        <v>1.86</v>
      </c>
      <c r="BZ93" s="23">
        <f>'QTR Raw'!AT29</f>
        <v>4.9800000000000004</v>
      </c>
      <c r="CA93" s="23">
        <f>'QTR Raw'!AU29</f>
        <v>6.25</v>
      </c>
      <c r="CB93" s="23">
        <f>'QTR Raw'!AV29</f>
        <v>0.16</v>
      </c>
      <c r="CC93" s="23">
        <f>'QTR Raw'!AW29</f>
        <v>0.56999999999999995</v>
      </c>
      <c r="CD93" s="23">
        <f>'QTR Raw'!AX29</f>
        <v>5.59</v>
      </c>
      <c r="CE93" s="23">
        <f>'QTR Raw'!AY29</f>
        <v>5.3</v>
      </c>
      <c r="CF93" s="23">
        <f>'QTR Raw'!AZ29</f>
        <v>-2.5499999999999998</v>
      </c>
      <c r="CG93" s="23">
        <f>'QTR Raw'!BA29</f>
        <v>6.37</v>
      </c>
      <c r="CH93" s="23">
        <f>'QTR Raw'!BB29</f>
        <v>3.28</v>
      </c>
      <c r="CI93" s="23">
        <f>'QTR Raw'!BC29</f>
        <v>0.4</v>
      </c>
      <c r="CJ93" s="23">
        <f>'QTR Raw'!BD29</f>
        <v>10.95</v>
      </c>
      <c r="CK93" s="23">
        <f>'QTR Raw'!BE29</f>
        <v>6.67</v>
      </c>
      <c r="CL93" s="23">
        <f>'QTR Raw'!BF29</f>
        <v>12.21</v>
      </c>
      <c r="CM93" s="24">
        <f t="shared" ref="CM93:DB93" si="155">+CM92*CM94</f>
        <v>9.9558643058304686</v>
      </c>
      <c r="CN93" s="24">
        <f t="shared" si="155"/>
        <v>12.059683078097832</v>
      </c>
      <c r="CO93" s="24">
        <f t="shared" si="155"/>
        <v>12.064885360358595</v>
      </c>
      <c r="CP93" s="24">
        <f t="shared" si="155"/>
        <v>12.935369563414374</v>
      </c>
      <c r="CQ93" s="24">
        <f t="shared" si="155"/>
        <v>13.573317545815682</v>
      </c>
      <c r="CR93" s="24">
        <f t="shared" si="155"/>
        <v>15.111771255107181</v>
      </c>
      <c r="CS93" s="24">
        <f t="shared" si="155"/>
        <v>16.133601309401566</v>
      </c>
      <c r="CT93" s="24">
        <f t="shared" si="155"/>
        <v>17.379926467755748</v>
      </c>
      <c r="CU93" s="24">
        <f t="shared" si="155"/>
        <v>17.302045783936773</v>
      </c>
      <c r="CV93" s="24">
        <f t="shared" si="155"/>
        <v>18.170000017252622</v>
      </c>
      <c r="CW93" s="24">
        <f t="shared" si="155"/>
        <v>18.91020475299592</v>
      </c>
      <c r="CX93" s="24">
        <f t="shared" si="155"/>
        <v>19.61469688049721</v>
      </c>
      <c r="CY93" s="24">
        <f t="shared" si="155"/>
        <v>20.204207584879669</v>
      </c>
      <c r="CZ93" s="24">
        <f t="shared" si="155"/>
        <v>20.953756315354664</v>
      </c>
      <c r="DA93" s="24">
        <f t="shared" si="155"/>
        <v>21.675647246079663</v>
      </c>
      <c r="DB93" s="24">
        <f t="shared" si="155"/>
        <v>22.395174977338243</v>
      </c>
      <c r="DE93" s="123"/>
      <c r="DF93" s="23">
        <v>4.6262606784790083</v>
      </c>
    </row>
    <row r="94" spans="1:110" s="90" customFormat="1" x14ac:dyDescent="0.2">
      <c r="A94" s="90" t="s">
        <v>105</v>
      </c>
      <c r="B94" s="90">
        <f>B93/B92</f>
        <v>8.3450313082257629E-2</v>
      </c>
      <c r="C94" s="90">
        <f>C93/C92</f>
        <v>0.22089610500960405</v>
      </c>
      <c r="D94" s="90">
        <f>D93/D92</f>
        <v>0.32243700170432443</v>
      </c>
      <c r="E94" s="90">
        <f>E93/E92</f>
        <v>0.23779700987442676</v>
      </c>
      <c r="F94" s="90">
        <f t="shared" ref="F94:T94" si="156">F93/F92</f>
        <v>0.20739126185756657</v>
      </c>
      <c r="G94" s="90">
        <f t="shared" si="156"/>
        <v>0.26602453016469363</v>
      </c>
      <c r="H94" s="90">
        <f t="shared" si="156"/>
        <v>0.27077702236145185</v>
      </c>
      <c r="I94" s="90">
        <f t="shared" si="156"/>
        <v>0.2038777948203549</v>
      </c>
      <c r="J94" s="90">
        <f t="shared" si="156"/>
        <v>0.50297793659420775</v>
      </c>
      <c r="K94" s="90">
        <f t="shared" si="156"/>
        <v>0.34621456055285826</v>
      </c>
      <c r="L94" s="90">
        <f t="shared" si="156"/>
        <v>0.32056669468123383</v>
      </c>
      <c r="M94" s="90">
        <f t="shared" si="156"/>
        <v>0.34332948865820961</v>
      </c>
      <c r="N94" s="90">
        <f t="shared" si="156"/>
        <v>0.31444607777629247</v>
      </c>
      <c r="O94" s="90">
        <f t="shared" si="156"/>
        <v>0.33769419460343414</v>
      </c>
      <c r="P94" s="90">
        <f t="shared" si="156"/>
        <v>0.28396083298855301</v>
      </c>
      <c r="Q94" s="90">
        <f t="shared" si="156"/>
        <v>0.30236348818255954</v>
      </c>
      <c r="R94" s="90">
        <f t="shared" si="156"/>
        <v>0.12901102517689647</v>
      </c>
      <c r="S94" s="90">
        <f t="shared" si="156"/>
        <v>-1.8619999999999499</v>
      </c>
      <c r="T94" s="90">
        <f t="shared" si="156"/>
        <v>0.37268847795163557</v>
      </c>
      <c r="U94" s="90">
        <f t="shared" ref="U94:Z94" si="157">U93/U92</f>
        <v>0.34061569016881876</v>
      </c>
      <c r="V94" s="90">
        <f t="shared" si="157"/>
        <v>-1.126262626262535</v>
      </c>
      <c r="W94" s="90">
        <f t="shared" si="157"/>
        <v>0.22120378857317419</v>
      </c>
      <c r="X94" s="90">
        <f t="shared" si="157"/>
        <v>0.15705733239846822</v>
      </c>
      <c r="Y94" s="90">
        <f t="shared" si="157"/>
        <v>0.20939530234882597</v>
      </c>
      <c r="Z94" s="90">
        <f t="shared" si="157"/>
        <v>0.2439024390243916</v>
      </c>
      <c r="AA94" s="90">
        <f t="shared" ref="AA94" si="158">AA93/AA92</f>
        <v>0.25301305657850659</v>
      </c>
      <c r="AB94" s="91">
        <f>AB93/AB92</f>
        <v>0.21407669795977091</v>
      </c>
      <c r="AC94" s="91">
        <f>AC93/AC92</f>
        <v>0.21274485909942714</v>
      </c>
      <c r="AD94" s="91">
        <f>AD93/AD92</f>
        <v>0.21239324499357834</v>
      </c>
      <c r="AE94" s="91">
        <f>AE93/AE92</f>
        <v>0.21231352662553024</v>
      </c>
      <c r="AI94" s="90">
        <f t="shared" ref="AI94:AO94" si="159">AI93/AI92</f>
        <v>0.30413105413105507</v>
      </c>
      <c r="AJ94" s="90">
        <f t="shared" si="159"/>
        <v>0.31295100645651303</v>
      </c>
      <c r="AK94" s="90">
        <f t="shared" si="159"/>
        <v>0.31028037383177604</v>
      </c>
      <c r="AL94" s="90">
        <f t="shared" si="159"/>
        <v>0.32025450689289492</v>
      </c>
      <c r="AM94" s="90">
        <f t="shared" si="159"/>
        <v>0.5073529411764689</v>
      </c>
      <c r="AN94" s="90">
        <f t="shared" si="159"/>
        <v>0.32524807056229438</v>
      </c>
      <c r="AO94" s="90">
        <f t="shared" si="159"/>
        <v>0.27935943060498203</v>
      </c>
      <c r="AP94" s="90">
        <f t="shared" ref="AP94:CD94" si="160">AP93/AP92</f>
        <v>0.26952850105559395</v>
      </c>
      <c r="AQ94" s="90">
        <f t="shared" si="160"/>
        <v>0.32540154669839355</v>
      </c>
      <c r="AR94" s="90">
        <f t="shared" si="160"/>
        <v>0.36091831286705794</v>
      </c>
      <c r="AS94" s="90">
        <f t="shared" si="160"/>
        <v>0.17098133654425077</v>
      </c>
      <c r="AT94" s="90">
        <f t="shared" si="160"/>
        <v>0.27111984282907642</v>
      </c>
      <c r="AU94" s="90">
        <f t="shared" si="160"/>
        <v>0.34023782125047958</v>
      </c>
      <c r="AV94" s="90">
        <f t="shared" si="160"/>
        <v>0.33440399714489616</v>
      </c>
      <c r="AW94" s="90">
        <f t="shared" si="160"/>
        <v>0.32066404543468674</v>
      </c>
      <c r="AX94" s="90">
        <f t="shared" si="160"/>
        <v>0.2310650887573964</v>
      </c>
      <c r="AY94" s="90">
        <f t="shared" si="160"/>
        <v>0.33594089526292825</v>
      </c>
      <c r="AZ94" s="90">
        <f t="shared" si="160"/>
        <v>0.1936325678496866</v>
      </c>
      <c r="BA94" s="90">
        <f t="shared" si="160"/>
        <v>0.12621359223300913</v>
      </c>
      <c r="BB94" s="90">
        <f t="shared" si="160"/>
        <v>-0.2546385156749848</v>
      </c>
      <c r="BC94" s="90">
        <f t="shared" si="160"/>
        <v>-4.2735042735042153E-2</v>
      </c>
      <c r="BD94" s="90">
        <f t="shared" si="160"/>
        <v>0.54347826086958517</v>
      </c>
      <c r="BE94" s="90">
        <f t="shared" si="160"/>
        <v>0.20338983050847637</v>
      </c>
      <c r="BF94" s="90">
        <f t="shared" si="160"/>
        <v>-3.289383561643838</v>
      </c>
      <c r="BG94" s="90">
        <f t="shared" si="160"/>
        <v>0.17540322580645246</v>
      </c>
      <c r="BH94" s="90">
        <f t="shared" si="160"/>
        <v>0.28992248062015419</v>
      </c>
      <c r="BI94" s="90">
        <f t="shared" si="160"/>
        <v>75.000000000174794</v>
      </c>
      <c r="BJ94" s="90">
        <f t="shared" si="160"/>
        <v>0.77639751552795144</v>
      </c>
      <c r="BK94" s="90">
        <f t="shared" si="160"/>
        <v>0.38043478260870006</v>
      </c>
      <c r="BL94" s="90">
        <f t="shared" si="160"/>
        <v>0.22828784119106635</v>
      </c>
      <c r="BM94" s="90">
        <f t="shared" si="160"/>
        <v>0.23374827109267027</v>
      </c>
      <c r="BN94" s="90">
        <f t="shared" si="160"/>
        <v>0.50426136363636498</v>
      </c>
      <c r="BO94" s="90">
        <f t="shared" si="160"/>
        <v>0.34448699858899401</v>
      </c>
      <c r="BP94" s="90">
        <f t="shared" si="160"/>
        <v>0.26896551724137951</v>
      </c>
      <c r="BQ94" s="90">
        <f t="shared" si="160"/>
        <v>0.39297385620914993</v>
      </c>
      <c r="BR94" s="90">
        <f t="shared" si="160"/>
        <v>0.25714285714285712</v>
      </c>
      <c r="BS94" s="90">
        <f t="shared" si="160"/>
        <v>0.35774788241155958</v>
      </c>
      <c r="BT94" s="90">
        <f t="shared" si="160"/>
        <v>0.36229718189581617</v>
      </c>
      <c r="BU94" s="90">
        <f t="shared" si="160"/>
        <v>0.10368852459016391</v>
      </c>
      <c r="BV94" s="90">
        <f t="shared" si="160"/>
        <v>0.17639766951778835</v>
      </c>
      <c r="BW94" s="90">
        <f t="shared" si="160"/>
        <v>0.19283958205285809</v>
      </c>
      <c r="BX94" s="90">
        <f t="shared" si="160"/>
        <v>0.22486711347353813</v>
      </c>
      <c r="BY94" s="90">
        <f t="shared" si="160"/>
        <v>7.6796036333608556E-2</v>
      </c>
      <c r="BZ94" s="90">
        <f t="shared" si="160"/>
        <v>9.4246782740348242E-2</v>
      </c>
      <c r="CA94" s="90">
        <f t="shared" si="160"/>
        <v>0.30222437137330721</v>
      </c>
      <c r="CB94" s="90">
        <f t="shared" si="160"/>
        <v>1.2903225806451642E-2</v>
      </c>
      <c r="CC94" s="90">
        <f t="shared" si="160"/>
        <v>9.4370860927151884E-2</v>
      </c>
      <c r="CD94" s="90">
        <f t="shared" si="160"/>
        <v>0.26733620277379289</v>
      </c>
      <c r="CE94" s="90">
        <f t="shared" ref="CE94:CL94" si="161">CE93/CE92</f>
        <v>0.24952919020715641</v>
      </c>
      <c r="CF94" s="90">
        <f t="shared" si="161"/>
        <v>-0.54721030042917829</v>
      </c>
      <c r="CG94" s="90">
        <f t="shared" si="161"/>
        <v>0.60782442748091914</v>
      </c>
      <c r="CH94" s="90">
        <f t="shared" si="161"/>
        <v>0.2268326417704013</v>
      </c>
      <c r="CI94" s="90">
        <f t="shared" si="161"/>
        <v>9.5465393794748887E-2</v>
      </c>
      <c r="CJ94" s="90">
        <f t="shared" si="161"/>
        <v>0.30637940682708537</v>
      </c>
      <c r="CK94" s="90">
        <f t="shared" si="161"/>
        <v>0.20335365853658538</v>
      </c>
      <c r="CL94" s="90">
        <f t="shared" si="161"/>
        <v>0.26117647058823579</v>
      </c>
      <c r="CM94" s="91">
        <f t="shared" ref="CM94:DB94" si="162">AVERAGE(CI94:CL94)</f>
        <v>0.21659373243666386</v>
      </c>
      <c r="CN94" s="91">
        <f>AVERAGE(CJ94:CM94)-2%</f>
        <v>0.22687581709714258</v>
      </c>
      <c r="CO94" s="91">
        <f>AVERAGE(CK94:CN94)-2%</f>
        <v>0.20699991966465689</v>
      </c>
      <c r="CP94" s="91">
        <f>AVERAGE(CL94:CO94)-2%</f>
        <v>0.2079114849466748</v>
      </c>
      <c r="CQ94" s="91">
        <f t="shared" si="162"/>
        <v>0.21459523853628454</v>
      </c>
      <c r="CR94" s="91">
        <f t="shared" si="162"/>
        <v>0.21409561506118968</v>
      </c>
      <c r="CS94" s="91">
        <f t="shared" si="162"/>
        <v>0.21090056455220146</v>
      </c>
      <c r="CT94" s="91">
        <f t="shared" si="162"/>
        <v>0.21187572577408764</v>
      </c>
      <c r="CU94" s="91">
        <f t="shared" si="162"/>
        <v>0.21286678598094083</v>
      </c>
      <c r="CV94" s="91">
        <f t="shared" si="162"/>
        <v>0.21243467284210488</v>
      </c>
      <c r="CW94" s="91">
        <f t="shared" si="162"/>
        <v>0.21201943728733369</v>
      </c>
      <c r="CX94" s="91">
        <f t="shared" si="162"/>
        <v>0.21229915547111677</v>
      </c>
      <c r="CY94" s="91">
        <f t="shared" si="162"/>
        <v>0.21240501289537403</v>
      </c>
      <c r="CZ94" s="91">
        <f t="shared" si="162"/>
        <v>0.21228956962398235</v>
      </c>
      <c r="DA94" s="91">
        <f t="shared" si="162"/>
        <v>0.21225329381945171</v>
      </c>
      <c r="DB94" s="91">
        <f t="shared" si="162"/>
        <v>0.21231175795248122</v>
      </c>
      <c r="DE94" s="127"/>
      <c r="DF94" s="90">
        <v>0.20800777523220554</v>
      </c>
    </row>
    <row r="95" spans="1:110" s="26" customFormat="1" x14ac:dyDescent="0.2">
      <c r="A95" s="26" t="s">
        <v>21</v>
      </c>
      <c r="B95" s="26">
        <f>B92-B93</f>
        <v>7.4685614000000058</v>
      </c>
      <c r="C95" s="26">
        <f>C92-C93</f>
        <v>4.6024951000000334</v>
      </c>
      <c r="D95" s="26">
        <f>D92-D93</f>
        <v>7.568497399999992</v>
      </c>
      <c r="E95" s="26">
        <f>E92-E93</f>
        <v>12.06359129999999</v>
      </c>
      <c r="F95" s="26">
        <f t="shared" ref="F95:T95" si="163">F92-F93</f>
        <v>14.04881440000004</v>
      </c>
      <c r="G95" s="26">
        <f t="shared" si="163"/>
        <v>24.775344700000019</v>
      </c>
      <c r="H95" s="26">
        <f t="shared" si="163"/>
        <v>27.024879000000052</v>
      </c>
      <c r="I95" s="26">
        <f t="shared" si="163"/>
        <v>5.3745691000000315</v>
      </c>
      <c r="J95" s="26">
        <f t="shared" si="163"/>
        <v>-15.984456400000031</v>
      </c>
      <c r="K95" s="26">
        <f t="shared" si="163"/>
        <v>17.152475700000014</v>
      </c>
      <c r="L95" s="26">
        <f t="shared" si="163"/>
        <v>56.590000000000103</v>
      </c>
      <c r="M95" s="26">
        <f t="shared" si="163"/>
        <v>17.079999999999906</v>
      </c>
      <c r="N95" s="26">
        <f t="shared" si="163"/>
        <v>51.300000000000111</v>
      </c>
      <c r="O95" s="26">
        <f t="shared" si="163"/>
        <v>40.500000000000007</v>
      </c>
      <c r="P95" s="26">
        <f t="shared" si="163"/>
        <v>51.920000000000073</v>
      </c>
      <c r="Q95" s="26">
        <f t="shared" si="163"/>
        <v>77.039999999999836</v>
      </c>
      <c r="R95" s="26">
        <f t="shared" si="163"/>
        <v>52.930000000000007</v>
      </c>
      <c r="S95" s="26">
        <f t="shared" si="163"/>
        <v>28.620000000000271</v>
      </c>
      <c r="T95" s="26">
        <f t="shared" si="163"/>
        <v>13.230000000000018</v>
      </c>
      <c r="U95" s="26">
        <f t="shared" ref="U95:Z95" si="164">U92-U93</f>
        <v>13.279999999999973</v>
      </c>
      <c r="V95" s="26">
        <f t="shared" si="164"/>
        <v>4.2100000000001607</v>
      </c>
      <c r="W95" s="26">
        <f t="shared" si="164"/>
        <v>152.94000000000023</v>
      </c>
      <c r="X95" s="26">
        <f t="shared" si="164"/>
        <v>156.29000000000005</v>
      </c>
      <c r="Y95" s="26">
        <f t="shared" si="164"/>
        <v>47.459999999999887</v>
      </c>
      <c r="Z95" s="26">
        <f t="shared" si="164"/>
        <v>38.439999999999721</v>
      </c>
      <c r="AA95" s="26">
        <f t="shared" ref="AA95" si="165">AA92-AA93</f>
        <v>89.250000000000114</v>
      </c>
      <c r="AB95" s="27">
        <f>AB92-AB93</f>
        <v>172.60549583347444</v>
      </c>
      <c r="AC95" s="27">
        <f>AC92-AC93</f>
        <v>230.16387265608461</v>
      </c>
      <c r="AD95" s="27">
        <f>AD92-AD93</f>
        <v>274.39900761049705</v>
      </c>
      <c r="AE95" s="27">
        <f>AE92-AE93</f>
        <v>316.20011705676183</v>
      </c>
      <c r="AI95" s="26">
        <f t="shared" ref="AI95:AO95" si="166">AI92-AI93</f>
        <v>9.7699999999999569</v>
      </c>
      <c r="AJ95" s="26">
        <f t="shared" si="166"/>
        <v>18.090000000000039</v>
      </c>
      <c r="AK95" s="26">
        <f t="shared" si="166"/>
        <v>11.069999999999983</v>
      </c>
      <c r="AL95" s="26">
        <f t="shared" si="166"/>
        <v>12.820000000000007</v>
      </c>
      <c r="AM95" s="26">
        <f t="shared" si="166"/>
        <v>6.0300000000000411</v>
      </c>
      <c r="AN95" s="26">
        <f t="shared" si="166"/>
        <v>12.23999999999994</v>
      </c>
      <c r="AO95" s="26">
        <f t="shared" si="166"/>
        <v>12.150000000000009</v>
      </c>
      <c r="AP95" s="26">
        <f t="shared" ref="AP95:CD95" si="167">AP92-AP93</f>
        <v>10.380000000000036</v>
      </c>
      <c r="AQ95" s="26">
        <f t="shared" si="167"/>
        <v>11.340000000000014</v>
      </c>
      <c r="AR95" s="26">
        <f t="shared" si="167"/>
        <v>11.970000000000011</v>
      </c>
      <c r="AS95" s="26">
        <f t="shared" si="167"/>
        <v>13.769999999999968</v>
      </c>
      <c r="AT95" s="26">
        <f t="shared" si="167"/>
        <v>14.840000000000014</v>
      </c>
      <c r="AU95" s="26">
        <f t="shared" si="167"/>
        <v>17.199999999999989</v>
      </c>
      <c r="AV95" s="26">
        <f t="shared" si="167"/>
        <v>18.650000000000027</v>
      </c>
      <c r="AW95" s="26">
        <f t="shared" si="167"/>
        <v>15.550000000000065</v>
      </c>
      <c r="AX95" s="26">
        <f t="shared" si="167"/>
        <v>25.990000000000006</v>
      </c>
      <c r="AY95" s="26">
        <f t="shared" si="167"/>
        <v>15.280000000000062</v>
      </c>
      <c r="AZ95" s="26">
        <f t="shared" si="167"/>
        <v>15.450000000000024</v>
      </c>
      <c r="BA95" s="26">
        <f t="shared" si="167"/>
        <v>4.5000000000000231</v>
      </c>
      <c r="BB95" s="26">
        <f t="shared" si="167"/>
        <v>19.609999999999953</v>
      </c>
      <c r="BC95" s="26">
        <f t="shared" si="167"/>
        <v>1.220000000000016</v>
      </c>
      <c r="BD95" s="26">
        <f t="shared" si="167"/>
        <v>0.41999999999996618</v>
      </c>
      <c r="BE95" s="26">
        <f t="shared" si="167"/>
        <v>3.759999999999958</v>
      </c>
      <c r="BF95" s="26">
        <f t="shared" si="167"/>
        <v>25.049999999999997</v>
      </c>
      <c r="BG95" s="26">
        <f t="shared" si="167"/>
        <v>4.0899999999999759</v>
      </c>
      <c r="BH95" s="26">
        <f t="shared" si="167"/>
        <v>9.1600000000000392</v>
      </c>
      <c r="BI95" s="26">
        <f t="shared" si="167"/>
        <v>-0.74000000000002331</v>
      </c>
      <c r="BJ95" s="26">
        <f t="shared" si="167"/>
        <v>0.71999999999999531</v>
      </c>
      <c r="BK95" s="26">
        <f t="shared" si="167"/>
        <v>1.1399999999999786</v>
      </c>
      <c r="BL95" s="26">
        <f t="shared" si="167"/>
        <v>3.1100000000000119</v>
      </c>
      <c r="BM95" s="26">
        <f t="shared" si="167"/>
        <v>5.5399999999999743</v>
      </c>
      <c r="BN95" s="26">
        <f t="shared" si="167"/>
        <v>3.4899999999999816</v>
      </c>
      <c r="BO95" s="26">
        <f t="shared" si="167"/>
        <v>-32.520000000000024</v>
      </c>
      <c r="BP95" s="26">
        <f t="shared" si="167"/>
        <v>-4.2399999999999949</v>
      </c>
      <c r="BQ95" s="26">
        <f t="shared" si="167"/>
        <v>7.4300000000000113</v>
      </c>
      <c r="BR95" s="26">
        <f t="shared" si="167"/>
        <v>33.54</v>
      </c>
      <c r="BS95" s="26">
        <f t="shared" si="167"/>
        <v>12.889999999999997</v>
      </c>
      <c r="BT95" s="26">
        <f t="shared" si="167"/>
        <v>29.869999999999919</v>
      </c>
      <c r="BU95" s="26">
        <f t="shared" si="167"/>
        <v>43.740000000000009</v>
      </c>
      <c r="BV95" s="26">
        <f t="shared" si="167"/>
        <v>66.440000000000083</v>
      </c>
      <c r="BW95" s="26">
        <f t="shared" si="167"/>
        <v>52.529999999999987</v>
      </c>
      <c r="BX95" s="26">
        <f t="shared" si="167"/>
        <v>33.54000000000002</v>
      </c>
      <c r="BY95" s="26">
        <f t="shared" si="167"/>
        <v>22.36000000000001</v>
      </c>
      <c r="BZ95" s="26">
        <f t="shared" si="167"/>
        <v>47.859999999999985</v>
      </c>
      <c r="CA95" s="26">
        <f t="shared" si="167"/>
        <v>14.430000000000025</v>
      </c>
      <c r="CB95" s="26">
        <f t="shared" si="167"/>
        <v>12.239999999999972</v>
      </c>
      <c r="CC95" s="26">
        <f t="shared" si="167"/>
        <v>5.4700000000000273</v>
      </c>
      <c r="CD95" s="26">
        <f t="shared" si="167"/>
        <v>15.319999999999965</v>
      </c>
      <c r="CE95" s="26">
        <f t="shared" ref="CE95:CL95" si="168">CE92-CE93</f>
        <v>15.939999999999991</v>
      </c>
      <c r="CF95" s="26">
        <f t="shared" si="168"/>
        <v>7.2100000000000533</v>
      </c>
      <c r="CG95" s="26">
        <f t="shared" si="168"/>
        <v>4.109999999999947</v>
      </c>
      <c r="CH95" s="26">
        <f t="shared" si="168"/>
        <v>11.179999999999987</v>
      </c>
      <c r="CI95" s="26">
        <f t="shared" si="168"/>
        <v>3.7900000000000227</v>
      </c>
      <c r="CJ95" s="26">
        <f t="shared" si="168"/>
        <v>24.789999999999896</v>
      </c>
      <c r="CK95" s="26">
        <f t="shared" si="168"/>
        <v>26.129999999999995</v>
      </c>
      <c r="CL95" s="26">
        <f t="shared" si="168"/>
        <v>34.539999999999914</v>
      </c>
      <c r="CM95" s="27">
        <f t="shared" ref="CM95:DB95" si="169">CM92-CM93</f>
        <v>36.009751567850245</v>
      </c>
      <c r="CN95" s="27">
        <f t="shared" si="169"/>
        <v>41.095753373439777</v>
      </c>
      <c r="CO95" s="27">
        <f t="shared" si="169"/>
        <v>46.219607599367656</v>
      </c>
      <c r="CP95" s="27">
        <f t="shared" si="169"/>
        <v>49.280383292816929</v>
      </c>
      <c r="CQ95" s="27">
        <f t="shared" si="169"/>
        <v>49.677468624449958</v>
      </c>
      <c r="CR95" s="27">
        <f t="shared" si="169"/>
        <v>55.472445291262325</v>
      </c>
      <c r="CS95" s="27">
        <f t="shared" si="169"/>
        <v>60.365014726347482</v>
      </c>
      <c r="CT95" s="27">
        <f t="shared" si="169"/>
        <v>64.648944014024138</v>
      </c>
      <c r="CU95" s="27">
        <f t="shared" si="169"/>
        <v>63.979050767621644</v>
      </c>
      <c r="CV95" s="27">
        <f t="shared" si="169"/>
        <v>67.362176882879581</v>
      </c>
      <c r="CW95" s="27">
        <f t="shared" si="169"/>
        <v>70.280696774435114</v>
      </c>
      <c r="CX95" s="27">
        <f t="shared" si="169"/>
        <v>72.777083185560485</v>
      </c>
      <c r="CY95" s="27">
        <f t="shared" si="169"/>
        <v>74.91693531786251</v>
      </c>
      <c r="CZ95" s="27">
        <f t="shared" si="169"/>
        <v>77.749898096253872</v>
      </c>
      <c r="DA95" s="27">
        <f t="shared" si="169"/>
        <v>80.445958765450811</v>
      </c>
      <c r="DB95" s="27">
        <f t="shared" si="169"/>
        <v>83.087324877194746</v>
      </c>
      <c r="DE95" s="121"/>
      <c r="DF95" s="26">
        <v>17.614545816925165</v>
      </c>
    </row>
    <row r="96" spans="1:110" s="45" customFormat="1" x14ac:dyDescent="0.2">
      <c r="A96" s="45" t="s">
        <v>106</v>
      </c>
      <c r="B96" s="45">
        <f t="shared" ref="B96:AE96" si="170">+B95/B57</f>
        <v>4.0702584453729575E-2</v>
      </c>
      <c r="C96" s="45">
        <f t="shared" si="170"/>
        <v>2.4264283229287E-2</v>
      </c>
      <c r="D96" s="45">
        <f t="shared" si="170"/>
        <v>3.8672251394399906E-2</v>
      </c>
      <c r="E96" s="45">
        <f t="shared" si="170"/>
        <v>4.5155852817502118E-2</v>
      </c>
      <c r="F96" s="45">
        <f t="shared" si="170"/>
        <v>4.8514937019237918E-2</v>
      </c>
      <c r="G96" s="45">
        <f t="shared" si="170"/>
        <v>7.1442549483321599E-2</v>
      </c>
      <c r="H96" s="45">
        <f t="shared" si="170"/>
        <v>4.8926326403676064E-2</v>
      </c>
      <c r="I96" s="45">
        <f t="shared" si="170"/>
        <v>7.7512377910676422E-3</v>
      </c>
      <c r="J96" s="45">
        <f t="shared" si="170"/>
        <v>-2.136188564408616E-2</v>
      </c>
      <c r="K96" s="45">
        <f t="shared" si="170"/>
        <v>2.0126157483562775E-2</v>
      </c>
      <c r="L96" s="45">
        <f t="shared" si="170"/>
        <v>4.8304766457252207E-2</v>
      </c>
      <c r="M96" s="45">
        <f t="shared" si="170"/>
        <v>1.2051763311271297E-2</v>
      </c>
      <c r="N96" s="45">
        <f t="shared" si="170"/>
        <v>3.468935111303461E-2</v>
      </c>
      <c r="O96" s="45">
        <f t="shared" si="170"/>
        <v>2.8270080482476041E-2</v>
      </c>
      <c r="P96" s="45">
        <f t="shared" si="170"/>
        <v>3.5351953481404866E-2</v>
      </c>
      <c r="Q96" s="45">
        <f t="shared" si="170"/>
        <v>5.1209784631746774E-2</v>
      </c>
      <c r="R96" s="45">
        <f t="shared" si="170"/>
        <v>3.3259395637885429E-2</v>
      </c>
      <c r="S96" s="45">
        <f t="shared" si="170"/>
        <v>1.7480424611851671E-2</v>
      </c>
      <c r="T96" s="45">
        <f t="shared" si="170"/>
        <v>7.061536244415632E-3</v>
      </c>
      <c r="U96" s="45">
        <f t="shared" si="170"/>
        <v>7.4185385255654528E-3</v>
      </c>
      <c r="V96" s="45">
        <f t="shared" si="170"/>
        <v>3.0979344650729308E-3</v>
      </c>
      <c r="W96" s="45">
        <f t="shared" si="170"/>
        <v>6.2737923339459267E-2</v>
      </c>
      <c r="X96" s="45">
        <f t="shared" si="170"/>
        <v>5.7622681856726775E-2</v>
      </c>
      <c r="Y96" s="45">
        <f t="shared" si="170"/>
        <v>1.8058948425834984E-2</v>
      </c>
      <c r="Z96" s="45">
        <f t="shared" si="170"/>
        <v>1.3454908206303828E-2</v>
      </c>
      <c r="AA96" s="45">
        <f t="shared" si="170"/>
        <v>2.7592880573066289E-2</v>
      </c>
      <c r="AB96" s="48">
        <f t="shared" si="170"/>
        <v>4.4786271576168817E-2</v>
      </c>
      <c r="AC96" s="48">
        <f t="shared" si="170"/>
        <v>5.772231805235313E-2</v>
      </c>
      <c r="AD96" s="48">
        <f t="shared" si="170"/>
        <v>6.7863035942585775E-2</v>
      </c>
      <c r="AE96" s="48">
        <f t="shared" si="170"/>
        <v>7.7889060350241207E-2</v>
      </c>
      <c r="AI96" s="45">
        <f t="shared" ref="AI96:BN96" si="171">+AI95/AI57</f>
        <v>2.3682551994957963E-2</v>
      </c>
      <c r="AJ96" s="45">
        <f t="shared" si="171"/>
        <v>4.6906601669864746E-2</v>
      </c>
      <c r="AK96" s="45">
        <f t="shared" si="171"/>
        <v>3.3600437078856259E-2</v>
      </c>
      <c r="AL96" s="45">
        <f t="shared" si="171"/>
        <v>3.5884229972569022E-2</v>
      </c>
      <c r="AM96" s="45">
        <f t="shared" si="171"/>
        <v>1.6402807246613461E-2</v>
      </c>
      <c r="AN96" s="45">
        <f t="shared" si="171"/>
        <v>3.4670292318150754E-2</v>
      </c>
      <c r="AO96" s="45">
        <f t="shared" si="171"/>
        <v>3.4755992905772672E-2</v>
      </c>
      <c r="AP96" s="45">
        <f t="shared" si="171"/>
        <v>2.8101142454924566E-2</v>
      </c>
      <c r="AQ96" s="45">
        <f t="shared" si="171"/>
        <v>3.0237580993520554E-2</v>
      </c>
      <c r="AR96" s="45">
        <f t="shared" si="171"/>
        <v>3.2282424013592631E-2</v>
      </c>
      <c r="AS96" s="45">
        <f t="shared" si="171"/>
        <v>3.731505067476009E-2</v>
      </c>
      <c r="AT96" s="45">
        <f t="shared" si="171"/>
        <v>4.098315382491028E-2</v>
      </c>
      <c r="AU96" s="45">
        <f t="shared" si="171"/>
        <v>4.6916341616431601E-2</v>
      </c>
      <c r="AV96" s="45">
        <f t="shared" si="171"/>
        <v>4.6506408657922362E-2</v>
      </c>
      <c r="AW96" s="45">
        <f t="shared" si="171"/>
        <v>4.3631976205842089E-2</v>
      </c>
      <c r="AX96" s="45">
        <f t="shared" si="171"/>
        <v>6.7382230172927868E-2</v>
      </c>
      <c r="AY96" s="45">
        <f t="shared" si="171"/>
        <v>3.7628980225084492E-2</v>
      </c>
      <c r="AZ96" s="45">
        <f t="shared" si="171"/>
        <v>3.6280380415639364E-2</v>
      </c>
      <c r="BA96" s="45">
        <f t="shared" si="171"/>
        <v>1.2869276746646905E-2</v>
      </c>
      <c r="BB96" s="45">
        <f t="shared" si="171"/>
        <v>4.7556687280223005E-2</v>
      </c>
      <c r="BC96" s="45">
        <f t="shared" si="171"/>
        <v>2.8977934015819483E-3</v>
      </c>
      <c r="BD96" s="45">
        <f t="shared" si="171"/>
        <v>1.1314350367715477E-3</v>
      </c>
      <c r="BE96" s="45">
        <f t="shared" si="171"/>
        <v>9.0286949213590068E-3</v>
      </c>
      <c r="BF96" s="45">
        <f t="shared" si="171"/>
        <v>5.8358960022365104E-2</v>
      </c>
      <c r="BG96" s="45">
        <f t="shared" si="171"/>
        <v>8.6296022787213326E-3</v>
      </c>
      <c r="BH96" s="45">
        <f t="shared" si="171"/>
        <v>1.9445918692283279E-2</v>
      </c>
      <c r="BI96" s="45">
        <f t="shared" si="171"/>
        <v>-1.6812832280638508E-3</v>
      </c>
      <c r="BJ96" s="45">
        <f t="shared" si="171"/>
        <v>1.4742316591248702E-3</v>
      </c>
      <c r="BK96" s="45">
        <f t="shared" si="171"/>
        <v>2.4748176450155842E-3</v>
      </c>
      <c r="BL96" s="45">
        <f t="shared" si="171"/>
        <v>6.3770017839201373E-3</v>
      </c>
      <c r="BM96" s="45">
        <f t="shared" si="171"/>
        <v>1.2582901789770088E-2</v>
      </c>
      <c r="BN96" s="45">
        <f t="shared" si="171"/>
        <v>8.6924034869239886E-3</v>
      </c>
      <c r="BO96" s="45">
        <f t="shared" ref="BO96:CT96" si="172">+BO95/BO57</f>
        <v>-0.29873231673709372</v>
      </c>
      <c r="BP96" s="45">
        <f t="shared" si="172"/>
        <v>-1.3570605556266787E-2</v>
      </c>
      <c r="BQ96" s="45">
        <f t="shared" si="172"/>
        <v>1.6876774559909168E-2</v>
      </c>
      <c r="BR96" s="45">
        <f t="shared" si="172"/>
        <v>6.7427928109042662E-2</v>
      </c>
      <c r="BS96" s="45">
        <f t="shared" si="172"/>
        <v>3.1349563440912512E-2</v>
      </c>
      <c r="BT96" s="45">
        <f t="shared" si="172"/>
        <v>4.6768334690298619E-2</v>
      </c>
      <c r="BU96" s="45">
        <f t="shared" si="172"/>
        <v>6.7313019390581735E-2</v>
      </c>
      <c r="BV96" s="45">
        <f t="shared" si="172"/>
        <v>9.0013683597295904E-2</v>
      </c>
      <c r="BW96" s="45">
        <f t="shared" si="172"/>
        <v>7.3645693135935386E-2</v>
      </c>
      <c r="BX96" s="45">
        <f t="shared" si="172"/>
        <v>4.7284723397056361E-2</v>
      </c>
      <c r="BY96" s="45">
        <f t="shared" si="172"/>
        <v>3.6958677685950431E-2</v>
      </c>
      <c r="BZ96" s="45">
        <f t="shared" si="172"/>
        <v>6.9899225938367143E-2</v>
      </c>
      <c r="CA96" s="45">
        <f t="shared" si="172"/>
        <v>2.1311475409836102E-2</v>
      </c>
      <c r="CB96" s="45">
        <f t="shared" si="172"/>
        <v>1.9467506441454292E-2</v>
      </c>
      <c r="CC96" s="45">
        <f t="shared" si="172"/>
        <v>8.8069554017066939E-3</v>
      </c>
      <c r="CD96" s="45">
        <f t="shared" si="172"/>
        <v>2.185075308078498E-2</v>
      </c>
      <c r="CE96" s="45">
        <f t="shared" si="172"/>
        <v>2.299978356539931E-2</v>
      </c>
      <c r="CF96" s="45">
        <f t="shared" si="172"/>
        <v>1.067183730258589E-2</v>
      </c>
      <c r="CG96" s="45">
        <f t="shared" si="172"/>
        <v>5.4510006764014731E-3</v>
      </c>
      <c r="CH96" s="45">
        <f t="shared" si="172"/>
        <v>1.5225384720141615E-2</v>
      </c>
      <c r="CI96" s="45">
        <f t="shared" si="172"/>
        <v>4.7988654924851831E-3</v>
      </c>
      <c r="CJ96" s="45">
        <f t="shared" si="172"/>
        <v>3.1532219084687854E-2</v>
      </c>
      <c r="CK96" s="45">
        <f t="shared" si="172"/>
        <v>3.373092711641236E-2</v>
      </c>
      <c r="CL96" s="45">
        <f t="shared" si="172"/>
        <v>3.9075934473707934E-2</v>
      </c>
      <c r="CM96" s="48">
        <f t="shared" si="172"/>
        <v>3.7546860768690883E-2</v>
      </c>
      <c r="CN96" s="48">
        <f t="shared" si="172"/>
        <v>4.2807156059865736E-2</v>
      </c>
      <c r="CO96" s="48">
        <f t="shared" si="172"/>
        <v>4.7947001428019748E-2</v>
      </c>
      <c r="CP96" s="48">
        <f t="shared" si="172"/>
        <v>5.0756003226618822E-2</v>
      </c>
      <c r="CQ96" s="48">
        <f t="shared" si="172"/>
        <v>5.0565450468298863E-2</v>
      </c>
      <c r="CR96" s="48">
        <f t="shared" si="172"/>
        <v>5.5806520361682793E-2</v>
      </c>
      <c r="CS96" s="48">
        <f t="shared" si="172"/>
        <v>6.0205607002091571E-2</v>
      </c>
      <c r="CT96" s="48">
        <f t="shared" si="172"/>
        <v>6.4114703726837849E-2</v>
      </c>
      <c r="CU96" s="48">
        <f t="shared" ref="CU96:DZ96" si="173">+CU95/CU57</f>
        <v>6.3386959326307432E-2</v>
      </c>
      <c r="CV96" s="48">
        <f t="shared" si="173"/>
        <v>6.6672104338520291E-2</v>
      </c>
      <c r="CW96" s="48">
        <f t="shared" si="173"/>
        <v>6.9491235053172729E-2</v>
      </c>
      <c r="CX96" s="48">
        <f t="shared" si="173"/>
        <v>7.18876919116265E-2</v>
      </c>
      <c r="CY96" s="48">
        <f t="shared" si="173"/>
        <v>7.3927465958425129E-2</v>
      </c>
      <c r="CZ96" s="48">
        <f t="shared" si="173"/>
        <v>7.6646365866207392E-2</v>
      </c>
      <c r="DA96" s="48">
        <f t="shared" si="173"/>
        <v>7.922493544250736E-2</v>
      </c>
      <c r="DB96" s="48">
        <f t="shared" si="173"/>
        <v>8.1744465955361903E-2</v>
      </c>
      <c r="DE96" s="129"/>
      <c r="DF96" s="45">
        <v>2.1917278279965438E-2</v>
      </c>
    </row>
    <row r="97" spans="1:110" s="39" customFormat="1" x14ac:dyDescent="0.2">
      <c r="A97" s="39" t="s">
        <v>450</v>
      </c>
      <c r="C97" s="39">
        <f>+IF(B95&lt;0,1-C95/B95,C95/B95-1)</f>
        <v>-0.38375078499052984</v>
      </c>
      <c r="D97" s="39">
        <f>+IF(C95&lt;0,1-D95/C95,D95/C95-1)</f>
        <v>0.64443355952729586</v>
      </c>
      <c r="E97" s="39">
        <f>+IF(D95&lt;0,1-E95/D95,E95/D95-1)</f>
        <v>0.59392157550321723</v>
      </c>
      <c r="F97" s="39">
        <f t="shared" ref="F97:AE97" si="174">+IF(E95&lt;0,1-F95/E95,F95/E95-1)</f>
        <v>0.16456319272023512</v>
      </c>
      <c r="G97" s="39">
        <f t="shared" si="174"/>
        <v>0.76351854288856913</v>
      </c>
      <c r="H97" s="39">
        <f t="shared" si="174"/>
        <v>9.0797295748625162E-2</v>
      </c>
      <c r="I97" s="39">
        <f t="shared" si="174"/>
        <v>-0.80112513732253821</v>
      </c>
      <c r="J97" s="39">
        <f t="shared" si="174"/>
        <v>-3.9740907787379527</v>
      </c>
      <c r="K97" s="39">
        <f t="shared" si="174"/>
        <v>2.0730721940597228</v>
      </c>
      <c r="L97" s="39">
        <f t="shared" si="174"/>
        <v>2.299232191887032</v>
      </c>
      <c r="M97" s="39">
        <f t="shared" si="174"/>
        <v>-0.69817989044000928</v>
      </c>
      <c r="N97" s="39">
        <f t="shared" si="174"/>
        <v>2.0035128805620839</v>
      </c>
      <c r="O97" s="39">
        <f t="shared" si="174"/>
        <v>-0.21052631578947523</v>
      </c>
      <c r="P97" s="39">
        <f t="shared" si="174"/>
        <v>0.28197530864197695</v>
      </c>
      <c r="Q97" s="39">
        <f t="shared" si="174"/>
        <v>0.48382126348227517</v>
      </c>
      <c r="R97" s="39">
        <f t="shared" si="174"/>
        <v>-0.31295430944963498</v>
      </c>
      <c r="S97" s="39">
        <f t="shared" si="174"/>
        <v>-0.4592858492348334</v>
      </c>
      <c r="T97" s="39">
        <f t="shared" si="174"/>
        <v>-0.53773584905660754</v>
      </c>
      <c r="U97" s="39">
        <f t="shared" si="174"/>
        <v>3.779289493571758E-3</v>
      </c>
      <c r="V97" s="39">
        <f t="shared" si="174"/>
        <v>-0.68298192771083066</v>
      </c>
      <c r="W97" s="39">
        <f t="shared" si="174"/>
        <v>35.3277909738704</v>
      </c>
      <c r="X97" s="39">
        <f t="shared" si="174"/>
        <v>2.1904014646265235E-2</v>
      </c>
      <c r="Y97" s="39">
        <f t="shared" si="174"/>
        <v>-0.69633373856292868</v>
      </c>
      <c r="Z97" s="39">
        <f>+IF(Y95&lt;0,1-Z95/Y95,Z95/Y95-1)</f>
        <v>-0.19005478297514089</v>
      </c>
      <c r="AA97" s="39">
        <f>+IF(Z95&lt;0,1-AA95/Z95,AA95/Z95-1)</f>
        <v>1.321800208116565</v>
      </c>
      <c r="AB97" s="40">
        <f t="shared" si="174"/>
        <v>0.93395513538906694</v>
      </c>
      <c r="AC97" s="40">
        <f t="shared" si="174"/>
        <v>0.33346781077087528</v>
      </c>
      <c r="AD97" s="40">
        <f t="shared" si="174"/>
        <v>0.1921897404833357</v>
      </c>
      <c r="AE97" s="40">
        <f t="shared" si="174"/>
        <v>0.15233695562631366</v>
      </c>
      <c r="AM97" s="39">
        <f t="shared" ref="AM97:BR97" si="175">+IF(AI95&lt;0,1-AM95/AI95,AM95/AI95-1)</f>
        <v>-0.38280450358238816</v>
      </c>
      <c r="AN97" s="39">
        <f t="shared" si="175"/>
        <v>-0.32338308457711917</v>
      </c>
      <c r="AO97" s="39">
        <f t="shared" si="175"/>
        <v>9.7560975609758627E-2</v>
      </c>
      <c r="AP97" s="39">
        <f t="shared" si="175"/>
        <v>-0.19032761310452184</v>
      </c>
      <c r="AQ97" s="39">
        <f t="shared" si="175"/>
        <v>0.88059701492536258</v>
      </c>
      <c r="AR97" s="39">
        <f t="shared" si="175"/>
        <v>-2.2058823529406024E-2</v>
      </c>
      <c r="AS97" s="39">
        <f t="shared" si="175"/>
        <v>0.13333333333332975</v>
      </c>
      <c r="AT97" s="39">
        <f t="shared" si="175"/>
        <v>0.42967244701348384</v>
      </c>
      <c r="AU97" s="39">
        <f t="shared" si="175"/>
        <v>0.51675485008818045</v>
      </c>
      <c r="AV97" s="39">
        <f t="shared" si="175"/>
        <v>0.55806182121971681</v>
      </c>
      <c r="AW97" s="39">
        <f t="shared" si="175"/>
        <v>0.12926652142339146</v>
      </c>
      <c r="AX97" s="39">
        <f t="shared" si="175"/>
        <v>0.75134770889487745</v>
      </c>
      <c r="AY97" s="39">
        <f t="shared" si="175"/>
        <v>-0.11162790697674008</v>
      </c>
      <c r="AZ97" s="39">
        <f t="shared" si="175"/>
        <v>-0.17158176943699721</v>
      </c>
      <c r="BA97" s="39">
        <f t="shared" si="175"/>
        <v>-0.71061093247588403</v>
      </c>
      <c r="BB97" s="39">
        <f t="shared" si="175"/>
        <v>-0.24547903039630825</v>
      </c>
      <c r="BC97" s="39">
        <f t="shared" si="175"/>
        <v>-0.92015706806282649</v>
      </c>
      <c r="BD97" s="39">
        <f t="shared" si="175"/>
        <v>-0.97281553398058473</v>
      </c>
      <c r="BE97" s="39">
        <f t="shared" si="175"/>
        <v>-0.16444444444445805</v>
      </c>
      <c r="BF97" s="39">
        <f t="shared" si="175"/>
        <v>0.27740948495665774</v>
      </c>
      <c r="BG97" s="39">
        <f t="shared" si="175"/>
        <v>2.3524590163933792</v>
      </c>
      <c r="BH97" s="39">
        <f t="shared" si="175"/>
        <v>20.809523809525658</v>
      </c>
      <c r="BI97" s="39">
        <f t="shared" si="175"/>
        <v>-1.1968085106383062</v>
      </c>
      <c r="BJ97" s="39">
        <f t="shared" si="175"/>
        <v>-0.97125748502994025</v>
      </c>
      <c r="BK97" s="39">
        <f t="shared" si="175"/>
        <v>-0.72127139364303539</v>
      </c>
      <c r="BL97" s="39">
        <f t="shared" si="175"/>
        <v>-0.66048034934497835</v>
      </c>
      <c r="BM97" s="39">
        <f t="shared" si="175"/>
        <v>8.486486486486216</v>
      </c>
      <c r="BN97" s="39">
        <f t="shared" si="175"/>
        <v>3.8472222222222285</v>
      </c>
      <c r="BO97" s="39">
        <f t="shared" si="175"/>
        <v>-29.526315789474243</v>
      </c>
      <c r="BP97" s="39">
        <f t="shared" si="175"/>
        <v>-2.3633440514469388</v>
      </c>
      <c r="BQ97" s="39">
        <f t="shared" si="175"/>
        <v>0.34115523465704789</v>
      </c>
      <c r="BR97" s="39">
        <f t="shared" si="175"/>
        <v>8.6103151862464689</v>
      </c>
      <c r="BS97" s="39">
        <f t="shared" ref="BS97:CL97" si="176">+IF(BO95&lt;0,1-BS95/BO95,BS95/BO95-1)</f>
        <v>1.3963714637146367</v>
      </c>
      <c r="BT97" s="39">
        <f t="shared" si="176"/>
        <v>8.0448113207547074</v>
      </c>
      <c r="BU97" s="39">
        <f t="shared" si="176"/>
        <v>4.8869448183041646</v>
      </c>
      <c r="BV97" s="39">
        <f t="shared" si="176"/>
        <v>0.98091830649970446</v>
      </c>
      <c r="BW97" s="39">
        <f t="shared" si="176"/>
        <v>3.0752521334367726</v>
      </c>
      <c r="BX97" s="39">
        <f t="shared" si="176"/>
        <v>0.12286575159022806</v>
      </c>
      <c r="BY97" s="39">
        <f t="shared" si="176"/>
        <v>-0.4887974394147232</v>
      </c>
      <c r="BZ97" s="39">
        <f t="shared" si="176"/>
        <v>-0.27965081276339665</v>
      </c>
      <c r="CA97" s="39">
        <f t="shared" si="176"/>
        <v>-0.72529982866933129</v>
      </c>
      <c r="CB97" s="39">
        <f t="shared" si="176"/>
        <v>-0.6350626118067989</v>
      </c>
      <c r="CC97" s="39">
        <f t="shared" si="176"/>
        <v>-0.75536672629695778</v>
      </c>
      <c r="CD97" s="39">
        <f t="shared" si="176"/>
        <v>-0.67989970748015105</v>
      </c>
      <c r="CE97" s="39">
        <f t="shared" si="176"/>
        <v>0.104643104643102</v>
      </c>
      <c r="CF97" s="39">
        <f t="shared" si="176"/>
        <v>-0.41094771241829497</v>
      </c>
      <c r="CG97" s="39">
        <f t="shared" si="176"/>
        <v>-0.24862888482633883</v>
      </c>
      <c r="CH97" s="39">
        <f t="shared" si="176"/>
        <v>-0.2702349869451689</v>
      </c>
      <c r="CI97" s="39">
        <f t="shared" si="176"/>
        <v>-0.76223337515683665</v>
      </c>
      <c r="CJ97" s="39">
        <f t="shared" si="176"/>
        <v>2.4382801664354665</v>
      </c>
      <c r="CK97" s="39">
        <f t="shared" si="176"/>
        <v>5.3576642335767231</v>
      </c>
      <c r="CL97" s="39">
        <f t="shared" si="176"/>
        <v>2.0894454382826435</v>
      </c>
      <c r="CM97" s="40">
        <f t="shared" ref="CM97:DB97" si="177">+CM95/CI95-1</f>
        <v>8.5012537118337814</v>
      </c>
      <c r="CN97" s="40">
        <f t="shared" si="177"/>
        <v>0.65775527928358013</v>
      </c>
      <c r="CO97" s="40">
        <f t="shared" si="177"/>
        <v>0.76883305010974601</v>
      </c>
      <c r="CP97" s="40">
        <f t="shared" si="177"/>
        <v>0.42676268942724516</v>
      </c>
      <c r="CQ97" s="40">
        <f t="shared" si="177"/>
        <v>0.37955599418248553</v>
      </c>
      <c r="CR97" s="40">
        <f t="shared" si="177"/>
        <v>0.34983400321635716</v>
      </c>
      <c r="CS97" s="40">
        <f t="shared" si="177"/>
        <v>0.30604775465842238</v>
      </c>
      <c r="CT97" s="40">
        <f t="shared" si="177"/>
        <v>0.31185960202235918</v>
      </c>
      <c r="CU97" s="40">
        <f t="shared" si="177"/>
        <v>0.28788870566832414</v>
      </c>
      <c r="CV97" s="40">
        <f t="shared" si="177"/>
        <v>0.21433581175643712</v>
      </c>
      <c r="CW97" s="40">
        <f t="shared" si="177"/>
        <v>0.16426206624877615</v>
      </c>
      <c r="CX97" s="40">
        <f t="shared" si="177"/>
        <v>0.12572733082497267</v>
      </c>
      <c r="CY97" s="40">
        <f t="shared" si="177"/>
        <v>0.17096040686768488</v>
      </c>
      <c r="CZ97" s="40">
        <f t="shared" si="177"/>
        <v>0.15420702973176015</v>
      </c>
      <c r="DA97" s="40">
        <f t="shared" si="177"/>
        <v>0.14463803658123875</v>
      </c>
      <c r="DB97" s="40">
        <f t="shared" si="177"/>
        <v>0.14166879518029218</v>
      </c>
      <c r="DE97" s="122"/>
      <c r="DF97" s="39">
        <v>0.57554077074464982</v>
      </c>
    </row>
    <row r="98" spans="1:110" s="39" customFormat="1" x14ac:dyDescent="0.2">
      <c r="A98" s="39" t="s">
        <v>451</v>
      </c>
      <c r="AB98" s="40"/>
      <c r="AC98" s="40"/>
      <c r="AD98" s="40"/>
      <c r="AE98" s="40"/>
      <c r="AJ98" s="39">
        <f t="shared" ref="AJ98:BO98" si="178">+IF(AI95&lt;0,1-AJ95/AI95,AJ95/AI95-1)</f>
        <v>0.85158648925282687</v>
      </c>
      <c r="AK98" s="39">
        <f t="shared" si="178"/>
        <v>-0.38805970149253954</v>
      </c>
      <c r="AL98" s="39">
        <f t="shared" si="178"/>
        <v>0.15808491418247761</v>
      </c>
      <c r="AM98" s="39">
        <f t="shared" si="178"/>
        <v>-0.52964118564742302</v>
      </c>
      <c r="AN98" s="39">
        <f t="shared" si="178"/>
        <v>1.0298507462686328</v>
      </c>
      <c r="AO98" s="39">
        <f t="shared" si="178"/>
        <v>-7.3529411764649E-3</v>
      </c>
      <c r="AP98" s="39">
        <f t="shared" si="178"/>
        <v>-0.14567901234567671</v>
      </c>
      <c r="AQ98" s="39">
        <f t="shared" si="178"/>
        <v>9.2485549132945488E-2</v>
      </c>
      <c r="AR98" s="39">
        <f t="shared" si="178"/>
        <v>5.5555555555555136E-2</v>
      </c>
      <c r="AS98" s="39">
        <f t="shared" si="178"/>
        <v>0.15037593984962028</v>
      </c>
      <c r="AT98" s="39">
        <f t="shared" si="178"/>
        <v>7.7705156136532283E-2</v>
      </c>
      <c r="AU98" s="39">
        <f t="shared" si="178"/>
        <v>0.15902964959568555</v>
      </c>
      <c r="AV98" s="39">
        <f t="shared" si="178"/>
        <v>8.4302325581397719E-2</v>
      </c>
      <c r="AW98" s="39">
        <f t="shared" si="178"/>
        <v>-0.16621983914208893</v>
      </c>
      <c r="AX98" s="39">
        <f t="shared" si="178"/>
        <v>0.67138263665594189</v>
      </c>
      <c r="AY98" s="39">
        <f t="shared" si="178"/>
        <v>-0.41208156983454947</v>
      </c>
      <c r="AZ98" s="39">
        <f t="shared" si="178"/>
        <v>1.112565445025937E-2</v>
      </c>
      <c r="BA98" s="39">
        <f t="shared" si="178"/>
        <v>-0.70873786407766892</v>
      </c>
      <c r="BB98" s="39">
        <f t="shared" si="178"/>
        <v>3.3577777777777449</v>
      </c>
      <c r="BC98" s="39">
        <f t="shared" si="178"/>
        <v>-0.93778684344721985</v>
      </c>
      <c r="BD98" s="39">
        <f t="shared" si="178"/>
        <v>-0.65573770491806505</v>
      </c>
      <c r="BE98" s="39">
        <f t="shared" si="178"/>
        <v>7.9523809523815743</v>
      </c>
      <c r="BF98" s="39">
        <f t="shared" si="178"/>
        <v>5.6622340425532647</v>
      </c>
      <c r="BG98" s="39">
        <f t="shared" si="178"/>
        <v>-0.83672654690618853</v>
      </c>
      <c r="BH98" s="39">
        <f t="shared" si="178"/>
        <v>1.2396088019560132</v>
      </c>
      <c r="BI98" s="39">
        <f t="shared" si="178"/>
        <v>-1.0807860262008755</v>
      </c>
      <c r="BJ98" s="39">
        <f t="shared" si="178"/>
        <v>1.9729729729729359</v>
      </c>
      <c r="BK98" s="39">
        <f t="shared" si="178"/>
        <v>0.58333333333331394</v>
      </c>
      <c r="BL98" s="39">
        <f t="shared" si="178"/>
        <v>1.728070175438658</v>
      </c>
      <c r="BM98" s="39">
        <f t="shared" si="178"/>
        <v>0.78135048231509741</v>
      </c>
      <c r="BN98" s="39">
        <f t="shared" si="178"/>
        <v>-0.37003610108303286</v>
      </c>
      <c r="BO98" s="39">
        <f t="shared" si="178"/>
        <v>-10.318051575931289</v>
      </c>
      <c r="BP98" s="39">
        <f t="shared" ref="BP98:CL98" si="179">+IF(BO95&lt;0,1-BP95/BO95,BP95/BO95-1)</f>
        <v>0.86961869618696208</v>
      </c>
      <c r="BQ98" s="39">
        <f t="shared" si="179"/>
        <v>2.7523584905660425</v>
      </c>
      <c r="BR98" s="39">
        <f t="shared" si="179"/>
        <v>3.5141318977119713</v>
      </c>
      <c r="BS98" s="39">
        <f t="shared" si="179"/>
        <v>-0.61568276684555756</v>
      </c>
      <c r="BT98" s="39">
        <f t="shared" si="179"/>
        <v>1.3173002327385515</v>
      </c>
      <c r="BU98" s="39">
        <f t="shared" si="179"/>
        <v>0.4643454971543397</v>
      </c>
      <c r="BV98" s="39">
        <f t="shared" si="179"/>
        <v>0.51897576588934768</v>
      </c>
      <c r="BW98" s="39">
        <f t="shared" si="179"/>
        <v>-0.20936183022275856</v>
      </c>
      <c r="BX98" s="39">
        <f t="shared" si="179"/>
        <v>-0.36150770988006797</v>
      </c>
      <c r="BY98" s="39">
        <f t="shared" si="179"/>
        <v>-0.33333333333333348</v>
      </c>
      <c r="BZ98" s="39">
        <f t="shared" si="179"/>
        <v>1.1404293381037549</v>
      </c>
      <c r="CA98" s="39">
        <f t="shared" si="179"/>
        <v>-0.69849561220225598</v>
      </c>
      <c r="CB98" s="39">
        <f t="shared" si="179"/>
        <v>-0.15176715176715516</v>
      </c>
      <c r="CC98" s="39">
        <f t="shared" si="179"/>
        <v>-0.5531045751633954</v>
      </c>
      <c r="CD98" s="39">
        <f t="shared" si="179"/>
        <v>1.8007312614259394</v>
      </c>
      <c r="CE98" s="39">
        <f t="shared" si="179"/>
        <v>4.0469973890341127E-2</v>
      </c>
      <c r="CF98" s="39">
        <f t="shared" si="179"/>
        <v>-0.54767879548305787</v>
      </c>
      <c r="CG98" s="39">
        <f t="shared" si="179"/>
        <v>-0.42995839112345124</v>
      </c>
      <c r="CH98" s="39">
        <f t="shared" si="179"/>
        <v>1.7201946472019785</v>
      </c>
      <c r="CI98" s="39">
        <f t="shared" si="179"/>
        <v>-0.66100178890876327</v>
      </c>
      <c r="CJ98" s="39">
        <f t="shared" si="179"/>
        <v>5.5408970976252636</v>
      </c>
      <c r="CK98" s="39">
        <f t="shared" si="179"/>
        <v>5.4054054054058387E-2</v>
      </c>
      <c r="CL98" s="39">
        <f t="shared" si="179"/>
        <v>0.32185227707615471</v>
      </c>
      <c r="CM98" s="40">
        <f t="shared" ref="CM98:DB98" si="180">+CM95/CL95-1</f>
        <v>4.2552158883912394E-2</v>
      </c>
      <c r="CN98" s="40">
        <f t="shared" si="180"/>
        <v>0.14123956939848337</v>
      </c>
      <c r="CO98" s="40">
        <f t="shared" si="180"/>
        <v>0.12468086858919669</v>
      </c>
      <c r="CP98" s="40">
        <f t="shared" si="180"/>
        <v>6.6222450869339422E-2</v>
      </c>
      <c r="CQ98" s="40">
        <f t="shared" si="180"/>
        <v>8.0576753892842579E-3</v>
      </c>
      <c r="CR98" s="40">
        <f t="shared" si="180"/>
        <v>0.11665201201415942</v>
      </c>
      <c r="CS98" s="40">
        <f t="shared" si="180"/>
        <v>8.8198192983856227E-2</v>
      </c>
      <c r="CT98" s="40">
        <f t="shared" si="180"/>
        <v>7.0967087593649669E-2</v>
      </c>
      <c r="CU98" s="40">
        <f t="shared" si="180"/>
        <v>-1.0362013743908549E-2</v>
      </c>
      <c r="CV98" s="40">
        <f t="shared" si="180"/>
        <v>5.2878654413704762E-2</v>
      </c>
      <c r="CW98" s="40">
        <f t="shared" si="180"/>
        <v>4.3325795373713394E-2</v>
      </c>
      <c r="CX98" s="40">
        <f t="shared" si="180"/>
        <v>3.5520228536400023E-2</v>
      </c>
      <c r="CY98" s="40">
        <f t="shared" si="180"/>
        <v>2.940282900382285E-2</v>
      </c>
      <c r="CZ98" s="40">
        <f t="shared" si="180"/>
        <v>3.7814717945568344E-2</v>
      </c>
      <c r="DA98" s="40">
        <f t="shared" si="180"/>
        <v>3.4676066917274095E-2</v>
      </c>
      <c r="DB98" s="40">
        <f t="shared" si="180"/>
        <v>3.2834043527843804E-2</v>
      </c>
      <c r="DE98" s="122"/>
      <c r="DF98" s="39">
        <v>-0.32588802843761244</v>
      </c>
    </row>
    <row r="99" spans="1:110" s="75" customFormat="1" x14ac:dyDescent="0.2">
      <c r="A99" s="23" t="s">
        <v>22</v>
      </c>
      <c r="B99" s="75">
        <f>'Annual Raw'!C32</f>
        <v>0</v>
      </c>
      <c r="C99" s="75">
        <f>'Annual Raw'!D32</f>
        <v>0</v>
      </c>
      <c r="D99" s="75">
        <f>'Annual Raw'!E32</f>
        <v>0</v>
      </c>
      <c r="E99" s="75">
        <f>'Annual Raw'!F32</f>
        <v>0</v>
      </c>
      <c r="F99" s="75">
        <f>'Annual Raw'!G32</f>
        <v>0</v>
      </c>
      <c r="G99" s="75">
        <f>'Annual Raw'!H32</f>
        <v>0</v>
      </c>
      <c r="H99" s="75">
        <f>'Annual Raw'!I32</f>
        <v>0</v>
      </c>
      <c r="I99" s="75">
        <f>'Annual Raw'!J32</f>
        <v>0</v>
      </c>
      <c r="J99" s="75">
        <f>'Annual Raw'!K32</f>
        <v>0</v>
      </c>
      <c r="K99" s="75">
        <f>'Annual Raw'!L32</f>
        <v>0</v>
      </c>
      <c r="L99" s="75">
        <f>'Annual Raw'!M32</f>
        <v>0</v>
      </c>
      <c r="M99" s="75">
        <f>'Annual Raw'!N32</f>
        <v>0</v>
      </c>
      <c r="N99" s="75">
        <f>'Annual Raw'!O32</f>
        <v>0</v>
      </c>
      <c r="O99" s="75">
        <f>'Annual Raw'!P32</f>
        <v>0</v>
      </c>
      <c r="P99" s="75">
        <f>'Annual Raw'!Q32</f>
        <v>0</v>
      </c>
      <c r="Q99" s="75">
        <f>'Annual Raw'!R32</f>
        <v>0</v>
      </c>
      <c r="R99" s="75">
        <f>'Annual Raw'!S32</f>
        <v>0</v>
      </c>
      <c r="S99" s="75">
        <f>'Annual Raw'!T32</f>
        <v>0</v>
      </c>
      <c r="T99" s="75">
        <f>'Annual Raw'!U32</f>
        <v>0</v>
      </c>
      <c r="U99" s="75">
        <f>'Annual Raw'!V32</f>
        <v>0</v>
      </c>
      <c r="V99" s="75">
        <f>'Annual Raw'!W32</f>
        <v>0</v>
      </c>
      <c r="W99" s="75">
        <f>'Annual Raw'!X32</f>
        <v>0</v>
      </c>
      <c r="X99" s="75">
        <f>'Annual Raw'!Y32</f>
        <v>0</v>
      </c>
      <c r="Y99" s="75">
        <f>'Annual Raw'!Z32</f>
        <v>0</v>
      </c>
      <c r="Z99" s="75">
        <f>'Annual Raw'!AA32</f>
        <v>0</v>
      </c>
      <c r="AA99" s="75">
        <f>'Annual Raw'!AB32</f>
        <v>0</v>
      </c>
      <c r="AB99" s="76">
        <f>+SUM(CM99:CP99)</f>
        <v>0</v>
      </c>
      <c r="AC99" s="76">
        <f>+SUM(CQ99:CT99)</f>
        <v>0</v>
      </c>
      <c r="AD99" s="76">
        <f>+SUM(CU99:CX99)</f>
        <v>0</v>
      </c>
      <c r="AE99" s="76">
        <f>+SUM(CY99:DB99)</f>
        <v>0</v>
      </c>
      <c r="AI99" s="75">
        <f>'QTR Raw'!C34</f>
        <v>0</v>
      </c>
      <c r="AJ99" s="75">
        <f>'QTR Raw'!D34</f>
        <v>0</v>
      </c>
      <c r="AK99" s="75">
        <f>'QTR Raw'!E34</f>
        <v>0</v>
      </c>
      <c r="AL99" s="75">
        <f>'QTR Raw'!F34</f>
        <v>0</v>
      </c>
      <c r="AM99" s="75">
        <f>'QTR Raw'!G34</f>
        <v>0</v>
      </c>
      <c r="AN99" s="75">
        <f>'QTR Raw'!H34</f>
        <v>0</v>
      </c>
      <c r="AO99" s="75">
        <f>'QTR Raw'!I34</f>
        <v>0</v>
      </c>
      <c r="AP99" s="75">
        <f>'QTR Raw'!J34</f>
        <v>0</v>
      </c>
      <c r="AQ99" s="75">
        <f>'QTR Raw'!K34</f>
        <v>0</v>
      </c>
      <c r="AR99" s="75">
        <f>'QTR Raw'!L34</f>
        <v>0</v>
      </c>
      <c r="AS99" s="75">
        <f>'QTR Raw'!M34</f>
        <v>0</v>
      </c>
      <c r="AT99" s="75">
        <f>'QTR Raw'!N34</f>
        <v>0</v>
      </c>
      <c r="AU99" s="75">
        <f>'QTR Raw'!O34</f>
        <v>0</v>
      </c>
      <c r="AV99" s="75">
        <f>'QTR Raw'!P34</f>
        <v>0</v>
      </c>
      <c r="AW99" s="75">
        <f>'QTR Raw'!Q34</f>
        <v>0</v>
      </c>
      <c r="AX99" s="75">
        <f>'QTR Raw'!R34</f>
        <v>0</v>
      </c>
      <c r="AY99" s="75">
        <f>'QTR Raw'!S34</f>
        <v>0</v>
      </c>
      <c r="AZ99" s="75">
        <f>'QTR Raw'!T34</f>
        <v>0</v>
      </c>
      <c r="BA99" s="75">
        <f>'QTR Raw'!U34</f>
        <v>0</v>
      </c>
      <c r="BB99" s="75">
        <f>'QTR Raw'!V34</f>
        <v>0</v>
      </c>
      <c r="BC99" s="75">
        <f>'QTR Raw'!W34</f>
        <v>0</v>
      </c>
      <c r="BD99" s="75">
        <f>'QTR Raw'!X34</f>
        <v>0</v>
      </c>
      <c r="BE99" s="75">
        <f>'QTR Raw'!Y34</f>
        <v>0</v>
      </c>
      <c r="BF99" s="75">
        <f>'QTR Raw'!Z34</f>
        <v>0</v>
      </c>
      <c r="BG99" s="75">
        <f>'QTR Raw'!AA34</f>
        <v>0</v>
      </c>
      <c r="BH99" s="75">
        <f>'QTR Raw'!AB34</f>
        <v>0</v>
      </c>
      <c r="BI99" s="75">
        <f>'QTR Raw'!AC34</f>
        <v>0</v>
      </c>
      <c r="BJ99" s="75">
        <f>'QTR Raw'!AD34</f>
        <v>0</v>
      </c>
      <c r="BK99" s="75">
        <f>'QTR Raw'!AE34</f>
        <v>0</v>
      </c>
      <c r="BL99" s="75">
        <f>'QTR Raw'!AF34</f>
        <v>0</v>
      </c>
      <c r="BM99" s="75">
        <f>'QTR Raw'!AG34</f>
        <v>0</v>
      </c>
      <c r="BN99" s="75">
        <f>'QTR Raw'!AH34</f>
        <v>0</v>
      </c>
      <c r="BO99" s="75">
        <f>'QTR Raw'!AI34</f>
        <v>0</v>
      </c>
      <c r="BP99" s="75">
        <f>'QTR Raw'!AJ34</f>
        <v>0</v>
      </c>
      <c r="BQ99" s="75">
        <f>'QTR Raw'!AK34</f>
        <v>0</v>
      </c>
      <c r="BR99" s="75">
        <f>'QTR Raw'!AL34</f>
        <v>0</v>
      </c>
      <c r="BS99" s="75">
        <f>'QTR Raw'!AM34</f>
        <v>0</v>
      </c>
      <c r="BT99" s="75">
        <f>'QTR Raw'!AN34</f>
        <v>0</v>
      </c>
      <c r="BU99" s="75">
        <f>'QTR Raw'!AO34</f>
        <v>0</v>
      </c>
      <c r="BV99" s="75">
        <f>'QTR Raw'!AP34</f>
        <v>0</v>
      </c>
      <c r="BW99" s="75">
        <f>'QTR Raw'!AQ34</f>
        <v>0</v>
      </c>
      <c r="BX99" s="75">
        <f>'QTR Raw'!AR34</f>
        <v>0</v>
      </c>
      <c r="BY99" s="75">
        <f>'QTR Raw'!AS34</f>
        <v>0</v>
      </c>
      <c r="BZ99" s="75">
        <f>'QTR Raw'!AT34</f>
        <v>0</v>
      </c>
      <c r="CA99" s="75">
        <f>'QTR Raw'!AU34</f>
        <v>0</v>
      </c>
      <c r="CB99" s="75">
        <f>'QTR Raw'!AV34</f>
        <v>0</v>
      </c>
      <c r="CC99" s="75">
        <f>'QTR Raw'!AW34</f>
        <v>0</v>
      </c>
      <c r="CD99" s="75">
        <f>'QTR Raw'!AX34</f>
        <v>0</v>
      </c>
      <c r="CE99" s="75">
        <f>'QTR Raw'!AY34</f>
        <v>0</v>
      </c>
      <c r="CF99" s="75">
        <f>'QTR Raw'!AZ34</f>
        <v>0</v>
      </c>
      <c r="CG99" s="75">
        <f>'QTR Raw'!BA34</f>
        <v>0</v>
      </c>
      <c r="CH99" s="75">
        <f>'QTR Raw'!BB34</f>
        <v>0</v>
      </c>
      <c r="CI99" s="75">
        <f>'QTR Raw'!BC34</f>
        <v>0</v>
      </c>
      <c r="CJ99" s="75">
        <f>'QTR Raw'!BD34</f>
        <v>0</v>
      </c>
      <c r="CK99" s="75">
        <f>'QTR Raw'!BE34</f>
        <v>0</v>
      </c>
      <c r="CL99" s="75">
        <f>'QTR Raw'!BF34</f>
        <v>0</v>
      </c>
      <c r="CM99" s="76">
        <f t="shared" ref="CM99:DB99" si="181">+CL99</f>
        <v>0</v>
      </c>
      <c r="CN99" s="76">
        <f t="shared" si="181"/>
        <v>0</v>
      </c>
      <c r="CO99" s="76">
        <f t="shared" si="181"/>
        <v>0</v>
      </c>
      <c r="CP99" s="76">
        <f t="shared" si="181"/>
        <v>0</v>
      </c>
      <c r="CQ99" s="76">
        <f t="shared" si="181"/>
        <v>0</v>
      </c>
      <c r="CR99" s="76">
        <f t="shared" si="181"/>
        <v>0</v>
      </c>
      <c r="CS99" s="76">
        <f t="shared" si="181"/>
        <v>0</v>
      </c>
      <c r="CT99" s="76">
        <f t="shared" si="181"/>
        <v>0</v>
      </c>
      <c r="CU99" s="76">
        <f t="shared" si="181"/>
        <v>0</v>
      </c>
      <c r="CV99" s="76">
        <f t="shared" si="181"/>
        <v>0</v>
      </c>
      <c r="CW99" s="76">
        <f t="shared" si="181"/>
        <v>0</v>
      </c>
      <c r="CX99" s="76">
        <f t="shared" si="181"/>
        <v>0</v>
      </c>
      <c r="CY99" s="76">
        <f t="shared" si="181"/>
        <v>0</v>
      </c>
      <c r="CZ99" s="76">
        <f t="shared" si="181"/>
        <v>0</v>
      </c>
      <c r="DA99" s="76">
        <f t="shared" si="181"/>
        <v>0</v>
      </c>
      <c r="DB99" s="76">
        <f t="shared" si="181"/>
        <v>0</v>
      </c>
      <c r="DE99" s="131"/>
      <c r="DF99" s="75">
        <v>0</v>
      </c>
    </row>
    <row r="100" spans="1:110" s="75" customFormat="1" x14ac:dyDescent="0.2">
      <c r="A100" s="23" t="s">
        <v>23</v>
      </c>
      <c r="B100" s="75">
        <f>'Annual Raw'!C33+'Annual Raw'!C28</f>
        <v>0</v>
      </c>
      <c r="C100" s="75">
        <f>'Annual Raw'!D33+'Annual Raw'!D28</f>
        <v>0</v>
      </c>
      <c r="D100" s="75">
        <f>'Annual Raw'!E33+'Annual Raw'!E28</f>
        <v>0</v>
      </c>
      <c r="E100" s="75">
        <f>'Annual Raw'!F33+'Annual Raw'!F28</f>
        <v>0</v>
      </c>
      <c r="F100" s="75">
        <f>'Annual Raw'!G33+'Annual Raw'!G28</f>
        <v>0</v>
      </c>
      <c r="G100" s="75">
        <f>'Annual Raw'!H33+'Annual Raw'!H28</f>
        <v>0</v>
      </c>
      <c r="H100" s="75">
        <f>'Annual Raw'!I33+'Annual Raw'!I28</f>
        <v>0</v>
      </c>
      <c r="I100" s="75">
        <f>'Annual Raw'!J33+'Annual Raw'!J28</f>
        <v>0</v>
      </c>
      <c r="J100" s="75">
        <f>'Annual Raw'!K33+'Annual Raw'!K28</f>
        <v>0</v>
      </c>
      <c r="K100" s="75">
        <f>'Annual Raw'!L33+'Annual Raw'!L28</f>
        <v>0</v>
      </c>
      <c r="L100" s="75">
        <f>'Annual Raw'!M33+'Annual Raw'!M28</f>
        <v>0</v>
      </c>
      <c r="M100" s="75">
        <f>'Annual Raw'!N33+'Annual Raw'!N28</f>
        <v>0</v>
      </c>
      <c r="N100" s="75">
        <f>'Annual Raw'!O33+'Annual Raw'!O28</f>
        <v>0</v>
      </c>
      <c r="O100" s="75">
        <f>'Annual Raw'!P33+'Annual Raw'!P28</f>
        <v>0</v>
      </c>
      <c r="P100" s="75">
        <f>'Annual Raw'!Q33+'Annual Raw'!Q28</f>
        <v>0</v>
      </c>
      <c r="Q100" s="75">
        <f>'Annual Raw'!R33+'Annual Raw'!R28</f>
        <v>0</v>
      </c>
      <c r="R100" s="75">
        <f>'Annual Raw'!S33+'Annual Raw'!S28</f>
        <v>0</v>
      </c>
      <c r="S100" s="75">
        <f>'Annual Raw'!T33+'Annual Raw'!T28</f>
        <v>0</v>
      </c>
      <c r="T100" s="75">
        <f>'Annual Raw'!U33+'Annual Raw'!U28</f>
        <v>0</v>
      </c>
      <c r="U100" s="75">
        <f>'Annual Raw'!V33+'Annual Raw'!V28</f>
        <v>0</v>
      </c>
      <c r="V100" s="75">
        <f>'Annual Raw'!W33+'Annual Raw'!W28</f>
        <v>0</v>
      </c>
      <c r="W100" s="75">
        <f>'Annual Raw'!X33+'Annual Raw'!X28</f>
        <v>0</v>
      </c>
      <c r="X100" s="75">
        <f>'Annual Raw'!Y33+'Annual Raw'!Y28</f>
        <v>0</v>
      </c>
      <c r="Y100" s="75">
        <f>'Annual Raw'!Z33+'Annual Raw'!Z28</f>
        <v>0</v>
      </c>
      <c r="Z100" s="75">
        <f>'Annual Raw'!AA33+'Annual Raw'!AA28</f>
        <v>0</v>
      </c>
      <c r="AA100" s="75">
        <f>'Annual Raw'!AB33+'Annual Raw'!AB28</f>
        <v>-0.01</v>
      </c>
      <c r="AB100" s="76">
        <f>+SUM(CM100:CP100)</f>
        <v>-0.04</v>
      </c>
      <c r="AC100" s="76">
        <f>+SUM(CQ100:CT100)</f>
        <v>-0.04</v>
      </c>
      <c r="AD100" s="76">
        <f>+SUM(CU100:CX100)</f>
        <v>-0.04</v>
      </c>
      <c r="AE100" s="76">
        <f>+SUM(CY100:DB100)</f>
        <v>-0.04</v>
      </c>
      <c r="AI100" s="75">
        <f>'QTR Raw'!C35</f>
        <v>0</v>
      </c>
      <c r="AJ100" s="75">
        <f>'QTR Raw'!D35</f>
        <v>0</v>
      </c>
      <c r="AK100" s="75">
        <f>'QTR Raw'!E35</f>
        <v>0</v>
      </c>
      <c r="AL100" s="75">
        <f>'QTR Raw'!F35</f>
        <v>0</v>
      </c>
      <c r="AM100" s="75">
        <f>'QTR Raw'!G35</f>
        <v>0</v>
      </c>
      <c r="AN100" s="75">
        <f>'QTR Raw'!H35</f>
        <v>0</v>
      </c>
      <c r="AO100" s="75">
        <f>'QTR Raw'!I35</f>
        <v>0</v>
      </c>
      <c r="AP100" s="75">
        <f>'QTR Raw'!J35</f>
        <v>0</v>
      </c>
      <c r="AQ100" s="75">
        <f>'QTR Raw'!K35</f>
        <v>0</v>
      </c>
      <c r="AR100" s="75">
        <f>'QTR Raw'!L35</f>
        <v>0</v>
      </c>
      <c r="AS100" s="75">
        <f>'QTR Raw'!M35</f>
        <v>0</v>
      </c>
      <c r="AT100" s="75">
        <f>'QTR Raw'!N35</f>
        <v>0</v>
      </c>
      <c r="AU100" s="75">
        <f>'QTR Raw'!O35</f>
        <v>0</v>
      </c>
      <c r="AV100" s="75">
        <f>'QTR Raw'!P35</f>
        <v>0</v>
      </c>
      <c r="AW100" s="75">
        <f>'QTR Raw'!Q35</f>
        <v>0</v>
      </c>
      <c r="AX100" s="75">
        <f>'QTR Raw'!R35</f>
        <v>0</v>
      </c>
      <c r="AY100" s="75">
        <f>'QTR Raw'!S35</f>
        <v>0</v>
      </c>
      <c r="AZ100" s="75">
        <f>'QTR Raw'!T35</f>
        <v>0</v>
      </c>
      <c r="BA100" s="75">
        <f>'QTR Raw'!U35</f>
        <v>0</v>
      </c>
      <c r="BB100" s="75">
        <f>'QTR Raw'!V35</f>
        <v>0</v>
      </c>
      <c r="BC100" s="75">
        <f>'QTR Raw'!W35</f>
        <v>0</v>
      </c>
      <c r="BD100" s="75">
        <f>'QTR Raw'!X35</f>
        <v>0</v>
      </c>
      <c r="BE100" s="75">
        <f>'QTR Raw'!Y35</f>
        <v>0</v>
      </c>
      <c r="BF100" s="75">
        <f>'QTR Raw'!Z35</f>
        <v>0</v>
      </c>
      <c r="BG100" s="75">
        <f>'QTR Raw'!AA35</f>
        <v>0</v>
      </c>
      <c r="BH100" s="75">
        <f>'QTR Raw'!AB35</f>
        <v>0</v>
      </c>
      <c r="BI100" s="75">
        <f>'QTR Raw'!AC35</f>
        <v>0</v>
      </c>
      <c r="BJ100" s="75">
        <f>'QTR Raw'!AD35</f>
        <v>0</v>
      </c>
      <c r="BK100" s="75">
        <f>'QTR Raw'!AE35</f>
        <v>0</v>
      </c>
      <c r="BL100" s="75">
        <f>'QTR Raw'!AF35</f>
        <v>0</v>
      </c>
      <c r="BM100" s="75">
        <f>'QTR Raw'!AG35</f>
        <v>0</v>
      </c>
      <c r="BN100" s="75">
        <f>'QTR Raw'!AH35</f>
        <v>0</v>
      </c>
      <c r="BO100" s="75">
        <f>'QTR Raw'!AI35</f>
        <v>0</v>
      </c>
      <c r="BP100" s="75">
        <f>'QTR Raw'!AJ35</f>
        <v>0</v>
      </c>
      <c r="BQ100" s="75">
        <f>'QTR Raw'!AK35</f>
        <v>0</v>
      </c>
      <c r="BR100" s="75">
        <f>'QTR Raw'!AL35</f>
        <v>0</v>
      </c>
      <c r="BS100" s="75">
        <f>'QTR Raw'!AM35</f>
        <v>0</v>
      </c>
      <c r="BT100" s="75">
        <f>'QTR Raw'!AN35</f>
        <v>0</v>
      </c>
      <c r="BU100" s="75">
        <f>'QTR Raw'!AO35</f>
        <v>0</v>
      </c>
      <c r="BV100" s="75">
        <f>'QTR Raw'!AP35</f>
        <v>0</v>
      </c>
      <c r="BW100" s="75">
        <f>'QTR Raw'!AQ35</f>
        <v>0</v>
      </c>
      <c r="BX100" s="75">
        <f>'QTR Raw'!AR35</f>
        <v>0</v>
      </c>
      <c r="BY100" s="75">
        <f>'QTR Raw'!AS35</f>
        <v>0</v>
      </c>
      <c r="BZ100" s="75">
        <f>'QTR Raw'!AT35</f>
        <v>0</v>
      </c>
      <c r="CA100" s="75">
        <f>'QTR Raw'!AU35</f>
        <v>0</v>
      </c>
      <c r="CB100" s="75">
        <f>'QTR Raw'!AV35</f>
        <v>0</v>
      </c>
      <c r="CC100" s="75">
        <f>'QTR Raw'!AW35</f>
        <v>0</v>
      </c>
      <c r="CD100" s="75">
        <f>'QTR Raw'!AX35</f>
        <v>0</v>
      </c>
      <c r="CE100" s="75">
        <f>'QTR Raw'!AY35</f>
        <v>0</v>
      </c>
      <c r="CF100" s="75">
        <f>'QTR Raw'!AZ35</f>
        <v>0</v>
      </c>
      <c r="CG100" s="75">
        <f>'QTR Raw'!BA35</f>
        <v>0</v>
      </c>
      <c r="CH100" s="75">
        <f>'QTR Raw'!BB35</f>
        <v>0</v>
      </c>
      <c r="CI100" s="75">
        <f>'QTR Raw'!BC35</f>
        <v>0</v>
      </c>
      <c r="CJ100" s="75">
        <f>'QTR Raw'!BD35</f>
        <v>0</v>
      </c>
      <c r="CK100" s="75">
        <f>'QTR Raw'!BE35</f>
        <v>0</v>
      </c>
      <c r="CL100" s="75">
        <f>'QTR Raw'!BF35</f>
        <v>-0.01</v>
      </c>
      <c r="CM100" s="76">
        <f t="shared" ref="CM100:DB100" si="182">+CL100</f>
        <v>-0.01</v>
      </c>
      <c r="CN100" s="76">
        <f t="shared" si="182"/>
        <v>-0.01</v>
      </c>
      <c r="CO100" s="76">
        <f t="shared" si="182"/>
        <v>-0.01</v>
      </c>
      <c r="CP100" s="76">
        <f t="shared" si="182"/>
        <v>-0.01</v>
      </c>
      <c r="CQ100" s="76">
        <f t="shared" si="182"/>
        <v>-0.01</v>
      </c>
      <c r="CR100" s="76">
        <f t="shared" si="182"/>
        <v>-0.01</v>
      </c>
      <c r="CS100" s="76">
        <f t="shared" si="182"/>
        <v>-0.01</v>
      </c>
      <c r="CT100" s="76">
        <f t="shared" si="182"/>
        <v>-0.01</v>
      </c>
      <c r="CU100" s="76">
        <f t="shared" si="182"/>
        <v>-0.01</v>
      </c>
      <c r="CV100" s="76">
        <f t="shared" si="182"/>
        <v>-0.01</v>
      </c>
      <c r="CW100" s="76">
        <f t="shared" si="182"/>
        <v>-0.01</v>
      </c>
      <c r="CX100" s="76">
        <f t="shared" si="182"/>
        <v>-0.01</v>
      </c>
      <c r="CY100" s="76">
        <f t="shared" si="182"/>
        <v>-0.01</v>
      </c>
      <c r="CZ100" s="76">
        <f t="shared" si="182"/>
        <v>-0.01</v>
      </c>
      <c r="DA100" s="76">
        <f t="shared" si="182"/>
        <v>-0.01</v>
      </c>
      <c r="DB100" s="76">
        <f t="shared" si="182"/>
        <v>-0.01</v>
      </c>
      <c r="DE100" s="131"/>
      <c r="DF100" s="75">
        <v>0</v>
      </c>
    </row>
    <row r="101" spans="1:110" s="23" customFormat="1" x14ac:dyDescent="0.2">
      <c r="A101" s="23" t="s">
        <v>18</v>
      </c>
      <c r="B101" s="75">
        <f>'Annual Raw'!C29+'Annual Raw'!C31+'Annual Raw'!C34+'Annual Raw'!C36</f>
        <v>0</v>
      </c>
      <c r="C101" s="75">
        <f>'Annual Raw'!D29+'Annual Raw'!D31+'Annual Raw'!D34+'Annual Raw'!D36</f>
        <v>0</v>
      </c>
      <c r="D101" s="75">
        <f>'Annual Raw'!E29+'Annual Raw'!E31+'Annual Raw'!E34+'Annual Raw'!E36</f>
        <v>0</v>
      </c>
      <c r="E101" s="75">
        <f>'Annual Raw'!F29+'Annual Raw'!F31+'Annual Raw'!F34+'Annual Raw'!F36</f>
        <v>0</v>
      </c>
      <c r="F101" s="75">
        <f>'Annual Raw'!G29+'Annual Raw'!G31+'Annual Raw'!G34+'Annual Raw'!G36</f>
        <v>0</v>
      </c>
      <c r="G101" s="75">
        <f>'Annual Raw'!H29+'Annual Raw'!H31+'Annual Raw'!H34+'Annual Raw'!H36</f>
        <v>0</v>
      </c>
      <c r="H101" s="75">
        <f>'Annual Raw'!I29+'Annual Raw'!I31+'Annual Raw'!I34+'Annual Raw'!I36</f>
        <v>0</v>
      </c>
      <c r="I101" s="75">
        <f>'Annual Raw'!J29+'Annual Raw'!J31+'Annual Raw'!J34+'Annual Raw'!J36</f>
        <v>0</v>
      </c>
      <c r="J101" s="75">
        <f>'Annual Raw'!K29+'Annual Raw'!K31+'Annual Raw'!K34+'Annual Raw'!K36</f>
        <v>0</v>
      </c>
      <c r="K101" s="75">
        <f>'Annual Raw'!L29+'Annual Raw'!L31+'Annual Raw'!L34+'Annual Raw'!L36</f>
        <v>0</v>
      </c>
      <c r="L101" s="75">
        <f>'Annual Raw'!M29+'Annual Raw'!M31+'Annual Raw'!M34+'Annual Raw'!M36</f>
        <v>0</v>
      </c>
      <c r="M101" s="75">
        <f>'Annual Raw'!N29+'Annual Raw'!N31+'Annual Raw'!N34+'Annual Raw'!N36</f>
        <v>0</v>
      </c>
      <c r="N101" s="75">
        <f>'Annual Raw'!O29+'Annual Raw'!O31+'Annual Raw'!O34+'Annual Raw'!O36</f>
        <v>0</v>
      </c>
      <c r="O101" s="75">
        <f>'Annual Raw'!P29+'Annual Raw'!P31+'Annual Raw'!P34+'Annual Raw'!P36</f>
        <v>0</v>
      </c>
      <c r="P101" s="75">
        <f>'Annual Raw'!Q29+'Annual Raw'!Q31+'Annual Raw'!Q34+'Annual Raw'!Q36</f>
        <v>-0.35</v>
      </c>
      <c r="Q101" s="75">
        <f>'Annual Raw'!R29+'Annual Raw'!R31+'Annual Raw'!R34+'Annual Raw'!R36</f>
        <v>0</v>
      </c>
      <c r="R101" s="75">
        <f>'Annual Raw'!S29+'Annual Raw'!S31+'Annual Raw'!S34+'Annual Raw'!S36</f>
        <v>0</v>
      </c>
      <c r="S101" s="75">
        <f>'Annual Raw'!T29+'Annual Raw'!T31+'Annual Raw'!T34+'Annual Raw'!T36</f>
        <v>0</v>
      </c>
      <c r="T101" s="75">
        <f>'Annual Raw'!U29+'Annual Raw'!U31+'Annual Raw'!U34+'Annual Raw'!U36</f>
        <v>0</v>
      </c>
      <c r="U101" s="75">
        <f>'Annual Raw'!V29+'Annual Raw'!V31+'Annual Raw'!V34+'Annual Raw'!V36</f>
        <v>0</v>
      </c>
      <c r="V101" s="75">
        <f>'Annual Raw'!W29+'Annual Raw'!W31+'Annual Raw'!W34+'Annual Raw'!W36</f>
        <v>0</v>
      </c>
      <c r="W101" s="75">
        <f>'Annual Raw'!X29+'Annual Raw'!X31+'Annual Raw'!X34+'Annual Raw'!X36</f>
        <v>-12.29</v>
      </c>
      <c r="X101" s="75">
        <f>'Annual Raw'!Y29+'Annual Raw'!Y31+'Annual Raw'!Y34+'Annual Raw'!Y36</f>
        <v>-25.75</v>
      </c>
      <c r="Y101" s="75">
        <f>'Annual Raw'!Z29+'Annual Raw'!Z31+'Annual Raw'!Z34+'Annual Raw'!Z36</f>
        <v>-6.64</v>
      </c>
      <c r="Z101" s="75">
        <f>'Annual Raw'!AA29+'Annual Raw'!AA31+'Annual Raw'!AA34+'Annual Raw'!AA36</f>
        <v>-6.64</v>
      </c>
      <c r="AA101" s="75">
        <f>'Annual Raw'!AB29+'Annual Raw'!AB31+'Annual Raw'!AB34+'Annual Raw'!AB36</f>
        <v>-6.64</v>
      </c>
      <c r="AB101" s="76">
        <f>+SUM(CM101:CP101)</f>
        <v>0</v>
      </c>
      <c r="AC101" s="76">
        <f>+SUM(CQ101:CT101)</f>
        <v>0</v>
      </c>
      <c r="AD101" s="76">
        <f>+SUM(CU101:CX101)</f>
        <v>0</v>
      </c>
      <c r="AE101" s="76">
        <f>+SUM(CY101:DB101)</f>
        <v>0</v>
      </c>
      <c r="AI101" s="75">
        <f>'QTR Raw'!C26+'QTR Raw'!C31+'QTR Raw'!C32+'QTR Raw'!C33+'QTR Raw'!C36+'QTR Raw'!C37+'QTR Raw'!C39</f>
        <v>0</v>
      </c>
      <c r="AJ101" s="75">
        <f>'QTR Raw'!D26+'QTR Raw'!D31+'QTR Raw'!D32+'QTR Raw'!D33+'QTR Raw'!D36+'QTR Raw'!D37+'QTR Raw'!D39</f>
        <v>0</v>
      </c>
      <c r="AK101" s="75">
        <f>'QTR Raw'!E26+'QTR Raw'!E31+'QTR Raw'!E32+'QTR Raw'!E33+'QTR Raw'!E36+'QTR Raw'!E37+'QTR Raw'!E39</f>
        <v>0</v>
      </c>
      <c r="AL101" s="75">
        <f>'QTR Raw'!F26+'QTR Raw'!F31+'QTR Raw'!F32+'QTR Raw'!F33+'QTR Raw'!F36+'QTR Raw'!F37+'QTR Raw'!F39</f>
        <v>-0.45</v>
      </c>
      <c r="AM101" s="75">
        <f>'QTR Raw'!G26+'QTR Raw'!G31+'QTR Raw'!G32+'QTR Raw'!G33+'QTR Raw'!G36+'QTR Raw'!G37+'QTR Raw'!G39</f>
        <v>0</v>
      </c>
      <c r="AN101" s="75">
        <f>'QTR Raw'!H26+'QTR Raw'!H31+'QTR Raw'!H32+'QTR Raw'!H33+'QTR Raw'!H36+'QTR Raw'!H37+'QTR Raw'!H39</f>
        <v>0</v>
      </c>
      <c r="AO101" s="75">
        <f>'QTR Raw'!I26+'QTR Raw'!I31+'QTR Raw'!I32+'QTR Raw'!I33+'QTR Raw'!I36+'QTR Raw'!I37+'QTR Raw'!I39</f>
        <v>0</v>
      </c>
      <c r="AP101" s="75">
        <f>'QTR Raw'!J26+'QTR Raw'!J31+'QTR Raw'!J32+'QTR Raw'!J33+'QTR Raw'!J36+'QTR Raw'!J37+'QTR Raw'!J39</f>
        <v>-0.3</v>
      </c>
      <c r="AQ101" s="75">
        <f>'QTR Raw'!K26+'QTR Raw'!K31+'QTR Raw'!K32+'QTR Raw'!K33+'QTR Raw'!K36+'QTR Raw'!K37+'QTR Raw'!K39</f>
        <v>0</v>
      </c>
      <c r="AR101" s="75">
        <f>'QTR Raw'!L26+'QTR Raw'!L31+'QTR Raw'!L32+'QTR Raw'!L33+'QTR Raw'!L36+'QTR Raw'!L37+'QTR Raw'!L39</f>
        <v>0</v>
      </c>
      <c r="AS101" s="75">
        <f>'QTR Raw'!M26+'QTR Raw'!M31+'QTR Raw'!M32+'QTR Raw'!M33+'QTR Raw'!M36+'QTR Raw'!M37+'QTR Raw'!M39</f>
        <v>0</v>
      </c>
      <c r="AT101" s="75">
        <f>'QTR Raw'!N26+'QTR Raw'!N31+'QTR Raw'!N32+'QTR Raw'!N33+'QTR Raw'!N36+'QTR Raw'!N37+'QTR Raw'!N39</f>
        <v>-0.35</v>
      </c>
      <c r="AU101" s="75">
        <f>'QTR Raw'!O26+'QTR Raw'!O31+'QTR Raw'!O32+'QTR Raw'!O33+'QTR Raw'!O36+'QTR Raw'!O37+'QTR Raw'!O39</f>
        <v>0</v>
      </c>
      <c r="AV101" s="75">
        <f>'QTR Raw'!P26+'QTR Raw'!P31+'QTR Raw'!P32+'QTR Raw'!P33+'QTR Raw'!P36+'QTR Raw'!P37+'QTR Raw'!P39</f>
        <v>0</v>
      </c>
      <c r="AW101" s="75">
        <f>'QTR Raw'!Q26+'QTR Raw'!Q31+'QTR Raw'!Q32+'QTR Raw'!Q33+'QTR Raw'!Q36+'QTR Raw'!Q37+'QTR Raw'!Q39</f>
        <v>0</v>
      </c>
      <c r="AX101" s="75">
        <f>'QTR Raw'!R26+'QTR Raw'!R31+'QTR Raw'!R32+'QTR Raw'!R33+'QTR Raw'!R36+'QTR Raw'!R37+'QTR Raw'!R39</f>
        <v>-0.35</v>
      </c>
      <c r="AY101" s="75">
        <f>'QTR Raw'!S26+'QTR Raw'!S31+'QTR Raw'!S32+'QTR Raw'!S33+'QTR Raw'!S36+'QTR Raw'!S37+'QTR Raw'!S39</f>
        <v>0</v>
      </c>
      <c r="AZ101" s="75">
        <f>'QTR Raw'!T26+'QTR Raw'!T31+'QTR Raw'!T32+'QTR Raw'!T33+'QTR Raw'!T36+'QTR Raw'!T37+'QTR Raw'!T39</f>
        <v>0</v>
      </c>
      <c r="BA101" s="75">
        <f>'QTR Raw'!U26+'QTR Raw'!U31+'QTR Raw'!U32+'QTR Raw'!U33+'QTR Raw'!U36+'QTR Raw'!U37+'QTR Raw'!U39</f>
        <v>0</v>
      </c>
      <c r="BB101" s="75">
        <f>'QTR Raw'!V26+'QTR Raw'!V31+'QTR Raw'!V32+'QTR Raw'!V33+'QTR Raw'!V36+'QTR Raw'!V37+'QTR Raw'!V39</f>
        <v>0</v>
      </c>
      <c r="BC101" s="75">
        <f>'QTR Raw'!W26+'QTR Raw'!W31+'QTR Raw'!W32+'QTR Raw'!W33+'QTR Raw'!W36+'QTR Raw'!W37+'QTR Raw'!W39</f>
        <v>0</v>
      </c>
      <c r="BD101" s="75">
        <f>'QTR Raw'!X26+'QTR Raw'!X31+'QTR Raw'!X32+'QTR Raw'!X33+'QTR Raw'!X36+'QTR Raw'!X37+'QTR Raw'!X39</f>
        <v>0</v>
      </c>
      <c r="BE101" s="75">
        <f>'QTR Raw'!Y26+'QTR Raw'!Y31+'QTR Raw'!Y32+'QTR Raw'!Y33+'QTR Raw'!Y36+'QTR Raw'!Y37+'QTR Raw'!Y39</f>
        <v>0</v>
      </c>
      <c r="BF101" s="75">
        <f>'QTR Raw'!Z26+'QTR Raw'!Z31+'QTR Raw'!Z32+'QTR Raw'!Z33+'QTR Raw'!Z36+'QTR Raw'!Z37+'QTR Raw'!Z39</f>
        <v>0</v>
      </c>
      <c r="BG101" s="75">
        <f>'QTR Raw'!AA26+'QTR Raw'!AA31+'QTR Raw'!AA32+'QTR Raw'!AA33+'QTR Raw'!AA36+'QTR Raw'!AA37+'QTR Raw'!AA39</f>
        <v>0</v>
      </c>
      <c r="BH101" s="75">
        <f>'QTR Raw'!AB26+'QTR Raw'!AB31+'QTR Raw'!AB32+'QTR Raw'!AB33+'QTR Raw'!AB36+'QTR Raw'!AB37+'QTR Raw'!AB39</f>
        <v>0</v>
      </c>
      <c r="BI101" s="75">
        <f>'QTR Raw'!AC26+'QTR Raw'!AC31+'QTR Raw'!AC32+'QTR Raw'!AC33+'QTR Raw'!AC36+'QTR Raw'!AC37+'QTR Raw'!AC39</f>
        <v>0</v>
      </c>
      <c r="BJ101" s="75">
        <f>'QTR Raw'!AD26+'QTR Raw'!AD31+'QTR Raw'!AD32+'QTR Raw'!AD33+'QTR Raw'!AD36+'QTR Raw'!AD37+'QTR Raw'!AD39</f>
        <v>0</v>
      </c>
      <c r="BK101" s="75">
        <f>'QTR Raw'!AE26+'QTR Raw'!AE31+'QTR Raw'!AE32+'QTR Raw'!AE33+'QTR Raw'!AE36+'QTR Raw'!AE37+'QTR Raw'!AE39</f>
        <v>0</v>
      </c>
      <c r="BL101" s="75">
        <f>'QTR Raw'!AF26+'QTR Raw'!AF31+'QTR Raw'!AF32+'QTR Raw'!AF33+'QTR Raw'!AF36+'QTR Raw'!AF37+'QTR Raw'!AF39</f>
        <v>0</v>
      </c>
      <c r="BM101" s="75">
        <f>'QTR Raw'!AG26+'QTR Raw'!AG31+'QTR Raw'!AG32+'QTR Raw'!AG33+'QTR Raw'!AG36+'QTR Raw'!AG37+'QTR Raw'!AG39</f>
        <v>0</v>
      </c>
      <c r="BN101" s="75">
        <f>'QTR Raw'!AH26+'QTR Raw'!AH31+'QTR Raw'!AH32+'QTR Raw'!AH33+'QTR Raw'!AH36+'QTR Raw'!AH37+'QTR Raw'!AH39</f>
        <v>0</v>
      </c>
      <c r="BO101" s="75">
        <f>'QTR Raw'!AI26+'QTR Raw'!AI31+'QTR Raw'!AI32+'QTR Raw'!AI33+'QTR Raw'!AI36+'QTR Raw'!AI37+'QTR Raw'!AI39</f>
        <v>0</v>
      </c>
      <c r="BP101" s="75">
        <f>'QTR Raw'!AJ26+'QTR Raw'!AJ31+'QTR Raw'!AJ32+'QTR Raw'!AJ33+'QTR Raw'!AJ36+'QTR Raw'!AJ37+'QTR Raw'!AJ39</f>
        <v>0</v>
      </c>
      <c r="BQ101" s="75">
        <f>'QTR Raw'!AK26+'QTR Raw'!AK31+'QTR Raw'!AK32+'QTR Raw'!AK33+'QTR Raw'!AK36+'QTR Raw'!AK37+'QTR Raw'!AK39</f>
        <v>0</v>
      </c>
      <c r="BR101" s="75">
        <f>'QTR Raw'!AL26+'QTR Raw'!AL31+'QTR Raw'!AL32+'QTR Raw'!AL33+'QTR Raw'!AL36+'QTR Raw'!AL37+'QTR Raw'!AL39</f>
        <v>0</v>
      </c>
      <c r="BS101" s="75">
        <f>'QTR Raw'!AM26+'QTR Raw'!AM31+'QTR Raw'!AM32+'QTR Raw'!AM33+'QTR Raw'!AM36+'QTR Raw'!AM37+'QTR Raw'!AM39</f>
        <v>0</v>
      </c>
      <c r="BT101" s="75">
        <f>'QTR Raw'!AN26+'QTR Raw'!AN31+'QTR Raw'!AN32+'QTR Raw'!AN33+'QTR Raw'!AN36+'QTR Raw'!AN37+'QTR Raw'!AN39</f>
        <v>0</v>
      </c>
      <c r="BU101" s="75">
        <f>'QTR Raw'!AO26+'QTR Raw'!AO31+'QTR Raw'!AO32+'QTR Raw'!AO33+'QTR Raw'!AO36+'QTR Raw'!AO37+'QTR Raw'!AO39</f>
        <v>0</v>
      </c>
      <c r="BV101" s="75">
        <f>'QTR Raw'!AP26+'QTR Raw'!AP31+'QTR Raw'!AP32+'QTR Raw'!AP33+'QTR Raw'!AP36+'QTR Raw'!AP37+'QTR Raw'!AP39</f>
        <v>-13</v>
      </c>
      <c r="BW101" s="75">
        <f>'QTR Raw'!AQ26+'QTR Raw'!AQ31+'QTR Raw'!AQ32+'QTR Raw'!AQ33+'QTR Raw'!AQ36+'QTR Raw'!AQ37+'QTR Raw'!AQ39</f>
        <v>0</v>
      </c>
      <c r="BX101" s="75">
        <f>'QTR Raw'!AR26+'QTR Raw'!AR31+'QTR Raw'!AR32+'QTR Raw'!AR33+'QTR Raw'!AR36+'QTR Raw'!AR37+'QTR Raw'!AR39</f>
        <v>-3.21</v>
      </c>
      <c r="BY101" s="75">
        <f>'QTR Raw'!AS26+'QTR Raw'!AS31+'QTR Raw'!AS32+'QTR Raw'!AS33+'QTR Raw'!AS36+'QTR Raw'!AS37+'QTR Raw'!AS39</f>
        <v>-4.8099999999999996</v>
      </c>
      <c r="BZ101" s="75">
        <f>'QTR Raw'!AT26+'QTR Raw'!AT31+'QTR Raw'!AT32+'QTR Raw'!AT33+'QTR Raw'!AT36+'QTR Raw'!AT37+'QTR Raw'!AT39</f>
        <v>-17.73</v>
      </c>
      <c r="CA101" s="75">
        <f>'QTR Raw'!AU26+'QTR Raw'!AU31+'QTR Raw'!AU32+'QTR Raw'!AU33+'QTR Raw'!AU36+'QTR Raw'!AU37+'QTR Raw'!AU39</f>
        <v>-1.66</v>
      </c>
      <c r="CB101" s="75">
        <f>'QTR Raw'!AV26+'QTR Raw'!AV31+'QTR Raw'!AV32+'QTR Raw'!AV33+'QTR Raw'!AV36+'QTR Raw'!AV37+'QTR Raw'!AV39</f>
        <v>-1.66</v>
      </c>
      <c r="CC101" s="75">
        <f>'QTR Raw'!AW26+'QTR Raw'!AW31+'QTR Raw'!AW32+'QTR Raw'!AW33+'QTR Raw'!AW36+'QTR Raw'!AW37+'QTR Raw'!AW39</f>
        <v>-1.66</v>
      </c>
      <c r="CD101" s="75">
        <f>'QTR Raw'!AX26+'QTR Raw'!AX31+'QTR Raw'!AX32+'QTR Raw'!AX33+'QTR Raw'!AX36+'QTR Raw'!AX37+'QTR Raw'!AX39</f>
        <v>-1.66</v>
      </c>
      <c r="CE101" s="75">
        <f>'QTR Raw'!AY26+'QTR Raw'!AY31+'QTR Raw'!AY32+'QTR Raw'!AY33+'QTR Raw'!AY36+'QTR Raw'!AY37+'QTR Raw'!AY39</f>
        <v>-1.66</v>
      </c>
      <c r="CF101" s="75">
        <f>'QTR Raw'!AZ26+'QTR Raw'!AZ31+'QTR Raw'!AZ32+'QTR Raw'!AZ33+'QTR Raw'!AZ36+'QTR Raw'!AZ37+'QTR Raw'!AZ39</f>
        <v>-1.66</v>
      </c>
      <c r="CG101" s="75">
        <f>'QTR Raw'!BA26+'QTR Raw'!BA31+'QTR Raw'!BA32+'QTR Raw'!BA33+'QTR Raw'!BA36+'QTR Raw'!BA37+'QTR Raw'!BA39</f>
        <v>-1.66</v>
      </c>
      <c r="CH101" s="75">
        <f>'QTR Raw'!BB26+'QTR Raw'!BB31+'QTR Raw'!BB32+'QTR Raw'!BB33+'QTR Raw'!BB36+'QTR Raw'!BB37+'QTR Raw'!BB39</f>
        <v>-1.66</v>
      </c>
      <c r="CI101" s="75">
        <f>'QTR Raw'!BC26+'QTR Raw'!BC31+'QTR Raw'!BC32+'QTR Raw'!BC33+'QTR Raw'!BC36+'QTR Raw'!BC37+'QTR Raw'!BC39</f>
        <v>-1.66</v>
      </c>
      <c r="CJ101" s="75">
        <f>'QTR Raw'!BD26+'QTR Raw'!BD31+'QTR Raw'!BD32+'QTR Raw'!BD33+'QTR Raw'!BD36+'QTR Raw'!BD37+'QTR Raw'!BD39</f>
        <v>-1.66</v>
      </c>
      <c r="CK101" s="75">
        <f>'QTR Raw'!BE26+'QTR Raw'!BE31+'QTR Raw'!BE32+'QTR Raw'!BE33+'QTR Raw'!BE36+'QTR Raw'!BE37+'QTR Raw'!BE39</f>
        <v>-1.66</v>
      </c>
      <c r="CL101" s="75">
        <f>'QTR Raw'!BF26+'QTR Raw'!BF31+'QTR Raw'!BF32+'QTR Raw'!BF33+'QTR Raw'!BF36+'QTR Raw'!BF37+'QTR Raw'!BF39</f>
        <v>-1.66</v>
      </c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E101" s="123"/>
      <c r="DF101" s="23">
        <v>-6.64</v>
      </c>
    </row>
    <row r="102" spans="1:110" s="26" customFormat="1" x14ac:dyDescent="0.2">
      <c r="A102" s="35" t="s">
        <v>24</v>
      </c>
      <c r="B102" s="26">
        <f>B95+B99+B100+B101</f>
        <v>7.4685614000000058</v>
      </c>
      <c r="C102" s="26">
        <f>C95+C99+C100+C101</f>
        <v>4.6024951000000334</v>
      </c>
      <c r="D102" s="26">
        <f>D95+D99+D100+D101</f>
        <v>7.568497399999992</v>
      </c>
      <c r="E102" s="26">
        <f t="shared" ref="E102:U102" si="183">E95+E99+E100+E101</f>
        <v>12.06359129999999</v>
      </c>
      <c r="F102" s="26">
        <f t="shared" si="183"/>
        <v>14.04881440000004</v>
      </c>
      <c r="G102" s="26">
        <f t="shared" si="183"/>
        <v>24.775344700000019</v>
      </c>
      <c r="H102" s="26">
        <f t="shared" si="183"/>
        <v>27.024879000000052</v>
      </c>
      <c r="I102" s="26">
        <f t="shared" si="183"/>
        <v>5.3745691000000315</v>
      </c>
      <c r="J102" s="26">
        <f t="shared" si="183"/>
        <v>-15.984456400000031</v>
      </c>
      <c r="K102" s="26">
        <f t="shared" si="183"/>
        <v>17.152475700000014</v>
      </c>
      <c r="L102" s="26">
        <f t="shared" si="183"/>
        <v>56.590000000000103</v>
      </c>
      <c r="M102" s="26">
        <f t="shared" si="183"/>
        <v>17.079999999999906</v>
      </c>
      <c r="N102" s="26">
        <f t="shared" si="183"/>
        <v>51.300000000000111</v>
      </c>
      <c r="O102" s="26">
        <f t="shared" si="183"/>
        <v>40.500000000000007</v>
      </c>
      <c r="P102" s="26">
        <f t="shared" si="183"/>
        <v>51.570000000000071</v>
      </c>
      <c r="Q102" s="26">
        <f t="shared" si="183"/>
        <v>77.039999999999836</v>
      </c>
      <c r="R102" s="26">
        <f t="shared" si="183"/>
        <v>52.930000000000007</v>
      </c>
      <c r="S102" s="26">
        <f t="shared" si="183"/>
        <v>28.620000000000271</v>
      </c>
      <c r="T102" s="26">
        <f t="shared" si="183"/>
        <v>13.230000000000018</v>
      </c>
      <c r="U102" s="26">
        <f t="shared" si="183"/>
        <v>13.279999999999973</v>
      </c>
      <c r="V102" s="26">
        <f t="shared" ref="V102:AE102" si="184">V95+V99+V100+V101</f>
        <v>4.2100000000001607</v>
      </c>
      <c r="W102" s="26">
        <f t="shared" si="184"/>
        <v>140.65000000000023</v>
      </c>
      <c r="X102" s="26">
        <f t="shared" si="184"/>
        <v>130.54000000000005</v>
      </c>
      <c r="Y102" s="26">
        <f t="shared" si="184"/>
        <v>40.819999999999887</v>
      </c>
      <c r="Z102" s="26">
        <f t="shared" si="184"/>
        <v>31.79999999999972</v>
      </c>
      <c r="AA102" s="26">
        <f t="shared" ref="AA102" si="185">AA95+AA99+AA100+AA101</f>
        <v>82.600000000000108</v>
      </c>
      <c r="AB102" s="27">
        <f t="shared" si="184"/>
        <v>172.56549583347444</v>
      </c>
      <c r="AC102" s="27">
        <f t="shared" si="184"/>
        <v>230.12387265608461</v>
      </c>
      <c r="AD102" s="27">
        <f t="shared" si="184"/>
        <v>274.35900761049703</v>
      </c>
      <c r="AE102" s="27">
        <f t="shared" si="184"/>
        <v>316.16011705676181</v>
      </c>
      <c r="AI102" s="26">
        <f t="shared" ref="AI102:AO102" si="186">AI95+AI99+AI100+AI101</f>
        <v>9.7699999999999569</v>
      </c>
      <c r="AJ102" s="26">
        <f t="shared" si="186"/>
        <v>18.090000000000039</v>
      </c>
      <c r="AK102" s="26">
        <f t="shared" si="186"/>
        <v>11.069999999999983</v>
      </c>
      <c r="AL102" s="26">
        <f t="shared" si="186"/>
        <v>12.370000000000008</v>
      </c>
      <c r="AM102" s="26">
        <f t="shared" si="186"/>
        <v>6.0300000000000411</v>
      </c>
      <c r="AN102" s="26">
        <f t="shared" si="186"/>
        <v>12.23999999999994</v>
      </c>
      <c r="AO102" s="26">
        <f t="shared" si="186"/>
        <v>12.150000000000009</v>
      </c>
      <c r="AP102" s="26">
        <f t="shared" ref="AP102:CD102" si="187">AP95+AP99+AP100+AP101</f>
        <v>10.080000000000036</v>
      </c>
      <c r="AQ102" s="26">
        <f t="shared" si="187"/>
        <v>11.340000000000014</v>
      </c>
      <c r="AR102" s="26">
        <f t="shared" si="187"/>
        <v>11.970000000000011</v>
      </c>
      <c r="AS102" s="26">
        <f t="shared" si="187"/>
        <v>13.769999999999968</v>
      </c>
      <c r="AT102" s="26">
        <f t="shared" si="187"/>
        <v>14.490000000000014</v>
      </c>
      <c r="AU102" s="26">
        <f t="shared" si="187"/>
        <v>17.199999999999989</v>
      </c>
      <c r="AV102" s="26">
        <f t="shared" si="187"/>
        <v>18.650000000000027</v>
      </c>
      <c r="AW102" s="26">
        <f t="shared" si="187"/>
        <v>15.550000000000065</v>
      </c>
      <c r="AX102" s="26">
        <f t="shared" si="187"/>
        <v>25.640000000000004</v>
      </c>
      <c r="AY102" s="26">
        <f t="shared" si="187"/>
        <v>15.280000000000062</v>
      </c>
      <c r="AZ102" s="26">
        <f t="shared" si="187"/>
        <v>15.450000000000024</v>
      </c>
      <c r="BA102" s="26">
        <f t="shared" si="187"/>
        <v>4.5000000000000231</v>
      </c>
      <c r="BB102" s="26">
        <f t="shared" si="187"/>
        <v>19.609999999999953</v>
      </c>
      <c r="BC102" s="26">
        <f t="shared" si="187"/>
        <v>1.220000000000016</v>
      </c>
      <c r="BD102" s="26">
        <f t="shared" si="187"/>
        <v>0.41999999999996618</v>
      </c>
      <c r="BE102" s="26">
        <f t="shared" si="187"/>
        <v>3.759999999999958</v>
      </c>
      <c r="BF102" s="26">
        <f t="shared" si="187"/>
        <v>25.049999999999997</v>
      </c>
      <c r="BG102" s="26">
        <f t="shared" si="187"/>
        <v>4.0899999999999759</v>
      </c>
      <c r="BH102" s="26">
        <f t="shared" si="187"/>
        <v>9.1600000000000392</v>
      </c>
      <c r="BI102" s="26">
        <f t="shared" si="187"/>
        <v>-0.74000000000002331</v>
      </c>
      <c r="BJ102" s="26">
        <f t="shared" si="187"/>
        <v>0.71999999999999531</v>
      </c>
      <c r="BK102" s="26">
        <f t="shared" si="187"/>
        <v>1.1399999999999786</v>
      </c>
      <c r="BL102" s="26">
        <f t="shared" si="187"/>
        <v>3.1100000000000119</v>
      </c>
      <c r="BM102" s="26">
        <f t="shared" si="187"/>
        <v>5.5399999999999743</v>
      </c>
      <c r="BN102" s="26">
        <f t="shared" si="187"/>
        <v>3.4899999999999816</v>
      </c>
      <c r="BO102" s="26">
        <f t="shared" si="187"/>
        <v>-32.520000000000024</v>
      </c>
      <c r="BP102" s="26">
        <f t="shared" si="187"/>
        <v>-4.2399999999999949</v>
      </c>
      <c r="BQ102" s="26">
        <f t="shared" si="187"/>
        <v>7.4300000000000113</v>
      </c>
      <c r="BR102" s="26">
        <f t="shared" si="187"/>
        <v>33.54</v>
      </c>
      <c r="BS102" s="26">
        <f t="shared" si="187"/>
        <v>12.889999999999997</v>
      </c>
      <c r="BT102" s="26">
        <f t="shared" si="187"/>
        <v>29.869999999999919</v>
      </c>
      <c r="BU102" s="26">
        <f t="shared" si="187"/>
        <v>43.740000000000009</v>
      </c>
      <c r="BV102" s="26">
        <f t="shared" si="187"/>
        <v>53.440000000000083</v>
      </c>
      <c r="BW102" s="26">
        <f t="shared" si="187"/>
        <v>52.529999999999987</v>
      </c>
      <c r="BX102" s="26">
        <f t="shared" si="187"/>
        <v>30.33000000000002</v>
      </c>
      <c r="BY102" s="26">
        <f t="shared" si="187"/>
        <v>17.550000000000011</v>
      </c>
      <c r="BZ102" s="26">
        <f t="shared" si="187"/>
        <v>30.129999999999985</v>
      </c>
      <c r="CA102" s="26">
        <f t="shared" si="187"/>
        <v>12.770000000000024</v>
      </c>
      <c r="CB102" s="26">
        <f t="shared" si="187"/>
        <v>10.579999999999972</v>
      </c>
      <c r="CC102" s="26">
        <f t="shared" si="187"/>
        <v>3.8100000000000271</v>
      </c>
      <c r="CD102" s="26">
        <f t="shared" si="187"/>
        <v>13.659999999999965</v>
      </c>
      <c r="CE102" s="26">
        <f t="shared" ref="CE102:CL102" si="188">CE95+CE99+CE100+CE101</f>
        <v>14.27999999999999</v>
      </c>
      <c r="CF102" s="26">
        <f t="shared" si="188"/>
        <v>5.5500000000000531</v>
      </c>
      <c r="CG102" s="26">
        <f t="shared" si="188"/>
        <v>2.4499999999999469</v>
      </c>
      <c r="CH102" s="26">
        <f t="shared" si="188"/>
        <v>9.5199999999999871</v>
      </c>
      <c r="CI102" s="26">
        <f t="shared" si="188"/>
        <v>2.130000000000023</v>
      </c>
      <c r="CJ102" s="26">
        <f t="shared" si="188"/>
        <v>23.129999999999896</v>
      </c>
      <c r="CK102" s="26">
        <f t="shared" si="188"/>
        <v>24.469999999999995</v>
      </c>
      <c r="CL102" s="26">
        <f t="shared" si="188"/>
        <v>32.869999999999919</v>
      </c>
      <c r="CM102" s="27">
        <f t="shared" ref="CM102:DB102" si="189">CM95+CM99+CM100+CM101</f>
        <v>35.999751567850247</v>
      </c>
      <c r="CN102" s="27">
        <f t="shared" si="189"/>
        <v>41.085753373439779</v>
      </c>
      <c r="CO102" s="27">
        <f t="shared" si="189"/>
        <v>46.209607599367658</v>
      </c>
      <c r="CP102" s="27">
        <f t="shared" si="189"/>
        <v>49.270383292816931</v>
      </c>
      <c r="CQ102" s="27">
        <f t="shared" si="189"/>
        <v>49.66746862444996</v>
      </c>
      <c r="CR102" s="27">
        <f t="shared" si="189"/>
        <v>55.462445291262327</v>
      </c>
      <c r="CS102" s="27">
        <f t="shared" si="189"/>
        <v>60.355014726347484</v>
      </c>
      <c r="CT102" s="27">
        <f t="shared" si="189"/>
        <v>64.638944014024133</v>
      </c>
      <c r="CU102" s="27">
        <f t="shared" si="189"/>
        <v>63.969050767621646</v>
      </c>
      <c r="CV102" s="27">
        <f t="shared" si="189"/>
        <v>67.352176882879576</v>
      </c>
      <c r="CW102" s="27">
        <f t="shared" si="189"/>
        <v>70.270696774435109</v>
      </c>
      <c r="CX102" s="27">
        <f t="shared" si="189"/>
        <v>72.76708318556048</v>
      </c>
      <c r="CY102" s="27">
        <f t="shared" si="189"/>
        <v>74.906935317862505</v>
      </c>
      <c r="CZ102" s="27">
        <f t="shared" si="189"/>
        <v>77.739898096253867</v>
      </c>
      <c r="DA102" s="27">
        <f t="shared" si="189"/>
        <v>80.435958765450806</v>
      </c>
      <c r="DB102" s="27">
        <f t="shared" si="189"/>
        <v>83.077324877194741</v>
      </c>
      <c r="DE102" s="121"/>
      <c r="DF102" s="26">
        <v>17.614545816925165</v>
      </c>
    </row>
    <row r="103" spans="1:110" s="25" customFormat="1" x14ac:dyDescent="0.2">
      <c r="A103" s="151" t="s">
        <v>485</v>
      </c>
      <c r="AB103" s="17"/>
      <c r="AC103" s="17"/>
      <c r="AD103" s="17"/>
      <c r="AE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E103" s="119"/>
    </row>
    <row r="104" spans="1:110" s="1" customFormat="1" x14ac:dyDescent="0.2">
      <c r="AB104" s="20"/>
      <c r="AC104" s="20"/>
      <c r="AD104" s="20"/>
      <c r="AE104" s="20"/>
      <c r="BV104" s="182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E104" s="119"/>
    </row>
    <row r="105" spans="1:110" s="22" customFormat="1" x14ac:dyDescent="0.2">
      <c r="A105" s="22" t="s">
        <v>433</v>
      </c>
      <c r="B105" s="22">
        <f>'Annual Raw'!C35</f>
        <v>7.4685613999999996</v>
      </c>
      <c r="C105" s="22">
        <f>'Annual Raw'!D35</f>
        <v>4.6024950999999996</v>
      </c>
      <c r="D105" s="22">
        <f>'Annual Raw'!E35</f>
        <v>7.5684974</v>
      </c>
      <c r="E105" s="22">
        <f>'Annual Raw'!F35</f>
        <v>12.063591300000001</v>
      </c>
      <c r="F105" s="22">
        <f>'Annual Raw'!G35</f>
        <v>14.048814399999999</v>
      </c>
      <c r="G105" s="22">
        <f>'Annual Raw'!H35</f>
        <v>24.775344700000002</v>
      </c>
      <c r="H105" s="22">
        <f>'Annual Raw'!I35</f>
        <v>27.024878999999999</v>
      </c>
      <c r="I105" s="22">
        <f>'Annual Raw'!J35</f>
        <v>5.3745691000000004</v>
      </c>
      <c r="J105" s="22">
        <f>'Annual Raw'!K35</f>
        <v>-15.984456399999999</v>
      </c>
      <c r="K105" s="22">
        <f>'Annual Raw'!L35</f>
        <v>17.1524757</v>
      </c>
      <c r="L105" s="22">
        <f>'Annual Raw'!M35</f>
        <v>56.59</v>
      </c>
      <c r="M105" s="22">
        <f>'Annual Raw'!N35</f>
        <v>17.079999999999998</v>
      </c>
      <c r="N105" s="22">
        <f>'Annual Raw'!O35</f>
        <v>51.3</v>
      </c>
      <c r="O105" s="22">
        <f>'Annual Raw'!P35</f>
        <v>40.5</v>
      </c>
      <c r="P105" s="22">
        <f>'Annual Raw'!Q35</f>
        <v>51.57</v>
      </c>
      <c r="Q105" s="22">
        <f>'Annual Raw'!R35</f>
        <v>77.040000000000006</v>
      </c>
      <c r="R105" s="22">
        <f>'Annual Raw'!S35</f>
        <v>52.93</v>
      </c>
      <c r="S105" s="22">
        <f>'Annual Raw'!T35</f>
        <v>28.62</v>
      </c>
      <c r="T105" s="22">
        <f>'Annual Raw'!U35</f>
        <v>13.23</v>
      </c>
      <c r="U105" s="22">
        <f>'Annual Raw'!V35</f>
        <v>13.28</v>
      </c>
      <c r="V105" s="22">
        <f>'Annual Raw'!W35</f>
        <v>4.21</v>
      </c>
      <c r="W105" s="22">
        <f>'Annual Raw'!X35</f>
        <v>140.65</v>
      </c>
      <c r="X105" s="22">
        <f>'Annual Raw'!Y35</f>
        <v>130.54</v>
      </c>
      <c r="Y105" s="22">
        <f>'Annual Raw'!Z35</f>
        <v>40.82</v>
      </c>
      <c r="Z105" s="22">
        <f>'Annual Raw'!AA35</f>
        <v>31.8</v>
      </c>
      <c r="AA105" s="22">
        <f>'Annual Raw'!AB35</f>
        <v>82.6</v>
      </c>
      <c r="AB105" s="21">
        <f>+AB102</f>
        <v>172.56549583347444</v>
      </c>
      <c r="AC105" s="21">
        <f>+AC102</f>
        <v>230.12387265608461</v>
      </c>
      <c r="AD105" s="21">
        <f>+AD102</f>
        <v>274.35900761049703</v>
      </c>
      <c r="AE105" s="21">
        <f>+AE102</f>
        <v>316.16011705676181</v>
      </c>
      <c r="AI105" s="22">
        <f>'QTR Raw'!C42</f>
        <v>9.77</v>
      </c>
      <c r="AJ105" s="22">
        <f>'QTR Raw'!D42</f>
        <v>18.09</v>
      </c>
      <c r="AK105" s="22">
        <f>'QTR Raw'!E42</f>
        <v>11.07</v>
      </c>
      <c r="AL105" s="22">
        <f>'QTR Raw'!F42</f>
        <v>12.37</v>
      </c>
      <c r="AM105" s="22">
        <f>'QTR Raw'!G42</f>
        <v>6.03</v>
      </c>
      <c r="AN105" s="22">
        <f>'QTR Raw'!H42</f>
        <v>12.24</v>
      </c>
      <c r="AO105" s="22">
        <f>'QTR Raw'!I42</f>
        <v>12.15</v>
      </c>
      <c r="AP105" s="22">
        <f>'QTR Raw'!J42</f>
        <v>10.08</v>
      </c>
      <c r="AQ105" s="22">
        <f>'QTR Raw'!K42</f>
        <v>11.34</v>
      </c>
      <c r="AR105" s="22">
        <f>'QTR Raw'!L42</f>
        <v>11.97</v>
      </c>
      <c r="AS105" s="22">
        <f>'QTR Raw'!M42</f>
        <v>13.77</v>
      </c>
      <c r="AT105" s="22">
        <f>'QTR Raw'!N42</f>
        <v>14.49</v>
      </c>
      <c r="AU105" s="22">
        <f>'QTR Raw'!O42</f>
        <v>17.2</v>
      </c>
      <c r="AV105" s="22">
        <f>'QTR Raw'!P42</f>
        <v>18.649999999999999</v>
      </c>
      <c r="AW105" s="22">
        <f>'QTR Raw'!Q42</f>
        <v>15.55</v>
      </c>
      <c r="AX105" s="22">
        <f>'QTR Raw'!R42</f>
        <v>25.64</v>
      </c>
      <c r="AY105" s="22">
        <f>'QTR Raw'!S42</f>
        <v>15.28</v>
      </c>
      <c r="AZ105" s="22">
        <f>'QTR Raw'!T42</f>
        <v>15.45</v>
      </c>
      <c r="BA105" s="22">
        <f>'QTR Raw'!U42</f>
        <v>4.5</v>
      </c>
      <c r="BB105" s="22">
        <f>'QTR Raw'!V42</f>
        <v>19.61</v>
      </c>
      <c r="BC105" s="22">
        <f>'QTR Raw'!W42</f>
        <v>1.22</v>
      </c>
      <c r="BD105" s="22">
        <f>'QTR Raw'!X42</f>
        <v>0.42</v>
      </c>
      <c r="BE105" s="22">
        <f>'QTR Raw'!Y42</f>
        <v>3.76</v>
      </c>
      <c r="BF105" s="22">
        <f>'QTR Raw'!Z42</f>
        <v>25.05</v>
      </c>
      <c r="BG105" s="22">
        <f>'QTR Raw'!AA42</f>
        <v>4.09</v>
      </c>
      <c r="BH105" s="22">
        <f>'QTR Raw'!AB42</f>
        <v>9.16</v>
      </c>
      <c r="BI105" s="22">
        <f>'QTR Raw'!AC42</f>
        <v>-0.74</v>
      </c>
      <c r="BJ105" s="22">
        <f>'QTR Raw'!AD42</f>
        <v>0.71</v>
      </c>
      <c r="BK105" s="22">
        <f>'QTR Raw'!AE42</f>
        <v>1.1399999999999999</v>
      </c>
      <c r="BL105" s="22">
        <f>'QTR Raw'!AF42</f>
        <v>3.11</v>
      </c>
      <c r="BM105" s="22">
        <f>'QTR Raw'!AG42</f>
        <v>5.54</v>
      </c>
      <c r="BN105" s="22">
        <f>'QTR Raw'!AH42</f>
        <v>3.49</v>
      </c>
      <c r="BO105" s="22">
        <f>'QTR Raw'!AI42</f>
        <v>-32.520000000000003</v>
      </c>
      <c r="BP105" s="22">
        <f>'QTR Raw'!AJ42</f>
        <v>-4.24</v>
      </c>
      <c r="BQ105" s="22">
        <f>'QTR Raw'!AK42</f>
        <v>7.43</v>
      </c>
      <c r="BR105" s="22">
        <f>'QTR Raw'!AL42</f>
        <v>33.54</v>
      </c>
      <c r="BS105" s="22">
        <f>'QTR Raw'!AM42</f>
        <v>12.89</v>
      </c>
      <c r="BT105" s="22">
        <f>'QTR Raw'!AN42</f>
        <v>29.87</v>
      </c>
      <c r="BU105" s="22">
        <f>'QTR Raw'!AO42</f>
        <v>43.74</v>
      </c>
      <c r="BV105" s="22">
        <f>'QTR Raw'!AP42</f>
        <v>53.44</v>
      </c>
      <c r="BW105" s="22">
        <f>'QTR Raw'!AQ42</f>
        <v>52.53</v>
      </c>
      <c r="BX105" s="22">
        <f>'QTR Raw'!AR42</f>
        <v>30.33</v>
      </c>
      <c r="BY105" s="22">
        <f>'QTR Raw'!AS42</f>
        <v>17.55</v>
      </c>
      <c r="BZ105" s="22">
        <f>'QTR Raw'!AT42</f>
        <v>30.13</v>
      </c>
      <c r="CA105" s="22">
        <f>'QTR Raw'!AU42</f>
        <v>12.77</v>
      </c>
      <c r="CB105" s="22">
        <f>'QTR Raw'!AV42</f>
        <v>10.58</v>
      </c>
      <c r="CC105" s="22">
        <f>'QTR Raw'!AW42</f>
        <v>3.81</v>
      </c>
      <c r="CD105" s="22">
        <f>'QTR Raw'!AX42</f>
        <v>13.66</v>
      </c>
      <c r="CE105" s="22">
        <f>'QTR Raw'!AY42</f>
        <v>14.28</v>
      </c>
      <c r="CF105" s="22">
        <f>'QTR Raw'!AZ42</f>
        <v>5.55</v>
      </c>
      <c r="CG105" s="22">
        <f>'QTR Raw'!BA42</f>
        <v>2.4500000000000002</v>
      </c>
      <c r="CH105" s="22">
        <f>'QTR Raw'!BB42</f>
        <v>9.52</v>
      </c>
      <c r="CI105" s="22">
        <f>'QTR Raw'!BC42</f>
        <v>2.13</v>
      </c>
      <c r="CJ105" s="22">
        <f>'QTR Raw'!BD42</f>
        <v>23.13</v>
      </c>
      <c r="CK105" s="22">
        <f>'QTR Raw'!BE42</f>
        <v>24.47</v>
      </c>
      <c r="CL105" s="22">
        <f>'QTR Raw'!BF42</f>
        <v>32.869999999999997</v>
      </c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  <c r="DF105" s="22">
        <v>82.599999999999312</v>
      </c>
    </row>
    <row r="106" spans="1:110" s="25" customFormat="1" x14ac:dyDescent="0.2">
      <c r="A106" s="36" t="s">
        <v>434</v>
      </c>
      <c r="B106" s="25">
        <f t="shared" ref="B106:V106" si="190">B105-B102</f>
        <v>0</v>
      </c>
      <c r="C106" s="25">
        <f>C105-C102</f>
        <v>-3.3750779948604759E-14</v>
      </c>
      <c r="D106" s="25">
        <f t="shared" si="190"/>
        <v>7.9936057773011271E-15</v>
      </c>
      <c r="E106" s="25">
        <f t="shared" si="190"/>
        <v>0</v>
      </c>
      <c r="F106" s="25">
        <f t="shared" si="190"/>
        <v>-4.0856207306205761E-14</v>
      </c>
      <c r="G106" s="25">
        <f t="shared" si="190"/>
        <v>0</v>
      </c>
      <c r="H106" s="25">
        <f t="shared" si="190"/>
        <v>-5.3290705182007514E-14</v>
      </c>
      <c r="I106" s="25">
        <f t="shared" si="190"/>
        <v>-3.1086244689504383E-14</v>
      </c>
      <c r="J106" s="25">
        <f t="shared" si="190"/>
        <v>3.1974423109204508E-14</v>
      </c>
      <c r="K106" s="25">
        <f t="shared" si="190"/>
        <v>0</v>
      </c>
      <c r="L106" s="25">
        <f t="shared" si="190"/>
        <v>-9.9475983006414026E-14</v>
      </c>
      <c r="M106" s="25">
        <f t="shared" si="190"/>
        <v>9.2370555648813024E-14</v>
      </c>
      <c r="N106" s="25">
        <f t="shared" si="190"/>
        <v>-1.1368683772161603E-13</v>
      </c>
      <c r="O106" s="25">
        <f t="shared" si="190"/>
        <v>0</v>
      </c>
      <c r="P106" s="25">
        <f t="shared" si="190"/>
        <v>-7.1054273576010019E-14</v>
      </c>
      <c r="Q106" s="25">
        <f t="shared" si="190"/>
        <v>1.7053025658242404E-13</v>
      </c>
      <c r="R106" s="25">
        <f t="shared" si="190"/>
        <v>0</v>
      </c>
      <c r="S106" s="25">
        <f t="shared" si="190"/>
        <v>-2.7000623958883807E-13</v>
      </c>
      <c r="T106" s="25">
        <f t="shared" si="190"/>
        <v>-1.7763568394002505E-14</v>
      </c>
      <c r="U106" s="25">
        <f t="shared" si="190"/>
        <v>2.6645352591003757E-14</v>
      </c>
      <c r="V106" s="25">
        <f t="shared" si="190"/>
        <v>-1.6076029396572267E-13</v>
      </c>
      <c r="W106" s="25">
        <f t="shared" ref="W106:AE106" si="191">W105-W102</f>
        <v>-2.2737367544323206E-13</v>
      </c>
      <c r="X106" s="25">
        <f t="shared" si="191"/>
        <v>0</v>
      </c>
      <c r="Y106" s="25">
        <f t="shared" si="191"/>
        <v>1.1368683772161603E-13</v>
      </c>
      <c r="Z106" s="25">
        <f t="shared" si="191"/>
        <v>2.8066438062523957E-13</v>
      </c>
      <c r="AA106" s="25">
        <f t="shared" ref="AA106" si="192">AA105-AA102</f>
        <v>-1.1368683772161603E-13</v>
      </c>
      <c r="AB106" s="17">
        <f t="shared" si="191"/>
        <v>0</v>
      </c>
      <c r="AC106" s="17">
        <f t="shared" si="191"/>
        <v>0</v>
      </c>
      <c r="AD106" s="17">
        <f t="shared" si="191"/>
        <v>0</v>
      </c>
      <c r="AE106" s="17">
        <f t="shared" si="191"/>
        <v>0</v>
      </c>
      <c r="AI106" s="25">
        <f t="shared" ref="AI106:AO106" si="193">AI105-AI102</f>
        <v>4.2632564145606011E-14</v>
      </c>
      <c r="AJ106" s="25">
        <f t="shared" si="193"/>
        <v>-3.907985046680551E-14</v>
      </c>
      <c r="AK106" s="25">
        <f t="shared" si="193"/>
        <v>1.7763568394002505E-14</v>
      </c>
      <c r="AL106" s="25">
        <f t="shared" si="193"/>
        <v>0</v>
      </c>
      <c r="AM106" s="25">
        <f t="shared" si="193"/>
        <v>-4.0856207306205761E-14</v>
      </c>
      <c r="AN106" s="25">
        <f t="shared" si="193"/>
        <v>6.0396132539608516E-14</v>
      </c>
      <c r="AO106" s="25">
        <f t="shared" si="193"/>
        <v>0</v>
      </c>
      <c r="AP106" s="25">
        <f t="shared" ref="AP106:CD106" si="194">AP105-AP102</f>
        <v>-3.5527136788005009E-14</v>
      </c>
      <c r="AQ106" s="25">
        <f t="shared" si="194"/>
        <v>-1.4210854715202004E-14</v>
      </c>
      <c r="AR106" s="25">
        <f t="shared" si="194"/>
        <v>0</v>
      </c>
      <c r="AS106" s="25">
        <f t="shared" si="194"/>
        <v>3.1974423109204508E-14</v>
      </c>
      <c r="AT106" s="25">
        <f t="shared" si="194"/>
        <v>-1.4210854715202004E-14</v>
      </c>
      <c r="AU106" s="25">
        <f t="shared" si="194"/>
        <v>0</v>
      </c>
      <c r="AV106" s="25">
        <f t="shared" si="194"/>
        <v>-2.8421709430404007E-14</v>
      </c>
      <c r="AW106" s="25">
        <f t="shared" si="194"/>
        <v>-6.3948846218409017E-14</v>
      </c>
      <c r="AX106" s="25">
        <f t="shared" si="194"/>
        <v>0</v>
      </c>
      <c r="AY106" s="25">
        <f t="shared" si="194"/>
        <v>-6.2172489379008766E-14</v>
      </c>
      <c r="AZ106" s="25">
        <f t="shared" si="194"/>
        <v>-2.4868995751603507E-14</v>
      </c>
      <c r="BA106" s="25">
        <f t="shared" si="194"/>
        <v>-2.3092638912203256E-14</v>
      </c>
      <c r="BB106" s="25">
        <f t="shared" si="194"/>
        <v>4.6185277824406512E-14</v>
      </c>
      <c r="BC106" s="25">
        <f t="shared" si="194"/>
        <v>-1.5987211554602254E-14</v>
      </c>
      <c r="BD106" s="25">
        <f t="shared" si="194"/>
        <v>3.3806291099836017E-14</v>
      </c>
      <c r="BE106" s="25">
        <f t="shared" si="194"/>
        <v>4.1744385725905886E-14</v>
      </c>
      <c r="BF106" s="25">
        <f t="shared" si="194"/>
        <v>0</v>
      </c>
      <c r="BG106" s="25">
        <f t="shared" si="194"/>
        <v>2.3980817331903381E-14</v>
      </c>
      <c r="BH106" s="25">
        <f t="shared" si="194"/>
        <v>-3.907985046680551E-14</v>
      </c>
      <c r="BI106" s="25">
        <f t="shared" si="194"/>
        <v>2.3314683517128287E-14</v>
      </c>
      <c r="BJ106" s="25">
        <f t="shared" si="194"/>
        <v>-9.9999999999953459E-3</v>
      </c>
      <c r="BK106" s="25">
        <f t="shared" si="194"/>
        <v>2.1316282072803006E-14</v>
      </c>
      <c r="BL106" s="25">
        <f t="shared" si="194"/>
        <v>-1.1990408665951691E-14</v>
      </c>
      <c r="BM106" s="25">
        <f t="shared" si="194"/>
        <v>2.5757174171303632E-14</v>
      </c>
      <c r="BN106" s="25">
        <f t="shared" si="194"/>
        <v>1.865174681370263E-14</v>
      </c>
      <c r="BO106" s="25">
        <f t="shared" si="194"/>
        <v>0</v>
      </c>
      <c r="BP106" s="25">
        <f t="shared" si="194"/>
        <v>0</v>
      </c>
      <c r="BQ106" s="25">
        <f t="shared" si="194"/>
        <v>-1.1546319456101628E-14</v>
      </c>
      <c r="BR106" s="25">
        <f t="shared" si="194"/>
        <v>0</v>
      </c>
      <c r="BS106" s="25">
        <f t="shared" si="194"/>
        <v>0</v>
      </c>
      <c r="BT106" s="25">
        <f t="shared" si="194"/>
        <v>8.1712414612411521E-14</v>
      </c>
      <c r="BU106" s="25">
        <f t="shared" si="194"/>
        <v>0</v>
      </c>
      <c r="BV106" s="25">
        <f t="shared" si="194"/>
        <v>-8.5265128291212022E-14</v>
      </c>
      <c r="BW106" s="25">
        <f t="shared" si="194"/>
        <v>0</v>
      </c>
      <c r="BX106" s="25">
        <f t="shared" si="194"/>
        <v>0</v>
      </c>
      <c r="BY106" s="25">
        <f t="shared" si="194"/>
        <v>0</v>
      </c>
      <c r="BZ106" s="25">
        <f t="shared" si="194"/>
        <v>0</v>
      </c>
      <c r="CA106" s="25">
        <f t="shared" si="194"/>
        <v>-2.4868995751603507E-14</v>
      </c>
      <c r="CB106" s="25">
        <f t="shared" si="194"/>
        <v>2.8421709430404007E-14</v>
      </c>
      <c r="CC106" s="25">
        <f t="shared" si="194"/>
        <v>-2.708944180085382E-14</v>
      </c>
      <c r="CD106" s="25">
        <f t="shared" si="194"/>
        <v>3.5527136788005009E-14</v>
      </c>
      <c r="CE106" s="25">
        <f t="shared" ref="CE106:CL106" si="195">CE105-CE102</f>
        <v>0</v>
      </c>
      <c r="CF106" s="25">
        <f t="shared" si="195"/>
        <v>-5.3290705182007514E-14</v>
      </c>
      <c r="CG106" s="25">
        <f t="shared" si="195"/>
        <v>5.3290705182007514E-14</v>
      </c>
      <c r="CH106" s="25">
        <f t="shared" si="195"/>
        <v>0</v>
      </c>
      <c r="CI106" s="25">
        <f t="shared" si="195"/>
        <v>-2.3092638912203256E-14</v>
      </c>
      <c r="CJ106" s="25">
        <f t="shared" si="195"/>
        <v>1.0302869668521453E-13</v>
      </c>
      <c r="CK106" s="25">
        <f t="shared" si="195"/>
        <v>0</v>
      </c>
      <c r="CL106" s="25">
        <f t="shared" si="195"/>
        <v>7.815970093361102E-14</v>
      </c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  <c r="DF106" s="25">
        <v>0</v>
      </c>
    </row>
    <row r="107" spans="1:110" s="1" customFormat="1" x14ac:dyDescent="0.2">
      <c r="A107" s="150" t="s">
        <v>486</v>
      </c>
      <c r="AB107" s="20"/>
      <c r="AC107" s="20"/>
      <c r="AD107" s="20"/>
      <c r="AE107" s="20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9"/>
    </row>
    <row r="108" spans="1:110" s="38" customFormat="1" x14ac:dyDescent="0.2">
      <c r="A108" s="38" t="s">
        <v>349</v>
      </c>
      <c r="B108" s="39">
        <f t="shared" ref="B108:AE108" si="196">(B102-B101)/B174</f>
        <v>0.14309011018183199</v>
      </c>
      <c r="C108" s="39">
        <f t="shared" si="196"/>
        <v>9.951021097685589E-2</v>
      </c>
      <c r="D108" s="39">
        <f t="shared" si="196"/>
        <v>0.14623490323117133</v>
      </c>
      <c r="E108" s="39">
        <f t="shared" si="196"/>
        <v>0.16575104249657474</v>
      </c>
      <c r="F108" s="39">
        <f t="shared" si="196"/>
        <v>0.16897974596849871</v>
      </c>
      <c r="G108" s="39">
        <f t="shared" si="196"/>
        <v>0.17749604092439664</v>
      </c>
      <c r="H108" s="39">
        <f t="shared" si="196"/>
        <v>0.14381118762061992</v>
      </c>
      <c r="I108" s="39">
        <f t="shared" si="196"/>
        <v>2.780518979975876E-2</v>
      </c>
      <c r="J108" s="39">
        <f t="shared" si="196"/>
        <v>-9.0150138591785334E-2</v>
      </c>
      <c r="K108" s="39">
        <f t="shared" si="196"/>
        <v>9.0340443914351462E-2</v>
      </c>
      <c r="L108" s="39">
        <f t="shared" si="196"/>
        <v>0.23620502546122427</v>
      </c>
      <c r="M108" s="39">
        <f t="shared" si="196"/>
        <v>6.7756267851475357E-2</v>
      </c>
      <c r="N108" s="39">
        <f t="shared" si="196"/>
        <v>0.17223434614738997</v>
      </c>
      <c r="O108" s="39">
        <f t="shared" si="196"/>
        <v>0.122197749147633</v>
      </c>
      <c r="P108" s="39">
        <f t="shared" si="196"/>
        <v>0.13968253968253988</v>
      </c>
      <c r="Q108" s="39">
        <f t="shared" si="196"/>
        <v>0.175389869095048</v>
      </c>
      <c r="R108" s="39">
        <f t="shared" si="196"/>
        <v>0.107594422083994</v>
      </c>
      <c r="S108" s="39">
        <f t="shared" si="196"/>
        <v>5.5925744992672735E-2</v>
      </c>
      <c r="T108" s="39">
        <f t="shared" si="196"/>
        <v>2.5408104474745574E-2</v>
      </c>
      <c r="U108" s="39">
        <f t="shared" si="196"/>
        <v>2.5193504325390751E-2</v>
      </c>
      <c r="V108" s="39">
        <f t="shared" si="196"/>
        <v>7.6221168121087743E-3</v>
      </c>
      <c r="W108" s="39">
        <f t="shared" si="196"/>
        <v>0.21362423700641153</v>
      </c>
      <c r="X108" s="39">
        <f t="shared" si="196"/>
        <v>0.17697281260969513</v>
      </c>
      <c r="Y108" s="39">
        <f t="shared" si="196"/>
        <v>4.8216027308192341E-2</v>
      </c>
      <c r="Z108" s="39">
        <f t="shared" si="196"/>
        <v>3.818113192554453E-2</v>
      </c>
      <c r="AA108" s="39">
        <f t="shared" ref="AA108" si="197">(AA102-AA101)/AA174</f>
        <v>8.2915996915272294E-2</v>
      </c>
      <c r="AB108" s="40">
        <f t="shared" si="196"/>
        <v>0.13818112666496879</v>
      </c>
      <c r="AC108" s="40">
        <f t="shared" si="196"/>
        <v>0.1555985090321359</v>
      </c>
      <c r="AD108" s="40">
        <f t="shared" si="196"/>
        <v>0.15647985634004463</v>
      </c>
      <c r="AE108" s="40">
        <f t="shared" si="196"/>
        <v>0.15277284499559396</v>
      </c>
      <c r="AF108" s="39"/>
      <c r="AG108" s="39"/>
      <c r="AH108" s="39"/>
      <c r="AI108" s="39"/>
      <c r="AJ108" s="39"/>
      <c r="AK108" s="39"/>
      <c r="AL108" s="39">
        <f t="shared" ref="AL108:BQ108" si="198">(SUM(AI102:AL102)-SUM(AI101:AL101))/AL174</f>
        <v>0.17374517374517368</v>
      </c>
      <c r="AM108" s="39">
        <f t="shared" si="198"/>
        <v>0.15798999605107303</v>
      </c>
      <c r="AN108" s="39">
        <f t="shared" si="198"/>
        <v>0.1333670757940022</v>
      </c>
      <c r="AO108" s="39">
        <f t="shared" si="198"/>
        <v>0.13172083955280711</v>
      </c>
      <c r="AP108" s="39">
        <f t="shared" si="198"/>
        <v>0.12310291765983775</v>
      </c>
      <c r="AQ108" s="39">
        <f t="shared" si="198"/>
        <v>0.13452169092977798</v>
      </c>
      <c r="AR108" s="39">
        <f t="shared" si="198"/>
        <v>0.12922140158989703</v>
      </c>
      <c r="AS108" s="39">
        <f t="shared" si="198"/>
        <v>0.12878890667824491</v>
      </c>
      <c r="AT108" s="39">
        <f t="shared" si="198"/>
        <v>0.13968253968253971</v>
      </c>
      <c r="AU108" s="39">
        <f t="shared" si="198"/>
        <v>0.14857289791720235</v>
      </c>
      <c r="AV108" s="39">
        <f t="shared" si="198"/>
        <v>0.15816464237516867</v>
      </c>
      <c r="AW108" s="39">
        <f t="shared" si="198"/>
        <v>0.15655873316000965</v>
      </c>
      <c r="AX108" s="39">
        <f t="shared" si="198"/>
        <v>0.17618668184405253</v>
      </c>
      <c r="AY108" s="39">
        <f t="shared" si="198"/>
        <v>0.16603964534794211</v>
      </c>
      <c r="AZ108" s="39">
        <f t="shared" si="198"/>
        <v>0.15381504735553933</v>
      </c>
      <c r="BA108" s="39">
        <f t="shared" si="198"/>
        <v>0.12906082006956912</v>
      </c>
      <c r="BB108" s="39">
        <f t="shared" si="198"/>
        <v>0.11147700939138931</v>
      </c>
      <c r="BC108" s="39">
        <f t="shared" si="198"/>
        <v>8.2691215832589857E-2</v>
      </c>
      <c r="BD108" s="39">
        <f t="shared" si="198"/>
        <v>5.2995533968593626E-2</v>
      </c>
      <c r="BE108" s="39">
        <f t="shared" si="198"/>
        <v>5.1077300112324919E-2</v>
      </c>
      <c r="BF108" s="39">
        <f t="shared" si="198"/>
        <v>5.9501709819247559E-2</v>
      </c>
      <c r="BG108" s="39">
        <f t="shared" si="198"/>
        <v>6.4593672456575504E-2</v>
      </c>
      <c r="BH108" s="39">
        <f t="shared" si="198"/>
        <v>8.0291692119731167E-2</v>
      </c>
      <c r="BI108" s="39">
        <f t="shared" si="198"/>
        <v>7.1802714586121169E-2</v>
      </c>
      <c r="BJ108" s="39">
        <f t="shared" si="198"/>
        <v>2.5408104474745511E-2</v>
      </c>
      <c r="BK108" s="39">
        <f t="shared" si="198"/>
        <v>1.9699524758546666E-2</v>
      </c>
      <c r="BL108" s="39">
        <f t="shared" si="198"/>
        <v>8.1289876239525761E-3</v>
      </c>
      <c r="BM108" s="39">
        <f t="shared" si="198"/>
        <v>1.9984787982506101E-2</v>
      </c>
      <c r="BN108" s="39">
        <f t="shared" si="198"/>
        <v>2.5193504325390696E-2</v>
      </c>
      <c r="BO108" s="39">
        <f t="shared" si="198"/>
        <v>-4.1205014152850904E-2</v>
      </c>
      <c r="BP108" s="39">
        <f t="shared" si="198"/>
        <v>-5.6314859568246105E-2</v>
      </c>
      <c r="BQ108" s="39">
        <f t="shared" si="198"/>
        <v>-5.1696542893726043E-2</v>
      </c>
      <c r="BR108" s="39">
        <f t="shared" ref="BR108:CW108" si="199">(SUM(BO102:BR102)-SUM(BO101:BR101))/BR174</f>
        <v>7.6221168121084655E-3</v>
      </c>
      <c r="BS108" s="39">
        <f t="shared" si="199"/>
        <v>8.7787272437768724E-2</v>
      </c>
      <c r="BT108" s="39">
        <f t="shared" si="199"/>
        <v>0.14150512920180483</v>
      </c>
      <c r="BU108" s="39">
        <f t="shared" si="199"/>
        <v>0.18890550003934209</v>
      </c>
      <c r="BV108" s="39">
        <f t="shared" si="199"/>
        <v>0.21362423700641123</v>
      </c>
      <c r="BW108" s="39">
        <f t="shared" si="199"/>
        <v>0.2506051063165291</v>
      </c>
      <c r="BX108" s="39">
        <f t="shared" si="199"/>
        <v>0.23500461028152669</v>
      </c>
      <c r="BY108" s="39">
        <f t="shared" si="199"/>
        <v>0.20509241884030788</v>
      </c>
      <c r="BZ108" s="39">
        <f t="shared" si="199"/>
        <v>0.17697281260969511</v>
      </c>
      <c r="CA108" s="39">
        <f t="shared" si="199"/>
        <v>0.13192320571492361</v>
      </c>
      <c r="CB108" s="39">
        <f t="shared" si="199"/>
        <v>0.10018197985813841</v>
      </c>
      <c r="CC108" s="39">
        <f t="shared" si="199"/>
        <v>8.2393532107729539E-2</v>
      </c>
      <c r="CD108" s="39">
        <f t="shared" si="199"/>
        <v>4.8216027308192438E-2</v>
      </c>
      <c r="CE108" s="39">
        <f t="shared" si="199"/>
        <v>4.9038654115762019E-2</v>
      </c>
      <c r="CF108" s="39">
        <f t="shared" si="199"/>
        <v>4.4002924181579688E-2</v>
      </c>
      <c r="CG108" s="39">
        <f t="shared" si="199"/>
        <v>4.253661265509176E-2</v>
      </c>
      <c r="CH108" s="39">
        <f t="shared" si="199"/>
        <v>3.8181131925544787E-2</v>
      </c>
      <c r="CI108" s="39">
        <f t="shared" si="199"/>
        <v>2.6057824781199525E-2</v>
      </c>
      <c r="CJ108" s="39">
        <f t="shared" si="199"/>
        <v>4.2984518910444691E-2</v>
      </c>
      <c r="CK108" s="39">
        <f t="shared" si="199"/>
        <v>6.3048408240596224E-2</v>
      </c>
      <c r="CL108" s="39">
        <f t="shared" si="199"/>
        <v>8.2915996915272044E-2</v>
      </c>
      <c r="CM108" s="40">
        <f t="shared" si="199"/>
        <v>0.10919091470091231</v>
      </c>
      <c r="CN108" s="40">
        <f t="shared" si="199"/>
        <v>0.11943022281607932</v>
      </c>
      <c r="CO108" s="40">
        <f t="shared" si="199"/>
        <v>0.13156860839874446</v>
      </c>
      <c r="CP108" s="40">
        <f t="shared" si="199"/>
        <v>0.1381811266649689</v>
      </c>
      <c r="CQ108" s="40">
        <f t="shared" si="199"/>
        <v>0.14342147687573401</v>
      </c>
      <c r="CR108" s="40">
        <f t="shared" si="199"/>
        <v>0.14816471924866861</v>
      </c>
      <c r="CS108" s="40">
        <f t="shared" si="199"/>
        <v>0.15184346362990081</v>
      </c>
      <c r="CT108" s="40">
        <f t="shared" si="199"/>
        <v>0.15559850903213543</v>
      </c>
      <c r="CU108" s="40">
        <f t="shared" si="199"/>
        <v>0.15841658741170284</v>
      </c>
      <c r="CV108" s="40">
        <f t="shared" si="199"/>
        <v>0.15917423771066722</v>
      </c>
      <c r="CW108" s="40">
        <f t="shared" si="199"/>
        <v>0.15841876981764105</v>
      </c>
      <c r="CX108" s="40">
        <f>(SUM(CU102:CX102)-SUM(CU101:CX101))/CX174</f>
        <v>0.15647985634004449</v>
      </c>
      <c r="CY108" s="40">
        <f>(SUM(CV102:CY102)-SUM(CV101:CY101))/CY174</f>
        <v>0.15605127572567618</v>
      </c>
      <c r="CZ108" s="40">
        <f>(SUM(CW102:CZ102)-SUM(CW101:CZ101))/CZ174</f>
        <v>0.15513641691785213</v>
      </c>
      <c r="DA108" s="40">
        <f>(SUM(CX102:DA102)-SUM(CX101:DA101))/DA174</f>
        <v>0.15397185636475302</v>
      </c>
      <c r="DB108" s="40">
        <f>(SUM(CY102:DB102)-SUM(CY101:DB101))/DB174</f>
        <v>0.15277284499559401</v>
      </c>
      <c r="DE108" s="122"/>
      <c r="DF108" s="38">
        <v>6.8058339703553752E-2</v>
      </c>
    </row>
    <row r="109" spans="1:110" s="38" customFormat="1" x14ac:dyDescent="0.2">
      <c r="A109" s="38" t="s">
        <v>350</v>
      </c>
      <c r="B109" s="39">
        <f t="shared" ref="B109:AE109" si="200">+B88/B183</f>
        <v>0.12068673057229506</v>
      </c>
      <c r="C109" s="39">
        <f t="shared" si="200"/>
        <v>9.7643714188465291E-2</v>
      </c>
      <c r="D109" s="39">
        <f t="shared" si="200"/>
        <v>0.10107486021306253</v>
      </c>
      <c r="E109" s="39">
        <f t="shared" si="200"/>
        <v>8.924626729118515E-2</v>
      </c>
      <c r="F109" s="39">
        <f t="shared" si="200"/>
        <v>8.4561510041434279E-2</v>
      </c>
      <c r="G109" s="39">
        <f t="shared" si="200"/>
        <v>8.7943798430136708E-2</v>
      </c>
      <c r="H109" s="39">
        <f t="shared" si="200"/>
        <v>7.0228836814800882E-2</v>
      </c>
      <c r="I109" s="39">
        <f t="shared" si="200"/>
        <v>4.2444465773159183E-2</v>
      </c>
      <c r="J109" s="39">
        <f t="shared" si="200"/>
        <v>1.4636482803110598E-2</v>
      </c>
      <c r="K109" s="39">
        <f t="shared" si="200"/>
        <v>7.5293746208618673E-2</v>
      </c>
      <c r="L109" s="39">
        <f t="shared" si="200"/>
        <v>0.13748773921572732</v>
      </c>
      <c r="M109" s="39">
        <f t="shared" si="200"/>
        <v>8.2108698329296723E-2</v>
      </c>
      <c r="N109" s="39">
        <f t="shared" si="200"/>
        <v>0.13616180523059337</v>
      </c>
      <c r="O109" s="39">
        <f t="shared" si="200"/>
        <v>0.12358929925268063</v>
      </c>
      <c r="P109" s="39">
        <f t="shared" si="200"/>
        <v>0.13020606771808083</v>
      </c>
      <c r="Q109" s="39">
        <f t="shared" si="200"/>
        <v>0.13761602793860844</v>
      </c>
      <c r="R109" s="39">
        <f t="shared" si="200"/>
        <v>8.4169305115814039E-2</v>
      </c>
      <c r="S109" s="39">
        <f t="shared" si="200"/>
        <v>3.6647320535123443E-2</v>
      </c>
      <c r="T109" s="39">
        <f t="shared" si="200"/>
        <v>6.4087947882736168E-2</v>
      </c>
      <c r="U109" s="39">
        <f t="shared" si="200"/>
        <v>6.8500029790022884E-2</v>
      </c>
      <c r="V109" s="39">
        <f t="shared" si="200"/>
        <v>3.6397393680375666E-2</v>
      </c>
      <c r="W109" s="39">
        <f t="shared" si="200"/>
        <v>0.17922003296487291</v>
      </c>
      <c r="X109" s="39">
        <f t="shared" si="200"/>
        <v>0.13016884806018073</v>
      </c>
      <c r="Y109" s="39">
        <f t="shared" si="200"/>
        <v>5.7906447929577276E-2</v>
      </c>
      <c r="Z109" s="39">
        <f t="shared" si="200"/>
        <v>6.0028858681186154E-2</v>
      </c>
      <c r="AA109" s="39">
        <f t="shared" ref="AA109" si="201">+AA88/AA183</f>
        <v>8.8529510545402035E-2</v>
      </c>
      <c r="AB109" s="40">
        <f t="shared" si="200"/>
        <v>0.13972426264815352</v>
      </c>
      <c r="AC109" s="40">
        <f t="shared" si="200"/>
        <v>0.14260521710100024</v>
      </c>
      <c r="AD109" s="40">
        <f t="shared" si="200"/>
        <v>0.14288214302826024</v>
      </c>
      <c r="AE109" s="40">
        <f t="shared" si="200"/>
        <v>0.13826969056337532</v>
      </c>
      <c r="AF109" s="39"/>
      <c r="AG109" s="39"/>
      <c r="AH109" s="39"/>
      <c r="AI109" s="39"/>
      <c r="AJ109" s="39"/>
      <c r="AK109" s="39"/>
      <c r="AL109" s="39">
        <f t="shared" ref="AL109:BQ109" si="202">+SUM(AI88:AL88)/AL183</f>
        <v>0.15942617247297858</v>
      </c>
      <c r="AM109" s="39">
        <f t="shared" si="202"/>
        <v>0.15252617152860157</v>
      </c>
      <c r="AN109" s="39">
        <f t="shared" si="202"/>
        <v>0.14561616450092815</v>
      </c>
      <c r="AO109" s="39">
        <f t="shared" si="202"/>
        <v>0.14074908212220386</v>
      </c>
      <c r="AP109" s="39">
        <f t="shared" si="202"/>
        <v>0.14645325485182198</v>
      </c>
      <c r="AQ109" s="39">
        <f t="shared" si="202"/>
        <v>0.1497721350293309</v>
      </c>
      <c r="AR109" s="39">
        <f t="shared" si="202"/>
        <v>0.15153544324616441</v>
      </c>
      <c r="AS109" s="39">
        <f t="shared" si="202"/>
        <v>0.15409426698574552</v>
      </c>
      <c r="AT109" s="39">
        <f t="shared" si="202"/>
        <v>0.15113469621915027</v>
      </c>
      <c r="AU109" s="39">
        <f t="shared" si="202"/>
        <v>0.158670867573976</v>
      </c>
      <c r="AV109" s="39">
        <f t="shared" si="202"/>
        <v>0.16663610179182084</v>
      </c>
      <c r="AW109" s="39">
        <f t="shared" si="202"/>
        <v>0.16709105183864884</v>
      </c>
      <c r="AX109" s="39">
        <f t="shared" si="202"/>
        <v>0.15206097310412986</v>
      </c>
      <c r="AY109" s="39">
        <f t="shared" si="202"/>
        <v>0.14356497681637234</v>
      </c>
      <c r="AZ109" s="39">
        <f t="shared" si="202"/>
        <v>0.12635155723400537</v>
      </c>
      <c r="BA109" s="39">
        <f t="shared" si="202"/>
        <v>0.10976450791257102</v>
      </c>
      <c r="BB109" s="39">
        <f t="shared" si="202"/>
        <v>9.0608976610240963E-2</v>
      </c>
      <c r="BC109" s="39">
        <f t="shared" si="202"/>
        <v>6.8173446297952967E-2</v>
      </c>
      <c r="BD109" s="39">
        <f t="shared" si="202"/>
        <v>5.3427675992660892E-2</v>
      </c>
      <c r="BE109" s="39">
        <f t="shared" si="202"/>
        <v>4.5893233701120771E-2</v>
      </c>
      <c r="BF109" s="39">
        <f t="shared" si="202"/>
        <v>4.0900394838604581E-2</v>
      </c>
      <c r="BG109" s="39">
        <f t="shared" si="202"/>
        <v>4.952776605757675E-2</v>
      </c>
      <c r="BH109" s="39">
        <f t="shared" si="202"/>
        <v>6.247334576500789E-2</v>
      </c>
      <c r="BI109" s="39">
        <f t="shared" si="202"/>
        <v>6.4101813191870319E-2</v>
      </c>
      <c r="BJ109" s="39">
        <f t="shared" si="202"/>
        <v>6.7789894395920536E-2</v>
      </c>
      <c r="BK109" s="39">
        <f t="shared" si="202"/>
        <v>6.4479209692964334E-2</v>
      </c>
      <c r="BL109" s="39">
        <f t="shared" si="202"/>
        <v>6.0549894668318179E-2</v>
      </c>
      <c r="BM109" s="39">
        <f t="shared" si="202"/>
        <v>6.7840981674568368E-2</v>
      </c>
      <c r="BN109" s="39">
        <f t="shared" si="202"/>
        <v>7.1322858231639724E-2</v>
      </c>
      <c r="BO109" s="39">
        <f t="shared" si="202"/>
        <v>2.4482830992727189E-2</v>
      </c>
      <c r="BP109" s="39">
        <f t="shared" si="202"/>
        <v>1.0479657136147416E-2</v>
      </c>
      <c r="BQ109" s="39">
        <f t="shared" si="202"/>
        <v>1.0617732487541387E-2</v>
      </c>
      <c r="BR109" s="39">
        <f t="shared" ref="BR109:CW109" si="203">+SUM(BO88:BR88)/BR183</f>
        <v>3.8980650365326351E-2</v>
      </c>
      <c r="BS109" s="39">
        <f t="shared" si="203"/>
        <v>0.10051340981965788</v>
      </c>
      <c r="BT109" s="39">
        <f t="shared" si="203"/>
        <v>0.13536797958616503</v>
      </c>
      <c r="BU109" s="39">
        <f t="shared" si="203"/>
        <v>0.16117189340221086</v>
      </c>
      <c r="BV109" s="39">
        <f t="shared" si="203"/>
        <v>0.17922003296487274</v>
      </c>
      <c r="BW109" s="39">
        <f t="shared" si="203"/>
        <v>0.20496673090208339</v>
      </c>
      <c r="BX109" s="39">
        <f t="shared" si="203"/>
        <v>0.17337628139964975</v>
      </c>
      <c r="BY109" s="39">
        <f t="shared" si="203"/>
        <v>0.15613166679793766</v>
      </c>
      <c r="BZ109" s="39">
        <f t="shared" si="203"/>
        <v>0.13016884806018067</v>
      </c>
      <c r="CA109" s="39">
        <f t="shared" si="203"/>
        <v>0.10452248448794221</v>
      </c>
      <c r="CB109" s="39">
        <f t="shared" si="203"/>
        <v>7.7684888137343214E-2</v>
      </c>
      <c r="CC109" s="39">
        <f t="shared" si="203"/>
        <v>7.1115387041827016E-2</v>
      </c>
      <c r="CD109" s="39">
        <f t="shared" si="203"/>
        <v>5.7906447929577318E-2</v>
      </c>
      <c r="CE109" s="39">
        <f t="shared" si="203"/>
        <v>6.0951144105988488E-2</v>
      </c>
      <c r="CF109" s="39">
        <f t="shared" si="203"/>
        <v>5.883718178591258E-2</v>
      </c>
      <c r="CG109" s="39">
        <f t="shared" si="203"/>
        <v>6.4944746735034323E-2</v>
      </c>
      <c r="CH109" s="39">
        <f t="shared" si="203"/>
        <v>6.0776009003161359E-2</v>
      </c>
      <c r="CI109" s="39">
        <f t="shared" si="203"/>
        <v>5.2519126702743057E-2</v>
      </c>
      <c r="CJ109" s="39">
        <f t="shared" si="203"/>
        <v>6.5451145395044361E-2</v>
      </c>
      <c r="CK109" s="39">
        <f t="shared" si="203"/>
        <v>7.5362269177885577E-2</v>
      </c>
      <c r="CL109" s="39">
        <f t="shared" si="203"/>
        <v>9.5812023586329384E-2</v>
      </c>
      <c r="CM109" s="40">
        <f t="shared" si="203"/>
        <v>0.11807513201575845</v>
      </c>
      <c r="CN109" s="40">
        <f t="shared" si="203"/>
        <v>0.12448327355834425</v>
      </c>
      <c r="CO109" s="40">
        <f t="shared" si="203"/>
        <v>0.1351867969391973</v>
      </c>
      <c r="CP109" s="40">
        <f t="shared" si="203"/>
        <v>0.13972426264815357</v>
      </c>
      <c r="CQ109" s="40">
        <f t="shared" si="203"/>
        <v>0.14181976043065006</v>
      </c>
      <c r="CR109" s="40">
        <f t="shared" si="203"/>
        <v>0.14249025043221483</v>
      </c>
      <c r="CS109" s="40">
        <f t="shared" si="203"/>
        <v>0.14267609570038986</v>
      </c>
      <c r="CT109" s="40">
        <f t="shared" si="203"/>
        <v>0.14260521710099999</v>
      </c>
      <c r="CU109" s="40">
        <f t="shared" si="203"/>
        <v>0.14473461556556755</v>
      </c>
      <c r="CV109" s="40">
        <f t="shared" si="203"/>
        <v>0.14527064103730475</v>
      </c>
      <c r="CW109" s="40">
        <f t="shared" si="203"/>
        <v>0.14459247116847415</v>
      </c>
      <c r="CX109" s="40">
        <f>+SUM(CU88:CX88)/CX183</f>
        <v>0.14288214302826016</v>
      </c>
      <c r="CY109" s="40">
        <f>+SUM(CV88:CY88)/CY183</f>
        <v>0.14219500929227627</v>
      </c>
      <c r="CZ109" s="40">
        <f>+SUM(CW88:CZ88)/CZ183</f>
        <v>0.14108681783556623</v>
      </c>
      <c r="DA109" s="40">
        <f>+SUM(CX88:DA88)/DA183</f>
        <v>0.13972911243842018</v>
      </c>
      <c r="DB109" s="40">
        <f>+SUM(CY88:DB88)/DB183</f>
        <v>0.13826969056337535</v>
      </c>
      <c r="DE109" s="122"/>
      <c r="DF109" s="38">
        <v>8.3329568339845478E-2</v>
      </c>
    </row>
    <row r="110" spans="1:110" s="1" customFormat="1" x14ac:dyDescent="0.2">
      <c r="A110" s="150" t="s">
        <v>487</v>
      </c>
      <c r="AB110" s="20"/>
      <c r="AC110" s="20"/>
      <c r="AD110" s="20"/>
      <c r="AE110" s="20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E110" s="119"/>
    </row>
    <row r="111" spans="1:110" s="8" customFormat="1" x14ac:dyDescent="0.2">
      <c r="A111" s="12" t="s">
        <v>25</v>
      </c>
      <c r="AB111" s="58"/>
      <c r="AC111" s="58"/>
      <c r="AD111" s="58"/>
      <c r="AE111" s="58"/>
      <c r="CM111" s="54"/>
      <c r="CN111" s="54"/>
      <c r="CO111" s="54"/>
      <c r="CP111" s="54"/>
      <c r="CQ111" s="54"/>
      <c r="CR111" s="54"/>
      <c r="CS111" s="54"/>
      <c r="CT111" s="54"/>
      <c r="CU111" s="54"/>
      <c r="CV111" s="54"/>
      <c r="CW111" s="54"/>
      <c r="CX111" s="54"/>
      <c r="CY111" s="54"/>
      <c r="CZ111" s="54"/>
      <c r="DA111" s="54"/>
      <c r="DB111" s="54"/>
      <c r="DE111" s="132"/>
    </row>
    <row r="112" spans="1:110" s="9" customFormat="1" x14ac:dyDescent="0.2">
      <c r="A112" s="9" t="s">
        <v>452</v>
      </c>
      <c r="N112" s="9">
        <f>N57-SUM(AI57:AL57)</f>
        <v>-6.0799999999999272</v>
      </c>
      <c r="O112" s="9">
        <f>O57-SUM(AM57:AP57)</f>
        <v>-7.0099999999997635</v>
      </c>
      <c r="P112" s="9">
        <f>P57-SUM(AQ57:AT57)</f>
        <v>-8.2799999999999727</v>
      </c>
      <c r="Q112" s="9">
        <f>Q57-SUM(AU57:AX57)</f>
        <v>-5.330000000000382</v>
      </c>
      <c r="R112" s="9">
        <f>R57-SUM(AY57:BB57)</f>
        <v>-2.5099999999999909</v>
      </c>
      <c r="S112" s="9">
        <f>S57-SUM(BC57:BF57)</f>
        <v>-0.64999999999986358</v>
      </c>
      <c r="T112" s="9">
        <f>T57-SUM(BG57:BJ57)</f>
        <v>0</v>
      </c>
      <c r="U112" s="9">
        <f>U57-SUM(BK57:BN57)</f>
        <v>0</v>
      </c>
      <c r="V112" s="9">
        <f>V57-SUM(BO57:BR57)</f>
        <v>0</v>
      </c>
      <c r="W112" s="9">
        <f>W57-SUM(BS57:BV57)</f>
        <v>0</v>
      </c>
      <c r="X112" s="9">
        <f>X57-SUM(BW57:BZ57)</f>
        <v>0</v>
      </c>
      <c r="Y112" s="9">
        <f>Y57-SUM(CA57:CD57)</f>
        <v>0</v>
      </c>
      <c r="Z112" s="9">
        <f>Z57-SUM(CE57:CH57)</f>
        <v>0</v>
      </c>
      <c r="AA112" s="9">
        <f>AA57-SUM(CF57:CI57)</f>
        <v>280.86000000000058</v>
      </c>
      <c r="AB112" s="15">
        <f>AB57-SUM(CM57:CP57)</f>
        <v>0</v>
      </c>
      <c r="AC112" s="15">
        <f>AC57-SUM(CQ57:CT57)</f>
        <v>0</v>
      </c>
      <c r="AD112" s="15">
        <f>AD57-SUM(CU57:CX57)</f>
        <v>0</v>
      </c>
      <c r="AE112" s="15">
        <f>AE57-SUM(CY57:DB57)</f>
        <v>0</v>
      </c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E112" s="133"/>
      <c r="DF112" s="9">
        <v>0</v>
      </c>
    </row>
    <row r="113" spans="1:110" s="9" customFormat="1" x14ac:dyDescent="0.2">
      <c r="A113" s="9" t="s">
        <v>453</v>
      </c>
      <c r="N113" s="9">
        <f>N64-SUM(AI64:AL64)</f>
        <v>47.350000000000023</v>
      </c>
      <c r="O113" s="9">
        <f>O64-SUM(AM64:AP64)</f>
        <v>12.730000000000018</v>
      </c>
      <c r="P113" s="9">
        <f>P64-SUM(AQ64:AT64)</f>
        <v>50.509999999999991</v>
      </c>
      <c r="Q113" s="9">
        <f>Q64-SUM(AU64:AX64)</f>
        <v>59.009999999999764</v>
      </c>
      <c r="R113" s="9">
        <f>R64-SUM(AY64:BB64)</f>
        <v>-1.5500000000000682</v>
      </c>
      <c r="S113" s="9">
        <f>S64-SUM(BC64:BF64)</f>
        <v>1.7400000000003502</v>
      </c>
      <c r="T113" s="9">
        <f>T64-SUM(BG64:BJ64)</f>
        <v>-9.9999999998772182E-3</v>
      </c>
      <c r="U113" s="9">
        <f>U64-SUM(BK64:BN64)</f>
        <v>0</v>
      </c>
      <c r="V113" s="9">
        <f>V64-SUM(BO64:BR64)</f>
        <v>0</v>
      </c>
      <c r="W113" s="9">
        <f>W64-SUM(BS64:BV64)</f>
        <v>0</v>
      </c>
      <c r="X113" s="9">
        <f>X64-SUM(BW64:BZ64)</f>
        <v>0</v>
      </c>
      <c r="Y113" s="9">
        <f>Y64-SUM(CA64:CD64)</f>
        <v>0</v>
      </c>
      <c r="Z113" s="9">
        <f>Z64-SUM(CE64:CH64)</f>
        <v>0</v>
      </c>
      <c r="AA113" s="9">
        <f>AA64-SUM(CF64:CI64)</f>
        <v>174.08000000000015</v>
      </c>
      <c r="AB113" s="15">
        <f>AB64-SUM(CM64:CP64)</f>
        <v>0</v>
      </c>
      <c r="AC113" s="15">
        <f>AC64-SUM(CQ64:CT64)</f>
        <v>0</v>
      </c>
      <c r="AD113" s="15">
        <f>AD64-SUM(CU64:CX64)</f>
        <v>0</v>
      </c>
      <c r="AE113" s="15">
        <f>AE64-SUM(CY64:DB64)</f>
        <v>0</v>
      </c>
      <c r="CM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  <c r="DB113" s="59"/>
      <c r="DE113" s="133"/>
      <c r="DF113" s="9">
        <v>0</v>
      </c>
    </row>
    <row r="114" spans="1:110" s="9" customFormat="1" x14ac:dyDescent="0.2">
      <c r="A114" s="9" t="s">
        <v>454</v>
      </c>
      <c r="N114" s="9">
        <f>N82-SUM(AI82:AL82)</f>
        <v>-6.529999999999859</v>
      </c>
      <c r="O114" s="9">
        <f>O82-SUM(AM82:AP82)</f>
        <v>-7.3100000000000307</v>
      </c>
      <c r="P114" s="9">
        <f>P82-SUM(AQ82:AT82)</f>
        <v>-8.2799999999999159</v>
      </c>
      <c r="Q114" s="9">
        <f>Q82-SUM(AU82:AX82)</f>
        <v>-5.6800000000002626</v>
      </c>
      <c r="R114" s="9">
        <f>R82-SUM(AY82:BB82)</f>
        <v>-2.1600000000000534</v>
      </c>
      <c r="S114" s="9">
        <f>S82-SUM(BC82:BF82)</f>
        <v>-2.5899999999996624</v>
      </c>
      <c r="T114" s="9">
        <f>T82-SUM(BG82:BJ82)</f>
        <v>0</v>
      </c>
      <c r="U114" s="9">
        <f>U82-SUM(BK82:BN82)</f>
        <v>0</v>
      </c>
      <c r="V114" s="9">
        <f>V82-SUM(BO82:BR82)</f>
        <v>1.5631940186722204E-13</v>
      </c>
      <c r="W114" s="9">
        <f>W82-SUM(BS82:BV82)</f>
        <v>0</v>
      </c>
      <c r="X114" s="9">
        <f>X82-SUM(BW82:BZ82)</f>
        <v>0</v>
      </c>
      <c r="Y114" s="9">
        <f>Y82-SUM(CA82:CD82)</f>
        <v>0</v>
      </c>
      <c r="Z114" s="9">
        <f>Z82-SUM(CE82:CH82)</f>
        <v>-1.6000000000002501</v>
      </c>
      <c r="AA114" s="9">
        <f>AA82-SUM(CF82:CI82)</f>
        <v>68.650000000000119</v>
      </c>
      <c r="AB114" s="15">
        <f>AB82-SUM(CM82:CP82)</f>
        <v>0</v>
      </c>
      <c r="AC114" s="15">
        <f>AC82-SUM(CQ82:CT82)</f>
        <v>7.3896444519050419E-13</v>
      </c>
      <c r="AD114" s="15">
        <f>AD82-SUM(CU82:CX82)</f>
        <v>0</v>
      </c>
      <c r="AE114" s="15">
        <f>AE82-SUM(CY82:DB82)</f>
        <v>0</v>
      </c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  <c r="DB114" s="59"/>
      <c r="DE114" s="133"/>
      <c r="DF114" s="9">
        <v>-5.1159076974727213E-13</v>
      </c>
    </row>
    <row r="115" spans="1:110" s="9" customFormat="1" x14ac:dyDescent="0.2">
      <c r="A115" s="9" t="s">
        <v>455</v>
      </c>
      <c r="N115" s="9">
        <f>N102-SUM(AI102:AL102)</f>
        <v>1.2789769243681803E-13</v>
      </c>
      <c r="O115" s="9">
        <f>O102-SUM(AM102:AP102)</f>
        <v>0</v>
      </c>
      <c r="P115" s="9">
        <f>P102-SUM(AQ102:AT102)</f>
        <v>6.3948846218409017E-14</v>
      </c>
      <c r="Q115" s="9">
        <f>Q102-SUM(AU102:AX102)</f>
        <v>-2.4158453015843406E-13</v>
      </c>
      <c r="R115" s="9">
        <f>R102-SUM(AY102:BB102)</f>
        <v>-1.9100000000000534</v>
      </c>
      <c r="S115" s="9">
        <f>S102-SUM(BC102:BF102)</f>
        <v>-1.8299999999996679</v>
      </c>
      <c r="T115" s="9">
        <f>T102-SUM(BG102:BJ102)</f>
        <v>3.1974423109204508E-14</v>
      </c>
      <c r="U115" s="9">
        <f>U102-SUM(BK102:BN102)</f>
        <v>2.8421709430404007E-14</v>
      </c>
      <c r="V115" s="9">
        <f>V102-SUM(BO102:BR102)</f>
        <v>1.7053025658242404E-13</v>
      </c>
      <c r="W115" s="9">
        <f>W95-SUM(BS95:BV95)</f>
        <v>2.2737367544323206E-13</v>
      </c>
      <c r="X115" s="9">
        <f>X95-SUM(BW95:BZ95)</f>
        <v>0</v>
      </c>
      <c r="Y115" s="9">
        <f>Y95-SUM(CA95:CD95)</f>
        <v>-9.9475983006414026E-14</v>
      </c>
      <c r="Z115" s="9">
        <f>Z95-SUM(CE95:CH95)</f>
        <v>-2.5579538487363607E-13</v>
      </c>
      <c r="AA115" s="9">
        <f>AA95-SUM(CF95:CI95)</f>
        <v>62.960000000000107</v>
      </c>
      <c r="AB115" s="15">
        <f>AB95-SUM(CM95:CP95)</f>
        <v>0</v>
      </c>
      <c r="AC115" s="15">
        <f>AC95-SUM(CQ95:CT95)</f>
        <v>6.8212102632969618E-13</v>
      </c>
      <c r="AD115" s="15">
        <f>AD95-SUM(CU95:CX95)</f>
        <v>0</v>
      </c>
      <c r="AE115" s="15">
        <f>AE95-SUM(CY95:DB95)</f>
        <v>0</v>
      </c>
      <c r="CM115" s="59"/>
      <c r="CN115" s="59"/>
      <c r="CO115" s="59"/>
      <c r="CP115" s="59"/>
      <c r="CQ115" s="59"/>
      <c r="CR115" s="59"/>
      <c r="CS115" s="59"/>
      <c r="CT115" s="59"/>
      <c r="CU115" s="59"/>
      <c r="CV115" s="59"/>
      <c r="CW115" s="59"/>
      <c r="CX115" s="59"/>
      <c r="CY115" s="59"/>
      <c r="CZ115" s="59"/>
      <c r="DA115" s="59"/>
      <c r="DB115" s="59"/>
      <c r="DE115" s="133"/>
      <c r="DF115" s="9">
        <v>-5.1159076974727213E-13</v>
      </c>
    </row>
    <row r="116" spans="1:110" s="8" customFormat="1" x14ac:dyDescent="0.2">
      <c r="A116" s="149" t="s">
        <v>488</v>
      </c>
      <c r="AB116" s="58"/>
      <c r="AC116" s="58"/>
      <c r="AD116" s="58"/>
      <c r="AE116" s="58"/>
      <c r="CM116" s="54"/>
      <c r="CN116" s="54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E116" s="132"/>
    </row>
    <row r="117" spans="1:110" s="3" customFormat="1" x14ac:dyDescent="0.2">
      <c r="A117" s="3" t="s">
        <v>26</v>
      </c>
      <c r="B117" s="3">
        <f>'Annual Raw'!C104</f>
        <v>16.4359</v>
      </c>
      <c r="C117" s="3">
        <f>'Annual Raw'!D104</f>
        <v>16.4359</v>
      </c>
      <c r="D117" s="3">
        <f>'Annual Raw'!E104</f>
        <v>16.4359</v>
      </c>
      <c r="E117" s="3">
        <f t="shared" ref="E117:Y117" ca="1" si="204">+F117</f>
        <v>0</v>
      </c>
      <c r="F117" s="3">
        <f t="shared" ca="1" si="204"/>
        <v>0</v>
      </c>
      <c r="G117" s="3">
        <f t="shared" ca="1" si="204"/>
        <v>0</v>
      </c>
      <c r="H117" s="3">
        <f t="shared" ca="1" si="204"/>
        <v>0</v>
      </c>
      <c r="I117" s="3">
        <f t="shared" ca="1" si="204"/>
        <v>0</v>
      </c>
      <c r="J117" s="3">
        <f t="shared" ca="1" si="204"/>
        <v>0</v>
      </c>
      <c r="K117" s="3">
        <f t="shared" ca="1" si="204"/>
        <v>0</v>
      </c>
      <c r="L117" s="3">
        <f t="shared" ca="1" si="204"/>
        <v>0</v>
      </c>
      <c r="M117" s="3">
        <f t="shared" ca="1" si="204"/>
        <v>0</v>
      </c>
      <c r="N117" s="3">
        <f t="shared" ca="1" si="204"/>
        <v>0</v>
      </c>
      <c r="O117" s="3">
        <f t="shared" ca="1" si="204"/>
        <v>0</v>
      </c>
      <c r="P117" s="3">
        <f t="shared" ca="1" si="204"/>
        <v>0</v>
      </c>
      <c r="Q117" s="3">
        <f t="shared" ca="1" si="204"/>
        <v>0</v>
      </c>
      <c r="R117" s="3">
        <f t="shared" ca="1" si="204"/>
        <v>0</v>
      </c>
      <c r="S117" s="3">
        <f t="shared" ca="1" si="204"/>
        <v>0</v>
      </c>
      <c r="T117" s="3">
        <f t="shared" ca="1" si="204"/>
        <v>0</v>
      </c>
      <c r="U117" s="3">
        <f t="shared" ca="1" si="204"/>
        <v>0</v>
      </c>
      <c r="V117" s="3">
        <f t="shared" ca="1" si="204"/>
        <v>0</v>
      </c>
      <c r="W117" s="3">
        <f t="shared" ca="1" si="204"/>
        <v>0</v>
      </c>
      <c r="X117" s="3">
        <f t="shared" ca="1" si="204"/>
        <v>0</v>
      </c>
      <c r="Y117" s="3">
        <f t="shared" ca="1" si="204"/>
        <v>0</v>
      </c>
      <c r="Z117" s="3">
        <f ca="1">+AA117</f>
        <v>0</v>
      </c>
      <c r="AA117" s="3">
        <f ca="1">+AB117</f>
        <v>0</v>
      </c>
      <c r="AB117" s="37">
        <f t="shared" ref="AB117:AE118" ca="1" si="205">AA117</f>
        <v>0</v>
      </c>
      <c r="AC117" s="37">
        <f t="shared" ca="1" si="205"/>
        <v>0</v>
      </c>
      <c r="AD117" s="37">
        <f t="shared" ca="1" si="205"/>
        <v>0</v>
      </c>
      <c r="AE117" s="37">
        <f t="shared" ca="1" si="205"/>
        <v>0</v>
      </c>
      <c r="AI117" s="3">
        <f t="shared" ref="AI117:CH117" si="206">+AJ117</f>
        <v>50.25</v>
      </c>
      <c r="AJ117" s="3">
        <f t="shared" si="206"/>
        <v>50.25</v>
      </c>
      <c r="AK117" s="3">
        <f t="shared" si="206"/>
        <v>50.25</v>
      </c>
      <c r="AL117" s="3">
        <f t="shared" si="206"/>
        <v>50.25</v>
      </c>
      <c r="AM117" s="3">
        <f t="shared" si="206"/>
        <v>50.25</v>
      </c>
      <c r="AN117" s="3">
        <f t="shared" si="206"/>
        <v>50.25</v>
      </c>
      <c r="AO117" s="3">
        <f t="shared" si="206"/>
        <v>50.25</v>
      </c>
      <c r="AP117" s="3">
        <f t="shared" si="206"/>
        <v>50.25</v>
      </c>
      <c r="AQ117" s="3">
        <f t="shared" si="206"/>
        <v>50.25</v>
      </c>
      <c r="AR117" s="3">
        <f t="shared" si="206"/>
        <v>50.25</v>
      </c>
      <c r="AS117" s="3">
        <f t="shared" si="206"/>
        <v>50.25</v>
      </c>
      <c r="AT117" s="3">
        <f t="shared" si="206"/>
        <v>50.25</v>
      </c>
      <c r="AU117" s="3">
        <f t="shared" si="206"/>
        <v>50.25</v>
      </c>
      <c r="AV117" s="3">
        <f t="shared" si="206"/>
        <v>50.25</v>
      </c>
      <c r="AW117" s="3">
        <f t="shared" si="206"/>
        <v>50.25</v>
      </c>
      <c r="AX117" s="3">
        <f t="shared" si="206"/>
        <v>50.25</v>
      </c>
      <c r="AY117" s="3">
        <f t="shared" si="206"/>
        <v>50.25</v>
      </c>
      <c r="AZ117" s="3">
        <f t="shared" si="206"/>
        <v>50.25</v>
      </c>
      <c r="BA117" s="3">
        <f t="shared" si="206"/>
        <v>50.25</v>
      </c>
      <c r="BB117" s="3">
        <f t="shared" si="206"/>
        <v>50.25</v>
      </c>
      <c r="BC117" s="3">
        <f t="shared" si="206"/>
        <v>50.25</v>
      </c>
      <c r="BD117" s="3">
        <f t="shared" si="206"/>
        <v>50.25</v>
      </c>
      <c r="BE117" s="3">
        <f t="shared" si="206"/>
        <v>50.25</v>
      </c>
      <c r="BF117" s="3">
        <f t="shared" si="206"/>
        <v>50.25</v>
      </c>
      <c r="BG117" s="3">
        <f t="shared" si="206"/>
        <v>50.25</v>
      </c>
      <c r="BH117" s="3">
        <f t="shared" si="206"/>
        <v>50.25</v>
      </c>
      <c r="BI117" s="3">
        <f t="shared" si="206"/>
        <v>50.25</v>
      </c>
      <c r="BJ117" s="3">
        <f t="shared" si="206"/>
        <v>50.25</v>
      </c>
      <c r="BK117" s="3">
        <f t="shared" si="206"/>
        <v>50.25</v>
      </c>
      <c r="BL117" s="3">
        <f t="shared" si="206"/>
        <v>50.25</v>
      </c>
      <c r="BM117" s="3">
        <f t="shared" si="206"/>
        <v>50.25</v>
      </c>
      <c r="BN117" s="3">
        <f t="shared" si="206"/>
        <v>50.25</v>
      </c>
      <c r="BO117" s="3">
        <f t="shared" si="206"/>
        <v>50.25</v>
      </c>
      <c r="BP117" s="3">
        <f t="shared" si="206"/>
        <v>50.25</v>
      </c>
      <c r="BQ117" s="3">
        <f t="shared" si="206"/>
        <v>50.25</v>
      </c>
      <c r="BR117" s="3">
        <f t="shared" si="206"/>
        <v>50.25</v>
      </c>
      <c r="BS117" s="3">
        <f t="shared" si="206"/>
        <v>50.25</v>
      </c>
      <c r="BT117" s="3">
        <f t="shared" si="206"/>
        <v>50.25</v>
      </c>
      <c r="BU117" s="3">
        <f t="shared" si="206"/>
        <v>50.25</v>
      </c>
      <c r="BV117" s="3">
        <f t="shared" si="206"/>
        <v>50.25</v>
      </c>
      <c r="BW117" s="3">
        <f t="shared" si="206"/>
        <v>50.25</v>
      </c>
      <c r="BX117" s="3">
        <f t="shared" si="206"/>
        <v>50.25</v>
      </c>
      <c r="BY117" s="3">
        <f t="shared" si="206"/>
        <v>50.25</v>
      </c>
      <c r="BZ117" s="3">
        <f t="shared" si="206"/>
        <v>50.25</v>
      </c>
      <c r="CA117" s="3">
        <f t="shared" si="206"/>
        <v>50.25</v>
      </c>
      <c r="CB117" s="3">
        <f t="shared" si="206"/>
        <v>50.25</v>
      </c>
      <c r="CC117" s="3">
        <f t="shared" si="206"/>
        <v>50.25</v>
      </c>
      <c r="CD117" s="3">
        <f t="shared" si="206"/>
        <v>50.25</v>
      </c>
      <c r="CE117" s="3">
        <f t="shared" si="206"/>
        <v>50.25</v>
      </c>
      <c r="CF117" s="3">
        <f t="shared" si="206"/>
        <v>50.25</v>
      </c>
      <c r="CG117" s="3">
        <f t="shared" si="206"/>
        <v>50.25</v>
      </c>
      <c r="CH117" s="3">
        <f t="shared" si="206"/>
        <v>50.25</v>
      </c>
      <c r="CI117" s="3">
        <f>+CJ117</f>
        <v>50.25</v>
      </c>
      <c r="CJ117" s="3">
        <f>'QTR Raw'!BD45</f>
        <v>50.25</v>
      </c>
      <c r="CK117" s="3">
        <f>'QTR Raw'!BE45</f>
        <v>50.25</v>
      </c>
      <c r="CL117" s="3">
        <f>'QTR Raw'!BF45</f>
        <v>50.25</v>
      </c>
      <c r="CM117" s="37">
        <f t="shared" ref="CM117:DB117" si="207">+CL117</f>
        <v>50.25</v>
      </c>
      <c r="CN117" s="37">
        <f t="shared" si="207"/>
        <v>50.25</v>
      </c>
      <c r="CO117" s="37">
        <f t="shared" si="207"/>
        <v>50.25</v>
      </c>
      <c r="CP117" s="37">
        <f t="shared" si="207"/>
        <v>50.25</v>
      </c>
      <c r="CQ117" s="37">
        <f t="shared" si="207"/>
        <v>50.25</v>
      </c>
      <c r="CR117" s="37">
        <f t="shared" si="207"/>
        <v>50.25</v>
      </c>
      <c r="CS117" s="37">
        <f t="shared" si="207"/>
        <v>50.25</v>
      </c>
      <c r="CT117" s="37">
        <f t="shared" si="207"/>
        <v>50.25</v>
      </c>
      <c r="CU117" s="37">
        <f t="shared" si="207"/>
        <v>50.25</v>
      </c>
      <c r="CV117" s="37">
        <f t="shared" si="207"/>
        <v>50.25</v>
      </c>
      <c r="CW117" s="37">
        <f t="shared" si="207"/>
        <v>50.25</v>
      </c>
      <c r="CX117" s="37">
        <f t="shared" si="207"/>
        <v>50.25</v>
      </c>
      <c r="CY117" s="37">
        <f t="shared" si="207"/>
        <v>50.25</v>
      </c>
      <c r="CZ117" s="37">
        <f t="shared" si="207"/>
        <v>50.25</v>
      </c>
      <c r="DA117" s="37">
        <f t="shared" si="207"/>
        <v>50.25</v>
      </c>
      <c r="DB117" s="37">
        <f t="shared" si="207"/>
        <v>50.25</v>
      </c>
      <c r="DE117" s="134"/>
      <c r="DF117" s="3">
        <v>50.25</v>
      </c>
    </row>
    <row r="118" spans="1:110" s="3" customFormat="1" x14ac:dyDescent="0.2">
      <c r="A118" s="3" t="s">
        <v>27</v>
      </c>
      <c r="B118" s="3">
        <f>'Annual Raw'!C105</f>
        <v>10</v>
      </c>
      <c r="C118" s="3">
        <f>'Annual Raw'!D105</f>
        <v>10</v>
      </c>
      <c r="D118" s="3">
        <f>'Annual Raw'!E105</f>
        <v>10</v>
      </c>
      <c r="E118" s="3">
        <f t="shared" ref="E118:Y118" ca="1" si="208">+F118</f>
        <v>0</v>
      </c>
      <c r="F118" s="3">
        <f t="shared" ca="1" si="208"/>
        <v>0</v>
      </c>
      <c r="G118" s="3">
        <f t="shared" ca="1" si="208"/>
        <v>0</v>
      </c>
      <c r="H118" s="3">
        <f t="shared" ca="1" si="208"/>
        <v>0</v>
      </c>
      <c r="I118" s="3">
        <f t="shared" ca="1" si="208"/>
        <v>0</v>
      </c>
      <c r="J118" s="3">
        <f t="shared" ca="1" si="208"/>
        <v>0</v>
      </c>
      <c r="K118" s="3">
        <f t="shared" ca="1" si="208"/>
        <v>0</v>
      </c>
      <c r="L118" s="3">
        <f t="shared" ca="1" si="208"/>
        <v>0</v>
      </c>
      <c r="M118" s="3">
        <f t="shared" ca="1" si="208"/>
        <v>0</v>
      </c>
      <c r="N118" s="3">
        <f t="shared" ca="1" si="208"/>
        <v>0</v>
      </c>
      <c r="O118" s="3">
        <f t="shared" ca="1" si="208"/>
        <v>0</v>
      </c>
      <c r="P118" s="3">
        <f t="shared" ca="1" si="208"/>
        <v>0</v>
      </c>
      <c r="Q118" s="3">
        <f t="shared" ca="1" si="208"/>
        <v>0</v>
      </c>
      <c r="R118" s="3">
        <f t="shared" ca="1" si="208"/>
        <v>0</v>
      </c>
      <c r="S118" s="3">
        <f t="shared" ca="1" si="208"/>
        <v>0</v>
      </c>
      <c r="T118" s="3">
        <f t="shared" ca="1" si="208"/>
        <v>0</v>
      </c>
      <c r="U118" s="3">
        <f t="shared" ca="1" si="208"/>
        <v>0</v>
      </c>
      <c r="V118" s="3">
        <f t="shared" ca="1" si="208"/>
        <v>0</v>
      </c>
      <c r="W118" s="3">
        <f t="shared" ca="1" si="208"/>
        <v>0</v>
      </c>
      <c r="X118" s="3">
        <f t="shared" ca="1" si="208"/>
        <v>0</v>
      </c>
      <c r="Y118" s="3">
        <f t="shared" ca="1" si="208"/>
        <v>0</v>
      </c>
      <c r="Z118" s="3">
        <f ca="1">+AA118</f>
        <v>0</v>
      </c>
      <c r="AA118" s="3">
        <f ca="1">+AB118</f>
        <v>0</v>
      </c>
      <c r="AB118" s="37">
        <f t="shared" ca="1" si="205"/>
        <v>0</v>
      </c>
      <c r="AC118" s="37">
        <f t="shared" ca="1" si="205"/>
        <v>0</v>
      </c>
      <c r="AD118" s="37">
        <f t="shared" ca="1" si="205"/>
        <v>0</v>
      </c>
      <c r="AE118" s="37">
        <f t="shared" ca="1" si="205"/>
        <v>0</v>
      </c>
      <c r="AI118" s="3">
        <f t="shared" ref="AI118:CH118" si="209">AJ118</f>
        <v>10</v>
      </c>
      <c r="AJ118" s="3">
        <f t="shared" si="209"/>
        <v>10</v>
      </c>
      <c r="AK118" s="3">
        <f t="shared" si="209"/>
        <v>10</v>
      </c>
      <c r="AL118" s="3">
        <f t="shared" si="209"/>
        <v>10</v>
      </c>
      <c r="AM118" s="3">
        <f t="shared" si="209"/>
        <v>10</v>
      </c>
      <c r="AN118" s="3">
        <f t="shared" si="209"/>
        <v>10</v>
      </c>
      <c r="AO118" s="3">
        <f t="shared" si="209"/>
        <v>10</v>
      </c>
      <c r="AP118" s="3">
        <f t="shared" si="209"/>
        <v>10</v>
      </c>
      <c r="AQ118" s="3">
        <f t="shared" si="209"/>
        <v>10</v>
      </c>
      <c r="AR118" s="3">
        <f t="shared" si="209"/>
        <v>10</v>
      </c>
      <c r="AS118" s="3">
        <f t="shared" si="209"/>
        <v>10</v>
      </c>
      <c r="AT118" s="3">
        <f t="shared" si="209"/>
        <v>10</v>
      </c>
      <c r="AU118" s="3">
        <f t="shared" si="209"/>
        <v>10</v>
      </c>
      <c r="AV118" s="3">
        <f t="shared" si="209"/>
        <v>10</v>
      </c>
      <c r="AW118" s="3">
        <f t="shared" si="209"/>
        <v>10</v>
      </c>
      <c r="AX118" s="3">
        <f t="shared" si="209"/>
        <v>10</v>
      </c>
      <c r="AY118" s="3">
        <f t="shared" si="209"/>
        <v>10</v>
      </c>
      <c r="AZ118" s="3">
        <f t="shared" si="209"/>
        <v>10</v>
      </c>
      <c r="BA118" s="3">
        <f t="shared" si="209"/>
        <v>10</v>
      </c>
      <c r="BB118" s="3">
        <f t="shared" si="209"/>
        <v>10</v>
      </c>
      <c r="BC118" s="3">
        <f t="shared" si="209"/>
        <v>10</v>
      </c>
      <c r="BD118" s="3">
        <f t="shared" si="209"/>
        <v>10</v>
      </c>
      <c r="BE118" s="3">
        <f t="shared" si="209"/>
        <v>10</v>
      </c>
      <c r="BF118" s="3">
        <f t="shared" si="209"/>
        <v>10</v>
      </c>
      <c r="BG118" s="3">
        <f t="shared" si="209"/>
        <v>10</v>
      </c>
      <c r="BH118" s="3">
        <f t="shared" si="209"/>
        <v>10</v>
      </c>
      <c r="BI118" s="3">
        <f t="shared" si="209"/>
        <v>10</v>
      </c>
      <c r="BJ118" s="3">
        <f t="shared" si="209"/>
        <v>10</v>
      </c>
      <c r="BK118" s="3">
        <f t="shared" si="209"/>
        <v>10</v>
      </c>
      <c r="BL118" s="3">
        <f t="shared" si="209"/>
        <v>10</v>
      </c>
      <c r="BM118" s="3">
        <f t="shared" si="209"/>
        <v>10</v>
      </c>
      <c r="BN118" s="3">
        <f t="shared" si="209"/>
        <v>10</v>
      </c>
      <c r="BO118" s="3">
        <f t="shared" si="209"/>
        <v>10</v>
      </c>
      <c r="BP118" s="3">
        <f t="shared" si="209"/>
        <v>10</v>
      </c>
      <c r="BQ118" s="3">
        <f t="shared" si="209"/>
        <v>10</v>
      </c>
      <c r="BR118" s="3">
        <f t="shared" si="209"/>
        <v>10</v>
      </c>
      <c r="BS118" s="3">
        <f t="shared" si="209"/>
        <v>10</v>
      </c>
      <c r="BT118" s="3">
        <f t="shared" si="209"/>
        <v>10</v>
      </c>
      <c r="BU118" s="3">
        <f t="shared" si="209"/>
        <v>10</v>
      </c>
      <c r="BV118" s="3">
        <f t="shared" si="209"/>
        <v>10</v>
      </c>
      <c r="BW118" s="3">
        <f t="shared" si="209"/>
        <v>10</v>
      </c>
      <c r="BX118" s="3">
        <f t="shared" si="209"/>
        <v>10</v>
      </c>
      <c r="BY118" s="3">
        <f t="shared" si="209"/>
        <v>10</v>
      </c>
      <c r="BZ118" s="3">
        <f t="shared" si="209"/>
        <v>10</v>
      </c>
      <c r="CA118" s="3">
        <f t="shared" si="209"/>
        <v>10</v>
      </c>
      <c r="CB118" s="3">
        <f t="shared" si="209"/>
        <v>10</v>
      </c>
      <c r="CC118" s="3">
        <f t="shared" si="209"/>
        <v>10</v>
      </c>
      <c r="CD118" s="3">
        <f t="shared" si="209"/>
        <v>10</v>
      </c>
      <c r="CE118" s="3">
        <f t="shared" si="209"/>
        <v>10</v>
      </c>
      <c r="CF118" s="3">
        <f t="shared" si="209"/>
        <v>10</v>
      </c>
      <c r="CG118" s="3">
        <f t="shared" si="209"/>
        <v>10</v>
      </c>
      <c r="CH118" s="3">
        <f t="shared" si="209"/>
        <v>10</v>
      </c>
      <c r="CI118" s="3">
        <f>CJ118</f>
        <v>10</v>
      </c>
      <c r="CJ118" s="3">
        <f>'QTR Raw'!BD46</f>
        <v>10</v>
      </c>
      <c r="CK118" s="3">
        <f>'QTR Raw'!BE46</f>
        <v>10</v>
      </c>
      <c r="CL118" s="3">
        <f>'QTR Raw'!BF46</f>
        <v>10</v>
      </c>
      <c r="CM118" s="37">
        <f t="shared" ref="CM118:DB118" si="210">+CL118</f>
        <v>10</v>
      </c>
      <c r="CN118" s="37">
        <f t="shared" si="210"/>
        <v>10</v>
      </c>
      <c r="CO118" s="37">
        <f t="shared" si="210"/>
        <v>10</v>
      </c>
      <c r="CP118" s="37">
        <f t="shared" si="210"/>
        <v>10</v>
      </c>
      <c r="CQ118" s="37">
        <f t="shared" si="210"/>
        <v>10</v>
      </c>
      <c r="CR118" s="37">
        <f t="shared" si="210"/>
        <v>10</v>
      </c>
      <c r="CS118" s="37">
        <f t="shared" si="210"/>
        <v>10</v>
      </c>
      <c r="CT118" s="37">
        <f t="shared" si="210"/>
        <v>10</v>
      </c>
      <c r="CU118" s="37">
        <f t="shared" si="210"/>
        <v>10</v>
      </c>
      <c r="CV118" s="37">
        <f t="shared" si="210"/>
        <v>10</v>
      </c>
      <c r="CW118" s="37">
        <f t="shared" si="210"/>
        <v>10</v>
      </c>
      <c r="CX118" s="37">
        <f t="shared" si="210"/>
        <v>10</v>
      </c>
      <c r="CY118" s="37">
        <f t="shared" si="210"/>
        <v>10</v>
      </c>
      <c r="CZ118" s="37">
        <f t="shared" si="210"/>
        <v>10</v>
      </c>
      <c r="DA118" s="37">
        <f t="shared" si="210"/>
        <v>10</v>
      </c>
      <c r="DB118" s="37">
        <f t="shared" si="210"/>
        <v>10</v>
      </c>
      <c r="DE118" s="134"/>
      <c r="DF118" s="3">
        <v>10</v>
      </c>
    </row>
    <row r="119" spans="1:110" s="3" customFormat="1" x14ac:dyDescent="0.2">
      <c r="A119" s="3" t="s">
        <v>28</v>
      </c>
      <c r="B119" s="3">
        <f>B117/B118</f>
        <v>1.6435900000000001</v>
      </c>
      <c r="C119" s="3">
        <f t="shared" ref="C119:W119" si="211">C117/C118</f>
        <v>1.6435900000000001</v>
      </c>
      <c r="D119" s="3">
        <f t="shared" si="211"/>
        <v>1.6435900000000001</v>
      </c>
      <c r="E119" s="3" t="e">
        <f t="shared" ca="1" si="211"/>
        <v>#DIV/0!</v>
      </c>
      <c r="F119" s="3" t="e">
        <f t="shared" ca="1" si="211"/>
        <v>#DIV/0!</v>
      </c>
      <c r="G119" s="3" t="e">
        <f t="shared" ca="1" si="211"/>
        <v>#DIV/0!</v>
      </c>
      <c r="H119" s="3" t="e">
        <f t="shared" ca="1" si="211"/>
        <v>#DIV/0!</v>
      </c>
      <c r="I119" s="3" t="e">
        <f t="shared" ca="1" si="211"/>
        <v>#DIV/0!</v>
      </c>
      <c r="J119" s="3" t="e">
        <f t="shared" ca="1" si="211"/>
        <v>#DIV/0!</v>
      </c>
      <c r="K119" s="3" t="e">
        <f t="shared" ca="1" si="211"/>
        <v>#DIV/0!</v>
      </c>
      <c r="L119" s="3" t="e">
        <f t="shared" ca="1" si="211"/>
        <v>#DIV/0!</v>
      </c>
      <c r="M119" s="3" t="e">
        <f t="shared" ca="1" si="211"/>
        <v>#DIV/0!</v>
      </c>
      <c r="N119" s="3" t="e">
        <f t="shared" ca="1" si="211"/>
        <v>#DIV/0!</v>
      </c>
      <c r="O119" s="3" t="e">
        <f t="shared" ca="1" si="211"/>
        <v>#DIV/0!</v>
      </c>
      <c r="P119" s="3" t="e">
        <f t="shared" ca="1" si="211"/>
        <v>#DIV/0!</v>
      </c>
      <c r="Q119" s="3" t="e">
        <f t="shared" ca="1" si="211"/>
        <v>#DIV/0!</v>
      </c>
      <c r="R119" s="3" t="e">
        <f t="shared" ca="1" si="211"/>
        <v>#DIV/0!</v>
      </c>
      <c r="S119" s="3" t="e">
        <f t="shared" ca="1" si="211"/>
        <v>#DIV/0!</v>
      </c>
      <c r="T119" s="3" t="e">
        <f t="shared" ca="1" si="211"/>
        <v>#DIV/0!</v>
      </c>
      <c r="U119" s="3" t="e">
        <f t="shared" ca="1" si="211"/>
        <v>#DIV/0!</v>
      </c>
      <c r="V119" s="3" t="e">
        <f ca="1">V117/V118</f>
        <v>#DIV/0!</v>
      </c>
      <c r="W119" s="3" t="e">
        <f t="shared" ca="1" si="211"/>
        <v>#DIV/0!</v>
      </c>
      <c r="X119" s="3" t="e">
        <f t="shared" ref="X119:AE119" ca="1" si="212">X117/X118</f>
        <v>#DIV/0!</v>
      </c>
      <c r="Y119" s="3" t="e">
        <f t="shared" ca="1" si="212"/>
        <v>#DIV/0!</v>
      </c>
      <c r="Z119" s="3" t="e">
        <f t="shared" ca="1" si="212"/>
        <v>#DIV/0!</v>
      </c>
      <c r="AA119" s="3" t="e">
        <f t="shared" ref="AA119" ca="1" si="213">AA117/AA118</f>
        <v>#DIV/0!</v>
      </c>
      <c r="AB119" s="37" t="e">
        <f t="shared" ca="1" si="212"/>
        <v>#DIV/0!</v>
      </c>
      <c r="AC119" s="37" t="e">
        <f t="shared" ca="1" si="212"/>
        <v>#DIV/0!</v>
      </c>
      <c r="AD119" s="37" t="e">
        <f t="shared" ca="1" si="212"/>
        <v>#DIV/0!</v>
      </c>
      <c r="AE119" s="37" t="e">
        <f t="shared" ca="1" si="212"/>
        <v>#DIV/0!</v>
      </c>
      <c r="AI119" s="3">
        <f t="shared" ref="AI119:AO119" si="214">AI117/AI118</f>
        <v>5.0250000000000004</v>
      </c>
      <c r="AJ119" s="3">
        <f t="shared" si="214"/>
        <v>5.0250000000000004</v>
      </c>
      <c r="AK119" s="3">
        <f t="shared" si="214"/>
        <v>5.0250000000000004</v>
      </c>
      <c r="AL119" s="3">
        <f t="shared" si="214"/>
        <v>5.0250000000000004</v>
      </c>
      <c r="AM119" s="3">
        <f t="shared" si="214"/>
        <v>5.0250000000000004</v>
      </c>
      <c r="AN119" s="3">
        <f t="shared" si="214"/>
        <v>5.0250000000000004</v>
      </c>
      <c r="AO119" s="3">
        <f t="shared" si="214"/>
        <v>5.0250000000000004</v>
      </c>
      <c r="AP119" s="3">
        <f t="shared" ref="AP119:CD119" si="215">AP117/AP118</f>
        <v>5.0250000000000004</v>
      </c>
      <c r="AQ119" s="3">
        <f t="shared" si="215"/>
        <v>5.0250000000000004</v>
      </c>
      <c r="AR119" s="3">
        <f t="shared" si="215"/>
        <v>5.0250000000000004</v>
      </c>
      <c r="AS119" s="3">
        <f t="shared" si="215"/>
        <v>5.0250000000000004</v>
      </c>
      <c r="AT119" s="3">
        <f t="shared" si="215"/>
        <v>5.0250000000000004</v>
      </c>
      <c r="AU119" s="3">
        <f t="shared" si="215"/>
        <v>5.0250000000000004</v>
      </c>
      <c r="AV119" s="3">
        <f t="shared" si="215"/>
        <v>5.0250000000000004</v>
      </c>
      <c r="AW119" s="3">
        <f t="shared" si="215"/>
        <v>5.0250000000000004</v>
      </c>
      <c r="AX119" s="3">
        <f t="shared" si="215"/>
        <v>5.0250000000000004</v>
      </c>
      <c r="AY119" s="3">
        <f t="shared" si="215"/>
        <v>5.0250000000000004</v>
      </c>
      <c r="AZ119" s="3">
        <f t="shared" si="215"/>
        <v>5.0250000000000004</v>
      </c>
      <c r="BA119" s="3">
        <f t="shared" si="215"/>
        <v>5.0250000000000004</v>
      </c>
      <c r="BB119" s="3">
        <f t="shared" si="215"/>
        <v>5.0250000000000004</v>
      </c>
      <c r="BC119" s="3">
        <f t="shared" si="215"/>
        <v>5.0250000000000004</v>
      </c>
      <c r="BD119" s="3">
        <f t="shared" si="215"/>
        <v>5.0250000000000004</v>
      </c>
      <c r="BE119" s="3">
        <f t="shared" si="215"/>
        <v>5.0250000000000004</v>
      </c>
      <c r="BF119" s="3">
        <f t="shared" si="215"/>
        <v>5.0250000000000004</v>
      </c>
      <c r="BG119" s="3">
        <f t="shared" si="215"/>
        <v>5.0250000000000004</v>
      </c>
      <c r="BH119" s="3">
        <f t="shared" si="215"/>
        <v>5.0250000000000004</v>
      </c>
      <c r="BI119" s="3">
        <f t="shared" si="215"/>
        <v>5.0250000000000004</v>
      </c>
      <c r="BJ119" s="3">
        <f t="shared" si="215"/>
        <v>5.0250000000000004</v>
      </c>
      <c r="BK119" s="3">
        <f t="shared" si="215"/>
        <v>5.0250000000000004</v>
      </c>
      <c r="BL119" s="3">
        <f t="shared" si="215"/>
        <v>5.0250000000000004</v>
      </c>
      <c r="BM119" s="3">
        <f t="shared" si="215"/>
        <v>5.0250000000000004</v>
      </c>
      <c r="BN119" s="3">
        <f t="shared" si="215"/>
        <v>5.0250000000000004</v>
      </c>
      <c r="BO119" s="3">
        <f t="shared" si="215"/>
        <v>5.0250000000000004</v>
      </c>
      <c r="BP119" s="3">
        <f t="shared" si="215"/>
        <v>5.0250000000000004</v>
      </c>
      <c r="BQ119" s="3">
        <f t="shared" si="215"/>
        <v>5.0250000000000004</v>
      </c>
      <c r="BR119" s="3">
        <f t="shared" si="215"/>
        <v>5.0250000000000004</v>
      </c>
      <c r="BS119" s="3">
        <f t="shared" si="215"/>
        <v>5.0250000000000004</v>
      </c>
      <c r="BT119" s="3">
        <f t="shared" si="215"/>
        <v>5.0250000000000004</v>
      </c>
      <c r="BU119" s="3">
        <f t="shared" si="215"/>
        <v>5.0250000000000004</v>
      </c>
      <c r="BV119" s="3">
        <f t="shared" si="215"/>
        <v>5.0250000000000004</v>
      </c>
      <c r="BW119" s="3">
        <f t="shared" si="215"/>
        <v>5.0250000000000004</v>
      </c>
      <c r="BX119" s="3">
        <f t="shared" si="215"/>
        <v>5.0250000000000004</v>
      </c>
      <c r="BY119" s="3">
        <f t="shared" si="215"/>
        <v>5.0250000000000004</v>
      </c>
      <c r="BZ119" s="3">
        <f t="shared" si="215"/>
        <v>5.0250000000000004</v>
      </c>
      <c r="CA119" s="3">
        <f t="shared" si="215"/>
        <v>5.0250000000000004</v>
      </c>
      <c r="CB119" s="3">
        <f t="shared" si="215"/>
        <v>5.0250000000000004</v>
      </c>
      <c r="CC119" s="3">
        <f t="shared" si="215"/>
        <v>5.0250000000000004</v>
      </c>
      <c r="CD119" s="3">
        <f t="shared" si="215"/>
        <v>5.0250000000000004</v>
      </c>
      <c r="CE119" s="3">
        <f t="shared" ref="CE119:CL119" si="216">CE117/CE118</f>
        <v>5.0250000000000004</v>
      </c>
      <c r="CF119" s="3">
        <f t="shared" si="216"/>
        <v>5.0250000000000004</v>
      </c>
      <c r="CG119" s="3">
        <f t="shared" si="216"/>
        <v>5.0250000000000004</v>
      </c>
      <c r="CH119" s="3">
        <f t="shared" si="216"/>
        <v>5.0250000000000004</v>
      </c>
      <c r="CI119" s="3">
        <f t="shared" si="216"/>
        <v>5.0250000000000004</v>
      </c>
      <c r="CJ119" s="3">
        <f t="shared" si="216"/>
        <v>5.0250000000000004</v>
      </c>
      <c r="CK119" s="3">
        <f t="shared" si="216"/>
        <v>5.0250000000000004</v>
      </c>
      <c r="CL119" s="3">
        <f t="shared" si="216"/>
        <v>5.0250000000000004</v>
      </c>
      <c r="CM119" s="37">
        <f t="shared" ref="CM119:DB119" si="217">CM117/CM118</f>
        <v>5.0250000000000004</v>
      </c>
      <c r="CN119" s="37">
        <f t="shared" si="217"/>
        <v>5.0250000000000004</v>
      </c>
      <c r="CO119" s="37">
        <f t="shared" si="217"/>
        <v>5.0250000000000004</v>
      </c>
      <c r="CP119" s="37">
        <f t="shared" si="217"/>
        <v>5.0250000000000004</v>
      </c>
      <c r="CQ119" s="37">
        <f t="shared" si="217"/>
        <v>5.0250000000000004</v>
      </c>
      <c r="CR119" s="37">
        <f t="shared" si="217"/>
        <v>5.0250000000000004</v>
      </c>
      <c r="CS119" s="37">
        <f t="shared" si="217"/>
        <v>5.0250000000000004</v>
      </c>
      <c r="CT119" s="37">
        <f t="shared" si="217"/>
        <v>5.0250000000000004</v>
      </c>
      <c r="CU119" s="37">
        <f t="shared" si="217"/>
        <v>5.0250000000000004</v>
      </c>
      <c r="CV119" s="37">
        <f t="shared" si="217"/>
        <v>5.0250000000000004</v>
      </c>
      <c r="CW119" s="37">
        <f t="shared" si="217"/>
        <v>5.0250000000000004</v>
      </c>
      <c r="CX119" s="37">
        <f t="shared" si="217"/>
        <v>5.0250000000000004</v>
      </c>
      <c r="CY119" s="37">
        <f t="shared" si="217"/>
        <v>5.0250000000000004</v>
      </c>
      <c r="CZ119" s="37">
        <f t="shared" si="217"/>
        <v>5.0250000000000004</v>
      </c>
      <c r="DA119" s="37">
        <f t="shared" si="217"/>
        <v>5.0250000000000004</v>
      </c>
      <c r="DB119" s="37">
        <f t="shared" si="217"/>
        <v>5.0250000000000004</v>
      </c>
      <c r="DE119" s="134"/>
      <c r="DF119" s="3">
        <v>5.0250000000000004</v>
      </c>
    </row>
    <row r="120" spans="1:110" s="53" customFormat="1" x14ac:dyDescent="0.2">
      <c r="A120" s="53" t="s">
        <v>29</v>
      </c>
      <c r="B120" s="53">
        <f t="shared" ref="B120:AE120" si="218">(B102-B101)/B119</f>
        <v>4.5440538090399709</v>
      </c>
      <c r="C120" s="53">
        <f t="shared" si="218"/>
        <v>2.800269592781675</v>
      </c>
      <c r="D120" s="53">
        <f t="shared" si="218"/>
        <v>4.6048572940940211</v>
      </c>
      <c r="E120" s="53" t="e">
        <f t="shared" ca="1" si="218"/>
        <v>#DIV/0!</v>
      </c>
      <c r="F120" s="53" t="e">
        <f t="shared" ca="1" si="218"/>
        <v>#DIV/0!</v>
      </c>
      <c r="G120" s="53" t="e">
        <f t="shared" ca="1" si="218"/>
        <v>#DIV/0!</v>
      </c>
      <c r="H120" s="53" t="e">
        <f t="shared" ca="1" si="218"/>
        <v>#DIV/0!</v>
      </c>
      <c r="I120" s="53" t="e">
        <f t="shared" ca="1" si="218"/>
        <v>#DIV/0!</v>
      </c>
      <c r="J120" s="53" t="e">
        <f t="shared" ca="1" si="218"/>
        <v>#DIV/0!</v>
      </c>
      <c r="K120" s="53" t="e">
        <f t="shared" ca="1" si="218"/>
        <v>#DIV/0!</v>
      </c>
      <c r="L120" s="53" t="e">
        <f t="shared" ca="1" si="218"/>
        <v>#DIV/0!</v>
      </c>
      <c r="M120" s="53" t="e">
        <f t="shared" ca="1" si="218"/>
        <v>#DIV/0!</v>
      </c>
      <c r="N120" s="53" t="e">
        <f t="shared" ca="1" si="218"/>
        <v>#DIV/0!</v>
      </c>
      <c r="O120" s="53" t="e">
        <f t="shared" ca="1" si="218"/>
        <v>#DIV/0!</v>
      </c>
      <c r="P120" s="53" t="e">
        <f t="shared" ca="1" si="218"/>
        <v>#DIV/0!</v>
      </c>
      <c r="Q120" s="53" t="e">
        <f t="shared" ca="1" si="218"/>
        <v>#DIV/0!</v>
      </c>
      <c r="R120" s="53" t="e">
        <f t="shared" ca="1" si="218"/>
        <v>#DIV/0!</v>
      </c>
      <c r="S120" s="53" t="e">
        <f t="shared" ca="1" si="218"/>
        <v>#DIV/0!</v>
      </c>
      <c r="T120" s="53" t="e">
        <f t="shared" ca="1" si="218"/>
        <v>#DIV/0!</v>
      </c>
      <c r="U120" s="53" t="e">
        <f t="shared" ca="1" si="218"/>
        <v>#DIV/0!</v>
      </c>
      <c r="V120" s="53" t="e">
        <f t="shared" ca="1" si="218"/>
        <v>#DIV/0!</v>
      </c>
      <c r="W120" s="53" t="e">
        <f t="shared" ca="1" si="218"/>
        <v>#DIV/0!</v>
      </c>
      <c r="X120" s="53" t="e">
        <f t="shared" ca="1" si="218"/>
        <v>#DIV/0!</v>
      </c>
      <c r="Y120" s="53" t="e">
        <f t="shared" ca="1" si="218"/>
        <v>#DIV/0!</v>
      </c>
      <c r="Z120" s="53" t="e">
        <f t="shared" ca="1" si="218"/>
        <v>#DIV/0!</v>
      </c>
      <c r="AA120" s="53" t="e">
        <f t="shared" ref="AA120" ca="1" si="219">(AA102-AA101)/AA119</f>
        <v>#DIV/0!</v>
      </c>
      <c r="AB120" s="54" t="e">
        <f t="shared" ca="1" si="218"/>
        <v>#DIV/0!</v>
      </c>
      <c r="AC120" s="54" t="e">
        <f t="shared" ca="1" si="218"/>
        <v>#DIV/0!</v>
      </c>
      <c r="AD120" s="54" t="e">
        <f t="shared" ca="1" si="218"/>
        <v>#DIV/0!</v>
      </c>
      <c r="AE120" s="54" t="e">
        <f t="shared" ca="1" si="218"/>
        <v>#DIV/0!</v>
      </c>
      <c r="AI120" s="53">
        <f t="shared" ref="AI120:BN120" si="220">(AI102-AI101)/AI119</f>
        <v>1.9442786069651654</v>
      </c>
      <c r="AJ120" s="53">
        <f t="shared" si="220"/>
        <v>3.6000000000000076</v>
      </c>
      <c r="AK120" s="53">
        <f t="shared" si="220"/>
        <v>2.202985074626862</v>
      </c>
      <c r="AL120" s="53">
        <f t="shared" si="220"/>
        <v>2.5512437810945285</v>
      </c>
      <c r="AM120" s="53">
        <f t="shared" si="220"/>
        <v>1.2000000000000082</v>
      </c>
      <c r="AN120" s="53">
        <f t="shared" si="220"/>
        <v>2.4358208955223759</v>
      </c>
      <c r="AO120" s="53">
        <f t="shared" si="220"/>
        <v>2.4179104477611957</v>
      </c>
      <c r="AP120" s="53">
        <f t="shared" si="220"/>
        <v>2.0656716417910519</v>
      </c>
      <c r="AQ120" s="53">
        <f t="shared" si="220"/>
        <v>2.2567164179104502</v>
      </c>
      <c r="AR120" s="53">
        <f t="shared" si="220"/>
        <v>2.3820895522388081</v>
      </c>
      <c r="AS120" s="53">
        <f t="shared" si="220"/>
        <v>2.74029850746268</v>
      </c>
      <c r="AT120" s="53">
        <f t="shared" si="220"/>
        <v>2.953233830845774</v>
      </c>
      <c r="AU120" s="53">
        <f t="shared" si="220"/>
        <v>3.4228855721393008</v>
      </c>
      <c r="AV120" s="53">
        <f t="shared" si="220"/>
        <v>3.7114427860696568</v>
      </c>
      <c r="AW120" s="53">
        <f t="shared" si="220"/>
        <v>3.0945273631840924</v>
      </c>
      <c r="AX120" s="53">
        <f t="shared" si="220"/>
        <v>5.172139303482588</v>
      </c>
      <c r="AY120" s="53">
        <f t="shared" si="220"/>
        <v>3.0407960199005095</v>
      </c>
      <c r="AZ120" s="53">
        <f t="shared" si="220"/>
        <v>3.0746268656716462</v>
      </c>
      <c r="BA120" s="53">
        <f t="shared" si="220"/>
        <v>0.89552238805970608</v>
      </c>
      <c r="BB120" s="53">
        <f t="shared" si="220"/>
        <v>3.9024875621890454</v>
      </c>
      <c r="BC120" s="53">
        <f t="shared" si="220"/>
        <v>0.24278606965174446</v>
      </c>
      <c r="BD120" s="53">
        <f t="shared" si="220"/>
        <v>8.3582089552232064E-2</v>
      </c>
      <c r="BE120" s="53">
        <f t="shared" si="220"/>
        <v>0.74825870646765325</v>
      </c>
      <c r="BF120" s="53">
        <f t="shared" si="220"/>
        <v>4.9850746268656705</v>
      </c>
      <c r="BG120" s="53">
        <f t="shared" si="220"/>
        <v>0.81393034825870159</v>
      </c>
      <c r="BH120" s="53">
        <f t="shared" si="220"/>
        <v>1.8228855721393111</v>
      </c>
      <c r="BI120" s="53">
        <f t="shared" si="220"/>
        <v>-0.14726368159204442</v>
      </c>
      <c r="BJ120" s="53">
        <f t="shared" si="220"/>
        <v>0.1432835820895513</v>
      </c>
      <c r="BK120" s="53">
        <f t="shared" si="220"/>
        <v>0.22686567164178675</v>
      </c>
      <c r="BL120" s="53">
        <f t="shared" si="220"/>
        <v>0.61890547263681828</v>
      </c>
      <c r="BM120" s="53">
        <f t="shared" si="220"/>
        <v>1.1024875621890495</v>
      </c>
      <c r="BN120" s="53">
        <f t="shared" si="220"/>
        <v>0.69452736318407593</v>
      </c>
      <c r="BO120" s="53">
        <f t="shared" ref="BO120:CT120" si="221">(BO102-BO101)/BO119</f>
        <v>-6.4716417910447808</v>
      </c>
      <c r="BP120" s="53">
        <f t="shared" si="221"/>
        <v>-0.84378109452736205</v>
      </c>
      <c r="BQ120" s="53">
        <f t="shared" si="221"/>
        <v>1.4786069651741316</v>
      </c>
      <c r="BR120" s="53">
        <f t="shared" si="221"/>
        <v>6.674626865671641</v>
      </c>
      <c r="BS120" s="53">
        <f t="shared" si="221"/>
        <v>2.5651741293532329</v>
      </c>
      <c r="BT120" s="53">
        <f t="shared" si="221"/>
        <v>5.9442786069651579</v>
      </c>
      <c r="BU120" s="53">
        <f t="shared" si="221"/>
        <v>8.7044776119403</v>
      </c>
      <c r="BV120" s="53">
        <f t="shared" si="221"/>
        <v>13.221890547263698</v>
      </c>
      <c r="BW120" s="53">
        <f t="shared" si="221"/>
        <v>10.453731343283579</v>
      </c>
      <c r="BX120" s="53">
        <f t="shared" si="221"/>
        <v>6.6746268656716454</v>
      </c>
      <c r="BY120" s="53">
        <f t="shared" si="221"/>
        <v>4.4497512437810967</v>
      </c>
      <c r="BZ120" s="53">
        <f t="shared" si="221"/>
        <v>9.5243781094527336</v>
      </c>
      <c r="CA120" s="53">
        <f t="shared" si="221"/>
        <v>2.8716417910447807</v>
      </c>
      <c r="CB120" s="53">
        <f t="shared" si="221"/>
        <v>2.4358208955223821</v>
      </c>
      <c r="CC120" s="53">
        <f t="shared" si="221"/>
        <v>1.0885572139303537</v>
      </c>
      <c r="CD120" s="53">
        <f t="shared" si="221"/>
        <v>3.0487562189054653</v>
      </c>
      <c r="CE120" s="53">
        <f t="shared" si="221"/>
        <v>3.1721393034825849</v>
      </c>
      <c r="CF120" s="53">
        <f t="shared" si="221"/>
        <v>1.4348258706467767</v>
      </c>
      <c r="CG120" s="53">
        <f t="shared" si="221"/>
        <v>0.81791044776118338</v>
      </c>
      <c r="CH120" s="53">
        <f t="shared" si="221"/>
        <v>2.2248756218905448</v>
      </c>
      <c r="CI120" s="53">
        <f t="shared" si="221"/>
        <v>0.75422885572139764</v>
      </c>
      <c r="CJ120" s="53">
        <f t="shared" si="221"/>
        <v>4.9333333333333123</v>
      </c>
      <c r="CK120" s="53">
        <f>(CK102-CK101)/CK119</f>
        <v>5.1999999999999984</v>
      </c>
      <c r="CL120" s="53">
        <f>(CL102-CL101)/CL119</f>
        <v>6.8716417910447589</v>
      </c>
      <c r="CM120" s="54">
        <f t="shared" si="221"/>
        <v>7.1641296652438298</v>
      </c>
      <c r="CN120" s="54">
        <f t="shared" si="221"/>
        <v>8.1762693280477166</v>
      </c>
      <c r="CO120" s="54">
        <f t="shared" si="221"/>
        <v>9.1959418108194342</v>
      </c>
      <c r="CP120" s="54">
        <f t="shared" si="221"/>
        <v>9.8050514015556072</v>
      </c>
      <c r="CQ120" s="54">
        <f t="shared" si="221"/>
        <v>9.8840733580994939</v>
      </c>
      <c r="CR120" s="54">
        <f t="shared" si="221"/>
        <v>11.03730254552484</v>
      </c>
      <c r="CS120" s="54">
        <f t="shared" si="221"/>
        <v>12.010948204248255</v>
      </c>
      <c r="CT120" s="54">
        <f t="shared" si="221"/>
        <v>12.863471445576941</v>
      </c>
      <c r="CU120" s="54">
        <f t="shared" ref="CU120:DB120" si="222">(CU102-CU101)/CU119</f>
        <v>12.730159356740625</v>
      </c>
      <c r="CV120" s="54">
        <f t="shared" si="222"/>
        <v>13.403418285150163</v>
      </c>
      <c r="CW120" s="54">
        <f t="shared" si="222"/>
        <v>13.984218263569176</v>
      </c>
      <c r="CX120" s="54">
        <f t="shared" si="222"/>
        <v>14.481011579216014</v>
      </c>
      <c r="CY120" s="54">
        <f t="shared" si="222"/>
        <v>14.906852799574628</v>
      </c>
      <c r="CZ120" s="54">
        <f t="shared" si="222"/>
        <v>15.470626486816689</v>
      </c>
      <c r="DA120" s="54">
        <f t="shared" si="222"/>
        <v>16.007155973224041</v>
      </c>
      <c r="DB120" s="54">
        <f t="shared" si="222"/>
        <v>16.532800970586017</v>
      </c>
      <c r="DE120" s="132"/>
      <c r="DF120" s="53">
        <v>3.5053822521244107</v>
      </c>
    </row>
    <row r="121" spans="1:110" s="3" customFormat="1" x14ac:dyDescent="0.2">
      <c r="A121" s="3" t="s">
        <v>30</v>
      </c>
      <c r="B121" s="3">
        <f>'Annual Raw'!C110</f>
        <v>0.86206896551724099</v>
      </c>
      <c r="C121" s="3">
        <f>'Annual Raw'!D110</f>
        <v>0</v>
      </c>
      <c r="D121" s="3">
        <f>'Annual Raw'!E110</f>
        <v>0.68965517241379304</v>
      </c>
      <c r="E121" s="3">
        <f>'Annual Raw'!F110</f>
        <v>0.8</v>
      </c>
      <c r="F121" s="3">
        <f>'Annual Raw'!G110</f>
        <v>1.1000000000000001</v>
      </c>
      <c r="G121" s="3">
        <f>'Annual Raw'!H110</f>
        <v>1.5</v>
      </c>
      <c r="H121" s="3">
        <f>'Annual Raw'!I110</f>
        <v>1</v>
      </c>
      <c r="I121" s="3">
        <f>'Annual Raw'!J110</f>
        <v>0</v>
      </c>
      <c r="J121" s="3">
        <f>'Annual Raw'!K110</f>
        <v>0</v>
      </c>
      <c r="K121" s="3">
        <f>'Annual Raw'!L110</f>
        <v>1</v>
      </c>
      <c r="L121" s="3">
        <f>'Annual Raw'!M110</f>
        <v>1.5</v>
      </c>
      <c r="M121" s="3">
        <f>'Annual Raw'!N110</f>
        <v>1</v>
      </c>
      <c r="N121" s="3">
        <f>'Annual Raw'!O110</f>
        <v>1.2</v>
      </c>
      <c r="O121" s="3">
        <f>'Annual Raw'!P110</f>
        <v>1.5</v>
      </c>
      <c r="P121" s="3">
        <f>'Annual Raw'!Q110</f>
        <v>2</v>
      </c>
      <c r="Q121" s="3">
        <f>'Annual Raw'!R110</f>
        <v>2</v>
      </c>
      <c r="R121" s="3">
        <f>'Annual Raw'!S110</f>
        <v>2</v>
      </c>
      <c r="S121" s="3">
        <f>'Annual Raw'!T110</f>
        <v>1</v>
      </c>
      <c r="T121" s="3">
        <f>'Annual Raw'!U110</f>
        <v>1</v>
      </c>
      <c r="U121" s="3">
        <f>'Annual Raw'!V110</f>
        <v>1</v>
      </c>
      <c r="V121" s="3">
        <f>'Annual Raw'!W110</f>
        <v>1</v>
      </c>
      <c r="W121" s="3">
        <f>'Annual Raw'!X110</f>
        <v>2</v>
      </c>
      <c r="X121" s="3">
        <f>'Annual Raw'!Y110</f>
        <v>2</v>
      </c>
      <c r="Y121" s="3">
        <f>'Annual Raw'!Z110</f>
        <v>2</v>
      </c>
      <c r="Z121" s="3">
        <f>'Annual Raw'!AA110</f>
        <v>2</v>
      </c>
      <c r="AA121" s="3">
        <f>'Annual Raw'!AB110</f>
        <v>2</v>
      </c>
      <c r="AB121" s="37"/>
      <c r="AC121" s="37"/>
      <c r="AD121" s="37"/>
      <c r="AE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E121" s="134"/>
    </row>
    <row r="122" spans="1:110" s="3" customFormat="1" x14ac:dyDescent="0.2">
      <c r="A122" s="3" t="s">
        <v>31</v>
      </c>
      <c r="B122" s="3">
        <f>B121/B120</f>
        <v>0.18971363494909221</v>
      </c>
      <c r="C122" s="3">
        <f t="shared" ref="C122:U122" si="223">C121/C120</f>
        <v>0</v>
      </c>
      <c r="D122" s="3">
        <f t="shared" si="223"/>
        <v>0.14976689360130946</v>
      </c>
      <c r="E122" s="3" t="e">
        <f t="shared" ca="1" si="223"/>
        <v>#DIV/0!</v>
      </c>
      <c r="F122" s="3" t="e">
        <f t="shared" ca="1" si="223"/>
        <v>#DIV/0!</v>
      </c>
      <c r="G122" s="3" t="e">
        <f t="shared" ca="1" si="223"/>
        <v>#DIV/0!</v>
      </c>
      <c r="H122" s="3" t="e">
        <f t="shared" ca="1" si="223"/>
        <v>#DIV/0!</v>
      </c>
      <c r="I122" s="3" t="e">
        <f t="shared" ca="1" si="223"/>
        <v>#DIV/0!</v>
      </c>
      <c r="J122" s="3" t="e">
        <f t="shared" ca="1" si="223"/>
        <v>#DIV/0!</v>
      </c>
      <c r="K122" s="3" t="e">
        <f t="shared" ca="1" si="223"/>
        <v>#DIV/0!</v>
      </c>
      <c r="L122" s="3" t="e">
        <f t="shared" ca="1" si="223"/>
        <v>#DIV/0!</v>
      </c>
      <c r="M122" s="3" t="e">
        <f t="shared" ca="1" si="223"/>
        <v>#DIV/0!</v>
      </c>
      <c r="N122" s="3" t="e">
        <f t="shared" ca="1" si="223"/>
        <v>#DIV/0!</v>
      </c>
      <c r="O122" s="3" t="e">
        <f t="shared" ca="1" si="223"/>
        <v>#DIV/0!</v>
      </c>
      <c r="P122" s="3" t="e">
        <f t="shared" ca="1" si="223"/>
        <v>#DIV/0!</v>
      </c>
      <c r="Q122" s="3" t="e">
        <f t="shared" ca="1" si="223"/>
        <v>#DIV/0!</v>
      </c>
      <c r="R122" s="3" t="e">
        <f t="shared" ca="1" si="223"/>
        <v>#DIV/0!</v>
      </c>
      <c r="S122" s="3" t="e">
        <f t="shared" ca="1" si="223"/>
        <v>#DIV/0!</v>
      </c>
      <c r="T122" s="3" t="e">
        <f t="shared" ca="1" si="223"/>
        <v>#DIV/0!</v>
      </c>
      <c r="U122" s="3" t="e">
        <f t="shared" ca="1" si="223"/>
        <v>#DIV/0!</v>
      </c>
      <c r="V122" s="3" t="e">
        <f t="shared" ref="V122:AE122" ca="1" si="224">V121/V120</f>
        <v>#DIV/0!</v>
      </c>
      <c r="W122" s="3" t="e">
        <f t="shared" ca="1" si="224"/>
        <v>#DIV/0!</v>
      </c>
      <c r="X122" s="3" t="e">
        <f t="shared" ca="1" si="224"/>
        <v>#DIV/0!</v>
      </c>
      <c r="Y122" s="3" t="e">
        <f t="shared" ca="1" si="224"/>
        <v>#DIV/0!</v>
      </c>
      <c r="Z122" s="3" t="e">
        <f t="shared" ca="1" si="224"/>
        <v>#DIV/0!</v>
      </c>
      <c r="AA122" s="3" t="e">
        <f t="shared" ref="AA122" ca="1" si="225">AA121/AA120</f>
        <v>#DIV/0!</v>
      </c>
      <c r="AB122" s="37" t="e">
        <f t="shared" ca="1" si="224"/>
        <v>#DIV/0!</v>
      </c>
      <c r="AC122" s="37" t="e">
        <f t="shared" ca="1" si="224"/>
        <v>#DIV/0!</v>
      </c>
      <c r="AD122" s="37" t="e">
        <f t="shared" ca="1" si="224"/>
        <v>#DIV/0!</v>
      </c>
      <c r="AE122" s="37" t="e">
        <f t="shared" ca="1" si="224"/>
        <v>#DIV/0!</v>
      </c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E122" s="134"/>
      <c r="DF122" s="3">
        <v>0</v>
      </c>
    </row>
    <row r="123" spans="1:110" s="3" customFormat="1" x14ac:dyDescent="0.2">
      <c r="A123" s="3" t="s">
        <v>32</v>
      </c>
      <c r="B123" s="3">
        <f>+B120</f>
        <v>4.5440538090399709</v>
      </c>
      <c r="C123" s="3">
        <f t="shared" ref="C123:U123" si="226">+C120</f>
        <v>2.800269592781675</v>
      </c>
      <c r="D123" s="3">
        <f t="shared" si="226"/>
        <v>4.6048572940940211</v>
      </c>
      <c r="E123" s="3" t="e">
        <f t="shared" ca="1" si="226"/>
        <v>#DIV/0!</v>
      </c>
      <c r="F123" s="3" t="e">
        <f t="shared" ca="1" si="226"/>
        <v>#DIV/0!</v>
      </c>
      <c r="G123" s="3" t="e">
        <f t="shared" ca="1" si="226"/>
        <v>#DIV/0!</v>
      </c>
      <c r="H123" s="3" t="e">
        <f t="shared" ca="1" si="226"/>
        <v>#DIV/0!</v>
      </c>
      <c r="I123" s="3" t="e">
        <f t="shared" ca="1" si="226"/>
        <v>#DIV/0!</v>
      </c>
      <c r="J123" s="3" t="e">
        <f t="shared" ca="1" si="226"/>
        <v>#DIV/0!</v>
      </c>
      <c r="K123" s="3" t="e">
        <f t="shared" ca="1" si="226"/>
        <v>#DIV/0!</v>
      </c>
      <c r="L123" s="3" t="e">
        <f t="shared" ca="1" si="226"/>
        <v>#DIV/0!</v>
      </c>
      <c r="M123" s="3" t="e">
        <f t="shared" ca="1" si="226"/>
        <v>#DIV/0!</v>
      </c>
      <c r="N123" s="3" t="e">
        <f t="shared" ca="1" si="226"/>
        <v>#DIV/0!</v>
      </c>
      <c r="O123" s="3" t="e">
        <f t="shared" ca="1" si="226"/>
        <v>#DIV/0!</v>
      </c>
      <c r="P123" s="3" t="e">
        <f t="shared" ca="1" si="226"/>
        <v>#DIV/0!</v>
      </c>
      <c r="Q123" s="3" t="e">
        <f t="shared" ca="1" si="226"/>
        <v>#DIV/0!</v>
      </c>
      <c r="R123" s="3" t="e">
        <f t="shared" ca="1" si="226"/>
        <v>#DIV/0!</v>
      </c>
      <c r="S123" s="3" t="e">
        <f t="shared" ca="1" si="226"/>
        <v>#DIV/0!</v>
      </c>
      <c r="T123" s="3" t="e">
        <f ca="1">+T120</f>
        <v>#DIV/0!</v>
      </c>
      <c r="U123" s="3" t="e">
        <f t="shared" ca="1" si="226"/>
        <v>#DIV/0!</v>
      </c>
      <c r="V123" s="3" t="e">
        <f t="shared" ref="V123:AE123" ca="1" si="227">+V120</f>
        <v>#DIV/0!</v>
      </c>
      <c r="W123" s="3" t="e">
        <f t="shared" ca="1" si="227"/>
        <v>#DIV/0!</v>
      </c>
      <c r="X123" s="3" t="e">
        <f t="shared" ca="1" si="227"/>
        <v>#DIV/0!</v>
      </c>
      <c r="Y123" s="3" t="e">
        <f t="shared" ca="1" si="227"/>
        <v>#DIV/0!</v>
      </c>
      <c r="Z123" s="3" t="e">
        <f t="shared" ca="1" si="227"/>
        <v>#DIV/0!</v>
      </c>
      <c r="AA123" s="3" t="e">
        <f t="shared" ref="AA123" ca="1" si="228">+AA120</f>
        <v>#DIV/0!</v>
      </c>
      <c r="AB123" s="37" t="e">
        <f t="shared" ca="1" si="227"/>
        <v>#DIV/0!</v>
      </c>
      <c r="AC123" s="37" t="e">
        <f t="shared" ca="1" si="227"/>
        <v>#DIV/0!</v>
      </c>
      <c r="AD123" s="37" t="e">
        <f t="shared" ca="1" si="227"/>
        <v>#DIV/0!</v>
      </c>
      <c r="AE123" s="37" t="e">
        <f t="shared" ca="1" si="227"/>
        <v>#DIV/0!</v>
      </c>
      <c r="AL123" s="3">
        <f t="shared" ref="AL123:BQ123" si="229">SUM(AI120:AL120)</f>
        <v>10.298507462686564</v>
      </c>
      <c r="AM123" s="3">
        <f t="shared" si="229"/>
        <v>9.5542288557214068</v>
      </c>
      <c r="AN123" s="3">
        <f t="shared" si="229"/>
        <v>8.3900497512437742</v>
      </c>
      <c r="AO123" s="3">
        <f t="shared" si="229"/>
        <v>8.6049751243781092</v>
      </c>
      <c r="AP123" s="3">
        <f t="shared" si="229"/>
        <v>8.1194029850746325</v>
      </c>
      <c r="AQ123" s="3">
        <f t="shared" si="229"/>
        <v>9.1761194029850746</v>
      </c>
      <c r="AR123" s="3">
        <f t="shared" si="229"/>
        <v>9.1223880597015068</v>
      </c>
      <c r="AS123" s="3">
        <f t="shared" si="229"/>
        <v>9.4447761194029916</v>
      </c>
      <c r="AT123" s="3">
        <f t="shared" si="229"/>
        <v>10.332338308457713</v>
      </c>
      <c r="AU123" s="3">
        <f t="shared" si="229"/>
        <v>11.498507462686563</v>
      </c>
      <c r="AV123" s="3">
        <f t="shared" si="229"/>
        <v>12.827860696517412</v>
      </c>
      <c r="AW123" s="3">
        <f t="shared" si="229"/>
        <v>13.182089552238823</v>
      </c>
      <c r="AX123" s="3">
        <f t="shared" si="229"/>
        <v>15.400995024875638</v>
      </c>
      <c r="AY123" s="3">
        <f t="shared" si="229"/>
        <v>15.018905472636847</v>
      </c>
      <c r="AZ123" s="3">
        <f t="shared" si="229"/>
        <v>14.382089552238837</v>
      </c>
      <c r="BA123" s="3">
        <f t="shared" si="229"/>
        <v>12.183084577114451</v>
      </c>
      <c r="BB123" s="3">
        <f t="shared" si="229"/>
        <v>10.913432835820906</v>
      </c>
      <c r="BC123" s="3">
        <f t="shared" si="229"/>
        <v>8.1154228855721424</v>
      </c>
      <c r="BD123" s="3">
        <f t="shared" si="229"/>
        <v>5.1243781094527279</v>
      </c>
      <c r="BE123" s="3">
        <f t="shared" si="229"/>
        <v>4.9771144278606751</v>
      </c>
      <c r="BF123" s="3">
        <f t="shared" si="229"/>
        <v>6.0597014925373003</v>
      </c>
      <c r="BG123" s="3">
        <f t="shared" si="229"/>
        <v>6.6308457711442577</v>
      </c>
      <c r="BH123" s="3">
        <f t="shared" si="229"/>
        <v>8.370149253731336</v>
      </c>
      <c r="BI123" s="3">
        <f t="shared" si="229"/>
        <v>7.474626865671639</v>
      </c>
      <c r="BJ123" s="3">
        <f t="shared" si="229"/>
        <v>2.63283582089552</v>
      </c>
      <c r="BK123" s="3">
        <f t="shared" si="229"/>
        <v>2.0457711442786048</v>
      </c>
      <c r="BL123" s="3">
        <f t="shared" si="229"/>
        <v>0.84179104477611189</v>
      </c>
      <c r="BM123" s="3">
        <f t="shared" si="229"/>
        <v>2.0915422885572061</v>
      </c>
      <c r="BN123" s="3">
        <f t="shared" si="229"/>
        <v>2.6427860696517307</v>
      </c>
      <c r="BO123" s="3">
        <f t="shared" si="229"/>
        <v>-4.0557213930348368</v>
      </c>
      <c r="BP123" s="3">
        <f t="shared" si="229"/>
        <v>-5.518407960199017</v>
      </c>
      <c r="BQ123" s="3">
        <f t="shared" si="229"/>
        <v>-5.1422885572139352</v>
      </c>
      <c r="BR123" s="3">
        <f t="shared" ref="BR123:CW123" si="230">SUM(BO120:BR120)</f>
        <v>0.8378109452736302</v>
      </c>
      <c r="BS123" s="3">
        <f t="shared" si="230"/>
        <v>9.8746268656716438</v>
      </c>
      <c r="BT123" s="3">
        <f t="shared" si="230"/>
        <v>16.662686567164165</v>
      </c>
      <c r="BU123" s="3">
        <f t="shared" si="230"/>
        <v>23.888557213930333</v>
      </c>
      <c r="BV123" s="3">
        <f t="shared" si="230"/>
        <v>30.43582089552239</v>
      </c>
      <c r="BW123" s="3">
        <f t="shared" si="230"/>
        <v>38.324378109452738</v>
      </c>
      <c r="BX123" s="3">
        <f t="shared" si="230"/>
        <v>39.054726368159223</v>
      </c>
      <c r="BY123" s="3">
        <f t="shared" si="230"/>
        <v>34.800000000000018</v>
      </c>
      <c r="BZ123" s="3">
        <f t="shared" si="230"/>
        <v>31.102487562189054</v>
      </c>
      <c r="CA123" s="3">
        <f t="shared" si="230"/>
        <v>23.520398009950256</v>
      </c>
      <c r="CB123" s="3">
        <f t="shared" si="230"/>
        <v>19.281592039800994</v>
      </c>
      <c r="CC123" s="3">
        <f t="shared" si="230"/>
        <v>15.920398009950251</v>
      </c>
      <c r="CD123" s="3">
        <f t="shared" si="230"/>
        <v>9.4447761194029827</v>
      </c>
      <c r="CE123" s="3">
        <f t="shared" si="230"/>
        <v>9.7452736318407851</v>
      </c>
      <c r="CF123" s="3">
        <f t="shared" si="230"/>
        <v>8.7442786069651799</v>
      </c>
      <c r="CG123" s="3">
        <f t="shared" si="230"/>
        <v>8.4736318407960098</v>
      </c>
      <c r="CH123" s="3">
        <f t="shared" si="230"/>
        <v>7.6497512437810897</v>
      </c>
      <c r="CI123" s="3">
        <f t="shared" si="230"/>
        <v>5.2318407960199025</v>
      </c>
      <c r="CJ123" s="3">
        <f t="shared" si="230"/>
        <v>8.7303482587064387</v>
      </c>
      <c r="CK123" s="3">
        <f t="shared" si="230"/>
        <v>13.112437810945252</v>
      </c>
      <c r="CL123" s="3">
        <f t="shared" si="230"/>
        <v>17.759203980099468</v>
      </c>
      <c r="CM123" s="37">
        <f t="shared" si="230"/>
        <v>24.169104789621901</v>
      </c>
      <c r="CN123" s="37">
        <f t="shared" si="230"/>
        <v>27.412040784336305</v>
      </c>
      <c r="CO123" s="37">
        <f t="shared" si="230"/>
        <v>31.40798259515574</v>
      </c>
      <c r="CP123" s="37">
        <f t="shared" si="230"/>
        <v>34.341392205666587</v>
      </c>
      <c r="CQ123" s="37">
        <f t="shared" si="230"/>
        <v>37.061335898522252</v>
      </c>
      <c r="CR123" s="37">
        <f t="shared" si="230"/>
        <v>39.922369115999373</v>
      </c>
      <c r="CS123" s="37">
        <f t="shared" si="230"/>
        <v>42.73737550942819</v>
      </c>
      <c r="CT123" s="37">
        <f t="shared" si="230"/>
        <v>45.79579555344953</v>
      </c>
      <c r="CU123" s="37">
        <f t="shared" si="230"/>
        <v>48.641881552090666</v>
      </c>
      <c r="CV123" s="37">
        <f t="shared" si="230"/>
        <v>51.007997291715981</v>
      </c>
      <c r="CW123" s="37">
        <f t="shared" si="230"/>
        <v>52.981267351036905</v>
      </c>
      <c r="CX123" s="37">
        <f t="shared" ref="CX123:DB123" si="231">SUM(CU120:CX120)</f>
        <v>54.59880748467598</v>
      </c>
      <c r="CY123" s="37">
        <f t="shared" si="231"/>
        <v>56.775500927509981</v>
      </c>
      <c r="CZ123" s="37">
        <f t="shared" si="231"/>
        <v>58.842709129176512</v>
      </c>
      <c r="DA123" s="37">
        <f t="shared" si="231"/>
        <v>60.865646838831367</v>
      </c>
      <c r="DB123" s="37">
        <f t="shared" si="231"/>
        <v>62.917436230201375</v>
      </c>
      <c r="DE123" s="134"/>
      <c r="DF123" s="3">
        <v>14.392944441179102</v>
      </c>
    </row>
    <row r="124" spans="1:110" s="97" customFormat="1" x14ac:dyDescent="0.2">
      <c r="A124" s="97" t="s">
        <v>424</v>
      </c>
      <c r="C124" s="101">
        <f t="shared" ref="C124:AA124" si="232">+C123/B123-1</f>
        <v>-0.38375078499052984</v>
      </c>
      <c r="D124" s="101">
        <f t="shared" si="232"/>
        <v>0.64443355952729586</v>
      </c>
      <c r="E124" s="101" t="e">
        <f t="shared" ca="1" si="232"/>
        <v>#DIV/0!</v>
      </c>
      <c r="F124" s="101" t="e">
        <f t="shared" ca="1" si="232"/>
        <v>#DIV/0!</v>
      </c>
      <c r="G124" s="101" t="e">
        <f t="shared" ca="1" si="232"/>
        <v>#DIV/0!</v>
      </c>
      <c r="H124" s="101" t="e">
        <f t="shared" ca="1" si="232"/>
        <v>#DIV/0!</v>
      </c>
      <c r="I124" s="101" t="e">
        <f t="shared" ca="1" si="232"/>
        <v>#DIV/0!</v>
      </c>
      <c r="J124" s="101" t="e">
        <f t="shared" ca="1" si="232"/>
        <v>#DIV/0!</v>
      </c>
      <c r="K124" s="101" t="e">
        <f t="shared" ca="1" si="232"/>
        <v>#DIV/0!</v>
      </c>
      <c r="L124" s="101" t="e">
        <f t="shared" ca="1" si="232"/>
        <v>#DIV/0!</v>
      </c>
      <c r="M124" s="101" t="e">
        <f t="shared" ca="1" si="232"/>
        <v>#DIV/0!</v>
      </c>
      <c r="N124" s="101" t="e">
        <f t="shared" ca="1" si="232"/>
        <v>#DIV/0!</v>
      </c>
      <c r="O124" s="101" t="e">
        <f t="shared" ca="1" si="232"/>
        <v>#DIV/0!</v>
      </c>
      <c r="P124" s="101" t="e">
        <f t="shared" ca="1" si="232"/>
        <v>#DIV/0!</v>
      </c>
      <c r="Q124" s="101" t="e">
        <f t="shared" ca="1" si="232"/>
        <v>#DIV/0!</v>
      </c>
      <c r="R124" s="101" t="e">
        <f t="shared" ca="1" si="232"/>
        <v>#DIV/0!</v>
      </c>
      <c r="S124" s="101" t="e">
        <f t="shared" ca="1" si="232"/>
        <v>#DIV/0!</v>
      </c>
      <c r="T124" s="101" t="e">
        <f t="shared" ca="1" si="232"/>
        <v>#DIV/0!</v>
      </c>
      <c r="U124" s="101" t="e">
        <f t="shared" ca="1" si="232"/>
        <v>#DIV/0!</v>
      </c>
      <c r="V124" s="101" t="e">
        <f t="shared" ca="1" si="232"/>
        <v>#DIV/0!</v>
      </c>
      <c r="W124" s="101" t="e">
        <f t="shared" ca="1" si="232"/>
        <v>#DIV/0!</v>
      </c>
      <c r="X124" s="101" t="e">
        <f t="shared" ca="1" si="232"/>
        <v>#DIV/0!</v>
      </c>
      <c r="Y124" s="101" t="e">
        <f t="shared" ca="1" si="232"/>
        <v>#DIV/0!</v>
      </c>
      <c r="Z124" s="101" t="e">
        <f t="shared" ca="1" si="232"/>
        <v>#DIV/0!</v>
      </c>
      <c r="AA124" s="101" t="e">
        <f t="shared" ca="1" si="232"/>
        <v>#DIV/0!</v>
      </c>
      <c r="AB124" s="173" t="e">
        <f ca="1">+AB123/AA123-1</f>
        <v>#DIV/0!</v>
      </c>
      <c r="AC124" s="173" t="e">
        <f ca="1">+AC123/AB123-1</f>
        <v>#DIV/0!</v>
      </c>
      <c r="AD124" s="173" t="e">
        <f ca="1">+AD123/AC123-1</f>
        <v>#DIV/0!</v>
      </c>
      <c r="AE124" s="173" t="e">
        <f ca="1">+AE123/AD123-1</f>
        <v>#DIV/0!</v>
      </c>
      <c r="AL124" s="175"/>
      <c r="AM124" s="175"/>
      <c r="AN124" s="175"/>
      <c r="AO124" s="175"/>
      <c r="AP124" s="175">
        <f t="shared" ref="AP124:CL124" si="233">+IF(AL123&lt;0,1-AP123/AL123,AP123/AL123-1)</f>
        <v>-0.21159420289854991</v>
      </c>
      <c r="AQ124" s="175">
        <f t="shared" si="233"/>
        <v>-3.9575088523225666E-2</v>
      </c>
      <c r="AR124" s="175">
        <f t="shared" si="233"/>
        <v>8.7286527514234047E-2</v>
      </c>
      <c r="AS124" s="175">
        <f t="shared" si="233"/>
        <v>9.7594819611471539E-2</v>
      </c>
      <c r="AT124" s="175">
        <f t="shared" si="233"/>
        <v>0.27254901960784239</v>
      </c>
      <c r="AU124" s="175">
        <f t="shared" si="233"/>
        <v>0.25309043591411795</v>
      </c>
      <c r="AV124" s="175">
        <f t="shared" si="233"/>
        <v>0.40619546247818272</v>
      </c>
      <c r="AW124" s="175">
        <f t="shared" si="233"/>
        <v>0.39570164348925485</v>
      </c>
      <c r="AX124" s="175">
        <f t="shared" si="233"/>
        <v>0.49056240369799831</v>
      </c>
      <c r="AY124" s="175">
        <f t="shared" si="233"/>
        <v>0.30616130148840748</v>
      </c>
      <c r="AZ124" s="175">
        <f t="shared" si="233"/>
        <v>0.12116040955631635</v>
      </c>
      <c r="BA124" s="175">
        <f t="shared" si="233"/>
        <v>-7.5785024154588765E-2</v>
      </c>
      <c r="BB124" s="175">
        <f t="shared" si="233"/>
        <v>-0.29138131541542833</v>
      </c>
      <c r="BC124" s="175">
        <f t="shared" si="233"/>
        <v>-0.45965284218895019</v>
      </c>
      <c r="BD124" s="175">
        <f t="shared" si="233"/>
        <v>-0.64369724643697379</v>
      </c>
      <c r="BE124" s="175">
        <f t="shared" si="233"/>
        <v>-0.59147337471414829</v>
      </c>
      <c r="BF124" s="175">
        <f t="shared" si="233"/>
        <v>-0.44474835886214614</v>
      </c>
      <c r="BG124" s="175">
        <f t="shared" si="233"/>
        <v>-0.18293281020108187</v>
      </c>
      <c r="BH124" s="175">
        <f t="shared" si="233"/>
        <v>0.63339805825242856</v>
      </c>
      <c r="BI124" s="175">
        <f t="shared" si="233"/>
        <v>0.50179928028789078</v>
      </c>
      <c r="BJ124" s="175">
        <f t="shared" si="233"/>
        <v>-0.56551724137930981</v>
      </c>
      <c r="BK124" s="175">
        <f t="shared" si="233"/>
        <v>-0.69147659063625388</v>
      </c>
      <c r="BL124" s="175">
        <f t="shared" si="233"/>
        <v>-0.89942938659058569</v>
      </c>
      <c r="BM124" s="175">
        <f t="shared" si="233"/>
        <v>-0.7201810436634728</v>
      </c>
      <c r="BN124" s="175">
        <f t="shared" si="233"/>
        <v>3.7792894935719801E-3</v>
      </c>
      <c r="BO124" s="175">
        <f t="shared" si="233"/>
        <v>-2.982490272373548</v>
      </c>
      <c r="BP124" s="175">
        <f t="shared" si="233"/>
        <v>-7.5555555555556282</v>
      </c>
      <c r="BQ124" s="175">
        <f t="shared" si="233"/>
        <v>-3.4586108468125709</v>
      </c>
      <c r="BR124" s="175">
        <f t="shared" si="233"/>
        <v>-0.68298192771084265</v>
      </c>
      <c r="BS124" s="175">
        <f t="shared" si="233"/>
        <v>3.4347399411187376</v>
      </c>
      <c r="BT124" s="175">
        <f t="shared" si="233"/>
        <v>4.0194734944103772</v>
      </c>
      <c r="BU124" s="175">
        <f t="shared" si="233"/>
        <v>5.6455108359133055</v>
      </c>
      <c r="BV124" s="175">
        <f t="shared" si="233"/>
        <v>35.327790973871807</v>
      </c>
      <c r="BW124" s="175">
        <f t="shared" si="233"/>
        <v>2.8810963321241427</v>
      </c>
      <c r="BX124" s="175">
        <f t="shared" si="233"/>
        <v>1.3438433058640902</v>
      </c>
      <c r="BY124" s="175">
        <f t="shared" si="233"/>
        <v>0.4567644118627141</v>
      </c>
      <c r="BZ124" s="175">
        <f t="shared" si="233"/>
        <v>2.1904014646266345E-2</v>
      </c>
      <c r="CA124" s="175">
        <f t="shared" si="233"/>
        <v>-0.38628102606708881</v>
      </c>
      <c r="CB124" s="175">
        <f t="shared" si="233"/>
        <v>-0.50629299363057356</v>
      </c>
      <c r="CC124" s="175">
        <f t="shared" si="233"/>
        <v>-0.54251729856464825</v>
      </c>
      <c r="CD124" s="175">
        <f t="shared" si="233"/>
        <v>-0.69633373856292802</v>
      </c>
      <c r="CE124" s="175">
        <f t="shared" si="233"/>
        <v>-0.58566714612065374</v>
      </c>
      <c r="CF124" s="175">
        <f t="shared" si="233"/>
        <v>-0.54649602642171502</v>
      </c>
      <c r="CG124" s="175">
        <f t="shared" si="233"/>
        <v>-0.46775000000000067</v>
      </c>
      <c r="CH124" s="175">
        <f t="shared" si="233"/>
        <v>-0.19005478297513723</v>
      </c>
      <c r="CI124" s="175">
        <f t="shared" si="233"/>
        <v>-0.46314069838676664</v>
      </c>
      <c r="CJ124" s="175">
        <f t="shared" si="233"/>
        <v>-1.5930814747422417E-3</v>
      </c>
      <c r="CK124" s="175">
        <f t="shared" si="233"/>
        <v>0.54744011272898008</v>
      </c>
      <c r="CL124" s="175">
        <f t="shared" si="233"/>
        <v>1.3215400624349605</v>
      </c>
      <c r="CM124" s="102">
        <f t="shared" ref="CM124:DB124" si="234">+IF(CI123&lt;0,1-CM123/CI123,CM123/CI123-1)</f>
        <v>3.6196177850076081</v>
      </c>
      <c r="CN124" s="102">
        <f t="shared" si="234"/>
        <v>2.1398565065258808</v>
      </c>
      <c r="CO124" s="102">
        <f t="shared" si="234"/>
        <v>1.3952817201496108</v>
      </c>
      <c r="CP124" s="102">
        <f t="shared" si="234"/>
        <v>0.93372361982827146</v>
      </c>
      <c r="CQ124" s="102">
        <f t="shared" si="234"/>
        <v>0.53341781671765576</v>
      </c>
      <c r="CR124" s="102">
        <f t="shared" si="234"/>
        <v>0.45638077186911508</v>
      </c>
      <c r="CS124" s="102">
        <f t="shared" si="234"/>
        <v>0.36071698906315164</v>
      </c>
      <c r="CT124" s="102">
        <f t="shared" si="234"/>
        <v>0.33354510729162801</v>
      </c>
      <c r="CU124" s="102">
        <f t="shared" si="234"/>
        <v>0.31246973086121721</v>
      </c>
      <c r="CV124" s="102">
        <f t="shared" si="234"/>
        <v>0.27767961724681078</v>
      </c>
      <c r="CW124" s="102">
        <f t="shared" si="234"/>
        <v>0.23969398493711513</v>
      </c>
      <c r="CX124" s="102">
        <f t="shared" si="234"/>
        <v>0.19222314679416841</v>
      </c>
      <c r="CY124" s="102">
        <f t="shared" si="234"/>
        <v>0.16721432469072983</v>
      </c>
      <c r="CZ124" s="102">
        <f t="shared" si="234"/>
        <v>0.15359771513187681</v>
      </c>
      <c r="DA124" s="102">
        <f t="shared" si="234"/>
        <v>0.14881447503992473</v>
      </c>
      <c r="DB124" s="102">
        <f t="shared" si="234"/>
        <v>0.15235916549752759</v>
      </c>
      <c r="DE124" s="135"/>
      <c r="DF124" s="97">
        <v>0.88149182666298342</v>
      </c>
    </row>
    <row r="125" spans="1:110" s="144" customFormat="1" x14ac:dyDescent="0.2">
      <c r="A125" s="144" t="s">
        <v>423</v>
      </c>
      <c r="AB125" s="145"/>
      <c r="AC125" s="145"/>
      <c r="AD125" s="145"/>
      <c r="AE125" s="145"/>
      <c r="CM125" s="145"/>
      <c r="CN125" s="145"/>
      <c r="CO125" s="145"/>
      <c r="CP125" s="145"/>
      <c r="CQ125" s="145"/>
      <c r="CR125" s="145"/>
      <c r="CS125" s="145"/>
      <c r="CT125" s="145"/>
      <c r="CU125" s="145"/>
      <c r="CV125" s="145"/>
      <c r="CW125" s="145"/>
      <c r="CX125" s="145"/>
      <c r="CY125" s="145"/>
      <c r="CZ125" s="145"/>
      <c r="DA125" s="145"/>
      <c r="DB125" s="145"/>
      <c r="DE125" s="146"/>
    </row>
    <row r="126" spans="1:110" s="144" customFormat="1" x14ac:dyDescent="0.2">
      <c r="A126" s="144" t="s">
        <v>435</v>
      </c>
      <c r="AB126" s="145"/>
      <c r="AC126" s="145"/>
      <c r="AD126" s="145"/>
      <c r="AE126" s="145"/>
      <c r="CM126" s="145"/>
      <c r="CN126" s="145"/>
      <c r="CO126" s="145"/>
      <c r="CP126" s="145"/>
      <c r="CQ126" s="145"/>
      <c r="CR126" s="145"/>
      <c r="CS126" s="145"/>
      <c r="CT126" s="145"/>
      <c r="CU126" s="145"/>
      <c r="CV126" s="145"/>
      <c r="CW126" s="145"/>
      <c r="CX126" s="145"/>
      <c r="CY126" s="145"/>
      <c r="CZ126" s="145"/>
      <c r="DA126" s="145"/>
      <c r="DB126" s="145"/>
      <c r="DE126" s="146"/>
    </row>
    <row r="127" spans="1:110" s="3" customFormat="1" x14ac:dyDescent="0.2">
      <c r="A127" s="3" t="s">
        <v>33</v>
      </c>
      <c r="B127" s="3">
        <f>'Annual Raw'!C112</f>
        <v>51.26</v>
      </c>
      <c r="C127" s="3">
        <f>'Annual Raw'!D112</f>
        <v>50.73</v>
      </c>
      <c r="D127" s="3">
        <f>'Annual Raw'!E112</f>
        <v>48.69</v>
      </c>
      <c r="E127" s="3">
        <f>'Annual Raw'!F112</f>
        <v>41.83</v>
      </c>
      <c r="F127" s="3">
        <f>'Annual Raw'!G112</f>
        <v>41.83</v>
      </c>
      <c r="G127" s="3">
        <f>'Annual Raw'!H112</f>
        <v>35.44</v>
      </c>
      <c r="H127" s="3">
        <f>'Annual Raw'!I112</f>
        <v>36.03</v>
      </c>
      <c r="I127" s="3">
        <f>'Annual Raw'!J112</f>
        <v>36.03</v>
      </c>
      <c r="J127" s="3">
        <f>'Annual Raw'!K112</f>
        <v>36.03</v>
      </c>
      <c r="K127" s="3">
        <f>'Annual Raw'!L112</f>
        <v>36.03</v>
      </c>
      <c r="L127" s="3">
        <f>'Annual Raw'!M112</f>
        <v>36.99</v>
      </c>
      <c r="M127" s="3">
        <f>'Annual Raw'!N112</f>
        <v>36.99</v>
      </c>
      <c r="N127" s="3">
        <f>'Annual Raw'!O112</f>
        <v>38.65</v>
      </c>
      <c r="O127" s="3">
        <f>'Annual Raw'!P112</f>
        <v>42.8</v>
      </c>
      <c r="P127" s="3">
        <f>'Annual Raw'!Q112</f>
        <v>42.8</v>
      </c>
      <c r="Q127" s="3">
        <f>'Annual Raw'!R112</f>
        <v>47.35</v>
      </c>
      <c r="R127" s="3">
        <f>'Annual Raw'!S112</f>
        <v>47.35</v>
      </c>
      <c r="S127" s="3">
        <f>'Annual Raw'!T112</f>
        <v>47.35</v>
      </c>
      <c r="T127" s="3">
        <f>'Annual Raw'!U112</f>
        <v>50.05</v>
      </c>
      <c r="U127" s="3">
        <f>'Annual Raw'!V112</f>
        <v>55</v>
      </c>
      <c r="V127" s="3">
        <f>'Annual Raw'!W112</f>
        <v>59.15</v>
      </c>
      <c r="W127" s="3">
        <f>'Annual Raw'!X112</f>
        <v>61.44</v>
      </c>
      <c r="X127" s="3">
        <f>'Annual Raw'!Y112</f>
        <v>70.28</v>
      </c>
      <c r="Y127" s="3">
        <f>'Annual Raw'!Z112</f>
        <v>70.16</v>
      </c>
      <c r="Z127" s="3">
        <f>'Annual Raw'!AA112</f>
        <v>70.16</v>
      </c>
      <c r="AA127" s="3">
        <f>'Annual Raw'!AB112</f>
        <v>70.52</v>
      </c>
      <c r="AB127" s="37"/>
      <c r="AC127" s="37"/>
      <c r="AD127" s="37"/>
      <c r="AE127" s="37"/>
      <c r="AI127" s="3">
        <f>'QTR Raw'!C49</f>
        <v>36.99</v>
      </c>
      <c r="AJ127" s="3">
        <f>'QTR Raw'!D49</f>
        <v>37.99</v>
      </c>
      <c r="AK127" s="3">
        <f>'QTR Raw'!E49</f>
        <v>37.99</v>
      </c>
      <c r="AL127" s="3">
        <f>'QTR Raw'!F49</f>
        <v>38.65</v>
      </c>
      <c r="AM127" s="3">
        <f>'QTR Raw'!G49</f>
        <v>38.65</v>
      </c>
      <c r="AN127" s="3">
        <f>'QTR Raw'!H49</f>
        <v>38.65</v>
      </c>
      <c r="AO127" s="3">
        <f>'QTR Raw'!I49</f>
        <v>38.65</v>
      </c>
      <c r="AP127" s="3">
        <f>'QTR Raw'!J49</f>
        <v>42.8</v>
      </c>
      <c r="AQ127" s="3">
        <f>'QTR Raw'!K49</f>
        <v>42.8</v>
      </c>
      <c r="AR127" s="3">
        <f>'QTR Raw'!L49</f>
        <v>42.8</v>
      </c>
      <c r="AS127" s="3">
        <f>'QTR Raw'!M49</f>
        <v>42.8</v>
      </c>
      <c r="AT127" s="3">
        <f>'QTR Raw'!N49</f>
        <v>42.8</v>
      </c>
      <c r="AU127" s="3">
        <f>'QTR Raw'!O49</f>
        <v>47.35</v>
      </c>
      <c r="AV127" s="3">
        <f>'QTR Raw'!P49</f>
        <v>47.35</v>
      </c>
      <c r="AW127" s="3">
        <f>'QTR Raw'!Q49</f>
        <v>47.35</v>
      </c>
      <c r="AX127" s="3">
        <f>'QTR Raw'!R49</f>
        <v>47.35</v>
      </c>
      <c r="AY127" s="3">
        <f>'QTR Raw'!S49</f>
        <v>47.35</v>
      </c>
      <c r="AZ127" s="3">
        <f>'QTR Raw'!T49</f>
        <v>47.48</v>
      </c>
      <c r="BA127" s="3">
        <f>'QTR Raw'!U49</f>
        <v>47.35</v>
      </c>
      <c r="BB127" s="3">
        <f>'QTR Raw'!V49</f>
        <v>47.35</v>
      </c>
      <c r="BC127" s="3">
        <f>'QTR Raw'!W49</f>
        <v>47.35</v>
      </c>
      <c r="BD127" s="3">
        <f>'QTR Raw'!X49</f>
        <v>47.35</v>
      </c>
      <c r="BE127" s="3">
        <f>'QTR Raw'!Y49</f>
        <v>47.35</v>
      </c>
      <c r="BF127" s="3">
        <f>'QTR Raw'!Z49</f>
        <v>47.35</v>
      </c>
      <c r="BG127" s="3">
        <f>'QTR Raw'!AA49</f>
        <v>47.35</v>
      </c>
      <c r="BH127" s="3">
        <f>'QTR Raw'!AB49</f>
        <v>47.35</v>
      </c>
      <c r="BI127" s="3">
        <f>'QTR Raw'!AC49</f>
        <v>47.35</v>
      </c>
      <c r="BJ127" s="3">
        <f>'QTR Raw'!AD49</f>
        <v>50.05</v>
      </c>
      <c r="BK127" s="3">
        <f>'QTR Raw'!AE49</f>
        <v>50.05</v>
      </c>
      <c r="BL127" s="3">
        <f>'QTR Raw'!AF49</f>
        <v>55</v>
      </c>
      <c r="BM127" s="3">
        <f>'QTR Raw'!AG49</f>
        <v>55</v>
      </c>
      <c r="BN127" s="3">
        <f>'QTR Raw'!AH49</f>
        <v>55</v>
      </c>
      <c r="BO127" s="3">
        <f>'QTR Raw'!AI49</f>
        <v>55</v>
      </c>
      <c r="BP127" s="3">
        <f>'QTR Raw'!AJ49</f>
        <v>55</v>
      </c>
      <c r="BQ127" s="3">
        <f>'QTR Raw'!AK49</f>
        <v>59.15</v>
      </c>
      <c r="BR127" s="3">
        <f>'QTR Raw'!AL49</f>
        <v>59.15</v>
      </c>
      <c r="BS127" s="3">
        <f>'QTR Raw'!AM49</f>
        <v>59.15</v>
      </c>
      <c r="BT127" s="3">
        <f>'QTR Raw'!AN49</f>
        <v>61.45</v>
      </c>
      <c r="BU127" s="3">
        <f>'QTR Raw'!AO49</f>
        <v>61.45</v>
      </c>
      <c r="BV127" s="3">
        <f>'QTR Raw'!AP49</f>
        <v>61.44</v>
      </c>
      <c r="BW127" s="3">
        <f>'QTR Raw'!AQ49</f>
        <v>61.44</v>
      </c>
      <c r="BX127" s="3">
        <f>'QTR Raw'!AR49</f>
        <v>70.28</v>
      </c>
      <c r="BY127" s="3">
        <f>'QTR Raw'!AS49</f>
        <v>70.28</v>
      </c>
      <c r="BZ127" s="3">
        <f>'QTR Raw'!AT49</f>
        <v>70.28</v>
      </c>
      <c r="CA127" s="3">
        <f>'QTR Raw'!AU49</f>
        <v>70.17</v>
      </c>
      <c r="CB127" s="3">
        <f>'QTR Raw'!AV49</f>
        <v>70.17</v>
      </c>
      <c r="CC127" s="3">
        <f>'QTR Raw'!AW49</f>
        <v>70.16</v>
      </c>
      <c r="CD127" s="3">
        <f>'QTR Raw'!AX49</f>
        <v>70.16</v>
      </c>
      <c r="CE127" s="3">
        <f>'QTR Raw'!AY49</f>
        <v>70.16</v>
      </c>
      <c r="CF127" s="3">
        <f>'QTR Raw'!AZ49</f>
        <v>70.16</v>
      </c>
      <c r="CG127" s="3">
        <f>'QTR Raw'!BA49</f>
        <v>70.16</v>
      </c>
      <c r="CH127" s="3">
        <f>'QTR Raw'!BB49</f>
        <v>70.16</v>
      </c>
      <c r="CI127" s="3">
        <f>'QTR Raw'!BC49</f>
        <v>70.16</v>
      </c>
      <c r="CJ127" s="3">
        <f>'QTR Raw'!BD49</f>
        <v>70.17</v>
      </c>
      <c r="CK127" s="3">
        <f>'QTR Raw'!BE49</f>
        <v>70.349999999999994</v>
      </c>
      <c r="CL127" s="3">
        <f>'QTR Raw'!BF49</f>
        <v>70.52</v>
      </c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E127" s="134"/>
    </row>
    <row r="128" spans="1:110" s="3" customFormat="1" x14ac:dyDescent="0.2">
      <c r="A128" s="3" t="s">
        <v>34</v>
      </c>
      <c r="B128" s="3">
        <f>'Annual Raw'!C113</f>
        <v>0</v>
      </c>
      <c r="C128" s="3">
        <f>'Annual Raw'!D113</f>
        <v>0</v>
      </c>
      <c r="D128" s="3">
        <f>'Annual Raw'!E113</f>
        <v>0</v>
      </c>
      <c r="E128" s="3">
        <f>'Annual Raw'!F113</f>
        <v>0</v>
      </c>
      <c r="F128" s="3">
        <f>'Annual Raw'!G113</f>
        <v>0</v>
      </c>
      <c r="G128" s="3">
        <f>'Annual Raw'!H113</f>
        <v>0</v>
      </c>
      <c r="H128" s="3">
        <f>'Annual Raw'!I113</f>
        <v>0</v>
      </c>
      <c r="I128" s="3">
        <f>'Annual Raw'!J113</f>
        <v>0</v>
      </c>
      <c r="J128" s="3">
        <f>'Annual Raw'!K113</f>
        <v>0</v>
      </c>
      <c r="K128" s="3">
        <f>'Annual Raw'!L113</f>
        <v>0</v>
      </c>
      <c r="L128" s="3">
        <f>'Annual Raw'!M113</f>
        <v>21.26</v>
      </c>
      <c r="M128" s="3">
        <f>'Annual Raw'!N113</f>
        <v>21.26</v>
      </c>
      <c r="N128" s="3">
        <f>'Annual Raw'!O113</f>
        <v>20.350000000000001</v>
      </c>
      <c r="O128" s="3">
        <f>'Annual Raw'!P113</f>
        <v>0</v>
      </c>
      <c r="P128" s="3">
        <f>'Annual Raw'!Q113</f>
        <v>0</v>
      </c>
      <c r="Q128" s="3">
        <f>'Annual Raw'!R113</f>
        <v>0</v>
      </c>
      <c r="R128" s="3">
        <f>'Annual Raw'!S113</f>
        <v>0</v>
      </c>
      <c r="S128" s="3">
        <f>'Annual Raw'!T113</f>
        <v>0</v>
      </c>
      <c r="T128" s="3">
        <f>'Annual Raw'!U113</f>
        <v>0</v>
      </c>
      <c r="U128" s="3">
        <f>'Annual Raw'!V113</f>
        <v>0</v>
      </c>
      <c r="V128" s="3">
        <f>'Annual Raw'!W113</f>
        <v>0</v>
      </c>
      <c r="W128" s="3">
        <f>'Annual Raw'!X113</f>
        <v>0</v>
      </c>
      <c r="X128" s="3">
        <f>'Annual Raw'!Y113</f>
        <v>0</v>
      </c>
      <c r="Y128" s="3">
        <f>'Annual Raw'!Z113</f>
        <v>0</v>
      </c>
      <c r="Z128" s="3">
        <f>'Annual Raw'!AA113</f>
        <v>0</v>
      </c>
      <c r="AA128" s="3">
        <f>'Annual Raw'!AB113</f>
        <v>0</v>
      </c>
      <c r="AB128" s="37"/>
      <c r="AC128" s="37"/>
      <c r="AD128" s="37"/>
      <c r="AE128" s="37"/>
      <c r="AI128" s="3">
        <f>'QTR Raw'!C50</f>
        <v>21.26</v>
      </c>
      <c r="AJ128" s="3">
        <f>'QTR Raw'!D50</f>
        <v>20.7</v>
      </c>
      <c r="AK128" s="3">
        <f>'QTR Raw'!E50</f>
        <v>20.7</v>
      </c>
      <c r="AL128" s="3">
        <f>'QTR Raw'!F50</f>
        <v>20.350000000000001</v>
      </c>
      <c r="AM128" s="3">
        <f>'QTR Raw'!G50</f>
        <v>20.350000000000001</v>
      </c>
      <c r="AN128" s="3">
        <f>'QTR Raw'!H50</f>
        <v>20.350000000000001</v>
      </c>
      <c r="AO128" s="3">
        <f>'QTR Raw'!I50</f>
        <v>20.350000000000001</v>
      </c>
      <c r="AP128" s="3">
        <f>'QTR Raw'!J50</f>
        <v>0</v>
      </c>
      <c r="AQ128" s="3">
        <f>'QTR Raw'!K50</f>
        <v>0</v>
      </c>
      <c r="AR128" s="3">
        <f>'QTR Raw'!L50</f>
        <v>0</v>
      </c>
      <c r="AS128" s="3">
        <f>'QTR Raw'!M50</f>
        <v>0</v>
      </c>
      <c r="AT128" s="3">
        <f>'QTR Raw'!N50</f>
        <v>0</v>
      </c>
      <c r="AU128" s="3">
        <f>'QTR Raw'!O50</f>
        <v>0</v>
      </c>
      <c r="AV128" s="3">
        <f>'QTR Raw'!P50</f>
        <v>0</v>
      </c>
      <c r="AW128" s="3">
        <f>'QTR Raw'!Q50</f>
        <v>0</v>
      </c>
      <c r="AX128" s="3">
        <f>'QTR Raw'!R50</f>
        <v>0</v>
      </c>
      <c r="AY128" s="3">
        <f>'QTR Raw'!S50</f>
        <v>0</v>
      </c>
      <c r="AZ128" s="3">
        <f>'QTR Raw'!T50</f>
        <v>0</v>
      </c>
      <c r="BA128" s="3">
        <f>'QTR Raw'!U50</f>
        <v>0</v>
      </c>
      <c r="BB128" s="3">
        <f>'QTR Raw'!V50</f>
        <v>0</v>
      </c>
      <c r="BC128" s="3">
        <f>'QTR Raw'!W50</f>
        <v>0</v>
      </c>
      <c r="BD128" s="3">
        <f>'QTR Raw'!X50</f>
        <v>0</v>
      </c>
      <c r="BE128" s="3">
        <f>'QTR Raw'!Y50</f>
        <v>0</v>
      </c>
      <c r="BF128" s="3">
        <f>'QTR Raw'!Z50</f>
        <v>0</v>
      </c>
      <c r="BG128" s="3">
        <f>'QTR Raw'!AA50</f>
        <v>0</v>
      </c>
      <c r="BH128" s="3">
        <f>'QTR Raw'!AB50</f>
        <v>0</v>
      </c>
      <c r="BI128" s="3">
        <f>'QTR Raw'!AC50</f>
        <v>0</v>
      </c>
      <c r="BJ128" s="3">
        <f>'QTR Raw'!AD50</f>
        <v>0</v>
      </c>
      <c r="BK128" s="3">
        <f>'QTR Raw'!AE50</f>
        <v>0</v>
      </c>
      <c r="BL128" s="3">
        <f>'QTR Raw'!AF50</f>
        <v>0</v>
      </c>
      <c r="BM128" s="3">
        <f>'QTR Raw'!AG50</f>
        <v>0</v>
      </c>
      <c r="BN128" s="3">
        <f>'QTR Raw'!AH50</f>
        <v>0</v>
      </c>
      <c r="BO128" s="3">
        <f>'QTR Raw'!AI50</f>
        <v>0</v>
      </c>
      <c r="BP128" s="3">
        <f>'QTR Raw'!AJ50</f>
        <v>0</v>
      </c>
      <c r="BQ128" s="3">
        <f>'QTR Raw'!AK50</f>
        <v>0</v>
      </c>
      <c r="BR128" s="3">
        <f>'QTR Raw'!AL50</f>
        <v>0</v>
      </c>
      <c r="BS128" s="3">
        <f>'QTR Raw'!AM50</f>
        <v>0</v>
      </c>
      <c r="BT128" s="3">
        <f>'QTR Raw'!AN50</f>
        <v>0</v>
      </c>
      <c r="BU128" s="3">
        <f>'QTR Raw'!AO50</f>
        <v>0</v>
      </c>
      <c r="BV128" s="3">
        <f>'QTR Raw'!AP50</f>
        <v>0</v>
      </c>
      <c r="BW128" s="3">
        <f>'QTR Raw'!AQ50</f>
        <v>0</v>
      </c>
      <c r="BX128" s="3">
        <f>'QTR Raw'!AR50</f>
        <v>0</v>
      </c>
      <c r="BY128" s="3">
        <f>'QTR Raw'!AS50</f>
        <v>0</v>
      </c>
      <c r="BZ128" s="3">
        <f>'QTR Raw'!AT50</f>
        <v>0</v>
      </c>
      <c r="CA128" s="3">
        <f>'QTR Raw'!AU50</f>
        <v>0</v>
      </c>
      <c r="CB128" s="3">
        <f>'QTR Raw'!AV50</f>
        <v>0</v>
      </c>
      <c r="CC128" s="3">
        <f>'QTR Raw'!AW50</f>
        <v>0</v>
      </c>
      <c r="CD128" s="3">
        <f>'QTR Raw'!AX50</f>
        <v>0</v>
      </c>
      <c r="CE128" s="3">
        <f>'QTR Raw'!AY50</f>
        <v>0</v>
      </c>
      <c r="CF128" s="3">
        <f>'QTR Raw'!AZ50</f>
        <v>0</v>
      </c>
      <c r="CG128" s="3">
        <f>'QTR Raw'!BA50</f>
        <v>0</v>
      </c>
      <c r="CH128" s="3">
        <f>'QTR Raw'!BB50</f>
        <v>0</v>
      </c>
      <c r="CI128" s="3">
        <f>'QTR Raw'!BC50</f>
        <v>0</v>
      </c>
      <c r="CJ128" s="3">
        <f>'QTR Raw'!BD50</f>
        <v>0</v>
      </c>
      <c r="CK128" s="3">
        <f>'QTR Raw'!BE50</f>
        <v>0</v>
      </c>
      <c r="CL128" s="3">
        <f>'QTR Raw'!BF50</f>
        <v>0</v>
      </c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E128" s="134"/>
    </row>
    <row r="129" spans="1:110" s="3" customFormat="1" x14ac:dyDescent="0.2">
      <c r="AB129" s="37"/>
      <c r="AC129" s="37"/>
      <c r="AD129" s="37"/>
      <c r="AE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E129" s="134"/>
    </row>
    <row r="130" spans="1:110" s="13" customFormat="1" x14ac:dyDescent="0.2">
      <c r="A130" s="13" t="s">
        <v>35</v>
      </c>
      <c r="AB130" s="37"/>
      <c r="AC130" s="37"/>
      <c r="AD130" s="37"/>
      <c r="AE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E130" s="134"/>
    </row>
    <row r="131" spans="1:110" s="13" customFormat="1" x14ac:dyDescent="0.2">
      <c r="A131" s="13" t="s">
        <v>456</v>
      </c>
      <c r="B131" s="13">
        <f>'Annual Raw'!C106</f>
        <v>9.0231213872832399</v>
      </c>
      <c r="C131" s="13">
        <f>'Annual Raw'!D106</f>
        <v>7.2184971098265898</v>
      </c>
      <c r="D131" s="13">
        <f>'Annual Raw'!E106</f>
        <v>8.5934489402697505</v>
      </c>
      <c r="E131" s="13">
        <f>'Annual Raw'!F106</f>
        <v>16.5</v>
      </c>
      <c r="F131" s="13">
        <f>'Annual Raw'!G106</f>
        <v>34.299999999999997</v>
      </c>
      <c r="G131" s="13">
        <f>'Annual Raw'!H106</f>
        <v>75.650000000000006</v>
      </c>
      <c r="H131" s="13">
        <f>'Annual Raw'!I106</f>
        <v>79.150000000000006</v>
      </c>
      <c r="I131" s="13">
        <f>'Annual Raw'!J106</f>
        <v>28.1</v>
      </c>
      <c r="J131" s="13">
        <f>'Annual Raw'!K106</f>
        <v>10.93</v>
      </c>
      <c r="K131" s="13">
        <f>'Annual Raw'!L106</f>
        <v>29.6</v>
      </c>
      <c r="L131" s="13">
        <f>'Annual Raw'!M106</f>
        <v>43.85</v>
      </c>
      <c r="M131" s="13">
        <f>'Annual Raw'!N106</f>
        <v>46.75</v>
      </c>
      <c r="N131" s="13">
        <f>'Annual Raw'!O106</f>
        <v>34</v>
      </c>
      <c r="O131" s="13">
        <f>'Annual Raw'!P106</f>
        <v>35.1</v>
      </c>
      <c r="P131" s="13">
        <f>'Annual Raw'!Q106</f>
        <v>78.150000000000006</v>
      </c>
      <c r="Q131" s="13">
        <f>'Annual Raw'!R106</f>
        <v>249.1</v>
      </c>
      <c r="R131" s="13">
        <f>'Annual Raw'!S106</f>
        <v>276.05</v>
      </c>
      <c r="S131" s="13">
        <f>'Annual Raw'!T106</f>
        <v>119.5</v>
      </c>
      <c r="T131" s="13">
        <f>'Annual Raw'!U106</f>
        <v>65.55</v>
      </c>
      <c r="U131" s="13">
        <f>'Annual Raw'!V106</f>
        <v>35.299999999999997</v>
      </c>
      <c r="V131" s="13">
        <f>'Annual Raw'!W106</f>
        <v>73.55</v>
      </c>
      <c r="W131" s="13">
        <f>'Annual Raw'!X106</f>
        <v>258.45</v>
      </c>
      <c r="X131" s="13">
        <f>'Annual Raw'!Y106</f>
        <v>215.4</v>
      </c>
      <c r="Y131" s="13">
        <f>'Annual Raw'!Z106</f>
        <v>438.55</v>
      </c>
      <c r="Z131" s="13">
        <f>'Annual Raw'!AA106</f>
        <v>436.5</v>
      </c>
      <c r="AA131" s="13">
        <f>'Annual Raw'!AB106</f>
        <v>415.8</v>
      </c>
      <c r="AB131" s="37">
        <f>+CP131</f>
        <v>415.8</v>
      </c>
      <c r="AC131" s="37">
        <f>+CT131</f>
        <v>415.8</v>
      </c>
      <c r="AD131" s="37">
        <f>+CX131</f>
        <v>415.8</v>
      </c>
      <c r="AE131" s="37">
        <f>+DB131</f>
        <v>415.8</v>
      </c>
      <c r="AJ131" s="13">
        <f>'QTR Share Price'!HP21</f>
        <v>55.75</v>
      </c>
      <c r="AK131" s="13">
        <f>'QTR Share Price'!HQ21</f>
        <v>51</v>
      </c>
      <c r="AL131" s="13">
        <f>'QTR Share Price'!HR21</f>
        <v>34</v>
      </c>
      <c r="AM131" s="13">
        <f>'QTR Share Price'!HS21</f>
        <v>41.25</v>
      </c>
      <c r="AN131" s="13">
        <f>'QTR Share Price'!HT21</f>
        <v>28.05</v>
      </c>
      <c r="AO131" s="13">
        <f>'QTR Share Price'!HU21</f>
        <v>35.85</v>
      </c>
      <c r="AP131" s="13">
        <f>'QTR Share Price'!HV21</f>
        <v>35.1</v>
      </c>
      <c r="AQ131" s="13">
        <f>'QTR Share Price'!HW21</f>
        <v>54.8</v>
      </c>
      <c r="AR131" s="13">
        <f>'QTR Share Price'!HX21</f>
        <v>82.8</v>
      </c>
      <c r="AS131" s="13">
        <f>'QTR Share Price'!HY21</f>
        <v>77.3</v>
      </c>
      <c r="AT131" s="13">
        <f>'QTR Share Price'!HZ21</f>
        <v>78.150000000000006</v>
      </c>
      <c r="AU131" s="13">
        <f>'QTR Share Price'!IA21</f>
        <v>149.6</v>
      </c>
      <c r="AV131" s="13">
        <f>'QTR Share Price'!IB21</f>
        <v>263.2</v>
      </c>
      <c r="AW131" s="13">
        <f>'QTR Share Price'!IC21</f>
        <v>306</v>
      </c>
      <c r="AX131" s="13">
        <f>'QTR Share Price'!ID21</f>
        <v>249.1</v>
      </c>
      <c r="AY131" s="13">
        <f>'QTR Share Price'!IE21</f>
        <v>274.14999999999998</v>
      </c>
      <c r="AZ131" s="13">
        <f>'QTR Share Price'!IF21</f>
        <v>252.05</v>
      </c>
      <c r="BA131" s="13">
        <f>'QTR Share Price'!IG21</f>
        <v>246.5</v>
      </c>
      <c r="BB131" s="13">
        <f>'QTR Share Price'!IH21</f>
        <v>276.05</v>
      </c>
      <c r="BC131" s="13">
        <f>'QTR Share Price'!II21</f>
        <v>262.14999999999998</v>
      </c>
      <c r="BD131" s="13">
        <f>'QTR Share Price'!IJ21</f>
        <v>197.2</v>
      </c>
      <c r="BE131" s="13">
        <f>'QTR Share Price'!IK21</f>
        <v>190.2</v>
      </c>
      <c r="BF131" s="13">
        <f>'QTR Share Price'!IL21</f>
        <v>119.5</v>
      </c>
      <c r="BG131" s="13">
        <f>'QTR Share Price'!IM21</f>
        <v>81.650000000000006</v>
      </c>
      <c r="BH131" s="13">
        <f>'QTR Share Price'!IN21</f>
        <v>60.3</v>
      </c>
      <c r="BI131" s="13">
        <f>'QTR Share Price'!IO21</f>
        <v>68.25</v>
      </c>
      <c r="BJ131" s="13">
        <f>'QTR Share Price'!IP21</f>
        <v>65.55</v>
      </c>
      <c r="BK131" s="13">
        <f>'QTR Share Price'!IQ21</f>
        <v>52.05</v>
      </c>
      <c r="BL131" s="13">
        <f>'QTR Share Price'!IR21</f>
        <v>38.450000000000003</v>
      </c>
      <c r="BM131" s="13">
        <f>'QTR Share Price'!IS21</f>
        <v>61</v>
      </c>
      <c r="BN131" s="13">
        <f>'QTR Share Price'!IT21</f>
        <v>35.299999999999997</v>
      </c>
      <c r="BO131" s="13">
        <f>'QTR Share Price'!IU21</f>
        <v>48.8</v>
      </c>
      <c r="BP131" s="13">
        <f>'QTR Share Price'!IV21</f>
        <v>46.9</v>
      </c>
      <c r="BQ131" s="13">
        <f>'QTR Share Price'!IW21</f>
        <v>76.849999999999994</v>
      </c>
      <c r="BR131" s="13">
        <f>'QTR Share Price'!IX21</f>
        <v>73.55</v>
      </c>
      <c r="BS131" s="13">
        <f>'QTR Share Price'!IY21</f>
        <v>105.25</v>
      </c>
      <c r="BT131" s="13">
        <f>'QTR Share Price'!IZ21</f>
        <v>166.8</v>
      </c>
      <c r="BU131" s="13">
        <f>'QTR Share Price'!JA21</f>
        <v>348.15</v>
      </c>
      <c r="BV131" s="13">
        <f>'QTR Share Price'!JB21</f>
        <v>258.45</v>
      </c>
      <c r="BW131" s="13">
        <f>'QTR Share Price'!JC21</f>
        <v>272.2</v>
      </c>
      <c r="BX131" s="13">
        <f>'QTR Share Price'!JD21</f>
        <v>278.89999999999998</v>
      </c>
      <c r="BY131" s="13">
        <f>'QTR Share Price'!JE21</f>
        <v>243.65</v>
      </c>
      <c r="BZ131" s="13">
        <f>'QTR Share Price'!JF21</f>
        <v>215.4</v>
      </c>
      <c r="CA131" s="13">
        <f>'QTR Share Price'!JG21</f>
        <v>300.45</v>
      </c>
      <c r="CB131" s="13">
        <f>'QTR Share Price'!JH21</f>
        <v>342.3</v>
      </c>
      <c r="CC131" s="13">
        <f>'QTR Share Price'!JI21</f>
        <v>426.45</v>
      </c>
      <c r="CD131" s="13">
        <f>'QTR Share Price'!JJ21</f>
        <v>438.55</v>
      </c>
      <c r="CE131" s="13">
        <f>'QTR Share Price'!JK21</f>
        <v>408.8</v>
      </c>
      <c r="CF131" s="13">
        <f>'QTR Share Price'!JL21</f>
        <v>466.6</v>
      </c>
      <c r="CG131" s="13">
        <f>'QTR Share Price'!JM21</f>
        <v>414.95</v>
      </c>
      <c r="CH131" s="13">
        <f>'QTR Share Price'!JN21</f>
        <v>436.5</v>
      </c>
      <c r="CI131" s="13">
        <f>'QTR Share Price'!JO21</f>
        <v>488.15</v>
      </c>
      <c r="CJ131" s="13">
        <f>'QTR Share Price'!JP21</f>
        <v>434.15</v>
      </c>
      <c r="CK131" s="13">
        <f>'QTR Share Price'!JQ21</f>
        <v>495.35</v>
      </c>
      <c r="CL131" s="13">
        <f>'QTR Share Price'!JR21</f>
        <v>415.8</v>
      </c>
      <c r="CM131" s="37">
        <f t="shared" ref="CM131:DB131" si="235">+CL131</f>
        <v>415.8</v>
      </c>
      <c r="CN131" s="37">
        <f t="shared" si="235"/>
        <v>415.8</v>
      </c>
      <c r="CO131" s="37">
        <f t="shared" si="235"/>
        <v>415.8</v>
      </c>
      <c r="CP131" s="37">
        <f t="shared" si="235"/>
        <v>415.8</v>
      </c>
      <c r="CQ131" s="37">
        <f t="shared" si="235"/>
        <v>415.8</v>
      </c>
      <c r="CR131" s="37">
        <f t="shared" si="235"/>
        <v>415.8</v>
      </c>
      <c r="CS131" s="37">
        <f t="shared" si="235"/>
        <v>415.8</v>
      </c>
      <c r="CT131" s="37">
        <f t="shared" si="235"/>
        <v>415.8</v>
      </c>
      <c r="CU131" s="37">
        <f t="shared" si="235"/>
        <v>415.8</v>
      </c>
      <c r="CV131" s="37">
        <f t="shared" si="235"/>
        <v>415.8</v>
      </c>
      <c r="CW131" s="37">
        <f t="shared" si="235"/>
        <v>415.8</v>
      </c>
      <c r="CX131" s="37">
        <f t="shared" si="235"/>
        <v>415.8</v>
      </c>
      <c r="CY131" s="37">
        <f t="shared" si="235"/>
        <v>415.8</v>
      </c>
      <c r="CZ131" s="37">
        <f t="shared" si="235"/>
        <v>415.8</v>
      </c>
      <c r="DA131" s="37">
        <f t="shared" si="235"/>
        <v>415.8</v>
      </c>
      <c r="DB131" s="37">
        <f t="shared" si="235"/>
        <v>415.8</v>
      </c>
      <c r="DE131" s="134"/>
      <c r="DF131" s="13">
        <v>415.8</v>
      </c>
    </row>
    <row r="132" spans="1:110" s="13" customFormat="1" x14ac:dyDescent="0.2">
      <c r="A132" s="13" t="s">
        <v>457</v>
      </c>
      <c r="B132" s="13">
        <f>'Annual Raw'!C107</f>
        <v>23.589017341040499</v>
      </c>
      <c r="C132" s="13">
        <f>'Annual Raw'!D107</f>
        <v>11.8589595375723</v>
      </c>
      <c r="D132" s="13">
        <f>'Annual Raw'!E107</f>
        <v>18.475915221579999</v>
      </c>
      <c r="E132" s="13">
        <f>'Annual Raw'!F107</f>
        <v>40.5</v>
      </c>
      <c r="F132" s="13">
        <f>'Annual Raw'!G107</f>
        <v>42.25</v>
      </c>
      <c r="G132" s="13">
        <f>'Annual Raw'!H107</f>
        <v>96</v>
      </c>
      <c r="H132" s="13">
        <f>'Annual Raw'!I107</f>
        <v>103</v>
      </c>
      <c r="I132" s="13">
        <f>'Annual Raw'!J107</f>
        <v>90.9</v>
      </c>
      <c r="J132" s="13">
        <f>'Annual Raw'!K107</f>
        <v>39</v>
      </c>
      <c r="K132" s="13">
        <f>'Annual Raw'!L107</f>
        <v>39</v>
      </c>
      <c r="L132" s="13">
        <f>'Annual Raw'!M107</f>
        <v>63</v>
      </c>
      <c r="M132" s="13">
        <f>'Annual Raw'!N107</f>
        <v>55</v>
      </c>
      <c r="N132" s="13">
        <f>'Annual Raw'!O107</f>
        <v>66.900000000000006</v>
      </c>
      <c r="O132" s="13">
        <f>'Annual Raw'!P107</f>
        <v>52.5</v>
      </c>
      <c r="P132" s="13">
        <f>'Annual Raw'!Q107</f>
        <v>107.5</v>
      </c>
      <c r="Q132" s="13">
        <f>'Annual Raw'!R107</f>
        <v>324</v>
      </c>
      <c r="R132" s="13">
        <f>'Annual Raw'!S107</f>
        <v>325</v>
      </c>
      <c r="S132" s="13">
        <f>'Annual Raw'!T107</f>
        <v>324</v>
      </c>
      <c r="T132" s="13">
        <f>'Annual Raw'!U107</f>
        <v>141.85</v>
      </c>
      <c r="U132" s="13">
        <f>'Annual Raw'!V107</f>
        <v>70.5</v>
      </c>
      <c r="V132" s="13">
        <f>'Annual Raw'!W107</f>
        <v>103.75</v>
      </c>
      <c r="W132" s="13">
        <f>'Annual Raw'!X107</f>
        <v>423.4</v>
      </c>
      <c r="X132" s="13">
        <f>'Annual Raw'!Y107</f>
        <v>422</v>
      </c>
      <c r="Y132" s="13">
        <f>'Annual Raw'!Z107</f>
        <v>627.20000000000005</v>
      </c>
      <c r="Z132" s="13">
        <f>'Annual Raw'!AA107</f>
        <v>498.2</v>
      </c>
      <c r="AA132" s="13">
        <f>'Annual Raw'!AB107</f>
        <v>524.1</v>
      </c>
      <c r="AB132" s="37">
        <f>+MAX(CM132:CP132)</f>
        <v>1013.4645491519971</v>
      </c>
      <c r="AC132" s="37">
        <f>+MAX(CQ132:CT132)</f>
        <v>1351.5006909351614</v>
      </c>
      <c r="AD132" s="37">
        <f>+MAX(CU132:CX132)</f>
        <v>1611.2904066412109</v>
      </c>
      <c r="AE132" s="37">
        <f>+MAX(CY132:DB132)</f>
        <v>1856.7852683712376</v>
      </c>
      <c r="AJ132" s="13">
        <f>'QTR Share Price'!HP19</f>
        <v>62.3</v>
      </c>
      <c r="AK132" s="13">
        <f>'QTR Share Price'!HQ19</f>
        <v>66.900000000000006</v>
      </c>
      <c r="AL132" s="13">
        <f>'QTR Share Price'!HR19</f>
        <v>57.95</v>
      </c>
      <c r="AM132" s="13">
        <f>'QTR Share Price'!HS19</f>
        <v>52.5</v>
      </c>
      <c r="AN132" s="13">
        <f>'QTR Share Price'!HT19</f>
        <v>41.6</v>
      </c>
      <c r="AO132" s="13">
        <f>'QTR Share Price'!HU19</f>
        <v>38.9</v>
      </c>
      <c r="AP132" s="13">
        <f>'QTR Share Price'!HV19</f>
        <v>45.9</v>
      </c>
      <c r="AQ132" s="13">
        <f>'QTR Share Price'!HW19</f>
        <v>59</v>
      </c>
      <c r="AR132" s="13">
        <f>'QTR Share Price'!HX19</f>
        <v>88.7</v>
      </c>
      <c r="AS132" s="13">
        <f>'QTR Share Price'!HY19</f>
        <v>94.05</v>
      </c>
      <c r="AT132" s="13">
        <f>'QTR Share Price'!HZ19</f>
        <v>107.5</v>
      </c>
      <c r="AU132" s="13">
        <f>'QTR Share Price'!IA19</f>
        <v>152.4</v>
      </c>
      <c r="AV132" s="13">
        <f>'QTR Share Price'!IB19</f>
        <v>278</v>
      </c>
      <c r="AW132" s="13">
        <f>'QTR Share Price'!IC19</f>
        <v>324</v>
      </c>
      <c r="AX132" s="13">
        <f>'QTR Share Price'!ID19</f>
        <v>320</v>
      </c>
      <c r="AY132" s="13">
        <f>'QTR Share Price'!IE19</f>
        <v>305</v>
      </c>
      <c r="AZ132" s="13">
        <f>'QTR Share Price'!IF19</f>
        <v>282</v>
      </c>
      <c r="BA132" s="13">
        <f>'QTR Share Price'!IG19</f>
        <v>325</v>
      </c>
      <c r="BB132" s="13">
        <f>'QTR Share Price'!IH19</f>
        <v>304.5</v>
      </c>
      <c r="BC132" s="13">
        <f>'QTR Share Price'!II19</f>
        <v>324</v>
      </c>
      <c r="BD132" s="13">
        <f>'QTR Share Price'!IJ19</f>
        <v>295</v>
      </c>
      <c r="BE132" s="13">
        <f>'QTR Share Price'!IK19</f>
        <v>223.6</v>
      </c>
      <c r="BF132" s="13">
        <f>'QTR Share Price'!IL19</f>
        <v>210</v>
      </c>
      <c r="BG132" s="13">
        <f>'QTR Share Price'!IM19</f>
        <v>141.85</v>
      </c>
      <c r="BH132" s="13">
        <f>'QTR Share Price'!IN19</f>
        <v>99.8</v>
      </c>
      <c r="BI132" s="13">
        <f>'QTR Share Price'!IO19</f>
        <v>87.5</v>
      </c>
      <c r="BJ132" s="13">
        <f>'QTR Share Price'!IP19</f>
        <v>82.9</v>
      </c>
      <c r="BK132" s="13">
        <f>'QTR Share Price'!IQ19</f>
        <v>69.55</v>
      </c>
      <c r="BL132" s="13">
        <f>'QTR Share Price'!IR19</f>
        <v>56.5</v>
      </c>
      <c r="BM132" s="13">
        <f>'QTR Share Price'!IS19</f>
        <v>70.5</v>
      </c>
      <c r="BN132" s="13">
        <f>'QTR Share Price'!IT19</f>
        <v>65.45</v>
      </c>
      <c r="BO132" s="13">
        <f>'QTR Share Price'!IU19</f>
        <v>55</v>
      </c>
      <c r="BP132" s="13">
        <f>'QTR Share Price'!IV19</f>
        <v>66.2</v>
      </c>
      <c r="BQ132" s="13">
        <f>'QTR Share Price'!IW19</f>
        <v>83.9</v>
      </c>
      <c r="BR132" s="13">
        <f>'QTR Share Price'!IX19</f>
        <v>103.75</v>
      </c>
      <c r="BS132" s="13">
        <f>'QTR Share Price'!IY19</f>
        <v>114.6</v>
      </c>
      <c r="BT132" s="13">
        <f>'QTR Share Price'!IZ19</f>
        <v>173.8</v>
      </c>
      <c r="BU132" s="13">
        <f>'QTR Share Price'!JA19</f>
        <v>354</v>
      </c>
      <c r="BV132" s="13">
        <f>'QTR Share Price'!JB19</f>
        <v>423.4</v>
      </c>
      <c r="BW132" s="13">
        <f>'QTR Share Price'!JC19</f>
        <v>422</v>
      </c>
      <c r="BX132" s="13">
        <f>'QTR Share Price'!JD19</f>
        <v>359.95</v>
      </c>
      <c r="BY132" s="13">
        <f>'QTR Share Price'!JE19</f>
        <v>298.8</v>
      </c>
      <c r="BZ132" s="13">
        <f>'QTR Share Price'!JF19</f>
        <v>254</v>
      </c>
      <c r="CA132" s="13">
        <f>'QTR Share Price'!JG19</f>
        <v>344</v>
      </c>
      <c r="CB132" s="13">
        <f>'QTR Share Price'!JH19</f>
        <v>393.3</v>
      </c>
      <c r="CC132" s="13">
        <f>'QTR Share Price'!JI19</f>
        <v>454.9</v>
      </c>
      <c r="CD132" s="13">
        <f>'QTR Share Price'!JJ19</f>
        <v>627.20000000000005</v>
      </c>
      <c r="CE132" s="13">
        <f>'QTR Share Price'!JK19</f>
        <v>485</v>
      </c>
      <c r="CF132" s="13">
        <f>'QTR Share Price'!JL19</f>
        <v>498.2</v>
      </c>
      <c r="CG132" s="13">
        <f>'QTR Share Price'!JM19</f>
        <v>469.05</v>
      </c>
      <c r="CH132" s="13">
        <f>'QTR Share Price'!JN19</f>
        <v>453</v>
      </c>
      <c r="CI132" s="13">
        <f>'QTR Share Price'!JO19</f>
        <v>512.45000000000005</v>
      </c>
      <c r="CJ132" s="13">
        <f>'QTR Share Price'!JP19</f>
        <v>487</v>
      </c>
      <c r="CK132" s="13">
        <f>'QTR Share Price'!JQ19</f>
        <v>501</v>
      </c>
      <c r="CL132" s="13">
        <f>'QTR Share Price'!JR19</f>
        <v>524.1</v>
      </c>
      <c r="CM132" s="37">
        <f t="shared" ref="CM132:DB132" si="236">+CM123*CM140</f>
        <v>713.26551766820194</v>
      </c>
      <c r="CN132" s="37">
        <f t="shared" si="236"/>
        <v>808.96928663973779</v>
      </c>
      <c r="CO132" s="37">
        <f t="shared" si="236"/>
        <v>926.89535502643218</v>
      </c>
      <c r="CP132" s="37">
        <f t="shared" si="236"/>
        <v>1013.4645491519971</v>
      </c>
      <c r="CQ132" s="37">
        <f t="shared" si="236"/>
        <v>1093.7340528427626</v>
      </c>
      <c r="CR132" s="37">
        <f t="shared" si="236"/>
        <v>1178.1673140947887</v>
      </c>
      <c r="CS132" s="37">
        <f t="shared" si="236"/>
        <v>1261.2422566681878</v>
      </c>
      <c r="CT132" s="37">
        <f t="shared" si="236"/>
        <v>1351.5006909351614</v>
      </c>
      <c r="CU132" s="37">
        <f t="shared" si="236"/>
        <v>1435.492837968289</v>
      </c>
      <c r="CV132" s="37">
        <f t="shared" si="236"/>
        <v>1505.3203629253328</v>
      </c>
      <c r="CW132" s="37">
        <f t="shared" si="236"/>
        <v>1563.5544391400656</v>
      </c>
      <c r="CX132" s="37">
        <f t="shared" si="236"/>
        <v>1611.2904066412109</v>
      </c>
      <c r="CY132" s="37">
        <f t="shared" si="236"/>
        <v>1675.5278034675359</v>
      </c>
      <c r="CZ132" s="37">
        <f t="shared" si="236"/>
        <v>1736.5341312121514</v>
      </c>
      <c r="DA132" s="37">
        <f t="shared" si="236"/>
        <v>1796.2339721970384</v>
      </c>
      <c r="DB132" s="37">
        <f t="shared" si="236"/>
        <v>1856.7852683712376</v>
      </c>
      <c r="DE132" s="134"/>
      <c r="DF132" s="13">
        <v>524.1</v>
      </c>
    </row>
    <row r="133" spans="1:110" s="13" customFormat="1" x14ac:dyDescent="0.2">
      <c r="A133" s="13" t="s">
        <v>458</v>
      </c>
      <c r="B133" s="13">
        <f>'Annual Raw'!C108</f>
        <v>8.8942196531791904</v>
      </c>
      <c r="C133" s="13">
        <f>'Annual Raw'!D108</f>
        <v>6.1872832369942197</v>
      </c>
      <c r="D133" s="13">
        <f>'Annual Raw'!E108</f>
        <v>6.5739884393063601</v>
      </c>
      <c r="E133" s="13">
        <f>'Annual Raw'!F108</f>
        <v>8.5934489402697505</v>
      </c>
      <c r="F133" s="13">
        <f>'Annual Raw'!G108</f>
        <v>14.75</v>
      </c>
      <c r="G133" s="13">
        <f>'Annual Raw'!H108</f>
        <v>33</v>
      </c>
      <c r="H133" s="13">
        <f>'Annual Raw'!I108</f>
        <v>50.1</v>
      </c>
      <c r="I133" s="13">
        <f>'Annual Raw'!J108</f>
        <v>24.05</v>
      </c>
      <c r="J133" s="13">
        <f>'Annual Raw'!K108</f>
        <v>8.01</v>
      </c>
      <c r="K133" s="13">
        <f>'Annual Raw'!L108</f>
        <v>10.5</v>
      </c>
      <c r="L133" s="13">
        <f>'Annual Raw'!M108</f>
        <v>29.1</v>
      </c>
      <c r="M133" s="13">
        <f>'Annual Raw'!N108</f>
        <v>26.45</v>
      </c>
      <c r="N133" s="13">
        <f>'Annual Raw'!O108</f>
        <v>33</v>
      </c>
      <c r="O133" s="13">
        <f>'Annual Raw'!P108</f>
        <v>26</v>
      </c>
      <c r="P133" s="13">
        <f>'Annual Raw'!Q108</f>
        <v>33.65</v>
      </c>
      <c r="Q133" s="13">
        <f>'Annual Raw'!R108</f>
        <v>71.5</v>
      </c>
      <c r="R133" s="13">
        <f>'Annual Raw'!S108</f>
        <v>225</v>
      </c>
      <c r="S133" s="13">
        <f>'Annual Raw'!T108</f>
        <v>118.2</v>
      </c>
      <c r="T133" s="13">
        <f>'Annual Raw'!U108</f>
        <v>53.7</v>
      </c>
      <c r="U133" s="13">
        <f>'Annual Raw'!V108</f>
        <v>32.15</v>
      </c>
      <c r="V133" s="13">
        <f>'Annual Raw'!W108</f>
        <v>34.549999999999997</v>
      </c>
      <c r="W133" s="13">
        <f>'Annual Raw'!X108</f>
        <v>73.55</v>
      </c>
      <c r="X133" s="13">
        <f>'Annual Raw'!Y108</f>
        <v>185</v>
      </c>
      <c r="Y133" s="13">
        <f>'Annual Raw'!Z108</f>
        <v>218</v>
      </c>
      <c r="Z133" s="13">
        <f>'Annual Raw'!AA108</f>
        <v>295.25</v>
      </c>
      <c r="AA133" s="13">
        <f>'Annual Raw'!AB108</f>
        <v>340.9</v>
      </c>
      <c r="AB133" s="37">
        <f>+MIN(CM133:CP133)</f>
        <v>559.82020738945789</v>
      </c>
      <c r="AC133" s="37">
        <f>+MIN(CQ133:CT133)</f>
        <v>858.43828016956775</v>
      </c>
      <c r="AD133" s="37">
        <f>+MIN(CU133:CX133)</f>
        <v>1126.6742585351187</v>
      </c>
      <c r="AE133" s="37">
        <f>+MIN(CY133:DB133)</f>
        <v>1315.0703338224973</v>
      </c>
      <c r="AJ133" s="13">
        <f>+'QTR Share Price'!HP20</f>
        <v>42.2</v>
      </c>
      <c r="AK133" s="13">
        <f>+'QTR Share Price'!HQ20</f>
        <v>49.15</v>
      </c>
      <c r="AL133" s="13">
        <f>+'QTR Share Price'!HR20</f>
        <v>33</v>
      </c>
      <c r="AM133" s="13">
        <f>+'QTR Share Price'!HS20</f>
        <v>34</v>
      </c>
      <c r="AN133" s="13">
        <f>+'QTR Share Price'!HT20</f>
        <v>26</v>
      </c>
      <c r="AO133" s="13">
        <f>+'QTR Share Price'!HU20</f>
        <v>28.05</v>
      </c>
      <c r="AP133" s="13">
        <f>+'QTR Share Price'!HV20</f>
        <v>31.3</v>
      </c>
      <c r="AQ133" s="13">
        <f>+'QTR Share Price'!HW20</f>
        <v>33.65</v>
      </c>
      <c r="AR133" s="13">
        <f>+'QTR Share Price'!HX20</f>
        <v>53.1</v>
      </c>
      <c r="AS133" s="13">
        <f>+'QTR Share Price'!HY20</f>
        <v>69.650000000000006</v>
      </c>
      <c r="AT133" s="13">
        <f>+'QTR Share Price'!HZ20</f>
        <v>68</v>
      </c>
      <c r="AU133" s="13">
        <f>+'QTR Share Price'!IA20</f>
        <v>71.5</v>
      </c>
      <c r="AV133" s="13">
        <f>+'QTR Share Price'!IB20</f>
        <v>150</v>
      </c>
      <c r="AW133" s="13">
        <f>+'QTR Share Price'!IC20</f>
        <v>239.3</v>
      </c>
      <c r="AX133" s="13">
        <f>+'QTR Share Price'!ID20</f>
        <v>238.5</v>
      </c>
      <c r="AY133" s="13">
        <f>+'QTR Share Price'!IE20</f>
        <v>246.3</v>
      </c>
      <c r="AZ133" s="13">
        <f>+'QTR Share Price'!IF20</f>
        <v>244.05</v>
      </c>
      <c r="BA133" s="13">
        <f>+'QTR Share Price'!IG20</f>
        <v>225</v>
      </c>
      <c r="BB133" s="13">
        <f>+'QTR Share Price'!IH20</f>
        <v>236</v>
      </c>
      <c r="BC133" s="13">
        <f>+'QTR Share Price'!II20</f>
        <v>250</v>
      </c>
      <c r="BD133" s="13">
        <f>+'QTR Share Price'!IJ20</f>
        <v>189.45</v>
      </c>
      <c r="BE133" s="13">
        <f>+'QTR Share Price'!IK20</f>
        <v>177</v>
      </c>
      <c r="BF133" s="13">
        <f>+'QTR Share Price'!IL20</f>
        <v>118.2</v>
      </c>
      <c r="BG133" s="13">
        <f>+'QTR Share Price'!IM20</f>
        <v>77.8</v>
      </c>
      <c r="BH133" s="13">
        <f>+'QTR Share Price'!IN20</f>
        <v>60.2</v>
      </c>
      <c r="BI133" s="13">
        <f>+'QTR Share Price'!IO20</f>
        <v>54</v>
      </c>
      <c r="BJ133" s="13">
        <f>+'QTR Share Price'!IP20</f>
        <v>53.7</v>
      </c>
      <c r="BK133" s="13">
        <f>+'QTR Share Price'!IQ20</f>
        <v>50.05</v>
      </c>
      <c r="BL133" s="13">
        <f>+'QTR Share Price'!IR20</f>
        <v>32.15</v>
      </c>
      <c r="BM133" s="13">
        <f>+'QTR Share Price'!IS20</f>
        <v>35.799999999999997</v>
      </c>
      <c r="BN133" s="13">
        <f>+'QTR Share Price'!IT20</f>
        <v>33.6</v>
      </c>
      <c r="BO133" s="13">
        <f>+'QTR Share Price'!IU20</f>
        <v>34.549999999999997</v>
      </c>
      <c r="BP133" s="13">
        <f>+'QTR Share Price'!IV20</f>
        <v>45</v>
      </c>
      <c r="BQ133" s="13">
        <f>+'QTR Share Price'!IW20</f>
        <v>45.95</v>
      </c>
      <c r="BR133" s="13">
        <f>+'QTR Share Price'!IX20</f>
        <v>70.349999999999994</v>
      </c>
      <c r="BS133" s="13">
        <f>+'QTR Share Price'!IY20</f>
        <v>73.55</v>
      </c>
      <c r="BT133" s="13">
        <f>+'QTR Share Price'!IZ20</f>
        <v>101.6</v>
      </c>
      <c r="BU133" s="13">
        <f>+'QTR Share Price'!JA20</f>
        <v>166.75</v>
      </c>
      <c r="BV133" s="13">
        <f>+'QTR Share Price'!JB20</f>
        <v>257.25</v>
      </c>
      <c r="BW133" s="13">
        <f>+'QTR Share Price'!JC20</f>
        <v>237</v>
      </c>
      <c r="BX133" s="13">
        <f>+'QTR Share Price'!JD20</f>
        <v>252.1</v>
      </c>
      <c r="BY133" s="13">
        <f>+'QTR Share Price'!JE20</f>
        <v>215</v>
      </c>
      <c r="BZ133" s="13">
        <f>+'QTR Share Price'!JF20</f>
        <v>185</v>
      </c>
      <c r="CA133" s="13">
        <f>+'QTR Share Price'!JG20</f>
        <v>218</v>
      </c>
      <c r="CB133" s="13">
        <f>+'QTR Share Price'!JH20</f>
        <v>290.25</v>
      </c>
      <c r="CC133" s="13">
        <f>+'QTR Share Price'!JI20</f>
        <v>274.45</v>
      </c>
      <c r="CD133" s="13">
        <f>+'QTR Share Price'!JJ20</f>
        <v>360</v>
      </c>
      <c r="CE133" s="13">
        <f>+'QTR Share Price'!JK20</f>
        <v>319.85000000000002</v>
      </c>
      <c r="CF133" s="13">
        <f>+'QTR Share Price'!JL20</f>
        <v>360.9</v>
      </c>
      <c r="CG133" s="13">
        <f>+'QTR Share Price'!JM20</f>
        <v>350</v>
      </c>
      <c r="CH133" s="13">
        <f>+'QTR Share Price'!JN20</f>
        <v>295.25</v>
      </c>
      <c r="CI133" s="13">
        <f>+'QTR Share Price'!JO20</f>
        <v>367.8</v>
      </c>
      <c r="CJ133" s="13">
        <f>+'QTR Share Price'!JP20</f>
        <v>340.9</v>
      </c>
      <c r="CK133" s="13">
        <f>+'QTR Share Price'!JQ20</f>
        <v>391.5</v>
      </c>
      <c r="CL133" s="13">
        <f>+'QTR Share Price'!JR20</f>
        <v>411.35</v>
      </c>
      <c r="CM133" s="37">
        <f t="shared" ref="CM133:DB133" si="237">+CM141*CM123</f>
        <v>559.82020738945789</v>
      </c>
      <c r="CN133" s="37">
        <f t="shared" si="237"/>
        <v>634.93515752577014</v>
      </c>
      <c r="CO133" s="37">
        <f t="shared" si="237"/>
        <v>727.49170824293628</v>
      </c>
      <c r="CP133" s="37">
        <f t="shared" si="237"/>
        <v>795.43721101635947</v>
      </c>
      <c r="CQ133" s="37">
        <f t="shared" si="237"/>
        <v>858.43828016956775</v>
      </c>
      <c r="CR133" s="37">
        <f t="shared" si="237"/>
        <v>924.70735480421934</v>
      </c>
      <c r="CS133" s="37">
        <f t="shared" si="237"/>
        <v>989.91032680873695</v>
      </c>
      <c r="CT133" s="37">
        <f t="shared" si="237"/>
        <v>1060.7514009085646</v>
      </c>
      <c r="CU133" s="37">
        <f t="shared" si="237"/>
        <v>1126.6742585351187</v>
      </c>
      <c r="CV133" s="37">
        <f t="shared" si="237"/>
        <v>1181.4797391515658</v>
      </c>
      <c r="CW133" s="37">
        <f t="shared" si="237"/>
        <v>1227.1858777719251</v>
      </c>
      <c r="CX133" s="37">
        <f t="shared" si="237"/>
        <v>1264.6523731575312</v>
      </c>
      <c r="CY133" s="37">
        <f t="shared" si="237"/>
        <v>1315.0703338224973</v>
      </c>
      <c r="CZ133" s="37">
        <f t="shared" si="237"/>
        <v>1362.9523275598522</v>
      </c>
      <c r="DA133" s="37">
        <f t="shared" si="237"/>
        <v>1409.8088999489635</v>
      </c>
      <c r="DB133" s="37">
        <f t="shared" si="237"/>
        <v>1457.3337533762806</v>
      </c>
      <c r="DE133" s="134"/>
      <c r="DF133" s="13">
        <v>411.35</v>
      </c>
    </row>
    <row r="134" spans="1:110" s="14" customFormat="1" x14ac:dyDescent="0.2">
      <c r="AB134" s="16"/>
      <c r="AC134" s="16"/>
      <c r="AD134" s="16"/>
      <c r="AE134" s="16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E134" s="134"/>
    </row>
    <row r="135" spans="1:110" s="51" customFormat="1" x14ac:dyDescent="0.2">
      <c r="A135" s="51" t="s">
        <v>345</v>
      </c>
      <c r="AB135" s="48">
        <f>+AB132/AB131-1</f>
        <v>1.4373846780952308</v>
      </c>
      <c r="AC135" s="48">
        <f>+AC132/AC131-1</f>
        <v>2.2503624120614751</v>
      </c>
      <c r="AD135" s="48">
        <f>+AD132/AD131-1</f>
        <v>2.8751573031294151</v>
      </c>
      <c r="AE135" s="48">
        <f>+AE132/AE131-1</f>
        <v>3.4655730360058623</v>
      </c>
      <c r="CM135" s="48">
        <f t="shared" ref="CM135:DB135" si="238">+CM132/CM131-1</f>
        <v>0.71540528539731096</v>
      </c>
      <c r="CN135" s="48">
        <f t="shared" si="238"/>
        <v>0.9455730799416493</v>
      </c>
      <c r="CO135" s="48">
        <f t="shared" si="238"/>
        <v>1.2291855580241275</v>
      </c>
      <c r="CP135" s="48">
        <f t="shared" si="238"/>
        <v>1.4373846780952308</v>
      </c>
      <c r="CQ135" s="48">
        <f t="shared" si="238"/>
        <v>1.6304330275198713</v>
      </c>
      <c r="CR135" s="48">
        <f t="shared" si="238"/>
        <v>1.8334952238931908</v>
      </c>
      <c r="CS135" s="48">
        <f t="shared" si="238"/>
        <v>2.0332906605776522</v>
      </c>
      <c r="CT135" s="48">
        <f t="shared" si="238"/>
        <v>2.2503624120614751</v>
      </c>
      <c r="CU135" s="48">
        <f t="shared" si="238"/>
        <v>2.4523637276774628</v>
      </c>
      <c r="CV135" s="48">
        <f t="shared" si="238"/>
        <v>2.6202990931345185</v>
      </c>
      <c r="CW135" s="48">
        <f t="shared" si="238"/>
        <v>2.7603521864840443</v>
      </c>
      <c r="CX135" s="48">
        <f t="shared" si="238"/>
        <v>2.8751573031294151</v>
      </c>
      <c r="CY135" s="48">
        <f t="shared" si="238"/>
        <v>3.0296483969878212</v>
      </c>
      <c r="CZ135" s="48">
        <f t="shared" si="238"/>
        <v>3.1763687619339862</v>
      </c>
      <c r="DA135" s="48">
        <f t="shared" si="238"/>
        <v>3.3199470230808998</v>
      </c>
      <c r="DB135" s="48">
        <f t="shared" si="238"/>
        <v>3.4655730360058623</v>
      </c>
      <c r="DE135" s="129"/>
      <c r="DF135" s="51">
        <v>0.26046176046176051</v>
      </c>
    </row>
    <row r="136" spans="1:110" s="51" customFormat="1" x14ac:dyDescent="0.2">
      <c r="A136" s="51" t="s">
        <v>346</v>
      </c>
      <c r="AB136" s="48">
        <f>+AB133/AB131-1</f>
        <v>0.34636894514059136</v>
      </c>
      <c r="AC136" s="48">
        <f>+AC133/AC131-1</f>
        <v>1.0645461283539386</v>
      </c>
      <c r="AD136" s="48">
        <f>+AD133/AD131-1</f>
        <v>1.7096543014312617</v>
      </c>
      <c r="AE136" s="48">
        <f>+AE133/AE131-1</f>
        <v>2.1627473155904218</v>
      </c>
      <c r="CM136" s="48">
        <f t="shared" ref="CM136:DB136" si="239">+CM133/CM131-1</f>
        <v>0.34636894514059136</v>
      </c>
      <c r="CN136" s="48">
        <f t="shared" si="239"/>
        <v>0.5270205808700581</v>
      </c>
      <c r="CO136" s="48">
        <f t="shared" si="239"/>
        <v>0.74961930794356957</v>
      </c>
      <c r="CP136" s="48">
        <f t="shared" si="239"/>
        <v>0.91302840552275</v>
      </c>
      <c r="CQ136" s="48">
        <f t="shared" si="239"/>
        <v>1.0645461283539386</v>
      </c>
      <c r="CR136" s="48">
        <f t="shared" si="239"/>
        <v>1.2239234122275597</v>
      </c>
      <c r="CS136" s="48">
        <f t="shared" si="239"/>
        <v>1.3807367167117288</v>
      </c>
      <c r="CT136" s="48">
        <f t="shared" si="239"/>
        <v>1.551109670294768</v>
      </c>
      <c r="CU136" s="48">
        <f t="shared" si="239"/>
        <v>1.7096543014312617</v>
      </c>
      <c r="CV136" s="48">
        <f t="shared" si="239"/>
        <v>1.8414616141211297</v>
      </c>
      <c r="CW136" s="48">
        <f t="shared" si="239"/>
        <v>1.9513849874264673</v>
      </c>
      <c r="CX136" s="48">
        <f t="shared" si="239"/>
        <v>2.0414919989358613</v>
      </c>
      <c r="CY136" s="48">
        <f t="shared" si="239"/>
        <v>2.1627473155904218</v>
      </c>
      <c r="CZ136" s="48">
        <f t="shared" si="239"/>
        <v>2.2779036256850702</v>
      </c>
      <c r="DA136" s="48">
        <f t="shared" si="239"/>
        <v>2.3905937949710521</v>
      </c>
      <c r="DB136" s="48">
        <f t="shared" si="239"/>
        <v>2.5048911817611366</v>
      </c>
      <c r="DE136" s="129"/>
      <c r="DF136" s="51">
        <v>-0.18013468013468026</v>
      </c>
    </row>
    <row r="137" spans="1:110" s="14" customFormat="1" x14ac:dyDescent="0.2">
      <c r="AB137" s="16"/>
      <c r="AC137" s="16"/>
      <c r="AD137" s="16"/>
      <c r="AE137" s="16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E137" s="134"/>
    </row>
    <row r="138" spans="1:110" s="13" customFormat="1" x14ac:dyDescent="0.2">
      <c r="A138" s="13" t="s">
        <v>39</v>
      </c>
      <c r="AB138" s="37"/>
      <c r="AC138" s="37"/>
      <c r="AD138" s="37"/>
      <c r="AE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E138" s="134"/>
    </row>
    <row r="139" spans="1:110" s="13" customFormat="1" x14ac:dyDescent="0.2">
      <c r="A139" s="13" t="s">
        <v>459</v>
      </c>
      <c r="B139" s="13">
        <f>+B131/B123</f>
        <v>1.9856986220833437</v>
      </c>
      <c r="C139" s="13">
        <f>+C131/C123</f>
        <v>2.5777864847134326</v>
      </c>
      <c r="D139" s="13">
        <f>+D131/D123</f>
        <v>1.8661705220032148</v>
      </c>
      <c r="E139" s="13" t="e">
        <f t="shared" ref="E139:AE139" ca="1" si="240">+E131/E123</f>
        <v>#DIV/0!</v>
      </c>
      <c r="F139" s="13" t="e">
        <f t="shared" ca="1" si="240"/>
        <v>#DIV/0!</v>
      </c>
      <c r="G139" s="13" t="e">
        <f t="shared" ca="1" si="240"/>
        <v>#DIV/0!</v>
      </c>
      <c r="H139" s="13" t="e">
        <f t="shared" ca="1" si="240"/>
        <v>#DIV/0!</v>
      </c>
      <c r="I139" s="13" t="e">
        <f t="shared" ca="1" si="240"/>
        <v>#DIV/0!</v>
      </c>
      <c r="J139" s="13" t="e">
        <f t="shared" ca="1" si="240"/>
        <v>#DIV/0!</v>
      </c>
      <c r="K139" s="13" t="e">
        <f t="shared" ca="1" si="240"/>
        <v>#DIV/0!</v>
      </c>
      <c r="L139" s="13" t="e">
        <f t="shared" ca="1" si="240"/>
        <v>#DIV/0!</v>
      </c>
      <c r="M139" s="13" t="e">
        <f t="shared" ca="1" si="240"/>
        <v>#DIV/0!</v>
      </c>
      <c r="N139" s="13" t="e">
        <f t="shared" ca="1" si="240"/>
        <v>#DIV/0!</v>
      </c>
      <c r="O139" s="13" t="e">
        <f t="shared" ca="1" si="240"/>
        <v>#DIV/0!</v>
      </c>
      <c r="P139" s="13" t="e">
        <f t="shared" ca="1" si="240"/>
        <v>#DIV/0!</v>
      </c>
      <c r="Q139" s="13" t="e">
        <f t="shared" ca="1" si="240"/>
        <v>#DIV/0!</v>
      </c>
      <c r="R139" s="13" t="e">
        <f t="shared" ca="1" si="240"/>
        <v>#DIV/0!</v>
      </c>
      <c r="S139" s="13" t="e">
        <f t="shared" ca="1" si="240"/>
        <v>#DIV/0!</v>
      </c>
      <c r="T139" s="13" t="e">
        <f t="shared" ca="1" si="240"/>
        <v>#DIV/0!</v>
      </c>
      <c r="U139" s="13" t="e">
        <f t="shared" ca="1" si="240"/>
        <v>#DIV/0!</v>
      </c>
      <c r="V139" s="13" t="e">
        <f t="shared" ca="1" si="240"/>
        <v>#DIV/0!</v>
      </c>
      <c r="W139" s="13" t="e">
        <f t="shared" ca="1" si="240"/>
        <v>#DIV/0!</v>
      </c>
      <c r="X139" s="13" t="e">
        <f t="shared" ca="1" si="240"/>
        <v>#DIV/0!</v>
      </c>
      <c r="Y139" s="13" t="e">
        <f t="shared" ca="1" si="240"/>
        <v>#DIV/0!</v>
      </c>
      <c r="Z139" s="13" t="e">
        <f ca="1">+Z131/Z123</f>
        <v>#DIV/0!</v>
      </c>
      <c r="AA139" s="13" t="e">
        <f ca="1">+AA131/AA123</f>
        <v>#DIV/0!</v>
      </c>
      <c r="AB139" s="37" t="e">
        <f t="shared" ca="1" si="240"/>
        <v>#DIV/0!</v>
      </c>
      <c r="AC139" s="37" t="e">
        <f t="shared" ca="1" si="240"/>
        <v>#DIV/0!</v>
      </c>
      <c r="AD139" s="37" t="e">
        <f t="shared" ca="1" si="240"/>
        <v>#DIV/0!</v>
      </c>
      <c r="AE139" s="37" t="e">
        <f t="shared" ca="1" si="240"/>
        <v>#DIV/0!</v>
      </c>
      <c r="AL139" s="13">
        <f t="shared" ref="AL139:BQ139" si="241">+AL131/AL123</f>
        <v>3.3014492753623199</v>
      </c>
      <c r="AM139" s="13">
        <f t="shared" si="241"/>
        <v>4.317459904186622</v>
      </c>
      <c r="AN139" s="13">
        <f t="shared" si="241"/>
        <v>3.3432459677419382</v>
      </c>
      <c r="AO139" s="13">
        <f t="shared" si="241"/>
        <v>4.1661944958371881</v>
      </c>
      <c r="AP139" s="13">
        <f t="shared" si="241"/>
        <v>4.3229779411764682</v>
      </c>
      <c r="AQ139" s="13">
        <f t="shared" si="241"/>
        <v>5.9720234222511381</v>
      </c>
      <c r="AR139" s="13">
        <f t="shared" si="241"/>
        <v>9.076570680628258</v>
      </c>
      <c r="AS139" s="13">
        <f t="shared" si="241"/>
        <v>8.1844184576485404</v>
      </c>
      <c r="AT139" s="13">
        <f t="shared" si="241"/>
        <v>7.5636315485362093</v>
      </c>
      <c r="AU139" s="13">
        <f t="shared" si="241"/>
        <v>13.010384215991698</v>
      </c>
      <c r="AV139" s="13">
        <f t="shared" si="241"/>
        <v>20.51784052125349</v>
      </c>
      <c r="AW139" s="13">
        <f t="shared" si="241"/>
        <v>23.213315217391273</v>
      </c>
      <c r="AX139" s="13">
        <f t="shared" si="241"/>
        <v>16.174279622690253</v>
      </c>
      <c r="AY139" s="13">
        <f t="shared" si="241"/>
        <v>18.253660394858844</v>
      </c>
      <c r="AZ139" s="13">
        <f t="shared" si="241"/>
        <v>17.525269821502661</v>
      </c>
      <c r="BA139" s="13">
        <f t="shared" si="241"/>
        <v>20.232971251225052</v>
      </c>
      <c r="BB139" s="13">
        <f t="shared" si="241"/>
        <v>25.294515864332581</v>
      </c>
      <c r="BC139" s="13">
        <f t="shared" si="241"/>
        <v>32.30269127023049</v>
      </c>
      <c r="BD139" s="13">
        <f t="shared" si="241"/>
        <v>38.482718446602</v>
      </c>
      <c r="BE139" s="13">
        <f t="shared" si="241"/>
        <v>38.21491403438641</v>
      </c>
      <c r="BF139" s="13">
        <f t="shared" si="241"/>
        <v>19.720443349753737</v>
      </c>
      <c r="BG139" s="13">
        <f t="shared" si="241"/>
        <v>12.313662965186115</v>
      </c>
      <c r="BH139" s="13">
        <f t="shared" si="241"/>
        <v>7.2041726105563537</v>
      </c>
      <c r="BI139" s="13">
        <f t="shared" si="241"/>
        <v>9.1308905750798761</v>
      </c>
      <c r="BJ139" s="13">
        <f t="shared" si="241"/>
        <v>24.897108843537435</v>
      </c>
      <c r="BK139" s="13">
        <f t="shared" si="241"/>
        <v>25.442728599221816</v>
      </c>
      <c r="BL139" s="13">
        <f t="shared" si="241"/>
        <v>45.67641843971672</v>
      </c>
      <c r="BM139" s="13">
        <f t="shared" si="241"/>
        <v>29.16508087535691</v>
      </c>
      <c r="BN139" s="13">
        <f t="shared" si="241"/>
        <v>13.357115963855474</v>
      </c>
      <c r="BO139" s="13">
        <f t="shared" si="241"/>
        <v>-12.032384690873371</v>
      </c>
      <c r="BP139" s="13">
        <f t="shared" si="241"/>
        <v>-8.4988279841326886</v>
      </c>
      <c r="BQ139" s="13">
        <f t="shared" si="241"/>
        <v>-14.944707817337447</v>
      </c>
      <c r="BR139" s="13">
        <f t="shared" ref="BR139:DB139" si="242">+BR131/BR123</f>
        <v>87.788301662708008</v>
      </c>
      <c r="BS139" s="13">
        <f t="shared" si="242"/>
        <v>10.658630592503021</v>
      </c>
      <c r="BT139" s="13">
        <f t="shared" si="242"/>
        <v>10.010390541024732</v>
      </c>
      <c r="BU139" s="13">
        <f t="shared" si="242"/>
        <v>14.573923275574817</v>
      </c>
      <c r="BV139" s="13">
        <f t="shared" si="242"/>
        <v>8.4916388779913685</v>
      </c>
      <c r="BW139" s="13">
        <f t="shared" si="242"/>
        <v>7.1025288191920239</v>
      </c>
      <c r="BX139" s="13">
        <f t="shared" si="242"/>
        <v>7.1412611464968112</v>
      </c>
      <c r="BY139" s="13">
        <f t="shared" si="242"/>
        <v>7.0014367816091916</v>
      </c>
      <c r="BZ139" s="13">
        <f t="shared" si="242"/>
        <v>6.9254910742849836</v>
      </c>
      <c r="CA139" s="13">
        <f t="shared" si="242"/>
        <v>12.774018529486415</v>
      </c>
      <c r="CB139" s="13">
        <f t="shared" si="242"/>
        <v>17.752683455464961</v>
      </c>
      <c r="CC139" s="13">
        <f t="shared" si="242"/>
        <v>26.786390624999996</v>
      </c>
      <c r="CD139" s="13">
        <f t="shared" si="242"/>
        <v>46.433075221238951</v>
      </c>
      <c r="CE139" s="13">
        <f t="shared" si="242"/>
        <v>41.948539922401515</v>
      </c>
      <c r="CF139" s="13">
        <f t="shared" si="242"/>
        <v>53.360605370960371</v>
      </c>
      <c r="CG139" s="13">
        <f t="shared" si="242"/>
        <v>48.969557303898604</v>
      </c>
      <c r="CH139" s="13">
        <f t="shared" si="242"/>
        <v>57.060678980228964</v>
      </c>
      <c r="CI139" s="13">
        <f>+CI131/CI123</f>
        <v>93.303680106504331</v>
      </c>
      <c r="CJ139" s="13">
        <f>+CJ131/CJ123</f>
        <v>49.728829496239051</v>
      </c>
      <c r="CK139" s="13">
        <f>+CK131/CK123</f>
        <v>37.777109576567071</v>
      </c>
      <c r="CL139" s="13">
        <f>+CL131/CL123</f>
        <v>23.413211564320978</v>
      </c>
      <c r="CM139" s="37">
        <f t="shared" si="242"/>
        <v>17.203781588904466</v>
      </c>
      <c r="CN139" s="37">
        <f t="shared" si="242"/>
        <v>15.16851675770142</v>
      </c>
      <c r="CO139" s="37">
        <f t="shared" si="242"/>
        <v>13.238672644454775</v>
      </c>
      <c r="CP139" s="37">
        <f t="shared" si="242"/>
        <v>12.107837606286385</v>
      </c>
      <c r="CQ139" s="37">
        <f t="shared" si="242"/>
        <v>11.219239401906698</v>
      </c>
      <c r="CR139" s="37">
        <f t="shared" si="242"/>
        <v>10.415213555884966</v>
      </c>
      <c r="CS139" s="37">
        <f t="shared" si="242"/>
        <v>9.729188913537083</v>
      </c>
      <c r="CT139" s="37">
        <f t="shared" si="242"/>
        <v>9.0794361136211386</v>
      </c>
      <c r="CU139" s="37">
        <f t="shared" si="242"/>
        <v>8.5481890653164623</v>
      </c>
      <c r="CV139" s="37">
        <f t="shared" si="242"/>
        <v>8.1516629171310075</v>
      </c>
      <c r="CW139" s="37">
        <f t="shared" si="242"/>
        <v>7.8480568848050085</v>
      </c>
      <c r="CX139" s="37">
        <f t="shared" si="242"/>
        <v>7.615550946175901</v>
      </c>
      <c r="CY139" s="37">
        <f t="shared" si="242"/>
        <v>7.3235813547622692</v>
      </c>
      <c r="CZ139" s="37">
        <f t="shared" si="242"/>
        <v>7.0662959974735449</v>
      </c>
      <c r="DA139" s="37">
        <f t="shared" si="242"/>
        <v>6.8314397627452124</v>
      </c>
      <c r="DB139" s="37">
        <f t="shared" si="242"/>
        <v>6.6086608881944455</v>
      </c>
      <c r="DE139" s="134"/>
      <c r="DF139" s="13">
        <v>28.889154800762697</v>
      </c>
    </row>
    <row r="140" spans="1:110" s="13" customFormat="1" x14ac:dyDescent="0.2">
      <c r="A140" s="13" t="s">
        <v>460</v>
      </c>
      <c r="B140" s="13">
        <f>+B132/B123</f>
        <v>5.1911835405893196</v>
      </c>
      <c r="C140" s="13">
        <f>+C132/C123</f>
        <v>4.2349349391720841</v>
      </c>
      <c r="D140" s="13">
        <f>+D132/D123</f>
        <v>4.0122666223069192</v>
      </c>
      <c r="E140" s="13" t="e">
        <f t="shared" ref="E140:AE140" ca="1" si="243">+E132/E123</f>
        <v>#DIV/0!</v>
      </c>
      <c r="F140" s="13" t="e">
        <f t="shared" ca="1" si="243"/>
        <v>#DIV/0!</v>
      </c>
      <c r="G140" s="13" t="e">
        <f t="shared" ca="1" si="243"/>
        <v>#DIV/0!</v>
      </c>
      <c r="H140" s="13" t="e">
        <f t="shared" ca="1" si="243"/>
        <v>#DIV/0!</v>
      </c>
      <c r="I140" s="13" t="e">
        <f t="shared" ca="1" si="243"/>
        <v>#DIV/0!</v>
      </c>
      <c r="J140" s="13" t="e">
        <f t="shared" ca="1" si="243"/>
        <v>#DIV/0!</v>
      </c>
      <c r="K140" s="13" t="e">
        <f t="shared" ca="1" si="243"/>
        <v>#DIV/0!</v>
      </c>
      <c r="L140" s="13" t="e">
        <f t="shared" ca="1" si="243"/>
        <v>#DIV/0!</v>
      </c>
      <c r="M140" s="13" t="e">
        <f t="shared" ca="1" si="243"/>
        <v>#DIV/0!</v>
      </c>
      <c r="N140" s="13" t="e">
        <f t="shared" ca="1" si="243"/>
        <v>#DIV/0!</v>
      </c>
      <c r="O140" s="13" t="e">
        <f t="shared" ca="1" si="243"/>
        <v>#DIV/0!</v>
      </c>
      <c r="P140" s="13" t="e">
        <f t="shared" ca="1" si="243"/>
        <v>#DIV/0!</v>
      </c>
      <c r="Q140" s="13" t="e">
        <f t="shared" ca="1" si="243"/>
        <v>#DIV/0!</v>
      </c>
      <c r="R140" s="13" t="e">
        <f t="shared" ca="1" si="243"/>
        <v>#DIV/0!</v>
      </c>
      <c r="S140" s="13" t="e">
        <f t="shared" ca="1" si="243"/>
        <v>#DIV/0!</v>
      </c>
      <c r="T140" s="13" t="e">
        <f t="shared" ca="1" si="243"/>
        <v>#DIV/0!</v>
      </c>
      <c r="U140" s="13" t="e">
        <f t="shared" ca="1" si="243"/>
        <v>#DIV/0!</v>
      </c>
      <c r="V140" s="13" t="e">
        <f t="shared" ca="1" si="243"/>
        <v>#DIV/0!</v>
      </c>
      <c r="W140" s="13" t="e">
        <f t="shared" ca="1" si="243"/>
        <v>#DIV/0!</v>
      </c>
      <c r="X140" s="13" t="e">
        <f t="shared" ca="1" si="243"/>
        <v>#DIV/0!</v>
      </c>
      <c r="Y140" s="13" t="e">
        <f t="shared" ca="1" si="243"/>
        <v>#DIV/0!</v>
      </c>
      <c r="Z140" s="13" t="e">
        <f ca="1">+Z132/Z123</f>
        <v>#DIV/0!</v>
      </c>
      <c r="AA140" s="13" t="e">
        <f ca="1">+AA132/AA123</f>
        <v>#DIV/0!</v>
      </c>
      <c r="AB140" s="60" t="e">
        <f t="shared" ca="1" si="243"/>
        <v>#DIV/0!</v>
      </c>
      <c r="AC140" s="60" t="e">
        <f t="shared" ca="1" si="243"/>
        <v>#DIV/0!</v>
      </c>
      <c r="AD140" s="60" t="e">
        <f t="shared" ca="1" si="243"/>
        <v>#DIV/0!</v>
      </c>
      <c r="AE140" s="60" t="e">
        <f t="shared" ca="1" si="243"/>
        <v>#DIV/0!</v>
      </c>
      <c r="AL140" s="13">
        <f t="shared" ref="AL140:BQ140" si="244">+AL132/AL123</f>
        <v>5.6270289855072484</v>
      </c>
      <c r="AM140" s="13">
        <f t="shared" si="244"/>
        <v>5.494948968964791</v>
      </c>
      <c r="AN140" s="13">
        <f t="shared" si="244"/>
        <v>4.9582542694497196</v>
      </c>
      <c r="AO140" s="13">
        <f t="shared" si="244"/>
        <v>4.520640610545791</v>
      </c>
      <c r="AP140" s="13">
        <f t="shared" si="244"/>
        <v>5.6531249999999957</v>
      </c>
      <c r="AQ140" s="13">
        <f t="shared" si="244"/>
        <v>6.4297332465842549</v>
      </c>
      <c r="AR140" s="13">
        <f t="shared" si="244"/>
        <v>9.7233311518324452</v>
      </c>
      <c r="AS140" s="13">
        <f t="shared" si="244"/>
        <v>9.9578855878634567</v>
      </c>
      <c r="AT140" s="13">
        <f t="shared" si="244"/>
        <v>10.404227657935284</v>
      </c>
      <c r="AU140" s="13">
        <f t="shared" si="244"/>
        <v>13.25389408099689</v>
      </c>
      <c r="AV140" s="13">
        <f t="shared" si="244"/>
        <v>21.671579273968355</v>
      </c>
      <c r="AW140" s="13">
        <f t="shared" si="244"/>
        <v>24.578804347826054</v>
      </c>
      <c r="AX140" s="13">
        <f t="shared" si="244"/>
        <v>20.777878278847375</v>
      </c>
      <c r="AY140" s="13">
        <f t="shared" si="244"/>
        <v>20.307738174108874</v>
      </c>
      <c r="AZ140" s="13">
        <f t="shared" si="244"/>
        <v>19.60772104607717</v>
      </c>
      <c r="BA140" s="13">
        <f t="shared" si="244"/>
        <v>26.676331264292664</v>
      </c>
      <c r="BB140" s="13">
        <f t="shared" si="244"/>
        <v>27.901394967177215</v>
      </c>
      <c r="BC140" s="13">
        <f t="shared" si="244"/>
        <v>39.923982344286401</v>
      </c>
      <c r="BD140" s="13">
        <f t="shared" si="244"/>
        <v>57.567961165048636</v>
      </c>
      <c r="BE140" s="13">
        <f t="shared" si="244"/>
        <v>44.925629748100953</v>
      </c>
      <c r="BF140" s="13">
        <f t="shared" si="244"/>
        <v>34.655172413793181</v>
      </c>
      <c r="BG140" s="13">
        <f t="shared" si="244"/>
        <v>21.392444477791184</v>
      </c>
      <c r="BH140" s="13">
        <f t="shared" si="244"/>
        <v>11.923323823109854</v>
      </c>
      <c r="BI140" s="13">
        <f t="shared" si="244"/>
        <v>11.706269968051123</v>
      </c>
      <c r="BJ140" s="13">
        <f t="shared" si="244"/>
        <v>31.486961451247197</v>
      </c>
      <c r="BK140" s="13">
        <f t="shared" si="244"/>
        <v>33.99696011673155</v>
      </c>
      <c r="BL140" s="13">
        <f t="shared" si="244"/>
        <v>67.118794326241741</v>
      </c>
      <c r="BM140" s="13">
        <f t="shared" si="244"/>
        <v>33.707183634633807</v>
      </c>
      <c r="BN140" s="13">
        <f t="shared" si="244"/>
        <v>24.765530873494075</v>
      </c>
      <c r="BO140" s="13">
        <f t="shared" si="244"/>
        <v>-13.561089303238433</v>
      </c>
      <c r="BP140" s="13">
        <f t="shared" si="244"/>
        <v>-11.996213487197954</v>
      </c>
      <c r="BQ140" s="13">
        <f t="shared" si="244"/>
        <v>-16.315692724458192</v>
      </c>
      <c r="BR140" s="13">
        <f t="shared" ref="BR140:CH140" si="245">+BR132/BR123</f>
        <v>123.83461995249431</v>
      </c>
      <c r="BS140" s="13">
        <f t="shared" si="245"/>
        <v>11.605501813784761</v>
      </c>
      <c r="BT140" s="13">
        <f t="shared" si="245"/>
        <v>10.430490863489798</v>
      </c>
      <c r="BU140" s="13">
        <f t="shared" si="245"/>
        <v>14.818810396534497</v>
      </c>
      <c r="BV140" s="13">
        <f t="shared" si="245"/>
        <v>13.911239701843858</v>
      </c>
      <c r="BW140" s="13">
        <f t="shared" si="245"/>
        <v>11.011268044449059</v>
      </c>
      <c r="BX140" s="13">
        <f t="shared" si="245"/>
        <v>9.2165541401273838</v>
      </c>
      <c r="BY140" s="13">
        <f t="shared" si="245"/>
        <v>8.5862068965517206</v>
      </c>
      <c r="BZ140" s="13">
        <f t="shared" si="245"/>
        <v>8.1665493633629787</v>
      </c>
      <c r="CA140" s="13">
        <f t="shared" si="245"/>
        <v>14.625602842880104</v>
      </c>
      <c r="CB140" s="13">
        <f t="shared" si="245"/>
        <v>20.397693260398391</v>
      </c>
      <c r="CC140" s="13">
        <f t="shared" si="245"/>
        <v>28.573406249999994</v>
      </c>
      <c r="CD140" s="13">
        <f t="shared" si="245"/>
        <v>66.407079646017721</v>
      </c>
      <c r="CE140" s="13">
        <f t="shared" si="245"/>
        <v>49.767714927506695</v>
      </c>
      <c r="CF140" s="13">
        <f t="shared" si="245"/>
        <v>56.97439690487024</v>
      </c>
      <c r="CG140" s="13">
        <f t="shared" si="245"/>
        <v>55.35406881164873</v>
      </c>
      <c r="CH140" s="13">
        <f t="shared" si="245"/>
        <v>59.217611862643118</v>
      </c>
      <c r="CI140" s="13">
        <f>+CI132/CI123</f>
        <v>97.948316850513478</v>
      </c>
      <c r="CJ140" s="13">
        <f>+CJ132/CJ123</f>
        <v>55.782425347618144</v>
      </c>
      <c r="CK140" s="13">
        <f>+CK132/CK123</f>
        <v>38.20799817878288</v>
      </c>
      <c r="CL140" s="13">
        <f>+CL132/CL123</f>
        <v>29.511457866427669</v>
      </c>
      <c r="CM140" s="60">
        <f t="shared" ref="CM140:DB140" si="246">+CL140</f>
        <v>29.511457866427669</v>
      </c>
      <c r="CN140" s="60">
        <f t="shared" si="246"/>
        <v>29.511457866427669</v>
      </c>
      <c r="CO140" s="60">
        <f t="shared" si="246"/>
        <v>29.511457866427669</v>
      </c>
      <c r="CP140" s="60">
        <f t="shared" si="246"/>
        <v>29.511457866427669</v>
      </c>
      <c r="CQ140" s="60">
        <f t="shared" si="246"/>
        <v>29.511457866427669</v>
      </c>
      <c r="CR140" s="60">
        <f t="shared" si="246"/>
        <v>29.511457866427669</v>
      </c>
      <c r="CS140" s="60">
        <f t="shared" si="246"/>
        <v>29.511457866427669</v>
      </c>
      <c r="CT140" s="60">
        <f t="shared" si="246"/>
        <v>29.511457866427669</v>
      </c>
      <c r="CU140" s="60">
        <f t="shared" si="246"/>
        <v>29.511457866427669</v>
      </c>
      <c r="CV140" s="60">
        <f t="shared" si="246"/>
        <v>29.511457866427669</v>
      </c>
      <c r="CW140" s="60">
        <f t="shared" si="246"/>
        <v>29.511457866427669</v>
      </c>
      <c r="CX140" s="60">
        <f t="shared" si="246"/>
        <v>29.511457866427669</v>
      </c>
      <c r="CY140" s="60">
        <f t="shared" si="246"/>
        <v>29.511457866427669</v>
      </c>
      <c r="CZ140" s="60">
        <f t="shared" si="246"/>
        <v>29.511457866427669</v>
      </c>
      <c r="DA140" s="60">
        <f t="shared" si="246"/>
        <v>29.511457866427669</v>
      </c>
      <c r="DB140" s="60">
        <f t="shared" si="246"/>
        <v>29.511457866427669</v>
      </c>
      <c r="DE140" s="136"/>
      <c r="DF140" s="13">
        <v>36.41367491842167</v>
      </c>
    </row>
    <row r="141" spans="1:110" s="13" customFormat="1" x14ac:dyDescent="0.2">
      <c r="A141" s="13" t="s">
        <v>461</v>
      </c>
      <c r="B141" s="13">
        <f>+B133/B123</f>
        <v>1.9573314989107238</v>
      </c>
      <c r="C141" s="13">
        <f>+C133/C123</f>
        <v>2.2095312726115139</v>
      </c>
      <c r="D141" s="13">
        <f>+D133/D123</f>
        <v>1.4276204493324596</v>
      </c>
      <c r="E141" s="13" t="e">
        <f t="shared" ref="E141:AE141" ca="1" si="247">+E133/E123</f>
        <v>#DIV/0!</v>
      </c>
      <c r="F141" s="13" t="e">
        <f t="shared" ca="1" si="247"/>
        <v>#DIV/0!</v>
      </c>
      <c r="G141" s="13" t="e">
        <f t="shared" ca="1" si="247"/>
        <v>#DIV/0!</v>
      </c>
      <c r="H141" s="13" t="e">
        <f t="shared" ca="1" si="247"/>
        <v>#DIV/0!</v>
      </c>
      <c r="I141" s="13" t="e">
        <f t="shared" ca="1" si="247"/>
        <v>#DIV/0!</v>
      </c>
      <c r="J141" s="13" t="e">
        <f t="shared" ca="1" si="247"/>
        <v>#DIV/0!</v>
      </c>
      <c r="K141" s="13" t="e">
        <f t="shared" ca="1" si="247"/>
        <v>#DIV/0!</v>
      </c>
      <c r="L141" s="13" t="e">
        <f t="shared" ca="1" si="247"/>
        <v>#DIV/0!</v>
      </c>
      <c r="M141" s="13" t="e">
        <f t="shared" ca="1" si="247"/>
        <v>#DIV/0!</v>
      </c>
      <c r="N141" s="13" t="e">
        <f t="shared" ca="1" si="247"/>
        <v>#DIV/0!</v>
      </c>
      <c r="O141" s="13" t="e">
        <f t="shared" ca="1" si="247"/>
        <v>#DIV/0!</v>
      </c>
      <c r="P141" s="13" t="e">
        <f t="shared" ca="1" si="247"/>
        <v>#DIV/0!</v>
      </c>
      <c r="Q141" s="13" t="e">
        <f t="shared" ca="1" si="247"/>
        <v>#DIV/0!</v>
      </c>
      <c r="R141" s="13" t="e">
        <f t="shared" ca="1" si="247"/>
        <v>#DIV/0!</v>
      </c>
      <c r="S141" s="13" t="e">
        <f t="shared" ca="1" si="247"/>
        <v>#DIV/0!</v>
      </c>
      <c r="T141" s="13" t="e">
        <f t="shared" ca="1" si="247"/>
        <v>#DIV/0!</v>
      </c>
      <c r="U141" s="13" t="e">
        <f t="shared" ca="1" si="247"/>
        <v>#DIV/0!</v>
      </c>
      <c r="V141" s="13" t="e">
        <f t="shared" ca="1" si="247"/>
        <v>#DIV/0!</v>
      </c>
      <c r="W141" s="13" t="e">
        <f t="shared" ca="1" si="247"/>
        <v>#DIV/0!</v>
      </c>
      <c r="X141" s="13" t="e">
        <f t="shared" ca="1" si="247"/>
        <v>#DIV/0!</v>
      </c>
      <c r="Y141" s="13" t="e">
        <f t="shared" ca="1" si="247"/>
        <v>#DIV/0!</v>
      </c>
      <c r="Z141" s="13" t="e">
        <f ca="1">+Z133/Z123</f>
        <v>#DIV/0!</v>
      </c>
      <c r="AA141" s="13" t="e">
        <f ca="1">+AA133/AA123</f>
        <v>#DIV/0!</v>
      </c>
      <c r="AB141" s="60" t="e">
        <f t="shared" ca="1" si="247"/>
        <v>#DIV/0!</v>
      </c>
      <c r="AC141" s="60" t="e">
        <f t="shared" ca="1" si="247"/>
        <v>#DIV/0!</v>
      </c>
      <c r="AD141" s="60" t="e">
        <f t="shared" ca="1" si="247"/>
        <v>#DIV/0!</v>
      </c>
      <c r="AE141" s="60" t="e">
        <f t="shared" ca="1" si="247"/>
        <v>#DIV/0!</v>
      </c>
      <c r="AL141" s="13">
        <f t="shared" ref="AL141:BQ141" si="248">+AL133/AL123</f>
        <v>3.2043478260869578</v>
      </c>
      <c r="AM141" s="13">
        <f t="shared" si="248"/>
        <v>3.5586336179962457</v>
      </c>
      <c r="AN141" s="13">
        <f t="shared" si="248"/>
        <v>3.0989089184060745</v>
      </c>
      <c r="AO141" s="13">
        <f t="shared" si="248"/>
        <v>3.2597421369102686</v>
      </c>
      <c r="AP141" s="13">
        <f t="shared" si="248"/>
        <v>3.854963235294115</v>
      </c>
      <c r="AQ141" s="13">
        <f t="shared" si="248"/>
        <v>3.6671275211450878</v>
      </c>
      <c r="AR141" s="13">
        <f t="shared" si="248"/>
        <v>5.8208442408376877</v>
      </c>
      <c r="AS141" s="13">
        <f t="shared" si="248"/>
        <v>7.3744469026548627</v>
      </c>
      <c r="AT141" s="13">
        <f t="shared" si="248"/>
        <v>6.5812788906009239</v>
      </c>
      <c r="AU141" s="13">
        <f t="shared" si="248"/>
        <v>6.2181983385254433</v>
      </c>
      <c r="AV141" s="13">
        <f t="shared" si="248"/>
        <v>11.693298169407385</v>
      </c>
      <c r="AW141" s="13">
        <f t="shared" si="248"/>
        <v>18.153419384057948</v>
      </c>
      <c r="AX141" s="13">
        <f t="shared" si="248"/>
        <v>15.486012404703434</v>
      </c>
      <c r="AY141" s="13">
        <f t="shared" si="248"/>
        <v>16.399330859944314</v>
      </c>
      <c r="AZ141" s="13">
        <f t="shared" si="248"/>
        <v>16.969022415940188</v>
      </c>
      <c r="BA141" s="13">
        <f t="shared" si="248"/>
        <v>18.468229336817998</v>
      </c>
      <c r="BB141" s="13">
        <f t="shared" si="248"/>
        <v>21.624726477024048</v>
      </c>
      <c r="BC141" s="13">
        <f t="shared" si="248"/>
        <v>30.805541932319752</v>
      </c>
      <c r="BD141" s="13">
        <f t="shared" si="248"/>
        <v>36.970339805825304</v>
      </c>
      <c r="BE141" s="13">
        <f t="shared" si="248"/>
        <v>35.562774890044132</v>
      </c>
      <c r="BF141" s="13">
        <f t="shared" si="248"/>
        <v>19.505911330049305</v>
      </c>
      <c r="BG141" s="13">
        <f t="shared" si="248"/>
        <v>11.733043217286951</v>
      </c>
      <c r="BH141" s="13">
        <f t="shared" si="248"/>
        <v>7.1922253922967254</v>
      </c>
      <c r="BI141" s="13">
        <f t="shared" si="248"/>
        <v>7.2244408945686924</v>
      </c>
      <c r="BJ141" s="13">
        <f t="shared" si="248"/>
        <v>20.396258503401381</v>
      </c>
      <c r="BK141" s="13">
        <f t="shared" si="248"/>
        <v>24.465102140077846</v>
      </c>
      <c r="BL141" s="13">
        <f t="shared" si="248"/>
        <v>38.192375886525163</v>
      </c>
      <c r="BM141" s="13">
        <f t="shared" si="248"/>
        <v>17.11655566127504</v>
      </c>
      <c r="BN141" s="13">
        <f t="shared" si="248"/>
        <v>12.713855421686798</v>
      </c>
      <c r="BO141" s="13">
        <f t="shared" si="248"/>
        <v>-8.5188297350343234</v>
      </c>
      <c r="BP141" s="13">
        <f t="shared" si="248"/>
        <v>-8.1545257843490617</v>
      </c>
      <c r="BQ141" s="13">
        <f t="shared" si="248"/>
        <v>-8.9357101393188785</v>
      </c>
      <c r="BR141" s="13">
        <f t="shared" ref="BR141:CH141" si="249">+BR133/BR123</f>
        <v>83.968824228028666</v>
      </c>
      <c r="BS141" s="13">
        <f t="shared" si="249"/>
        <v>7.4483827085852461</v>
      </c>
      <c r="BT141" s="13">
        <f t="shared" si="249"/>
        <v>6.0974561089215378</v>
      </c>
      <c r="BU141" s="13">
        <f t="shared" si="249"/>
        <v>6.980329473508835</v>
      </c>
      <c r="BV141" s="13">
        <f t="shared" si="249"/>
        <v>8.4522116516280885</v>
      </c>
      <c r="BW141" s="13">
        <f t="shared" si="249"/>
        <v>6.1840533804133342</v>
      </c>
      <c r="BX141" s="13">
        <f t="shared" si="249"/>
        <v>6.4550445859872578</v>
      </c>
      <c r="BY141" s="13">
        <f t="shared" si="249"/>
        <v>6.1781609195402263</v>
      </c>
      <c r="BZ141" s="13">
        <f t="shared" si="249"/>
        <v>5.9480772922131937</v>
      </c>
      <c r="CA141" s="13">
        <f t="shared" si="249"/>
        <v>9.2685506388019263</v>
      </c>
      <c r="CB141" s="13">
        <f t="shared" si="249"/>
        <v>15.053217566312313</v>
      </c>
      <c r="CC141" s="13">
        <f t="shared" si="249"/>
        <v>17.238890624999996</v>
      </c>
      <c r="CD141" s="13">
        <f t="shared" si="249"/>
        <v>38.116308470290782</v>
      </c>
      <c r="CE141" s="13">
        <f t="shared" si="249"/>
        <v>32.821038390851584</v>
      </c>
      <c r="CF141" s="13">
        <f t="shared" si="249"/>
        <v>41.272701411014992</v>
      </c>
      <c r="CG141" s="13">
        <f t="shared" si="249"/>
        <v>41.304603100047018</v>
      </c>
      <c r="CH141" s="13">
        <f t="shared" si="249"/>
        <v>38.596026274713864</v>
      </c>
      <c r="CI141" s="13">
        <f>+CI133/CI123</f>
        <v>70.300304298212225</v>
      </c>
      <c r="CJ141" s="13">
        <f>+CJ133/CJ123</f>
        <v>39.047697743332698</v>
      </c>
      <c r="CK141" s="13">
        <f>+CK133/CK123</f>
        <v>29.857148277432131</v>
      </c>
      <c r="CL141" s="13">
        <f>+CL133/CL123</f>
        <v>23.162637270282431</v>
      </c>
      <c r="CM141" s="60">
        <f t="shared" ref="CM141:DB141" si="250">+CL141</f>
        <v>23.162637270282431</v>
      </c>
      <c r="CN141" s="60">
        <f t="shared" si="250"/>
        <v>23.162637270282431</v>
      </c>
      <c r="CO141" s="60">
        <f t="shared" si="250"/>
        <v>23.162637270282431</v>
      </c>
      <c r="CP141" s="60">
        <f t="shared" si="250"/>
        <v>23.162637270282431</v>
      </c>
      <c r="CQ141" s="60">
        <f t="shared" si="250"/>
        <v>23.162637270282431</v>
      </c>
      <c r="CR141" s="60">
        <f t="shared" si="250"/>
        <v>23.162637270282431</v>
      </c>
      <c r="CS141" s="60">
        <f t="shared" si="250"/>
        <v>23.162637270282431</v>
      </c>
      <c r="CT141" s="60">
        <f t="shared" si="250"/>
        <v>23.162637270282431</v>
      </c>
      <c r="CU141" s="60">
        <f t="shared" si="250"/>
        <v>23.162637270282431</v>
      </c>
      <c r="CV141" s="60">
        <f t="shared" si="250"/>
        <v>23.162637270282431</v>
      </c>
      <c r="CW141" s="60">
        <f t="shared" si="250"/>
        <v>23.162637270282431</v>
      </c>
      <c r="CX141" s="60">
        <f t="shared" si="250"/>
        <v>23.162637270282431</v>
      </c>
      <c r="CY141" s="60">
        <f t="shared" si="250"/>
        <v>23.162637270282431</v>
      </c>
      <c r="CZ141" s="60">
        <f t="shared" si="250"/>
        <v>23.162637270282431</v>
      </c>
      <c r="DA141" s="60">
        <f t="shared" si="250"/>
        <v>23.162637270282431</v>
      </c>
      <c r="DB141" s="60">
        <f t="shared" si="250"/>
        <v>23.162637270282431</v>
      </c>
      <c r="DE141" s="136"/>
      <c r="DF141" s="13">
        <v>28.579975534616967</v>
      </c>
    </row>
    <row r="142" spans="1:110" s="13" customFormat="1" x14ac:dyDescent="0.2">
      <c r="AB142" s="60"/>
      <c r="AC142" s="60"/>
      <c r="AD142" s="60"/>
      <c r="AE142" s="60"/>
      <c r="CM142" s="60"/>
      <c r="CN142" s="60"/>
      <c r="CO142" s="60"/>
      <c r="CP142" s="60"/>
      <c r="CQ142" s="60"/>
      <c r="CR142" s="60"/>
      <c r="CS142" s="60"/>
      <c r="CT142" s="60"/>
      <c r="CU142" s="60"/>
      <c r="CV142" s="60"/>
      <c r="CW142" s="60"/>
      <c r="CX142" s="60"/>
      <c r="CY142" s="60"/>
      <c r="CZ142" s="60"/>
      <c r="DA142" s="60"/>
      <c r="DB142" s="60"/>
      <c r="DE142" s="136"/>
    </row>
    <row r="143" spans="1:110" s="13" customFormat="1" x14ac:dyDescent="0.2">
      <c r="A143" s="13" t="s">
        <v>462</v>
      </c>
      <c r="B143" s="13">
        <f t="shared" ref="B143:AD143" si="251">+B132/C123</f>
        <v>8.4238379768314093</v>
      </c>
      <c r="C143" s="13">
        <f t="shared" si="251"/>
        <v>2.5753153203644459</v>
      </c>
      <c r="D143" s="13" t="e">
        <f t="shared" ca="1" si="251"/>
        <v>#DIV/0!</v>
      </c>
      <c r="E143" s="13" t="e">
        <f t="shared" ca="1" si="251"/>
        <v>#DIV/0!</v>
      </c>
      <c r="F143" s="13" t="e">
        <f t="shared" ca="1" si="251"/>
        <v>#DIV/0!</v>
      </c>
      <c r="G143" s="13" t="e">
        <f t="shared" ca="1" si="251"/>
        <v>#DIV/0!</v>
      </c>
      <c r="H143" s="13" t="e">
        <f t="shared" ca="1" si="251"/>
        <v>#DIV/0!</v>
      </c>
      <c r="I143" s="13" t="e">
        <f t="shared" ca="1" si="251"/>
        <v>#DIV/0!</v>
      </c>
      <c r="J143" s="13" t="e">
        <f t="shared" ca="1" si="251"/>
        <v>#DIV/0!</v>
      </c>
      <c r="K143" s="13" t="e">
        <f t="shared" ca="1" si="251"/>
        <v>#DIV/0!</v>
      </c>
      <c r="L143" s="13" t="e">
        <f t="shared" ca="1" si="251"/>
        <v>#DIV/0!</v>
      </c>
      <c r="M143" s="13" t="e">
        <f t="shared" ca="1" si="251"/>
        <v>#DIV/0!</v>
      </c>
      <c r="N143" s="13" t="e">
        <f t="shared" ca="1" si="251"/>
        <v>#DIV/0!</v>
      </c>
      <c r="O143" s="13" t="e">
        <f t="shared" ca="1" si="251"/>
        <v>#DIV/0!</v>
      </c>
      <c r="P143" s="13" t="e">
        <f t="shared" ca="1" si="251"/>
        <v>#DIV/0!</v>
      </c>
      <c r="Q143" s="13" t="e">
        <f t="shared" ca="1" si="251"/>
        <v>#DIV/0!</v>
      </c>
      <c r="R143" s="13" t="e">
        <f t="shared" ca="1" si="251"/>
        <v>#DIV/0!</v>
      </c>
      <c r="S143" s="13" t="e">
        <f t="shared" ca="1" si="251"/>
        <v>#DIV/0!</v>
      </c>
      <c r="T143" s="13" t="e">
        <f t="shared" ca="1" si="251"/>
        <v>#DIV/0!</v>
      </c>
      <c r="U143" s="13" t="e">
        <f t="shared" ca="1" si="251"/>
        <v>#DIV/0!</v>
      </c>
      <c r="V143" s="13" t="e">
        <f t="shared" ca="1" si="251"/>
        <v>#DIV/0!</v>
      </c>
      <c r="W143" s="13" t="e">
        <f t="shared" ca="1" si="251"/>
        <v>#DIV/0!</v>
      </c>
      <c r="X143" s="13" t="e">
        <f t="shared" ca="1" si="251"/>
        <v>#DIV/0!</v>
      </c>
      <c r="Y143" s="13" t="e">
        <f t="shared" ca="1" si="251"/>
        <v>#DIV/0!</v>
      </c>
      <c r="Z143" s="13" t="e">
        <f ca="1">+Z132/AA123</f>
        <v>#DIV/0!</v>
      </c>
      <c r="AA143" s="13" t="e">
        <f ca="1">+AA132/AB123</f>
        <v>#DIV/0!</v>
      </c>
      <c r="AB143" s="37" t="e">
        <f t="shared" ca="1" si="251"/>
        <v>#DIV/0!</v>
      </c>
      <c r="AC143" s="37" t="e">
        <f t="shared" ca="1" si="251"/>
        <v>#DIV/0!</v>
      </c>
      <c r="AD143" s="37" t="e">
        <f t="shared" ca="1" si="251"/>
        <v>#DIV/0!</v>
      </c>
      <c r="AE143" s="37"/>
      <c r="AL143" s="13">
        <f t="shared" ref="AL143:BQ143" si="252">+AL132/AP123</f>
        <v>7.1372242647058775</v>
      </c>
      <c r="AM143" s="13">
        <f t="shared" si="252"/>
        <v>5.7213728041639555</v>
      </c>
      <c r="AN143" s="13">
        <f t="shared" si="252"/>
        <v>4.5602094240837623</v>
      </c>
      <c r="AO143" s="13">
        <f t="shared" si="252"/>
        <v>4.1186788874841946</v>
      </c>
      <c r="AP143" s="13">
        <f t="shared" si="252"/>
        <v>4.4423632511556237</v>
      </c>
      <c r="AQ143" s="13">
        <f t="shared" si="252"/>
        <v>5.131100726895121</v>
      </c>
      <c r="AR143" s="13">
        <f t="shared" si="252"/>
        <v>6.9146369841762336</v>
      </c>
      <c r="AS143" s="13">
        <f t="shared" si="252"/>
        <v>7.1346807065217295</v>
      </c>
      <c r="AT143" s="13">
        <f t="shared" si="252"/>
        <v>6.9800684843002898</v>
      </c>
      <c r="AU143" s="13">
        <f t="shared" si="252"/>
        <v>10.147210812243255</v>
      </c>
      <c r="AV143" s="13">
        <f t="shared" si="252"/>
        <v>19.329597343295934</v>
      </c>
      <c r="AW143" s="13">
        <f t="shared" si="252"/>
        <v>26.594250245017918</v>
      </c>
      <c r="AX143" s="13">
        <f t="shared" si="252"/>
        <v>29.321663019693627</v>
      </c>
      <c r="AY143" s="13">
        <f t="shared" si="252"/>
        <v>37.582761157430099</v>
      </c>
      <c r="AZ143" s="13">
        <f t="shared" si="252"/>
        <v>55.031067961165142</v>
      </c>
      <c r="BA143" s="13">
        <f t="shared" si="252"/>
        <v>65.298880447821148</v>
      </c>
      <c r="BB143" s="13">
        <f t="shared" si="252"/>
        <v>50.250000000000107</v>
      </c>
      <c r="BC143" s="13">
        <f t="shared" si="252"/>
        <v>48.86254501800736</v>
      </c>
      <c r="BD143" s="13">
        <f t="shared" si="252"/>
        <v>35.244293865905881</v>
      </c>
      <c r="BE143" s="13">
        <f t="shared" si="252"/>
        <v>29.914536741214068</v>
      </c>
      <c r="BF143" s="13">
        <f t="shared" si="252"/>
        <v>79.76190476190483</v>
      </c>
      <c r="BG143" s="13">
        <f t="shared" si="252"/>
        <v>69.338156614786058</v>
      </c>
      <c r="BH143" s="13">
        <f t="shared" si="252"/>
        <v>118.55673758865353</v>
      </c>
      <c r="BI143" s="13">
        <f t="shared" si="252"/>
        <v>41.83515699333983</v>
      </c>
      <c r="BJ143" s="13">
        <f t="shared" si="252"/>
        <v>31.368411144578442</v>
      </c>
      <c r="BK143" s="13">
        <f t="shared" si="252"/>
        <v>-17.148613837095144</v>
      </c>
      <c r="BL143" s="13">
        <f t="shared" si="252"/>
        <v>-10.23846015146049</v>
      </c>
      <c r="BM143" s="13">
        <f t="shared" si="252"/>
        <v>-13.709849071207417</v>
      </c>
      <c r="BN143" s="13">
        <f t="shared" si="252"/>
        <v>78.12024940617593</v>
      </c>
      <c r="BO143" s="13">
        <f t="shared" si="252"/>
        <v>5.5698307134220064</v>
      </c>
      <c r="BP143" s="13">
        <f t="shared" si="252"/>
        <v>3.9729487638839158</v>
      </c>
      <c r="BQ143" s="13">
        <f t="shared" si="252"/>
        <v>3.5121417860713118</v>
      </c>
      <c r="BR143" s="13">
        <f>+BR132/BV123</f>
        <v>3.4088122793252253</v>
      </c>
      <c r="BS143" s="13">
        <f>+BS132/BW123</f>
        <v>2.9902637864783466</v>
      </c>
      <c r="BT143" s="13">
        <f>+BT132/BX123</f>
        <v>4.4501656050955392</v>
      </c>
      <c r="BU143" s="13">
        <f>+BU132/BY123</f>
        <v>10.172413793103443</v>
      </c>
      <c r="BV143" s="13">
        <f>+BV132/BZ123</f>
        <v>13.613059056881438</v>
      </c>
      <c r="BW143" s="13">
        <f t="shared" ref="BW143:CK143" si="253">+BW131/CA123</f>
        <v>11.572933412302222</v>
      </c>
      <c r="BX143" s="13">
        <f t="shared" si="253"/>
        <v>14.464573227371245</v>
      </c>
      <c r="BY143" s="13">
        <f t="shared" si="253"/>
        <v>15.304265624999998</v>
      </c>
      <c r="BZ143" s="13">
        <f t="shared" si="253"/>
        <v>22.806257901390651</v>
      </c>
      <c r="CA143" s="13">
        <f t="shared" si="253"/>
        <v>30.830329793751311</v>
      </c>
      <c r="CB143" s="13">
        <f t="shared" si="253"/>
        <v>39.145596267637664</v>
      </c>
      <c r="CC143" s="13">
        <f t="shared" si="253"/>
        <v>50.326708548614434</v>
      </c>
      <c r="CD143" s="13">
        <f t="shared" si="253"/>
        <v>57.328661550468297</v>
      </c>
      <c r="CE143" s="13">
        <f t="shared" si="253"/>
        <v>78.136934195511571</v>
      </c>
      <c r="CF143" s="13">
        <f t="shared" si="253"/>
        <v>53.445748803282605</v>
      </c>
      <c r="CG143" s="13">
        <f t="shared" si="253"/>
        <v>31.645526635301312</v>
      </c>
      <c r="CH143" s="13">
        <f t="shared" si="253"/>
        <v>24.578804347826136</v>
      </c>
      <c r="CI143" s="13">
        <f t="shared" si="253"/>
        <v>20.197272685482719</v>
      </c>
      <c r="CJ143" s="13">
        <f t="shared" si="253"/>
        <v>15.837930616536967</v>
      </c>
      <c r="CK143" s="13">
        <f t="shared" si="253"/>
        <v>15.771468240574009</v>
      </c>
      <c r="CL143" s="13">
        <f>+CL131/CP123</f>
        <v>12.107837606286385</v>
      </c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E143" s="134"/>
      <c r="DF143" s="13">
        <v>24.204529812547076</v>
      </c>
    </row>
    <row r="144" spans="1:110" s="98" customFormat="1" x14ac:dyDescent="0.2">
      <c r="A144" s="98" t="s">
        <v>425</v>
      </c>
      <c r="AB144" s="99"/>
      <c r="AC144" s="99"/>
      <c r="AD144" s="99"/>
      <c r="AE144" s="99"/>
      <c r="AL144" s="174"/>
      <c r="AM144" s="174"/>
      <c r="AN144" s="174"/>
      <c r="AO144" s="174">
        <f t="shared" ref="AO144:CI144" si="254">+CORREL(AL123:AO123,AL140:AO140)</f>
        <v>0.87047413124314033</v>
      </c>
      <c r="AP144" s="174">
        <f t="shared" si="254"/>
        <v>0.1265508673636144</v>
      </c>
      <c r="AQ144" s="174">
        <f t="shared" si="254"/>
        <v>0.49716909334485626</v>
      </c>
      <c r="AR144" s="174">
        <f t="shared" si="254"/>
        <v>0.59760213203785861</v>
      </c>
      <c r="AS144" s="174">
        <f t="shared" si="254"/>
        <v>0.73996116148614499</v>
      </c>
      <c r="AT144" s="174">
        <f t="shared" si="254"/>
        <v>0.54396382756325423</v>
      </c>
      <c r="AU144" s="174">
        <f t="shared" si="254"/>
        <v>0.94626863614723999</v>
      </c>
      <c r="AV144" s="174">
        <f t="shared" si="254"/>
        <v>0.9353501206864242</v>
      </c>
      <c r="AW144" s="174">
        <f t="shared" si="254"/>
        <v>0.9784341513994308</v>
      </c>
      <c r="AX144" s="174">
        <f t="shared" si="254"/>
        <v>0.53203586002160186</v>
      </c>
      <c r="AY144" s="174">
        <f t="shared" si="254"/>
        <v>-0.68624857894081759</v>
      </c>
      <c r="AZ144" s="174">
        <f t="shared" si="254"/>
        <v>-0.78695186978302023</v>
      </c>
      <c r="BA144" s="174">
        <f t="shared" si="254"/>
        <v>-0.90278480326304089</v>
      </c>
      <c r="BB144" s="174">
        <f t="shared" si="254"/>
        <v>-0.9667674109768134</v>
      </c>
      <c r="BC144" s="174">
        <f t="shared" si="254"/>
        <v>-0.98499023067628866</v>
      </c>
      <c r="BD144" s="174">
        <f t="shared" si="254"/>
        <v>-0.98419345331859809</v>
      </c>
      <c r="BE144" s="174">
        <f t="shared" si="254"/>
        <v>-0.89759786579417689</v>
      </c>
      <c r="BF144" s="174">
        <f t="shared" si="254"/>
        <v>-0.5190016248986421</v>
      </c>
      <c r="BG144" s="174">
        <f t="shared" si="254"/>
        <v>-0.91019219419641517</v>
      </c>
      <c r="BH144" s="174">
        <f t="shared" si="254"/>
        <v>-0.96587024146997946</v>
      </c>
      <c r="BI144" s="174">
        <f t="shared" si="254"/>
        <v>-0.89425721848599982</v>
      </c>
      <c r="BJ144" s="174">
        <f t="shared" si="254"/>
        <v>-0.95593207913745026</v>
      </c>
      <c r="BK144" s="174">
        <f t="shared" si="254"/>
        <v>-0.99276262909713597</v>
      </c>
      <c r="BL144" s="174">
        <f t="shared" si="254"/>
        <v>-0.85834401956239048</v>
      </c>
      <c r="BM144" s="174">
        <f t="shared" si="254"/>
        <v>-0.95688995697429191</v>
      </c>
      <c r="BN144" s="174">
        <f t="shared" si="254"/>
        <v>-0.99102925949251008</v>
      </c>
      <c r="BO144" s="174">
        <f t="shared" si="254"/>
        <v>0.67464067670312999</v>
      </c>
      <c r="BP144" s="174">
        <f t="shared" si="254"/>
        <v>0.96521050957031584</v>
      </c>
      <c r="BQ144" s="174">
        <f t="shared" si="254"/>
        <v>0.98122150441605838</v>
      </c>
      <c r="BR144" s="174">
        <f t="shared" si="254"/>
        <v>0.97663159233416363</v>
      </c>
      <c r="BS144" s="174">
        <f t="shared" si="254"/>
        <v>0.25839151226478796</v>
      </c>
      <c r="BT144" s="174">
        <f t="shared" si="254"/>
        <v>-0.13543892912960667</v>
      </c>
      <c r="BU144" s="174">
        <f t="shared" si="254"/>
        <v>-0.7984689769039045</v>
      </c>
      <c r="BV144" s="174">
        <f t="shared" si="254"/>
        <v>0.73147348332862283</v>
      </c>
      <c r="BW144" s="174">
        <f t="shared" si="254"/>
        <v>3.5441451975927393E-2</v>
      </c>
      <c r="BX144" s="174">
        <f t="shared" si="254"/>
        <v>-0.94433191470376698</v>
      </c>
      <c r="BY144" s="174">
        <f t="shared" si="254"/>
        <v>-0.67900162583098866</v>
      </c>
      <c r="BZ144" s="174">
        <f t="shared" si="254"/>
        <v>0.73430514510771372</v>
      </c>
      <c r="CA144" s="174">
        <f t="shared" si="254"/>
        <v>-0.79066598267294474</v>
      </c>
      <c r="CB144" s="174">
        <f t="shared" si="254"/>
        <v>-0.95658700310226408</v>
      </c>
      <c r="CC144" s="174">
        <f t="shared" si="254"/>
        <v>-0.97029963378461481</v>
      </c>
      <c r="CD144" s="174">
        <f t="shared" si="254"/>
        <v>-0.95277940079678303</v>
      </c>
      <c r="CE144" s="174">
        <f t="shared" si="254"/>
        <v>-0.94669565282033452</v>
      </c>
      <c r="CF144" s="174">
        <f t="shared" si="254"/>
        <v>-0.91028583169623345</v>
      </c>
      <c r="CG144" s="174">
        <f t="shared" si="254"/>
        <v>-3.1260729221511956E-2</v>
      </c>
      <c r="CH144" s="174">
        <f t="shared" si="254"/>
        <v>-0.94059570830244754</v>
      </c>
      <c r="CI144" s="174">
        <f t="shared" si="254"/>
        <v>-0.97144352925308264</v>
      </c>
      <c r="CJ144" s="174">
        <f>+CORREL(CG123:CJ123,CG140:CJ140)</f>
        <v>-0.97682978517679642</v>
      </c>
      <c r="CK144" s="174">
        <f>+CORREL(CH123:CK123,CH140:CK140)</f>
        <v>-0.91099826968268449</v>
      </c>
      <c r="CL144" s="174">
        <f>+CORREL(CI123:CL123,CI140:CL140)</f>
        <v>-0.9236321453726436</v>
      </c>
      <c r="CM144" s="99"/>
      <c r="CN144" s="99"/>
      <c r="CO144" s="99"/>
      <c r="CP144" s="99"/>
      <c r="CQ144" s="99"/>
      <c r="CR144" s="99"/>
      <c r="CS144" s="99"/>
      <c r="CT144" s="99"/>
      <c r="CU144" s="99"/>
      <c r="CV144" s="99"/>
      <c r="CW144" s="99"/>
      <c r="CX144" s="99"/>
      <c r="CY144" s="99"/>
      <c r="CZ144" s="99"/>
      <c r="DA144" s="99"/>
      <c r="DB144" s="99"/>
      <c r="DE144" s="137"/>
      <c r="DF144" s="98">
        <v>-0.95203238698990433</v>
      </c>
    </row>
    <row r="145" spans="1:110" s="4" customFormat="1" x14ac:dyDescent="0.2">
      <c r="A145" s="3"/>
      <c r="AB145" s="17"/>
      <c r="AC145" s="17"/>
      <c r="AD145" s="17"/>
      <c r="AE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E145" s="119"/>
    </row>
    <row r="146" spans="1:110" s="161" customFormat="1" x14ac:dyDescent="0.2">
      <c r="A146" s="49" t="s">
        <v>504</v>
      </c>
      <c r="E146" s="161" t="e">
        <f t="shared" ref="E146:AE146" ca="1" si="255">+E$174/E$119</f>
        <v>#DIV/0!</v>
      </c>
      <c r="F146" s="161" t="e">
        <f t="shared" ca="1" si="255"/>
        <v>#DIV/0!</v>
      </c>
      <c r="G146" s="161" t="e">
        <f t="shared" ca="1" si="255"/>
        <v>#DIV/0!</v>
      </c>
      <c r="H146" s="161" t="e">
        <f t="shared" ca="1" si="255"/>
        <v>#DIV/0!</v>
      </c>
      <c r="I146" s="161" t="e">
        <f t="shared" ca="1" si="255"/>
        <v>#DIV/0!</v>
      </c>
      <c r="J146" s="161" t="e">
        <f t="shared" ca="1" si="255"/>
        <v>#DIV/0!</v>
      </c>
      <c r="K146" s="161" t="e">
        <f t="shared" ca="1" si="255"/>
        <v>#DIV/0!</v>
      </c>
      <c r="L146" s="161" t="e">
        <f t="shared" ca="1" si="255"/>
        <v>#DIV/0!</v>
      </c>
      <c r="M146" s="161" t="e">
        <f t="shared" ca="1" si="255"/>
        <v>#DIV/0!</v>
      </c>
      <c r="N146" s="161" t="e">
        <f t="shared" ca="1" si="255"/>
        <v>#DIV/0!</v>
      </c>
      <c r="O146" s="161" t="e">
        <f t="shared" ca="1" si="255"/>
        <v>#DIV/0!</v>
      </c>
      <c r="P146" s="161" t="e">
        <f t="shared" ca="1" si="255"/>
        <v>#DIV/0!</v>
      </c>
      <c r="Q146" s="161" t="e">
        <f t="shared" ca="1" si="255"/>
        <v>#DIV/0!</v>
      </c>
      <c r="R146" s="161" t="e">
        <f t="shared" ca="1" si="255"/>
        <v>#DIV/0!</v>
      </c>
      <c r="S146" s="161" t="e">
        <f t="shared" ca="1" si="255"/>
        <v>#DIV/0!</v>
      </c>
      <c r="T146" s="161" t="e">
        <f t="shared" ca="1" si="255"/>
        <v>#DIV/0!</v>
      </c>
      <c r="U146" s="161" t="e">
        <f t="shared" ca="1" si="255"/>
        <v>#DIV/0!</v>
      </c>
      <c r="V146" s="161" t="e">
        <f t="shared" ca="1" si="255"/>
        <v>#DIV/0!</v>
      </c>
      <c r="W146" s="161" t="e">
        <f t="shared" ca="1" si="255"/>
        <v>#DIV/0!</v>
      </c>
      <c r="X146" s="161" t="e">
        <f t="shared" ca="1" si="255"/>
        <v>#DIV/0!</v>
      </c>
      <c r="Y146" s="161" t="e">
        <f t="shared" ca="1" si="255"/>
        <v>#DIV/0!</v>
      </c>
      <c r="Z146" s="161" t="e">
        <f t="shared" ca="1" si="255"/>
        <v>#DIV/0!</v>
      </c>
      <c r="AA146" s="161" t="e">
        <f t="shared" ca="1" si="255"/>
        <v>#DIV/0!</v>
      </c>
      <c r="AB146" s="21" t="e">
        <f t="shared" ca="1" si="255"/>
        <v>#DIV/0!</v>
      </c>
      <c r="AC146" s="21" t="e">
        <f t="shared" ca="1" si="255"/>
        <v>#DIV/0!</v>
      </c>
      <c r="AD146" s="21" t="e">
        <f t="shared" ca="1" si="255"/>
        <v>#DIV/0!</v>
      </c>
      <c r="AE146" s="21" t="e">
        <f t="shared" ca="1" si="255"/>
        <v>#DIV/0!</v>
      </c>
      <c r="AL146" s="161">
        <f t="shared" ref="AL146:BQ146" si="256">+AL$174/AL$119</f>
        <v>59.273631840796021</v>
      </c>
      <c r="AM146" s="161">
        <f t="shared" si="256"/>
        <v>60.473631840796024</v>
      </c>
      <c r="AN146" s="161">
        <f t="shared" si="256"/>
        <v>62.909452736318407</v>
      </c>
      <c r="AO146" s="161">
        <f t="shared" si="256"/>
        <v>65.327363184079601</v>
      </c>
      <c r="AP146" s="161">
        <f t="shared" si="256"/>
        <v>65.956218905472639</v>
      </c>
      <c r="AQ146" s="161">
        <f t="shared" si="256"/>
        <v>68.212935323383093</v>
      </c>
      <c r="AR146" s="161">
        <f t="shared" si="256"/>
        <v>70.595024875621888</v>
      </c>
      <c r="AS146" s="161">
        <f t="shared" si="256"/>
        <v>73.335323383084571</v>
      </c>
      <c r="AT146" s="161">
        <f t="shared" si="256"/>
        <v>73.970149253731336</v>
      </c>
      <c r="AU146" s="161">
        <f t="shared" si="256"/>
        <v>77.393034825870643</v>
      </c>
      <c r="AV146" s="161">
        <f t="shared" si="256"/>
        <v>81.104477611940297</v>
      </c>
      <c r="AW146" s="161">
        <f t="shared" si="256"/>
        <v>84.199004975124382</v>
      </c>
      <c r="AX146" s="161">
        <f t="shared" si="256"/>
        <v>87.412935323383081</v>
      </c>
      <c r="AY146" s="161">
        <f t="shared" si="256"/>
        <v>90.453731343283593</v>
      </c>
      <c r="AZ146" s="161">
        <f t="shared" si="256"/>
        <v>93.502487562189046</v>
      </c>
      <c r="BA146" s="161">
        <f t="shared" si="256"/>
        <v>94.398009950248749</v>
      </c>
      <c r="BB146" s="161">
        <f t="shared" si="256"/>
        <v>97.898507462686567</v>
      </c>
      <c r="BC146" s="161">
        <f t="shared" si="256"/>
        <v>98.14129353233831</v>
      </c>
      <c r="BD146" s="161">
        <f t="shared" si="256"/>
        <v>96.694527363184079</v>
      </c>
      <c r="BE146" s="161">
        <f t="shared" si="256"/>
        <v>97.442786069651731</v>
      </c>
      <c r="BF146" s="161">
        <f t="shared" si="256"/>
        <v>101.84079601990049</v>
      </c>
      <c r="BG146" s="161">
        <f t="shared" si="256"/>
        <v>102.65472636815917</v>
      </c>
      <c r="BH146" s="161">
        <f t="shared" si="256"/>
        <v>104.24676616915423</v>
      </c>
      <c r="BI146" s="161">
        <f t="shared" si="256"/>
        <v>104.09950248756219</v>
      </c>
      <c r="BJ146" s="161">
        <f t="shared" si="256"/>
        <v>103.62189054726366</v>
      </c>
      <c r="BK146" s="161">
        <f t="shared" si="256"/>
        <v>103.84875621890545</v>
      </c>
      <c r="BL146" s="161">
        <f t="shared" si="256"/>
        <v>103.55422885572139</v>
      </c>
      <c r="BM146" s="161">
        <f t="shared" si="256"/>
        <v>104.65671641791043</v>
      </c>
      <c r="BN146" s="161">
        <f t="shared" si="256"/>
        <v>104.89950248756219</v>
      </c>
      <c r="BO146" s="161">
        <f t="shared" si="256"/>
        <v>98.427860696517399</v>
      </c>
      <c r="BP146" s="161">
        <f t="shared" si="256"/>
        <v>97.992039800995016</v>
      </c>
      <c r="BQ146" s="161">
        <f t="shared" si="256"/>
        <v>99.470646766169153</v>
      </c>
      <c r="BR146" s="161">
        <f t="shared" ref="BR146:DB146" si="257">+BR$174/BR$119</f>
        <v>109.918407960199</v>
      </c>
      <c r="BS146" s="161">
        <f t="shared" si="257"/>
        <v>112.48358208955223</v>
      </c>
      <c r="BT146" s="161">
        <f t="shared" si="257"/>
        <v>117.75323383084574</v>
      </c>
      <c r="BU146" s="161">
        <f t="shared" si="257"/>
        <v>126.45771144278605</v>
      </c>
      <c r="BV146" s="161">
        <f t="shared" si="257"/>
        <v>142.47363184079603</v>
      </c>
      <c r="BW146" s="161">
        <f t="shared" si="257"/>
        <v>152.92736318407961</v>
      </c>
      <c r="BX146" s="161">
        <f t="shared" si="257"/>
        <v>166.1870646766169</v>
      </c>
      <c r="BY146" s="161">
        <f t="shared" si="257"/>
        <v>169.67960199004975</v>
      </c>
      <c r="BZ146" s="161">
        <f t="shared" si="257"/>
        <v>175.74726368159202</v>
      </c>
      <c r="CA146" s="161">
        <f t="shared" si="257"/>
        <v>178.28855721393032</v>
      </c>
      <c r="CB146" s="161">
        <f t="shared" si="257"/>
        <v>192.46567164179103</v>
      </c>
      <c r="CC146" s="161">
        <f t="shared" si="257"/>
        <v>193.22388059701493</v>
      </c>
      <c r="CD146" s="161">
        <f t="shared" si="257"/>
        <v>195.88457711442786</v>
      </c>
      <c r="CE146" s="161">
        <f t="shared" si="257"/>
        <v>198.72636815920396</v>
      </c>
      <c r="CF146" s="161">
        <f t="shared" si="257"/>
        <v>198.72039800995026</v>
      </c>
      <c r="CG146" s="161">
        <f t="shared" si="257"/>
        <v>199.20796019900496</v>
      </c>
      <c r="CH146" s="161">
        <f t="shared" si="257"/>
        <v>200.35422885572137</v>
      </c>
      <c r="CI146" s="161">
        <f t="shared" si="257"/>
        <v>200.77810945273629</v>
      </c>
      <c r="CJ146" s="161">
        <f t="shared" si="257"/>
        <v>203.1044776119403</v>
      </c>
      <c r="CK146" s="161">
        <f t="shared" si="257"/>
        <v>207.97412935323385</v>
      </c>
      <c r="CL146" s="161">
        <f t="shared" si="257"/>
        <v>214.18308457711441</v>
      </c>
      <c r="CM146" s="21">
        <f t="shared" si="257"/>
        <v>221.34721424235826</v>
      </c>
      <c r="CN146" s="21">
        <f t="shared" si="257"/>
        <v>229.52348357040597</v>
      </c>
      <c r="CO146" s="21">
        <f t="shared" si="257"/>
        <v>238.71942538122542</v>
      </c>
      <c r="CP146" s="21">
        <f t="shared" si="257"/>
        <v>248.52447678278099</v>
      </c>
      <c r="CQ146" s="21">
        <f t="shared" si="257"/>
        <v>258.40855014088049</v>
      </c>
      <c r="CR146" s="21">
        <f t="shared" si="257"/>
        <v>269.44585268640537</v>
      </c>
      <c r="CS146" s="21">
        <f t="shared" si="257"/>
        <v>281.4568008906536</v>
      </c>
      <c r="CT146" s="21">
        <f t="shared" si="257"/>
        <v>294.32027233623057</v>
      </c>
      <c r="CU146" s="21">
        <f t="shared" si="257"/>
        <v>307.05043169297119</v>
      </c>
      <c r="CV146" s="21">
        <f t="shared" si="257"/>
        <v>320.45384997812135</v>
      </c>
      <c r="CW146" s="21">
        <f t="shared" si="257"/>
        <v>334.43806824169053</v>
      </c>
      <c r="CX146" s="21">
        <f t="shared" si="257"/>
        <v>348.91907982090652</v>
      </c>
      <c r="CY146" s="21">
        <f t="shared" si="257"/>
        <v>363.82593262048118</v>
      </c>
      <c r="CZ146" s="21">
        <f t="shared" si="257"/>
        <v>379.29655910729787</v>
      </c>
      <c r="DA146" s="21">
        <f t="shared" si="257"/>
        <v>395.3037150805219</v>
      </c>
      <c r="DB146" s="21">
        <f t="shared" si="257"/>
        <v>411.83651605110794</v>
      </c>
      <c r="DE146" s="22"/>
      <c r="DF146" s="161">
        <v>211.4795116053582</v>
      </c>
    </row>
    <row r="147" spans="1:110" s="161" customFormat="1" x14ac:dyDescent="0.2">
      <c r="A147" s="49" t="s">
        <v>500</v>
      </c>
      <c r="AB147" s="21"/>
      <c r="AC147" s="21"/>
      <c r="AD147" s="21"/>
      <c r="AE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E147" s="22"/>
    </row>
    <row r="148" spans="1:110" s="161" customFormat="1" x14ac:dyDescent="0.2">
      <c r="A148" s="49" t="s">
        <v>501</v>
      </c>
      <c r="E148" s="161" t="e">
        <f t="shared" ref="E148:AE150" ca="1" si="258">+E131/E$146</f>
        <v>#DIV/0!</v>
      </c>
      <c r="F148" s="161" t="e">
        <f t="shared" ca="1" si="258"/>
        <v>#DIV/0!</v>
      </c>
      <c r="G148" s="161" t="e">
        <f t="shared" ca="1" si="258"/>
        <v>#DIV/0!</v>
      </c>
      <c r="H148" s="161" t="e">
        <f t="shared" ca="1" si="258"/>
        <v>#DIV/0!</v>
      </c>
      <c r="I148" s="161" t="e">
        <f t="shared" ca="1" si="258"/>
        <v>#DIV/0!</v>
      </c>
      <c r="J148" s="161" t="e">
        <f t="shared" ca="1" si="258"/>
        <v>#DIV/0!</v>
      </c>
      <c r="K148" s="161" t="e">
        <f t="shared" ca="1" si="258"/>
        <v>#DIV/0!</v>
      </c>
      <c r="L148" s="161" t="e">
        <f t="shared" ca="1" si="258"/>
        <v>#DIV/0!</v>
      </c>
      <c r="M148" s="161" t="e">
        <f t="shared" ca="1" si="258"/>
        <v>#DIV/0!</v>
      </c>
      <c r="N148" s="161" t="e">
        <f t="shared" ca="1" si="258"/>
        <v>#DIV/0!</v>
      </c>
      <c r="O148" s="161" t="e">
        <f t="shared" ca="1" si="258"/>
        <v>#DIV/0!</v>
      </c>
      <c r="P148" s="161" t="e">
        <f t="shared" ca="1" si="258"/>
        <v>#DIV/0!</v>
      </c>
      <c r="Q148" s="161" t="e">
        <f t="shared" ca="1" si="258"/>
        <v>#DIV/0!</v>
      </c>
      <c r="R148" s="161" t="e">
        <f t="shared" ca="1" si="258"/>
        <v>#DIV/0!</v>
      </c>
      <c r="S148" s="161" t="e">
        <f t="shared" ca="1" si="258"/>
        <v>#DIV/0!</v>
      </c>
      <c r="T148" s="161" t="e">
        <f t="shared" ca="1" si="258"/>
        <v>#DIV/0!</v>
      </c>
      <c r="U148" s="161" t="e">
        <f t="shared" ca="1" si="258"/>
        <v>#DIV/0!</v>
      </c>
      <c r="V148" s="161" t="e">
        <f t="shared" ca="1" si="258"/>
        <v>#DIV/0!</v>
      </c>
      <c r="W148" s="161" t="e">
        <f t="shared" ca="1" si="258"/>
        <v>#DIV/0!</v>
      </c>
      <c r="X148" s="161" t="e">
        <f t="shared" ca="1" si="258"/>
        <v>#DIV/0!</v>
      </c>
      <c r="Y148" s="161" t="e">
        <f t="shared" ca="1" si="258"/>
        <v>#DIV/0!</v>
      </c>
      <c r="Z148" s="161" t="e">
        <f t="shared" ca="1" si="258"/>
        <v>#DIV/0!</v>
      </c>
      <c r="AA148" s="161" t="e">
        <f t="shared" ref="AA148" ca="1" si="259">+AA131/AA$146</f>
        <v>#DIV/0!</v>
      </c>
      <c r="AB148" s="21" t="e">
        <f t="shared" ca="1" si="258"/>
        <v>#DIV/0!</v>
      </c>
      <c r="AC148" s="21" t="e">
        <f t="shared" ca="1" si="258"/>
        <v>#DIV/0!</v>
      </c>
      <c r="AD148" s="21" t="e">
        <f t="shared" ca="1" si="258"/>
        <v>#DIV/0!</v>
      </c>
      <c r="AE148" s="21" t="e">
        <f t="shared" ca="1" si="258"/>
        <v>#DIV/0!</v>
      </c>
      <c r="AL148" s="161">
        <f t="shared" ref="AL148:CI150" si="260">+AL131/AL$146</f>
        <v>0.57361087795870402</v>
      </c>
      <c r="AM148" s="161">
        <f t="shared" si="260"/>
        <v>0.68211547321311039</v>
      </c>
      <c r="AN148" s="161">
        <f t="shared" si="260"/>
        <v>0.44587893837783121</v>
      </c>
      <c r="AO148" s="161">
        <f t="shared" si="260"/>
        <v>0.54877463673195848</v>
      </c>
      <c r="AP148" s="161">
        <f t="shared" si="260"/>
        <v>0.53217119753794162</v>
      </c>
      <c r="AQ148" s="161">
        <f t="shared" si="260"/>
        <v>0.80336668903346253</v>
      </c>
      <c r="AR148" s="161">
        <f t="shared" si="260"/>
        <v>1.1728871849805491</v>
      </c>
      <c r="AS148" s="161">
        <f t="shared" si="260"/>
        <v>1.0540623049578031</v>
      </c>
      <c r="AT148" s="161">
        <f t="shared" si="260"/>
        <v>1.0565072639225184</v>
      </c>
      <c r="AU148" s="161">
        <f t="shared" si="260"/>
        <v>1.9329904859861147</v>
      </c>
      <c r="AV148" s="161">
        <f t="shared" si="260"/>
        <v>3.2451969083548029</v>
      </c>
      <c r="AW148" s="161">
        <f t="shared" si="260"/>
        <v>3.6342472228787521</v>
      </c>
      <c r="AX148" s="161">
        <f t="shared" si="260"/>
        <v>2.84969265793967</v>
      </c>
      <c r="AY148" s="161">
        <f t="shared" si="260"/>
        <v>3.0308312982641405</v>
      </c>
      <c r="AZ148" s="161">
        <f t="shared" si="260"/>
        <v>2.6956502075130366</v>
      </c>
      <c r="BA148" s="161">
        <f t="shared" si="260"/>
        <v>2.6112838621271215</v>
      </c>
      <c r="BB148" s="161">
        <f t="shared" si="260"/>
        <v>2.8197569825588489</v>
      </c>
      <c r="BC148" s="161">
        <f t="shared" si="260"/>
        <v>2.6711488158001457</v>
      </c>
      <c r="BD148" s="161">
        <f t="shared" si="260"/>
        <v>2.039412212640721</v>
      </c>
      <c r="BE148" s="161">
        <f t="shared" si="260"/>
        <v>1.9519146329010519</v>
      </c>
      <c r="BF148" s="161">
        <f t="shared" si="260"/>
        <v>1.1734000977039571</v>
      </c>
      <c r="BG148" s="161">
        <f t="shared" si="260"/>
        <v>0.79538471231389607</v>
      </c>
      <c r="BH148" s="161">
        <f t="shared" si="260"/>
        <v>0.57843520922419056</v>
      </c>
      <c r="BI148" s="161">
        <f t="shared" si="260"/>
        <v>0.65562272987956416</v>
      </c>
      <c r="BJ148" s="161">
        <f t="shared" si="260"/>
        <v>0.63258834261570973</v>
      </c>
      <c r="BK148" s="161">
        <f t="shared" si="260"/>
        <v>0.50120966196535344</v>
      </c>
      <c r="BL148" s="161">
        <f t="shared" si="260"/>
        <v>0.37130304020293647</v>
      </c>
      <c r="BM148" s="161">
        <f t="shared" si="260"/>
        <v>0.5828579577866515</v>
      </c>
      <c r="BN148" s="161">
        <f t="shared" si="260"/>
        <v>0.33651255881013808</v>
      </c>
      <c r="BO148" s="161">
        <f t="shared" si="260"/>
        <v>0.49579458147998384</v>
      </c>
      <c r="BP148" s="161">
        <f t="shared" si="260"/>
        <v>0.47861030442111252</v>
      </c>
      <c r="BQ148" s="161">
        <f t="shared" si="260"/>
        <v>0.77258972871318821</v>
      </c>
      <c r="BR148" s="161">
        <f t="shared" si="260"/>
        <v>0.6691326900097766</v>
      </c>
      <c r="BS148" s="161">
        <f t="shared" si="260"/>
        <v>0.93569210763759891</v>
      </c>
      <c r="BT148" s="161">
        <f t="shared" si="260"/>
        <v>1.4165216068682298</v>
      </c>
      <c r="BU148" s="161">
        <f t="shared" si="260"/>
        <v>2.7530942639074674</v>
      </c>
      <c r="BV148" s="161">
        <f t="shared" si="260"/>
        <v>1.814019876244884</v>
      </c>
      <c r="BW148" s="161">
        <f t="shared" si="260"/>
        <v>1.7799299898498293</v>
      </c>
      <c r="BX148" s="161">
        <f t="shared" si="260"/>
        <v>1.6782292926510916</v>
      </c>
      <c r="BY148" s="161">
        <f t="shared" si="260"/>
        <v>1.4359416048977294</v>
      </c>
      <c r="BZ148" s="161">
        <f t="shared" si="260"/>
        <v>1.2256236341195523</v>
      </c>
      <c r="CA148" s="161">
        <f t="shared" si="260"/>
        <v>1.6851894742716824</v>
      </c>
      <c r="CB148" s="161">
        <f t="shared" si="260"/>
        <v>1.7784989763632981</v>
      </c>
      <c r="CC148" s="161">
        <f t="shared" si="260"/>
        <v>2.2070253360111232</v>
      </c>
      <c r="CD148" s="161">
        <f t="shared" si="260"/>
        <v>2.2388184228706112</v>
      </c>
      <c r="CE148" s="161">
        <f t="shared" si="260"/>
        <v>2.0570999399158825</v>
      </c>
      <c r="CF148" s="161">
        <f t="shared" si="260"/>
        <v>2.3480226724215627</v>
      </c>
      <c r="CG148" s="161">
        <f t="shared" si="260"/>
        <v>2.0829990909272542</v>
      </c>
      <c r="CH148" s="161">
        <f t="shared" si="260"/>
        <v>2.1786413119052823</v>
      </c>
      <c r="CI148" s="161">
        <f t="shared" si="260"/>
        <v>2.431290947656382</v>
      </c>
      <c r="CJ148" s="161">
        <f t="shared" ref="CJ148:CL150" si="261">+CJ131/CJ$146</f>
        <v>2.1375698118753674</v>
      </c>
      <c r="CK148" s="161">
        <f t="shared" si="261"/>
        <v>2.3817866267331373</v>
      </c>
      <c r="CL148" s="161">
        <f t="shared" si="261"/>
        <v>1.9413297778438499</v>
      </c>
      <c r="CM148" s="21">
        <f t="shared" ref="CM148:DB148" si="262">+CM131/CM$146</f>
        <v>1.878496648007193</v>
      </c>
      <c r="CN148" s="21">
        <f t="shared" si="262"/>
        <v>1.8115793361617136</v>
      </c>
      <c r="CO148" s="21">
        <f t="shared" si="262"/>
        <v>1.7417937368774408</v>
      </c>
      <c r="CP148" s="21">
        <f t="shared" si="262"/>
        <v>1.6730746419131328</v>
      </c>
      <c r="CQ148" s="21">
        <f t="shared" si="262"/>
        <v>1.6090798844438856</v>
      </c>
      <c r="CR148" s="21">
        <f t="shared" si="262"/>
        <v>1.5431671924226236</v>
      </c>
      <c r="CS148" s="21">
        <f t="shared" si="262"/>
        <v>1.4773137429411023</v>
      </c>
      <c r="CT148" s="21">
        <f t="shared" si="262"/>
        <v>1.4127467221319752</v>
      </c>
      <c r="CU148" s="21">
        <f t="shared" si="262"/>
        <v>1.3541749402774679</v>
      </c>
      <c r="CV148" s="21">
        <f t="shared" si="262"/>
        <v>1.297534730908642</v>
      </c>
      <c r="CW148" s="21">
        <f t="shared" si="262"/>
        <v>1.2432795171496778</v>
      </c>
      <c r="CX148" s="21">
        <f t="shared" si="262"/>
        <v>1.1916803180078952</v>
      </c>
      <c r="CY148" s="21">
        <f t="shared" si="262"/>
        <v>1.1428542132914277</v>
      </c>
      <c r="CZ148" s="21">
        <f t="shared" si="262"/>
        <v>1.0962398419290058</v>
      </c>
      <c r="DA148" s="21">
        <f t="shared" si="262"/>
        <v>1.0518494619138681</v>
      </c>
      <c r="DB148" s="21">
        <f t="shared" si="262"/>
        <v>1.0096239255005746</v>
      </c>
      <c r="DE148" s="22"/>
      <c r="DF148" s="161">
        <v>1.9661479111788578</v>
      </c>
    </row>
    <row r="149" spans="1:110" s="161" customFormat="1" x14ac:dyDescent="0.2">
      <c r="A149" s="49" t="s">
        <v>502</v>
      </c>
      <c r="E149" s="161" t="e">
        <f t="shared" ca="1" si="258"/>
        <v>#DIV/0!</v>
      </c>
      <c r="F149" s="161" t="e">
        <f t="shared" ca="1" si="258"/>
        <v>#DIV/0!</v>
      </c>
      <c r="G149" s="161" t="e">
        <f t="shared" ca="1" si="258"/>
        <v>#DIV/0!</v>
      </c>
      <c r="H149" s="161" t="e">
        <f t="shared" ca="1" si="258"/>
        <v>#DIV/0!</v>
      </c>
      <c r="I149" s="161" t="e">
        <f t="shared" ca="1" si="258"/>
        <v>#DIV/0!</v>
      </c>
      <c r="J149" s="161" t="e">
        <f t="shared" ca="1" si="258"/>
        <v>#DIV/0!</v>
      </c>
      <c r="K149" s="161" t="e">
        <f t="shared" ca="1" si="258"/>
        <v>#DIV/0!</v>
      </c>
      <c r="L149" s="161" t="e">
        <f t="shared" ca="1" si="258"/>
        <v>#DIV/0!</v>
      </c>
      <c r="M149" s="161" t="e">
        <f t="shared" ca="1" si="258"/>
        <v>#DIV/0!</v>
      </c>
      <c r="N149" s="161" t="e">
        <f t="shared" ca="1" si="258"/>
        <v>#DIV/0!</v>
      </c>
      <c r="O149" s="161" t="e">
        <f t="shared" ca="1" si="258"/>
        <v>#DIV/0!</v>
      </c>
      <c r="P149" s="161" t="e">
        <f t="shared" ca="1" si="258"/>
        <v>#DIV/0!</v>
      </c>
      <c r="Q149" s="161" t="e">
        <f t="shared" ca="1" si="258"/>
        <v>#DIV/0!</v>
      </c>
      <c r="R149" s="161" t="e">
        <f t="shared" ca="1" si="258"/>
        <v>#DIV/0!</v>
      </c>
      <c r="S149" s="161" t="e">
        <f t="shared" ca="1" si="258"/>
        <v>#DIV/0!</v>
      </c>
      <c r="T149" s="161" t="e">
        <f t="shared" ca="1" si="258"/>
        <v>#DIV/0!</v>
      </c>
      <c r="U149" s="161" t="e">
        <f t="shared" ca="1" si="258"/>
        <v>#DIV/0!</v>
      </c>
      <c r="V149" s="161" t="e">
        <f t="shared" ca="1" si="258"/>
        <v>#DIV/0!</v>
      </c>
      <c r="W149" s="161" t="e">
        <f t="shared" ca="1" si="258"/>
        <v>#DIV/0!</v>
      </c>
      <c r="X149" s="161" t="e">
        <f t="shared" ca="1" si="258"/>
        <v>#DIV/0!</v>
      </c>
      <c r="Y149" s="161" t="e">
        <f t="shared" ca="1" si="258"/>
        <v>#DIV/0!</v>
      </c>
      <c r="Z149" s="161" t="e">
        <f t="shared" ca="1" si="258"/>
        <v>#DIV/0!</v>
      </c>
      <c r="AA149" s="161" t="e">
        <f t="shared" ref="AA149" ca="1" si="263">+AA132/AA$146</f>
        <v>#DIV/0!</v>
      </c>
      <c r="AB149" s="21" t="e">
        <f t="shared" ca="1" si="258"/>
        <v>#DIV/0!</v>
      </c>
      <c r="AC149" s="21" t="e">
        <f t="shared" ca="1" si="258"/>
        <v>#DIV/0!</v>
      </c>
      <c r="AD149" s="21" t="e">
        <f t="shared" ca="1" si="258"/>
        <v>#DIV/0!</v>
      </c>
      <c r="AE149" s="21" t="e">
        <f t="shared" ca="1" si="258"/>
        <v>#DIV/0!</v>
      </c>
      <c r="AL149" s="161">
        <f t="shared" si="260"/>
        <v>0.97766912875608536</v>
      </c>
      <c r="AM149" s="161">
        <f t="shared" si="260"/>
        <v>0.86814696590759499</v>
      </c>
      <c r="AN149" s="161">
        <f t="shared" si="260"/>
        <v>0.66126787295963563</v>
      </c>
      <c r="AO149" s="161">
        <f t="shared" si="260"/>
        <v>0.59546257653760626</v>
      </c>
      <c r="AP149" s="161">
        <f t="shared" si="260"/>
        <v>0.69591618139576983</v>
      </c>
      <c r="AQ149" s="161">
        <f t="shared" si="260"/>
        <v>0.86493858855792505</v>
      </c>
      <c r="AR149" s="161">
        <f t="shared" si="260"/>
        <v>1.2564624795624966</v>
      </c>
      <c r="AS149" s="161">
        <f t="shared" si="260"/>
        <v>1.2824651976879868</v>
      </c>
      <c r="AT149" s="161">
        <f t="shared" si="260"/>
        <v>1.4532889426957225</v>
      </c>
      <c r="AU149" s="161">
        <f t="shared" si="260"/>
        <v>1.969169452301363</v>
      </c>
      <c r="AV149" s="161">
        <f t="shared" si="260"/>
        <v>3.4276775855723223</v>
      </c>
      <c r="AW149" s="161">
        <f t="shared" si="260"/>
        <v>3.8480264712833843</v>
      </c>
      <c r="AX149" s="161">
        <f t="shared" si="260"/>
        <v>3.6607854297097324</v>
      </c>
      <c r="AY149" s="161">
        <f t="shared" si="260"/>
        <v>3.3718896442479038</v>
      </c>
      <c r="AZ149" s="161">
        <f t="shared" si="260"/>
        <v>3.0159625412365649</v>
      </c>
      <c r="BA149" s="161">
        <f t="shared" si="260"/>
        <v>3.4428691894170975</v>
      </c>
      <c r="BB149" s="161">
        <f t="shared" si="260"/>
        <v>3.1103640687888765</v>
      </c>
      <c r="BC149" s="161">
        <f t="shared" si="260"/>
        <v>3.3013626409278936</v>
      </c>
      <c r="BD149" s="161">
        <f t="shared" si="260"/>
        <v>3.0508448414250138</v>
      </c>
      <c r="BE149" s="161">
        <f t="shared" si="260"/>
        <v>2.2946798733789442</v>
      </c>
      <c r="BF149" s="161">
        <f t="shared" si="260"/>
        <v>2.0620420127015144</v>
      </c>
      <c r="BG149" s="161">
        <f t="shared" si="260"/>
        <v>1.3818165516439209</v>
      </c>
      <c r="BH149" s="161">
        <f t="shared" si="260"/>
        <v>0.95734384544899209</v>
      </c>
      <c r="BI149" s="161">
        <f t="shared" si="260"/>
        <v>0.84054196138405657</v>
      </c>
      <c r="BJ149" s="161">
        <f t="shared" si="260"/>
        <v>0.80002400614557345</v>
      </c>
      <c r="BK149" s="161">
        <f t="shared" si="260"/>
        <v>0.66972395753487668</v>
      </c>
      <c r="BL149" s="161">
        <f t="shared" si="260"/>
        <v>0.54560784841263743</v>
      </c>
      <c r="BM149" s="161">
        <f t="shared" si="260"/>
        <v>0.67363091842555634</v>
      </c>
      <c r="BN149" s="161">
        <f t="shared" si="260"/>
        <v>0.62393050918197002</v>
      </c>
      <c r="BO149" s="161">
        <f t="shared" si="260"/>
        <v>0.55878487666801469</v>
      </c>
      <c r="BP149" s="161">
        <f t="shared" si="260"/>
        <v>0.67556507788225273</v>
      </c>
      <c r="BQ149" s="161">
        <f t="shared" si="260"/>
        <v>0.84346490877080671</v>
      </c>
      <c r="BR149" s="161">
        <f t="shared" si="260"/>
        <v>0.9438819386609697</v>
      </c>
      <c r="BS149" s="161">
        <f t="shared" si="260"/>
        <v>1.018815349503742</v>
      </c>
      <c r="BT149" s="161">
        <f t="shared" si="260"/>
        <v>1.4759679572763689</v>
      </c>
      <c r="BU149" s="161">
        <f t="shared" si="260"/>
        <v>2.7993547879455507</v>
      </c>
      <c r="BV149" s="161">
        <f t="shared" si="260"/>
        <v>2.97177796711969</v>
      </c>
      <c r="BW149" s="161">
        <f t="shared" si="260"/>
        <v>2.7594799989589567</v>
      </c>
      <c r="BX149" s="161">
        <f t="shared" si="260"/>
        <v>2.165932713839227</v>
      </c>
      <c r="BY149" s="161">
        <f t="shared" si="260"/>
        <v>1.7609659410771252</v>
      </c>
      <c r="BZ149" s="161">
        <f t="shared" si="260"/>
        <v>1.4452572101502612</v>
      </c>
      <c r="CA149" s="161">
        <f t="shared" si="260"/>
        <v>1.9294564125460434</v>
      </c>
      <c r="CB149" s="161">
        <f t="shared" si="260"/>
        <v>2.0434812953657175</v>
      </c>
      <c r="CC149" s="161">
        <f t="shared" si="260"/>
        <v>2.3542638652865748</v>
      </c>
      <c r="CD149" s="161">
        <f t="shared" si="260"/>
        <v>3.2018855656697012</v>
      </c>
      <c r="CE149" s="161">
        <f t="shared" si="260"/>
        <v>2.4405417584618467</v>
      </c>
      <c r="CF149" s="161">
        <f t="shared" si="260"/>
        <v>2.5070400672962334</v>
      </c>
      <c r="CG149" s="161">
        <f t="shared" si="260"/>
        <v>2.3545745839243972</v>
      </c>
      <c r="CH149" s="161">
        <f t="shared" si="260"/>
        <v>2.2609954508432826</v>
      </c>
      <c r="CI149" s="161">
        <f t="shared" si="260"/>
        <v>2.5523200781040933</v>
      </c>
      <c r="CJ149" s="161">
        <f t="shared" si="261"/>
        <v>2.3977807172251615</v>
      </c>
      <c r="CK149" s="161">
        <f t="shared" si="261"/>
        <v>2.4089534672318598</v>
      </c>
      <c r="CL149" s="161">
        <f t="shared" si="261"/>
        <v>2.4469719494178972</v>
      </c>
      <c r="CM149" s="94">
        <f t="shared" ref="CM149:DB149" si="264">+CL149</f>
        <v>2.4469719494178972</v>
      </c>
      <c r="CN149" s="94">
        <f t="shared" si="264"/>
        <v>2.4469719494178972</v>
      </c>
      <c r="CO149" s="94">
        <f t="shared" si="264"/>
        <v>2.4469719494178972</v>
      </c>
      <c r="CP149" s="94">
        <f t="shared" si="264"/>
        <v>2.4469719494178972</v>
      </c>
      <c r="CQ149" s="94">
        <f t="shared" si="264"/>
        <v>2.4469719494178972</v>
      </c>
      <c r="CR149" s="94">
        <f t="shared" si="264"/>
        <v>2.4469719494178972</v>
      </c>
      <c r="CS149" s="94">
        <f t="shared" si="264"/>
        <v>2.4469719494178972</v>
      </c>
      <c r="CT149" s="94">
        <f t="shared" si="264"/>
        <v>2.4469719494178972</v>
      </c>
      <c r="CU149" s="94">
        <f t="shared" si="264"/>
        <v>2.4469719494178972</v>
      </c>
      <c r="CV149" s="94">
        <f t="shared" si="264"/>
        <v>2.4469719494178972</v>
      </c>
      <c r="CW149" s="94">
        <f t="shared" si="264"/>
        <v>2.4469719494178972</v>
      </c>
      <c r="CX149" s="94">
        <f t="shared" si="264"/>
        <v>2.4469719494178972</v>
      </c>
      <c r="CY149" s="94">
        <f t="shared" si="264"/>
        <v>2.4469719494178972</v>
      </c>
      <c r="CZ149" s="94">
        <f t="shared" si="264"/>
        <v>2.4469719494178972</v>
      </c>
      <c r="DA149" s="94">
        <f t="shared" si="264"/>
        <v>2.4469719494178972</v>
      </c>
      <c r="DB149" s="94">
        <f t="shared" si="264"/>
        <v>2.4469719494178972</v>
      </c>
      <c r="DC149" s="94"/>
      <c r="DE149" s="22"/>
      <c r="DF149" s="161">
        <v>2.4782542574527162</v>
      </c>
    </row>
    <row r="150" spans="1:110" s="161" customFormat="1" x14ac:dyDescent="0.2">
      <c r="A150" s="49" t="s">
        <v>503</v>
      </c>
      <c r="E150" s="161" t="e">
        <f t="shared" ca="1" si="258"/>
        <v>#DIV/0!</v>
      </c>
      <c r="F150" s="161" t="e">
        <f t="shared" ca="1" si="258"/>
        <v>#DIV/0!</v>
      </c>
      <c r="G150" s="161" t="e">
        <f t="shared" ca="1" si="258"/>
        <v>#DIV/0!</v>
      </c>
      <c r="H150" s="161" t="e">
        <f t="shared" ca="1" si="258"/>
        <v>#DIV/0!</v>
      </c>
      <c r="I150" s="161" t="e">
        <f t="shared" ca="1" si="258"/>
        <v>#DIV/0!</v>
      </c>
      <c r="J150" s="161" t="e">
        <f t="shared" ca="1" si="258"/>
        <v>#DIV/0!</v>
      </c>
      <c r="K150" s="161" t="e">
        <f t="shared" ca="1" si="258"/>
        <v>#DIV/0!</v>
      </c>
      <c r="L150" s="161" t="e">
        <f t="shared" ca="1" si="258"/>
        <v>#DIV/0!</v>
      </c>
      <c r="M150" s="161" t="e">
        <f t="shared" ca="1" si="258"/>
        <v>#DIV/0!</v>
      </c>
      <c r="N150" s="161" t="e">
        <f t="shared" ca="1" si="258"/>
        <v>#DIV/0!</v>
      </c>
      <c r="O150" s="161" t="e">
        <f t="shared" ca="1" si="258"/>
        <v>#DIV/0!</v>
      </c>
      <c r="P150" s="161" t="e">
        <f t="shared" ca="1" si="258"/>
        <v>#DIV/0!</v>
      </c>
      <c r="Q150" s="161" t="e">
        <f t="shared" ca="1" si="258"/>
        <v>#DIV/0!</v>
      </c>
      <c r="R150" s="161" t="e">
        <f t="shared" ca="1" si="258"/>
        <v>#DIV/0!</v>
      </c>
      <c r="S150" s="161" t="e">
        <f t="shared" ca="1" si="258"/>
        <v>#DIV/0!</v>
      </c>
      <c r="T150" s="161" t="e">
        <f t="shared" ca="1" si="258"/>
        <v>#DIV/0!</v>
      </c>
      <c r="U150" s="161" t="e">
        <f t="shared" ca="1" si="258"/>
        <v>#DIV/0!</v>
      </c>
      <c r="V150" s="161" t="e">
        <f t="shared" ca="1" si="258"/>
        <v>#DIV/0!</v>
      </c>
      <c r="W150" s="161" t="e">
        <f t="shared" ca="1" si="258"/>
        <v>#DIV/0!</v>
      </c>
      <c r="X150" s="161" t="e">
        <f t="shared" ca="1" si="258"/>
        <v>#DIV/0!</v>
      </c>
      <c r="Y150" s="161" t="e">
        <f t="shared" ca="1" si="258"/>
        <v>#DIV/0!</v>
      </c>
      <c r="Z150" s="161" t="e">
        <f t="shared" ca="1" si="258"/>
        <v>#DIV/0!</v>
      </c>
      <c r="AA150" s="161" t="e">
        <f t="shared" ref="AA150" ca="1" si="265">+AA133/AA$146</f>
        <v>#DIV/0!</v>
      </c>
      <c r="AB150" s="21" t="e">
        <f t="shared" ca="1" si="258"/>
        <v>#DIV/0!</v>
      </c>
      <c r="AC150" s="21" t="e">
        <f t="shared" ca="1" si="258"/>
        <v>#DIV/0!</v>
      </c>
      <c r="AD150" s="21" t="e">
        <f t="shared" ca="1" si="258"/>
        <v>#DIV/0!</v>
      </c>
      <c r="AE150" s="21" t="e">
        <f t="shared" ca="1" si="258"/>
        <v>#DIV/0!</v>
      </c>
      <c r="AL150" s="161">
        <f t="shared" si="260"/>
        <v>0.55673996978344809</v>
      </c>
      <c r="AM150" s="161">
        <f t="shared" si="260"/>
        <v>0.56222851125444251</v>
      </c>
      <c r="AN150" s="161">
        <f t="shared" si="260"/>
        <v>0.41329242059977223</v>
      </c>
      <c r="AO150" s="161">
        <f t="shared" si="260"/>
        <v>0.42937597099948216</v>
      </c>
      <c r="AP150" s="161">
        <f t="shared" si="260"/>
        <v>0.4745572217361132</v>
      </c>
      <c r="AQ150" s="161">
        <f t="shared" si="260"/>
        <v>0.4933081949995623</v>
      </c>
      <c r="AR150" s="161">
        <f t="shared" si="260"/>
        <v>0.75217765123752611</v>
      </c>
      <c r="AS150" s="161">
        <f t="shared" si="260"/>
        <v>0.94974695394968944</v>
      </c>
      <c r="AT150" s="161">
        <f t="shared" si="260"/>
        <v>0.91928974979822442</v>
      </c>
      <c r="AU150" s="161">
        <f t="shared" si="260"/>
        <v>0.9238557469786578</v>
      </c>
      <c r="AV150" s="161">
        <f t="shared" si="260"/>
        <v>1.8494663231505337</v>
      </c>
      <c r="AW150" s="161">
        <f t="shared" si="260"/>
        <v>2.842076341290475</v>
      </c>
      <c r="AX150" s="161">
        <f t="shared" si="260"/>
        <v>2.728429140580535</v>
      </c>
      <c r="AY150" s="161">
        <f t="shared" si="260"/>
        <v>2.7229390799287172</v>
      </c>
      <c r="AZ150" s="161">
        <f t="shared" si="260"/>
        <v>2.6100909864850488</v>
      </c>
      <c r="BA150" s="161">
        <f t="shared" si="260"/>
        <v>2.3835248234426056</v>
      </c>
      <c r="BB150" s="161">
        <f t="shared" si="260"/>
        <v>2.410659836565435</v>
      </c>
      <c r="BC150" s="161">
        <f t="shared" si="260"/>
        <v>2.54734771676535</v>
      </c>
      <c r="BD150" s="161">
        <f t="shared" si="260"/>
        <v>1.959262899010064</v>
      </c>
      <c r="BE150" s="161">
        <f t="shared" si="260"/>
        <v>1.816450525885837</v>
      </c>
      <c r="BF150" s="161">
        <f t="shared" si="260"/>
        <v>1.1606350757205668</v>
      </c>
      <c r="BG150" s="161">
        <f t="shared" si="260"/>
        <v>0.75788035049627811</v>
      </c>
      <c r="BH150" s="161">
        <f t="shared" si="260"/>
        <v>0.57747594685400128</v>
      </c>
      <c r="BI150" s="161">
        <f t="shared" si="260"/>
        <v>0.5187344675970178</v>
      </c>
      <c r="BJ150" s="161">
        <f t="shared" si="260"/>
        <v>0.51823026694833896</v>
      </c>
      <c r="BK150" s="161">
        <f t="shared" si="260"/>
        <v>0.48195088532883651</v>
      </c>
      <c r="BL150" s="161">
        <f t="shared" si="260"/>
        <v>0.31046535091090782</v>
      </c>
      <c r="BM150" s="161">
        <f t="shared" si="260"/>
        <v>0.34207073588134629</v>
      </c>
      <c r="BN150" s="161">
        <f t="shared" si="260"/>
        <v>0.32030657155865838</v>
      </c>
      <c r="BO150" s="161">
        <f t="shared" si="260"/>
        <v>0.35101849979781646</v>
      </c>
      <c r="BP150" s="161">
        <f t="shared" si="260"/>
        <v>0.45922097439125936</v>
      </c>
      <c r="BQ150" s="161">
        <f t="shared" si="260"/>
        <v>0.46194532250320108</v>
      </c>
      <c r="BR150" s="161">
        <f t="shared" si="260"/>
        <v>0.64002018684143824</v>
      </c>
      <c r="BS150" s="161">
        <f t="shared" si="260"/>
        <v>0.65387320205933874</v>
      </c>
      <c r="BT150" s="161">
        <f t="shared" si="260"/>
        <v>0.86282131449527655</v>
      </c>
      <c r="BU150" s="161">
        <f t="shared" si="260"/>
        <v>1.3186226296325441</v>
      </c>
      <c r="BV150" s="161">
        <f t="shared" si="260"/>
        <v>1.8055972650957495</v>
      </c>
      <c r="BW150" s="161">
        <f t="shared" si="260"/>
        <v>1.5497553548655751</v>
      </c>
      <c r="BX150" s="161">
        <f t="shared" si="260"/>
        <v>1.5169652372798144</v>
      </c>
      <c r="BY150" s="161">
        <f t="shared" si="260"/>
        <v>1.2670939669731658</v>
      </c>
      <c r="BZ150" s="161">
        <f t="shared" si="260"/>
        <v>1.052647968022828</v>
      </c>
      <c r="CA150" s="161">
        <f t="shared" si="260"/>
        <v>1.222736912601853</v>
      </c>
      <c r="CB150" s="161">
        <f t="shared" si="260"/>
        <v>1.5080611390284757</v>
      </c>
      <c r="CC150" s="161">
        <f t="shared" si="260"/>
        <v>1.4203730882125754</v>
      </c>
      <c r="CD150" s="161">
        <f t="shared" si="260"/>
        <v>1.8378169700910274</v>
      </c>
      <c r="CE150" s="161">
        <f t="shared" si="260"/>
        <v>1.6094995493691171</v>
      </c>
      <c r="CF150" s="161">
        <f t="shared" si="260"/>
        <v>1.8161195509578696</v>
      </c>
      <c r="CG150" s="161">
        <f t="shared" si="260"/>
        <v>1.7569579029390023</v>
      </c>
      <c r="CH150" s="161">
        <f t="shared" si="260"/>
        <v>1.473639970996643</v>
      </c>
      <c r="CI150" s="161">
        <f t="shared" si="260"/>
        <v>1.8318730114678221</v>
      </c>
      <c r="CJ150" s="161">
        <f t="shared" si="261"/>
        <v>1.6784465020576131</v>
      </c>
      <c r="CK150" s="161">
        <f t="shared" si="261"/>
        <v>1.8824456734955552</v>
      </c>
      <c r="CL150" s="161">
        <f t="shared" si="261"/>
        <v>1.9205531604523032</v>
      </c>
      <c r="CM150" s="94">
        <f t="shared" ref="CM150:DB150" si="266">+CL150</f>
        <v>1.9205531604523032</v>
      </c>
      <c r="CN150" s="94">
        <f t="shared" si="266"/>
        <v>1.9205531604523032</v>
      </c>
      <c r="CO150" s="94">
        <f t="shared" si="266"/>
        <v>1.9205531604523032</v>
      </c>
      <c r="CP150" s="94">
        <f t="shared" si="266"/>
        <v>1.9205531604523032</v>
      </c>
      <c r="CQ150" s="94">
        <f t="shared" si="266"/>
        <v>1.9205531604523032</v>
      </c>
      <c r="CR150" s="94">
        <f t="shared" si="266"/>
        <v>1.9205531604523032</v>
      </c>
      <c r="CS150" s="94">
        <f t="shared" si="266"/>
        <v>1.9205531604523032</v>
      </c>
      <c r="CT150" s="94">
        <f t="shared" si="266"/>
        <v>1.9205531604523032</v>
      </c>
      <c r="CU150" s="94">
        <f t="shared" si="266"/>
        <v>1.9205531604523032</v>
      </c>
      <c r="CV150" s="94">
        <f t="shared" si="266"/>
        <v>1.9205531604523032</v>
      </c>
      <c r="CW150" s="94">
        <f t="shared" si="266"/>
        <v>1.9205531604523032</v>
      </c>
      <c r="CX150" s="94">
        <f t="shared" si="266"/>
        <v>1.9205531604523032</v>
      </c>
      <c r="CY150" s="94">
        <f t="shared" si="266"/>
        <v>1.9205531604523032</v>
      </c>
      <c r="CZ150" s="94">
        <f t="shared" si="266"/>
        <v>1.9205531604523032</v>
      </c>
      <c r="DA150" s="94">
        <f t="shared" si="266"/>
        <v>1.9205531604523032</v>
      </c>
      <c r="DB150" s="94">
        <f t="shared" si="266"/>
        <v>1.9205531604523032</v>
      </c>
      <c r="DC150" s="94"/>
      <c r="DE150" s="22"/>
      <c r="DF150" s="161">
        <v>1.9451056836542162</v>
      </c>
    </row>
    <row r="151" spans="1:110" s="4" customFormat="1" x14ac:dyDescent="0.2">
      <c r="A151" s="3"/>
      <c r="AB151" s="17"/>
      <c r="AC151" s="17"/>
      <c r="AD151" s="17"/>
      <c r="AE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E151" s="119"/>
    </row>
    <row r="152" spans="1:110" s="176" customFormat="1" x14ac:dyDescent="0.2">
      <c r="A152" s="176" t="s">
        <v>509</v>
      </c>
      <c r="E152" s="176">
        <f t="shared" ref="E152:AE152" si="267">+E57</f>
        <v>267.15454469999997</v>
      </c>
      <c r="F152" s="176">
        <f t="shared" si="267"/>
        <v>289.57709240000003</v>
      </c>
      <c r="G152" s="176">
        <f t="shared" si="267"/>
        <v>346.78696209999998</v>
      </c>
      <c r="H152" s="176">
        <f t="shared" si="267"/>
        <v>552.35863770000003</v>
      </c>
      <c r="I152" s="176">
        <f t="shared" si="267"/>
        <v>693.38204359999997</v>
      </c>
      <c r="J152" s="176">
        <f t="shared" si="267"/>
        <v>748.26991710000004</v>
      </c>
      <c r="K152" s="176">
        <f t="shared" si="267"/>
        <v>852.24791240000002</v>
      </c>
      <c r="L152" s="176">
        <f t="shared" si="267"/>
        <v>1171.52</v>
      </c>
      <c r="M152" s="176">
        <f t="shared" si="267"/>
        <v>1417.2199999999998</v>
      </c>
      <c r="N152" s="176">
        <f t="shared" si="267"/>
        <v>1478.8400000000001</v>
      </c>
      <c r="O152" s="176">
        <f t="shared" si="267"/>
        <v>1432.6100000000001</v>
      </c>
      <c r="P152" s="176">
        <f t="shared" si="267"/>
        <v>1468.66</v>
      </c>
      <c r="Q152" s="176">
        <f t="shared" si="267"/>
        <v>1504.3999999999999</v>
      </c>
      <c r="R152" s="176">
        <f t="shared" si="267"/>
        <v>1591.43</v>
      </c>
      <c r="S152" s="176">
        <f t="shared" si="267"/>
        <v>1637.2600000000002</v>
      </c>
      <c r="T152" s="176">
        <f t="shared" si="267"/>
        <v>1873.53</v>
      </c>
      <c r="U152" s="176">
        <f t="shared" si="267"/>
        <v>1790.11</v>
      </c>
      <c r="V152" s="176">
        <f t="shared" si="267"/>
        <v>1358.97</v>
      </c>
      <c r="W152" s="176">
        <f t="shared" si="267"/>
        <v>2437.7600000000002</v>
      </c>
      <c r="X152" s="176">
        <f t="shared" si="267"/>
        <v>2712.3</v>
      </c>
      <c r="Y152" s="176">
        <f t="shared" si="267"/>
        <v>2628.06</v>
      </c>
      <c r="Z152" s="176">
        <f t="shared" si="267"/>
        <v>2856.95</v>
      </c>
      <c r="AA152" s="176">
        <f t="shared" ref="AA152" si="268">+AA57</f>
        <v>3234.53</v>
      </c>
      <c r="AB152" s="177">
        <f t="shared" si="267"/>
        <v>3853.982253019682</v>
      </c>
      <c r="AC152" s="177">
        <f t="shared" si="267"/>
        <v>3987.4329448677026</v>
      </c>
      <c r="AD152" s="177">
        <f t="shared" si="267"/>
        <v>4043.4236959667869</v>
      </c>
      <c r="AE152" s="177">
        <f t="shared" si="267"/>
        <v>4059.6216674705665</v>
      </c>
      <c r="AL152" s="176">
        <f t="shared" ref="AL152:BQ152" si="269">+SUM(AI55:AL55)</f>
        <v>1484.92</v>
      </c>
      <c r="AM152" s="176">
        <f t="shared" si="269"/>
        <v>1440</v>
      </c>
      <c r="AN152" s="176">
        <f t="shared" si="269"/>
        <v>1407.38</v>
      </c>
      <c r="AO152" s="176">
        <f t="shared" si="269"/>
        <v>1427.5</v>
      </c>
      <c r="AP152" s="176">
        <f t="shared" si="269"/>
        <v>1439.62</v>
      </c>
      <c r="AQ152" s="176">
        <f t="shared" si="269"/>
        <v>1447.03</v>
      </c>
      <c r="AR152" s="176">
        <f t="shared" si="269"/>
        <v>1464.78</v>
      </c>
      <c r="AS152" s="176">
        <f t="shared" si="269"/>
        <v>1484.22</v>
      </c>
      <c r="AT152" s="176">
        <f t="shared" si="269"/>
        <v>1476.94</v>
      </c>
      <c r="AU152" s="176">
        <f t="shared" si="269"/>
        <v>1468.52</v>
      </c>
      <c r="AV152" s="176">
        <f t="shared" si="269"/>
        <v>1498.75</v>
      </c>
      <c r="AW152" s="176">
        <f t="shared" si="269"/>
        <v>1486.1200000000001</v>
      </c>
      <c r="AX152" s="176">
        <f t="shared" si="269"/>
        <v>1509.7300000000002</v>
      </c>
      <c r="AY152" s="176">
        <f t="shared" si="269"/>
        <v>1558.0900000000001</v>
      </c>
      <c r="AZ152" s="176">
        <f t="shared" si="269"/>
        <v>1592.0700000000002</v>
      </c>
      <c r="BA152" s="176">
        <f t="shared" si="269"/>
        <v>1593.79</v>
      </c>
      <c r="BB152" s="176">
        <f t="shared" si="269"/>
        <v>1630.6699999999998</v>
      </c>
      <c r="BC152" s="176">
        <f t="shared" si="269"/>
        <v>1647.7</v>
      </c>
      <c r="BD152" s="176">
        <f t="shared" si="269"/>
        <v>1583.91</v>
      </c>
      <c r="BE152" s="176">
        <f t="shared" si="269"/>
        <v>1642.25</v>
      </c>
      <c r="BF152" s="176">
        <f t="shared" si="269"/>
        <v>1649.0300000000002</v>
      </c>
      <c r="BG152" s="176">
        <f t="shared" si="269"/>
        <v>1690.98</v>
      </c>
      <c r="BH152" s="176">
        <f t="shared" si="269"/>
        <v>1790.82</v>
      </c>
      <c r="BI152" s="176">
        <f t="shared" si="269"/>
        <v>1814.5099999999998</v>
      </c>
      <c r="BJ152" s="176">
        <f t="shared" si="269"/>
        <v>1873.5299999999997</v>
      </c>
      <c r="BK152" s="176">
        <f t="shared" si="269"/>
        <v>1860.2199999999998</v>
      </c>
      <c r="BL152" s="176">
        <f t="shared" si="269"/>
        <v>1876.8600000000001</v>
      </c>
      <c r="BM152" s="176">
        <f t="shared" si="269"/>
        <v>1877</v>
      </c>
      <c r="BN152" s="176">
        <f t="shared" si="269"/>
        <v>1790.11</v>
      </c>
      <c r="BO152" s="176">
        <f t="shared" si="269"/>
        <v>1438.33</v>
      </c>
      <c r="BP152" s="176">
        <f t="shared" si="269"/>
        <v>1263.08</v>
      </c>
      <c r="BQ152" s="176">
        <f t="shared" si="269"/>
        <v>1263.05</v>
      </c>
      <c r="BR152" s="176">
        <f t="shared" ref="BR152:CW152" si="270">+SUM(BO55:BR55)</f>
        <v>1358.97</v>
      </c>
      <c r="BS152" s="176">
        <f t="shared" si="270"/>
        <v>1661.2800000000002</v>
      </c>
      <c r="BT152" s="176">
        <f t="shared" si="270"/>
        <v>1987.52</v>
      </c>
      <c r="BU152" s="176">
        <f t="shared" si="270"/>
        <v>2197.0699999999997</v>
      </c>
      <c r="BV152" s="176">
        <f t="shared" si="270"/>
        <v>2437.7599999999998</v>
      </c>
      <c r="BW152" s="176">
        <f t="shared" si="270"/>
        <v>2739.87</v>
      </c>
      <c r="BX152" s="176">
        <f t="shared" si="270"/>
        <v>2810.5099999999998</v>
      </c>
      <c r="BY152" s="176">
        <f t="shared" si="270"/>
        <v>2765.71</v>
      </c>
      <c r="BZ152" s="176">
        <f t="shared" si="270"/>
        <v>2712.3</v>
      </c>
      <c r="CA152" s="176">
        <f t="shared" si="270"/>
        <v>2676.1200000000003</v>
      </c>
      <c r="CB152" s="176">
        <f t="shared" si="270"/>
        <v>2595.54</v>
      </c>
      <c r="CC152" s="176">
        <f t="shared" si="270"/>
        <v>2611.6400000000003</v>
      </c>
      <c r="CD152" s="176">
        <f t="shared" si="270"/>
        <v>2628.06</v>
      </c>
      <c r="CE152" s="176">
        <f t="shared" si="270"/>
        <v>2644.01</v>
      </c>
      <c r="CF152" s="176">
        <f t="shared" si="270"/>
        <v>2690.88</v>
      </c>
      <c r="CG152" s="176">
        <f t="shared" si="270"/>
        <v>2823.7700000000004</v>
      </c>
      <c r="CH152" s="176">
        <f t="shared" si="270"/>
        <v>2856.95</v>
      </c>
      <c r="CI152" s="176">
        <f t="shared" si="270"/>
        <v>2953.6699999999996</v>
      </c>
      <c r="CJ152" s="176">
        <f t="shared" si="270"/>
        <v>3064.24</v>
      </c>
      <c r="CK152" s="176">
        <f t="shared" si="270"/>
        <v>3084.91</v>
      </c>
      <c r="CL152" s="176">
        <f t="shared" si="270"/>
        <v>3234.5299999999997</v>
      </c>
      <c r="CM152" s="177">
        <f t="shared" si="270"/>
        <v>3403.8215788012194</v>
      </c>
      <c r="CN152" s="177">
        <f t="shared" si="270"/>
        <v>3577.6622191812394</v>
      </c>
      <c r="CO152" s="177">
        <f t="shared" si="270"/>
        <v>3766.9750688443132</v>
      </c>
      <c r="CP152" s="177">
        <f t="shared" si="270"/>
        <v>3853.982253019682</v>
      </c>
      <c r="CQ152" s="177">
        <f t="shared" si="270"/>
        <v>3877.3596352951445</v>
      </c>
      <c r="CR152" s="177">
        <f t="shared" si="270"/>
        <v>3911.3526859989738</v>
      </c>
      <c r="CS152" s="177">
        <f t="shared" si="270"/>
        <v>3950.0275585696509</v>
      </c>
      <c r="CT152" s="177">
        <f t="shared" si="270"/>
        <v>3987.4329448677026</v>
      </c>
      <c r="CU152" s="177">
        <f t="shared" si="270"/>
        <v>4014.334886834913</v>
      </c>
      <c r="CV152" s="177">
        <f t="shared" si="270"/>
        <v>4030.6714396979996</v>
      </c>
      <c r="CW152" s="177">
        <f t="shared" si="270"/>
        <v>4039.3843116551325</v>
      </c>
      <c r="CX152" s="177">
        <f t="shared" ref="CX152:EC152" si="271">+SUM(CU55:CX55)</f>
        <v>4043.4236959667869</v>
      </c>
      <c r="CY152" s="177">
        <f t="shared" si="271"/>
        <v>4047.4671196627532</v>
      </c>
      <c r="CZ152" s="177">
        <f t="shared" si="271"/>
        <v>4051.5145867824158</v>
      </c>
      <c r="DA152" s="177">
        <f t="shared" si="271"/>
        <v>4055.5661013691979</v>
      </c>
      <c r="DB152" s="177">
        <f t="shared" si="271"/>
        <v>4059.6216674705665</v>
      </c>
      <c r="DE152" s="178"/>
      <c r="DF152" s="176">
        <v>3154.2930847298499</v>
      </c>
    </row>
    <row r="153" spans="1:110" s="162" customFormat="1" x14ac:dyDescent="0.2">
      <c r="A153" s="162" t="s">
        <v>510</v>
      </c>
      <c r="E153" s="162" t="e">
        <f t="shared" ref="E153:AE153" ca="1" si="272">+E152/E119</f>
        <v>#DIV/0!</v>
      </c>
      <c r="F153" s="162" t="e">
        <f t="shared" ca="1" si="272"/>
        <v>#DIV/0!</v>
      </c>
      <c r="G153" s="162" t="e">
        <f t="shared" ca="1" si="272"/>
        <v>#DIV/0!</v>
      </c>
      <c r="H153" s="162" t="e">
        <f t="shared" ca="1" si="272"/>
        <v>#DIV/0!</v>
      </c>
      <c r="I153" s="162" t="e">
        <f t="shared" ca="1" si="272"/>
        <v>#DIV/0!</v>
      </c>
      <c r="J153" s="162" t="e">
        <f t="shared" ca="1" si="272"/>
        <v>#DIV/0!</v>
      </c>
      <c r="K153" s="162" t="e">
        <f t="shared" ca="1" si="272"/>
        <v>#DIV/0!</v>
      </c>
      <c r="L153" s="162" t="e">
        <f t="shared" ca="1" si="272"/>
        <v>#DIV/0!</v>
      </c>
      <c r="M153" s="162" t="e">
        <f t="shared" ca="1" si="272"/>
        <v>#DIV/0!</v>
      </c>
      <c r="N153" s="162" t="e">
        <f t="shared" ca="1" si="272"/>
        <v>#DIV/0!</v>
      </c>
      <c r="O153" s="162" t="e">
        <f t="shared" ca="1" si="272"/>
        <v>#DIV/0!</v>
      </c>
      <c r="P153" s="162" t="e">
        <f t="shared" ca="1" si="272"/>
        <v>#DIV/0!</v>
      </c>
      <c r="Q153" s="162" t="e">
        <f t="shared" ca="1" si="272"/>
        <v>#DIV/0!</v>
      </c>
      <c r="R153" s="162" t="e">
        <f t="shared" ca="1" si="272"/>
        <v>#DIV/0!</v>
      </c>
      <c r="S153" s="162" t="e">
        <f t="shared" ca="1" si="272"/>
        <v>#DIV/0!</v>
      </c>
      <c r="T153" s="162" t="e">
        <f t="shared" ca="1" si="272"/>
        <v>#DIV/0!</v>
      </c>
      <c r="U153" s="162" t="e">
        <f t="shared" ca="1" si="272"/>
        <v>#DIV/0!</v>
      </c>
      <c r="V153" s="162" t="e">
        <f t="shared" ca="1" si="272"/>
        <v>#DIV/0!</v>
      </c>
      <c r="W153" s="162" t="e">
        <f t="shared" ca="1" si="272"/>
        <v>#DIV/0!</v>
      </c>
      <c r="X153" s="162" t="e">
        <f t="shared" ca="1" si="272"/>
        <v>#DIV/0!</v>
      </c>
      <c r="Y153" s="162" t="e">
        <f t="shared" ca="1" si="272"/>
        <v>#DIV/0!</v>
      </c>
      <c r="Z153" s="162" t="e">
        <f ca="1">+Z152/Z119</f>
        <v>#DIV/0!</v>
      </c>
      <c r="AA153" s="162" t="e">
        <f ca="1">+AA152/AA119</f>
        <v>#DIV/0!</v>
      </c>
      <c r="AB153" s="94" t="e">
        <f t="shared" ca="1" si="272"/>
        <v>#DIV/0!</v>
      </c>
      <c r="AC153" s="94" t="e">
        <f t="shared" ca="1" si="272"/>
        <v>#DIV/0!</v>
      </c>
      <c r="AD153" s="94" t="e">
        <f t="shared" ca="1" si="272"/>
        <v>#DIV/0!</v>
      </c>
      <c r="AE153" s="94" t="e">
        <f t="shared" ca="1" si="272"/>
        <v>#DIV/0!</v>
      </c>
      <c r="AL153" s="162">
        <f t="shared" ref="AL153:BQ153" si="273">+AL152/AL119</f>
        <v>295.50646766169154</v>
      </c>
      <c r="AM153" s="162">
        <f t="shared" si="273"/>
        <v>286.56716417910445</v>
      </c>
      <c r="AN153" s="162">
        <f t="shared" si="273"/>
        <v>280.07562189054727</v>
      </c>
      <c r="AO153" s="162">
        <f t="shared" si="273"/>
        <v>284.07960199004975</v>
      </c>
      <c r="AP153" s="162">
        <f t="shared" si="273"/>
        <v>286.49154228855718</v>
      </c>
      <c r="AQ153" s="162">
        <f t="shared" si="273"/>
        <v>287.96616915422885</v>
      </c>
      <c r="AR153" s="162">
        <f t="shared" si="273"/>
        <v>291.49850746268652</v>
      </c>
      <c r="AS153" s="162">
        <f t="shared" si="273"/>
        <v>295.36716417910446</v>
      </c>
      <c r="AT153" s="162">
        <f t="shared" si="273"/>
        <v>293.91840796019898</v>
      </c>
      <c r="AU153" s="162">
        <f t="shared" si="273"/>
        <v>292.24278606965174</v>
      </c>
      <c r="AV153" s="162">
        <f t="shared" si="273"/>
        <v>298.25870646766168</v>
      </c>
      <c r="AW153" s="162">
        <f t="shared" si="273"/>
        <v>295.7452736318408</v>
      </c>
      <c r="AX153" s="162">
        <f t="shared" si="273"/>
        <v>300.44378109452737</v>
      </c>
      <c r="AY153" s="162">
        <f t="shared" si="273"/>
        <v>310.0676616915423</v>
      </c>
      <c r="AZ153" s="162">
        <f t="shared" si="273"/>
        <v>316.82985074626868</v>
      </c>
      <c r="BA153" s="162">
        <f t="shared" si="273"/>
        <v>317.17213930348254</v>
      </c>
      <c r="BB153" s="162">
        <f t="shared" si="273"/>
        <v>324.51144278606961</v>
      </c>
      <c r="BC153" s="162">
        <f t="shared" si="273"/>
        <v>327.90049751243782</v>
      </c>
      <c r="BD153" s="162">
        <f t="shared" si="273"/>
        <v>315.20597014925374</v>
      </c>
      <c r="BE153" s="162">
        <f t="shared" si="273"/>
        <v>326.81592039800995</v>
      </c>
      <c r="BF153" s="162">
        <f t="shared" si="273"/>
        <v>328.16517412935326</v>
      </c>
      <c r="BG153" s="162">
        <f t="shared" si="273"/>
        <v>336.51343283582088</v>
      </c>
      <c r="BH153" s="162">
        <f t="shared" si="273"/>
        <v>356.38208955223877</v>
      </c>
      <c r="BI153" s="162">
        <f t="shared" si="273"/>
        <v>361.09651741293527</v>
      </c>
      <c r="BJ153" s="162">
        <f t="shared" si="273"/>
        <v>372.84179104477602</v>
      </c>
      <c r="BK153" s="162">
        <f t="shared" si="273"/>
        <v>370.1930348258706</v>
      </c>
      <c r="BL153" s="162">
        <f t="shared" si="273"/>
        <v>373.50447761194027</v>
      </c>
      <c r="BM153" s="162">
        <f t="shared" si="273"/>
        <v>373.53233830845767</v>
      </c>
      <c r="BN153" s="162">
        <f t="shared" si="273"/>
        <v>356.24079601990047</v>
      </c>
      <c r="BO153" s="162">
        <f t="shared" si="273"/>
        <v>286.23482587064672</v>
      </c>
      <c r="BP153" s="162">
        <f t="shared" si="273"/>
        <v>251.35920398009947</v>
      </c>
      <c r="BQ153" s="162">
        <f t="shared" si="273"/>
        <v>251.35323383084574</v>
      </c>
      <c r="BR153" s="162">
        <f t="shared" ref="BR153:CW153" si="274">+BR152/BR119</f>
        <v>270.4417910447761</v>
      </c>
      <c r="BS153" s="162">
        <f t="shared" si="274"/>
        <v>330.60298507462687</v>
      </c>
      <c r="BT153" s="162">
        <f t="shared" si="274"/>
        <v>395.52636815920397</v>
      </c>
      <c r="BU153" s="162">
        <f t="shared" si="274"/>
        <v>437.22786069651733</v>
      </c>
      <c r="BV153" s="162">
        <f t="shared" si="274"/>
        <v>485.12636815920388</v>
      </c>
      <c r="BW153" s="162">
        <f t="shared" si="274"/>
        <v>545.24776119402975</v>
      </c>
      <c r="BX153" s="162">
        <f t="shared" si="274"/>
        <v>559.30547263681581</v>
      </c>
      <c r="BY153" s="162">
        <f t="shared" si="274"/>
        <v>550.39004975124374</v>
      </c>
      <c r="BZ153" s="162">
        <f t="shared" si="274"/>
        <v>539.7611940298508</v>
      </c>
      <c r="CA153" s="162">
        <f t="shared" si="274"/>
        <v>532.56119402985075</v>
      </c>
      <c r="CB153" s="162">
        <f t="shared" si="274"/>
        <v>516.52537313432833</v>
      </c>
      <c r="CC153" s="162">
        <f t="shared" si="274"/>
        <v>519.72935323383092</v>
      </c>
      <c r="CD153" s="162">
        <f t="shared" si="274"/>
        <v>522.99701492537304</v>
      </c>
      <c r="CE153" s="162">
        <f t="shared" si="274"/>
        <v>526.17114427860702</v>
      </c>
      <c r="CF153" s="162">
        <f t="shared" si="274"/>
        <v>535.49850746268658</v>
      </c>
      <c r="CG153" s="162">
        <f t="shared" si="274"/>
        <v>561.94427860696521</v>
      </c>
      <c r="CH153" s="162">
        <f t="shared" si="274"/>
        <v>568.54726368159197</v>
      </c>
      <c r="CI153" s="162">
        <f t="shared" si="274"/>
        <v>587.79502487562172</v>
      </c>
      <c r="CJ153" s="162">
        <f t="shared" si="274"/>
        <v>609.79900497512426</v>
      </c>
      <c r="CK153" s="162">
        <f>+CK152/CK119</f>
        <v>613.91243781094522</v>
      </c>
      <c r="CL153" s="162">
        <f>+CL152/CL119</f>
        <v>643.68756218905457</v>
      </c>
      <c r="CM153" s="50">
        <f t="shared" si="274"/>
        <v>677.37742861715799</v>
      </c>
      <c r="CN153" s="50">
        <f t="shared" si="274"/>
        <v>711.97258093158985</v>
      </c>
      <c r="CO153" s="50">
        <f t="shared" si="274"/>
        <v>749.64677986951506</v>
      </c>
      <c r="CP153" s="50">
        <f t="shared" si="274"/>
        <v>766.96164239197651</v>
      </c>
      <c r="CQ153" s="50">
        <f t="shared" si="274"/>
        <v>771.6138577701779</v>
      </c>
      <c r="CR153" s="50">
        <f t="shared" si="274"/>
        <v>778.37864397989529</v>
      </c>
      <c r="CS153" s="50">
        <f t="shared" si="274"/>
        <v>786.07513603376128</v>
      </c>
      <c r="CT153" s="50">
        <f t="shared" si="274"/>
        <v>793.51899400352283</v>
      </c>
      <c r="CU153" s="50">
        <f t="shared" si="274"/>
        <v>798.87261429550506</v>
      </c>
      <c r="CV153" s="50">
        <f t="shared" si="274"/>
        <v>802.12366959164171</v>
      </c>
      <c r="CW153" s="50">
        <f t="shared" si="274"/>
        <v>803.85757445873276</v>
      </c>
      <c r="CX153" s="50">
        <f>+CX152/CX119</f>
        <v>804.66143203319132</v>
      </c>
      <c r="CY153" s="50">
        <f>+CY152/CY119</f>
        <v>805.4660934652245</v>
      </c>
      <c r="CZ153" s="50">
        <f>+CZ152/CZ119</f>
        <v>806.27155955868966</v>
      </c>
      <c r="DA153" s="50">
        <f>+DA152/DA119</f>
        <v>807.07783111824824</v>
      </c>
      <c r="DB153" s="50">
        <f>+DB152/DB119</f>
        <v>807.88490894936638</v>
      </c>
      <c r="DE153" s="163"/>
      <c r="DF153" s="162">
        <v>627.72001686166163</v>
      </c>
    </row>
    <row r="154" spans="1:110" s="162" customFormat="1" x14ac:dyDescent="0.2">
      <c r="AB154" s="94"/>
      <c r="AC154" s="94"/>
      <c r="AD154" s="94"/>
      <c r="AE154" s="94"/>
      <c r="CM154" s="94"/>
      <c r="CN154" s="94"/>
      <c r="CO154" s="94"/>
      <c r="CP154" s="94"/>
      <c r="CQ154" s="94"/>
      <c r="CR154" s="94"/>
      <c r="CS154" s="94"/>
      <c r="CT154" s="94"/>
      <c r="CU154" s="94"/>
      <c r="CV154" s="94"/>
      <c r="CW154" s="94"/>
      <c r="CX154" s="94"/>
      <c r="CY154" s="94"/>
      <c r="CZ154" s="94"/>
      <c r="DA154" s="94"/>
      <c r="DB154" s="94"/>
      <c r="DE154" s="163"/>
    </row>
    <row r="155" spans="1:110" s="162" customFormat="1" x14ac:dyDescent="0.2">
      <c r="A155" s="162" t="s">
        <v>505</v>
      </c>
      <c r="AB155" s="94"/>
      <c r="AC155" s="94"/>
      <c r="AD155" s="94"/>
      <c r="AE155" s="94"/>
      <c r="CM155" s="94"/>
      <c r="CN155" s="94"/>
      <c r="CO155" s="94"/>
      <c r="CP155" s="94"/>
      <c r="CQ155" s="94"/>
      <c r="CR155" s="94"/>
      <c r="CS155" s="94"/>
      <c r="CT155" s="94"/>
      <c r="CU155" s="94"/>
      <c r="CV155" s="94"/>
      <c r="CW155" s="94"/>
      <c r="CX155" s="94"/>
      <c r="CY155" s="94"/>
      <c r="CZ155" s="94"/>
      <c r="DA155" s="94"/>
      <c r="DB155" s="94"/>
      <c r="DE155" s="163"/>
    </row>
    <row r="156" spans="1:110" s="162" customFormat="1" x14ac:dyDescent="0.2">
      <c r="A156" s="162" t="s">
        <v>506</v>
      </c>
      <c r="E156" s="162" t="e">
        <f t="shared" ref="E156:AE158" ca="1" si="275">+E131/E$153</f>
        <v>#DIV/0!</v>
      </c>
      <c r="F156" s="162" t="e">
        <f t="shared" ca="1" si="275"/>
        <v>#DIV/0!</v>
      </c>
      <c r="G156" s="162" t="e">
        <f t="shared" ca="1" si="275"/>
        <v>#DIV/0!</v>
      </c>
      <c r="H156" s="162" t="e">
        <f t="shared" ca="1" si="275"/>
        <v>#DIV/0!</v>
      </c>
      <c r="I156" s="162" t="e">
        <f t="shared" ca="1" si="275"/>
        <v>#DIV/0!</v>
      </c>
      <c r="J156" s="162" t="e">
        <f t="shared" ca="1" si="275"/>
        <v>#DIV/0!</v>
      </c>
      <c r="K156" s="162" t="e">
        <f t="shared" ca="1" si="275"/>
        <v>#DIV/0!</v>
      </c>
      <c r="L156" s="162" t="e">
        <f t="shared" ca="1" si="275"/>
        <v>#DIV/0!</v>
      </c>
      <c r="M156" s="162" t="e">
        <f t="shared" ca="1" si="275"/>
        <v>#DIV/0!</v>
      </c>
      <c r="N156" s="162" t="e">
        <f t="shared" ca="1" si="275"/>
        <v>#DIV/0!</v>
      </c>
      <c r="O156" s="162" t="e">
        <f t="shared" ca="1" si="275"/>
        <v>#DIV/0!</v>
      </c>
      <c r="P156" s="162" t="e">
        <f t="shared" ca="1" si="275"/>
        <v>#DIV/0!</v>
      </c>
      <c r="Q156" s="162" t="e">
        <f t="shared" ca="1" si="275"/>
        <v>#DIV/0!</v>
      </c>
      <c r="R156" s="162" t="e">
        <f t="shared" ca="1" si="275"/>
        <v>#DIV/0!</v>
      </c>
      <c r="S156" s="162" t="e">
        <f t="shared" ca="1" si="275"/>
        <v>#DIV/0!</v>
      </c>
      <c r="T156" s="162" t="e">
        <f t="shared" ca="1" si="275"/>
        <v>#DIV/0!</v>
      </c>
      <c r="U156" s="162" t="e">
        <f t="shared" ca="1" si="275"/>
        <v>#DIV/0!</v>
      </c>
      <c r="V156" s="162" t="e">
        <f t="shared" ca="1" si="275"/>
        <v>#DIV/0!</v>
      </c>
      <c r="W156" s="162" t="e">
        <f t="shared" ca="1" si="275"/>
        <v>#DIV/0!</v>
      </c>
      <c r="X156" s="162" t="e">
        <f t="shared" ca="1" si="275"/>
        <v>#DIV/0!</v>
      </c>
      <c r="Y156" s="162" t="e">
        <f t="shared" ca="1" si="275"/>
        <v>#DIV/0!</v>
      </c>
      <c r="Z156" s="162" t="e">
        <f t="shared" ref="Z156:AE156" ca="1" si="276">+Z131/Z$153</f>
        <v>#DIV/0!</v>
      </c>
      <c r="AA156" s="162" t="e">
        <f t="shared" ref="AA156" ca="1" si="277">+AA131/AA$153</f>
        <v>#DIV/0!</v>
      </c>
      <c r="AB156" s="50" t="e">
        <f t="shared" ca="1" si="276"/>
        <v>#DIV/0!</v>
      </c>
      <c r="AC156" s="50" t="e">
        <f t="shared" ca="1" si="276"/>
        <v>#DIV/0!</v>
      </c>
      <c r="AD156" s="50" t="e">
        <f t="shared" ca="1" si="276"/>
        <v>#DIV/0!</v>
      </c>
      <c r="AE156" s="50" t="e">
        <f t="shared" ca="1" si="276"/>
        <v>#DIV/0!</v>
      </c>
      <c r="AL156" s="162">
        <f t="shared" ref="AL156:BQ156" si="278">+AL131/AL153</f>
        <v>0.1150567033914285</v>
      </c>
      <c r="AM156" s="162">
        <f t="shared" si="278"/>
        <v>0.14394531250000001</v>
      </c>
      <c r="AN156" s="162">
        <f t="shared" si="278"/>
        <v>0.10015152268754707</v>
      </c>
      <c r="AO156" s="162">
        <f t="shared" si="278"/>
        <v>0.12619702276707531</v>
      </c>
      <c r="AP156" s="162">
        <f t="shared" si="278"/>
        <v>0.12251670579736321</v>
      </c>
      <c r="AQ156" s="162">
        <f t="shared" si="278"/>
        <v>0.19030013199449908</v>
      </c>
      <c r="AR156" s="162">
        <f t="shared" si="278"/>
        <v>0.28404948183344941</v>
      </c>
      <c r="AS156" s="162">
        <f t="shared" si="278"/>
        <v>0.2617081699478514</v>
      </c>
      <c r="AT156" s="162">
        <f t="shared" si="278"/>
        <v>0.26589011740490476</v>
      </c>
      <c r="AU156" s="162">
        <f t="shared" si="278"/>
        <v>0.51190314057690733</v>
      </c>
      <c r="AV156" s="162">
        <f t="shared" si="278"/>
        <v>0.88245537948290242</v>
      </c>
      <c r="AW156" s="162">
        <f t="shared" si="278"/>
        <v>1.0346741851263692</v>
      </c>
      <c r="AX156" s="162">
        <f t="shared" si="278"/>
        <v>0.82910686016704971</v>
      </c>
      <c r="AY156" s="162">
        <f t="shared" si="278"/>
        <v>0.88416185842923056</v>
      </c>
      <c r="AZ156" s="162">
        <f t="shared" si="278"/>
        <v>0.79553741355593655</v>
      </c>
      <c r="BA156" s="162">
        <f t="shared" si="278"/>
        <v>0.77718049429347669</v>
      </c>
      <c r="BB156" s="162">
        <f t="shared" si="278"/>
        <v>0.85066337763005406</v>
      </c>
      <c r="BC156" s="162">
        <f t="shared" si="278"/>
        <v>0.7994803362262547</v>
      </c>
      <c r="BD156" s="162">
        <f t="shared" si="278"/>
        <v>0.62562266795461852</v>
      </c>
      <c r="BE156" s="162">
        <f t="shared" si="278"/>
        <v>0.58197899223626115</v>
      </c>
      <c r="BF156" s="162">
        <f t="shared" si="278"/>
        <v>0.36414589182731666</v>
      </c>
      <c r="BG156" s="162">
        <f t="shared" si="278"/>
        <v>0.24263518787921801</v>
      </c>
      <c r="BH156" s="162">
        <f t="shared" si="278"/>
        <v>0.1692004221529802</v>
      </c>
      <c r="BI156" s="162">
        <f t="shared" si="278"/>
        <v>0.18900763842580093</v>
      </c>
      <c r="BJ156" s="162">
        <f t="shared" si="278"/>
        <v>0.1758118364798002</v>
      </c>
      <c r="BK156" s="162">
        <f t="shared" si="278"/>
        <v>0.14060232123082217</v>
      </c>
      <c r="BL156" s="162">
        <f t="shared" si="278"/>
        <v>0.10294387967136602</v>
      </c>
      <c r="BM156" s="162">
        <f t="shared" si="278"/>
        <v>0.16330580713905168</v>
      </c>
      <c r="BN156" s="162">
        <f t="shared" si="278"/>
        <v>9.9090279368306972E-2</v>
      </c>
      <c r="BO156" s="162">
        <f t="shared" si="278"/>
        <v>0.17048938699742064</v>
      </c>
      <c r="BP156" s="162">
        <f t="shared" si="278"/>
        <v>0.18658556861006431</v>
      </c>
      <c r="BQ156" s="162">
        <f t="shared" si="278"/>
        <v>0.3057450219706267</v>
      </c>
      <c r="BR156" s="162">
        <f t="shared" ref="BR156:DB156" si="279">+BR131/BR153</f>
        <v>0.27196240535111149</v>
      </c>
      <c r="BS156" s="162">
        <f t="shared" si="279"/>
        <v>0.31835768202831549</v>
      </c>
      <c r="BT156" s="162">
        <f t="shared" si="279"/>
        <v>0.42171651102881985</v>
      </c>
      <c r="BU156" s="162">
        <f t="shared" si="279"/>
        <v>0.79626673251193647</v>
      </c>
      <c r="BV156" s="162">
        <f t="shared" si="279"/>
        <v>0.53274778895379371</v>
      </c>
      <c r="BW156" s="162">
        <f t="shared" si="279"/>
        <v>0.49922259085285076</v>
      </c>
      <c r="BX156" s="162">
        <f t="shared" si="279"/>
        <v>0.49865415885373121</v>
      </c>
      <c r="BY156" s="162">
        <f t="shared" si="279"/>
        <v>0.44268605529863947</v>
      </c>
      <c r="BZ156" s="162">
        <f t="shared" si="279"/>
        <v>0.39906536887512439</v>
      </c>
      <c r="CA156" s="162">
        <f t="shared" si="279"/>
        <v>0.56416051970763637</v>
      </c>
      <c r="CB156" s="162">
        <f t="shared" si="279"/>
        <v>0.66269735777526073</v>
      </c>
      <c r="CC156" s="162">
        <f t="shared" si="279"/>
        <v>0.82052321529766725</v>
      </c>
      <c r="CD156" s="162">
        <f t="shared" si="279"/>
        <v>0.8385325106732725</v>
      </c>
      <c r="CE156" s="162">
        <f t="shared" si="279"/>
        <v>0.77693352143146199</v>
      </c>
      <c r="CF156" s="162">
        <f t="shared" si="279"/>
        <v>0.87133762932572245</v>
      </c>
      <c r="CG156" s="162">
        <f t="shared" si="279"/>
        <v>0.73841840872308995</v>
      </c>
      <c r="CH156" s="162">
        <f t="shared" si="279"/>
        <v>0.76774619786835618</v>
      </c>
      <c r="CI156" s="162">
        <f t="shared" si="279"/>
        <v>0.83047657659792751</v>
      </c>
      <c r="CJ156" s="162">
        <f t="shared" si="279"/>
        <v>0.71195590097381412</v>
      </c>
      <c r="CK156" s="162">
        <f>+CK131/CK153</f>
        <v>0.80687402549831289</v>
      </c>
      <c r="CL156" s="162">
        <f>+CL131/CL153</f>
        <v>0.64596556532170069</v>
      </c>
      <c r="CM156" s="50">
        <f t="shared" si="279"/>
        <v>0.61383799110171267</v>
      </c>
      <c r="CN156" s="50">
        <f t="shared" si="279"/>
        <v>0.58401125427602996</v>
      </c>
      <c r="CO156" s="50">
        <f t="shared" si="279"/>
        <v>0.55466122334624712</v>
      </c>
      <c r="CP156" s="50">
        <f t="shared" si="279"/>
        <v>0.5421392375024332</v>
      </c>
      <c r="CQ156" s="50">
        <f t="shared" si="279"/>
        <v>0.53887057083394729</v>
      </c>
      <c r="CR156" s="50">
        <f t="shared" si="279"/>
        <v>0.53418731772237538</v>
      </c>
      <c r="CS156" s="50">
        <f t="shared" si="279"/>
        <v>0.52895706903791673</v>
      </c>
      <c r="CT156" s="50">
        <f t="shared" si="279"/>
        <v>0.52399501857186048</v>
      </c>
      <c r="CU156" s="50">
        <f t="shared" si="279"/>
        <v>0.52048348204635608</v>
      </c>
      <c r="CV156" s="50">
        <f t="shared" si="279"/>
        <v>0.51837393130623155</v>
      </c>
      <c r="CW156" s="50">
        <f t="shared" si="279"/>
        <v>0.51725580900319768</v>
      </c>
      <c r="CX156" s="50">
        <f t="shared" si="279"/>
        <v>0.51673906993326446</v>
      </c>
      <c r="CY156" s="50">
        <f t="shared" si="279"/>
        <v>0.51622284708617838</v>
      </c>
      <c r="CZ156" s="50">
        <f t="shared" si="279"/>
        <v>0.51570713994623218</v>
      </c>
      <c r="DA156" s="50">
        <f t="shared" si="279"/>
        <v>0.51519194799823398</v>
      </c>
      <c r="DB156" s="50">
        <f t="shared" si="279"/>
        <v>0.51467727072750658</v>
      </c>
      <c r="DE156" s="106"/>
      <c r="DF156" s="162">
        <v>0.66239722938711854</v>
      </c>
    </row>
    <row r="157" spans="1:110" s="162" customFormat="1" x14ac:dyDescent="0.2">
      <c r="A157" s="162" t="s">
        <v>507</v>
      </c>
      <c r="E157" s="162" t="e">
        <f t="shared" ca="1" si="275"/>
        <v>#DIV/0!</v>
      </c>
      <c r="F157" s="162" t="e">
        <f t="shared" ca="1" si="275"/>
        <v>#DIV/0!</v>
      </c>
      <c r="G157" s="162" t="e">
        <f t="shared" ca="1" si="275"/>
        <v>#DIV/0!</v>
      </c>
      <c r="H157" s="162" t="e">
        <f t="shared" ca="1" si="275"/>
        <v>#DIV/0!</v>
      </c>
      <c r="I157" s="162" t="e">
        <f t="shared" ca="1" si="275"/>
        <v>#DIV/0!</v>
      </c>
      <c r="J157" s="162" t="e">
        <f t="shared" ca="1" si="275"/>
        <v>#DIV/0!</v>
      </c>
      <c r="K157" s="162" t="e">
        <f t="shared" ca="1" si="275"/>
        <v>#DIV/0!</v>
      </c>
      <c r="L157" s="162" t="e">
        <f t="shared" ca="1" si="275"/>
        <v>#DIV/0!</v>
      </c>
      <c r="M157" s="162" t="e">
        <f t="shared" ca="1" si="275"/>
        <v>#DIV/0!</v>
      </c>
      <c r="N157" s="162" t="e">
        <f t="shared" ca="1" si="275"/>
        <v>#DIV/0!</v>
      </c>
      <c r="O157" s="162" t="e">
        <f t="shared" ca="1" si="275"/>
        <v>#DIV/0!</v>
      </c>
      <c r="P157" s="162" t="e">
        <f t="shared" ca="1" si="275"/>
        <v>#DIV/0!</v>
      </c>
      <c r="Q157" s="162" t="e">
        <f t="shared" ca="1" si="275"/>
        <v>#DIV/0!</v>
      </c>
      <c r="R157" s="162" t="e">
        <f t="shared" ca="1" si="275"/>
        <v>#DIV/0!</v>
      </c>
      <c r="S157" s="162" t="e">
        <f t="shared" ca="1" si="275"/>
        <v>#DIV/0!</v>
      </c>
      <c r="T157" s="162" t="e">
        <f t="shared" ca="1" si="275"/>
        <v>#DIV/0!</v>
      </c>
      <c r="U157" s="162" t="e">
        <f t="shared" ca="1" si="275"/>
        <v>#DIV/0!</v>
      </c>
      <c r="V157" s="162" t="e">
        <f t="shared" ca="1" si="275"/>
        <v>#DIV/0!</v>
      </c>
      <c r="W157" s="162" t="e">
        <f t="shared" ca="1" si="275"/>
        <v>#DIV/0!</v>
      </c>
      <c r="X157" s="162" t="e">
        <f t="shared" ca="1" si="275"/>
        <v>#DIV/0!</v>
      </c>
      <c r="Y157" s="162" t="e">
        <f t="shared" ca="1" si="275"/>
        <v>#DIV/0!</v>
      </c>
      <c r="Z157" s="162" t="e">
        <f ca="1">+Z132/Z$153</f>
        <v>#DIV/0!</v>
      </c>
      <c r="AA157" s="162" t="e">
        <f ca="1">+AA132/AA$153</f>
        <v>#DIV/0!</v>
      </c>
      <c r="AB157" s="94" t="e">
        <f t="shared" ca="1" si="275"/>
        <v>#DIV/0!</v>
      </c>
      <c r="AC157" s="94" t="e">
        <f t="shared" ca="1" si="275"/>
        <v>#DIV/0!</v>
      </c>
      <c r="AD157" s="94" t="e">
        <f t="shared" ca="1" si="275"/>
        <v>#DIV/0!</v>
      </c>
      <c r="AE157" s="94" t="e">
        <f t="shared" ca="1" si="275"/>
        <v>#DIV/0!</v>
      </c>
      <c r="AL157" s="162">
        <f t="shared" ref="AL157:BQ157" si="280">+AL132/AL153</f>
        <v>0.19610399886862592</v>
      </c>
      <c r="AM157" s="162">
        <f t="shared" si="280"/>
        <v>0.18320312500000002</v>
      </c>
      <c r="AN157" s="162">
        <f t="shared" si="280"/>
        <v>0.14853131350452614</v>
      </c>
      <c r="AO157" s="162">
        <f t="shared" si="280"/>
        <v>0.13693345008756566</v>
      </c>
      <c r="AP157" s="162">
        <f t="shared" si="280"/>
        <v>0.16021415373501341</v>
      </c>
      <c r="AQ157" s="162">
        <f t="shared" si="280"/>
        <v>0.20488517860721617</v>
      </c>
      <c r="AR157" s="162">
        <f t="shared" si="280"/>
        <v>0.3042897226887315</v>
      </c>
      <c r="AS157" s="162">
        <f t="shared" si="280"/>
        <v>0.31841724946436512</v>
      </c>
      <c r="AT157" s="162">
        <f t="shared" si="280"/>
        <v>0.3657477622652241</v>
      </c>
      <c r="AU157" s="162">
        <f t="shared" si="280"/>
        <v>0.52148421540053935</v>
      </c>
      <c r="AV157" s="162">
        <f t="shared" si="280"/>
        <v>0.93207673060884078</v>
      </c>
      <c r="AW157" s="162">
        <f t="shared" si="280"/>
        <v>1.0955373724867439</v>
      </c>
      <c r="AX157" s="162">
        <f t="shared" si="280"/>
        <v>1.065091109006246</v>
      </c>
      <c r="AY157" s="162">
        <f t="shared" si="280"/>
        <v>0.98365627146057033</v>
      </c>
      <c r="AZ157" s="162">
        <f t="shared" si="280"/>
        <v>0.89006764777930614</v>
      </c>
      <c r="BA157" s="162">
        <f t="shared" si="280"/>
        <v>1.0246801648899795</v>
      </c>
      <c r="BB157" s="162">
        <f t="shared" si="280"/>
        <v>0.93833362973501699</v>
      </c>
      <c r="BC157" s="162">
        <f t="shared" si="280"/>
        <v>0.98810463069733567</v>
      </c>
      <c r="BD157" s="162">
        <f t="shared" si="280"/>
        <v>0.9358959789381972</v>
      </c>
      <c r="BE157" s="162">
        <f t="shared" si="280"/>
        <v>0.68417719592023141</v>
      </c>
      <c r="BF157" s="162">
        <f t="shared" si="280"/>
        <v>0.63992165090992881</v>
      </c>
      <c r="BG157" s="162">
        <f t="shared" si="280"/>
        <v>0.42152849235354645</v>
      </c>
      <c r="BH157" s="162">
        <f t="shared" si="280"/>
        <v>0.28003651958320769</v>
      </c>
      <c r="BI157" s="162">
        <f t="shared" si="280"/>
        <v>0.24231748516128324</v>
      </c>
      <c r="BJ157" s="162">
        <f t="shared" si="280"/>
        <v>0.22234631951449946</v>
      </c>
      <c r="BK157" s="162">
        <f t="shared" si="280"/>
        <v>0.18787495565040696</v>
      </c>
      <c r="BL157" s="162">
        <f t="shared" si="280"/>
        <v>0.15126994021930246</v>
      </c>
      <c r="BM157" s="162">
        <f t="shared" si="280"/>
        <v>0.1887386787426745</v>
      </c>
      <c r="BN157" s="162">
        <f t="shared" si="280"/>
        <v>0.18372404489109609</v>
      </c>
      <c r="BO157" s="162">
        <f t="shared" si="280"/>
        <v>0.19214992387004376</v>
      </c>
      <c r="BP157" s="162">
        <f t="shared" si="280"/>
        <v>0.26336811603382215</v>
      </c>
      <c r="BQ157" s="162">
        <f t="shared" si="280"/>
        <v>0.33379319900241483</v>
      </c>
      <c r="BR157" s="162">
        <f t="shared" ref="BR157:CJ157" si="281">+BR132/BR153</f>
        <v>0.38363153712002473</v>
      </c>
      <c r="BS157" s="162">
        <f t="shared" si="281"/>
        <v>0.34663933834151978</v>
      </c>
      <c r="BT157" s="162">
        <f t="shared" si="281"/>
        <v>0.43941444614393821</v>
      </c>
      <c r="BU157" s="162">
        <f t="shared" si="281"/>
        <v>0.80964648372605352</v>
      </c>
      <c r="BV157" s="162">
        <f t="shared" si="281"/>
        <v>0.87276228997112115</v>
      </c>
      <c r="BW157" s="162">
        <f t="shared" si="281"/>
        <v>0.77396007839788028</v>
      </c>
      <c r="BX157" s="162">
        <f t="shared" si="281"/>
        <v>0.64356602538329355</v>
      </c>
      <c r="BY157" s="162">
        <f t="shared" si="281"/>
        <v>0.54288772141692376</v>
      </c>
      <c r="BZ157" s="162">
        <f t="shared" si="281"/>
        <v>0.47057847583231938</v>
      </c>
      <c r="CA157" s="162">
        <f t="shared" si="281"/>
        <v>0.6459351598583023</v>
      </c>
      <c r="CB157" s="162">
        <f t="shared" si="281"/>
        <v>0.76143403684782363</v>
      </c>
      <c r="CC157" s="162">
        <f t="shared" si="281"/>
        <v>0.87526324455131621</v>
      </c>
      <c r="CD157" s="162">
        <f t="shared" si="281"/>
        <v>1.1992420264377528</v>
      </c>
      <c r="CE157" s="162">
        <f t="shared" si="281"/>
        <v>0.92175332165914647</v>
      </c>
      <c r="CF157" s="162">
        <f t="shared" si="281"/>
        <v>0.93034806457367103</v>
      </c>
      <c r="CG157" s="162">
        <f t="shared" si="281"/>
        <v>0.83469129922054552</v>
      </c>
      <c r="CH157" s="162">
        <f t="shared" si="281"/>
        <v>0.79676753180839721</v>
      </c>
      <c r="CI157" s="162">
        <f t="shared" si="281"/>
        <v>0.871817518544726</v>
      </c>
      <c r="CJ157" s="162">
        <f t="shared" si="281"/>
        <v>0.7986238023131349</v>
      </c>
      <c r="CK157" s="162">
        <f>+CK132/CK153</f>
        <v>0.81607729236833493</v>
      </c>
      <c r="CL157" s="162">
        <f>+CL132/CL153</f>
        <v>0.81421489366306721</v>
      </c>
      <c r="CM157" s="94">
        <f t="shared" ref="CM157:DB157" si="282">+CL157</f>
        <v>0.81421489366306721</v>
      </c>
      <c r="CN157" s="94">
        <f t="shared" si="282"/>
        <v>0.81421489366306721</v>
      </c>
      <c r="CO157" s="94">
        <f t="shared" si="282"/>
        <v>0.81421489366306721</v>
      </c>
      <c r="CP157" s="94">
        <f t="shared" si="282"/>
        <v>0.81421489366306721</v>
      </c>
      <c r="CQ157" s="94">
        <f t="shared" si="282"/>
        <v>0.81421489366306721</v>
      </c>
      <c r="CR157" s="94">
        <f t="shared" si="282"/>
        <v>0.81421489366306721</v>
      </c>
      <c r="CS157" s="94">
        <f t="shared" si="282"/>
        <v>0.81421489366306721</v>
      </c>
      <c r="CT157" s="94">
        <f t="shared" si="282"/>
        <v>0.81421489366306721</v>
      </c>
      <c r="CU157" s="94">
        <f t="shared" si="282"/>
        <v>0.81421489366306721</v>
      </c>
      <c r="CV157" s="94">
        <f t="shared" si="282"/>
        <v>0.81421489366306721</v>
      </c>
      <c r="CW157" s="94">
        <f t="shared" si="282"/>
        <v>0.81421489366306721</v>
      </c>
      <c r="CX157" s="94">
        <f t="shared" si="282"/>
        <v>0.81421489366306721</v>
      </c>
      <c r="CY157" s="94">
        <f t="shared" si="282"/>
        <v>0.81421489366306721</v>
      </c>
      <c r="CZ157" s="94">
        <f t="shared" si="282"/>
        <v>0.81421489366306721</v>
      </c>
      <c r="DA157" s="94">
        <f t="shared" si="282"/>
        <v>0.81421489366306721</v>
      </c>
      <c r="DB157" s="94">
        <f t="shared" si="282"/>
        <v>0.81421489366306721</v>
      </c>
      <c r="DE157" s="163"/>
      <c r="DF157" s="162">
        <v>0.83492637787828006</v>
      </c>
    </row>
    <row r="158" spans="1:110" s="162" customFormat="1" x14ac:dyDescent="0.2">
      <c r="A158" s="162" t="s">
        <v>508</v>
      </c>
      <c r="E158" s="162" t="e">
        <f t="shared" ca="1" si="275"/>
        <v>#DIV/0!</v>
      </c>
      <c r="F158" s="162" t="e">
        <f t="shared" ca="1" si="275"/>
        <v>#DIV/0!</v>
      </c>
      <c r="G158" s="162" t="e">
        <f t="shared" ca="1" si="275"/>
        <v>#DIV/0!</v>
      </c>
      <c r="H158" s="162" t="e">
        <f t="shared" ca="1" si="275"/>
        <v>#DIV/0!</v>
      </c>
      <c r="I158" s="162" t="e">
        <f t="shared" ca="1" si="275"/>
        <v>#DIV/0!</v>
      </c>
      <c r="J158" s="162" t="e">
        <f t="shared" ca="1" si="275"/>
        <v>#DIV/0!</v>
      </c>
      <c r="K158" s="162" t="e">
        <f t="shared" ca="1" si="275"/>
        <v>#DIV/0!</v>
      </c>
      <c r="L158" s="162" t="e">
        <f t="shared" ca="1" si="275"/>
        <v>#DIV/0!</v>
      </c>
      <c r="M158" s="162" t="e">
        <f t="shared" ca="1" si="275"/>
        <v>#DIV/0!</v>
      </c>
      <c r="N158" s="162" t="e">
        <f t="shared" ca="1" si="275"/>
        <v>#DIV/0!</v>
      </c>
      <c r="O158" s="162" t="e">
        <f t="shared" ca="1" si="275"/>
        <v>#DIV/0!</v>
      </c>
      <c r="P158" s="162" t="e">
        <f t="shared" ca="1" si="275"/>
        <v>#DIV/0!</v>
      </c>
      <c r="Q158" s="162" t="e">
        <f t="shared" ca="1" si="275"/>
        <v>#DIV/0!</v>
      </c>
      <c r="R158" s="162" t="e">
        <f t="shared" ca="1" si="275"/>
        <v>#DIV/0!</v>
      </c>
      <c r="S158" s="162" t="e">
        <f t="shared" ca="1" si="275"/>
        <v>#DIV/0!</v>
      </c>
      <c r="T158" s="162" t="e">
        <f t="shared" ca="1" si="275"/>
        <v>#DIV/0!</v>
      </c>
      <c r="U158" s="162" t="e">
        <f t="shared" ca="1" si="275"/>
        <v>#DIV/0!</v>
      </c>
      <c r="V158" s="162" t="e">
        <f t="shared" ca="1" si="275"/>
        <v>#DIV/0!</v>
      </c>
      <c r="W158" s="162" t="e">
        <f t="shared" ca="1" si="275"/>
        <v>#DIV/0!</v>
      </c>
      <c r="X158" s="162" t="e">
        <f t="shared" ca="1" si="275"/>
        <v>#DIV/0!</v>
      </c>
      <c r="Y158" s="162" t="e">
        <f t="shared" ca="1" si="275"/>
        <v>#DIV/0!</v>
      </c>
      <c r="Z158" s="162" t="e">
        <f ca="1">+Z133/Z$153</f>
        <v>#DIV/0!</v>
      </c>
      <c r="AA158" s="162" t="e">
        <f ca="1">+AA133/AA$153</f>
        <v>#DIV/0!</v>
      </c>
      <c r="AB158" s="94" t="e">
        <f t="shared" ca="1" si="275"/>
        <v>#DIV/0!</v>
      </c>
      <c r="AC158" s="94" t="e">
        <f t="shared" ca="1" si="275"/>
        <v>#DIV/0!</v>
      </c>
      <c r="AD158" s="94" t="e">
        <f t="shared" ca="1" si="275"/>
        <v>#DIV/0!</v>
      </c>
      <c r="AE158" s="94" t="e">
        <f t="shared" ca="1" si="275"/>
        <v>#DIV/0!</v>
      </c>
      <c r="AL158" s="162">
        <f t="shared" ref="AL158:BQ158" si="283">+AL133/AL153</f>
        <v>0.1116726827034453</v>
      </c>
      <c r="AM158" s="162">
        <f t="shared" si="283"/>
        <v>0.11864583333333334</v>
      </c>
      <c r="AN158" s="162">
        <f t="shared" si="283"/>
        <v>9.2832070940328831E-2</v>
      </c>
      <c r="AO158" s="162">
        <f t="shared" si="283"/>
        <v>9.87399299474606E-2</v>
      </c>
      <c r="AP158" s="162">
        <f t="shared" si="283"/>
        <v>0.10925278893041221</v>
      </c>
      <c r="AQ158" s="162">
        <f t="shared" si="283"/>
        <v>0.1168540044090309</v>
      </c>
      <c r="AR158" s="162">
        <f t="shared" si="283"/>
        <v>0.18216216769753824</v>
      </c>
      <c r="AS158" s="162">
        <f t="shared" si="283"/>
        <v>0.23580820228807053</v>
      </c>
      <c r="AT158" s="162">
        <f t="shared" si="283"/>
        <v>0.2313567240375371</v>
      </c>
      <c r="AU158" s="162">
        <f t="shared" si="283"/>
        <v>0.24465958924631601</v>
      </c>
      <c r="AV158" s="162">
        <f t="shared" si="283"/>
        <v>0.5029190992493745</v>
      </c>
      <c r="AW158" s="162">
        <f t="shared" si="283"/>
        <v>0.80914226307431436</v>
      </c>
      <c r="AX158" s="162">
        <f t="shared" si="283"/>
        <v>0.79382571718121786</v>
      </c>
      <c r="AY158" s="162">
        <f t="shared" si="283"/>
        <v>0.79434275298602774</v>
      </c>
      <c r="AZ158" s="162">
        <f t="shared" si="283"/>
        <v>0.77028726751964427</v>
      </c>
      <c r="BA158" s="162">
        <f t="shared" si="283"/>
        <v>0.70939396030844726</v>
      </c>
      <c r="BB158" s="162">
        <f t="shared" si="283"/>
        <v>0.72724708248756653</v>
      </c>
      <c r="BC158" s="162">
        <f t="shared" si="283"/>
        <v>0.76242641257510468</v>
      </c>
      <c r="BD158" s="162">
        <f t="shared" si="283"/>
        <v>0.60103557020285237</v>
      </c>
      <c r="BE158" s="162">
        <f t="shared" si="283"/>
        <v>0.54158928299588982</v>
      </c>
      <c r="BF158" s="162">
        <f t="shared" si="283"/>
        <v>0.3601844720835885</v>
      </c>
      <c r="BG158" s="162">
        <f t="shared" si="283"/>
        <v>0.23119433701167372</v>
      </c>
      <c r="BH158" s="162">
        <f t="shared" si="283"/>
        <v>0.16891982443796699</v>
      </c>
      <c r="BI158" s="162">
        <f t="shared" si="283"/>
        <v>0.14954450512810624</v>
      </c>
      <c r="BJ158" s="162">
        <f t="shared" si="283"/>
        <v>0.14402891867223908</v>
      </c>
      <c r="BK158" s="162">
        <f t="shared" si="283"/>
        <v>0.13519973444001249</v>
      </c>
      <c r="BL158" s="162">
        <f t="shared" si="283"/>
        <v>8.6076612000895114E-2</v>
      </c>
      <c r="BM158" s="162">
        <f t="shared" si="283"/>
        <v>9.5841768779968042E-2</v>
      </c>
      <c r="BN158" s="162">
        <f t="shared" si="283"/>
        <v>9.4318226254252541E-2</v>
      </c>
      <c r="BO158" s="162">
        <f t="shared" si="283"/>
        <v>0.12070508854018203</v>
      </c>
      <c r="BP158" s="162">
        <f t="shared" si="283"/>
        <v>0.17902666497767364</v>
      </c>
      <c r="BQ158" s="162">
        <f t="shared" si="283"/>
        <v>0.18281045881002339</v>
      </c>
      <c r="BR158" s="162">
        <f t="shared" ref="BR158:CJ158" si="284">+BR133/BR153</f>
        <v>0.2601299145676505</v>
      </c>
      <c r="BS158" s="162">
        <f t="shared" si="284"/>
        <v>0.22247228041028602</v>
      </c>
      <c r="BT158" s="162">
        <f t="shared" si="284"/>
        <v>0.25687288681371762</v>
      </c>
      <c r="BU158" s="162">
        <f t="shared" si="284"/>
        <v>0.38138008802632606</v>
      </c>
      <c r="BV158" s="162">
        <f t="shared" si="284"/>
        <v>0.53027420664872682</v>
      </c>
      <c r="BW158" s="162">
        <f t="shared" si="284"/>
        <v>0.43466478336563424</v>
      </c>
      <c r="BX158" s="162">
        <f t="shared" si="284"/>
        <v>0.45073758855154411</v>
      </c>
      <c r="BY158" s="162">
        <f t="shared" si="284"/>
        <v>0.39063206192984806</v>
      </c>
      <c r="BZ158" s="162">
        <f t="shared" si="284"/>
        <v>0.34274416546842162</v>
      </c>
      <c r="CA158" s="162">
        <f t="shared" si="284"/>
        <v>0.40934263037531948</v>
      </c>
      <c r="CB158" s="162">
        <f t="shared" si="284"/>
        <v>0.56192786472179201</v>
      </c>
      <c r="CC158" s="162">
        <f t="shared" si="284"/>
        <v>0.52806330504970045</v>
      </c>
      <c r="CD158" s="162">
        <f t="shared" si="284"/>
        <v>0.68834044884819989</v>
      </c>
      <c r="CE158" s="162">
        <f t="shared" si="284"/>
        <v>0.60788206171686188</v>
      </c>
      <c r="CF158" s="162">
        <f t="shared" si="284"/>
        <v>0.67395145825900815</v>
      </c>
      <c r="CG158" s="162">
        <f t="shared" si="284"/>
        <v>0.6228375540500819</v>
      </c>
      <c r="CH158" s="162">
        <f t="shared" si="284"/>
        <v>0.51930599065436922</v>
      </c>
      <c r="CI158" s="162">
        <f t="shared" si="284"/>
        <v>0.62572833119475113</v>
      </c>
      <c r="CJ158" s="162">
        <f t="shared" si="284"/>
        <v>0.55903666161919441</v>
      </c>
      <c r="CK158" s="162">
        <f>+CK133/CK153</f>
        <v>0.63771309373693241</v>
      </c>
      <c r="CL158" s="162">
        <f>+CL133/CL153</f>
        <v>0.63905227343694471</v>
      </c>
      <c r="CM158" s="94">
        <f t="shared" ref="CM158:DB158" si="285">+CL158</f>
        <v>0.63905227343694471</v>
      </c>
      <c r="CN158" s="94">
        <f t="shared" si="285"/>
        <v>0.63905227343694471</v>
      </c>
      <c r="CO158" s="94">
        <f t="shared" si="285"/>
        <v>0.63905227343694471</v>
      </c>
      <c r="CP158" s="94">
        <f t="shared" si="285"/>
        <v>0.63905227343694471</v>
      </c>
      <c r="CQ158" s="94">
        <f t="shared" si="285"/>
        <v>0.63905227343694471</v>
      </c>
      <c r="CR158" s="94">
        <f t="shared" si="285"/>
        <v>0.63905227343694471</v>
      </c>
      <c r="CS158" s="94">
        <f t="shared" si="285"/>
        <v>0.63905227343694471</v>
      </c>
      <c r="CT158" s="94">
        <f t="shared" si="285"/>
        <v>0.63905227343694471</v>
      </c>
      <c r="CU158" s="94">
        <f t="shared" si="285"/>
        <v>0.63905227343694471</v>
      </c>
      <c r="CV158" s="94">
        <f t="shared" si="285"/>
        <v>0.63905227343694471</v>
      </c>
      <c r="CW158" s="94">
        <f t="shared" si="285"/>
        <v>0.63905227343694471</v>
      </c>
      <c r="CX158" s="94">
        <f t="shared" si="285"/>
        <v>0.63905227343694471</v>
      </c>
      <c r="CY158" s="94">
        <f t="shared" si="285"/>
        <v>0.63905227343694471</v>
      </c>
      <c r="CZ158" s="94">
        <f t="shared" si="285"/>
        <v>0.63905227343694471</v>
      </c>
      <c r="DA158" s="94">
        <f t="shared" si="285"/>
        <v>0.63905227343694471</v>
      </c>
      <c r="DB158" s="94">
        <f t="shared" si="285"/>
        <v>0.63905227343694471</v>
      </c>
      <c r="DE158" s="163"/>
      <c r="DF158" s="162">
        <v>0.6553080815497625</v>
      </c>
    </row>
    <row r="159" spans="1:110" s="4" customFormat="1" x14ac:dyDescent="0.2">
      <c r="A159" s="3"/>
      <c r="AB159" s="17"/>
      <c r="AC159" s="17"/>
      <c r="AD159" s="17"/>
      <c r="AE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E159" s="119"/>
    </row>
    <row r="160" spans="1:110" s="4" customFormat="1" x14ac:dyDescent="0.2">
      <c r="A160" s="3"/>
      <c r="AB160" s="17"/>
      <c r="AC160" s="17"/>
      <c r="AD160" s="17"/>
      <c r="AE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E160" s="119"/>
    </row>
    <row r="161" spans="1:110" s="161" customFormat="1" x14ac:dyDescent="0.2">
      <c r="A161" s="49" t="s">
        <v>339</v>
      </c>
      <c r="B161" s="161">
        <f t="shared" ref="B161:AE161" si="286">+B132*B119</f>
        <v>38.77067301156076</v>
      </c>
      <c r="C161" s="161">
        <f t="shared" si="286"/>
        <v>19.491267306358459</v>
      </c>
      <c r="D161" s="161">
        <f t="shared" si="286"/>
        <v>30.366829499036673</v>
      </c>
      <c r="E161" s="161" t="e">
        <f t="shared" ca="1" si="286"/>
        <v>#DIV/0!</v>
      </c>
      <c r="F161" s="161" t="e">
        <f t="shared" ca="1" si="286"/>
        <v>#DIV/0!</v>
      </c>
      <c r="G161" s="161" t="e">
        <f t="shared" ca="1" si="286"/>
        <v>#DIV/0!</v>
      </c>
      <c r="H161" s="161" t="e">
        <f t="shared" ca="1" si="286"/>
        <v>#DIV/0!</v>
      </c>
      <c r="I161" s="161" t="e">
        <f t="shared" ca="1" si="286"/>
        <v>#DIV/0!</v>
      </c>
      <c r="J161" s="161" t="e">
        <f t="shared" ca="1" si="286"/>
        <v>#DIV/0!</v>
      </c>
      <c r="K161" s="161" t="e">
        <f t="shared" ca="1" si="286"/>
        <v>#DIV/0!</v>
      </c>
      <c r="L161" s="161" t="e">
        <f t="shared" ca="1" si="286"/>
        <v>#DIV/0!</v>
      </c>
      <c r="M161" s="161" t="e">
        <f t="shared" ca="1" si="286"/>
        <v>#DIV/0!</v>
      </c>
      <c r="N161" s="161" t="e">
        <f t="shared" ca="1" si="286"/>
        <v>#DIV/0!</v>
      </c>
      <c r="O161" s="161" t="e">
        <f t="shared" ca="1" si="286"/>
        <v>#DIV/0!</v>
      </c>
      <c r="P161" s="161" t="e">
        <f t="shared" ca="1" si="286"/>
        <v>#DIV/0!</v>
      </c>
      <c r="Q161" s="161" t="e">
        <f t="shared" ca="1" si="286"/>
        <v>#DIV/0!</v>
      </c>
      <c r="R161" s="161" t="e">
        <f t="shared" ca="1" si="286"/>
        <v>#DIV/0!</v>
      </c>
      <c r="S161" s="161" t="e">
        <f t="shared" ca="1" si="286"/>
        <v>#DIV/0!</v>
      </c>
      <c r="T161" s="161" t="e">
        <f t="shared" ca="1" si="286"/>
        <v>#DIV/0!</v>
      </c>
      <c r="U161" s="161" t="e">
        <f t="shared" ca="1" si="286"/>
        <v>#DIV/0!</v>
      </c>
      <c r="V161" s="161" t="e">
        <f t="shared" ca="1" si="286"/>
        <v>#DIV/0!</v>
      </c>
      <c r="W161" s="161" t="e">
        <f t="shared" ca="1" si="286"/>
        <v>#DIV/0!</v>
      </c>
      <c r="X161" s="161" t="e">
        <f t="shared" ca="1" si="286"/>
        <v>#DIV/0!</v>
      </c>
      <c r="Y161" s="161" t="e">
        <f t="shared" ca="1" si="286"/>
        <v>#DIV/0!</v>
      </c>
      <c r="Z161" s="161" t="e">
        <f t="shared" ca="1" si="286"/>
        <v>#DIV/0!</v>
      </c>
      <c r="AA161" s="161" t="e">
        <f t="shared" ref="AA161" ca="1" si="287">+AA132*AA119</f>
        <v>#DIV/0!</v>
      </c>
      <c r="AB161" s="21" t="e">
        <f t="shared" ca="1" si="286"/>
        <v>#DIV/0!</v>
      </c>
      <c r="AC161" s="21" t="e">
        <f t="shared" ca="1" si="286"/>
        <v>#DIV/0!</v>
      </c>
      <c r="AD161" s="21" t="e">
        <f t="shared" ca="1" si="286"/>
        <v>#DIV/0!</v>
      </c>
      <c r="AE161" s="21" t="e">
        <f t="shared" ca="1" si="286"/>
        <v>#DIV/0!</v>
      </c>
      <c r="AL161" s="161">
        <f t="shared" ref="AL161:BQ161" si="288">+AL132*AL119</f>
        <v>291.19875000000002</v>
      </c>
      <c r="AM161" s="161">
        <f t="shared" si="288"/>
        <v>263.8125</v>
      </c>
      <c r="AN161" s="161">
        <f t="shared" si="288"/>
        <v>209.04000000000002</v>
      </c>
      <c r="AO161" s="161">
        <f t="shared" si="288"/>
        <v>195.4725</v>
      </c>
      <c r="AP161" s="161">
        <f t="shared" si="288"/>
        <v>230.64750000000001</v>
      </c>
      <c r="AQ161" s="161">
        <f t="shared" si="288"/>
        <v>296.47500000000002</v>
      </c>
      <c r="AR161" s="161">
        <f t="shared" si="288"/>
        <v>445.71750000000003</v>
      </c>
      <c r="AS161" s="161">
        <f t="shared" si="288"/>
        <v>472.60124999999999</v>
      </c>
      <c r="AT161" s="161">
        <f t="shared" si="288"/>
        <v>540.1875</v>
      </c>
      <c r="AU161" s="161">
        <f t="shared" si="288"/>
        <v>765.81000000000006</v>
      </c>
      <c r="AV161" s="161">
        <f t="shared" si="288"/>
        <v>1396.95</v>
      </c>
      <c r="AW161" s="161">
        <f t="shared" si="288"/>
        <v>1628.1000000000001</v>
      </c>
      <c r="AX161" s="161">
        <f t="shared" si="288"/>
        <v>1608</v>
      </c>
      <c r="AY161" s="161">
        <f t="shared" si="288"/>
        <v>1532.625</v>
      </c>
      <c r="AZ161" s="161">
        <f t="shared" si="288"/>
        <v>1417.0500000000002</v>
      </c>
      <c r="BA161" s="161">
        <f t="shared" si="288"/>
        <v>1633.1250000000002</v>
      </c>
      <c r="BB161" s="161">
        <f t="shared" si="288"/>
        <v>1530.1125000000002</v>
      </c>
      <c r="BC161" s="161">
        <f t="shared" si="288"/>
        <v>1628.1000000000001</v>
      </c>
      <c r="BD161" s="161">
        <f t="shared" si="288"/>
        <v>1482.375</v>
      </c>
      <c r="BE161" s="161">
        <f t="shared" si="288"/>
        <v>1123.5900000000001</v>
      </c>
      <c r="BF161" s="161">
        <f t="shared" si="288"/>
        <v>1055.25</v>
      </c>
      <c r="BG161" s="161">
        <f t="shared" si="288"/>
        <v>712.79624999999999</v>
      </c>
      <c r="BH161" s="161">
        <f t="shared" si="288"/>
        <v>501.495</v>
      </c>
      <c r="BI161" s="161">
        <f t="shared" si="288"/>
        <v>439.68750000000006</v>
      </c>
      <c r="BJ161" s="161">
        <f t="shared" si="288"/>
        <v>416.57250000000005</v>
      </c>
      <c r="BK161" s="161">
        <f t="shared" si="288"/>
        <v>349.48875000000004</v>
      </c>
      <c r="BL161" s="161">
        <f t="shared" si="288"/>
        <v>283.91250000000002</v>
      </c>
      <c r="BM161" s="161">
        <f t="shared" si="288"/>
        <v>354.26250000000005</v>
      </c>
      <c r="BN161" s="161">
        <f t="shared" si="288"/>
        <v>328.88625000000002</v>
      </c>
      <c r="BO161" s="161">
        <f t="shared" si="288"/>
        <v>276.375</v>
      </c>
      <c r="BP161" s="161">
        <f t="shared" si="288"/>
        <v>332.65500000000003</v>
      </c>
      <c r="BQ161" s="161">
        <f t="shared" si="288"/>
        <v>421.59750000000008</v>
      </c>
      <c r="BR161" s="161">
        <f t="shared" ref="BR161:CJ161" si="289">+BR132*BR119</f>
        <v>521.34375</v>
      </c>
      <c r="BS161" s="161">
        <f t="shared" si="289"/>
        <v>575.86500000000001</v>
      </c>
      <c r="BT161" s="161">
        <f t="shared" si="289"/>
        <v>873.34500000000014</v>
      </c>
      <c r="BU161" s="161">
        <f t="shared" si="289"/>
        <v>1778.8500000000001</v>
      </c>
      <c r="BV161" s="161">
        <f t="shared" si="289"/>
        <v>2127.585</v>
      </c>
      <c r="BW161" s="161">
        <f t="shared" si="289"/>
        <v>2120.5500000000002</v>
      </c>
      <c r="BX161" s="161">
        <f t="shared" si="289"/>
        <v>1808.74875</v>
      </c>
      <c r="BY161" s="161">
        <f t="shared" si="289"/>
        <v>1501.4700000000003</v>
      </c>
      <c r="BZ161" s="161">
        <f t="shared" si="289"/>
        <v>1276.3500000000001</v>
      </c>
      <c r="CA161" s="161">
        <f t="shared" si="289"/>
        <v>1728.6000000000001</v>
      </c>
      <c r="CB161" s="161">
        <f t="shared" si="289"/>
        <v>1976.3325000000002</v>
      </c>
      <c r="CC161" s="161">
        <f t="shared" si="289"/>
        <v>2285.8724999999999</v>
      </c>
      <c r="CD161" s="161">
        <f t="shared" si="289"/>
        <v>3151.6800000000003</v>
      </c>
      <c r="CE161" s="161">
        <f t="shared" si="289"/>
        <v>2437.125</v>
      </c>
      <c r="CF161" s="161">
        <f t="shared" si="289"/>
        <v>2503.4549999999999</v>
      </c>
      <c r="CG161" s="161">
        <f t="shared" si="289"/>
        <v>2356.9762500000002</v>
      </c>
      <c r="CH161" s="161">
        <f t="shared" si="289"/>
        <v>2276.3250000000003</v>
      </c>
      <c r="CI161" s="161">
        <f t="shared" si="289"/>
        <v>2575.0612500000002</v>
      </c>
      <c r="CJ161" s="161">
        <f t="shared" si="289"/>
        <v>2447.1750000000002</v>
      </c>
      <c r="CK161" s="161">
        <f>+CK132*CK119</f>
        <v>2517.5250000000001</v>
      </c>
      <c r="CL161" s="161">
        <f>+CL132*CL119</f>
        <v>2633.6025000000004</v>
      </c>
      <c r="CM161" s="21">
        <f t="shared" ref="CM161:DB161" si="290">+CM132*CM119</f>
        <v>3584.1592262827148</v>
      </c>
      <c r="CN161" s="21">
        <f t="shared" si="290"/>
        <v>4065.0706653646826</v>
      </c>
      <c r="CO161" s="21">
        <f t="shared" si="290"/>
        <v>4657.6491590078222</v>
      </c>
      <c r="CP161" s="21">
        <f t="shared" si="290"/>
        <v>5092.6593594887854</v>
      </c>
      <c r="CQ161" s="21">
        <f t="shared" si="290"/>
        <v>5496.0136155348828</v>
      </c>
      <c r="CR161" s="21">
        <f t="shared" si="290"/>
        <v>5920.2907533263133</v>
      </c>
      <c r="CS161" s="21">
        <f t="shared" si="290"/>
        <v>6337.742339757644</v>
      </c>
      <c r="CT161" s="21">
        <f t="shared" si="290"/>
        <v>6791.2909719491863</v>
      </c>
      <c r="CU161" s="21">
        <f t="shared" si="290"/>
        <v>7213.3515107906524</v>
      </c>
      <c r="CV161" s="21">
        <f t="shared" si="290"/>
        <v>7564.2348236997977</v>
      </c>
      <c r="CW161" s="21">
        <f t="shared" si="290"/>
        <v>7856.8610566788302</v>
      </c>
      <c r="CX161" s="21">
        <f t="shared" si="290"/>
        <v>8096.7342933720856</v>
      </c>
      <c r="CY161" s="21">
        <f t="shared" si="290"/>
        <v>8419.5272124243693</v>
      </c>
      <c r="CZ161" s="21">
        <f t="shared" si="290"/>
        <v>8726.0840093410607</v>
      </c>
      <c r="DA161" s="21">
        <f t="shared" si="290"/>
        <v>9026.0757102901189</v>
      </c>
      <c r="DB161" s="21">
        <f t="shared" si="290"/>
        <v>9330.3459735654706</v>
      </c>
      <c r="DE161" s="22"/>
      <c r="DF161" s="161">
        <v>2633.6025000000004</v>
      </c>
    </row>
    <row r="162" spans="1:110" s="161" customFormat="1" x14ac:dyDescent="0.2">
      <c r="A162" s="49" t="s">
        <v>340</v>
      </c>
      <c r="B162" s="161">
        <f t="shared" ref="B162:AE162" si="291">+B133*B119</f>
        <v>14.618450479768786</v>
      </c>
      <c r="C162" s="161">
        <f t="shared" si="291"/>
        <v>10.16935685549133</v>
      </c>
      <c r="D162" s="161">
        <f t="shared" si="291"/>
        <v>10.804941658959541</v>
      </c>
      <c r="E162" s="161" t="e">
        <f t="shared" ca="1" si="291"/>
        <v>#DIV/0!</v>
      </c>
      <c r="F162" s="161" t="e">
        <f t="shared" ca="1" si="291"/>
        <v>#DIV/0!</v>
      </c>
      <c r="G162" s="161" t="e">
        <f t="shared" ca="1" si="291"/>
        <v>#DIV/0!</v>
      </c>
      <c r="H162" s="161" t="e">
        <f t="shared" ca="1" si="291"/>
        <v>#DIV/0!</v>
      </c>
      <c r="I162" s="161" t="e">
        <f t="shared" ca="1" si="291"/>
        <v>#DIV/0!</v>
      </c>
      <c r="J162" s="161" t="e">
        <f t="shared" ca="1" si="291"/>
        <v>#DIV/0!</v>
      </c>
      <c r="K162" s="161" t="e">
        <f t="shared" ca="1" si="291"/>
        <v>#DIV/0!</v>
      </c>
      <c r="L162" s="161" t="e">
        <f t="shared" ca="1" si="291"/>
        <v>#DIV/0!</v>
      </c>
      <c r="M162" s="161" t="e">
        <f t="shared" ca="1" si="291"/>
        <v>#DIV/0!</v>
      </c>
      <c r="N162" s="161" t="e">
        <f t="shared" ca="1" si="291"/>
        <v>#DIV/0!</v>
      </c>
      <c r="O162" s="161" t="e">
        <f t="shared" ca="1" si="291"/>
        <v>#DIV/0!</v>
      </c>
      <c r="P162" s="161" t="e">
        <f t="shared" ca="1" si="291"/>
        <v>#DIV/0!</v>
      </c>
      <c r="Q162" s="161" t="e">
        <f t="shared" ca="1" si="291"/>
        <v>#DIV/0!</v>
      </c>
      <c r="R162" s="161" t="e">
        <f t="shared" ca="1" si="291"/>
        <v>#DIV/0!</v>
      </c>
      <c r="S162" s="161" t="e">
        <f t="shared" ca="1" si="291"/>
        <v>#DIV/0!</v>
      </c>
      <c r="T162" s="161" t="e">
        <f t="shared" ca="1" si="291"/>
        <v>#DIV/0!</v>
      </c>
      <c r="U162" s="161" t="e">
        <f t="shared" ca="1" si="291"/>
        <v>#DIV/0!</v>
      </c>
      <c r="V162" s="161" t="e">
        <f t="shared" ca="1" si="291"/>
        <v>#DIV/0!</v>
      </c>
      <c r="W162" s="161" t="e">
        <f t="shared" ca="1" si="291"/>
        <v>#DIV/0!</v>
      </c>
      <c r="X162" s="161" t="e">
        <f t="shared" ca="1" si="291"/>
        <v>#DIV/0!</v>
      </c>
      <c r="Y162" s="161" t="e">
        <f t="shared" ca="1" si="291"/>
        <v>#DIV/0!</v>
      </c>
      <c r="Z162" s="161" t="e">
        <f t="shared" ca="1" si="291"/>
        <v>#DIV/0!</v>
      </c>
      <c r="AA162" s="161" t="e">
        <f t="shared" ref="AA162" ca="1" si="292">+AA133*AA119</f>
        <v>#DIV/0!</v>
      </c>
      <c r="AB162" s="21" t="e">
        <f t="shared" ca="1" si="291"/>
        <v>#DIV/0!</v>
      </c>
      <c r="AC162" s="21" t="e">
        <f t="shared" ca="1" si="291"/>
        <v>#DIV/0!</v>
      </c>
      <c r="AD162" s="21" t="e">
        <f t="shared" ca="1" si="291"/>
        <v>#DIV/0!</v>
      </c>
      <c r="AE162" s="21" t="e">
        <f t="shared" ca="1" si="291"/>
        <v>#DIV/0!</v>
      </c>
      <c r="AL162" s="161">
        <f t="shared" ref="AL162:BQ162" si="293">+AL133*AL119</f>
        <v>165.82500000000002</v>
      </c>
      <c r="AM162" s="161">
        <f t="shared" si="293"/>
        <v>170.85000000000002</v>
      </c>
      <c r="AN162" s="161">
        <f t="shared" si="293"/>
        <v>130.65</v>
      </c>
      <c r="AO162" s="161">
        <f t="shared" si="293"/>
        <v>140.95125000000002</v>
      </c>
      <c r="AP162" s="161">
        <f t="shared" si="293"/>
        <v>157.28250000000003</v>
      </c>
      <c r="AQ162" s="161">
        <f t="shared" si="293"/>
        <v>169.09125</v>
      </c>
      <c r="AR162" s="161">
        <f t="shared" si="293"/>
        <v>266.82750000000004</v>
      </c>
      <c r="AS162" s="161">
        <f t="shared" si="293"/>
        <v>349.99125000000004</v>
      </c>
      <c r="AT162" s="161">
        <f t="shared" si="293"/>
        <v>341.70000000000005</v>
      </c>
      <c r="AU162" s="161">
        <f t="shared" si="293"/>
        <v>359.28750000000002</v>
      </c>
      <c r="AV162" s="161">
        <f t="shared" si="293"/>
        <v>753.75</v>
      </c>
      <c r="AW162" s="161">
        <f t="shared" si="293"/>
        <v>1202.4825000000001</v>
      </c>
      <c r="AX162" s="161">
        <f t="shared" si="293"/>
        <v>1198.4625000000001</v>
      </c>
      <c r="AY162" s="161">
        <f t="shared" si="293"/>
        <v>1237.6575000000003</v>
      </c>
      <c r="AZ162" s="161">
        <f t="shared" si="293"/>
        <v>1226.3512500000002</v>
      </c>
      <c r="BA162" s="161">
        <f t="shared" si="293"/>
        <v>1130.625</v>
      </c>
      <c r="BB162" s="161">
        <f t="shared" si="293"/>
        <v>1185.9000000000001</v>
      </c>
      <c r="BC162" s="161">
        <f t="shared" si="293"/>
        <v>1256.25</v>
      </c>
      <c r="BD162" s="161">
        <f t="shared" si="293"/>
        <v>951.98625000000004</v>
      </c>
      <c r="BE162" s="161">
        <f t="shared" si="293"/>
        <v>889.42500000000007</v>
      </c>
      <c r="BF162" s="161">
        <f t="shared" si="293"/>
        <v>593.95500000000004</v>
      </c>
      <c r="BG162" s="161">
        <f t="shared" si="293"/>
        <v>390.94499999999999</v>
      </c>
      <c r="BH162" s="161">
        <f t="shared" si="293"/>
        <v>302.50500000000005</v>
      </c>
      <c r="BI162" s="161">
        <f t="shared" si="293"/>
        <v>271.35000000000002</v>
      </c>
      <c r="BJ162" s="161">
        <f t="shared" si="293"/>
        <v>269.84250000000003</v>
      </c>
      <c r="BK162" s="161">
        <f t="shared" si="293"/>
        <v>251.50125</v>
      </c>
      <c r="BL162" s="161">
        <f t="shared" si="293"/>
        <v>161.55375000000001</v>
      </c>
      <c r="BM162" s="161">
        <f t="shared" si="293"/>
        <v>179.89500000000001</v>
      </c>
      <c r="BN162" s="161">
        <f t="shared" si="293"/>
        <v>168.84000000000003</v>
      </c>
      <c r="BO162" s="161">
        <f t="shared" si="293"/>
        <v>173.61375000000001</v>
      </c>
      <c r="BP162" s="161">
        <f t="shared" si="293"/>
        <v>226.12500000000003</v>
      </c>
      <c r="BQ162" s="161">
        <f t="shared" si="293"/>
        <v>230.89875000000004</v>
      </c>
      <c r="BR162" s="161">
        <f t="shared" ref="BR162:CJ162" si="294">+BR133*BR119</f>
        <v>353.50875000000002</v>
      </c>
      <c r="BS162" s="161">
        <f t="shared" si="294"/>
        <v>369.58875</v>
      </c>
      <c r="BT162" s="161">
        <f t="shared" si="294"/>
        <v>510.54</v>
      </c>
      <c r="BU162" s="161">
        <f t="shared" si="294"/>
        <v>837.91875000000005</v>
      </c>
      <c r="BV162" s="161">
        <f t="shared" si="294"/>
        <v>1292.6812500000001</v>
      </c>
      <c r="BW162" s="161">
        <f t="shared" si="294"/>
        <v>1190.9250000000002</v>
      </c>
      <c r="BX162" s="161">
        <f t="shared" si="294"/>
        <v>1266.8025</v>
      </c>
      <c r="BY162" s="161">
        <f t="shared" si="294"/>
        <v>1080.375</v>
      </c>
      <c r="BZ162" s="161">
        <f t="shared" si="294"/>
        <v>929.62500000000011</v>
      </c>
      <c r="CA162" s="161">
        <f t="shared" si="294"/>
        <v>1095.45</v>
      </c>
      <c r="CB162" s="161">
        <f t="shared" si="294"/>
        <v>1458.5062500000001</v>
      </c>
      <c r="CC162" s="161">
        <f t="shared" si="294"/>
        <v>1379.1112499999999</v>
      </c>
      <c r="CD162" s="161">
        <f t="shared" si="294"/>
        <v>1809.0000000000002</v>
      </c>
      <c r="CE162" s="161">
        <f t="shared" si="294"/>
        <v>1607.2462500000001</v>
      </c>
      <c r="CF162" s="161">
        <f t="shared" si="294"/>
        <v>1813.5225</v>
      </c>
      <c r="CG162" s="161">
        <f t="shared" si="294"/>
        <v>1758.7500000000002</v>
      </c>
      <c r="CH162" s="161">
        <f t="shared" si="294"/>
        <v>1483.6312500000001</v>
      </c>
      <c r="CI162" s="161">
        <f t="shared" si="294"/>
        <v>1848.1950000000002</v>
      </c>
      <c r="CJ162" s="161">
        <f t="shared" si="294"/>
        <v>1713.0225</v>
      </c>
      <c r="CK162" s="161">
        <f>+CK133*CK119</f>
        <v>1967.2875000000001</v>
      </c>
      <c r="CL162" s="161">
        <f>+CL133*CL119</f>
        <v>2067.0337500000001</v>
      </c>
      <c r="CM162" s="21">
        <f t="shared" ref="CM162:DB162" si="295">+CM133*CM119</f>
        <v>2813.0965421320261</v>
      </c>
      <c r="CN162" s="21">
        <f t="shared" si="295"/>
        <v>3190.5491665669952</v>
      </c>
      <c r="CO162" s="21">
        <f t="shared" si="295"/>
        <v>3655.6458339207552</v>
      </c>
      <c r="CP162" s="21">
        <f t="shared" si="295"/>
        <v>3997.0719853572068</v>
      </c>
      <c r="CQ162" s="21">
        <f t="shared" si="295"/>
        <v>4313.6523578520782</v>
      </c>
      <c r="CR162" s="21">
        <f t="shared" si="295"/>
        <v>4646.6544578912026</v>
      </c>
      <c r="CS162" s="21">
        <f t="shared" si="295"/>
        <v>4974.299392213904</v>
      </c>
      <c r="CT162" s="21">
        <f t="shared" si="295"/>
        <v>5330.2757895655377</v>
      </c>
      <c r="CU162" s="21">
        <f t="shared" si="295"/>
        <v>5661.5381491389717</v>
      </c>
      <c r="CV162" s="21">
        <f t="shared" si="295"/>
        <v>5936.9356892366186</v>
      </c>
      <c r="CW162" s="21">
        <f t="shared" si="295"/>
        <v>6166.6090358039237</v>
      </c>
      <c r="CX162" s="21">
        <f t="shared" si="295"/>
        <v>6354.8781751165943</v>
      </c>
      <c r="CY162" s="21">
        <f t="shared" si="295"/>
        <v>6608.2284274580497</v>
      </c>
      <c r="CZ162" s="21">
        <f t="shared" si="295"/>
        <v>6848.8354459882576</v>
      </c>
      <c r="DA162" s="21">
        <f t="shared" si="295"/>
        <v>7084.2897222435422</v>
      </c>
      <c r="DB162" s="21">
        <f t="shared" si="295"/>
        <v>7323.1021107158103</v>
      </c>
      <c r="DE162" s="22"/>
      <c r="DF162" s="161">
        <v>2067.0337500000001</v>
      </c>
    </row>
    <row r="163" spans="1:110" s="161" customFormat="1" x14ac:dyDescent="0.2">
      <c r="A163" s="49" t="s">
        <v>79</v>
      </c>
      <c r="B163" s="161">
        <f>+B227</f>
        <v>71.926499399999997</v>
      </c>
      <c r="C163" s="161">
        <f t="shared" ref="C163:W163" si="296">+C227</f>
        <v>68.647356899999991</v>
      </c>
      <c r="D163" s="161">
        <f t="shared" si="296"/>
        <v>99.829303199999998</v>
      </c>
      <c r="E163" s="161">
        <f t="shared" si="296"/>
        <v>162.05710169999998</v>
      </c>
      <c r="F163" s="161">
        <f t="shared" si="296"/>
        <v>182.80741409999999</v>
      </c>
      <c r="G163" s="161">
        <f t="shared" si="296"/>
        <v>307.38128740000002</v>
      </c>
      <c r="H163" s="161">
        <f t="shared" si="296"/>
        <v>634.590283</v>
      </c>
      <c r="I163" s="161">
        <f t="shared" si="296"/>
        <v>720.74579920000008</v>
      </c>
      <c r="J163" s="161">
        <f t="shared" si="296"/>
        <v>684.36047780000001</v>
      </c>
      <c r="K163" s="161">
        <f t="shared" si="296"/>
        <v>685.67538510000009</v>
      </c>
      <c r="L163" s="161">
        <f t="shared" si="296"/>
        <v>708.56999999999994</v>
      </c>
      <c r="M163" s="161">
        <f t="shared" si="296"/>
        <v>713.37</v>
      </c>
      <c r="N163" s="161">
        <f t="shared" si="296"/>
        <v>655.63</v>
      </c>
      <c r="O163" s="161">
        <f t="shared" si="296"/>
        <v>588.59</v>
      </c>
      <c r="P163" s="161">
        <f t="shared" si="296"/>
        <v>612.9</v>
      </c>
      <c r="Q163" s="161">
        <f t="shared" si="296"/>
        <v>645.2399999999999</v>
      </c>
      <c r="R163" s="161">
        <f t="shared" si="296"/>
        <v>702.56999999999994</v>
      </c>
      <c r="S163" s="161">
        <f t="shared" si="296"/>
        <v>785.71000000000015</v>
      </c>
      <c r="T163" s="161">
        <f t="shared" si="296"/>
        <v>706.62</v>
      </c>
      <c r="U163" s="161">
        <f t="shared" si="296"/>
        <v>634.12</v>
      </c>
      <c r="V163" s="161">
        <f t="shared" si="296"/>
        <v>579.4</v>
      </c>
      <c r="W163" s="161">
        <f t="shared" si="296"/>
        <v>584.3900000000001</v>
      </c>
      <c r="X163" s="161">
        <f t="shared" ref="X163:AE163" si="297">+X227</f>
        <v>788.9</v>
      </c>
      <c r="Y163" s="161">
        <f t="shared" si="297"/>
        <v>1026.48</v>
      </c>
      <c r="Z163" s="161">
        <f t="shared" si="297"/>
        <v>1003.9100000000001</v>
      </c>
      <c r="AA163" s="161">
        <f t="shared" ref="AA163" si="298">+AA227</f>
        <v>1080.98</v>
      </c>
      <c r="AB163" s="21">
        <f t="shared" si="297"/>
        <v>1059.3330696798532</v>
      </c>
      <c r="AC163" s="21">
        <f t="shared" si="297"/>
        <v>768.06908871160556</v>
      </c>
      <c r="AD163" s="21">
        <f t="shared" si="297"/>
        <v>393.86075347311407</v>
      </c>
      <c r="AE163" s="21">
        <f t="shared" si="297"/>
        <v>-14.821723527668155</v>
      </c>
      <c r="AL163" s="161">
        <f>+AL227</f>
        <v>556.2600000000001</v>
      </c>
      <c r="AM163" s="161">
        <f>+AM227</f>
        <v>559.64203941107326</v>
      </c>
      <c r="AN163" s="161">
        <f>+AN227</f>
        <v>521.74</v>
      </c>
      <c r="AO163" s="161">
        <f>+AO227</f>
        <v>506.27338261953327</v>
      </c>
      <c r="AP163" s="161">
        <f t="shared" ref="AP163:CD163" si="299">+AP227</f>
        <v>494.36</v>
      </c>
      <c r="AQ163" s="161">
        <f t="shared" si="299"/>
        <v>488.58587254318047</v>
      </c>
      <c r="AR163" s="161">
        <f t="shared" si="299"/>
        <v>494.73</v>
      </c>
      <c r="AS163" s="161">
        <f t="shared" si="299"/>
        <v>479.14503276787417</v>
      </c>
      <c r="AT163" s="161">
        <f t="shared" si="299"/>
        <v>530.80000000000007</v>
      </c>
      <c r="AU163" s="161">
        <f t="shared" si="299"/>
        <v>519.1020505385253</v>
      </c>
      <c r="AV163" s="161">
        <f t="shared" si="299"/>
        <v>517.31000000000006</v>
      </c>
      <c r="AW163" s="161">
        <f t="shared" si="299"/>
        <v>448.60064186324854</v>
      </c>
      <c r="AX163" s="161">
        <f t="shared" si="299"/>
        <v>579.2299999999999</v>
      </c>
      <c r="AY163" s="161">
        <f t="shared" si="299"/>
        <v>589.7685766508514</v>
      </c>
      <c r="AZ163" s="161">
        <f t="shared" si="299"/>
        <v>610.42999999999995</v>
      </c>
      <c r="BA163" s="161">
        <f t="shared" si="299"/>
        <v>507.45917999999989</v>
      </c>
      <c r="BB163" s="161">
        <f t="shared" si="299"/>
        <v>641.32999999999993</v>
      </c>
      <c r="BC163" s="161">
        <f t="shared" si="299"/>
        <v>638.19002650323011</v>
      </c>
      <c r="BD163" s="161">
        <f t="shared" si="299"/>
        <v>651.28</v>
      </c>
      <c r="BE163" s="161">
        <f t="shared" si="299"/>
        <v>709.36014654777625</v>
      </c>
      <c r="BF163" s="161">
        <f t="shared" si="299"/>
        <v>714.92000000000007</v>
      </c>
      <c r="BG163" s="161">
        <f t="shared" si="299"/>
        <v>765.54658476372356</v>
      </c>
      <c r="BH163" s="161">
        <f t="shared" si="299"/>
        <v>671.31</v>
      </c>
      <c r="BI163" s="161">
        <f t="shared" si="299"/>
        <v>634.00192591020061</v>
      </c>
      <c r="BJ163" s="161">
        <f t="shared" si="299"/>
        <v>639.56000000000006</v>
      </c>
      <c r="BK163" s="161">
        <f t="shared" si="299"/>
        <v>607.39095558877125</v>
      </c>
      <c r="BL163" s="161">
        <f t="shared" si="299"/>
        <v>577.23</v>
      </c>
      <c r="BM163" s="161">
        <f t="shared" si="299"/>
        <v>519.34253173122283</v>
      </c>
      <c r="BN163" s="161">
        <f t="shared" si="299"/>
        <v>587.62</v>
      </c>
      <c r="BO163" s="161">
        <f t="shared" si="299"/>
        <v>219.50381369863027</v>
      </c>
      <c r="BP163" s="161">
        <f t="shared" si="299"/>
        <v>524.45999999999992</v>
      </c>
      <c r="BQ163" s="161">
        <f t="shared" si="299"/>
        <v>720.70622263474593</v>
      </c>
      <c r="BR163" s="161">
        <f t="shared" si="299"/>
        <v>503.7299999999999</v>
      </c>
      <c r="BS163" s="161">
        <f t="shared" si="299"/>
        <v>397.15656849342588</v>
      </c>
      <c r="BT163" s="161">
        <f t="shared" si="299"/>
        <v>583.74</v>
      </c>
      <c r="BU163" s="161">
        <f t="shared" si="299"/>
        <v>550.47771153003066</v>
      </c>
      <c r="BV163" s="161">
        <f t="shared" si="299"/>
        <v>584.3900000000001</v>
      </c>
      <c r="BW163" s="161">
        <f t="shared" si="299"/>
        <v>505.93468249989837</v>
      </c>
      <c r="BX163" s="161">
        <f t="shared" si="299"/>
        <v>743.59</v>
      </c>
      <c r="BY163" s="161">
        <f t="shared" si="299"/>
        <v>619.67866238087163</v>
      </c>
      <c r="BZ163" s="161">
        <f t="shared" si="299"/>
        <v>788.9</v>
      </c>
      <c r="CA163" s="161">
        <f t="shared" si="299"/>
        <v>769.03381773039303</v>
      </c>
      <c r="CB163" s="161">
        <f t="shared" si="299"/>
        <v>902.36000000000013</v>
      </c>
      <c r="CC163" s="161">
        <f t="shared" si="299"/>
        <v>890.37048287050322</v>
      </c>
      <c r="CD163" s="161">
        <f t="shared" si="299"/>
        <v>1026.48</v>
      </c>
      <c r="CE163" s="161">
        <f t="shared" ref="CE163:CL163" si="300">+CE227</f>
        <v>1004.2437203331809</v>
      </c>
      <c r="CF163" s="161">
        <f t="shared" si="300"/>
        <v>1178.8399999999999</v>
      </c>
      <c r="CG163" s="161">
        <f t="shared" si="300"/>
        <v>1266.1927065910802</v>
      </c>
      <c r="CH163" s="161">
        <f t="shared" si="300"/>
        <v>1003.9100000000001</v>
      </c>
      <c r="CI163" s="161">
        <f t="shared" si="300"/>
        <v>1010.9891101729536</v>
      </c>
      <c r="CJ163" s="161">
        <f t="shared" si="300"/>
        <v>1166.9000000000001</v>
      </c>
      <c r="CK163" s="161">
        <f t="shared" si="300"/>
        <v>1107.2778333206129</v>
      </c>
      <c r="CL163" s="161">
        <f t="shared" si="300"/>
        <v>1080.98</v>
      </c>
      <c r="CM163" s="21">
        <f t="shared" ref="CM163:DB163" si="301">+CM227</f>
        <v>1119.3707585164982</v>
      </c>
      <c r="CN163" s="21">
        <f t="shared" si="301"/>
        <v>1101.8155245652674</v>
      </c>
      <c r="CO163" s="21">
        <f t="shared" si="301"/>
        <v>1081.0784779294779</v>
      </c>
      <c r="CP163" s="21">
        <f t="shared" si="301"/>
        <v>1059.3330696798532</v>
      </c>
      <c r="CQ163" s="21">
        <f t="shared" si="301"/>
        <v>1000.4954872592339</v>
      </c>
      <c r="CR163" s="21">
        <f t="shared" si="301"/>
        <v>936.68587319273183</v>
      </c>
      <c r="CS163" s="21">
        <f t="shared" si="301"/>
        <v>855.37409241107434</v>
      </c>
      <c r="CT163" s="21">
        <f t="shared" si="301"/>
        <v>768.06908871160556</v>
      </c>
      <c r="CU163" s="21">
        <f t="shared" si="301"/>
        <v>678.42089318408273</v>
      </c>
      <c r="CV163" s="21">
        <f t="shared" si="301"/>
        <v>585.87330215128577</v>
      </c>
      <c r="CW163" s="21">
        <f t="shared" si="301"/>
        <v>490.88209846968675</v>
      </c>
      <c r="CX163" s="21">
        <f t="shared" si="301"/>
        <v>393.86075347311407</v>
      </c>
      <c r="CY163" s="21">
        <f t="shared" si="301"/>
        <v>295.15729756887379</v>
      </c>
      <c r="CZ163" s="21">
        <f t="shared" si="301"/>
        <v>194.07027162271595</v>
      </c>
      <c r="DA163" s="21">
        <f t="shared" si="301"/>
        <v>90.728381800139005</v>
      </c>
      <c r="DB163" s="21">
        <f t="shared" si="301"/>
        <v>-14.821723527668155</v>
      </c>
      <c r="DE163" s="22"/>
      <c r="DF163" s="161">
        <v>1092.3698998188943</v>
      </c>
    </row>
    <row r="164" spans="1:110" s="161" customFormat="1" x14ac:dyDescent="0.2">
      <c r="A164" s="49" t="s">
        <v>341</v>
      </c>
      <c r="B164" s="161">
        <f>+B161+B163</f>
        <v>110.69717241156076</v>
      </c>
      <c r="C164" s="161">
        <f t="shared" ref="C164:W164" si="302">+C161+C163</f>
        <v>88.138624206358458</v>
      </c>
      <c r="D164" s="161">
        <f t="shared" si="302"/>
        <v>130.19613269903667</v>
      </c>
      <c r="E164" s="161" t="e">
        <f t="shared" ca="1" si="302"/>
        <v>#DIV/0!</v>
      </c>
      <c r="F164" s="161" t="e">
        <f t="shared" ca="1" si="302"/>
        <v>#DIV/0!</v>
      </c>
      <c r="G164" s="161" t="e">
        <f t="shared" ca="1" si="302"/>
        <v>#DIV/0!</v>
      </c>
      <c r="H164" s="161" t="e">
        <f t="shared" ca="1" si="302"/>
        <v>#DIV/0!</v>
      </c>
      <c r="I164" s="161" t="e">
        <f t="shared" ca="1" si="302"/>
        <v>#DIV/0!</v>
      </c>
      <c r="J164" s="161" t="e">
        <f t="shared" ca="1" si="302"/>
        <v>#DIV/0!</v>
      </c>
      <c r="K164" s="161" t="e">
        <f t="shared" ca="1" si="302"/>
        <v>#DIV/0!</v>
      </c>
      <c r="L164" s="161" t="e">
        <f t="shared" ca="1" si="302"/>
        <v>#DIV/0!</v>
      </c>
      <c r="M164" s="161" t="e">
        <f t="shared" ca="1" si="302"/>
        <v>#DIV/0!</v>
      </c>
      <c r="N164" s="161" t="e">
        <f t="shared" ca="1" si="302"/>
        <v>#DIV/0!</v>
      </c>
      <c r="O164" s="161" t="e">
        <f t="shared" ca="1" si="302"/>
        <v>#DIV/0!</v>
      </c>
      <c r="P164" s="161" t="e">
        <f t="shared" ca="1" si="302"/>
        <v>#DIV/0!</v>
      </c>
      <c r="Q164" s="161" t="e">
        <f t="shared" ca="1" si="302"/>
        <v>#DIV/0!</v>
      </c>
      <c r="R164" s="161" t="e">
        <f t="shared" ca="1" si="302"/>
        <v>#DIV/0!</v>
      </c>
      <c r="S164" s="161" t="e">
        <f t="shared" ca="1" si="302"/>
        <v>#DIV/0!</v>
      </c>
      <c r="T164" s="161" t="e">
        <f t="shared" ca="1" si="302"/>
        <v>#DIV/0!</v>
      </c>
      <c r="U164" s="161" t="e">
        <f t="shared" ca="1" si="302"/>
        <v>#DIV/0!</v>
      </c>
      <c r="V164" s="161" t="e">
        <f t="shared" ca="1" si="302"/>
        <v>#DIV/0!</v>
      </c>
      <c r="W164" s="161" t="e">
        <f t="shared" ca="1" si="302"/>
        <v>#DIV/0!</v>
      </c>
      <c r="X164" s="161" t="e">
        <f t="shared" ref="X164:AE164" ca="1" si="303">+X161+X163</f>
        <v>#DIV/0!</v>
      </c>
      <c r="Y164" s="161" t="e">
        <f t="shared" ca="1" si="303"/>
        <v>#DIV/0!</v>
      </c>
      <c r="Z164" s="161" t="e">
        <f t="shared" ca="1" si="303"/>
        <v>#DIV/0!</v>
      </c>
      <c r="AA164" s="161" t="e">
        <f t="shared" ref="AA164" ca="1" si="304">+AA161+AA163</f>
        <v>#DIV/0!</v>
      </c>
      <c r="AB164" s="21" t="e">
        <f t="shared" ca="1" si="303"/>
        <v>#DIV/0!</v>
      </c>
      <c r="AC164" s="21" t="e">
        <f t="shared" ca="1" si="303"/>
        <v>#DIV/0!</v>
      </c>
      <c r="AD164" s="21" t="e">
        <f t="shared" ca="1" si="303"/>
        <v>#DIV/0!</v>
      </c>
      <c r="AE164" s="21" t="e">
        <f t="shared" ca="1" si="303"/>
        <v>#DIV/0!</v>
      </c>
      <c r="AL164" s="161">
        <f>+AL161+AL163</f>
        <v>847.45875000000012</v>
      </c>
      <c r="AM164" s="161">
        <f>+AM161+AM163</f>
        <v>823.45453941107326</v>
      </c>
      <c r="AN164" s="161">
        <f>+AN161+AN163</f>
        <v>730.78</v>
      </c>
      <c r="AO164" s="161">
        <f>+AO161+AO163</f>
        <v>701.74588261953329</v>
      </c>
      <c r="AP164" s="161">
        <f t="shared" ref="AP164:CD164" si="305">+AP161+AP163</f>
        <v>725.00750000000005</v>
      </c>
      <c r="AQ164" s="161">
        <f t="shared" si="305"/>
        <v>785.06087254318049</v>
      </c>
      <c r="AR164" s="161">
        <f t="shared" si="305"/>
        <v>940.44749999999999</v>
      </c>
      <c r="AS164" s="161">
        <f t="shared" si="305"/>
        <v>951.74628276787416</v>
      </c>
      <c r="AT164" s="161">
        <f t="shared" si="305"/>
        <v>1070.9875000000002</v>
      </c>
      <c r="AU164" s="161">
        <f t="shared" si="305"/>
        <v>1284.9120505385254</v>
      </c>
      <c r="AV164" s="161">
        <f t="shared" si="305"/>
        <v>1914.2600000000002</v>
      </c>
      <c r="AW164" s="161">
        <f t="shared" si="305"/>
        <v>2076.7006418632486</v>
      </c>
      <c r="AX164" s="161">
        <f t="shared" si="305"/>
        <v>2187.23</v>
      </c>
      <c r="AY164" s="161">
        <f t="shared" si="305"/>
        <v>2122.3935766508512</v>
      </c>
      <c r="AZ164" s="161">
        <f t="shared" si="305"/>
        <v>2027.48</v>
      </c>
      <c r="BA164" s="161">
        <f t="shared" si="305"/>
        <v>2140.5841800000003</v>
      </c>
      <c r="BB164" s="161">
        <f t="shared" si="305"/>
        <v>2171.4425000000001</v>
      </c>
      <c r="BC164" s="161">
        <f t="shared" si="305"/>
        <v>2266.2900265032304</v>
      </c>
      <c r="BD164" s="161">
        <f t="shared" si="305"/>
        <v>2133.6549999999997</v>
      </c>
      <c r="BE164" s="161">
        <f t="shared" si="305"/>
        <v>1832.9501465477765</v>
      </c>
      <c r="BF164" s="161">
        <f t="shared" si="305"/>
        <v>1770.17</v>
      </c>
      <c r="BG164" s="161">
        <f t="shared" si="305"/>
        <v>1478.3428347637237</v>
      </c>
      <c r="BH164" s="161">
        <f t="shared" si="305"/>
        <v>1172.8049999999998</v>
      </c>
      <c r="BI164" s="161">
        <f t="shared" si="305"/>
        <v>1073.6894259102007</v>
      </c>
      <c r="BJ164" s="161">
        <f t="shared" si="305"/>
        <v>1056.1325000000002</v>
      </c>
      <c r="BK164" s="161">
        <f t="shared" si="305"/>
        <v>956.87970558877123</v>
      </c>
      <c r="BL164" s="161">
        <f t="shared" si="305"/>
        <v>861.14250000000004</v>
      </c>
      <c r="BM164" s="161">
        <f t="shared" si="305"/>
        <v>873.60503173122288</v>
      </c>
      <c r="BN164" s="161">
        <f t="shared" si="305"/>
        <v>916.50625000000002</v>
      </c>
      <c r="BO164" s="161">
        <f t="shared" si="305"/>
        <v>495.87881369863027</v>
      </c>
      <c r="BP164" s="161">
        <f t="shared" si="305"/>
        <v>857.11500000000001</v>
      </c>
      <c r="BQ164" s="161">
        <f t="shared" si="305"/>
        <v>1142.303722634746</v>
      </c>
      <c r="BR164" s="161">
        <f t="shared" si="305"/>
        <v>1025.07375</v>
      </c>
      <c r="BS164" s="161">
        <f t="shared" si="305"/>
        <v>973.02156849342589</v>
      </c>
      <c r="BT164" s="161">
        <f t="shared" si="305"/>
        <v>1457.085</v>
      </c>
      <c r="BU164" s="161">
        <f t="shared" si="305"/>
        <v>2329.3277115300307</v>
      </c>
      <c r="BV164" s="161">
        <f t="shared" si="305"/>
        <v>2711.9750000000004</v>
      </c>
      <c r="BW164" s="161">
        <f t="shared" si="305"/>
        <v>2626.4846824998986</v>
      </c>
      <c r="BX164" s="161">
        <f t="shared" si="305"/>
        <v>2552.3387499999999</v>
      </c>
      <c r="BY164" s="161">
        <f t="shared" si="305"/>
        <v>2121.1486623808719</v>
      </c>
      <c r="BZ164" s="161">
        <f t="shared" si="305"/>
        <v>2065.25</v>
      </c>
      <c r="CA164" s="161">
        <f t="shared" si="305"/>
        <v>2497.6338177303933</v>
      </c>
      <c r="CB164" s="161">
        <f t="shared" si="305"/>
        <v>2878.6925000000001</v>
      </c>
      <c r="CC164" s="161">
        <f t="shared" si="305"/>
        <v>3176.2429828705031</v>
      </c>
      <c r="CD164" s="161">
        <f t="shared" si="305"/>
        <v>4178.16</v>
      </c>
      <c r="CE164" s="161">
        <f t="shared" ref="CE164:CL164" si="306">+CE161+CE163</f>
        <v>3441.368720333181</v>
      </c>
      <c r="CF164" s="161">
        <f t="shared" si="306"/>
        <v>3682.2950000000001</v>
      </c>
      <c r="CG164" s="161">
        <f t="shared" si="306"/>
        <v>3623.1689565910801</v>
      </c>
      <c r="CH164" s="161">
        <f t="shared" si="306"/>
        <v>3280.2350000000006</v>
      </c>
      <c r="CI164" s="161">
        <f t="shared" si="306"/>
        <v>3586.0503601729538</v>
      </c>
      <c r="CJ164" s="161">
        <f t="shared" si="306"/>
        <v>3614.0750000000003</v>
      </c>
      <c r="CK164" s="161">
        <f t="shared" si="306"/>
        <v>3624.802833320613</v>
      </c>
      <c r="CL164" s="161">
        <f t="shared" si="306"/>
        <v>3714.5825000000004</v>
      </c>
      <c r="CM164" s="21">
        <f t="shared" ref="CM164:DB164" si="307">+CM161+CM163</f>
        <v>4703.5299847992128</v>
      </c>
      <c r="CN164" s="21">
        <f t="shared" si="307"/>
        <v>5166.88618992995</v>
      </c>
      <c r="CO164" s="21">
        <f t="shared" si="307"/>
        <v>5738.7276369373003</v>
      </c>
      <c r="CP164" s="21">
        <f t="shared" si="307"/>
        <v>6151.9924291686384</v>
      </c>
      <c r="CQ164" s="21">
        <f t="shared" si="307"/>
        <v>6496.5091027941162</v>
      </c>
      <c r="CR164" s="21">
        <f t="shared" si="307"/>
        <v>6856.9766265190447</v>
      </c>
      <c r="CS164" s="21">
        <f t="shared" si="307"/>
        <v>7193.1164321687183</v>
      </c>
      <c r="CT164" s="21">
        <f t="shared" si="307"/>
        <v>7559.3600606607915</v>
      </c>
      <c r="CU164" s="21">
        <f t="shared" si="307"/>
        <v>7891.7724039747354</v>
      </c>
      <c r="CV164" s="21">
        <f t="shared" si="307"/>
        <v>8150.108125851084</v>
      </c>
      <c r="CW164" s="21">
        <f t="shared" si="307"/>
        <v>8347.743155148517</v>
      </c>
      <c r="CX164" s="21">
        <f t="shared" si="307"/>
        <v>8490.5950468451992</v>
      </c>
      <c r="CY164" s="21">
        <f t="shared" si="307"/>
        <v>8714.6845099932434</v>
      </c>
      <c r="CZ164" s="21">
        <f t="shared" si="307"/>
        <v>8920.1542809637758</v>
      </c>
      <c r="DA164" s="21">
        <f t="shared" si="307"/>
        <v>9116.8040920902586</v>
      </c>
      <c r="DB164" s="21">
        <f t="shared" si="307"/>
        <v>9315.5242500378026</v>
      </c>
      <c r="DE164" s="22"/>
      <c r="DF164" s="161">
        <v>3725.9723998188947</v>
      </c>
    </row>
    <row r="165" spans="1:110" s="161" customFormat="1" x14ac:dyDescent="0.2">
      <c r="A165" s="49" t="s">
        <v>344</v>
      </c>
      <c r="B165" s="161">
        <f>+B162+B163</f>
        <v>86.54494987976878</v>
      </c>
      <c r="C165" s="161">
        <f t="shared" ref="C165:W165" si="308">+C162+C163</f>
        <v>78.816713755491321</v>
      </c>
      <c r="D165" s="161">
        <f t="shared" si="308"/>
        <v>110.63424485895953</v>
      </c>
      <c r="E165" s="161" t="e">
        <f t="shared" ca="1" si="308"/>
        <v>#DIV/0!</v>
      </c>
      <c r="F165" s="161" t="e">
        <f t="shared" ca="1" si="308"/>
        <v>#DIV/0!</v>
      </c>
      <c r="G165" s="161" t="e">
        <f t="shared" ca="1" si="308"/>
        <v>#DIV/0!</v>
      </c>
      <c r="H165" s="161" t="e">
        <f t="shared" ca="1" si="308"/>
        <v>#DIV/0!</v>
      </c>
      <c r="I165" s="161" t="e">
        <f t="shared" ca="1" si="308"/>
        <v>#DIV/0!</v>
      </c>
      <c r="J165" s="161" t="e">
        <f t="shared" ca="1" si="308"/>
        <v>#DIV/0!</v>
      </c>
      <c r="K165" s="161" t="e">
        <f t="shared" ca="1" si="308"/>
        <v>#DIV/0!</v>
      </c>
      <c r="L165" s="161" t="e">
        <f t="shared" ca="1" si="308"/>
        <v>#DIV/0!</v>
      </c>
      <c r="M165" s="161" t="e">
        <f t="shared" ca="1" si="308"/>
        <v>#DIV/0!</v>
      </c>
      <c r="N165" s="161" t="e">
        <f t="shared" ca="1" si="308"/>
        <v>#DIV/0!</v>
      </c>
      <c r="O165" s="161" t="e">
        <f t="shared" ca="1" si="308"/>
        <v>#DIV/0!</v>
      </c>
      <c r="P165" s="161" t="e">
        <f t="shared" ca="1" si="308"/>
        <v>#DIV/0!</v>
      </c>
      <c r="Q165" s="161" t="e">
        <f t="shared" ca="1" si="308"/>
        <v>#DIV/0!</v>
      </c>
      <c r="R165" s="161" t="e">
        <f t="shared" ca="1" si="308"/>
        <v>#DIV/0!</v>
      </c>
      <c r="S165" s="161" t="e">
        <f t="shared" ca="1" si="308"/>
        <v>#DIV/0!</v>
      </c>
      <c r="T165" s="161" t="e">
        <f t="shared" ca="1" si="308"/>
        <v>#DIV/0!</v>
      </c>
      <c r="U165" s="161" t="e">
        <f t="shared" ca="1" si="308"/>
        <v>#DIV/0!</v>
      </c>
      <c r="V165" s="161" t="e">
        <f t="shared" ca="1" si="308"/>
        <v>#DIV/0!</v>
      </c>
      <c r="W165" s="161" t="e">
        <f t="shared" ca="1" si="308"/>
        <v>#DIV/0!</v>
      </c>
      <c r="X165" s="161" t="e">
        <f t="shared" ref="X165:AE165" ca="1" si="309">+X162+X163</f>
        <v>#DIV/0!</v>
      </c>
      <c r="Y165" s="161" t="e">
        <f t="shared" ca="1" si="309"/>
        <v>#DIV/0!</v>
      </c>
      <c r="Z165" s="161" t="e">
        <f t="shared" ca="1" si="309"/>
        <v>#DIV/0!</v>
      </c>
      <c r="AA165" s="161" t="e">
        <f t="shared" ref="AA165" ca="1" si="310">+AA162+AA163</f>
        <v>#DIV/0!</v>
      </c>
      <c r="AB165" s="21" t="e">
        <f t="shared" ca="1" si="309"/>
        <v>#DIV/0!</v>
      </c>
      <c r="AC165" s="21" t="e">
        <f t="shared" ca="1" si="309"/>
        <v>#DIV/0!</v>
      </c>
      <c r="AD165" s="21" t="e">
        <f t="shared" ca="1" si="309"/>
        <v>#DIV/0!</v>
      </c>
      <c r="AE165" s="21" t="e">
        <f t="shared" ca="1" si="309"/>
        <v>#DIV/0!</v>
      </c>
      <c r="AL165" s="161">
        <f>+AL162+AL163</f>
        <v>722.08500000000015</v>
      </c>
      <c r="AM165" s="161">
        <f>+AM162+AM163</f>
        <v>730.49203941107328</v>
      </c>
      <c r="AN165" s="161">
        <f>+AN162+AN163</f>
        <v>652.39</v>
      </c>
      <c r="AO165" s="161">
        <f>+AO162+AO163</f>
        <v>647.22463261953328</v>
      </c>
      <c r="AP165" s="161">
        <f t="shared" ref="AP165:CD165" si="311">+AP162+AP163</f>
        <v>651.64250000000004</v>
      </c>
      <c r="AQ165" s="161">
        <f t="shared" si="311"/>
        <v>657.67712254318053</v>
      </c>
      <c r="AR165" s="161">
        <f t="shared" si="311"/>
        <v>761.55750000000012</v>
      </c>
      <c r="AS165" s="161">
        <f t="shared" si="311"/>
        <v>829.13628276787426</v>
      </c>
      <c r="AT165" s="161">
        <f t="shared" si="311"/>
        <v>872.50000000000011</v>
      </c>
      <c r="AU165" s="161">
        <f t="shared" si="311"/>
        <v>878.38955053852533</v>
      </c>
      <c r="AV165" s="161">
        <f t="shared" si="311"/>
        <v>1271.06</v>
      </c>
      <c r="AW165" s="161">
        <f t="shared" si="311"/>
        <v>1651.0831418632486</v>
      </c>
      <c r="AX165" s="161">
        <f t="shared" si="311"/>
        <v>1777.6925000000001</v>
      </c>
      <c r="AY165" s="161">
        <f t="shared" si="311"/>
        <v>1827.4260766508517</v>
      </c>
      <c r="AZ165" s="161">
        <f t="shared" si="311"/>
        <v>1836.78125</v>
      </c>
      <c r="BA165" s="161">
        <f t="shared" si="311"/>
        <v>1638.0841799999998</v>
      </c>
      <c r="BB165" s="161">
        <f t="shared" si="311"/>
        <v>1827.23</v>
      </c>
      <c r="BC165" s="161">
        <f t="shared" si="311"/>
        <v>1894.44002650323</v>
      </c>
      <c r="BD165" s="161">
        <f t="shared" si="311"/>
        <v>1603.2662500000001</v>
      </c>
      <c r="BE165" s="161">
        <f t="shared" si="311"/>
        <v>1598.7851465477763</v>
      </c>
      <c r="BF165" s="161">
        <f t="shared" si="311"/>
        <v>1308.875</v>
      </c>
      <c r="BG165" s="161">
        <f t="shared" si="311"/>
        <v>1156.4915847637235</v>
      </c>
      <c r="BH165" s="161">
        <f t="shared" si="311"/>
        <v>973.81500000000005</v>
      </c>
      <c r="BI165" s="161">
        <f t="shared" si="311"/>
        <v>905.35192591020063</v>
      </c>
      <c r="BJ165" s="161">
        <f t="shared" si="311"/>
        <v>909.40250000000015</v>
      </c>
      <c r="BK165" s="161">
        <f t="shared" si="311"/>
        <v>858.89220558877128</v>
      </c>
      <c r="BL165" s="161">
        <f t="shared" si="311"/>
        <v>738.78375000000005</v>
      </c>
      <c r="BM165" s="161">
        <f t="shared" si="311"/>
        <v>699.23753173122282</v>
      </c>
      <c r="BN165" s="161">
        <f t="shared" si="311"/>
        <v>756.46</v>
      </c>
      <c r="BO165" s="161">
        <f t="shared" si="311"/>
        <v>393.11756369863031</v>
      </c>
      <c r="BP165" s="161">
        <f t="shared" si="311"/>
        <v>750.58499999999992</v>
      </c>
      <c r="BQ165" s="161">
        <f t="shared" si="311"/>
        <v>951.60497263474599</v>
      </c>
      <c r="BR165" s="161">
        <f t="shared" si="311"/>
        <v>857.23874999999998</v>
      </c>
      <c r="BS165" s="161">
        <f t="shared" si="311"/>
        <v>766.74531849342588</v>
      </c>
      <c r="BT165" s="161">
        <f t="shared" si="311"/>
        <v>1094.28</v>
      </c>
      <c r="BU165" s="161">
        <f t="shared" si="311"/>
        <v>1388.3964615300306</v>
      </c>
      <c r="BV165" s="161">
        <f t="shared" si="311"/>
        <v>1877.0712500000002</v>
      </c>
      <c r="BW165" s="161">
        <f t="shared" si="311"/>
        <v>1696.8596824998986</v>
      </c>
      <c r="BX165" s="161">
        <f t="shared" si="311"/>
        <v>2010.3924999999999</v>
      </c>
      <c r="BY165" s="161">
        <f t="shared" si="311"/>
        <v>1700.0536623808716</v>
      </c>
      <c r="BZ165" s="161">
        <f t="shared" si="311"/>
        <v>1718.5250000000001</v>
      </c>
      <c r="CA165" s="161">
        <f t="shared" si="311"/>
        <v>1864.4838177303932</v>
      </c>
      <c r="CB165" s="161">
        <f t="shared" si="311"/>
        <v>2360.86625</v>
      </c>
      <c r="CC165" s="161">
        <f t="shared" si="311"/>
        <v>2269.481732870503</v>
      </c>
      <c r="CD165" s="161">
        <f t="shared" si="311"/>
        <v>2835.4800000000005</v>
      </c>
      <c r="CE165" s="161">
        <f t="shared" ref="CE165:CL165" si="312">+CE162+CE163</f>
        <v>2611.4899703331812</v>
      </c>
      <c r="CF165" s="161">
        <f t="shared" si="312"/>
        <v>2992.3625000000002</v>
      </c>
      <c r="CG165" s="161">
        <f t="shared" si="312"/>
        <v>3024.9427065910804</v>
      </c>
      <c r="CH165" s="161">
        <f t="shared" si="312"/>
        <v>2487.5412500000002</v>
      </c>
      <c r="CI165" s="161">
        <f t="shared" si="312"/>
        <v>2859.1841101729538</v>
      </c>
      <c r="CJ165" s="161">
        <f t="shared" si="312"/>
        <v>2879.9225000000001</v>
      </c>
      <c r="CK165" s="161">
        <f t="shared" si="312"/>
        <v>3074.5653333206128</v>
      </c>
      <c r="CL165" s="161">
        <f t="shared" si="312"/>
        <v>3148.0137500000001</v>
      </c>
      <c r="CM165" s="21">
        <f t="shared" ref="CM165:DB165" si="313">+CM162+CM163</f>
        <v>3932.4673006485245</v>
      </c>
      <c r="CN165" s="21">
        <f t="shared" si="313"/>
        <v>4292.364691132263</v>
      </c>
      <c r="CO165" s="21">
        <f t="shared" si="313"/>
        <v>4736.7243118502329</v>
      </c>
      <c r="CP165" s="21">
        <f t="shared" si="313"/>
        <v>5056.4050550370603</v>
      </c>
      <c r="CQ165" s="21">
        <f t="shared" si="313"/>
        <v>5314.1478451113126</v>
      </c>
      <c r="CR165" s="21">
        <f t="shared" si="313"/>
        <v>5583.3403310839349</v>
      </c>
      <c r="CS165" s="21">
        <f t="shared" si="313"/>
        <v>5829.6734846249783</v>
      </c>
      <c r="CT165" s="21">
        <f t="shared" si="313"/>
        <v>6098.3448782771429</v>
      </c>
      <c r="CU165" s="21">
        <f t="shared" si="313"/>
        <v>6339.9590423230547</v>
      </c>
      <c r="CV165" s="21">
        <f t="shared" si="313"/>
        <v>6522.8089913879048</v>
      </c>
      <c r="CW165" s="21">
        <f t="shared" si="313"/>
        <v>6657.4911342736104</v>
      </c>
      <c r="CX165" s="21">
        <f t="shared" si="313"/>
        <v>6748.7389285897079</v>
      </c>
      <c r="CY165" s="21">
        <f t="shared" si="313"/>
        <v>6903.3857250269239</v>
      </c>
      <c r="CZ165" s="21">
        <f t="shared" si="313"/>
        <v>7042.9057176109736</v>
      </c>
      <c r="DA165" s="21">
        <f t="shared" si="313"/>
        <v>7175.018104043681</v>
      </c>
      <c r="DB165" s="21">
        <f t="shared" si="313"/>
        <v>7308.2803871881424</v>
      </c>
      <c r="DE165" s="22"/>
      <c r="DF165" s="161">
        <v>3159.4036498188943</v>
      </c>
    </row>
    <row r="166" spans="1:110" s="161" customFormat="1" x14ac:dyDescent="0.2">
      <c r="A166" s="49" t="s">
        <v>12</v>
      </c>
      <c r="B166" s="161">
        <f t="shared" ref="B166:AE166" si="314">+B82</f>
        <v>24.943076500000004</v>
      </c>
      <c r="C166" s="161">
        <f t="shared" si="314"/>
        <v>22.178197200000035</v>
      </c>
      <c r="D166" s="161">
        <f t="shared" si="314"/>
        <v>27.66742889999999</v>
      </c>
      <c r="E166" s="161">
        <f t="shared" si="314"/>
        <v>37.28601119999999</v>
      </c>
      <c r="F166" s="161">
        <f t="shared" si="314"/>
        <v>43.049664600000042</v>
      </c>
      <c r="G166" s="161">
        <f t="shared" si="314"/>
        <v>59.797726200000014</v>
      </c>
      <c r="H166" s="161">
        <f t="shared" si="314"/>
        <v>95.047935500000051</v>
      </c>
      <c r="I166" s="161">
        <f t="shared" si="314"/>
        <v>88.275941800000027</v>
      </c>
      <c r="J166" s="161">
        <f t="shared" si="314"/>
        <v>71.785674999999969</v>
      </c>
      <c r="K166" s="161">
        <f t="shared" si="314"/>
        <v>129.51827400000002</v>
      </c>
      <c r="L166" s="161">
        <f t="shared" si="314"/>
        <v>195.7600000000001</v>
      </c>
      <c r="M166" s="161">
        <f t="shared" si="314"/>
        <v>147.8599999999999</v>
      </c>
      <c r="N166" s="161">
        <f t="shared" si="314"/>
        <v>207.92000000000013</v>
      </c>
      <c r="O166" s="161">
        <f t="shared" si="314"/>
        <v>188.43</v>
      </c>
      <c r="P166" s="161">
        <f t="shared" si="314"/>
        <v>209.11000000000007</v>
      </c>
      <c r="Q166" s="161">
        <f t="shared" si="314"/>
        <v>225.92999999999984</v>
      </c>
      <c r="R166" s="161">
        <f t="shared" si="314"/>
        <v>173.62</v>
      </c>
      <c r="S166" s="161">
        <f t="shared" si="314"/>
        <v>124.70000000000027</v>
      </c>
      <c r="T166" s="161">
        <f t="shared" si="314"/>
        <v>159.23000000000002</v>
      </c>
      <c r="U166" s="161">
        <f t="shared" si="314"/>
        <v>161.52999999999997</v>
      </c>
      <c r="V166" s="161">
        <f t="shared" si="314"/>
        <v>122.14000000000016</v>
      </c>
      <c r="W166" s="161">
        <f t="shared" si="314"/>
        <v>307.38000000000022</v>
      </c>
      <c r="X166" s="161">
        <f t="shared" si="314"/>
        <v>301.57000000000005</v>
      </c>
      <c r="Y166" s="161">
        <f t="shared" si="314"/>
        <v>215.4799999999999</v>
      </c>
      <c r="Z166" s="161">
        <f t="shared" si="314"/>
        <v>243.03999999999974</v>
      </c>
      <c r="AA166" s="161">
        <f t="shared" ref="AA166" si="315">+AA82</f>
        <v>303.60000000000014</v>
      </c>
      <c r="AB166" s="21">
        <f t="shared" si="314"/>
        <v>452.12181483485756</v>
      </c>
      <c r="AC166" s="21">
        <f t="shared" si="314"/>
        <v>509.31883451709177</v>
      </c>
      <c r="AD166" s="21">
        <f t="shared" si="314"/>
        <v>520.84403167533037</v>
      </c>
      <c r="AE166" s="21">
        <f t="shared" si="314"/>
        <v>523.84110314753912</v>
      </c>
      <c r="AL166" s="161">
        <f t="shared" ref="AL166:BQ166" si="316">+SUM(AI82:AL82)</f>
        <v>214.45</v>
      </c>
      <c r="AM166" s="161">
        <f t="shared" si="316"/>
        <v>208.70000000000007</v>
      </c>
      <c r="AN166" s="161">
        <f t="shared" si="316"/>
        <v>198.08999999999997</v>
      </c>
      <c r="AO166" s="161">
        <f t="shared" si="316"/>
        <v>195.15</v>
      </c>
      <c r="AP166" s="161">
        <f t="shared" si="316"/>
        <v>195.74000000000004</v>
      </c>
      <c r="AQ166" s="161">
        <f t="shared" si="316"/>
        <v>200.46</v>
      </c>
      <c r="AR166" s="161">
        <f t="shared" si="316"/>
        <v>203.92000000000007</v>
      </c>
      <c r="AS166" s="161">
        <f t="shared" si="316"/>
        <v>208.77000000000004</v>
      </c>
      <c r="AT166" s="161">
        <f t="shared" si="316"/>
        <v>217.39</v>
      </c>
      <c r="AU166" s="161">
        <f t="shared" si="316"/>
        <v>228.38</v>
      </c>
      <c r="AV166" s="161">
        <f t="shared" si="316"/>
        <v>236.42000000000002</v>
      </c>
      <c r="AW166" s="161">
        <f t="shared" si="316"/>
        <v>238.56000000000012</v>
      </c>
      <c r="AX166" s="161">
        <f t="shared" si="316"/>
        <v>231.6100000000001</v>
      </c>
      <c r="AY166" s="161">
        <f t="shared" si="316"/>
        <v>224.18000000000012</v>
      </c>
      <c r="AZ166" s="161">
        <f t="shared" si="316"/>
        <v>212.23000000000013</v>
      </c>
      <c r="BA166" s="161">
        <f t="shared" si="316"/>
        <v>193.2600000000001</v>
      </c>
      <c r="BB166" s="161">
        <f t="shared" si="316"/>
        <v>175.78000000000006</v>
      </c>
      <c r="BC166" s="161">
        <f t="shared" si="316"/>
        <v>150</v>
      </c>
      <c r="BD166" s="161">
        <f t="shared" si="316"/>
        <v>133.01999999999995</v>
      </c>
      <c r="BE166" s="161">
        <f t="shared" si="316"/>
        <v>127.02999999999989</v>
      </c>
      <c r="BF166" s="161">
        <f t="shared" si="316"/>
        <v>127.28999999999994</v>
      </c>
      <c r="BG166" s="161">
        <f t="shared" si="316"/>
        <v>139.0199999999999</v>
      </c>
      <c r="BH166" s="161">
        <f t="shared" si="316"/>
        <v>153.49999999999997</v>
      </c>
      <c r="BI166" s="161">
        <f t="shared" si="316"/>
        <v>156.29</v>
      </c>
      <c r="BJ166" s="161">
        <f t="shared" si="316"/>
        <v>159.22999999999999</v>
      </c>
      <c r="BK166" s="161">
        <f t="shared" si="316"/>
        <v>155.57</v>
      </c>
      <c r="BL166" s="161">
        <f t="shared" si="316"/>
        <v>147.84999999999997</v>
      </c>
      <c r="BM166" s="161">
        <f t="shared" si="316"/>
        <v>156.38999999999996</v>
      </c>
      <c r="BN166" s="161">
        <f t="shared" si="316"/>
        <v>161.52999999999994</v>
      </c>
      <c r="BO166" s="161">
        <f t="shared" si="316"/>
        <v>108.19999999999995</v>
      </c>
      <c r="BP166" s="161">
        <f t="shared" si="316"/>
        <v>92.269999999999939</v>
      </c>
      <c r="BQ166" s="161">
        <f t="shared" si="316"/>
        <v>92.34999999999998</v>
      </c>
      <c r="BR166" s="161">
        <f t="shared" ref="BR166:CW166" si="317">+SUM(BO82:BR82)</f>
        <v>122.14</v>
      </c>
      <c r="BS166" s="161">
        <f t="shared" si="317"/>
        <v>187.86</v>
      </c>
      <c r="BT166" s="161">
        <f t="shared" si="317"/>
        <v>237.70999999999992</v>
      </c>
      <c r="BU166" s="161">
        <f t="shared" si="317"/>
        <v>273.05999999999995</v>
      </c>
      <c r="BV166" s="161">
        <f t="shared" si="317"/>
        <v>307.38</v>
      </c>
      <c r="BW166" s="161">
        <f t="shared" si="317"/>
        <v>351.4</v>
      </c>
      <c r="BX166" s="161">
        <f t="shared" si="317"/>
        <v>356.60000000000008</v>
      </c>
      <c r="BY166" s="161">
        <f t="shared" si="317"/>
        <v>338.31000000000006</v>
      </c>
      <c r="BZ166" s="161">
        <f t="shared" si="317"/>
        <v>301.57</v>
      </c>
      <c r="CA166" s="161">
        <f t="shared" si="317"/>
        <v>262.27000000000004</v>
      </c>
      <c r="CB166" s="161">
        <f t="shared" si="317"/>
        <v>230.1</v>
      </c>
      <c r="CC166" s="161">
        <f t="shared" si="317"/>
        <v>219.68</v>
      </c>
      <c r="CD166" s="161">
        <f t="shared" si="317"/>
        <v>215.48</v>
      </c>
      <c r="CE166" s="161">
        <f t="shared" si="317"/>
        <v>228.94999999999996</v>
      </c>
      <c r="CF166" s="161">
        <f t="shared" si="317"/>
        <v>238.08000000000004</v>
      </c>
      <c r="CG166" s="161">
        <f t="shared" si="317"/>
        <v>253.62999999999997</v>
      </c>
      <c r="CH166" s="161">
        <f t="shared" si="317"/>
        <v>244.64</v>
      </c>
      <c r="CI166" s="161">
        <f t="shared" si="317"/>
        <v>234.95000000000002</v>
      </c>
      <c r="CJ166" s="161">
        <f t="shared" si="317"/>
        <v>256.25999999999988</v>
      </c>
      <c r="CK166" s="161">
        <f t="shared" si="317"/>
        <v>276.64999999999992</v>
      </c>
      <c r="CL166" s="161">
        <f t="shared" si="317"/>
        <v>320.72999999999985</v>
      </c>
      <c r="CM166" s="21">
        <f t="shared" si="317"/>
        <v>366.44542979784569</v>
      </c>
      <c r="CN166" s="21">
        <f t="shared" si="317"/>
        <v>401.32620585669412</v>
      </c>
      <c r="CO166" s="21">
        <f t="shared" si="317"/>
        <v>433.6348667805986</v>
      </c>
      <c r="CP166" s="21">
        <f t="shared" si="317"/>
        <v>452.12181483485773</v>
      </c>
      <c r="CQ166" s="21">
        <f t="shared" si="317"/>
        <v>469.69359356831472</v>
      </c>
      <c r="CR166" s="21">
        <f t="shared" si="317"/>
        <v>483.98123498358757</v>
      </c>
      <c r="CS166" s="21">
        <f t="shared" si="317"/>
        <v>497.04557969424525</v>
      </c>
      <c r="CT166" s="21">
        <f t="shared" si="317"/>
        <v>509.31883451709103</v>
      </c>
      <c r="CU166" s="21">
        <f t="shared" si="317"/>
        <v>517.29490747270449</v>
      </c>
      <c r="CV166" s="21">
        <f t="shared" si="317"/>
        <v>521.37608594532412</v>
      </c>
      <c r="CW166" s="21">
        <f t="shared" si="317"/>
        <v>522.4455166311426</v>
      </c>
      <c r="CX166" s="21">
        <f>+SUM(CU82:CX82)</f>
        <v>520.84403167533014</v>
      </c>
      <c r="CY166" s="21">
        <f>+SUM(CV82:CY82)</f>
        <v>522.48676333253502</v>
      </c>
      <c r="CZ166" s="21">
        <f>+SUM(CW82:CZ82)</f>
        <v>523.24559430319005</v>
      </c>
      <c r="DA166" s="21">
        <f>+SUM(CX82:DA82)</f>
        <v>523.56191538195571</v>
      </c>
      <c r="DB166" s="21">
        <f>+SUM(CY82:DB82)</f>
        <v>523.84110314753912</v>
      </c>
      <c r="DE166" s="22"/>
      <c r="DF166" s="161">
        <v>290.94788567620975</v>
      </c>
    </row>
    <row r="167" spans="1:110" s="161" customFormat="1" x14ac:dyDescent="0.2">
      <c r="A167" s="49" t="s">
        <v>342</v>
      </c>
      <c r="B167" s="161">
        <f>+B164/B166</f>
        <v>4.4379919378253421</v>
      </c>
      <c r="C167" s="161">
        <f t="shared" ref="C167:W167" si="318">+C164/C166</f>
        <v>3.9741113045183996</v>
      </c>
      <c r="D167" s="161">
        <f t="shared" si="318"/>
        <v>4.705754668047117</v>
      </c>
      <c r="E167" s="161" t="e">
        <f t="shared" ca="1" si="318"/>
        <v>#DIV/0!</v>
      </c>
      <c r="F167" s="161" t="e">
        <f t="shared" ca="1" si="318"/>
        <v>#DIV/0!</v>
      </c>
      <c r="G167" s="161" t="e">
        <f t="shared" ca="1" si="318"/>
        <v>#DIV/0!</v>
      </c>
      <c r="H167" s="161" t="e">
        <f t="shared" ca="1" si="318"/>
        <v>#DIV/0!</v>
      </c>
      <c r="I167" s="161" t="e">
        <f t="shared" ca="1" si="318"/>
        <v>#DIV/0!</v>
      </c>
      <c r="J167" s="161" t="e">
        <f t="shared" ca="1" si="318"/>
        <v>#DIV/0!</v>
      </c>
      <c r="K167" s="161" t="e">
        <f t="shared" ca="1" si="318"/>
        <v>#DIV/0!</v>
      </c>
      <c r="L167" s="161" t="e">
        <f t="shared" ca="1" si="318"/>
        <v>#DIV/0!</v>
      </c>
      <c r="M167" s="161" t="e">
        <f t="shared" ca="1" si="318"/>
        <v>#DIV/0!</v>
      </c>
      <c r="N167" s="161" t="e">
        <f t="shared" ca="1" si="318"/>
        <v>#DIV/0!</v>
      </c>
      <c r="O167" s="161" t="e">
        <f t="shared" ca="1" si="318"/>
        <v>#DIV/0!</v>
      </c>
      <c r="P167" s="161" t="e">
        <f t="shared" ca="1" si="318"/>
        <v>#DIV/0!</v>
      </c>
      <c r="Q167" s="161" t="e">
        <f t="shared" ca="1" si="318"/>
        <v>#DIV/0!</v>
      </c>
      <c r="R167" s="161" t="e">
        <f t="shared" ca="1" si="318"/>
        <v>#DIV/0!</v>
      </c>
      <c r="S167" s="161" t="e">
        <f t="shared" ca="1" si="318"/>
        <v>#DIV/0!</v>
      </c>
      <c r="T167" s="161" t="e">
        <f t="shared" ca="1" si="318"/>
        <v>#DIV/0!</v>
      </c>
      <c r="U167" s="161" t="e">
        <f t="shared" ca="1" si="318"/>
        <v>#DIV/0!</v>
      </c>
      <c r="V167" s="161" t="e">
        <f t="shared" ca="1" si="318"/>
        <v>#DIV/0!</v>
      </c>
      <c r="W167" s="161" t="e">
        <f t="shared" ca="1" si="318"/>
        <v>#DIV/0!</v>
      </c>
      <c r="X167" s="161" t="e">
        <f t="shared" ref="X167:AE167" ca="1" si="319">+X164/X166</f>
        <v>#DIV/0!</v>
      </c>
      <c r="Y167" s="161" t="e">
        <f t="shared" ca="1" si="319"/>
        <v>#DIV/0!</v>
      </c>
      <c r="Z167" s="161" t="e">
        <f t="shared" ca="1" si="319"/>
        <v>#DIV/0!</v>
      </c>
      <c r="AA167" s="161" t="e">
        <f t="shared" ref="AA167" ca="1" si="320">+AA164/AA166</f>
        <v>#DIV/0!</v>
      </c>
      <c r="AB167" s="21" t="e">
        <f t="shared" ca="1" si="319"/>
        <v>#DIV/0!</v>
      </c>
      <c r="AC167" s="21" t="e">
        <f t="shared" ca="1" si="319"/>
        <v>#DIV/0!</v>
      </c>
      <c r="AD167" s="21" t="e">
        <f t="shared" ca="1" si="319"/>
        <v>#DIV/0!</v>
      </c>
      <c r="AE167" s="21" t="e">
        <f t="shared" ca="1" si="319"/>
        <v>#DIV/0!</v>
      </c>
      <c r="AL167" s="161">
        <f>+AL164/AL166</f>
        <v>3.9517778036838433</v>
      </c>
      <c r="AM167" s="161">
        <f>+AM164/AM166</f>
        <v>3.9456374672308239</v>
      </c>
      <c r="AN167" s="161">
        <f>+AN164/AN166</f>
        <v>3.6891312029885408</v>
      </c>
      <c r="AO167" s="161">
        <f>+AO164/AO166</f>
        <v>3.5959307333821844</v>
      </c>
      <c r="AP167" s="161">
        <f t="shared" ref="AP167:CD167" si="321">+AP164/AP166</f>
        <v>3.7039312353121483</v>
      </c>
      <c r="AQ167" s="161">
        <f t="shared" si="321"/>
        <v>3.9162968798921503</v>
      </c>
      <c r="AR167" s="161">
        <f t="shared" si="321"/>
        <v>4.6118453315025487</v>
      </c>
      <c r="AS167" s="161">
        <f t="shared" si="321"/>
        <v>4.5588268561952097</v>
      </c>
      <c r="AT167" s="161">
        <f t="shared" si="321"/>
        <v>4.9265720594323579</v>
      </c>
      <c r="AU167" s="161">
        <f t="shared" si="321"/>
        <v>5.6262021654195875</v>
      </c>
      <c r="AV167" s="161">
        <f t="shared" si="321"/>
        <v>8.0968615176381018</v>
      </c>
      <c r="AW167" s="161">
        <f t="shared" si="321"/>
        <v>8.705150242552179</v>
      </c>
      <c r="AX167" s="161">
        <f t="shared" si="321"/>
        <v>9.4435905185441005</v>
      </c>
      <c r="AY167" s="161">
        <f t="shared" si="321"/>
        <v>9.4673636214240791</v>
      </c>
      <c r="AZ167" s="161">
        <f t="shared" si="321"/>
        <v>9.5532205625971773</v>
      </c>
      <c r="BA167" s="161">
        <f t="shared" si="321"/>
        <v>11.076188450791674</v>
      </c>
      <c r="BB167" s="161">
        <f t="shared" si="321"/>
        <v>12.353182955967684</v>
      </c>
      <c r="BC167" s="161">
        <f t="shared" si="321"/>
        <v>15.108600176688203</v>
      </c>
      <c r="BD167" s="161">
        <f t="shared" si="321"/>
        <v>16.040106750864535</v>
      </c>
      <c r="BE167" s="161">
        <f t="shared" si="321"/>
        <v>14.429269830337544</v>
      </c>
      <c r="BF167" s="161">
        <f t="shared" si="321"/>
        <v>13.906591248330592</v>
      </c>
      <c r="BG167" s="161">
        <f t="shared" si="321"/>
        <v>10.634029886086353</v>
      </c>
      <c r="BH167" s="161">
        <f t="shared" si="321"/>
        <v>7.6404234527687303</v>
      </c>
      <c r="BI167" s="161">
        <f t="shared" si="321"/>
        <v>6.8698536432926023</v>
      </c>
      <c r="BJ167" s="161">
        <f t="shared" si="321"/>
        <v>6.6327482258368411</v>
      </c>
      <c r="BK167" s="161">
        <f t="shared" si="321"/>
        <v>6.1507983903629961</v>
      </c>
      <c r="BL167" s="161">
        <f t="shared" si="321"/>
        <v>5.8244335475143743</v>
      </c>
      <c r="BM167" s="161">
        <f t="shared" si="321"/>
        <v>5.5860670869699032</v>
      </c>
      <c r="BN167" s="161">
        <f t="shared" si="321"/>
        <v>5.6739073237169588</v>
      </c>
      <c r="BO167" s="161">
        <f t="shared" si="321"/>
        <v>4.5829834907451987</v>
      </c>
      <c r="BP167" s="161">
        <f t="shared" si="321"/>
        <v>9.2892055922835226</v>
      </c>
      <c r="BQ167" s="161">
        <f t="shared" si="321"/>
        <v>12.369287738329684</v>
      </c>
      <c r="BR167" s="161">
        <f t="shared" si="321"/>
        <v>8.3926129850990669</v>
      </c>
      <c r="BS167" s="161">
        <f t="shared" si="321"/>
        <v>5.1795037181594052</v>
      </c>
      <c r="BT167" s="161">
        <f t="shared" si="321"/>
        <v>6.1296748138488093</v>
      </c>
      <c r="BU167" s="161">
        <f t="shared" si="321"/>
        <v>8.5304611130521906</v>
      </c>
      <c r="BV167" s="161">
        <f t="shared" si="321"/>
        <v>8.8228739670765837</v>
      </c>
      <c r="BW167" s="161">
        <f t="shared" si="321"/>
        <v>7.4743445717128596</v>
      </c>
      <c r="BX167" s="161">
        <f t="shared" si="321"/>
        <v>7.1574277902411643</v>
      </c>
      <c r="BY167" s="161">
        <f t="shared" si="321"/>
        <v>6.2698373160145175</v>
      </c>
      <c r="BZ167" s="161">
        <f t="shared" si="321"/>
        <v>6.8483270882382206</v>
      </c>
      <c r="CA167" s="161">
        <f t="shared" si="321"/>
        <v>9.5231395803194907</v>
      </c>
      <c r="CB167" s="161">
        <f t="shared" si="321"/>
        <v>12.510614950021731</v>
      </c>
      <c r="CC167" s="161">
        <f t="shared" si="321"/>
        <v>14.458498647444022</v>
      </c>
      <c r="CD167" s="161">
        <f t="shared" si="321"/>
        <v>19.390012994245406</v>
      </c>
      <c r="CE167" s="161">
        <f t="shared" ref="CE167:CL167" si="322">+CE164/CE166</f>
        <v>15.031092903835692</v>
      </c>
      <c r="CF167" s="161">
        <f t="shared" si="322"/>
        <v>15.46662886424731</v>
      </c>
      <c r="CG167" s="161">
        <f t="shared" si="322"/>
        <v>14.285253939167609</v>
      </c>
      <c r="CH167" s="161">
        <f t="shared" si="322"/>
        <v>13.408416448659258</v>
      </c>
      <c r="CI167" s="161">
        <f t="shared" si="322"/>
        <v>15.263036221208569</v>
      </c>
      <c r="CJ167" s="161">
        <f t="shared" si="322"/>
        <v>14.103156949972691</v>
      </c>
      <c r="CK167" s="161">
        <f t="shared" si="322"/>
        <v>13.102486294309106</v>
      </c>
      <c r="CL167" s="161">
        <f t="shared" si="322"/>
        <v>11.581649674180783</v>
      </c>
      <c r="CM167" s="21">
        <f t="shared" ref="CM167:DB167" si="323">+CM164/CM166</f>
        <v>12.835553679558714</v>
      </c>
      <c r="CN167" s="21">
        <f t="shared" si="323"/>
        <v>12.874529782824464</v>
      </c>
      <c r="CO167" s="21">
        <f t="shared" si="323"/>
        <v>13.234008786108198</v>
      </c>
      <c r="CP167" s="21">
        <f t="shared" si="323"/>
        <v>13.60693562511625</v>
      </c>
      <c r="CQ167" s="21">
        <f t="shared" si="323"/>
        <v>13.831376863029812</v>
      </c>
      <c r="CR167" s="21">
        <f t="shared" si="323"/>
        <v>14.167856377224158</v>
      </c>
      <c r="CS167" s="21">
        <f t="shared" si="323"/>
        <v>14.471744093556818</v>
      </c>
      <c r="CT167" s="21">
        <f t="shared" si="323"/>
        <v>14.842098010822973</v>
      </c>
      <c r="CU167" s="21">
        <f t="shared" si="323"/>
        <v>15.255847853849502</v>
      </c>
      <c r="CV167" s="21">
        <f t="shared" si="323"/>
        <v>15.631917814323714</v>
      </c>
      <c r="CW167" s="21">
        <f t="shared" si="323"/>
        <v>15.978208041628573</v>
      </c>
      <c r="CX167" s="21">
        <f t="shared" si="323"/>
        <v>16.30160764160938</v>
      </c>
      <c r="CY167" s="21">
        <f t="shared" si="323"/>
        <v>16.679244569583116</v>
      </c>
      <c r="CZ167" s="21">
        <f t="shared" si="323"/>
        <v>17.047738916641638</v>
      </c>
      <c r="DA167" s="21">
        <f t="shared" si="323"/>
        <v>17.413039077602214</v>
      </c>
      <c r="DB167" s="21">
        <f t="shared" si="323"/>
        <v>17.783110554068337</v>
      </c>
      <c r="DE167" s="22"/>
      <c r="DF167" s="161">
        <v>12.806322311499651</v>
      </c>
    </row>
    <row r="168" spans="1:110" s="161" customFormat="1" x14ac:dyDescent="0.2">
      <c r="A168" s="49" t="s">
        <v>343</v>
      </c>
      <c r="B168" s="161">
        <f>+B165/B166</f>
        <v>3.4696982900152178</v>
      </c>
      <c r="C168" s="161">
        <f t="shared" ref="C168:W168" si="324">+C165/C166</f>
        <v>3.5537926299749554</v>
      </c>
      <c r="D168" s="161">
        <f t="shared" si="324"/>
        <v>3.9987179603435998</v>
      </c>
      <c r="E168" s="161" t="e">
        <f t="shared" ca="1" si="324"/>
        <v>#DIV/0!</v>
      </c>
      <c r="F168" s="161" t="e">
        <f t="shared" ca="1" si="324"/>
        <v>#DIV/0!</v>
      </c>
      <c r="G168" s="161" t="e">
        <f t="shared" ca="1" si="324"/>
        <v>#DIV/0!</v>
      </c>
      <c r="H168" s="161" t="e">
        <f t="shared" ca="1" si="324"/>
        <v>#DIV/0!</v>
      </c>
      <c r="I168" s="161" t="e">
        <f t="shared" ca="1" si="324"/>
        <v>#DIV/0!</v>
      </c>
      <c r="J168" s="161" t="e">
        <f t="shared" ca="1" si="324"/>
        <v>#DIV/0!</v>
      </c>
      <c r="K168" s="161" t="e">
        <f t="shared" ca="1" si="324"/>
        <v>#DIV/0!</v>
      </c>
      <c r="L168" s="161" t="e">
        <f t="shared" ca="1" si="324"/>
        <v>#DIV/0!</v>
      </c>
      <c r="M168" s="161" t="e">
        <f t="shared" ca="1" si="324"/>
        <v>#DIV/0!</v>
      </c>
      <c r="N168" s="161" t="e">
        <f t="shared" ca="1" si="324"/>
        <v>#DIV/0!</v>
      </c>
      <c r="O168" s="161" t="e">
        <f t="shared" ca="1" si="324"/>
        <v>#DIV/0!</v>
      </c>
      <c r="P168" s="161" t="e">
        <f t="shared" ca="1" si="324"/>
        <v>#DIV/0!</v>
      </c>
      <c r="Q168" s="161" t="e">
        <f t="shared" ca="1" si="324"/>
        <v>#DIV/0!</v>
      </c>
      <c r="R168" s="161" t="e">
        <f t="shared" ca="1" si="324"/>
        <v>#DIV/0!</v>
      </c>
      <c r="S168" s="161" t="e">
        <f t="shared" ca="1" si="324"/>
        <v>#DIV/0!</v>
      </c>
      <c r="T168" s="161" t="e">
        <f t="shared" ca="1" si="324"/>
        <v>#DIV/0!</v>
      </c>
      <c r="U168" s="161" t="e">
        <f t="shared" ca="1" si="324"/>
        <v>#DIV/0!</v>
      </c>
      <c r="V168" s="161" t="e">
        <f t="shared" ca="1" si="324"/>
        <v>#DIV/0!</v>
      </c>
      <c r="W168" s="161" t="e">
        <f t="shared" ca="1" si="324"/>
        <v>#DIV/0!</v>
      </c>
      <c r="X168" s="161" t="e">
        <f t="shared" ref="X168:AE168" ca="1" si="325">+X165/X166</f>
        <v>#DIV/0!</v>
      </c>
      <c r="Y168" s="161" t="e">
        <f t="shared" ca="1" si="325"/>
        <v>#DIV/0!</v>
      </c>
      <c r="Z168" s="161" t="e">
        <f t="shared" ca="1" si="325"/>
        <v>#DIV/0!</v>
      </c>
      <c r="AA168" s="161" t="e">
        <f t="shared" ref="AA168" ca="1" si="326">+AA165/AA166</f>
        <v>#DIV/0!</v>
      </c>
      <c r="AB168" s="21" t="e">
        <f t="shared" ca="1" si="325"/>
        <v>#DIV/0!</v>
      </c>
      <c r="AC168" s="21" t="e">
        <f t="shared" ca="1" si="325"/>
        <v>#DIV/0!</v>
      </c>
      <c r="AD168" s="21" t="e">
        <f t="shared" ca="1" si="325"/>
        <v>#DIV/0!</v>
      </c>
      <c r="AE168" s="21" t="e">
        <f t="shared" ca="1" si="325"/>
        <v>#DIV/0!</v>
      </c>
      <c r="AL168" s="161">
        <f>+AL165/AL166</f>
        <v>3.3671485194684085</v>
      </c>
      <c r="AM168" s="161">
        <f>+AM165/AM166</f>
        <v>3.5002014346481696</v>
      </c>
      <c r="AN168" s="161">
        <f>+AN165/AN166</f>
        <v>3.2934019889949018</v>
      </c>
      <c r="AO168" s="161">
        <f>+AO165/AO166</f>
        <v>3.316549488186181</v>
      </c>
      <c r="AP168" s="161">
        <f t="shared" ref="AP168:CD168" si="327">+AP165/AP166</f>
        <v>3.3291228159803818</v>
      </c>
      <c r="AQ168" s="161">
        <f t="shared" si="327"/>
        <v>3.2808396814485707</v>
      </c>
      <c r="AR168" s="161">
        <f t="shared" si="327"/>
        <v>3.7345895449195754</v>
      </c>
      <c r="AS168" s="161">
        <f t="shared" si="327"/>
        <v>3.9715298307605216</v>
      </c>
      <c r="AT168" s="161">
        <f t="shared" si="327"/>
        <v>4.0135240811444879</v>
      </c>
      <c r="AU168" s="161">
        <f t="shared" si="327"/>
        <v>3.8461754555500716</v>
      </c>
      <c r="AV168" s="161">
        <f t="shared" si="327"/>
        <v>5.3762795025801537</v>
      </c>
      <c r="AW168" s="161">
        <f t="shared" si="327"/>
        <v>6.921039327059221</v>
      </c>
      <c r="AX168" s="161">
        <f t="shared" si="327"/>
        <v>7.6753702344458326</v>
      </c>
      <c r="AY168" s="161">
        <f t="shared" si="327"/>
        <v>8.1516017336553244</v>
      </c>
      <c r="AZ168" s="161">
        <f t="shared" si="327"/>
        <v>8.6546729962776183</v>
      </c>
      <c r="BA168" s="161">
        <f t="shared" si="327"/>
        <v>8.476064265755971</v>
      </c>
      <c r="BB168" s="161">
        <f t="shared" si="327"/>
        <v>10.394982364319032</v>
      </c>
      <c r="BC168" s="161">
        <f t="shared" si="327"/>
        <v>12.6296001766882</v>
      </c>
      <c r="BD168" s="161">
        <f t="shared" si="327"/>
        <v>12.052821004360252</v>
      </c>
      <c r="BE168" s="161">
        <f t="shared" si="327"/>
        <v>12.585886377609839</v>
      </c>
      <c r="BF168" s="161">
        <f t="shared" si="327"/>
        <v>10.282622358394223</v>
      </c>
      <c r="BG168" s="161">
        <f t="shared" si="327"/>
        <v>8.318886381554627</v>
      </c>
      <c r="BH168" s="161">
        <f t="shared" si="327"/>
        <v>6.3440716612377868</v>
      </c>
      <c r="BI168" s="161">
        <f t="shared" si="327"/>
        <v>5.7927693768648068</v>
      </c>
      <c r="BJ168" s="161">
        <f t="shared" si="327"/>
        <v>5.7112510205363325</v>
      </c>
      <c r="BK168" s="161">
        <f t="shared" si="327"/>
        <v>5.5209372346131733</v>
      </c>
      <c r="BL168" s="161">
        <f t="shared" si="327"/>
        <v>4.996846466012852</v>
      </c>
      <c r="BM168" s="161">
        <f t="shared" si="327"/>
        <v>4.471114084859793</v>
      </c>
      <c r="BN168" s="161">
        <f t="shared" si="327"/>
        <v>4.6830929239150638</v>
      </c>
      <c r="BO168" s="161">
        <f t="shared" si="327"/>
        <v>3.6332492023903002</v>
      </c>
      <c r="BP168" s="161">
        <f t="shared" si="327"/>
        <v>8.13465915248727</v>
      </c>
      <c r="BQ168" s="161">
        <f t="shared" si="327"/>
        <v>10.304331051811003</v>
      </c>
      <c r="BR168" s="161">
        <f t="shared" si="327"/>
        <v>7.0184931226461433</v>
      </c>
      <c r="BS168" s="161">
        <f t="shared" si="327"/>
        <v>4.0814719391750547</v>
      </c>
      <c r="BT168" s="161">
        <f t="shared" si="327"/>
        <v>4.6034243405830644</v>
      </c>
      <c r="BU168" s="161">
        <f t="shared" si="327"/>
        <v>5.0845838333334461</v>
      </c>
      <c r="BV168" s="161">
        <f t="shared" si="327"/>
        <v>6.1066798425401787</v>
      </c>
      <c r="BW168" s="161">
        <f t="shared" si="327"/>
        <v>4.8288551010241854</v>
      </c>
      <c r="BX168" s="161">
        <f t="shared" si="327"/>
        <v>5.6376682557487365</v>
      </c>
      <c r="BY168" s="161">
        <f t="shared" si="327"/>
        <v>5.0251357109777164</v>
      </c>
      <c r="BZ168" s="161">
        <f t="shared" si="327"/>
        <v>5.6985940246045699</v>
      </c>
      <c r="CA168" s="161">
        <f t="shared" si="327"/>
        <v>7.1090243555511226</v>
      </c>
      <c r="CB168" s="161">
        <f t="shared" si="327"/>
        <v>10.26017492394611</v>
      </c>
      <c r="CC168" s="161">
        <f t="shared" si="327"/>
        <v>10.330852753416346</v>
      </c>
      <c r="CD168" s="161">
        <f t="shared" si="327"/>
        <v>13.158901058102844</v>
      </c>
      <c r="CE168" s="161">
        <f t="shared" ref="CE168:CL168" si="328">+CE165/CE166</f>
        <v>11.406376808618395</v>
      </c>
      <c r="CF168" s="161">
        <f t="shared" si="328"/>
        <v>12.568726898521504</v>
      </c>
      <c r="CG168" s="161">
        <f t="shared" si="328"/>
        <v>11.926596643106418</v>
      </c>
      <c r="CH168" s="161">
        <f t="shared" si="328"/>
        <v>10.168170577174626</v>
      </c>
      <c r="CI168" s="161">
        <f t="shared" si="328"/>
        <v>12.169330113526085</v>
      </c>
      <c r="CJ168" s="161">
        <f t="shared" si="328"/>
        <v>11.238283384063067</v>
      </c>
      <c r="CK168" s="161">
        <f t="shared" si="328"/>
        <v>11.113556238281634</v>
      </c>
      <c r="CL168" s="161">
        <f t="shared" si="328"/>
        <v>9.8151521529011987</v>
      </c>
      <c r="CM168" s="21">
        <f t="shared" ref="CM168:DB168" si="329">+CM165/CM166</f>
        <v>10.73138585141564</v>
      </c>
      <c r="CN168" s="21">
        <f t="shared" si="329"/>
        <v>10.695450804089738</v>
      </c>
      <c r="CO168" s="21">
        <f t="shared" si="329"/>
        <v>10.923301318034513</v>
      </c>
      <c r="CP168" s="21">
        <f t="shared" si="329"/>
        <v>11.183722813472217</v>
      </c>
      <c r="CQ168" s="21">
        <f t="shared" si="329"/>
        <v>11.314073510645818</v>
      </c>
      <c r="CR168" s="21">
        <f t="shared" si="329"/>
        <v>11.536274399715669</v>
      </c>
      <c r="CS168" s="21">
        <f t="shared" si="329"/>
        <v>11.728649690861488</v>
      </c>
      <c r="CT168" s="21">
        <f t="shared" si="329"/>
        <v>11.973531047716444</v>
      </c>
      <c r="CU168" s="21">
        <f t="shared" si="329"/>
        <v>12.255985803721812</v>
      </c>
      <c r="CV168" s="21">
        <f t="shared" si="329"/>
        <v>12.51075599211879</v>
      </c>
      <c r="CW168" s="21">
        <f t="shared" si="329"/>
        <v>12.742938588511111</v>
      </c>
      <c r="CX168" s="21">
        <f t="shared" si="329"/>
        <v>12.957312589110279</v>
      </c>
      <c r="CY168" s="21">
        <f t="shared" si="329"/>
        <v>13.21255620141574</v>
      </c>
      <c r="CZ168" s="21">
        <f t="shared" si="329"/>
        <v>13.460038257923724</v>
      </c>
      <c r="DA168" s="21">
        <f t="shared" si="329"/>
        <v>13.70423992510851</v>
      </c>
      <c r="DB168" s="21">
        <f t="shared" si="329"/>
        <v>13.951330552863805</v>
      </c>
      <c r="DE168" s="22"/>
      <c r="DF168" s="161">
        <v>10.859001922203117</v>
      </c>
    </row>
    <row r="169" spans="1:110" s="10" customFormat="1" x14ac:dyDescent="0.2">
      <c r="A169" s="149" t="s">
        <v>489</v>
      </c>
      <c r="AB169" s="20"/>
      <c r="AC169" s="20"/>
      <c r="AD169" s="20"/>
      <c r="AE169" s="20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E169" s="126"/>
    </row>
    <row r="170" spans="1:110" x14ac:dyDescent="0.2">
      <c r="A170" s="152" t="s">
        <v>490</v>
      </c>
      <c r="AA170" s="2"/>
      <c r="CL170" s="2"/>
      <c r="CM170" s="195">
        <v>22.5</v>
      </c>
      <c r="CQ170" s="195">
        <v>32.25</v>
      </c>
      <c r="CU170" s="195">
        <v>36</v>
      </c>
      <c r="CY170" s="195">
        <v>36</v>
      </c>
    </row>
    <row r="171" spans="1:110" s="23" customFormat="1" outlineLevel="1" x14ac:dyDescent="0.2">
      <c r="A171" s="23" t="s">
        <v>40</v>
      </c>
      <c r="B171" s="23">
        <f>'Annual Raw'!C41</f>
        <v>20.4359</v>
      </c>
      <c r="C171" s="23">
        <f>'Annual Raw'!D41</f>
        <v>21.635899999999999</v>
      </c>
      <c r="D171" s="23">
        <f>'Annual Raw'!E41</f>
        <v>21.635899999999999</v>
      </c>
      <c r="E171" s="23">
        <f>'Annual Raw'!F41</f>
        <v>29.850452000000001</v>
      </c>
      <c r="F171" s="23">
        <f>'Annual Raw'!G41</f>
        <v>29.850452000000001</v>
      </c>
      <c r="G171" s="23">
        <f>'Annual Raw'!H41</f>
        <v>33.329230000000003</v>
      </c>
      <c r="H171" s="23">
        <f>'Annual Raw'!I41</f>
        <v>39.421559000000002</v>
      </c>
      <c r="I171" s="23">
        <f>'Annual Raw'!J41</f>
        <v>39.421559000000002</v>
      </c>
      <c r="J171" s="23">
        <f>'Annual Raw'!K41</f>
        <v>39.421559000000002</v>
      </c>
      <c r="K171" s="23">
        <f>'Annual Raw'!L41</f>
        <v>39.421559000000002</v>
      </c>
      <c r="L171" s="23">
        <f>'Annual Raw'!M41</f>
        <v>39.42</v>
      </c>
      <c r="M171" s="23">
        <f>'Annual Raw'!N41</f>
        <v>39.42</v>
      </c>
      <c r="N171" s="23">
        <f>'Annual Raw'!O41</f>
        <v>39.42</v>
      </c>
      <c r="O171" s="23">
        <f>'Annual Raw'!P41</f>
        <v>39.42</v>
      </c>
      <c r="P171" s="23">
        <f>'Annual Raw'!Q41</f>
        <v>39.42</v>
      </c>
      <c r="Q171" s="23">
        <f>'Annual Raw'!R41</f>
        <v>39.42</v>
      </c>
      <c r="R171" s="23">
        <f>'Annual Raw'!S41</f>
        <v>39.42</v>
      </c>
      <c r="S171" s="23">
        <f>'Annual Raw'!T41</f>
        <v>39.42</v>
      </c>
      <c r="T171" s="23">
        <f>'Annual Raw'!U41</f>
        <v>39.42</v>
      </c>
      <c r="U171" s="23">
        <f>'Annual Raw'!V41</f>
        <v>39.42</v>
      </c>
      <c r="V171" s="23">
        <f>'Annual Raw'!W41</f>
        <v>43.42</v>
      </c>
      <c r="W171" s="23">
        <f>'Annual Raw'!X41</f>
        <v>43.42</v>
      </c>
      <c r="X171" s="23">
        <f>'Annual Raw'!Y41</f>
        <v>45.05</v>
      </c>
      <c r="Y171" s="23">
        <f>'Annual Raw'!Z41</f>
        <v>50.25</v>
      </c>
      <c r="Z171" s="23">
        <f>'Annual Raw'!AA41</f>
        <v>50.25</v>
      </c>
      <c r="AA171" s="23">
        <f>'Annual Raw'!AB41</f>
        <v>50.25</v>
      </c>
      <c r="AB171" s="24">
        <f>+CP171</f>
        <v>50.25</v>
      </c>
      <c r="AC171" s="24">
        <f>+CT171</f>
        <v>50.25</v>
      </c>
      <c r="AD171" s="24">
        <f>+CX171</f>
        <v>50.25</v>
      </c>
      <c r="AE171" s="24">
        <f>+DB171</f>
        <v>50.25</v>
      </c>
      <c r="AJ171" s="23">
        <f>+'QTR Raw'!D56</f>
        <v>39.42</v>
      </c>
      <c r="AK171" s="23">
        <f t="shared" ref="AK171:CE171" si="330">+AJ171</f>
        <v>39.42</v>
      </c>
      <c r="AL171" s="23">
        <f>+'QTR Raw'!F56</f>
        <v>39.42</v>
      </c>
      <c r="AM171" s="23">
        <f t="shared" si="330"/>
        <v>39.42</v>
      </c>
      <c r="AN171" s="23">
        <f>+'QTR Raw'!H56</f>
        <v>39.42</v>
      </c>
      <c r="AO171" s="23">
        <f t="shared" si="330"/>
        <v>39.42</v>
      </c>
      <c r="AP171" s="23">
        <f>+'QTR Raw'!J56</f>
        <v>39.42</v>
      </c>
      <c r="AQ171" s="23">
        <f t="shared" si="330"/>
        <v>39.42</v>
      </c>
      <c r="AR171" s="23">
        <f>+'QTR Raw'!L56</f>
        <v>39.42</v>
      </c>
      <c r="AS171" s="23">
        <f t="shared" si="330"/>
        <v>39.42</v>
      </c>
      <c r="AT171" s="23">
        <f>+'QTR Raw'!N56</f>
        <v>39.42</v>
      </c>
      <c r="AU171" s="23">
        <f t="shared" si="330"/>
        <v>39.42</v>
      </c>
      <c r="AV171" s="23">
        <f>+'QTR Raw'!P56</f>
        <v>39.42</v>
      </c>
      <c r="AW171" s="23">
        <f t="shared" si="330"/>
        <v>39.42</v>
      </c>
      <c r="AX171" s="23">
        <f>+'QTR Raw'!R56</f>
        <v>39.42</v>
      </c>
      <c r="AY171" s="23">
        <f t="shared" si="330"/>
        <v>39.42</v>
      </c>
      <c r="AZ171" s="23">
        <f>+'QTR Raw'!T56</f>
        <v>39.42</v>
      </c>
      <c r="BA171" s="23">
        <f t="shared" si="330"/>
        <v>39.42</v>
      </c>
      <c r="BB171" s="23">
        <f>+'QTR Raw'!V56</f>
        <v>39.42</v>
      </c>
      <c r="BC171" s="23">
        <f t="shared" si="330"/>
        <v>39.42</v>
      </c>
      <c r="BD171" s="23">
        <f>+'QTR Raw'!X56</f>
        <v>39.42</v>
      </c>
      <c r="BE171" s="23">
        <f t="shared" si="330"/>
        <v>39.42</v>
      </c>
      <c r="BF171" s="23">
        <f>+'QTR Raw'!Z56</f>
        <v>39.42</v>
      </c>
      <c r="BG171" s="23">
        <f t="shared" si="330"/>
        <v>39.42</v>
      </c>
      <c r="BH171" s="23">
        <f>+'QTR Raw'!AB56</f>
        <v>39.42</v>
      </c>
      <c r="BI171" s="23">
        <f t="shared" si="330"/>
        <v>39.42</v>
      </c>
      <c r="BJ171" s="23">
        <f>+'QTR Raw'!AD56</f>
        <v>39.42</v>
      </c>
      <c r="BK171" s="23">
        <f t="shared" si="330"/>
        <v>39.42</v>
      </c>
      <c r="BL171" s="23">
        <f>+'QTR Raw'!AF56</f>
        <v>39.42</v>
      </c>
      <c r="BM171" s="23">
        <f t="shared" si="330"/>
        <v>39.42</v>
      </c>
      <c r="BN171" s="23">
        <f>+'QTR Raw'!AH56</f>
        <v>39.42</v>
      </c>
      <c r="BO171" s="23">
        <f t="shared" si="330"/>
        <v>39.42</v>
      </c>
      <c r="BP171" s="23">
        <f>+'QTR Raw'!AJ56</f>
        <v>39.42</v>
      </c>
      <c r="BQ171" s="23">
        <f t="shared" si="330"/>
        <v>39.42</v>
      </c>
      <c r="BR171" s="23">
        <f>+'QTR Raw'!AL56</f>
        <v>43.42</v>
      </c>
      <c r="BS171" s="23">
        <f t="shared" si="330"/>
        <v>43.42</v>
      </c>
      <c r="BT171" s="23">
        <f>+'QTR Raw'!AN56</f>
        <v>43.42</v>
      </c>
      <c r="BU171" s="23">
        <f t="shared" si="330"/>
        <v>43.42</v>
      </c>
      <c r="BV171" s="23">
        <f>+'QTR Raw'!AP56</f>
        <v>43.42</v>
      </c>
      <c r="BW171" s="23">
        <f t="shared" si="330"/>
        <v>43.42</v>
      </c>
      <c r="BX171" s="23">
        <f>+'QTR Raw'!AR56</f>
        <v>45.05</v>
      </c>
      <c r="BY171" s="23">
        <f t="shared" si="330"/>
        <v>45.05</v>
      </c>
      <c r="BZ171" s="23">
        <f>+'QTR Raw'!AT56</f>
        <v>45.05</v>
      </c>
      <c r="CA171" s="23">
        <f t="shared" si="330"/>
        <v>45.05</v>
      </c>
      <c r="CB171" s="23">
        <f>+'QTR Raw'!AV56</f>
        <v>50.25</v>
      </c>
      <c r="CC171" s="23">
        <f t="shared" si="330"/>
        <v>50.25</v>
      </c>
      <c r="CD171" s="23">
        <f>+'QTR Raw'!AX56</f>
        <v>50.25</v>
      </c>
      <c r="CE171" s="23">
        <f t="shared" si="330"/>
        <v>50.25</v>
      </c>
      <c r="CF171" s="23">
        <f>+'QTR Raw'!AZ56</f>
        <v>50.25</v>
      </c>
      <c r="CG171" s="23">
        <f>+CF171</f>
        <v>50.25</v>
      </c>
      <c r="CH171" s="23">
        <f>Z171</f>
        <v>50.25</v>
      </c>
      <c r="CI171" s="23">
        <f>CH171</f>
        <v>50.25</v>
      </c>
      <c r="CJ171" s="23">
        <f>+'QTR Raw'!BD56</f>
        <v>50.25</v>
      </c>
      <c r="CK171" s="23">
        <f t="shared" ref="CK171:DB171" si="331">CJ171</f>
        <v>50.25</v>
      </c>
      <c r="CL171" s="23">
        <f>+'QTR Raw'!BF56</f>
        <v>50.25</v>
      </c>
      <c r="CM171" s="24">
        <f t="shared" si="331"/>
        <v>50.25</v>
      </c>
      <c r="CN171" s="24">
        <f t="shared" si="331"/>
        <v>50.25</v>
      </c>
      <c r="CO171" s="24">
        <f t="shared" si="331"/>
        <v>50.25</v>
      </c>
      <c r="CP171" s="24">
        <f t="shared" si="331"/>
        <v>50.25</v>
      </c>
      <c r="CQ171" s="24">
        <f t="shared" si="331"/>
        <v>50.25</v>
      </c>
      <c r="CR171" s="24">
        <f t="shared" si="331"/>
        <v>50.25</v>
      </c>
      <c r="CS171" s="24">
        <f t="shared" si="331"/>
        <v>50.25</v>
      </c>
      <c r="CT171" s="24">
        <f t="shared" si="331"/>
        <v>50.25</v>
      </c>
      <c r="CU171" s="24">
        <f t="shared" si="331"/>
        <v>50.25</v>
      </c>
      <c r="CV171" s="24">
        <f t="shared" si="331"/>
        <v>50.25</v>
      </c>
      <c r="CW171" s="24">
        <f t="shared" si="331"/>
        <v>50.25</v>
      </c>
      <c r="CX171" s="24">
        <f t="shared" si="331"/>
        <v>50.25</v>
      </c>
      <c r="CY171" s="24">
        <f t="shared" si="331"/>
        <v>50.25</v>
      </c>
      <c r="CZ171" s="24">
        <f t="shared" si="331"/>
        <v>50.25</v>
      </c>
      <c r="DA171" s="24">
        <f t="shared" si="331"/>
        <v>50.25</v>
      </c>
      <c r="DB171" s="24">
        <f t="shared" si="331"/>
        <v>50.25</v>
      </c>
      <c r="DE171" s="123"/>
      <c r="DF171" s="23">
        <v>50.25</v>
      </c>
    </row>
    <row r="172" spans="1:110" s="23" customFormat="1" outlineLevel="1" x14ac:dyDescent="0.2">
      <c r="A172" s="23" t="s">
        <v>41</v>
      </c>
      <c r="B172" s="23">
        <f>'Annual Raw'!C42</f>
        <v>0</v>
      </c>
      <c r="C172" s="23">
        <f>'Annual Raw'!D42</f>
        <v>0</v>
      </c>
      <c r="D172" s="23">
        <f>'Annual Raw'!E42</f>
        <v>0</v>
      </c>
      <c r="E172" s="23">
        <f>'Annual Raw'!F42</f>
        <v>0</v>
      </c>
      <c r="F172" s="23">
        <f>'Annual Raw'!G42</f>
        <v>0</v>
      </c>
      <c r="G172" s="23">
        <f>'Annual Raw'!H42</f>
        <v>2.261339</v>
      </c>
      <c r="H172" s="23">
        <f>'Annual Raw'!I42</f>
        <v>0</v>
      </c>
      <c r="I172" s="23">
        <f>'Annual Raw'!J42</f>
        <v>0</v>
      </c>
      <c r="J172" s="23">
        <f>'Annual Raw'!K42</f>
        <v>0</v>
      </c>
      <c r="K172" s="23">
        <f>'Annual Raw'!L42</f>
        <v>0</v>
      </c>
      <c r="L172" s="23">
        <f>'Annual Raw'!M42</f>
        <v>0</v>
      </c>
      <c r="M172" s="23">
        <f>'Annual Raw'!N42</f>
        <v>0</v>
      </c>
      <c r="N172" s="23">
        <f>'Annual Raw'!O42</f>
        <v>0</v>
      </c>
      <c r="O172" s="23">
        <f>'Annual Raw'!P42</f>
        <v>0</v>
      </c>
      <c r="P172" s="23">
        <f>'Annual Raw'!Q42</f>
        <v>0</v>
      </c>
      <c r="Q172" s="23">
        <f>'Annual Raw'!R42</f>
        <v>0</v>
      </c>
      <c r="R172" s="23">
        <f>'Annual Raw'!S42</f>
        <v>0</v>
      </c>
      <c r="S172" s="23">
        <f>'Annual Raw'!T42</f>
        <v>0</v>
      </c>
      <c r="T172" s="23">
        <f>'Annual Raw'!U42</f>
        <v>0</v>
      </c>
      <c r="U172" s="23">
        <f>'Annual Raw'!V42</f>
        <v>0</v>
      </c>
      <c r="V172" s="23">
        <f>'Annual Raw'!W42</f>
        <v>0</v>
      </c>
      <c r="W172" s="23">
        <f>'Annual Raw'!X42</f>
        <v>25.65</v>
      </c>
      <c r="X172" s="23">
        <f>'Annual Raw'!Y42</f>
        <v>23.4</v>
      </c>
      <c r="Y172" s="23">
        <f>'Annual Raw'!Z42</f>
        <v>0</v>
      </c>
      <c r="Z172" s="23">
        <f>'Annual Raw'!AA42</f>
        <v>0</v>
      </c>
      <c r="AA172" s="23">
        <f>'Annual Raw'!AB42</f>
        <v>0</v>
      </c>
      <c r="AB172" s="24">
        <f>+CP172</f>
        <v>0</v>
      </c>
      <c r="AC172" s="24">
        <f>+CT172</f>
        <v>0</v>
      </c>
      <c r="AD172" s="24">
        <f>+CX172</f>
        <v>0</v>
      </c>
      <c r="AE172" s="24">
        <f>+DB172</f>
        <v>0</v>
      </c>
      <c r="AJ172" s="23">
        <f>+'QTR Raw'!D57</f>
        <v>0</v>
      </c>
      <c r="AK172" s="23">
        <f t="shared" ref="AK172:CE172" si="332">+AJ172</f>
        <v>0</v>
      </c>
      <c r="AL172" s="23">
        <f>+'QTR Raw'!F57</f>
        <v>0</v>
      </c>
      <c r="AM172" s="23">
        <f t="shared" si="332"/>
        <v>0</v>
      </c>
      <c r="AN172" s="23">
        <f>+'QTR Raw'!H57</f>
        <v>0</v>
      </c>
      <c r="AO172" s="23">
        <f t="shared" si="332"/>
        <v>0</v>
      </c>
      <c r="AP172" s="23">
        <f>+'QTR Raw'!J57</f>
        <v>0</v>
      </c>
      <c r="AQ172" s="23">
        <f t="shared" si="332"/>
        <v>0</v>
      </c>
      <c r="AR172" s="23">
        <f>+'QTR Raw'!L57</f>
        <v>0</v>
      </c>
      <c r="AS172" s="23">
        <f t="shared" si="332"/>
        <v>0</v>
      </c>
      <c r="AT172" s="23">
        <f>+'QTR Raw'!N57</f>
        <v>0</v>
      </c>
      <c r="AU172" s="23">
        <f t="shared" si="332"/>
        <v>0</v>
      </c>
      <c r="AV172" s="23">
        <f>+'QTR Raw'!P57</f>
        <v>0</v>
      </c>
      <c r="AW172" s="23">
        <f t="shared" si="332"/>
        <v>0</v>
      </c>
      <c r="AX172" s="23">
        <f>+'QTR Raw'!R57</f>
        <v>0</v>
      </c>
      <c r="AY172" s="23">
        <f t="shared" si="332"/>
        <v>0</v>
      </c>
      <c r="AZ172" s="23">
        <f>+'QTR Raw'!T57</f>
        <v>0</v>
      </c>
      <c r="BA172" s="23">
        <f t="shared" si="332"/>
        <v>0</v>
      </c>
      <c r="BB172" s="23">
        <f>+'QTR Raw'!V57</f>
        <v>0</v>
      </c>
      <c r="BC172" s="23">
        <f t="shared" si="332"/>
        <v>0</v>
      </c>
      <c r="BD172" s="23">
        <f>+'QTR Raw'!X57</f>
        <v>0</v>
      </c>
      <c r="BE172" s="23">
        <f t="shared" si="332"/>
        <v>0</v>
      </c>
      <c r="BF172" s="23">
        <f>+'QTR Raw'!Z57</f>
        <v>0</v>
      </c>
      <c r="BG172" s="23">
        <f t="shared" si="332"/>
        <v>0</v>
      </c>
      <c r="BH172" s="23">
        <f>+'QTR Raw'!AB57</f>
        <v>0</v>
      </c>
      <c r="BI172" s="23">
        <f t="shared" si="332"/>
        <v>0</v>
      </c>
      <c r="BJ172" s="23">
        <f>+'QTR Raw'!AD57</f>
        <v>0</v>
      </c>
      <c r="BK172" s="23">
        <f t="shared" si="332"/>
        <v>0</v>
      </c>
      <c r="BL172" s="23">
        <f>+'QTR Raw'!AF57</f>
        <v>0</v>
      </c>
      <c r="BM172" s="23">
        <f t="shared" si="332"/>
        <v>0</v>
      </c>
      <c r="BN172" s="23">
        <f>+'QTR Raw'!AH57</f>
        <v>0</v>
      </c>
      <c r="BO172" s="23">
        <f t="shared" si="332"/>
        <v>0</v>
      </c>
      <c r="BP172" s="23">
        <f>+'QTR Raw'!AJ57</f>
        <v>0</v>
      </c>
      <c r="BQ172" s="23">
        <f t="shared" si="332"/>
        <v>0</v>
      </c>
      <c r="BR172" s="23">
        <f>+'QTR Raw'!AL57</f>
        <v>0</v>
      </c>
      <c r="BS172" s="23">
        <f t="shared" si="332"/>
        <v>0</v>
      </c>
      <c r="BT172" s="23">
        <f>+'QTR Raw'!AN57</f>
        <v>0</v>
      </c>
      <c r="BU172" s="23">
        <f t="shared" si="332"/>
        <v>0</v>
      </c>
      <c r="BV172" s="23">
        <f>+'QTR Raw'!AP57</f>
        <v>25.65</v>
      </c>
      <c r="BW172" s="23">
        <f t="shared" si="332"/>
        <v>25.65</v>
      </c>
      <c r="BX172" s="23">
        <f>+'QTR Raw'!AR57</f>
        <v>23.4</v>
      </c>
      <c r="BY172" s="23">
        <f t="shared" si="332"/>
        <v>23.4</v>
      </c>
      <c r="BZ172" s="23">
        <f>+'QTR Raw'!AT57</f>
        <v>23.4</v>
      </c>
      <c r="CA172" s="23">
        <f t="shared" si="332"/>
        <v>23.4</v>
      </c>
      <c r="CB172" s="23">
        <f>+'QTR Raw'!AV57</f>
        <v>0</v>
      </c>
      <c r="CC172" s="23">
        <f t="shared" si="332"/>
        <v>0</v>
      </c>
      <c r="CD172" s="23">
        <f>+'QTR Raw'!AX57</f>
        <v>0</v>
      </c>
      <c r="CE172" s="23">
        <f t="shared" si="332"/>
        <v>0</v>
      </c>
      <c r="CF172" s="23">
        <f>+'QTR Raw'!AZ57</f>
        <v>0</v>
      </c>
      <c r="CG172" s="23">
        <f>+CF172</f>
        <v>0</v>
      </c>
      <c r="CH172" s="23">
        <f>Z172</f>
        <v>0</v>
      </c>
      <c r="CI172" s="23">
        <f>CH172</f>
        <v>0</v>
      </c>
      <c r="CJ172" s="23">
        <f>+'QTR Raw'!BD57</f>
        <v>0</v>
      </c>
      <c r="CK172" s="23">
        <f t="shared" ref="CK172:DB172" si="333">CJ172</f>
        <v>0</v>
      </c>
      <c r="CL172" s="23">
        <f>+'QTR Raw'!BF57</f>
        <v>0</v>
      </c>
      <c r="CM172" s="24">
        <f t="shared" si="333"/>
        <v>0</v>
      </c>
      <c r="CN172" s="24">
        <f t="shared" si="333"/>
        <v>0</v>
      </c>
      <c r="CO172" s="24">
        <f t="shared" si="333"/>
        <v>0</v>
      </c>
      <c r="CP172" s="24">
        <f t="shared" si="333"/>
        <v>0</v>
      </c>
      <c r="CQ172" s="24">
        <f t="shared" si="333"/>
        <v>0</v>
      </c>
      <c r="CR172" s="24">
        <f t="shared" si="333"/>
        <v>0</v>
      </c>
      <c r="CS172" s="24">
        <f t="shared" si="333"/>
        <v>0</v>
      </c>
      <c r="CT172" s="24">
        <f t="shared" si="333"/>
        <v>0</v>
      </c>
      <c r="CU172" s="24">
        <f t="shared" si="333"/>
        <v>0</v>
      </c>
      <c r="CV172" s="24">
        <f t="shared" si="333"/>
        <v>0</v>
      </c>
      <c r="CW172" s="24">
        <f t="shared" si="333"/>
        <v>0</v>
      </c>
      <c r="CX172" s="24">
        <f t="shared" si="333"/>
        <v>0</v>
      </c>
      <c r="CY172" s="24">
        <f t="shared" si="333"/>
        <v>0</v>
      </c>
      <c r="CZ172" s="24">
        <f t="shared" si="333"/>
        <v>0</v>
      </c>
      <c r="DA172" s="24">
        <f t="shared" si="333"/>
        <v>0</v>
      </c>
      <c r="DB172" s="24">
        <f t="shared" si="333"/>
        <v>0</v>
      </c>
      <c r="DE172" s="123"/>
      <c r="DF172" s="23">
        <v>0</v>
      </c>
    </row>
    <row r="173" spans="1:110" s="23" customFormat="1" outlineLevel="1" x14ac:dyDescent="0.2">
      <c r="A173" s="23" t="s">
        <v>42</v>
      </c>
      <c r="B173" s="23">
        <f>'Annual Raw'!C43</f>
        <v>31.758911999999999</v>
      </c>
      <c r="C173" s="23">
        <f>'Annual Raw'!D43</f>
        <v>24.6155857</v>
      </c>
      <c r="D173" s="23">
        <f>'Annual Raw'!E43</f>
        <v>30.119852099999999</v>
      </c>
      <c r="E173" s="23">
        <f>'Annual Raw'!F43</f>
        <v>42.9309382</v>
      </c>
      <c r="F173" s="23">
        <f>'Annual Raw'!G43</f>
        <v>53.288591199999999</v>
      </c>
      <c r="G173" s="23">
        <f>'Annual Raw'!H43</f>
        <v>103.99195109999999</v>
      </c>
      <c r="H173" s="23">
        <f>'Annual Raw'!I43</f>
        <v>148.49761090000001</v>
      </c>
      <c r="I173" s="23">
        <f>'Annual Raw'!J43</f>
        <v>153.87217999999999</v>
      </c>
      <c r="J173" s="23">
        <f>'Annual Raw'!K43</f>
        <v>137.88772359999999</v>
      </c>
      <c r="K173" s="23">
        <f>'Annual Raw'!L43</f>
        <v>150.44330059999999</v>
      </c>
      <c r="L173" s="23">
        <f>'Annual Raw'!M43</f>
        <v>200.16</v>
      </c>
      <c r="M173" s="23">
        <f>'Annual Raw'!N43</f>
        <v>212.66</v>
      </c>
      <c r="N173" s="23">
        <f>'Annual Raw'!O43</f>
        <v>258.43</v>
      </c>
      <c r="O173" s="23">
        <f>'Annual Raw'!P43</f>
        <v>292.01</v>
      </c>
      <c r="P173" s="23">
        <f>'Annual Raw'!Q43</f>
        <v>332.28</v>
      </c>
      <c r="Q173" s="23">
        <f>'Annual Raw'!R43</f>
        <v>399.83</v>
      </c>
      <c r="R173" s="23">
        <f>'Annual Raw'!S43</f>
        <v>452.52</v>
      </c>
      <c r="S173" s="23">
        <f>'Annual Raw'!T43</f>
        <v>472.33</v>
      </c>
      <c r="T173" s="23">
        <f>'Annual Raw'!U43</f>
        <v>481.28</v>
      </c>
      <c r="U173" s="23">
        <f>'Annual Raw'!V43</f>
        <v>487.7</v>
      </c>
      <c r="V173" s="23">
        <f>'Annual Raw'!W43</f>
        <v>508.92</v>
      </c>
      <c r="W173" s="23">
        <f>'Annual Raw'!X43</f>
        <v>646.86</v>
      </c>
      <c r="X173" s="23">
        <f>'Annual Raw'!Y43</f>
        <v>814.68</v>
      </c>
      <c r="Y173" s="23">
        <f>'Annual Raw'!Z43</f>
        <v>934.07</v>
      </c>
      <c r="Z173" s="23">
        <f>'Annual Raw'!AA43</f>
        <v>956.53</v>
      </c>
      <c r="AA173" s="23">
        <f>'Annual Raw'!AB43</f>
        <v>1026.02</v>
      </c>
      <c r="AB173" s="24">
        <f>+CP173</f>
        <v>1198.5854958334746</v>
      </c>
      <c r="AC173" s="24">
        <f>+CT173</f>
        <v>1428.7093684895588</v>
      </c>
      <c r="AD173" s="24">
        <f>+CX173</f>
        <v>1703.0683761000555</v>
      </c>
      <c r="AE173" s="24">
        <f>+DB173</f>
        <v>2019.2284931568174</v>
      </c>
      <c r="AJ173" s="23">
        <f>+'QTR Raw'!D58</f>
        <v>240.52</v>
      </c>
      <c r="AK173" s="23">
        <f>+AJ173+AK102</f>
        <v>251.59</v>
      </c>
      <c r="AL173" s="23">
        <f>+'QTR Raw'!F58</f>
        <v>258.43</v>
      </c>
      <c r="AM173" s="23">
        <f>+AL173+AM102</f>
        <v>264.46000000000004</v>
      </c>
      <c r="AN173" s="23">
        <f>+'QTR Raw'!H58</f>
        <v>276.7</v>
      </c>
      <c r="AO173" s="23">
        <f>+AN173+AO102</f>
        <v>288.85000000000002</v>
      </c>
      <c r="AP173" s="23">
        <f>+'QTR Raw'!J58</f>
        <v>292.01</v>
      </c>
      <c r="AQ173" s="23">
        <f>+AP173+AQ102</f>
        <v>303.35000000000002</v>
      </c>
      <c r="AR173" s="23">
        <f>+'QTR Raw'!L58</f>
        <v>315.32</v>
      </c>
      <c r="AS173" s="23">
        <f>+AR173+AS102</f>
        <v>329.09</v>
      </c>
      <c r="AT173" s="23">
        <f>+'QTR Raw'!N58</f>
        <v>332.28</v>
      </c>
      <c r="AU173" s="23">
        <f>+AT173+AU102</f>
        <v>349.47999999999996</v>
      </c>
      <c r="AV173" s="23">
        <f>+'QTR Raw'!P58</f>
        <v>368.13</v>
      </c>
      <c r="AW173" s="23">
        <f>+AV173+AW102</f>
        <v>383.68000000000006</v>
      </c>
      <c r="AX173" s="23">
        <f>+'QTR Raw'!R58</f>
        <v>399.83</v>
      </c>
      <c r="AY173" s="23">
        <f>+AX173+AY102</f>
        <v>415.11000000000007</v>
      </c>
      <c r="AZ173" s="23">
        <f>+'QTR Raw'!T58</f>
        <v>430.43</v>
      </c>
      <c r="BA173" s="23">
        <f>+AZ173+BA102</f>
        <v>434.93</v>
      </c>
      <c r="BB173" s="23">
        <f>+'QTR Raw'!V58</f>
        <v>452.52</v>
      </c>
      <c r="BC173" s="23">
        <f>+BB173+BC102</f>
        <v>453.74</v>
      </c>
      <c r="BD173" s="23">
        <f>+'QTR Raw'!X58</f>
        <v>446.47</v>
      </c>
      <c r="BE173" s="23">
        <f>+BD173+BE102</f>
        <v>450.22999999999996</v>
      </c>
      <c r="BF173" s="23">
        <f>+'QTR Raw'!Z58</f>
        <v>472.33</v>
      </c>
      <c r="BG173" s="23">
        <f>+BF173+BG102</f>
        <v>476.41999999999996</v>
      </c>
      <c r="BH173" s="23">
        <f>+'QTR Raw'!AB58</f>
        <v>484.42</v>
      </c>
      <c r="BI173" s="23">
        <f>+BH173+BI102</f>
        <v>483.68</v>
      </c>
      <c r="BJ173" s="23">
        <f>+'QTR Raw'!AD58</f>
        <v>481.28</v>
      </c>
      <c r="BK173" s="23">
        <f>+BJ173+BK102</f>
        <v>482.41999999999996</v>
      </c>
      <c r="BL173" s="23">
        <f>+'QTR Raw'!AF58</f>
        <v>480.94</v>
      </c>
      <c r="BM173" s="23">
        <f>+BL173+BM102</f>
        <v>486.47999999999996</v>
      </c>
      <c r="BN173" s="23">
        <f>+'QTR Raw'!AH58</f>
        <v>487.7</v>
      </c>
      <c r="BO173" s="23">
        <f>+BN173+BO102</f>
        <v>455.17999999999995</v>
      </c>
      <c r="BP173" s="23">
        <f>+'QTR Raw'!AJ58</f>
        <v>452.99</v>
      </c>
      <c r="BQ173" s="23">
        <f>+BP173+BQ102</f>
        <v>460.42</v>
      </c>
      <c r="BR173" s="23">
        <f>+'QTR Raw'!AL58</f>
        <v>508.92</v>
      </c>
      <c r="BS173" s="23">
        <f>+BR173+BS102</f>
        <v>521.81000000000006</v>
      </c>
      <c r="BT173" s="23">
        <f>+'QTR Raw'!AN58</f>
        <v>548.29</v>
      </c>
      <c r="BU173" s="23">
        <f>+BT173+BU102</f>
        <v>592.03</v>
      </c>
      <c r="BV173" s="23">
        <f>+'QTR Raw'!AP58</f>
        <v>646.86</v>
      </c>
      <c r="BW173" s="23">
        <f>+BV173+BW102</f>
        <v>699.39</v>
      </c>
      <c r="BX173" s="23">
        <f>+'QTR Raw'!AR58</f>
        <v>766.64</v>
      </c>
      <c r="BY173" s="23">
        <f>+BX173+BY102</f>
        <v>784.19</v>
      </c>
      <c r="BZ173" s="23">
        <f>+'QTR Raw'!AT58</f>
        <v>814.68</v>
      </c>
      <c r="CA173" s="23">
        <f>+BZ173+CA102</f>
        <v>827.44999999999993</v>
      </c>
      <c r="CB173" s="23">
        <f>+'QTR Raw'!AV58</f>
        <v>916.89</v>
      </c>
      <c r="CC173" s="23">
        <f>+CB173+CC102</f>
        <v>920.7</v>
      </c>
      <c r="CD173" s="23">
        <f>+'QTR Raw'!AX58</f>
        <v>934.07</v>
      </c>
      <c r="CE173" s="23">
        <f>+CD173+CE102</f>
        <v>948.35</v>
      </c>
      <c r="CF173" s="23">
        <f>+'QTR Raw'!AZ58</f>
        <v>948.32</v>
      </c>
      <c r="CG173" s="23">
        <f>+CF173+CG102</f>
        <v>950.77</v>
      </c>
      <c r="CH173" s="23">
        <f>Z173</f>
        <v>956.53</v>
      </c>
      <c r="CI173" s="23">
        <f>CH173+CI102</f>
        <v>958.66</v>
      </c>
      <c r="CJ173" s="23">
        <f>+'QTR Raw'!BD58</f>
        <v>970.35</v>
      </c>
      <c r="CK173" s="23">
        <f t="shared" ref="CK173:DB173" si="334">CJ173+CK102</f>
        <v>994.82</v>
      </c>
      <c r="CL173" s="23">
        <f>+'QTR Raw'!BF58</f>
        <v>1026.02</v>
      </c>
      <c r="CM173" s="24">
        <f t="shared" si="334"/>
        <v>1062.0197515678503</v>
      </c>
      <c r="CN173" s="24">
        <f t="shared" si="334"/>
        <v>1103.1055049412901</v>
      </c>
      <c r="CO173" s="24">
        <f t="shared" si="334"/>
        <v>1149.3151125406578</v>
      </c>
      <c r="CP173" s="24">
        <f t="shared" si="334"/>
        <v>1198.5854958334746</v>
      </c>
      <c r="CQ173" s="24">
        <f t="shared" si="334"/>
        <v>1248.2529644579247</v>
      </c>
      <c r="CR173" s="24">
        <f t="shared" si="334"/>
        <v>1303.7154097491871</v>
      </c>
      <c r="CS173" s="24">
        <f t="shared" si="334"/>
        <v>1364.0704244755345</v>
      </c>
      <c r="CT173" s="24">
        <f t="shared" si="334"/>
        <v>1428.7093684895588</v>
      </c>
      <c r="CU173" s="24">
        <f t="shared" si="334"/>
        <v>1492.6784192571804</v>
      </c>
      <c r="CV173" s="24">
        <f t="shared" si="334"/>
        <v>1560.03059614006</v>
      </c>
      <c r="CW173" s="24">
        <f t="shared" si="334"/>
        <v>1630.301292914495</v>
      </c>
      <c r="CX173" s="24">
        <f t="shared" si="334"/>
        <v>1703.0683761000555</v>
      </c>
      <c r="CY173" s="24">
        <f t="shared" si="334"/>
        <v>1777.975311417918</v>
      </c>
      <c r="CZ173" s="24">
        <f t="shared" si="334"/>
        <v>1855.7152095141719</v>
      </c>
      <c r="DA173" s="24">
        <f t="shared" si="334"/>
        <v>1936.1511682796227</v>
      </c>
      <c r="DB173" s="24">
        <f t="shared" si="334"/>
        <v>2019.2284931568174</v>
      </c>
      <c r="DE173" s="123"/>
      <c r="DF173" s="23">
        <v>1012.4345458169252</v>
      </c>
    </row>
    <row r="174" spans="1:110" s="22" customFormat="1" x14ac:dyDescent="0.2">
      <c r="A174" s="22" t="s">
        <v>43</v>
      </c>
      <c r="B174" s="22">
        <f>B171+B172+B173</f>
        <v>52.194811999999999</v>
      </c>
      <c r="C174" s="22">
        <f t="shared" ref="C174:V174" si="335">C171+C172+C173</f>
        <v>46.251485700000003</v>
      </c>
      <c r="D174" s="22">
        <f t="shared" si="335"/>
        <v>51.755752099999995</v>
      </c>
      <c r="E174" s="22">
        <f t="shared" si="335"/>
        <v>72.781390200000004</v>
      </c>
      <c r="F174" s="22">
        <f t="shared" si="335"/>
        <v>83.139043200000003</v>
      </c>
      <c r="G174" s="22">
        <f t="shared" si="335"/>
        <v>139.58252010000001</v>
      </c>
      <c r="H174" s="22">
        <f t="shared" si="335"/>
        <v>187.91916990000001</v>
      </c>
      <c r="I174" s="22">
        <f t="shared" si="335"/>
        <v>193.29373899999999</v>
      </c>
      <c r="J174" s="22">
        <f t="shared" si="335"/>
        <v>177.30928259999999</v>
      </c>
      <c r="K174" s="22">
        <f t="shared" si="335"/>
        <v>189.86485959999999</v>
      </c>
      <c r="L174" s="22">
        <f t="shared" si="335"/>
        <v>239.57999999999998</v>
      </c>
      <c r="M174" s="22">
        <f>M171+M172+M173</f>
        <v>252.07999999999998</v>
      </c>
      <c r="N174" s="22">
        <f t="shared" si="335"/>
        <v>297.85000000000002</v>
      </c>
      <c r="O174" s="22">
        <f t="shared" si="335"/>
        <v>331.43</v>
      </c>
      <c r="P174" s="22">
        <f t="shared" si="335"/>
        <v>371.7</v>
      </c>
      <c r="Q174" s="22">
        <f t="shared" si="335"/>
        <v>439.25</v>
      </c>
      <c r="R174" s="22">
        <f t="shared" si="335"/>
        <v>491.94</v>
      </c>
      <c r="S174" s="22">
        <f t="shared" si="335"/>
        <v>511.75</v>
      </c>
      <c r="T174" s="22">
        <f t="shared" si="335"/>
        <v>520.69999999999993</v>
      </c>
      <c r="U174" s="22">
        <f t="shared" si="335"/>
        <v>527.12</v>
      </c>
      <c r="V174" s="22">
        <f t="shared" si="335"/>
        <v>552.34</v>
      </c>
      <c r="W174" s="22">
        <f t="shared" ref="W174:AE174" si="336">W171+W172+W173</f>
        <v>715.93000000000006</v>
      </c>
      <c r="X174" s="22">
        <f t="shared" si="336"/>
        <v>883.12999999999988</v>
      </c>
      <c r="Y174" s="22">
        <f t="shared" si="336"/>
        <v>984.32</v>
      </c>
      <c r="Z174" s="22">
        <f t="shared" si="336"/>
        <v>1006.78</v>
      </c>
      <c r="AA174" s="22">
        <f t="shared" ref="AA174" si="337">AA171+AA172+AA173</f>
        <v>1076.27</v>
      </c>
      <c r="AB174" s="21">
        <f t="shared" si="336"/>
        <v>1248.8354958334746</v>
      </c>
      <c r="AC174" s="21">
        <f t="shared" si="336"/>
        <v>1478.9593684895588</v>
      </c>
      <c r="AD174" s="21">
        <f t="shared" si="336"/>
        <v>1753.3183761000555</v>
      </c>
      <c r="AE174" s="21">
        <f t="shared" si="336"/>
        <v>2069.4784931568174</v>
      </c>
      <c r="AJ174" s="22">
        <f t="shared" ref="AJ174:AO174" si="338">AJ171+AJ172+AJ173</f>
        <v>279.94</v>
      </c>
      <c r="AK174" s="22">
        <f t="shared" si="338"/>
        <v>291.01</v>
      </c>
      <c r="AL174" s="22">
        <f t="shared" si="338"/>
        <v>297.85000000000002</v>
      </c>
      <c r="AM174" s="22">
        <f t="shared" si="338"/>
        <v>303.88000000000005</v>
      </c>
      <c r="AN174" s="22">
        <f t="shared" si="338"/>
        <v>316.12</v>
      </c>
      <c r="AO174" s="22">
        <f t="shared" si="338"/>
        <v>328.27000000000004</v>
      </c>
      <c r="AP174" s="22">
        <f t="shared" ref="AP174:CE174" si="339">AP171+AP172+AP173</f>
        <v>331.43</v>
      </c>
      <c r="AQ174" s="22">
        <f t="shared" si="339"/>
        <v>342.77000000000004</v>
      </c>
      <c r="AR174" s="22">
        <f t="shared" si="339"/>
        <v>354.74</v>
      </c>
      <c r="AS174" s="22">
        <f t="shared" si="339"/>
        <v>368.51</v>
      </c>
      <c r="AT174" s="22">
        <f t="shared" si="339"/>
        <v>371.7</v>
      </c>
      <c r="AU174" s="22">
        <f t="shared" si="339"/>
        <v>388.9</v>
      </c>
      <c r="AV174" s="22">
        <f t="shared" si="339"/>
        <v>407.55</v>
      </c>
      <c r="AW174" s="22">
        <f t="shared" si="339"/>
        <v>423.10000000000008</v>
      </c>
      <c r="AX174" s="22">
        <f t="shared" si="339"/>
        <v>439.25</v>
      </c>
      <c r="AY174" s="22">
        <f t="shared" si="339"/>
        <v>454.53000000000009</v>
      </c>
      <c r="AZ174" s="22">
        <f t="shared" si="339"/>
        <v>469.85</v>
      </c>
      <c r="BA174" s="22">
        <f t="shared" si="339"/>
        <v>474.35</v>
      </c>
      <c r="BB174" s="22">
        <f t="shared" si="339"/>
        <v>491.94</v>
      </c>
      <c r="BC174" s="22">
        <f t="shared" si="339"/>
        <v>493.16</v>
      </c>
      <c r="BD174" s="22">
        <f t="shared" si="339"/>
        <v>485.89000000000004</v>
      </c>
      <c r="BE174" s="22">
        <f t="shared" si="339"/>
        <v>489.65</v>
      </c>
      <c r="BF174" s="22">
        <f t="shared" si="339"/>
        <v>511.75</v>
      </c>
      <c r="BG174" s="22">
        <f t="shared" si="339"/>
        <v>515.83999999999992</v>
      </c>
      <c r="BH174" s="22">
        <f t="shared" si="339"/>
        <v>523.84</v>
      </c>
      <c r="BI174" s="22">
        <f t="shared" si="339"/>
        <v>523.1</v>
      </c>
      <c r="BJ174" s="22">
        <f t="shared" si="339"/>
        <v>520.69999999999993</v>
      </c>
      <c r="BK174" s="22">
        <f t="shared" si="339"/>
        <v>521.83999999999992</v>
      </c>
      <c r="BL174" s="22">
        <f t="shared" si="339"/>
        <v>520.36</v>
      </c>
      <c r="BM174" s="22">
        <f t="shared" si="339"/>
        <v>525.9</v>
      </c>
      <c r="BN174" s="22">
        <f t="shared" si="339"/>
        <v>527.12</v>
      </c>
      <c r="BO174" s="22">
        <f t="shared" si="339"/>
        <v>494.59999999999997</v>
      </c>
      <c r="BP174" s="22">
        <f t="shared" si="339"/>
        <v>492.41</v>
      </c>
      <c r="BQ174" s="22">
        <f t="shared" si="339"/>
        <v>499.84000000000003</v>
      </c>
      <c r="BR174" s="22">
        <f t="shared" si="339"/>
        <v>552.34</v>
      </c>
      <c r="BS174" s="22">
        <f t="shared" si="339"/>
        <v>565.23</v>
      </c>
      <c r="BT174" s="22">
        <f t="shared" si="339"/>
        <v>591.70999999999992</v>
      </c>
      <c r="BU174" s="22">
        <f t="shared" si="339"/>
        <v>635.44999999999993</v>
      </c>
      <c r="BV174" s="22">
        <f t="shared" si="339"/>
        <v>715.93000000000006</v>
      </c>
      <c r="BW174" s="22">
        <f t="shared" si="339"/>
        <v>768.46</v>
      </c>
      <c r="BX174" s="22">
        <f t="shared" si="339"/>
        <v>835.08999999999992</v>
      </c>
      <c r="BY174" s="22">
        <f t="shared" si="339"/>
        <v>852.6400000000001</v>
      </c>
      <c r="BZ174" s="22">
        <f t="shared" si="339"/>
        <v>883.12999999999988</v>
      </c>
      <c r="CA174" s="22">
        <f t="shared" si="339"/>
        <v>895.89999999999986</v>
      </c>
      <c r="CB174" s="22">
        <f t="shared" si="339"/>
        <v>967.14</v>
      </c>
      <c r="CC174" s="22">
        <f t="shared" si="339"/>
        <v>970.95</v>
      </c>
      <c r="CD174" s="22">
        <f t="shared" si="339"/>
        <v>984.32</v>
      </c>
      <c r="CE174" s="22">
        <f t="shared" si="339"/>
        <v>998.6</v>
      </c>
      <c r="CF174" s="22">
        <f>CF171+CF172+CF173</f>
        <v>998.57</v>
      </c>
      <c r="CG174" s="22">
        <f>CG171+CG172+CG173</f>
        <v>1001.02</v>
      </c>
      <c r="CH174" s="22">
        <f>CH171+CH172+CH173</f>
        <v>1006.78</v>
      </c>
      <c r="CI174" s="22">
        <f>CI171+CI172+CI173</f>
        <v>1008.91</v>
      </c>
      <c r="CJ174" s="22">
        <f t="shared" ref="CJ174:DB174" si="340">CJ171+CJ172+CJ173</f>
        <v>1020.6</v>
      </c>
      <c r="CK174" s="22">
        <f t="shared" si="340"/>
        <v>1045.0700000000002</v>
      </c>
      <c r="CL174" s="22">
        <f>CL171+CL172+CL173</f>
        <v>1076.27</v>
      </c>
      <c r="CM174" s="21">
        <f t="shared" si="340"/>
        <v>1112.2697515678503</v>
      </c>
      <c r="CN174" s="21">
        <f t="shared" si="340"/>
        <v>1153.3555049412901</v>
      </c>
      <c r="CO174" s="21">
        <f t="shared" si="340"/>
        <v>1199.5651125406578</v>
      </c>
      <c r="CP174" s="21">
        <f t="shared" si="340"/>
        <v>1248.8354958334746</v>
      </c>
      <c r="CQ174" s="21">
        <f t="shared" si="340"/>
        <v>1298.5029644579247</v>
      </c>
      <c r="CR174" s="21">
        <f t="shared" si="340"/>
        <v>1353.9654097491871</v>
      </c>
      <c r="CS174" s="21">
        <f t="shared" si="340"/>
        <v>1414.3204244755345</v>
      </c>
      <c r="CT174" s="21">
        <f t="shared" si="340"/>
        <v>1478.9593684895588</v>
      </c>
      <c r="CU174" s="21">
        <f t="shared" si="340"/>
        <v>1542.9284192571804</v>
      </c>
      <c r="CV174" s="21">
        <f t="shared" si="340"/>
        <v>1610.28059614006</v>
      </c>
      <c r="CW174" s="21">
        <f t="shared" si="340"/>
        <v>1680.551292914495</v>
      </c>
      <c r="CX174" s="21">
        <f t="shared" si="340"/>
        <v>1753.3183761000555</v>
      </c>
      <c r="CY174" s="21">
        <f t="shared" si="340"/>
        <v>1828.225311417918</v>
      </c>
      <c r="CZ174" s="21">
        <f t="shared" si="340"/>
        <v>1905.9652095141719</v>
      </c>
      <c r="DA174" s="21">
        <f t="shared" si="340"/>
        <v>1986.4011682796227</v>
      </c>
      <c r="DB174" s="21">
        <f t="shared" si="340"/>
        <v>2069.4784931568174</v>
      </c>
      <c r="DE174" s="126"/>
      <c r="DF174" s="22">
        <v>1062.684545816925</v>
      </c>
    </row>
    <row r="175" spans="1:110" s="22" customFormat="1" x14ac:dyDescent="0.2">
      <c r="AB175" s="21"/>
      <c r="AC175" s="21"/>
      <c r="AD175" s="21"/>
      <c r="AE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E175" s="126"/>
    </row>
    <row r="176" spans="1:110" s="23" customFormat="1" x14ac:dyDescent="0.2">
      <c r="A176" s="23" t="s">
        <v>22</v>
      </c>
      <c r="B176" s="23">
        <f>'Annual Raw'!C45</f>
        <v>0</v>
      </c>
      <c r="C176" s="23">
        <f>'Annual Raw'!D45</f>
        <v>0</v>
      </c>
      <c r="D176" s="23">
        <f>'Annual Raw'!E45</f>
        <v>0</v>
      </c>
      <c r="E176" s="23">
        <f>'Annual Raw'!F45</f>
        <v>0</v>
      </c>
      <c r="F176" s="23">
        <f>'Annual Raw'!G45</f>
        <v>0</v>
      </c>
      <c r="G176" s="23">
        <f>'Annual Raw'!H45</f>
        <v>0</v>
      </c>
      <c r="H176" s="23">
        <f>'Annual Raw'!I45</f>
        <v>0</v>
      </c>
      <c r="I176" s="23">
        <f>'Annual Raw'!J45</f>
        <v>0</v>
      </c>
      <c r="J176" s="23">
        <f>'Annual Raw'!K45</f>
        <v>0</v>
      </c>
      <c r="K176" s="23">
        <f>'Annual Raw'!L45</f>
        <v>0</v>
      </c>
      <c r="L176" s="23">
        <f>'Annual Raw'!M45</f>
        <v>0</v>
      </c>
      <c r="M176" s="23">
        <f>'Annual Raw'!N45</f>
        <v>0</v>
      </c>
      <c r="N176" s="23">
        <f>'Annual Raw'!O45</f>
        <v>0</v>
      </c>
      <c r="O176" s="23">
        <f>'Annual Raw'!P45</f>
        <v>0</v>
      </c>
      <c r="P176" s="23">
        <f>'Annual Raw'!Q45</f>
        <v>0</v>
      </c>
      <c r="Q176" s="23">
        <f>'Annual Raw'!R45</f>
        <v>0</v>
      </c>
      <c r="R176" s="23">
        <f>'Annual Raw'!S45</f>
        <v>0</v>
      </c>
      <c r="S176" s="23">
        <f>'Annual Raw'!T45</f>
        <v>0</v>
      </c>
      <c r="T176" s="23">
        <f>'Annual Raw'!U45</f>
        <v>0</v>
      </c>
      <c r="U176" s="23">
        <f>'Annual Raw'!V45</f>
        <v>0</v>
      </c>
      <c r="V176" s="23">
        <f>'Annual Raw'!W45</f>
        <v>0</v>
      </c>
      <c r="W176" s="23">
        <f>'Annual Raw'!X45</f>
        <v>0</v>
      </c>
      <c r="X176" s="23">
        <f>'Annual Raw'!Y45</f>
        <v>0</v>
      </c>
      <c r="Y176" s="23">
        <f>'Annual Raw'!Z45</f>
        <v>0</v>
      </c>
      <c r="Z176" s="23">
        <f>'Annual Raw'!AA45</f>
        <v>0</v>
      </c>
      <c r="AA176" s="23">
        <f>'Annual Raw'!AB45</f>
        <v>0</v>
      </c>
      <c r="AB176" s="24">
        <f>+CP176</f>
        <v>0</v>
      </c>
      <c r="AC176" s="24">
        <f>+CT176</f>
        <v>0</v>
      </c>
      <c r="AD176" s="24">
        <f>+CX176</f>
        <v>0</v>
      </c>
      <c r="AE176" s="24">
        <f>+DB176</f>
        <v>0</v>
      </c>
      <c r="AJ176" s="23">
        <f>+'QTR Raw'!D60</f>
        <v>0</v>
      </c>
      <c r="AK176" s="23">
        <f t="shared" ref="AK176:CE176" si="341">+AJ176</f>
        <v>0</v>
      </c>
      <c r="AL176" s="23">
        <f>+'QTR Raw'!F60</f>
        <v>0</v>
      </c>
      <c r="AM176" s="23">
        <f t="shared" si="341"/>
        <v>0</v>
      </c>
      <c r="AN176" s="23">
        <f>+'QTR Raw'!H60</f>
        <v>0</v>
      </c>
      <c r="AO176" s="23">
        <f t="shared" si="341"/>
        <v>0</v>
      </c>
      <c r="AP176" s="23">
        <f>+'QTR Raw'!J60</f>
        <v>0</v>
      </c>
      <c r="AQ176" s="23">
        <f t="shared" si="341"/>
        <v>0</v>
      </c>
      <c r="AR176" s="23">
        <f>+'QTR Raw'!L60</f>
        <v>0</v>
      </c>
      <c r="AS176" s="23">
        <f t="shared" si="341"/>
        <v>0</v>
      </c>
      <c r="AT176" s="23">
        <f>+'QTR Raw'!N60</f>
        <v>0</v>
      </c>
      <c r="AU176" s="23">
        <f t="shared" si="341"/>
        <v>0</v>
      </c>
      <c r="AV176" s="23">
        <f>+'QTR Raw'!P60</f>
        <v>0</v>
      </c>
      <c r="AW176" s="23">
        <f t="shared" si="341"/>
        <v>0</v>
      </c>
      <c r="AX176" s="23">
        <f>+'QTR Raw'!R60</f>
        <v>0</v>
      </c>
      <c r="AY176" s="23">
        <f t="shared" si="341"/>
        <v>0</v>
      </c>
      <c r="AZ176" s="23">
        <f>+'QTR Raw'!T60</f>
        <v>0</v>
      </c>
      <c r="BA176" s="23">
        <f t="shared" si="341"/>
        <v>0</v>
      </c>
      <c r="BB176" s="23">
        <f>+'QTR Raw'!V60</f>
        <v>0</v>
      </c>
      <c r="BC176" s="23">
        <f t="shared" si="341"/>
        <v>0</v>
      </c>
      <c r="BD176" s="23">
        <f>+'QTR Raw'!X60</f>
        <v>0</v>
      </c>
      <c r="BE176" s="23">
        <f t="shared" si="341"/>
        <v>0</v>
      </c>
      <c r="BF176" s="23">
        <f>+'QTR Raw'!Z60</f>
        <v>0</v>
      </c>
      <c r="BG176" s="23">
        <f t="shared" si="341"/>
        <v>0</v>
      </c>
      <c r="BH176" s="22">
        <f>+'QTR Raw'!AB60</f>
        <v>0</v>
      </c>
      <c r="BI176" s="23">
        <f t="shared" si="341"/>
        <v>0</v>
      </c>
      <c r="BJ176" s="23">
        <f>+'QTR Raw'!AD60</f>
        <v>0</v>
      </c>
      <c r="BK176" s="23">
        <f t="shared" si="341"/>
        <v>0</v>
      </c>
      <c r="BL176" s="23">
        <f>+'QTR Raw'!AF60</f>
        <v>0</v>
      </c>
      <c r="BM176" s="23">
        <f t="shared" si="341"/>
        <v>0</v>
      </c>
      <c r="BN176" s="23">
        <f>+'QTR Raw'!AH60</f>
        <v>0</v>
      </c>
      <c r="BO176" s="23">
        <f t="shared" si="341"/>
        <v>0</v>
      </c>
      <c r="BP176" s="23">
        <f>+'QTR Raw'!AJ60</f>
        <v>0</v>
      </c>
      <c r="BQ176" s="23">
        <f t="shared" si="341"/>
        <v>0</v>
      </c>
      <c r="BR176" s="23">
        <f>+'QTR Raw'!AL60</f>
        <v>0</v>
      </c>
      <c r="BS176" s="23">
        <f t="shared" si="341"/>
        <v>0</v>
      </c>
      <c r="BT176" s="23">
        <f>+'QTR Raw'!AN60</f>
        <v>0</v>
      </c>
      <c r="BU176" s="23">
        <f t="shared" si="341"/>
        <v>0</v>
      </c>
      <c r="BV176" s="23">
        <f>+'QTR Raw'!AP60</f>
        <v>0</v>
      </c>
      <c r="BW176" s="23">
        <f t="shared" si="341"/>
        <v>0</v>
      </c>
      <c r="BX176" s="23">
        <f>+'QTR Raw'!AR60</f>
        <v>0</v>
      </c>
      <c r="BY176" s="23">
        <f t="shared" si="341"/>
        <v>0</v>
      </c>
      <c r="BZ176" s="23">
        <f>+'QTR Raw'!AT60</f>
        <v>0</v>
      </c>
      <c r="CA176" s="23">
        <f t="shared" si="341"/>
        <v>0</v>
      </c>
      <c r="CB176" s="23">
        <f>+'QTR Raw'!AV60</f>
        <v>0</v>
      </c>
      <c r="CC176" s="23">
        <f t="shared" si="341"/>
        <v>0</v>
      </c>
      <c r="CD176" s="23">
        <f>+'QTR Raw'!AX60</f>
        <v>0</v>
      </c>
      <c r="CE176" s="23">
        <f t="shared" si="341"/>
        <v>0</v>
      </c>
      <c r="CF176" s="23">
        <f>+'QTR Raw'!AZ60</f>
        <v>0</v>
      </c>
      <c r="CG176" s="23">
        <f>+CF176</f>
        <v>0</v>
      </c>
      <c r="CH176" s="23">
        <f t="shared" ref="CH176:CH181" si="342">Z176</f>
        <v>0</v>
      </c>
      <c r="CI176" s="23">
        <f>+CH176</f>
        <v>0</v>
      </c>
      <c r="CJ176" s="23">
        <f>+'QTR Raw'!BD60</f>
        <v>0</v>
      </c>
      <c r="CK176" s="23">
        <f>+CJ176</f>
        <v>0</v>
      </c>
      <c r="CL176" s="23">
        <f>+'QTR Raw'!BF60</f>
        <v>0</v>
      </c>
      <c r="CM176" s="24">
        <f t="shared" ref="CM176:DB176" si="343">+CL176</f>
        <v>0</v>
      </c>
      <c r="CN176" s="24">
        <f t="shared" si="343"/>
        <v>0</v>
      </c>
      <c r="CO176" s="24">
        <f t="shared" si="343"/>
        <v>0</v>
      </c>
      <c r="CP176" s="24">
        <f t="shared" si="343"/>
        <v>0</v>
      </c>
      <c r="CQ176" s="24">
        <f t="shared" si="343"/>
        <v>0</v>
      </c>
      <c r="CR176" s="24">
        <f t="shared" si="343"/>
        <v>0</v>
      </c>
      <c r="CS176" s="24">
        <f t="shared" si="343"/>
        <v>0</v>
      </c>
      <c r="CT176" s="24">
        <f t="shared" si="343"/>
        <v>0</v>
      </c>
      <c r="CU176" s="24">
        <f t="shared" si="343"/>
        <v>0</v>
      </c>
      <c r="CV176" s="24">
        <f t="shared" si="343"/>
        <v>0</v>
      </c>
      <c r="CW176" s="24">
        <f t="shared" si="343"/>
        <v>0</v>
      </c>
      <c r="CX176" s="24">
        <f t="shared" si="343"/>
        <v>0</v>
      </c>
      <c r="CY176" s="24">
        <f t="shared" si="343"/>
        <v>0</v>
      </c>
      <c r="CZ176" s="24">
        <f t="shared" si="343"/>
        <v>0</v>
      </c>
      <c r="DA176" s="24">
        <f t="shared" si="343"/>
        <v>0</v>
      </c>
      <c r="DB176" s="24">
        <f t="shared" si="343"/>
        <v>0</v>
      </c>
      <c r="DE176" s="123"/>
      <c r="DF176" s="23">
        <v>0</v>
      </c>
    </row>
    <row r="177" spans="1:110" s="23" customFormat="1" x14ac:dyDescent="0.2">
      <c r="AB177" s="24"/>
      <c r="AC177" s="24"/>
      <c r="AD177" s="24"/>
      <c r="AE177" s="24"/>
      <c r="BH177" s="22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23" customFormat="1" outlineLevel="1" x14ac:dyDescent="0.2">
      <c r="A178" s="23" t="s">
        <v>44</v>
      </c>
      <c r="B178" s="23">
        <f>'Annual Raw'!C47</f>
        <v>72.910682899999998</v>
      </c>
      <c r="C178" s="23">
        <f>'Annual Raw'!D47</f>
        <v>66.359123600000004</v>
      </c>
      <c r="D178" s="23">
        <f>'Annual Raw'!E47</f>
        <v>99.220855200000003</v>
      </c>
      <c r="E178" s="23">
        <f>'Annual Raw'!F47</f>
        <v>158.01655909999999</v>
      </c>
      <c r="F178" s="23">
        <f>'Annual Raw'!G47</f>
        <v>180.0432668</v>
      </c>
      <c r="G178" s="23">
        <f>'Annual Raw'!H47</f>
        <v>291.96325810000002</v>
      </c>
      <c r="H178" s="23">
        <f>'Annual Raw'!I47</f>
        <v>603.9368283</v>
      </c>
      <c r="I178" s="23">
        <f>'Annual Raw'!J47</f>
        <v>677.54287650000003</v>
      </c>
      <c r="J178" s="23">
        <f>'Annual Raw'!K47</f>
        <v>666.16610290000006</v>
      </c>
      <c r="K178" s="23">
        <f>'Annual Raw'!L47</f>
        <v>670.78587479999999</v>
      </c>
      <c r="L178" s="23">
        <f>'Annual Raw'!M47</f>
        <v>361.12</v>
      </c>
      <c r="M178" s="23">
        <f>'Annual Raw'!N47</f>
        <v>394.11</v>
      </c>
      <c r="N178" s="23">
        <f>'Annual Raw'!O47</f>
        <v>344.86</v>
      </c>
      <c r="O178" s="23">
        <f>'Annual Raw'!P47</f>
        <v>275.86</v>
      </c>
      <c r="P178" s="23">
        <f>'Annual Raw'!Q47</f>
        <v>257.77999999999997</v>
      </c>
      <c r="Q178" s="23">
        <f>'Annual Raw'!R47</f>
        <v>264.70999999999998</v>
      </c>
      <c r="R178" s="23">
        <f>'Annual Raw'!S47</f>
        <v>327.11</v>
      </c>
      <c r="S178" s="23">
        <f>'Annual Raw'!T47</f>
        <v>344.3</v>
      </c>
      <c r="T178" s="23">
        <f>'Annual Raw'!U47</f>
        <v>285.17</v>
      </c>
      <c r="U178" s="23">
        <f>'Annual Raw'!V47</f>
        <v>242.28</v>
      </c>
      <c r="V178" s="23">
        <f>'Annual Raw'!W47</f>
        <v>204.37</v>
      </c>
      <c r="W178" s="23">
        <f>'Annual Raw'!X47</f>
        <v>180.55</v>
      </c>
      <c r="X178" s="23">
        <f>'Annual Raw'!Y47</f>
        <v>339.53</v>
      </c>
      <c r="Y178" s="23">
        <f>'Annual Raw'!Z47</f>
        <v>618.72</v>
      </c>
      <c r="Z178" s="23">
        <f>'Annual Raw'!AA47</f>
        <v>721.69</v>
      </c>
      <c r="AA178" s="23">
        <f>'Annual Raw'!AB47</f>
        <v>719.4</v>
      </c>
      <c r="AB178" s="24">
        <f>+CP178</f>
        <v>0</v>
      </c>
      <c r="AC178" s="24">
        <f>+CT178</f>
        <v>0</v>
      </c>
      <c r="AD178" s="24">
        <f>+CX178</f>
        <v>0</v>
      </c>
      <c r="AE178" s="24">
        <f>+DB178</f>
        <v>0</v>
      </c>
      <c r="AJ178" s="23">
        <f>+'QTR Raw'!D62</f>
        <v>0</v>
      </c>
      <c r="AK178" s="23">
        <f t="shared" ref="AK178:CC181" si="344">+AJ178</f>
        <v>0</v>
      </c>
      <c r="AL178" s="23">
        <f>+'QTR Raw'!F62</f>
        <v>0</v>
      </c>
      <c r="AM178" s="23">
        <f t="shared" si="344"/>
        <v>0</v>
      </c>
      <c r="AN178" s="23">
        <f>+'QTR Raw'!H62</f>
        <v>0</v>
      </c>
      <c r="AO178" s="23">
        <f t="shared" si="344"/>
        <v>0</v>
      </c>
      <c r="AP178" s="23">
        <f>+'QTR Raw'!J62</f>
        <v>0</v>
      </c>
      <c r="AQ178" s="23">
        <f t="shared" si="344"/>
        <v>0</v>
      </c>
      <c r="AR178" s="23">
        <f>+'QTR Raw'!L62</f>
        <v>0</v>
      </c>
      <c r="AS178" s="23">
        <f t="shared" si="344"/>
        <v>0</v>
      </c>
      <c r="AT178" s="23">
        <f>+'QTR Raw'!N62</f>
        <v>0</v>
      </c>
      <c r="AU178" s="23">
        <f t="shared" si="344"/>
        <v>0</v>
      </c>
      <c r="AV178" s="23">
        <f>+'QTR Raw'!P62</f>
        <v>0</v>
      </c>
      <c r="AW178" s="23">
        <f t="shared" si="344"/>
        <v>0</v>
      </c>
      <c r="AX178" s="23">
        <f>+'QTR Raw'!R62</f>
        <v>0</v>
      </c>
      <c r="AY178" s="23">
        <f t="shared" si="344"/>
        <v>0</v>
      </c>
      <c r="AZ178" s="23">
        <f>+'QTR Raw'!T62</f>
        <v>0</v>
      </c>
      <c r="BA178" s="23">
        <f t="shared" si="344"/>
        <v>0</v>
      </c>
      <c r="BB178" s="23">
        <f>+'QTR Raw'!V62</f>
        <v>0</v>
      </c>
      <c r="BC178" s="23">
        <f t="shared" si="344"/>
        <v>0</v>
      </c>
      <c r="BD178" s="23">
        <f>+'QTR Raw'!X62</f>
        <v>0</v>
      </c>
      <c r="BE178" s="23">
        <f t="shared" si="344"/>
        <v>0</v>
      </c>
      <c r="BF178" s="23">
        <f>+'QTR Raw'!Z62</f>
        <v>0</v>
      </c>
      <c r="BG178" s="23">
        <f t="shared" si="344"/>
        <v>0</v>
      </c>
      <c r="BH178" s="22">
        <f>+'QTR Raw'!AB62</f>
        <v>0</v>
      </c>
      <c r="BI178" s="23">
        <f t="shared" si="344"/>
        <v>0</v>
      </c>
      <c r="BJ178" s="23">
        <f>+'QTR Raw'!AD62</f>
        <v>0</v>
      </c>
      <c r="BK178" s="23">
        <f t="shared" si="344"/>
        <v>0</v>
      </c>
      <c r="BL178" s="23">
        <f>+'QTR Raw'!AF62</f>
        <v>0</v>
      </c>
      <c r="BM178" s="23">
        <f t="shared" si="344"/>
        <v>0</v>
      </c>
      <c r="BN178" s="23">
        <f>+'QTR Raw'!AH62</f>
        <v>0</v>
      </c>
      <c r="BO178" s="23">
        <f t="shared" si="344"/>
        <v>0</v>
      </c>
      <c r="BP178" s="23">
        <f>+'QTR Raw'!AJ62</f>
        <v>0</v>
      </c>
      <c r="BQ178" s="23">
        <f t="shared" si="344"/>
        <v>0</v>
      </c>
      <c r="BR178" s="23">
        <f>+'QTR Raw'!AL62</f>
        <v>0</v>
      </c>
      <c r="BS178" s="23">
        <f t="shared" si="344"/>
        <v>0</v>
      </c>
      <c r="BT178" s="23">
        <f>+'QTR Raw'!AN62</f>
        <v>0</v>
      </c>
      <c r="BU178" s="23">
        <f t="shared" si="344"/>
        <v>0</v>
      </c>
      <c r="BV178" s="23">
        <f>+'QTR Raw'!AP62</f>
        <v>0</v>
      </c>
      <c r="BW178" s="23">
        <f t="shared" si="344"/>
        <v>0</v>
      </c>
      <c r="BX178" s="23">
        <f>+'QTR Raw'!AR62</f>
        <v>0</v>
      </c>
      <c r="BY178" s="23">
        <f t="shared" si="344"/>
        <v>0</v>
      </c>
      <c r="BZ178" s="23">
        <f>+'QTR Raw'!AT62</f>
        <v>0</v>
      </c>
      <c r="CA178" s="23">
        <f t="shared" si="344"/>
        <v>0</v>
      </c>
      <c r="CB178" s="23">
        <f>+'QTR Raw'!AV62</f>
        <v>0</v>
      </c>
      <c r="CC178" s="23">
        <f t="shared" si="344"/>
        <v>0</v>
      </c>
      <c r="CD178" s="23">
        <f>+'QTR Raw'!AX62</f>
        <v>0</v>
      </c>
      <c r="CE178" s="23">
        <f>+CD178</f>
        <v>0</v>
      </c>
      <c r="CF178" s="23">
        <f>+'QTR Raw'!AZ62</f>
        <v>0</v>
      </c>
      <c r="CG178" s="23">
        <f t="shared" ref="CG178:CI181" si="345">+CF178</f>
        <v>0</v>
      </c>
      <c r="CH178" s="23">
        <f t="shared" si="342"/>
        <v>721.69</v>
      </c>
      <c r="CI178" s="23">
        <f t="shared" si="345"/>
        <v>721.69</v>
      </c>
      <c r="CJ178" s="23">
        <f>+'QTR Raw'!BD62</f>
        <v>0</v>
      </c>
      <c r="CK178" s="23">
        <f>+CJ178</f>
        <v>0</v>
      </c>
      <c r="CL178" s="23">
        <f>+'QTR Raw'!BF62</f>
        <v>0</v>
      </c>
      <c r="CM178" s="24">
        <f t="shared" ref="CM178:DB178" si="346">+CL178</f>
        <v>0</v>
      </c>
      <c r="CN178" s="24">
        <f t="shared" si="346"/>
        <v>0</v>
      </c>
      <c r="CO178" s="24">
        <f t="shared" si="346"/>
        <v>0</v>
      </c>
      <c r="CP178" s="24">
        <f t="shared" si="346"/>
        <v>0</v>
      </c>
      <c r="CQ178" s="24">
        <f t="shared" si="346"/>
        <v>0</v>
      </c>
      <c r="CR178" s="24">
        <f t="shared" si="346"/>
        <v>0</v>
      </c>
      <c r="CS178" s="24">
        <f t="shared" si="346"/>
        <v>0</v>
      </c>
      <c r="CT178" s="24">
        <f t="shared" si="346"/>
        <v>0</v>
      </c>
      <c r="CU178" s="24">
        <f t="shared" si="346"/>
        <v>0</v>
      </c>
      <c r="CV178" s="24">
        <f t="shared" si="346"/>
        <v>0</v>
      </c>
      <c r="CW178" s="24">
        <f t="shared" si="346"/>
        <v>0</v>
      </c>
      <c r="CX178" s="24">
        <f t="shared" si="346"/>
        <v>0</v>
      </c>
      <c r="CY178" s="24">
        <f t="shared" si="346"/>
        <v>0</v>
      </c>
      <c r="CZ178" s="24">
        <f t="shared" si="346"/>
        <v>0</v>
      </c>
      <c r="DA178" s="24">
        <f t="shared" si="346"/>
        <v>0</v>
      </c>
      <c r="DB178" s="24">
        <f t="shared" si="346"/>
        <v>0</v>
      </c>
      <c r="DE178" s="123"/>
      <c r="DF178" s="23">
        <v>0</v>
      </c>
    </row>
    <row r="179" spans="1:110" s="23" customFormat="1" outlineLevel="1" x14ac:dyDescent="0.2">
      <c r="A179" s="23" t="s">
        <v>45</v>
      </c>
      <c r="B179" s="23">
        <f>'Annual Raw'!C48</f>
        <v>1.73</v>
      </c>
      <c r="C179" s="23">
        <f>'Annual Raw'!D48</f>
        <v>5.21</v>
      </c>
      <c r="D179" s="23">
        <f>'Annual Raw'!E48</f>
        <v>5.21</v>
      </c>
      <c r="E179" s="23">
        <f>'Annual Raw'!F48</f>
        <v>6.2685000000000004</v>
      </c>
      <c r="F179" s="23">
        <f>'Annual Raw'!G48</f>
        <v>5</v>
      </c>
      <c r="G179" s="23">
        <f>'Annual Raw'!H48</f>
        <v>20</v>
      </c>
      <c r="H179" s="23">
        <f>'Annual Raw'!I48</f>
        <v>40.814270200000003</v>
      </c>
      <c r="I179" s="23">
        <f>'Annual Raw'!J48</f>
        <v>52.085070199999997</v>
      </c>
      <c r="J179" s="23">
        <f>'Annual Raw'!K48</f>
        <v>26.642502199999999</v>
      </c>
      <c r="K179" s="23">
        <f>'Annual Raw'!L48</f>
        <v>21.806000000000001</v>
      </c>
      <c r="L179" s="23">
        <f>'Annual Raw'!M48</f>
        <v>45</v>
      </c>
      <c r="M179" s="23">
        <f>'Annual Raw'!N48</f>
        <v>49.96</v>
      </c>
      <c r="N179" s="23">
        <f>'Annual Raw'!O48</f>
        <v>0</v>
      </c>
      <c r="O179" s="23">
        <f>'Annual Raw'!P48</f>
        <v>0</v>
      </c>
      <c r="P179" s="23">
        <f>'Annual Raw'!Q48</f>
        <v>0</v>
      </c>
      <c r="Q179" s="23">
        <f>'Annual Raw'!R48</f>
        <v>16.63</v>
      </c>
      <c r="R179" s="23">
        <f>'Annual Raw'!S48</f>
        <v>0</v>
      </c>
      <c r="S179" s="23">
        <f>'Annual Raw'!T48</f>
        <v>0</v>
      </c>
      <c r="T179" s="23">
        <f>'Annual Raw'!U48</f>
        <v>0</v>
      </c>
      <c r="U179" s="23">
        <f>'Annual Raw'!V48</f>
        <v>0</v>
      </c>
      <c r="V179" s="23">
        <f>'Annual Raw'!W48</f>
        <v>0</v>
      </c>
      <c r="W179" s="23">
        <f>'Annual Raw'!X48</f>
        <v>0</v>
      </c>
      <c r="X179" s="23">
        <f>'Annual Raw'!Y48</f>
        <v>0</v>
      </c>
      <c r="Y179" s="23">
        <f>'Annual Raw'!Z48</f>
        <v>0</v>
      </c>
      <c r="Z179" s="23">
        <f>'Annual Raw'!AA48</f>
        <v>0</v>
      </c>
      <c r="AA179" s="23">
        <f>'Annual Raw'!AB48</f>
        <v>0</v>
      </c>
      <c r="AB179" s="24">
        <f>+CP179</f>
        <v>631.4</v>
      </c>
      <c r="AC179" s="24">
        <f>+CT179</f>
        <v>759.4</v>
      </c>
      <c r="AD179" s="24">
        <f>+CX179</f>
        <v>615.4</v>
      </c>
      <c r="AE179" s="24">
        <f>+DB179</f>
        <v>471.4</v>
      </c>
      <c r="AJ179" s="23">
        <f>+'QTR Raw'!D63</f>
        <v>387.85</v>
      </c>
      <c r="AK179" s="23">
        <f t="shared" si="344"/>
        <v>387.85</v>
      </c>
      <c r="AL179" s="23">
        <f>+'QTR Raw'!F63</f>
        <v>344.86</v>
      </c>
      <c r="AM179" s="23">
        <f t="shared" si="344"/>
        <v>344.86</v>
      </c>
      <c r="AN179" s="23">
        <f>+'QTR Raw'!H63</f>
        <v>296.25</v>
      </c>
      <c r="AO179" s="23">
        <f t="shared" si="344"/>
        <v>296.25</v>
      </c>
      <c r="AP179" s="23">
        <f>+'QTR Raw'!J63</f>
        <v>275.86</v>
      </c>
      <c r="AQ179" s="23">
        <f t="shared" si="344"/>
        <v>275.86</v>
      </c>
      <c r="AR179" s="23">
        <f>+'QTR Raw'!L63</f>
        <v>252.64</v>
      </c>
      <c r="AS179" s="23">
        <f t="shared" si="344"/>
        <v>252.64</v>
      </c>
      <c r="AT179" s="23">
        <f>+'QTR Raw'!N63</f>
        <v>257.77999999999997</v>
      </c>
      <c r="AU179" s="23">
        <f t="shared" si="344"/>
        <v>257.77999999999997</v>
      </c>
      <c r="AV179" s="23">
        <f>+'QTR Raw'!P63</f>
        <v>236.2</v>
      </c>
      <c r="AW179" s="23">
        <f t="shared" si="344"/>
        <v>236.2</v>
      </c>
      <c r="AX179" s="23">
        <f>+'QTR Raw'!R63</f>
        <v>281.33999999999997</v>
      </c>
      <c r="AY179" s="23">
        <f t="shared" si="344"/>
        <v>281.33999999999997</v>
      </c>
      <c r="AZ179" s="23">
        <f>+'QTR Raw'!T63</f>
        <v>308.64999999999998</v>
      </c>
      <c r="BA179" s="23">
        <f t="shared" si="344"/>
        <v>308.64999999999998</v>
      </c>
      <c r="BB179" s="23">
        <f>+'QTR Raw'!V63</f>
        <v>327.11</v>
      </c>
      <c r="BC179" s="23">
        <f t="shared" si="344"/>
        <v>327.11</v>
      </c>
      <c r="BD179" s="23">
        <f>+'QTR Raw'!X63</f>
        <v>327.95</v>
      </c>
      <c r="BE179" s="23">
        <f t="shared" si="344"/>
        <v>327.95</v>
      </c>
      <c r="BF179" s="23">
        <f>+'QTR Raw'!Z63</f>
        <v>344.3</v>
      </c>
      <c r="BG179" s="23">
        <f t="shared" si="344"/>
        <v>344.3</v>
      </c>
      <c r="BH179" s="23">
        <f>+'QTR Raw'!AB63</f>
        <v>311.52</v>
      </c>
      <c r="BI179" s="23">
        <f t="shared" si="344"/>
        <v>311.52</v>
      </c>
      <c r="BJ179" s="23">
        <f>+'QTR Raw'!AD63</f>
        <v>285.17</v>
      </c>
      <c r="BK179" s="23">
        <f t="shared" si="344"/>
        <v>285.17</v>
      </c>
      <c r="BL179" s="23">
        <f>+'QTR Raw'!AF63</f>
        <v>245.25</v>
      </c>
      <c r="BM179" s="23">
        <f t="shared" si="344"/>
        <v>245.25</v>
      </c>
      <c r="BN179" s="23">
        <f>+'QTR Raw'!AH63</f>
        <v>242.28</v>
      </c>
      <c r="BO179" s="23">
        <f t="shared" si="344"/>
        <v>242.28</v>
      </c>
      <c r="BP179" s="23">
        <f>+'QTR Raw'!AJ63</f>
        <v>248.38</v>
      </c>
      <c r="BQ179" s="23">
        <f t="shared" si="344"/>
        <v>248.38</v>
      </c>
      <c r="BR179" s="23">
        <f>+'QTR Raw'!AL63</f>
        <v>204.37</v>
      </c>
      <c r="BS179" s="23">
        <f t="shared" si="344"/>
        <v>204.37</v>
      </c>
      <c r="BT179" s="23">
        <f>+'QTR Raw'!AN63</f>
        <v>168.53</v>
      </c>
      <c r="BU179" s="23">
        <f t="shared" si="344"/>
        <v>168.53</v>
      </c>
      <c r="BV179" s="23">
        <f>+'QTR Raw'!AP63</f>
        <v>180.55</v>
      </c>
      <c r="BW179" s="23">
        <f t="shared" si="344"/>
        <v>180.55</v>
      </c>
      <c r="BX179" s="23">
        <f>+'QTR Raw'!AR63</f>
        <v>255.9</v>
      </c>
      <c r="BY179" s="23">
        <f t="shared" si="344"/>
        <v>255.9</v>
      </c>
      <c r="BZ179" s="23">
        <f>+'QTR Raw'!AT63</f>
        <v>339.53</v>
      </c>
      <c r="CA179" s="23">
        <f t="shared" si="344"/>
        <v>339.53</v>
      </c>
      <c r="CB179" s="23">
        <f>+'QTR Raw'!AV63</f>
        <v>425.85</v>
      </c>
      <c r="CC179" s="23">
        <f t="shared" si="344"/>
        <v>425.85</v>
      </c>
      <c r="CD179" s="23">
        <f>+'QTR Raw'!AX63</f>
        <v>618.72</v>
      </c>
      <c r="CE179" s="23">
        <f>+CD179</f>
        <v>618.72</v>
      </c>
      <c r="CF179" s="23">
        <f>+'QTR Raw'!AZ63</f>
        <v>740.18</v>
      </c>
      <c r="CG179" s="23">
        <f t="shared" si="345"/>
        <v>740.18</v>
      </c>
      <c r="CH179" s="23">
        <f t="shared" si="342"/>
        <v>0</v>
      </c>
      <c r="CI179" s="23">
        <f t="shared" si="345"/>
        <v>0</v>
      </c>
      <c r="CJ179" s="23">
        <f>+'QTR Raw'!BD63</f>
        <v>736.3</v>
      </c>
      <c r="CK179" s="23">
        <f>+CJ179</f>
        <v>736.3</v>
      </c>
      <c r="CL179" s="23">
        <f>+'QTR Raw'!BF63</f>
        <v>719.4</v>
      </c>
      <c r="CM179" s="24">
        <f>+CL179-22</f>
        <v>697.4</v>
      </c>
      <c r="CN179" s="24">
        <f>+CM179-22</f>
        <v>675.4</v>
      </c>
      <c r="CO179" s="24">
        <f>+CN179-22</f>
        <v>653.4</v>
      </c>
      <c r="CP179" s="24">
        <f>+CO179-22</f>
        <v>631.4</v>
      </c>
      <c r="CQ179" s="24">
        <f>+CP179+32</f>
        <v>663.4</v>
      </c>
      <c r="CR179" s="24">
        <f>+CQ179+32</f>
        <v>695.4</v>
      </c>
      <c r="CS179" s="24">
        <f>+CR179+32</f>
        <v>727.4</v>
      </c>
      <c r="CT179" s="24">
        <f>+CS179+32</f>
        <v>759.4</v>
      </c>
      <c r="CU179" s="24">
        <f>+CT179-36</f>
        <v>723.4</v>
      </c>
      <c r="CV179" s="24">
        <f t="shared" ref="CV179:DB179" si="347">+CU179-36</f>
        <v>687.4</v>
      </c>
      <c r="CW179" s="24">
        <f t="shared" si="347"/>
        <v>651.4</v>
      </c>
      <c r="CX179" s="24">
        <f t="shared" si="347"/>
        <v>615.4</v>
      </c>
      <c r="CY179" s="24">
        <f t="shared" si="347"/>
        <v>579.4</v>
      </c>
      <c r="CZ179" s="24">
        <f t="shared" si="347"/>
        <v>543.4</v>
      </c>
      <c r="DA179" s="24">
        <f t="shared" si="347"/>
        <v>507.4</v>
      </c>
      <c r="DB179" s="24">
        <f t="shared" si="347"/>
        <v>471.4</v>
      </c>
      <c r="DE179" s="123"/>
      <c r="DF179" s="23">
        <v>736.3</v>
      </c>
    </row>
    <row r="180" spans="1:110" s="23" customFormat="1" outlineLevel="1" x14ac:dyDescent="0.2">
      <c r="A180" s="23" t="s">
        <v>46</v>
      </c>
      <c r="B180" s="23">
        <f>'Annual Raw'!C87+'Annual Raw'!C88+'Annual Raw'!C89+'Annual Raw'!C90</f>
        <v>0</v>
      </c>
      <c r="C180" s="23">
        <f>'Annual Raw'!D87+'Annual Raw'!D88+'Annual Raw'!D89+'Annual Raw'!D90</f>
        <v>0</v>
      </c>
      <c r="D180" s="23">
        <f>'Annual Raw'!E87+'Annual Raw'!E88+'Annual Raw'!E89+'Annual Raw'!E90</f>
        <v>0</v>
      </c>
      <c r="E180" s="23">
        <f>'Annual Raw'!F87+'Annual Raw'!F88+'Annual Raw'!F89+'Annual Raw'!F90</f>
        <v>0</v>
      </c>
      <c r="F180" s="23">
        <f>'Annual Raw'!G87+'Annual Raw'!G88+'Annual Raw'!G89+'Annual Raw'!G90</f>
        <v>0</v>
      </c>
      <c r="G180" s="23">
        <f>'Annual Raw'!H87+'Annual Raw'!H88+'Annual Raw'!H89+'Annual Raw'!H90</f>
        <v>0</v>
      </c>
      <c r="H180" s="23">
        <f>'Annual Raw'!I87+'Annual Raw'!I88+'Annual Raw'!I89+'Annual Raw'!I90</f>
        <v>0</v>
      </c>
      <c r="I180" s="23">
        <f>'Annual Raw'!J87+'Annual Raw'!J88+'Annual Raw'!J89+'Annual Raw'!J90</f>
        <v>0</v>
      </c>
      <c r="J180" s="23">
        <f>'Annual Raw'!K87+'Annual Raw'!K88+'Annual Raw'!K89+'Annual Raw'!K90</f>
        <v>0</v>
      </c>
      <c r="K180" s="23">
        <f>'Annual Raw'!L87+'Annual Raw'!L88+'Annual Raw'!L89+'Annual Raw'!L90</f>
        <v>0</v>
      </c>
      <c r="L180" s="23">
        <f>'Annual Raw'!M87+'Annual Raw'!M88+'Annual Raw'!M89+'Annual Raw'!M90</f>
        <v>75.819999999999993</v>
      </c>
      <c r="M180" s="23">
        <f>'Annual Raw'!N87+'Annual Raw'!N88+'Annual Raw'!N89+'Annual Raw'!N90</f>
        <v>70.760000000000005</v>
      </c>
      <c r="N180" s="23">
        <f>'Annual Raw'!O87+'Annual Raw'!O88+'Annual Raw'!O89+'Annual Raw'!O90</f>
        <v>99.37</v>
      </c>
      <c r="O180" s="23">
        <f>'Annual Raw'!P87+'Annual Raw'!P88+'Annual Raw'!P89+'Annual Raw'!P90</f>
        <v>94.23</v>
      </c>
      <c r="P180" s="23">
        <f>'Annual Raw'!Q87+'Annual Raw'!Q88+'Annual Raw'!Q89+'Annual Raw'!Q90</f>
        <v>82.1</v>
      </c>
      <c r="Q180" s="23">
        <f>'Annual Raw'!R87+'Annual Raw'!R88+'Annual Raw'!R89+'Annual Raw'!R90</f>
        <v>66.010000000000005</v>
      </c>
      <c r="R180" s="23">
        <f>'Annual Raw'!S87+'Annual Raw'!S88+'Annual Raw'!S89+'Annual Raw'!S90</f>
        <v>61.24</v>
      </c>
      <c r="S180" s="23">
        <f>'Annual Raw'!T87+'Annual Raw'!T88+'Annual Raw'!T89+'Annual Raw'!T90</f>
        <v>70.790000000000006</v>
      </c>
      <c r="T180" s="23">
        <f>'Annual Raw'!U87+'Annual Raw'!U88+'Annual Raw'!U89+'Annual Raw'!U90</f>
        <v>67.06</v>
      </c>
      <c r="U180" s="23">
        <f>'Annual Raw'!V87+'Annual Raw'!V88+'Annual Raw'!V89+'Annual Raw'!V90</f>
        <v>46.5</v>
      </c>
      <c r="V180" s="23">
        <f>'Annual Raw'!W87+'Annual Raw'!W88+'Annual Raw'!W89+'Annual Raw'!W90</f>
        <v>75.67</v>
      </c>
      <c r="W180" s="23">
        <f>'Annual Raw'!X87+'Annual Raw'!X88+'Annual Raw'!X89+'Annual Raw'!X90</f>
        <v>61.79</v>
      </c>
      <c r="X180" s="23">
        <f>'Annual Raw'!Y87+'Annual Raw'!Y88+'Annual Raw'!Y89+'Annual Raw'!Y90</f>
        <v>49.93</v>
      </c>
      <c r="Y180" s="23">
        <f>'Annual Raw'!Z87+'Annual Raw'!Z88+'Annual Raw'!Z89+'Annual Raw'!Z90</f>
        <v>54.92</v>
      </c>
      <c r="Z180" s="23">
        <f>'Annual Raw'!AA87+'Annual Raw'!AA88+'Annual Raw'!AA89+'Annual Raw'!AA90</f>
        <v>61.41</v>
      </c>
      <c r="AA180" s="23">
        <f>'Annual Raw'!AB87+'Annual Raw'!AB88+'Annual Raw'!AB89+'Annual Raw'!AB90</f>
        <v>92.83</v>
      </c>
      <c r="AB180" s="24">
        <f>+CP180</f>
        <v>0</v>
      </c>
      <c r="AC180" s="24">
        <f>+CT180</f>
        <v>0</v>
      </c>
      <c r="AD180" s="24">
        <f>+CX180</f>
        <v>0</v>
      </c>
      <c r="AE180" s="24">
        <f>+DB180</f>
        <v>0</v>
      </c>
      <c r="AJ180" s="23">
        <f>+'QTR Raw'!D90</f>
        <v>0</v>
      </c>
      <c r="AK180" s="23">
        <f t="shared" si="344"/>
        <v>0</v>
      </c>
      <c r="AL180" s="23">
        <f>+'QTR Raw'!F90</f>
        <v>0</v>
      </c>
      <c r="AM180" s="23">
        <f t="shared" si="344"/>
        <v>0</v>
      </c>
      <c r="AN180" s="23">
        <f>+'QTR Raw'!H90</f>
        <v>0</v>
      </c>
      <c r="AO180" s="23">
        <f t="shared" si="344"/>
        <v>0</v>
      </c>
      <c r="AP180" s="23">
        <f>+'QTR Raw'!J90</f>
        <v>0</v>
      </c>
      <c r="AQ180" s="23">
        <f t="shared" si="344"/>
        <v>0</v>
      </c>
      <c r="AR180" s="23">
        <f>+'QTR Raw'!L90</f>
        <v>0</v>
      </c>
      <c r="AS180" s="23">
        <f t="shared" si="344"/>
        <v>0</v>
      </c>
      <c r="AT180" s="23">
        <f>+'QTR Raw'!N90</f>
        <v>0</v>
      </c>
      <c r="AU180" s="23">
        <f t="shared" si="344"/>
        <v>0</v>
      </c>
      <c r="AV180" s="23">
        <f>+'QTR Raw'!P90</f>
        <v>0</v>
      </c>
      <c r="AW180" s="23">
        <f t="shared" si="344"/>
        <v>0</v>
      </c>
      <c r="AX180" s="23">
        <f>+'QTR Raw'!R90</f>
        <v>0</v>
      </c>
      <c r="AY180" s="23">
        <f t="shared" si="344"/>
        <v>0</v>
      </c>
      <c r="AZ180" s="23">
        <f>+'QTR Raw'!T90</f>
        <v>0</v>
      </c>
      <c r="BA180" s="23">
        <f t="shared" si="344"/>
        <v>0</v>
      </c>
      <c r="BB180" s="23">
        <f>+'QTR Raw'!V90</f>
        <v>0</v>
      </c>
      <c r="BC180" s="23">
        <f t="shared" si="344"/>
        <v>0</v>
      </c>
      <c r="BD180" s="23">
        <f>+'QTR Raw'!X90</f>
        <v>0</v>
      </c>
      <c r="BE180" s="23">
        <f t="shared" si="344"/>
        <v>0</v>
      </c>
      <c r="BF180" s="23">
        <f>+'QTR Raw'!Z90</f>
        <v>0</v>
      </c>
      <c r="BG180" s="23">
        <f t="shared" si="344"/>
        <v>0</v>
      </c>
      <c r="BH180" s="22">
        <f>+'QTR Raw'!AB90</f>
        <v>0</v>
      </c>
      <c r="BI180" s="23">
        <f t="shared" si="344"/>
        <v>0</v>
      </c>
      <c r="BJ180" s="23">
        <f>+'QTR Raw'!AD90</f>
        <v>0</v>
      </c>
      <c r="BK180" s="23">
        <f t="shared" si="344"/>
        <v>0</v>
      </c>
      <c r="BL180" s="23">
        <f>+'QTR Raw'!AF90</f>
        <v>0</v>
      </c>
      <c r="BM180" s="23">
        <f t="shared" si="344"/>
        <v>0</v>
      </c>
      <c r="BN180" s="23">
        <f>+'QTR Raw'!AH90</f>
        <v>0</v>
      </c>
      <c r="BO180" s="23">
        <f t="shared" si="344"/>
        <v>0</v>
      </c>
      <c r="BP180" s="23">
        <f>+'QTR Raw'!AJ90</f>
        <v>0</v>
      </c>
      <c r="BQ180" s="23">
        <f t="shared" si="344"/>
        <v>0</v>
      </c>
      <c r="BR180" s="23">
        <f>+'QTR Raw'!AL90</f>
        <v>0</v>
      </c>
      <c r="BS180" s="23">
        <f t="shared" si="344"/>
        <v>0</v>
      </c>
      <c r="BT180" s="23">
        <f>+'QTR Raw'!AN90</f>
        <v>0</v>
      </c>
      <c r="BU180" s="23">
        <f t="shared" si="344"/>
        <v>0</v>
      </c>
      <c r="BV180" s="23">
        <f>+'QTR Raw'!AP90</f>
        <v>0</v>
      </c>
      <c r="BW180" s="23">
        <f t="shared" si="344"/>
        <v>0</v>
      </c>
      <c r="BX180" s="23">
        <f>+'QTR Raw'!AR90</f>
        <v>0</v>
      </c>
      <c r="BY180" s="23">
        <f t="shared" si="344"/>
        <v>0</v>
      </c>
      <c r="BZ180" s="23">
        <f>+'QTR Raw'!AT90</f>
        <v>0</v>
      </c>
      <c r="CA180" s="23">
        <f t="shared" si="344"/>
        <v>0</v>
      </c>
      <c r="CB180" s="23">
        <f>+'QTR Raw'!AV90</f>
        <v>0</v>
      </c>
      <c r="CC180" s="23">
        <f t="shared" si="344"/>
        <v>0</v>
      </c>
      <c r="CD180" s="23">
        <f>+'QTR Raw'!AX90</f>
        <v>0</v>
      </c>
      <c r="CE180" s="23">
        <f>+CD180</f>
        <v>0</v>
      </c>
      <c r="CF180" s="23">
        <f>+'QTR Raw'!AZ90</f>
        <v>0</v>
      </c>
      <c r="CG180" s="23">
        <f t="shared" si="345"/>
        <v>0</v>
      </c>
      <c r="CH180" s="23">
        <f>+Z180</f>
        <v>61.41</v>
      </c>
      <c r="CI180" s="23">
        <f t="shared" si="345"/>
        <v>61.41</v>
      </c>
      <c r="CJ180" s="23">
        <f>+'QTR Raw'!BD90</f>
        <v>0</v>
      </c>
      <c r="CK180" s="23">
        <f>+CJ180</f>
        <v>0</v>
      </c>
      <c r="CL180" s="23">
        <f>+'QTR Raw'!BF90</f>
        <v>0</v>
      </c>
      <c r="CM180" s="24">
        <f t="shared" ref="CM180:DB180" si="348">+CL180</f>
        <v>0</v>
      </c>
      <c r="CN180" s="24">
        <f t="shared" si="348"/>
        <v>0</v>
      </c>
      <c r="CO180" s="24">
        <f t="shared" si="348"/>
        <v>0</v>
      </c>
      <c r="CP180" s="24">
        <f t="shared" si="348"/>
        <v>0</v>
      </c>
      <c r="CQ180" s="24">
        <f t="shared" si="348"/>
        <v>0</v>
      </c>
      <c r="CR180" s="24">
        <f t="shared" si="348"/>
        <v>0</v>
      </c>
      <c r="CS180" s="24">
        <f t="shared" si="348"/>
        <v>0</v>
      </c>
      <c r="CT180" s="24">
        <f t="shared" si="348"/>
        <v>0</v>
      </c>
      <c r="CU180" s="24">
        <f t="shared" si="348"/>
        <v>0</v>
      </c>
      <c r="CV180" s="24">
        <f t="shared" si="348"/>
        <v>0</v>
      </c>
      <c r="CW180" s="24">
        <f t="shared" si="348"/>
        <v>0</v>
      </c>
      <c r="CX180" s="24">
        <f t="shared" si="348"/>
        <v>0</v>
      </c>
      <c r="CY180" s="24">
        <f t="shared" si="348"/>
        <v>0</v>
      </c>
      <c r="CZ180" s="24">
        <f t="shared" si="348"/>
        <v>0</v>
      </c>
      <c r="DA180" s="24">
        <f t="shared" si="348"/>
        <v>0</v>
      </c>
      <c r="DB180" s="24">
        <f t="shared" si="348"/>
        <v>0</v>
      </c>
      <c r="DE180" s="123"/>
      <c r="DF180" s="23">
        <v>0</v>
      </c>
    </row>
    <row r="181" spans="1:110" s="23" customFormat="1" outlineLevel="1" x14ac:dyDescent="0.2">
      <c r="A181" s="23" t="s">
        <v>47</v>
      </c>
      <c r="B181" s="23">
        <f>'Annual Raw'!C56</f>
        <v>0</v>
      </c>
      <c r="C181" s="23">
        <f>'Annual Raw'!D56</f>
        <v>0</v>
      </c>
      <c r="D181" s="23">
        <f>'Annual Raw'!E56</f>
        <v>0</v>
      </c>
      <c r="E181" s="23">
        <f>'Annual Raw'!F56</f>
        <v>0</v>
      </c>
      <c r="F181" s="23">
        <f>'Annual Raw'!G56</f>
        <v>0</v>
      </c>
      <c r="G181" s="23">
        <f>'Annual Raw'!H56</f>
        <v>0</v>
      </c>
      <c r="H181" s="23">
        <f>'Annual Raw'!I56</f>
        <v>0</v>
      </c>
      <c r="I181" s="23">
        <f>'Annual Raw'!J56</f>
        <v>0</v>
      </c>
      <c r="J181" s="23">
        <f>'Annual Raw'!K56</f>
        <v>0</v>
      </c>
      <c r="K181" s="23">
        <f>'Annual Raw'!L56</f>
        <v>0</v>
      </c>
      <c r="L181" s="23">
        <f>'Annual Raw'!M56</f>
        <v>236.82</v>
      </c>
      <c r="M181" s="23">
        <f>'Annual Raw'!N56</f>
        <v>207.53</v>
      </c>
      <c r="N181" s="23">
        <f>'Annual Raw'!O56</f>
        <v>219.57</v>
      </c>
      <c r="O181" s="23">
        <f>'Annual Raw'!P56</f>
        <v>221.78</v>
      </c>
      <c r="P181" s="23">
        <f>'Annual Raw'!Q56</f>
        <v>276.93</v>
      </c>
      <c r="Q181" s="23">
        <f>'Annual Raw'!R56</f>
        <v>301.5</v>
      </c>
      <c r="R181" s="23">
        <f>'Annual Raw'!S56</f>
        <v>319.91000000000003</v>
      </c>
      <c r="S181" s="23">
        <f>'Annual Raw'!T56</f>
        <v>372.3</v>
      </c>
      <c r="T181" s="23">
        <f>'Annual Raw'!U56</f>
        <v>355.07</v>
      </c>
      <c r="U181" s="23">
        <f>'Annual Raw'!V56</f>
        <v>358.99</v>
      </c>
      <c r="V181" s="23">
        <f>'Annual Raw'!W56</f>
        <v>309.45999999999998</v>
      </c>
      <c r="W181" s="23">
        <f>'Annual Raw'!X56</f>
        <v>364.35</v>
      </c>
      <c r="X181" s="23">
        <f>'Annual Raw'!Y56</f>
        <v>434.27</v>
      </c>
      <c r="Y181" s="23">
        <f>'Annual Raw'!Z56</f>
        <v>391.38</v>
      </c>
      <c r="Z181" s="23">
        <f>'Annual Raw'!AA56</f>
        <v>351.59</v>
      </c>
      <c r="AA181" s="23">
        <f>'Annual Raw'!AB56</f>
        <v>463.71</v>
      </c>
      <c r="AB181" s="24">
        <f>+CP181</f>
        <v>556.54</v>
      </c>
      <c r="AC181" s="24">
        <f>+CT181</f>
        <v>556.54</v>
      </c>
      <c r="AD181" s="24">
        <f>+CX181</f>
        <v>556.54</v>
      </c>
      <c r="AE181" s="24">
        <f>+DB181</f>
        <v>556.54</v>
      </c>
      <c r="AJ181" s="23">
        <f>+'QTR Raw'!D88</f>
        <v>209.99</v>
      </c>
      <c r="AK181" s="23">
        <f t="shared" si="344"/>
        <v>209.99</v>
      </c>
      <c r="AL181" s="23">
        <f>+'QTR Raw'!F88</f>
        <v>219.57</v>
      </c>
      <c r="AM181" s="23">
        <f t="shared" si="344"/>
        <v>219.57</v>
      </c>
      <c r="AN181" s="23">
        <f>+'QTR Raw'!H88</f>
        <v>227.99</v>
      </c>
      <c r="AO181" s="23">
        <f t="shared" si="344"/>
        <v>227.99</v>
      </c>
      <c r="AP181" s="23">
        <f>+'QTR Raw'!J88</f>
        <v>221.78</v>
      </c>
      <c r="AQ181" s="23">
        <f t="shared" si="344"/>
        <v>221.78</v>
      </c>
      <c r="AR181" s="23">
        <f>+'QTR Raw'!L88</f>
        <v>243.84</v>
      </c>
      <c r="AS181" s="23">
        <f t="shared" si="344"/>
        <v>243.84</v>
      </c>
      <c r="AT181" s="23">
        <f>+'QTR Raw'!N88</f>
        <v>276.93</v>
      </c>
      <c r="AU181" s="23">
        <f t="shared" si="344"/>
        <v>276.93</v>
      </c>
      <c r="AV181" s="23">
        <f>+'QTR Raw'!P88</f>
        <v>283.24</v>
      </c>
      <c r="AW181" s="23">
        <f t="shared" si="344"/>
        <v>283.24</v>
      </c>
      <c r="AX181" s="23">
        <f>+'QTR Raw'!R88</f>
        <v>301.5</v>
      </c>
      <c r="AY181" s="23">
        <f t="shared" si="344"/>
        <v>301.5</v>
      </c>
      <c r="AZ181" s="23">
        <f>+'QTR Raw'!T88</f>
        <v>304.51</v>
      </c>
      <c r="BA181" s="23">
        <f t="shared" si="344"/>
        <v>304.51</v>
      </c>
      <c r="BB181" s="23">
        <f>+'QTR Raw'!V88</f>
        <v>319.91000000000003</v>
      </c>
      <c r="BC181" s="23">
        <f t="shared" si="344"/>
        <v>319.91000000000003</v>
      </c>
      <c r="BD181" s="23">
        <f>+'QTR Raw'!X88</f>
        <v>325.27</v>
      </c>
      <c r="BE181" s="23">
        <f t="shared" si="344"/>
        <v>325.27</v>
      </c>
      <c r="BF181" s="23">
        <f>+'QTR Raw'!Z88</f>
        <v>372.3</v>
      </c>
      <c r="BG181" s="23">
        <f t="shared" si="344"/>
        <v>372.3</v>
      </c>
      <c r="BH181" s="23">
        <f>+'QTR Raw'!AB88</f>
        <v>360.51</v>
      </c>
      <c r="BI181" s="23">
        <f t="shared" si="344"/>
        <v>360.51</v>
      </c>
      <c r="BJ181" s="23">
        <f>+'QTR Raw'!AD88</f>
        <v>355.07</v>
      </c>
      <c r="BK181" s="23">
        <f t="shared" si="344"/>
        <v>355.07</v>
      </c>
      <c r="BL181" s="23">
        <f>+'QTR Raw'!AF88</f>
        <v>340.42</v>
      </c>
      <c r="BM181" s="23">
        <f t="shared" si="344"/>
        <v>340.42</v>
      </c>
      <c r="BN181" s="23">
        <f>+'QTR Raw'!AH88</f>
        <v>358.99</v>
      </c>
      <c r="BO181" s="23">
        <f t="shared" si="344"/>
        <v>358.99</v>
      </c>
      <c r="BP181" s="23">
        <f>+'QTR Raw'!AJ88</f>
        <v>281.19</v>
      </c>
      <c r="BQ181" s="23">
        <f t="shared" si="344"/>
        <v>281.19</v>
      </c>
      <c r="BR181" s="23">
        <f>+'QTR Raw'!AL88</f>
        <v>309.45999999999998</v>
      </c>
      <c r="BS181" s="23">
        <f t="shared" si="344"/>
        <v>309.45999999999998</v>
      </c>
      <c r="BT181" s="23">
        <f>+'QTR Raw'!AN88</f>
        <v>427.19</v>
      </c>
      <c r="BU181" s="23">
        <f t="shared" si="344"/>
        <v>427.19</v>
      </c>
      <c r="BV181" s="23">
        <f>+'QTR Raw'!AP88</f>
        <v>426.14</v>
      </c>
      <c r="BW181" s="23">
        <f t="shared" si="344"/>
        <v>426.14</v>
      </c>
      <c r="BX181" s="23">
        <f>+'QTR Raw'!AR88</f>
        <v>541.99</v>
      </c>
      <c r="BY181" s="23">
        <f t="shared" si="344"/>
        <v>541.99</v>
      </c>
      <c r="BZ181" s="23">
        <f>+'QTR Raw'!AT88</f>
        <v>484.2</v>
      </c>
      <c r="CA181" s="23">
        <f t="shared" si="344"/>
        <v>484.2</v>
      </c>
      <c r="CB181" s="23">
        <f>+'QTR Raw'!AV88</f>
        <v>505.32</v>
      </c>
      <c r="CC181" s="23">
        <f t="shared" si="344"/>
        <v>505.32</v>
      </c>
      <c r="CD181" s="23">
        <f>+'QTR Raw'!AX88</f>
        <v>446.3</v>
      </c>
      <c r="CE181" s="23">
        <f>+CD181</f>
        <v>446.3</v>
      </c>
      <c r="CF181" s="23">
        <f>+'QTR Raw'!AZ88</f>
        <v>458.67</v>
      </c>
      <c r="CG181" s="23">
        <f t="shared" si="345"/>
        <v>458.67</v>
      </c>
      <c r="CH181" s="23">
        <f t="shared" si="342"/>
        <v>351.59</v>
      </c>
      <c r="CI181" s="23">
        <f t="shared" si="345"/>
        <v>351.59</v>
      </c>
      <c r="CJ181" s="23">
        <f>+'QTR Raw'!BD88</f>
        <v>553.22</v>
      </c>
      <c r="CK181" s="23">
        <f>+CJ181</f>
        <v>553.22</v>
      </c>
      <c r="CL181" s="23">
        <f>+'QTR Raw'!BF88</f>
        <v>556.54</v>
      </c>
      <c r="CM181" s="24">
        <f t="shared" ref="CM181:DB181" si="349">+CL181</f>
        <v>556.54</v>
      </c>
      <c r="CN181" s="24">
        <f t="shared" si="349"/>
        <v>556.54</v>
      </c>
      <c r="CO181" s="24">
        <f t="shared" si="349"/>
        <v>556.54</v>
      </c>
      <c r="CP181" s="24">
        <f t="shared" si="349"/>
        <v>556.54</v>
      </c>
      <c r="CQ181" s="24">
        <f t="shared" si="349"/>
        <v>556.54</v>
      </c>
      <c r="CR181" s="24">
        <f t="shared" si="349"/>
        <v>556.54</v>
      </c>
      <c r="CS181" s="24">
        <f t="shared" si="349"/>
        <v>556.54</v>
      </c>
      <c r="CT181" s="24">
        <f t="shared" si="349"/>
        <v>556.54</v>
      </c>
      <c r="CU181" s="24">
        <f t="shared" si="349"/>
        <v>556.54</v>
      </c>
      <c r="CV181" s="24">
        <f t="shared" si="349"/>
        <v>556.54</v>
      </c>
      <c r="CW181" s="24">
        <f t="shared" si="349"/>
        <v>556.54</v>
      </c>
      <c r="CX181" s="24">
        <f t="shared" si="349"/>
        <v>556.54</v>
      </c>
      <c r="CY181" s="24">
        <f t="shared" si="349"/>
        <v>556.54</v>
      </c>
      <c r="CZ181" s="24">
        <f t="shared" si="349"/>
        <v>556.54</v>
      </c>
      <c r="DA181" s="24">
        <f t="shared" si="349"/>
        <v>556.54</v>
      </c>
      <c r="DB181" s="24">
        <f t="shared" si="349"/>
        <v>556.54</v>
      </c>
      <c r="DE181" s="123"/>
      <c r="DF181" s="23">
        <v>553.22</v>
      </c>
    </row>
    <row r="182" spans="1:110" s="22" customFormat="1" x14ac:dyDescent="0.2">
      <c r="A182" s="22" t="s">
        <v>48</v>
      </c>
      <c r="B182" s="22">
        <f>SUM(B178:B181)</f>
        <v>74.640682900000002</v>
      </c>
      <c r="C182" s="22">
        <f t="shared" ref="C182:V182" si="350">SUM(C178:C181)</f>
        <v>71.569123599999998</v>
      </c>
      <c r="D182" s="22">
        <f t="shared" si="350"/>
        <v>104.4308552</v>
      </c>
      <c r="E182" s="22">
        <f t="shared" si="350"/>
        <v>164.28505909999998</v>
      </c>
      <c r="F182" s="22">
        <f t="shared" si="350"/>
        <v>185.0432668</v>
      </c>
      <c r="G182" s="22">
        <f t="shared" si="350"/>
        <v>311.96325810000002</v>
      </c>
      <c r="H182" s="22">
        <f t="shared" si="350"/>
        <v>644.75109850000001</v>
      </c>
      <c r="I182" s="22">
        <f t="shared" si="350"/>
        <v>729.62794670000005</v>
      </c>
      <c r="J182" s="22">
        <f t="shared" si="350"/>
        <v>692.80860510000002</v>
      </c>
      <c r="K182" s="22">
        <f t="shared" si="350"/>
        <v>692.59187480000003</v>
      </c>
      <c r="L182" s="22">
        <f t="shared" si="350"/>
        <v>718.76</v>
      </c>
      <c r="M182" s="22">
        <f t="shared" si="350"/>
        <v>722.36</v>
      </c>
      <c r="N182" s="22">
        <f t="shared" si="350"/>
        <v>663.8</v>
      </c>
      <c r="O182" s="22">
        <f t="shared" si="350"/>
        <v>591.87</v>
      </c>
      <c r="P182" s="22">
        <f t="shared" si="350"/>
        <v>616.80999999999995</v>
      </c>
      <c r="Q182" s="22">
        <f t="shared" si="350"/>
        <v>648.84999999999991</v>
      </c>
      <c r="R182" s="22">
        <f t="shared" si="350"/>
        <v>708.26</v>
      </c>
      <c r="S182" s="22">
        <f t="shared" si="350"/>
        <v>787.3900000000001</v>
      </c>
      <c r="T182" s="22">
        <f t="shared" si="350"/>
        <v>707.3</v>
      </c>
      <c r="U182" s="22">
        <f t="shared" si="350"/>
        <v>647.77</v>
      </c>
      <c r="V182" s="22">
        <f t="shared" si="350"/>
        <v>589.5</v>
      </c>
      <c r="W182" s="22">
        <f t="shared" ref="W182:AE182" si="351">SUM(W178:W181)</f>
        <v>606.69000000000005</v>
      </c>
      <c r="X182" s="22">
        <f t="shared" si="351"/>
        <v>823.73</v>
      </c>
      <c r="Y182" s="22">
        <f t="shared" si="351"/>
        <v>1065.02</v>
      </c>
      <c r="Z182" s="22">
        <f t="shared" si="351"/>
        <v>1134.69</v>
      </c>
      <c r="AA182" s="22">
        <f t="shared" ref="AA182" si="352">SUM(AA178:AA181)</f>
        <v>1275.94</v>
      </c>
      <c r="AB182" s="21">
        <f t="shared" si="351"/>
        <v>1187.94</v>
      </c>
      <c r="AC182" s="21">
        <f t="shared" si="351"/>
        <v>1315.94</v>
      </c>
      <c r="AD182" s="21">
        <f t="shared" si="351"/>
        <v>1171.94</v>
      </c>
      <c r="AE182" s="21">
        <f t="shared" si="351"/>
        <v>1027.94</v>
      </c>
      <c r="AJ182" s="22">
        <f t="shared" ref="AJ182:AO182" si="353">SUM(AJ178:AJ181)</f>
        <v>597.84</v>
      </c>
      <c r="AK182" s="22">
        <f t="shared" si="353"/>
        <v>597.84</v>
      </c>
      <c r="AL182" s="22">
        <f t="shared" si="353"/>
        <v>564.43000000000006</v>
      </c>
      <c r="AM182" s="22">
        <f t="shared" si="353"/>
        <v>564.43000000000006</v>
      </c>
      <c r="AN182" s="22">
        <f t="shared" si="353"/>
        <v>524.24</v>
      </c>
      <c r="AO182" s="22">
        <f t="shared" si="353"/>
        <v>524.24</v>
      </c>
      <c r="AP182" s="22">
        <f t="shared" ref="AP182:CE182" si="354">SUM(AP178:AP181)</f>
        <v>497.64</v>
      </c>
      <c r="AQ182" s="22">
        <f t="shared" si="354"/>
        <v>497.64</v>
      </c>
      <c r="AR182" s="22">
        <f t="shared" si="354"/>
        <v>496.48</v>
      </c>
      <c r="AS182" s="22">
        <f t="shared" si="354"/>
        <v>496.48</v>
      </c>
      <c r="AT182" s="22">
        <f t="shared" si="354"/>
        <v>534.71</v>
      </c>
      <c r="AU182" s="22">
        <f t="shared" si="354"/>
        <v>534.71</v>
      </c>
      <c r="AV182" s="22">
        <f t="shared" si="354"/>
        <v>519.44000000000005</v>
      </c>
      <c r="AW182" s="22">
        <f t="shared" si="354"/>
        <v>519.44000000000005</v>
      </c>
      <c r="AX182" s="22">
        <f t="shared" si="354"/>
        <v>582.83999999999992</v>
      </c>
      <c r="AY182" s="22">
        <f t="shared" si="354"/>
        <v>582.83999999999992</v>
      </c>
      <c r="AZ182" s="22">
        <f t="shared" si="354"/>
        <v>613.16</v>
      </c>
      <c r="BA182" s="22">
        <f t="shared" si="354"/>
        <v>613.16</v>
      </c>
      <c r="BB182" s="22">
        <f t="shared" si="354"/>
        <v>647.02</v>
      </c>
      <c r="BC182" s="22">
        <f t="shared" si="354"/>
        <v>647.02</v>
      </c>
      <c r="BD182" s="22">
        <f t="shared" si="354"/>
        <v>653.22</v>
      </c>
      <c r="BE182" s="22">
        <f t="shared" si="354"/>
        <v>653.22</v>
      </c>
      <c r="BF182" s="22">
        <f t="shared" si="354"/>
        <v>716.6</v>
      </c>
      <c r="BG182" s="22">
        <f t="shared" si="354"/>
        <v>716.6</v>
      </c>
      <c r="BH182" s="22">
        <f>SUM(BH178:BH181)</f>
        <v>672.03</v>
      </c>
      <c r="BI182" s="22">
        <f t="shared" si="354"/>
        <v>672.03</v>
      </c>
      <c r="BJ182" s="22">
        <f t="shared" si="354"/>
        <v>640.24</v>
      </c>
      <c r="BK182" s="22">
        <f t="shared" si="354"/>
        <v>640.24</v>
      </c>
      <c r="BL182" s="22">
        <f t="shared" si="354"/>
        <v>585.67000000000007</v>
      </c>
      <c r="BM182" s="22">
        <f t="shared" si="354"/>
        <v>585.67000000000007</v>
      </c>
      <c r="BN182" s="22">
        <f t="shared" si="354"/>
        <v>601.27</v>
      </c>
      <c r="BO182" s="22">
        <f t="shared" si="354"/>
        <v>601.27</v>
      </c>
      <c r="BP182" s="22">
        <f t="shared" si="354"/>
        <v>529.56999999999994</v>
      </c>
      <c r="BQ182" s="22">
        <f t="shared" si="354"/>
        <v>529.56999999999994</v>
      </c>
      <c r="BR182" s="22">
        <f t="shared" si="354"/>
        <v>513.82999999999993</v>
      </c>
      <c r="BS182" s="22">
        <f t="shared" si="354"/>
        <v>513.82999999999993</v>
      </c>
      <c r="BT182" s="22">
        <f t="shared" si="354"/>
        <v>595.72</v>
      </c>
      <c r="BU182" s="22">
        <f t="shared" si="354"/>
        <v>595.72</v>
      </c>
      <c r="BV182" s="22">
        <f t="shared" si="354"/>
        <v>606.69000000000005</v>
      </c>
      <c r="BW182" s="22">
        <f t="shared" si="354"/>
        <v>606.69000000000005</v>
      </c>
      <c r="BX182" s="22">
        <f t="shared" si="354"/>
        <v>797.89</v>
      </c>
      <c r="BY182" s="22">
        <f t="shared" si="354"/>
        <v>797.89</v>
      </c>
      <c r="BZ182" s="22">
        <f t="shared" si="354"/>
        <v>823.73</v>
      </c>
      <c r="CA182" s="22">
        <f t="shared" si="354"/>
        <v>823.73</v>
      </c>
      <c r="CB182" s="22">
        <f t="shared" si="354"/>
        <v>931.17000000000007</v>
      </c>
      <c r="CC182" s="22">
        <f t="shared" si="354"/>
        <v>931.17000000000007</v>
      </c>
      <c r="CD182" s="22">
        <f t="shared" si="354"/>
        <v>1065.02</v>
      </c>
      <c r="CE182" s="22">
        <f t="shared" si="354"/>
        <v>1065.02</v>
      </c>
      <c r="CF182" s="22">
        <f>SUM(CF178:CF181)</f>
        <v>1198.8499999999999</v>
      </c>
      <c r="CG182" s="22">
        <f>SUM(CG178:CG181)</f>
        <v>1198.8499999999999</v>
      </c>
      <c r="CH182" s="22">
        <f>SUM(CH178:CH181)</f>
        <v>1134.69</v>
      </c>
      <c r="CI182" s="22">
        <f>SUM(CI178:CI181)</f>
        <v>1134.69</v>
      </c>
      <c r="CJ182" s="22">
        <f t="shared" ref="CJ182:DB182" si="355">SUM(CJ178:CJ181)</f>
        <v>1289.52</v>
      </c>
      <c r="CK182" s="22">
        <f t="shared" si="355"/>
        <v>1289.52</v>
      </c>
      <c r="CL182" s="22">
        <f>SUM(CL178:CL181)</f>
        <v>1275.94</v>
      </c>
      <c r="CM182" s="21">
        <f t="shared" si="355"/>
        <v>1253.94</v>
      </c>
      <c r="CN182" s="21">
        <f t="shared" si="355"/>
        <v>1231.94</v>
      </c>
      <c r="CO182" s="21">
        <f t="shared" si="355"/>
        <v>1209.94</v>
      </c>
      <c r="CP182" s="21">
        <f t="shared" si="355"/>
        <v>1187.94</v>
      </c>
      <c r="CQ182" s="21">
        <f t="shared" si="355"/>
        <v>1219.94</v>
      </c>
      <c r="CR182" s="21">
        <f t="shared" si="355"/>
        <v>1251.94</v>
      </c>
      <c r="CS182" s="21">
        <f t="shared" si="355"/>
        <v>1283.94</v>
      </c>
      <c r="CT182" s="21">
        <f t="shared" si="355"/>
        <v>1315.94</v>
      </c>
      <c r="CU182" s="21">
        <f t="shared" si="355"/>
        <v>1279.94</v>
      </c>
      <c r="CV182" s="21">
        <f t="shared" si="355"/>
        <v>1243.94</v>
      </c>
      <c r="CW182" s="21">
        <f t="shared" si="355"/>
        <v>1207.94</v>
      </c>
      <c r="CX182" s="21">
        <f t="shared" si="355"/>
        <v>1171.94</v>
      </c>
      <c r="CY182" s="21">
        <f t="shared" si="355"/>
        <v>1135.94</v>
      </c>
      <c r="CZ182" s="21">
        <f t="shared" si="355"/>
        <v>1099.94</v>
      </c>
      <c r="DA182" s="21">
        <f t="shared" si="355"/>
        <v>1063.94</v>
      </c>
      <c r="DB182" s="21">
        <f t="shared" si="355"/>
        <v>1027.94</v>
      </c>
      <c r="DE182" s="126"/>
      <c r="DF182" s="22">
        <v>1289.52</v>
      </c>
    </row>
    <row r="183" spans="1:110" s="26" customFormat="1" x14ac:dyDescent="0.2">
      <c r="A183" s="26" t="s">
        <v>436</v>
      </c>
      <c r="B183" s="26">
        <f>B182+B174+B176</f>
        <v>126.8354949</v>
      </c>
      <c r="C183" s="26">
        <f t="shared" ref="C183:V183" si="356">C182+C174+C176</f>
        <v>117.8206093</v>
      </c>
      <c r="D183" s="26">
        <f>D182+D174+D176</f>
        <v>156.18660729999999</v>
      </c>
      <c r="E183" s="26">
        <f t="shared" si="356"/>
        <v>237.06644929999999</v>
      </c>
      <c r="F183" s="26">
        <f t="shared" si="356"/>
        <v>268.18231000000003</v>
      </c>
      <c r="G183" s="26">
        <f t="shared" si="356"/>
        <v>451.54577820000003</v>
      </c>
      <c r="H183" s="26">
        <f t="shared" si="356"/>
        <v>832.67026840000005</v>
      </c>
      <c r="I183" s="26">
        <f t="shared" si="356"/>
        <v>922.92168570000001</v>
      </c>
      <c r="J183" s="26">
        <f t="shared" si="356"/>
        <v>870.11788769999998</v>
      </c>
      <c r="K183" s="26">
        <f t="shared" si="356"/>
        <v>882.45673439999996</v>
      </c>
      <c r="L183" s="26">
        <f t="shared" si="356"/>
        <v>958.33999999999992</v>
      </c>
      <c r="M183" s="26">
        <f t="shared" si="356"/>
        <v>974.44</v>
      </c>
      <c r="N183" s="26">
        <f t="shared" si="356"/>
        <v>961.65</v>
      </c>
      <c r="O183" s="26">
        <f t="shared" si="356"/>
        <v>923.3</v>
      </c>
      <c r="P183" s="26">
        <f t="shared" si="356"/>
        <v>988.51</v>
      </c>
      <c r="Q183" s="26">
        <f t="shared" si="356"/>
        <v>1088.0999999999999</v>
      </c>
      <c r="R183" s="26">
        <f t="shared" si="356"/>
        <v>1200.2</v>
      </c>
      <c r="S183" s="26">
        <f t="shared" si="356"/>
        <v>1299.1400000000001</v>
      </c>
      <c r="T183" s="26">
        <f t="shared" si="356"/>
        <v>1228</v>
      </c>
      <c r="U183" s="26">
        <f t="shared" si="356"/>
        <v>1174.8899999999999</v>
      </c>
      <c r="V183" s="26">
        <f t="shared" si="356"/>
        <v>1141.8400000000001</v>
      </c>
      <c r="W183" s="26">
        <f t="shared" ref="W183:AE183" si="357">W182+W174+W176</f>
        <v>1322.6200000000001</v>
      </c>
      <c r="X183" s="26">
        <f t="shared" si="357"/>
        <v>1706.86</v>
      </c>
      <c r="Y183" s="26">
        <f t="shared" si="357"/>
        <v>2049.34</v>
      </c>
      <c r="Z183" s="26">
        <f t="shared" si="357"/>
        <v>2141.4700000000003</v>
      </c>
      <c r="AA183" s="26">
        <f t="shared" ref="AA183" si="358">AA182+AA174+AA176</f>
        <v>2352.21</v>
      </c>
      <c r="AB183" s="27">
        <f t="shared" si="357"/>
        <v>2436.7754958334745</v>
      </c>
      <c r="AC183" s="27">
        <f t="shared" si="357"/>
        <v>2794.8993684895586</v>
      </c>
      <c r="AD183" s="27">
        <f t="shared" si="357"/>
        <v>2925.2583761000556</v>
      </c>
      <c r="AE183" s="27">
        <f t="shared" si="357"/>
        <v>3097.4184931568175</v>
      </c>
      <c r="AJ183" s="26">
        <f t="shared" ref="AJ183:AO183" si="359">AJ182+AJ174+AJ176</f>
        <v>877.78</v>
      </c>
      <c r="AK183" s="26">
        <f t="shared" si="359"/>
        <v>888.85</v>
      </c>
      <c r="AL183" s="26">
        <f t="shared" si="359"/>
        <v>862.28000000000009</v>
      </c>
      <c r="AM183" s="26">
        <f t="shared" si="359"/>
        <v>868.31000000000017</v>
      </c>
      <c r="AN183" s="26">
        <f t="shared" si="359"/>
        <v>840.36</v>
      </c>
      <c r="AO183" s="26">
        <f t="shared" si="359"/>
        <v>852.51</v>
      </c>
      <c r="AP183" s="26">
        <f t="shared" ref="AP183:CE183" si="360">AP182+AP174+AP176</f>
        <v>829.06999999999994</v>
      </c>
      <c r="AQ183" s="26">
        <f t="shared" si="360"/>
        <v>840.41000000000008</v>
      </c>
      <c r="AR183" s="26">
        <f t="shared" si="360"/>
        <v>851.22</v>
      </c>
      <c r="AS183" s="26">
        <f t="shared" si="360"/>
        <v>864.99</v>
      </c>
      <c r="AT183" s="26">
        <f t="shared" si="360"/>
        <v>906.41000000000008</v>
      </c>
      <c r="AU183" s="26">
        <f t="shared" si="360"/>
        <v>923.61</v>
      </c>
      <c r="AV183" s="26">
        <f t="shared" si="360"/>
        <v>926.99</v>
      </c>
      <c r="AW183" s="26">
        <f t="shared" si="360"/>
        <v>942.54000000000019</v>
      </c>
      <c r="AX183" s="26">
        <f t="shared" si="360"/>
        <v>1022.0899999999999</v>
      </c>
      <c r="AY183" s="26">
        <f t="shared" si="360"/>
        <v>1037.3699999999999</v>
      </c>
      <c r="AZ183" s="26">
        <f t="shared" si="360"/>
        <v>1083.01</v>
      </c>
      <c r="BA183" s="26">
        <f t="shared" si="360"/>
        <v>1087.51</v>
      </c>
      <c r="BB183" s="26">
        <f t="shared" si="360"/>
        <v>1138.96</v>
      </c>
      <c r="BC183" s="26">
        <f t="shared" si="360"/>
        <v>1140.18</v>
      </c>
      <c r="BD183" s="26">
        <f t="shared" si="360"/>
        <v>1139.1100000000001</v>
      </c>
      <c r="BE183" s="26">
        <f t="shared" si="360"/>
        <v>1142.8699999999999</v>
      </c>
      <c r="BF183" s="26">
        <f t="shared" si="360"/>
        <v>1228.3499999999999</v>
      </c>
      <c r="BG183" s="26">
        <f t="shared" si="360"/>
        <v>1232.44</v>
      </c>
      <c r="BH183" s="26">
        <f>BH182+BH174+BH176</f>
        <v>1195.8699999999999</v>
      </c>
      <c r="BI183" s="26">
        <f t="shared" si="360"/>
        <v>1195.1300000000001</v>
      </c>
      <c r="BJ183" s="26">
        <f t="shared" si="360"/>
        <v>1160.94</v>
      </c>
      <c r="BK183" s="26">
        <f t="shared" si="360"/>
        <v>1162.08</v>
      </c>
      <c r="BL183" s="26">
        <f t="shared" si="360"/>
        <v>1106.0300000000002</v>
      </c>
      <c r="BM183" s="26">
        <f t="shared" si="360"/>
        <v>1111.5700000000002</v>
      </c>
      <c r="BN183" s="26">
        <f t="shared" si="360"/>
        <v>1128.3899999999999</v>
      </c>
      <c r="BO183" s="26">
        <f t="shared" si="360"/>
        <v>1095.8699999999999</v>
      </c>
      <c r="BP183" s="26">
        <f t="shared" si="360"/>
        <v>1021.98</v>
      </c>
      <c r="BQ183" s="26">
        <f t="shared" si="360"/>
        <v>1029.4099999999999</v>
      </c>
      <c r="BR183" s="26">
        <f t="shared" si="360"/>
        <v>1066.17</v>
      </c>
      <c r="BS183" s="26">
        <f t="shared" si="360"/>
        <v>1079.06</v>
      </c>
      <c r="BT183" s="26">
        <f t="shared" si="360"/>
        <v>1187.4299999999998</v>
      </c>
      <c r="BU183" s="26">
        <f t="shared" si="360"/>
        <v>1231.17</v>
      </c>
      <c r="BV183" s="26">
        <f t="shared" si="360"/>
        <v>1322.6200000000001</v>
      </c>
      <c r="BW183" s="26">
        <f t="shared" si="360"/>
        <v>1375.15</v>
      </c>
      <c r="BX183" s="26">
        <f t="shared" si="360"/>
        <v>1632.98</v>
      </c>
      <c r="BY183" s="26">
        <f t="shared" si="360"/>
        <v>1650.5300000000002</v>
      </c>
      <c r="BZ183" s="26">
        <f t="shared" si="360"/>
        <v>1706.86</v>
      </c>
      <c r="CA183" s="26">
        <f t="shared" si="360"/>
        <v>1719.6299999999999</v>
      </c>
      <c r="CB183" s="26">
        <f t="shared" si="360"/>
        <v>1898.31</v>
      </c>
      <c r="CC183" s="26">
        <f t="shared" si="360"/>
        <v>1902.1200000000001</v>
      </c>
      <c r="CD183" s="26">
        <f t="shared" si="360"/>
        <v>2049.34</v>
      </c>
      <c r="CE183" s="26">
        <f t="shared" si="360"/>
        <v>2063.62</v>
      </c>
      <c r="CF183" s="26">
        <f>CF182+CF174+CF176</f>
        <v>2197.42</v>
      </c>
      <c r="CG183" s="26">
        <f>CG182+CG174+CG176</f>
        <v>2199.87</v>
      </c>
      <c r="CH183" s="26">
        <f>CH182+CH174+CH176</f>
        <v>2141.4700000000003</v>
      </c>
      <c r="CI183" s="26">
        <f>CI182+CI174+CI176</f>
        <v>2143.6</v>
      </c>
      <c r="CJ183" s="26">
        <f t="shared" ref="CJ183:DB183" si="361">CJ182+CJ174+CJ176</f>
        <v>2310.12</v>
      </c>
      <c r="CK183" s="26">
        <f t="shared" si="361"/>
        <v>2334.59</v>
      </c>
      <c r="CL183" s="26">
        <f>CL182+CL174+CL176</f>
        <v>2352.21</v>
      </c>
      <c r="CM183" s="27">
        <f t="shared" si="361"/>
        <v>2366.2097515678506</v>
      </c>
      <c r="CN183" s="27">
        <f t="shared" si="361"/>
        <v>2385.2955049412903</v>
      </c>
      <c r="CO183" s="27">
        <f t="shared" si="361"/>
        <v>2409.505112540658</v>
      </c>
      <c r="CP183" s="27">
        <f t="shared" si="361"/>
        <v>2436.7754958334745</v>
      </c>
      <c r="CQ183" s="27">
        <f t="shared" si="361"/>
        <v>2518.442964457925</v>
      </c>
      <c r="CR183" s="27">
        <f t="shared" si="361"/>
        <v>2605.9054097491871</v>
      </c>
      <c r="CS183" s="27">
        <f t="shared" si="361"/>
        <v>2698.2604244755348</v>
      </c>
      <c r="CT183" s="27">
        <f t="shared" si="361"/>
        <v>2794.8993684895586</v>
      </c>
      <c r="CU183" s="27">
        <f t="shared" si="361"/>
        <v>2822.8684192571804</v>
      </c>
      <c r="CV183" s="27">
        <f t="shared" si="361"/>
        <v>2854.22059614006</v>
      </c>
      <c r="CW183" s="27">
        <f t="shared" si="361"/>
        <v>2888.4912929144948</v>
      </c>
      <c r="CX183" s="27">
        <f t="shared" si="361"/>
        <v>2925.2583761000556</v>
      </c>
      <c r="CY183" s="27">
        <f t="shared" si="361"/>
        <v>2964.165311417918</v>
      </c>
      <c r="CZ183" s="27">
        <f t="shared" si="361"/>
        <v>3005.9052095141719</v>
      </c>
      <c r="DA183" s="27">
        <f t="shared" si="361"/>
        <v>3050.3411682796227</v>
      </c>
      <c r="DB183" s="27">
        <f t="shared" si="361"/>
        <v>3097.4184931568175</v>
      </c>
      <c r="DE183" s="121"/>
      <c r="DF183" s="26">
        <v>2352.204545816925</v>
      </c>
    </row>
    <row r="184" spans="1:110" s="23" customFormat="1" x14ac:dyDescent="0.2">
      <c r="AB184" s="24"/>
      <c r="AC184" s="24"/>
      <c r="AD184" s="24"/>
      <c r="AE184" s="24"/>
      <c r="CM184" s="195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E184" s="123"/>
    </row>
    <row r="185" spans="1:110" s="23" customFormat="1" outlineLevel="1" x14ac:dyDescent="0.2">
      <c r="A185" s="23" t="s">
        <v>49</v>
      </c>
      <c r="B185" s="23">
        <f>'Annual Raw'!C62</f>
        <v>120.1858335</v>
      </c>
      <c r="C185" s="23">
        <f>'Annual Raw'!D62</f>
        <v>133.49901819999999</v>
      </c>
      <c r="D185" s="23">
        <f>'Annual Raw'!E62</f>
        <v>164.39265599999999</v>
      </c>
      <c r="E185" s="23">
        <f>'Annual Raw'!F62-E189</f>
        <v>241.24909980000001</v>
      </c>
      <c r="F185" s="23">
        <f>'Annual Raw'!G62-F189</f>
        <v>269.45265940000002</v>
      </c>
      <c r="G185" s="23">
        <f>'Annual Raw'!H62-G189</f>
        <v>353.63697480000002</v>
      </c>
      <c r="H185" s="23">
        <f>'Annual Raw'!I62-H189</f>
        <v>527.76302869999995</v>
      </c>
      <c r="I185" s="23">
        <f>'Annual Raw'!J62-I189</f>
        <v>705.11429469999996</v>
      </c>
      <c r="J185" s="23">
        <f>'Annual Raw'!K62-J189</f>
        <v>876.87589739999999</v>
      </c>
      <c r="K185" s="23">
        <f>'Annual Raw'!L62-K189</f>
        <v>891.42315399999995</v>
      </c>
      <c r="L185" s="23">
        <f>'Annual Raw'!M62-L189</f>
        <v>924.29</v>
      </c>
      <c r="M185" s="23">
        <f>'Annual Raw'!N62-M189</f>
        <v>1058.73</v>
      </c>
      <c r="N185" s="23">
        <f>'Annual Raw'!O62-N189</f>
        <v>1087.17</v>
      </c>
      <c r="O185" s="23">
        <f>'Annual Raw'!P62-O189</f>
        <v>1114.04</v>
      </c>
      <c r="P185" s="23">
        <f>'Annual Raw'!Q62-P189</f>
        <v>1218.51</v>
      </c>
      <c r="Q185" s="23">
        <f>'Annual Raw'!R62-Q189</f>
        <v>1316.27</v>
      </c>
      <c r="R185" s="23">
        <f>'Annual Raw'!S62-R189</f>
        <v>727.14</v>
      </c>
      <c r="S185" s="23">
        <f>'Annual Raw'!T62-S189</f>
        <v>848.92</v>
      </c>
      <c r="T185" s="23">
        <f>'Annual Raw'!U62-T189</f>
        <v>878.09</v>
      </c>
      <c r="U185" s="23">
        <f>'Annual Raw'!V62-U189</f>
        <v>926.92</v>
      </c>
      <c r="V185" s="23">
        <f>'Annual Raw'!W62-V189</f>
        <v>981.2</v>
      </c>
      <c r="W185" s="23">
        <f>'Annual Raw'!X62-W189</f>
        <v>996.96</v>
      </c>
      <c r="X185" s="23">
        <f>'Annual Raw'!Y62-X189</f>
        <v>1179.44</v>
      </c>
      <c r="Y185" s="23">
        <f>'Annual Raw'!Z62-Y189</f>
        <v>1521.51</v>
      </c>
      <c r="Z185" s="23">
        <f>'Annual Raw'!AA62-Z189</f>
        <v>1888.16</v>
      </c>
      <c r="AA185" s="23">
        <f>'Annual Raw'!AB62-AA189</f>
        <v>2112.8200000000002</v>
      </c>
      <c r="AB185" s="24">
        <f t="shared" ref="AB185:AB191" si="362">+CP185</f>
        <v>2374.94</v>
      </c>
      <c r="AC185" s="24">
        <f t="shared" ref="AC185:AC191" si="363">+CT185</f>
        <v>2374.94</v>
      </c>
      <c r="AD185" s="24">
        <f t="shared" ref="AD185:AD191" si="364">+CX185</f>
        <v>2374.94</v>
      </c>
      <c r="AE185" s="24">
        <f t="shared" ref="AE185:AE191" si="365">+DB185</f>
        <v>2374.94</v>
      </c>
      <c r="AJ185" s="23">
        <f>+'QTR Raw'!D68</f>
        <v>619.32000000000005</v>
      </c>
      <c r="AL185" s="23">
        <f>+'QTR Raw'!F68</f>
        <v>591.65</v>
      </c>
      <c r="AN185" s="23">
        <f>+'QTR Raw'!H68</f>
        <v>568.1</v>
      </c>
      <c r="AP185" s="23">
        <f>+'QTR Raw'!J68</f>
        <v>551.36</v>
      </c>
      <c r="AR185" s="23">
        <f>+'QTR Raw'!L68</f>
        <v>549.89</v>
      </c>
      <c r="AT185" s="23">
        <f>+'QTR Raw'!N68</f>
        <v>565.69000000000005</v>
      </c>
      <c r="AV185" s="23">
        <f>+'QTR Raw'!P68</f>
        <v>536.79</v>
      </c>
      <c r="AX185" s="23">
        <f>+'QTR Raw'!R68</f>
        <v>584.74</v>
      </c>
      <c r="AZ185" s="23">
        <f>+'QTR Raw'!T68</f>
        <v>622.41999999999996</v>
      </c>
      <c r="BB185" s="23">
        <f>+'QTR Raw'!V68</f>
        <v>654.66</v>
      </c>
      <c r="BD185" s="23">
        <f>+'QTR Raw'!X68</f>
        <v>655.14</v>
      </c>
      <c r="BF185" s="23">
        <f>+'QTR Raw'!Z68</f>
        <v>700.26</v>
      </c>
      <c r="BH185" s="23">
        <f>+'QTR Raw'!AB68</f>
        <v>675.78</v>
      </c>
      <c r="BJ185" s="23">
        <f>+'QTR Raw'!AD68</f>
        <v>650.08000000000004</v>
      </c>
      <c r="BL185" s="23">
        <f>+'QTR Raw'!AF68</f>
        <v>630.75</v>
      </c>
      <c r="BN185" s="23">
        <f>+'QTR Raw'!AH68</f>
        <v>619.78</v>
      </c>
      <c r="BP185" s="23">
        <f>+'QTR Raw'!AJ68</f>
        <v>590.03</v>
      </c>
      <c r="BR185" s="23">
        <f>+'QTR Raw'!AL68</f>
        <v>590.30999999999995</v>
      </c>
      <c r="BT185" s="23">
        <f>+'QTR Raw'!AN68</f>
        <v>563.62</v>
      </c>
      <c r="BV185" s="23">
        <f>+'QTR Raw'!AP68</f>
        <v>598.42999999999995</v>
      </c>
      <c r="BX185" s="23">
        <f>+'QTR Raw'!AR68</f>
        <v>693.7</v>
      </c>
      <c r="BZ185" s="23">
        <f>+'QTR Raw'!AT68</f>
        <v>722.96</v>
      </c>
      <c r="CB185" s="23">
        <f>+'QTR Raw'!AV68</f>
        <v>917.53</v>
      </c>
      <c r="CD185" s="23">
        <f>+'QTR Raw'!AX68</f>
        <v>1009.19</v>
      </c>
      <c r="CF185" s="23">
        <f>+'QTR Raw'!AZ68</f>
        <v>1011.79</v>
      </c>
      <c r="CH185" s="23">
        <f t="shared" ref="CH185:CH191" si="366">Z185</f>
        <v>1888.16</v>
      </c>
      <c r="CI185" s="23">
        <f>CH185</f>
        <v>1888.16</v>
      </c>
      <c r="CJ185" s="23">
        <f>+CJ186+CJ188</f>
        <v>2022.1399999999999</v>
      </c>
      <c r="CK185" s="23">
        <f>+CJ185</f>
        <v>2022.1399999999999</v>
      </c>
      <c r="CL185" s="23">
        <f>+CL186+CL188</f>
        <v>2214.94</v>
      </c>
      <c r="CM185" s="24">
        <f>+CL185+40</f>
        <v>2254.94</v>
      </c>
      <c r="CN185" s="24">
        <f>+CM185+40</f>
        <v>2294.94</v>
      </c>
      <c r="CO185" s="24">
        <f>+CN185+40</f>
        <v>2334.94</v>
      </c>
      <c r="CP185" s="24">
        <f>+CO185+40</f>
        <v>2374.94</v>
      </c>
      <c r="CQ185" s="24">
        <f t="shared" ref="CQ185:DB185" si="367">+CP185</f>
        <v>2374.94</v>
      </c>
      <c r="CR185" s="24">
        <f t="shared" si="367"/>
        <v>2374.94</v>
      </c>
      <c r="CS185" s="24">
        <f t="shared" si="367"/>
        <v>2374.94</v>
      </c>
      <c r="CT185" s="24">
        <f t="shared" si="367"/>
        <v>2374.94</v>
      </c>
      <c r="CU185" s="24">
        <f t="shared" si="367"/>
        <v>2374.94</v>
      </c>
      <c r="CV185" s="24">
        <f t="shared" si="367"/>
        <v>2374.94</v>
      </c>
      <c r="CW185" s="24">
        <f t="shared" si="367"/>
        <v>2374.94</v>
      </c>
      <c r="CX185" s="24">
        <f t="shared" si="367"/>
        <v>2374.94</v>
      </c>
      <c r="CY185" s="24">
        <f t="shared" si="367"/>
        <v>2374.94</v>
      </c>
      <c r="CZ185" s="24">
        <f t="shared" si="367"/>
        <v>2374.94</v>
      </c>
      <c r="DA185" s="24">
        <f t="shared" si="367"/>
        <v>2374.94</v>
      </c>
      <c r="DB185" s="24">
        <f t="shared" si="367"/>
        <v>2374.94</v>
      </c>
      <c r="DE185" s="123"/>
      <c r="DF185" s="23">
        <v>2022.1399999999999</v>
      </c>
    </row>
    <row r="186" spans="1:110" s="23" customFormat="1" outlineLevel="1" x14ac:dyDescent="0.2">
      <c r="A186" s="23" t="s">
        <v>50</v>
      </c>
      <c r="B186" s="23">
        <f>'Annual Raw'!C63</f>
        <v>35.497450499999999</v>
      </c>
      <c r="C186" s="23">
        <f>'Annual Raw'!D63</f>
        <v>43.215790900000002</v>
      </c>
      <c r="D186" s="23">
        <f>'Annual Raw'!E63</f>
        <v>53.7755145</v>
      </c>
      <c r="E186" s="23">
        <f>'Annual Raw'!F63</f>
        <v>69.898575800000003</v>
      </c>
      <c r="F186" s="23">
        <f>'Annual Raw'!G63</f>
        <v>86.230091900000005</v>
      </c>
      <c r="G186" s="23">
        <f>'Annual Raw'!H63</f>
        <v>105.0874305</v>
      </c>
      <c r="H186" s="23">
        <f>'Annual Raw'!I63</f>
        <v>161.9810172</v>
      </c>
      <c r="I186" s="23">
        <f>'Annual Raw'!J63</f>
        <v>209.40807580000001</v>
      </c>
      <c r="J186" s="23">
        <f>'Annual Raw'!K63</f>
        <v>265.81165299999998</v>
      </c>
      <c r="K186" s="23">
        <f>'Annual Raw'!L63</f>
        <v>327.01416180000001</v>
      </c>
      <c r="L186" s="23">
        <f>'Annual Raw'!M63</f>
        <v>385.7</v>
      </c>
      <c r="M186" s="23">
        <f>'Annual Raw'!N63</f>
        <v>433.89</v>
      </c>
      <c r="N186" s="23">
        <f>'Annual Raw'!O63</f>
        <v>503.93</v>
      </c>
      <c r="O186" s="23">
        <f>'Annual Raw'!P63</f>
        <v>576.42999999999995</v>
      </c>
      <c r="P186" s="23">
        <f>'Annual Raw'!Q63</f>
        <v>655.77</v>
      </c>
      <c r="Q186" s="23">
        <f>'Annual Raw'!R63</f>
        <v>731.53</v>
      </c>
      <c r="R186" s="23">
        <f>'Annual Raw'!S63</f>
        <v>72.48</v>
      </c>
      <c r="S186" s="23">
        <f>'Annual Raw'!T63</f>
        <v>149.30000000000001</v>
      </c>
      <c r="T186" s="23">
        <f>'Annual Raw'!U63</f>
        <v>229.69</v>
      </c>
      <c r="U186" s="23">
        <f>'Annual Raw'!V63</f>
        <v>310.7</v>
      </c>
      <c r="V186" s="23">
        <f>'Annual Raw'!W63</f>
        <v>390.89</v>
      </c>
      <c r="W186" s="23">
        <f>'Annual Raw'!X63</f>
        <v>395.18</v>
      </c>
      <c r="X186" s="23">
        <f>'Annual Raw'!Y63</f>
        <v>454.17</v>
      </c>
      <c r="Y186" s="23">
        <f>'Annual Raw'!Z63</f>
        <v>514.39</v>
      </c>
      <c r="Z186" s="23">
        <f>'Annual Raw'!AA63</f>
        <v>610.30999999999995</v>
      </c>
      <c r="AA186" s="23">
        <f>'Annual Raw'!AB63</f>
        <v>603.67999999999995</v>
      </c>
      <c r="AB186" s="24">
        <f t="shared" si="362"/>
        <v>817.31515544043646</v>
      </c>
      <c r="AC186" s="24">
        <f t="shared" si="363"/>
        <v>928.06675873862616</v>
      </c>
      <c r="AD186" s="24">
        <f t="shared" si="364"/>
        <v>1030.9436047254121</v>
      </c>
      <c r="AE186" s="24">
        <f t="shared" si="365"/>
        <v>1126.5056112788816</v>
      </c>
      <c r="AJ186" s="23">
        <f>+'QTR Raw'!D69</f>
        <v>0</v>
      </c>
      <c r="AL186" s="23">
        <f>+'QTR Raw'!F69</f>
        <v>0</v>
      </c>
      <c r="AN186" s="23">
        <f>+'QTR Raw'!H69</f>
        <v>0</v>
      </c>
      <c r="AP186" s="23">
        <f>+'QTR Raw'!J69</f>
        <v>0</v>
      </c>
      <c r="AR186" s="23">
        <f>+'QTR Raw'!L69</f>
        <v>0</v>
      </c>
      <c r="AT186" s="23">
        <f>+'QTR Raw'!N69</f>
        <v>0</v>
      </c>
      <c r="AV186" s="23">
        <f>+'QTR Raw'!P69</f>
        <v>0</v>
      </c>
      <c r="AX186" s="23">
        <f>+'QTR Raw'!R69</f>
        <v>0</v>
      </c>
      <c r="AZ186" s="23">
        <f>+'QTR Raw'!T69</f>
        <v>0</v>
      </c>
      <c r="BB186" s="23">
        <f>+'QTR Raw'!V69</f>
        <v>0</v>
      </c>
      <c r="BD186" s="23">
        <f>+'QTR Raw'!X69</f>
        <v>0</v>
      </c>
      <c r="BF186" s="23">
        <f>+'QTR Raw'!Z69</f>
        <v>0</v>
      </c>
      <c r="BH186" s="23">
        <f>+'QTR Raw'!AB69</f>
        <v>0</v>
      </c>
      <c r="BJ186" s="23">
        <f>+'QTR Raw'!AD69</f>
        <v>0</v>
      </c>
      <c r="BL186" s="23">
        <f>+'QTR Raw'!AF69</f>
        <v>0</v>
      </c>
      <c r="BN186" s="23">
        <f>+'QTR Raw'!AH69</f>
        <v>0</v>
      </c>
      <c r="BP186" s="23">
        <f>+'QTR Raw'!AJ69</f>
        <v>0</v>
      </c>
      <c r="BR186" s="23">
        <f>+'QTR Raw'!AL69</f>
        <v>0</v>
      </c>
      <c r="BT186" s="23">
        <f>+'QTR Raw'!AN69</f>
        <v>0</v>
      </c>
      <c r="BV186" s="23">
        <f>+'QTR Raw'!AP69</f>
        <v>0</v>
      </c>
      <c r="BX186" s="23">
        <f>+'QTR Raw'!AR69</f>
        <v>0</v>
      </c>
      <c r="BZ186" s="23">
        <f>+'QTR Raw'!AT69</f>
        <v>0</v>
      </c>
      <c r="CB186" s="23">
        <f>+'QTR Raw'!AV69</f>
        <v>0</v>
      </c>
      <c r="CD186" s="23">
        <f>+'QTR Raw'!AX69</f>
        <v>0</v>
      </c>
      <c r="CF186" s="23">
        <f>+'QTR Raw'!AZ69</f>
        <v>0</v>
      </c>
      <c r="CH186" s="23">
        <f t="shared" si="366"/>
        <v>610.30999999999995</v>
      </c>
      <c r="CI186" s="23">
        <f t="shared" ref="CI186:DB186" si="368">CH186+CI86</f>
        <v>646.18999999999994</v>
      </c>
      <c r="CJ186" s="23">
        <f t="shared" si="368"/>
        <v>656.65</v>
      </c>
      <c r="CK186" s="23">
        <f t="shared" si="368"/>
        <v>681.17</v>
      </c>
      <c r="CL186" s="23">
        <f t="shared" si="368"/>
        <v>705.67</v>
      </c>
      <c r="CM186" s="24">
        <f t="shared" si="368"/>
        <v>733.24490100449668</v>
      </c>
      <c r="CN186" s="24">
        <f t="shared" si="368"/>
        <v>761.04681299759852</v>
      </c>
      <c r="CO186" s="24">
        <f t="shared" si="368"/>
        <v>789.07158840760678</v>
      </c>
      <c r="CP186" s="24">
        <f t="shared" si="368"/>
        <v>817.31515544043646</v>
      </c>
      <c r="CQ186" s="24">
        <f t="shared" si="368"/>
        <v>845.77351669513223</v>
      </c>
      <c r="CR186" s="24">
        <f t="shared" si="368"/>
        <v>873.71193354336094</v>
      </c>
      <c r="CS186" s="24">
        <f t="shared" si="368"/>
        <v>901.13990555480609</v>
      </c>
      <c r="CT186" s="24">
        <f t="shared" si="368"/>
        <v>928.06675873862616</v>
      </c>
      <c r="CU186" s="24">
        <f t="shared" si="368"/>
        <v>954.50164871446725</v>
      </c>
      <c r="CV186" s="24">
        <f t="shared" si="368"/>
        <v>980.4535638255403</v>
      </c>
      <c r="CW186" s="24">
        <f t="shared" si="368"/>
        <v>1005.9313281948209</v>
      </c>
      <c r="CX186" s="24">
        <f t="shared" si="368"/>
        <v>1030.9436047254121</v>
      </c>
      <c r="CY186" s="24">
        <f t="shared" si="368"/>
        <v>1055.4988980460885</v>
      </c>
      <c r="CZ186" s="24">
        <f t="shared" si="368"/>
        <v>1079.6055574030247</v>
      </c>
      <c r="DA186" s="24">
        <f t="shared" si="368"/>
        <v>1103.2717794986911</v>
      </c>
      <c r="DB186" s="24">
        <f t="shared" si="368"/>
        <v>1126.5056112788816</v>
      </c>
      <c r="DE186" s="123"/>
      <c r="DF186" s="23">
        <v>705.24969622626304</v>
      </c>
    </row>
    <row r="187" spans="1:110" s="23" customFormat="1" outlineLevel="1" x14ac:dyDescent="0.2">
      <c r="A187" s="23" t="s">
        <v>51</v>
      </c>
      <c r="B187" s="23">
        <f>'Annual Raw'!C64</f>
        <v>0</v>
      </c>
      <c r="C187" s="23">
        <f>'Annual Raw'!D64</f>
        <v>0</v>
      </c>
      <c r="D187" s="23">
        <f>'Annual Raw'!E64</f>
        <v>0</v>
      </c>
      <c r="E187" s="23">
        <f>'Annual Raw'!F64</f>
        <v>0</v>
      </c>
      <c r="F187" s="23">
        <f>'Annual Raw'!G64</f>
        <v>0</v>
      </c>
      <c r="G187" s="23">
        <f>'Annual Raw'!H64</f>
        <v>0</v>
      </c>
      <c r="H187" s="23">
        <f>'Annual Raw'!I64</f>
        <v>0</v>
      </c>
      <c r="I187" s="23">
        <f>'Annual Raw'!J64</f>
        <v>0</v>
      </c>
      <c r="J187" s="23">
        <f>'Annual Raw'!K64</f>
        <v>0</v>
      </c>
      <c r="K187" s="23">
        <f>'Annual Raw'!L64</f>
        <v>0</v>
      </c>
      <c r="L187" s="23">
        <f>'Annual Raw'!M64</f>
        <v>0</v>
      </c>
      <c r="M187" s="23">
        <f>'Annual Raw'!N64</f>
        <v>0</v>
      </c>
      <c r="N187" s="23">
        <f>'Annual Raw'!O64</f>
        <v>0</v>
      </c>
      <c r="O187" s="23">
        <f>'Annual Raw'!P64</f>
        <v>0</v>
      </c>
      <c r="P187" s="23">
        <f>'Annual Raw'!Q64</f>
        <v>0</v>
      </c>
      <c r="Q187" s="23">
        <f>'Annual Raw'!R64</f>
        <v>0</v>
      </c>
      <c r="R187" s="23">
        <f>'Annual Raw'!S64</f>
        <v>0</v>
      </c>
      <c r="S187" s="23">
        <f>'Annual Raw'!T64</f>
        <v>0</v>
      </c>
      <c r="T187" s="23">
        <f>'Annual Raw'!U64</f>
        <v>0</v>
      </c>
      <c r="U187" s="23">
        <f>'Annual Raw'!V64</f>
        <v>0</v>
      </c>
      <c r="V187" s="23">
        <f>'Annual Raw'!W64</f>
        <v>0</v>
      </c>
      <c r="W187" s="23">
        <f>'Annual Raw'!X64</f>
        <v>0</v>
      </c>
      <c r="X187" s="23">
        <f>'Annual Raw'!Y64</f>
        <v>0</v>
      </c>
      <c r="Y187" s="23">
        <f>'Annual Raw'!Z64</f>
        <v>0</v>
      </c>
      <c r="Z187" s="23">
        <f>'Annual Raw'!AA64</f>
        <v>0</v>
      </c>
      <c r="AA187" s="23">
        <f>'Annual Raw'!AB64</f>
        <v>0</v>
      </c>
      <c r="AB187" s="24">
        <f t="shared" si="362"/>
        <v>0</v>
      </c>
      <c r="AC187" s="24">
        <f t="shared" si="363"/>
        <v>0</v>
      </c>
      <c r="AD187" s="24">
        <f t="shared" si="364"/>
        <v>0</v>
      </c>
      <c r="AE187" s="24">
        <f t="shared" si="365"/>
        <v>0</v>
      </c>
      <c r="AJ187" s="23">
        <f>+'QTR Raw'!D70</f>
        <v>0</v>
      </c>
      <c r="AL187" s="23">
        <f>+'QTR Raw'!F70</f>
        <v>0</v>
      </c>
      <c r="AN187" s="23">
        <f>+'QTR Raw'!H70</f>
        <v>0</v>
      </c>
      <c r="AP187" s="23">
        <f>+'QTR Raw'!J70</f>
        <v>0</v>
      </c>
      <c r="AR187" s="23">
        <f>+'QTR Raw'!L70</f>
        <v>0</v>
      </c>
      <c r="AT187" s="23">
        <f>+'QTR Raw'!N70</f>
        <v>0</v>
      </c>
      <c r="AV187" s="23">
        <f>+'QTR Raw'!P70</f>
        <v>0</v>
      </c>
      <c r="AX187" s="23">
        <f>+'QTR Raw'!R70</f>
        <v>0</v>
      </c>
      <c r="AZ187" s="23">
        <f>+'QTR Raw'!T70</f>
        <v>0</v>
      </c>
      <c r="BB187" s="23">
        <f>+'QTR Raw'!V70</f>
        <v>0</v>
      </c>
      <c r="BD187" s="23">
        <f>+'QTR Raw'!X70</f>
        <v>0</v>
      </c>
      <c r="BF187" s="23">
        <f>+'QTR Raw'!Z70</f>
        <v>0</v>
      </c>
      <c r="BH187" s="23">
        <f>+'QTR Raw'!AB70</f>
        <v>0</v>
      </c>
      <c r="BJ187" s="23">
        <f>+'QTR Raw'!AD70</f>
        <v>0</v>
      </c>
      <c r="BL187" s="23">
        <f>+'QTR Raw'!AF70</f>
        <v>0</v>
      </c>
      <c r="BN187" s="23">
        <f>+'QTR Raw'!AH70</f>
        <v>0</v>
      </c>
      <c r="BP187" s="23">
        <f>+'QTR Raw'!AJ70</f>
        <v>0</v>
      </c>
      <c r="BR187" s="23">
        <f>+'QTR Raw'!AL70</f>
        <v>0</v>
      </c>
      <c r="BT187" s="23">
        <f>+'QTR Raw'!AN70</f>
        <v>0</v>
      </c>
      <c r="BV187" s="23">
        <f>+'QTR Raw'!AP70</f>
        <v>0</v>
      </c>
      <c r="BX187" s="23">
        <f>+'QTR Raw'!AR70</f>
        <v>0</v>
      </c>
      <c r="BZ187" s="23">
        <f>+'QTR Raw'!AT70</f>
        <v>0</v>
      </c>
      <c r="CB187" s="23">
        <f>+'QTR Raw'!AV70</f>
        <v>0</v>
      </c>
      <c r="CD187" s="23">
        <f>+'QTR Raw'!AX70</f>
        <v>0</v>
      </c>
      <c r="CF187" s="23">
        <f>+'QTR Raw'!AZ70</f>
        <v>0</v>
      </c>
      <c r="CH187" s="23">
        <f t="shared" si="366"/>
        <v>0</v>
      </c>
      <c r="CI187" s="23">
        <f>CH187</f>
        <v>0</v>
      </c>
      <c r="CJ187" s="23">
        <f>+'QTR Raw'!BD70</f>
        <v>0</v>
      </c>
      <c r="CK187" s="23">
        <f t="shared" ref="CK187:DB187" si="369">CJ187</f>
        <v>0</v>
      </c>
      <c r="CL187" s="23">
        <f>+'QTR Raw'!BF70</f>
        <v>0</v>
      </c>
      <c r="CM187" s="24">
        <f t="shared" si="369"/>
        <v>0</v>
      </c>
      <c r="CN187" s="24">
        <f t="shared" si="369"/>
        <v>0</v>
      </c>
      <c r="CO187" s="24">
        <f t="shared" si="369"/>
        <v>0</v>
      </c>
      <c r="CP187" s="24">
        <f t="shared" si="369"/>
        <v>0</v>
      </c>
      <c r="CQ187" s="24">
        <f t="shared" si="369"/>
        <v>0</v>
      </c>
      <c r="CR187" s="24">
        <f t="shared" si="369"/>
        <v>0</v>
      </c>
      <c r="CS187" s="24">
        <f t="shared" si="369"/>
        <v>0</v>
      </c>
      <c r="CT187" s="24">
        <f t="shared" si="369"/>
        <v>0</v>
      </c>
      <c r="CU187" s="24">
        <f t="shared" si="369"/>
        <v>0</v>
      </c>
      <c r="CV187" s="24">
        <f t="shared" si="369"/>
        <v>0</v>
      </c>
      <c r="CW187" s="24">
        <f t="shared" si="369"/>
        <v>0</v>
      </c>
      <c r="CX187" s="24">
        <f t="shared" si="369"/>
        <v>0</v>
      </c>
      <c r="CY187" s="24">
        <f t="shared" si="369"/>
        <v>0</v>
      </c>
      <c r="CZ187" s="24">
        <f t="shared" si="369"/>
        <v>0</v>
      </c>
      <c r="DA187" s="24">
        <f t="shared" si="369"/>
        <v>0</v>
      </c>
      <c r="DB187" s="24">
        <f t="shared" si="369"/>
        <v>0</v>
      </c>
      <c r="DE187" s="123"/>
      <c r="DF187" s="23">
        <v>0</v>
      </c>
    </row>
    <row r="188" spans="1:110" s="22" customFormat="1" outlineLevel="1" x14ac:dyDescent="0.2">
      <c r="A188" s="22" t="s">
        <v>52</v>
      </c>
      <c r="B188" s="22">
        <f>+B185-B186-B187</f>
        <v>84.688383000000002</v>
      </c>
      <c r="C188" s="22">
        <f t="shared" ref="C188:W188" si="370">+C185-C186-C187</f>
        <v>90.283227299999993</v>
      </c>
      <c r="D188" s="22">
        <f t="shared" si="370"/>
        <v>110.61714149999999</v>
      </c>
      <c r="E188" s="22">
        <f t="shared" si="370"/>
        <v>171.35052400000001</v>
      </c>
      <c r="F188" s="22">
        <f t="shared" si="370"/>
        <v>183.22256750000003</v>
      </c>
      <c r="G188" s="22">
        <f t="shared" si="370"/>
        <v>248.54954430000004</v>
      </c>
      <c r="H188" s="22">
        <f t="shared" si="370"/>
        <v>365.78201149999995</v>
      </c>
      <c r="I188" s="22">
        <f t="shared" si="370"/>
        <v>495.70621889999995</v>
      </c>
      <c r="J188" s="22">
        <f t="shared" si="370"/>
        <v>611.06424440000001</v>
      </c>
      <c r="K188" s="22">
        <f t="shared" si="370"/>
        <v>564.40899219999994</v>
      </c>
      <c r="L188" s="22">
        <f t="shared" si="370"/>
        <v>538.58999999999992</v>
      </c>
      <c r="M188" s="22">
        <f t="shared" si="370"/>
        <v>624.84</v>
      </c>
      <c r="N188" s="22">
        <f t="shared" si="370"/>
        <v>583.24</v>
      </c>
      <c r="O188" s="22">
        <f t="shared" si="370"/>
        <v>537.61</v>
      </c>
      <c r="P188" s="22">
        <f t="shared" si="370"/>
        <v>562.74</v>
      </c>
      <c r="Q188" s="22">
        <f t="shared" si="370"/>
        <v>584.74</v>
      </c>
      <c r="R188" s="22">
        <f t="shared" si="370"/>
        <v>654.66</v>
      </c>
      <c r="S188" s="22">
        <f t="shared" si="370"/>
        <v>699.61999999999989</v>
      </c>
      <c r="T188" s="22">
        <f t="shared" si="370"/>
        <v>648.40000000000009</v>
      </c>
      <c r="U188" s="22">
        <f t="shared" si="370"/>
        <v>616.22</v>
      </c>
      <c r="V188" s="22">
        <f t="shared" si="370"/>
        <v>590.31000000000006</v>
      </c>
      <c r="W188" s="22">
        <f t="shared" si="370"/>
        <v>601.78</v>
      </c>
      <c r="X188" s="22">
        <f>+X185-X186-X187</f>
        <v>725.27</v>
      </c>
      <c r="Y188" s="22">
        <f>+Y185-Y186-Y187</f>
        <v>1007.12</v>
      </c>
      <c r="Z188" s="22">
        <f t="shared" ref="Z188:AE188" si="371">+Z185-Z186-Z187</f>
        <v>1277.8500000000001</v>
      </c>
      <c r="AA188" s="22">
        <f t="shared" ref="AA188" si="372">+AA185-AA186-AA187</f>
        <v>1509.1400000000003</v>
      </c>
      <c r="AB188" s="21">
        <f t="shared" si="371"/>
        <v>1557.6248445595636</v>
      </c>
      <c r="AC188" s="21">
        <f t="shared" si="371"/>
        <v>1446.873241261374</v>
      </c>
      <c r="AD188" s="21">
        <f t="shared" si="371"/>
        <v>1343.9963952745879</v>
      </c>
      <c r="AE188" s="21">
        <f t="shared" si="371"/>
        <v>1248.4343887211185</v>
      </c>
      <c r="AJ188" s="22">
        <f>+AJ185-AJ186-AJ187</f>
        <v>619.32000000000005</v>
      </c>
      <c r="AK188" s="22">
        <f t="shared" ref="AK188:CE188" si="373">+AJ188</f>
        <v>619.32000000000005</v>
      </c>
      <c r="AL188" s="22">
        <f>+AL185-AL186-AL187</f>
        <v>591.65</v>
      </c>
      <c r="AM188" s="22">
        <f t="shared" si="373"/>
        <v>591.65</v>
      </c>
      <c r="AN188" s="22">
        <f>+AN185-AN186-AN187</f>
        <v>568.1</v>
      </c>
      <c r="AO188" s="22">
        <f t="shared" si="373"/>
        <v>568.1</v>
      </c>
      <c r="AP188" s="22">
        <f t="shared" ref="AP188:CD188" si="374">+AP185-AP186-AP187</f>
        <v>551.36</v>
      </c>
      <c r="AQ188" s="22">
        <f t="shared" si="373"/>
        <v>551.36</v>
      </c>
      <c r="AR188" s="22">
        <f t="shared" si="374"/>
        <v>549.89</v>
      </c>
      <c r="AS188" s="22">
        <f t="shared" si="373"/>
        <v>549.89</v>
      </c>
      <c r="AT188" s="22">
        <f t="shared" si="374"/>
        <v>565.69000000000005</v>
      </c>
      <c r="AU188" s="22">
        <f t="shared" si="373"/>
        <v>565.69000000000005</v>
      </c>
      <c r="AV188" s="22">
        <f t="shared" si="374"/>
        <v>536.79</v>
      </c>
      <c r="AW188" s="22">
        <f t="shared" si="373"/>
        <v>536.79</v>
      </c>
      <c r="AX188" s="22">
        <f t="shared" si="374"/>
        <v>584.74</v>
      </c>
      <c r="AY188" s="22">
        <f t="shared" si="373"/>
        <v>584.74</v>
      </c>
      <c r="AZ188" s="22">
        <f t="shared" si="374"/>
        <v>622.41999999999996</v>
      </c>
      <c r="BA188" s="22">
        <f t="shared" si="373"/>
        <v>622.41999999999996</v>
      </c>
      <c r="BB188" s="22">
        <f t="shared" si="374"/>
        <v>654.66</v>
      </c>
      <c r="BC188" s="22">
        <f t="shared" si="373"/>
        <v>654.66</v>
      </c>
      <c r="BD188" s="22">
        <f t="shared" si="374"/>
        <v>655.14</v>
      </c>
      <c r="BE188" s="22">
        <f t="shared" si="373"/>
        <v>655.14</v>
      </c>
      <c r="BF188" s="22">
        <f t="shared" si="374"/>
        <v>700.26</v>
      </c>
      <c r="BG188" s="22">
        <f t="shared" si="373"/>
        <v>700.26</v>
      </c>
      <c r="BH188" s="22">
        <f t="shared" si="374"/>
        <v>675.78</v>
      </c>
      <c r="BI188" s="22">
        <f t="shared" si="373"/>
        <v>675.78</v>
      </c>
      <c r="BJ188" s="22">
        <f t="shared" si="374"/>
        <v>650.08000000000004</v>
      </c>
      <c r="BK188" s="22">
        <f t="shared" si="373"/>
        <v>650.08000000000004</v>
      </c>
      <c r="BL188" s="22">
        <f t="shared" si="374"/>
        <v>630.75</v>
      </c>
      <c r="BM188" s="22">
        <f t="shared" si="373"/>
        <v>630.75</v>
      </c>
      <c r="BN188" s="22">
        <f t="shared" si="374"/>
        <v>619.78</v>
      </c>
      <c r="BO188" s="22">
        <f t="shared" si="373"/>
        <v>619.78</v>
      </c>
      <c r="BP188" s="22">
        <f t="shared" si="374"/>
        <v>590.03</v>
      </c>
      <c r="BQ188" s="22">
        <f t="shared" si="373"/>
        <v>590.03</v>
      </c>
      <c r="BR188" s="22">
        <f t="shared" si="374"/>
        <v>590.30999999999995</v>
      </c>
      <c r="BS188" s="22">
        <f t="shared" si="373"/>
        <v>590.30999999999995</v>
      </c>
      <c r="BT188" s="22">
        <f t="shared" si="374"/>
        <v>563.62</v>
      </c>
      <c r="BU188" s="22">
        <f t="shared" si="373"/>
        <v>563.62</v>
      </c>
      <c r="BV188" s="22">
        <f t="shared" si="374"/>
        <v>598.42999999999995</v>
      </c>
      <c r="BW188" s="22">
        <f t="shared" si="373"/>
        <v>598.42999999999995</v>
      </c>
      <c r="BX188" s="22">
        <f t="shared" si="374"/>
        <v>693.7</v>
      </c>
      <c r="BY188" s="22">
        <f t="shared" si="373"/>
        <v>693.7</v>
      </c>
      <c r="BZ188" s="22">
        <f t="shared" si="374"/>
        <v>722.96</v>
      </c>
      <c r="CA188" s="22">
        <f t="shared" si="373"/>
        <v>722.96</v>
      </c>
      <c r="CB188" s="22">
        <f t="shared" si="374"/>
        <v>917.53</v>
      </c>
      <c r="CC188" s="22">
        <f t="shared" si="373"/>
        <v>917.53</v>
      </c>
      <c r="CD188" s="22">
        <f t="shared" si="374"/>
        <v>1009.19</v>
      </c>
      <c r="CE188" s="22">
        <f t="shared" si="373"/>
        <v>1009.19</v>
      </c>
      <c r="CF188" s="22">
        <f>+CF185-CF186-CF187</f>
        <v>1011.79</v>
      </c>
      <c r="CG188" s="22">
        <f t="shared" ref="CG188:CI191" si="375">+CF188</f>
        <v>1011.79</v>
      </c>
      <c r="CH188" s="22">
        <f>+CH185-CH186-CH187</f>
        <v>1277.8500000000001</v>
      </c>
      <c r="CI188" s="22">
        <f>+CI185-CI186-CI187</f>
        <v>1241.9700000000003</v>
      </c>
      <c r="CJ188" s="23">
        <f>+'QTR Raw'!BD68</f>
        <v>1365.49</v>
      </c>
      <c r="CK188" s="23">
        <f t="shared" ref="CK188:DB188" si="376">+CK185-CK186-CK187</f>
        <v>1340.9699999999998</v>
      </c>
      <c r="CL188" s="23">
        <f>+'QTR Raw'!BF68</f>
        <v>1509.27</v>
      </c>
      <c r="CM188" s="21">
        <f t="shared" si="376"/>
        <v>1521.6950989955035</v>
      </c>
      <c r="CN188" s="21">
        <f t="shared" si="376"/>
        <v>1533.8931870024016</v>
      </c>
      <c r="CO188" s="21">
        <f t="shared" si="376"/>
        <v>1545.8684115923934</v>
      </c>
      <c r="CP188" s="21">
        <f t="shared" si="376"/>
        <v>1557.6248445595636</v>
      </c>
      <c r="CQ188" s="21">
        <f t="shared" si="376"/>
        <v>1529.1664833048678</v>
      </c>
      <c r="CR188" s="21">
        <f t="shared" si="376"/>
        <v>1501.2280664566392</v>
      </c>
      <c r="CS188" s="21">
        <f t="shared" si="376"/>
        <v>1473.800094445194</v>
      </c>
      <c r="CT188" s="21">
        <f t="shared" si="376"/>
        <v>1446.873241261374</v>
      </c>
      <c r="CU188" s="21">
        <f t="shared" si="376"/>
        <v>1420.4383512855329</v>
      </c>
      <c r="CV188" s="21">
        <f t="shared" si="376"/>
        <v>1394.4864361744599</v>
      </c>
      <c r="CW188" s="21">
        <f t="shared" si="376"/>
        <v>1369.0086718051791</v>
      </c>
      <c r="CX188" s="21">
        <f t="shared" si="376"/>
        <v>1343.9963952745879</v>
      </c>
      <c r="CY188" s="21">
        <f t="shared" si="376"/>
        <v>1319.4411019539116</v>
      </c>
      <c r="CZ188" s="21">
        <f t="shared" si="376"/>
        <v>1295.3344425969754</v>
      </c>
      <c r="DA188" s="21">
        <f t="shared" si="376"/>
        <v>1271.668220501309</v>
      </c>
      <c r="DB188" s="21">
        <f t="shared" si="376"/>
        <v>1248.4343887211185</v>
      </c>
      <c r="DE188" s="126"/>
      <c r="DF188" s="22">
        <v>1316.8903037737368</v>
      </c>
    </row>
    <row r="189" spans="1:110" s="23" customFormat="1" outlineLevel="1" x14ac:dyDescent="0.2">
      <c r="A189" s="23" t="s">
        <v>53</v>
      </c>
      <c r="B189" s="23">
        <f>'Annual Raw'!C86</f>
        <v>0</v>
      </c>
      <c r="C189" s="23">
        <f>'Annual Raw'!D86</f>
        <v>0.55674210000000002</v>
      </c>
      <c r="D189" s="23">
        <f>'Annual Raw'!E86</f>
        <v>0.55674210000000002</v>
      </c>
      <c r="E189" s="23">
        <f>'Annual Raw'!F86</f>
        <v>0</v>
      </c>
      <c r="F189" s="23">
        <f>'Annual Raw'!G86</f>
        <v>0</v>
      </c>
      <c r="G189" s="23">
        <f>'Annual Raw'!H86</f>
        <v>0</v>
      </c>
      <c r="H189" s="23">
        <f>'Annual Raw'!I86</f>
        <v>0</v>
      </c>
      <c r="I189" s="23">
        <f>'Annual Raw'!J86</f>
        <v>0</v>
      </c>
      <c r="J189" s="23">
        <f>'Annual Raw'!K86</f>
        <v>0</v>
      </c>
      <c r="K189" s="23">
        <f>'Annual Raw'!L86</f>
        <v>0</v>
      </c>
      <c r="L189" s="23">
        <f>'Annual Raw'!M86</f>
        <v>0</v>
      </c>
      <c r="M189" s="23">
        <f>'Annual Raw'!N86</f>
        <v>0</v>
      </c>
      <c r="N189" s="23">
        <f>'Annual Raw'!O86</f>
        <v>0</v>
      </c>
      <c r="O189" s="23">
        <f>'Annual Raw'!P86</f>
        <v>0</v>
      </c>
      <c r="P189" s="23">
        <f>'Annual Raw'!Q86</f>
        <v>0</v>
      </c>
      <c r="Q189" s="23">
        <f>'Annual Raw'!R86</f>
        <v>0</v>
      </c>
      <c r="R189" s="23">
        <f>'Annual Raw'!S86</f>
        <v>0</v>
      </c>
      <c r="S189" s="23">
        <f>'Annual Raw'!T86</f>
        <v>0</v>
      </c>
      <c r="T189" s="23">
        <f>'Annual Raw'!U86</f>
        <v>0</v>
      </c>
      <c r="U189" s="23">
        <f>'Annual Raw'!V86</f>
        <v>0</v>
      </c>
      <c r="V189" s="23">
        <f>'Annual Raw'!W86</f>
        <v>0</v>
      </c>
      <c r="W189" s="23">
        <f>'Annual Raw'!X86</f>
        <v>0</v>
      </c>
      <c r="X189" s="23">
        <f>'Annual Raw'!Y86</f>
        <v>0</v>
      </c>
      <c r="Y189" s="23">
        <f>'Annual Raw'!Z86</f>
        <v>0</v>
      </c>
      <c r="Z189" s="23">
        <f>'Annual Raw'!AA86</f>
        <v>0</v>
      </c>
      <c r="AA189" s="23">
        <f>'Annual Raw'!AB86</f>
        <v>0</v>
      </c>
      <c r="AB189" s="24">
        <f t="shared" si="362"/>
        <v>0</v>
      </c>
      <c r="AC189" s="24">
        <f t="shared" si="363"/>
        <v>0</v>
      </c>
      <c r="AD189" s="24">
        <f t="shared" si="364"/>
        <v>0</v>
      </c>
      <c r="AE189" s="24">
        <f t="shared" si="365"/>
        <v>0</v>
      </c>
      <c r="AJ189" s="23">
        <f>+'QTR Raw'!D72</f>
        <v>0</v>
      </c>
      <c r="AK189" s="23">
        <f>+AJ189</f>
        <v>0</v>
      </c>
      <c r="AL189" s="23">
        <f>+'QTR Raw'!F72</f>
        <v>0</v>
      </c>
      <c r="AM189" s="23">
        <f t="shared" ref="AK189:CE191" si="377">+AL189</f>
        <v>0</v>
      </c>
      <c r="AN189" s="23">
        <f>+'QTR Raw'!H72</f>
        <v>0</v>
      </c>
      <c r="AO189" s="23">
        <f t="shared" si="377"/>
        <v>0</v>
      </c>
      <c r="AP189" s="23">
        <f>+'QTR Raw'!J72</f>
        <v>0</v>
      </c>
      <c r="AQ189" s="23">
        <f t="shared" si="377"/>
        <v>0</v>
      </c>
      <c r="AR189" s="23">
        <f>+'QTR Raw'!L72</f>
        <v>0</v>
      </c>
      <c r="AS189" s="23">
        <f t="shared" si="377"/>
        <v>0</v>
      </c>
      <c r="AT189" s="23">
        <f>+'QTR Raw'!N72</f>
        <v>0</v>
      </c>
      <c r="AU189" s="23">
        <f t="shared" si="377"/>
        <v>0</v>
      </c>
      <c r="AV189" s="23">
        <f>+'QTR Raw'!P72</f>
        <v>0</v>
      </c>
      <c r="AW189" s="23">
        <f t="shared" si="377"/>
        <v>0</v>
      </c>
      <c r="AX189" s="23">
        <f>+'QTR Raw'!R72</f>
        <v>0</v>
      </c>
      <c r="AY189" s="23">
        <f t="shared" si="377"/>
        <v>0</v>
      </c>
      <c r="AZ189" s="23">
        <f>+'QTR Raw'!T72</f>
        <v>0</v>
      </c>
      <c r="BA189" s="23">
        <f t="shared" si="377"/>
        <v>0</v>
      </c>
      <c r="BB189" s="23">
        <f>+'QTR Raw'!V72</f>
        <v>0</v>
      </c>
      <c r="BC189" s="23">
        <f t="shared" si="377"/>
        <v>0</v>
      </c>
      <c r="BD189" s="23">
        <f>+'QTR Raw'!X72</f>
        <v>0</v>
      </c>
      <c r="BE189" s="23">
        <f t="shared" si="377"/>
        <v>0</v>
      </c>
      <c r="BF189" s="23">
        <f>+'QTR Raw'!Z72</f>
        <v>0</v>
      </c>
      <c r="BG189" s="23">
        <f t="shared" si="377"/>
        <v>0</v>
      </c>
      <c r="BH189" s="23">
        <f>+'QTR Raw'!AB72</f>
        <v>0</v>
      </c>
      <c r="BI189" s="23">
        <f t="shared" si="377"/>
        <v>0</v>
      </c>
      <c r="BJ189" s="23">
        <f>+'QTR Raw'!AD72</f>
        <v>0</v>
      </c>
      <c r="BK189" s="23">
        <f t="shared" si="377"/>
        <v>0</v>
      </c>
      <c r="BL189" s="23">
        <f>+'QTR Raw'!AF72</f>
        <v>0</v>
      </c>
      <c r="BM189" s="23">
        <f t="shared" si="377"/>
        <v>0</v>
      </c>
      <c r="BN189" s="23">
        <f>+'QTR Raw'!AH72</f>
        <v>0</v>
      </c>
      <c r="BO189" s="23">
        <f t="shared" si="377"/>
        <v>0</v>
      </c>
      <c r="BP189" s="23">
        <f>+'QTR Raw'!AJ72</f>
        <v>0</v>
      </c>
      <c r="BQ189" s="23">
        <f t="shared" si="377"/>
        <v>0</v>
      </c>
      <c r="BR189" s="23">
        <f>+'QTR Raw'!AL72</f>
        <v>0</v>
      </c>
      <c r="BS189" s="23">
        <f t="shared" si="377"/>
        <v>0</v>
      </c>
      <c r="BT189" s="23">
        <f>+'QTR Raw'!AN72</f>
        <v>0</v>
      </c>
      <c r="BU189" s="23">
        <f t="shared" si="377"/>
        <v>0</v>
      </c>
      <c r="BV189" s="23">
        <f>+'QTR Raw'!AP72</f>
        <v>0</v>
      </c>
      <c r="BW189" s="23">
        <f t="shared" si="377"/>
        <v>0</v>
      </c>
      <c r="BX189" s="23">
        <f>+'QTR Raw'!AR72</f>
        <v>0</v>
      </c>
      <c r="BY189" s="23">
        <f t="shared" si="377"/>
        <v>0</v>
      </c>
      <c r="BZ189" s="23">
        <f>+'QTR Raw'!AT72</f>
        <v>0</v>
      </c>
      <c r="CA189" s="23">
        <f t="shared" si="377"/>
        <v>0</v>
      </c>
      <c r="CB189" s="23">
        <f>+'QTR Raw'!AV72</f>
        <v>0</v>
      </c>
      <c r="CC189" s="23">
        <f t="shared" si="377"/>
        <v>0</v>
      </c>
      <c r="CD189" s="23">
        <f>+'QTR Raw'!AX72</f>
        <v>0</v>
      </c>
      <c r="CE189" s="23">
        <f t="shared" si="377"/>
        <v>0</v>
      </c>
      <c r="CF189" s="23">
        <f>+'QTR Raw'!AZ72</f>
        <v>0</v>
      </c>
      <c r="CG189" s="23">
        <f t="shared" si="375"/>
        <v>0</v>
      </c>
      <c r="CH189" s="23">
        <f t="shared" si="366"/>
        <v>0</v>
      </c>
      <c r="CI189" s="23">
        <f t="shared" si="375"/>
        <v>0</v>
      </c>
      <c r="CJ189" s="23">
        <f>+'QTR Raw'!BD72</f>
        <v>0</v>
      </c>
      <c r="CK189" s="23">
        <f>+CJ189</f>
        <v>0</v>
      </c>
      <c r="CL189" s="23">
        <f>+'QTR Raw'!BF72</f>
        <v>0</v>
      </c>
      <c r="CM189" s="24">
        <f t="shared" ref="CM189:DB189" si="378">+CL189</f>
        <v>0</v>
      </c>
      <c r="CN189" s="24">
        <f t="shared" si="378"/>
        <v>0</v>
      </c>
      <c r="CO189" s="24">
        <f t="shared" si="378"/>
        <v>0</v>
      </c>
      <c r="CP189" s="24">
        <f t="shared" si="378"/>
        <v>0</v>
      </c>
      <c r="CQ189" s="24">
        <f t="shared" si="378"/>
        <v>0</v>
      </c>
      <c r="CR189" s="24">
        <f t="shared" si="378"/>
        <v>0</v>
      </c>
      <c r="CS189" s="24">
        <f t="shared" si="378"/>
        <v>0</v>
      </c>
      <c r="CT189" s="24">
        <f t="shared" si="378"/>
        <v>0</v>
      </c>
      <c r="CU189" s="24">
        <f t="shared" si="378"/>
        <v>0</v>
      </c>
      <c r="CV189" s="24">
        <f t="shared" si="378"/>
        <v>0</v>
      </c>
      <c r="CW189" s="24">
        <f t="shared" si="378"/>
        <v>0</v>
      </c>
      <c r="CX189" s="24">
        <f t="shared" si="378"/>
        <v>0</v>
      </c>
      <c r="CY189" s="24">
        <f t="shared" si="378"/>
        <v>0</v>
      </c>
      <c r="CZ189" s="24">
        <f t="shared" si="378"/>
        <v>0</v>
      </c>
      <c r="DA189" s="24">
        <f t="shared" si="378"/>
        <v>0</v>
      </c>
      <c r="DB189" s="24">
        <f t="shared" si="378"/>
        <v>0</v>
      </c>
      <c r="DE189" s="123"/>
      <c r="DF189" s="23">
        <v>0</v>
      </c>
    </row>
    <row r="190" spans="1:110" s="23" customFormat="1" outlineLevel="1" x14ac:dyDescent="0.2">
      <c r="A190" s="23" t="s">
        <v>54</v>
      </c>
      <c r="B190" s="23">
        <f>'Annual Raw'!C68</f>
        <v>0</v>
      </c>
      <c r="C190" s="23">
        <f>'Annual Raw'!D68</f>
        <v>0</v>
      </c>
      <c r="D190" s="23">
        <f>'Annual Raw'!E68</f>
        <v>0</v>
      </c>
      <c r="E190" s="23">
        <f>'Annual Raw'!F68</f>
        <v>0</v>
      </c>
      <c r="F190" s="23">
        <f>'Annual Raw'!G68</f>
        <v>0</v>
      </c>
      <c r="G190" s="23">
        <f>'Annual Raw'!H68</f>
        <v>0</v>
      </c>
      <c r="H190" s="23">
        <f>'Annual Raw'!I68</f>
        <v>0</v>
      </c>
      <c r="I190" s="23">
        <f>'Annual Raw'!J68</f>
        <v>0</v>
      </c>
      <c r="J190" s="23">
        <f>'Annual Raw'!K68</f>
        <v>0</v>
      </c>
      <c r="K190" s="23">
        <f>'Annual Raw'!L68</f>
        <v>0</v>
      </c>
      <c r="L190" s="23">
        <f>'Annual Raw'!M68</f>
        <v>0</v>
      </c>
      <c r="M190" s="23">
        <f>'Annual Raw'!N68</f>
        <v>0</v>
      </c>
      <c r="N190" s="23">
        <f>'Annual Raw'!O68</f>
        <v>0</v>
      </c>
      <c r="O190" s="23">
        <f>'Annual Raw'!P68</f>
        <v>0</v>
      </c>
      <c r="P190" s="23">
        <f>'Annual Raw'!Q68</f>
        <v>0</v>
      </c>
      <c r="Q190" s="23">
        <f>'Annual Raw'!R68</f>
        <v>0</v>
      </c>
      <c r="R190" s="23">
        <f>'Annual Raw'!S68</f>
        <v>0</v>
      </c>
      <c r="S190" s="23">
        <f>'Annual Raw'!T68</f>
        <v>0.64</v>
      </c>
      <c r="T190" s="23">
        <f>'Annual Raw'!U68</f>
        <v>1.68</v>
      </c>
      <c r="U190" s="23">
        <f>'Annual Raw'!V68</f>
        <v>3.56</v>
      </c>
      <c r="V190" s="23">
        <f>'Annual Raw'!W68</f>
        <v>0</v>
      </c>
      <c r="W190" s="23">
        <f>'Annual Raw'!X68</f>
        <v>0.14000000000000001</v>
      </c>
      <c r="X190" s="23">
        <f>'Annual Raw'!Y68</f>
        <v>0.09</v>
      </c>
      <c r="Y190" s="23">
        <f>'Annual Raw'!Z68</f>
        <v>2.88</v>
      </c>
      <c r="Z190" s="23">
        <f>'Annual Raw'!AA68</f>
        <v>6.45</v>
      </c>
      <c r="AA190" s="23">
        <f>'Annual Raw'!AB68</f>
        <v>1.97</v>
      </c>
      <c r="AB190" s="24">
        <f t="shared" si="362"/>
        <v>0</v>
      </c>
      <c r="AC190" s="24">
        <f t="shared" si="363"/>
        <v>0</v>
      </c>
      <c r="AD190" s="24">
        <f t="shared" si="364"/>
        <v>0</v>
      </c>
      <c r="AE190" s="24">
        <f t="shared" si="365"/>
        <v>0</v>
      </c>
      <c r="AK190" s="23">
        <f t="shared" si="377"/>
        <v>0</v>
      </c>
      <c r="AM190" s="23">
        <f t="shared" si="377"/>
        <v>0</v>
      </c>
      <c r="AO190" s="23">
        <f t="shared" si="377"/>
        <v>0</v>
      </c>
      <c r="AQ190" s="23">
        <f t="shared" si="377"/>
        <v>0</v>
      </c>
      <c r="AS190" s="23">
        <f t="shared" si="377"/>
        <v>0</v>
      </c>
      <c r="AU190" s="23">
        <f t="shared" si="377"/>
        <v>0</v>
      </c>
      <c r="AW190" s="23">
        <f t="shared" si="377"/>
        <v>0</v>
      </c>
      <c r="AY190" s="23">
        <f t="shared" si="377"/>
        <v>0</v>
      </c>
      <c r="BA190" s="23">
        <f t="shared" si="377"/>
        <v>0</v>
      </c>
      <c r="BC190" s="23">
        <f t="shared" si="377"/>
        <v>0</v>
      </c>
      <c r="BE190" s="23">
        <f t="shared" si="377"/>
        <v>0</v>
      </c>
      <c r="BG190" s="23">
        <f t="shared" si="377"/>
        <v>0</v>
      </c>
      <c r="BI190" s="23">
        <f t="shared" si="377"/>
        <v>0</v>
      </c>
      <c r="BK190" s="23">
        <f t="shared" si="377"/>
        <v>0</v>
      </c>
      <c r="BM190" s="23">
        <f t="shared" si="377"/>
        <v>0</v>
      </c>
      <c r="BO190" s="23">
        <f t="shared" si="377"/>
        <v>0</v>
      </c>
      <c r="BQ190" s="23">
        <f t="shared" si="377"/>
        <v>0</v>
      </c>
      <c r="BS190" s="23">
        <f t="shared" si="377"/>
        <v>0</v>
      </c>
      <c r="BU190" s="23">
        <f t="shared" si="377"/>
        <v>0</v>
      </c>
      <c r="BW190" s="23">
        <f t="shared" si="377"/>
        <v>0</v>
      </c>
      <c r="BY190" s="23">
        <f t="shared" si="377"/>
        <v>0</v>
      </c>
      <c r="CA190" s="23">
        <f t="shared" si="377"/>
        <v>0</v>
      </c>
      <c r="CC190" s="23">
        <f t="shared" si="377"/>
        <v>0</v>
      </c>
      <c r="CE190" s="23">
        <f t="shared" si="377"/>
        <v>0</v>
      </c>
      <c r="CG190" s="23">
        <f t="shared" si="375"/>
        <v>0</v>
      </c>
      <c r="CH190" s="23">
        <f t="shared" si="366"/>
        <v>6.45</v>
      </c>
      <c r="CI190" s="23">
        <f t="shared" si="375"/>
        <v>6.45</v>
      </c>
      <c r="CK190" s="23">
        <f>+CJ190</f>
        <v>0</v>
      </c>
      <c r="CM190" s="24">
        <f t="shared" ref="CM190:DB190" si="379">+CL190</f>
        <v>0</v>
      </c>
      <c r="CN190" s="24">
        <f t="shared" si="379"/>
        <v>0</v>
      </c>
      <c r="CO190" s="24">
        <f t="shared" si="379"/>
        <v>0</v>
      </c>
      <c r="CP190" s="24">
        <f t="shared" si="379"/>
        <v>0</v>
      </c>
      <c r="CQ190" s="24">
        <f t="shared" si="379"/>
        <v>0</v>
      </c>
      <c r="CR190" s="24">
        <f t="shared" si="379"/>
        <v>0</v>
      </c>
      <c r="CS190" s="24">
        <f t="shared" si="379"/>
        <v>0</v>
      </c>
      <c r="CT190" s="24">
        <f t="shared" si="379"/>
        <v>0</v>
      </c>
      <c r="CU190" s="24">
        <f t="shared" si="379"/>
        <v>0</v>
      </c>
      <c r="CV190" s="24">
        <f t="shared" si="379"/>
        <v>0</v>
      </c>
      <c r="CW190" s="24">
        <f t="shared" si="379"/>
        <v>0</v>
      </c>
      <c r="CX190" s="24">
        <f t="shared" si="379"/>
        <v>0</v>
      </c>
      <c r="CY190" s="24">
        <f t="shared" si="379"/>
        <v>0</v>
      </c>
      <c r="CZ190" s="24">
        <f t="shared" si="379"/>
        <v>0</v>
      </c>
      <c r="DA190" s="24">
        <f t="shared" si="379"/>
        <v>0</v>
      </c>
      <c r="DB190" s="24">
        <f t="shared" si="379"/>
        <v>0</v>
      </c>
      <c r="DE190" s="123"/>
      <c r="DF190" s="23">
        <v>0</v>
      </c>
    </row>
    <row r="191" spans="1:110" s="23" customFormat="1" outlineLevel="1" x14ac:dyDescent="0.2">
      <c r="A191" s="23" t="s">
        <v>55</v>
      </c>
      <c r="B191" s="23">
        <f>'Annual Raw'!C67+'Annual Raw'!C66+'Annual Raw'!C69+'Annual Raw'!C70</f>
        <v>0.67726439999999999</v>
      </c>
      <c r="C191" s="23">
        <f>'Annual Raw'!D67+'Annual Raw'!D66+'Annual Raw'!D69+'Annual Raw'!D70</f>
        <v>8.3169199999999999E-2</v>
      </c>
      <c r="D191" s="23">
        <f>'Annual Raw'!E67+'Annual Raw'!E66+'Annual Raw'!E69+'Annual Raw'!E70</f>
        <v>15.1135477</v>
      </c>
      <c r="E191" s="23">
        <f>'Annual Raw'!F67+'Annual Raw'!F66+'Annual Raw'!F69+'Annual Raw'!F70</f>
        <v>2.3034916999999999</v>
      </c>
      <c r="F191" s="23">
        <f>'Annual Raw'!G67+'Annual Raw'!G66+'Annual Raw'!G69+'Annual Raw'!G70</f>
        <v>2.5223414000000002</v>
      </c>
      <c r="G191" s="23">
        <f>'Annual Raw'!H67+'Annual Raw'!H66+'Annual Raw'!H69+'Annual Raw'!H70</f>
        <v>84.992672600000006</v>
      </c>
      <c r="H191" s="23">
        <f>'Annual Raw'!I67+'Annual Raw'!I66+'Annual Raw'!I69+'Annual Raw'!I70</f>
        <v>228.54407739999999</v>
      </c>
      <c r="I191" s="23">
        <f>'Annual Raw'!J67+'Annual Raw'!J66+'Annual Raw'!J69+'Annual Raw'!J70</f>
        <v>149.88965529999999</v>
      </c>
      <c r="J191" s="23">
        <f>'Annual Raw'!K67+'Annual Raw'!K66+'Annual Raw'!K69+'Annual Raw'!K70</f>
        <v>5.3007793999999997</v>
      </c>
      <c r="K191" s="23">
        <f>'Annual Raw'!L67+'Annual Raw'!L66+'Annual Raw'!L69+'Annual Raw'!L70</f>
        <v>12.5741288</v>
      </c>
      <c r="L191" s="23">
        <f>'Annual Raw'!M67+'Annual Raw'!M66+'Annual Raw'!M69+'Annual Raw'!M70</f>
        <v>12.87</v>
      </c>
      <c r="M191" s="23">
        <f>'Annual Raw'!N67+'Annual Raw'!N66+'Annual Raw'!N69+'Annual Raw'!N70</f>
        <v>9.7200000000000006</v>
      </c>
      <c r="N191" s="23">
        <f>'Annual Raw'!O67+'Annual Raw'!O66+'Annual Raw'!O69+'Annual Raw'!O70</f>
        <v>8.41</v>
      </c>
      <c r="O191" s="23">
        <f>'Annual Raw'!P67+'Annual Raw'!P66+'Annual Raw'!P69+'Annual Raw'!P70</f>
        <v>13.77</v>
      </c>
      <c r="P191" s="23">
        <f>'Annual Raw'!Q67+'Annual Raw'!Q66+'Annual Raw'!Q69+'Annual Raw'!Q70</f>
        <v>2.95</v>
      </c>
      <c r="Q191" s="23">
        <f>'Annual Raw'!R67+'Annual Raw'!R66+'Annual Raw'!R69+'Annual Raw'!R70</f>
        <v>14.2</v>
      </c>
      <c r="R191" s="23">
        <f>'Annual Raw'!S67+'Annual Raw'!S66+'Annual Raw'!S69+'Annual Raw'!S70</f>
        <v>10.98</v>
      </c>
      <c r="S191" s="23">
        <f>'Annual Raw'!T67+'Annual Raw'!T66+'Annual Raw'!T69+'Annual Raw'!T70</f>
        <v>8.77</v>
      </c>
      <c r="T191" s="23">
        <f>'Annual Raw'!U67+'Annual Raw'!U66+'Annual Raw'!U69+'Annual Raw'!U70</f>
        <v>10.14</v>
      </c>
      <c r="U191" s="23">
        <f>'Annual Raw'!V67+'Annual Raw'!V66+'Annual Raw'!V69+'Annual Raw'!V70</f>
        <v>6.02</v>
      </c>
      <c r="V191" s="23">
        <f>'Annual Raw'!W67+'Annual Raw'!W66+'Annual Raw'!W69+'Annual Raw'!W70</f>
        <v>8.81</v>
      </c>
      <c r="W191" s="23">
        <f>'Annual Raw'!X67+'Annual Raw'!X66+'Annual Raw'!X69+'Annual Raw'!X70</f>
        <v>73.930000000000007</v>
      </c>
      <c r="X191" s="23">
        <f>'Annual Raw'!Y67+'Annual Raw'!Y66+'Annual Raw'!Y69+'Annual Raw'!Y70</f>
        <v>222.98</v>
      </c>
      <c r="Y191" s="23">
        <f>'Annual Raw'!Z67+'Annual Raw'!Z66+'Annual Raw'!Z69+'Annual Raw'!Z70</f>
        <v>218.55</v>
      </c>
      <c r="Z191" s="23">
        <f>'Annual Raw'!AA67+'Annual Raw'!AA66+'Annual Raw'!AA69+'Annual Raw'!AA70</f>
        <v>172.29</v>
      </c>
      <c r="AA191" s="23">
        <f>'Annual Raw'!AB67+'Annual Raw'!AB66+'Annual Raw'!AB69+'Annual Raw'!AB70</f>
        <v>81.56</v>
      </c>
      <c r="AB191" s="24">
        <f t="shared" si="362"/>
        <v>81.56</v>
      </c>
      <c r="AC191" s="24">
        <f t="shared" si="363"/>
        <v>81.56</v>
      </c>
      <c r="AD191" s="24">
        <f t="shared" si="364"/>
        <v>81.56</v>
      </c>
      <c r="AE191" s="24">
        <f t="shared" si="365"/>
        <v>81.56</v>
      </c>
      <c r="AJ191" s="23">
        <f>+'QTR Raw'!D74+'QTR Raw'!D75</f>
        <v>0</v>
      </c>
      <c r="AK191" s="23">
        <f t="shared" si="377"/>
        <v>0</v>
      </c>
      <c r="AL191" s="23">
        <f>+'QTR Raw'!F74+'QTR Raw'!F75</f>
        <v>0</v>
      </c>
      <c r="AM191" s="23">
        <f t="shared" si="377"/>
        <v>0</v>
      </c>
      <c r="AN191" s="23">
        <f>+'QTR Raw'!H74+'QTR Raw'!H75</f>
        <v>0</v>
      </c>
      <c r="AO191" s="23">
        <f t="shared" si="377"/>
        <v>0</v>
      </c>
      <c r="AP191" s="23">
        <f>+'QTR Raw'!J74+'QTR Raw'!J75</f>
        <v>0</v>
      </c>
      <c r="AQ191" s="23">
        <f t="shared" si="377"/>
        <v>0</v>
      </c>
      <c r="AR191" s="23">
        <f>+'QTR Raw'!L74+'QTR Raw'!L75</f>
        <v>0</v>
      </c>
      <c r="AS191" s="23">
        <f t="shared" si="377"/>
        <v>0</v>
      </c>
      <c r="AT191" s="23">
        <f>+'QTR Raw'!N74+'QTR Raw'!N75</f>
        <v>0</v>
      </c>
      <c r="AU191" s="23">
        <f t="shared" si="377"/>
        <v>0</v>
      </c>
      <c r="AV191" s="23">
        <f>+'QTR Raw'!P74+'QTR Raw'!P75</f>
        <v>0</v>
      </c>
      <c r="AW191" s="23">
        <f t="shared" si="377"/>
        <v>0</v>
      </c>
      <c r="AX191" s="23">
        <f>+'QTR Raw'!R74+'QTR Raw'!R75</f>
        <v>14.2</v>
      </c>
      <c r="AY191" s="23">
        <f t="shared" si="377"/>
        <v>14.2</v>
      </c>
      <c r="AZ191" s="23">
        <f>+'QTR Raw'!T74+'QTR Raw'!T75</f>
        <v>0</v>
      </c>
      <c r="BA191" s="23">
        <f t="shared" si="377"/>
        <v>0</v>
      </c>
      <c r="BB191" s="23">
        <f>+'QTR Raw'!V74+'QTR Raw'!V75</f>
        <v>10.98</v>
      </c>
      <c r="BC191" s="23">
        <f t="shared" si="377"/>
        <v>10.98</v>
      </c>
      <c r="BD191" s="23">
        <f>+'QTR Raw'!X74+'QTR Raw'!X75</f>
        <v>39.119999999999997</v>
      </c>
      <c r="BE191" s="23">
        <f t="shared" si="377"/>
        <v>39.119999999999997</v>
      </c>
      <c r="BF191" s="23">
        <f>+'QTR Raw'!Z74+'QTR Raw'!Z75</f>
        <v>8.77</v>
      </c>
      <c r="BG191" s="23">
        <f t="shared" si="377"/>
        <v>8.77</v>
      </c>
      <c r="BH191" s="23">
        <f>+'QTR Raw'!AB74+'QTR Raw'!AB75</f>
        <v>12.64</v>
      </c>
      <c r="BI191" s="23">
        <f t="shared" si="377"/>
        <v>12.64</v>
      </c>
      <c r="BJ191" s="23">
        <f>+'QTR Raw'!AD74+'QTR Raw'!AD75</f>
        <v>10.14</v>
      </c>
      <c r="BK191" s="23">
        <f t="shared" si="377"/>
        <v>10.14</v>
      </c>
      <c r="BL191" s="23">
        <f>+'QTR Raw'!AF74+'QTR Raw'!AF75</f>
        <v>15.65</v>
      </c>
      <c r="BM191" s="23">
        <f t="shared" si="377"/>
        <v>15.65</v>
      </c>
      <c r="BN191" s="23">
        <f>+'QTR Raw'!AH74+'QTR Raw'!AH75</f>
        <v>6.02</v>
      </c>
      <c r="BO191" s="23">
        <f t="shared" si="377"/>
        <v>6.02</v>
      </c>
      <c r="BP191" s="23">
        <f>+'QTR Raw'!AJ74+'QTR Raw'!AJ75</f>
        <v>15.34</v>
      </c>
      <c r="BQ191" s="23">
        <f t="shared" si="377"/>
        <v>15.34</v>
      </c>
      <c r="BR191" s="23">
        <f>+'QTR Raw'!AL74+'QTR Raw'!AL75</f>
        <v>8.81</v>
      </c>
      <c r="BS191" s="23">
        <f t="shared" si="377"/>
        <v>8.81</v>
      </c>
      <c r="BT191" s="23">
        <f>+'QTR Raw'!AN74+'QTR Raw'!AN75</f>
        <v>36.61</v>
      </c>
      <c r="BU191" s="23">
        <f t="shared" si="377"/>
        <v>36.61</v>
      </c>
      <c r="BV191" s="23">
        <f>+'QTR Raw'!AP74+'QTR Raw'!AP75</f>
        <v>73.930000000000007</v>
      </c>
      <c r="BW191" s="23">
        <f t="shared" si="377"/>
        <v>73.930000000000007</v>
      </c>
      <c r="BX191" s="23">
        <f>+'QTR Raw'!AR74+'QTR Raw'!AR75</f>
        <v>115.58</v>
      </c>
      <c r="BY191" s="23">
        <f t="shared" si="377"/>
        <v>115.58</v>
      </c>
      <c r="BZ191" s="23">
        <f>+'QTR Raw'!AT74+'QTR Raw'!AT75</f>
        <v>222.98</v>
      </c>
      <c r="CA191" s="23">
        <f t="shared" si="377"/>
        <v>222.98</v>
      </c>
      <c r="CB191" s="23">
        <f>+'QTR Raw'!AV74+'QTR Raw'!AV75</f>
        <v>196.89</v>
      </c>
      <c r="CC191" s="23">
        <f t="shared" si="377"/>
        <v>196.89</v>
      </c>
      <c r="CD191" s="23">
        <f>+'QTR Raw'!AX74+'QTR Raw'!AX75</f>
        <v>218.55</v>
      </c>
      <c r="CE191" s="23">
        <f t="shared" si="377"/>
        <v>218.55</v>
      </c>
      <c r="CF191" s="23">
        <f>+'QTR Raw'!AZ74+'QTR Raw'!AZ75</f>
        <v>340.8</v>
      </c>
      <c r="CG191" s="23">
        <f t="shared" si="375"/>
        <v>340.8</v>
      </c>
      <c r="CH191" s="23">
        <f t="shared" si="366"/>
        <v>172.29</v>
      </c>
      <c r="CI191" s="23">
        <f t="shared" si="375"/>
        <v>172.29</v>
      </c>
      <c r="CJ191" s="23">
        <f>+'QTR Raw'!BD74+'QTR Raw'!BD75</f>
        <v>136.88</v>
      </c>
      <c r="CK191" s="23">
        <f>+CJ191</f>
        <v>136.88</v>
      </c>
      <c r="CL191" s="23">
        <f>+'QTR Raw'!BF74+'QTR Raw'!BF75</f>
        <v>81.56</v>
      </c>
      <c r="CM191" s="24">
        <f t="shared" ref="CM191:DB191" si="380">+CL191</f>
        <v>81.56</v>
      </c>
      <c r="CN191" s="24">
        <f t="shared" si="380"/>
        <v>81.56</v>
      </c>
      <c r="CO191" s="24">
        <f t="shared" si="380"/>
        <v>81.56</v>
      </c>
      <c r="CP191" s="24">
        <f t="shared" si="380"/>
        <v>81.56</v>
      </c>
      <c r="CQ191" s="24">
        <f t="shared" si="380"/>
        <v>81.56</v>
      </c>
      <c r="CR191" s="24">
        <f t="shared" si="380"/>
        <v>81.56</v>
      </c>
      <c r="CS191" s="24">
        <f t="shared" si="380"/>
        <v>81.56</v>
      </c>
      <c r="CT191" s="24">
        <f t="shared" si="380"/>
        <v>81.56</v>
      </c>
      <c r="CU191" s="24">
        <f t="shared" si="380"/>
        <v>81.56</v>
      </c>
      <c r="CV191" s="24">
        <f t="shared" si="380"/>
        <v>81.56</v>
      </c>
      <c r="CW191" s="24">
        <f t="shared" si="380"/>
        <v>81.56</v>
      </c>
      <c r="CX191" s="24">
        <f t="shared" si="380"/>
        <v>81.56</v>
      </c>
      <c r="CY191" s="24">
        <f t="shared" si="380"/>
        <v>81.56</v>
      </c>
      <c r="CZ191" s="24">
        <f t="shared" si="380"/>
        <v>81.56</v>
      </c>
      <c r="DA191" s="24">
        <f t="shared" si="380"/>
        <v>81.56</v>
      </c>
      <c r="DB191" s="24">
        <f t="shared" si="380"/>
        <v>81.56</v>
      </c>
      <c r="DE191" s="123"/>
      <c r="DF191" s="23">
        <v>136.88</v>
      </c>
    </row>
    <row r="192" spans="1:110" s="22" customFormat="1" x14ac:dyDescent="0.2">
      <c r="A192" s="22" t="s">
        <v>56</v>
      </c>
      <c r="B192" s="22">
        <f>B188+B191+B190</f>
        <v>85.3656474</v>
      </c>
      <c r="C192" s="22">
        <f>C188+C191+C190</f>
        <v>90.366396499999993</v>
      </c>
      <c r="D192" s="22">
        <f>D188+D191+D190</f>
        <v>125.73068919999999</v>
      </c>
      <c r="E192" s="22">
        <f t="shared" ref="E192:Y192" si="381">E188+E191+E190+E189</f>
        <v>173.6540157</v>
      </c>
      <c r="F192" s="22">
        <f t="shared" si="381"/>
        <v>185.74490890000001</v>
      </c>
      <c r="G192" s="22">
        <f t="shared" si="381"/>
        <v>333.54221690000003</v>
      </c>
      <c r="H192" s="22">
        <f t="shared" si="381"/>
        <v>594.32608889999995</v>
      </c>
      <c r="I192" s="22">
        <f t="shared" si="381"/>
        <v>645.59587419999991</v>
      </c>
      <c r="J192" s="22">
        <f t="shared" si="381"/>
        <v>616.36502380000002</v>
      </c>
      <c r="K192" s="22">
        <f t="shared" si="381"/>
        <v>576.98312099999998</v>
      </c>
      <c r="L192" s="22">
        <f t="shared" si="381"/>
        <v>551.45999999999992</v>
      </c>
      <c r="M192" s="22">
        <f t="shared" si="381"/>
        <v>634.56000000000006</v>
      </c>
      <c r="N192" s="22">
        <f t="shared" si="381"/>
        <v>591.65</v>
      </c>
      <c r="O192" s="22">
        <f t="shared" si="381"/>
        <v>551.38</v>
      </c>
      <c r="P192" s="22">
        <f t="shared" si="381"/>
        <v>565.69000000000005</v>
      </c>
      <c r="Q192" s="22">
        <f t="shared" si="381"/>
        <v>598.94000000000005</v>
      </c>
      <c r="R192" s="22">
        <f t="shared" si="381"/>
        <v>665.64</v>
      </c>
      <c r="S192" s="22">
        <f t="shared" si="381"/>
        <v>709.02999999999986</v>
      </c>
      <c r="T192" s="22">
        <f t="shared" si="381"/>
        <v>660.22</v>
      </c>
      <c r="U192" s="22">
        <f t="shared" si="381"/>
        <v>625.79999999999995</v>
      </c>
      <c r="V192" s="22">
        <f t="shared" si="381"/>
        <v>599.12</v>
      </c>
      <c r="W192" s="22">
        <f t="shared" si="381"/>
        <v>675.85</v>
      </c>
      <c r="X192" s="22">
        <f t="shared" si="381"/>
        <v>948.34</v>
      </c>
      <c r="Y192" s="22">
        <f t="shared" si="381"/>
        <v>1228.5500000000002</v>
      </c>
      <c r="Z192" s="22">
        <f t="shared" ref="Z192:AE192" si="382">Z188+Z191+Z190+Z189</f>
        <v>1456.5900000000001</v>
      </c>
      <c r="AA192" s="22">
        <f t="shared" ref="AA192" si="383">AA188+AA191+AA190+AA189</f>
        <v>1592.6700000000003</v>
      </c>
      <c r="AB192" s="21">
        <f t="shared" si="382"/>
        <v>1639.1848445595635</v>
      </c>
      <c r="AC192" s="21">
        <f t="shared" si="382"/>
        <v>1528.433241261374</v>
      </c>
      <c r="AD192" s="21">
        <f t="shared" si="382"/>
        <v>1425.5563952745879</v>
      </c>
      <c r="AE192" s="21">
        <f t="shared" si="382"/>
        <v>1329.9943887211184</v>
      </c>
      <c r="AJ192" s="22">
        <f t="shared" ref="AJ192:AO192" si="384">AJ188+AJ191+AJ189+AJ190</f>
        <v>619.32000000000005</v>
      </c>
      <c r="AK192" s="22">
        <f t="shared" si="384"/>
        <v>619.32000000000005</v>
      </c>
      <c r="AL192" s="22">
        <f t="shared" si="384"/>
        <v>591.65</v>
      </c>
      <c r="AM192" s="22">
        <f t="shared" si="384"/>
        <v>591.65</v>
      </c>
      <c r="AN192" s="22">
        <f t="shared" si="384"/>
        <v>568.1</v>
      </c>
      <c r="AO192" s="22">
        <f t="shared" si="384"/>
        <v>568.1</v>
      </c>
      <c r="AP192" s="22">
        <f t="shared" ref="AP192:CE192" si="385">AP188+AP191+AP189+AP190</f>
        <v>551.36</v>
      </c>
      <c r="AQ192" s="22">
        <f t="shared" si="385"/>
        <v>551.36</v>
      </c>
      <c r="AR192" s="22">
        <f t="shared" si="385"/>
        <v>549.89</v>
      </c>
      <c r="AS192" s="22">
        <f t="shared" si="385"/>
        <v>549.89</v>
      </c>
      <c r="AT192" s="22">
        <f t="shared" si="385"/>
        <v>565.69000000000005</v>
      </c>
      <c r="AU192" s="22">
        <f t="shared" si="385"/>
        <v>565.69000000000005</v>
      </c>
      <c r="AV192" s="22">
        <f t="shared" si="385"/>
        <v>536.79</v>
      </c>
      <c r="AW192" s="22">
        <f t="shared" si="385"/>
        <v>536.79</v>
      </c>
      <c r="AX192" s="22">
        <f t="shared" si="385"/>
        <v>598.94000000000005</v>
      </c>
      <c r="AY192" s="22">
        <f t="shared" si="385"/>
        <v>598.94000000000005</v>
      </c>
      <c r="AZ192" s="22">
        <f t="shared" si="385"/>
        <v>622.41999999999996</v>
      </c>
      <c r="BA192" s="22">
        <f t="shared" si="385"/>
        <v>622.41999999999996</v>
      </c>
      <c r="BB192" s="22">
        <f t="shared" si="385"/>
        <v>665.64</v>
      </c>
      <c r="BC192" s="22">
        <f t="shared" si="385"/>
        <v>665.64</v>
      </c>
      <c r="BD192" s="22">
        <f t="shared" si="385"/>
        <v>694.26</v>
      </c>
      <c r="BE192" s="22">
        <f t="shared" si="385"/>
        <v>694.26</v>
      </c>
      <c r="BF192" s="22">
        <f t="shared" si="385"/>
        <v>709.03</v>
      </c>
      <c r="BG192" s="22">
        <f t="shared" si="385"/>
        <v>709.03</v>
      </c>
      <c r="BH192" s="22">
        <f t="shared" si="385"/>
        <v>688.42</v>
      </c>
      <c r="BI192" s="22">
        <f t="shared" si="385"/>
        <v>688.42</v>
      </c>
      <c r="BJ192" s="22">
        <f t="shared" si="385"/>
        <v>660.22</v>
      </c>
      <c r="BK192" s="22">
        <f t="shared" si="385"/>
        <v>660.22</v>
      </c>
      <c r="BL192" s="22">
        <f t="shared" si="385"/>
        <v>646.4</v>
      </c>
      <c r="BM192" s="22">
        <f t="shared" si="385"/>
        <v>646.4</v>
      </c>
      <c r="BN192" s="22">
        <f t="shared" si="385"/>
        <v>625.79999999999995</v>
      </c>
      <c r="BO192" s="22">
        <f t="shared" si="385"/>
        <v>625.79999999999995</v>
      </c>
      <c r="BP192" s="22">
        <f t="shared" si="385"/>
        <v>605.37</v>
      </c>
      <c r="BQ192" s="22">
        <f t="shared" si="385"/>
        <v>605.37</v>
      </c>
      <c r="BR192" s="22">
        <f t="shared" si="385"/>
        <v>599.11999999999989</v>
      </c>
      <c r="BS192" s="22">
        <f t="shared" si="385"/>
        <v>599.11999999999989</v>
      </c>
      <c r="BT192" s="22">
        <f t="shared" si="385"/>
        <v>600.23</v>
      </c>
      <c r="BU192" s="22">
        <f t="shared" si="385"/>
        <v>600.23</v>
      </c>
      <c r="BV192" s="22">
        <f t="shared" si="385"/>
        <v>672.3599999999999</v>
      </c>
      <c r="BW192" s="22">
        <f t="shared" si="385"/>
        <v>672.3599999999999</v>
      </c>
      <c r="BX192" s="22">
        <f t="shared" si="385"/>
        <v>809.28000000000009</v>
      </c>
      <c r="BY192" s="22">
        <f t="shared" si="385"/>
        <v>809.28000000000009</v>
      </c>
      <c r="BZ192" s="22">
        <f t="shared" si="385"/>
        <v>945.94</v>
      </c>
      <c r="CA192" s="22">
        <f t="shared" si="385"/>
        <v>945.94</v>
      </c>
      <c r="CB192" s="22">
        <f t="shared" si="385"/>
        <v>1114.42</v>
      </c>
      <c r="CC192" s="22">
        <f t="shared" si="385"/>
        <v>1114.42</v>
      </c>
      <c r="CD192" s="22">
        <f t="shared" si="385"/>
        <v>1227.74</v>
      </c>
      <c r="CE192" s="22">
        <f t="shared" si="385"/>
        <v>1227.74</v>
      </c>
      <c r="CF192" s="22">
        <f>CF188+CF191+CF189+CF190</f>
        <v>1352.59</v>
      </c>
      <c r="CG192" s="22">
        <f>CG188+CG191+CG189+CG190</f>
        <v>1352.59</v>
      </c>
      <c r="CH192" s="22">
        <f>CH188+CH191+CH189+CH190</f>
        <v>1456.5900000000001</v>
      </c>
      <c r="CI192" s="22">
        <f>CI188+CI191+CI189+CI190</f>
        <v>1420.7100000000003</v>
      </c>
      <c r="CJ192" s="22">
        <f>CJ188+CJ191+CJ189+CJ190</f>
        <v>1502.37</v>
      </c>
      <c r="CK192" s="22">
        <f t="shared" ref="CK192:DB192" si="386">CK188+CK191+CK189+CK190</f>
        <v>1477.85</v>
      </c>
      <c r="CL192" s="22">
        <f t="shared" si="386"/>
        <v>1590.83</v>
      </c>
      <c r="CM192" s="21">
        <f t="shared" si="386"/>
        <v>1603.2550989955034</v>
      </c>
      <c r="CN192" s="21">
        <f t="shared" si="386"/>
        <v>1615.4531870024016</v>
      </c>
      <c r="CO192" s="21">
        <f t="shared" si="386"/>
        <v>1627.4284115923933</v>
      </c>
      <c r="CP192" s="21">
        <f t="shared" si="386"/>
        <v>1639.1848445595635</v>
      </c>
      <c r="CQ192" s="21">
        <f t="shared" si="386"/>
        <v>1610.7264833048678</v>
      </c>
      <c r="CR192" s="21">
        <f t="shared" si="386"/>
        <v>1582.7880664566392</v>
      </c>
      <c r="CS192" s="21">
        <f t="shared" si="386"/>
        <v>1555.3600944451939</v>
      </c>
      <c r="CT192" s="21">
        <f t="shared" si="386"/>
        <v>1528.433241261374</v>
      </c>
      <c r="CU192" s="21">
        <f t="shared" si="386"/>
        <v>1501.9983512855329</v>
      </c>
      <c r="CV192" s="21">
        <f t="shared" si="386"/>
        <v>1476.0464361744598</v>
      </c>
      <c r="CW192" s="21">
        <f t="shared" si="386"/>
        <v>1450.5686718051791</v>
      </c>
      <c r="CX192" s="21">
        <f t="shared" si="386"/>
        <v>1425.5563952745879</v>
      </c>
      <c r="CY192" s="21">
        <f t="shared" si="386"/>
        <v>1401.0011019539115</v>
      </c>
      <c r="CZ192" s="21">
        <f t="shared" si="386"/>
        <v>1376.8944425969753</v>
      </c>
      <c r="DA192" s="21">
        <f t="shared" si="386"/>
        <v>1353.2282205013089</v>
      </c>
      <c r="DB192" s="21">
        <f t="shared" si="386"/>
        <v>1329.9943887211184</v>
      </c>
      <c r="DE192" s="126"/>
      <c r="DF192" s="22">
        <v>1453.7703037737369</v>
      </c>
    </row>
    <row r="193" spans="1:110" s="23" customFormat="1" x14ac:dyDescent="0.2">
      <c r="AB193" s="24"/>
      <c r="AC193" s="24"/>
      <c r="AD193" s="24"/>
      <c r="AE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E193" s="123"/>
    </row>
    <row r="194" spans="1:110" s="23" customFormat="1" x14ac:dyDescent="0.2">
      <c r="A194" s="23" t="s">
        <v>57</v>
      </c>
      <c r="B194" s="23">
        <f>'Annual Raw'!C71</f>
        <v>0.14930009999999999</v>
      </c>
      <c r="C194" s="23">
        <f>'Annual Raw'!D71</f>
        <v>5.9999999999999995E-4</v>
      </c>
      <c r="D194" s="23">
        <f>'Annual Raw'!E71</f>
        <v>5.9999999999999995E-4</v>
      </c>
      <c r="E194" s="23">
        <f>'Annual Raw'!F71</f>
        <v>0</v>
      </c>
      <c r="F194" s="23">
        <f>'Annual Raw'!G71</f>
        <v>0</v>
      </c>
      <c r="G194" s="23">
        <f>'Annual Raw'!H71</f>
        <v>0</v>
      </c>
      <c r="H194" s="23">
        <f>'Annual Raw'!I71</f>
        <v>0</v>
      </c>
      <c r="I194" s="23">
        <f>'Annual Raw'!J71</f>
        <v>6</v>
      </c>
      <c r="J194" s="23">
        <f>'Annual Raw'!K71</f>
        <v>6.0414000000000003</v>
      </c>
      <c r="K194" s="23">
        <f>'Annual Raw'!L71</f>
        <v>7.8474000000000004</v>
      </c>
      <c r="L194" s="23">
        <f>'Annual Raw'!M71</f>
        <v>7.85</v>
      </c>
      <c r="M194" s="23">
        <f>'Annual Raw'!N71</f>
        <v>7.85</v>
      </c>
      <c r="N194" s="23">
        <f>'Annual Raw'!O71</f>
        <v>7.85</v>
      </c>
      <c r="O194" s="23">
        <f>'Annual Raw'!P71</f>
        <v>7.85</v>
      </c>
      <c r="P194" s="23">
        <f>'Annual Raw'!Q71</f>
        <v>5.85</v>
      </c>
      <c r="Q194" s="23">
        <f>'Annual Raw'!R71</f>
        <v>5.85</v>
      </c>
      <c r="R194" s="23">
        <f>'Annual Raw'!S71</f>
        <v>5.85</v>
      </c>
      <c r="S194" s="23">
        <f>'Annual Raw'!T71</f>
        <v>5.85</v>
      </c>
      <c r="T194" s="23">
        <f>'Annual Raw'!U71</f>
        <v>5.85</v>
      </c>
      <c r="U194" s="23">
        <f>'Annual Raw'!V71</f>
        <v>5.85</v>
      </c>
      <c r="V194" s="23">
        <f>'Annual Raw'!W71</f>
        <v>0.04</v>
      </c>
      <c r="W194" s="23">
        <f>'Annual Raw'!X71</f>
        <v>0.79</v>
      </c>
      <c r="X194" s="23">
        <f>'Annual Raw'!Y71</f>
        <v>0.75</v>
      </c>
      <c r="Y194" s="23">
        <f>'Annual Raw'!Z71</f>
        <v>0.75</v>
      </c>
      <c r="Z194" s="23">
        <f>'Annual Raw'!AA71</f>
        <v>0.75</v>
      </c>
      <c r="AA194" s="23">
        <f>'Annual Raw'!AB71</f>
        <v>24.57</v>
      </c>
      <c r="AB194" s="24">
        <f>+CP194</f>
        <v>24.57</v>
      </c>
      <c r="AC194" s="24">
        <f>+CT194</f>
        <v>24.57</v>
      </c>
      <c r="AD194" s="24">
        <f>+CX194</f>
        <v>24.57</v>
      </c>
      <c r="AE194" s="24">
        <f>+DB194</f>
        <v>24.57</v>
      </c>
      <c r="AJ194" s="23">
        <f>+'QTR Raw'!D77</f>
        <v>7.85</v>
      </c>
      <c r="AK194" s="23">
        <f t="shared" ref="AK194:CE194" si="387">+AJ194</f>
        <v>7.85</v>
      </c>
      <c r="AL194" s="23">
        <f>+'QTR Raw'!F77</f>
        <v>7.85</v>
      </c>
      <c r="AM194" s="23">
        <f t="shared" si="387"/>
        <v>7.85</v>
      </c>
      <c r="AN194" s="23">
        <f>+'QTR Raw'!H77</f>
        <v>7.85</v>
      </c>
      <c r="AO194" s="23">
        <f t="shared" si="387"/>
        <v>7.85</v>
      </c>
      <c r="AP194" s="23">
        <f>+'QTR Raw'!J77</f>
        <v>7.85</v>
      </c>
      <c r="AQ194" s="23">
        <f t="shared" si="387"/>
        <v>7.85</v>
      </c>
      <c r="AR194" s="23">
        <f>+'QTR Raw'!L77</f>
        <v>7.85</v>
      </c>
      <c r="AS194" s="23">
        <f t="shared" si="387"/>
        <v>7.85</v>
      </c>
      <c r="AT194" s="23">
        <f>+'QTR Raw'!N77</f>
        <v>5.85</v>
      </c>
      <c r="AU194" s="23">
        <f t="shared" si="387"/>
        <v>5.85</v>
      </c>
      <c r="AV194" s="23">
        <f>+'QTR Raw'!P77</f>
        <v>5.85</v>
      </c>
      <c r="AW194" s="23">
        <f t="shared" si="387"/>
        <v>5.85</v>
      </c>
      <c r="AX194" s="23">
        <f>+'QTR Raw'!R77</f>
        <v>5.85</v>
      </c>
      <c r="AY194" s="23">
        <f t="shared" si="387"/>
        <v>5.85</v>
      </c>
      <c r="AZ194" s="23">
        <f>+'QTR Raw'!T77</f>
        <v>5.9</v>
      </c>
      <c r="BA194" s="23">
        <f t="shared" si="387"/>
        <v>5.9</v>
      </c>
      <c r="BB194" s="23">
        <f>+'QTR Raw'!V77</f>
        <v>5.85</v>
      </c>
      <c r="BC194" s="23">
        <f t="shared" si="387"/>
        <v>5.85</v>
      </c>
      <c r="BD194" s="23">
        <f>+'QTR Raw'!X77</f>
        <v>5.9</v>
      </c>
      <c r="BE194" s="23">
        <f t="shared" si="387"/>
        <v>5.9</v>
      </c>
      <c r="BF194" s="23">
        <f>+'QTR Raw'!Z77</f>
        <v>5.85</v>
      </c>
      <c r="BG194" s="23">
        <f t="shared" si="387"/>
        <v>5.85</v>
      </c>
      <c r="BH194" s="23">
        <f>+'QTR Raw'!AB77</f>
        <v>5.9</v>
      </c>
      <c r="BI194" s="23">
        <f t="shared" si="387"/>
        <v>5.9</v>
      </c>
      <c r="BJ194" s="23">
        <f>+'QTR Raw'!AD77</f>
        <v>5.85</v>
      </c>
      <c r="BK194" s="23">
        <f t="shared" si="387"/>
        <v>5.85</v>
      </c>
      <c r="BL194" s="23">
        <f>+'QTR Raw'!AF77</f>
        <v>5.85</v>
      </c>
      <c r="BM194" s="23">
        <f t="shared" si="387"/>
        <v>5.85</v>
      </c>
      <c r="BN194" s="23">
        <f>+'QTR Raw'!AH77</f>
        <v>5.85</v>
      </c>
      <c r="BO194" s="23">
        <f t="shared" si="387"/>
        <v>5.85</v>
      </c>
      <c r="BP194" s="23">
        <f>+'QTR Raw'!AJ77</f>
        <v>0.04</v>
      </c>
      <c r="BQ194" s="23">
        <f t="shared" si="387"/>
        <v>0.04</v>
      </c>
      <c r="BR194" s="23">
        <f>+'QTR Raw'!AL77</f>
        <v>0.04</v>
      </c>
      <c r="BS194" s="23">
        <f t="shared" si="387"/>
        <v>0.04</v>
      </c>
      <c r="BT194" s="23">
        <f>+'QTR Raw'!AN77</f>
        <v>0.04</v>
      </c>
      <c r="BU194" s="23">
        <f t="shared" si="387"/>
        <v>0.04</v>
      </c>
      <c r="BV194" s="23">
        <f>+'QTR Raw'!AP77</f>
        <v>0.79</v>
      </c>
      <c r="BW194" s="23">
        <f t="shared" si="387"/>
        <v>0.79</v>
      </c>
      <c r="BX194" s="23">
        <f>+'QTR Raw'!AR77</f>
        <v>30.79</v>
      </c>
      <c r="BY194" s="23">
        <f t="shared" si="387"/>
        <v>30.79</v>
      </c>
      <c r="BZ194" s="23">
        <f>+'QTR Raw'!AT77</f>
        <v>0.75</v>
      </c>
      <c r="CA194" s="23">
        <f t="shared" si="387"/>
        <v>0.75</v>
      </c>
      <c r="CB194" s="23">
        <f>+'QTR Raw'!AV77</f>
        <v>0.75</v>
      </c>
      <c r="CC194" s="23">
        <f t="shared" si="387"/>
        <v>0.75</v>
      </c>
      <c r="CD194" s="23">
        <f>+'QTR Raw'!AX77</f>
        <v>0.75</v>
      </c>
      <c r="CE194" s="23">
        <f t="shared" si="387"/>
        <v>0.75</v>
      </c>
      <c r="CF194" s="23">
        <f>+'QTR Raw'!AZ77</f>
        <v>46.1</v>
      </c>
      <c r="CG194" s="23">
        <f>+CF194</f>
        <v>46.1</v>
      </c>
      <c r="CH194" s="23">
        <f t="shared" ref="CH194:CH204" si="388">Z194</f>
        <v>0.75</v>
      </c>
      <c r="CI194" s="23">
        <f>+CH194</f>
        <v>0.75</v>
      </c>
      <c r="CJ194" s="23">
        <f>+'QTR Raw'!BD77</f>
        <v>10.76</v>
      </c>
      <c r="CK194" s="23">
        <f>+CJ194</f>
        <v>10.76</v>
      </c>
      <c r="CL194" s="23">
        <f>+'QTR Raw'!BF77</f>
        <v>24.57</v>
      </c>
      <c r="CM194" s="24">
        <f t="shared" ref="CM194:DB194" si="389">+CL194</f>
        <v>24.57</v>
      </c>
      <c r="CN194" s="24">
        <f t="shared" si="389"/>
        <v>24.57</v>
      </c>
      <c r="CO194" s="24">
        <f t="shared" si="389"/>
        <v>24.57</v>
      </c>
      <c r="CP194" s="24">
        <f t="shared" si="389"/>
        <v>24.57</v>
      </c>
      <c r="CQ194" s="24">
        <f t="shared" si="389"/>
        <v>24.57</v>
      </c>
      <c r="CR194" s="24">
        <f t="shared" si="389"/>
        <v>24.57</v>
      </c>
      <c r="CS194" s="24">
        <f t="shared" si="389"/>
        <v>24.57</v>
      </c>
      <c r="CT194" s="24">
        <f t="shared" si="389"/>
        <v>24.57</v>
      </c>
      <c r="CU194" s="24">
        <f t="shared" si="389"/>
        <v>24.57</v>
      </c>
      <c r="CV194" s="24">
        <f t="shared" si="389"/>
        <v>24.57</v>
      </c>
      <c r="CW194" s="24">
        <f t="shared" si="389"/>
        <v>24.57</v>
      </c>
      <c r="CX194" s="24">
        <f t="shared" si="389"/>
        <v>24.57</v>
      </c>
      <c r="CY194" s="24">
        <f t="shared" si="389"/>
        <v>24.57</v>
      </c>
      <c r="CZ194" s="24">
        <f t="shared" si="389"/>
        <v>24.57</v>
      </c>
      <c r="DA194" s="24">
        <f t="shared" si="389"/>
        <v>24.57</v>
      </c>
      <c r="DB194" s="24">
        <f t="shared" si="389"/>
        <v>24.57</v>
      </c>
      <c r="DE194" s="123"/>
      <c r="DF194" s="23">
        <v>10.76</v>
      </c>
    </row>
    <row r="195" spans="1:110" s="23" customFormat="1" x14ac:dyDescent="0.2">
      <c r="AB195" s="24"/>
      <c r="AC195" s="24"/>
      <c r="AD195" s="24"/>
      <c r="AE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E195" s="123"/>
    </row>
    <row r="196" spans="1:110" s="23" customFormat="1" outlineLevel="1" x14ac:dyDescent="0.2">
      <c r="A196" s="23" t="s">
        <v>60</v>
      </c>
      <c r="B196" s="23">
        <f>'Annual Raw'!C76</f>
        <v>21.951475299999998</v>
      </c>
      <c r="C196" s="23">
        <f>'Annual Raw'!D76</f>
        <v>18.6164804</v>
      </c>
      <c r="D196" s="23">
        <f>'Annual Raw'!E76</f>
        <v>28.8377236</v>
      </c>
      <c r="E196" s="23">
        <f>'Annual Raw'!F76</f>
        <v>32.5533924</v>
      </c>
      <c r="F196" s="23">
        <f>'Annual Raw'!G76</f>
        <v>40.824891200000003</v>
      </c>
      <c r="G196" s="23">
        <f>'Annual Raw'!H76</f>
        <v>67.938698500000001</v>
      </c>
      <c r="H196" s="23">
        <f>'Annual Raw'!I76</f>
        <v>122.54573790000001</v>
      </c>
      <c r="I196" s="23">
        <f>'Annual Raw'!J76</f>
        <v>168.72729649999999</v>
      </c>
      <c r="J196" s="23">
        <f>'Annual Raw'!K76</f>
        <v>142.8652677</v>
      </c>
      <c r="K196" s="23">
        <f>'Annual Raw'!L76</f>
        <v>177.0016238</v>
      </c>
      <c r="L196" s="23">
        <f>'Annual Raw'!M76</f>
        <v>238.02</v>
      </c>
      <c r="M196" s="23">
        <f>'Annual Raw'!N76</f>
        <v>201.5</v>
      </c>
      <c r="N196" s="23">
        <f>'Annual Raw'!O76</f>
        <v>213.55</v>
      </c>
      <c r="O196" s="23">
        <f>'Annual Raw'!P76</f>
        <v>233.73</v>
      </c>
      <c r="P196" s="23">
        <f>'Annual Raw'!Q76</f>
        <v>265.08999999999997</v>
      </c>
      <c r="Q196" s="23">
        <f>'Annual Raw'!R76</f>
        <v>294.49</v>
      </c>
      <c r="R196" s="23">
        <f>'Annual Raw'!S76</f>
        <v>360.77</v>
      </c>
      <c r="S196" s="23">
        <f>'Annual Raw'!T76</f>
        <v>360.04</v>
      </c>
      <c r="T196" s="23">
        <f>'Annual Raw'!U76</f>
        <v>360.8</v>
      </c>
      <c r="U196" s="23">
        <f>'Annual Raw'!V76</f>
        <v>372.78</v>
      </c>
      <c r="V196" s="23">
        <f>'Annual Raw'!W76</f>
        <v>376.35</v>
      </c>
      <c r="W196" s="23">
        <f>'Annual Raw'!X76</f>
        <v>527.97</v>
      </c>
      <c r="X196" s="23">
        <f>'Annual Raw'!Y76</f>
        <v>513.36</v>
      </c>
      <c r="Y196" s="23">
        <f>'Annual Raw'!Z76</f>
        <v>669.42</v>
      </c>
      <c r="Z196" s="23">
        <f>'Annual Raw'!AA76</f>
        <v>575.91</v>
      </c>
      <c r="AA196" s="23">
        <f>'Annual Raw'!AB76</f>
        <v>586.57000000000005</v>
      </c>
      <c r="AB196" s="24">
        <f>+CP196</f>
        <v>687.4603544375849</v>
      </c>
      <c r="AC196" s="24">
        <f>+CT196</f>
        <v>736.35244996770234</v>
      </c>
      <c r="AD196" s="24">
        <f>+CX196</f>
        <v>739.3022808284187</v>
      </c>
      <c r="AE196" s="24">
        <f>+DB196</f>
        <v>742.26392872336555</v>
      </c>
      <c r="AJ196" s="23">
        <f>+'QTR Raw'!D81</f>
        <v>202.85</v>
      </c>
      <c r="AK196" s="23">
        <f>+AK238*AK57/90</f>
        <v>173.28984338536532</v>
      </c>
      <c r="AL196" s="23">
        <f>+'QTR Raw'!F81</f>
        <v>213.55</v>
      </c>
      <c r="AM196" s="23">
        <f>+AM238*AM57/90</f>
        <v>219.74262721827242</v>
      </c>
      <c r="AN196" s="23">
        <f>+'QTR Raw'!H81</f>
        <v>209.52</v>
      </c>
      <c r="AO196" s="23">
        <f>+AO238*AO57/90</f>
        <v>207.46658055744393</v>
      </c>
      <c r="AP196" s="23">
        <f>+'QTR Raw'!J81</f>
        <v>233.73</v>
      </c>
      <c r="AQ196" s="23">
        <f>+AQ238*AQ57/90</f>
        <v>237.30511099680544</v>
      </c>
      <c r="AR196" s="23">
        <f>+'QTR Raw'!L81</f>
        <v>216.98</v>
      </c>
      <c r="AS196" s="23">
        <f>+AS238*AS57/90</f>
        <v>215.94422611181531</v>
      </c>
      <c r="AT196" s="23">
        <f>+'QTR Raw'!N81</f>
        <v>265.08999999999997</v>
      </c>
      <c r="AU196" s="23">
        <f>+AU238*AU57/90</f>
        <v>268.39172852803091</v>
      </c>
      <c r="AV196" s="23">
        <f>+'QTR Raw'!P81</f>
        <v>261.57</v>
      </c>
      <c r="AW196" s="23">
        <f>+AW238*AW57/90</f>
        <v>232.45955887486906</v>
      </c>
      <c r="AX196" s="23">
        <f>+'QTR Raw'!R81</f>
        <v>294.49</v>
      </c>
      <c r="AY196" s="23">
        <f>+AY238*AY57/90</f>
        <v>310.03488190609534</v>
      </c>
      <c r="AZ196" s="23">
        <f>+'QTR Raw'!T81</f>
        <v>283.91000000000003</v>
      </c>
      <c r="BA196" s="23">
        <f>+BA238*BA57/90</f>
        <v>228.21795333333336</v>
      </c>
      <c r="BB196" s="23">
        <f>+'QTR Raw'!V81</f>
        <v>360.77</v>
      </c>
      <c r="BC196" s="23">
        <f>+BC238*BC57/90</f>
        <v>359.42113561608181</v>
      </c>
      <c r="BD196" s="23">
        <f>+'QTR Raw'!X81</f>
        <v>324.41000000000003</v>
      </c>
      <c r="BE196" s="23">
        <f>+BE238*BE57/90</f>
        <v>363.94640365291883</v>
      </c>
      <c r="BF196" s="23">
        <f>+'QTR Raw'!Z81</f>
        <v>360.04</v>
      </c>
      <c r="BG196" s="23">
        <f>+BG238*BG57/90</f>
        <v>397.42170622074201</v>
      </c>
      <c r="BH196" s="23">
        <f>+'QTR Raw'!AB81</f>
        <v>357.65</v>
      </c>
      <c r="BI196" s="23">
        <f>+BI238*BI57/90</f>
        <v>334.18123553762865</v>
      </c>
      <c r="BJ196" s="23">
        <f>+'QTR Raw'!AD81</f>
        <v>360.8</v>
      </c>
      <c r="BK196" s="23">
        <f>+BK238*BK57/90</f>
        <v>340.29958025348594</v>
      </c>
      <c r="BL196" s="23">
        <f>+'QTR Raw'!AF81</f>
        <v>331.86</v>
      </c>
      <c r="BM196" s="23">
        <f>+BM238*BM57/90</f>
        <v>299.5987631487215</v>
      </c>
      <c r="BN196" s="23">
        <f>+'QTR Raw'!AH81</f>
        <v>372.78</v>
      </c>
      <c r="BO196" s="23">
        <f>+BO238*BO57/90</f>
        <v>101.07305305105852</v>
      </c>
      <c r="BP196" s="23">
        <f>+'QTR Raw'!AJ81</f>
        <v>306.74</v>
      </c>
      <c r="BQ196" s="23">
        <f>+BQ238*BQ57/90</f>
        <v>432.21829791319936</v>
      </c>
      <c r="BR196" s="23">
        <f>+'QTR Raw'!AL81</f>
        <v>376.35</v>
      </c>
      <c r="BS196" s="23">
        <f>+BS238*BS57/90</f>
        <v>311.09289835551448</v>
      </c>
      <c r="BT196" s="23">
        <f>+'QTR Raw'!AN81</f>
        <v>360.71</v>
      </c>
      <c r="BU196" s="23">
        <f>+BU238*BU57/90</f>
        <v>366.99028934677773</v>
      </c>
      <c r="BV196" s="23">
        <f>+'QTR Raw'!AP81</f>
        <v>527.97</v>
      </c>
      <c r="BW196" s="23">
        <f>+BW238*BW57/90</f>
        <v>510.20910379211773</v>
      </c>
      <c r="BX196" s="23">
        <f>+'QTR Raw'!AR81</f>
        <v>432.83</v>
      </c>
      <c r="BY196" s="23">
        <f>+BY238*BY57/90</f>
        <v>369.17350420120681</v>
      </c>
      <c r="BZ196" s="23">
        <f>+'QTR Raw'!AT81</f>
        <v>513.36</v>
      </c>
      <c r="CA196" s="23">
        <f>+CA238*CA57/90</f>
        <v>507.66183145903318</v>
      </c>
      <c r="CB196" s="23">
        <f>+'QTR Raw'!AV81</f>
        <v>506.04</v>
      </c>
      <c r="CC196" s="23">
        <f>+CC238*CC57/90</f>
        <v>499.8909628781372</v>
      </c>
      <c r="CD196" s="23">
        <f>+'QTR Raw'!AX81</f>
        <v>669.42</v>
      </c>
      <c r="CE196" s="23">
        <f>+CE238*CE57/90</f>
        <v>661.71487191921483</v>
      </c>
      <c r="CF196" s="23">
        <f>+'QTR Raw'!AZ81</f>
        <v>633.78</v>
      </c>
      <c r="CG196" s="23">
        <f>+CG238*CG57/90</f>
        <v>707.30714791077685</v>
      </c>
      <c r="CH196" s="23">
        <f t="shared" ref="CH196:CH203" si="390">Z196</f>
        <v>575.91</v>
      </c>
      <c r="CI196" s="23">
        <f>+CI238*CI57/90</f>
        <v>619.41500844341556</v>
      </c>
      <c r="CJ196" s="23">
        <f>+'QTR Raw'!BD81</f>
        <v>536.20000000000005</v>
      </c>
      <c r="CK196" s="23">
        <f>+CK238*CK57/90</f>
        <v>528.34299015492638</v>
      </c>
      <c r="CL196" s="23">
        <f>+'QTR Raw'!BF81</f>
        <v>586.57000000000005</v>
      </c>
      <c r="CM196" s="24">
        <f t="shared" ref="CM196:DB196" si="391">+CM238*CM57/90</f>
        <v>647.09024994346896</v>
      </c>
      <c r="CN196" s="24">
        <f t="shared" si="391"/>
        <v>658.40423619763476</v>
      </c>
      <c r="CO196" s="24">
        <f t="shared" si="391"/>
        <v>671.82556166773225</v>
      </c>
      <c r="CP196" s="24">
        <f t="shared" si="391"/>
        <v>687.4603544375849</v>
      </c>
      <c r="CQ196" s="24">
        <f t="shared" si="391"/>
        <v>706.52720153485416</v>
      </c>
      <c r="CR196" s="24">
        <f t="shared" si="391"/>
        <v>725.89583850036524</v>
      </c>
      <c r="CS196" s="24">
        <f t="shared" si="391"/>
        <v>732.20099036840645</v>
      </c>
      <c r="CT196" s="24">
        <f t="shared" si="391"/>
        <v>736.35244996770234</v>
      </c>
      <c r="CU196" s="24">
        <f t="shared" si="391"/>
        <v>737.08880241766985</v>
      </c>
      <c r="CV196" s="24">
        <f t="shared" si="391"/>
        <v>737.82589122008733</v>
      </c>
      <c r="CW196" s="24">
        <f t="shared" si="391"/>
        <v>738.56371711130748</v>
      </c>
      <c r="CX196" s="24">
        <f t="shared" si="391"/>
        <v>739.3022808284187</v>
      </c>
      <c r="CY196" s="24">
        <f t="shared" si="391"/>
        <v>740.0415831092472</v>
      </c>
      <c r="CZ196" s="24">
        <f t="shared" si="391"/>
        <v>740.78162469235622</v>
      </c>
      <c r="DA196" s="24">
        <f t="shared" si="391"/>
        <v>741.52240631704854</v>
      </c>
      <c r="DB196" s="24">
        <f t="shared" si="391"/>
        <v>742.26392872336555</v>
      </c>
      <c r="DE196" s="123"/>
      <c r="DF196" s="23">
        <v>548.13766571541589</v>
      </c>
    </row>
    <row r="197" spans="1:110" s="23" customFormat="1" outlineLevel="1" x14ac:dyDescent="0.2">
      <c r="A197" s="23" t="s">
        <v>61</v>
      </c>
      <c r="B197" s="23">
        <f>'Annual Raw'!C77</f>
        <v>22.424298700000001</v>
      </c>
      <c r="C197" s="23">
        <f>'Annual Raw'!D77</f>
        <v>20.617198599999998</v>
      </c>
      <c r="D197" s="23">
        <f>'Annual Raw'!E77</f>
        <v>18.403451</v>
      </c>
      <c r="E197" s="23">
        <f>'Annual Raw'!F77</f>
        <v>28.4679766</v>
      </c>
      <c r="F197" s="23">
        <f>'Annual Raw'!G77</f>
        <v>37.248010100000002</v>
      </c>
      <c r="G197" s="23">
        <f>'Annual Raw'!H77</f>
        <v>67.440812199999996</v>
      </c>
      <c r="H197" s="23">
        <f>'Annual Raw'!I77</f>
        <v>128.60740989999999</v>
      </c>
      <c r="I197" s="23">
        <f>'Annual Raw'!J77</f>
        <v>135.94137760000001</v>
      </c>
      <c r="J197" s="23">
        <f>'Annual Raw'!K77</f>
        <v>118.5944813</v>
      </c>
      <c r="K197" s="23">
        <f>'Annual Raw'!L77</f>
        <v>130.56015149999999</v>
      </c>
      <c r="L197" s="23">
        <f>'Annual Raw'!M77</f>
        <v>151.49</v>
      </c>
      <c r="M197" s="23">
        <f>'Annual Raw'!N77</f>
        <v>125.1</v>
      </c>
      <c r="N197" s="23">
        <f>'Annual Raw'!O77</f>
        <v>175.46</v>
      </c>
      <c r="O197" s="23">
        <f>'Annual Raw'!P77</f>
        <v>200.85</v>
      </c>
      <c r="P197" s="23">
        <f>'Annual Raw'!Q77</f>
        <v>251.71</v>
      </c>
      <c r="Q197" s="23">
        <f>'Annual Raw'!R77</f>
        <v>271.10000000000002</v>
      </c>
      <c r="R197" s="23">
        <f>'Annual Raw'!S77</f>
        <v>254.98</v>
      </c>
      <c r="S197" s="23">
        <f>'Annual Raw'!T77</f>
        <v>317.89999999999998</v>
      </c>
      <c r="T197" s="23">
        <f>'Annual Raw'!U77</f>
        <v>349.88</v>
      </c>
      <c r="U197" s="23">
        <f>'Annual Raw'!V77</f>
        <v>291.55</v>
      </c>
      <c r="V197" s="23">
        <f>'Annual Raw'!W77</f>
        <v>280.01</v>
      </c>
      <c r="W197" s="23">
        <f>'Annual Raw'!X77</f>
        <v>376.43</v>
      </c>
      <c r="X197" s="23">
        <f>'Annual Raw'!Y77</f>
        <v>352.82</v>
      </c>
      <c r="Y197" s="23">
        <f>'Annual Raw'!Z77</f>
        <v>448.4</v>
      </c>
      <c r="Z197" s="23">
        <f>'Annual Raw'!AA77</f>
        <v>517.53</v>
      </c>
      <c r="AA197" s="23">
        <f>'Annual Raw'!AB77</f>
        <v>637.12</v>
      </c>
      <c r="AB197" s="24">
        <f>+CP197</f>
        <v>699.83383969342333</v>
      </c>
      <c r="AC197" s="24">
        <f>+CT197</f>
        <v>726.79523859628137</v>
      </c>
      <c r="AD197" s="24">
        <f>+CX197</f>
        <v>729.7067832300055</v>
      </c>
      <c r="AE197" s="24">
        <f>+DB197</f>
        <v>732.62999152318139</v>
      </c>
      <c r="AJ197" s="23">
        <f>+'QTR Raw'!D82</f>
        <v>153.38</v>
      </c>
      <c r="AK197" s="23">
        <f>+AK239*AK57/90</f>
        <v>131.02882020432503</v>
      </c>
      <c r="AL197" s="23">
        <f>+'QTR Raw'!F82</f>
        <v>175.46</v>
      </c>
      <c r="AM197" s="23">
        <f>+AM239*AM57/90</f>
        <v>180.54807479146842</v>
      </c>
      <c r="AN197" s="23">
        <f>+'QTR Raw'!H82</f>
        <v>184.21</v>
      </c>
      <c r="AO197" s="23">
        <f>+AO239*AO57/90</f>
        <v>182.40463346929533</v>
      </c>
      <c r="AP197" s="23">
        <f>+'QTR Raw'!J82</f>
        <v>200.85</v>
      </c>
      <c r="AQ197" s="23">
        <f>+AQ239*AQ57/90</f>
        <v>203.92218176403705</v>
      </c>
      <c r="AR197" s="23">
        <f>+'QTR Raw'!L82</f>
        <v>228.08</v>
      </c>
      <c r="AS197" s="23">
        <f>+AS239*AS57/90</f>
        <v>226.99123924593437</v>
      </c>
      <c r="AT197" s="23">
        <f>+'QTR Raw'!N82</f>
        <v>251.71</v>
      </c>
      <c r="AU197" s="23">
        <f>+AU239*AU57/90</f>
        <v>254.84507898370614</v>
      </c>
      <c r="AV197" s="23">
        <f>+'QTR Raw'!P82</f>
        <v>279.13</v>
      </c>
      <c r="AW197" s="23">
        <f>+AW239*AW57/90</f>
        <v>248.06528527255497</v>
      </c>
      <c r="AX197" s="23">
        <f>+'QTR Raw'!R82</f>
        <v>271.10000000000002</v>
      </c>
      <c r="AY197" s="23">
        <f>+AY239*AY57/90</f>
        <v>285.41022270617827</v>
      </c>
      <c r="AZ197" s="23">
        <f>+'QTR Raw'!T82</f>
        <v>302.70999999999998</v>
      </c>
      <c r="BA197" s="23">
        <f>+BA239*BA57/90</f>
        <v>243.33012804597698</v>
      </c>
      <c r="BB197" s="23">
        <f>+'QTR Raw'!V82</f>
        <v>254.98</v>
      </c>
      <c r="BC197" s="23">
        <f>+BC239*BC57/90</f>
        <v>254.02666840199726</v>
      </c>
      <c r="BD197" s="23">
        <f>+'QTR Raw'!X82</f>
        <v>287.60000000000002</v>
      </c>
      <c r="BE197" s="23">
        <f>+BE239*BE57/90</f>
        <v>322.65030575684926</v>
      </c>
      <c r="BF197" s="23">
        <f>+'QTR Raw'!Z82</f>
        <v>317.89999999999998</v>
      </c>
      <c r="BG197" s="23">
        <f>+BG239*BG57/90</f>
        <v>350.90645597037519</v>
      </c>
      <c r="BH197" s="23">
        <f>+'QTR Raw'!AB82</f>
        <v>389.52</v>
      </c>
      <c r="BI197" s="23">
        <f>+BI239*BI57/90</f>
        <v>363.9599465024944</v>
      </c>
      <c r="BJ197" s="23">
        <f>+'QTR Raw'!AD82</f>
        <v>349.88</v>
      </c>
      <c r="BK197" s="23">
        <f>+BK239*BK57/90</f>
        <v>330.00004750302014</v>
      </c>
      <c r="BL197" s="23">
        <f>+'QTR Raw'!AF82</f>
        <v>352.14</v>
      </c>
      <c r="BM197" s="23">
        <f>+BM239*BM57/90</f>
        <v>317.90727552338569</v>
      </c>
      <c r="BN197" s="23">
        <f>+'QTR Raw'!AH82</f>
        <v>291.55</v>
      </c>
      <c r="BO197" s="23">
        <f>+BO239*BO57/90</f>
        <v>79.048899128268999</v>
      </c>
      <c r="BP197" s="23">
        <f>+'QTR Raw'!AJ82</f>
        <v>266.82</v>
      </c>
      <c r="BQ197" s="23">
        <f>+BQ239*BQ57/90</f>
        <v>375.96820189476381</v>
      </c>
      <c r="BR197" s="23">
        <f>+'QTR Raw'!AL82</f>
        <v>280.01</v>
      </c>
      <c r="BS197" s="23">
        <f>+BS239*BS57/90</f>
        <v>231.45774536608903</v>
      </c>
      <c r="BT197" s="23">
        <f>+'QTR Raw'!AN82</f>
        <v>421.98</v>
      </c>
      <c r="BU197" s="23">
        <f>+BU239*BU57/90</f>
        <v>429.32705580259289</v>
      </c>
      <c r="BV197" s="23">
        <f>+'QTR Raw'!AP82</f>
        <v>376.43</v>
      </c>
      <c r="BW197" s="23">
        <f>+BW239*BW57/90</f>
        <v>363.76690520383141</v>
      </c>
      <c r="BX197" s="23">
        <f>+'QTR Raw'!AR82</f>
        <v>386.4</v>
      </c>
      <c r="BY197" s="23">
        <f>+BY239*BY57/90</f>
        <v>329.57198443579762</v>
      </c>
      <c r="BZ197" s="23">
        <f>+'QTR Raw'!AT82</f>
        <v>352.82</v>
      </c>
      <c r="CA197" s="23">
        <f>+CA239*CA57/90</f>
        <v>348.90378559953268</v>
      </c>
      <c r="CB197" s="23">
        <f>+'QTR Raw'!AV82</f>
        <v>416.81</v>
      </c>
      <c r="CC197" s="23">
        <f>+CC239*CC57/90</f>
        <v>411.74522219041262</v>
      </c>
      <c r="CD197" s="23">
        <f>+'QTR Raw'!AX82</f>
        <v>448.4</v>
      </c>
      <c r="CE197" s="23">
        <f>+CE239*CE57/90</f>
        <v>443.23884641716097</v>
      </c>
      <c r="CF197" s="23">
        <f>+'QTR Raw'!AZ82</f>
        <v>520.67999999999995</v>
      </c>
      <c r="CG197" s="23">
        <f>+CG239*CG57/90</f>
        <v>581.08600109530641</v>
      </c>
      <c r="CH197" s="23">
        <f t="shared" si="390"/>
        <v>517.53</v>
      </c>
      <c r="CI197" s="23">
        <f>+CI239*CI57/90</f>
        <v>556.62490548822007</v>
      </c>
      <c r="CJ197" s="23">
        <f>+'QTR Raw'!BD82</f>
        <v>638.33000000000004</v>
      </c>
      <c r="CK197" s="23">
        <f>+CK239*CK57/90</f>
        <v>628.97646569487904</v>
      </c>
      <c r="CL197" s="23">
        <f>+'QTR Raw'!BF82</f>
        <v>637.12</v>
      </c>
      <c r="CM197" s="24">
        <f t="shared" ref="CM197:DB197" si="392">+CM239*CM57/90</f>
        <v>691.28123934952589</v>
      </c>
      <c r="CN197" s="24">
        <f t="shared" si="392"/>
        <v>691.97252058887523</v>
      </c>
      <c r="CO197" s="24">
        <f t="shared" si="392"/>
        <v>694.82123040245438</v>
      </c>
      <c r="CP197" s="24">
        <f t="shared" si="392"/>
        <v>699.83383969342333</v>
      </c>
      <c r="CQ197" s="24">
        <f t="shared" si="392"/>
        <v>708.13140429131101</v>
      </c>
      <c r="CR197" s="24">
        <f t="shared" si="392"/>
        <v>716.47434480874085</v>
      </c>
      <c r="CS197" s="24">
        <f t="shared" si="392"/>
        <v>722.69766131501433</v>
      </c>
      <c r="CT197" s="24">
        <f t="shared" si="392"/>
        <v>726.79523859628137</v>
      </c>
      <c r="CU197" s="24">
        <f t="shared" si="392"/>
        <v>727.52203383487756</v>
      </c>
      <c r="CV197" s="24">
        <f t="shared" si="392"/>
        <v>728.24955586871215</v>
      </c>
      <c r="CW197" s="24">
        <f t="shared" si="392"/>
        <v>728.97780542458088</v>
      </c>
      <c r="CX197" s="24">
        <f t="shared" si="392"/>
        <v>729.7067832300055</v>
      </c>
      <c r="CY197" s="24">
        <f t="shared" si="392"/>
        <v>730.43649001323547</v>
      </c>
      <c r="CZ197" s="24">
        <f t="shared" si="392"/>
        <v>731.16692650324853</v>
      </c>
      <c r="DA197" s="24">
        <f t="shared" si="392"/>
        <v>731.89809342975184</v>
      </c>
      <c r="DB197" s="24">
        <f t="shared" si="392"/>
        <v>732.62999152318139</v>
      </c>
      <c r="DE197" s="123"/>
      <c r="DF197" s="23">
        <v>652.54143259254272</v>
      </c>
    </row>
    <row r="198" spans="1:110" s="23" customFormat="1" outlineLevel="1" x14ac:dyDescent="0.2">
      <c r="A198" s="23" t="s">
        <v>575</v>
      </c>
      <c r="R198" s="23">
        <v>33.799999999999997</v>
      </c>
      <c r="S198" s="23">
        <v>71.349999999999994</v>
      </c>
      <c r="T198" s="23">
        <v>53.72</v>
      </c>
      <c r="U198" s="23">
        <v>38.31</v>
      </c>
      <c r="V198" s="23">
        <v>35.17</v>
      </c>
      <c r="W198" s="23">
        <v>56.41</v>
      </c>
      <c r="X198" s="23">
        <v>71.81</v>
      </c>
      <c r="Y198" s="23">
        <v>91.03</v>
      </c>
      <c r="Z198" s="23">
        <v>68.47</v>
      </c>
      <c r="AA198" s="23">
        <v>68.47</v>
      </c>
      <c r="AB198" s="24">
        <f>+CP198</f>
        <v>0</v>
      </c>
      <c r="AC198" s="24">
        <f>+CT198</f>
        <v>0</v>
      </c>
      <c r="AD198" s="24">
        <f>+CX198</f>
        <v>0</v>
      </c>
      <c r="AE198" s="24">
        <f>+DB198</f>
        <v>0</v>
      </c>
      <c r="CH198" s="23">
        <f t="shared" si="390"/>
        <v>68.47</v>
      </c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E198" s="123"/>
      <c r="DF198" s="23">
        <v>0</v>
      </c>
    </row>
    <row r="199" spans="1:110" s="23" customFormat="1" outlineLevel="1" x14ac:dyDescent="0.2">
      <c r="A199" s="23" t="s">
        <v>578</v>
      </c>
      <c r="R199" s="23">
        <v>11.28</v>
      </c>
      <c r="S199" s="23">
        <v>6.96</v>
      </c>
      <c r="T199" s="23">
        <v>7.24</v>
      </c>
      <c r="U199" s="23">
        <v>5.32</v>
      </c>
      <c r="V199" s="23">
        <v>4.99</v>
      </c>
      <c r="W199" s="23">
        <v>51.06</v>
      </c>
      <c r="X199" s="23">
        <v>75.34</v>
      </c>
      <c r="Y199" s="23">
        <v>93.58</v>
      </c>
      <c r="Z199" s="23">
        <v>59.67</v>
      </c>
      <c r="AA199" s="23">
        <v>59.67</v>
      </c>
      <c r="AB199" s="24">
        <f>+CP199</f>
        <v>0</v>
      </c>
      <c r="AC199" s="24">
        <f>+CT199</f>
        <v>0</v>
      </c>
      <c r="AD199" s="24">
        <f>+CX199</f>
        <v>0</v>
      </c>
      <c r="AE199" s="24">
        <f>+DB199</f>
        <v>0</v>
      </c>
      <c r="CH199" s="23">
        <f t="shared" si="390"/>
        <v>59.67</v>
      </c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E199" s="123"/>
      <c r="DF199" s="23">
        <v>0</v>
      </c>
    </row>
    <row r="200" spans="1:110" s="23" customFormat="1" outlineLevel="1" x14ac:dyDescent="0.2">
      <c r="A200" s="23" t="s">
        <v>586</v>
      </c>
      <c r="B200" s="23">
        <f>'Annual Raw'!C79</f>
        <v>0</v>
      </c>
      <c r="C200" s="23">
        <f>'Annual Raw'!D79</f>
        <v>0</v>
      </c>
      <c r="D200" s="23">
        <f>'Annual Raw'!E79</f>
        <v>0</v>
      </c>
      <c r="E200" s="23">
        <f>'Annual Raw'!F79</f>
        <v>0</v>
      </c>
      <c r="F200" s="23">
        <f>'Annual Raw'!G79</f>
        <v>0</v>
      </c>
      <c r="G200" s="23">
        <f>'Annual Raw'!H79</f>
        <v>0</v>
      </c>
      <c r="H200" s="23">
        <f>'Annual Raw'!I79</f>
        <v>0</v>
      </c>
      <c r="I200" s="23">
        <f>'Annual Raw'!J79</f>
        <v>0</v>
      </c>
      <c r="J200" s="23">
        <f>'Annual Raw'!K79</f>
        <v>0</v>
      </c>
      <c r="K200" s="23">
        <f>'Annual Raw'!L79</f>
        <v>0</v>
      </c>
      <c r="L200" s="23">
        <f>'Annual Raw'!M79</f>
        <v>56.6</v>
      </c>
      <c r="M200" s="23">
        <f>'Annual Raw'!N79</f>
        <v>33.31</v>
      </c>
      <c r="N200" s="23">
        <f>'Annual Raw'!O79</f>
        <v>37.99</v>
      </c>
      <c r="O200" s="23">
        <f>'Annual Raw'!P79</f>
        <v>36.24</v>
      </c>
      <c r="P200" s="23">
        <f>'Annual Raw'!Q79</f>
        <v>36.479999999999997</v>
      </c>
      <c r="Q200" s="23">
        <f>'Annual Raw'!R79</f>
        <v>48.19</v>
      </c>
      <c r="R200" s="23">
        <f>('Annual Raw'!S79)-1.26</f>
        <v>42.010000000000005</v>
      </c>
      <c r="S200" s="23">
        <f>('Annual Raw'!T79)-1.37</f>
        <v>38.880000000000003</v>
      </c>
      <c r="T200" s="23">
        <f>('Annual Raw'!U79)-2.4</f>
        <v>37.04</v>
      </c>
      <c r="U200" s="23">
        <f>('Annual Raw'!V79)-2.5</f>
        <v>36.61</v>
      </c>
      <c r="V200" s="23">
        <f>('Annual Raw'!W79)-2.8</f>
        <v>41.120000000000005</v>
      </c>
      <c r="W200" s="23">
        <f>('Annual Raw'!X79)-5.08</f>
        <v>45.25</v>
      </c>
      <c r="X200" s="23">
        <f>('Annual Raw'!Y79)-7.58</f>
        <v>34.58</v>
      </c>
      <c r="Y200" s="23">
        <f>('Annual Raw'!Z79)-10.8</f>
        <v>51.59</v>
      </c>
      <c r="Z200" s="23">
        <f>('Annual Raw'!AA79)-15</f>
        <v>41.78</v>
      </c>
      <c r="AA200" s="23">
        <f>('Annual Raw'!AB79)-15</f>
        <v>54.650000000000006</v>
      </c>
      <c r="AB200" s="24">
        <f t="shared" ref="AB200" si="393">+CP200</f>
        <v>308.40712451456943</v>
      </c>
      <c r="AC200" s="24">
        <f t="shared" ref="AC200" si="394">+CT200</f>
        <v>320.28864129312836</v>
      </c>
      <c r="AD200" s="24">
        <f t="shared" ref="AD200" si="395">+CX200</f>
        <v>321.57171887162337</v>
      </c>
      <c r="AE200" s="24">
        <f t="shared" ref="AE200" si="396">+DB200</f>
        <v>322.85993646403136</v>
      </c>
      <c r="AJ200" s="23">
        <f>+'QTR Raw'!D84</f>
        <v>13.86</v>
      </c>
      <c r="AK200" s="23">
        <f>+AJ200</f>
        <v>13.86</v>
      </c>
      <c r="AL200" s="23">
        <f>+'QTR Raw'!F84</f>
        <v>16.13</v>
      </c>
      <c r="AM200" s="23">
        <f>+AL200</f>
        <v>16.13</v>
      </c>
      <c r="AN200" s="23">
        <f>+'QTR Raw'!H84</f>
        <v>15.35</v>
      </c>
      <c r="AO200" s="23">
        <f>+AN200</f>
        <v>15.35</v>
      </c>
      <c r="AP200" s="23">
        <f>+'QTR Raw'!J84</f>
        <v>20.350000000000001</v>
      </c>
      <c r="AQ200" s="23">
        <f>+AP200</f>
        <v>20.350000000000001</v>
      </c>
      <c r="AR200" s="23">
        <f>+'QTR Raw'!L84</f>
        <v>15.58</v>
      </c>
      <c r="AS200" s="23">
        <f>+AR200</f>
        <v>15.58</v>
      </c>
      <c r="AT200" s="23">
        <f>+'QTR Raw'!N84</f>
        <v>12.13</v>
      </c>
      <c r="AU200" s="23">
        <f>+AT200</f>
        <v>12.13</v>
      </c>
      <c r="AV200" s="23">
        <f>+'QTR Raw'!P84</f>
        <v>13.15</v>
      </c>
      <c r="AW200" s="23">
        <f>+AV200</f>
        <v>13.15</v>
      </c>
      <c r="AX200" s="23">
        <f>+'QTR Raw'!R84</f>
        <v>22.13</v>
      </c>
      <c r="AY200" s="23">
        <f>+AX200</f>
        <v>22.13</v>
      </c>
      <c r="AZ200" s="23">
        <f>+'QTR Raw'!T84</f>
        <v>23.47</v>
      </c>
      <c r="BA200" s="23">
        <f>+AZ200</f>
        <v>23.47</v>
      </c>
      <c r="BB200" s="23">
        <f>+'QTR Raw'!V84</f>
        <v>117.36</v>
      </c>
      <c r="BC200" s="23">
        <f>+BB200</f>
        <v>117.36</v>
      </c>
      <c r="BD200" s="23">
        <f>+'QTR Raw'!X84</f>
        <v>130.49</v>
      </c>
      <c r="BE200" s="23">
        <f>+BD200</f>
        <v>130.49</v>
      </c>
      <c r="BF200" s="23">
        <f>+'QTR Raw'!Z84</f>
        <v>170.92</v>
      </c>
      <c r="BG200" s="23">
        <f>+BF200</f>
        <v>170.92</v>
      </c>
      <c r="BH200" s="23">
        <f>+'QTR Raw'!AB84</f>
        <v>131.15</v>
      </c>
      <c r="BI200" s="23">
        <f>+BH200</f>
        <v>131.15</v>
      </c>
      <c r="BJ200" s="23">
        <f>+'QTR Raw'!AD84</f>
        <v>138.38999999999999</v>
      </c>
      <c r="BK200" s="23">
        <f>+BJ200</f>
        <v>138.38999999999999</v>
      </c>
      <c r="BL200" s="23">
        <f>+'QTR Raw'!AF84</f>
        <v>104.59</v>
      </c>
      <c r="BM200" s="23">
        <f>+BL200</f>
        <v>104.59</v>
      </c>
      <c r="BN200" s="23">
        <f>+'QTR Raw'!AH84</f>
        <v>114.99</v>
      </c>
      <c r="BO200" s="23">
        <f>+BN200</f>
        <v>114.99</v>
      </c>
      <c r="BP200" s="23">
        <f>+'QTR Raw'!AJ84</f>
        <v>99.46</v>
      </c>
      <c r="BQ200" s="23">
        <f>+BP200</f>
        <v>99.46</v>
      </c>
      <c r="BR200" s="23">
        <f>+'QTR Raw'!AL84</f>
        <v>127.21</v>
      </c>
      <c r="BS200" s="23">
        <f>+BR200</f>
        <v>127.21</v>
      </c>
      <c r="BT200" s="23">
        <f>+'QTR Raw'!AN84</f>
        <v>123.36</v>
      </c>
      <c r="BU200" s="23">
        <f>+BT200</f>
        <v>123.36</v>
      </c>
      <c r="BV200" s="23">
        <f>+'QTR Raw'!AP84</f>
        <v>140.13999999999999</v>
      </c>
      <c r="BW200" s="23">
        <f>+BV200</f>
        <v>140.13999999999999</v>
      </c>
      <c r="BX200" s="23">
        <f>+'QTR Raw'!AR84</f>
        <v>159.16</v>
      </c>
      <c r="BY200" s="23">
        <f>+BX200</f>
        <v>159.16</v>
      </c>
      <c r="BZ200" s="23">
        <f>+'QTR Raw'!AT84</f>
        <v>165.53</v>
      </c>
      <c r="CA200" s="23">
        <f>+BZ200</f>
        <v>165.53</v>
      </c>
      <c r="CB200" s="23">
        <f>+'QTR Raw'!AV84</f>
        <v>162.83000000000001</v>
      </c>
      <c r="CC200" s="23">
        <f>+CB200</f>
        <v>162.83000000000001</v>
      </c>
      <c r="CD200" s="23">
        <f>+'QTR Raw'!AX84</f>
        <v>200.47</v>
      </c>
      <c r="CE200" s="23">
        <f>+CD200</f>
        <v>200.47</v>
      </c>
      <c r="CF200" s="23">
        <f>+'QTR Raw'!AZ84</f>
        <v>141</v>
      </c>
      <c r="CG200" s="23">
        <f>+CF200</f>
        <v>141</v>
      </c>
      <c r="CH200" s="23">
        <f t="shared" si="390"/>
        <v>41.78</v>
      </c>
      <c r="CI200" s="23">
        <f>CI57/90*CI240</f>
        <v>299.25862018248671</v>
      </c>
      <c r="CJ200" s="23">
        <f>+'QTR Raw'!BD84</f>
        <v>213.96</v>
      </c>
      <c r="CK200" s="23">
        <f>CK57/90*CK240</f>
        <v>326.81984888956737</v>
      </c>
      <c r="CL200" s="23">
        <f>+'QTR Raw'!BF84</f>
        <v>177.39</v>
      </c>
      <c r="CM200" s="24">
        <f t="shared" ref="CM200:DB200" si="397">CM57/90*CM240</f>
        <v>304.63811145807131</v>
      </c>
      <c r="CN200" s="24">
        <f t="shared" si="397"/>
        <v>304.94274956952933</v>
      </c>
      <c r="CO200" s="24">
        <f t="shared" si="397"/>
        <v>306.19813670909264</v>
      </c>
      <c r="CP200" s="24">
        <f t="shared" si="397"/>
        <v>308.40712451456943</v>
      </c>
      <c r="CQ200" s="24">
        <f t="shared" si="397"/>
        <v>312.06374683398951</v>
      </c>
      <c r="CR200" s="24">
        <f t="shared" si="397"/>
        <v>315.74036569555216</v>
      </c>
      <c r="CS200" s="24">
        <f t="shared" si="397"/>
        <v>318.48289547874276</v>
      </c>
      <c r="CT200" s="24">
        <f t="shared" si="397"/>
        <v>320.28864129312836</v>
      </c>
      <c r="CU200" s="24">
        <f t="shared" si="397"/>
        <v>320.60892993442144</v>
      </c>
      <c r="CV200" s="24">
        <f t="shared" si="397"/>
        <v>320.92953886435578</v>
      </c>
      <c r="CW200" s="24">
        <f t="shared" si="397"/>
        <v>321.25046840322017</v>
      </c>
      <c r="CX200" s="24">
        <f t="shared" si="397"/>
        <v>321.57171887162337</v>
      </c>
      <c r="CY200" s="24">
        <f t="shared" si="397"/>
        <v>321.89329059049493</v>
      </c>
      <c r="CZ200" s="24">
        <f t="shared" si="397"/>
        <v>322.21518388108541</v>
      </c>
      <c r="DA200" s="24">
        <f t="shared" si="397"/>
        <v>322.53739906496645</v>
      </c>
      <c r="DB200" s="24">
        <f t="shared" si="397"/>
        <v>322.85993646403136</v>
      </c>
      <c r="DE200" s="123"/>
      <c r="DF200" s="23">
        <v>339.06434346230731</v>
      </c>
    </row>
    <row r="201" spans="1:110" s="23" customFormat="1" outlineLevel="1" x14ac:dyDescent="0.2">
      <c r="A201" s="23" t="s">
        <v>579</v>
      </c>
      <c r="R201" s="23">
        <v>5.98</v>
      </c>
      <c r="S201" s="23">
        <v>6.66</v>
      </c>
      <c r="T201" s="23">
        <v>10.210000000000001</v>
      </c>
      <c r="U201" s="23">
        <v>9.5</v>
      </c>
      <c r="V201" s="23">
        <v>9.89</v>
      </c>
      <c r="W201" s="23">
        <v>26.49</v>
      </c>
      <c r="X201" s="23">
        <v>30.99</v>
      </c>
      <c r="Y201" s="23">
        <v>27.49</v>
      </c>
      <c r="Z201" s="23">
        <v>35.479999999999997</v>
      </c>
      <c r="AA201" s="23">
        <v>35.479999999999997</v>
      </c>
      <c r="AB201" s="24">
        <f>+CP201</f>
        <v>0</v>
      </c>
      <c r="AC201" s="24">
        <f>+CT201</f>
        <v>0</v>
      </c>
      <c r="AD201" s="24">
        <f>+CX201</f>
        <v>0</v>
      </c>
      <c r="AE201" s="24">
        <f>+DB201</f>
        <v>0</v>
      </c>
      <c r="CH201" s="23">
        <f t="shared" si="390"/>
        <v>35.479999999999997</v>
      </c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E201" s="123"/>
      <c r="DF201" s="23">
        <v>0</v>
      </c>
    </row>
    <row r="202" spans="1:110" s="23" customFormat="1" outlineLevel="1" x14ac:dyDescent="0.2">
      <c r="A202" s="23" t="s">
        <v>576</v>
      </c>
      <c r="R202" s="23">
        <v>31.16</v>
      </c>
      <c r="S202" s="23">
        <v>25.52</v>
      </c>
      <c r="T202" s="23">
        <v>33.56</v>
      </c>
      <c r="U202" s="23">
        <v>24.39</v>
      </c>
      <c r="V202" s="23">
        <v>32.71</v>
      </c>
      <c r="W202" s="23">
        <v>21.41</v>
      </c>
      <c r="X202" s="23">
        <v>35.369999999999997</v>
      </c>
      <c r="Y202" s="23">
        <v>29.69</v>
      </c>
      <c r="Z202" s="23">
        <v>27.02</v>
      </c>
      <c r="AA202" s="23">
        <v>27.02</v>
      </c>
      <c r="AB202" s="24">
        <f>+CP202</f>
        <v>0</v>
      </c>
      <c r="AC202" s="24">
        <f>+CT202</f>
        <v>0</v>
      </c>
      <c r="AD202" s="24">
        <f>+CX202</f>
        <v>0</v>
      </c>
      <c r="AE202" s="24">
        <f>+DB202</f>
        <v>0</v>
      </c>
      <c r="CH202" s="23">
        <f t="shared" si="390"/>
        <v>27.02</v>
      </c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E202" s="123"/>
      <c r="DF202" s="23">
        <v>0</v>
      </c>
    </row>
    <row r="203" spans="1:110" s="23" customFormat="1" outlineLevel="1" x14ac:dyDescent="0.2">
      <c r="A203" s="23" t="s">
        <v>585</v>
      </c>
      <c r="B203" s="23">
        <f>'Annual Raw'!C73+'Annual Raw'!C81</f>
        <v>0</v>
      </c>
      <c r="C203" s="23">
        <f>'Annual Raw'!D73+'Annual Raw'!D81</f>
        <v>0</v>
      </c>
      <c r="D203" s="23">
        <f>'Annual Raw'!E73+'Annual Raw'!E81</f>
        <v>0</v>
      </c>
      <c r="E203" s="23">
        <f>'Annual Raw'!F73+'Annual Raw'!F81</f>
        <v>0</v>
      </c>
      <c r="F203" s="23">
        <f>'Annual Raw'!G73+'Annual Raw'!G81</f>
        <v>0</v>
      </c>
      <c r="G203" s="23">
        <f>'Annual Raw'!H73+'Annual Raw'!H81</f>
        <v>0</v>
      </c>
      <c r="H203" s="23">
        <f>'Annual Raw'!I73+'Annual Raw'!I81</f>
        <v>0</v>
      </c>
      <c r="I203" s="23">
        <f>'Annual Raw'!J73+'Annual Raw'!J81</f>
        <v>0</v>
      </c>
      <c r="J203" s="23">
        <f>'Annual Raw'!K73+'Annual Raw'!K81</f>
        <v>0</v>
      </c>
      <c r="K203" s="23">
        <f>'Annual Raw'!L73+'Annual Raw'!L81</f>
        <v>0</v>
      </c>
      <c r="L203" s="23">
        <f>'Annual Raw'!M73+'Annual Raw'!M81</f>
        <v>0</v>
      </c>
      <c r="M203" s="23">
        <f>'Annual Raw'!N73+'Annual Raw'!N81</f>
        <v>0</v>
      </c>
      <c r="N203" s="23">
        <f>'Annual Raw'!O73+'Annual Raw'!O81</f>
        <v>0</v>
      </c>
      <c r="O203" s="23">
        <f>'Annual Raw'!P73+'Annual Raw'!P81</f>
        <v>0</v>
      </c>
      <c r="P203" s="23">
        <f>'Annual Raw'!Q73+'Annual Raw'!Q81</f>
        <v>0</v>
      </c>
      <c r="Q203" s="23">
        <f>'Annual Raw'!R73+'Annual Raw'!R81</f>
        <v>0.13</v>
      </c>
      <c r="R203" s="23">
        <f>'Annual Raw'!S73+'Annual Raw'!S81</f>
        <v>0.85</v>
      </c>
      <c r="S203" s="23">
        <f>'Annual Raw'!T73+'Annual Raw'!T81</f>
        <v>0.71</v>
      </c>
      <c r="T203" s="23">
        <f>'Annual Raw'!U73+'Annual Raw'!U81</f>
        <v>1.1299999999999999</v>
      </c>
      <c r="U203" s="23">
        <f>'Annual Raw'!V73+'Annual Raw'!V81</f>
        <v>1.07</v>
      </c>
      <c r="V203" s="23">
        <f>'Annual Raw'!W73+'Annual Raw'!W81</f>
        <v>0.92</v>
      </c>
      <c r="W203" s="23">
        <f>'Annual Raw'!X73+'Annual Raw'!X81</f>
        <v>10.719999999999999</v>
      </c>
      <c r="X203" s="23">
        <f>'Annual Raw'!Y73+'Annual Raw'!Y81</f>
        <v>38.6</v>
      </c>
      <c r="Y203" s="23">
        <f>'Annual Raw'!Z73+'Annual Raw'!Z81</f>
        <v>21.73</v>
      </c>
      <c r="Z203" s="23">
        <f>'Annual Raw'!AA73+'Annual Raw'!AA81</f>
        <v>17.010000000000002</v>
      </c>
      <c r="AA203" s="23">
        <f>'Annual Raw'!AB73+'Annual Raw'!AB81</f>
        <v>8.42</v>
      </c>
      <c r="AB203" s="24">
        <f>+CP203</f>
        <v>0</v>
      </c>
      <c r="AC203" s="24">
        <f>+CT203</f>
        <v>0</v>
      </c>
      <c r="AD203" s="24">
        <f>+CX203</f>
        <v>0</v>
      </c>
      <c r="AE203" s="24">
        <f>+DB203</f>
        <v>0</v>
      </c>
      <c r="AJ203" s="23">
        <f>+'QTR Raw'!D79+'QTR Raw'!D76</f>
        <v>0</v>
      </c>
      <c r="AK203" s="23">
        <f>+AJ203</f>
        <v>0</v>
      </c>
      <c r="AL203" s="23">
        <f>+'QTR Raw'!F79+'QTR Raw'!F76</f>
        <v>0</v>
      </c>
      <c r="AM203" s="23">
        <f>+AL203</f>
        <v>0</v>
      </c>
      <c r="AN203" s="23">
        <f>+'QTR Raw'!H79+'QTR Raw'!H76</f>
        <v>0</v>
      </c>
      <c r="AO203" s="23">
        <f>+AN203</f>
        <v>0</v>
      </c>
      <c r="AP203" s="23">
        <f>+'QTR Raw'!J79+'QTR Raw'!J76</f>
        <v>0</v>
      </c>
      <c r="AQ203" s="23">
        <f>+AP203</f>
        <v>0</v>
      </c>
      <c r="AR203" s="23">
        <f>+'QTR Raw'!L79+'QTR Raw'!L76</f>
        <v>0</v>
      </c>
      <c r="AS203" s="23">
        <f>+AR203</f>
        <v>0</v>
      </c>
      <c r="AT203" s="23">
        <f>+'QTR Raw'!N79+'QTR Raw'!N76</f>
        <v>0</v>
      </c>
      <c r="AU203" s="23">
        <f>+AT203</f>
        <v>0</v>
      </c>
      <c r="AV203" s="23">
        <f>+'QTR Raw'!P79+'QTR Raw'!P76</f>
        <v>0</v>
      </c>
      <c r="AW203" s="23">
        <f>+AV203</f>
        <v>0</v>
      </c>
      <c r="AX203" s="23">
        <f>+'QTR Raw'!R79+'QTR Raw'!R76</f>
        <v>0</v>
      </c>
      <c r="AY203" s="23">
        <f>+AX203</f>
        <v>0</v>
      </c>
      <c r="AZ203" s="23">
        <f>+'QTR Raw'!T79+'QTR Raw'!T76</f>
        <v>0</v>
      </c>
      <c r="BA203" s="23">
        <f>+AZ203</f>
        <v>0</v>
      </c>
      <c r="BB203" s="23">
        <f>+'QTR Raw'!V79+'QTR Raw'!V76</f>
        <v>18.11</v>
      </c>
      <c r="BC203" s="23">
        <f>+BB203</f>
        <v>18.11</v>
      </c>
      <c r="BD203" s="23">
        <f>+'QTR Raw'!X79+'QTR Raw'!X76</f>
        <v>21.03</v>
      </c>
      <c r="BE203" s="23">
        <f>+BD203</f>
        <v>21.03</v>
      </c>
      <c r="BF203" s="23">
        <f>+'QTR Raw'!Z79+'QTR Raw'!Z76</f>
        <v>14.33</v>
      </c>
      <c r="BG203" s="23">
        <f>+BF203</f>
        <v>14.33</v>
      </c>
      <c r="BH203" s="23">
        <f>+'QTR Raw'!AB79+'QTR Raw'!AB76</f>
        <v>16.940000000000001</v>
      </c>
      <c r="BI203" s="23">
        <f>+BH203</f>
        <v>16.940000000000001</v>
      </c>
      <c r="BJ203" s="23">
        <f>+'QTR Raw'!AD79+'QTR Raw'!AD76</f>
        <v>18.579999999999998</v>
      </c>
      <c r="BK203" s="23">
        <f>+BJ203</f>
        <v>18.579999999999998</v>
      </c>
      <c r="BL203" s="23">
        <f>+'QTR Raw'!AF79+'QTR Raw'!AF76</f>
        <v>19.86</v>
      </c>
      <c r="BM203" s="23">
        <f>+BL203</f>
        <v>19.86</v>
      </c>
      <c r="BN203" s="23">
        <f>+'QTR Raw'!AH79+'QTR Raw'!AH76</f>
        <v>15.89</v>
      </c>
      <c r="BO203" s="23">
        <f>+BN203</f>
        <v>15.89</v>
      </c>
      <c r="BP203" s="23">
        <f>+'QTR Raw'!AJ79+'QTR Raw'!AJ76</f>
        <v>13.89</v>
      </c>
      <c r="BQ203" s="23">
        <f>+BP203</f>
        <v>13.89</v>
      </c>
      <c r="BR203" s="23">
        <f>+'QTR Raw'!AL79+'QTR Raw'!AL76</f>
        <v>15.8</v>
      </c>
      <c r="BS203" s="23">
        <f>+BR203</f>
        <v>15.8</v>
      </c>
      <c r="BT203" s="23">
        <f>+'QTR Raw'!AN79+'QTR Raw'!AN76</f>
        <v>46.03</v>
      </c>
      <c r="BU203" s="23">
        <f>+BT203</f>
        <v>46.03</v>
      </c>
      <c r="BV203" s="23">
        <f>+'QTR Raw'!AP79+'QTR Raw'!AP76</f>
        <v>84</v>
      </c>
      <c r="BW203" s="23">
        <f>+BV203</f>
        <v>84</v>
      </c>
      <c r="BX203" s="23">
        <f>+'QTR Raw'!AR79+'QTR Raw'!AR76</f>
        <v>90.22</v>
      </c>
      <c r="BY203" s="23">
        <f>+BX203</f>
        <v>90.22</v>
      </c>
      <c r="BZ203" s="23">
        <f>+'QTR Raw'!AT79+'QTR Raw'!AT76</f>
        <v>147.33000000000001</v>
      </c>
      <c r="CA203" s="23">
        <f>+BZ203</f>
        <v>147.33000000000001</v>
      </c>
      <c r="CB203" s="23">
        <f>+'QTR Raw'!AV79+'QTR Raw'!AV76</f>
        <v>164.86</v>
      </c>
      <c r="CC203" s="23">
        <f>+CB203</f>
        <v>164.86</v>
      </c>
      <c r="CD203" s="23">
        <f>+'QTR Raw'!AX79+'QTR Raw'!AX76</f>
        <v>143.61000000000001</v>
      </c>
      <c r="CE203" s="23">
        <f>+CD203</f>
        <v>143.61000000000001</v>
      </c>
      <c r="CF203" s="23">
        <f>+'QTR Raw'!AZ79+'QTR Raw'!AZ76</f>
        <v>69.58</v>
      </c>
      <c r="CG203" s="23">
        <f>+CF203</f>
        <v>69.58</v>
      </c>
      <c r="CH203" s="23">
        <f t="shared" si="390"/>
        <v>17.010000000000002</v>
      </c>
      <c r="CJ203" s="23">
        <f>+'QTR Raw'!BD79+'QTR Raw'!BD76</f>
        <v>117.72</v>
      </c>
      <c r="CL203" s="23">
        <f>+'QTR Raw'!BF79+'QTR Raw'!BF76</f>
        <v>103.38</v>
      </c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E203" s="123"/>
      <c r="DF203" s="23">
        <v>103.38</v>
      </c>
    </row>
    <row r="204" spans="1:110" s="23" customFormat="1" outlineLevel="1" x14ac:dyDescent="0.2">
      <c r="A204" s="23" t="s">
        <v>577</v>
      </c>
      <c r="R204" s="23">
        <v>1.26</v>
      </c>
      <c r="S204" s="23">
        <v>1.37</v>
      </c>
      <c r="T204" s="23">
        <v>2.4</v>
      </c>
      <c r="U204" s="23">
        <v>2.5</v>
      </c>
      <c r="V204" s="23">
        <v>2.8</v>
      </c>
      <c r="W204" s="23">
        <v>5.08</v>
      </c>
      <c r="X204" s="23">
        <v>7.58</v>
      </c>
      <c r="Y204" s="23">
        <v>10.8</v>
      </c>
      <c r="Z204" s="23">
        <v>15</v>
      </c>
      <c r="AA204" s="23">
        <v>15</v>
      </c>
      <c r="AB204" s="24">
        <f t="shared" ref="AB204" si="398">+CP204</f>
        <v>0</v>
      </c>
      <c r="AC204" s="24">
        <f t="shared" ref="AC204" si="399">+CT204</f>
        <v>0</v>
      </c>
      <c r="AD204" s="24">
        <f t="shared" ref="AD204" si="400">+CX204</f>
        <v>0</v>
      </c>
      <c r="AE204" s="24">
        <f t="shared" ref="AE204" si="401">+DB204</f>
        <v>0</v>
      </c>
      <c r="CH204" s="23">
        <f t="shared" si="388"/>
        <v>15</v>
      </c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  <c r="DF204" s="23">
        <v>0</v>
      </c>
    </row>
    <row r="205" spans="1:110" s="23" customFormat="1" outlineLevel="1" x14ac:dyDescent="0.2">
      <c r="A205" s="23" t="s">
        <v>63</v>
      </c>
      <c r="B205" s="23">
        <f>'Annual Raw'!C80</f>
        <v>4.6353992000000002</v>
      </c>
      <c r="C205" s="23">
        <f>'Annual Raw'!D80</f>
        <v>3.5788003000000002</v>
      </c>
      <c r="D205" s="23">
        <f>'Annual Raw'!E80</f>
        <v>6.8233265000000003</v>
      </c>
      <c r="E205" s="23">
        <f>'Annual Raw'!F80</f>
        <v>26.8586767</v>
      </c>
      <c r="F205" s="23">
        <f>'Annual Raw'!G80</f>
        <v>32.956003500000001</v>
      </c>
      <c r="G205" s="23">
        <f>'Annual Raw'!H80</f>
        <v>35.01388</v>
      </c>
      <c r="H205" s="23">
        <f>'Annual Raw'!I80</f>
        <v>56.930796299999997</v>
      </c>
      <c r="I205" s="23">
        <f>'Annual Raw'!J80</f>
        <v>56.385914100000001</v>
      </c>
      <c r="J205" s="23">
        <f>'Annual Raw'!K80</f>
        <v>53.403827499999998</v>
      </c>
      <c r="K205" s="23">
        <f>'Annual Raw'!L80</f>
        <v>68.934520300000003</v>
      </c>
      <c r="L205" s="23">
        <f>'Annual Raw'!M80</f>
        <v>89.52</v>
      </c>
      <c r="M205" s="23">
        <f>'Annual Raw'!N80</f>
        <v>109.67</v>
      </c>
      <c r="N205" s="23">
        <f>'Annual Raw'!O80</f>
        <v>84.83</v>
      </c>
      <c r="O205" s="23">
        <f>'Annual Raw'!P80</f>
        <v>46.79</v>
      </c>
      <c r="P205" s="23">
        <f>'Annual Raw'!Q80</f>
        <v>33.369999999999997</v>
      </c>
      <c r="Q205" s="23">
        <f>'Annual Raw'!R80</f>
        <v>50.37</v>
      </c>
      <c r="R205" s="23">
        <f>(('Annual Raw'!S80)-33.8)-31.16</f>
        <v>9.1300000000000061</v>
      </c>
      <c r="S205" s="23">
        <f>(('Annual Raw'!T80)-71.35)-25.52</f>
        <v>33.799999999999997</v>
      </c>
      <c r="T205" s="23">
        <f>(('Annual Raw'!U80)-53.72)-33.56</f>
        <v>11.670000000000002</v>
      </c>
      <c r="U205" s="23">
        <f>(('Annual Raw'!V80)-38.31)-24.39</f>
        <v>13.179999999999993</v>
      </c>
      <c r="V205" s="23">
        <f>(('Annual Raw'!W80)-35.17)-32.71</f>
        <v>15.410000000000004</v>
      </c>
      <c r="W205" s="23">
        <f>(('Annual Raw'!X80)-56.41)-21.41</f>
        <v>4.2300000000000004</v>
      </c>
      <c r="X205" s="23">
        <f>(('Annual Raw'!Y80)-71.81)-35.37</f>
        <v>16.190000000000005</v>
      </c>
      <c r="Y205" s="23">
        <f>(('Annual Raw'!Z80)-91.03)-29.69</f>
        <v>28.330000000000009</v>
      </c>
      <c r="Z205" s="23">
        <f>(('Annual Raw'!AA80)-68.47)-27.02</f>
        <v>13.760000000000002</v>
      </c>
      <c r="AA205" s="23">
        <f>(('Annual Raw'!AB80)-68.47)-27.02</f>
        <v>23.37</v>
      </c>
      <c r="AB205" s="24">
        <f t="shared" ref="AB205" si="402">+CP205</f>
        <v>0</v>
      </c>
      <c r="AC205" s="24">
        <f t="shared" ref="AC205" si="403">+CT205</f>
        <v>0</v>
      </c>
      <c r="AD205" s="24">
        <f t="shared" ref="AD205" si="404">+CX205</f>
        <v>0</v>
      </c>
      <c r="AE205" s="24">
        <f t="shared" ref="AE205" si="405">+DB205</f>
        <v>0</v>
      </c>
      <c r="AJ205" s="23">
        <f>+'QTR Raw'!D85</f>
        <v>104.07</v>
      </c>
      <c r="AK205" s="23">
        <f>+AJ205</f>
        <v>104.07</v>
      </c>
      <c r="AL205" s="23">
        <f>+'QTR Raw'!F85</f>
        <v>106.69</v>
      </c>
      <c r="AM205" s="23">
        <f>+AL205</f>
        <v>106.69</v>
      </c>
      <c r="AN205" s="23">
        <f>+'QTR Raw'!H85</f>
        <v>116.14</v>
      </c>
      <c r="AO205" s="23">
        <f>+AN205</f>
        <v>116.14</v>
      </c>
      <c r="AP205" s="23">
        <f>+'QTR Raw'!J85</f>
        <v>62.68</v>
      </c>
      <c r="AQ205" s="23">
        <f>+AP205</f>
        <v>62.68</v>
      </c>
      <c r="AR205" s="23">
        <f>+'QTR Raw'!L85</f>
        <v>71.39</v>
      </c>
      <c r="AS205" s="23">
        <f>+AR205</f>
        <v>71.39</v>
      </c>
      <c r="AT205" s="23">
        <f>+'QTR Raw'!N85</f>
        <v>57.72</v>
      </c>
      <c r="AU205" s="23">
        <f>+AT205</f>
        <v>57.72</v>
      </c>
      <c r="AV205" s="23">
        <f>+'QTR Raw'!P85</f>
        <v>77.22</v>
      </c>
      <c r="AW205" s="23">
        <f>+AV205</f>
        <v>77.22</v>
      </c>
      <c r="AX205" s="23">
        <f>+'QTR Raw'!R85</f>
        <v>76.430000000000007</v>
      </c>
      <c r="AY205" s="23">
        <f>+AX205</f>
        <v>76.430000000000007</v>
      </c>
      <c r="AZ205" s="23">
        <f>+'QTR Raw'!T85</f>
        <v>93.75</v>
      </c>
      <c r="BA205" s="23">
        <f>+AZ205</f>
        <v>93.75</v>
      </c>
      <c r="BB205" s="23">
        <f>+'QTR Raw'!V85</f>
        <v>0</v>
      </c>
      <c r="BC205" s="23">
        <f>+BB205</f>
        <v>0</v>
      </c>
      <c r="BD205" s="23">
        <f>+'QTR Raw'!X85</f>
        <v>0</v>
      </c>
      <c r="BE205" s="23">
        <f>+BD205</f>
        <v>0</v>
      </c>
      <c r="BF205" s="23">
        <f>+'QTR Raw'!Z85</f>
        <v>0</v>
      </c>
      <c r="BG205" s="23">
        <f>+BF205</f>
        <v>0</v>
      </c>
      <c r="BH205" s="23">
        <f>+'QTR Raw'!AB85</f>
        <v>0</v>
      </c>
      <c r="BI205" s="23">
        <f>+BH205</f>
        <v>0</v>
      </c>
      <c r="BJ205" s="23">
        <f>+'QTR Raw'!AD85</f>
        <v>0</v>
      </c>
      <c r="BK205" s="23">
        <f>+BJ205</f>
        <v>0</v>
      </c>
      <c r="BL205" s="23">
        <f>+'QTR Raw'!AF85</f>
        <v>0</v>
      </c>
      <c r="BM205" s="23">
        <f>+BL205</f>
        <v>0</v>
      </c>
      <c r="BN205" s="23">
        <f>+'QTR Raw'!AH85</f>
        <v>0</v>
      </c>
      <c r="BO205" s="23">
        <f>+BN205</f>
        <v>0</v>
      </c>
      <c r="BP205" s="23">
        <f>+'QTR Raw'!AJ85</f>
        <v>0</v>
      </c>
      <c r="BQ205" s="23">
        <f>+BP205</f>
        <v>0</v>
      </c>
      <c r="BR205" s="23">
        <f>+'QTR Raw'!AL85</f>
        <v>0</v>
      </c>
      <c r="BS205" s="23">
        <f>+BR205</f>
        <v>0</v>
      </c>
      <c r="BT205" s="23">
        <f>+'QTR Raw'!AN85</f>
        <v>0</v>
      </c>
      <c r="BU205" s="23">
        <f>+BT205</f>
        <v>0</v>
      </c>
      <c r="BV205" s="23">
        <f>+'QTR Raw'!AP85</f>
        <v>0</v>
      </c>
      <c r="BW205" s="23">
        <f>+BV205</f>
        <v>0</v>
      </c>
      <c r="BX205" s="23">
        <f>+'QTR Raw'!AR85</f>
        <v>0</v>
      </c>
      <c r="BY205" s="23">
        <f>+BX205</f>
        <v>0</v>
      </c>
      <c r="BZ205" s="23">
        <f>+'QTR Raw'!AT85</f>
        <v>0</v>
      </c>
      <c r="CA205" s="23">
        <f>+BZ205</f>
        <v>0</v>
      </c>
      <c r="CB205" s="23">
        <f>+'QTR Raw'!AV85</f>
        <v>0</v>
      </c>
      <c r="CC205" s="23">
        <f>+CB205</f>
        <v>0</v>
      </c>
      <c r="CD205" s="23">
        <f>+'QTR Raw'!AX85</f>
        <v>0</v>
      </c>
      <c r="CE205" s="23">
        <f>+CD205</f>
        <v>0</v>
      </c>
      <c r="CF205" s="23">
        <f>+'QTR Raw'!AZ85</f>
        <v>0</v>
      </c>
      <c r="CG205" s="23">
        <f>+CF205</f>
        <v>0</v>
      </c>
      <c r="CH205" s="23">
        <f>Z205</f>
        <v>13.760000000000002</v>
      </c>
      <c r="CJ205" s="23">
        <f>+'QTR Raw'!BD85</f>
        <v>0</v>
      </c>
      <c r="CL205" s="23">
        <f>+'QTR Raw'!BF85</f>
        <v>0</v>
      </c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E205" s="123"/>
      <c r="DF205" s="23">
        <v>0</v>
      </c>
    </row>
    <row r="206" spans="1:110" s="23" customFormat="1" outlineLevel="1" x14ac:dyDescent="0.2">
      <c r="A206" s="23" t="s">
        <v>58</v>
      </c>
      <c r="B206" s="23">
        <f>'Annual Raw'!C72</f>
        <v>0</v>
      </c>
      <c r="C206" s="23">
        <f>'Annual Raw'!D72</f>
        <v>0</v>
      </c>
      <c r="D206" s="23">
        <f>'Annual Raw'!E72</f>
        <v>0</v>
      </c>
      <c r="E206" s="23">
        <f>'Annual Raw'!F72+'Annual Raw'!F61</f>
        <v>0</v>
      </c>
      <c r="F206" s="23">
        <f>'Annual Raw'!G72+'Annual Raw'!G61</f>
        <v>0</v>
      </c>
      <c r="G206" s="23">
        <f>'Annual Raw'!H72+'Annual Raw'!H61</f>
        <v>0</v>
      </c>
      <c r="H206" s="23">
        <f>'Annual Raw'!I72+'Annual Raw'!I61</f>
        <v>0</v>
      </c>
      <c r="I206" s="23">
        <f>'Annual Raw'!J72+'Annual Raw'!J61</f>
        <v>0</v>
      </c>
      <c r="J206" s="23">
        <f>'Annual Raw'!K72+'Annual Raw'!K61</f>
        <v>0</v>
      </c>
      <c r="K206" s="23">
        <f>'Annual Raw'!L72+'Annual Raw'!L61</f>
        <v>0</v>
      </c>
      <c r="L206" s="23">
        <f>'Annual Raw'!M72+'Annual Raw'!M61</f>
        <v>12.14</v>
      </c>
      <c r="M206" s="23">
        <f>'Annual Raw'!N72+'Annual Raw'!N61</f>
        <v>10.19</v>
      </c>
      <c r="N206" s="23">
        <f>'Annual Raw'!O72+'Annual Raw'!O61</f>
        <v>11.58</v>
      </c>
      <c r="O206" s="23">
        <f>'Annual Raw'!P72+'Annual Raw'!P61</f>
        <v>17.010000000000002</v>
      </c>
      <c r="P206" s="23">
        <f>'Annual Raw'!Q72+'Annual Raw'!Q61</f>
        <v>14.51</v>
      </c>
      <c r="Q206" s="23">
        <f>'Annual Raw'!R72+'Annual Raw'!R61</f>
        <v>19.579999999999998</v>
      </c>
      <c r="R206" s="23">
        <f>(('Annual Raw'!S72+'Annual Raw'!S61)-11.28)-5.98</f>
        <v>0</v>
      </c>
      <c r="S206" s="23">
        <f>(('Annual Raw'!T72+'Annual Raw'!T61)-6.96)-6.66</f>
        <v>0</v>
      </c>
      <c r="T206" s="23">
        <f>(('Annual Raw'!U72+'Annual Raw'!U61)-7.24)-10.21</f>
        <v>0</v>
      </c>
      <c r="U206" s="23">
        <f>(('Annual Raw'!V72+'Annual Raw'!V61)-5.32)-9.5</f>
        <v>0</v>
      </c>
      <c r="V206" s="23">
        <f>(('Annual Raw'!W72+'Annual Raw'!W61)-4.99)-9.89</f>
        <v>0</v>
      </c>
      <c r="W206" s="23">
        <f>(('Annual Raw'!X72+'Annual Raw'!X61)-51.06)-26.49</f>
        <v>0</v>
      </c>
      <c r="X206" s="23">
        <f>(('Annual Raw'!Y72+'Annual Raw'!Y61)-75.34)-30.99</f>
        <v>0</v>
      </c>
      <c r="Y206" s="23">
        <f>(('Annual Raw'!Z72+'Annual Raw'!Z61)-93.58)-27.49</f>
        <v>0</v>
      </c>
      <c r="Z206" s="23">
        <f>(('Annual Raw'!AA72+'Annual Raw'!AA61)-59.67)-35.48</f>
        <v>5.0000000000004263E-2</v>
      </c>
      <c r="AA206" s="23">
        <f>(('Annual Raw'!AB72+'Annual Raw'!AB61)-59.67)-35.48</f>
        <v>-2.0200000000000031</v>
      </c>
      <c r="AB206" s="24">
        <f t="shared" ref="AB206" si="406">+CP206</f>
        <v>0</v>
      </c>
      <c r="AC206" s="24">
        <f t="shared" ref="AC206" si="407">+CT206</f>
        <v>0</v>
      </c>
      <c r="AD206" s="24">
        <f t="shared" ref="AD206" si="408">+CX206</f>
        <v>0</v>
      </c>
      <c r="AE206" s="24">
        <f t="shared" ref="AE206" si="409">+DB206</f>
        <v>0</v>
      </c>
      <c r="AJ206" s="23">
        <f>+'QTR Raw'!D78</f>
        <v>8.56</v>
      </c>
      <c r="AK206" s="23">
        <f>+AJ206</f>
        <v>8.56</v>
      </c>
      <c r="AL206" s="23">
        <f>+'QTR Raw'!F78</f>
        <v>11.58</v>
      </c>
      <c r="AM206" s="23">
        <f>+AL206</f>
        <v>11.58</v>
      </c>
      <c r="AN206" s="23">
        <f>+'QTR Raw'!H78</f>
        <v>16.47</v>
      </c>
      <c r="AO206" s="23">
        <f>+AN206</f>
        <v>16.47</v>
      </c>
      <c r="AP206" s="23">
        <f>+'QTR Raw'!J78</f>
        <v>17.010000000000002</v>
      </c>
      <c r="AQ206" s="23">
        <f>+AP206</f>
        <v>17.010000000000002</v>
      </c>
      <c r="AR206" s="23">
        <f>+'QTR Raw'!L78</f>
        <v>28.16</v>
      </c>
      <c r="AS206" s="23">
        <f>+AR206</f>
        <v>28.16</v>
      </c>
      <c r="AT206" s="23">
        <f>+'QTR Raw'!N78</f>
        <v>14.51</v>
      </c>
      <c r="AU206" s="23">
        <f>+AT206</f>
        <v>14.51</v>
      </c>
      <c r="AV206" s="23">
        <f>+'QTR Raw'!P78</f>
        <v>22.66</v>
      </c>
      <c r="AW206" s="23">
        <f>+AV206</f>
        <v>22.66</v>
      </c>
      <c r="AX206" s="23">
        <f>+'QTR Raw'!R78</f>
        <v>19.71</v>
      </c>
      <c r="AY206" s="23">
        <f>+AX206</f>
        <v>19.71</v>
      </c>
      <c r="AZ206" s="23">
        <f>+'QTR Raw'!T78</f>
        <v>26.22</v>
      </c>
      <c r="BA206" s="23">
        <f>+AZ206</f>
        <v>26.22</v>
      </c>
      <c r="BB206" s="23">
        <f>+'QTR Raw'!V78</f>
        <v>0</v>
      </c>
      <c r="BC206" s="23">
        <f>+BB206</f>
        <v>0</v>
      </c>
      <c r="BD206" s="23">
        <f>+'QTR Raw'!X78</f>
        <v>0</v>
      </c>
      <c r="BE206" s="23">
        <f>+BD206</f>
        <v>0</v>
      </c>
      <c r="BF206" s="23">
        <f>+'QTR Raw'!Z78</f>
        <v>0</v>
      </c>
      <c r="BG206" s="23">
        <f>+BF206</f>
        <v>0</v>
      </c>
      <c r="BH206" s="23">
        <f>+'QTR Raw'!AB78</f>
        <v>0</v>
      </c>
      <c r="BI206" s="23">
        <f>+BH206</f>
        <v>0</v>
      </c>
      <c r="BJ206" s="23">
        <f>+'QTR Raw'!AD78</f>
        <v>0</v>
      </c>
      <c r="BK206" s="23">
        <f>+BJ206</f>
        <v>0</v>
      </c>
      <c r="BL206" s="23">
        <f>+'QTR Raw'!AF78</f>
        <v>0</v>
      </c>
      <c r="BM206" s="23">
        <f>+BL206</f>
        <v>0</v>
      </c>
      <c r="BN206" s="23">
        <f>+'QTR Raw'!AH78</f>
        <v>0</v>
      </c>
      <c r="BO206" s="23">
        <f>+BN206</f>
        <v>0</v>
      </c>
      <c r="BP206" s="23">
        <f>+'QTR Raw'!AJ78</f>
        <v>0</v>
      </c>
      <c r="BQ206" s="23">
        <f>+BP206</f>
        <v>0</v>
      </c>
      <c r="BR206" s="23">
        <f>+'QTR Raw'!AL78</f>
        <v>0</v>
      </c>
      <c r="BS206" s="23">
        <f>+BR206</f>
        <v>0</v>
      </c>
      <c r="BT206" s="23">
        <f>+'QTR Raw'!AN78</f>
        <v>0</v>
      </c>
      <c r="BU206" s="23">
        <f>+BT206</f>
        <v>0</v>
      </c>
      <c r="BV206" s="23">
        <f>+'QTR Raw'!AP78</f>
        <v>0</v>
      </c>
      <c r="BW206" s="23">
        <f>+BV206</f>
        <v>0</v>
      </c>
      <c r="BX206" s="23">
        <f>+'QTR Raw'!AR78</f>
        <v>0</v>
      </c>
      <c r="BY206" s="23">
        <f>+BX206</f>
        <v>0</v>
      </c>
      <c r="BZ206" s="23">
        <f>+'QTR Raw'!AT78</f>
        <v>0</v>
      </c>
      <c r="CA206" s="23">
        <f>+BZ206</f>
        <v>0</v>
      </c>
      <c r="CB206" s="23">
        <f>+'QTR Raw'!AV78</f>
        <v>0</v>
      </c>
      <c r="CC206" s="23">
        <f>+CB206</f>
        <v>0</v>
      </c>
      <c r="CD206" s="23">
        <f>+'QTR Raw'!AX78</f>
        <v>0</v>
      </c>
      <c r="CE206" s="23">
        <f>+CD206</f>
        <v>0</v>
      </c>
      <c r="CF206" s="23">
        <f>+'QTR Raw'!AZ78</f>
        <v>0</v>
      </c>
      <c r="CG206" s="23">
        <f>+CF206</f>
        <v>0</v>
      </c>
      <c r="CH206" s="23">
        <f>Z206</f>
        <v>5.0000000000004263E-2</v>
      </c>
      <c r="CJ206" s="23">
        <f>+'QTR Raw'!BD78</f>
        <v>0</v>
      </c>
      <c r="CL206" s="23">
        <f>+'QTR Raw'!BF78</f>
        <v>0</v>
      </c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E206" s="123"/>
      <c r="DF206" s="23">
        <v>0</v>
      </c>
    </row>
    <row r="207" spans="1:110" s="22" customFormat="1" x14ac:dyDescent="0.2">
      <c r="A207" s="22" t="s">
        <v>64</v>
      </c>
      <c r="B207" s="22">
        <f t="shared" ref="B207:AE207" si="410">SUM(B196:B206)</f>
        <v>49.011173200000002</v>
      </c>
      <c r="C207" s="22">
        <f t="shared" si="410"/>
        <v>42.812479299999993</v>
      </c>
      <c r="D207" s="22">
        <f t="shared" si="410"/>
        <v>54.064501100000001</v>
      </c>
      <c r="E207" s="22">
        <f t="shared" si="410"/>
        <v>87.880045699999997</v>
      </c>
      <c r="F207" s="22">
        <f t="shared" si="410"/>
        <v>111.02890480000002</v>
      </c>
      <c r="G207" s="22">
        <f t="shared" si="410"/>
        <v>170.3933907</v>
      </c>
      <c r="H207" s="22">
        <f t="shared" si="410"/>
        <v>308.0839441</v>
      </c>
      <c r="I207" s="22">
        <f t="shared" si="410"/>
        <v>361.05458819999996</v>
      </c>
      <c r="J207" s="22">
        <f t="shared" si="410"/>
        <v>314.86357649999997</v>
      </c>
      <c r="K207" s="22">
        <f t="shared" si="410"/>
        <v>376.49629560000005</v>
      </c>
      <c r="L207" s="22">
        <f t="shared" si="410"/>
        <v>547.77</v>
      </c>
      <c r="M207" s="22">
        <f t="shared" si="410"/>
        <v>479.77000000000004</v>
      </c>
      <c r="N207" s="22">
        <f t="shared" si="410"/>
        <v>523.41</v>
      </c>
      <c r="O207" s="22">
        <f t="shared" si="410"/>
        <v>534.62</v>
      </c>
      <c r="P207" s="22">
        <f t="shared" si="410"/>
        <v>601.16</v>
      </c>
      <c r="Q207" s="22">
        <f t="shared" si="410"/>
        <v>683.86</v>
      </c>
      <c r="R207" s="22">
        <f t="shared" si="410"/>
        <v>751.21999999999991</v>
      </c>
      <c r="S207" s="22">
        <f t="shared" si="410"/>
        <v>863.19</v>
      </c>
      <c r="T207" s="22">
        <f t="shared" si="410"/>
        <v>867.65</v>
      </c>
      <c r="U207" s="22">
        <f t="shared" si="410"/>
        <v>795.20999999999992</v>
      </c>
      <c r="V207" s="22">
        <f t="shared" si="410"/>
        <v>799.36999999999989</v>
      </c>
      <c r="W207" s="22">
        <f t="shared" si="410"/>
        <v>1125.0500000000002</v>
      </c>
      <c r="X207" s="22">
        <f t="shared" si="410"/>
        <v>1176.6399999999999</v>
      </c>
      <c r="Y207" s="22">
        <f t="shared" si="410"/>
        <v>1472.0599999999997</v>
      </c>
      <c r="Z207" s="22">
        <f t="shared" si="410"/>
        <v>1371.68</v>
      </c>
      <c r="AA207" s="22">
        <f t="shared" si="410"/>
        <v>1513.7500000000002</v>
      </c>
      <c r="AB207" s="21">
        <f t="shared" si="410"/>
        <v>1695.7013186455777</v>
      </c>
      <c r="AC207" s="21">
        <f t="shared" si="410"/>
        <v>1783.436329857112</v>
      </c>
      <c r="AD207" s="21">
        <f t="shared" si="410"/>
        <v>1790.5807829300475</v>
      </c>
      <c r="AE207" s="21">
        <f t="shared" si="410"/>
        <v>1797.7538567105782</v>
      </c>
      <c r="AJ207" s="22">
        <f t="shared" ref="AJ207:BO207" si="411">SUM(AJ196:AJ206)</f>
        <v>482.72</v>
      </c>
      <c r="AK207" s="22">
        <f t="shared" si="411"/>
        <v>430.80866358969035</v>
      </c>
      <c r="AL207" s="22">
        <f t="shared" si="411"/>
        <v>523.41</v>
      </c>
      <c r="AM207" s="22">
        <f t="shared" si="411"/>
        <v>534.6907020097409</v>
      </c>
      <c r="AN207" s="22">
        <f t="shared" si="411"/>
        <v>541.69000000000005</v>
      </c>
      <c r="AO207" s="22">
        <f t="shared" si="411"/>
        <v>537.8312140267393</v>
      </c>
      <c r="AP207" s="22">
        <f t="shared" si="411"/>
        <v>534.62</v>
      </c>
      <c r="AQ207" s="22">
        <f t="shared" si="411"/>
        <v>541.26729276084245</v>
      </c>
      <c r="AR207" s="22">
        <f t="shared" si="411"/>
        <v>560.18999999999994</v>
      </c>
      <c r="AS207" s="22">
        <f t="shared" si="411"/>
        <v>558.06546535774964</v>
      </c>
      <c r="AT207" s="22">
        <f t="shared" si="411"/>
        <v>601.16</v>
      </c>
      <c r="AU207" s="22">
        <f t="shared" si="411"/>
        <v>607.5968075117371</v>
      </c>
      <c r="AV207" s="22">
        <f t="shared" si="411"/>
        <v>653.73</v>
      </c>
      <c r="AW207" s="22">
        <f t="shared" si="411"/>
        <v>593.55484414742398</v>
      </c>
      <c r="AX207" s="22">
        <f t="shared" si="411"/>
        <v>683.86000000000013</v>
      </c>
      <c r="AY207" s="22">
        <f t="shared" si="411"/>
        <v>713.71510461227354</v>
      </c>
      <c r="AZ207" s="22">
        <f t="shared" si="411"/>
        <v>730.06000000000006</v>
      </c>
      <c r="BA207" s="22">
        <f t="shared" si="411"/>
        <v>614.98808137931042</v>
      </c>
      <c r="BB207" s="22">
        <f t="shared" si="411"/>
        <v>751.22</v>
      </c>
      <c r="BC207" s="22">
        <f t="shared" si="411"/>
        <v>748.9178040180791</v>
      </c>
      <c r="BD207" s="22">
        <f t="shared" si="411"/>
        <v>763.53</v>
      </c>
      <c r="BE207" s="22">
        <f t="shared" si="411"/>
        <v>838.11670940976808</v>
      </c>
      <c r="BF207" s="22">
        <f t="shared" si="411"/>
        <v>863.19</v>
      </c>
      <c r="BG207" s="22">
        <f t="shared" si="411"/>
        <v>933.57816219111714</v>
      </c>
      <c r="BH207" s="22">
        <f t="shared" si="411"/>
        <v>895.26</v>
      </c>
      <c r="BI207" s="22">
        <f t="shared" si="411"/>
        <v>846.23118204012314</v>
      </c>
      <c r="BJ207" s="22">
        <f t="shared" si="411"/>
        <v>867.65000000000009</v>
      </c>
      <c r="BK207" s="22">
        <f t="shared" si="411"/>
        <v>827.26962775650611</v>
      </c>
      <c r="BL207" s="22">
        <f t="shared" si="411"/>
        <v>808.45</v>
      </c>
      <c r="BM207" s="22">
        <f t="shared" si="411"/>
        <v>741.9560386721073</v>
      </c>
      <c r="BN207" s="22">
        <f t="shared" si="411"/>
        <v>795.20999999999992</v>
      </c>
      <c r="BO207" s="22">
        <f t="shared" si="411"/>
        <v>311.00195217932753</v>
      </c>
      <c r="BP207" s="22">
        <f t="shared" ref="BP207:CU207" si="412">SUM(BP196:BP206)</f>
        <v>686.91</v>
      </c>
      <c r="BQ207" s="22">
        <f t="shared" si="412"/>
        <v>921.5364998079632</v>
      </c>
      <c r="BR207" s="22">
        <f t="shared" si="412"/>
        <v>799.37</v>
      </c>
      <c r="BS207" s="22">
        <f t="shared" si="412"/>
        <v>685.56064372160347</v>
      </c>
      <c r="BT207" s="22">
        <f t="shared" si="412"/>
        <v>952.08</v>
      </c>
      <c r="BU207" s="22">
        <f t="shared" si="412"/>
        <v>965.70734514937055</v>
      </c>
      <c r="BV207" s="22">
        <f t="shared" si="412"/>
        <v>1128.54</v>
      </c>
      <c r="BW207" s="22">
        <f t="shared" si="412"/>
        <v>1098.116008995949</v>
      </c>
      <c r="BX207" s="22">
        <f t="shared" si="412"/>
        <v>1068.6099999999999</v>
      </c>
      <c r="BY207" s="22">
        <f t="shared" si="412"/>
        <v>948.12548863700442</v>
      </c>
      <c r="BZ207" s="22">
        <f t="shared" si="412"/>
        <v>1179.04</v>
      </c>
      <c r="CA207" s="22">
        <f t="shared" si="412"/>
        <v>1169.4256170585659</v>
      </c>
      <c r="CB207" s="22">
        <f t="shared" si="412"/>
        <v>1250.54</v>
      </c>
      <c r="CC207" s="22">
        <f t="shared" si="412"/>
        <v>1239.3261850685499</v>
      </c>
      <c r="CD207" s="22">
        <f t="shared" si="412"/>
        <v>1461.9</v>
      </c>
      <c r="CE207" s="22">
        <f t="shared" si="412"/>
        <v>1449.0337183363758</v>
      </c>
      <c r="CF207" s="22">
        <f t="shared" si="412"/>
        <v>1365.04</v>
      </c>
      <c r="CG207" s="22">
        <f t="shared" si="412"/>
        <v>1498.9731490060831</v>
      </c>
      <c r="CH207" s="22">
        <f t="shared" si="412"/>
        <v>1371.68</v>
      </c>
      <c r="CI207" s="22">
        <f t="shared" si="412"/>
        <v>1475.2985341141223</v>
      </c>
      <c r="CJ207" s="22">
        <f t="shared" si="412"/>
        <v>1506.2100000000003</v>
      </c>
      <c r="CK207" s="22">
        <f t="shared" si="412"/>
        <v>1484.1393047393726</v>
      </c>
      <c r="CL207" s="22">
        <f t="shared" si="412"/>
        <v>1504.46</v>
      </c>
      <c r="CM207" s="21">
        <f t="shared" si="412"/>
        <v>1643.009600751066</v>
      </c>
      <c r="CN207" s="21">
        <f t="shared" si="412"/>
        <v>1655.3195063560393</v>
      </c>
      <c r="CO207" s="21">
        <f t="shared" si="412"/>
        <v>1672.8449287792791</v>
      </c>
      <c r="CP207" s="21">
        <f t="shared" si="412"/>
        <v>1695.7013186455777</v>
      </c>
      <c r="CQ207" s="21">
        <f t="shared" si="412"/>
        <v>1726.7223526601547</v>
      </c>
      <c r="CR207" s="21">
        <f t="shared" si="412"/>
        <v>1758.1105490046582</v>
      </c>
      <c r="CS207" s="21">
        <f t="shared" si="412"/>
        <v>1773.3815471621633</v>
      </c>
      <c r="CT207" s="21">
        <f t="shared" si="412"/>
        <v>1783.436329857112</v>
      </c>
      <c r="CU207" s="21">
        <f t="shared" si="412"/>
        <v>1785.2197661869689</v>
      </c>
      <c r="CV207" s="21">
        <f t="shared" ref="CV207:EA207" si="413">SUM(CV196:CV206)</f>
        <v>1787.0049859531555</v>
      </c>
      <c r="CW207" s="21">
        <f t="shared" si="413"/>
        <v>1788.7919909391085</v>
      </c>
      <c r="CX207" s="21">
        <f t="shared" si="413"/>
        <v>1790.5807829300475</v>
      </c>
      <c r="CY207" s="21">
        <f t="shared" si="413"/>
        <v>1792.3713637129777</v>
      </c>
      <c r="CZ207" s="21">
        <f t="shared" si="413"/>
        <v>1794.16373507669</v>
      </c>
      <c r="DA207" s="21">
        <f t="shared" si="413"/>
        <v>1795.9578988117669</v>
      </c>
      <c r="DB207" s="21">
        <f t="shared" si="413"/>
        <v>1797.7538567105782</v>
      </c>
      <c r="DE207" s="126"/>
      <c r="DF207" s="22">
        <v>1539.7434417702659</v>
      </c>
    </row>
    <row r="208" spans="1:110" s="23" customFormat="1" outlineLevel="1" x14ac:dyDescent="0.2">
      <c r="A208" s="23" t="s">
        <v>69</v>
      </c>
      <c r="B208" s="23">
        <f>'Annual Raw'!C54</f>
        <v>4.2959448</v>
      </c>
      <c r="C208" s="23">
        <f>'Annual Raw'!D54</f>
        <v>2.2408207</v>
      </c>
      <c r="D208" s="23">
        <f>'Annual Raw'!E54</f>
        <v>6.8354628999999996</v>
      </c>
      <c r="E208" s="23">
        <f>'Annual Raw'!F54</f>
        <v>2.3816883999999998</v>
      </c>
      <c r="F208" s="23">
        <f>'Annual Raw'!G54</f>
        <v>4.3291968000000001</v>
      </c>
      <c r="G208" s="23">
        <f>'Annual Raw'!H54</f>
        <v>18.713463600000001</v>
      </c>
      <c r="H208" s="23">
        <f>'Annual Raw'!I54</f>
        <v>21.949110999999998</v>
      </c>
      <c r="I208" s="23">
        <f>'Annual Raw'!J54</f>
        <v>46.080411400000003</v>
      </c>
      <c r="J208" s="23">
        <f>'Annual Raw'!K54</f>
        <v>33.2848337</v>
      </c>
      <c r="K208" s="23">
        <f>'Annual Raw'!L54</f>
        <v>29.0673979</v>
      </c>
      <c r="L208" s="23">
        <f>'Annual Raw'!M54</f>
        <v>51.22</v>
      </c>
      <c r="M208" s="23">
        <f>'Annual Raw'!N54</f>
        <v>49.46</v>
      </c>
      <c r="N208" s="23">
        <f>'Annual Raw'!O54</f>
        <v>64.44</v>
      </c>
      <c r="O208" s="23">
        <f>'Annual Raw'!P54</f>
        <v>70.7</v>
      </c>
      <c r="P208" s="23">
        <f>'Annual Raw'!Q54</f>
        <v>75.05</v>
      </c>
      <c r="Q208" s="23">
        <f>'Annual Raw'!R54</f>
        <v>76.47</v>
      </c>
      <c r="R208" s="23">
        <f>'Annual Raw'!S54</f>
        <v>102.23</v>
      </c>
      <c r="S208" s="23">
        <f>'Annual Raw'!T54</f>
        <v>150.94</v>
      </c>
      <c r="T208" s="23">
        <f>'Annual Raw'!U54</f>
        <v>164.58</v>
      </c>
      <c r="U208" s="23">
        <f>'Annual Raw'!V54</f>
        <v>114.66</v>
      </c>
      <c r="V208" s="23">
        <f>'Annual Raw'!W54</f>
        <v>116.07</v>
      </c>
      <c r="W208" s="23">
        <f>'Annual Raw'!X54</f>
        <v>287.43</v>
      </c>
      <c r="X208" s="23">
        <f>'Annual Raw'!Y54</f>
        <v>226.87</v>
      </c>
      <c r="Y208" s="23">
        <f>'Annual Raw'!Z54</f>
        <v>426.58</v>
      </c>
      <c r="Z208" s="23">
        <f>'Annual Raw'!AA54</f>
        <v>602.82000000000005</v>
      </c>
      <c r="AA208" s="23">
        <f>'Annual Raw'!AB54</f>
        <v>698.03</v>
      </c>
      <c r="AB208" s="24">
        <f>+CP208</f>
        <v>766.73941348756944</v>
      </c>
      <c r="AC208" s="24">
        <f>+CT208</f>
        <v>796.27837832333364</v>
      </c>
      <c r="AD208" s="24">
        <f>+CX208</f>
        <v>799.46827269280618</v>
      </c>
      <c r="AE208" s="24">
        <f>+DB208</f>
        <v>802.67094579188597</v>
      </c>
      <c r="AJ208" s="23">
        <f>+'QTR Raw'!D89</f>
        <v>0</v>
      </c>
      <c r="AK208" s="23">
        <f>+AK242*AK57/90</f>
        <v>0</v>
      </c>
      <c r="AL208" s="23">
        <f>+'QTR Raw'!F89</f>
        <v>64.44</v>
      </c>
      <c r="AM208" s="23">
        <f>+AM242*AM57/90</f>
        <v>66.308662598667638</v>
      </c>
      <c r="AN208" s="23">
        <f>+'QTR Raw'!H89</f>
        <v>55.32</v>
      </c>
      <c r="AO208" s="23">
        <f>+AO242*AO57/90</f>
        <v>54.77783140720598</v>
      </c>
      <c r="AP208" s="23">
        <f>+'QTR Raw'!J89</f>
        <v>70.7</v>
      </c>
      <c r="AQ208" s="23">
        <f>+AQ242*AQ57/90</f>
        <v>71.781420217662031</v>
      </c>
      <c r="AR208" s="23">
        <f>+'QTR Raw'!L89</f>
        <v>64.849999999999994</v>
      </c>
      <c r="AS208" s="23">
        <f>+AS242*AS57/90</f>
        <v>64.54043258987565</v>
      </c>
      <c r="AT208" s="23">
        <f>+'QTR Raw'!N89</f>
        <v>75.05</v>
      </c>
      <c r="AU208" s="23">
        <f>+AU242*AU57/90</f>
        <v>75.984756973211816</v>
      </c>
      <c r="AV208" s="23">
        <f>+'QTR Raw'!P89</f>
        <v>63.04</v>
      </c>
      <c r="AW208" s="23">
        <f>+AW242*AW57/90</f>
        <v>56.02420228417536</v>
      </c>
      <c r="AX208" s="23">
        <f>+'QTR Raw'!R89</f>
        <v>76.47</v>
      </c>
      <c r="AY208" s="23">
        <f>+AY242*AY57/90</f>
        <v>80.506527961421796</v>
      </c>
      <c r="AZ208" s="23">
        <f>+'QTR Raw'!T89</f>
        <v>84.63</v>
      </c>
      <c r="BA208" s="23">
        <f>+BA242*BA57/90</f>
        <v>68.028901379310355</v>
      </c>
      <c r="BB208" s="23">
        <f>+'QTR Raw'!V89</f>
        <v>102.23</v>
      </c>
      <c r="BC208" s="23">
        <f>+BC242*BC57/90</f>
        <v>101.84777751484891</v>
      </c>
      <c r="BD208" s="23">
        <f>+'QTR Raw'!X89</f>
        <v>104.59</v>
      </c>
      <c r="BE208" s="23">
        <f>+BE242*BE57/90</f>
        <v>117.33656286199187</v>
      </c>
      <c r="BF208" s="23">
        <f>+'QTR Raw'!Z89</f>
        <v>150.94</v>
      </c>
      <c r="BG208" s="23">
        <f>+BG242*BG57/90</f>
        <v>166.61157742739363</v>
      </c>
      <c r="BH208" s="23">
        <f>+'QTR Raw'!AB89</f>
        <v>167.34</v>
      </c>
      <c r="BI208" s="23">
        <f>+BI242*BI57/90</f>
        <v>156.3592561299225</v>
      </c>
      <c r="BJ208" s="23">
        <f>+'QTR Raw'!AD89</f>
        <v>164.58</v>
      </c>
      <c r="BK208" s="23">
        <f>+BK242*BK57/90</f>
        <v>155.22867216773483</v>
      </c>
      <c r="BL208" s="23">
        <f>+'QTR Raw'!AF89</f>
        <v>145.52000000000001</v>
      </c>
      <c r="BM208" s="23">
        <f>+BM242*BM57/90</f>
        <v>131.37350694088457</v>
      </c>
      <c r="BN208" s="23">
        <f>+'QTR Raw'!AH89</f>
        <v>114.66</v>
      </c>
      <c r="BO208" s="23">
        <f>+BO242*BO57/90</f>
        <v>31.088138480697385</v>
      </c>
      <c r="BP208" s="23">
        <f>+'QTR Raw'!AJ89</f>
        <v>75.66</v>
      </c>
      <c r="BQ208" s="23">
        <f>+BQ242*BQ57/90</f>
        <v>106.61027717321726</v>
      </c>
      <c r="BR208" s="23">
        <f>+'QTR Raw'!AL89</f>
        <v>116.07</v>
      </c>
      <c r="BS208" s="23">
        <f>+BS242*BS57/90</f>
        <v>95.944075228177397</v>
      </c>
      <c r="BT208" s="23">
        <f>+'QTR Raw'!AN89</f>
        <v>180.9</v>
      </c>
      <c r="BU208" s="23">
        <f>+BU242*BU57/90</f>
        <v>184.04963361933989</v>
      </c>
      <c r="BV208" s="23">
        <f>+'QTR Raw'!AP89</f>
        <v>133.72999999999999</v>
      </c>
      <c r="BW208" s="23">
        <f>+BW242*BW57/90</f>
        <v>129.23132649605071</v>
      </c>
      <c r="BX208" s="23">
        <f>+'QTR Raw'!AR89</f>
        <v>96.03</v>
      </c>
      <c r="BY208" s="23">
        <f>+BY242*BY57/90</f>
        <v>81.906826256132632</v>
      </c>
      <c r="BZ208" s="23">
        <f>+'QTR Raw'!AT89</f>
        <v>226.87</v>
      </c>
      <c r="CA208" s="23">
        <f>+CA242*CA57/90</f>
        <v>224.35179932817292</v>
      </c>
      <c r="CB208" s="23">
        <f>+'QTR Raw'!AV89</f>
        <v>249.71</v>
      </c>
      <c r="CC208" s="23">
        <f>+CC242*CC57/90</f>
        <v>246.67570219804688</v>
      </c>
      <c r="CD208" s="23">
        <f>+'QTR Raw'!AX89</f>
        <v>426.58</v>
      </c>
      <c r="CE208" s="23">
        <f>+CE242*CE57/90</f>
        <v>421.66999800319479</v>
      </c>
      <c r="CF208" s="23">
        <f>+'QTR Raw'!AZ89</f>
        <v>380.39</v>
      </c>
      <c r="CG208" s="23">
        <f>+CG242*CG57/90</f>
        <v>424.52044241500272</v>
      </c>
      <c r="CH208" s="23">
        <f t="shared" ref="CH208:CH214" si="414">Z208</f>
        <v>602.82000000000005</v>
      </c>
      <c r="CI208" s="23">
        <f>+CI242*CI57/90</f>
        <v>648.35782568432535</v>
      </c>
      <c r="CJ208" s="23">
        <f>+'QTR Raw'!BD89</f>
        <v>589.4</v>
      </c>
      <c r="CK208" s="23">
        <f>+CK242*CK57/90</f>
        <v>580.76344348622456</v>
      </c>
      <c r="CL208" s="23">
        <f>+'QTR Raw'!BF89</f>
        <v>698.03</v>
      </c>
      <c r="CM208" s="24">
        <f t="shared" ref="CM208:DB208" si="415">+CM242*CM57/90</f>
        <v>757.36916672392886</v>
      </c>
      <c r="CN208" s="24">
        <f t="shared" si="415"/>
        <v>758.12653589065269</v>
      </c>
      <c r="CO208" s="24">
        <f t="shared" si="415"/>
        <v>761.24758830020278</v>
      </c>
      <c r="CP208" s="24">
        <f t="shared" si="415"/>
        <v>766.73941348756944</v>
      </c>
      <c r="CQ208" s="24">
        <f t="shared" si="415"/>
        <v>775.8302425562905</v>
      </c>
      <c r="CR208" s="24">
        <f t="shared" si="415"/>
        <v>784.97078557704253</v>
      </c>
      <c r="CS208" s="24">
        <f t="shared" si="415"/>
        <v>791.78906411307048</v>
      </c>
      <c r="CT208" s="24">
        <f t="shared" si="415"/>
        <v>796.27837832333364</v>
      </c>
      <c r="CU208" s="24">
        <f t="shared" si="415"/>
        <v>797.07465670165675</v>
      </c>
      <c r="CV208" s="24">
        <f t="shared" si="415"/>
        <v>797.87173135835826</v>
      </c>
      <c r="CW208" s="24">
        <f t="shared" si="415"/>
        <v>798.66960308971659</v>
      </c>
      <c r="CX208" s="24">
        <f t="shared" si="415"/>
        <v>799.46827269280618</v>
      </c>
      <c r="CY208" s="24">
        <f t="shared" si="415"/>
        <v>800.26774096549912</v>
      </c>
      <c r="CZ208" s="24">
        <f t="shared" si="415"/>
        <v>801.06800870646452</v>
      </c>
      <c r="DA208" s="24">
        <f t="shared" si="415"/>
        <v>801.86907671517076</v>
      </c>
      <c r="DB208" s="24">
        <f t="shared" si="415"/>
        <v>802.67094579188597</v>
      </c>
      <c r="DE208" s="123"/>
      <c r="DF208" s="23">
        <v>602.52208163496095</v>
      </c>
    </row>
    <row r="209" spans="1:110" s="23" customFormat="1" outlineLevel="1" x14ac:dyDescent="0.2">
      <c r="A209" s="23" t="s">
        <v>587</v>
      </c>
      <c r="B209" s="23">
        <f>'Annual Raw'!C55-Template!B180</f>
        <v>4.1518952999999996</v>
      </c>
      <c r="C209" s="23">
        <f>'Annual Raw'!D55-Template!C180</f>
        <v>3.3184721000000001</v>
      </c>
      <c r="D209" s="23">
        <f>'Annual Raw'!E55-Template!D180</f>
        <v>3.8879636999999998</v>
      </c>
      <c r="E209" s="23">
        <f>'Annual Raw'!F55-Template!E180</f>
        <v>4.2073473000000003</v>
      </c>
      <c r="F209" s="23">
        <f>'Annual Raw'!G55-Template!F180</f>
        <v>3.9100571999999998</v>
      </c>
      <c r="G209" s="23">
        <f>'Annual Raw'!H55-Template!G180</f>
        <v>7.4399835999999997</v>
      </c>
      <c r="H209" s="23">
        <f>'Annual Raw'!I55-Template!H180</f>
        <v>12.9689038</v>
      </c>
      <c r="I209" s="23">
        <f>'Annual Raw'!J55-Template!I180</f>
        <v>11.950507399999999</v>
      </c>
      <c r="J209" s="23">
        <f>'Annual Raw'!K55-Template!J180</f>
        <v>17.564031499999999</v>
      </c>
      <c r="K209" s="23">
        <f>'Annual Raw'!L55-Template!K180</f>
        <v>17.7316821</v>
      </c>
      <c r="L209" s="23">
        <f>'Annual Raw'!M55-Template!L180</f>
        <v>49.39</v>
      </c>
      <c r="M209" s="23">
        <f>'Annual Raw'!N55-Template!M180</f>
        <v>49.459999999999994</v>
      </c>
      <c r="N209" s="23">
        <f>'Annual Raw'!O55-Template!N180</f>
        <v>49.319999999999993</v>
      </c>
      <c r="O209" s="23">
        <f>'Annual Raw'!P55-Template!O180</f>
        <v>48.739999999999995</v>
      </c>
      <c r="P209" s="23">
        <f>'Annual Raw'!Q55-Template!P180</f>
        <v>60.730000000000018</v>
      </c>
      <c r="Q209" s="23">
        <f>'Annual Raw'!R55-Template!Q180</f>
        <v>71.469999999999985</v>
      </c>
      <c r="R209" s="23">
        <f>'Annual Raw'!S55-Template!R180</f>
        <v>74.679999999999978</v>
      </c>
      <c r="S209" s="23">
        <f>'Annual Raw'!T55-Template!S180</f>
        <v>76.77</v>
      </c>
      <c r="T209" s="23">
        <f>'Annual Raw'!U55-Template!T180</f>
        <v>82.329999999999984</v>
      </c>
      <c r="U209" s="23">
        <f>'Annual Raw'!V55-Template!U180</f>
        <v>84.330000000000013</v>
      </c>
      <c r="V209" s="23">
        <f>'Annual Raw'!W55-Template!V180</f>
        <v>84.809999999999988</v>
      </c>
      <c r="W209" s="23">
        <f>'Annual Raw'!X55-Template!W180</f>
        <v>151.06</v>
      </c>
      <c r="X209" s="23">
        <f>'Annual Raw'!Y55-Template!X180</f>
        <v>157.76</v>
      </c>
      <c r="Y209" s="23">
        <f>'Annual Raw'!Z55-Template!Y180</f>
        <v>182.55</v>
      </c>
      <c r="Z209" s="23">
        <f>'Annual Raw'!AA55-Template!Z180</f>
        <v>130.26</v>
      </c>
      <c r="AA209" s="23">
        <f>'Annual Raw'!AB55-Template!AA180</f>
        <v>165.08000000000004</v>
      </c>
      <c r="AB209" s="24">
        <f>+CP209</f>
        <v>0</v>
      </c>
      <c r="AC209" s="24">
        <f>+CT209</f>
        <v>0</v>
      </c>
      <c r="AD209" s="24">
        <f>+CX209</f>
        <v>0</v>
      </c>
      <c r="AE209" s="24">
        <f>+DB209</f>
        <v>0</v>
      </c>
      <c r="AJ209" s="23">
        <f>+'QTR Raw'!D91</f>
        <v>0</v>
      </c>
      <c r="AK209" s="23">
        <f t="shared" ref="AK209:AK214" si="416">+AJ209</f>
        <v>0</v>
      </c>
      <c r="AL209" s="23">
        <f>+'QTR Raw'!F91</f>
        <v>148.69</v>
      </c>
      <c r="AM209" s="23">
        <f t="shared" ref="AM209:AM214" si="417">+AL209</f>
        <v>148.69</v>
      </c>
      <c r="AN209" s="23">
        <f>+'QTR Raw'!H91</f>
        <v>176.82</v>
      </c>
      <c r="AO209" s="23">
        <f t="shared" ref="AO209:AO214" si="418">+AN209</f>
        <v>176.82</v>
      </c>
      <c r="AP209" s="23">
        <f>+'QTR Raw'!J91</f>
        <v>142.97</v>
      </c>
      <c r="AQ209" s="23">
        <f t="shared" ref="AQ209:AQ214" si="419">+AP209</f>
        <v>142.97</v>
      </c>
      <c r="AR209" s="23">
        <f>+'QTR Raw'!L91</f>
        <v>161.83000000000001</v>
      </c>
      <c r="AS209" s="23">
        <f t="shared" ref="AS209:AS214" si="420">+AR209</f>
        <v>161.83000000000001</v>
      </c>
      <c r="AT209" s="23">
        <f>+'QTR Raw'!N91</f>
        <v>142.83000000000001</v>
      </c>
      <c r="AU209" s="23">
        <f t="shared" ref="AU209:AU214" si="421">+AT209</f>
        <v>142.83000000000001</v>
      </c>
      <c r="AV209" s="23">
        <f>+'QTR Raw'!P91</f>
        <v>166.42</v>
      </c>
      <c r="AW209" s="23">
        <f t="shared" ref="AW209:AW214" si="422">+AV209</f>
        <v>166.42</v>
      </c>
      <c r="AX209" s="23">
        <f>+'QTR Raw'!R91</f>
        <v>137.47999999999999</v>
      </c>
      <c r="AY209" s="23">
        <f t="shared" ref="AY209:AY214" si="423">+AX209</f>
        <v>137.47999999999999</v>
      </c>
      <c r="AZ209" s="23">
        <f>+'QTR Raw'!T91</f>
        <v>147.47</v>
      </c>
      <c r="BA209" s="23">
        <f t="shared" ref="BA209:BA214" si="424">+AZ209</f>
        <v>147.47</v>
      </c>
      <c r="BB209" s="23">
        <f>+'QTR Raw'!V91</f>
        <v>135.91999999999999</v>
      </c>
      <c r="BC209" s="23">
        <f t="shared" ref="BC209:BC214" si="425">+BB209</f>
        <v>135.91999999999999</v>
      </c>
      <c r="BD209" s="23">
        <f>+'QTR Raw'!X91</f>
        <v>167.81</v>
      </c>
      <c r="BE209" s="23">
        <f t="shared" ref="BE209:BE214" si="426">+BD209</f>
        <v>167.81</v>
      </c>
      <c r="BF209" s="23">
        <f>+'QTR Raw'!Z91</f>
        <v>147.56</v>
      </c>
      <c r="BG209" s="23">
        <f t="shared" ref="BG209:BG214" si="427">+BF209</f>
        <v>147.56</v>
      </c>
      <c r="BH209" s="23">
        <f>+'QTR Raw'!AB91</f>
        <v>170.24</v>
      </c>
      <c r="BI209" s="23">
        <f t="shared" ref="BI209:BI214" si="428">+BH209</f>
        <v>170.24</v>
      </c>
      <c r="BJ209" s="23">
        <f>+'QTR Raw'!AD91</f>
        <v>149.38999999999999</v>
      </c>
      <c r="BK209" s="23">
        <f t="shared" ref="BK209:BK214" si="429">+BJ209</f>
        <v>149.38999999999999</v>
      </c>
      <c r="BL209" s="23">
        <f>+'QTR Raw'!AF91</f>
        <v>154.97999999999999</v>
      </c>
      <c r="BM209" s="23">
        <f t="shared" ref="BM209:BM214" si="430">+BL209</f>
        <v>154.97999999999999</v>
      </c>
      <c r="BN209" s="23">
        <f>+'QTR Raw'!AH91</f>
        <v>130.83000000000001</v>
      </c>
      <c r="BO209" s="23">
        <f t="shared" ref="BO209:BO214" si="431">+BN209</f>
        <v>130.83000000000001</v>
      </c>
      <c r="BP209" s="23">
        <f>+'QTR Raw'!AJ91</f>
        <v>149.33000000000001</v>
      </c>
      <c r="BQ209" s="23">
        <f t="shared" ref="BQ209:BQ214" si="432">+BP209</f>
        <v>149.33000000000001</v>
      </c>
      <c r="BR209" s="23">
        <f>+'QTR Raw'!AL91</f>
        <v>160.47999999999999</v>
      </c>
      <c r="BS209" s="23">
        <f t="shared" ref="BS209:BS214" si="433">+BR209</f>
        <v>160.47999999999999</v>
      </c>
      <c r="BT209" s="23">
        <f>+'QTR Raw'!AN91</f>
        <v>130.66999999999999</v>
      </c>
      <c r="BU209" s="23">
        <f t="shared" ref="BU209:BU214" si="434">+BT209</f>
        <v>130.66999999999999</v>
      </c>
      <c r="BV209" s="23">
        <f>+'QTR Raw'!AP91</f>
        <v>308.60000000000002</v>
      </c>
      <c r="BW209" s="23">
        <f t="shared" ref="BW209:BW214" si="435">+BV209</f>
        <v>308.60000000000002</v>
      </c>
      <c r="BX209" s="23">
        <f>+'QTR Raw'!AR91</f>
        <v>175.56</v>
      </c>
      <c r="BY209" s="23">
        <f t="shared" ref="BY209:BY214" si="436">+BX209</f>
        <v>175.56</v>
      </c>
      <c r="BZ209" s="23">
        <f>+'QTR Raw'!AT91</f>
        <v>157.76</v>
      </c>
      <c r="CA209" s="23">
        <f t="shared" ref="CA209:CA214" si="437">+BZ209</f>
        <v>157.76</v>
      </c>
      <c r="CB209" s="23">
        <f>+'QTR Raw'!AV91</f>
        <v>181.56</v>
      </c>
      <c r="CC209" s="23">
        <f t="shared" ref="CC209:CC214" si="438">+CB209</f>
        <v>181.56</v>
      </c>
      <c r="CD209" s="23">
        <f>+'QTR Raw'!AX91</f>
        <v>182.55</v>
      </c>
      <c r="CE209" s="23">
        <f t="shared" ref="CE209:CE214" si="439">+CD209</f>
        <v>182.55</v>
      </c>
      <c r="CF209" s="23">
        <f>+'QTR Raw'!AZ91</f>
        <v>131.68</v>
      </c>
      <c r="CG209" s="23">
        <f t="shared" ref="CG209:CG214" si="440">+CF209</f>
        <v>131.68</v>
      </c>
      <c r="CH209" s="23">
        <f t="shared" si="414"/>
        <v>130.26</v>
      </c>
      <c r="CJ209" s="23">
        <f>+'QTR Raw'!BD91</f>
        <v>152.52000000000001</v>
      </c>
      <c r="CL209" s="23">
        <f>+'QTR Raw'!BF91</f>
        <v>165.08</v>
      </c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E209" s="123"/>
      <c r="DF209" s="23">
        <v>165.08</v>
      </c>
    </row>
    <row r="210" spans="1:110" s="23" customFormat="1" outlineLevel="1" x14ac:dyDescent="0.2">
      <c r="A210" s="23" t="s">
        <v>67</v>
      </c>
      <c r="B210" s="23">
        <f>'Annual Raw'!C52</f>
        <v>0</v>
      </c>
      <c r="C210" s="23">
        <f>'Annual Raw'!D52</f>
        <v>0</v>
      </c>
      <c r="D210" s="23">
        <f>'Annual Raw'!E52</f>
        <v>0</v>
      </c>
      <c r="E210" s="23">
        <f>'Annual Raw'!F52</f>
        <v>0</v>
      </c>
      <c r="F210" s="23">
        <f>'Annual Raw'!G52</f>
        <v>0</v>
      </c>
      <c r="G210" s="23">
        <f>'Annual Raw'!H52</f>
        <v>0</v>
      </c>
      <c r="H210" s="23">
        <f>'Annual Raw'!I52</f>
        <v>0</v>
      </c>
      <c r="I210" s="23">
        <f>'Annual Raw'!J52</f>
        <v>0</v>
      </c>
      <c r="J210" s="23">
        <f>'Annual Raw'!K52</f>
        <v>0</v>
      </c>
      <c r="K210" s="23">
        <f>'Annual Raw'!L52</f>
        <v>0</v>
      </c>
      <c r="L210" s="23">
        <f>'Annual Raw'!M52</f>
        <v>0</v>
      </c>
      <c r="M210" s="23">
        <f>'Annual Raw'!N52</f>
        <v>0</v>
      </c>
      <c r="N210" s="23">
        <f>'Annual Raw'!O52</f>
        <v>0</v>
      </c>
      <c r="O210" s="23">
        <f>'Annual Raw'!P52</f>
        <v>0</v>
      </c>
      <c r="P210" s="23">
        <f>'Annual Raw'!Q52</f>
        <v>0</v>
      </c>
      <c r="Q210" s="23">
        <f>'Annual Raw'!R52</f>
        <v>0</v>
      </c>
      <c r="R210" s="23">
        <f>'Annual Raw'!S52</f>
        <v>0</v>
      </c>
      <c r="S210" s="23">
        <f>'Annual Raw'!T52</f>
        <v>0</v>
      </c>
      <c r="T210" s="23">
        <f>'Annual Raw'!U52</f>
        <v>0</v>
      </c>
      <c r="U210" s="23">
        <f>'Annual Raw'!V52</f>
        <v>0</v>
      </c>
      <c r="V210" s="23">
        <f>'Annual Raw'!W52</f>
        <v>0</v>
      </c>
      <c r="W210" s="23">
        <f>'Annual Raw'!X52</f>
        <v>0</v>
      </c>
      <c r="X210" s="23">
        <f>'Annual Raw'!Y52</f>
        <v>0</v>
      </c>
      <c r="Y210" s="23">
        <f>'Annual Raw'!Z52</f>
        <v>19.079999999999998</v>
      </c>
      <c r="Z210" s="23">
        <f>'Annual Raw'!AA52</f>
        <v>21.72</v>
      </c>
      <c r="AA210" s="23">
        <f>'Annual Raw'!AB52</f>
        <v>19.34</v>
      </c>
      <c r="AB210" s="24">
        <f>+CP210</f>
        <v>0</v>
      </c>
      <c r="AC210" s="24">
        <f>+CT210</f>
        <v>0</v>
      </c>
      <c r="AD210" s="24">
        <f>+CX210</f>
        <v>0</v>
      </c>
      <c r="AE210" s="24">
        <f>+DB210</f>
        <v>0</v>
      </c>
      <c r="AJ210" s="23">
        <f>+'QTR Raw'!D66</f>
        <v>0</v>
      </c>
      <c r="AK210" s="23">
        <f t="shared" si="416"/>
        <v>0</v>
      </c>
      <c r="AL210" s="23">
        <f>+'QTR Raw'!F66</f>
        <v>0</v>
      </c>
      <c r="AM210" s="23">
        <f t="shared" si="417"/>
        <v>0</v>
      </c>
      <c r="AN210" s="23">
        <f>+'QTR Raw'!H66</f>
        <v>0</v>
      </c>
      <c r="AO210" s="23">
        <f t="shared" si="418"/>
        <v>0</v>
      </c>
      <c r="AP210" s="23">
        <f>+'QTR Raw'!J66</f>
        <v>0</v>
      </c>
      <c r="AQ210" s="23">
        <f t="shared" si="419"/>
        <v>0</v>
      </c>
      <c r="AR210" s="23">
        <f>+'QTR Raw'!L66</f>
        <v>0</v>
      </c>
      <c r="AS210" s="23">
        <f t="shared" si="420"/>
        <v>0</v>
      </c>
      <c r="AT210" s="23">
        <f>+'QTR Raw'!N66</f>
        <v>0</v>
      </c>
      <c r="AU210" s="23">
        <f t="shared" si="421"/>
        <v>0</v>
      </c>
      <c r="AV210" s="23">
        <f>+'QTR Raw'!P66</f>
        <v>0</v>
      </c>
      <c r="AW210" s="23">
        <f t="shared" si="422"/>
        <v>0</v>
      </c>
      <c r="AX210" s="23">
        <f>+'QTR Raw'!R66</f>
        <v>0</v>
      </c>
      <c r="AY210" s="23">
        <f t="shared" si="423"/>
        <v>0</v>
      </c>
      <c r="AZ210" s="23">
        <f>+'QTR Raw'!T66</f>
        <v>0</v>
      </c>
      <c r="BA210" s="23">
        <f t="shared" si="424"/>
        <v>0</v>
      </c>
      <c r="BB210" s="23">
        <f>+'QTR Raw'!V66</f>
        <v>0</v>
      </c>
      <c r="BC210" s="23">
        <f t="shared" si="425"/>
        <v>0</v>
      </c>
      <c r="BD210" s="23">
        <f>+'QTR Raw'!X66</f>
        <v>0</v>
      </c>
      <c r="BE210" s="23">
        <f t="shared" si="426"/>
        <v>0</v>
      </c>
      <c r="BF210" s="23">
        <f>+'QTR Raw'!Z66</f>
        <v>0</v>
      </c>
      <c r="BG210" s="23">
        <f t="shared" si="427"/>
        <v>0</v>
      </c>
      <c r="BH210" s="23">
        <f>+'QTR Raw'!AB66</f>
        <v>0</v>
      </c>
      <c r="BI210" s="23">
        <f t="shared" si="428"/>
        <v>0</v>
      </c>
      <c r="BJ210" s="23">
        <f>+'QTR Raw'!AD66</f>
        <v>0</v>
      </c>
      <c r="BK210" s="23">
        <f t="shared" si="429"/>
        <v>0</v>
      </c>
      <c r="BL210" s="23">
        <f>+'QTR Raw'!AF66</f>
        <v>0</v>
      </c>
      <c r="BM210" s="23">
        <f t="shared" si="430"/>
        <v>0</v>
      </c>
      <c r="BN210" s="23">
        <f>+'QTR Raw'!AH66</f>
        <v>0</v>
      </c>
      <c r="BO210" s="23">
        <f t="shared" si="431"/>
        <v>0</v>
      </c>
      <c r="BP210" s="23">
        <f>+'QTR Raw'!AJ66</f>
        <v>0</v>
      </c>
      <c r="BQ210" s="23">
        <f t="shared" si="432"/>
        <v>0</v>
      </c>
      <c r="BR210" s="23">
        <f>+'QTR Raw'!AL66</f>
        <v>0</v>
      </c>
      <c r="BS210" s="23">
        <f t="shared" si="433"/>
        <v>0</v>
      </c>
      <c r="BT210" s="23">
        <f>+'QTR Raw'!AN66</f>
        <v>0</v>
      </c>
      <c r="BU210" s="23">
        <f t="shared" si="434"/>
        <v>0</v>
      </c>
      <c r="BV210" s="23">
        <f>+'QTR Raw'!AP66</f>
        <v>0</v>
      </c>
      <c r="BW210" s="23">
        <f t="shared" si="435"/>
        <v>0</v>
      </c>
      <c r="BX210" s="23">
        <f>+'QTR Raw'!AR66</f>
        <v>0</v>
      </c>
      <c r="BY210" s="23">
        <f t="shared" si="436"/>
        <v>0</v>
      </c>
      <c r="BZ210" s="23">
        <f>+'QTR Raw'!AT66</f>
        <v>0</v>
      </c>
      <c r="CA210" s="23">
        <f t="shared" si="437"/>
        <v>0</v>
      </c>
      <c r="CB210" s="23">
        <f>+'QTR Raw'!AV66</f>
        <v>0</v>
      </c>
      <c r="CC210" s="23">
        <f t="shared" si="438"/>
        <v>0</v>
      </c>
      <c r="CD210" s="23">
        <f>+'QTR Raw'!AX66</f>
        <v>19.079999999999998</v>
      </c>
      <c r="CE210" s="23">
        <f t="shared" si="439"/>
        <v>19.079999999999998</v>
      </c>
      <c r="CF210" s="23">
        <f>+'QTR Raw'!AZ66</f>
        <v>18.28</v>
      </c>
      <c r="CG210" s="23">
        <f t="shared" si="440"/>
        <v>18.28</v>
      </c>
      <c r="CH210" s="23">
        <f t="shared" si="414"/>
        <v>21.72</v>
      </c>
      <c r="CJ210" s="23">
        <f>+'QTR Raw'!BD66</f>
        <v>21.72</v>
      </c>
      <c r="CL210" s="23">
        <f>+'QTR Raw'!BF66</f>
        <v>19.34</v>
      </c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E210" s="123"/>
      <c r="DF210" s="23">
        <v>19.34</v>
      </c>
    </row>
    <row r="211" spans="1:110" s="23" customFormat="1" outlineLevel="1" x14ac:dyDescent="0.2">
      <c r="A211" s="23" t="s">
        <v>71</v>
      </c>
      <c r="B211" s="23">
        <f>'Annual Raw'!C57</f>
        <v>2.1560714000000001</v>
      </c>
      <c r="C211" s="23">
        <f>'Annual Raw'!D57</f>
        <v>0</v>
      </c>
      <c r="D211" s="23">
        <f>'Annual Raw'!E57</f>
        <v>2.0642309999999999</v>
      </c>
      <c r="E211" s="23">
        <f>'Annual Raw'!F57</f>
        <v>2.8113283</v>
      </c>
      <c r="F211" s="23">
        <f>'Annual Raw'!G57</f>
        <v>3.6847745000000001</v>
      </c>
      <c r="G211" s="23">
        <f>'Annual Raw'!H57</f>
        <v>5.9230999999999998</v>
      </c>
      <c r="H211" s="23">
        <f>'Annual Raw'!I57</f>
        <v>5.9447327000000003</v>
      </c>
      <c r="I211" s="23">
        <f>'Annual Raw'!J57</f>
        <v>0</v>
      </c>
      <c r="J211" s="23">
        <f>'Annual Raw'!K57</f>
        <v>0</v>
      </c>
      <c r="K211" s="23">
        <f>'Annual Raw'!L57</f>
        <v>4.5968986999999997</v>
      </c>
      <c r="L211" s="23">
        <f>'Annual Raw'!M57</f>
        <v>8.85</v>
      </c>
      <c r="M211" s="23">
        <f>'Annual Raw'!N57</f>
        <v>6.57</v>
      </c>
      <c r="N211" s="23">
        <f>'Annual Raw'!O57</f>
        <v>8.06</v>
      </c>
      <c r="O211" s="23">
        <f>'Annual Raw'!P57</f>
        <v>9.43</v>
      </c>
      <c r="P211" s="23">
        <f>'Annual Raw'!Q57</f>
        <v>11.97</v>
      </c>
      <c r="Q211" s="23">
        <f>'Annual Raw'!R57</f>
        <v>14.17</v>
      </c>
      <c r="R211" s="23">
        <f>'Annual Raw'!S57</f>
        <v>7.18</v>
      </c>
      <c r="S211" s="23">
        <f>'Annual Raw'!T57</f>
        <v>10.029999999999999</v>
      </c>
      <c r="T211" s="23">
        <f>'Annual Raw'!U57</f>
        <v>13.51</v>
      </c>
      <c r="U211" s="23">
        <f>'Annual Raw'!V57</f>
        <v>17.52</v>
      </c>
      <c r="V211" s="23">
        <f>'Annual Raw'!W57</f>
        <v>16.96</v>
      </c>
      <c r="W211" s="23">
        <f>'Annual Raw'!X57</f>
        <v>22.83</v>
      </c>
      <c r="X211" s="23">
        <f>'Annual Raw'!Y57</f>
        <v>23.31</v>
      </c>
      <c r="Y211" s="23">
        <f>'Annual Raw'!Z57</f>
        <v>25.54</v>
      </c>
      <c r="Z211" s="23">
        <f>'Annual Raw'!AA57</f>
        <v>17.87</v>
      </c>
      <c r="AA211" s="23">
        <f>'Annual Raw'!AB57</f>
        <v>27.36</v>
      </c>
      <c r="AB211" s="24">
        <f>+CP211</f>
        <v>0</v>
      </c>
      <c r="AC211" s="24">
        <f>+CT211</f>
        <v>0</v>
      </c>
      <c r="AD211" s="24">
        <f>+CX211</f>
        <v>0</v>
      </c>
      <c r="AE211" s="24">
        <f>+DB211</f>
        <v>0</v>
      </c>
      <c r="AJ211" s="23">
        <f>+'QTR Raw'!D92</f>
        <v>3.66</v>
      </c>
      <c r="AK211" s="23">
        <f t="shared" si="416"/>
        <v>3.66</v>
      </c>
      <c r="AL211" s="23">
        <f>+'QTR Raw'!F92</f>
        <v>8.06</v>
      </c>
      <c r="AM211" s="23">
        <f t="shared" si="417"/>
        <v>8.06</v>
      </c>
      <c r="AN211" s="23">
        <f>+'QTR Raw'!H92</f>
        <v>2.02</v>
      </c>
      <c r="AO211" s="23">
        <f t="shared" si="418"/>
        <v>2.02</v>
      </c>
      <c r="AP211" s="23">
        <f>+'QTR Raw'!J92</f>
        <v>9.43</v>
      </c>
      <c r="AQ211" s="23">
        <f t="shared" si="419"/>
        <v>9.43</v>
      </c>
      <c r="AR211" s="23">
        <f>+'QTR Raw'!L92</f>
        <v>1.27</v>
      </c>
      <c r="AS211" s="23">
        <f t="shared" si="420"/>
        <v>1.27</v>
      </c>
      <c r="AT211" s="23">
        <f>+'QTR Raw'!N92</f>
        <v>11.97</v>
      </c>
      <c r="AU211" s="23">
        <f t="shared" si="421"/>
        <v>11.97</v>
      </c>
      <c r="AV211" s="23">
        <f>+'QTR Raw'!P92</f>
        <v>4.22</v>
      </c>
      <c r="AW211" s="23">
        <f t="shared" si="422"/>
        <v>4.22</v>
      </c>
      <c r="AX211" s="23">
        <f>+'QTR Raw'!R92</f>
        <v>14.17</v>
      </c>
      <c r="AY211" s="23">
        <f t="shared" si="423"/>
        <v>14.17</v>
      </c>
      <c r="AZ211" s="23">
        <f>+'QTR Raw'!T92</f>
        <v>5.9</v>
      </c>
      <c r="BA211" s="23">
        <f t="shared" si="424"/>
        <v>5.9</v>
      </c>
      <c r="BB211" s="23">
        <f>+'QTR Raw'!V92</f>
        <v>7.18</v>
      </c>
      <c r="BC211" s="23">
        <f t="shared" si="425"/>
        <v>7.18</v>
      </c>
      <c r="BD211" s="23">
        <f>+'QTR Raw'!X92</f>
        <v>9.35</v>
      </c>
      <c r="BE211" s="23">
        <f t="shared" si="426"/>
        <v>9.35</v>
      </c>
      <c r="BF211" s="23">
        <f>+'QTR Raw'!Z92</f>
        <v>10.029999999999999</v>
      </c>
      <c r="BG211" s="23">
        <f t="shared" si="427"/>
        <v>10.029999999999999</v>
      </c>
      <c r="BH211" s="23">
        <f>+'QTR Raw'!AB92</f>
        <v>12.53</v>
      </c>
      <c r="BI211" s="23">
        <f t="shared" si="428"/>
        <v>12.53</v>
      </c>
      <c r="BJ211" s="23">
        <f>+'QTR Raw'!AD92</f>
        <v>13.51</v>
      </c>
      <c r="BK211" s="23">
        <f t="shared" si="429"/>
        <v>13.51</v>
      </c>
      <c r="BL211" s="23">
        <f>+'QTR Raw'!AF92</f>
        <v>16.18</v>
      </c>
      <c r="BM211" s="23">
        <f t="shared" si="430"/>
        <v>16.18</v>
      </c>
      <c r="BN211" s="23">
        <f>+'QTR Raw'!AH92</f>
        <v>17.52</v>
      </c>
      <c r="BO211" s="23">
        <f t="shared" si="431"/>
        <v>17.52</v>
      </c>
      <c r="BP211" s="23">
        <f>+'QTR Raw'!AJ92</f>
        <v>18.899999999999999</v>
      </c>
      <c r="BQ211" s="23">
        <f t="shared" si="432"/>
        <v>18.899999999999999</v>
      </c>
      <c r="BR211" s="23">
        <f>+'QTR Raw'!AL92</f>
        <v>16.96</v>
      </c>
      <c r="BS211" s="23">
        <f t="shared" si="433"/>
        <v>16.96</v>
      </c>
      <c r="BT211" s="23">
        <f>+'QTR Raw'!AN92</f>
        <v>17.989999999999998</v>
      </c>
      <c r="BU211" s="23">
        <f t="shared" si="434"/>
        <v>17.989999999999998</v>
      </c>
      <c r="BV211" s="23">
        <f>+'QTR Raw'!AP92</f>
        <v>18.989999999999998</v>
      </c>
      <c r="BW211" s="23">
        <f t="shared" si="435"/>
        <v>18.989999999999998</v>
      </c>
      <c r="BX211" s="23">
        <f>+'QTR Raw'!AR92</f>
        <v>22.12</v>
      </c>
      <c r="BY211" s="23">
        <f t="shared" si="436"/>
        <v>22.12</v>
      </c>
      <c r="BZ211" s="23">
        <f>+'QTR Raw'!AT92</f>
        <v>23.31</v>
      </c>
      <c r="CA211" s="23">
        <f t="shared" si="437"/>
        <v>23.31</v>
      </c>
      <c r="CB211" s="23">
        <f>+'QTR Raw'!AV92</f>
        <v>31.98</v>
      </c>
      <c r="CC211" s="23">
        <f t="shared" si="438"/>
        <v>31.98</v>
      </c>
      <c r="CD211" s="23">
        <f>+'QTR Raw'!AX92</f>
        <v>14.57</v>
      </c>
      <c r="CE211" s="23">
        <f t="shared" si="439"/>
        <v>14.57</v>
      </c>
      <c r="CF211" s="23">
        <f>+'QTR Raw'!AZ92</f>
        <v>18.43</v>
      </c>
      <c r="CG211" s="23">
        <f t="shared" si="440"/>
        <v>18.43</v>
      </c>
      <c r="CH211" s="23">
        <f t="shared" si="414"/>
        <v>17.87</v>
      </c>
      <c r="CJ211" s="23">
        <f>+'QTR Raw'!BD92</f>
        <v>14.56</v>
      </c>
      <c r="CL211" s="23">
        <f>+'QTR Raw'!BF92</f>
        <v>16.23</v>
      </c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E211" s="123"/>
      <c r="DF211" s="23">
        <v>16.23</v>
      </c>
    </row>
    <row r="212" spans="1:110" s="23" customFormat="1" outlineLevel="1" x14ac:dyDescent="0.2">
      <c r="A212" s="23" t="s">
        <v>65</v>
      </c>
      <c r="B212" s="23">
        <f>'Annual Raw'!C50+'Annual Raw'!C58</f>
        <v>0</v>
      </c>
      <c r="C212" s="23">
        <f>'Annual Raw'!D50+'Annual Raw'!D58</f>
        <v>0</v>
      </c>
      <c r="D212" s="23">
        <f>'Annual Raw'!E50+'Annual Raw'!E58</f>
        <v>0</v>
      </c>
      <c r="E212" s="23">
        <f>'Annual Raw'!F50+'Annual Raw'!F58</f>
        <v>0</v>
      </c>
      <c r="F212" s="23">
        <f>'Annual Raw'!G50+'Annual Raw'!G58</f>
        <v>0</v>
      </c>
      <c r="G212" s="23">
        <f>'Annual Raw'!H50+'Annual Raw'!H58</f>
        <v>0</v>
      </c>
      <c r="H212" s="23">
        <f>'Annual Raw'!I50+'Annual Raw'!I58</f>
        <v>0</v>
      </c>
      <c r="I212" s="23">
        <f>'Annual Raw'!J50+'Annual Raw'!J58</f>
        <v>0</v>
      </c>
      <c r="J212" s="23">
        <f>'Annual Raw'!K50+'Annual Raw'!K58</f>
        <v>0</v>
      </c>
      <c r="K212" s="23">
        <f>'Annual Raw'!L50+'Annual Raw'!L58</f>
        <v>0</v>
      </c>
      <c r="L212" s="23">
        <f>'Annual Raw'!M50+'Annual Raw'!M58</f>
        <v>0</v>
      </c>
      <c r="M212" s="23">
        <f>'Annual Raw'!N50+'Annual Raw'!N58</f>
        <v>0</v>
      </c>
      <c r="N212" s="23">
        <f>'Annual Raw'!O50+'Annual Raw'!O58</f>
        <v>0</v>
      </c>
      <c r="O212" s="23">
        <f>'Annual Raw'!P50+'Annual Raw'!P58</f>
        <v>0</v>
      </c>
      <c r="P212" s="23">
        <f>'Annual Raw'!Q50+'Annual Raw'!Q58</f>
        <v>0</v>
      </c>
      <c r="Q212" s="23">
        <f>'Annual Raw'!R50+'Annual Raw'!R58</f>
        <v>0</v>
      </c>
      <c r="R212" s="23">
        <f>'Annual Raw'!S50+'Annual Raw'!S58</f>
        <v>0</v>
      </c>
      <c r="S212" s="23">
        <f>'Annual Raw'!T50+'Annual Raw'!T58</f>
        <v>0</v>
      </c>
      <c r="T212" s="23">
        <f>'Annual Raw'!U50+'Annual Raw'!U58</f>
        <v>0</v>
      </c>
      <c r="U212" s="23">
        <f>'Annual Raw'!V50+'Annual Raw'!V58</f>
        <v>0</v>
      </c>
      <c r="V212" s="23">
        <f>'Annual Raw'!W50+'Annual Raw'!W58</f>
        <v>0</v>
      </c>
      <c r="W212" s="23">
        <f>'Annual Raw'!X50+'Annual Raw'!X58</f>
        <v>2.19</v>
      </c>
      <c r="X212" s="23">
        <f>'Annual Raw'!Y50+'Annual Raw'!Y58</f>
        <v>11.06</v>
      </c>
      <c r="Y212" s="23">
        <f>'Annual Raw'!Z50+'Annual Raw'!Z58</f>
        <v>0.34</v>
      </c>
      <c r="Z212" s="23">
        <f>'Annual Raw'!AA50+'Annual Raw'!AA58</f>
        <v>2.13</v>
      </c>
      <c r="AA212" s="23">
        <f>'Annual Raw'!AB50+'Annual Raw'!AB58</f>
        <v>2.21</v>
      </c>
      <c r="AB212" s="24">
        <f>+CP212</f>
        <v>0</v>
      </c>
      <c r="AC212" s="24">
        <f>+CT212</f>
        <v>0</v>
      </c>
      <c r="AD212" s="24">
        <f>+CX212</f>
        <v>0</v>
      </c>
      <c r="AE212" s="24">
        <f>+DB212</f>
        <v>0</v>
      </c>
      <c r="AJ212" s="23">
        <f>+'QTR Raw'!D64</f>
        <v>0</v>
      </c>
      <c r="AK212" s="23">
        <f t="shared" si="416"/>
        <v>0</v>
      </c>
      <c r="AL212" s="23">
        <f>+'QTR Raw'!F64</f>
        <v>0</v>
      </c>
      <c r="AM212" s="23">
        <f t="shared" si="417"/>
        <v>0</v>
      </c>
      <c r="AN212" s="23">
        <f>+'QTR Raw'!H64</f>
        <v>0</v>
      </c>
      <c r="AO212" s="23">
        <f t="shared" si="418"/>
        <v>0</v>
      </c>
      <c r="AP212" s="23">
        <f>+'QTR Raw'!J64</f>
        <v>0</v>
      </c>
      <c r="AQ212" s="23">
        <f t="shared" si="419"/>
        <v>0</v>
      </c>
      <c r="AR212" s="23">
        <f>+'QTR Raw'!L64</f>
        <v>0</v>
      </c>
      <c r="AS212" s="23">
        <f t="shared" si="420"/>
        <v>0</v>
      </c>
      <c r="AT212" s="23">
        <f>+'QTR Raw'!N64</f>
        <v>0</v>
      </c>
      <c r="AU212" s="23">
        <f t="shared" si="421"/>
        <v>0</v>
      </c>
      <c r="AV212" s="23">
        <f>+'QTR Raw'!P64</f>
        <v>0</v>
      </c>
      <c r="AW212" s="23">
        <f t="shared" si="422"/>
        <v>0</v>
      </c>
      <c r="AX212" s="23">
        <f>+'QTR Raw'!R64</f>
        <v>0</v>
      </c>
      <c r="AY212" s="23">
        <f t="shared" si="423"/>
        <v>0</v>
      </c>
      <c r="AZ212" s="23">
        <f>+'QTR Raw'!T64</f>
        <v>0</v>
      </c>
      <c r="BA212" s="23">
        <f t="shared" si="424"/>
        <v>0</v>
      </c>
      <c r="BB212" s="23">
        <f>+'QTR Raw'!V64</f>
        <v>0</v>
      </c>
      <c r="BC212" s="23">
        <f t="shared" si="425"/>
        <v>0</v>
      </c>
      <c r="BD212" s="23">
        <f>+'QTR Raw'!X64</f>
        <v>0</v>
      </c>
      <c r="BE212" s="23">
        <f t="shared" si="426"/>
        <v>0</v>
      </c>
      <c r="BF212" s="23">
        <f>+'QTR Raw'!Z64</f>
        <v>0</v>
      </c>
      <c r="BG212" s="23">
        <f t="shared" si="427"/>
        <v>0</v>
      </c>
      <c r="BH212" s="23">
        <f>+'QTR Raw'!AB64</f>
        <v>0</v>
      </c>
      <c r="BI212" s="23">
        <f t="shared" si="428"/>
        <v>0</v>
      </c>
      <c r="BJ212" s="23">
        <f>+'QTR Raw'!AD64</f>
        <v>0</v>
      </c>
      <c r="BK212" s="23">
        <f t="shared" si="429"/>
        <v>0</v>
      </c>
      <c r="BL212" s="23">
        <f>+'QTR Raw'!AF64</f>
        <v>0</v>
      </c>
      <c r="BM212" s="23">
        <f t="shared" si="430"/>
        <v>0</v>
      </c>
      <c r="BN212" s="23">
        <f>+'QTR Raw'!AH64</f>
        <v>0</v>
      </c>
      <c r="BO212" s="23">
        <f t="shared" si="431"/>
        <v>0</v>
      </c>
      <c r="BP212" s="23">
        <f>+'QTR Raw'!AJ64</f>
        <v>0</v>
      </c>
      <c r="BQ212" s="23">
        <f t="shared" si="432"/>
        <v>0</v>
      </c>
      <c r="BR212" s="23">
        <f>+'QTR Raw'!AL64</f>
        <v>0</v>
      </c>
      <c r="BS212" s="23">
        <f t="shared" si="433"/>
        <v>0</v>
      </c>
      <c r="BT212" s="23">
        <f>+'QTR Raw'!AN64</f>
        <v>0</v>
      </c>
      <c r="BU212" s="23">
        <f t="shared" si="434"/>
        <v>0</v>
      </c>
      <c r="BV212" s="23">
        <f>+'QTR Raw'!AP64</f>
        <v>2.19</v>
      </c>
      <c r="BW212" s="23">
        <f t="shared" si="435"/>
        <v>2.19</v>
      </c>
      <c r="BX212" s="23">
        <f>+'QTR Raw'!AR64</f>
        <v>1.43</v>
      </c>
      <c r="BY212" s="23">
        <f t="shared" si="436"/>
        <v>1.43</v>
      </c>
      <c r="BZ212" s="23">
        <f>+'QTR Raw'!AT64</f>
        <v>11.06</v>
      </c>
      <c r="CA212" s="23">
        <f t="shared" si="437"/>
        <v>11.06</v>
      </c>
      <c r="CB212" s="23">
        <f>+'QTR Raw'!AV64</f>
        <v>0.36</v>
      </c>
      <c r="CC212" s="23">
        <f t="shared" si="438"/>
        <v>0.36</v>
      </c>
      <c r="CD212" s="23">
        <f>+'QTR Raw'!AX64</f>
        <v>0.34</v>
      </c>
      <c r="CE212" s="23">
        <f t="shared" si="439"/>
        <v>0.34</v>
      </c>
      <c r="CF212" s="23">
        <f>+'QTR Raw'!AZ64</f>
        <v>1.28</v>
      </c>
      <c r="CG212" s="23">
        <f t="shared" si="440"/>
        <v>1.28</v>
      </c>
      <c r="CH212" s="23">
        <f t="shared" si="414"/>
        <v>2.13</v>
      </c>
      <c r="CJ212" s="23">
        <f>+'QTR Raw'!BD64</f>
        <v>2.42</v>
      </c>
      <c r="CL212" s="23">
        <f>+'QTR Raw'!BF64</f>
        <v>2.21</v>
      </c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  <c r="DF212" s="23">
        <v>2.21</v>
      </c>
    </row>
    <row r="213" spans="1:110" s="23" customFormat="1" outlineLevel="1" x14ac:dyDescent="0.2">
      <c r="A213" s="23" t="s">
        <v>66</v>
      </c>
      <c r="B213" s="23">
        <f>'Annual Raw'!C51</f>
        <v>0</v>
      </c>
      <c r="C213" s="23">
        <f>'Annual Raw'!D51</f>
        <v>0</v>
      </c>
      <c r="D213" s="23">
        <f>'Annual Raw'!E51</f>
        <v>0</v>
      </c>
      <c r="E213" s="23">
        <f>'Annual Raw'!F51</f>
        <v>0</v>
      </c>
      <c r="F213" s="23">
        <f>'Annual Raw'!G51</f>
        <v>0</v>
      </c>
      <c r="G213" s="23">
        <f>'Annual Raw'!H51</f>
        <v>0</v>
      </c>
      <c r="H213" s="23">
        <f>'Annual Raw'!I51</f>
        <v>0</v>
      </c>
      <c r="I213" s="23">
        <f>'Annual Raw'!J51</f>
        <v>0</v>
      </c>
      <c r="J213" s="23">
        <f>'Annual Raw'!K51</f>
        <v>0</v>
      </c>
      <c r="K213" s="23">
        <f>'Annual Raw'!L51</f>
        <v>0</v>
      </c>
      <c r="L213" s="23">
        <f>'Annual Raw'!M51</f>
        <v>0</v>
      </c>
      <c r="M213" s="23">
        <f>'Annual Raw'!N51</f>
        <v>0</v>
      </c>
      <c r="N213" s="23">
        <f>'Annual Raw'!O51</f>
        <v>0</v>
      </c>
      <c r="O213" s="23">
        <f>'Annual Raw'!P51</f>
        <v>0</v>
      </c>
      <c r="P213" s="23">
        <f>'Annual Raw'!Q51</f>
        <v>0</v>
      </c>
      <c r="Q213" s="23">
        <f>'Annual Raw'!R51</f>
        <v>0</v>
      </c>
      <c r="R213" s="23">
        <f>'Annual Raw'!S51</f>
        <v>0</v>
      </c>
      <c r="S213" s="23">
        <f>'Annual Raw'!T51</f>
        <v>0</v>
      </c>
      <c r="T213" s="23">
        <f>'Annual Raw'!U51</f>
        <v>0</v>
      </c>
      <c r="U213" s="23">
        <f>'Annual Raw'!V51</f>
        <v>0</v>
      </c>
      <c r="V213" s="23">
        <f>'Annual Raw'!W51</f>
        <v>0</v>
      </c>
      <c r="W213" s="23">
        <f>'Annual Raw'!X51</f>
        <v>0</v>
      </c>
      <c r="X213" s="23">
        <f>'Annual Raw'!Y51</f>
        <v>0</v>
      </c>
      <c r="Y213" s="23">
        <f>'Annual Raw'!Z51</f>
        <v>0</v>
      </c>
      <c r="Z213" s="23">
        <f>'Annual Raw'!AA51</f>
        <v>0</v>
      </c>
      <c r="AA213" s="23">
        <f>'Annual Raw'!AB51</f>
        <v>0</v>
      </c>
      <c r="AB213" s="24">
        <f t="shared" ref="AB213" si="441">+CP213</f>
        <v>0</v>
      </c>
      <c r="AC213" s="24">
        <f t="shared" ref="AC213" si="442">+CT213</f>
        <v>0</v>
      </c>
      <c r="AD213" s="24">
        <f t="shared" ref="AD213" si="443">+CX213</f>
        <v>0</v>
      </c>
      <c r="AE213" s="24">
        <f t="shared" ref="AE213" si="444">+DB213</f>
        <v>0</v>
      </c>
      <c r="AJ213" s="23">
        <f>+'QTR Raw'!D65</f>
        <v>0</v>
      </c>
      <c r="AK213" s="23">
        <f t="shared" si="416"/>
        <v>0</v>
      </c>
      <c r="AL213" s="23">
        <f>+'QTR Raw'!F65</f>
        <v>0</v>
      </c>
      <c r="AM213" s="23">
        <f t="shared" si="417"/>
        <v>0</v>
      </c>
      <c r="AN213" s="23">
        <f>+'QTR Raw'!H65</f>
        <v>0</v>
      </c>
      <c r="AO213" s="23">
        <f t="shared" si="418"/>
        <v>0</v>
      </c>
      <c r="AP213" s="23">
        <f>+'QTR Raw'!J65</f>
        <v>0</v>
      </c>
      <c r="AQ213" s="23">
        <f t="shared" si="419"/>
        <v>0</v>
      </c>
      <c r="AR213" s="23">
        <f>+'QTR Raw'!L65</f>
        <v>0</v>
      </c>
      <c r="AS213" s="23">
        <f t="shared" si="420"/>
        <v>0</v>
      </c>
      <c r="AT213" s="23">
        <f>+'QTR Raw'!N65</f>
        <v>0</v>
      </c>
      <c r="AU213" s="23">
        <f t="shared" si="421"/>
        <v>0</v>
      </c>
      <c r="AV213" s="23">
        <f>+'QTR Raw'!P65</f>
        <v>0</v>
      </c>
      <c r="AW213" s="23">
        <f t="shared" si="422"/>
        <v>0</v>
      </c>
      <c r="AX213" s="23">
        <f>+'QTR Raw'!R65</f>
        <v>0</v>
      </c>
      <c r="AY213" s="23">
        <f t="shared" si="423"/>
        <v>0</v>
      </c>
      <c r="AZ213" s="23">
        <f>+'QTR Raw'!T65</f>
        <v>0</v>
      </c>
      <c r="BA213" s="23">
        <f t="shared" si="424"/>
        <v>0</v>
      </c>
      <c r="BB213" s="23">
        <f>+'QTR Raw'!V65</f>
        <v>0</v>
      </c>
      <c r="BC213" s="23">
        <f t="shared" si="425"/>
        <v>0</v>
      </c>
      <c r="BD213" s="23">
        <f>+'QTR Raw'!X65</f>
        <v>0</v>
      </c>
      <c r="BE213" s="23">
        <f t="shared" si="426"/>
        <v>0</v>
      </c>
      <c r="BF213" s="23">
        <f>+'QTR Raw'!Z65</f>
        <v>0</v>
      </c>
      <c r="BG213" s="23">
        <f t="shared" si="427"/>
        <v>0</v>
      </c>
      <c r="BH213" s="23">
        <f>+'QTR Raw'!AB65</f>
        <v>0</v>
      </c>
      <c r="BI213" s="23">
        <f t="shared" si="428"/>
        <v>0</v>
      </c>
      <c r="BJ213" s="23">
        <f>+'QTR Raw'!AD65</f>
        <v>0</v>
      </c>
      <c r="BK213" s="23">
        <f t="shared" si="429"/>
        <v>0</v>
      </c>
      <c r="BL213" s="23">
        <f>+'QTR Raw'!AF65</f>
        <v>0</v>
      </c>
      <c r="BM213" s="23">
        <f t="shared" si="430"/>
        <v>0</v>
      </c>
      <c r="BN213" s="23">
        <f>+'QTR Raw'!AH65</f>
        <v>0</v>
      </c>
      <c r="BO213" s="23">
        <f t="shared" si="431"/>
        <v>0</v>
      </c>
      <c r="BP213" s="23">
        <f>+'QTR Raw'!AJ65</f>
        <v>0</v>
      </c>
      <c r="BQ213" s="23">
        <f t="shared" si="432"/>
        <v>0</v>
      </c>
      <c r="BR213" s="23">
        <f>+'QTR Raw'!AL65</f>
        <v>0</v>
      </c>
      <c r="BS213" s="23">
        <f t="shared" si="433"/>
        <v>0</v>
      </c>
      <c r="BT213" s="23">
        <f>+'QTR Raw'!AN65</f>
        <v>0</v>
      </c>
      <c r="BU213" s="23">
        <f t="shared" si="434"/>
        <v>0</v>
      </c>
      <c r="BV213" s="23">
        <f>+'QTR Raw'!AP65</f>
        <v>0</v>
      </c>
      <c r="BW213" s="23">
        <f t="shared" si="435"/>
        <v>0</v>
      </c>
      <c r="BX213" s="23">
        <f>+'QTR Raw'!AR65</f>
        <v>0</v>
      </c>
      <c r="BY213" s="23">
        <f t="shared" si="436"/>
        <v>0</v>
      </c>
      <c r="BZ213" s="23">
        <f>+'QTR Raw'!AT65</f>
        <v>0</v>
      </c>
      <c r="CA213" s="23">
        <f t="shared" si="437"/>
        <v>0</v>
      </c>
      <c r="CB213" s="23">
        <f>+'QTR Raw'!AV65</f>
        <v>0</v>
      </c>
      <c r="CC213" s="23">
        <f t="shared" si="438"/>
        <v>0</v>
      </c>
      <c r="CD213" s="23">
        <f>+'QTR Raw'!AX65</f>
        <v>0</v>
      </c>
      <c r="CE213" s="23">
        <f t="shared" si="439"/>
        <v>0</v>
      </c>
      <c r="CF213" s="23">
        <f>+'QTR Raw'!AZ65</f>
        <v>0</v>
      </c>
      <c r="CG213" s="23">
        <f t="shared" si="440"/>
        <v>0</v>
      </c>
      <c r="CH213" s="23">
        <f t="shared" si="414"/>
        <v>0</v>
      </c>
      <c r="CJ213" s="23">
        <f>+'QTR Raw'!BD65</f>
        <v>0</v>
      </c>
      <c r="CL213" s="23">
        <f>+'QTR Raw'!BF65</f>
        <v>0</v>
      </c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3"/>
      <c r="DF213" s="23">
        <v>0</v>
      </c>
    </row>
    <row r="214" spans="1:110" s="23" customFormat="1" outlineLevel="1" x14ac:dyDescent="0.2">
      <c r="A214" s="23" t="s">
        <v>68</v>
      </c>
      <c r="B214" s="23">
        <v>0</v>
      </c>
      <c r="C214" s="23">
        <v>0</v>
      </c>
      <c r="D214" s="23">
        <v>0</v>
      </c>
      <c r="E214" s="23">
        <v>0</v>
      </c>
      <c r="F214" s="23">
        <v>0</v>
      </c>
      <c r="G214" s="23">
        <v>0</v>
      </c>
      <c r="H214" s="23">
        <v>0</v>
      </c>
      <c r="I214" s="23">
        <v>0</v>
      </c>
      <c r="J214" s="23">
        <v>0</v>
      </c>
      <c r="K214" s="23">
        <v>0</v>
      </c>
      <c r="L214" s="23">
        <v>0</v>
      </c>
      <c r="M214" s="23">
        <v>0</v>
      </c>
      <c r="N214" s="23">
        <v>0</v>
      </c>
      <c r="O214" s="23">
        <v>0</v>
      </c>
      <c r="P214" s="23">
        <v>0</v>
      </c>
      <c r="Q214" s="23">
        <v>0</v>
      </c>
      <c r="R214" s="23">
        <v>0</v>
      </c>
      <c r="S214" s="23">
        <v>0</v>
      </c>
      <c r="T214" s="23">
        <v>0</v>
      </c>
      <c r="U214" s="23">
        <v>0</v>
      </c>
      <c r="V214" s="23">
        <v>0</v>
      </c>
      <c r="W214" s="23">
        <v>0</v>
      </c>
      <c r="X214" s="23">
        <v>0</v>
      </c>
      <c r="Y214" s="23">
        <v>0</v>
      </c>
      <c r="Z214" s="23">
        <v>0</v>
      </c>
      <c r="AA214" s="23">
        <v>0</v>
      </c>
      <c r="AB214" s="24">
        <f>+CP214</f>
        <v>222.82818420424402</v>
      </c>
      <c r="AC214" s="24">
        <f>+CT214</f>
        <v>231.4127355939882</v>
      </c>
      <c r="AD214" s="24">
        <f>+CX214</f>
        <v>232.33977593865995</v>
      </c>
      <c r="AE214" s="24">
        <f>+DB214</f>
        <v>233.27053001066159</v>
      </c>
      <c r="AJ214" s="23">
        <f>+'QTR Raw'!D87</f>
        <v>185.56</v>
      </c>
      <c r="AK214" s="23">
        <f t="shared" si="416"/>
        <v>185.56</v>
      </c>
      <c r="AL214" s="23">
        <f>+'QTR Raw'!F87</f>
        <v>0</v>
      </c>
      <c r="AM214" s="23">
        <f t="shared" si="417"/>
        <v>0</v>
      </c>
      <c r="AN214" s="23">
        <f>+'QTR Raw'!H87</f>
        <v>0</v>
      </c>
      <c r="AO214" s="23">
        <f t="shared" si="418"/>
        <v>0</v>
      </c>
      <c r="AP214" s="23">
        <f>+'QTR Raw'!J87</f>
        <v>0</v>
      </c>
      <c r="AQ214" s="23">
        <f t="shared" si="419"/>
        <v>0</v>
      </c>
      <c r="AR214" s="23">
        <f>+'QTR Raw'!L87</f>
        <v>0</v>
      </c>
      <c r="AS214" s="23">
        <f t="shared" si="420"/>
        <v>0</v>
      </c>
      <c r="AT214" s="23">
        <f>+'QTR Raw'!N87</f>
        <v>0</v>
      </c>
      <c r="AU214" s="23">
        <f t="shared" si="421"/>
        <v>0</v>
      </c>
      <c r="AV214" s="23">
        <f>+'QTR Raw'!P87</f>
        <v>0</v>
      </c>
      <c r="AW214" s="23">
        <f t="shared" si="422"/>
        <v>0</v>
      </c>
      <c r="AX214" s="23">
        <f>+'QTR Raw'!R87</f>
        <v>0</v>
      </c>
      <c r="AY214" s="23">
        <f t="shared" si="423"/>
        <v>0</v>
      </c>
      <c r="AZ214" s="23">
        <f>+'QTR Raw'!T87</f>
        <v>0</v>
      </c>
      <c r="BA214" s="23">
        <f t="shared" si="424"/>
        <v>0</v>
      </c>
      <c r="BB214" s="23">
        <f>+'QTR Raw'!V87</f>
        <v>0</v>
      </c>
      <c r="BC214" s="23">
        <f t="shared" si="425"/>
        <v>0</v>
      </c>
      <c r="BD214" s="23">
        <f>+'QTR Raw'!X87</f>
        <v>0</v>
      </c>
      <c r="BE214" s="23">
        <f t="shared" si="426"/>
        <v>0</v>
      </c>
      <c r="BF214" s="23">
        <f>+'QTR Raw'!Z87</f>
        <v>0</v>
      </c>
      <c r="BG214" s="23">
        <f t="shared" si="427"/>
        <v>0</v>
      </c>
      <c r="BH214" s="23">
        <f>+'QTR Raw'!AB87</f>
        <v>0</v>
      </c>
      <c r="BI214" s="23">
        <f t="shared" si="428"/>
        <v>0</v>
      </c>
      <c r="BJ214" s="23">
        <f>+'QTR Raw'!AD87</f>
        <v>0</v>
      </c>
      <c r="BK214" s="23">
        <f t="shared" si="429"/>
        <v>0</v>
      </c>
      <c r="BL214" s="23">
        <f>+'QTR Raw'!AF87</f>
        <v>0</v>
      </c>
      <c r="BM214" s="23">
        <f t="shared" si="430"/>
        <v>0</v>
      </c>
      <c r="BN214" s="23">
        <f>+'QTR Raw'!AH87</f>
        <v>0</v>
      </c>
      <c r="BO214" s="23">
        <f t="shared" si="431"/>
        <v>0</v>
      </c>
      <c r="BP214" s="23">
        <f>+'QTR Raw'!AJ87</f>
        <v>0</v>
      </c>
      <c r="BQ214" s="23">
        <f t="shared" si="432"/>
        <v>0</v>
      </c>
      <c r="BR214" s="23">
        <f>+'QTR Raw'!AL87</f>
        <v>0</v>
      </c>
      <c r="BS214" s="23">
        <f t="shared" si="433"/>
        <v>0</v>
      </c>
      <c r="BT214" s="23">
        <f>+'QTR Raw'!AN87</f>
        <v>0</v>
      </c>
      <c r="BU214" s="23">
        <f t="shared" si="434"/>
        <v>0</v>
      </c>
      <c r="BV214" s="23">
        <f>+'QTR Raw'!AP87</f>
        <v>0</v>
      </c>
      <c r="BW214" s="23">
        <f t="shared" si="435"/>
        <v>0</v>
      </c>
      <c r="BX214" s="23">
        <f>+'QTR Raw'!AR87</f>
        <v>0</v>
      </c>
      <c r="BY214" s="23">
        <f t="shared" si="436"/>
        <v>0</v>
      </c>
      <c r="BZ214" s="23">
        <f>+'QTR Raw'!AT87</f>
        <v>0</v>
      </c>
      <c r="CA214" s="23">
        <f t="shared" si="437"/>
        <v>0</v>
      </c>
      <c r="CB214" s="23">
        <f>+'QTR Raw'!AV87</f>
        <v>0</v>
      </c>
      <c r="CC214" s="23">
        <f t="shared" si="438"/>
        <v>0</v>
      </c>
      <c r="CD214" s="23">
        <f>+'QTR Raw'!AX87</f>
        <v>0</v>
      </c>
      <c r="CE214" s="23">
        <f t="shared" si="439"/>
        <v>0</v>
      </c>
      <c r="CF214" s="23">
        <f>+'QTR Raw'!AZ87</f>
        <v>0</v>
      </c>
      <c r="CG214" s="23">
        <f t="shared" si="440"/>
        <v>0</v>
      </c>
      <c r="CH214" s="23">
        <f t="shared" si="414"/>
        <v>0</v>
      </c>
      <c r="CI214" s="23">
        <f>CI57/90*CI243</f>
        <v>184.97159825684329</v>
      </c>
      <c r="CJ214" s="23">
        <f>+'QTR Raw'!BD87</f>
        <v>0</v>
      </c>
      <c r="CK214" s="23">
        <f>CK57/90*CK243</f>
        <v>188.4180279325345</v>
      </c>
      <c r="CL214" s="23">
        <f>+'QTR Raw'!BF87</f>
        <v>0</v>
      </c>
      <c r="CM214" s="24">
        <f t="shared" ref="CM214:DB214" si="445">CM57/90*CM243</f>
        <v>220.10502293829251</v>
      </c>
      <c r="CN214" s="24">
        <f t="shared" si="445"/>
        <v>220.32512796123075</v>
      </c>
      <c r="CO214" s="24">
        <f t="shared" si="445"/>
        <v>221.2321616013341</v>
      </c>
      <c r="CP214" s="24">
        <f t="shared" si="445"/>
        <v>222.82818420424402</v>
      </c>
      <c r="CQ214" s="24">
        <f t="shared" si="445"/>
        <v>225.47014169157373</v>
      </c>
      <c r="CR214" s="24">
        <f t="shared" si="445"/>
        <v>228.12654694233629</v>
      </c>
      <c r="CS214" s="24">
        <f t="shared" si="445"/>
        <v>230.10806060767817</v>
      </c>
      <c r="CT214" s="24">
        <f t="shared" si="445"/>
        <v>231.4127355939882</v>
      </c>
      <c r="CU214" s="24">
        <f t="shared" si="445"/>
        <v>231.64414832958215</v>
      </c>
      <c r="CV214" s="24">
        <f t="shared" si="445"/>
        <v>231.87579247791166</v>
      </c>
      <c r="CW214" s="24">
        <f t="shared" si="445"/>
        <v>232.10766827038958</v>
      </c>
      <c r="CX214" s="24">
        <f t="shared" si="445"/>
        <v>232.33977593865995</v>
      </c>
      <c r="CY214" s="24">
        <f t="shared" si="445"/>
        <v>232.5721157145986</v>
      </c>
      <c r="CZ214" s="24">
        <f t="shared" si="445"/>
        <v>232.80468783031316</v>
      </c>
      <c r="DA214" s="24">
        <f t="shared" si="445"/>
        <v>233.03749251814347</v>
      </c>
      <c r="DB214" s="24">
        <f t="shared" si="445"/>
        <v>233.27053001066159</v>
      </c>
      <c r="DE214" s="123"/>
      <c r="DF214" s="23">
        <v>195.47721827322232</v>
      </c>
    </row>
    <row r="215" spans="1:110" s="22" customFormat="1" x14ac:dyDescent="0.2">
      <c r="A215" s="22" t="s">
        <v>72</v>
      </c>
      <c r="B215" s="22">
        <f t="shared" ref="B215:Y215" si="446">SUM(B208:B214)</f>
        <v>10.603911500000001</v>
      </c>
      <c r="C215" s="22">
        <f t="shared" si="446"/>
        <v>5.5592927999999997</v>
      </c>
      <c r="D215" s="22">
        <f t="shared" si="446"/>
        <v>12.787657599999999</v>
      </c>
      <c r="E215" s="22">
        <f t="shared" si="446"/>
        <v>9.4003639999999997</v>
      </c>
      <c r="F215" s="22">
        <f t="shared" si="446"/>
        <v>11.924028499999999</v>
      </c>
      <c r="G215" s="22">
        <f t="shared" si="446"/>
        <v>32.0765472</v>
      </c>
      <c r="H215" s="22">
        <f t="shared" si="446"/>
        <v>40.862747499999998</v>
      </c>
      <c r="I215" s="22">
        <f t="shared" si="446"/>
        <v>58.030918800000002</v>
      </c>
      <c r="J215" s="22">
        <f t="shared" si="446"/>
        <v>50.848865199999999</v>
      </c>
      <c r="K215" s="22">
        <f t="shared" si="446"/>
        <v>51.395978700000001</v>
      </c>
      <c r="L215" s="22">
        <f t="shared" si="446"/>
        <v>109.46</v>
      </c>
      <c r="M215" s="22">
        <f t="shared" si="446"/>
        <v>105.48999999999998</v>
      </c>
      <c r="N215" s="22">
        <f t="shared" si="446"/>
        <v>121.82</v>
      </c>
      <c r="O215" s="22">
        <f t="shared" si="446"/>
        <v>128.87</v>
      </c>
      <c r="P215" s="22">
        <f t="shared" si="446"/>
        <v>147.75000000000003</v>
      </c>
      <c r="Q215" s="22">
        <f t="shared" si="446"/>
        <v>162.10999999999999</v>
      </c>
      <c r="R215" s="22">
        <f t="shared" si="446"/>
        <v>184.08999999999997</v>
      </c>
      <c r="S215" s="22">
        <f t="shared" si="446"/>
        <v>237.73999999999998</v>
      </c>
      <c r="T215" s="22">
        <f t="shared" si="446"/>
        <v>260.42</v>
      </c>
      <c r="U215" s="22">
        <f t="shared" si="446"/>
        <v>216.51000000000002</v>
      </c>
      <c r="V215" s="22">
        <f t="shared" si="446"/>
        <v>217.84</v>
      </c>
      <c r="W215" s="22">
        <f t="shared" si="446"/>
        <v>463.51</v>
      </c>
      <c r="X215" s="22">
        <f t="shared" si="446"/>
        <v>419</v>
      </c>
      <c r="Y215" s="22">
        <f t="shared" si="446"/>
        <v>654.09</v>
      </c>
      <c r="Z215" s="22">
        <f>SUM(Z208:Z214)</f>
        <v>774.80000000000007</v>
      </c>
      <c r="AA215" s="22">
        <f>SUM(AA208:AA214)</f>
        <v>912.0200000000001</v>
      </c>
      <c r="AB215" s="21">
        <f t="shared" ref="AA215:AE215" si="447">SUM(AB208:AB214)</f>
        <v>989.56759769181349</v>
      </c>
      <c r="AC215" s="21">
        <f t="shared" si="447"/>
        <v>1027.6911139173219</v>
      </c>
      <c r="AD215" s="21">
        <f t="shared" si="447"/>
        <v>1031.8080486314661</v>
      </c>
      <c r="AE215" s="21">
        <f t="shared" si="447"/>
        <v>1035.9414758025475</v>
      </c>
      <c r="AJ215" s="22">
        <f t="shared" ref="AJ215:CU215" si="448">SUM(AJ208:AJ214)</f>
        <v>189.22</v>
      </c>
      <c r="AK215" s="22">
        <f t="shared" si="448"/>
        <v>189.22</v>
      </c>
      <c r="AL215" s="22">
        <f t="shared" si="448"/>
        <v>221.19</v>
      </c>
      <c r="AM215" s="22">
        <f t="shared" si="448"/>
        <v>223.05866259866764</v>
      </c>
      <c r="AN215" s="22">
        <f t="shared" si="448"/>
        <v>234.16</v>
      </c>
      <c r="AO215" s="22">
        <f t="shared" si="448"/>
        <v>233.61783140720598</v>
      </c>
      <c r="AP215" s="22">
        <f t="shared" si="448"/>
        <v>223.10000000000002</v>
      </c>
      <c r="AQ215" s="22">
        <f t="shared" si="448"/>
        <v>224.18142021766204</v>
      </c>
      <c r="AR215" s="22">
        <f t="shared" si="448"/>
        <v>227.95000000000002</v>
      </c>
      <c r="AS215" s="22">
        <f t="shared" si="448"/>
        <v>227.64043258987567</v>
      </c>
      <c r="AT215" s="22">
        <f t="shared" si="448"/>
        <v>229.85</v>
      </c>
      <c r="AU215" s="22">
        <f t="shared" si="448"/>
        <v>230.78475697321184</v>
      </c>
      <c r="AV215" s="22">
        <f t="shared" si="448"/>
        <v>233.67999999999998</v>
      </c>
      <c r="AW215" s="22">
        <f t="shared" si="448"/>
        <v>226.66420228417533</v>
      </c>
      <c r="AX215" s="22">
        <f t="shared" si="448"/>
        <v>228.11999999999998</v>
      </c>
      <c r="AY215" s="22">
        <f t="shared" si="448"/>
        <v>232.15652796142177</v>
      </c>
      <c r="AZ215" s="22">
        <f t="shared" si="448"/>
        <v>238</v>
      </c>
      <c r="BA215" s="22">
        <f t="shared" si="448"/>
        <v>221.39890137931036</v>
      </c>
      <c r="BB215" s="22">
        <f t="shared" si="448"/>
        <v>245.32999999999998</v>
      </c>
      <c r="BC215" s="22">
        <f t="shared" si="448"/>
        <v>244.94777751484889</v>
      </c>
      <c r="BD215" s="22">
        <f t="shared" si="448"/>
        <v>281.75</v>
      </c>
      <c r="BE215" s="22">
        <f t="shared" si="448"/>
        <v>294.49656286199189</v>
      </c>
      <c r="BF215" s="22">
        <f t="shared" si="448"/>
        <v>308.52999999999997</v>
      </c>
      <c r="BG215" s="22">
        <f t="shared" si="448"/>
        <v>324.2015774273936</v>
      </c>
      <c r="BH215" s="22">
        <f t="shared" si="448"/>
        <v>350.11</v>
      </c>
      <c r="BI215" s="22">
        <f t="shared" si="448"/>
        <v>339.12925612992251</v>
      </c>
      <c r="BJ215" s="22">
        <f t="shared" si="448"/>
        <v>327.48</v>
      </c>
      <c r="BK215" s="22">
        <f t="shared" si="448"/>
        <v>318.12867216773481</v>
      </c>
      <c r="BL215" s="22">
        <f t="shared" si="448"/>
        <v>316.68</v>
      </c>
      <c r="BM215" s="22">
        <f t="shared" si="448"/>
        <v>302.53350694088459</v>
      </c>
      <c r="BN215" s="22">
        <f t="shared" si="448"/>
        <v>263.01</v>
      </c>
      <c r="BO215" s="22">
        <f t="shared" si="448"/>
        <v>179.4381384806974</v>
      </c>
      <c r="BP215" s="22">
        <f t="shared" si="448"/>
        <v>243.89000000000001</v>
      </c>
      <c r="BQ215" s="22">
        <f t="shared" si="448"/>
        <v>274.84027717321726</v>
      </c>
      <c r="BR215" s="22">
        <f t="shared" si="448"/>
        <v>293.50999999999993</v>
      </c>
      <c r="BS215" s="22">
        <f t="shared" si="448"/>
        <v>273.38407522817738</v>
      </c>
      <c r="BT215" s="22">
        <f t="shared" si="448"/>
        <v>329.56</v>
      </c>
      <c r="BU215" s="22">
        <f t="shared" si="448"/>
        <v>332.70963361933991</v>
      </c>
      <c r="BV215" s="22">
        <f t="shared" si="448"/>
        <v>463.51000000000005</v>
      </c>
      <c r="BW215" s="22">
        <f t="shared" si="448"/>
        <v>459.01132649605074</v>
      </c>
      <c r="BX215" s="22">
        <f t="shared" si="448"/>
        <v>295.14000000000004</v>
      </c>
      <c r="BY215" s="22">
        <f t="shared" si="448"/>
        <v>281.01682625613267</v>
      </c>
      <c r="BZ215" s="22">
        <f t="shared" si="448"/>
        <v>419</v>
      </c>
      <c r="CA215" s="22">
        <f t="shared" si="448"/>
        <v>416.48179932817288</v>
      </c>
      <c r="CB215" s="22">
        <f t="shared" si="448"/>
        <v>463.61</v>
      </c>
      <c r="CC215" s="22">
        <f t="shared" si="448"/>
        <v>460.57570219804688</v>
      </c>
      <c r="CD215" s="22">
        <f t="shared" si="448"/>
        <v>643.12000000000012</v>
      </c>
      <c r="CE215" s="22">
        <f t="shared" si="448"/>
        <v>638.20999800319498</v>
      </c>
      <c r="CF215" s="22">
        <f t="shared" si="448"/>
        <v>550.05999999999983</v>
      </c>
      <c r="CG215" s="22">
        <f t="shared" si="448"/>
        <v>594.19044241500262</v>
      </c>
      <c r="CH215" s="22">
        <f t="shared" si="448"/>
        <v>774.80000000000007</v>
      </c>
      <c r="CI215" s="22">
        <f t="shared" si="448"/>
        <v>833.32942394116867</v>
      </c>
      <c r="CJ215" s="22">
        <f t="shared" si="448"/>
        <v>780.61999999999989</v>
      </c>
      <c r="CK215" s="22">
        <f t="shared" si="448"/>
        <v>769.18147141875909</v>
      </c>
      <c r="CL215" s="22">
        <f t="shared" si="448"/>
        <v>900.8900000000001</v>
      </c>
      <c r="CM215" s="21">
        <f t="shared" si="448"/>
        <v>977.47418966222131</v>
      </c>
      <c r="CN215" s="21">
        <f t="shared" si="448"/>
        <v>978.4516638518835</v>
      </c>
      <c r="CO215" s="21">
        <f t="shared" si="448"/>
        <v>982.47974990153693</v>
      </c>
      <c r="CP215" s="21">
        <f t="shared" si="448"/>
        <v>989.56759769181349</v>
      </c>
      <c r="CQ215" s="21">
        <f t="shared" si="448"/>
        <v>1001.3003842478643</v>
      </c>
      <c r="CR215" s="21">
        <f t="shared" si="448"/>
        <v>1013.0973325193788</v>
      </c>
      <c r="CS215" s="21">
        <f t="shared" si="448"/>
        <v>1021.8971247207487</v>
      </c>
      <c r="CT215" s="21">
        <f t="shared" si="448"/>
        <v>1027.6911139173219</v>
      </c>
      <c r="CU215" s="21">
        <f t="shared" si="448"/>
        <v>1028.7188050312388</v>
      </c>
      <c r="CV215" s="21">
        <f t="shared" ref="CV215:DB215" si="449">SUM(CV208:CV214)</f>
        <v>1029.7475238362699</v>
      </c>
      <c r="CW215" s="21">
        <f t="shared" si="449"/>
        <v>1030.7772713601062</v>
      </c>
      <c r="CX215" s="21">
        <f t="shared" si="449"/>
        <v>1031.8080486314661</v>
      </c>
      <c r="CY215" s="21">
        <f t="shared" si="449"/>
        <v>1032.8398566800977</v>
      </c>
      <c r="CZ215" s="21">
        <f t="shared" si="449"/>
        <v>1033.8726965367778</v>
      </c>
      <c r="DA215" s="21">
        <f t="shared" si="449"/>
        <v>1034.9065692333143</v>
      </c>
      <c r="DB215" s="21">
        <f t="shared" si="449"/>
        <v>1035.9414758025475</v>
      </c>
      <c r="DE215" s="126"/>
      <c r="DF215" s="22">
        <v>797.99929990818327</v>
      </c>
    </row>
    <row r="216" spans="1:110" s="22" customFormat="1" x14ac:dyDescent="0.2">
      <c r="A216" s="22" t="s">
        <v>73</v>
      </c>
      <c r="B216" s="22">
        <f t="shared" ref="B216:AE216" si="450">B207-B215</f>
        <v>38.407261699999999</v>
      </c>
      <c r="C216" s="22">
        <f t="shared" si="450"/>
        <v>37.253186499999991</v>
      </c>
      <c r="D216" s="22">
        <f t="shared" si="450"/>
        <v>41.276843499999998</v>
      </c>
      <c r="E216" s="22">
        <f t="shared" si="450"/>
        <v>78.4796817</v>
      </c>
      <c r="F216" s="22">
        <f t="shared" si="450"/>
        <v>99.104876300000029</v>
      </c>
      <c r="G216" s="22">
        <f t="shared" si="450"/>
        <v>138.3168435</v>
      </c>
      <c r="H216" s="22">
        <f t="shared" si="450"/>
        <v>267.22119659999998</v>
      </c>
      <c r="I216" s="22">
        <f t="shared" si="450"/>
        <v>303.02366939999996</v>
      </c>
      <c r="J216" s="22">
        <f t="shared" si="450"/>
        <v>264.01471129999999</v>
      </c>
      <c r="K216" s="22">
        <f t="shared" si="450"/>
        <v>325.10031690000005</v>
      </c>
      <c r="L216" s="22">
        <f t="shared" si="450"/>
        <v>438.31</v>
      </c>
      <c r="M216" s="22">
        <f t="shared" si="450"/>
        <v>374.28000000000009</v>
      </c>
      <c r="N216" s="22">
        <f t="shared" si="450"/>
        <v>401.59</v>
      </c>
      <c r="O216" s="22">
        <f t="shared" si="450"/>
        <v>405.75</v>
      </c>
      <c r="P216" s="22">
        <f t="shared" si="450"/>
        <v>453.40999999999997</v>
      </c>
      <c r="Q216" s="22">
        <f t="shared" si="450"/>
        <v>521.75</v>
      </c>
      <c r="R216" s="22">
        <f t="shared" si="450"/>
        <v>567.12999999999988</v>
      </c>
      <c r="S216" s="22">
        <f t="shared" si="450"/>
        <v>625.45000000000005</v>
      </c>
      <c r="T216" s="22">
        <f t="shared" si="450"/>
        <v>607.23</v>
      </c>
      <c r="U216" s="22">
        <f t="shared" si="450"/>
        <v>578.69999999999993</v>
      </c>
      <c r="V216" s="22">
        <f t="shared" si="450"/>
        <v>581.52999999999986</v>
      </c>
      <c r="W216" s="22">
        <f t="shared" si="450"/>
        <v>661.54000000000019</v>
      </c>
      <c r="X216" s="22">
        <f t="shared" si="450"/>
        <v>757.63999999999987</v>
      </c>
      <c r="Y216" s="22">
        <f t="shared" si="450"/>
        <v>817.96999999999969</v>
      </c>
      <c r="Z216" s="22">
        <f t="shared" si="450"/>
        <v>596.88</v>
      </c>
      <c r="AA216" s="22">
        <f t="shared" si="450"/>
        <v>601.73000000000013</v>
      </c>
      <c r="AB216" s="21">
        <f t="shared" si="450"/>
        <v>706.13372095376417</v>
      </c>
      <c r="AC216" s="21">
        <f t="shared" si="450"/>
        <v>755.74521593979011</v>
      </c>
      <c r="AD216" s="21">
        <f t="shared" si="450"/>
        <v>758.77273429858133</v>
      </c>
      <c r="AE216" s="21">
        <f t="shared" si="450"/>
        <v>761.81238090803072</v>
      </c>
      <c r="AJ216" s="22">
        <f t="shared" ref="AJ216:BO216" si="451">AJ207-AJ215</f>
        <v>293.5</v>
      </c>
      <c r="AK216" s="22">
        <f t="shared" si="451"/>
        <v>241.58866358969036</v>
      </c>
      <c r="AL216" s="22">
        <f t="shared" si="451"/>
        <v>302.21999999999997</v>
      </c>
      <c r="AM216" s="22">
        <f t="shared" si="451"/>
        <v>311.63203941107327</v>
      </c>
      <c r="AN216" s="22">
        <f t="shared" si="451"/>
        <v>307.53000000000009</v>
      </c>
      <c r="AO216" s="22">
        <f t="shared" si="451"/>
        <v>304.21338261953332</v>
      </c>
      <c r="AP216" s="22">
        <f t="shared" si="451"/>
        <v>311.52</v>
      </c>
      <c r="AQ216" s="22">
        <f t="shared" si="451"/>
        <v>317.08587254318041</v>
      </c>
      <c r="AR216" s="22">
        <f t="shared" si="451"/>
        <v>332.2399999999999</v>
      </c>
      <c r="AS216" s="22">
        <f t="shared" si="451"/>
        <v>330.42503276787397</v>
      </c>
      <c r="AT216" s="22">
        <f t="shared" si="451"/>
        <v>371.30999999999995</v>
      </c>
      <c r="AU216" s="22">
        <f t="shared" si="451"/>
        <v>376.81205053852523</v>
      </c>
      <c r="AV216" s="22">
        <f t="shared" si="451"/>
        <v>420.05000000000007</v>
      </c>
      <c r="AW216" s="22">
        <f t="shared" si="451"/>
        <v>366.89064186324867</v>
      </c>
      <c r="AX216" s="22">
        <f t="shared" si="451"/>
        <v>455.74000000000012</v>
      </c>
      <c r="AY216" s="22">
        <f t="shared" si="451"/>
        <v>481.55857665085176</v>
      </c>
      <c r="AZ216" s="22">
        <f t="shared" si="451"/>
        <v>492.06000000000006</v>
      </c>
      <c r="BA216" s="22">
        <f t="shared" si="451"/>
        <v>393.58918000000006</v>
      </c>
      <c r="BB216" s="22">
        <f t="shared" si="451"/>
        <v>505.89000000000004</v>
      </c>
      <c r="BC216" s="22">
        <f t="shared" si="451"/>
        <v>503.9700265032302</v>
      </c>
      <c r="BD216" s="22">
        <f t="shared" si="451"/>
        <v>481.78</v>
      </c>
      <c r="BE216" s="22">
        <f t="shared" si="451"/>
        <v>543.62014654777613</v>
      </c>
      <c r="BF216" s="22">
        <f t="shared" si="451"/>
        <v>554.66000000000008</v>
      </c>
      <c r="BG216" s="22">
        <f t="shared" si="451"/>
        <v>609.37658476372349</v>
      </c>
      <c r="BH216" s="22">
        <f t="shared" si="451"/>
        <v>545.15</v>
      </c>
      <c r="BI216" s="22">
        <f t="shared" si="451"/>
        <v>507.10192591020063</v>
      </c>
      <c r="BJ216" s="22">
        <f t="shared" si="451"/>
        <v>540.17000000000007</v>
      </c>
      <c r="BK216" s="22">
        <f t="shared" si="451"/>
        <v>509.14095558877131</v>
      </c>
      <c r="BL216" s="22">
        <f t="shared" si="451"/>
        <v>491.77000000000004</v>
      </c>
      <c r="BM216" s="22">
        <f t="shared" si="451"/>
        <v>439.4225317312227</v>
      </c>
      <c r="BN216" s="22">
        <f t="shared" si="451"/>
        <v>532.19999999999993</v>
      </c>
      <c r="BO216" s="22">
        <f t="shared" si="451"/>
        <v>131.56381369863013</v>
      </c>
      <c r="BP216" s="22">
        <f t="shared" ref="BP216:CU216" si="452">BP207-BP215</f>
        <v>443.02</v>
      </c>
      <c r="BQ216" s="22">
        <f t="shared" si="452"/>
        <v>646.69622263474594</v>
      </c>
      <c r="BR216" s="22">
        <f t="shared" si="452"/>
        <v>505.86000000000007</v>
      </c>
      <c r="BS216" s="22">
        <f t="shared" si="452"/>
        <v>412.17656849342609</v>
      </c>
      <c r="BT216" s="22">
        <f t="shared" si="452"/>
        <v>622.52</v>
      </c>
      <c r="BU216" s="22">
        <f t="shared" si="452"/>
        <v>632.99771153003064</v>
      </c>
      <c r="BV216" s="22">
        <f t="shared" si="452"/>
        <v>665.03</v>
      </c>
      <c r="BW216" s="22">
        <f t="shared" si="452"/>
        <v>639.10468249989822</v>
      </c>
      <c r="BX216" s="22">
        <f t="shared" si="452"/>
        <v>773.4699999999998</v>
      </c>
      <c r="BY216" s="22">
        <f t="shared" si="452"/>
        <v>667.10866238087169</v>
      </c>
      <c r="BZ216" s="22">
        <f t="shared" si="452"/>
        <v>760.04</v>
      </c>
      <c r="CA216" s="22">
        <f t="shared" si="452"/>
        <v>752.94381773039299</v>
      </c>
      <c r="CB216" s="22">
        <f t="shared" si="452"/>
        <v>786.93</v>
      </c>
      <c r="CC216" s="22">
        <f t="shared" si="452"/>
        <v>778.75048287050299</v>
      </c>
      <c r="CD216" s="22">
        <f t="shared" si="452"/>
        <v>818.78</v>
      </c>
      <c r="CE216" s="22">
        <f t="shared" si="452"/>
        <v>810.82372033318086</v>
      </c>
      <c r="CF216" s="22">
        <f t="shared" si="452"/>
        <v>814.98000000000013</v>
      </c>
      <c r="CG216" s="22">
        <f t="shared" si="452"/>
        <v>904.78270659108045</v>
      </c>
      <c r="CH216" s="22">
        <f t="shared" si="452"/>
        <v>596.88</v>
      </c>
      <c r="CI216" s="22">
        <f t="shared" si="452"/>
        <v>641.96911017295361</v>
      </c>
      <c r="CJ216" s="22">
        <f t="shared" si="452"/>
        <v>725.59000000000037</v>
      </c>
      <c r="CK216" s="22">
        <f t="shared" si="452"/>
        <v>714.95783332061353</v>
      </c>
      <c r="CL216" s="22">
        <f t="shared" si="452"/>
        <v>603.56999999999994</v>
      </c>
      <c r="CM216" s="21">
        <f t="shared" si="452"/>
        <v>665.53541108884474</v>
      </c>
      <c r="CN216" s="21">
        <f t="shared" si="452"/>
        <v>676.86784250415576</v>
      </c>
      <c r="CO216" s="21">
        <f t="shared" si="452"/>
        <v>690.36517887774221</v>
      </c>
      <c r="CP216" s="21">
        <f t="shared" si="452"/>
        <v>706.13372095376417</v>
      </c>
      <c r="CQ216" s="21">
        <f t="shared" si="452"/>
        <v>725.42196841229043</v>
      </c>
      <c r="CR216" s="21">
        <f t="shared" si="452"/>
        <v>745.01321648527937</v>
      </c>
      <c r="CS216" s="21">
        <f t="shared" si="452"/>
        <v>751.48442244141461</v>
      </c>
      <c r="CT216" s="21">
        <f t="shared" si="452"/>
        <v>755.74521593979011</v>
      </c>
      <c r="CU216" s="21">
        <f t="shared" si="452"/>
        <v>756.50096115573001</v>
      </c>
      <c r="CV216" s="21">
        <f t="shared" ref="CV216:EA216" si="453">CV207-CV215</f>
        <v>757.25746211688556</v>
      </c>
      <c r="CW216" s="21">
        <f t="shared" si="453"/>
        <v>758.0147195790023</v>
      </c>
      <c r="CX216" s="21">
        <f t="shared" si="453"/>
        <v>758.77273429858133</v>
      </c>
      <c r="CY216" s="21">
        <f t="shared" si="453"/>
        <v>759.53150703287997</v>
      </c>
      <c r="CZ216" s="21">
        <f t="shared" si="453"/>
        <v>760.29103853991228</v>
      </c>
      <c r="DA216" s="21">
        <f t="shared" si="453"/>
        <v>761.05132957845262</v>
      </c>
      <c r="DB216" s="21">
        <f t="shared" si="453"/>
        <v>761.81238090803072</v>
      </c>
      <c r="DE216" s="126"/>
      <c r="DF216" s="22">
        <v>741.74414186208264</v>
      </c>
    </row>
    <row r="217" spans="1:110" s="23" customFormat="1" x14ac:dyDescent="0.2">
      <c r="AB217" s="24"/>
      <c r="AC217" s="24"/>
      <c r="AD217" s="24"/>
      <c r="AE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E217" s="123"/>
    </row>
    <row r="218" spans="1:110" s="23" customFormat="1" outlineLevel="1" x14ac:dyDescent="0.2">
      <c r="A218" s="23" t="s">
        <v>74</v>
      </c>
      <c r="B218" s="23">
        <f>'Annual Raw'!C75</f>
        <v>0</v>
      </c>
      <c r="C218" s="23">
        <f>'Annual Raw'!D75</f>
        <v>0</v>
      </c>
      <c r="D218" s="23">
        <f>'Annual Raw'!E75</f>
        <v>0</v>
      </c>
      <c r="E218" s="23">
        <f>'Annual Raw'!F75</f>
        <v>0</v>
      </c>
      <c r="F218" s="23">
        <f>'Annual Raw'!G75</f>
        <v>0</v>
      </c>
      <c r="G218" s="23">
        <f>'Annual Raw'!H75</f>
        <v>0</v>
      </c>
      <c r="H218" s="23">
        <f>'Annual Raw'!I75</f>
        <v>0</v>
      </c>
      <c r="I218" s="23">
        <f>'Annual Raw'!J75</f>
        <v>0</v>
      </c>
      <c r="J218" s="23">
        <f>'Annual Raw'!K75</f>
        <v>0</v>
      </c>
      <c r="K218" s="23">
        <f>'Annual Raw'!L75</f>
        <v>0</v>
      </c>
      <c r="L218" s="23">
        <f>'Annual Raw'!M75</f>
        <v>0</v>
      </c>
      <c r="M218" s="23">
        <f>'Annual Raw'!N75</f>
        <v>0</v>
      </c>
      <c r="N218" s="23">
        <f>'Annual Raw'!O75</f>
        <v>0</v>
      </c>
      <c r="O218" s="23">
        <f>'Annual Raw'!P75</f>
        <v>0</v>
      </c>
      <c r="P218" s="23">
        <f>'Annual Raw'!Q75</f>
        <v>0</v>
      </c>
      <c r="Q218" s="23">
        <f>'Annual Raw'!R75</f>
        <v>0</v>
      </c>
      <c r="R218" s="23">
        <f>'Annual Raw'!S75</f>
        <v>0</v>
      </c>
      <c r="S218" s="23">
        <f>'Annual Raw'!T75</f>
        <v>0</v>
      </c>
      <c r="T218" s="23">
        <f>'Annual Raw'!U75</f>
        <v>0</v>
      </c>
      <c r="U218" s="23">
        <f>'Annual Raw'!V75</f>
        <v>0</v>
      </c>
      <c r="V218" s="23">
        <f>'Annual Raw'!W75</f>
        <v>0</v>
      </c>
      <c r="W218" s="23">
        <f>'Annual Raw'!X75</f>
        <v>0</v>
      </c>
      <c r="X218" s="23">
        <f>'Annual Raw'!Y75</f>
        <v>6.86</v>
      </c>
      <c r="Y218" s="23">
        <f>'Annual Raw'!Z75</f>
        <v>10.27</v>
      </c>
      <c r="Z218" s="23">
        <f>'Annual Raw'!AA75</f>
        <v>78.83</v>
      </c>
      <c r="AA218" s="23">
        <f>'Annual Raw'!AB75</f>
        <v>129.16</v>
      </c>
      <c r="AB218" s="24">
        <f>+CP218</f>
        <v>0</v>
      </c>
      <c r="AC218" s="24">
        <f>+CT218</f>
        <v>0</v>
      </c>
      <c r="AD218" s="24">
        <f>+CX218</f>
        <v>0</v>
      </c>
      <c r="AE218" s="24">
        <f>+DB218</f>
        <v>0</v>
      </c>
      <c r="AJ218" s="23">
        <f>+'QTR Raw'!D80</f>
        <v>0</v>
      </c>
      <c r="AL218" s="23">
        <f>+'QTR Raw'!F80</f>
        <v>0</v>
      </c>
      <c r="AN218" s="23">
        <f>+'QTR Raw'!H80</f>
        <v>0</v>
      </c>
      <c r="AP218" s="23">
        <f>+'QTR Raw'!J80</f>
        <v>0</v>
      </c>
      <c r="AR218" s="23">
        <f>+'QTR Raw'!L80</f>
        <v>0</v>
      </c>
      <c r="AT218" s="23">
        <f>+'QTR Raw'!N80</f>
        <v>0</v>
      </c>
      <c r="AV218" s="23">
        <f>+'QTR Raw'!P80</f>
        <v>0</v>
      </c>
      <c r="AX218" s="23">
        <f>+'QTR Raw'!R80</f>
        <v>0</v>
      </c>
      <c r="AZ218" s="23">
        <f>+'QTR Raw'!T80</f>
        <v>0</v>
      </c>
      <c r="BB218" s="23">
        <f>+'QTR Raw'!V80</f>
        <v>0</v>
      </c>
      <c r="BD218" s="23">
        <f>+'QTR Raw'!X80</f>
        <v>0</v>
      </c>
      <c r="BF218" s="23">
        <f>+'QTR Raw'!Z80</f>
        <v>0</v>
      </c>
      <c r="BH218" s="23">
        <f>+'QTR Raw'!AB80</f>
        <v>0</v>
      </c>
      <c r="BJ218" s="23">
        <f>+'QTR Raw'!AD80</f>
        <v>0</v>
      </c>
      <c r="BL218" s="23">
        <f>+'QTR Raw'!AF80</f>
        <v>0</v>
      </c>
      <c r="BN218" s="23">
        <f>+'QTR Raw'!AH80</f>
        <v>0</v>
      </c>
      <c r="BP218" s="23">
        <f>+'QTR Raw'!AJ80</f>
        <v>0</v>
      </c>
      <c r="BR218" s="23">
        <f>+'QTR Raw'!AL80</f>
        <v>0</v>
      </c>
      <c r="BT218" s="23">
        <f>+'QTR Raw'!AN80</f>
        <v>0</v>
      </c>
      <c r="BV218" s="23">
        <f>+'QTR Raw'!AP80</f>
        <v>0</v>
      </c>
      <c r="BX218" s="23">
        <f>+'QTR Raw'!AR80</f>
        <v>0</v>
      </c>
      <c r="BZ218" s="23">
        <f>+'QTR Raw'!AT80</f>
        <v>6.86</v>
      </c>
      <c r="CB218" s="23">
        <f>+'QTR Raw'!AV80</f>
        <v>8.1199999999999992</v>
      </c>
      <c r="CD218" s="23">
        <f>+'QTR Raw'!AX80</f>
        <v>10.27</v>
      </c>
      <c r="CF218" s="23">
        <f>+'QTR Raw'!AZ80</f>
        <v>0</v>
      </c>
      <c r="CH218" s="23">
        <f>Z218</f>
        <v>78.83</v>
      </c>
      <c r="CJ218" s="23">
        <f>+'QTR Raw'!BD80</f>
        <v>91.19</v>
      </c>
      <c r="CL218" s="23">
        <f>+'QTR Raw'!BF80</f>
        <v>129.16</v>
      </c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E218" s="123"/>
      <c r="DF218" s="23">
        <v>129.16</v>
      </c>
    </row>
    <row r="219" spans="1:110" s="23" customFormat="1" outlineLevel="1" x14ac:dyDescent="0.2">
      <c r="A219" s="23" t="s">
        <v>75</v>
      </c>
      <c r="B219" s="23">
        <f>'Annual Raw'!C78</f>
        <v>2.7141834999999999</v>
      </c>
      <c r="C219" s="23">
        <f>'Annual Raw'!D78</f>
        <v>2.9217667</v>
      </c>
      <c r="D219" s="23">
        <f>'Annual Raw'!E78</f>
        <v>4.6015519999999999</v>
      </c>
      <c r="E219" s="23">
        <f>'Annual Raw'!F78</f>
        <v>2.2279574000000002</v>
      </c>
      <c r="F219" s="23">
        <f>'Annual Raw'!G78</f>
        <v>2.2358527000000001</v>
      </c>
      <c r="G219" s="23">
        <f>'Annual Raw'!H78</f>
        <v>4.5819707000000003</v>
      </c>
      <c r="H219" s="23">
        <f>'Annual Raw'!I78</f>
        <v>10.1608155</v>
      </c>
      <c r="I219" s="23">
        <f>'Annual Raw'!J78</f>
        <v>8.8821475000000003</v>
      </c>
      <c r="J219" s="23">
        <f>'Annual Raw'!K78</f>
        <v>8.4481272999999995</v>
      </c>
      <c r="K219" s="23">
        <f>'Annual Raw'!L78</f>
        <v>6.9164896999999996</v>
      </c>
      <c r="L219" s="23">
        <f>'Annual Raw'!M78</f>
        <v>10.19</v>
      </c>
      <c r="M219" s="23">
        <f>'Annual Raw'!N78</f>
        <v>8.99</v>
      </c>
      <c r="N219" s="23">
        <f>'Annual Raw'!O78</f>
        <v>8.17</v>
      </c>
      <c r="O219" s="23">
        <f>'Annual Raw'!P78</f>
        <v>3.28</v>
      </c>
      <c r="P219" s="23">
        <f>'Annual Raw'!Q78</f>
        <v>3.91</v>
      </c>
      <c r="Q219" s="23">
        <f>'Annual Raw'!R78</f>
        <v>3.61</v>
      </c>
      <c r="R219" s="23">
        <f>'Annual Raw'!S78</f>
        <v>5.69</v>
      </c>
      <c r="S219" s="23">
        <f>'Annual Raw'!T78</f>
        <v>1.68</v>
      </c>
      <c r="T219" s="23">
        <f>'Annual Raw'!U78</f>
        <v>0.68</v>
      </c>
      <c r="U219" s="23">
        <f>'Annual Raw'!V78</f>
        <v>13.65</v>
      </c>
      <c r="V219" s="23">
        <f>'Annual Raw'!W78</f>
        <v>10.1</v>
      </c>
      <c r="W219" s="23">
        <f>'Annual Raw'!X78</f>
        <v>22.3</v>
      </c>
      <c r="X219" s="23">
        <f>'Annual Raw'!Y78</f>
        <v>27.97</v>
      </c>
      <c r="Y219" s="23">
        <f>'Annual Raw'!Z78</f>
        <v>28.27</v>
      </c>
      <c r="Z219" s="23">
        <f>'Annual Raw'!AA78</f>
        <v>51.95</v>
      </c>
      <c r="AA219" s="23">
        <f>'Annual Raw'!AB78</f>
        <v>65.8</v>
      </c>
      <c r="AB219" s="24">
        <f>+CP219</f>
        <v>128.60693032014677</v>
      </c>
      <c r="AC219" s="24">
        <f>+CT219</f>
        <v>547.8709112883945</v>
      </c>
      <c r="AD219" s="24">
        <f>+CX219</f>
        <v>778.07924652688598</v>
      </c>
      <c r="AE219" s="24">
        <f>+DB219</f>
        <v>1042.7617235276682</v>
      </c>
      <c r="AJ219" s="23">
        <f>+'QTR Raw'!D83</f>
        <v>5.88</v>
      </c>
      <c r="AK219" s="23">
        <f>+AK269</f>
        <v>68.861336410309605</v>
      </c>
      <c r="AL219" s="23">
        <f>+'QTR Raw'!F83</f>
        <v>8.17</v>
      </c>
      <c r="AM219" s="23">
        <f>+AM269</f>
        <v>4.7879605889267882</v>
      </c>
      <c r="AN219" s="23">
        <f>+'QTR Raw'!H83</f>
        <v>2.5</v>
      </c>
      <c r="AO219" s="23">
        <f>+AO269</f>
        <v>17.966617380466758</v>
      </c>
      <c r="AP219" s="23">
        <f>+'QTR Raw'!J83</f>
        <v>3.28</v>
      </c>
      <c r="AQ219" s="23">
        <f>+AQ269</f>
        <v>9.0541274568195274</v>
      </c>
      <c r="AR219" s="23">
        <f>+'QTR Raw'!L83</f>
        <v>1.75</v>
      </c>
      <c r="AS219" s="23">
        <f>+AS269</f>
        <v>17.334967232125862</v>
      </c>
      <c r="AT219" s="23">
        <f>+'QTR Raw'!N83</f>
        <v>3.91</v>
      </c>
      <c r="AU219" s="23">
        <f>+AU269</f>
        <v>15.607949461474707</v>
      </c>
      <c r="AV219" s="23">
        <f>+'QTR Raw'!P83</f>
        <v>2.13</v>
      </c>
      <c r="AW219" s="23">
        <f>+AW269</f>
        <v>70.839358136751514</v>
      </c>
      <c r="AX219" s="23">
        <f>+'QTR Raw'!R83</f>
        <v>3.61</v>
      </c>
      <c r="AY219" s="23">
        <f>+AY269</f>
        <v>-6.9285766508514968</v>
      </c>
      <c r="AZ219" s="23">
        <f>+'QTR Raw'!T83</f>
        <v>2.73</v>
      </c>
      <c r="BA219" s="23">
        <f>+BA269</f>
        <v>105.70082000000009</v>
      </c>
      <c r="BB219" s="23">
        <f>+'QTR Raw'!V83</f>
        <v>5.69</v>
      </c>
      <c r="BC219" s="23">
        <f>+BC269</f>
        <v>8.8299734967698562</v>
      </c>
      <c r="BD219" s="23">
        <f>+'QTR Raw'!X83</f>
        <v>1.94</v>
      </c>
      <c r="BE219" s="23">
        <f>+BE269</f>
        <v>-56.140146547776268</v>
      </c>
      <c r="BF219" s="23">
        <f>+'QTR Raw'!Z83</f>
        <v>1.68</v>
      </c>
      <c r="BG219" s="23">
        <f>+BG269</f>
        <v>-48.946584763723493</v>
      </c>
      <c r="BH219" s="23">
        <f>+'QTR Raw'!AB83</f>
        <v>0.72</v>
      </c>
      <c r="BI219" s="23">
        <f>+BI269</f>
        <v>38.028074089799318</v>
      </c>
      <c r="BJ219" s="23">
        <f>+'QTR Raw'!AD83</f>
        <v>0.68</v>
      </c>
      <c r="BK219" s="23">
        <f>+BK269</f>
        <v>32.849044411228782</v>
      </c>
      <c r="BL219" s="23">
        <f>+'QTR Raw'!AF83</f>
        <v>8.44</v>
      </c>
      <c r="BM219" s="23">
        <f>+BM269</f>
        <v>66.327468268777281</v>
      </c>
      <c r="BN219" s="23">
        <f>+'QTR Raw'!AH83</f>
        <v>13.65</v>
      </c>
      <c r="BO219" s="23">
        <f>+BO269</f>
        <v>381.76618630136971</v>
      </c>
      <c r="BP219" s="23">
        <f>+'QTR Raw'!AJ83</f>
        <v>5.1100000000000003</v>
      </c>
      <c r="BQ219" s="23">
        <f>+BQ269</f>
        <v>-191.13622263474599</v>
      </c>
      <c r="BR219" s="23">
        <f>+'QTR Raw'!AL83</f>
        <v>10.1</v>
      </c>
      <c r="BS219" s="23">
        <f>+BS269</f>
        <v>116.67343150657402</v>
      </c>
      <c r="BT219" s="23">
        <f>+'QTR Raw'!AN83</f>
        <v>11.98</v>
      </c>
      <c r="BU219" s="23">
        <f>+BU269</f>
        <v>45.242288469969395</v>
      </c>
      <c r="BV219" s="23">
        <f>+'QTR Raw'!AP83</f>
        <v>22.3</v>
      </c>
      <c r="BW219" s="23">
        <f>+BW269</f>
        <v>100.75531750010168</v>
      </c>
      <c r="BX219" s="23">
        <f>+'QTR Raw'!AR83</f>
        <v>54.3</v>
      </c>
      <c r="BY219" s="23">
        <f>+BY269</f>
        <v>178.21133761912836</v>
      </c>
      <c r="BZ219" s="23">
        <f>+'QTR Raw'!AT83</f>
        <v>27.97</v>
      </c>
      <c r="CA219" s="23">
        <f>+CA269</f>
        <v>54.696182269607007</v>
      </c>
      <c r="CB219" s="23">
        <f>+'QTR Raw'!AV83</f>
        <v>20.69</v>
      </c>
      <c r="CC219" s="23">
        <f>+CC269</f>
        <v>40.799517129496891</v>
      </c>
      <c r="CD219" s="23">
        <f>+'QTR Raw'!AX83</f>
        <v>28.27</v>
      </c>
      <c r="CE219" s="23">
        <f>+CE269</f>
        <v>60.7762796668191</v>
      </c>
      <c r="CF219" s="23">
        <f>+'QTR Raw'!AZ83</f>
        <v>20.010000000000002</v>
      </c>
      <c r="CG219" s="23">
        <f>+CG269</f>
        <v>-67.342706591080258</v>
      </c>
      <c r="CH219" s="23">
        <f>Z219</f>
        <v>51.95</v>
      </c>
      <c r="CI219" s="23">
        <f>+CI269</f>
        <v>123.70088982704641</v>
      </c>
      <c r="CJ219" s="23">
        <f>+'QTR Raw'!BD83</f>
        <v>31.43</v>
      </c>
      <c r="CK219" s="23">
        <f t="shared" ref="CK219:DB219" si="454">+CK269</f>
        <v>182.24216667938697</v>
      </c>
      <c r="CL219" s="23">
        <f>+'QTR Raw'!BF83</f>
        <v>65.8</v>
      </c>
      <c r="CM219" s="24">
        <f t="shared" si="454"/>
        <v>134.56924148350194</v>
      </c>
      <c r="CN219" s="24">
        <f t="shared" si="454"/>
        <v>130.12447543473257</v>
      </c>
      <c r="CO219" s="24">
        <f t="shared" si="454"/>
        <v>128.86152207052208</v>
      </c>
      <c r="CP219" s="24">
        <f t="shared" si="454"/>
        <v>128.60693032014677</v>
      </c>
      <c r="CQ219" s="24">
        <f t="shared" si="454"/>
        <v>219.44451274076619</v>
      </c>
      <c r="CR219" s="24">
        <f t="shared" si="454"/>
        <v>315.25412680726828</v>
      </c>
      <c r="CS219" s="24">
        <f t="shared" si="454"/>
        <v>428.56590758892571</v>
      </c>
      <c r="CT219" s="24">
        <f t="shared" si="454"/>
        <v>547.8709112883945</v>
      </c>
      <c r="CU219" s="24">
        <f t="shared" si="454"/>
        <v>601.51910681591733</v>
      </c>
      <c r="CV219" s="24">
        <f t="shared" si="454"/>
        <v>658.06669784871428</v>
      </c>
      <c r="CW219" s="24">
        <f t="shared" si="454"/>
        <v>717.0579015303133</v>
      </c>
      <c r="CX219" s="24">
        <f t="shared" si="454"/>
        <v>778.07924652688598</v>
      </c>
      <c r="CY219" s="24">
        <f t="shared" si="454"/>
        <v>840.78270243112627</v>
      </c>
      <c r="CZ219" s="24">
        <f t="shared" si="454"/>
        <v>905.8697283772841</v>
      </c>
      <c r="DA219" s="24">
        <f t="shared" si="454"/>
        <v>973.21161819986105</v>
      </c>
      <c r="DB219" s="24">
        <f t="shared" si="454"/>
        <v>1042.7617235276682</v>
      </c>
      <c r="DE219" s="123"/>
      <c r="DF219" s="23">
        <v>197.15010018110573</v>
      </c>
    </row>
    <row r="220" spans="1:110" s="22" customFormat="1" x14ac:dyDescent="0.2">
      <c r="A220" s="22" t="s">
        <v>76</v>
      </c>
      <c r="B220" s="22">
        <f>B218+B219</f>
        <v>2.7141834999999999</v>
      </c>
      <c r="C220" s="22">
        <f t="shared" ref="C220:V220" si="455">C218+C219</f>
        <v>2.9217667</v>
      </c>
      <c r="D220" s="22">
        <f t="shared" si="455"/>
        <v>4.6015519999999999</v>
      </c>
      <c r="E220" s="22">
        <f t="shared" si="455"/>
        <v>2.2279574000000002</v>
      </c>
      <c r="F220" s="22">
        <f t="shared" si="455"/>
        <v>2.2358527000000001</v>
      </c>
      <c r="G220" s="22">
        <f t="shared" si="455"/>
        <v>4.5819707000000003</v>
      </c>
      <c r="H220" s="22">
        <f t="shared" si="455"/>
        <v>10.1608155</v>
      </c>
      <c r="I220" s="22">
        <f t="shared" si="455"/>
        <v>8.8821475000000003</v>
      </c>
      <c r="J220" s="22">
        <f t="shared" si="455"/>
        <v>8.4481272999999995</v>
      </c>
      <c r="K220" s="22">
        <f t="shared" si="455"/>
        <v>6.9164896999999996</v>
      </c>
      <c r="L220" s="22">
        <f t="shared" si="455"/>
        <v>10.19</v>
      </c>
      <c r="M220" s="22">
        <f t="shared" si="455"/>
        <v>8.99</v>
      </c>
      <c r="N220" s="22">
        <f t="shared" si="455"/>
        <v>8.17</v>
      </c>
      <c r="O220" s="22">
        <f t="shared" si="455"/>
        <v>3.28</v>
      </c>
      <c r="P220" s="22">
        <f t="shared" si="455"/>
        <v>3.91</v>
      </c>
      <c r="Q220" s="22">
        <f t="shared" si="455"/>
        <v>3.61</v>
      </c>
      <c r="R220" s="22">
        <f t="shared" si="455"/>
        <v>5.69</v>
      </c>
      <c r="S220" s="22">
        <f t="shared" si="455"/>
        <v>1.68</v>
      </c>
      <c r="T220" s="22">
        <f t="shared" si="455"/>
        <v>0.68</v>
      </c>
      <c r="U220" s="22">
        <f t="shared" si="455"/>
        <v>13.65</v>
      </c>
      <c r="V220" s="22">
        <f t="shared" si="455"/>
        <v>10.1</v>
      </c>
      <c r="W220" s="22">
        <f t="shared" ref="W220:AE220" si="456">W218+W219</f>
        <v>22.3</v>
      </c>
      <c r="X220" s="22">
        <f t="shared" si="456"/>
        <v>34.83</v>
      </c>
      <c r="Y220" s="22">
        <f t="shared" si="456"/>
        <v>38.54</v>
      </c>
      <c r="Z220" s="22">
        <f t="shared" si="456"/>
        <v>130.78</v>
      </c>
      <c r="AA220" s="22">
        <f t="shared" ref="AA220" si="457">AA218+AA219</f>
        <v>194.95999999999998</v>
      </c>
      <c r="AB220" s="21">
        <f t="shared" si="456"/>
        <v>128.60693032014677</v>
      </c>
      <c r="AC220" s="21">
        <f t="shared" si="456"/>
        <v>547.8709112883945</v>
      </c>
      <c r="AD220" s="21">
        <f t="shared" si="456"/>
        <v>778.07924652688598</v>
      </c>
      <c r="AE220" s="21">
        <f t="shared" si="456"/>
        <v>1042.7617235276682</v>
      </c>
      <c r="AJ220" s="22">
        <f t="shared" ref="AJ220:AO220" si="458">AJ218+AJ219</f>
        <v>5.88</v>
      </c>
      <c r="AK220" s="22">
        <f t="shared" si="458"/>
        <v>68.861336410309605</v>
      </c>
      <c r="AL220" s="22">
        <f t="shared" si="458"/>
        <v>8.17</v>
      </c>
      <c r="AM220" s="22">
        <f t="shared" si="458"/>
        <v>4.7879605889267882</v>
      </c>
      <c r="AN220" s="22">
        <f t="shared" si="458"/>
        <v>2.5</v>
      </c>
      <c r="AO220" s="22">
        <f t="shared" si="458"/>
        <v>17.966617380466758</v>
      </c>
      <c r="AP220" s="22">
        <f t="shared" ref="AP220:CE220" si="459">AP218+AP219</f>
        <v>3.28</v>
      </c>
      <c r="AQ220" s="22">
        <f t="shared" si="459"/>
        <v>9.0541274568195274</v>
      </c>
      <c r="AR220" s="22">
        <f t="shared" si="459"/>
        <v>1.75</v>
      </c>
      <c r="AS220" s="22">
        <f t="shared" si="459"/>
        <v>17.334967232125862</v>
      </c>
      <c r="AT220" s="22">
        <f t="shared" si="459"/>
        <v>3.91</v>
      </c>
      <c r="AU220" s="22">
        <f t="shared" si="459"/>
        <v>15.607949461474707</v>
      </c>
      <c r="AV220" s="22">
        <f t="shared" si="459"/>
        <v>2.13</v>
      </c>
      <c r="AW220" s="22">
        <f t="shared" si="459"/>
        <v>70.839358136751514</v>
      </c>
      <c r="AX220" s="22">
        <f t="shared" si="459"/>
        <v>3.61</v>
      </c>
      <c r="AY220" s="22">
        <f t="shared" si="459"/>
        <v>-6.9285766508514968</v>
      </c>
      <c r="AZ220" s="22">
        <f t="shared" si="459"/>
        <v>2.73</v>
      </c>
      <c r="BA220" s="22">
        <f t="shared" si="459"/>
        <v>105.70082000000009</v>
      </c>
      <c r="BB220" s="22">
        <f t="shared" si="459"/>
        <v>5.69</v>
      </c>
      <c r="BC220" s="22">
        <f t="shared" si="459"/>
        <v>8.8299734967698562</v>
      </c>
      <c r="BD220" s="22">
        <f t="shared" si="459"/>
        <v>1.94</v>
      </c>
      <c r="BE220" s="22">
        <f t="shared" si="459"/>
        <v>-56.140146547776268</v>
      </c>
      <c r="BF220" s="22">
        <f t="shared" si="459"/>
        <v>1.68</v>
      </c>
      <c r="BG220" s="22">
        <f t="shared" si="459"/>
        <v>-48.946584763723493</v>
      </c>
      <c r="BH220" s="22">
        <f t="shared" si="459"/>
        <v>0.72</v>
      </c>
      <c r="BI220" s="22">
        <f t="shared" si="459"/>
        <v>38.028074089799318</v>
      </c>
      <c r="BJ220" s="22">
        <f t="shared" si="459"/>
        <v>0.68</v>
      </c>
      <c r="BK220" s="22">
        <f t="shared" si="459"/>
        <v>32.849044411228782</v>
      </c>
      <c r="BL220" s="22">
        <f t="shared" si="459"/>
        <v>8.44</v>
      </c>
      <c r="BM220" s="22">
        <f t="shared" si="459"/>
        <v>66.327468268777281</v>
      </c>
      <c r="BN220" s="22">
        <f t="shared" si="459"/>
        <v>13.65</v>
      </c>
      <c r="BO220" s="22">
        <f t="shared" si="459"/>
        <v>381.76618630136971</v>
      </c>
      <c r="BP220" s="22">
        <f t="shared" si="459"/>
        <v>5.1100000000000003</v>
      </c>
      <c r="BQ220" s="22">
        <f t="shared" si="459"/>
        <v>-191.13622263474599</v>
      </c>
      <c r="BR220" s="22">
        <f t="shared" si="459"/>
        <v>10.1</v>
      </c>
      <c r="BS220" s="22">
        <f t="shared" si="459"/>
        <v>116.67343150657402</v>
      </c>
      <c r="BT220" s="22">
        <f t="shared" si="459"/>
        <v>11.98</v>
      </c>
      <c r="BU220" s="22">
        <f t="shared" si="459"/>
        <v>45.242288469969395</v>
      </c>
      <c r="BV220" s="22">
        <f t="shared" si="459"/>
        <v>22.3</v>
      </c>
      <c r="BW220" s="22">
        <f t="shared" si="459"/>
        <v>100.75531750010168</v>
      </c>
      <c r="BX220" s="22">
        <f t="shared" si="459"/>
        <v>54.3</v>
      </c>
      <c r="BY220" s="22">
        <f t="shared" si="459"/>
        <v>178.21133761912836</v>
      </c>
      <c r="BZ220" s="22">
        <f t="shared" si="459"/>
        <v>34.83</v>
      </c>
      <c r="CA220" s="22">
        <f t="shared" si="459"/>
        <v>54.696182269607007</v>
      </c>
      <c r="CB220" s="22">
        <f t="shared" si="459"/>
        <v>28.810000000000002</v>
      </c>
      <c r="CC220" s="22">
        <f t="shared" si="459"/>
        <v>40.799517129496891</v>
      </c>
      <c r="CD220" s="22">
        <f t="shared" si="459"/>
        <v>38.54</v>
      </c>
      <c r="CE220" s="22">
        <f t="shared" si="459"/>
        <v>60.7762796668191</v>
      </c>
      <c r="CF220" s="22">
        <f>CF218+CF219</f>
        <v>20.010000000000002</v>
      </c>
      <c r="CG220" s="22">
        <f>CG218+CG219</f>
        <v>-67.342706591080258</v>
      </c>
      <c r="CH220" s="22">
        <f>CH218+CH219</f>
        <v>130.78</v>
      </c>
      <c r="CI220" s="22">
        <f>CI218+CI219</f>
        <v>123.70088982704641</v>
      </c>
      <c r="CJ220" s="22">
        <f t="shared" ref="CJ220:DB220" si="460">CJ218+CJ219</f>
        <v>122.62</v>
      </c>
      <c r="CK220" s="22">
        <f t="shared" si="460"/>
        <v>182.24216667938697</v>
      </c>
      <c r="CL220" s="22">
        <f>CL218+CL219</f>
        <v>194.95999999999998</v>
      </c>
      <c r="CM220" s="21">
        <f t="shared" si="460"/>
        <v>134.56924148350194</v>
      </c>
      <c r="CN220" s="21">
        <f t="shared" si="460"/>
        <v>130.12447543473257</v>
      </c>
      <c r="CO220" s="21">
        <f t="shared" si="460"/>
        <v>128.86152207052208</v>
      </c>
      <c r="CP220" s="21">
        <f t="shared" si="460"/>
        <v>128.60693032014677</v>
      </c>
      <c r="CQ220" s="21">
        <f t="shared" si="460"/>
        <v>219.44451274076619</v>
      </c>
      <c r="CR220" s="21">
        <f t="shared" si="460"/>
        <v>315.25412680726828</v>
      </c>
      <c r="CS220" s="21">
        <f t="shared" si="460"/>
        <v>428.56590758892571</v>
      </c>
      <c r="CT220" s="21">
        <f t="shared" si="460"/>
        <v>547.8709112883945</v>
      </c>
      <c r="CU220" s="21">
        <f t="shared" si="460"/>
        <v>601.51910681591733</v>
      </c>
      <c r="CV220" s="21">
        <f t="shared" si="460"/>
        <v>658.06669784871428</v>
      </c>
      <c r="CW220" s="21">
        <f t="shared" si="460"/>
        <v>717.0579015303133</v>
      </c>
      <c r="CX220" s="21">
        <f t="shared" si="460"/>
        <v>778.07924652688598</v>
      </c>
      <c r="CY220" s="21">
        <f t="shared" si="460"/>
        <v>840.78270243112627</v>
      </c>
      <c r="CZ220" s="21">
        <f t="shared" si="460"/>
        <v>905.8697283772841</v>
      </c>
      <c r="DA220" s="21">
        <f t="shared" si="460"/>
        <v>973.21161819986105</v>
      </c>
      <c r="DB220" s="21">
        <f t="shared" si="460"/>
        <v>1042.7617235276682</v>
      </c>
      <c r="DE220" s="126"/>
      <c r="DF220" s="22">
        <v>197.15010018110573</v>
      </c>
    </row>
    <row r="221" spans="1:110" s="23" customFormat="1" x14ac:dyDescent="0.2">
      <c r="AB221" s="24"/>
      <c r="AC221" s="24"/>
      <c r="AD221" s="24"/>
      <c r="AE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E221" s="123"/>
    </row>
    <row r="222" spans="1:110" s="23" customFormat="1" x14ac:dyDescent="0.2">
      <c r="A222" s="23" t="s">
        <v>77</v>
      </c>
      <c r="B222" s="23">
        <f>-'Annual Raw'!C49</f>
        <v>0</v>
      </c>
      <c r="C222" s="23">
        <f>-'Annual Raw'!D49</f>
        <v>-12.721458800000001</v>
      </c>
      <c r="D222" s="23">
        <f>-'Annual Raw'!E49</f>
        <v>-15.423136599999999</v>
      </c>
      <c r="E222" s="23">
        <f>-'Annual Raw'!F49</f>
        <v>-17.972213700000001</v>
      </c>
      <c r="F222" s="23">
        <f>-'Annual Raw'!G49</f>
        <v>-20.601136400000001</v>
      </c>
      <c r="G222" s="23">
        <f>-'Annual Raw'!H49</f>
        <v>-27.0087124</v>
      </c>
      <c r="H222" s="23">
        <f>-'Annual Raw'!I49</f>
        <v>-40.7930931</v>
      </c>
      <c r="I222" s="23">
        <f>-'Annual Raw'!J49</f>
        <v>-41.6928932</v>
      </c>
      <c r="J222" s="23">
        <f>-'Annual Raw'!K49</f>
        <v>-25.337393200000001</v>
      </c>
      <c r="K222" s="23">
        <f>-'Annual Raw'!L49</f>
        <v>-34.390593199999998</v>
      </c>
      <c r="L222" s="23">
        <f>-'Annual Raw'!M49</f>
        <v>-49.47</v>
      </c>
      <c r="M222" s="23">
        <f>-'Annual Raw'!N49</f>
        <v>-51.24</v>
      </c>
      <c r="N222" s="23">
        <f>-'Annual Raw'!O49</f>
        <v>-47.61</v>
      </c>
      <c r="O222" s="23">
        <f>-'Annual Raw'!P49</f>
        <v>-44.96</v>
      </c>
      <c r="P222" s="23">
        <f>-'Annual Raw'!Q49</f>
        <v>-40.35</v>
      </c>
      <c r="Q222" s="23">
        <f>-'Annual Raw'!R49</f>
        <v>-42.05</v>
      </c>
      <c r="R222" s="23">
        <f>-'Annual Raw'!S49</f>
        <v>-44.11</v>
      </c>
      <c r="S222" s="23">
        <f>-'Annual Raw'!T49</f>
        <v>-42.87</v>
      </c>
      <c r="T222" s="23">
        <f>-'Annual Raw'!U49</f>
        <v>-45.98</v>
      </c>
      <c r="U222" s="23">
        <f>-'Annual Raw'!V49</f>
        <v>-49.11</v>
      </c>
      <c r="V222" s="23">
        <f>-'Annual Raw'!W49</f>
        <v>-48.95</v>
      </c>
      <c r="W222" s="23">
        <f>-'Annual Raw'!X49</f>
        <v>-37.86</v>
      </c>
      <c r="X222" s="23">
        <f>-'Annual Raw'!Y49</f>
        <v>-34.700000000000003</v>
      </c>
      <c r="Y222" s="23">
        <f>-'Annual Raw'!Z49</f>
        <v>-36.47</v>
      </c>
      <c r="Z222" s="23">
        <f>-'Annual Raw'!AA49</f>
        <v>-43.53</v>
      </c>
      <c r="AA222" s="23">
        <f>-'Annual Raw'!AB49</f>
        <v>-61.72</v>
      </c>
      <c r="AB222" s="24">
        <f>+CP222</f>
        <v>-61.72</v>
      </c>
      <c r="AC222" s="24">
        <f>+CT222</f>
        <v>-61.72</v>
      </c>
      <c r="AD222" s="24">
        <f>+CX222</f>
        <v>-61.72</v>
      </c>
      <c r="AE222" s="24">
        <f>+DB222</f>
        <v>-61.72</v>
      </c>
      <c r="AJ222" s="23">
        <f>+'QTR Raw'!D96</f>
        <v>-48.77</v>
      </c>
      <c r="AK222" s="23">
        <f t="shared" ref="AK222:CE222" si="461">+AJ222</f>
        <v>-48.77</v>
      </c>
      <c r="AL222" s="23">
        <f>+'QTR Raw'!F96</f>
        <v>-47.61</v>
      </c>
      <c r="AM222" s="23">
        <f t="shared" si="461"/>
        <v>-47.61</v>
      </c>
      <c r="AN222" s="23">
        <f>+'QTR Raw'!H96</f>
        <v>-45.62</v>
      </c>
      <c r="AO222" s="23">
        <f t="shared" si="461"/>
        <v>-45.62</v>
      </c>
      <c r="AP222" s="23">
        <f>+'QTR Raw'!J96</f>
        <v>-44.96</v>
      </c>
      <c r="AQ222" s="23">
        <f t="shared" si="461"/>
        <v>-44.96</v>
      </c>
      <c r="AR222" s="23">
        <f>+'QTR Raw'!L96</f>
        <v>-40.51</v>
      </c>
      <c r="AS222" s="23">
        <f t="shared" si="461"/>
        <v>-40.51</v>
      </c>
      <c r="AT222" s="23">
        <f>+'QTR Raw'!N96</f>
        <v>-40.35</v>
      </c>
      <c r="AU222" s="23">
        <f t="shared" si="461"/>
        <v>-40.35</v>
      </c>
      <c r="AV222" s="23">
        <f>+'QTR Raw'!P96</f>
        <v>-37.83</v>
      </c>
      <c r="AW222" s="23">
        <f t="shared" si="461"/>
        <v>-37.83</v>
      </c>
      <c r="AX222" s="23">
        <f>+'QTR Raw'!R96</f>
        <v>-42.05</v>
      </c>
      <c r="AY222" s="23">
        <f t="shared" si="461"/>
        <v>-42.05</v>
      </c>
      <c r="AZ222" s="23">
        <f>+'QTR Raw'!T96</f>
        <v>-40.1</v>
      </c>
      <c r="BA222" s="23">
        <f t="shared" si="461"/>
        <v>-40.1</v>
      </c>
      <c r="BB222" s="23">
        <f>+'QTR Raw'!V96</f>
        <v>-44.11</v>
      </c>
      <c r="BC222" s="23">
        <f t="shared" si="461"/>
        <v>-44.11</v>
      </c>
      <c r="BD222" s="23">
        <f>+'QTR Raw'!X96</f>
        <v>-44.77</v>
      </c>
      <c r="BE222" s="23">
        <f t="shared" si="461"/>
        <v>-44.77</v>
      </c>
      <c r="BF222" s="23">
        <f>+'QTR Raw'!Z96</f>
        <v>-42.87</v>
      </c>
      <c r="BG222" s="23">
        <f t="shared" si="461"/>
        <v>-42.87</v>
      </c>
      <c r="BH222" s="23">
        <f>+'QTR Raw'!AB96</f>
        <v>-44.32</v>
      </c>
      <c r="BI222" s="23">
        <f t="shared" si="461"/>
        <v>-44.32</v>
      </c>
      <c r="BJ222" s="23">
        <f>+'QTR Raw'!AD96</f>
        <v>-45.98</v>
      </c>
      <c r="BK222" s="23">
        <f t="shared" si="461"/>
        <v>-45.98</v>
      </c>
      <c r="BL222" s="23">
        <f>+'QTR Raw'!AF96</f>
        <v>-46.43</v>
      </c>
      <c r="BM222" s="23">
        <f t="shared" si="461"/>
        <v>-46.43</v>
      </c>
      <c r="BN222" s="23">
        <f>+'QTR Raw'!AH96</f>
        <v>-49.11</v>
      </c>
      <c r="BO222" s="23">
        <f t="shared" si="461"/>
        <v>-49.11</v>
      </c>
      <c r="BP222" s="23">
        <f>+'QTR Raw'!AJ96</f>
        <v>-31.56</v>
      </c>
      <c r="BQ222" s="23">
        <f t="shared" si="461"/>
        <v>-31.56</v>
      </c>
      <c r="BR222" s="23">
        <f>+'QTR Raw'!AL96</f>
        <v>-48.95</v>
      </c>
      <c r="BS222" s="23">
        <f t="shared" si="461"/>
        <v>-48.95</v>
      </c>
      <c r="BT222" s="23">
        <f>+'QTR Raw'!AN96</f>
        <v>-47.34</v>
      </c>
      <c r="BU222" s="23">
        <f t="shared" si="461"/>
        <v>-47.34</v>
      </c>
      <c r="BV222" s="23">
        <f>+'QTR Raw'!AP96</f>
        <v>-37.86</v>
      </c>
      <c r="BW222" s="23">
        <f t="shared" si="461"/>
        <v>-37.86</v>
      </c>
      <c r="BX222" s="23">
        <f>+'QTR Raw'!AR96</f>
        <v>-34.86</v>
      </c>
      <c r="BY222" s="23">
        <f t="shared" si="461"/>
        <v>-34.86</v>
      </c>
      <c r="BZ222" s="23">
        <f>+'QTR Raw'!AT96</f>
        <v>-34.700000000000003</v>
      </c>
      <c r="CA222" s="23">
        <f t="shared" si="461"/>
        <v>-34.700000000000003</v>
      </c>
      <c r="CB222" s="23">
        <f>+'QTR Raw'!AV96</f>
        <v>-32.6</v>
      </c>
      <c r="CC222" s="23">
        <f t="shared" si="461"/>
        <v>-32.6</v>
      </c>
      <c r="CD222" s="23">
        <f>+'QTR Raw'!AX96</f>
        <v>-36.47</v>
      </c>
      <c r="CE222" s="23">
        <f t="shared" si="461"/>
        <v>-36.47</v>
      </c>
      <c r="CF222" s="23">
        <f>+'QTR Raw'!AZ96</f>
        <v>-36.26</v>
      </c>
      <c r="CG222" s="23">
        <f t="shared" ref="CG222:CI223" si="462">+CF222</f>
        <v>-36.26</v>
      </c>
      <c r="CH222" s="23">
        <f>Z222</f>
        <v>-43.53</v>
      </c>
      <c r="CI222" s="23">
        <f t="shared" si="462"/>
        <v>-43.53</v>
      </c>
      <c r="CJ222" s="23">
        <f>+'QTR Raw'!BD96</f>
        <v>-51.22</v>
      </c>
      <c r="CK222" s="23">
        <f>+CJ222</f>
        <v>-51.22</v>
      </c>
      <c r="CL222" s="23">
        <f>+'QTR Raw'!BF96</f>
        <v>-61.72</v>
      </c>
      <c r="CM222" s="24">
        <f t="shared" ref="CM222:DB222" si="463">+CL222</f>
        <v>-61.72</v>
      </c>
      <c r="CN222" s="24">
        <f t="shared" si="463"/>
        <v>-61.72</v>
      </c>
      <c r="CO222" s="24">
        <f t="shared" si="463"/>
        <v>-61.72</v>
      </c>
      <c r="CP222" s="24">
        <f t="shared" si="463"/>
        <v>-61.72</v>
      </c>
      <c r="CQ222" s="24">
        <f t="shared" si="463"/>
        <v>-61.72</v>
      </c>
      <c r="CR222" s="24">
        <f t="shared" si="463"/>
        <v>-61.72</v>
      </c>
      <c r="CS222" s="24">
        <f t="shared" si="463"/>
        <v>-61.72</v>
      </c>
      <c r="CT222" s="24">
        <f t="shared" si="463"/>
        <v>-61.72</v>
      </c>
      <c r="CU222" s="24">
        <f t="shared" si="463"/>
        <v>-61.72</v>
      </c>
      <c r="CV222" s="24">
        <f t="shared" si="463"/>
        <v>-61.72</v>
      </c>
      <c r="CW222" s="24">
        <f t="shared" si="463"/>
        <v>-61.72</v>
      </c>
      <c r="CX222" s="24">
        <f t="shared" si="463"/>
        <v>-61.72</v>
      </c>
      <c r="CY222" s="24">
        <f t="shared" si="463"/>
        <v>-61.72</v>
      </c>
      <c r="CZ222" s="24">
        <f t="shared" si="463"/>
        <v>-61.72</v>
      </c>
      <c r="DA222" s="24">
        <f t="shared" si="463"/>
        <v>-61.72</v>
      </c>
      <c r="DB222" s="24">
        <f t="shared" si="463"/>
        <v>-61.72</v>
      </c>
      <c r="DE222" s="123"/>
      <c r="DF222" s="23">
        <v>-51.22</v>
      </c>
    </row>
    <row r="223" spans="1:110" s="23" customFormat="1" x14ac:dyDescent="0.2">
      <c r="A223" s="23" t="s">
        <v>78</v>
      </c>
      <c r="B223" s="23">
        <f>'Annual Raw'!C83</f>
        <v>0.19910220000000001</v>
      </c>
      <c r="C223" s="23">
        <f>'Annual Raw'!D83</f>
        <v>1.184E-4</v>
      </c>
      <c r="D223" s="23">
        <f>'Annual Raw'!E83</f>
        <v>5.9200000000000002E-5</v>
      </c>
      <c r="E223" s="23">
        <f>'Annual Raw'!F83</f>
        <v>0.67700819999999995</v>
      </c>
      <c r="F223" s="23">
        <f>'Annual Raw'!G83</f>
        <v>1.6978085000000001</v>
      </c>
      <c r="G223" s="23">
        <f>'Annual Raw'!H83</f>
        <v>2.1134594999999998</v>
      </c>
      <c r="H223" s="23">
        <f>'Annual Raw'!I83</f>
        <v>1.7552604999999999</v>
      </c>
      <c r="I223" s="23">
        <f>'Annual Raw'!J83</f>
        <v>1.1128878</v>
      </c>
      <c r="J223" s="23">
        <f>'Annual Raw'!K83</f>
        <v>0.5860185</v>
      </c>
      <c r="K223" s="23">
        <f>'Annual Raw'!L83</f>
        <v>0</v>
      </c>
      <c r="L223" s="23">
        <f>'Annual Raw'!M83</f>
        <v>0</v>
      </c>
      <c r="M223" s="23">
        <f>'Annual Raw'!N83</f>
        <v>0</v>
      </c>
      <c r="N223" s="23">
        <f>'Annual Raw'!O83</f>
        <v>0</v>
      </c>
      <c r="O223" s="23">
        <f>'Annual Raw'!P83</f>
        <v>0</v>
      </c>
      <c r="P223" s="23">
        <f>'Annual Raw'!Q83</f>
        <v>0</v>
      </c>
      <c r="Q223" s="23">
        <f>'Annual Raw'!R83</f>
        <v>0</v>
      </c>
      <c r="R223" s="23">
        <f>'Annual Raw'!S83</f>
        <v>0</v>
      </c>
      <c r="S223" s="23">
        <f>'Annual Raw'!T83</f>
        <v>0</v>
      </c>
      <c r="T223" s="23">
        <f>'Annual Raw'!U83</f>
        <v>0</v>
      </c>
      <c r="U223" s="23">
        <f>'Annual Raw'!V83</f>
        <v>0</v>
      </c>
      <c r="V223" s="23">
        <f>'Annual Raw'!W83</f>
        <v>0</v>
      </c>
      <c r="W223" s="23">
        <f>'Annual Raw'!X83</f>
        <v>0</v>
      </c>
      <c r="X223" s="23">
        <f>'Annual Raw'!Y83</f>
        <v>0</v>
      </c>
      <c r="Y223" s="23">
        <f>'Annual Raw'!Z83</f>
        <v>0</v>
      </c>
      <c r="Z223" s="23">
        <f>'Annual Raw'!AA83</f>
        <v>0</v>
      </c>
      <c r="AA223" s="23">
        <f>'Annual Raw'!AB83</f>
        <v>0</v>
      </c>
      <c r="AB223" s="24">
        <f>+CP223</f>
        <v>0</v>
      </c>
      <c r="AC223" s="24">
        <f>+CT223</f>
        <v>0</v>
      </c>
      <c r="AD223" s="24">
        <f>+CX223</f>
        <v>0</v>
      </c>
      <c r="AE223" s="24">
        <f>+DB223</f>
        <v>0</v>
      </c>
      <c r="AJ223" s="23">
        <f>+'QTR Raw'!D95</f>
        <v>0</v>
      </c>
      <c r="AK223" s="23">
        <f t="shared" ref="AK223:CE223" si="464">+AJ223</f>
        <v>0</v>
      </c>
      <c r="AL223" s="23">
        <f>+'QTR Raw'!F95</f>
        <v>0</v>
      </c>
      <c r="AM223" s="23">
        <f t="shared" si="464"/>
        <v>0</v>
      </c>
      <c r="AN223" s="23">
        <f>+'QTR Raw'!H95</f>
        <v>0</v>
      </c>
      <c r="AO223" s="23">
        <f t="shared" si="464"/>
        <v>0</v>
      </c>
      <c r="AP223" s="23">
        <f>+'QTR Raw'!J95</f>
        <v>0</v>
      </c>
      <c r="AQ223" s="23">
        <f t="shared" si="464"/>
        <v>0</v>
      </c>
      <c r="AR223" s="23">
        <f>+'QTR Raw'!L95</f>
        <v>0</v>
      </c>
      <c r="AS223" s="23">
        <f t="shared" si="464"/>
        <v>0</v>
      </c>
      <c r="AT223" s="23">
        <f>+'QTR Raw'!N95</f>
        <v>0</v>
      </c>
      <c r="AU223" s="23">
        <f t="shared" si="464"/>
        <v>0</v>
      </c>
      <c r="AV223" s="23">
        <f>+'QTR Raw'!P95</f>
        <v>0</v>
      </c>
      <c r="AW223" s="23">
        <f t="shared" si="464"/>
        <v>0</v>
      </c>
      <c r="AX223" s="23">
        <f>+'QTR Raw'!R95</f>
        <v>0</v>
      </c>
      <c r="AY223" s="23">
        <f t="shared" si="464"/>
        <v>0</v>
      </c>
      <c r="AZ223" s="23">
        <f>+'QTR Raw'!T95</f>
        <v>0</v>
      </c>
      <c r="BA223" s="23">
        <f t="shared" si="464"/>
        <v>0</v>
      </c>
      <c r="BB223" s="23">
        <f>+'QTR Raw'!V95</f>
        <v>0</v>
      </c>
      <c r="BC223" s="23">
        <f t="shared" si="464"/>
        <v>0</v>
      </c>
      <c r="BD223" s="23">
        <f>+'QTR Raw'!X95</f>
        <v>0</v>
      </c>
      <c r="BE223" s="23">
        <f t="shared" si="464"/>
        <v>0</v>
      </c>
      <c r="BF223" s="23">
        <f>+'QTR Raw'!Z95</f>
        <v>0</v>
      </c>
      <c r="BG223" s="23">
        <f t="shared" si="464"/>
        <v>0</v>
      </c>
      <c r="BH223" s="23">
        <f>+'QTR Raw'!AB95</f>
        <v>0</v>
      </c>
      <c r="BI223" s="23">
        <f t="shared" si="464"/>
        <v>0</v>
      </c>
      <c r="BJ223" s="23">
        <f>+'QTR Raw'!AD95</f>
        <v>0</v>
      </c>
      <c r="BK223" s="23">
        <f t="shared" si="464"/>
        <v>0</v>
      </c>
      <c r="BL223" s="23">
        <f>+'QTR Raw'!AF95</f>
        <v>0</v>
      </c>
      <c r="BM223" s="23">
        <f t="shared" si="464"/>
        <v>0</v>
      </c>
      <c r="BN223" s="23">
        <f>+'QTR Raw'!AH95</f>
        <v>0</v>
      </c>
      <c r="BO223" s="23">
        <f t="shared" si="464"/>
        <v>0</v>
      </c>
      <c r="BP223" s="23">
        <f>+'QTR Raw'!AJ95</f>
        <v>0</v>
      </c>
      <c r="BQ223" s="23">
        <f t="shared" si="464"/>
        <v>0</v>
      </c>
      <c r="BR223" s="23">
        <f>+'QTR Raw'!AL95</f>
        <v>0</v>
      </c>
      <c r="BS223" s="23">
        <f t="shared" si="464"/>
        <v>0</v>
      </c>
      <c r="BT223" s="23">
        <f>+'QTR Raw'!AN95</f>
        <v>0</v>
      </c>
      <c r="BU223" s="23">
        <f t="shared" si="464"/>
        <v>0</v>
      </c>
      <c r="BV223" s="23">
        <f>+'QTR Raw'!AP95</f>
        <v>0</v>
      </c>
      <c r="BW223" s="23">
        <f t="shared" si="464"/>
        <v>0</v>
      </c>
      <c r="BX223" s="23">
        <f>+'QTR Raw'!AR95</f>
        <v>0</v>
      </c>
      <c r="BY223" s="23">
        <f t="shared" si="464"/>
        <v>0</v>
      </c>
      <c r="BZ223" s="23">
        <f>+'QTR Raw'!AT95</f>
        <v>0</v>
      </c>
      <c r="CA223" s="23">
        <f t="shared" si="464"/>
        <v>0</v>
      </c>
      <c r="CB223" s="23">
        <f>+'QTR Raw'!AV95</f>
        <v>0</v>
      </c>
      <c r="CC223" s="23">
        <f t="shared" si="464"/>
        <v>0</v>
      </c>
      <c r="CD223" s="23">
        <f>+'QTR Raw'!AX95</f>
        <v>0</v>
      </c>
      <c r="CE223" s="23">
        <f t="shared" si="464"/>
        <v>0</v>
      </c>
      <c r="CF223" s="23">
        <f>+'QTR Raw'!AZ95</f>
        <v>0</v>
      </c>
      <c r="CG223" s="23">
        <f t="shared" si="462"/>
        <v>0</v>
      </c>
      <c r="CH223" s="23">
        <f>Z223</f>
        <v>0</v>
      </c>
      <c r="CI223" s="23">
        <f t="shared" si="462"/>
        <v>0</v>
      </c>
      <c r="CJ223" s="23">
        <f>+'QTR Raw'!BD95</f>
        <v>0</v>
      </c>
      <c r="CK223" s="23">
        <f>+CJ223</f>
        <v>0</v>
      </c>
      <c r="CL223" s="23">
        <f>+'QTR Raw'!BF95</f>
        <v>0</v>
      </c>
      <c r="CM223" s="24">
        <f t="shared" ref="CM223:DB223" si="465">+CL223</f>
        <v>0</v>
      </c>
      <c r="CN223" s="24">
        <f t="shared" si="465"/>
        <v>0</v>
      </c>
      <c r="CO223" s="24">
        <f t="shared" si="465"/>
        <v>0</v>
      </c>
      <c r="CP223" s="24">
        <f t="shared" si="465"/>
        <v>0</v>
      </c>
      <c r="CQ223" s="24">
        <f t="shared" si="465"/>
        <v>0</v>
      </c>
      <c r="CR223" s="24">
        <f t="shared" si="465"/>
        <v>0</v>
      </c>
      <c r="CS223" s="24">
        <f t="shared" si="465"/>
        <v>0</v>
      </c>
      <c r="CT223" s="24">
        <f t="shared" si="465"/>
        <v>0</v>
      </c>
      <c r="CU223" s="24">
        <f t="shared" si="465"/>
        <v>0</v>
      </c>
      <c r="CV223" s="24">
        <f t="shared" si="465"/>
        <v>0</v>
      </c>
      <c r="CW223" s="24">
        <f t="shared" si="465"/>
        <v>0</v>
      </c>
      <c r="CX223" s="24">
        <f t="shared" si="465"/>
        <v>0</v>
      </c>
      <c r="CY223" s="24">
        <f t="shared" si="465"/>
        <v>0</v>
      </c>
      <c r="CZ223" s="24">
        <f t="shared" si="465"/>
        <v>0</v>
      </c>
      <c r="DA223" s="24">
        <f t="shared" si="465"/>
        <v>0</v>
      </c>
      <c r="DB223" s="24">
        <f t="shared" si="465"/>
        <v>0</v>
      </c>
      <c r="DE223" s="123"/>
      <c r="DF223" s="23">
        <v>0</v>
      </c>
    </row>
    <row r="224" spans="1:110" s="26" customFormat="1" x14ac:dyDescent="0.2">
      <c r="A224" s="26" t="s">
        <v>437</v>
      </c>
      <c r="B224" s="26">
        <f t="shared" ref="B224:AE224" si="466">B222+B220+B216+B194+B192+B223</f>
        <v>126.83549489999999</v>
      </c>
      <c r="C224" s="26">
        <f t="shared" si="466"/>
        <v>117.82060929999999</v>
      </c>
      <c r="D224" s="26">
        <f t="shared" si="466"/>
        <v>156.18660729999999</v>
      </c>
      <c r="E224" s="26">
        <f t="shared" si="466"/>
        <v>237.06644929999999</v>
      </c>
      <c r="F224" s="26">
        <f t="shared" si="466"/>
        <v>268.18231000000003</v>
      </c>
      <c r="G224" s="26">
        <f t="shared" si="466"/>
        <v>451.54577819999997</v>
      </c>
      <c r="H224" s="26">
        <f t="shared" si="466"/>
        <v>832.67026839999983</v>
      </c>
      <c r="I224" s="26">
        <f t="shared" si="466"/>
        <v>922.9216856999999</v>
      </c>
      <c r="J224" s="26">
        <f t="shared" si="466"/>
        <v>870.1178877000001</v>
      </c>
      <c r="K224" s="26">
        <f t="shared" si="466"/>
        <v>882.45673439999996</v>
      </c>
      <c r="L224" s="26">
        <f t="shared" si="466"/>
        <v>958.33999999999992</v>
      </c>
      <c r="M224" s="26">
        <f t="shared" si="466"/>
        <v>974.44000000000017</v>
      </c>
      <c r="N224" s="26">
        <f t="shared" si="466"/>
        <v>961.65</v>
      </c>
      <c r="O224" s="26">
        <f t="shared" si="466"/>
        <v>923.3</v>
      </c>
      <c r="P224" s="26">
        <f t="shared" si="466"/>
        <v>988.51</v>
      </c>
      <c r="Q224" s="26">
        <f t="shared" si="466"/>
        <v>1088.1000000000001</v>
      </c>
      <c r="R224" s="26">
        <f t="shared" si="466"/>
        <v>1200.1999999999998</v>
      </c>
      <c r="S224" s="26">
        <f t="shared" si="466"/>
        <v>1299.1399999999999</v>
      </c>
      <c r="T224" s="26">
        <f t="shared" si="466"/>
        <v>1228</v>
      </c>
      <c r="U224" s="26">
        <f t="shared" si="466"/>
        <v>1174.8899999999999</v>
      </c>
      <c r="V224" s="26">
        <f t="shared" si="466"/>
        <v>1141.8399999999997</v>
      </c>
      <c r="W224" s="26">
        <f t="shared" si="466"/>
        <v>1322.6200000000003</v>
      </c>
      <c r="X224" s="26">
        <f t="shared" si="466"/>
        <v>1706.86</v>
      </c>
      <c r="Y224" s="26">
        <f t="shared" si="466"/>
        <v>2049.34</v>
      </c>
      <c r="Z224" s="26">
        <f t="shared" si="466"/>
        <v>2141.4700000000003</v>
      </c>
      <c r="AA224" s="26">
        <f t="shared" si="466"/>
        <v>2352.2100000000005</v>
      </c>
      <c r="AB224" s="27">
        <f t="shared" si="466"/>
        <v>2436.7754958334745</v>
      </c>
      <c r="AC224" s="27">
        <f t="shared" si="466"/>
        <v>2794.8993684895586</v>
      </c>
      <c r="AD224" s="27">
        <f t="shared" si="466"/>
        <v>2925.2583761000551</v>
      </c>
      <c r="AE224" s="27">
        <f t="shared" si="466"/>
        <v>3097.418493156817</v>
      </c>
      <c r="AJ224" s="26">
        <f t="shared" ref="AJ224:BO224" si="467">AJ222+AJ220+AJ216+AJ194+AJ192+AJ223</f>
        <v>877.78000000000009</v>
      </c>
      <c r="AK224" s="26">
        <f t="shared" si="467"/>
        <v>888.85</v>
      </c>
      <c r="AL224" s="26">
        <f t="shared" si="467"/>
        <v>862.28</v>
      </c>
      <c r="AM224" s="26">
        <f t="shared" si="467"/>
        <v>868.31000000000006</v>
      </c>
      <c r="AN224" s="26">
        <f t="shared" si="467"/>
        <v>840.36000000000013</v>
      </c>
      <c r="AO224" s="26">
        <f t="shared" si="467"/>
        <v>852.5100000000001</v>
      </c>
      <c r="AP224" s="26">
        <f t="shared" si="467"/>
        <v>829.05</v>
      </c>
      <c r="AQ224" s="26">
        <f t="shared" si="467"/>
        <v>840.39</v>
      </c>
      <c r="AR224" s="26">
        <f t="shared" si="467"/>
        <v>851.21999999999991</v>
      </c>
      <c r="AS224" s="26">
        <f t="shared" si="467"/>
        <v>864.98999999999978</v>
      </c>
      <c r="AT224" s="26">
        <f t="shared" si="467"/>
        <v>906.41000000000008</v>
      </c>
      <c r="AU224" s="26">
        <f t="shared" si="467"/>
        <v>923.61</v>
      </c>
      <c r="AV224" s="26">
        <f t="shared" si="467"/>
        <v>926.99</v>
      </c>
      <c r="AW224" s="26">
        <f t="shared" si="467"/>
        <v>942.54000000000019</v>
      </c>
      <c r="AX224" s="26">
        <f t="shared" si="467"/>
        <v>1022.0900000000001</v>
      </c>
      <c r="AY224" s="26">
        <f t="shared" si="467"/>
        <v>1037.3700000000003</v>
      </c>
      <c r="AZ224" s="26">
        <f t="shared" si="467"/>
        <v>1083.01</v>
      </c>
      <c r="BA224" s="26">
        <f t="shared" si="467"/>
        <v>1087.5100000000002</v>
      </c>
      <c r="BB224" s="26">
        <f t="shared" si="467"/>
        <v>1138.96</v>
      </c>
      <c r="BC224" s="26">
        <f t="shared" si="467"/>
        <v>1140.18</v>
      </c>
      <c r="BD224" s="26">
        <f t="shared" si="467"/>
        <v>1139.1099999999999</v>
      </c>
      <c r="BE224" s="26">
        <f t="shared" si="467"/>
        <v>1142.8699999999999</v>
      </c>
      <c r="BF224" s="26">
        <f t="shared" si="467"/>
        <v>1228.3499999999999</v>
      </c>
      <c r="BG224" s="26">
        <f t="shared" si="467"/>
        <v>1232.44</v>
      </c>
      <c r="BH224" s="26">
        <f t="shared" si="467"/>
        <v>1195.8699999999999</v>
      </c>
      <c r="BI224" s="26">
        <f t="shared" si="467"/>
        <v>1195.1299999999999</v>
      </c>
      <c r="BJ224" s="26">
        <f t="shared" si="467"/>
        <v>1160.94</v>
      </c>
      <c r="BK224" s="26">
        <f t="shared" si="467"/>
        <v>1162.0800000000002</v>
      </c>
      <c r="BL224" s="26">
        <f t="shared" si="467"/>
        <v>1106.03</v>
      </c>
      <c r="BM224" s="26">
        <f t="shared" si="467"/>
        <v>1111.57</v>
      </c>
      <c r="BN224" s="26">
        <f t="shared" si="467"/>
        <v>1128.3899999999999</v>
      </c>
      <c r="BO224" s="26">
        <f t="shared" si="467"/>
        <v>1095.8699999999999</v>
      </c>
      <c r="BP224" s="26">
        <f t="shared" ref="BP224:CU224" si="468">BP222+BP220+BP216+BP194+BP192+BP223</f>
        <v>1021.98</v>
      </c>
      <c r="BQ224" s="26">
        <f t="shared" si="468"/>
        <v>1029.4099999999999</v>
      </c>
      <c r="BR224" s="26">
        <f t="shared" si="468"/>
        <v>1066.17</v>
      </c>
      <c r="BS224" s="26">
        <f t="shared" si="468"/>
        <v>1079.06</v>
      </c>
      <c r="BT224" s="26">
        <f t="shared" si="468"/>
        <v>1187.4299999999998</v>
      </c>
      <c r="BU224" s="26">
        <f t="shared" si="468"/>
        <v>1231.17</v>
      </c>
      <c r="BV224" s="26">
        <f t="shared" si="468"/>
        <v>1322.62</v>
      </c>
      <c r="BW224" s="26">
        <f t="shared" si="468"/>
        <v>1375.1499999999996</v>
      </c>
      <c r="BX224" s="26">
        <f t="shared" si="468"/>
        <v>1632.98</v>
      </c>
      <c r="BY224" s="26">
        <f t="shared" si="468"/>
        <v>1650.5300000000002</v>
      </c>
      <c r="BZ224" s="26">
        <f t="shared" si="468"/>
        <v>1706.8600000000001</v>
      </c>
      <c r="CA224" s="26">
        <f t="shared" si="468"/>
        <v>1719.63</v>
      </c>
      <c r="CB224" s="26">
        <f t="shared" si="468"/>
        <v>1898.31</v>
      </c>
      <c r="CC224" s="26">
        <f t="shared" si="468"/>
        <v>1902.12</v>
      </c>
      <c r="CD224" s="26">
        <f t="shared" si="468"/>
        <v>2049.34</v>
      </c>
      <c r="CE224" s="26">
        <f t="shared" si="468"/>
        <v>2063.62</v>
      </c>
      <c r="CF224" s="26">
        <f t="shared" si="468"/>
        <v>2197.42</v>
      </c>
      <c r="CG224" s="26">
        <f t="shared" si="468"/>
        <v>2199.87</v>
      </c>
      <c r="CH224" s="26">
        <f t="shared" si="468"/>
        <v>2141.4700000000003</v>
      </c>
      <c r="CI224" s="26">
        <f t="shared" si="468"/>
        <v>2143.6000000000004</v>
      </c>
      <c r="CJ224" s="26">
        <f t="shared" si="468"/>
        <v>2310.1200000000003</v>
      </c>
      <c r="CK224" s="26">
        <f t="shared" si="468"/>
        <v>2334.59</v>
      </c>
      <c r="CL224" s="26">
        <f t="shared" si="468"/>
        <v>2352.21</v>
      </c>
      <c r="CM224" s="27">
        <f t="shared" si="468"/>
        <v>2366.2097515678502</v>
      </c>
      <c r="CN224" s="27">
        <f t="shared" si="468"/>
        <v>2385.2955049412899</v>
      </c>
      <c r="CO224" s="27">
        <f t="shared" si="468"/>
        <v>2409.5051125406576</v>
      </c>
      <c r="CP224" s="27">
        <f t="shared" si="468"/>
        <v>2436.7754958334745</v>
      </c>
      <c r="CQ224" s="27">
        <f t="shared" si="468"/>
        <v>2518.4429644579245</v>
      </c>
      <c r="CR224" s="27">
        <f t="shared" si="468"/>
        <v>2605.9054097491871</v>
      </c>
      <c r="CS224" s="27">
        <f t="shared" si="468"/>
        <v>2698.2604244755339</v>
      </c>
      <c r="CT224" s="27">
        <f t="shared" si="468"/>
        <v>2794.8993684895586</v>
      </c>
      <c r="CU224" s="27">
        <f t="shared" si="468"/>
        <v>2822.86841925718</v>
      </c>
      <c r="CV224" s="27">
        <f t="shared" ref="CV224:EA224" si="469">CV222+CV220+CV216+CV194+CV192+CV223</f>
        <v>2854.2205961400596</v>
      </c>
      <c r="CW224" s="27">
        <f t="shared" si="469"/>
        <v>2888.4912929144948</v>
      </c>
      <c r="CX224" s="27">
        <f t="shared" si="469"/>
        <v>2925.2583761000551</v>
      </c>
      <c r="CY224" s="27">
        <f t="shared" si="469"/>
        <v>2964.165311417918</v>
      </c>
      <c r="CZ224" s="27">
        <f t="shared" si="469"/>
        <v>3005.9052095141715</v>
      </c>
      <c r="DA224" s="27">
        <f t="shared" si="469"/>
        <v>3050.3411682796223</v>
      </c>
      <c r="DB224" s="27">
        <f t="shared" si="469"/>
        <v>3097.418493156817</v>
      </c>
      <c r="DE224" s="121"/>
      <c r="DF224" s="26">
        <v>2352.204545816925</v>
      </c>
    </row>
    <row r="225" spans="1:110" s="23" customFormat="1" x14ac:dyDescent="0.2">
      <c r="A225" s="28" t="s">
        <v>438</v>
      </c>
      <c r="B225" s="23">
        <f t="shared" ref="B225:AE225" si="470">B224-B183</f>
        <v>0</v>
      </c>
      <c r="C225" s="23">
        <f t="shared" si="470"/>
        <v>0</v>
      </c>
      <c r="D225" s="23">
        <f t="shared" si="470"/>
        <v>0</v>
      </c>
      <c r="E225" s="23">
        <f t="shared" si="470"/>
        <v>0</v>
      </c>
      <c r="F225" s="23">
        <f t="shared" si="470"/>
        <v>0</v>
      </c>
      <c r="G225" s="23">
        <f t="shared" si="470"/>
        <v>0</v>
      </c>
      <c r="H225" s="23">
        <f t="shared" si="470"/>
        <v>0</v>
      </c>
      <c r="I225" s="23">
        <f t="shared" si="470"/>
        <v>0</v>
      </c>
      <c r="J225" s="23">
        <f t="shared" si="470"/>
        <v>0</v>
      </c>
      <c r="K225" s="23">
        <f t="shared" si="470"/>
        <v>0</v>
      </c>
      <c r="L225" s="23">
        <f t="shared" si="470"/>
        <v>0</v>
      </c>
      <c r="M225" s="23">
        <f t="shared" si="470"/>
        <v>0</v>
      </c>
      <c r="N225" s="23">
        <f t="shared" si="470"/>
        <v>0</v>
      </c>
      <c r="O225" s="23">
        <f t="shared" si="470"/>
        <v>0</v>
      </c>
      <c r="P225" s="23">
        <f t="shared" si="470"/>
        <v>0</v>
      </c>
      <c r="Q225" s="23">
        <f t="shared" si="470"/>
        <v>0</v>
      </c>
      <c r="R225" s="23">
        <f t="shared" si="470"/>
        <v>0</v>
      </c>
      <c r="S225" s="23">
        <f t="shared" si="470"/>
        <v>0</v>
      </c>
      <c r="T225" s="23">
        <f t="shared" si="470"/>
        <v>0</v>
      </c>
      <c r="U225" s="23">
        <f t="shared" si="470"/>
        <v>0</v>
      </c>
      <c r="V225" s="23">
        <f t="shared" si="470"/>
        <v>0</v>
      </c>
      <c r="W225" s="23">
        <f t="shared" si="470"/>
        <v>0</v>
      </c>
      <c r="X225" s="23">
        <f t="shared" si="470"/>
        <v>0</v>
      </c>
      <c r="Y225" s="23">
        <f t="shared" si="470"/>
        <v>0</v>
      </c>
      <c r="Z225" s="23">
        <f t="shared" si="470"/>
        <v>0</v>
      </c>
      <c r="AA225" s="23">
        <f t="shared" si="470"/>
        <v>0</v>
      </c>
      <c r="AB225" s="24">
        <f t="shared" si="470"/>
        <v>0</v>
      </c>
      <c r="AC225" s="24">
        <f t="shared" si="470"/>
        <v>0</v>
      </c>
      <c r="AD225" s="24">
        <f t="shared" si="470"/>
        <v>0</v>
      </c>
      <c r="AE225" s="24">
        <f t="shared" si="470"/>
        <v>0</v>
      </c>
      <c r="AJ225" s="23">
        <f t="shared" ref="AJ225:BO225" si="471">AJ224-AJ183</f>
        <v>0</v>
      </c>
      <c r="AK225" s="23">
        <f t="shared" si="471"/>
        <v>0</v>
      </c>
      <c r="AL225" s="23">
        <f t="shared" si="471"/>
        <v>0</v>
      </c>
      <c r="AM225" s="23">
        <f t="shared" si="471"/>
        <v>0</v>
      </c>
      <c r="AN225" s="23">
        <f t="shared" si="471"/>
        <v>0</v>
      </c>
      <c r="AO225" s="23">
        <f t="shared" si="471"/>
        <v>0</v>
      </c>
      <c r="AP225" s="23">
        <f t="shared" si="471"/>
        <v>-1.999999999998181E-2</v>
      </c>
      <c r="AQ225" s="23">
        <f t="shared" si="471"/>
        <v>-2.0000000000095497E-2</v>
      </c>
      <c r="AR225" s="23">
        <f t="shared" si="471"/>
        <v>0</v>
      </c>
      <c r="AS225" s="23">
        <f t="shared" si="471"/>
        <v>0</v>
      </c>
      <c r="AT225" s="23">
        <f t="shared" si="471"/>
        <v>0</v>
      </c>
      <c r="AU225" s="23">
        <f t="shared" si="471"/>
        <v>0</v>
      </c>
      <c r="AV225" s="23">
        <f t="shared" si="471"/>
        <v>0</v>
      </c>
      <c r="AW225" s="23">
        <f t="shared" si="471"/>
        <v>0</v>
      </c>
      <c r="AX225" s="23">
        <f t="shared" si="471"/>
        <v>0</v>
      </c>
      <c r="AY225" s="23">
        <f t="shared" si="471"/>
        <v>0</v>
      </c>
      <c r="AZ225" s="23">
        <f t="shared" si="471"/>
        <v>0</v>
      </c>
      <c r="BA225" s="23">
        <f t="shared" si="471"/>
        <v>0</v>
      </c>
      <c r="BB225" s="23">
        <f t="shared" si="471"/>
        <v>0</v>
      </c>
      <c r="BC225" s="23">
        <f t="shared" si="471"/>
        <v>0</v>
      </c>
      <c r="BD225" s="23">
        <f t="shared" si="471"/>
        <v>0</v>
      </c>
      <c r="BE225" s="23">
        <f t="shared" si="471"/>
        <v>0</v>
      </c>
      <c r="BF225" s="23">
        <f t="shared" si="471"/>
        <v>0</v>
      </c>
      <c r="BG225" s="23">
        <f t="shared" si="471"/>
        <v>0</v>
      </c>
      <c r="BH225" s="23">
        <f t="shared" si="471"/>
        <v>0</v>
      </c>
      <c r="BI225" s="23">
        <f t="shared" si="471"/>
        <v>0</v>
      </c>
      <c r="BJ225" s="23">
        <f t="shared" si="471"/>
        <v>0</v>
      </c>
      <c r="BK225" s="23">
        <f t="shared" si="471"/>
        <v>0</v>
      </c>
      <c r="BL225" s="23">
        <f t="shared" si="471"/>
        <v>0</v>
      </c>
      <c r="BM225" s="23">
        <f t="shared" si="471"/>
        <v>0</v>
      </c>
      <c r="BN225" s="23">
        <f t="shared" si="471"/>
        <v>0</v>
      </c>
      <c r="BO225" s="23">
        <f t="shared" si="471"/>
        <v>0</v>
      </c>
      <c r="BP225" s="23">
        <f t="shared" ref="BP225:CU225" si="472">BP224-BP183</f>
        <v>0</v>
      </c>
      <c r="BQ225" s="23">
        <f t="shared" si="472"/>
        <v>0</v>
      </c>
      <c r="BR225" s="23">
        <f t="shared" si="472"/>
        <v>0</v>
      </c>
      <c r="BS225" s="23">
        <f t="shared" si="472"/>
        <v>0</v>
      </c>
      <c r="BT225" s="23">
        <f t="shared" si="472"/>
        <v>0</v>
      </c>
      <c r="BU225" s="23">
        <f t="shared" si="472"/>
        <v>0</v>
      </c>
      <c r="BV225" s="23">
        <f t="shared" si="472"/>
        <v>0</v>
      </c>
      <c r="BW225" s="23">
        <f t="shared" si="472"/>
        <v>0</v>
      </c>
      <c r="BX225" s="23">
        <f t="shared" si="472"/>
        <v>0</v>
      </c>
      <c r="BY225" s="23">
        <f t="shared" si="472"/>
        <v>0</v>
      </c>
      <c r="BZ225" s="23">
        <f t="shared" si="472"/>
        <v>0</v>
      </c>
      <c r="CA225" s="23">
        <f t="shared" si="472"/>
        <v>0</v>
      </c>
      <c r="CB225" s="23">
        <f t="shared" si="472"/>
        <v>0</v>
      </c>
      <c r="CC225" s="23">
        <f t="shared" si="472"/>
        <v>0</v>
      </c>
      <c r="CD225" s="23">
        <f t="shared" si="472"/>
        <v>0</v>
      </c>
      <c r="CE225" s="23">
        <f t="shared" si="472"/>
        <v>0</v>
      </c>
      <c r="CF225" s="23">
        <f t="shared" si="472"/>
        <v>0</v>
      </c>
      <c r="CG225" s="23">
        <f t="shared" si="472"/>
        <v>0</v>
      </c>
      <c r="CH225" s="23">
        <f t="shared" si="472"/>
        <v>0</v>
      </c>
      <c r="CI225" s="23">
        <f t="shared" si="472"/>
        <v>0</v>
      </c>
      <c r="CJ225" s="23">
        <f t="shared" si="472"/>
        <v>0</v>
      </c>
      <c r="CK225" s="23">
        <f t="shared" si="472"/>
        <v>0</v>
      </c>
      <c r="CL225" s="23">
        <f t="shared" si="472"/>
        <v>0</v>
      </c>
      <c r="CM225" s="24">
        <f t="shared" si="472"/>
        <v>0</v>
      </c>
      <c r="CN225" s="24">
        <f t="shared" si="472"/>
        <v>0</v>
      </c>
      <c r="CO225" s="24">
        <f t="shared" si="472"/>
        <v>0</v>
      </c>
      <c r="CP225" s="24">
        <f t="shared" si="472"/>
        <v>0</v>
      </c>
      <c r="CQ225" s="24">
        <f t="shared" si="472"/>
        <v>0</v>
      </c>
      <c r="CR225" s="24">
        <f t="shared" si="472"/>
        <v>0</v>
      </c>
      <c r="CS225" s="24">
        <f t="shared" si="472"/>
        <v>0</v>
      </c>
      <c r="CT225" s="24">
        <f t="shared" si="472"/>
        <v>0</v>
      </c>
      <c r="CU225" s="24">
        <f t="shared" si="472"/>
        <v>0</v>
      </c>
      <c r="CV225" s="24">
        <f t="shared" ref="CV225:EA225" si="473">CV224-CV183</f>
        <v>0</v>
      </c>
      <c r="CW225" s="24">
        <f t="shared" si="473"/>
        <v>0</v>
      </c>
      <c r="CX225" s="24">
        <f t="shared" si="473"/>
        <v>0</v>
      </c>
      <c r="CY225" s="24">
        <f t="shared" si="473"/>
        <v>0</v>
      </c>
      <c r="CZ225" s="24">
        <f t="shared" si="473"/>
        <v>0</v>
      </c>
      <c r="DA225" s="24">
        <f t="shared" si="473"/>
        <v>0</v>
      </c>
      <c r="DB225" s="24">
        <f t="shared" si="473"/>
        <v>0</v>
      </c>
      <c r="DE225" s="123"/>
      <c r="DF225" s="23">
        <v>0</v>
      </c>
    </row>
    <row r="226" spans="1:110" s="23" customFormat="1" x14ac:dyDescent="0.2">
      <c r="A226" s="28"/>
      <c r="AB226" s="24"/>
      <c r="AC226" s="24"/>
      <c r="AD226" s="24"/>
      <c r="AE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E226" s="123"/>
    </row>
    <row r="227" spans="1:110" s="22" customFormat="1" x14ac:dyDescent="0.2">
      <c r="A227" s="22" t="s">
        <v>79</v>
      </c>
      <c r="B227" s="22">
        <f t="shared" ref="B227:AE227" si="474">B182-B220</f>
        <v>71.926499399999997</v>
      </c>
      <c r="C227" s="22">
        <f t="shared" si="474"/>
        <v>68.647356899999991</v>
      </c>
      <c r="D227" s="22">
        <f t="shared" si="474"/>
        <v>99.829303199999998</v>
      </c>
      <c r="E227" s="22">
        <f t="shared" si="474"/>
        <v>162.05710169999998</v>
      </c>
      <c r="F227" s="22">
        <f t="shared" si="474"/>
        <v>182.80741409999999</v>
      </c>
      <c r="G227" s="22">
        <f t="shared" si="474"/>
        <v>307.38128740000002</v>
      </c>
      <c r="H227" s="22">
        <f t="shared" si="474"/>
        <v>634.590283</v>
      </c>
      <c r="I227" s="22">
        <f t="shared" si="474"/>
        <v>720.74579920000008</v>
      </c>
      <c r="J227" s="22">
        <f t="shared" si="474"/>
        <v>684.36047780000001</v>
      </c>
      <c r="K227" s="22">
        <f t="shared" si="474"/>
        <v>685.67538510000009</v>
      </c>
      <c r="L227" s="22">
        <f t="shared" si="474"/>
        <v>708.56999999999994</v>
      </c>
      <c r="M227" s="22">
        <f t="shared" si="474"/>
        <v>713.37</v>
      </c>
      <c r="N227" s="22">
        <f t="shared" si="474"/>
        <v>655.63</v>
      </c>
      <c r="O227" s="22">
        <f t="shared" si="474"/>
        <v>588.59</v>
      </c>
      <c r="P227" s="22">
        <f t="shared" si="474"/>
        <v>612.9</v>
      </c>
      <c r="Q227" s="22">
        <f t="shared" si="474"/>
        <v>645.2399999999999</v>
      </c>
      <c r="R227" s="22">
        <f t="shared" si="474"/>
        <v>702.56999999999994</v>
      </c>
      <c r="S227" s="22">
        <f t="shared" si="474"/>
        <v>785.71000000000015</v>
      </c>
      <c r="T227" s="22">
        <f t="shared" si="474"/>
        <v>706.62</v>
      </c>
      <c r="U227" s="22">
        <f t="shared" si="474"/>
        <v>634.12</v>
      </c>
      <c r="V227" s="22">
        <f t="shared" si="474"/>
        <v>579.4</v>
      </c>
      <c r="W227" s="22">
        <f t="shared" si="474"/>
        <v>584.3900000000001</v>
      </c>
      <c r="X227" s="22">
        <f t="shared" si="474"/>
        <v>788.9</v>
      </c>
      <c r="Y227" s="22">
        <f t="shared" si="474"/>
        <v>1026.48</v>
      </c>
      <c r="Z227" s="22">
        <f t="shared" si="474"/>
        <v>1003.9100000000001</v>
      </c>
      <c r="AA227" s="22">
        <f t="shared" ref="AA227" si="475">AA182-AA220</f>
        <v>1080.98</v>
      </c>
      <c r="AB227" s="21">
        <f t="shared" si="474"/>
        <v>1059.3330696798532</v>
      </c>
      <c r="AC227" s="21">
        <f t="shared" si="474"/>
        <v>768.06908871160556</v>
      </c>
      <c r="AD227" s="21">
        <f t="shared" si="474"/>
        <v>393.86075347311407</v>
      </c>
      <c r="AE227" s="21">
        <f t="shared" si="474"/>
        <v>-14.821723527668155</v>
      </c>
      <c r="AJ227" s="22">
        <f t="shared" ref="AJ227:BO227" si="476">AJ182-AJ220</f>
        <v>591.96</v>
      </c>
      <c r="AK227" s="22">
        <f t="shared" si="476"/>
        <v>528.97866358969043</v>
      </c>
      <c r="AL227" s="22">
        <f t="shared" si="476"/>
        <v>556.2600000000001</v>
      </c>
      <c r="AM227" s="22">
        <f t="shared" si="476"/>
        <v>559.64203941107326</v>
      </c>
      <c r="AN227" s="22">
        <f t="shared" si="476"/>
        <v>521.74</v>
      </c>
      <c r="AO227" s="22">
        <f t="shared" si="476"/>
        <v>506.27338261953327</v>
      </c>
      <c r="AP227" s="22">
        <f t="shared" si="476"/>
        <v>494.36</v>
      </c>
      <c r="AQ227" s="22">
        <f t="shared" si="476"/>
        <v>488.58587254318047</v>
      </c>
      <c r="AR227" s="22">
        <f t="shared" si="476"/>
        <v>494.73</v>
      </c>
      <c r="AS227" s="22">
        <f t="shared" si="476"/>
        <v>479.14503276787417</v>
      </c>
      <c r="AT227" s="22">
        <f t="shared" si="476"/>
        <v>530.80000000000007</v>
      </c>
      <c r="AU227" s="22">
        <f t="shared" si="476"/>
        <v>519.1020505385253</v>
      </c>
      <c r="AV227" s="22">
        <f t="shared" si="476"/>
        <v>517.31000000000006</v>
      </c>
      <c r="AW227" s="22">
        <f t="shared" si="476"/>
        <v>448.60064186324854</v>
      </c>
      <c r="AX227" s="22">
        <f t="shared" si="476"/>
        <v>579.2299999999999</v>
      </c>
      <c r="AY227" s="22">
        <f t="shared" si="476"/>
        <v>589.7685766508514</v>
      </c>
      <c r="AZ227" s="22">
        <f t="shared" si="476"/>
        <v>610.42999999999995</v>
      </c>
      <c r="BA227" s="22">
        <f t="shared" si="476"/>
        <v>507.45917999999989</v>
      </c>
      <c r="BB227" s="22">
        <f t="shared" si="476"/>
        <v>641.32999999999993</v>
      </c>
      <c r="BC227" s="22">
        <f t="shared" si="476"/>
        <v>638.19002650323011</v>
      </c>
      <c r="BD227" s="22">
        <f t="shared" si="476"/>
        <v>651.28</v>
      </c>
      <c r="BE227" s="22">
        <f t="shared" si="476"/>
        <v>709.36014654777625</v>
      </c>
      <c r="BF227" s="22">
        <f t="shared" si="476"/>
        <v>714.92000000000007</v>
      </c>
      <c r="BG227" s="22">
        <f t="shared" si="476"/>
        <v>765.54658476372356</v>
      </c>
      <c r="BH227" s="22">
        <f t="shared" si="476"/>
        <v>671.31</v>
      </c>
      <c r="BI227" s="22">
        <f t="shared" si="476"/>
        <v>634.00192591020061</v>
      </c>
      <c r="BJ227" s="22">
        <f t="shared" si="476"/>
        <v>639.56000000000006</v>
      </c>
      <c r="BK227" s="22">
        <f t="shared" si="476"/>
        <v>607.39095558877125</v>
      </c>
      <c r="BL227" s="22">
        <f t="shared" si="476"/>
        <v>577.23</v>
      </c>
      <c r="BM227" s="22">
        <f t="shared" si="476"/>
        <v>519.34253173122283</v>
      </c>
      <c r="BN227" s="22">
        <f t="shared" si="476"/>
        <v>587.62</v>
      </c>
      <c r="BO227" s="22">
        <f t="shared" si="476"/>
        <v>219.50381369863027</v>
      </c>
      <c r="BP227" s="22">
        <f t="shared" ref="BP227:CU227" si="477">BP182-BP220</f>
        <v>524.45999999999992</v>
      </c>
      <c r="BQ227" s="22">
        <f t="shared" si="477"/>
        <v>720.70622263474593</v>
      </c>
      <c r="BR227" s="22">
        <f t="shared" si="477"/>
        <v>503.7299999999999</v>
      </c>
      <c r="BS227" s="22">
        <f t="shared" si="477"/>
        <v>397.15656849342588</v>
      </c>
      <c r="BT227" s="22">
        <f t="shared" si="477"/>
        <v>583.74</v>
      </c>
      <c r="BU227" s="22">
        <f t="shared" si="477"/>
        <v>550.47771153003066</v>
      </c>
      <c r="BV227" s="22">
        <f t="shared" si="477"/>
        <v>584.3900000000001</v>
      </c>
      <c r="BW227" s="22">
        <f t="shared" si="477"/>
        <v>505.93468249989837</v>
      </c>
      <c r="BX227" s="22">
        <f t="shared" si="477"/>
        <v>743.59</v>
      </c>
      <c r="BY227" s="22">
        <f t="shared" si="477"/>
        <v>619.67866238087163</v>
      </c>
      <c r="BZ227" s="22">
        <f t="shared" si="477"/>
        <v>788.9</v>
      </c>
      <c r="CA227" s="22">
        <f t="shared" si="477"/>
        <v>769.03381773039303</v>
      </c>
      <c r="CB227" s="22">
        <f t="shared" si="477"/>
        <v>902.36000000000013</v>
      </c>
      <c r="CC227" s="22">
        <f t="shared" si="477"/>
        <v>890.37048287050322</v>
      </c>
      <c r="CD227" s="22">
        <f t="shared" si="477"/>
        <v>1026.48</v>
      </c>
      <c r="CE227" s="22">
        <f t="shared" si="477"/>
        <v>1004.2437203331809</v>
      </c>
      <c r="CF227" s="22">
        <f t="shared" si="477"/>
        <v>1178.8399999999999</v>
      </c>
      <c r="CG227" s="22">
        <f t="shared" si="477"/>
        <v>1266.1927065910802</v>
      </c>
      <c r="CH227" s="22">
        <f t="shared" si="477"/>
        <v>1003.9100000000001</v>
      </c>
      <c r="CI227" s="22">
        <f t="shared" si="477"/>
        <v>1010.9891101729536</v>
      </c>
      <c r="CJ227" s="22">
        <f t="shared" si="477"/>
        <v>1166.9000000000001</v>
      </c>
      <c r="CK227" s="22">
        <f t="shared" si="477"/>
        <v>1107.2778333206129</v>
      </c>
      <c r="CL227" s="22">
        <f t="shared" si="477"/>
        <v>1080.98</v>
      </c>
      <c r="CM227" s="21">
        <f t="shared" si="477"/>
        <v>1119.3707585164982</v>
      </c>
      <c r="CN227" s="21">
        <f t="shared" si="477"/>
        <v>1101.8155245652674</v>
      </c>
      <c r="CO227" s="21">
        <f t="shared" si="477"/>
        <v>1081.0784779294779</v>
      </c>
      <c r="CP227" s="21">
        <f t="shared" si="477"/>
        <v>1059.3330696798532</v>
      </c>
      <c r="CQ227" s="21">
        <f t="shared" si="477"/>
        <v>1000.4954872592339</v>
      </c>
      <c r="CR227" s="21">
        <f t="shared" si="477"/>
        <v>936.68587319273183</v>
      </c>
      <c r="CS227" s="21">
        <f t="shared" si="477"/>
        <v>855.37409241107434</v>
      </c>
      <c r="CT227" s="21">
        <f t="shared" si="477"/>
        <v>768.06908871160556</v>
      </c>
      <c r="CU227" s="21">
        <f t="shared" si="477"/>
        <v>678.42089318408273</v>
      </c>
      <c r="CV227" s="21">
        <f t="shared" ref="CV227:DB227" si="478">CV182-CV220</f>
        <v>585.87330215128577</v>
      </c>
      <c r="CW227" s="21">
        <f t="shared" si="478"/>
        <v>490.88209846968675</v>
      </c>
      <c r="CX227" s="21">
        <f t="shared" si="478"/>
        <v>393.86075347311407</v>
      </c>
      <c r="CY227" s="21">
        <f t="shared" si="478"/>
        <v>295.15729756887379</v>
      </c>
      <c r="CZ227" s="21">
        <f t="shared" si="478"/>
        <v>194.07027162271595</v>
      </c>
      <c r="DA227" s="21">
        <f t="shared" si="478"/>
        <v>90.728381800139005</v>
      </c>
      <c r="DB227" s="21">
        <f t="shared" si="478"/>
        <v>-14.821723527668155</v>
      </c>
      <c r="DE227" s="126"/>
      <c r="DF227" s="22">
        <v>1092.3698998188943</v>
      </c>
    </row>
    <row r="228" spans="1:110" x14ac:dyDescent="0.2">
      <c r="AA228" s="2"/>
      <c r="CE228" s="111"/>
      <c r="CG228" s="111"/>
      <c r="CL228" s="2"/>
    </row>
    <row r="229" spans="1:110" s="49" customFormat="1" x14ac:dyDescent="0.2">
      <c r="A229" s="49" t="s">
        <v>80</v>
      </c>
      <c r="B229" s="49">
        <f>'Annual Raw'!C85</f>
        <v>21.932200000000002</v>
      </c>
      <c r="C229" s="49">
        <f>'Annual Raw'!D85</f>
        <v>1.2884</v>
      </c>
      <c r="D229" s="49">
        <f>'Annual Raw'!E85</f>
        <v>11.3034</v>
      </c>
      <c r="E229" s="49">
        <f>'Annual Raw'!F85</f>
        <v>12.758900000000001</v>
      </c>
      <c r="F229" s="49">
        <f>'Annual Raw'!G85</f>
        <v>43.5563</v>
      </c>
      <c r="G229" s="49">
        <f>'Annual Raw'!H85</f>
        <v>143.87989999999999</v>
      </c>
      <c r="H229" s="49">
        <f>'Annual Raw'!I85</f>
        <v>71.248500000000007</v>
      </c>
      <c r="I229" s="49">
        <f>'Annual Raw'!J85</f>
        <v>21.505600000000001</v>
      </c>
      <c r="J229" s="49">
        <f>'Annual Raw'!K85</f>
        <v>20.429099999999998</v>
      </c>
      <c r="K229" s="49">
        <f>'Annual Raw'!L85</f>
        <v>28.196100000000001</v>
      </c>
      <c r="L229" s="49">
        <f>'Annual Raw'!M85</f>
        <v>38.64</v>
      </c>
      <c r="M229" s="49">
        <f>'Annual Raw'!N85</f>
        <v>40.909999999999997</v>
      </c>
      <c r="N229" s="49">
        <f>'Annual Raw'!O85</f>
        <v>33.43</v>
      </c>
      <c r="O229" s="49">
        <f>'Annual Raw'!P85</f>
        <v>7.17</v>
      </c>
      <c r="P229" s="49">
        <f>'Annual Raw'!Q85</f>
        <v>25.1</v>
      </c>
      <c r="Q229" s="49">
        <f>'Annual Raw'!R85</f>
        <v>20.170000000000002</v>
      </c>
      <c r="R229" s="49">
        <f>'Annual Raw'!S85</f>
        <v>16.13</v>
      </c>
      <c r="S229" s="49">
        <f>'Annual Raw'!T85</f>
        <v>24.21</v>
      </c>
      <c r="T229" s="49">
        <f>'Annual Raw'!U85</f>
        <v>17.66</v>
      </c>
      <c r="U229" s="49">
        <f>'Annual Raw'!V85</f>
        <v>14.49</v>
      </c>
      <c r="V229" s="49">
        <f>'Annual Raw'!W85</f>
        <v>15.39</v>
      </c>
      <c r="W229" s="49">
        <f>'Annual Raw'!X85</f>
        <v>12.93</v>
      </c>
      <c r="X229" s="49">
        <f>'Annual Raw'!Y85</f>
        <v>9.66</v>
      </c>
      <c r="Y229" s="49">
        <f>'Annual Raw'!Z85</f>
        <v>120</v>
      </c>
      <c r="Z229" s="49">
        <f>'Annual Raw'!AA85</f>
        <v>93.5</v>
      </c>
      <c r="AA229" s="49">
        <f>'Annual Raw'!AB85</f>
        <v>89.2</v>
      </c>
      <c r="AB229" s="50"/>
      <c r="AC229" s="50"/>
      <c r="AD229" s="50"/>
      <c r="AE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E229" s="138"/>
    </row>
    <row r="230" spans="1:110" s="29" customFormat="1" x14ac:dyDescent="0.2">
      <c r="A230" s="29" t="s">
        <v>81</v>
      </c>
      <c r="B230" s="29">
        <f>'Annual Raw'!C95</f>
        <v>19.0092</v>
      </c>
      <c r="C230" s="29">
        <f>'Annual Raw'!D95</f>
        <v>1.0731999999999999</v>
      </c>
      <c r="D230" s="29">
        <f>'Annual Raw'!E95</f>
        <v>1.0713999999999999</v>
      </c>
      <c r="E230" s="29">
        <f>'Annual Raw'!F95</f>
        <v>4.4154999999999998</v>
      </c>
      <c r="F230" s="29">
        <f>'Annual Raw'!G95</f>
        <v>20.8065</v>
      </c>
      <c r="G230" s="29">
        <f>'Annual Raw'!H95</f>
        <v>6.8936999999999999</v>
      </c>
      <c r="H230" s="29">
        <f>'Annual Raw'!I95</f>
        <v>1.4834000000000001</v>
      </c>
      <c r="I230" s="29">
        <f>'Annual Raw'!J95</f>
        <v>1.7129000000000001</v>
      </c>
      <c r="J230" s="29">
        <f>'Annual Raw'!K95</f>
        <v>17.351299999999998</v>
      </c>
      <c r="K230" s="29">
        <f>'Annual Raw'!L95</f>
        <v>17.351299999999998</v>
      </c>
      <c r="L230" s="29">
        <f>'Annual Raw'!M95</f>
        <v>30.67</v>
      </c>
      <c r="M230" s="29">
        <f>'Annual Raw'!N95</f>
        <v>28.11</v>
      </c>
      <c r="N230" s="29">
        <f>'Annual Raw'!O95</f>
        <v>24.99</v>
      </c>
      <c r="O230" s="29">
        <f>'Annual Raw'!P95</f>
        <v>0</v>
      </c>
      <c r="P230" s="29">
        <f>'Annual Raw'!Q95</f>
        <v>13.69</v>
      </c>
      <c r="Q230" s="29">
        <f>'Annual Raw'!R95</f>
        <v>9.51</v>
      </c>
      <c r="R230" s="29">
        <f>'Annual Raw'!S95</f>
        <v>4.25</v>
      </c>
      <c r="S230" s="29">
        <f>'Annual Raw'!T95</f>
        <v>4.26</v>
      </c>
      <c r="T230" s="29">
        <f>'Annual Raw'!U95</f>
        <v>3.38</v>
      </c>
      <c r="U230" s="29">
        <f>'Annual Raw'!V95</f>
        <v>3.48</v>
      </c>
      <c r="V230" s="29">
        <f>'Annual Raw'!W95</f>
        <v>3.65</v>
      </c>
      <c r="W230" s="29">
        <f>'Annual Raw'!X95</f>
        <v>4.13</v>
      </c>
      <c r="X230" s="29">
        <f>'Annual Raw'!Y95</f>
        <v>6.17</v>
      </c>
      <c r="Y230" s="29">
        <f>'Annual Raw'!Z95</f>
        <v>117.04</v>
      </c>
      <c r="Z230" s="29">
        <f>'Annual Raw'!AA95</f>
        <v>90.54</v>
      </c>
      <c r="AA230" s="29">
        <f>'Annual Raw'!AB95</f>
        <v>86.24</v>
      </c>
      <c r="AB230" s="30"/>
      <c r="AC230" s="30"/>
      <c r="AD230" s="30"/>
      <c r="AE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29" customFormat="1" x14ac:dyDescent="0.2">
      <c r="A231" s="29" t="s">
        <v>82</v>
      </c>
      <c r="B231" s="29">
        <f>'Annual Raw'!C93</f>
        <v>0</v>
      </c>
      <c r="C231" s="29">
        <f>'Annual Raw'!D93</f>
        <v>0.17019999999999999</v>
      </c>
      <c r="D231" s="29">
        <f>'Annual Raw'!E93</f>
        <v>0.1968</v>
      </c>
      <c r="E231" s="29">
        <f>'Annual Raw'!F93</f>
        <v>4.3571</v>
      </c>
      <c r="F231" s="29">
        <f>'Annual Raw'!G93</f>
        <v>4.2058999999999997</v>
      </c>
      <c r="G231" s="29">
        <f>'Annual Raw'!H93</f>
        <v>4.2694000000000001</v>
      </c>
      <c r="H231" s="29">
        <f>'Annual Raw'!I93</f>
        <v>0.50939999999999996</v>
      </c>
      <c r="I231" s="29">
        <f>'Annual Raw'!J93</f>
        <v>0.4249</v>
      </c>
      <c r="J231" s="29">
        <f>'Annual Raw'!K93</f>
        <v>0.24890000000000001</v>
      </c>
      <c r="K231" s="29">
        <f>'Annual Raw'!L93</f>
        <v>0.24890000000000001</v>
      </c>
      <c r="L231" s="29">
        <f>'Annual Raw'!M93</f>
        <v>0.21</v>
      </c>
      <c r="M231" s="29">
        <f>'Annual Raw'!N93</f>
        <v>0.21</v>
      </c>
      <c r="N231" s="29">
        <f>'Annual Raw'!O93</f>
        <v>0.21</v>
      </c>
      <c r="O231" s="29">
        <f>'Annual Raw'!P93</f>
        <v>7.17</v>
      </c>
      <c r="P231" s="29">
        <f>'Annual Raw'!Q93</f>
        <v>11.41</v>
      </c>
      <c r="Q231" s="29">
        <f>'Annual Raw'!R93</f>
        <v>10.210000000000001</v>
      </c>
      <c r="R231" s="29">
        <f>'Annual Raw'!S93</f>
        <v>11.88</v>
      </c>
      <c r="S231" s="29">
        <f>'Annual Raw'!T93</f>
        <v>19.95</v>
      </c>
      <c r="T231" s="29">
        <f>'Annual Raw'!U93</f>
        <v>14.28</v>
      </c>
      <c r="U231" s="29">
        <f>'Annual Raw'!V93</f>
        <v>11.01</v>
      </c>
      <c r="V231" s="29">
        <f>'Annual Raw'!W93</f>
        <v>11.74</v>
      </c>
      <c r="W231" s="29">
        <f>'Annual Raw'!X93</f>
        <v>8.8000000000000007</v>
      </c>
      <c r="X231" s="29">
        <f>'Annual Raw'!Y93</f>
        <v>3.49</v>
      </c>
      <c r="Y231" s="29">
        <f>'Annual Raw'!Z93</f>
        <v>2.96</v>
      </c>
      <c r="Z231" s="29">
        <f>'Annual Raw'!AA93</f>
        <v>2.96</v>
      </c>
      <c r="AA231" s="29">
        <f>'Annual Raw'!AB93</f>
        <v>2.96</v>
      </c>
      <c r="AB231" s="30"/>
      <c r="AC231" s="30"/>
      <c r="AD231" s="30"/>
      <c r="AE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29" customFormat="1" x14ac:dyDescent="0.2">
      <c r="A232" s="29" t="s">
        <v>83</v>
      </c>
      <c r="B232" s="29">
        <f t="shared" ref="B232:V232" si="479">B229-B230-B231</f>
        <v>2.9230000000000018</v>
      </c>
      <c r="C232" s="29">
        <f t="shared" si="479"/>
        <v>4.5000000000000068E-2</v>
      </c>
      <c r="D232" s="29">
        <f t="shared" si="479"/>
        <v>10.0352</v>
      </c>
      <c r="E232" s="29">
        <f t="shared" si="479"/>
        <v>3.9863000000000008</v>
      </c>
      <c r="F232" s="29">
        <f t="shared" si="479"/>
        <v>18.543900000000001</v>
      </c>
      <c r="G232" s="29">
        <f t="shared" si="479"/>
        <v>132.71680000000001</v>
      </c>
      <c r="H232" s="29">
        <f t="shared" si="479"/>
        <v>69.255700000000004</v>
      </c>
      <c r="I232" s="29">
        <f t="shared" si="479"/>
        <v>19.367799999999999</v>
      </c>
      <c r="J232" s="29">
        <f t="shared" si="479"/>
        <v>2.8289</v>
      </c>
      <c r="K232" s="29">
        <f t="shared" si="479"/>
        <v>10.595900000000002</v>
      </c>
      <c r="L232" s="29">
        <f t="shared" si="479"/>
        <v>7.7599999999999989</v>
      </c>
      <c r="M232" s="29">
        <f t="shared" si="479"/>
        <v>12.589999999999996</v>
      </c>
      <c r="N232" s="29">
        <f t="shared" si="479"/>
        <v>8.23</v>
      </c>
      <c r="O232" s="29">
        <f t="shared" si="479"/>
        <v>0</v>
      </c>
      <c r="P232" s="29">
        <f t="shared" si="479"/>
        <v>0</v>
      </c>
      <c r="Q232" s="29">
        <f t="shared" si="479"/>
        <v>0.45000000000000107</v>
      </c>
      <c r="R232" s="29">
        <f t="shared" si="479"/>
        <v>0</v>
      </c>
      <c r="S232" s="29">
        <f t="shared" si="479"/>
        <v>0</v>
      </c>
      <c r="T232" s="29">
        <f t="shared" si="479"/>
        <v>0</v>
      </c>
      <c r="U232" s="29">
        <f t="shared" si="479"/>
        <v>0</v>
      </c>
      <c r="V232" s="29">
        <f t="shared" si="479"/>
        <v>0</v>
      </c>
      <c r="W232" s="29">
        <f t="shared" ref="W232:AE232" si="480">W229-W230-W231</f>
        <v>0</v>
      </c>
      <c r="X232" s="29">
        <f t="shared" si="480"/>
        <v>0</v>
      </c>
      <c r="Y232" s="29">
        <f t="shared" si="480"/>
        <v>-6.2172489379008766E-15</v>
      </c>
      <c r="Z232" s="29">
        <f t="shared" si="480"/>
        <v>-6.2172489379008766E-15</v>
      </c>
      <c r="AA232" s="29">
        <f t="shared" ref="AA232" si="481">AA229-AA230-AA231</f>
        <v>7.9936057773011271E-15</v>
      </c>
      <c r="AB232" s="30">
        <f t="shared" si="480"/>
        <v>0</v>
      </c>
      <c r="AC232" s="30">
        <f t="shared" si="480"/>
        <v>0</v>
      </c>
      <c r="AD232" s="30">
        <f t="shared" si="480"/>
        <v>0</v>
      </c>
      <c r="AE232" s="30">
        <f t="shared" si="480"/>
        <v>0</v>
      </c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  <c r="DF232" s="29">
        <v>0</v>
      </c>
    </row>
    <row r="233" spans="1:110" s="5" customFormat="1" x14ac:dyDescent="0.2">
      <c r="AB233" s="63"/>
      <c r="AC233" s="63"/>
      <c r="AD233" s="63"/>
      <c r="AE233" s="63"/>
      <c r="CE233" s="112"/>
      <c r="CG233" s="112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95" customFormat="1" x14ac:dyDescent="0.2">
      <c r="A234" s="95" t="s">
        <v>84</v>
      </c>
      <c r="B234" s="95">
        <f t="shared" ref="B234:AE234" si="482">B229/B174</f>
        <v>0.42019885041448185</v>
      </c>
      <c r="C234" s="95">
        <f t="shared" si="482"/>
        <v>2.7856402459305214E-2</v>
      </c>
      <c r="D234" s="95">
        <f t="shared" si="482"/>
        <v>0.21839891299734393</v>
      </c>
      <c r="E234" s="95">
        <f t="shared" si="482"/>
        <v>0.1753044283015083</v>
      </c>
      <c r="F234" s="95">
        <f t="shared" si="482"/>
        <v>0.52389705634716754</v>
      </c>
      <c r="G234" s="95">
        <f t="shared" si="482"/>
        <v>1.0307873786554451</v>
      </c>
      <c r="H234" s="95">
        <f t="shared" si="482"/>
        <v>0.37914439510303521</v>
      </c>
      <c r="I234" s="95">
        <f t="shared" si="482"/>
        <v>0.11125864764817862</v>
      </c>
      <c r="J234" s="95">
        <f t="shared" si="482"/>
        <v>0.11521731801310667</v>
      </c>
      <c r="K234" s="95">
        <f t="shared" si="482"/>
        <v>0.14850615358419914</v>
      </c>
      <c r="L234" s="95">
        <f t="shared" si="482"/>
        <v>0.16128224392687204</v>
      </c>
      <c r="M234" s="95">
        <f t="shared" si="482"/>
        <v>0.16228974928594098</v>
      </c>
      <c r="N234" s="95">
        <f t="shared" si="482"/>
        <v>0.11223770354205136</v>
      </c>
      <c r="O234" s="95">
        <f t="shared" si="482"/>
        <v>2.1633527441692061E-2</v>
      </c>
      <c r="P234" s="95">
        <f t="shared" si="482"/>
        <v>6.7527576002152284E-2</v>
      </c>
      <c r="Q234" s="95">
        <f t="shared" si="482"/>
        <v>4.5919180421172455E-2</v>
      </c>
      <c r="R234" s="95">
        <f t="shared" si="482"/>
        <v>3.278855144936374E-2</v>
      </c>
      <c r="S234" s="95">
        <f t="shared" si="482"/>
        <v>4.7308255984367366E-2</v>
      </c>
      <c r="T234" s="95">
        <f t="shared" si="482"/>
        <v>3.3915882465911276E-2</v>
      </c>
      <c r="U234" s="95">
        <f t="shared" si="482"/>
        <v>2.7488996812869936E-2</v>
      </c>
      <c r="V234" s="95">
        <f t="shared" si="482"/>
        <v>2.7863272621935765E-2</v>
      </c>
      <c r="W234" s="95">
        <f t="shared" si="482"/>
        <v>1.8060424901875878E-2</v>
      </c>
      <c r="X234" s="95">
        <f t="shared" si="482"/>
        <v>1.0938366944843909E-2</v>
      </c>
      <c r="Y234" s="95">
        <f t="shared" si="482"/>
        <v>0.12191157347204161</v>
      </c>
      <c r="Z234" s="95">
        <f t="shared" si="482"/>
        <v>9.2870339100895927E-2</v>
      </c>
      <c r="AA234" s="95">
        <f t="shared" ref="AA234" si="483">AA229/AA174</f>
        <v>8.287883151997176E-2</v>
      </c>
      <c r="AB234" s="87">
        <f t="shared" si="482"/>
        <v>0</v>
      </c>
      <c r="AC234" s="87">
        <f t="shared" si="482"/>
        <v>0</v>
      </c>
      <c r="AD234" s="87">
        <f t="shared" si="482"/>
        <v>0</v>
      </c>
      <c r="AE234" s="87">
        <f t="shared" si="482"/>
        <v>0</v>
      </c>
      <c r="CM234" s="96"/>
      <c r="CN234" s="96"/>
      <c r="CO234" s="96"/>
      <c r="CP234" s="96"/>
      <c r="CQ234" s="96"/>
      <c r="CR234" s="96"/>
      <c r="CS234" s="96"/>
      <c r="CT234" s="96"/>
      <c r="CU234" s="96"/>
      <c r="CV234" s="96"/>
      <c r="CW234" s="96"/>
      <c r="CX234" s="96"/>
      <c r="CY234" s="96"/>
      <c r="CZ234" s="96"/>
      <c r="DA234" s="96"/>
      <c r="DB234" s="96"/>
      <c r="DE234" s="140"/>
      <c r="DF234" s="95">
        <v>0</v>
      </c>
    </row>
    <row r="235" spans="1:110" x14ac:dyDescent="0.2">
      <c r="A235" s="152" t="s">
        <v>491</v>
      </c>
      <c r="AA235" s="2"/>
      <c r="CE235" s="111"/>
      <c r="CG235" s="111"/>
      <c r="CL235" s="2"/>
    </row>
    <row r="236" spans="1:110" s="6" customFormat="1" x14ac:dyDescent="0.2">
      <c r="AB236" s="19"/>
      <c r="AC236" s="19"/>
      <c r="AD236" s="19"/>
      <c r="AE236" s="19"/>
      <c r="CE236" s="113"/>
      <c r="CG236" s="113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E236" s="123"/>
    </row>
    <row r="237" spans="1:110" s="62" customFormat="1" x14ac:dyDescent="0.2">
      <c r="A237" s="153" t="s">
        <v>492</v>
      </c>
      <c r="AB237" s="63"/>
      <c r="AC237" s="63"/>
      <c r="AD237" s="63"/>
      <c r="AE237" s="63"/>
      <c r="CE237" s="114"/>
      <c r="CG237" s="114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outlineLevel="1" x14ac:dyDescent="0.2">
      <c r="A238" s="68" t="s">
        <v>463</v>
      </c>
      <c r="B238" s="67">
        <f t="shared" ref="B238:AE238" si="484">B196/B55*365</f>
        <v>35.046542422428033</v>
      </c>
      <c r="C238" s="67">
        <f t="shared" si="484"/>
        <v>31.279556736749967</v>
      </c>
      <c r="D238" s="67">
        <f t="shared" si="484"/>
        <v>46.686476960798714</v>
      </c>
      <c r="E238" s="67">
        <f t="shared" si="484"/>
        <v>39.792033572330205</v>
      </c>
      <c r="F238" s="67">
        <f t="shared" si="484"/>
        <v>47.857814790652654</v>
      </c>
      <c r="G238" s="67">
        <f t="shared" si="484"/>
        <v>68.22945600884951</v>
      </c>
      <c r="H238" s="67">
        <f t="shared" si="484"/>
        <v>80.627978675465556</v>
      </c>
      <c r="I238" s="67">
        <f t="shared" si="484"/>
        <v>88.605567386979089</v>
      </c>
      <c r="J238" s="67">
        <f t="shared" si="484"/>
        <v>69.565406540699513</v>
      </c>
      <c r="K238" s="67">
        <f t="shared" si="484"/>
        <v>75.563637324357714</v>
      </c>
      <c r="L238" s="67">
        <f t="shared" si="484"/>
        <v>73.381056152442738</v>
      </c>
      <c r="M238" s="67">
        <f t="shared" si="484"/>
        <v>51.626410035027128</v>
      </c>
      <c r="N238" s="67">
        <f t="shared" si="484"/>
        <v>52.481298940890511</v>
      </c>
      <c r="O238" s="67">
        <f t="shared" si="484"/>
        <v>58.244998975899499</v>
      </c>
      <c r="P238" s="67">
        <f t="shared" si="484"/>
        <v>64.345656106189963</v>
      </c>
      <c r="Q238" s="67">
        <f t="shared" si="484"/>
        <v>69.89644499066867</v>
      </c>
      <c r="R238" s="67">
        <f t="shared" si="484"/>
        <v>80.87721722680817</v>
      </c>
      <c r="S238" s="67">
        <f t="shared" si="484"/>
        <v>79.723486089372599</v>
      </c>
      <c r="T238" s="67">
        <f t="shared" si="484"/>
        <v>70.290841352954047</v>
      </c>
      <c r="U238" s="67">
        <f t="shared" si="484"/>
        <v>76.009127930685821</v>
      </c>
      <c r="V238" s="67">
        <f t="shared" si="484"/>
        <v>101.08225347137906</v>
      </c>
      <c r="W238" s="67">
        <f t="shared" si="484"/>
        <v>79.051690896560771</v>
      </c>
      <c r="X238" s="67">
        <f t="shared" si="484"/>
        <v>69.083950890388238</v>
      </c>
      <c r="Y238" s="67">
        <f t="shared" si="484"/>
        <v>92.972877331567773</v>
      </c>
      <c r="Z238" s="67">
        <f t="shared" si="484"/>
        <v>73.577468979156095</v>
      </c>
      <c r="AA238" s="67">
        <f t="shared" ref="AA238" si="485">AA196/AA55*365</f>
        <v>66.191394112900483</v>
      </c>
      <c r="AB238" s="18">
        <f t="shared" si="484"/>
        <v>65.107468819586444</v>
      </c>
      <c r="AC238" s="18">
        <f t="shared" si="484"/>
        <v>67.4039282802607</v>
      </c>
      <c r="AD238" s="18">
        <f t="shared" si="484"/>
        <v>66.736843030211432</v>
      </c>
      <c r="AE238" s="18">
        <f t="shared" si="484"/>
        <v>66.736843030211446</v>
      </c>
      <c r="AI238" s="67">
        <f>AJ196/AI55*90</f>
        <v>44.253890531827217</v>
      </c>
      <c r="AJ238" s="67">
        <f>AJ196/AJ55*90</f>
        <v>47.338329098169368</v>
      </c>
      <c r="AK238" s="67">
        <f>+AJ238</f>
        <v>47.338329098169368</v>
      </c>
      <c r="AL238" s="67">
        <f>AL196/AL55*90</f>
        <v>53.796954598891567</v>
      </c>
      <c r="AM238" s="67">
        <f>+AL238</f>
        <v>53.796954598891567</v>
      </c>
      <c r="AN238" s="67">
        <f>AN196/AN55*90</f>
        <v>53.412644459551338</v>
      </c>
      <c r="AO238" s="67">
        <f>+AN238</f>
        <v>53.412644459551338</v>
      </c>
      <c r="AP238" s="67">
        <f>AP196/AP55*90</f>
        <v>56.948670745573658</v>
      </c>
      <c r="AQ238" s="67">
        <f>+AP238</f>
        <v>56.948670745573658</v>
      </c>
      <c r="AR238" s="67">
        <f>AR196/AR55*90</f>
        <v>52.666468890746785</v>
      </c>
      <c r="AS238" s="67">
        <f>+AR238</f>
        <v>52.666468890746785</v>
      </c>
      <c r="AT238" s="67">
        <f>AT196/AT55*90</f>
        <v>65.888152444076212</v>
      </c>
      <c r="AU238" s="67">
        <f>+AT238</f>
        <v>65.888152444076212</v>
      </c>
      <c r="AV238" s="67">
        <f>AV196/AV55*90</f>
        <v>58.703555932372439</v>
      </c>
      <c r="AW238" s="67">
        <f>+AV238</f>
        <v>58.703555932372439</v>
      </c>
      <c r="AX238" s="67">
        <f>AX196/AX55*90</f>
        <v>68.71509683440928</v>
      </c>
      <c r="AY238" s="67">
        <f>+AX238</f>
        <v>68.71509683440928</v>
      </c>
      <c r="AZ238" s="67">
        <f>AZ196/AZ55*90</f>
        <v>58.740000000000009</v>
      </c>
      <c r="BA238" s="67">
        <f>+AZ238</f>
        <v>58.740000000000009</v>
      </c>
      <c r="BB238" s="67">
        <f>BB196/BB55*90</f>
        <v>76.834047185214985</v>
      </c>
      <c r="BC238" s="67">
        <f>+BB238</f>
        <v>76.834047185214985</v>
      </c>
      <c r="BD238" s="67">
        <f>BD196/BD55*90</f>
        <v>78.653322916947289</v>
      </c>
      <c r="BE238" s="67">
        <f>+BD238</f>
        <v>78.653322916947289</v>
      </c>
      <c r="BF238" s="67">
        <f>BF196/BF55*90</f>
        <v>75.467778372965043</v>
      </c>
      <c r="BG238" s="67">
        <f>+BF238</f>
        <v>75.467778372965043</v>
      </c>
      <c r="BH238" s="67">
        <f>BH196/BH55*90</f>
        <v>68.333510243073974</v>
      </c>
      <c r="BI238" s="67">
        <f>+BH238</f>
        <v>68.333510243073974</v>
      </c>
      <c r="BJ238" s="67">
        <f>BJ196/BJ55*90</f>
        <v>66.487847826532075</v>
      </c>
      <c r="BK238" s="67">
        <f>+BJ238</f>
        <v>66.487847826532075</v>
      </c>
      <c r="BL238" s="67">
        <f>BL196/BL55*90</f>
        <v>61.242592630564502</v>
      </c>
      <c r="BM238" s="67">
        <f>+BL238</f>
        <v>61.242592630564502</v>
      </c>
      <c r="BN238" s="67">
        <f>BN196/BN55*90</f>
        <v>83.562141967621415</v>
      </c>
      <c r="BO238" s="67">
        <f>+BN238</f>
        <v>83.562141967621415</v>
      </c>
      <c r="BP238" s="67">
        <f>BP196/BP55*90</f>
        <v>88.358084752272447</v>
      </c>
      <c r="BQ238" s="67">
        <f>+BP238</f>
        <v>88.358084752272447</v>
      </c>
      <c r="BR238" s="67">
        <f>BR196/BR55*90</f>
        <v>68.094366933376222</v>
      </c>
      <c r="BS238" s="67">
        <f>+BR238</f>
        <v>68.094366933376222</v>
      </c>
      <c r="BT238" s="67">
        <f>BT196/BT55*90</f>
        <v>50.829679964927664</v>
      </c>
      <c r="BU238" s="67">
        <f>+BT238</f>
        <v>50.829679964927664</v>
      </c>
      <c r="BV238" s="67">
        <f>BV196/BV55*90</f>
        <v>64.376989879557257</v>
      </c>
      <c r="BW238" s="67">
        <f>+BV238</f>
        <v>64.376989879557257</v>
      </c>
      <c r="BX238" s="67">
        <f>BX196/BX55*90</f>
        <v>54.918372525799356</v>
      </c>
      <c r="BY238" s="67">
        <f>+BX238</f>
        <v>54.918372525799356</v>
      </c>
      <c r="BZ238" s="67">
        <f>BZ196/BZ55*90</f>
        <v>67.478311669344237</v>
      </c>
      <c r="CA238" s="67">
        <f>+BZ238</f>
        <v>67.478311669344237</v>
      </c>
      <c r="CB238" s="67">
        <f>CB196/CB55*90</f>
        <v>72.436301173776116</v>
      </c>
      <c r="CC238" s="67">
        <f>+CB238</f>
        <v>72.436301173776116</v>
      </c>
      <c r="CD238" s="67">
        <f>CD196/CD55*90</f>
        <v>85.930796439981734</v>
      </c>
      <c r="CE238" s="67">
        <f>+CD238</f>
        <v>85.930796439981734</v>
      </c>
      <c r="CF238" s="67">
        <f>CF196/CF55*90</f>
        <v>84.427702372670609</v>
      </c>
      <c r="CG238" s="67">
        <f t="shared" ref="CG238:CI239" si="486">+CF238</f>
        <v>84.427702372670609</v>
      </c>
      <c r="CH238" s="67">
        <f>CH196/CH55*90</f>
        <v>70.586817377093837</v>
      </c>
      <c r="CI238" s="67">
        <f t="shared" si="486"/>
        <v>70.586817377093837</v>
      </c>
      <c r="CJ238" s="67">
        <f>CJ196/CJ55*90</f>
        <v>61.38288941463788</v>
      </c>
      <c r="CK238" s="67">
        <f>+CJ238</f>
        <v>61.38288941463788</v>
      </c>
      <c r="CL238" s="67">
        <f>CL196/CL55*90</f>
        <v>59.724070051588384</v>
      </c>
      <c r="CM238" s="30">
        <f>+CL238+1</f>
        <v>60.724070051588384</v>
      </c>
      <c r="CN238" s="30">
        <f t="shared" ref="CN238:CR238" si="487">+CM238+1</f>
        <v>61.724070051588384</v>
      </c>
      <c r="CO238" s="30">
        <f t="shared" si="487"/>
        <v>62.724070051588384</v>
      </c>
      <c r="CP238" s="30">
        <f t="shared" si="487"/>
        <v>63.724070051588384</v>
      </c>
      <c r="CQ238" s="30">
        <f t="shared" si="487"/>
        <v>64.724070051588384</v>
      </c>
      <c r="CR238" s="30">
        <f t="shared" si="487"/>
        <v>65.724070051588384</v>
      </c>
      <c r="CS238" s="30">
        <f>+CR238</f>
        <v>65.724070051588384</v>
      </c>
      <c r="CT238" s="30">
        <f>+CS238</f>
        <v>65.724070051588384</v>
      </c>
      <c r="CU238" s="30">
        <f t="shared" ref="CU238:DB238" si="488">+CT238</f>
        <v>65.724070051588384</v>
      </c>
      <c r="CV238" s="30">
        <f t="shared" si="488"/>
        <v>65.724070051588384</v>
      </c>
      <c r="CW238" s="30">
        <f t="shared" si="488"/>
        <v>65.724070051588384</v>
      </c>
      <c r="CX238" s="30">
        <f t="shared" si="488"/>
        <v>65.724070051588384</v>
      </c>
      <c r="CY238" s="30">
        <f t="shared" si="488"/>
        <v>65.724070051588384</v>
      </c>
      <c r="CZ238" s="30">
        <f t="shared" si="488"/>
        <v>65.724070051588384</v>
      </c>
      <c r="DA238" s="30">
        <f t="shared" si="488"/>
        <v>65.724070051588384</v>
      </c>
      <c r="DB238" s="30">
        <f t="shared" si="488"/>
        <v>65.724070051588384</v>
      </c>
      <c r="DE238" s="139"/>
      <c r="DF238" s="62">
        <v>61.38288941463788</v>
      </c>
    </row>
    <row r="239" spans="1:110" s="62" customFormat="1" outlineLevel="1" x14ac:dyDescent="0.2">
      <c r="A239" s="68" t="s">
        <v>464</v>
      </c>
      <c r="B239" s="67">
        <f t="shared" ref="B239:AE239" si="489">B197/B55*365</f>
        <v>35.801426780766207</v>
      </c>
      <c r="C239" s="67">
        <f t="shared" si="489"/>
        <v>34.641179186670641</v>
      </c>
      <c r="D239" s="67">
        <f t="shared" si="489"/>
        <v>29.794040023002644</v>
      </c>
      <c r="E239" s="67">
        <f t="shared" si="489"/>
        <v>34.798176075913688</v>
      </c>
      <c r="F239" s="67">
        <f t="shared" si="489"/>
        <v>43.664742667732071</v>
      </c>
      <c r="G239" s="67">
        <f t="shared" si="489"/>
        <v>67.729438902939549</v>
      </c>
      <c r="H239" s="67">
        <f t="shared" si="489"/>
        <v>84.616206818924013</v>
      </c>
      <c r="I239" s="67">
        <f t="shared" si="489"/>
        <v>71.388347608684469</v>
      </c>
      <c r="J239" s="67">
        <f t="shared" si="489"/>
        <v>57.747228825707694</v>
      </c>
      <c r="K239" s="67">
        <f t="shared" si="489"/>
        <v>55.737341416181948</v>
      </c>
      <c r="L239" s="67">
        <f t="shared" si="489"/>
        <v>46.704042502871815</v>
      </c>
      <c r="M239" s="67">
        <f t="shared" si="489"/>
        <v>32.051930001895258</v>
      </c>
      <c r="N239" s="67">
        <f t="shared" si="489"/>
        <v>43.120434147359632</v>
      </c>
      <c r="O239" s="67">
        <f t="shared" si="489"/>
        <v>50.051375708336174</v>
      </c>
      <c r="P239" s="67">
        <f t="shared" si="489"/>
        <v>61.097910515255499</v>
      </c>
      <c r="Q239" s="67">
        <f t="shared" si="489"/>
        <v>64.344888576760766</v>
      </c>
      <c r="R239" s="67">
        <f t="shared" si="489"/>
        <v>57.161274076257854</v>
      </c>
      <c r="S239" s="67">
        <f t="shared" si="489"/>
        <v>70.392445916596884</v>
      </c>
      <c r="T239" s="67">
        <f t="shared" si="489"/>
        <v>68.16341344947773</v>
      </c>
      <c r="U239" s="67">
        <f t="shared" si="489"/>
        <v>59.446486528760808</v>
      </c>
      <c r="V239" s="67">
        <f t="shared" si="489"/>
        <v>75.206700663002124</v>
      </c>
      <c r="W239" s="67">
        <f t="shared" si="489"/>
        <v>56.361967543974792</v>
      </c>
      <c r="X239" s="67">
        <f t="shared" si="489"/>
        <v>47.479740441691547</v>
      </c>
      <c r="Y239" s="67">
        <f t="shared" si="489"/>
        <v>62.276355943167204</v>
      </c>
      <c r="Z239" s="67">
        <f t="shared" si="489"/>
        <v>66.118920527135586</v>
      </c>
      <c r="AA239" s="67">
        <f t="shared" ref="AA239" si="490">AA197/AA55*365</f>
        <v>71.89570045725344</v>
      </c>
      <c r="AB239" s="18">
        <f t="shared" si="489"/>
        <v>66.27932738609708</v>
      </c>
      <c r="AC239" s="18">
        <f t="shared" si="489"/>
        <v>66.529084189137208</v>
      </c>
      <c r="AD239" s="18">
        <f t="shared" si="489"/>
        <v>65.87065712273052</v>
      </c>
      <c r="AE239" s="18">
        <f t="shared" si="489"/>
        <v>65.87065712273052</v>
      </c>
      <c r="AI239" s="67">
        <f>AJ197/AI55*90</f>
        <v>33.46148252290687</v>
      </c>
      <c r="AJ239" s="67">
        <f>AJ197/AJ55*90</f>
        <v>35.793704299123576</v>
      </c>
      <c r="AK239" s="67">
        <f>+AJ239</f>
        <v>35.793704299123576</v>
      </c>
      <c r="AL239" s="67">
        <f>AL197/AL55*90</f>
        <v>44.201421933605779</v>
      </c>
      <c r="AM239" s="67">
        <f>+AL239</f>
        <v>44.201421933605779</v>
      </c>
      <c r="AN239" s="67">
        <f>AN197/AN55*90</f>
        <v>46.960401087695459</v>
      </c>
      <c r="AO239" s="67">
        <f>+AN239</f>
        <v>46.960401087695459</v>
      </c>
      <c r="AP239" s="67">
        <f>AP197/AP55*90</f>
        <v>48.937408630678441</v>
      </c>
      <c r="AQ239" s="67">
        <f>+AP239</f>
        <v>48.937408630678441</v>
      </c>
      <c r="AR239" s="67">
        <f>AR197/AR55*90</f>
        <v>55.36071630842256</v>
      </c>
      <c r="AS239" s="67">
        <f>+AR239</f>
        <v>55.36071630842256</v>
      </c>
      <c r="AT239" s="67">
        <f>AT197/AT55*90</f>
        <v>62.562551781275886</v>
      </c>
      <c r="AU239" s="67">
        <f>+AT239</f>
        <v>62.562551781275886</v>
      </c>
      <c r="AV239" s="67">
        <f>AV197/AV55*90</f>
        <v>62.644506508403559</v>
      </c>
      <c r="AW239" s="67">
        <f>+AV239</f>
        <v>62.644506508403559</v>
      </c>
      <c r="AX239" s="67">
        <f>AX197/AX55*90</f>
        <v>63.257369526328077</v>
      </c>
      <c r="AY239" s="67">
        <f>+AX239</f>
        <v>63.257369526328077</v>
      </c>
      <c r="AZ239" s="67">
        <f>AZ197/AZ55*90</f>
        <v>62.629655172413784</v>
      </c>
      <c r="BA239" s="67">
        <f>+AZ239</f>
        <v>62.629655172413784</v>
      </c>
      <c r="BB239" s="67">
        <f>BB197/BB55*90</f>
        <v>54.303698620412227</v>
      </c>
      <c r="BC239" s="67">
        <f>+BB239</f>
        <v>54.303698620412227</v>
      </c>
      <c r="BD239" s="67">
        <f>BD197/BD55*90</f>
        <v>69.728724980469281</v>
      </c>
      <c r="BE239" s="67">
        <f>+BD239</f>
        <v>69.728724980469281</v>
      </c>
      <c r="BF239" s="67">
        <f>BF197/BF55*90</f>
        <v>66.634837086894748</v>
      </c>
      <c r="BG239" s="67">
        <f>+BF239</f>
        <v>66.634837086894748</v>
      </c>
      <c r="BH239" s="67">
        <f>BH197/BH55*90</f>
        <v>74.422672752361748</v>
      </c>
      <c r="BI239" s="67">
        <f>+BH239</f>
        <v>74.422672752361748</v>
      </c>
      <c r="BJ239" s="67">
        <f>BJ197/BJ55*90</f>
        <v>64.475521611826622</v>
      </c>
      <c r="BK239" s="67">
        <f>+BJ239</f>
        <v>64.475521611826622</v>
      </c>
      <c r="BL239" s="67">
        <f>BL197/BL55*90</f>
        <v>64.985133999056771</v>
      </c>
      <c r="BM239" s="67">
        <f>+BL239</f>
        <v>64.985133999056771</v>
      </c>
      <c r="BN239" s="67">
        <f>BN197/BN55*90</f>
        <v>65.353673723536744</v>
      </c>
      <c r="BO239" s="67">
        <f>+BN239</f>
        <v>65.353673723536744</v>
      </c>
      <c r="BP239" s="67">
        <f>BP197/BP55*90</f>
        <v>76.858916912047107</v>
      </c>
      <c r="BQ239" s="67">
        <f>+BP239</f>
        <v>76.858916912047107</v>
      </c>
      <c r="BR239" s="67">
        <f>BR197/BR55*90</f>
        <v>50.663222226689719</v>
      </c>
      <c r="BS239" s="67">
        <f>+BR239</f>
        <v>50.663222226689719</v>
      </c>
      <c r="BT239" s="67">
        <f>BT197/BT55*90</f>
        <v>59.463581136093204</v>
      </c>
      <c r="BU239" s="67">
        <f>+BT239</f>
        <v>59.463581136093204</v>
      </c>
      <c r="BV239" s="67">
        <f>BV197/BV55*90</f>
        <v>45.899256208424219</v>
      </c>
      <c r="BW239" s="67">
        <f>+BV239</f>
        <v>45.899256208424219</v>
      </c>
      <c r="BX239" s="67">
        <f>BX197/BX55*90</f>
        <v>49.027237354085599</v>
      </c>
      <c r="BY239" s="67">
        <f>+BX239</f>
        <v>49.027237354085599</v>
      </c>
      <c r="BZ239" s="67">
        <f>BZ197/BZ55*90</f>
        <v>46.376223163429238</v>
      </c>
      <c r="CA239" s="67">
        <f>+BZ239</f>
        <v>46.376223163429238</v>
      </c>
      <c r="CB239" s="67">
        <f>CB197/CB55*90</f>
        <v>59.663612940166047</v>
      </c>
      <c r="CC239" s="67">
        <f>+CB239</f>
        <v>59.663612940166047</v>
      </c>
      <c r="CD239" s="67">
        <f>CD197/CD55*90</f>
        <v>57.55933363760839</v>
      </c>
      <c r="CE239" s="114">
        <f>+CD239</f>
        <v>57.55933363760839</v>
      </c>
      <c r="CF239" s="67">
        <f>CF197/CF55*90</f>
        <v>69.361317920101826</v>
      </c>
      <c r="CG239" s="67">
        <f t="shared" si="486"/>
        <v>69.361317920101826</v>
      </c>
      <c r="CH239" s="67">
        <f>CH197/CH55*90</f>
        <v>63.43143129511099</v>
      </c>
      <c r="CI239" s="67">
        <f t="shared" si="486"/>
        <v>63.43143129511099</v>
      </c>
      <c r="CJ239" s="67">
        <f>CJ197/CJ55*90</f>
        <v>73.074486758757544</v>
      </c>
      <c r="CK239" s="67">
        <f>+CJ239</f>
        <v>73.074486758757544</v>
      </c>
      <c r="CL239" s="67">
        <f>CL197/CL55*90</f>
        <v>64.871029052402932</v>
      </c>
      <c r="CM239" s="30">
        <f t="shared" ref="CM239:DB239" si="491">+CL239</f>
        <v>64.871029052402932</v>
      </c>
      <c r="CN239" s="30">
        <f t="shared" si="491"/>
        <v>64.871029052402932</v>
      </c>
      <c r="CO239" s="30">
        <f t="shared" si="491"/>
        <v>64.871029052402932</v>
      </c>
      <c r="CP239" s="30">
        <f t="shared" si="491"/>
        <v>64.871029052402932</v>
      </c>
      <c r="CQ239" s="30">
        <f t="shared" si="491"/>
        <v>64.871029052402932</v>
      </c>
      <c r="CR239" s="30">
        <f t="shared" si="491"/>
        <v>64.871029052402932</v>
      </c>
      <c r="CS239" s="30">
        <f t="shared" si="491"/>
        <v>64.871029052402932</v>
      </c>
      <c r="CT239" s="30">
        <f t="shared" si="491"/>
        <v>64.871029052402932</v>
      </c>
      <c r="CU239" s="30">
        <f t="shared" si="491"/>
        <v>64.871029052402932</v>
      </c>
      <c r="CV239" s="30">
        <f t="shared" si="491"/>
        <v>64.871029052402932</v>
      </c>
      <c r="CW239" s="30">
        <f t="shared" si="491"/>
        <v>64.871029052402932</v>
      </c>
      <c r="CX239" s="30">
        <f t="shared" si="491"/>
        <v>64.871029052402932</v>
      </c>
      <c r="CY239" s="30">
        <f t="shared" si="491"/>
        <v>64.871029052402932</v>
      </c>
      <c r="CZ239" s="30">
        <f t="shared" si="491"/>
        <v>64.871029052402932</v>
      </c>
      <c r="DA239" s="30">
        <f t="shared" si="491"/>
        <v>64.871029052402932</v>
      </c>
      <c r="DB239" s="30">
        <f t="shared" si="491"/>
        <v>64.871029052402932</v>
      </c>
      <c r="DE239" s="139"/>
      <c r="DF239" s="62">
        <v>73.074486758757544</v>
      </c>
    </row>
    <row r="240" spans="1:110" s="62" customFormat="1" outlineLevel="1" x14ac:dyDescent="0.2">
      <c r="A240" s="68" t="s">
        <v>465</v>
      </c>
      <c r="B240" s="67">
        <f>B241-B239-B238</f>
        <v>7.4006285448927969</v>
      </c>
      <c r="C240" s="67">
        <f t="shared" ref="C240:U240" si="492">C241-C239-C238</f>
        <v>6.0131284017223692</v>
      </c>
      <c r="D240" s="67">
        <f t="shared" si="492"/>
        <v>11.046540283722571</v>
      </c>
      <c r="E240" s="67">
        <f t="shared" si="492"/>
        <v>32.831028847081477</v>
      </c>
      <c r="F240" s="67">
        <f t="shared" si="492"/>
        <v>38.633350031882046</v>
      </c>
      <c r="G240" s="67">
        <f t="shared" si="492"/>
        <v>35.163729036686448</v>
      </c>
      <c r="H240" s="67">
        <f t="shared" si="492"/>
        <v>37.457157700575351</v>
      </c>
      <c r="I240" s="67">
        <f t="shared" si="492"/>
        <v>29.610537329174591</v>
      </c>
      <c r="J240" s="67">
        <f t="shared" si="492"/>
        <v>26.003933850934757</v>
      </c>
      <c r="K240" s="67">
        <f t="shared" si="492"/>
        <v>29.428787031714094</v>
      </c>
      <c r="L240" s="67">
        <f t="shared" si="492"/>
        <v>48.791219001283864</v>
      </c>
      <c r="M240" s="67">
        <f t="shared" si="492"/>
        <v>39.243757940769775</v>
      </c>
      <c r="N240" s="67">
        <f t="shared" si="492"/>
        <v>33.029672571555523</v>
      </c>
      <c r="O240" s="67">
        <f t="shared" si="492"/>
        <v>24.929746705810096</v>
      </c>
      <c r="P240" s="67">
        <f t="shared" si="492"/>
        <v>20.476817492618309</v>
      </c>
      <c r="Q240" s="67">
        <f t="shared" si="492"/>
        <v>28.071080678618571</v>
      </c>
      <c r="R240" s="67">
        <f t="shared" si="492"/>
        <v>30.369588983883631</v>
      </c>
      <c r="S240" s="67">
        <f t="shared" si="492"/>
        <v>41.019819459105321</v>
      </c>
      <c r="T240" s="67">
        <f t="shared" si="492"/>
        <v>30.580802015446764</v>
      </c>
      <c r="U240" s="67">
        <f t="shared" si="492"/>
        <v>26.686181296121475</v>
      </c>
      <c r="V240" s="67">
        <f t="shared" ref="V240:AE240" si="493">V241-V239-V238</f>
        <v>38.410450561822529</v>
      </c>
      <c r="W240" s="67">
        <f t="shared" si="493"/>
        <v>33.037399087687064</v>
      </c>
      <c r="X240" s="67">
        <f t="shared" si="493"/>
        <v>41.77926483058657</v>
      </c>
      <c r="Y240" s="67">
        <f t="shared" si="493"/>
        <v>49.198876737973976</v>
      </c>
      <c r="Z240" s="67">
        <f t="shared" si="493"/>
        <v>35.547559460263571</v>
      </c>
      <c r="AA240" s="67">
        <f t="shared" ref="AA240" si="494">AA241-AA239-AA238</f>
        <v>32.731772467715601</v>
      </c>
      <c r="AB240" s="18">
        <f t="shared" si="493"/>
        <v>29.208385783203298</v>
      </c>
      <c r="AC240" s="18">
        <f t="shared" si="493"/>
        <v>29.31845016289563</v>
      </c>
      <c r="AD240" s="18">
        <f t="shared" si="493"/>
        <v>29.028290432491616</v>
      </c>
      <c r="AE240" s="18">
        <f t="shared" si="493"/>
        <v>29.028290432491602</v>
      </c>
      <c r="AI240" s="67">
        <f>AI241-AI239-AI238</f>
        <v>-77.715373054734087</v>
      </c>
      <c r="AJ240" s="67">
        <f>AJ241-AJ239-AJ238</f>
        <v>29.518487787170045</v>
      </c>
      <c r="AK240" s="67">
        <f>AK241-AK239-AK238</f>
        <v>34.553815334183213</v>
      </c>
      <c r="AL240" s="67">
        <f>AL241-AL239-AL238</f>
        <v>33.857694676146203</v>
      </c>
      <c r="AM240" s="67">
        <f>AM241-AM239-AM238</f>
        <v>32.903541700669173</v>
      </c>
      <c r="AN240" s="67">
        <f t="shared" ref="AN240:AY240" si="495">AN241-AN239-AN238</f>
        <v>37.719238613188331</v>
      </c>
      <c r="AO240" s="67">
        <f t="shared" si="495"/>
        <v>38.09256822472684</v>
      </c>
      <c r="AP240" s="67">
        <f t="shared" si="495"/>
        <v>24.37489847853157</v>
      </c>
      <c r="AQ240" s="67">
        <f t="shared" si="495"/>
        <v>24.007679385649134</v>
      </c>
      <c r="AR240" s="67">
        <f t="shared" si="495"/>
        <v>27.944928396127153</v>
      </c>
      <c r="AS240" s="67">
        <f t="shared" si="495"/>
        <v>28.078965909706795</v>
      </c>
      <c r="AT240" s="67">
        <f t="shared" si="495"/>
        <v>20.967688483844228</v>
      </c>
      <c r="AU240" s="67">
        <f t="shared" si="495"/>
        <v>20.709746051662535</v>
      </c>
      <c r="AV240" s="67">
        <f t="shared" si="495"/>
        <v>25.367063986833585</v>
      </c>
      <c r="AW240" s="67">
        <f t="shared" si="495"/>
        <v>28.543730183226216</v>
      </c>
      <c r="AX240" s="67">
        <f t="shared" si="495"/>
        <v>27.596639962666259</v>
      </c>
      <c r="AY240" s="67">
        <f t="shared" si="495"/>
        <v>22.820312430752679</v>
      </c>
      <c r="AZ240" s="67">
        <f>AZ241-AZ239-AZ238</f>
        <v>29.677241379310374</v>
      </c>
      <c r="BA240" s="67">
        <f>BA241-BA239-BA238</f>
        <v>33.188797046563451</v>
      </c>
      <c r="BB240" s="67">
        <f>BB241-BB239-BB238</f>
        <v>28.851368939160892</v>
      </c>
      <c r="BC240" s="67">
        <f>BC241-BC239-BC238</f>
        <v>24.88679669813925</v>
      </c>
      <c r="BD240" s="67">
        <f t="shared" ref="BD240:CE240" si="496">BD241-BD239-BD238</f>
        <v>36.736079308208289</v>
      </c>
      <c r="BE240" s="67">
        <f t="shared" si="496"/>
        <v>32.745347580742006</v>
      </c>
      <c r="BF240" s="67">
        <f t="shared" si="496"/>
        <v>38.830146493700099</v>
      </c>
      <c r="BG240" s="67">
        <f t="shared" si="496"/>
        <v>35.177761367232833</v>
      </c>
      <c r="BH240" s="67">
        <f t="shared" si="496"/>
        <v>28.29444857233841</v>
      </c>
      <c r="BI240" s="67">
        <f t="shared" si="496"/>
        <v>30.281501340482606</v>
      </c>
      <c r="BJ240" s="67">
        <f t="shared" si="496"/>
        <v>28.926267941604053</v>
      </c>
      <c r="BK240" s="67">
        <f t="shared" si="496"/>
        <v>30.668852031955552</v>
      </c>
      <c r="BL240" s="67">
        <f t="shared" si="496"/>
        <v>22.966433595111667</v>
      </c>
      <c r="BM240" s="67">
        <f t="shared" si="496"/>
        <v>25.439493049877385</v>
      </c>
      <c r="BN240" s="67">
        <f t="shared" si="496"/>
        <v>29.337982565379789</v>
      </c>
      <c r="BO240" s="67">
        <f t="shared" si="496"/>
        <v>108.20503398860922</v>
      </c>
      <c r="BP240" s="67">
        <f t="shared" si="496"/>
        <v>32.651069005248985</v>
      </c>
      <c r="BQ240" s="67">
        <f t="shared" si="496"/>
        <v>23.172061328790448</v>
      </c>
      <c r="BR240" s="67">
        <f t="shared" si="496"/>
        <v>25.87531663383055</v>
      </c>
      <c r="BS240" s="67">
        <f t="shared" si="496"/>
        <v>31.303110635503543</v>
      </c>
      <c r="BT240" s="67">
        <f t="shared" si="496"/>
        <v>23.869700006262917</v>
      </c>
      <c r="BU240" s="67">
        <f t="shared" si="496"/>
        <v>23.461218836565081</v>
      </c>
      <c r="BV240" s="67">
        <f t="shared" si="496"/>
        <v>27.330072753383618</v>
      </c>
      <c r="BW240" s="67">
        <f t="shared" si="496"/>
        <v>28.281460296096881</v>
      </c>
      <c r="BX240" s="67">
        <f t="shared" si="496"/>
        <v>31.641854170191152</v>
      </c>
      <c r="BY240" s="67">
        <f t="shared" si="496"/>
        <v>37.097851239669438</v>
      </c>
      <c r="BZ240" s="67">
        <f t="shared" si="496"/>
        <v>41.12370381188839</v>
      </c>
      <c r="CA240" s="67">
        <f t="shared" si="496"/>
        <v>41.58529020824102</v>
      </c>
      <c r="CB240" s="67">
        <f t="shared" si="496"/>
        <v>46.906670483824797</v>
      </c>
      <c r="CC240" s="67">
        <f t="shared" si="496"/>
        <v>47.483658026082765</v>
      </c>
      <c r="CD240" s="67">
        <f t="shared" si="496"/>
        <v>44.168188041990007</v>
      </c>
      <c r="CE240" s="114">
        <f t="shared" si="496"/>
        <v>44.682490440805125</v>
      </c>
      <c r="CF240" s="67">
        <f>CF241-CF239-CF238</f>
        <v>28.051982652713846</v>
      </c>
      <c r="CG240" s="67">
        <f>CG241-CG239-CG238</f>
        <v>25.135877133648975</v>
      </c>
      <c r="CH240" s="67">
        <f>CH241-CH239-CH238</f>
        <v>34.102682827182349</v>
      </c>
      <c r="CI240" s="67">
        <f>CH240</f>
        <v>34.102682827182349</v>
      </c>
      <c r="CJ240" s="67">
        <f>CJ241-CJ239-CJ238</f>
        <v>37.969930550255675</v>
      </c>
      <c r="CK240" s="67">
        <f t="shared" ref="CK240:DB240" si="497">CJ240</f>
        <v>37.969930550255675</v>
      </c>
      <c r="CL240" s="67">
        <f>CL241-CL239-CL238</f>
        <v>28.587768123812111</v>
      </c>
      <c r="CM240" s="30">
        <f t="shared" si="497"/>
        <v>28.587768123812111</v>
      </c>
      <c r="CN240" s="30">
        <f t="shared" si="497"/>
        <v>28.587768123812111</v>
      </c>
      <c r="CO240" s="30">
        <f t="shared" si="497"/>
        <v>28.587768123812111</v>
      </c>
      <c r="CP240" s="30">
        <f t="shared" si="497"/>
        <v>28.587768123812111</v>
      </c>
      <c r="CQ240" s="30">
        <f t="shared" si="497"/>
        <v>28.587768123812111</v>
      </c>
      <c r="CR240" s="30">
        <f t="shared" si="497"/>
        <v>28.587768123812111</v>
      </c>
      <c r="CS240" s="30">
        <f t="shared" si="497"/>
        <v>28.587768123812111</v>
      </c>
      <c r="CT240" s="30">
        <f t="shared" si="497"/>
        <v>28.587768123812111</v>
      </c>
      <c r="CU240" s="30">
        <f t="shared" si="497"/>
        <v>28.587768123812111</v>
      </c>
      <c r="CV240" s="30">
        <f t="shared" si="497"/>
        <v>28.587768123812111</v>
      </c>
      <c r="CW240" s="30">
        <f t="shared" si="497"/>
        <v>28.587768123812111</v>
      </c>
      <c r="CX240" s="30">
        <f t="shared" si="497"/>
        <v>28.587768123812111</v>
      </c>
      <c r="CY240" s="30">
        <f t="shared" si="497"/>
        <v>28.587768123812111</v>
      </c>
      <c r="CZ240" s="30">
        <f t="shared" si="497"/>
        <v>28.587768123812111</v>
      </c>
      <c r="DA240" s="30">
        <f t="shared" si="497"/>
        <v>28.587768123812111</v>
      </c>
      <c r="DB240" s="30">
        <f t="shared" si="497"/>
        <v>28.587768123812111</v>
      </c>
      <c r="DE240" s="139"/>
      <c r="DF240" s="62">
        <v>37.969930550255675</v>
      </c>
    </row>
    <row r="241" spans="1:110" s="7" customFormat="1" outlineLevel="1" x14ac:dyDescent="0.2">
      <c r="A241" s="69" t="s">
        <v>466</v>
      </c>
      <c r="B241" s="70">
        <f t="shared" ref="B241:AE241" si="498">B207/B55*365</f>
        <v>78.248597748087036</v>
      </c>
      <c r="C241" s="70">
        <f t="shared" si="498"/>
        <v>71.933864325142977</v>
      </c>
      <c r="D241" s="70">
        <f t="shared" si="498"/>
        <v>87.527057267523929</v>
      </c>
      <c r="E241" s="70">
        <f t="shared" si="498"/>
        <v>107.42123849532537</v>
      </c>
      <c r="F241" s="70">
        <f t="shared" si="498"/>
        <v>130.15590749026677</v>
      </c>
      <c r="G241" s="70">
        <f t="shared" si="498"/>
        <v>171.12262394847551</v>
      </c>
      <c r="H241" s="70">
        <f t="shared" si="498"/>
        <v>202.70134319496492</v>
      </c>
      <c r="I241" s="70">
        <f t="shared" si="498"/>
        <v>189.60445232483815</v>
      </c>
      <c r="J241" s="70">
        <f t="shared" si="498"/>
        <v>153.31656921734196</v>
      </c>
      <c r="K241" s="70">
        <f t="shared" si="498"/>
        <v>160.72976577225376</v>
      </c>
      <c r="L241" s="70">
        <f t="shared" si="498"/>
        <v>168.87631765659842</v>
      </c>
      <c r="M241" s="70">
        <f t="shared" si="498"/>
        <v>122.92209797769216</v>
      </c>
      <c r="N241" s="70">
        <f t="shared" si="498"/>
        <v>128.63140565980567</v>
      </c>
      <c r="O241" s="70">
        <f t="shared" si="498"/>
        <v>133.22612139004576</v>
      </c>
      <c r="P241" s="70">
        <f t="shared" si="498"/>
        <v>145.92038411406378</v>
      </c>
      <c r="Q241" s="70">
        <f t="shared" si="498"/>
        <v>162.31241424604801</v>
      </c>
      <c r="R241" s="70">
        <f t="shared" si="498"/>
        <v>168.40808028694966</v>
      </c>
      <c r="S241" s="70">
        <f t="shared" si="498"/>
        <v>191.1357514650748</v>
      </c>
      <c r="T241" s="70">
        <f t="shared" si="498"/>
        <v>169.03505681787854</v>
      </c>
      <c r="U241" s="70">
        <f t="shared" si="498"/>
        <v>162.1417957555681</v>
      </c>
      <c r="V241" s="70">
        <f t="shared" si="498"/>
        <v>214.69940469620371</v>
      </c>
      <c r="W241" s="70">
        <f t="shared" si="498"/>
        <v>168.45105752822263</v>
      </c>
      <c r="X241" s="70">
        <f t="shared" si="498"/>
        <v>158.34295616266635</v>
      </c>
      <c r="Y241" s="70">
        <f t="shared" si="498"/>
        <v>204.44811001270895</v>
      </c>
      <c r="Z241" s="70">
        <f t="shared" si="498"/>
        <v>175.24394896655525</v>
      </c>
      <c r="AA241" s="70">
        <f t="shared" ref="AA241" si="499">AA207/AA55*365</f>
        <v>170.81886703786952</v>
      </c>
      <c r="AB241" s="71">
        <f t="shared" si="498"/>
        <v>160.59518198888682</v>
      </c>
      <c r="AC241" s="71">
        <f t="shared" si="498"/>
        <v>163.25146263229354</v>
      </c>
      <c r="AD241" s="71">
        <f t="shared" si="498"/>
        <v>161.63579058543357</v>
      </c>
      <c r="AE241" s="71">
        <f t="shared" si="498"/>
        <v>161.63579058543357</v>
      </c>
      <c r="AI241" s="70">
        <f t="shared" ref="AI241:CD241" si="500">AI207/AI55*90</f>
        <v>0</v>
      </c>
      <c r="AJ241" s="70">
        <f t="shared" si="500"/>
        <v>112.65052118446299</v>
      </c>
      <c r="AK241" s="70">
        <f t="shared" si="500"/>
        <v>117.68584873147616</v>
      </c>
      <c r="AL241" s="70">
        <f t="shared" si="500"/>
        <v>131.85607120864356</v>
      </c>
      <c r="AM241" s="70">
        <f t="shared" si="500"/>
        <v>130.90191823316653</v>
      </c>
      <c r="AN241" s="70">
        <f t="shared" si="500"/>
        <v>138.09228416043513</v>
      </c>
      <c r="AO241" s="70">
        <f t="shared" si="500"/>
        <v>138.46561377197364</v>
      </c>
      <c r="AP241" s="70">
        <f t="shared" si="500"/>
        <v>130.26097785478368</v>
      </c>
      <c r="AQ241" s="70">
        <f t="shared" si="500"/>
        <v>129.89375876190124</v>
      </c>
      <c r="AR241" s="70">
        <f t="shared" si="500"/>
        <v>135.97211359529649</v>
      </c>
      <c r="AS241" s="70">
        <f t="shared" si="500"/>
        <v>136.10615110887613</v>
      </c>
      <c r="AT241" s="70">
        <f t="shared" si="500"/>
        <v>149.41839270919633</v>
      </c>
      <c r="AU241" s="70">
        <f t="shared" si="500"/>
        <v>149.16045027701463</v>
      </c>
      <c r="AV241" s="70">
        <f t="shared" si="500"/>
        <v>146.71512642760959</v>
      </c>
      <c r="AW241" s="70">
        <f t="shared" si="500"/>
        <v>149.89179262400222</v>
      </c>
      <c r="AX241" s="70">
        <f t="shared" si="500"/>
        <v>159.56910632340362</v>
      </c>
      <c r="AY241" s="70">
        <f t="shared" si="500"/>
        <v>154.79277879149004</v>
      </c>
      <c r="AZ241" s="70">
        <f t="shared" si="500"/>
        <v>151.04689655172416</v>
      </c>
      <c r="BA241" s="70">
        <f t="shared" si="500"/>
        <v>154.55845221897724</v>
      </c>
      <c r="BB241" s="70">
        <f t="shared" si="500"/>
        <v>159.98911474478811</v>
      </c>
      <c r="BC241" s="70">
        <f t="shared" si="500"/>
        <v>156.02454250376647</v>
      </c>
      <c r="BD241" s="70">
        <f t="shared" si="500"/>
        <v>185.11812720562486</v>
      </c>
      <c r="BE241" s="70">
        <f t="shared" si="500"/>
        <v>181.12739547815858</v>
      </c>
      <c r="BF241" s="70">
        <f t="shared" si="500"/>
        <v>180.93276195355989</v>
      </c>
      <c r="BG241" s="70">
        <f t="shared" si="500"/>
        <v>177.28037682709262</v>
      </c>
      <c r="BH241" s="70">
        <f t="shared" si="500"/>
        <v>171.05063156777413</v>
      </c>
      <c r="BI241" s="70">
        <f t="shared" si="500"/>
        <v>173.03768433591833</v>
      </c>
      <c r="BJ241" s="70">
        <f t="shared" si="500"/>
        <v>159.88963737996275</v>
      </c>
      <c r="BK241" s="70">
        <f t="shared" si="500"/>
        <v>161.63222147031425</v>
      </c>
      <c r="BL241" s="70">
        <f t="shared" si="500"/>
        <v>149.19416022473294</v>
      </c>
      <c r="BM241" s="70">
        <f t="shared" si="500"/>
        <v>151.66721967949866</v>
      </c>
      <c r="BN241" s="70">
        <f t="shared" si="500"/>
        <v>178.25379825653795</v>
      </c>
      <c r="BO241" s="70">
        <f t="shared" si="500"/>
        <v>257.12084967976739</v>
      </c>
      <c r="BP241" s="70">
        <f t="shared" si="500"/>
        <v>197.86807066956854</v>
      </c>
      <c r="BQ241" s="70">
        <f t="shared" si="500"/>
        <v>188.38906299311</v>
      </c>
      <c r="BR241" s="70">
        <f t="shared" si="500"/>
        <v>144.6329057938965</v>
      </c>
      <c r="BS241" s="70">
        <f t="shared" si="500"/>
        <v>150.06069979556949</v>
      </c>
      <c r="BT241" s="70">
        <f t="shared" si="500"/>
        <v>134.16296110728379</v>
      </c>
      <c r="BU241" s="70">
        <f t="shared" si="500"/>
        <v>133.75447993758596</v>
      </c>
      <c r="BV241" s="70">
        <f t="shared" si="500"/>
        <v>137.60631884136509</v>
      </c>
      <c r="BW241" s="70">
        <f t="shared" si="500"/>
        <v>138.55770638407836</v>
      </c>
      <c r="BX241" s="70">
        <f t="shared" si="500"/>
        <v>135.58746405007611</v>
      </c>
      <c r="BY241" s="70">
        <f t="shared" si="500"/>
        <v>141.04346111955439</v>
      </c>
      <c r="BZ241" s="70">
        <f t="shared" si="500"/>
        <v>154.97823864466187</v>
      </c>
      <c r="CA241" s="70">
        <f t="shared" si="500"/>
        <v>155.4398250410145</v>
      </c>
      <c r="CB241" s="70">
        <f t="shared" si="500"/>
        <v>179.00658459776696</v>
      </c>
      <c r="CC241" s="70">
        <f t="shared" si="500"/>
        <v>179.58357214002493</v>
      </c>
      <c r="CD241" s="70">
        <f t="shared" si="500"/>
        <v>187.65831811958012</v>
      </c>
      <c r="CE241" s="115">
        <f>CE207/CE57*90</f>
        <v>188.17262051839523</v>
      </c>
      <c r="CF241" s="70">
        <f>CF207/CF55*90</f>
        <v>181.84100294548628</v>
      </c>
      <c r="CG241" s="70">
        <f>CG207/CG57*90</f>
        <v>178.92489742642141</v>
      </c>
      <c r="CH241" s="70">
        <f>CH207/CH55*90</f>
        <v>168.12093149938718</v>
      </c>
      <c r="CI241" s="70">
        <f>CI238+CI239+CI240</f>
        <v>168.12093149938718</v>
      </c>
      <c r="CJ241" s="70">
        <f>CJ207/CJ55*90</f>
        <v>172.4273067236511</v>
      </c>
      <c r="CK241" s="70">
        <f t="shared" ref="CK241:DB241" si="501">CK238+CK239+CK240</f>
        <v>172.4273067236511</v>
      </c>
      <c r="CL241" s="70">
        <f>CL207/CL55*90</f>
        <v>153.18286722780343</v>
      </c>
      <c r="CM241" s="50">
        <f t="shared" si="501"/>
        <v>154.18286722780343</v>
      </c>
      <c r="CN241" s="50">
        <f t="shared" si="501"/>
        <v>155.18286722780343</v>
      </c>
      <c r="CO241" s="50">
        <f t="shared" si="501"/>
        <v>156.18286722780343</v>
      </c>
      <c r="CP241" s="50">
        <f t="shared" si="501"/>
        <v>157.18286722780343</v>
      </c>
      <c r="CQ241" s="50">
        <f t="shared" si="501"/>
        <v>158.18286722780343</v>
      </c>
      <c r="CR241" s="50">
        <f t="shared" si="501"/>
        <v>159.18286722780343</v>
      </c>
      <c r="CS241" s="50">
        <f t="shared" si="501"/>
        <v>159.18286722780343</v>
      </c>
      <c r="CT241" s="50">
        <f t="shared" si="501"/>
        <v>159.18286722780343</v>
      </c>
      <c r="CU241" s="50">
        <f t="shared" si="501"/>
        <v>159.18286722780343</v>
      </c>
      <c r="CV241" s="50">
        <f t="shared" si="501"/>
        <v>159.18286722780343</v>
      </c>
      <c r="CW241" s="50">
        <f t="shared" si="501"/>
        <v>159.18286722780343</v>
      </c>
      <c r="CX241" s="50">
        <f t="shared" si="501"/>
        <v>159.18286722780343</v>
      </c>
      <c r="CY241" s="50">
        <f t="shared" si="501"/>
        <v>159.18286722780343</v>
      </c>
      <c r="CZ241" s="50">
        <f t="shared" si="501"/>
        <v>159.18286722780343</v>
      </c>
      <c r="DA241" s="50">
        <f t="shared" si="501"/>
        <v>159.18286722780343</v>
      </c>
      <c r="DB241" s="50">
        <f t="shared" si="501"/>
        <v>159.18286722780343</v>
      </c>
      <c r="DE241" s="138"/>
      <c r="DF241" s="7">
        <v>172.4273067236511</v>
      </c>
    </row>
    <row r="242" spans="1:110" s="62" customFormat="1" outlineLevel="1" x14ac:dyDescent="0.2">
      <c r="A242" s="68" t="s">
        <v>467</v>
      </c>
      <c r="B242" s="67">
        <f t="shared" ref="B242:AE242" si="502">B208/B55*365</f>
        <v>6.8586739442341313</v>
      </c>
      <c r="C242" s="67">
        <f t="shared" si="502"/>
        <v>3.7650445581826402</v>
      </c>
      <c r="D242" s="67">
        <f t="shared" si="502"/>
        <v>11.066188358821925</v>
      </c>
      <c r="E242" s="67">
        <f t="shared" si="502"/>
        <v>2.911285669005403</v>
      </c>
      <c r="F242" s="67">
        <f t="shared" si="502"/>
        <v>5.0749896094441054</v>
      </c>
      <c r="G242" s="67">
        <f t="shared" si="502"/>
        <v>18.793551682027093</v>
      </c>
      <c r="H242" s="67">
        <f t="shared" si="502"/>
        <v>14.441240339974534</v>
      </c>
      <c r="I242" s="67">
        <f t="shared" si="502"/>
        <v>24.198698623268818</v>
      </c>
      <c r="J242" s="67">
        <f t="shared" si="502"/>
        <v>16.207389138431409</v>
      </c>
      <c r="K242" s="67">
        <f t="shared" si="502"/>
        <v>12.40914216335227</v>
      </c>
      <c r="L242" s="67">
        <f t="shared" si="502"/>
        <v>15.791016284884114</v>
      </c>
      <c r="M242" s="67">
        <f t="shared" si="502"/>
        <v>12.672169927208149</v>
      </c>
      <c r="N242" s="67">
        <f t="shared" si="502"/>
        <v>15.83654836689761</v>
      </c>
      <c r="O242" s="67">
        <f t="shared" si="502"/>
        <v>17.618283607564688</v>
      </c>
      <c r="P242" s="67">
        <f t="shared" si="502"/>
        <v>18.216988535099617</v>
      </c>
      <c r="Q242" s="67">
        <f t="shared" si="502"/>
        <v>18.149958057782719</v>
      </c>
      <c r="R242" s="67">
        <f t="shared" si="502"/>
        <v>22.917864337657232</v>
      </c>
      <c r="S242" s="67">
        <f t="shared" si="502"/>
        <v>33.42257246508693</v>
      </c>
      <c r="T242" s="67">
        <f t="shared" si="502"/>
        <v>32.063377688107479</v>
      </c>
      <c r="U242" s="67">
        <f t="shared" si="502"/>
        <v>23.378954365932817</v>
      </c>
      <c r="V242" s="67">
        <f t="shared" si="502"/>
        <v>31.174749994481115</v>
      </c>
      <c r="W242" s="67">
        <f t="shared" si="502"/>
        <v>43.036209470989753</v>
      </c>
      <c r="X242" s="67">
        <f t="shared" si="502"/>
        <v>30.53038012019319</v>
      </c>
      <c r="Y242" s="67">
        <f t="shared" si="502"/>
        <v>59.2458695767981</v>
      </c>
      <c r="Z242" s="67">
        <f t="shared" si="502"/>
        <v>77.015453543114177</v>
      </c>
      <c r="AA242" s="67">
        <f t="shared" ref="AA242" si="503">AA208/AA55*365</f>
        <v>78.769079278906048</v>
      </c>
      <c r="AB242" s="18">
        <f t="shared" si="502"/>
        <v>72.615769235493048</v>
      </c>
      <c r="AC242" s="18">
        <f t="shared" si="502"/>
        <v>72.889403309491854</v>
      </c>
      <c r="AD242" s="18">
        <f t="shared" si="502"/>
        <v>72.16802924312465</v>
      </c>
      <c r="AE242" s="18">
        <f t="shared" si="502"/>
        <v>72.168029243124664</v>
      </c>
      <c r="AI242" s="67">
        <f>AJ208/AI55*90</f>
        <v>0</v>
      </c>
      <c r="AJ242" s="67">
        <f>AJ208/AJ55*90</f>
        <v>0</v>
      </c>
      <c r="AK242" s="67">
        <f>+AJ242</f>
        <v>0</v>
      </c>
      <c r="AL242" s="67">
        <f>AL208/AL55*90</f>
        <v>16.233555393830823</v>
      </c>
      <c r="AM242" s="67">
        <f>+AL242</f>
        <v>16.233555393830823</v>
      </c>
      <c r="AN242" s="67">
        <f>AN208/AN55*90</f>
        <v>14.102651257647858</v>
      </c>
      <c r="AO242" s="67">
        <f>+AN242</f>
        <v>14.102651257647858</v>
      </c>
      <c r="AP242" s="67">
        <f>AP208/AP55*90</f>
        <v>17.226162759218148</v>
      </c>
      <c r="AQ242" s="67">
        <f>+AP242</f>
        <v>17.226162759218148</v>
      </c>
      <c r="AR242" s="67">
        <f>AR208/AR55*90</f>
        <v>15.740715769033681</v>
      </c>
      <c r="AS242" s="67">
        <f>+AR242</f>
        <v>15.740715769033681</v>
      </c>
      <c r="AT242" s="67">
        <f>AT208/AT55*90</f>
        <v>18.653686826843412</v>
      </c>
      <c r="AU242" s="67">
        <f>+AT242</f>
        <v>18.653686826843412</v>
      </c>
      <c r="AV242" s="67">
        <f>AV208/AV55*90</f>
        <v>14.147922796867986</v>
      </c>
      <c r="AW242" s="67">
        <f>+AV242</f>
        <v>14.147922796867986</v>
      </c>
      <c r="AX242" s="67">
        <f>AX208/AX55*90</f>
        <v>17.84319825775842</v>
      </c>
      <c r="AY242" s="67">
        <f>+AX242</f>
        <v>17.84319825775842</v>
      </c>
      <c r="AZ242" s="67">
        <f>AZ208/AZ55*90</f>
        <v>17.509655172413794</v>
      </c>
      <c r="BA242" s="67">
        <f>+AZ242</f>
        <v>17.509655172413794</v>
      </c>
      <c r="BB242" s="67">
        <f>BB208/BB55*90</f>
        <v>21.77216687569512</v>
      </c>
      <c r="BC242" s="67">
        <f>+BB242</f>
        <v>21.77216687569512</v>
      </c>
      <c r="BD242" s="67">
        <f>BD208/BD55*90</f>
        <v>25.357883677702649</v>
      </c>
      <c r="BE242" s="67">
        <f>+BD242</f>
        <v>25.357883677702649</v>
      </c>
      <c r="BF242" s="67">
        <f>BF208/BF55*90</f>
        <v>31.638447027039618</v>
      </c>
      <c r="BG242" s="67">
        <f>+BF242</f>
        <v>31.638447027039618</v>
      </c>
      <c r="BH242" s="67">
        <f>BH208/BH55*90</f>
        <v>31.972402080458551</v>
      </c>
      <c r="BI242" s="67">
        <f>+BH242</f>
        <v>31.972402080458551</v>
      </c>
      <c r="BJ242" s="67">
        <f>BJ208/BJ55*90</f>
        <v>30.328630807346592</v>
      </c>
      <c r="BK242" s="67">
        <f>+BJ242</f>
        <v>30.328630807346592</v>
      </c>
      <c r="BL242" s="67">
        <f>BL208/BL55*90</f>
        <v>26.854764296991942</v>
      </c>
      <c r="BM242" s="67">
        <f>+BL242</f>
        <v>26.854764296991942</v>
      </c>
      <c r="BN242" s="67">
        <f>BN208/BN55*90</f>
        <v>25.70211706102117</v>
      </c>
      <c r="BO242" s="67">
        <f>+BN242</f>
        <v>25.70211706102117</v>
      </c>
      <c r="BP242" s="67">
        <f>BP208/BP55*90</f>
        <v>21.794264498783768</v>
      </c>
      <c r="BQ242" s="67">
        <f>+BP242</f>
        <v>21.794264498783768</v>
      </c>
      <c r="BR242" s="67">
        <f>BR208/BR55*90</f>
        <v>21.000964979293151</v>
      </c>
      <c r="BS242" s="67">
        <f>+BR242</f>
        <v>21.000964979293151</v>
      </c>
      <c r="BT242" s="67">
        <f>BT208/BT55*90</f>
        <v>25.491639005448739</v>
      </c>
      <c r="BU242" s="67">
        <f>+BT242</f>
        <v>25.491639005448739</v>
      </c>
      <c r="BV242" s="67">
        <f>BV208/BV55*90</f>
        <v>16.306106135941796</v>
      </c>
      <c r="BW242" s="67">
        <f>+BV242</f>
        <v>16.306106135941796</v>
      </c>
      <c r="BX242" s="67">
        <f>BX208/BX55*90</f>
        <v>12.184486550499068</v>
      </c>
      <c r="BY242" s="67">
        <f>+BX242</f>
        <v>12.184486550499068</v>
      </c>
      <c r="BZ242" s="67">
        <f>BZ208/BZ55*90</f>
        <v>29.820797429531179</v>
      </c>
      <c r="CA242" s="67">
        <f>+BZ242</f>
        <v>29.820797429531179</v>
      </c>
      <c r="CB242" s="67">
        <f>CB208/CB55*90</f>
        <v>35.744345834526193</v>
      </c>
      <c r="CC242" s="67">
        <f>+CB242</f>
        <v>35.744345834526193</v>
      </c>
      <c r="CD242" s="67">
        <f>CD208/CD55*90</f>
        <v>54.758386581469644</v>
      </c>
      <c r="CE242" s="114">
        <f>+CD242</f>
        <v>54.758386581469644</v>
      </c>
      <c r="CF242" s="67">
        <f>CF208/CF55*90</f>
        <v>50.672873403294794</v>
      </c>
      <c r="CG242" s="67">
        <f>+CF242</f>
        <v>50.672873403294794</v>
      </c>
      <c r="CH242" s="67">
        <f>CH208/CH55*90</f>
        <v>73.88506060193383</v>
      </c>
      <c r="CI242" s="67">
        <f>+CH242</f>
        <v>73.88506060193383</v>
      </c>
      <c r="CJ242" s="67">
        <f>CJ208/CJ55*90</f>
        <v>67.473097763870868</v>
      </c>
      <c r="CK242" s="67">
        <f>+CJ242</f>
        <v>67.473097763870868</v>
      </c>
      <c r="CL242" s="67">
        <f>CL208/CL55*90</f>
        <v>71.072834645669289</v>
      </c>
      <c r="CM242" s="30">
        <f t="shared" ref="CM242:DB242" si="504">+CL242</f>
        <v>71.072834645669289</v>
      </c>
      <c r="CN242" s="30">
        <f t="shared" si="504"/>
        <v>71.072834645669289</v>
      </c>
      <c r="CO242" s="30">
        <f t="shared" si="504"/>
        <v>71.072834645669289</v>
      </c>
      <c r="CP242" s="30">
        <f t="shared" si="504"/>
        <v>71.072834645669289</v>
      </c>
      <c r="CQ242" s="30">
        <f t="shared" si="504"/>
        <v>71.072834645669289</v>
      </c>
      <c r="CR242" s="30">
        <f t="shared" si="504"/>
        <v>71.072834645669289</v>
      </c>
      <c r="CS242" s="30">
        <f t="shared" si="504"/>
        <v>71.072834645669289</v>
      </c>
      <c r="CT242" s="30">
        <f t="shared" si="504"/>
        <v>71.072834645669289</v>
      </c>
      <c r="CU242" s="30">
        <f t="shared" si="504"/>
        <v>71.072834645669289</v>
      </c>
      <c r="CV242" s="30">
        <f t="shared" si="504"/>
        <v>71.072834645669289</v>
      </c>
      <c r="CW242" s="30">
        <f t="shared" si="504"/>
        <v>71.072834645669289</v>
      </c>
      <c r="CX242" s="30">
        <f t="shared" si="504"/>
        <v>71.072834645669289</v>
      </c>
      <c r="CY242" s="30">
        <f t="shared" si="504"/>
        <v>71.072834645669289</v>
      </c>
      <c r="CZ242" s="30">
        <f t="shared" si="504"/>
        <v>71.072834645669289</v>
      </c>
      <c r="DA242" s="30">
        <f t="shared" si="504"/>
        <v>71.072834645669289</v>
      </c>
      <c r="DB242" s="30">
        <f t="shared" si="504"/>
        <v>71.072834645669289</v>
      </c>
      <c r="DE242" s="139"/>
      <c r="DF242" s="62">
        <v>67.473097763870868</v>
      </c>
    </row>
    <row r="243" spans="1:110" s="62" customFormat="1" outlineLevel="1" x14ac:dyDescent="0.2">
      <c r="A243" s="68" t="s">
        <v>465</v>
      </c>
      <c r="B243" s="67">
        <f>B244-B242</f>
        <v>10.070959674897725</v>
      </c>
      <c r="C243" s="67">
        <f t="shared" ref="C243:V243" si="505">C244-C242</f>
        <v>5.5757229132995407</v>
      </c>
      <c r="D243" s="67">
        <f t="shared" si="505"/>
        <v>9.636232199955554</v>
      </c>
      <c r="E243" s="67">
        <f t="shared" si="505"/>
        <v>8.5793631482934103</v>
      </c>
      <c r="F243" s="67">
        <f t="shared" si="505"/>
        <v>8.9031970001864345</v>
      </c>
      <c r="G243" s="67">
        <f t="shared" si="505"/>
        <v>13.420273640196072</v>
      </c>
      <c r="H243" s="67">
        <f t="shared" si="505"/>
        <v>12.4440744046269</v>
      </c>
      <c r="I243" s="67">
        <f t="shared" si="505"/>
        <v>6.2756975943088875</v>
      </c>
      <c r="J243" s="67">
        <f t="shared" si="505"/>
        <v>8.5524565309805674</v>
      </c>
      <c r="K243" s="67">
        <f t="shared" si="505"/>
        <v>9.5322785481633385</v>
      </c>
      <c r="L243" s="67">
        <f t="shared" si="505"/>
        <v>17.955267247787006</v>
      </c>
      <c r="M243" s="67">
        <f t="shared" si="505"/>
        <v>14.355472725868832</v>
      </c>
      <c r="N243" s="67">
        <f t="shared" si="505"/>
        <v>14.101507530921552</v>
      </c>
      <c r="O243" s="67">
        <f t="shared" si="505"/>
        <v>14.495835324639859</v>
      </c>
      <c r="P243" s="67">
        <f t="shared" si="505"/>
        <v>17.646569840129821</v>
      </c>
      <c r="Q243" s="67">
        <f t="shared" si="505"/>
        <v>20.326434001157473</v>
      </c>
      <c r="R243" s="67">
        <f t="shared" si="505"/>
        <v>18.351329107704391</v>
      </c>
      <c r="S243" s="67">
        <f t="shared" si="505"/>
        <v>19.22008274791007</v>
      </c>
      <c r="T243" s="67">
        <f t="shared" si="505"/>
        <v>18.671491782891117</v>
      </c>
      <c r="U243" s="67">
        <f t="shared" si="505"/>
        <v>20.767019903804805</v>
      </c>
      <c r="V243" s="67">
        <f t="shared" si="505"/>
        <v>27.333973524066021</v>
      </c>
      <c r="W243" s="67">
        <f t="shared" ref="W243:AE243" si="506">W244-W242</f>
        <v>26.364039117878711</v>
      </c>
      <c r="X243" s="67">
        <f t="shared" si="506"/>
        <v>25.855344172842241</v>
      </c>
      <c r="Y243" s="67">
        <f t="shared" si="506"/>
        <v>31.597889698104296</v>
      </c>
      <c r="Z243" s="67">
        <f t="shared" si="506"/>
        <v>21.971928105147086</v>
      </c>
      <c r="AA243" s="67">
        <f t="shared" ref="AA243" si="507">AA244-AA242</f>
        <v>24.147665966925658</v>
      </c>
      <c r="AB243" s="18">
        <f t="shared" si="506"/>
        <v>21.103441037078838</v>
      </c>
      <c r="AC243" s="18">
        <f t="shared" si="506"/>
        <v>21.182963992039788</v>
      </c>
      <c r="AD243" s="18">
        <f t="shared" si="506"/>
        <v>20.973319788920662</v>
      </c>
      <c r="AE243" s="18">
        <f t="shared" si="506"/>
        <v>20.973319788920648</v>
      </c>
      <c r="AI243" s="67">
        <f>AI244-AI242</f>
        <v>0</v>
      </c>
      <c r="AJ243" s="67">
        <f>AJ244-AJ242</f>
        <v>44.157548099362131</v>
      </c>
      <c r="AK243" s="67">
        <f>AK244-AK242</f>
        <v>51.690038244399929</v>
      </c>
      <c r="AL243" s="67">
        <f>AL244-AL242</f>
        <v>39.488047920282142</v>
      </c>
      <c r="AM243" s="67">
        <f>AM244-AM242</f>
        <v>38.375224416517057</v>
      </c>
      <c r="AN243" s="67">
        <f t="shared" ref="AN243:AY243" si="508">AN244-AN242</f>
        <v>45.591434398368463</v>
      </c>
      <c r="AO243" s="67">
        <f t="shared" si="508"/>
        <v>46.042679787173185</v>
      </c>
      <c r="AP243" s="67">
        <f t="shared" si="508"/>
        <v>37.132492284368411</v>
      </c>
      <c r="AQ243" s="67">
        <f t="shared" si="508"/>
        <v>36.573074154067669</v>
      </c>
      <c r="AR243" s="67">
        <f t="shared" si="508"/>
        <v>39.588446290353033</v>
      </c>
      <c r="AS243" s="67">
        <f t="shared" si="508"/>
        <v>39.778331797734552</v>
      </c>
      <c r="AT243" s="67">
        <f t="shared" si="508"/>
        <v>38.475559237779621</v>
      </c>
      <c r="AU243" s="67">
        <f t="shared" si="508"/>
        <v>38.002236709309628</v>
      </c>
      <c r="AV243" s="67">
        <f t="shared" si="508"/>
        <v>38.296344321978943</v>
      </c>
      <c r="AW243" s="67">
        <f t="shared" si="508"/>
        <v>43.092118185134247</v>
      </c>
      <c r="AX243" s="67">
        <f t="shared" si="508"/>
        <v>35.385393171035233</v>
      </c>
      <c r="AY243" s="67">
        <f t="shared" si="508"/>
        <v>32.507640396910489</v>
      </c>
      <c r="AZ243" s="67">
        <f>AZ244-AZ242</f>
        <v>31.731724137931039</v>
      </c>
      <c r="BA243" s="67">
        <f>BA244-BA242</f>
        <v>38.132189858827815</v>
      </c>
      <c r="BB243" s="67">
        <f>BB244-BB242</f>
        <v>30.47634823351239</v>
      </c>
      <c r="BC243" s="67">
        <f>BC244-BC242</f>
        <v>29.258620106565061</v>
      </c>
      <c r="BD243" s="67">
        <f t="shared" ref="BD243:CE243" si="509">BD244-BD242</f>
        <v>42.952506667385052</v>
      </c>
      <c r="BE243" s="67">
        <f t="shared" si="509"/>
        <v>38.286468963861211</v>
      </c>
      <c r="BF243" s="67">
        <f t="shared" si="509"/>
        <v>33.03234972168525</v>
      </c>
      <c r="BG243" s="67">
        <f t="shared" si="509"/>
        <v>29.925308576854093</v>
      </c>
      <c r="BH243" s="67">
        <f t="shared" si="509"/>
        <v>34.92049676255175</v>
      </c>
      <c r="BI243" s="67">
        <f t="shared" si="509"/>
        <v>37.372881355932208</v>
      </c>
      <c r="BJ243" s="67">
        <f t="shared" si="509"/>
        <v>30.019042158930361</v>
      </c>
      <c r="BK243" s="67">
        <f t="shared" si="509"/>
        <v>31.827457450503651</v>
      </c>
      <c r="BL243" s="67">
        <f t="shared" si="509"/>
        <v>31.586458611002893</v>
      </c>
      <c r="BM243" s="67">
        <f t="shared" si="509"/>
        <v>34.987735077677854</v>
      </c>
      <c r="BN243" s="67">
        <f t="shared" si="509"/>
        <v>33.254047322540472</v>
      </c>
      <c r="BO243" s="67">
        <f t="shared" si="509"/>
        <v>122.64835568620248</v>
      </c>
      <c r="BP243" s="67">
        <f t="shared" si="509"/>
        <v>48.45954423249264</v>
      </c>
      <c r="BQ243" s="67">
        <f t="shared" si="509"/>
        <v>34.391141396933563</v>
      </c>
      <c r="BR243" s="67">
        <f t="shared" si="509"/>
        <v>32.104861083189249</v>
      </c>
      <c r="BS243" s="67">
        <f t="shared" si="509"/>
        <v>38.839409489991965</v>
      </c>
      <c r="BT243" s="67">
        <f t="shared" si="509"/>
        <v>20.94851882006639</v>
      </c>
      <c r="BU243" s="67">
        <f t="shared" si="509"/>
        <v>20.59002770083103</v>
      </c>
      <c r="BV243" s="67">
        <f t="shared" si="509"/>
        <v>40.211079649374753</v>
      </c>
      <c r="BW243" s="67">
        <f t="shared" si="509"/>
        <v>41.610868102288023</v>
      </c>
      <c r="BX243" s="67">
        <f t="shared" si="509"/>
        <v>25.263491794958561</v>
      </c>
      <c r="BY243" s="67">
        <f t="shared" si="509"/>
        <v>29.619669421487608</v>
      </c>
      <c r="BZ243" s="67">
        <f t="shared" si="509"/>
        <v>25.254417993281724</v>
      </c>
      <c r="CA243" s="67">
        <f t="shared" si="509"/>
        <v>25.537882144439518</v>
      </c>
      <c r="CB243" s="67">
        <f t="shared" si="509"/>
        <v>30.618379616375613</v>
      </c>
      <c r="CC243" s="67">
        <f t="shared" si="509"/>
        <v>30.995008855256806</v>
      </c>
      <c r="CD243" s="67">
        <f t="shared" si="509"/>
        <v>27.796382930168896</v>
      </c>
      <c r="CE243" s="114">
        <f t="shared" si="509"/>
        <v>28.120049058509515</v>
      </c>
      <c r="CF243" s="67">
        <f>CF244-CF242</f>
        <v>22.60224093781914</v>
      </c>
      <c r="CG243" s="67">
        <f>CG244-CG242</f>
        <v>20.252655870767505</v>
      </c>
      <c r="CH243" s="67">
        <f>CH244-CH242</f>
        <v>21.078850606019344</v>
      </c>
      <c r="CI243" s="67">
        <f>CH243</f>
        <v>21.078850606019344</v>
      </c>
      <c r="CJ243" s="67">
        <f>CJ244-CJ242</f>
        <v>21.890406777073949</v>
      </c>
      <c r="CK243" s="67">
        <f t="shared" ref="CK243:DB243" si="510">CJ243</f>
        <v>21.890406777073949</v>
      </c>
      <c r="CL243" s="67">
        <f>CL244-CL242</f>
        <v>20.655036654900911</v>
      </c>
      <c r="CM243" s="30">
        <f t="shared" si="510"/>
        <v>20.655036654900911</v>
      </c>
      <c r="CN243" s="30">
        <f t="shared" si="510"/>
        <v>20.655036654900911</v>
      </c>
      <c r="CO243" s="30">
        <f t="shared" si="510"/>
        <v>20.655036654900911</v>
      </c>
      <c r="CP243" s="30">
        <f t="shared" si="510"/>
        <v>20.655036654900911</v>
      </c>
      <c r="CQ243" s="30">
        <f t="shared" si="510"/>
        <v>20.655036654900911</v>
      </c>
      <c r="CR243" s="30">
        <f t="shared" si="510"/>
        <v>20.655036654900911</v>
      </c>
      <c r="CS243" s="30">
        <f t="shared" si="510"/>
        <v>20.655036654900911</v>
      </c>
      <c r="CT243" s="30">
        <f t="shared" si="510"/>
        <v>20.655036654900911</v>
      </c>
      <c r="CU243" s="30">
        <f t="shared" si="510"/>
        <v>20.655036654900911</v>
      </c>
      <c r="CV243" s="30">
        <f t="shared" si="510"/>
        <v>20.655036654900911</v>
      </c>
      <c r="CW243" s="30">
        <f t="shared" si="510"/>
        <v>20.655036654900911</v>
      </c>
      <c r="CX243" s="30">
        <f t="shared" si="510"/>
        <v>20.655036654900911</v>
      </c>
      <c r="CY243" s="30">
        <f t="shared" si="510"/>
        <v>20.655036654900911</v>
      </c>
      <c r="CZ243" s="30">
        <f t="shared" si="510"/>
        <v>20.655036654900911</v>
      </c>
      <c r="DA243" s="30">
        <f t="shared" si="510"/>
        <v>20.655036654900911</v>
      </c>
      <c r="DB243" s="30">
        <f t="shared" si="510"/>
        <v>20.655036654900911</v>
      </c>
      <c r="DE243" s="139"/>
      <c r="DF243" s="62">
        <v>21.890406777073949</v>
      </c>
    </row>
    <row r="244" spans="1:110" s="7" customFormat="1" outlineLevel="1" x14ac:dyDescent="0.2">
      <c r="A244" s="69" t="s">
        <v>468</v>
      </c>
      <c r="B244" s="70">
        <f t="shared" ref="B244:AE244" si="511">B215/B55*365</f>
        <v>16.929633619131856</v>
      </c>
      <c r="C244" s="70">
        <f t="shared" si="511"/>
        <v>9.3407674714821809</v>
      </c>
      <c r="D244" s="70">
        <f t="shared" si="511"/>
        <v>20.702420558777479</v>
      </c>
      <c r="E244" s="70">
        <f t="shared" si="511"/>
        <v>11.490648817298814</v>
      </c>
      <c r="F244" s="70">
        <f t="shared" si="511"/>
        <v>13.978186609630541</v>
      </c>
      <c r="G244" s="70">
        <f t="shared" si="511"/>
        <v>32.213825322223165</v>
      </c>
      <c r="H244" s="70">
        <f t="shared" si="511"/>
        <v>26.885314744601434</v>
      </c>
      <c r="I244" s="70">
        <f t="shared" si="511"/>
        <v>30.474396217577706</v>
      </c>
      <c r="J244" s="70">
        <f t="shared" si="511"/>
        <v>24.759845669411977</v>
      </c>
      <c r="K244" s="70">
        <f t="shared" si="511"/>
        <v>21.941420711515608</v>
      </c>
      <c r="L244" s="70">
        <f t="shared" si="511"/>
        <v>33.746283532671121</v>
      </c>
      <c r="M244" s="70">
        <f t="shared" si="511"/>
        <v>27.027642653076981</v>
      </c>
      <c r="N244" s="70">
        <f t="shared" si="511"/>
        <v>29.938055897819162</v>
      </c>
      <c r="O244" s="70">
        <f t="shared" si="511"/>
        <v>32.114118932204548</v>
      </c>
      <c r="P244" s="70">
        <f t="shared" si="511"/>
        <v>35.863558375229438</v>
      </c>
      <c r="Q244" s="70">
        <f t="shared" si="511"/>
        <v>38.476392058940192</v>
      </c>
      <c r="R244" s="70">
        <f t="shared" si="511"/>
        <v>41.269193445361623</v>
      </c>
      <c r="S244" s="70">
        <f t="shared" si="511"/>
        <v>52.642655212996999</v>
      </c>
      <c r="T244" s="70">
        <f t="shared" si="511"/>
        <v>50.734869470998596</v>
      </c>
      <c r="U244" s="70">
        <f t="shared" si="511"/>
        <v>44.145974269737621</v>
      </c>
      <c r="V244" s="70">
        <f t="shared" si="511"/>
        <v>58.508723518547136</v>
      </c>
      <c r="W244" s="70">
        <f t="shared" si="511"/>
        <v>69.400248588868465</v>
      </c>
      <c r="X244" s="70">
        <f t="shared" si="511"/>
        <v>56.38572429303543</v>
      </c>
      <c r="Y244" s="70">
        <f t="shared" si="511"/>
        <v>90.843759274902396</v>
      </c>
      <c r="Z244" s="70">
        <f t="shared" si="511"/>
        <v>98.987381648261263</v>
      </c>
      <c r="AA244" s="70">
        <f t="shared" ref="AA244" si="512">AA215/AA55*365</f>
        <v>102.91674524583171</v>
      </c>
      <c r="AB244" s="71">
        <f t="shared" si="511"/>
        <v>93.719210272571885</v>
      </c>
      <c r="AC244" s="71">
        <f t="shared" si="511"/>
        <v>94.072367301531642</v>
      </c>
      <c r="AD244" s="71">
        <f t="shared" si="511"/>
        <v>93.141349032045312</v>
      </c>
      <c r="AE244" s="71">
        <f t="shared" si="511"/>
        <v>93.141349032045312</v>
      </c>
      <c r="AI244" s="70">
        <f t="shared" ref="AI244:CD244" si="513">AI215/AI55*90</f>
        <v>0</v>
      </c>
      <c r="AJ244" s="70">
        <f t="shared" si="513"/>
        <v>44.157548099362131</v>
      </c>
      <c r="AK244" s="70">
        <f t="shared" si="513"/>
        <v>51.690038244399929</v>
      </c>
      <c r="AL244" s="70">
        <f t="shared" si="513"/>
        <v>55.721603314112969</v>
      </c>
      <c r="AM244" s="70">
        <f t="shared" si="513"/>
        <v>54.608779810347876</v>
      </c>
      <c r="AN244" s="70">
        <f t="shared" si="513"/>
        <v>59.69408565601632</v>
      </c>
      <c r="AO244" s="70">
        <f t="shared" si="513"/>
        <v>60.145331044821042</v>
      </c>
      <c r="AP244" s="70">
        <f t="shared" si="513"/>
        <v>54.358655043586559</v>
      </c>
      <c r="AQ244" s="70">
        <f t="shared" si="513"/>
        <v>53.799236913285817</v>
      </c>
      <c r="AR244" s="70">
        <f t="shared" si="513"/>
        <v>55.329162059386711</v>
      </c>
      <c r="AS244" s="70">
        <f t="shared" si="513"/>
        <v>55.519047566768229</v>
      </c>
      <c r="AT244" s="70">
        <f t="shared" si="513"/>
        <v>57.129246064623032</v>
      </c>
      <c r="AU244" s="70">
        <f t="shared" si="513"/>
        <v>56.65592353615304</v>
      </c>
      <c r="AV244" s="70">
        <f t="shared" si="513"/>
        <v>52.44426711884693</v>
      </c>
      <c r="AW244" s="70">
        <f t="shared" si="513"/>
        <v>57.240040982002235</v>
      </c>
      <c r="AX244" s="70">
        <f t="shared" si="513"/>
        <v>53.228591428793649</v>
      </c>
      <c r="AY244" s="70">
        <f t="shared" si="513"/>
        <v>50.350838654668905</v>
      </c>
      <c r="AZ244" s="70">
        <f t="shared" si="513"/>
        <v>49.241379310344833</v>
      </c>
      <c r="BA244" s="70">
        <f t="shared" si="513"/>
        <v>55.641845031241608</v>
      </c>
      <c r="BB244" s="70">
        <f t="shared" si="513"/>
        <v>52.24851510920751</v>
      </c>
      <c r="BC244" s="70">
        <f t="shared" si="513"/>
        <v>51.030786982260182</v>
      </c>
      <c r="BD244" s="70">
        <f t="shared" si="513"/>
        <v>68.310390345087697</v>
      </c>
      <c r="BE244" s="70">
        <f t="shared" si="513"/>
        <v>63.644352641563856</v>
      </c>
      <c r="BF244" s="70">
        <f t="shared" si="513"/>
        <v>64.670796748724868</v>
      </c>
      <c r="BG244" s="70">
        <f t="shared" si="513"/>
        <v>61.563755603893711</v>
      </c>
      <c r="BH244" s="70">
        <f t="shared" si="513"/>
        <v>66.8928988430103</v>
      </c>
      <c r="BI244" s="70">
        <f t="shared" si="513"/>
        <v>69.345283436390758</v>
      </c>
      <c r="BJ244" s="70">
        <f t="shared" si="513"/>
        <v>60.347672966276953</v>
      </c>
      <c r="BK244" s="70">
        <f t="shared" si="513"/>
        <v>62.156088257850243</v>
      </c>
      <c r="BL244" s="70">
        <f t="shared" si="513"/>
        <v>58.441222907994835</v>
      </c>
      <c r="BM244" s="70">
        <f t="shared" si="513"/>
        <v>61.842499374669792</v>
      </c>
      <c r="BN244" s="70">
        <f t="shared" si="513"/>
        <v>58.956164383561642</v>
      </c>
      <c r="BO244" s="70">
        <f t="shared" si="513"/>
        <v>148.35047274722365</v>
      </c>
      <c r="BP244" s="70">
        <f t="shared" si="513"/>
        <v>70.253808731276408</v>
      </c>
      <c r="BQ244" s="70">
        <f t="shared" si="513"/>
        <v>56.185405895717331</v>
      </c>
      <c r="BR244" s="70">
        <f t="shared" si="513"/>
        <v>53.1058260624824</v>
      </c>
      <c r="BS244" s="70">
        <f t="shared" si="513"/>
        <v>59.840374469285116</v>
      </c>
      <c r="BT244" s="70">
        <f t="shared" si="513"/>
        <v>46.440157825515129</v>
      </c>
      <c r="BU244" s="70">
        <f t="shared" si="513"/>
        <v>46.081666706279769</v>
      </c>
      <c r="BV244" s="70">
        <f t="shared" si="513"/>
        <v>56.517185785316549</v>
      </c>
      <c r="BW244" s="70">
        <f t="shared" si="513"/>
        <v>57.91697423822982</v>
      </c>
      <c r="BX244" s="70">
        <f t="shared" si="513"/>
        <v>37.447978345457628</v>
      </c>
      <c r="BY244" s="70">
        <f t="shared" si="513"/>
        <v>41.804155971986674</v>
      </c>
      <c r="BZ244" s="70">
        <f t="shared" si="513"/>
        <v>55.075215422812903</v>
      </c>
      <c r="CA244" s="70">
        <f t="shared" si="513"/>
        <v>55.358679573970697</v>
      </c>
      <c r="CB244" s="70">
        <f t="shared" si="513"/>
        <v>66.362725450901806</v>
      </c>
      <c r="CC244" s="70">
        <f t="shared" si="513"/>
        <v>66.739354689782999</v>
      </c>
      <c r="CD244" s="70">
        <f t="shared" si="513"/>
        <v>82.55476951163854</v>
      </c>
      <c r="CE244" s="115">
        <f>CE215/CE57*90</f>
        <v>82.878435639979159</v>
      </c>
      <c r="CF244" s="70">
        <f>CF215/CF55*90</f>
        <v>73.275114341113934</v>
      </c>
      <c r="CG244" s="70">
        <f>CG215/CG57*90</f>
        <v>70.925529274062299</v>
      </c>
      <c r="CH244" s="70">
        <f>CH215/CH55*90</f>
        <v>94.963911207953174</v>
      </c>
      <c r="CI244" s="70">
        <f>CI242+CI243</f>
        <v>94.963911207953174</v>
      </c>
      <c r="CJ244" s="70">
        <f>CJ215/CJ55*90</f>
        <v>89.363504540944817</v>
      </c>
      <c r="CK244" s="70">
        <f t="shared" ref="CK244:DB244" si="514">CK242+CK243</f>
        <v>89.363504540944817</v>
      </c>
      <c r="CL244" s="70">
        <f>CL215/CL55*90</f>
        <v>91.7278713005702</v>
      </c>
      <c r="CM244" s="50">
        <f t="shared" si="514"/>
        <v>91.7278713005702</v>
      </c>
      <c r="CN244" s="50">
        <f t="shared" si="514"/>
        <v>91.7278713005702</v>
      </c>
      <c r="CO244" s="50">
        <f t="shared" si="514"/>
        <v>91.7278713005702</v>
      </c>
      <c r="CP244" s="50">
        <f t="shared" si="514"/>
        <v>91.7278713005702</v>
      </c>
      <c r="CQ244" s="50">
        <f t="shared" si="514"/>
        <v>91.7278713005702</v>
      </c>
      <c r="CR244" s="50">
        <f t="shared" si="514"/>
        <v>91.7278713005702</v>
      </c>
      <c r="CS244" s="50">
        <f t="shared" si="514"/>
        <v>91.7278713005702</v>
      </c>
      <c r="CT244" s="50">
        <f t="shared" si="514"/>
        <v>91.7278713005702</v>
      </c>
      <c r="CU244" s="50">
        <f t="shared" si="514"/>
        <v>91.7278713005702</v>
      </c>
      <c r="CV244" s="50">
        <f t="shared" si="514"/>
        <v>91.7278713005702</v>
      </c>
      <c r="CW244" s="50">
        <f t="shared" si="514"/>
        <v>91.7278713005702</v>
      </c>
      <c r="CX244" s="50">
        <f t="shared" si="514"/>
        <v>91.7278713005702</v>
      </c>
      <c r="CY244" s="50">
        <f t="shared" si="514"/>
        <v>91.7278713005702</v>
      </c>
      <c r="CZ244" s="50">
        <f t="shared" si="514"/>
        <v>91.7278713005702</v>
      </c>
      <c r="DA244" s="50">
        <f t="shared" si="514"/>
        <v>91.7278713005702</v>
      </c>
      <c r="DB244" s="50">
        <f t="shared" si="514"/>
        <v>91.7278713005702</v>
      </c>
      <c r="DE244" s="138"/>
      <c r="DF244" s="7">
        <v>89.363504540944817</v>
      </c>
    </row>
    <row r="245" spans="1:110" s="7" customFormat="1" x14ac:dyDescent="0.2">
      <c r="A245" s="69" t="s">
        <v>469</v>
      </c>
      <c r="B245" s="70">
        <f>B241-B244</f>
        <v>61.31896412895518</v>
      </c>
      <c r="C245" s="70">
        <f t="shared" ref="C245:V245" si="515">C241-C244</f>
        <v>62.593096853660796</v>
      </c>
      <c r="D245" s="70">
        <f t="shared" si="515"/>
        <v>66.824636708746453</v>
      </c>
      <c r="E245" s="70">
        <f t="shared" si="515"/>
        <v>95.93058967802655</v>
      </c>
      <c r="F245" s="70">
        <f t="shared" si="515"/>
        <v>116.17772088063623</v>
      </c>
      <c r="G245" s="70">
        <f t="shared" si="515"/>
        <v>138.90879862625235</v>
      </c>
      <c r="H245" s="70">
        <f t="shared" si="515"/>
        <v>175.81602845036349</v>
      </c>
      <c r="I245" s="70">
        <f t="shared" si="515"/>
        <v>159.13005610726043</v>
      </c>
      <c r="J245" s="70">
        <f t="shared" si="515"/>
        <v>128.55672354792998</v>
      </c>
      <c r="K245" s="70">
        <f t="shared" si="515"/>
        <v>138.78834506073815</v>
      </c>
      <c r="L245" s="70">
        <f t="shared" si="515"/>
        <v>135.13003412392729</v>
      </c>
      <c r="M245" s="70">
        <f t="shared" si="515"/>
        <v>95.89445532461518</v>
      </c>
      <c r="N245" s="70">
        <f t="shared" si="515"/>
        <v>98.693349761986497</v>
      </c>
      <c r="O245" s="70">
        <f t="shared" si="515"/>
        <v>101.11200245784121</v>
      </c>
      <c r="P245" s="70">
        <f t="shared" si="515"/>
        <v>110.05682573883433</v>
      </c>
      <c r="Q245" s="70">
        <f t="shared" si="515"/>
        <v>123.83602218710782</v>
      </c>
      <c r="R245" s="70">
        <f t="shared" si="515"/>
        <v>127.13888684158803</v>
      </c>
      <c r="S245" s="70">
        <f t="shared" si="515"/>
        <v>138.49309625207781</v>
      </c>
      <c r="T245" s="70">
        <f t="shared" si="515"/>
        <v>118.30018734687994</v>
      </c>
      <c r="U245" s="70">
        <f t="shared" si="515"/>
        <v>117.99582148583048</v>
      </c>
      <c r="V245" s="70">
        <f t="shared" si="515"/>
        <v>156.19068117765659</v>
      </c>
      <c r="W245" s="70">
        <f t="shared" ref="W245:AE245" si="516">W241-W244</f>
        <v>99.05080893935417</v>
      </c>
      <c r="X245" s="70">
        <f t="shared" si="516"/>
        <v>101.95723186963093</v>
      </c>
      <c r="Y245" s="70">
        <f t="shared" si="516"/>
        <v>113.60435073780656</v>
      </c>
      <c r="Z245" s="70">
        <f t="shared" si="516"/>
        <v>76.256567318293989</v>
      </c>
      <c r="AA245" s="70">
        <f t="shared" ref="AA245" si="517">AA241-AA244</f>
        <v>67.902121792037818</v>
      </c>
      <c r="AB245" s="71">
        <f t="shared" si="516"/>
        <v>66.875971716314936</v>
      </c>
      <c r="AC245" s="71">
        <f t="shared" si="516"/>
        <v>69.179095330761896</v>
      </c>
      <c r="AD245" s="71">
        <f t="shared" si="516"/>
        <v>68.494441553388256</v>
      </c>
      <c r="AE245" s="71">
        <f t="shared" si="516"/>
        <v>68.494441553388256</v>
      </c>
      <c r="AI245" s="70">
        <f>AI241-AI244</f>
        <v>0</v>
      </c>
      <c r="AJ245" s="70">
        <f>AJ241-AJ244</f>
        <v>68.492973085100857</v>
      </c>
      <c r="AK245" s="70">
        <f>AK241-AK244</f>
        <v>65.995810487076227</v>
      </c>
      <c r="AL245" s="70">
        <f>AL241-AL244</f>
        <v>76.134467894530587</v>
      </c>
      <c r="AM245" s="70">
        <f>AM241-AM244</f>
        <v>76.293138422818657</v>
      </c>
      <c r="AN245" s="70">
        <f t="shared" ref="AN245:AY245" si="518">AN241-AN244</f>
        <v>78.398198504418815</v>
      </c>
      <c r="AO245" s="70">
        <f t="shared" si="518"/>
        <v>78.320282727152602</v>
      </c>
      <c r="AP245" s="70">
        <f t="shared" si="518"/>
        <v>75.902322811197109</v>
      </c>
      <c r="AQ245" s="70">
        <f t="shared" si="518"/>
        <v>76.094521848615415</v>
      </c>
      <c r="AR245" s="70">
        <f t="shared" si="518"/>
        <v>80.642951535909788</v>
      </c>
      <c r="AS245" s="70">
        <f t="shared" si="518"/>
        <v>80.587103542107911</v>
      </c>
      <c r="AT245" s="70">
        <f t="shared" si="518"/>
        <v>92.289146644573293</v>
      </c>
      <c r="AU245" s="70">
        <f t="shared" si="518"/>
        <v>92.504526740861593</v>
      </c>
      <c r="AV245" s="70">
        <f t="shared" si="518"/>
        <v>94.270859308762653</v>
      </c>
      <c r="AW245" s="70">
        <f t="shared" si="518"/>
        <v>92.651751641999994</v>
      </c>
      <c r="AX245" s="70">
        <f t="shared" si="518"/>
        <v>106.34051489460997</v>
      </c>
      <c r="AY245" s="70">
        <f t="shared" si="518"/>
        <v>104.44194013682113</v>
      </c>
      <c r="AZ245" s="70">
        <f>AZ241-AZ244</f>
        <v>101.80551724137933</v>
      </c>
      <c r="BA245" s="70">
        <f>BA241-BA244</f>
        <v>98.916607187735622</v>
      </c>
      <c r="BB245" s="70">
        <f>BB241-BB244</f>
        <v>107.74059963558059</v>
      </c>
      <c r="BC245" s="70">
        <f>BC241-BC244</f>
        <v>104.99375552150629</v>
      </c>
      <c r="BD245" s="70">
        <f t="shared" ref="BD245:CE245" si="519">BD241-BD244</f>
        <v>116.80773686053716</v>
      </c>
      <c r="BE245" s="70">
        <f t="shared" si="519"/>
        <v>117.48304283659472</v>
      </c>
      <c r="BF245" s="70">
        <f t="shared" si="519"/>
        <v>116.26196520483502</v>
      </c>
      <c r="BG245" s="70">
        <f t="shared" si="519"/>
        <v>115.71662122319891</v>
      </c>
      <c r="BH245" s="70">
        <f t="shared" si="519"/>
        <v>104.15773272476383</v>
      </c>
      <c r="BI245" s="70">
        <f t="shared" si="519"/>
        <v>103.69240089952757</v>
      </c>
      <c r="BJ245" s="70">
        <f t="shared" si="519"/>
        <v>99.541964413685804</v>
      </c>
      <c r="BK245" s="70">
        <f t="shared" si="519"/>
        <v>99.476133212464006</v>
      </c>
      <c r="BL245" s="70">
        <f t="shared" si="519"/>
        <v>90.752937316738098</v>
      </c>
      <c r="BM245" s="70">
        <f t="shared" si="519"/>
        <v>89.824720304828872</v>
      </c>
      <c r="BN245" s="70">
        <f t="shared" si="519"/>
        <v>119.29763387297631</v>
      </c>
      <c r="BO245" s="70">
        <f t="shared" si="519"/>
        <v>108.77037693254374</v>
      </c>
      <c r="BP245" s="70">
        <f t="shared" si="519"/>
        <v>127.61426193829213</v>
      </c>
      <c r="BQ245" s="70">
        <f t="shared" si="519"/>
        <v>132.20365709739266</v>
      </c>
      <c r="BR245" s="70">
        <f t="shared" si="519"/>
        <v>91.527079731414091</v>
      </c>
      <c r="BS245" s="70">
        <f t="shared" si="519"/>
        <v>90.220325326284382</v>
      </c>
      <c r="BT245" s="70">
        <f t="shared" si="519"/>
        <v>87.722803281768662</v>
      </c>
      <c r="BU245" s="70">
        <f t="shared" si="519"/>
        <v>87.672813231306179</v>
      </c>
      <c r="BV245" s="70">
        <f t="shared" si="519"/>
        <v>81.089133056048553</v>
      </c>
      <c r="BW245" s="70">
        <f t="shared" si="519"/>
        <v>80.640732145848546</v>
      </c>
      <c r="BX245" s="70">
        <f t="shared" si="519"/>
        <v>98.13948570461848</v>
      </c>
      <c r="BY245" s="70">
        <f t="shared" si="519"/>
        <v>99.23930514756772</v>
      </c>
      <c r="BZ245" s="70">
        <f t="shared" si="519"/>
        <v>99.903023221848969</v>
      </c>
      <c r="CA245" s="70">
        <f t="shared" si="519"/>
        <v>100.0811454670438</v>
      </c>
      <c r="CB245" s="70">
        <f t="shared" si="519"/>
        <v>112.64385914686515</v>
      </c>
      <c r="CC245" s="70">
        <f t="shared" si="519"/>
        <v>112.84421745024193</v>
      </c>
      <c r="CD245" s="70">
        <f t="shared" si="519"/>
        <v>105.10354860794158</v>
      </c>
      <c r="CE245" s="115">
        <f t="shared" si="519"/>
        <v>105.29418487841608</v>
      </c>
      <c r="CF245" s="70">
        <f>CF241-CF244</f>
        <v>108.56588860437235</v>
      </c>
      <c r="CG245" s="70">
        <f>CG241-CG244</f>
        <v>107.99936815235911</v>
      </c>
      <c r="CH245" s="70">
        <f>CH241-CH244</f>
        <v>73.157020291434009</v>
      </c>
      <c r="CI245" s="70">
        <f>CI241-CI244</f>
        <v>73.157020291434009</v>
      </c>
      <c r="CJ245" s="70">
        <f t="shared" ref="CJ245:DB245" si="520">CJ241-CJ244</f>
        <v>83.063802182706283</v>
      </c>
      <c r="CK245" s="70">
        <f t="shared" si="520"/>
        <v>83.063802182706283</v>
      </c>
      <c r="CL245" s="70">
        <f>CL241-CL244</f>
        <v>61.454995927233227</v>
      </c>
      <c r="CM245" s="50">
        <f t="shared" si="520"/>
        <v>62.454995927233227</v>
      </c>
      <c r="CN245" s="50">
        <f t="shared" si="520"/>
        <v>63.454995927233227</v>
      </c>
      <c r="CO245" s="50">
        <f t="shared" si="520"/>
        <v>64.454995927233227</v>
      </c>
      <c r="CP245" s="50">
        <f t="shared" si="520"/>
        <v>65.454995927233227</v>
      </c>
      <c r="CQ245" s="50">
        <f t="shared" si="520"/>
        <v>66.454995927233227</v>
      </c>
      <c r="CR245" s="50">
        <f t="shared" si="520"/>
        <v>67.454995927233227</v>
      </c>
      <c r="CS245" s="50">
        <f t="shared" si="520"/>
        <v>67.454995927233227</v>
      </c>
      <c r="CT245" s="50">
        <f t="shared" si="520"/>
        <v>67.454995927233227</v>
      </c>
      <c r="CU245" s="50">
        <f t="shared" si="520"/>
        <v>67.454995927233227</v>
      </c>
      <c r="CV245" s="50">
        <f t="shared" si="520"/>
        <v>67.454995927233227</v>
      </c>
      <c r="CW245" s="50">
        <f t="shared" si="520"/>
        <v>67.454995927233227</v>
      </c>
      <c r="CX245" s="50">
        <f t="shared" si="520"/>
        <v>67.454995927233227</v>
      </c>
      <c r="CY245" s="50">
        <f t="shared" si="520"/>
        <v>67.454995927233227</v>
      </c>
      <c r="CZ245" s="50">
        <f t="shared" si="520"/>
        <v>67.454995927233227</v>
      </c>
      <c r="DA245" s="50">
        <f t="shared" si="520"/>
        <v>67.454995927233227</v>
      </c>
      <c r="DB245" s="50">
        <f t="shared" si="520"/>
        <v>67.454995927233227</v>
      </c>
      <c r="DE245" s="138"/>
      <c r="DF245" s="7">
        <v>83.063802182706283</v>
      </c>
    </row>
    <row r="246" spans="1:110" s="7" customFormat="1" x14ac:dyDescent="0.2">
      <c r="A246" s="69" t="s">
        <v>85</v>
      </c>
      <c r="AB246" s="77"/>
      <c r="AC246" s="77"/>
      <c r="AD246" s="77"/>
      <c r="AE246" s="77"/>
      <c r="CE246" s="115"/>
      <c r="CG246" s="115"/>
      <c r="CM246" s="50"/>
      <c r="CN246" s="50"/>
      <c r="CO246" s="50"/>
      <c r="CP246" s="50"/>
      <c r="CQ246" s="50"/>
      <c r="CR246" s="50"/>
      <c r="CS246" s="50"/>
      <c r="CT246" s="50"/>
      <c r="CU246" s="50"/>
      <c r="CV246" s="50"/>
      <c r="CW246" s="50"/>
      <c r="CX246" s="50"/>
      <c r="CY246" s="50"/>
      <c r="CZ246" s="50"/>
      <c r="DA246" s="50"/>
      <c r="DB246" s="50"/>
      <c r="DE246" s="138"/>
    </row>
    <row r="247" spans="1:110" s="86" customFormat="1" x14ac:dyDescent="0.2">
      <c r="A247" s="86" t="s">
        <v>439</v>
      </c>
      <c r="C247" s="86">
        <f t="shared" ref="C247:AE247" si="521">C57/B57-1</f>
        <v>3.373899329498431E-2</v>
      </c>
      <c r="D247" s="86">
        <f t="shared" si="521"/>
        <v>3.1773434475886431E-2</v>
      </c>
      <c r="E247" s="86">
        <f t="shared" si="521"/>
        <v>0.36506193604490877</v>
      </c>
      <c r="F247" s="86">
        <f t="shared" si="521"/>
        <v>8.3930998535620471E-2</v>
      </c>
      <c r="G247" s="86">
        <f t="shared" si="521"/>
        <v>0.19756352004865962</v>
      </c>
      <c r="H247" s="86">
        <f t="shared" si="521"/>
        <v>0.59278951652375311</v>
      </c>
      <c r="I247" s="86">
        <f t="shared" si="521"/>
        <v>0.2553113073187665</v>
      </c>
      <c r="J247" s="86">
        <f t="shared" si="521"/>
        <v>7.9159640787675123E-2</v>
      </c>
      <c r="K247" s="86">
        <f t="shared" si="521"/>
        <v>0.13895787191736608</v>
      </c>
      <c r="L247" s="86">
        <f t="shared" si="521"/>
        <v>0.37462349036550124</v>
      </c>
      <c r="M247" s="86">
        <f t="shared" si="521"/>
        <v>0.20972753346080286</v>
      </c>
      <c r="N247" s="86">
        <f t="shared" si="521"/>
        <v>4.3479488011741507E-2</v>
      </c>
      <c r="O247" s="86">
        <f t="shared" si="521"/>
        <v>-3.1260988342214135E-2</v>
      </c>
      <c r="P247" s="86">
        <f t="shared" si="521"/>
        <v>2.5163861762796502E-2</v>
      </c>
      <c r="Q247" s="86">
        <f t="shared" si="521"/>
        <v>2.4335108193863642E-2</v>
      </c>
      <c r="R247" s="86">
        <f t="shared" si="521"/>
        <v>5.785030576974215E-2</v>
      </c>
      <c r="S247" s="86">
        <f t="shared" si="521"/>
        <v>2.8797999283663112E-2</v>
      </c>
      <c r="T247" s="86">
        <f t="shared" si="521"/>
        <v>0.14430817341167534</v>
      </c>
      <c r="U247" s="86">
        <f t="shared" si="521"/>
        <v>-4.4525574717245053E-2</v>
      </c>
      <c r="V247" s="86">
        <f t="shared" si="521"/>
        <v>-0.24084553463194991</v>
      </c>
      <c r="W247" s="86">
        <f t="shared" si="521"/>
        <v>0.79382915001802856</v>
      </c>
      <c r="X247" s="86">
        <f t="shared" si="521"/>
        <v>0.11261978209503809</v>
      </c>
      <c r="Y247" s="86">
        <f t="shared" si="521"/>
        <v>-3.1058511226634278E-2</v>
      </c>
      <c r="Z247" s="86">
        <f t="shared" si="521"/>
        <v>8.7094662983341342E-2</v>
      </c>
      <c r="AA247" s="86">
        <f t="shared" ref="AA247" si="522">AA57/Z57-1</f>
        <v>0.13216192092966295</v>
      </c>
      <c r="AB247" s="87">
        <f t="shared" si="521"/>
        <v>0.19151229174553386</v>
      </c>
      <c r="AC247" s="87">
        <f t="shared" si="521"/>
        <v>3.4626701185107578E-2</v>
      </c>
      <c r="AD247" s="87">
        <f t="shared" si="521"/>
        <v>1.4041803805415976E-2</v>
      </c>
      <c r="AE247" s="87">
        <f t="shared" si="521"/>
        <v>4.0060040009997078E-3</v>
      </c>
      <c r="AN247" s="86">
        <f t="shared" ref="AN247:BS247" si="523">+(AN57+AM57)/(AJ57+AI57)-1</f>
        <v>-9.7143573039338627E-2</v>
      </c>
      <c r="AO247" s="86">
        <f t="shared" si="523"/>
        <v>-1.7479583846067959E-2</v>
      </c>
      <c r="AP247" s="86">
        <f t="shared" si="523"/>
        <v>4.6947809878844282E-2</v>
      </c>
      <c r="AQ247" s="86">
        <f t="shared" si="523"/>
        <v>2.6942390464628652E-2</v>
      </c>
      <c r="AR247" s="86">
        <f t="shared" si="523"/>
        <v>3.4912441373185832E-2</v>
      </c>
      <c r="AS247" s="86">
        <f t="shared" si="523"/>
        <v>5.2930460277248015E-2</v>
      </c>
      <c r="AT247" s="86">
        <f t="shared" si="523"/>
        <v>1.6913319238900604E-2</v>
      </c>
      <c r="AU247" s="86">
        <f t="shared" si="523"/>
        <v>-2.1090528069209191E-2</v>
      </c>
      <c r="AV247" s="86">
        <f t="shared" si="523"/>
        <v>2.9242980880105129E-2</v>
      </c>
      <c r="AW247" s="86">
        <f t="shared" si="523"/>
        <v>2.3789891999297375E-2</v>
      </c>
      <c r="AX247" s="86">
        <f t="shared" si="523"/>
        <v>1.5018054491738653E-2</v>
      </c>
      <c r="AY247" s="86">
        <f t="shared" si="523"/>
        <v>8.6550205157058357E-2</v>
      </c>
      <c r="AZ247" s="86">
        <f t="shared" si="523"/>
        <v>8.375128642705465E-2</v>
      </c>
      <c r="BA247" s="86">
        <f t="shared" si="523"/>
        <v>2.3910431602434556E-2</v>
      </c>
      <c r="BB247" s="86">
        <f t="shared" si="523"/>
        <v>2.6842743565557159E-2</v>
      </c>
      <c r="BC247" s="86">
        <f t="shared" si="523"/>
        <v>5.2514587385384726E-2</v>
      </c>
      <c r="BD247" s="86">
        <f t="shared" si="523"/>
        <v>-4.7720934705260176E-2</v>
      </c>
      <c r="BE247" s="86">
        <f t="shared" si="523"/>
        <v>1.5654012791417315E-2</v>
      </c>
      <c r="BF247" s="86">
        <f t="shared" si="523"/>
        <v>0.10980026770950913</v>
      </c>
      <c r="BG247" s="86">
        <f t="shared" si="523"/>
        <v>8.3793318613804457E-2</v>
      </c>
      <c r="BH247" s="86">
        <f t="shared" si="523"/>
        <v>0.19285047082881013</v>
      </c>
      <c r="BI247" s="86">
        <f t="shared" si="523"/>
        <v>0.15683162785973659</v>
      </c>
      <c r="BJ247" s="86">
        <f t="shared" si="523"/>
        <v>9.7955515614468469E-2</v>
      </c>
      <c r="BK247" s="86">
        <f t="shared" si="523"/>
        <v>5.075344058282294E-2</v>
      </c>
      <c r="BL247" s="86">
        <f t="shared" si="523"/>
        <v>3.5238095238094846E-3</v>
      </c>
      <c r="BM247" s="86">
        <f t="shared" si="523"/>
        <v>1.8415478659774553E-2</v>
      </c>
      <c r="BN247" s="86">
        <f t="shared" si="523"/>
        <v>-9.3427245215555788E-2</v>
      </c>
      <c r="BO247" s="86">
        <f t="shared" si="523"/>
        <v>-0.46222985574744735</v>
      </c>
      <c r="BP247" s="86">
        <f t="shared" si="523"/>
        <v>-0.55574536290109977</v>
      </c>
      <c r="BQ247" s="86">
        <f t="shared" si="523"/>
        <v>-0.18888541655441449</v>
      </c>
      <c r="BR247" s="86">
        <f t="shared" si="523"/>
        <v>0.11391337404072344</v>
      </c>
      <c r="BS247" s="86">
        <f t="shared" si="523"/>
        <v>0.78029234266008318</v>
      </c>
      <c r="BT247" s="86">
        <f t="shared" ref="BT247:CY247" si="524">+(BT57+BS57)/(BP57+BO57)-1</f>
        <v>1.4919297412769996</v>
      </c>
      <c r="BU247" s="86">
        <f t="shared" si="524"/>
        <v>0.71183355697564732</v>
      </c>
      <c r="BV247" s="86">
        <f t="shared" si="524"/>
        <v>0.48016892936747446</v>
      </c>
      <c r="BW247" s="86">
        <f t="shared" si="524"/>
        <v>0.59740917245402203</v>
      </c>
      <c r="BX247" s="86">
        <f t="shared" si="524"/>
        <v>0.35505072153164741</v>
      </c>
      <c r="BY247" s="86">
        <f t="shared" si="524"/>
        <v>2.0054638023097038E-2</v>
      </c>
      <c r="BZ247" s="86">
        <f t="shared" si="524"/>
        <v>-7.0761072403830116E-2</v>
      </c>
      <c r="CA247" s="86">
        <f t="shared" si="524"/>
        <v>-6.1727034084567034E-2</v>
      </c>
      <c r="CB247" s="86">
        <f t="shared" si="524"/>
        <v>-8.2075073808519416E-2</v>
      </c>
      <c r="CC247" s="86">
        <f t="shared" si="524"/>
        <v>-4.9059589749832599E-2</v>
      </c>
      <c r="CD247" s="86">
        <f t="shared" si="524"/>
        <v>2.5215166317748228E-2</v>
      </c>
      <c r="CE247" s="86">
        <f t="shared" si="524"/>
        <v>2.3770010280510956E-2</v>
      </c>
      <c r="CF247" s="86">
        <f t="shared" si="524"/>
        <v>4.8106965631317555E-2</v>
      </c>
      <c r="CG247" s="86">
        <f t="shared" si="524"/>
        <v>0.1438264097804518</v>
      </c>
      <c r="CH247" s="86">
        <f t="shared" si="524"/>
        <v>0.12559937075524497</v>
      </c>
      <c r="CI247" s="86">
        <f t="shared" si="524"/>
        <v>9.3173716261288009E-2</v>
      </c>
      <c r="CJ247" s="86">
        <f t="shared" si="524"/>
        <v>0.15145470752414769</v>
      </c>
      <c r="CL247" s="86">
        <f>+(CL57+CK57)/(CH57+CG57)-1</f>
        <v>0.11441990472286978</v>
      </c>
      <c r="CM247" s="87"/>
      <c r="CN247" s="87"/>
      <c r="CO247" s="87"/>
      <c r="CP247" s="87"/>
      <c r="CQ247" s="87"/>
      <c r="CR247" s="87"/>
      <c r="CS247" s="87"/>
      <c r="CT247" s="87"/>
      <c r="CU247" s="87"/>
      <c r="CV247" s="87"/>
      <c r="CW247" s="87"/>
      <c r="CX247" s="87"/>
      <c r="CY247" s="87"/>
      <c r="CZ247" s="87"/>
      <c r="DA247" s="87"/>
      <c r="DB247" s="87"/>
      <c r="DE247" s="141"/>
      <c r="DF247" s="86">
        <v>0.13216192092966272</v>
      </c>
    </row>
    <row r="248" spans="1:110" s="86" customFormat="1" x14ac:dyDescent="0.2">
      <c r="A248" s="86" t="s">
        <v>440</v>
      </c>
      <c r="C248" s="86">
        <f t="shared" ref="C248:AE248" si="525">C245/B245-1</f>
        <v>2.0778771181230171E-2</v>
      </c>
      <c r="D248" s="86">
        <f t="shared" si="525"/>
        <v>6.7603938258219864E-2</v>
      </c>
      <c r="E248" s="86">
        <f t="shared" si="525"/>
        <v>0.43555721965444683</v>
      </c>
      <c r="F248" s="86">
        <f t="shared" si="525"/>
        <v>0.21106021833666899</v>
      </c>
      <c r="G248" s="86">
        <f t="shared" si="525"/>
        <v>0.19565780403775146</v>
      </c>
      <c r="H248" s="86">
        <f t="shared" si="525"/>
        <v>0.26569396747439766</v>
      </c>
      <c r="I248" s="86">
        <f t="shared" si="525"/>
        <v>-9.4905865467287853E-2</v>
      </c>
      <c r="J248" s="86">
        <f t="shared" si="525"/>
        <v>-0.19212795688780959</v>
      </c>
      <c r="K248" s="86">
        <f t="shared" si="525"/>
        <v>7.9588381147513543E-2</v>
      </c>
      <c r="L248" s="86">
        <f t="shared" si="525"/>
        <v>-2.6358920377715256E-2</v>
      </c>
      <c r="M248" s="86">
        <f t="shared" si="525"/>
        <v>-0.29035424325675296</v>
      </c>
      <c r="N248" s="86">
        <f t="shared" si="525"/>
        <v>2.9187239532220133E-2</v>
      </c>
      <c r="O248" s="86">
        <f t="shared" si="525"/>
        <v>2.4506744392480906E-2</v>
      </c>
      <c r="P248" s="86">
        <f t="shared" si="525"/>
        <v>8.8464505336274701E-2</v>
      </c>
      <c r="Q248" s="86">
        <f t="shared" si="525"/>
        <v>0.12520074385001445</v>
      </c>
      <c r="R248" s="86">
        <f t="shared" si="525"/>
        <v>2.6671275418470808E-2</v>
      </c>
      <c r="S248" s="86">
        <f t="shared" si="525"/>
        <v>8.9305559396920309E-2</v>
      </c>
      <c r="T248" s="86">
        <f t="shared" si="525"/>
        <v>-0.14580444406011261</v>
      </c>
      <c r="U248" s="86">
        <f t="shared" si="525"/>
        <v>-2.5728265345599244E-3</v>
      </c>
      <c r="V248" s="86">
        <f t="shared" si="525"/>
        <v>0.32369671409434386</v>
      </c>
      <c r="W248" s="86">
        <f t="shared" si="525"/>
        <v>-0.36583406773999261</v>
      </c>
      <c r="X248" s="86">
        <f t="shared" si="525"/>
        <v>2.9342748044150602E-2</v>
      </c>
      <c r="Y248" s="86">
        <f t="shared" si="525"/>
        <v>0.11423533823543175</v>
      </c>
      <c r="Z248" s="86">
        <f t="shared" si="525"/>
        <v>-0.32875310828288151</v>
      </c>
      <c r="AA248" s="86">
        <f t="shared" si="525"/>
        <v>-0.10955706269054599</v>
      </c>
      <c r="AB248" s="87">
        <f t="shared" si="525"/>
        <v>-1.5112194562426851E-2</v>
      </c>
      <c r="AC248" s="87">
        <f t="shared" si="525"/>
        <v>3.4438731211513751E-2</v>
      </c>
      <c r="AD248" s="87">
        <f t="shared" si="525"/>
        <v>-9.8968304529012396E-3</v>
      </c>
      <c r="AE248" s="87">
        <f t="shared" si="525"/>
        <v>0</v>
      </c>
      <c r="AN248" s="86">
        <f t="shared" ref="AN248:CI248" si="526">+AN245/AJ245-1</f>
        <v>0.14461666610691526</v>
      </c>
      <c r="AO248" s="86">
        <f t="shared" si="526"/>
        <v>0.18674628206119004</v>
      </c>
      <c r="AP248" s="86">
        <f t="shared" si="526"/>
        <v>-3.0491456728254374E-3</v>
      </c>
      <c r="AQ248" s="86">
        <f t="shared" si="526"/>
        <v>-2.6033346944321911E-3</v>
      </c>
      <c r="AR248" s="86">
        <f t="shared" si="526"/>
        <v>2.8632711902996766E-2</v>
      </c>
      <c r="AS248" s="86">
        <f t="shared" si="526"/>
        <v>2.8942960061218326E-2</v>
      </c>
      <c r="AT248" s="86">
        <f t="shared" si="526"/>
        <v>0.21589357514311547</v>
      </c>
      <c r="AU248" s="86">
        <f t="shared" si="526"/>
        <v>0.21565290764153433</v>
      </c>
      <c r="AV248" s="86">
        <f t="shared" si="526"/>
        <v>0.16899068688953478</v>
      </c>
      <c r="AW248" s="86">
        <f t="shared" si="526"/>
        <v>0.14970941465327803</v>
      </c>
      <c r="AX248" s="86">
        <f t="shared" si="526"/>
        <v>0.152253745547694</v>
      </c>
      <c r="AY248" s="86">
        <f t="shared" si="526"/>
        <v>0.12904680253541012</v>
      </c>
      <c r="AZ248" s="86">
        <f t="shared" si="526"/>
        <v>7.992563118512197E-2</v>
      </c>
      <c r="BA248" s="86">
        <f t="shared" si="526"/>
        <v>6.7617238041463024E-2</v>
      </c>
      <c r="BB248" s="86">
        <f t="shared" si="526"/>
        <v>1.3166051926287947E-2</v>
      </c>
      <c r="BC248" s="86">
        <f t="shared" si="526"/>
        <v>5.28346547337466E-3</v>
      </c>
      <c r="BD248" s="86">
        <f t="shared" si="526"/>
        <v>0.14736155785729954</v>
      </c>
      <c r="BE248" s="86">
        <f t="shared" si="526"/>
        <v>0.18769786163026714</v>
      </c>
      <c r="BF248" s="86">
        <f t="shared" si="526"/>
        <v>7.9091499379777996E-2</v>
      </c>
      <c r="BG248" s="86">
        <f t="shared" si="526"/>
        <v>0.10212860420538261</v>
      </c>
      <c r="BH248" s="86">
        <f t="shared" si="526"/>
        <v>-0.10829765626635524</v>
      </c>
      <c r="BI248" s="86">
        <f t="shared" si="526"/>
        <v>-0.11738410585984171</v>
      </c>
      <c r="BJ248" s="86">
        <f t="shared" si="526"/>
        <v>-0.14381316161043078</v>
      </c>
      <c r="BK248" s="86">
        <f t="shared" si="526"/>
        <v>-0.14034706370668737</v>
      </c>
      <c r="BL248" s="86">
        <f t="shared" si="526"/>
        <v>-0.12869707372997286</v>
      </c>
      <c r="BM248" s="86">
        <f t="shared" si="526"/>
        <v>-0.13373863922907658</v>
      </c>
      <c r="BN248" s="86">
        <f t="shared" si="526"/>
        <v>0.1984657383009647</v>
      </c>
      <c r="BO248" s="86">
        <f t="shared" si="526"/>
        <v>9.3431895872237103E-2</v>
      </c>
      <c r="BP248" s="86">
        <f t="shared" si="526"/>
        <v>0.4061722486502426</v>
      </c>
      <c r="BQ248" s="86">
        <f t="shared" si="526"/>
        <v>0.47179592264520021</v>
      </c>
      <c r="BR248" s="86">
        <f t="shared" si="526"/>
        <v>-0.23278377986214938</v>
      </c>
      <c r="BS248" s="86">
        <f t="shared" si="526"/>
        <v>-0.17054323180072795</v>
      </c>
      <c r="BT248" s="86">
        <f t="shared" si="526"/>
        <v>-0.31259404748830488</v>
      </c>
      <c r="BU248" s="86">
        <f t="shared" si="526"/>
        <v>-0.33683518931160283</v>
      </c>
      <c r="BV248" s="86">
        <f t="shared" si="526"/>
        <v>-0.11404216878759443</v>
      </c>
      <c r="BW248" s="86">
        <f t="shared" si="526"/>
        <v>-0.10617998932935524</v>
      </c>
      <c r="BX248" s="86">
        <f t="shared" si="526"/>
        <v>0.11874543486020483</v>
      </c>
      <c r="BY248" s="86">
        <f t="shared" si="526"/>
        <v>0.13192792029777567</v>
      </c>
      <c r="BZ248" s="86">
        <f t="shared" si="526"/>
        <v>0.23201493784372218</v>
      </c>
      <c r="CA248" s="86">
        <f t="shared" si="526"/>
        <v>0.24107436532241433</v>
      </c>
      <c r="CB248" s="86">
        <f t="shared" si="526"/>
        <v>0.14779345273830069</v>
      </c>
      <c r="CC248" s="86">
        <f t="shared" si="526"/>
        <v>0.13709197462078015</v>
      </c>
      <c r="CD248" s="86">
        <f t="shared" si="526"/>
        <v>5.2055735836383121E-2</v>
      </c>
      <c r="CE248" s="86">
        <f t="shared" si="526"/>
        <v>5.2088126959826786E-2</v>
      </c>
      <c r="CF248" s="86">
        <f t="shared" si="526"/>
        <v>-3.6202333383979157E-2</v>
      </c>
      <c r="CG248" s="86">
        <f t="shared" si="526"/>
        <v>-4.2933961591954173E-2</v>
      </c>
      <c r="CH248" s="86">
        <f t="shared" si="526"/>
        <v>-0.30395289920871138</v>
      </c>
      <c r="CI248" s="86">
        <f t="shared" si="526"/>
        <v>-0.30521310007851876</v>
      </c>
      <c r="CJ248" s="86">
        <f>+CJ245/CF245-1</f>
        <v>-0.23489962408541465</v>
      </c>
      <c r="CL248" s="86">
        <f>+CL245/CH245-1</f>
        <v>-0.15995764066912077</v>
      </c>
      <c r="CM248" s="87"/>
      <c r="CN248" s="87"/>
      <c r="CO248" s="87"/>
      <c r="CP248" s="87"/>
      <c r="CQ248" s="87"/>
      <c r="CR248" s="87"/>
      <c r="CS248" s="87"/>
      <c r="CT248" s="87"/>
      <c r="CU248" s="87"/>
      <c r="CV248" s="87"/>
      <c r="CW248" s="87"/>
      <c r="CX248" s="87"/>
      <c r="CY248" s="87"/>
      <c r="CZ248" s="87"/>
      <c r="DA248" s="87"/>
      <c r="DB248" s="87"/>
      <c r="DE248" s="141"/>
      <c r="DF248" s="86">
        <v>-0.10683422187381886</v>
      </c>
    </row>
    <row r="249" spans="1:110" s="103" customFormat="1" x14ac:dyDescent="0.2">
      <c r="A249" s="147" t="s">
        <v>86</v>
      </c>
      <c r="C249" s="103">
        <f>IF(C248&gt;C247,"RF",0)</f>
        <v>0</v>
      </c>
      <c r="D249" s="103" t="str">
        <f>IF(D248&gt;D247,"RF",0)</f>
        <v>RF</v>
      </c>
      <c r="E249" s="103" t="str">
        <f t="shared" ref="E249:U249" si="527">IF(E248&gt;E247,"RF",0)</f>
        <v>RF</v>
      </c>
      <c r="F249" s="103" t="str">
        <f t="shared" si="527"/>
        <v>RF</v>
      </c>
      <c r="G249" s="103">
        <f t="shared" si="527"/>
        <v>0</v>
      </c>
      <c r="H249" s="103">
        <f t="shared" si="527"/>
        <v>0</v>
      </c>
      <c r="I249" s="103">
        <f t="shared" si="527"/>
        <v>0</v>
      </c>
      <c r="J249" s="103">
        <f t="shared" si="527"/>
        <v>0</v>
      </c>
      <c r="K249" s="103">
        <f t="shared" si="527"/>
        <v>0</v>
      </c>
      <c r="L249" s="103">
        <f t="shared" si="527"/>
        <v>0</v>
      </c>
      <c r="M249" s="103">
        <f t="shared" si="527"/>
        <v>0</v>
      </c>
      <c r="N249" s="103">
        <f t="shared" si="527"/>
        <v>0</v>
      </c>
      <c r="O249" s="103" t="str">
        <f t="shared" si="527"/>
        <v>RF</v>
      </c>
      <c r="P249" s="103" t="str">
        <f t="shared" si="527"/>
        <v>RF</v>
      </c>
      <c r="Q249" s="103" t="str">
        <f t="shared" si="527"/>
        <v>RF</v>
      </c>
      <c r="R249" s="103">
        <f t="shared" si="527"/>
        <v>0</v>
      </c>
      <c r="S249" s="103" t="str">
        <f t="shared" si="527"/>
        <v>RF</v>
      </c>
      <c r="T249" s="103">
        <f t="shared" si="527"/>
        <v>0</v>
      </c>
      <c r="U249" s="103" t="str">
        <f t="shared" si="527"/>
        <v>RF</v>
      </c>
      <c r="V249" s="103" t="str">
        <f t="shared" ref="V249:AE249" si="528">IF(V248&gt;V247,"RF",0)</f>
        <v>RF</v>
      </c>
      <c r="W249" s="103">
        <f t="shared" si="528"/>
        <v>0</v>
      </c>
      <c r="X249" s="103">
        <f t="shared" si="528"/>
        <v>0</v>
      </c>
      <c r="Y249" s="103" t="str">
        <f t="shared" si="528"/>
        <v>RF</v>
      </c>
      <c r="Z249" s="103">
        <f t="shared" si="528"/>
        <v>0</v>
      </c>
      <c r="AA249" s="103">
        <f t="shared" ref="AA249" si="529">IF(AA248&gt;AA247,"RF",0)</f>
        <v>0</v>
      </c>
      <c r="AB249" s="73">
        <f t="shared" si="528"/>
        <v>0</v>
      </c>
      <c r="AC249" s="73">
        <f t="shared" si="528"/>
        <v>0</v>
      </c>
      <c r="AD249" s="73">
        <f t="shared" si="528"/>
        <v>0</v>
      </c>
      <c r="AE249" s="73">
        <f t="shared" si="528"/>
        <v>0</v>
      </c>
      <c r="CM249" s="73"/>
      <c r="CN249" s="73"/>
      <c r="CO249" s="73"/>
      <c r="CP249" s="73"/>
      <c r="CQ249" s="73"/>
      <c r="CR249" s="73"/>
      <c r="CS249" s="73"/>
      <c r="CT249" s="73"/>
      <c r="CU249" s="73"/>
      <c r="CV249" s="73"/>
      <c r="CW249" s="73"/>
      <c r="CX249" s="73"/>
      <c r="CY249" s="73"/>
      <c r="CZ249" s="73"/>
      <c r="DA249" s="73"/>
      <c r="DB249" s="73"/>
      <c r="DE249" s="142"/>
      <c r="DF249" s="103">
        <v>0</v>
      </c>
    </row>
    <row r="250" spans="1:110" x14ac:dyDescent="0.2">
      <c r="A250" s="153" t="s">
        <v>493</v>
      </c>
      <c r="AA250" s="2"/>
      <c r="CL250" s="2"/>
    </row>
    <row r="251" spans="1:110" x14ac:dyDescent="0.2">
      <c r="A251" s="152" t="s">
        <v>494</v>
      </c>
      <c r="AA251" s="2"/>
      <c r="CL251" s="2"/>
    </row>
    <row r="252" spans="1:110" s="23" customFormat="1" x14ac:dyDescent="0.2">
      <c r="A252" s="23" t="s">
        <v>21</v>
      </c>
      <c r="C252" s="23">
        <f t="shared" ref="C252:AE252" si="530">C102</f>
        <v>4.6024951000000334</v>
      </c>
      <c r="D252" s="23">
        <f t="shared" si="530"/>
        <v>7.568497399999992</v>
      </c>
      <c r="E252" s="23">
        <f t="shared" si="530"/>
        <v>12.06359129999999</v>
      </c>
      <c r="F252" s="23">
        <f t="shared" si="530"/>
        <v>14.04881440000004</v>
      </c>
      <c r="G252" s="23">
        <f t="shared" si="530"/>
        <v>24.775344700000019</v>
      </c>
      <c r="H252" s="23">
        <f t="shared" si="530"/>
        <v>27.024879000000052</v>
      </c>
      <c r="I252" s="23">
        <f t="shared" si="530"/>
        <v>5.3745691000000315</v>
      </c>
      <c r="J252" s="23">
        <f t="shared" si="530"/>
        <v>-15.984456400000031</v>
      </c>
      <c r="K252" s="23">
        <f t="shared" si="530"/>
        <v>17.152475700000014</v>
      </c>
      <c r="L252" s="23">
        <f t="shared" si="530"/>
        <v>56.590000000000103</v>
      </c>
      <c r="M252" s="23">
        <f t="shared" si="530"/>
        <v>17.079999999999906</v>
      </c>
      <c r="N252" s="23">
        <f t="shared" si="530"/>
        <v>51.300000000000111</v>
      </c>
      <c r="O252" s="23">
        <f t="shared" si="530"/>
        <v>40.500000000000007</v>
      </c>
      <c r="P252" s="23">
        <f t="shared" si="530"/>
        <v>51.570000000000071</v>
      </c>
      <c r="Q252" s="23">
        <f t="shared" si="530"/>
        <v>77.039999999999836</v>
      </c>
      <c r="R252" s="23">
        <f t="shared" si="530"/>
        <v>52.930000000000007</v>
      </c>
      <c r="S252" s="23">
        <f t="shared" si="530"/>
        <v>28.620000000000271</v>
      </c>
      <c r="T252" s="23">
        <f t="shared" si="530"/>
        <v>13.230000000000018</v>
      </c>
      <c r="U252" s="23">
        <f t="shared" si="530"/>
        <v>13.279999999999973</v>
      </c>
      <c r="V252" s="23">
        <f t="shared" si="530"/>
        <v>4.2100000000001607</v>
      </c>
      <c r="W252" s="23">
        <f t="shared" si="530"/>
        <v>140.65000000000023</v>
      </c>
      <c r="X252" s="23">
        <f t="shared" si="530"/>
        <v>130.54000000000005</v>
      </c>
      <c r="Y252" s="23">
        <f t="shared" si="530"/>
        <v>40.819999999999887</v>
      </c>
      <c r="Z252" s="23">
        <f t="shared" si="530"/>
        <v>31.79999999999972</v>
      </c>
      <c r="AA252" s="23">
        <f t="shared" ref="AA252" si="531">AA102</f>
        <v>82.600000000000108</v>
      </c>
      <c r="AB252" s="24">
        <f t="shared" si="530"/>
        <v>172.56549583347444</v>
      </c>
      <c r="AC252" s="24">
        <f t="shared" si="530"/>
        <v>230.12387265608461</v>
      </c>
      <c r="AD252" s="24">
        <f t="shared" si="530"/>
        <v>274.35900761049703</v>
      </c>
      <c r="AE252" s="24">
        <f t="shared" si="530"/>
        <v>316.16011705676181</v>
      </c>
      <c r="AI252" s="23">
        <f t="shared" ref="AI252:BN252" si="532">AI102</f>
        <v>9.7699999999999569</v>
      </c>
      <c r="AJ252" s="23">
        <f t="shared" si="532"/>
        <v>18.090000000000039</v>
      </c>
      <c r="AK252" s="23">
        <f t="shared" si="532"/>
        <v>11.069999999999983</v>
      </c>
      <c r="AL252" s="23">
        <f t="shared" si="532"/>
        <v>12.370000000000008</v>
      </c>
      <c r="AM252" s="23">
        <f t="shared" si="532"/>
        <v>6.0300000000000411</v>
      </c>
      <c r="AN252" s="23">
        <f t="shared" si="532"/>
        <v>12.23999999999994</v>
      </c>
      <c r="AO252" s="23">
        <f t="shared" si="532"/>
        <v>12.150000000000009</v>
      </c>
      <c r="AP252" s="23">
        <f t="shared" si="532"/>
        <v>10.080000000000036</v>
      </c>
      <c r="AQ252" s="23">
        <f t="shared" si="532"/>
        <v>11.340000000000014</v>
      </c>
      <c r="AR252" s="23">
        <f t="shared" si="532"/>
        <v>11.970000000000011</v>
      </c>
      <c r="AS252" s="23">
        <f t="shared" si="532"/>
        <v>13.769999999999968</v>
      </c>
      <c r="AT252" s="23">
        <f t="shared" si="532"/>
        <v>14.490000000000014</v>
      </c>
      <c r="AU252" s="23">
        <f t="shared" si="532"/>
        <v>17.199999999999989</v>
      </c>
      <c r="AV252" s="23">
        <f t="shared" si="532"/>
        <v>18.650000000000027</v>
      </c>
      <c r="AW252" s="23">
        <f t="shared" si="532"/>
        <v>15.550000000000065</v>
      </c>
      <c r="AX252" s="23">
        <f t="shared" si="532"/>
        <v>25.640000000000004</v>
      </c>
      <c r="AY252" s="23">
        <f t="shared" si="532"/>
        <v>15.280000000000062</v>
      </c>
      <c r="AZ252" s="23">
        <f t="shared" si="532"/>
        <v>15.450000000000024</v>
      </c>
      <c r="BA252" s="23">
        <f t="shared" si="532"/>
        <v>4.5000000000000231</v>
      </c>
      <c r="BB252" s="23">
        <f t="shared" si="532"/>
        <v>19.609999999999953</v>
      </c>
      <c r="BC252" s="23">
        <f t="shared" si="532"/>
        <v>1.220000000000016</v>
      </c>
      <c r="BD252" s="23">
        <f t="shared" si="532"/>
        <v>0.41999999999996618</v>
      </c>
      <c r="BE252" s="23">
        <f t="shared" si="532"/>
        <v>3.759999999999958</v>
      </c>
      <c r="BF252" s="23">
        <f t="shared" si="532"/>
        <v>25.049999999999997</v>
      </c>
      <c r="BG252" s="23">
        <f t="shared" si="532"/>
        <v>4.0899999999999759</v>
      </c>
      <c r="BH252" s="23">
        <f t="shared" si="532"/>
        <v>9.1600000000000392</v>
      </c>
      <c r="BI252" s="23">
        <f t="shared" si="532"/>
        <v>-0.74000000000002331</v>
      </c>
      <c r="BJ252" s="23">
        <f t="shared" si="532"/>
        <v>0.71999999999999531</v>
      </c>
      <c r="BK252" s="23">
        <f t="shared" si="532"/>
        <v>1.1399999999999786</v>
      </c>
      <c r="BL252" s="23">
        <f t="shared" si="532"/>
        <v>3.1100000000000119</v>
      </c>
      <c r="BM252" s="23">
        <f t="shared" si="532"/>
        <v>5.5399999999999743</v>
      </c>
      <c r="BN252" s="23">
        <f t="shared" si="532"/>
        <v>3.4899999999999816</v>
      </c>
      <c r="BO252" s="23">
        <f t="shared" ref="BO252:CT252" si="533">BO102</f>
        <v>-32.520000000000024</v>
      </c>
      <c r="BP252" s="23">
        <f t="shared" si="533"/>
        <v>-4.2399999999999949</v>
      </c>
      <c r="BQ252" s="23">
        <f t="shared" si="533"/>
        <v>7.4300000000000113</v>
      </c>
      <c r="BR252" s="23">
        <f t="shared" si="533"/>
        <v>33.54</v>
      </c>
      <c r="BS252" s="23">
        <f t="shared" si="533"/>
        <v>12.889999999999997</v>
      </c>
      <c r="BT252" s="23">
        <f t="shared" si="533"/>
        <v>29.869999999999919</v>
      </c>
      <c r="BU252" s="23">
        <f t="shared" si="533"/>
        <v>43.740000000000009</v>
      </c>
      <c r="BV252" s="23">
        <f t="shared" si="533"/>
        <v>53.440000000000083</v>
      </c>
      <c r="BW252" s="23">
        <f t="shared" si="533"/>
        <v>52.529999999999987</v>
      </c>
      <c r="BX252" s="23">
        <f t="shared" si="533"/>
        <v>30.33000000000002</v>
      </c>
      <c r="BY252" s="23">
        <f t="shared" si="533"/>
        <v>17.550000000000011</v>
      </c>
      <c r="BZ252" s="23">
        <f t="shared" si="533"/>
        <v>30.129999999999985</v>
      </c>
      <c r="CA252" s="23">
        <f t="shared" si="533"/>
        <v>12.770000000000024</v>
      </c>
      <c r="CB252" s="23">
        <f t="shared" si="533"/>
        <v>10.579999999999972</v>
      </c>
      <c r="CC252" s="23">
        <f t="shared" si="533"/>
        <v>3.8100000000000271</v>
      </c>
      <c r="CD252" s="23">
        <f t="shared" si="533"/>
        <v>13.659999999999965</v>
      </c>
      <c r="CE252" s="23">
        <f t="shared" si="533"/>
        <v>14.27999999999999</v>
      </c>
      <c r="CF252" s="23">
        <f t="shared" si="533"/>
        <v>5.5500000000000531</v>
      </c>
      <c r="CG252" s="23">
        <f t="shared" si="533"/>
        <v>2.4499999999999469</v>
      </c>
      <c r="CH252" s="23">
        <f t="shared" si="533"/>
        <v>9.5199999999999871</v>
      </c>
      <c r="CI252" s="23">
        <f t="shared" si="533"/>
        <v>2.130000000000023</v>
      </c>
      <c r="CJ252" s="23">
        <f t="shared" si="533"/>
        <v>23.129999999999896</v>
      </c>
      <c r="CK252" s="23">
        <f t="shared" si="533"/>
        <v>24.469999999999995</v>
      </c>
      <c r="CL252" s="23">
        <f t="shared" si="533"/>
        <v>32.869999999999919</v>
      </c>
      <c r="CM252" s="24">
        <f t="shared" si="533"/>
        <v>35.999751567850247</v>
      </c>
      <c r="CN252" s="24">
        <f t="shared" si="533"/>
        <v>41.085753373439779</v>
      </c>
      <c r="CO252" s="24">
        <f t="shared" si="533"/>
        <v>46.209607599367658</v>
      </c>
      <c r="CP252" s="24">
        <f t="shared" si="533"/>
        <v>49.270383292816931</v>
      </c>
      <c r="CQ252" s="24">
        <f t="shared" si="533"/>
        <v>49.66746862444996</v>
      </c>
      <c r="CR252" s="24">
        <f t="shared" si="533"/>
        <v>55.462445291262327</v>
      </c>
      <c r="CS252" s="24">
        <f t="shared" si="533"/>
        <v>60.355014726347484</v>
      </c>
      <c r="CT252" s="24">
        <f t="shared" si="533"/>
        <v>64.638944014024133</v>
      </c>
      <c r="CU252" s="24">
        <f t="shared" ref="CU252:DB252" si="534">CU102</f>
        <v>63.969050767621646</v>
      </c>
      <c r="CV252" s="24">
        <f t="shared" si="534"/>
        <v>67.352176882879576</v>
      </c>
      <c r="CW252" s="24">
        <f t="shared" si="534"/>
        <v>70.270696774435109</v>
      </c>
      <c r="CX252" s="24">
        <f t="shared" si="534"/>
        <v>72.76708318556048</v>
      </c>
      <c r="CY252" s="24">
        <f t="shared" si="534"/>
        <v>74.906935317862505</v>
      </c>
      <c r="CZ252" s="24">
        <f t="shared" si="534"/>
        <v>77.739898096253867</v>
      </c>
      <c r="DA252" s="24">
        <f t="shared" si="534"/>
        <v>80.435958765450806</v>
      </c>
      <c r="DB252" s="24">
        <f t="shared" si="534"/>
        <v>83.077324877194741</v>
      </c>
      <c r="DE252" s="123"/>
      <c r="DF252" s="23">
        <v>17.614545816925165</v>
      </c>
    </row>
    <row r="253" spans="1:110" s="23" customFormat="1" x14ac:dyDescent="0.2">
      <c r="A253" s="23" t="s">
        <v>87</v>
      </c>
      <c r="C253" s="23">
        <f t="shared" ref="C253:AE253" si="535">C86</f>
        <v>10.6737553</v>
      </c>
      <c r="D253" s="23">
        <f t="shared" si="535"/>
        <v>11.880889399999999</v>
      </c>
      <c r="E253" s="23">
        <f t="shared" si="535"/>
        <v>16.128715499999998</v>
      </c>
      <c r="F253" s="23">
        <f t="shared" si="535"/>
        <v>20.3717635</v>
      </c>
      <c r="G253" s="23">
        <f t="shared" si="535"/>
        <v>20.087075299999999</v>
      </c>
      <c r="H253" s="23">
        <f t="shared" si="535"/>
        <v>36.570471099999999</v>
      </c>
      <c r="I253" s="23">
        <f t="shared" si="535"/>
        <v>49.103023899999997</v>
      </c>
      <c r="J253" s="23">
        <f t="shared" si="535"/>
        <v>59.050209500000001</v>
      </c>
      <c r="K253" s="23">
        <f t="shared" si="535"/>
        <v>63.074800600000003</v>
      </c>
      <c r="L253" s="23">
        <f t="shared" si="535"/>
        <v>64</v>
      </c>
      <c r="M253" s="23">
        <f t="shared" si="535"/>
        <v>67.849999999999994</v>
      </c>
      <c r="N253" s="23">
        <f t="shared" si="535"/>
        <v>76.98</v>
      </c>
      <c r="O253" s="23">
        <f t="shared" si="535"/>
        <v>74.319999999999993</v>
      </c>
      <c r="P253" s="23">
        <f t="shared" si="535"/>
        <v>80.400000000000006</v>
      </c>
      <c r="Q253" s="23">
        <f t="shared" si="535"/>
        <v>76.19</v>
      </c>
      <c r="R253" s="23">
        <f t="shared" si="535"/>
        <v>72.599999999999994</v>
      </c>
      <c r="S253" s="23">
        <f t="shared" si="535"/>
        <v>77.09</v>
      </c>
      <c r="T253" s="23">
        <f t="shared" si="535"/>
        <v>80.53</v>
      </c>
      <c r="U253" s="23">
        <f t="shared" si="535"/>
        <v>81.05</v>
      </c>
      <c r="V253" s="23">
        <f t="shared" si="535"/>
        <v>80.58</v>
      </c>
      <c r="W253" s="23">
        <f t="shared" si="535"/>
        <v>70.34</v>
      </c>
      <c r="X253" s="23">
        <f t="shared" si="535"/>
        <v>79.39</v>
      </c>
      <c r="Y253" s="23">
        <f t="shared" si="535"/>
        <v>96.81</v>
      </c>
      <c r="Z253" s="23">
        <f t="shared" si="535"/>
        <v>114.49</v>
      </c>
      <c r="AA253" s="23">
        <f t="shared" ref="AA253" si="536">AA86</f>
        <v>95.36</v>
      </c>
      <c r="AB253" s="24">
        <f t="shared" si="535"/>
        <v>111.64515544043665</v>
      </c>
      <c r="AC253" s="24">
        <f t="shared" si="535"/>
        <v>110.75160329818975</v>
      </c>
      <c r="AD253" s="24">
        <f t="shared" si="535"/>
        <v>102.87684598678598</v>
      </c>
      <c r="AE253" s="24">
        <f t="shared" si="535"/>
        <v>95.562006553469672</v>
      </c>
      <c r="AI253" s="23">
        <f t="shared" ref="AI253:BN253" si="537">AI86</f>
        <v>19.39</v>
      </c>
      <c r="AJ253" s="23">
        <f t="shared" si="537"/>
        <v>19.350000000000001</v>
      </c>
      <c r="AK253" s="23">
        <f t="shared" si="537"/>
        <v>19.45</v>
      </c>
      <c r="AL253" s="23">
        <f t="shared" si="537"/>
        <v>18.79</v>
      </c>
      <c r="AM253" s="23">
        <f t="shared" si="537"/>
        <v>18.670000000000002</v>
      </c>
      <c r="AN253" s="23">
        <f t="shared" si="537"/>
        <v>18.809999999999999</v>
      </c>
      <c r="AO253" s="23">
        <f t="shared" si="537"/>
        <v>18.89</v>
      </c>
      <c r="AP253" s="23">
        <f t="shared" si="537"/>
        <v>17.95</v>
      </c>
      <c r="AQ253" s="23">
        <f t="shared" si="537"/>
        <v>18.940000000000001</v>
      </c>
      <c r="AR253" s="23">
        <f t="shared" si="537"/>
        <v>19.149999999999999</v>
      </c>
      <c r="AS253" s="23">
        <f t="shared" si="537"/>
        <v>19.440000000000001</v>
      </c>
      <c r="AT253" s="23">
        <f t="shared" si="537"/>
        <v>22.87</v>
      </c>
      <c r="AU253" s="23">
        <f t="shared" si="537"/>
        <v>20.37</v>
      </c>
      <c r="AV253" s="23">
        <f t="shared" si="537"/>
        <v>19.27</v>
      </c>
      <c r="AW253" s="23">
        <f t="shared" si="537"/>
        <v>18.559999999999999</v>
      </c>
      <c r="AX253" s="23">
        <f t="shared" si="537"/>
        <v>17.989999999999998</v>
      </c>
      <c r="AY253" s="23">
        <f t="shared" si="537"/>
        <v>19.43</v>
      </c>
      <c r="AZ253" s="23">
        <f t="shared" si="537"/>
        <v>19.41</v>
      </c>
      <c r="BA253" s="23">
        <f t="shared" si="537"/>
        <v>17.059999999999999</v>
      </c>
      <c r="BB253" s="23">
        <f t="shared" si="537"/>
        <v>16.68</v>
      </c>
      <c r="BC253" s="23">
        <f t="shared" si="537"/>
        <v>19.12</v>
      </c>
      <c r="BD253" s="23">
        <f t="shared" si="537"/>
        <v>19.3</v>
      </c>
      <c r="BE253" s="23">
        <f t="shared" si="537"/>
        <v>19.48</v>
      </c>
      <c r="BF253" s="23">
        <f t="shared" si="537"/>
        <v>19.149999999999999</v>
      </c>
      <c r="BG253" s="23">
        <f t="shared" si="537"/>
        <v>20.05</v>
      </c>
      <c r="BH253" s="23">
        <f t="shared" si="537"/>
        <v>20.11</v>
      </c>
      <c r="BI253" s="23">
        <f t="shared" si="537"/>
        <v>20.37</v>
      </c>
      <c r="BJ253" s="23">
        <f t="shared" si="537"/>
        <v>20</v>
      </c>
      <c r="BK253" s="23">
        <f t="shared" si="537"/>
        <v>20.16</v>
      </c>
      <c r="BL253" s="23">
        <f t="shared" si="537"/>
        <v>20.350000000000001</v>
      </c>
      <c r="BM253" s="23">
        <f t="shared" si="537"/>
        <v>20.47</v>
      </c>
      <c r="BN253" s="23">
        <f t="shared" si="537"/>
        <v>20.07</v>
      </c>
      <c r="BO253" s="23">
        <f t="shared" ref="BO253:CT253" si="538">BO86</f>
        <v>20.48</v>
      </c>
      <c r="BP253" s="23">
        <f t="shared" si="538"/>
        <v>20.54</v>
      </c>
      <c r="BQ253" s="23">
        <f t="shared" si="538"/>
        <v>20.329999999999998</v>
      </c>
      <c r="BR253" s="23">
        <f t="shared" si="538"/>
        <v>19.23</v>
      </c>
      <c r="BS253" s="23">
        <f t="shared" si="538"/>
        <v>19.3</v>
      </c>
      <c r="BT253" s="23">
        <f t="shared" si="538"/>
        <v>18.11</v>
      </c>
      <c r="BU253" s="23">
        <f t="shared" si="538"/>
        <v>17.989999999999998</v>
      </c>
      <c r="BV253" s="23">
        <f t="shared" si="538"/>
        <v>14.94</v>
      </c>
      <c r="BW253" s="23">
        <f t="shared" si="538"/>
        <v>18.5</v>
      </c>
      <c r="BX253" s="23">
        <f t="shared" si="538"/>
        <v>22.05</v>
      </c>
      <c r="BY253" s="23">
        <f t="shared" si="538"/>
        <v>25.12</v>
      </c>
      <c r="BZ253" s="23">
        <f t="shared" si="538"/>
        <v>13.72</v>
      </c>
      <c r="CA253" s="23">
        <f t="shared" si="538"/>
        <v>21.64</v>
      </c>
      <c r="CB253" s="23">
        <f t="shared" si="538"/>
        <v>22.15</v>
      </c>
      <c r="CC253" s="23">
        <f t="shared" si="538"/>
        <v>26.9</v>
      </c>
      <c r="CD253" s="23">
        <f t="shared" si="538"/>
        <v>26.12</v>
      </c>
      <c r="CE253" s="23">
        <f t="shared" si="538"/>
        <v>28</v>
      </c>
      <c r="CF253" s="23">
        <f t="shared" si="538"/>
        <v>27.77</v>
      </c>
      <c r="CG253" s="23">
        <f t="shared" si="538"/>
        <v>28.87</v>
      </c>
      <c r="CH253" s="23">
        <f t="shared" si="538"/>
        <v>29.85</v>
      </c>
      <c r="CI253" s="23">
        <f t="shared" si="538"/>
        <v>35.880000000000003</v>
      </c>
      <c r="CJ253" s="23">
        <f t="shared" si="538"/>
        <v>10.46</v>
      </c>
      <c r="CK253" s="23">
        <f t="shared" si="538"/>
        <v>24.52</v>
      </c>
      <c r="CL253" s="23">
        <f t="shared" si="538"/>
        <v>24.5</v>
      </c>
      <c r="CM253" s="24">
        <f t="shared" si="538"/>
        <v>27.574901004496748</v>
      </c>
      <c r="CN253" s="24">
        <f t="shared" si="538"/>
        <v>27.801911993101889</v>
      </c>
      <c r="CO253" s="24">
        <f t="shared" si="538"/>
        <v>28.024775410008314</v>
      </c>
      <c r="CP253" s="24">
        <f t="shared" si="538"/>
        <v>28.243567032829702</v>
      </c>
      <c r="CQ253" s="24">
        <f t="shared" si="538"/>
        <v>28.458361254695717</v>
      </c>
      <c r="CR253" s="24">
        <f t="shared" si="538"/>
        <v>27.938416848228719</v>
      </c>
      <c r="CS253" s="24">
        <f t="shared" si="538"/>
        <v>27.427972011445199</v>
      </c>
      <c r="CT253" s="24">
        <f t="shared" si="538"/>
        <v>26.926853183820114</v>
      </c>
      <c r="CU253" s="24">
        <f t="shared" ref="CU253:DB253" si="539">CU86</f>
        <v>26.43488997584112</v>
      </c>
      <c r="CV253" s="24">
        <f t="shared" si="539"/>
        <v>25.951915111072999</v>
      </c>
      <c r="CW253" s="24">
        <f t="shared" si="539"/>
        <v>25.477764369280649</v>
      </c>
      <c r="CX253" s="24">
        <f t="shared" si="539"/>
        <v>25.012276530591208</v>
      </c>
      <c r="CY253" s="24">
        <f t="shared" si="539"/>
        <v>24.555293320676384</v>
      </c>
      <c r="CZ253" s="24">
        <f t="shared" si="539"/>
        <v>24.106659356936277</v>
      </c>
      <c r="DA253" s="24">
        <f t="shared" si="539"/>
        <v>23.666222095666495</v>
      </c>
      <c r="DB253" s="24">
        <f t="shared" si="539"/>
        <v>23.233831780190513</v>
      </c>
      <c r="DE253" s="123"/>
      <c r="DF253" s="23">
        <v>24.079696226263096</v>
      </c>
    </row>
    <row r="254" spans="1:110" s="22" customFormat="1" x14ac:dyDescent="0.2">
      <c r="A254" s="22" t="s">
        <v>88</v>
      </c>
      <c r="C254" s="22">
        <f t="shared" ref="C254:W254" si="540">C252+C253</f>
        <v>15.276250400000034</v>
      </c>
      <c r="D254" s="22">
        <f t="shared" si="540"/>
        <v>19.449386799999992</v>
      </c>
      <c r="E254" s="22">
        <f t="shared" si="540"/>
        <v>28.19230679999999</v>
      </c>
      <c r="F254" s="22">
        <f t="shared" si="540"/>
        <v>34.42057790000004</v>
      </c>
      <c r="G254" s="22">
        <f t="shared" si="540"/>
        <v>44.862420000000014</v>
      </c>
      <c r="H254" s="22">
        <f t="shared" si="540"/>
        <v>63.595350100000047</v>
      </c>
      <c r="I254" s="22">
        <f t="shared" si="540"/>
        <v>54.477593000000027</v>
      </c>
      <c r="J254" s="22">
        <f t="shared" si="540"/>
        <v>43.065753099999966</v>
      </c>
      <c r="K254" s="22">
        <f t="shared" si="540"/>
        <v>80.227276300000014</v>
      </c>
      <c r="L254" s="22">
        <f t="shared" si="540"/>
        <v>120.5900000000001</v>
      </c>
      <c r="M254" s="22">
        <f t="shared" si="540"/>
        <v>84.929999999999893</v>
      </c>
      <c r="N254" s="22">
        <f t="shared" si="540"/>
        <v>128.28000000000011</v>
      </c>
      <c r="O254" s="22">
        <f t="shared" si="540"/>
        <v>114.82</v>
      </c>
      <c r="P254" s="22">
        <f t="shared" si="540"/>
        <v>131.97000000000008</v>
      </c>
      <c r="Q254" s="22">
        <f t="shared" si="540"/>
        <v>153.22999999999985</v>
      </c>
      <c r="R254" s="22">
        <f t="shared" si="540"/>
        <v>125.53</v>
      </c>
      <c r="S254" s="22">
        <f t="shared" si="540"/>
        <v>105.71000000000028</v>
      </c>
      <c r="T254" s="22">
        <f t="shared" si="540"/>
        <v>93.760000000000019</v>
      </c>
      <c r="U254" s="22">
        <f t="shared" si="540"/>
        <v>94.32999999999997</v>
      </c>
      <c r="V254" s="22">
        <f t="shared" si="540"/>
        <v>84.790000000000163</v>
      </c>
      <c r="W254" s="22">
        <f t="shared" si="540"/>
        <v>210.99000000000024</v>
      </c>
      <c r="X254" s="22">
        <f t="shared" ref="X254:AE254" si="541">X252+X253</f>
        <v>209.93000000000006</v>
      </c>
      <c r="Y254" s="22">
        <f t="shared" si="541"/>
        <v>137.62999999999988</v>
      </c>
      <c r="Z254" s="22">
        <f t="shared" si="541"/>
        <v>146.28999999999971</v>
      </c>
      <c r="AA254" s="22">
        <f t="shared" ref="AA254" si="542">AA252+AA253</f>
        <v>177.96000000000009</v>
      </c>
      <c r="AB254" s="21">
        <f t="shared" si="541"/>
        <v>284.21065127391108</v>
      </c>
      <c r="AC254" s="21">
        <f t="shared" si="541"/>
        <v>340.87547595427435</v>
      </c>
      <c r="AD254" s="21">
        <f t="shared" si="541"/>
        <v>377.23585359728304</v>
      </c>
      <c r="AE254" s="21">
        <f t="shared" si="541"/>
        <v>411.72212361023151</v>
      </c>
      <c r="AI254" s="22">
        <f>AI252+AI253</f>
        <v>29.159999999999958</v>
      </c>
      <c r="AJ254" s="22">
        <f>AJ252+AJ253</f>
        <v>37.44000000000004</v>
      </c>
      <c r="AK254" s="22">
        <f>AK252+AK253</f>
        <v>30.519999999999982</v>
      </c>
      <c r="AL254" s="22">
        <f>AL252+AL253</f>
        <v>31.160000000000007</v>
      </c>
      <c r="AM254" s="22">
        <f>AM252+AM253</f>
        <v>24.700000000000042</v>
      </c>
      <c r="AN254" s="22">
        <f t="shared" ref="AN254:CD254" si="543">AN252+AN253</f>
        <v>31.04999999999994</v>
      </c>
      <c r="AO254" s="22">
        <f t="shared" si="543"/>
        <v>31.04000000000001</v>
      </c>
      <c r="AP254" s="22">
        <f t="shared" si="543"/>
        <v>28.030000000000037</v>
      </c>
      <c r="AQ254" s="22">
        <f t="shared" si="543"/>
        <v>30.280000000000015</v>
      </c>
      <c r="AR254" s="22">
        <f t="shared" si="543"/>
        <v>31.120000000000012</v>
      </c>
      <c r="AS254" s="22">
        <f t="shared" si="543"/>
        <v>33.209999999999965</v>
      </c>
      <c r="AT254" s="22">
        <f t="shared" si="543"/>
        <v>37.360000000000014</v>
      </c>
      <c r="AU254" s="22">
        <f t="shared" si="543"/>
        <v>37.569999999999993</v>
      </c>
      <c r="AV254" s="22">
        <f t="shared" si="543"/>
        <v>37.92000000000003</v>
      </c>
      <c r="AW254" s="22">
        <f t="shared" si="543"/>
        <v>34.110000000000063</v>
      </c>
      <c r="AX254" s="22">
        <f t="shared" si="543"/>
        <v>43.63</v>
      </c>
      <c r="AY254" s="22">
        <f t="shared" si="543"/>
        <v>34.710000000000065</v>
      </c>
      <c r="AZ254" s="22">
        <f t="shared" si="543"/>
        <v>34.860000000000028</v>
      </c>
      <c r="BA254" s="22">
        <f t="shared" si="543"/>
        <v>21.560000000000024</v>
      </c>
      <c r="BB254" s="22">
        <f t="shared" si="543"/>
        <v>36.289999999999949</v>
      </c>
      <c r="BC254" s="22">
        <f t="shared" si="543"/>
        <v>20.340000000000018</v>
      </c>
      <c r="BD254" s="22">
        <f t="shared" si="543"/>
        <v>19.719999999999967</v>
      </c>
      <c r="BE254" s="22">
        <f t="shared" si="543"/>
        <v>23.239999999999959</v>
      </c>
      <c r="BF254" s="22">
        <f t="shared" si="543"/>
        <v>44.199999999999996</v>
      </c>
      <c r="BG254" s="22">
        <f t="shared" si="543"/>
        <v>24.139999999999976</v>
      </c>
      <c r="BH254" s="22">
        <f t="shared" si="543"/>
        <v>29.270000000000039</v>
      </c>
      <c r="BI254" s="22">
        <f t="shared" si="543"/>
        <v>19.629999999999978</v>
      </c>
      <c r="BJ254" s="22">
        <f t="shared" si="543"/>
        <v>20.719999999999995</v>
      </c>
      <c r="BK254" s="22">
        <f t="shared" si="543"/>
        <v>21.299999999999979</v>
      </c>
      <c r="BL254" s="22">
        <f t="shared" si="543"/>
        <v>23.460000000000015</v>
      </c>
      <c r="BM254" s="22">
        <f t="shared" si="543"/>
        <v>26.009999999999973</v>
      </c>
      <c r="BN254" s="22">
        <f t="shared" si="543"/>
        <v>23.559999999999981</v>
      </c>
      <c r="BO254" s="22">
        <f t="shared" si="543"/>
        <v>-12.040000000000024</v>
      </c>
      <c r="BP254" s="22">
        <f t="shared" si="543"/>
        <v>16.300000000000004</v>
      </c>
      <c r="BQ254" s="22">
        <f t="shared" si="543"/>
        <v>27.760000000000009</v>
      </c>
      <c r="BR254" s="22">
        <f t="shared" si="543"/>
        <v>52.769999999999996</v>
      </c>
      <c r="BS254" s="22">
        <f t="shared" si="543"/>
        <v>32.19</v>
      </c>
      <c r="BT254" s="22">
        <f t="shared" si="543"/>
        <v>47.979999999999919</v>
      </c>
      <c r="BU254" s="22">
        <f t="shared" si="543"/>
        <v>61.730000000000004</v>
      </c>
      <c r="BV254" s="22">
        <f t="shared" si="543"/>
        <v>68.380000000000081</v>
      </c>
      <c r="BW254" s="22">
        <f t="shared" si="543"/>
        <v>71.029999999999987</v>
      </c>
      <c r="BX254" s="22">
        <f t="shared" si="543"/>
        <v>52.380000000000024</v>
      </c>
      <c r="BY254" s="22">
        <f t="shared" si="543"/>
        <v>42.670000000000016</v>
      </c>
      <c r="BZ254" s="22">
        <f t="shared" si="543"/>
        <v>43.849999999999987</v>
      </c>
      <c r="CA254" s="22">
        <f t="shared" si="543"/>
        <v>34.410000000000025</v>
      </c>
      <c r="CB254" s="22">
        <f t="shared" si="543"/>
        <v>32.729999999999968</v>
      </c>
      <c r="CC254" s="22">
        <f t="shared" si="543"/>
        <v>30.710000000000026</v>
      </c>
      <c r="CD254" s="22">
        <f t="shared" si="543"/>
        <v>39.779999999999966</v>
      </c>
      <c r="CE254" s="22">
        <f t="shared" ref="CE254:CJ254" si="544">CE252+CE253</f>
        <v>42.279999999999987</v>
      </c>
      <c r="CF254" s="22">
        <f t="shared" si="544"/>
        <v>33.32000000000005</v>
      </c>
      <c r="CG254" s="22">
        <f t="shared" si="544"/>
        <v>31.319999999999947</v>
      </c>
      <c r="CH254" s="22">
        <f t="shared" si="544"/>
        <v>39.36999999999999</v>
      </c>
      <c r="CI254" s="22">
        <f t="shared" si="544"/>
        <v>38.010000000000026</v>
      </c>
      <c r="CJ254" s="22">
        <f t="shared" si="544"/>
        <v>33.589999999999897</v>
      </c>
      <c r="CK254" s="22">
        <f t="shared" ref="CK254:DB254" si="545">CK252+CK253</f>
        <v>48.989999999999995</v>
      </c>
      <c r="CL254" s="22">
        <f t="shared" si="545"/>
        <v>57.369999999999919</v>
      </c>
      <c r="CM254" s="21">
        <f t="shared" si="545"/>
        <v>63.574652572346992</v>
      </c>
      <c r="CN254" s="21">
        <f t="shared" si="545"/>
        <v>68.887665366541668</v>
      </c>
      <c r="CO254" s="21">
        <f t="shared" si="545"/>
        <v>74.234383009375975</v>
      </c>
      <c r="CP254" s="21">
        <f t="shared" si="545"/>
        <v>77.513950325646633</v>
      </c>
      <c r="CQ254" s="21">
        <f t="shared" si="545"/>
        <v>78.12582987914567</v>
      </c>
      <c r="CR254" s="21">
        <f t="shared" si="545"/>
        <v>83.400862139491039</v>
      </c>
      <c r="CS254" s="21">
        <f t="shared" si="545"/>
        <v>87.782986737792683</v>
      </c>
      <c r="CT254" s="21">
        <f t="shared" si="545"/>
        <v>91.565797197844248</v>
      </c>
      <c r="CU254" s="21">
        <f t="shared" si="545"/>
        <v>90.403940743462769</v>
      </c>
      <c r="CV254" s="21">
        <f t="shared" si="545"/>
        <v>93.304091993952568</v>
      </c>
      <c r="CW254" s="21">
        <f t="shared" si="545"/>
        <v>95.748461143715758</v>
      </c>
      <c r="CX254" s="21">
        <f t="shared" si="545"/>
        <v>97.779359716151689</v>
      </c>
      <c r="CY254" s="21">
        <f t="shared" si="545"/>
        <v>99.462228638538889</v>
      </c>
      <c r="CZ254" s="21">
        <f t="shared" si="545"/>
        <v>101.84655745319014</v>
      </c>
      <c r="DA254" s="21">
        <f t="shared" si="545"/>
        <v>104.1021808611173</v>
      </c>
      <c r="DB254" s="21">
        <f t="shared" si="545"/>
        <v>106.31115665738525</v>
      </c>
      <c r="DE254" s="126"/>
      <c r="DF254" s="22">
        <v>41.694242043188261</v>
      </c>
    </row>
    <row r="255" spans="1:110" s="23" customFormat="1" x14ac:dyDescent="0.2">
      <c r="A255" s="23" t="s">
        <v>64</v>
      </c>
      <c r="C255" s="23">
        <f t="shared" ref="C255:AE255" si="546">B207-C207+B222+B223-C222-C223</f>
        <v>19.119136500000007</v>
      </c>
      <c r="D255" s="23">
        <f t="shared" si="546"/>
        <v>-8.5502848000000089</v>
      </c>
      <c r="E255" s="23">
        <f t="shared" si="546"/>
        <v>-31.943416499999991</v>
      </c>
      <c r="F255" s="23">
        <f t="shared" si="546"/>
        <v>-21.540736700000018</v>
      </c>
      <c r="G255" s="23">
        <f t="shared" si="546"/>
        <v>-53.372560899999982</v>
      </c>
      <c r="H255" s="23">
        <f t="shared" si="546"/>
        <v>-123.54797370000001</v>
      </c>
      <c r="I255" s="23">
        <f t="shared" si="546"/>
        <v>-51.428471299999948</v>
      </c>
      <c r="J255" s="23">
        <f t="shared" si="546"/>
        <v>30.362380999999989</v>
      </c>
      <c r="K255" s="23">
        <f t="shared" si="546"/>
        <v>-51.993500600000104</v>
      </c>
      <c r="L255" s="23">
        <f t="shared" si="546"/>
        <v>-156.19429759999994</v>
      </c>
      <c r="M255" s="23">
        <f t="shared" si="546"/>
        <v>69.769999999999953</v>
      </c>
      <c r="N255" s="23">
        <f t="shared" si="546"/>
        <v>-47.269999999999939</v>
      </c>
      <c r="O255" s="23">
        <f t="shared" si="546"/>
        <v>-13.860000000000035</v>
      </c>
      <c r="P255" s="23">
        <f t="shared" si="546"/>
        <v>-71.149999999999977</v>
      </c>
      <c r="Q255" s="23">
        <f t="shared" si="546"/>
        <v>-81.000000000000043</v>
      </c>
      <c r="R255" s="23">
        <f t="shared" si="546"/>
        <v>-65.299999999999898</v>
      </c>
      <c r="S255" s="23">
        <f t="shared" si="546"/>
        <v>-113.21000000000015</v>
      </c>
      <c r="T255" s="23">
        <f t="shared" si="546"/>
        <v>-1.3499999999999233</v>
      </c>
      <c r="U255" s="23">
        <f t="shared" si="546"/>
        <v>75.57000000000005</v>
      </c>
      <c r="V255" s="23">
        <f t="shared" si="546"/>
        <v>-4.3199999999999648</v>
      </c>
      <c r="W255" s="23">
        <f t="shared" si="546"/>
        <v>-336.77000000000027</v>
      </c>
      <c r="X255" s="23">
        <f t="shared" si="546"/>
        <v>-54.749999999999687</v>
      </c>
      <c r="Y255" s="23">
        <f t="shared" si="546"/>
        <v>-293.64999999999986</v>
      </c>
      <c r="Z255" s="23">
        <f t="shared" si="546"/>
        <v>107.43999999999966</v>
      </c>
      <c r="AA255" s="23">
        <f t="shared" ref="AA255" si="547">Z207-AA207+Z222+Z223-AA222-AA223</f>
        <v>-123.88000000000017</v>
      </c>
      <c r="AB255" s="24">
        <f t="shared" si="546"/>
        <v>-181.95131864557743</v>
      </c>
      <c r="AC255" s="24">
        <f t="shared" si="546"/>
        <v>-87.735011211534356</v>
      </c>
      <c r="AD255" s="24">
        <f t="shared" si="546"/>
        <v>-7.1444530729354483</v>
      </c>
      <c r="AE255" s="24">
        <f t="shared" si="546"/>
        <v>-7.1730737805307854</v>
      </c>
      <c r="AI255" s="23">
        <f>AH207-AI207+AH222+AH223-AI222-AJ223</f>
        <v>0</v>
      </c>
      <c r="AJ255" s="23">
        <f>AI207-AJ207+AI222+AI223-AJ222-AK223</f>
        <v>-433.95000000000005</v>
      </c>
      <c r="AK255" s="23">
        <f>AJ207-AK207+AJ222+AJ223-AK222-AL223</f>
        <v>51.911336410309673</v>
      </c>
      <c r="AL255" s="23">
        <f>AK207-AL207+AK222+AK223-AL222-AM223</f>
        <v>-93.761336410309625</v>
      </c>
      <c r="AM255" s="23">
        <f t="shared" ref="AM255:BR255" si="548">AL207-AM207+AL222+AL223-AM222-AM223</f>
        <v>-11.280702009740935</v>
      </c>
      <c r="AN255" s="23">
        <f t="shared" si="548"/>
        <v>-8.9892979902591534</v>
      </c>
      <c r="AO255" s="23">
        <f t="shared" si="548"/>
        <v>3.8587859732607512</v>
      </c>
      <c r="AP255" s="23">
        <f t="shared" si="548"/>
        <v>2.5512140267393022</v>
      </c>
      <c r="AQ255" s="23">
        <f t="shared" si="548"/>
        <v>-6.647292760842447</v>
      </c>
      <c r="AR255" s="23">
        <f t="shared" si="548"/>
        <v>-23.372707239157492</v>
      </c>
      <c r="AS255" s="23">
        <f t="shared" si="548"/>
        <v>2.1245346422502962</v>
      </c>
      <c r="AT255" s="23">
        <f t="shared" si="548"/>
        <v>-43.254534642250313</v>
      </c>
      <c r="AU255" s="23">
        <f t="shared" si="548"/>
        <v>-6.4368075117371291</v>
      </c>
      <c r="AV255" s="23">
        <f t="shared" si="548"/>
        <v>-48.653192488262917</v>
      </c>
      <c r="AW255" s="23">
        <f t="shared" si="548"/>
        <v>60.17515585257604</v>
      </c>
      <c r="AX255" s="23">
        <f t="shared" si="548"/>
        <v>-86.085155852576136</v>
      </c>
      <c r="AY255" s="23">
        <f t="shared" si="548"/>
        <v>-29.855104612273408</v>
      </c>
      <c r="AZ255" s="23">
        <f t="shared" si="548"/>
        <v>-18.29489538772652</v>
      </c>
      <c r="BA255" s="23">
        <f t="shared" si="548"/>
        <v>115.07191862068964</v>
      </c>
      <c r="BB255" s="23">
        <f t="shared" si="548"/>
        <v>-132.22191862068962</v>
      </c>
      <c r="BC255" s="23">
        <f t="shared" si="548"/>
        <v>2.3021959819209314</v>
      </c>
      <c r="BD255" s="23">
        <f t="shared" si="548"/>
        <v>-13.952195981920873</v>
      </c>
      <c r="BE255" s="23">
        <f t="shared" si="548"/>
        <v>-74.586709409768105</v>
      </c>
      <c r="BF255" s="23">
        <f t="shared" si="548"/>
        <v>-26.97329059023199</v>
      </c>
      <c r="BG255" s="23">
        <f t="shared" si="548"/>
        <v>-70.38816219111709</v>
      </c>
      <c r="BH255" s="23">
        <f t="shared" si="548"/>
        <v>39.768162191117156</v>
      </c>
      <c r="BI255" s="23">
        <f t="shared" si="548"/>
        <v>49.028817959876847</v>
      </c>
      <c r="BJ255" s="23">
        <f t="shared" si="548"/>
        <v>-19.758817959876943</v>
      </c>
      <c r="BK255" s="23">
        <f t="shared" si="548"/>
        <v>40.38037224349398</v>
      </c>
      <c r="BL255" s="23">
        <f t="shared" si="548"/>
        <v>19.269627756506068</v>
      </c>
      <c r="BM255" s="23">
        <f t="shared" si="548"/>
        <v>66.493961327892748</v>
      </c>
      <c r="BN255" s="23">
        <f t="shared" si="548"/>
        <v>-50.573961327892633</v>
      </c>
      <c r="BO255" s="23">
        <f t="shared" si="548"/>
        <v>484.20804782067239</v>
      </c>
      <c r="BP255" s="23">
        <f t="shared" si="548"/>
        <v>-393.45804782067245</v>
      </c>
      <c r="BQ255" s="23">
        <f t="shared" si="548"/>
        <v>-234.62649980796323</v>
      </c>
      <c r="BR255" s="23">
        <f t="shared" si="548"/>
        <v>139.55649980796318</v>
      </c>
      <c r="BS255" s="23">
        <f t="shared" ref="BS255:DB255" si="549">BR207-BS207+BR222+BR223-BS222-BS223</f>
        <v>113.80935627839654</v>
      </c>
      <c r="BT255" s="23">
        <f t="shared" si="549"/>
        <v>-268.12935627839659</v>
      </c>
      <c r="BU255" s="23">
        <f t="shared" si="549"/>
        <v>-13.627345149370512</v>
      </c>
      <c r="BV255" s="23">
        <f t="shared" si="549"/>
        <v>-172.31265485062943</v>
      </c>
      <c r="BW255" s="23">
        <f t="shared" si="549"/>
        <v>30.423991004051004</v>
      </c>
      <c r="BX255" s="23">
        <f t="shared" si="549"/>
        <v>26.50600899594906</v>
      </c>
      <c r="BY255" s="23">
        <f t="shared" si="549"/>
        <v>120.48451136299548</v>
      </c>
      <c r="BZ255" s="23">
        <f t="shared" si="549"/>
        <v>-231.07451136299557</v>
      </c>
      <c r="CA255" s="23">
        <f t="shared" si="549"/>
        <v>9.6143829414340871</v>
      </c>
      <c r="CB255" s="23">
        <f t="shared" si="549"/>
        <v>-83.214382941434081</v>
      </c>
      <c r="CC255" s="23">
        <f t="shared" si="549"/>
        <v>11.213814931450088</v>
      </c>
      <c r="CD255" s="23">
        <f t="shared" si="549"/>
        <v>-218.70381493145021</v>
      </c>
      <c r="CE255" s="23">
        <f t="shared" si="549"/>
        <v>12.86628166362425</v>
      </c>
      <c r="CF255" s="23">
        <f t="shared" si="549"/>
        <v>83.78371833637587</v>
      </c>
      <c r="CG255" s="23">
        <f t="shared" si="549"/>
        <v>-133.93314900608311</v>
      </c>
      <c r="CH255" s="23">
        <f t="shared" si="549"/>
        <v>134.56314900608302</v>
      </c>
      <c r="CI255" s="23">
        <f t="shared" si="549"/>
        <v>-103.61853411412221</v>
      </c>
      <c r="CJ255" s="23">
        <f t="shared" si="549"/>
        <v>-23.22146588587799</v>
      </c>
      <c r="CK255" s="23">
        <f t="shared" si="549"/>
        <v>22.070695260627645</v>
      </c>
      <c r="CL255" s="23">
        <f t="shared" si="549"/>
        <v>-9.8206952606274172</v>
      </c>
      <c r="CM255" s="24">
        <f t="shared" si="549"/>
        <v>-138.54960075106601</v>
      </c>
      <c r="CN255" s="24">
        <f t="shared" si="549"/>
        <v>-12.30990560497321</v>
      </c>
      <c r="CO255" s="24">
        <f t="shared" si="549"/>
        <v>-17.525422423239888</v>
      </c>
      <c r="CP255" s="24">
        <f t="shared" si="549"/>
        <v>-22.856389866298514</v>
      </c>
      <c r="CQ255" s="24">
        <f t="shared" si="549"/>
        <v>-31.021034014577026</v>
      </c>
      <c r="CR255" s="24">
        <f t="shared" si="549"/>
        <v>-31.388196344503513</v>
      </c>
      <c r="CS255" s="24">
        <f t="shared" si="549"/>
        <v>-15.270998157505119</v>
      </c>
      <c r="CT255" s="24">
        <f t="shared" si="549"/>
        <v>-10.054782694948699</v>
      </c>
      <c r="CU255" s="24">
        <f t="shared" si="549"/>
        <v>-1.7834363298568405</v>
      </c>
      <c r="CV255" s="24">
        <f t="shared" si="549"/>
        <v>-1.7852197661866285</v>
      </c>
      <c r="CW255" s="24">
        <f t="shared" si="549"/>
        <v>-1.78700498595299</v>
      </c>
      <c r="CX255" s="24">
        <f t="shared" si="549"/>
        <v>-1.7887919909389893</v>
      </c>
      <c r="CY255" s="24">
        <f t="shared" si="549"/>
        <v>-1.7905807829301921</v>
      </c>
      <c r="CZ255" s="24">
        <f t="shared" si="549"/>
        <v>-1.792371363712391</v>
      </c>
      <c r="DA255" s="24">
        <f t="shared" si="549"/>
        <v>-1.794163735076836</v>
      </c>
      <c r="DB255" s="24">
        <f t="shared" si="549"/>
        <v>-1.7959578988113662</v>
      </c>
      <c r="DE255" s="123"/>
      <c r="DF255" s="23">
        <v>-55.604137030893298</v>
      </c>
    </row>
    <row r="256" spans="1:110" s="23" customFormat="1" x14ac:dyDescent="0.2">
      <c r="A256" s="23" t="s">
        <v>72</v>
      </c>
      <c r="C256" s="23">
        <f t="shared" ref="C256:AA256" si="550">B215-C215</f>
        <v>5.0446187000000009</v>
      </c>
      <c r="D256" s="23">
        <f t="shared" si="550"/>
        <v>-7.2283647999999996</v>
      </c>
      <c r="E256" s="23">
        <f>D215-E215</f>
        <v>3.3872935999999996</v>
      </c>
      <c r="F256" s="23">
        <f t="shared" si="550"/>
        <v>-2.5236644999999989</v>
      </c>
      <c r="G256" s="23">
        <f t="shared" si="550"/>
        <v>-20.152518700000002</v>
      </c>
      <c r="H256" s="23">
        <f t="shared" si="550"/>
        <v>-8.7862002999999973</v>
      </c>
      <c r="I256" s="23">
        <f t="shared" si="550"/>
        <v>-17.168171300000004</v>
      </c>
      <c r="J256" s="23">
        <f>I215-J215</f>
        <v>7.1820536000000033</v>
      </c>
      <c r="K256" s="23">
        <f>J215-K215</f>
        <v>-0.54711350000000181</v>
      </c>
      <c r="L256" s="23">
        <f t="shared" si="550"/>
        <v>-58.064021299999993</v>
      </c>
      <c r="M256" s="23">
        <f t="shared" si="550"/>
        <v>3.9700000000000131</v>
      </c>
      <c r="N256" s="23">
        <f t="shared" si="550"/>
        <v>-16.330000000000013</v>
      </c>
      <c r="O256" s="23">
        <f t="shared" si="550"/>
        <v>-7.0500000000000114</v>
      </c>
      <c r="P256" s="23">
        <f t="shared" si="550"/>
        <v>-18.880000000000024</v>
      </c>
      <c r="Q256" s="23">
        <f t="shared" si="550"/>
        <v>-14.359999999999957</v>
      </c>
      <c r="R256" s="23">
        <f t="shared" si="550"/>
        <v>-21.97999999999999</v>
      </c>
      <c r="S256" s="23">
        <f t="shared" si="550"/>
        <v>-53.650000000000006</v>
      </c>
      <c r="T256" s="23">
        <f t="shared" si="550"/>
        <v>-22.680000000000035</v>
      </c>
      <c r="U256" s="23">
        <f t="shared" si="550"/>
        <v>43.91</v>
      </c>
      <c r="V256" s="23">
        <f t="shared" si="550"/>
        <v>-1.3299999999999841</v>
      </c>
      <c r="W256" s="23">
        <f t="shared" si="550"/>
        <v>-245.67</v>
      </c>
      <c r="X256" s="23">
        <f t="shared" si="550"/>
        <v>44.509999999999991</v>
      </c>
      <c r="Y256" s="23">
        <f t="shared" si="550"/>
        <v>-235.09000000000003</v>
      </c>
      <c r="Z256" s="23">
        <f t="shared" si="550"/>
        <v>-120.71000000000004</v>
      </c>
      <c r="AA256" s="23">
        <f t="shared" si="550"/>
        <v>-137.22000000000003</v>
      </c>
      <c r="AB256" s="24">
        <f>AA215-AB215</f>
        <v>-77.547597691813394</v>
      </c>
      <c r="AC256" s="24">
        <f>AB215-AC215</f>
        <v>-38.123516225508411</v>
      </c>
      <c r="AD256" s="24">
        <f>AC215-AD215</f>
        <v>-4.1169347141442358</v>
      </c>
      <c r="AE256" s="24">
        <f>AD215-AE215</f>
        <v>-4.1334271710813937</v>
      </c>
      <c r="AI256" s="23">
        <f t="shared" ref="AI256:BN256" si="551">AH215-AI215</f>
        <v>0</v>
      </c>
      <c r="AJ256" s="23">
        <f t="shared" si="551"/>
        <v>-189.22</v>
      </c>
      <c r="AK256" s="23">
        <f t="shared" si="551"/>
        <v>0</v>
      </c>
      <c r="AL256" s="23">
        <f t="shared" si="551"/>
        <v>-31.97</v>
      </c>
      <c r="AM256" s="23">
        <f t="shared" si="551"/>
        <v>-1.8686625986676404</v>
      </c>
      <c r="AN256" s="23">
        <f t="shared" si="551"/>
        <v>-11.101337401332358</v>
      </c>
      <c r="AO256" s="23">
        <f t="shared" si="551"/>
        <v>0.54216859279401319</v>
      </c>
      <c r="AP256" s="23">
        <f t="shared" si="551"/>
        <v>10.517831407205961</v>
      </c>
      <c r="AQ256" s="23">
        <f t="shared" si="551"/>
        <v>-1.0814202176620142</v>
      </c>
      <c r="AR256" s="23">
        <f t="shared" si="551"/>
        <v>-3.7685797823379801</v>
      </c>
      <c r="AS256" s="23">
        <f t="shared" si="551"/>
        <v>0.30956741012434463</v>
      </c>
      <c r="AT256" s="23">
        <f t="shared" si="551"/>
        <v>-2.2095674101243219</v>
      </c>
      <c r="AU256" s="23">
        <f t="shared" si="551"/>
        <v>-0.93475697321184725</v>
      </c>
      <c r="AV256" s="23">
        <f t="shared" si="551"/>
        <v>-2.8952430267881368</v>
      </c>
      <c r="AW256" s="23">
        <f t="shared" si="551"/>
        <v>7.0157977158246467</v>
      </c>
      <c r="AX256" s="23">
        <f t="shared" si="551"/>
        <v>-1.4557977158246445</v>
      </c>
      <c r="AY256" s="23">
        <f t="shared" si="551"/>
        <v>-4.0365279614217968</v>
      </c>
      <c r="AZ256" s="23">
        <f t="shared" si="551"/>
        <v>-5.8434720385782271</v>
      </c>
      <c r="BA256" s="23">
        <f t="shared" si="551"/>
        <v>16.60109862068964</v>
      </c>
      <c r="BB256" s="23">
        <f t="shared" si="551"/>
        <v>-23.931098620689625</v>
      </c>
      <c r="BC256" s="23">
        <f t="shared" si="551"/>
        <v>0.38222248515108959</v>
      </c>
      <c r="BD256" s="23">
        <f t="shared" si="551"/>
        <v>-36.802222485151106</v>
      </c>
      <c r="BE256" s="23">
        <f t="shared" si="551"/>
        <v>-12.74656286199189</v>
      </c>
      <c r="BF256" s="23">
        <f t="shared" si="551"/>
        <v>-14.033437138008082</v>
      </c>
      <c r="BG256" s="23">
        <f t="shared" si="551"/>
        <v>-15.671577427393629</v>
      </c>
      <c r="BH256" s="23">
        <f t="shared" si="551"/>
        <v>-25.908422572606412</v>
      </c>
      <c r="BI256" s="23">
        <f t="shared" si="551"/>
        <v>10.980743870077504</v>
      </c>
      <c r="BJ256" s="23">
        <f t="shared" si="551"/>
        <v>11.649256129922492</v>
      </c>
      <c r="BK256" s="23">
        <f t="shared" si="551"/>
        <v>9.3513278322652127</v>
      </c>
      <c r="BL256" s="23">
        <f t="shared" si="551"/>
        <v>1.4486721677347987</v>
      </c>
      <c r="BM256" s="23">
        <f t="shared" si="551"/>
        <v>14.146493059115414</v>
      </c>
      <c r="BN256" s="23">
        <f t="shared" si="551"/>
        <v>39.523506940884602</v>
      </c>
      <c r="BO256" s="23">
        <f t="shared" ref="BO256:CT256" si="552">BN215-BO215</f>
        <v>83.571861519302587</v>
      </c>
      <c r="BP256" s="23">
        <f t="shared" si="552"/>
        <v>-64.451861519302611</v>
      </c>
      <c r="BQ256" s="23">
        <f t="shared" si="552"/>
        <v>-30.950277173217245</v>
      </c>
      <c r="BR256" s="23">
        <f t="shared" si="552"/>
        <v>-18.669722826782674</v>
      </c>
      <c r="BS256" s="23">
        <f t="shared" si="552"/>
        <v>20.125924771822554</v>
      </c>
      <c r="BT256" s="23">
        <f t="shared" si="552"/>
        <v>-56.175924771822622</v>
      </c>
      <c r="BU256" s="23">
        <f t="shared" si="552"/>
        <v>-3.1496336193399088</v>
      </c>
      <c r="BV256" s="23">
        <f t="shared" si="552"/>
        <v>-130.80036638066014</v>
      </c>
      <c r="BW256" s="23">
        <f t="shared" si="552"/>
        <v>4.4986735039493055</v>
      </c>
      <c r="BX256" s="23">
        <f t="shared" si="552"/>
        <v>163.8713264960507</v>
      </c>
      <c r="BY256" s="23">
        <f t="shared" si="552"/>
        <v>14.123173743867369</v>
      </c>
      <c r="BZ256" s="23">
        <f t="shared" si="552"/>
        <v>-137.98317374386733</v>
      </c>
      <c r="CA256" s="23">
        <f t="shared" si="552"/>
        <v>2.5182006718271168</v>
      </c>
      <c r="CB256" s="23">
        <f t="shared" si="552"/>
        <v>-47.12820067182713</v>
      </c>
      <c r="CC256" s="23">
        <f t="shared" si="552"/>
        <v>3.0342978019531301</v>
      </c>
      <c r="CD256" s="23">
        <f t="shared" si="552"/>
        <v>-182.54429780195323</v>
      </c>
      <c r="CE256" s="23">
        <f t="shared" si="552"/>
        <v>4.9100019968051356</v>
      </c>
      <c r="CF256" s="23">
        <f t="shared" si="552"/>
        <v>88.149998003195151</v>
      </c>
      <c r="CG256" s="23">
        <f t="shared" si="552"/>
        <v>-44.13044241500279</v>
      </c>
      <c r="CH256" s="23">
        <f t="shared" si="552"/>
        <v>-180.60955758499745</v>
      </c>
      <c r="CI256" s="23">
        <f t="shared" si="552"/>
        <v>-58.529423941168602</v>
      </c>
      <c r="CJ256" s="23">
        <f t="shared" si="552"/>
        <v>52.709423941168779</v>
      </c>
      <c r="CK256" s="23">
        <f t="shared" si="552"/>
        <v>11.438528581240803</v>
      </c>
      <c r="CL256" s="23">
        <f t="shared" si="552"/>
        <v>-131.70852858124101</v>
      </c>
      <c r="CM256" s="24">
        <f t="shared" si="552"/>
        <v>-76.584189662221206</v>
      </c>
      <c r="CN256" s="24">
        <f t="shared" si="552"/>
        <v>-0.97747418966218902</v>
      </c>
      <c r="CO256" s="24">
        <f t="shared" si="552"/>
        <v>-4.0280860496534387</v>
      </c>
      <c r="CP256" s="24">
        <f t="shared" si="552"/>
        <v>-7.0878477902765553</v>
      </c>
      <c r="CQ256" s="24">
        <f t="shared" si="552"/>
        <v>-11.732786556050769</v>
      </c>
      <c r="CR256" s="24">
        <f t="shared" si="552"/>
        <v>-11.796948271514566</v>
      </c>
      <c r="CS256" s="24">
        <f t="shared" si="552"/>
        <v>-8.7997922013698826</v>
      </c>
      <c r="CT256" s="24">
        <f t="shared" si="552"/>
        <v>-5.7939891965731931</v>
      </c>
      <c r="CU256" s="24">
        <f t="shared" ref="CU256:DB256" si="553">CT215-CU215</f>
        <v>-1.0276911139169442</v>
      </c>
      <c r="CV256" s="24">
        <f t="shared" si="553"/>
        <v>-1.028718805031076</v>
      </c>
      <c r="CW256" s="24">
        <f t="shared" si="553"/>
        <v>-1.0297475238362495</v>
      </c>
      <c r="CX256" s="24">
        <f t="shared" si="553"/>
        <v>-1.0307772713599661</v>
      </c>
      <c r="CY256" s="24">
        <f t="shared" si="553"/>
        <v>-1.0318080486315466</v>
      </c>
      <c r="CZ256" s="24">
        <f t="shared" si="553"/>
        <v>-1.0328398566800843</v>
      </c>
      <c r="DA256" s="24">
        <f t="shared" si="553"/>
        <v>-1.0338726965364913</v>
      </c>
      <c r="DB256" s="24">
        <f t="shared" si="553"/>
        <v>-1.0349065692332715</v>
      </c>
      <c r="DE256" s="123"/>
      <c r="DF256" s="23">
        <v>-28.817828489424187</v>
      </c>
    </row>
    <row r="257" spans="1:110" s="22" customFormat="1" x14ac:dyDescent="0.2">
      <c r="A257" s="22" t="s">
        <v>89</v>
      </c>
      <c r="C257" s="22">
        <f t="shared" ref="C257:W257" si="554">C255-C256</f>
        <v>14.074517800000006</v>
      </c>
      <c r="D257" s="22">
        <f t="shared" si="554"/>
        <v>-1.3219200000000093</v>
      </c>
      <c r="E257" s="22">
        <f t="shared" si="554"/>
        <v>-35.33071009999999</v>
      </c>
      <c r="F257" s="22">
        <f t="shared" si="554"/>
        <v>-19.017072200000019</v>
      </c>
      <c r="G257" s="22">
        <f t="shared" si="554"/>
        <v>-33.22004219999998</v>
      </c>
      <c r="H257" s="22">
        <f t="shared" si="554"/>
        <v>-114.76177340000001</v>
      </c>
      <c r="I257" s="22">
        <f t="shared" si="554"/>
        <v>-34.260299999999944</v>
      </c>
      <c r="J257" s="22">
        <f>J255-J256</f>
        <v>23.180327399999985</v>
      </c>
      <c r="K257" s="22">
        <f t="shared" si="554"/>
        <v>-51.446387100000102</v>
      </c>
      <c r="L257" s="22">
        <f t="shared" si="554"/>
        <v>-98.130276299999949</v>
      </c>
      <c r="M257" s="22">
        <f t="shared" si="554"/>
        <v>65.79999999999994</v>
      </c>
      <c r="N257" s="22">
        <f t="shared" si="554"/>
        <v>-30.939999999999927</v>
      </c>
      <c r="O257" s="22">
        <f t="shared" si="554"/>
        <v>-6.8100000000000236</v>
      </c>
      <c r="P257" s="22">
        <f t="shared" si="554"/>
        <v>-52.269999999999953</v>
      </c>
      <c r="Q257" s="22">
        <f t="shared" si="554"/>
        <v>-66.640000000000086</v>
      </c>
      <c r="R257" s="22">
        <f t="shared" si="554"/>
        <v>-43.319999999999908</v>
      </c>
      <c r="S257" s="22">
        <f t="shared" si="554"/>
        <v>-59.560000000000144</v>
      </c>
      <c r="T257" s="22">
        <f t="shared" si="554"/>
        <v>21.330000000000112</v>
      </c>
      <c r="U257" s="22">
        <f t="shared" si="554"/>
        <v>31.660000000000053</v>
      </c>
      <c r="V257" s="22">
        <f t="shared" si="554"/>
        <v>-2.9899999999999807</v>
      </c>
      <c r="W257" s="22">
        <f t="shared" si="554"/>
        <v>-91.100000000000279</v>
      </c>
      <c r="X257" s="22">
        <f t="shared" ref="X257:AE257" si="555">X255-X256</f>
        <v>-99.259999999999678</v>
      </c>
      <c r="Y257" s="22">
        <f t="shared" si="555"/>
        <v>-58.559999999999832</v>
      </c>
      <c r="Z257" s="22">
        <f t="shared" si="555"/>
        <v>228.14999999999969</v>
      </c>
      <c r="AA257" s="22">
        <f t="shared" ref="AA257" si="556">AA255-AA256</f>
        <v>13.339999999999861</v>
      </c>
      <c r="AB257" s="21">
        <f t="shared" si="555"/>
        <v>-104.40372095376404</v>
      </c>
      <c r="AC257" s="21">
        <f t="shared" si="555"/>
        <v>-49.611494986025946</v>
      </c>
      <c r="AD257" s="21">
        <f t="shared" si="555"/>
        <v>-3.0275183587912124</v>
      </c>
      <c r="AE257" s="21">
        <f t="shared" si="555"/>
        <v>-3.0396466094493917</v>
      </c>
      <c r="AI257" s="22">
        <f>AI255-AI256</f>
        <v>0</v>
      </c>
      <c r="AJ257" s="22">
        <f>AJ255-AJ256</f>
        <v>-244.73000000000005</v>
      </c>
      <c r="AK257" s="22">
        <f>AK255-AK256</f>
        <v>51.911336410309673</v>
      </c>
      <c r="AL257" s="22">
        <f>AL255-AL256</f>
        <v>-61.791336410309626</v>
      </c>
      <c r="AM257" s="22">
        <f>AM255-AM256</f>
        <v>-9.4120394110732946</v>
      </c>
      <c r="AN257" s="22">
        <f t="shared" ref="AN257:CD257" si="557">AN255-AN256</f>
        <v>2.112039411073205</v>
      </c>
      <c r="AO257" s="22">
        <f t="shared" si="557"/>
        <v>3.316617380466738</v>
      </c>
      <c r="AP257" s="22">
        <f t="shared" si="557"/>
        <v>-7.9666173804666585</v>
      </c>
      <c r="AQ257" s="22">
        <f t="shared" si="557"/>
        <v>-5.5658725431804328</v>
      </c>
      <c r="AR257" s="22">
        <f t="shared" si="557"/>
        <v>-19.604127456819512</v>
      </c>
      <c r="AS257" s="22">
        <f t="shared" si="557"/>
        <v>1.8149672321259516</v>
      </c>
      <c r="AT257" s="22">
        <f t="shared" si="557"/>
        <v>-41.044967232125991</v>
      </c>
      <c r="AU257" s="22">
        <f t="shared" si="557"/>
        <v>-5.5020505385252818</v>
      </c>
      <c r="AV257" s="22">
        <f t="shared" si="557"/>
        <v>-45.75794946147478</v>
      </c>
      <c r="AW257" s="22">
        <f t="shared" si="557"/>
        <v>53.159358136751393</v>
      </c>
      <c r="AX257" s="22">
        <f t="shared" si="557"/>
        <v>-84.629358136751492</v>
      </c>
      <c r="AY257" s="22">
        <f t="shared" si="557"/>
        <v>-25.818576650851611</v>
      </c>
      <c r="AZ257" s="22">
        <f t="shared" si="557"/>
        <v>-12.451423349148293</v>
      </c>
      <c r="BA257" s="22">
        <f t="shared" si="557"/>
        <v>98.470820000000003</v>
      </c>
      <c r="BB257" s="22">
        <f t="shared" si="557"/>
        <v>-108.29082</v>
      </c>
      <c r="BC257" s="22">
        <f t="shared" si="557"/>
        <v>1.9199734967698419</v>
      </c>
      <c r="BD257" s="22">
        <f t="shared" si="557"/>
        <v>22.850026503230232</v>
      </c>
      <c r="BE257" s="22">
        <f t="shared" si="557"/>
        <v>-61.840146547776214</v>
      </c>
      <c r="BF257" s="22">
        <f t="shared" si="557"/>
        <v>-12.939853452223907</v>
      </c>
      <c r="BG257" s="22">
        <f t="shared" si="557"/>
        <v>-54.716584763723461</v>
      </c>
      <c r="BH257" s="22">
        <f t="shared" si="557"/>
        <v>65.676584763723568</v>
      </c>
      <c r="BI257" s="22">
        <f t="shared" si="557"/>
        <v>38.048074089799343</v>
      </c>
      <c r="BJ257" s="22">
        <f t="shared" si="557"/>
        <v>-31.408074089799435</v>
      </c>
      <c r="BK257" s="22">
        <f t="shared" si="557"/>
        <v>31.029044411228767</v>
      </c>
      <c r="BL257" s="22">
        <f t="shared" si="557"/>
        <v>17.82095558877127</v>
      </c>
      <c r="BM257" s="22">
        <f t="shared" si="557"/>
        <v>52.347468268777334</v>
      </c>
      <c r="BN257" s="22">
        <f t="shared" si="557"/>
        <v>-90.097468268777234</v>
      </c>
      <c r="BO257" s="22">
        <f t="shared" si="557"/>
        <v>400.63618630136978</v>
      </c>
      <c r="BP257" s="22">
        <f t="shared" si="557"/>
        <v>-329.00618630136984</v>
      </c>
      <c r="BQ257" s="22">
        <f t="shared" si="557"/>
        <v>-203.67622263474598</v>
      </c>
      <c r="BR257" s="22">
        <f t="shared" si="557"/>
        <v>158.22622263474585</v>
      </c>
      <c r="BS257" s="22">
        <f t="shared" si="557"/>
        <v>93.683431506573982</v>
      </c>
      <c r="BT257" s="22">
        <f t="shared" si="557"/>
        <v>-211.95343150657396</v>
      </c>
      <c r="BU257" s="22">
        <f t="shared" si="557"/>
        <v>-10.477711530030604</v>
      </c>
      <c r="BV257" s="22">
        <f t="shared" si="557"/>
        <v>-41.512288469969292</v>
      </c>
      <c r="BW257" s="22">
        <f t="shared" si="557"/>
        <v>25.925317500101698</v>
      </c>
      <c r="BX257" s="22">
        <f t="shared" si="557"/>
        <v>-137.36531750010164</v>
      </c>
      <c r="BY257" s="22">
        <f t="shared" si="557"/>
        <v>106.36133761912811</v>
      </c>
      <c r="BZ257" s="22">
        <f t="shared" si="557"/>
        <v>-93.09133761912824</v>
      </c>
      <c r="CA257" s="22">
        <f t="shared" si="557"/>
        <v>7.0961822696069703</v>
      </c>
      <c r="CB257" s="22">
        <f t="shared" si="557"/>
        <v>-36.086182269606951</v>
      </c>
      <c r="CC257" s="22">
        <f t="shared" si="557"/>
        <v>8.1795171294969578</v>
      </c>
      <c r="CD257" s="22">
        <f t="shared" si="557"/>
        <v>-36.159517129496976</v>
      </c>
      <c r="CE257" s="22">
        <f t="shared" ref="CE257:CJ257" si="558">CE255-CE256</f>
        <v>7.956279666819114</v>
      </c>
      <c r="CF257" s="22">
        <f t="shared" si="558"/>
        <v>-4.3662796668192811</v>
      </c>
      <c r="CG257" s="22">
        <f t="shared" si="558"/>
        <v>-89.802706591080323</v>
      </c>
      <c r="CH257" s="22">
        <f t="shared" si="558"/>
        <v>315.17270659108044</v>
      </c>
      <c r="CI257" s="22">
        <f t="shared" si="558"/>
        <v>-45.08911017295361</v>
      </c>
      <c r="CJ257" s="22">
        <f t="shared" si="558"/>
        <v>-75.930889827046769</v>
      </c>
      <c r="CK257" s="22">
        <f t="shared" ref="CK257:DB257" si="559">CK255-CK256</f>
        <v>10.632166679386842</v>
      </c>
      <c r="CL257" s="22">
        <f t="shared" si="559"/>
        <v>121.88783332061359</v>
      </c>
      <c r="CM257" s="21">
        <f t="shared" si="559"/>
        <v>-61.965411088844803</v>
      </c>
      <c r="CN257" s="21">
        <f t="shared" si="559"/>
        <v>-11.332431415311021</v>
      </c>
      <c r="CO257" s="21">
        <f t="shared" si="559"/>
        <v>-13.49733637358645</v>
      </c>
      <c r="CP257" s="21">
        <f t="shared" si="559"/>
        <v>-15.768542076021959</v>
      </c>
      <c r="CQ257" s="21">
        <f t="shared" si="559"/>
        <v>-19.288247458526257</v>
      </c>
      <c r="CR257" s="21">
        <f t="shared" si="559"/>
        <v>-19.591248072988947</v>
      </c>
      <c r="CS257" s="21">
        <f t="shared" si="559"/>
        <v>-6.4712059561352362</v>
      </c>
      <c r="CT257" s="21">
        <f t="shared" si="559"/>
        <v>-4.2607934983755058</v>
      </c>
      <c r="CU257" s="21">
        <f t="shared" si="559"/>
        <v>-0.7557452159398963</v>
      </c>
      <c r="CV257" s="21">
        <f t="shared" si="559"/>
        <v>-0.75650096115555243</v>
      </c>
      <c r="CW257" s="21">
        <f t="shared" si="559"/>
        <v>-0.7572574621167405</v>
      </c>
      <c r="CX257" s="21">
        <f t="shared" si="559"/>
        <v>-0.75801471957902322</v>
      </c>
      <c r="CY257" s="21">
        <f t="shared" si="559"/>
        <v>-0.75877273429864545</v>
      </c>
      <c r="CZ257" s="21">
        <f t="shared" si="559"/>
        <v>-0.75953150703230676</v>
      </c>
      <c r="DA257" s="21">
        <f t="shared" si="559"/>
        <v>-0.76029103854034474</v>
      </c>
      <c r="DB257" s="21">
        <f t="shared" si="559"/>
        <v>-0.76105132957809474</v>
      </c>
      <c r="DE257" s="126"/>
      <c r="DF257" s="22">
        <v>-26.786308541469111</v>
      </c>
    </row>
    <row r="258" spans="1:110" s="22" customFormat="1" x14ac:dyDescent="0.2">
      <c r="A258" s="22" t="s">
        <v>90</v>
      </c>
      <c r="C258" s="22">
        <f t="shared" ref="C258:W258" si="560">C254+C257</f>
        <v>29.35076820000004</v>
      </c>
      <c r="D258" s="22">
        <f>D254+D257</f>
        <v>18.127466799999983</v>
      </c>
      <c r="E258" s="22">
        <f t="shared" si="560"/>
        <v>-7.1384033000000002</v>
      </c>
      <c r="F258" s="22">
        <f t="shared" si="560"/>
        <v>15.403505700000022</v>
      </c>
      <c r="G258" s="22">
        <f t="shared" si="560"/>
        <v>11.642377800000034</v>
      </c>
      <c r="H258" s="22">
        <f t="shared" si="560"/>
        <v>-51.166423299999963</v>
      </c>
      <c r="I258" s="22">
        <f t="shared" si="560"/>
        <v>20.217293000000083</v>
      </c>
      <c r="J258" s="22">
        <f>J254+J257</f>
        <v>66.246080499999948</v>
      </c>
      <c r="K258" s="22">
        <f t="shared" si="560"/>
        <v>28.780889199999912</v>
      </c>
      <c r="L258" s="22">
        <f t="shared" si="560"/>
        <v>22.459723700000154</v>
      </c>
      <c r="M258" s="22">
        <f t="shared" si="560"/>
        <v>150.72999999999985</v>
      </c>
      <c r="N258" s="22">
        <f t="shared" si="560"/>
        <v>97.340000000000188</v>
      </c>
      <c r="O258" s="22">
        <f t="shared" si="560"/>
        <v>108.00999999999996</v>
      </c>
      <c r="P258" s="22">
        <f t="shared" si="560"/>
        <v>79.700000000000131</v>
      </c>
      <c r="Q258" s="22">
        <f t="shared" si="560"/>
        <v>86.589999999999762</v>
      </c>
      <c r="R258" s="22">
        <f t="shared" si="560"/>
        <v>82.210000000000093</v>
      </c>
      <c r="S258" s="22">
        <f t="shared" si="560"/>
        <v>46.150000000000134</v>
      </c>
      <c r="T258" s="22">
        <f t="shared" si="560"/>
        <v>115.09000000000013</v>
      </c>
      <c r="U258" s="22">
        <f t="shared" si="560"/>
        <v>125.99000000000002</v>
      </c>
      <c r="V258" s="22">
        <f t="shared" si="560"/>
        <v>81.800000000000182</v>
      </c>
      <c r="W258" s="22">
        <f t="shared" si="560"/>
        <v>119.88999999999996</v>
      </c>
      <c r="X258" s="22">
        <f t="shared" ref="X258:AE258" si="561">X254+X257</f>
        <v>110.67000000000039</v>
      </c>
      <c r="Y258" s="22">
        <f t="shared" si="561"/>
        <v>79.07000000000005</v>
      </c>
      <c r="Z258" s="22">
        <f t="shared" si="561"/>
        <v>374.43999999999937</v>
      </c>
      <c r="AA258" s="22">
        <f t="shared" ref="AA258" si="562">AA254+AA257</f>
        <v>191.29999999999995</v>
      </c>
      <c r="AB258" s="21">
        <f t="shared" si="561"/>
        <v>179.80693032014705</v>
      </c>
      <c r="AC258" s="21">
        <f t="shared" si="561"/>
        <v>291.2639809682484</v>
      </c>
      <c r="AD258" s="21">
        <f t="shared" si="561"/>
        <v>374.20833523849183</v>
      </c>
      <c r="AE258" s="21">
        <f t="shared" si="561"/>
        <v>408.68247700078211</v>
      </c>
      <c r="AI258" s="22">
        <f>AI254+AI257</f>
        <v>29.159999999999958</v>
      </c>
      <c r="AJ258" s="22">
        <f>AJ254+AJ257</f>
        <v>-207.29000000000002</v>
      </c>
      <c r="AK258" s="22">
        <f>AK254+AK257</f>
        <v>82.431336410309655</v>
      </c>
      <c r="AL258" s="22">
        <f>AL254+AL257</f>
        <v>-30.631336410309618</v>
      </c>
      <c r="AM258" s="22">
        <f>AM254+AM257</f>
        <v>15.287960588926747</v>
      </c>
      <c r="AN258" s="22">
        <f t="shared" ref="AN258:CD258" si="563">AN254+AN257</f>
        <v>33.162039411073145</v>
      </c>
      <c r="AO258" s="22">
        <f t="shared" si="563"/>
        <v>34.356617380466744</v>
      </c>
      <c r="AP258" s="22">
        <f t="shared" si="563"/>
        <v>20.063382619533378</v>
      </c>
      <c r="AQ258" s="22">
        <f t="shared" si="563"/>
        <v>24.714127456819583</v>
      </c>
      <c r="AR258" s="22">
        <f t="shared" si="563"/>
        <v>11.5158725431805</v>
      </c>
      <c r="AS258" s="22">
        <f t="shared" si="563"/>
        <v>35.024967232125917</v>
      </c>
      <c r="AT258" s="22">
        <f t="shared" si="563"/>
        <v>-3.6849672321259774</v>
      </c>
      <c r="AU258" s="22">
        <f t="shared" si="563"/>
        <v>32.067949461474711</v>
      </c>
      <c r="AV258" s="22">
        <f t="shared" si="563"/>
        <v>-7.83794946147475</v>
      </c>
      <c r="AW258" s="22">
        <f t="shared" si="563"/>
        <v>87.269358136751464</v>
      </c>
      <c r="AX258" s="22">
        <f t="shared" si="563"/>
        <v>-40.999358136751489</v>
      </c>
      <c r="AY258" s="22">
        <f t="shared" si="563"/>
        <v>8.8914233491484538</v>
      </c>
      <c r="AZ258" s="22">
        <f t="shared" si="563"/>
        <v>22.408576650851735</v>
      </c>
      <c r="BA258" s="22">
        <f t="shared" si="563"/>
        <v>120.03082000000003</v>
      </c>
      <c r="BB258" s="22">
        <f t="shared" si="563"/>
        <v>-72.000820000000047</v>
      </c>
      <c r="BC258" s="22">
        <f t="shared" si="563"/>
        <v>22.259973496769859</v>
      </c>
      <c r="BD258" s="22">
        <f t="shared" si="563"/>
        <v>42.570026503230196</v>
      </c>
      <c r="BE258" s="22">
        <f t="shared" si="563"/>
        <v>-38.600146547776255</v>
      </c>
      <c r="BF258" s="22">
        <f t="shared" si="563"/>
        <v>31.260146547776088</v>
      </c>
      <c r="BG258" s="22">
        <f t="shared" si="563"/>
        <v>-30.576584763723485</v>
      </c>
      <c r="BH258" s="22">
        <f t="shared" si="563"/>
        <v>94.946584763723607</v>
      </c>
      <c r="BI258" s="22">
        <f t="shared" si="563"/>
        <v>57.678074089799324</v>
      </c>
      <c r="BJ258" s="22">
        <f t="shared" si="563"/>
        <v>-10.688074089799439</v>
      </c>
      <c r="BK258" s="22">
        <f t="shared" si="563"/>
        <v>52.32904441122875</v>
      </c>
      <c r="BL258" s="22">
        <f t="shared" si="563"/>
        <v>41.280955588771285</v>
      </c>
      <c r="BM258" s="22">
        <f t="shared" si="563"/>
        <v>78.357468268777311</v>
      </c>
      <c r="BN258" s="22">
        <f t="shared" si="563"/>
        <v>-66.537468268777246</v>
      </c>
      <c r="BO258" s="22">
        <f t="shared" si="563"/>
        <v>388.59618630136976</v>
      </c>
      <c r="BP258" s="22">
        <f t="shared" si="563"/>
        <v>-312.70618630136983</v>
      </c>
      <c r="BQ258" s="22">
        <f t="shared" si="563"/>
        <v>-175.91622263474596</v>
      </c>
      <c r="BR258" s="22">
        <f t="shared" si="563"/>
        <v>210.99622263474583</v>
      </c>
      <c r="BS258" s="22">
        <f t="shared" si="563"/>
        <v>125.87343150657398</v>
      </c>
      <c r="BT258" s="22">
        <f t="shared" si="563"/>
        <v>-163.97343150657406</v>
      </c>
      <c r="BU258" s="22">
        <f t="shared" si="563"/>
        <v>51.2522884699694</v>
      </c>
      <c r="BV258" s="22">
        <f t="shared" si="563"/>
        <v>26.867711530030789</v>
      </c>
      <c r="BW258" s="22">
        <f t="shared" si="563"/>
        <v>96.955317500101685</v>
      </c>
      <c r="BX258" s="22">
        <f t="shared" si="563"/>
        <v>-84.985317500101615</v>
      </c>
      <c r="BY258" s="22">
        <f t="shared" si="563"/>
        <v>149.03133761912812</v>
      </c>
      <c r="BZ258" s="22">
        <f t="shared" si="563"/>
        <v>-49.241337619128252</v>
      </c>
      <c r="CA258" s="22">
        <f t="shared" si="563"/>
        <v>41.506182269606995</v>
      </c>
      <c r="CB258" s="22">
        <f t="shared" si="563"/>
        <v>-3.3561822696069825</v>
      </c>
      <c r="CC258" s="22">
        <f t="shared" si="563"/>
        <v>38.88951712949698</v>
      </c>
      <c r="CD258" s="22">
        <f t="shared" si="563"/>
        <v>3.6204828705029897</v>
      </c>
      <c r="CE258" s="22">
        <f t="shared" ref="CE258:CJ258" si="564">CE254+CE257</f>
        <v>50.236279666819101</v>
      </c>
      <c r="CF258" s="22">
        <f t="shared" si="564"/>
        <v>28.953720333180769</v>
      </c>
      <c r="CG258" s="22">
        <f t="shared" si="564"/>
        <v>-58.482706591080373</v>
      </c>
      <c r="CH258" s="22">
        <f t="shared" si="564"/>
        <v>354.54270659108045</v>
      </c>
      <c r="CI258" s="22">
        <f t="shared" si="564"/>
        <v>-7.0791101729535839</v>
      </c>
      <c r="CJ258" s="22">
        <f t="shared" si="564"/>
        <v>-42.340889827046873</v>
      </c>
      <c r="CK258" s="22">
        <f t="shared" ref="CK258:DB258" si="565">CK254+CK257</f>
        <v>59.622166679386837</v>
      </c>
      <c r="CL258" s="22">
        <f t="shared" si="565"/>
        <v>179.25783332061351</v>
      </c>
      <c r="CM258" s="21">
        <f t="shared" si="565"/>
        <v>1.6092414835021884</v>
      </c>
      <c r="CN258" s="21">
        <f t="shared" si="565"/>
        <v>57.555233951230647</v>
      </c>
      <c r="CO258" s="21">
        <f t="shared" si="565"/>
        <v>60.737046635789525</v>
      </c>
      <c r="CP258" s="21">
        <f t="shared" si="565"/>
        <v>61.745408249624674</v>
      </c>
      <c r="CQ258" s="21">
        <f t="shared" si="565"/>
        <v>58.837582420619412</v>
      </c>
      <c r="CR258" s="21">
        <f t="shared" si="565"/>
        <v>63.809614066502093</v>
      </c>
      <c r="CS258" s="21">
        <f t="shared" si="565"/>
        <v>81.311780781657447</v>
      </c>
      <c r="CT258" s="21">
        <f t="shared" si="565"/>
        <v>87.305003699468742</v>
      </c>
      <c r="CU258" s="21">
        <f t="shared" si="565"/>
        <v>89.648195527522873</v>
      </c>
      <c r="CV258" s="21">
        <f t="shared" si="565"/>
        <v>92.547591032797015</v>
      </c>
      <c r="CW258" s="21">
        <f t="shared" si="565"/>
        <v>94.991203681599018</v>
      </c>
      <c r="CX258" s="21">
        <f t="shared" si="565"/>
        <v>97.021344996572665</v>
      </c>
      <c r="CY258" s="21">
        <f t="shared" si="565"/>
        <v>98.703455904240244</v>
      </c>
      <c r="CZ258" s="21">
        <f t="shared" si="565"/>
        <v>101.08702594615784</v>
      </c>
      <c r="DA258" s="21">
        <f t="shared" si="565"/>
        <v>103.34188982257696</v>
      </c>
      <c r="DB258" s="21">
        <f t="shared" si="565"/>
        <v>105.55010532780716</v>
      </c>
      <c r="DE258" s="126"/>
      <c r="DF258" s="22">
        <v>14.90793350171915</v>
      </c>
    </row>
    <row r="259" spans="1:110" s="23" customFormat="1" x14ac:dyDescent="0.2">
      <c r="AB259" s="24"/>
      <c r="AC259" s="24"/>
      <c r="AD259" s="24"/>
      <c r="AE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E259" s="123"/>
    </row>
    <row r="260" spans="1:110" s="22" customFormat="1" x14ac:dyDescent="0.2">
      <c r="A260" s="22" t="s">
        <v>91</v>
      </c>
      <c r="C260" s="22">
        <f t="shared" ref="C260:W260" si="566">C261+C262</f>
        <v>-15.52580429999999</v>
      </c>
      <c r="D260" s="22">
        <f>D261+D262</f>
        <v>-47.245182099999994</v>
      </c>
      <c r="E260" s="22">
        <f t="shared" si="566"/>
        <v>-64.051442000000009</v>
      </c>
      <c r="F260" s="22">
        <f t="shared" si="566"/>
        <v>-32.462656699999997</v>
      </c>
      <c r="G260" s="22">
        <f t="shared" si="566"/>
        <v>-167.88438330000002</v>
      </c>
      <c r="H260" s="22">
        <f t="shared" si="566"/>
        <v>-297.35434309999994</v>
      </c>
      <c r="I260" s="22">
        <f t="shared" si="566"/>
        <v>-106.37280920000001</v>
      </c>
      <c r="J260" s="22">
        <f t="shared" si="566"/>
        <v>-29.860759100000156</v>
      </c>
      <c r="K260" s="22">
        <f t="shared" si="566"/>
        <v>-25.49889779999997</v>
      </c>
      <c r="L260" s="22">
        <f t="shared" si="566"/>
        <v>-38.479478999999941</v>
      </c>
      <c r="M260" s="22">
        <f t="shared" si="566"/>
        <v>-150.95000000000016</v>
      </c>
      <c r="N260" s="22">
        <f t="shared" si="566"/>
        <v>-34.069999999999936</v>
      </c>
      <c r="O260" s="22">
        <f t="shared" si="566"/>
        <v>-34.050000000000068</v>
      </c>
      <c r="P260" s="22">
        <f t="shared" si="566"/>
        <v>-92.710000000000036</v>
      </c>
      <c r="Q260" s="22">
        <f t="shared" si="566"/>
        <v>-109.44</v>
      </c>
      <c r="R260" s="22">
        <f t="shared" si="566"/>
        <v>-139.29999999999995</v>
      </c>
      <c r="S260" s="22">
        <f t="shared" si="566"/>
        <v>-120.4799999999999</v>
      </c>
      <c r="T260" s="22">
        <f t="shared" si="566"/>
        <v>-31.720000000000141</v>
      </c>
      <c r="U260" s="22">
        <f t="shared" si="566"/>
        <v>-46.629999999999882</v>
      </c>
      <c r="V260" s="22">
        <f t="shared" si="566"/>
        <v>-48.090000000000089</v>
      </c>
      <c r="W260" s="22">
        <f t="shared" si="566"/>
        <v>-147.82000000000005</v>
      </c>
      <c r="X260" s="22">
        <f t="shared" ref="X260:AE260" si="567">X261+X262</f>
        <v>-351.84</v>
      </c>
      <c r="Y260" s="22">
        <f t="shared" si="567"/>
        <v>-377.02000000000021</v>
      </c>
      <c r="Z260" s="22">
        <f t="shared" si="567"/>
        <v>-342.53</v>
      </c>
      <c r="AA260" s="22">
        <f t="shared" ref="AA260" si="568">AA261+AA262</f>
        <v>-255.26000000000005</v>
      </c>
      <c r="AB260" s="21">
        <f t="shared" si="567"/>
        <v>-158.15999999999985</v>
      </c>
      <c r="AC260" s="21">
        <f t="shared" si="567"/>
        <v>0</v>
      </c>
      <c r="AD260" s="21">
        <f t="shared" si="567"/>
        <v>0</v>
      </c>
      <c r="AE260" s="21">
        <f t="shared" si="567"/>
        <v>0</v>
      </c>
      <c r="AI260" s="22">
        <f>AI261+AI262</f>
        <v>-19.39</v>
      </c>
      <c r="AJ260" s="22">
        <f>AJ261+AJ262</f>
        <v>-646.5200000000001</v>
      </c>
      <c r="AK260" s="22">
        <f>AK261+AK262</f>
        <v>-19.450000000000045</v>
      </c>
      <c r="AL260" s="22">
        <f>AL261+AL262</f>
        <v>8.8800000000001091</v>
      </c>
      <c r="AM260" s="22">
        <f>AM261+AM262</f>
        <v>-18.669999999999959</v>
      </c>
      <c r="AN260" s="22">
        <f t="shared" ref="AN260:CD260" si="569">AN261+AN262</f>
        <v>4.7400000000000091</v>
      </c>
      <c r="AO260" s="22">
        <f t="shared" si="569"/>
        <v>-18.889999999999986</v>
      </c>
      <c r="AP260" s="22">
        <f t="shared" si="569"/>
        <v>-1.2100000000000364</v>
      </c>
      <c r="AQ260" s="22">
        <f t="shared" si="569"/>
        <v>-18.940000000000055</v>
      </c>
      <c r="AR260" s="22">
        <f t="shared" si="569"/>
        <v>-17.67999999999995</v>
      </c>
      <c r="AS260" s="22">
        <f t="shared" si="569"/>
        <v>-19.440000000000055</v>
      </c>
      <c r="AT260" s="22">
        <f t="shared" si="569"/>
        <v>-36.670000000000073</v>
      </c>
      <c r="AU260" s="22">
        <f t="shared" si="569"/>
        <v>-20.370000000000005</v>
      </c>
      <c r="AV260" s="22">
        <f t="shared" si="569"/>
        <v>9.6300000000001091</v>
      </c>
      <c r="AW260" s="22">
        <f t="shared" si="569"/>
        <v>-18.559999999999945</v>
      </c>
      <c r="AX260" s="22">
        <f t="shared" si="569"/>
        <v>-80.1400000000001</v>
      </c>
      <c r="AY260" s="22">
        <f t="shared" si="569"/>
        <v>-19.42999999999995</v>
      </c>
      <c r="AZ260" s="22">
        <f t="shared" si="569"/>
        <v>-42.93999999999987</v>
      </c>
      <c r="BA260" s="22">
        <f t="shared" si="569"/>
        <v>-17.059999999999945</v>
      </c>
      <c r="BB260" s="22">
        <f t="shared" si="569"/>
        <v>-59.84999999999998</v>
      </c>
      <c r="BC260" s="22">
        <f t="shared" si="569"/>
        <v>-19.120000000000005</v>
      </c>
      <c r="BD260" s="22">
        <f t="shared" si="569"/>
        <v>-47.969999999999956</v>
      </c>
      <c r="BE260" s="22">
        <f t="shared" si="569"/>
        <v>-19.480000000000018</v>
      </c>
      <c r="BF260" s="22">
        <f t="shared" si="569"/>
        <v>-33.869999999999962</v>
      </c>
      <c r="BG260" s="22">
        <f t="shared" si="569"/>
        <v>-20.049999999999955</v>
      </c>
      <c r="BH260" s="22">
        <f t="shared" si="569"/>
        <v>0.44999999999999929</v>
      </c>
      <c r="BI260" s="22">
        <f t="shared" si="569"/>
        <v>-20.370000000000005</v>
      </c>
      <c r="BJ260" s="22">
        <f t="shared" si="569"/>
        <v>8.2499999999999325</v>
      </c>
      <c r="BK260" s="22">
        <f t="shared" si="569"/>
        <v>-20.159999999999968</v>
      </c>
      <c r="BL260" s="22">
        <f t="shared" si="569"/>
        <v>-6.5299999999999727</v>
      </c>
      <c r="BM260" s="22">
        <f t="shared" si="569"/>
        <v>-20.470000000000027</v>
      </c>
      <c r="BN260" s="22">
        <f t="shared" si="569"/>
        <v>0.52999999999997272</v>
      </c>
      <c r="BO260" s="22">
        <f t="shared" si="569"/>
        <v>-20.480000000000018</v>
      </c>
      <c r="BP260" s="22">
        <f t="shared" si="569"/>
        <v>5.699999999999986</v>
      </c>
      <c r="BQ260" s="22">
        <f t="shared" si="569"/>
        <v>-20.330000000000041</v>
      </c>
      <c r="BR260" s="22">
        <f t="shared" si="569"/>
        <v>-12.979999999999905</v>
      </c>
      <c r="BS260" s="22">
        <f t="shared" si="569"/>
        <v>-19.299999999999955</v>
      </c>
      <c r="BT260" s="22">
        <f t="shared" si="569"/>
        <v>-19.220000000000141</v>
      </c>
      <c r="BU260" s="22">
        <f t="shared" si="569"/>
        <v>-17.990000000000009</v>
      </c>
      <c r="BV260" s="22">
        <f t="shared" si="569"/>
        <v>-87.819999999999936</v>
      </c>
      <c r="BW260" s="22">
        <f t="shared" si="569"/>
        <v>-18.5</v>
      </c>
      <c r="BX260" s="22">
        <f t="shared" si="569"/>
        <v>-188.97000000000014</v>
      </c>
      <c r="BY260" s="22">
        <f t="shared" si="569"/>
        <v>-25.120000000000005</v>
      </c>
      <c r="BZ260" s="22">
        <f t="shared" si="569"/>
        <v>-120.34</v>
      </c>
      <c r="CA260" s="22">
        <f t="shared" si="569"/>
        <v>-21.639999999999986</v>
      </c>
      <c r="CB260" s="22">
        <f t="shared" si="569"/>
        <v>-190.63</v>
      </c>
      <c r="CC260" s="22">
        <f t="shared" si="569"/>
        <v>-26.900000000000091</v>
      </c>
      <c r="CD260" s="22">
        <f t="shared" si="569"/>
        <v>-139.43999999999983</v>
      </c>
      <c r="CE260" s="22">
        <f t="shared" ref="CE260:CJ260" si="570">CE261+CE262</f>
        <v>-28</v>
      </c>
      <c r="CF260" s="22">
        <f t="shared" si="570"/>
        <v>-197.96999999999989</v>
      </c>
      <c r="CG260" s="22">
        <f t="shared" si="570"/>
        <v>-28.869999999999891</v>
      </c>
      <c r="CH260" s="22">
        <f t="shared" si="570"/>
        <v>-88.500000000000142</v>
      </c>
      <c r="CI260" s="22">
        <f t="shared" si="570"/>
        <v>0</v>
      </c>
      <c r="CJ260" s="22">
        <f t="shared" si="570"/>
        <v>-102.12999999999967</v>
      </c>
      <c r="CK260" s="22">
        <f t="shared" ref="CK260:DB260" si="571">CK261+CK262</f>
        <v>0</v>
      </c>
      <c r="CL260" s="22">
        <f t="shared" si="571"/>
        <v>-151.29000000000002</v>
      </c>
      <c r="CM260" s="21">
        <f t="shared" si="571"/>
        <v>-40.000000000000227</v>
      </c>
      <c r="CN260" s="21">
        <f t="shared" si="571"/>
        <v>-40</v>
      </c>
      <c r="CO260" s="21">
        <f t="shared" si="571"/>
        <v>-40</v>
      </c>
      <c r="CP260" s="21">
        <f t="shared" si="571"/>
        <v>-40</v>
      </c>
      <c r="CQ260" s="21">
        <f t="shared" si="571"/>
        <v>0</v>
      </c>
      <c r="CR260" s="21">
        <f t="shared" si="571"/>
        <v>0</v>
      </c>
      <c r="CS260" s="21">
        <f t="shared" si="571"/>
        <v>0</v>
      </c>
      <c r="CT260" s="21">
        <f t="shared" si="571"/>
        <v>0</v>
      </c>
      <c r="CU260" s="21">
        <f t="shared" si="571"/>
        <v>0</v>
      </c>
      <c r="CV260" s="21">
        <f t="shared" si="571"/>
        <v>0</v>
      </c>
      <c r="CW260" s="21">
        <f t="shared" si="571"/>
        <v>0</v>
      </c>
      <c r="CX260" s="21">
        <f t="shared" si="571"/>
        <v>0</v>
      </c>
      <c r="CY260" s="21">
        <f t="shared" si="571"/>
        <v>0</v>
      </c>
      <c r="CZ260" s="21">
        <f t="shared" si="571"/>
        <v>0</v>
      </c>
      <c r="DA260" s="21">
        <f t="shared" si="571"/>
        <v>0</v>
      </c>
      <c r="DB260" s="21">
        <f t="shared" si="571"/>
        <v>0</v>
      </c>
      <c r="DE260" s="126"/>
      <c r="DF260" s="22">
        <v>0</v>
      </c>
    </row>
    <row r="261" spans="1:110" s="23" customFormat="1" x14ac:dyDescent="0.2">
      <c r="A261" s="23" t="s">
        <v>92</v>
      </c>
      <c r="C261" s="23">
        <f t="shared" ref="C261:AE261" si="572">B194-C194</f>
        <v>0.1487001</v>
      </c>
      <c r="D261" s="23">
        <f t="shared" si="572"/>
        <v>0</v>
      </c>
      <c r="E261" s="23">
        <f t="shared" si="572"/>
        <v>5.9999999999999995E-4</v>
      </c>
      <c r="F261" s="23">
        <f t="shared" si="572"/>
        <v>0</v>
      </c>
      <c r="G261" s="23">
        <f t="shared" si="572"/>
        <v>0</v>
      </c>
      <c r="H261" s="23">
        <f t="shared" si="572"/>
        <v>0</v>
      </c>
      <c r="I261" s="23">
        <f t="shared" si="572"/>
        <v>-6</v>
      </c>
      <c r="J261" s="23">
        <f t="shared" si="572"/>
        <v>-4.1400000000000325E-2</v>
      </c>
      <c r="K261" s="23">
        <f t="shared" si="572"/>
        <v>-1.806</v>
      </c>
      <c r="L261" s="23">
        <f t="shared" si="572"/>
        <v>-2.5999999999992696E-3</v>
      </c>
      <c r="M261" s="23">
        <f t="shared" si="572"/>
        <v>0</v>
      </c>
      <c r="N261" s="23">
        <f t="shared" si="572"/>
        <v>0</v>
      </c>
      <c r="O261" s="23">
        <f t="shared" si="572"/>
        <v>0</v>
      </c>
      <c r="P261" s="23">
        <f t="shared" si="572"/>
        <v>2</v>
      </c>
      <c r="Q261" s="23">
        <f t="shared" si="572"/>
        <v>0</v>
      </c>
      <c r="R261" s="23">
        <f t="shared" si="572"/>
        <v>0</v>
      </c>
      <c r="S261" s="23">
        <f t="shared" si="572"/>
        <v>0</v>
      </c>
      <c r="T261" s="23">
        <f t="shared" si="572"/>
        <v>0</v>
      </c>
      <c r="U261" s="23">
        <f t="shared" si="572"/>
        <v>0</v>
      </c>
      <c r="V261" s="23">
        <f t="shared" si="572"/>
        <v>5.81</v>
      </c>
      <c r="W261" s="23">
        <f t="shared" si="572"/>
        <v>-0.75</v>
      </c>
      <c r="X261" s="23">
        <f t="shared" si="572"/>
        <v>4.0000000000000036E-2</v>
      </c>
      <c r="Y261" s="23">
        <f t="shared" si="572"/>
        <v>0</v>
      </c>
      <c r="Z261" s="23">
        <f t="shared" si="572"/>
        <v>0</v>
      </c>
      <c r="AA261" s="23">
        <f t="shared" ref="AA261" si="573">Z194-AA194</f>
        <v>-23.82</v>
      </c>
      <c r="AB261" s="24">
        <f t="shared" si="572"/>
        <v>0</v>
      </c>
      <c r="AC261" s="24">
        <f t="shared" si="572"/>
        <v>0</v>
      </c>
      <c r="AD261" s="24">
        <f t="shared" si="572"/>
        <v>0</v>
      </c>
      <c r="AE261" s="24">
        <f t="shared" si="572"/>
        <v>0</v>
      </c>
      <c r="AI261" s="23">
        <f t="shared" ref="AI261:BN261" si="574">AH194-AI194</f>
        <v>0</v>
      </c>
      <c r="AJ261" s="23">
        <f t="shared" si="574"/>
        <v>-7.85</v>
      </c>
      <c r="AK261" s="23">
        <f t="shared" si="574"/>
        <v>0</v>
      </c>
      <c r="AL261" s="23">
        <f t="shared" si="574"/>
        <v>0</v>
      </c>
      <c r="AM261" s="23">
        <f t="shared" si="574"/>
        <v>0</v>
      </c>
      <c r="AN261" s="23">
        <f t="shared" si="574"/>
        <v>0</v>
      </c>
      <c r="AO261" s="23">
        <f t="shared" si="574"/>
        <v>0</v>
      </c>
      <c r="AP261" s="23">
        <f t="shared" si="574"/>
        <v>0</v>
      </c>
      <c r="AQ261" s="23">
        <f t="shared" si="574"/>
        <v>0</v>
      </c>
      <c r="AR261" s="23">
        <f t="shared" si="574"/>
        <v>0</v>
      </c>
      <c r="AS261" s="23">
        <f t="shared" si="574"/>
        <v>0</v>
      </c>
      <c r="AT261" s="23">
        <f t="shared" si="574"/>
        <v>2</v>
      </c>
      <c r="AU261" s="23">
        <f t="shared" si="574"/>
        <v>0</v>
      </c>
      <c r="AV261" s="23">
        <f t="shared" si="574"/>
        <v>0</v>
      </c>
      <c r="AW261" s="23">
        <f t="shared" si="574"/>
        <v>0</v>
      </c>
      <c r="AX261" s="23">
        <f t="shared" si="574"/>
        <v>0</v>
      </c>
      <c r="AY261" s="23">
        <f t="shared" si="574"/>
        <v>0</v>
      </c>
      <c r="AZ261" s="23">
        <f t="shared" si="574"/>
        <v>-5.0000000000000711E-2</v>
      </c>
      <c r="BA261" s="23">
        <f t="shared" si="574"/>
        <v>0</v>
      </c>
      <c r="BB261" s="23">
        <f t="shared" si="574"/>
        <v>5.0000000000000711E-2</v>
      </c>
      <c r="BC261" s="23">
        <f t="shared" si="574"/>
        <v>0</v>
      </c>
      <c r="BD261" s="23">
        <f t="shared" si="574"/>
        <v>-5.0000000000000711E-2</v>
      </c>
      <c r="BE261" s="23">
        <f t="shared" si="574"/>
        <v>0</v>
      </c>
      <c r="BF261" s="23">
        <f t="shared" si="574"/>
        <v>5.0000000000000711E-2</v>
      </c>
      <c r="BG261" s="23">
        <f t="shared" si="574"/>
        <v>0</v>
      </c>
      <c r="BH261" s="23">
        <f t="shared" si="574"/>
        <v>-5.0000000000000711E-2</v>
      </c>
      <c r="BI261" s="23">
        <f t="shared" si="574"/>
        <v>0</v>
      </c>
      <c r="BJ261" s="23">
        <f t="shared" si="574"/>
        <v>5.0000000000000711E-2</v>
      </c>
      <c r="BK261" s="23">
        <f t="shared" si="574"/>
        <v>0</v>
      </c>
      <c r="BL261" s="23">
        <f t="shared" si="574"/>
        <v>0</v>
      </c>
      <c r="BM261" s="23">
        <f t="shared" si="574"/>
        <v>0</v>
      </c>
      <c r="BN261" s="23">
        <f t="shared" si="574"/>
        <v>0</v>
      </c>
      <c r="BO261" s="23">
        <f t="shared" ref="BO261:CT261" si="575">BN194-BO194</f>
        <v>0</v>
      </c>
      <c r="BP261" s="23">
        <f t="shared" si="575"/>
        <v>5.81</v>
      </c>
      <c r="BQ261" s="23">
        <f t="shared" si="575"/>
        <v>0</v>
      </c>
      <c r="BR261" s="23">
        <f t="shared" si="575"/>
        <v>0</v>
      </c>
      <c r="BS261" s="23">
        <f t="shared" si="575"/>
        <v>0</v>
      </c>
      <c r="BT261" s="23">
        <f t="shared" si="575"/>
        <v>0</v>
      </c>
      <c r="BU261" s="23">
        <f t="shared" si="575"/>
        <v>0</v>
      </c>
      <c r="BV261" s="23">
        <f t="shared" si="575"/>
        <v>-0.75</v>
      </c>
      <c r="BW261" s="23">
        <f t="shared" si="575"/>
        <v>0</v>
      </c>
      <c r="BX261" s="23">
        <f t="shared" si="575"/>
        <v>-30</v>
      </c>
      <c r="BY261" s="23">
        <f t="shared" si="575"/>
        <v>0</v>
      </c>
      <c r="BZ261" s="23">
        <f t="shared" si="575"/>
        <v>30.04</v>
      </c>
      <c r="CA261" s="23">
        <f t="shared" si="575"/>
        <v>0</v>
      </c>
      <c r="CB261" s="23">
        <f t="shared" si="575"/>
        <v>0</v>
      </c>
      <c r="CC261" s="23">
        <f t="shared" si="575"/>
        <v>0</v>
      </c>
      <c r="CD261" s="23">
        <f t="shared" si="575"/>
        <v>0</v>
      </c>
      <c r="CE261" s="23">
        <f t="shared" si="575"/>
        <v>0</v>
      </c>
      <c r="CF261" s="23">
        <f t="shared" si="575"/>
        <v>-45.35</v>
      </c>
      <c r="CG261" s="23">
        <f t="shared" si="575"/>
        <v>0</v>
      </c>
      <c r="CH261" s="23">
        <f t="shared" si="575"/>
        <v>45.35</v>
      </c>
      <c r="CI261" s="23">
        <f t="shared" si="575"/>
        <v>0</v>
      </c>
      <c r="CJ261" s="23">
        <f t="shared" si="575"/>
        <v>-10.01</v>
      </c>
      <c r="CK261" s="23">
        <f t="shared" si="575"/>
        <v>0</v>
      </c>
      <c r="CL261" s="23">
        <f t="shared" si="575"/>
        <v>-13.81</v>
      </c>
      <c r="CM261" s="24">
        <f t="shared" si="575"/>
        <v>0</v>
      </c>
      <c r="CN261" s="24">
        <f t="shared" si="575"/>
        <v>0</v>
      </c>
      <c r="CO261" s="24">
        <f t="shared" si="575"/>
        <v>0</v>
      </c>
      <c r="CP261" s="24">
        <f t="shared" si="575"/>
        <v>0</v>
      </c>
      <c r="CQ261" s="24">
        <f t="shared" si="575"/>
        <v>0</v>
      </c>
      <c r="CR261" s="24">
        <f t="shared" si="575"/>
        <v>0</v>
      </c>
      <c r="CS261" s="24">
        <f t="shared" si="575"/>
        <v>0</v>
      </c>
      <c r="CT261" s="24">
        <f t="shared" si="575"/>
        <v>0</v>
      </c>
      <c r="CU261" s="24">
        <f t="shared" ref="CU261:DB261" si="576">CT194-CU194</f>
        <v>0</v>
      </c>
      <c r="CV261" s="24">
        <f t="shared" si="576"/>
        <v>0</v>
      </c>
      <c r="CW261" s="24">
        <f t="shared" si="576"/>
        <v>0</v>
      </c>
      <c r="CX261" s="24">
        <f t="shared" si="576"/>
        <v>0</v>
      </c>
      <c r="CY261" s="24">
        <f t="shared" si="576"/>
        <v>0</v>
      </c>
      <c r="CZ261" s="24">
        <f t="shared" si="576"/>
        <v>0</v>
      </c>
      <c r="DA261" s="24">
        <f t="shared" si="576"/>
        <v>0</v>
      </c>
      <c r="DB261" s="24">
        <f t="shared" si="576"/>
        <v>0</v>
      </c>
      <c r="DE261" s="123"/>
      <c r="DF261" s="23">
        <v>0</v>
      </c>
    </row>
    <row r="262" spans="1:110" s="23" customFormat="1" x14ac:dyDescent="0.2">
      <c r="A262" s="23" t="s">
        <v>93</v>
      </c>
      <c r="C262" s="23">
        <f t="shared" ref="C262:AE262" si="577">B192-C86-C192</f>
        <v>-15.674504399999989</v>
      </c>
      <c r="D262" s="23">
        <f t="shared" si="577"/>
        <v>-47.245182099999994</v>
      </c>
      <c r="E262" s="23">
        <f t="shared" si="577"/>
        <v>-64.052042000000014</v>
      </c>
      <c r="F262" s="23">
        <f t="shared" si="577"/>
        <v>-32.462656699999997</v>
      </c>
      <c r="G262" s="23">
        <f t="shared" si="577"/>
        <v>-167.88438330000002</v>
      </c>
      <c r="H262" s="23">
        <f t="shared" si="577"/>
        <v>-297.35434309999994</v>
      </c>
      <c r="I262" s="23">
        <f t="shared" si="577"/>
        <v>-100.37280920000001</v>
      </c>
      <c r="J262" s="23">
        <f t="shared" si="577"/>
        <v>-29.819359100000156</v>
      </c>
      <c r="K262" s="23">
        <f t="shared" si="577"/>
        <v>-23.692897799999969</v>
      </c>
      <c r="L262" s="23">
        <f t="shared" si="577"/>
        <v>-38.47687899999994</v>
      </c>
      <c r="M262" s="23">
        <f t="shared" si="577"/>
        <v>-150.95000000000016</v>
      </c>
      <c r="N262" s="23">
        <f t="shared" si="577"/>
        <v>-34.069999999999936</v>
      </c>
      <c r="O262" s="23">
        <f t="shared" si="577"/>
        <v>-34.050000000000068</v>
      </c>
      <c r="P262" s="23">
        <f t="shared" si="577"/>
        <v>-94.710000000000036</v>
      </c>
      <c r="Q262" s="23">
        <f t="shared" si="577"/>
        <v>-109.44</v>
      </c>
      <c r="R262" s="23">
        <f t="shared" si="577"/>
        <v>-139.29999999999995</v>
      </c>
      <c r="S262" s="23">
        <f t="shared" si="577"/>
        <v>-120.4799999999999</v>
      </c>
      <c r="T262" s="23">
        <f t="shared" si="577"/>
        <v>-31.720000000000141</v>
      </c>
      <c r="U262" s="23">
        <f t="shared" si="577"/>
        <v>-46.629999999999882</v>
      </c>
      <c r="V262" s="23">
        <f t="shared" si="577"/>
        <v>-53.900000000000091</v>
      </c>
      <c r="W262" s="23">
        <f t="shared" si="577"/>
        <v>-147.07000000000005</v>
      </c>
      <c r="X262" s="23">
        <f t="shared" si="577"/>
        <v>-351.88</v>
      </c>
      <c r="Y262" s="23">
        <f t="shared" si="577"/>
        <v>-377.02000000000021</v>
      </c>
      <c r="Z262" s="23">
        <f t="shared" si="577"/>
        <v>-342.53</v>
      </c>
      <c r="AA262" s="23">
        <f t="shared" ref="AA262" si="578">Z192-AA86-AA192</f>
        <v>-231.44000000000005</v>
      </c>
      <c r="AB262" s="24">
        <f t="shared" si="577"/>
        <v>-158.15999999999985</v>
      </c>
      <c r="AC262" s="24">
        <f t="shared" si="577"/>
        <v>0</v>
      </c>
      <c r="AD262" s="24">
        <f t="shared" si="577"/>
        <v>0</v>
      </c>
      <c r="AE262" s="24">
        <f t="shared" si="577"/>
        <v>0</v>
      </c>
      <c r="AI262" s="23">
        <f t="shared" ref="AI262:BN262" si="579">AH192-AI86-AI192</f>
        <v>-19.39</v>
      </c>
      <c r="AJ262" s="23">
        <f t="shared" si="579"/>
        <v>-638.67000000000007</v>
      </c>
      <c r="AK262" s="23">
        <f t="shared" si="579"/>
        <v>-19.450000000000045</v>
      </c>
      <c r="AL262" s="23">
        <f t="shared" si="579"/>
        <v>8.8800000000001091</v>
      </c>
      <c r="AM262" s="23">
        <f t="shared" si="579"/>
        <v>-18.669999999999959</v>
      </c>
      <c r="AN262" s="23">
        <f t="shared" si="579"/>
        <v>4.7400000000000091</v>
      </c>
      <c r="AO262" s="23">
        <f t="shared" si="579"/>
        <v>-18.889999999999986</v>
      </c>
      <c r="AP262" s="23">
        <f t="shared" si="579"/>
        <v>-1.2100000000000364</v>
      </c>
      <c r="AQ262" s="23">
        <f t="shared" si="579"/>
        <v>-18.940000000000055</v>
      </c>
      <c r="AR262" s="23">
        <f t="shared" si="579"/>
        <v>-17.67999999999995</v>
      </c>
      <c r="AS262" s="23">
        <f t="shared" si="579"/>
        <v>-19.440000000000055</v>
      </c>
      <c r="AT262" s="23">
        <f t="shared" si="579"/>
        <v>-38.670000000000073</v>
      </c>
      <c r="AU262" s="23">
        <f t="shared" si="579"/>
        <v>-20.370000000000005</v>
      </c>
      <c r="AV262" s="23">
        <f t="shared" si="579"/>
        <v>9.6300000000001091</v>
      </c>
      <c r="AW262" s="23">
        <f t="shared" si="579"/>
        <v>-18.559999999999945</v>
      </c>
      <c r="AX262" s="23">
        <f t="shared" si="579"/>
        <v>-80.1400000000001</v>
      </c>
      <c r="AY262" s="23">
        <f t="shared" si="579"/>
        <v>-19.42999999999995</v>
      </c>
      <c r="AZ262" s="23">
        <f t="shared" si="579"/>
        <v>-42.889999999999873</v>
      </c>
      <c r="BA262" s="23">
        <f t="shared" si="579"/>
        <v>-17.059999999999945</v>
      </c>
      <c r="BB262" s="23">
        <f t="shared" si="579"/>
        <v>-59.899999999999977</v>
      </c>
      <c r="BC262" s="23">
        <f t="shared" si="579"/>
        <v>-19.120000000000005</v>
      </c>
      <c r="BD262" s="23">
        <f t="shared" si="579"/>
        <v>-47.919999999999959</v>
      </c>
      <c r="BE262" s="23">
        <f t="shared" si="579"/>
        <v>-19.480000000000018</v>
      </c>
      <c r="BF262" s="23">
        <f t="shared" si="579"/>
        <v>-33.919999999999959</v>
      </c>
      <c r="BG262" s="23">
        <f t="shared" si="579"/>
        <v>-20.049999999999955</v>
      </c>
      <c r="BH262" s="23">
        <f t="shared" si="579"/>
        <v>0.5</v>
      </c>
      <c r="BI262" s="23">
        <f t="shared" si="579"/>
        <v>-20.370000000000005</v>
      </c>
      <c r="BJ262" s="23">
        <f t="shared" si="579"/>
        <v>8.1999999999999318</v>
      </c>
      <c r="BK262" s="23">
        <f t="shared" si="579"/>
        <v>-20.159999999999968</v>
      </c>
      <c r="BL262" s="23">
        <f t="shared" si="579"/>
        <v>-6.5299999999999727</v>
      </c>
      <c r="BM262" s="23">
        <f t="shared" si="579"/>
        <v>-20.470000000000027</v>
      </c>
      <c r="BN262" s="23">
        <f t="shared" si="579"/>
        <v>0.52999999999997272</v>
      </c>
      <c r="BO262" s="23">
        <f t="shared" ref="BO262:CT262" si="580">BN192-BO86-BO192</f>
        <v>-20.480000000000018</v>
      </c>
      <c r="BP262" s="23">
        <f t="shared" si="580"/>
        <v>-0.11000000000001364</v>
      </c>
      <c r="BQ262" s="23">
        <f t="shared" si="580"/>
        <v>-20.330000000000041</v>
      </c>
      <c r="BR262" s="23">
        <f t="shared" si="580"/>
        <v>-12.979999999999905</v>
      </c>
      <c r="BS262" s="23">
        <f t="shared" si="580"/>
        <v>-19.299999999999955</v>
      </c>
      <c r="BT262" s="23">
        <f t="shared" si="580"/>
        <v>-19.220000000000141</v>
      </c>
      <c r="BU262" s="23">
        <f t="shared" si="580"/>
        <v>-17.990000000000009</v>
      </c>
      <c r="BV262" s="23">
        <f t="shared" si="580"/>
        <v>-87.069999999999936</v>
      </c>
      <c r="BW262" s="23">
        <f t="shared" si="580"/>
        <v>-18.5</v>
      </c>
      <c r="BX262" s="23">
        <f t="shared" si="580"/>
        <v>-158.97000000000014</v>
      </c>
      <c r="BY262" s="23">
        <f t="shared" si="580"/>
        <v>-25.120000000000005</v>
      </c>
      <c r="BZ262" s="23">
        <f t="shared" si="580"/>
        <v>-150.38</v>
      </c>
      <c r="CA262" s="23">
        <f t="shared" si="580"/>
        <v>-21.639999999999986</v>
      </c>
      <c r="CB262" s="23">
        <f t="shared" si="580"/>
        <v>-190.63</v>
      </c>
      <c r="CC262" s="23">
        <f t="shared" si="580"/>
        <v>-26.900000000000091</v>
      </c>
      <c r="CD262" s="23">
        <f t="shared" si="580"/>
        <v>-139.43999999999983</v>
      </c>
      <c r="CE262" s="23">
        <f t="shared" si="580"/>
        <v>-28</v>
      </c>
      <c r="CF262" s="23">
        <f t="shared" si="580"/>
        <v>-152.61999999999989</v>
      </c>
      <c r="CG262" s="23">
        <f t="shared" si="580"/>
        <v>-28.869999999999891</v>
      </c>
      <c r="CH262" s="23">
        <f t="shared" si="580"/>
        <v>-133.85000000000014</v>
      </c>
      <c r="CI262" s="23">
        <f t="shared" si="580"/>
        <v>0</v>
      </c>
      <c r="CJ262" s="23">
        <f t="shared" si="580"/>
        <v>-92.119999999999663</v>
      </c>
      <c r="CK262" s="23">
        <f t="shared" si="580"/>
        <v>0</v>
      </c>
      <c r="CL262" s="23">
        <f t="shared" si="580"/>
        <v>-137.48000000000002</v>
      </c>
      <c r="CM262" s="24">
        <f t="shared" si="580"/>
        <v>-40.000000000000227</v>
      </c>
      <c r="CN262" s="24">
        <f t="shared" si="580"/>
        <v>-40</v>
      </c>
      <c r="CO262" s="24">
        <f t="shared" si="580"/>
        <v>-40</v>
      </c>
      <c r="CP262" s="24">
        <f t="shared" si="580"/>
        <v>-40</v>
      </c>
      <c r="CQ262" s="24">
        <f t="shared" si="580"/>
        <v>0</v>
      </c>
      <c r="CR262" s="24">
        <f t="shared" si="580"/>
        <v>0</v>
      </c>
      <c r="CS262" s="24">
        <f t="shared" si="580"/>
        <v>0</v>
      </c>
      <c r="CT262" s="24">
        <f t="shared" si="580"/>
        <v>0</v>
      </c>
      <c r="CU262" s="24">
        <f t="shared" ref="CU262:DB262" si="581">CT192-CU86-CU192</f>
        <v>0</v>
      </c>
      <c r="CV262" s="24">
        <f t="shared" si="581"/>
        <v>0</v>
      </c>
      <c r="CW262" s="24">
        <f t="shared" si="581"/>
        <v>0</v>
      </c>
      <c r="CX262" s="24">
        <f t="shared" si="581"/>
        <v>0</v>
      </c>
      <c r="CY262" s="24">
        <f t="shared" si="581"/>
        <v>0</v>
      </c>
      <c r="CZ262" s="24">
        <f t="shared" si="581"/>
        <v>0</v>
      </c>
      <c r="DA262" s="24">
        <f t="shared" si="581"/>
        <v>0</v>
      </c>
      <c r="DB262" s="24">
        <f t="shared" si="581"/>
        <v>0</v>
      </c>
      <c r="DE262" s="123"/>
      <c r="DF262" s="23">
        <v>0</v>
      </c>
    </row>
    <row r="263" spans="1:110" s="23" customFormat="1" x14ac:dyDescent="0.2">
      <c r="AB263" s="24"/>
      <c r="AC263" s="24"/>
      <c r="AD263" s="24"/>
      <c r="AE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E263" s="123"/>
    </row>
    <row r="264" spans="1:110" s="22" customFormat="1" x14ac:dyDescent="0.2">
      <c r="A264" s="22" t="s">
        <v>94</v>
      </c>
      <c r="C264" s="22">
        <f t="shared" ref="C264:W264" si="582">C265+C266</f>
        <v>-13.617380700000034</v>
      </c>
      <c r="D264" s="22">
        <f t="shared" si="582"/>
        <v>30.797500599999999</v>
      </c>
      <c r="E264" s="22">
        <f t="shared" si="582"/>
        <v>68.816250700000012</v>
      </c>
      <c r="F264" s="22">
        <f t="shared" si="582"/>
        <v>17.067046299999973</v>
      </c>
      <c r="G264" s="22">
        <f t="shared" si="582"/>
        <v>158.58812349999999</v>
      </c>
      <c r="H264" s="22">
        <f t="shared" si="582"/>
        <v>354.09961119999991</v>
      </c>
      <c r="I264" s="22">
        <f t="shared" si="582"/>
        <v>84.876848199999984</v>
      </c>
      <c r="J264" s="22">
        <f t="shared" si="582"/>
        <v>-36.819341600000001</v>
      </c>
      <c r="K264" s="22">
        <f t="shared" si="582"/>
        <v>-4.8136290000000201</v>
      </c>
      <c r="L264" s="22">
        <f t="shared" si="582"/>
        <v>19.29326559999987</v>
      </c>
      <c r="M264" s="22">
        <f t="shared" si="582"/>
        <v>-0.97999999999987608</v>
      </c>
      <c r="N264" s="22">
        <f t="shared" si="582"/>
        <v>-64.090000000000146</v>
      </c>
      <c r="O264" s="22">
        <f t="shared" si="582"/>
        <v>-78.849999999999966</v>
      </c>
      <c r="P264" s="22">
        <f t="shared" si="582"/>
        <v>13.639999999999873</v>
      </c>
      <c r="Q264" s="22">
        <f t="shared" si="582"/>
        <v>22.550000000000125</v>
      </c>
      <c r="R264" s="22">
        <f t="shared" si="582"/>
        <v>59.170000000000073</v>
      </c>
      <c r="S264" s="22">
        <f t="shared" si="582"/>
        <v>70.319999999999823</v>
      </c>
      <c r="T264" s="22">
        <f t="shared" si="582"/>
        <v>-84.370000000000232</v>
      </c>
      <c r="U264" s="22">
        <f t="shared" si="582"/>
        <v>-66.389999999999873</v>
      </c>
      <c r="V264" s="22">
        <f t="shared" si="582"/>
        <v>-37.260000000000105</v>
      </c>
      <c r="W264" s="22">
        <f t="shared" si="582"/>
        <v>40.129999999999882</v>
      </c>
      <c r="X264" s="22">
        <f t="shared" ref="X264:AE264" si="583">X265+X266</f>
        <v>253.6999999999997</v>
      </c>
      <c r="Y264" s="22">
        <f t="shared" si="583"/>
        <v>301.6600000000002</v>
      </c>
      <c r="Z264" s="22">
        <f t="shared" si="583"/>
        <v>60.330000000000268</v>
      </c>
      <c r="AA264" s="22">
        <f t="shared" ref="AA264" si="584">AA265+AA266</f>
        <v>128.13999999999987</v>
      </c>
      <c r="AB264" s="21">
        <f t="shared" si="583"/>
        <v>-87.999999999999773</v>
      </c>
      <c r="AC264" s="21">
        <f t="shared" si="583"/>
        <v>127.99999999999955</v>
      </c>
      <c r="AD264" s="21">
        <f t="shared" si="583"/>
        <v>-144.00000000000023</v>
      </c>
      <c r="AE264" s="21">
        <f t="shared" si="583"/>
        <v>-144</v>
      </c>
      <c r="AI264" s="22">
        <f>AI265+AI266</f>
        <v>-9.7699999999999569</v>
      </c>
      <c r="AJ264" s="22">
        <f>AJ265+AJ266</f>
        <v>859.69</v>
      </c>
      <c r="AK264" s="22">
        <f>AK265+AK266</f>
        <v>0</v>
      </c>
      <c r="AL264" s="22">
        <f>AL265+AL266</f>
        <v>-38.939999999999941</v>
      </c>
      <c r="AM264" s="22">
        <f>AM265+AM266</f>
        <v>0</v>
      </c>
      <c r="AN264" s="22">
        <f t="shared" ref="AN264:CD264" si="585">AN265+AN266</f>
        <v>-40.190000000000055</v>
      </c>
      <c r="AO264" s="22">
        <f t="shared" si="585"/>
        <v>0</v>
      </c>
      <c r="AP264" s="22">
        <f t="shared" si="585"/>
        <v>-33.520000000000095</v>
      </c>
      <c r="AQ264" s="22">
        <f t="shared" si="585"/>
        <v>0</v>
      </c>
      <c r="AR264" s="22">
        <f t="shared" si="585"/>
        <v>-1.160000000000025</v>
      </c>
      <c r="AS264" s="22">
        <f t="shared" si="585"/>
        <v>0</v>
      </c>
      <c r="AT264" s="22">
        <f t="shared" si="585"/>
        <v>26.930000000000007</v>
      </c>
      <c r="AU264" s="22">
        <f t="shared" si="585"/>
        <v>0</v>
      </c>
      <c r="AV264" s="22">
        <f t="shared" si="585"/>
        <v>-15.269999999999982</v>
      </c>
      <c r="AW264" s="22">
        <f t="shared" si="585"/>
        <v>0</v>
      </c>
      <c r="AX264" s="22">
        <f t="shared" si="585"/>
        <v>53.909999999999798</v>
      </c>
      <c r="AY264" s="22">
        <f t="shared" si="585"/>
        <v>0</v>
      </c>
      <c r="AZ264" s="22">
        <f t="shared" si="585"/>
        <v>30.189999999999941</v>
      </c>
      <c r="BA264" s="22">
        <f t="shared" si="585"/>
        <v>0</v>
      </c>
      <c r="BB264" s="22">
        <f t="shared" si="585"/>
        <v>31.840000000000032</v>
      </c>
      <c r="BC264" s="22">
        <f t="shared" si="585"/>
        <v>0</v>
      </c>
      <c r="BD264" s="22">
        <f t="shared" si="585"/>
        <v>-1.4899999999998954</v>
      </c>
      <c r="BE264" s="22">
        <f t="shared" si="585"/>
        <v>0</v>
      </c>
      <c r="BF264" s="22">
        <f t="shared" si="585"/>
        <v>60.430000000000007</v>
      </c>
      <c r="BG264" s="22">
        <f t="shared" si="585"/>
        <v>-5.6843418860808015E-14</v>
      </c>
      <c r="BH264" s="22">
        <f t="shared" si="585"/>
        <v>-45.730000000000018</v>
      </c>
      <c r="BI264" s="22">
        <f t="shared" si="585"/>
        <v>0</v>
      </c>
      <c r="BJ264" s="22">
        <f t="shared" si="585"/>
        <v>-34.910000000000082</v>
      </c>
      <c r="BK264" s="22">
        <f t="shared" si="585"/>
        <v>0</v>
      </c>
      <c r="BL264" s="22">
        <f t="shared" si="585"/>
        <v>-59.159999999999854</v>
      </c>
      <c r="BM264" s="22">
        <f t="shared" si="585"/>
        <v>0</v>
      </c>
      <c r="BN264" s="22">
        <f t="shared" si="585"/>
        <v>13.329999999999927</v>
      </c>
      <c r="BO264" s="22">
        <f t="shared" si="585"/>
        <v>0</v>
      </c>
      <c r="BP264" s="22">
        <f t="shared" si="585"/>
        <v>-69.649999999999977</v>
      </c>
      <c r="BQ264" s="22">
        <f t="shared" si="585"/>
        <v>0</v>
      </c>
      <c r="BR264" s="22">
        <f t="shared" si="585"/>
        <v>3.2200000000000273</v>
      </c>
      <c r="BS264" s="22">
        <f t="shared" si="585"/>
        <v>0</v>
      </c>
      <c r="BT264" s="22">
        <f t="shared" si="585"/>
        <v>78.500000000000114</v>
      </c>
      <c r="BU264" s="22">
        <f t="shared" si="585"/>
        <v>0</v>
      </c>
      <c r="BV264" s="22">
        <f t="shared" si="585"/>
        <v>38.010000000000105</v>
      </c>
      <c r="BW264" s="22">
        <f t="shared" si="585"/>
        <v>0</v>
      </c>
      <c r="BX264" s="22">
        <f t="shared" si="585"/>
        <v>227.49999999999977</v>
      </c>
      <c r="BY264" s="22">
        <f t="shared" si="585"/>
        <v>2.2737367544323206E-13</v>
      </c>
      <c r="BZ264" s="22">
        <f t="shared" si="585"/>
        <v>26.199999999999818</v>
      </c>
      <c r="CA264" s="22">
        <f t="shared" si="585"/>
        <v>0</v>
      </c>
      <c r="CB264" s="22">
        <f t="shared" si="585"/>
        <v>168.10000000000025</v>
      </c>
      <c r="CC264" s="22">
        <f t="shared" si="585"/>
        <v>0</v>
      </c>
      <c r="CD264" s="22">
        <f t="shared" si="585"/>
        <v>133.55999999999995</v>
      </c>
      <c r="CE264" s="22">
        <f t="shared" ref="CE264:CJ264" si="586">CE265+CE266</f>
        <v>0</v>
      </c>
      <c r="CF264" s="22">
        <f t="shared" si="586"/>
        <v>128.24999999999989</v>
      </c>
      <c r="CG264" s="22">
        <f t="shared" si="586"/>
        <v>0</v>
      </c>
      <c r="CH264" s="22">
        <f t="shared" si="586"/>
        <v>-67.919999999999845</v>
      </c>
      <c r="CI264" s="22">
        <f t="shared" si="586"/>
        <v>0</v>
      </c>
      <c r="CJ264" s="22">
        <f t="shared" si="586"/>
        <v>143.3900000000001</v>
      </c>
      <c r="CK264" s="22">
        <f t="shared" ref="CK264:DB264" si="587">CK265+CK266</f>
        <v>1.1368683772161603E-13</v>
      </c>
      <c r="CL264" s="22">
        <f t="shared" si="587"/>
        <v>-15.25</v>
      </c>
      <c r="CM264" s="21">
        <f t="shared" si="587"/>
        <v>-22</v>
      </c>
      <c r="CN264" s="21">
        <f t="shared" si="587"/>
        <v>-22</v>
      </c>
      <c r="CO264" s="21">
        <f t="shared" si="587"/>
        <v>-22</v>
      </c>
      <c r="CP264" s="21">
        <f t="shared" si="587"/>
        <v>-22</v>
      </c>
      <c r="CQ264" s="21">
        <f t="shared" si="587"/>
        <v>32</v>
      </c>
      <c r="CR264" s="21">
        <f t="shared" si="587"/>
        <v>32</v>
      </c>
      <c r="CS264" s="21">
        <f t="shared" si="587"/>
        <v>32</v>
      </c>
      <c r="CT264" s="21">
        <f t="shared" si="587"/>
        <v>32</v>
      </c>
      <c r="CU264" s="21">
        <f t="shared" si="587"/>
        <v>-36</v>
      </c>
      <c r="CV264" s="21">
        <f t="shared" si="587"/>
        <v>-36</v>
      </c>
      <c r="CW264" s="21">
        <f t="shared" si="587"/>
        <v>-36</v>
      </c>
      <c r="CX264" s="21">
        <f t="shared" si="587"/>
        <v>-36</v>
      </c>
      <c r="CY264" s="21">
        <f t="shared" si="587"/>
        <v>-36</v>
      </c>
      <c r="CZ264" s="21">
        <f t="shared" si="587"/>
        <v>-36</v>
      </c>
      <c r="DA264" s="21">
        <f t="shared" si="587"/>
        <v>-36</v>
      </c>
      <c r="DB264" s="21">
        <f t="shared" si="587"/>
        <v>-36</v>
      </c>
      <c r="DE264" s="126"/>
      <c r="DF264" s="22">
        <v>0</v>
      </c>
    </row>
    <row r="265" spans="1:110" s="23" customFormat="1" x14ac:dyDescent="0.2">
      <c r="A265" s="23" t="s">
        <v>48</v>
      </c>
      <c r="C265" s="23">
        <f t="shared" ref="C265:AE265" si="588">C182-B182</f>
        <v>-3.0715593000000041</v>
      </c>
      <c r="D265" s="23">
        <f t="shared" si="588"/>
        <v>32.861731599999999</v>
      </c>
      <c r="E265" s="23">
        <f t="shared" si="588"/>
        <v>59.854203899999987</v>
      </c>
      <c r="F265" s="23">
        <f t="shared" si="588"/>
        <v>20.758207700000014</v>
      </c>
      <c r="G265" s="23">
        <f t="shared" si="588"/>
        <v>126.91999130000002</v>
      </c>
      <c r="H265" s="23">
        <f t="shared" si="588"/>
        <v>332.78784039999999</v>
      </c>
      <c r="I265" s="23">
        <f t="shared" si="588"/>
        <v>84.87684820000004</v>
      </c>
      <c r="J265" s="23">
        <f t="shared" si="588"/>
        <v>-36.81934160000003</v>
      </c>
      <c r="K265" s="23">
        <f t="shared" si="588"/>
        <v>-0.21673029999999471</v>
      </c>
      <c r="L265" s="23">
        <f t="shared" si="588"/>
        <v>26.168125199999963</v>
      </c>
      <c r="M265" s="23">
        <f t="shared" si="588"/>
        <v>3.6000000000000227</v>
      </c>
      <c r="N265" s="23">
        <f t="shared" si="588"/>
        <v>-58.560000000000059</v>
      </c>
      <c r="O265" s="23">
        <f t="shared" si="588"/>
        <v>-71.92999999999995</v>
      </c>
      <c r="P265" s="23">
        <f t="shared" si="588"/>
        <v>24.939999999999941</v>
      </c>
      <c r="Q265" s="23">
        <f t="shared" si="588"/>
        <v>32.039999999999964</v>
      </c>
      <c r="R265" s="23">
        <f t="shared" si="588"/>
        <v>59.410000000000082</v>
      </c>
      <c r="S265" s="23">
        <f t="shared" si="588"/>
        <v>79.130000000000109</v>
      </c>
      <c r="T265" s="23">
        <f t="shared" si="588"/>
        <v>-80.090000000000146</v>
      </c>
      <c r="U265" s="23">
        <f t="shared" si="588"/>
        <v>-59.529999999999973</v>
      </c>
      <c r="V265" s="23">
        <f t="shared" si="588"/>
        <v>-58.269999999999982</v>
      </c>
      <c r="W265" s="23">
        <f t="shared" si="588"/>
        <v>17.190000000000055</v>
      </c>
      <c r="X265" s="23">
        <f t="shared" si="588"/>
        <v>217.03999999999996</v>
      </c>
      <c r="Y265" s="23">
        <f t="shared" si="588"/>
        <v>241.28999999999996</v>
      </c>
      <c r="Z265" s="23">
        <f t="shared" si="588"/>
        <v>69.670000000000073</v>
      </c>
      <c r="AA265" s="23">
        <f t="shared" ref="AA265" si="589">AA182-Z182</f>
        <v>141.25</v>
      </c>
      <c r="AB265" s="24">
        <f t="shared" si="588"/>
        <v>-88</v>
      </c>
      <c r="AC265" s="24">
        <f t="shared" si="588"/>
        <v>128</v>
      </c>
      <c r="AD265" s="24">
        <f t="shared" si="588"/>
        <v>-144</v>
      </c>
      <c r="AE265" s="24">
        <f t="shared" si="588"/>
        <v>-144</v>
      </c>
      <c r="AI265" s="23">
        <f t="shared" ref="AI265:BN265" si="590">AI182-AH182</f>
        <v>0</v>
      </c>
      <c r="AJ265" s="23">
        <f t="shared" si="590"/>
        <v>597.84</v>
      </c>
      <c r="AK265" s="23">
        <f t="shared" si="590"/>
        <v>0</v>
      </c>
      <c r="AL265" s="23">
        <f t="shared" si="590"/>
        <v>-33.409999999999968</v>
      </c>
      <c r="AM265" s="23">
        <f t="shared" si="590"/>
        <v>0</v>
      </c>
      <c r="AN265" s="23">
        <f t="shared" si="590"/>
        <v>-40.190000000000055</v>
      </c>
      <c r="AO265" s="23">
        <f t="shared" si="590"/>
        <v>0</v>
      </c>
      <c r="AP265" s="23">
        <f t="shared" si="590"/>
        <v>-26.600000000000023</v>
      </c>
      <c r="AQ265" s="23">
        <f t="shared" si="590"/>
        <v>0</v>
      </c>
      <c r="AR265" s="23">
        <f t="shared" si="590"/>
        <v>-1.1599999999999682</v>
      </c>
      <c r="AS265" s="23">
        <f t="shared" si="590"/>
        <v>0</v>
      </c>
      <c r="AT265" s="23">
        <f t="shared" si="590"/>
        <v>38.230000000000018</v>
      </c>
      <c r="AU265" s="23">
        <f t="shared" si="590"/>
        <v>0</v>
      </c>
      <c r="AV265" s="23">
        <f t="shared" si="590"/>
        <v>-15.269999999999982</v>
      </c>
      <c r="AW265" s="23">
        <f t="shared" si="590"/>
        <v>0</v>
      </c>
      <c r="AX265" s="23">
        <f t="shared" si="590"/>
        <v>63.399999999999864</v>
      </c>
      <c r="AY265" s="23">
        <f t="shared" si="590"/>
        <v>0</v>
      </c>
      <c r="AZ265" s="23">
        <f t="shared" si="590"/>
        <v>30.32000000000005</v>
      </c>
      <c r="BA265" s="23">
        <f t="shared" si="590"/>
        <v>0</v>
      </c>
      <c r="BB265" s="23">
        <f t="shared" si="590"/>
        <v>33.860000000000014</v>
      </c>
      <c r="BC265" s="23">
        <f t="shared" si="590"/>
        <v>0</v>
      </c>
      <c r="BD265" s="23">
        <f t="shared" si="590"/>
        <v>6.2000000000000455</v>
      </c>
      <c r="BE265" s="23">
        <f t="shared" si="590"/>
        <v>0</v>
      </c>
      <c r="BF265" s="23">
        <f t="shared" si="590"/>
        <v>63.379999999999995</v>
      </c>
      <c r="BG265" s="23">
        <f t="shared" si="590"/>
        <v>0</v>
      </c>
      <c r="BH265" s="23">
        <f t="shared" si="590"/>
        <v>-44.57000000000005</v>
      </c>
      <c r="BI265" s="23">
        <f t="shared" si="590"/>
        <v>0</v>
      </c>
      <c r="BJ265" s="23">
        <f t="shared" si="590"/>
        <v>-31.789999999999964</v>
      </c>
      <c r="BK265" s="23">
        <f t="shared" si="590"/>
        <v>0</v>
      </c>
      <c r="BL265" s="23">
        <f t="shared" si="590"/>
        <v>-54.569999999999936</v>
      </c>
      <c r="BM265" s="23">
        <f t="shared" si="590"/>
        <v>0</v>
      </c>
      <c r="BN265" s="23">
        <f t="shared" si="590"/>
        <v>15.599999999999909</v>
      </c>
      <c r="BO265" s="23">
        <f t="shared" ref="BO265:CT265" si="591">BO182-BN182</f>
        <v>0</v>
      </c>
      <c r="BP265" s="23">
        <f t="shared" si="591"/>
        <v>-71.700000000000045</v>
      </c>
      <c r="BQ265" s="23">
        <f t="shared" si="591"/>
        <v>0</v>
      </c>
      <c r="BR265" s="23">
        <f t="shared" si="591"/>
        <v>-15.740000000000009</v>
      </c>
      <c r="BS265" s="23">
        <f t="shared" si="591"/>
        <v>0</v>
      </c>
      <c r="BT265" s="23">
        <f t="shared" si="591"/>
        <v>81.8900000000001</v>
      </c>
      <c r="BU265" s="23">
        <f t="shared" si="591"/>
        <v>0</v>
      </c>
      <c r="BV265" s="23">
        <f t="shared" si="591"/>
        <v>10.970000000000027</v>
      </c>
      <c r="BW265" s="23">
        <f t="shared" si="591"/>
        <v>0</v>
      </c>
      <c r="BX265" s="23">
        <f t="shared" si="591"/>
        <v>191.19999999999993</v>
      </c>
      <c r="BY265" s="23">
        <f t="shared" si="591"/>
        <v>0</v>
      </c>
      <c r="BZ265" s="23">
        <f t="shared" si="591"/>
        <v>25.840000000000032</v>
      </c>
      <c r="CA265" s="23">
        <f t="shared" si="591"/>
        <v>0</v>
      </c>
      <c r="CB265" s="23">
        <f t="shared" si="591"/>
        <v>107.44000000000005</v>
      </c>
      <c r="CC265" s="23">
        <f t="shared" si="591"/>
        <v>0</v>
      </c>
      <c r="CD265" s="23">
        <f t="shared" si="591"/>
        <v>133.84999999999991</v>
      </c>
      <c r="CE265" s="23">
        <f t="shared" si="591"/>
        <v>0</v>
      </c>
      <c r="CF265" s="23">
        <f t="shared" si="591"/>
        <v>133.82999999999993</v>
      </c>
      <c r="CG265" s="23">
        <f t="shared" si="591"/>
        <v>0</v>
      </c>
      <c r="CH265" s="23">
        <f t="shared" si="591"/>
        <v>-64.159999999999854</v>
      </c>
      <c r="CI265" s="23">
        <f t="shared" si="591"/>
        <v>0</v>
      </c>
      <c r="CJ265" s="23">
        <f t="shared" si="591"/>
        <v>154.82999999999993</v>
      </c>
      <c r="CK265" s="23">
        <f t="shared" si="591"/>
        <v>0</v>
      </c>
      <c r="CL265" s="23">
        <f t="shared" si="591"/>
        <v>-13.579999999999927</v>
      </c>
      <c r="CM265" s="24">
        <f t="shared" si="591"/>
        <v>-22</v>
      </c>
      <c r="CN265" s="24">
        <f t="shared" si="591"/>
        <v>-22</v>
      </c>
      <c r="CO265" s="24">
        <f t="shared" si="591"/>
        <v>-22</v>
      </c>
      <c r="CP265" s="24">
        <f t="shared" si="591"/>
        <v>-22</v>
      </c>
      <c r="CQ265" s="24">
        <f t="shared" si="591"/>
        <v>32</v>
      </c>
      <c r="CR265" s="24">
        <f t="shared" si="591"/>
        <v>32</v>
      </c>
      <c r="CS265" s="24">
        <f t="shared" si="591"/>
        <v>32</v>
      </c>
      <c r="CT265" s="24">
        <f t="shared" si="591"/>
        <v>32</v>
      </c>
      <c r="CU265" s="24">
        <f t="shared" ref="CU265:DB265" si="592">CU182-CT182</f>
        <v>-36</v>
      </c>
      <c r="CV265" s="24">
        <f t="shared" si="592"/>
        <v>-36</v>
      </c>
      <c r="CW265" s="24">
        <f t="shared" si="592"/>
        <v>-36</v>
      </c>
      <c r="CX265" s="24">
        <f t="shared" si="592"/>
        <v>-36</v>
      </c>
      <c r="CY265" s="24">
        <f t="shared" si="592"/>
        <v>-36</v>
      </c>
      <c r="CZ265" s="24">
        <f t="shared" si="592"/>
        <v>-36</v>
      </c>
      <c r="DA265" s="24">
        <f t="shared" si="592"/>
        <v>-36</v>
      </c>
      <c r="DB265" s="24">
        <f t="shared" si="592"/>
        <v>-36</v>
      </c>
      <c r="DE265" s="123"/>
      <c r="DF265" s="23">
        <v>0</v>
      </c>
    </row>
    <row r="266" spans="1:110" s="23" customFormat="1" x14ac:dyDescent="0.2">
      <c r="A266" s="23" t="s">
        <v>26</v>
      </c>
      <c r="C266" s="23">
        <f t="shared" ref="C266:AE266" si="593">C174-C102-B174+C176-B176</f>
        <v>-10.54582140000003</v>
      </c>
      <c r="D266" s="23">
        <f t="shared" si="593"/>
        <v>-2.0642309999999995</v>
      </c>
      <c r="E266" s="23">
        <f t="shared" si="593"/>
        <v>8.9620468000000173</v>
      </c>
      <c r="F266" s="23">
        <f t="shared" si="593"/>
        <v>-3.6911614000000412</v>
      </c>
      <c r="G266" s="23">
        <f t="shared" si="593"/>
        <v>31.668132199999988</v>
      </c>
      <c r="H266" s="23">
        <f t="shared" si="593"/>
        <v>21.311770799999948</v>
      </c>
      <c r="I266" s="23">
        <f t="shared" si="593"/>
        <v>-5.6843418860808015E-14</v>
      </c>
      <c r="J266" s="23">
        <f t="shared" si="593"/>
        <v>2.8421709430404007E-14</v>
      </c>
      <c r="K266" s="23">
        <f t="shared" si="593"/>
        <v>-4.5968987000000254</v>
      </c>
      <c r="L266" s="23">
        <f t="shared" si="593"/>
        <v>-6.874859600000093</v>
      </c>
      <c r="M266" s="23">
        <f t="shared" si="593"/>
        <v>-4.5799999999998988</v>
      </c>
      <c r="N266" s="23">
        <f t="shared" si="593"/>
        <v>-5.5300000000000864</v>
      </c>
      <c r="O266" s="23">
        <f t="shared" si="593"/>
        <v>-6.9200000000000159</v>
      </c>
      <c r="P266" s="23">
        <f t="shared" si="593"/>
        <v>-11.300000000000068</v>
      </c>
      <c r="Q266" s="23">
        <f t="shared" si="593"/>
        <v>-9.4899999999998386</v>
      </c>
      <c r="R266" s="23">
        <f t="shared" si="593"/>
        <v>-0.24000000000000909</v>
      </c>
      <c r="S266" s="23">
        <f t="shared" si="593"/>
        <v>-8.8100000000002865</v>
      </c>
      <c r="T266" s="23">
        <f t="shared" si="593"/>
        <v>-4.2800000000000864</v>
      </c>
      <c r="U266" s="23">
        <f t="shared" si="593"/>
        <v>-6.8599999999999</v>
      </c>
      <c r="V266" s="23">
        <f t="shared" si="593"/>
        <v>21.009999999999877</v>
      </c>
      <c r="W266" s="23">
        <f t="shared" si="593"/>
        <v>22.939999999999827</v>
      </c>
      <c r="X266" s="23">
        <f t="shared" si="593"/>
        <v>36.659999999999741</v>
      </c>
      <c r="Y266" s="23">
        <f t="shared" si="593"/>
        <v>60.370000000000232</v>
      </c>
      <c r="Z266" s="23">
        <f t="shared" si="593"/>
        <v>-9.3399999999998045</v>
      </c>
      <c r="AA266" s="23">
        <f t="shared" ref="AA266" si="594">AA174-AA102-Z174+AA176-Z176</f>
        <v>-13.110000000000127</v>
      </c>
      <c r="AB266" s="24">
        <f t="shared" si="593"/>
        <v>2.2737367544323206E-13</v>
      </c>
      <c r="AC266" s="24">
        <f t="shared" si="593"/>
        <v>-4.5474735088646412E-13</v>
      </c>
      <c r="AD266" s="24">
        <f t="shared" si="593"/>
        <v>-2.2737367544323206E-13</v>
      </c>
      <c r="AE266" s="24">
        <f t="shared" si="593"/>
        <v>0</v>
      </c>
      <c r="AI266" s="23">
        <f t="shared" ref="AI266:BN266" si="595">AI174-AI102-AH174+AI176-AH176</f>
        <v>-9.7699999999999569</v>
      </c>
      <c r="AJ266" s="23">
        <f t="shared" si="595"/>
        <v>261.84999999999997</v>
      </c>
      <c r="AK266" s="23">
        <f t="shared" si="595"/>
        <v>0</v>
      </c>
      <c r="AL266" s="23">
        <f t="shared" si="595"/>
        <v>-5.5299999999999727</v>
      </c>
      <c r="AM266" s="23">
        <f t="shared" si="595"/>
        <v>0</v>
      </c>
      <c r="AN266" s="23">
        <f t="shared" si="595"/>
        <v>0</v>
      </c>
      <c r="AO266" s="23">
        <f t="shared" si="595"/>
        <v>0</v>
      </c>
      <c r="AP266" s="23">
        <f t="shared" si="595"/>
        <v>-6.9200000000000728</v>
      </c>
      <c r="AQ266" s="23">
        <f t="shared" si="595"/>
        <v>0</v>
      </c>
      <c r="AR266" s="23">
        <f t="shared" si="595"/>
        <v>-5.6843418860808015E-14</v>
      </c>
      <c r="AS266" s="23">
        <f t="shared" si="595"/>
        <v>0</v>
      </c>
      <c r="AT266" s="23">
        <f t="shared" si="595"/>
        <v>-11.300000000000011</v>
      </c>
      <c r="AU266" s="23">
        <f t="shared" si="595"/>
        <v>0</v>
      </c>
      <c r="AV266" s="23">
        <f t="shared" si="595"/>
        <v>0</v>
      </c>
      <c r="AW266" s="23">
        <f t="shared" si="595"/>
        <v>0</v>
      </c>
      <c r="AX266" s="23">
        <f t="shared" si="595"/>
        <v>-9.4900000000000659</v>
      </c>
      <c r="AY266" s="23">
        <f t="shared" si="595"/>
        <v>0</v>
      </c>
      <c r="AZ266" s="23">
        <f t="shared" si="595"/>
        <v>-0.13000000000010914</v>
      </c>
      <c r="BA266" s="23">
        <f t="shared" si="595"/>
        <v>0</v>
      </c>
      <c r="BB266" s="23">
        <f t="shared" si="595"/>
        <v>-2.0199999999999818</v>
      </c>
      <c r="BC266" s="23">
        <f t="shared" si="595"/>
        <v>0</v>
      </c>
      <c r="BD266" s="23">
        <f t="shared" si="595"/>
        <v>-7.6899999999999409</v>
      </c>
      <c r="BE266" s="23">
        <f t="shared" si="595"/>
        <v>0</v>
      </c>
      <c r="BF266" s="23">
        <f t="shared" si="595"/>
        <v>-2.9499999999999886</v>
      </c>
      <c r="BG266" s="23">
        <f t="shared" si="595"/>
        <v>-5.6843418860808015E-14</v>
      </c>
      <c r="BH266" s="23">
        <f t="shared" si="595"/>
        <v>-1.1599999999999682</v>
      </c>
      <c r="BI266" s="23">
        <f t="shared" si="595"/>
        <v>0</v>
      </c>
      <c r="BJ266" s="23">
        <f t="shared" si="595"/>
        <v>-3.1200000000001182</v>
      </c>
      <c r="BK266" s="23">
        <f t="shared" si="595"/>
        <v>0</v>
      </c>
      <c r="BL266" s="23">
        <f t="shared" si="595"/>
        <v>-4.5899999999999181</v>
      </c>
      <c r="BM266" s="23">
        <f t="shared" si="595"/>
        <v>0</v>
      </c>
      <c r="BN266" s="23">
        <f t="shared" si="595"/>
        <v>-2.2699999999999818</v>
      </c>
      <c r="BO266" s="23">
        <f t="shared" ref="BO266:CT266" si="596">BO174-BO102-BN174+BO176-BN176</f>
        <v>0</v>
      </c>
      <c r="BP266" s="23">
        <f t="shared" si="596"/>
        <v>2.0500000000000682</v>
      </c>
      <c r="BQ266" s="23">
        <f t="shared" si="596"/>
        <v>0</v>
      </c>
      <c r="BR266" s="23">
        <f t="shared" si="596"/>
        <v>18.960000000000036</v>
      </c>
      <c r="BS266" s="23">
        <f t="shared" si="596"/>
        <v>0</v>
      </c>
      <c r="BT266" s="23">
        <f t="shared" si="596"/>
        <v>-3.3899999999999864</v>
      </c>
      <c r="BU266" s="23">
        <f t="shared" si="596"/>
        <v>0</v>
      </c>
      <c r="BV266" s="23">
        <f t="shared" si="596"/>
        <v>27.040000000000077</v>
      </c>
      <c r="BW266" s="23">
        <f t="shared" si="596"/>
        <v>0</v>
      </c>
      <c r="BX266" s="23">
        <f t="shared" si="596"/>
        <v>36.299999999999841</v>
      </c>
      <c r="BY266" s="23">
        <f t="shared" si="596"/>
        <v>2.2737367544323206E-13</v>
      </c>
      <c r="BZ266" s="23">
        <f t="shared" si="596"/>
        <v>0.35999999999978627</v>
      </c>
      <c r="CA266" s="23">
        <f t="shared" si="596"/>
        <v>0</v>
      </c>
      <c r="CB266" s="23">
        <f t="shared" si="596"/>
        <v>60.660000000000196</v>
      </c>
      <c r="CC266" s="23">
        <f t="shared" si="596"/>
        <v>0</v>
      </c>
      <c r="CD266" s="23">
        <f t="shared" si="596"/>
        <v>-0.28999999999996362</v>
      </c>
      <c r="CE266" s="23">
        <f t="shared" si="596"/>
        <v>0</v>
      </c>
      <c r="CF266" s="23">
        <f t="shared" si="596"/>
        <v>-5.5800000000000409</v>
      </c>
      <c r="CG266" s="23">
        <f t="shared" si="596"/>
        <v>0</v>
      </c>
      <c r="CH266" s="23">
        <f t="shared" si="596"/>
        <v>-3.7599999999999909</v>
      </c>
      <c r="CI266" s="23">
        <f t="shared" si="596"/>
        <v>0</v>
      </c>
      <c r="CJ266" s="23">
        <f t="shared" si="596"/>
        <v>-11.439999999999827</v>
      </c>
      <c r="CK266" s="23">
        <f t="shared" si="596"/>
        <v>1.1368683772161603E-13</v>
      </c>
      <c r="CL266" s="23">
        <f t="shared" si="596"/>
        <v>-1.6700000000000728</v>
      </c>
      <c r="CM266" s="24">
        <f t="shared" si="596"/>
        <v>0</v>
      </c>
      <c r="CN266" s="24">
        <f t="shared" si="596"/>
        <v>0</v>
      </c>
      <c r="CO266" s="24">
        <f t="shared" si="596"/>
        <v>0</v>
      </c>
      <c r="CP266" s="24">
        <f t="shared" si="596"/>
        <v>0</v>
      </c>
      <c r="CQ266" s="24">
        <f t="shared" si="596"/>
        <v>0</v>
      </c>
      <c r="CR266" s="24">
        <f t="shared" si="596"/>
        <v>0</v>
      </c>
      <c r="CS266" s="24">
        <f t="shared" si="596"/>
        <v>0</v>
      </c>
      <c r="CT266" s="24">
        <f t="shared" si="596"/>
        <v>0</v>
      </c>
      <c r="CU266" s="24">
        <f t="shared" ref="CU266:DB266" si="597">CU174-CU102-CT174+CU176-CT176</f>
        <v>0</v>
      </c>
      <c r="CV266" s="24">
        <f t="shared" si="597"/>
        <v>0</v>
      </c>
      <c r="CW266" s="24">
        <f t="shared" si="597"/>
        <v>0</v>
      </c>
      <c r="CX266" s="24">
        <f t="shared" si="597"/>
        <v>0</v>
      </c>
      <c r="CY266" s="24">
        <f t="shared" si="597"/>
        <v>0</v>
      </c>
      <c r="CZ266" s="24">
        <f t="shared" si="597"/>
        <v>0</v>
      </c>
      <c r="DA266" s="24">
        <f t="shared" si="597"/>
        <v>0</v>
      </c>
      <c r="DB266" s="24">
        <f t="shared" si="597"/>
        <v>0</v>
      </c>
      <c r="DE266" s="123"/>
      <c r="DF266" s="23">
        <v>0</v>
      </c>
    </row>
    <row r="267" spans="1:110" s="23" customFormat="1" x14ac:dyDescent="0.2">
      <c r="AB267" s="24"/>
      <c r="AC267" s="24"/>
      <c r="AD267" s="24"/>
      <c r="AE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E267" s="123"/>
    </row>
    <row r="268" spans="1:110" s="23" customFormat="1" x14ac:dyDescent="0.2">
      <c r="A268" s="23" t="s">
        <v>441</v>
      </c>
      <c r="C268" s="23">
        <f t="shared" ref="C268:AE268" si="598">B220</f>
        <v>2.7141834999999999</v>
      </c>
      <c r="D268" s="23">
        <f t="shared" si="598"/>
        <v>2.9217667</v>
      </c>
      <c r="E268" s="23">
        <f t="shared" si="598"/>
        <v>4.6015519999999999</v>
      </c>
      <c r="F268" s="23">
        <f t="shared" si="598"/>
        <v>2.2279574000000002</v>
      </c>
      <c r="G268" s="23">
        <f t="shared" si="598"/>
        <v>2.2358527000000001</v>
      </c>
      <c r="H268" s="23">
        <f t="shared" si="598"/>
        <v>4.5819707000000003</v>
      </c>
      <c r="I268" s="23">
        <f t="shared" si="598"/>
        <v>10.1608155</v>
      </c>
      <c r="J268" s="23">
        <f t="shared" si="598"/>
        <v>8.8821475000000003</v>
      </c>
      <c r="K268" s="23">
        <f t="shared" si="598"/>
        <v>8.4481272999999995</v>
      </c>
      <c r="L268" s="23">
        <f t="shared" si="598"/>
        <v>6.9164896999999996</v>
      </c>
      <c r="M268" s="23">
        <f t="shared" si="598"/>
        <v>10.19</v>
      </c>
      <c r="N268" s="23">
        <f t="shared" si="598"/>
        <v>8.99</v>
      </c>
      <c r="O268" s="23">
        <f t="shared" si="598"/>
        <v>8.17</v>
      </c>
      <c r="P268" s="23">
        <f t="shared" si="598"/>
        <v>3.28</v>
      </c>
      <c r="Q268" s="23">
        <f t="shared" si="598"/>
        <v>3.91</v>
      </c>
      <c r="R268" s="23">
        <f t="shared" si="598"/>
        <v>3.61</v>
      </c>
      <c r="S268" s="23">
        <f t="shared" si="598"/>
        <v>5.69</v>
      </c>
      <c r="T268" s="23">
        <f t="shared" si="598"/>
        <v>1.68</v>
      </c>
      <c r="U268" s="23">
        <f t="shared" si="598"/>
        <v>0.68</v>
      </c>
      <c r="V268" s="23">
        <f t="shared" si="598"/>
        <v>13.65</v>
      </c>
      <c r="W268" s="23">
        <f t="shared" si="598"/>
        <v>10.1</v>
      </c>
      <c r="X268" s="23">
        <f t="shared" si="598"/>
        <v>22.3</v>
      </c>
      <c r="Y268" s="23">
        <f t="shared" si="598"/>
        <v>34.83</v>
      </c>
      <c r="Z268" s="23">
        <f t="shared" si="598"/>
        <v>38.54</v>
      </c>
      <c r="AA268" s="23">
        <f t="shared" si="598"/>
        <v>130.78</v>
      </c>
      <c r="AB268" s="24">
        <f t="shared" si="598"/>
        <v>194.95999999999998</v>
      </c>
      <c r="AC268" s="24">
        <f t="shared" si="598"/>
        <v>128.60693032014677</v>
      </c>
      <c r="AD268" s="24">
        <f t="shared" si="598"/>
        <v>547.8709112883945</v>
      </c>
      <c r="AE268" s="24">
        <f t="shared" si="598"/>
        <v>778.07924652688598</v>
      </c>
      <c r="AI268" s="23">
        <f t="shared" ref="AI268:BN268" si="599">AH220</f>
        <v>0</v>
      </c>
      <c r="AJ268" s="23">
        <f t="shared" si="599"/>
        <v>0</v>
      </c>
      <c r="AK268" s="23">
        <f t="shared" si="599"/>
        <v>5.88</v>
      </c>
      <c r="AL268" s="23">
        <f t="shared" si="599"/>
        <v>68.861336410309605</v>
      </c>
      <c r="AM268" s="23">
        <f t="shared" si="599"/>
        <v>8.17</v>
      </c>
      <c r="AN268" s="23">
        <f t="shared" si="599"/>
        <v>4.7879605889267882</v>
      </c>
      <c r="AO268" s="23">
        <f t="shared" si="599"/>
        <v>2.5</v>
      </c>
      <c r="AP268" s="23">
        <f t="shared" si="599"/>
        <v>17.966617380466758</v>
      </c>
      <c r="AQ268" s="23">
        <f t="shared" si="599"/>
        <v>3.28</v>
      </c>
      <c r="AR268" s="23">
        <f t="shared" si="599"/>
        <v>9.0541274568195274</v>
      </c>
      <c r="AS268" s="23">
        <f t="shared" si="599"/>
        <v>1.75</v>
      </c>
      <c r="AT268" s="23">
        <f t="shared" si="599"/>
        <v>17.334967232125862</v>
      </c>
      <c r="AU268" s="23">
        <f t="shared" si="599"/>
        <v>3.91</v>
      </c>
      <c r="AV268" s="23">
        <f t="shared" si="599"/>
        <v>15.607949461474707</v>
      </c>
      <c r="AW268" s="23">
        <f t="shared" si="599"/>
        <v>2.13</v>
      </c>
      <c r="AX268" s="23">
        <f t="shared" si="599"/>
        <v>70.839358136751514</v>
      </c>
      <c r="AY268" s="23">
        <f t="shared" si="599"/>
        <v>3.61</v>
      </c>
      <c r="AZ268" s="23">
        <f t="shared" si="599"/>
        <v>-6.9285766508514968</v>
      </c>
      <c r="BA268" s="23">
        <f t="shared" si="599"/>
        <v>2.73</v>
      </c>
      <c r="BB268" s="23">
        <f t="shared" si="599"/>
        <v>105.70082000000009</v>
      </c>
      <c r="BC268" s="23">
        <f t="shared" si="599"/>
        <v>5.69</v>
      </c>
      <c r="BD268" s="23">
        <f t="shared" si="599"/>
        <v>8.8299734967698562</v>
      </c>
      <c r="BE268" s="23">
        <f t="shared" si="599"/>
        <v>1.94</v>
      </c>
      <c r="BF268" s="23">
        <f t="shared" si="599"/>
        <v>-56.140146547776268</v>
      </c>
      <c r="BG268" s="23">
        <f t="shared" si="599"/>
        <v>1.68</v>
      </c>
      <c r="BH268" s="23">
        <f t="shared" si="599"/>
        <v>-48.946584763723493</v>
      </c>
      <c r="BI268" s="23">
        <f t="shared" si="599"/>
        <v>0.72</v>
      </c>
      <c r="BJ268" s="23">
        <f t="shared" si="599"/>
        <v>38.028074089799318</v>
      </c>
      <c r="BK268" s="23">
        <f t="shared" si="599"/>
        <v>0.68</v>
      </c>
      <c r="BL268" s="23">
        <f t="shared" si="599"/>
        <v>32.849044411228782</v>
      </c>
      <c r="BM268" s="23">
        <f t="shared" si="599"/>
        <v>8.44</v>
      </c>
      <c r="BN268" s="23">
        <f t="shared" si="599"/>
        <v>66.327468268777281</v>
      </c>
      <c r="BO268" s="23">
        <f t="shared" ref="BO268:CT268" si="600">BN220</f>
        <v>13.65</v>
      </c>
      <c r="BP268" s="23">
        <f t="shared" si="600"/>
        <v>381.76618630136971</v>
      </c>
      <c r="BQ268" s="23">
        <f t="shared" si="600"/>
        <v>5.1100000000000003</v>
      </c>
      <c r="BR268" s="23">
        <f t="shared" si="600"/>
        <v>-191.13622263474599</v>
      </c>
      <c r="BS268" s="23">
        <f t="shared" si="600"/>
        <v>10.1</v>
      </c>
      <c r="BT268" s="23">
        <f t="shared" si="600"/>
        <v>116.67343150657402</v>
      </c>
      <c r="BU268" s="23">
        <f t="shared" si="600"/>
        <v>11.98</v>
      </c>
      <c r="BV268" s="23">
        <f t="shared" si="600"/>
        <v>45.242288469969395</v>
      </c>
      <c r="BW268" s="23">
        <f t="shared" si="600"/>
        <v>22.3</v>
      </c>
      <c r="BX268" s="23">
        <f t="shared" si="600"/>
        <v>100.75531750010168</v>
      </c>
      <c r="BY268" s="23">
        <f t="shared" si="600"/>
        <v>54.3</v>
      </c>
      <c r="BZ268" s="23">
        <f t="shared" si="600"/>
        <v>178.21133761912836</v>
      </c>
      <c r="CA268" s="23">
        <f t="shared" si="600"/>
        <v>34.83</v>
      </c>
      <c r="CB268" s="23">
        <f t="shared" si="600"/>
        <v>54.696182269607007</v>
      </c>
      <c r="CC268" s="23">
        <f t="shared" si="600"/>
        <v>28.810000000000002</v>
      </c>
      <c r="CD268" s="23">
        <f t="shared" si="600"/>
        <v>40.799517129496891</v>
      </c>
      <c r="CE268" s="23">
        <f t="shared" si="600"/>
        <v>38.54</v>
      </c>
      <c r="CF268" s="23">
        <f t="shared" si="600"/>
        <v>60.7762796668191</v>
      </c>
      <c r="CG268" s="23">
        <f t="shared" si="600"/>
        <v>20.010000000000002</v>
      </c>
      <c r="CH268" s="23">
        <f t="shared" si="600"/>
        <v>-67.342706591080258</v>
      </c>
      <c r="CI268" s="23">
        <f t="shared" si="600"/>
        <v>130.78</v>
      </c>
      <c r="CJ268" s="23">
        <f t="shared" si="600"/>
        <v>123.70088982704641</v>
      </c>
      <c r="CK268" s="23">
        <f t="shared" si="600"/>
        <v>122.62</v>
      </c>
      <c r="CL268" s="23">
        <f t="shared" si="600"/>
        <v>182.24216667938697</v>
      </c>
      <c r="CM268" s="24">
        <f t="shared" si="600"/>
        <v>194.95999999999998</v>
      </c>
      <c r="CN268" s="24">
        <f t="shared" si="600"/>
        <v>134.56924148350194</v>
      </c>
      <c r="CO268" s="24">
        <f t="shared" si="600"/>
        <v>130.12447543473257</v>
      </c>
      <c r="CP268" s="24">
        <f t="shared" si="600"/>
        <v>128.86152207052208</v>
      </c>
      <c r="CQ268" s="24">
        <f t="shared" si="600"/>
        <v>128.60693032014677</v>
      </c>
      <c r="CR268" s="24">
        <f t="shared" si="600"/>
        <v>219.44451274076619</v>
      </c>
      <c r="CS268" s="24">
        <f t="shared" si="600"/>
        <v>315.25412680726828</v>
      </c>
      <c r="CT268" s="24">
        <f t="shared" si="600"/>
        <v>428.56590758892571</v>
      </c>
      <c r="CU268" s="24">
        <f t="shared" ref="CU268:DB268" si="601">CT220</f>
        <v>547.8709112883945</v>
      </c>
      <c r="CV268" s="24">
        <f t="shared" si="601"/>
        <v>601.51910681591733</v>
      </c>
      <c r="CW268" s="24">
        <f t="shared" si="601"/>
        <v>658.06669784871428</v>
      </c>
      <c r="CX268" s="24">
        <f t="shared" si="601"/>
        <v>717.0579015303133</v>
      </c>
      <c r="CY268" s="24">
        <f t="shared" si="601"/>
        <v>778.07924652688598</v>
      </c>
      <c r="CZ268" s="24">
        <f t="shared" si="601"/>
        <v>840.78270243112627</v>
      </c>
      <c r="DA268" s="24">
        <f t="shared" si="601"/>
        <v>905.8697283772841</v>
      </c>
      <c r="DB268" s="24">
        <f t="shared" si="601"/>
        <v>973.21161819986105</v>
      </c>
      <c r="DE268" s="123"/>
      <c r="DF268" s="23">
        <v>182.24216667938657</v>
      </c>
    </row>
    <row r="269" spans="1:110" s="23" customFormat="1" x14ac:dyDescent="0.2">
      <c r="A269" s="23" t="s">
        <v>442</v>
      </c>
      <c r="C269" s="23">
        <f t="shared" ref="C269:W269" si="602">C268+C264+C260+C258</f>
        <v>2.9217667000000169</v>
      </c>
      <c r="D269" s="23">
        <f t="shared" si="602"/>
        <v>4.6015519999999874</v>
      </c>
      <c r="E269" s="23">
        <f t="shared" si="602"/>
        <v>2.2279574000000011</v>
      </c>
      <c r="F269" s="23">
        <f t="shared" si="602"/>
        <v>2.2358526999999988</v>
      </c>
      <c r="G269" s="23">
        <f t="shared" si="602"/>
        <v>4.5819707000000136</v>
      </c>
      <c r="H269" s="23">
        <f t="shared" si="602"/>
        <v>10.160815500000012</v>
      </c>
      <c r="I269" s="23">
        <f t="shared" si="602"/>
        <v>8.8821475000000589</v>
      </c>
      <c r="J269" s="23">
        <f>J268+J264+J260+J258</f>
        <v>8.4481272999997969</v>
      </c>
      <c r="K269" s="23">
        <f>K268+K264+K260+K258</f>
        <v>6.9164896999999215</v>
      </c>
      <c r="L269" s="23">
        <f>L268+L264+L260+L258</f>
        <v>10.190000000000083</v>
      </c>
      <c r="M269" s="23">
        <f>M268+M264+M260+M258</f>
        <v>8.9899999999998101</v>
      </c>
      <c r="N269" s="23">
        <f t="shared" si="602"/>
        <v>8.1700000000001154</v>
      </c>
      <c r="O269" s="23">
        <f t="shared" si="602"/>
        <v>3.2799999999999301</v>
      </c>
      <c r="P269" s="23">
        <f t="shared" si="602"/>
        <v>3.9099999999999682</v>
      </c>
      <c r="Q269" s="23">
        <f t="shared" si="602"/>
        <v>3.6099999999998857</v>
      </c>
      <c r="R269" s="23">
        <f t="shared" si="602"/>
        <v>5.6900000000002109</v>
      </c>
      <c r="S269" s="23">
        <f t="shared" si="602"/>
        <v>1.6800000000000495</v>
      </c>
      <c r="T269" s="23">
        <f t="shared" si="602"/>
        <v>0.67999999999976524</v>
      </c>
      <c r="U269" s="23">
        <f t="shared" si="602"/>
        <v>13.650000000000276</v>
      </c>
      <c r="V269" s="23">
        <f t="shared" si="602"/>
        <v>10.099999999999994</v>
      </c>
      <c r="W269" s="23">
        <f t="shared" si="602"/>
        <v>22.299999999999784</v>
      </c>
      <c r="X269" s="23">
        <f t="shared" ref="X269:AE269" si="603">X268+X264+X260+X258</f>
        <v>34.830000000000126</v>
      </c>
      <c r="Y269" s="23">
        <f t="shared" si="603"/>
        <v>38.54000000000002</v>
      </c>
      <c r="Z269" s="23">
        <f t="shared" si="603"/>
        <v>130.77999999999966</v>
      </c>
      <c r="AA269" s="23">
        <f t="shared" ref="AA269" si="604">AA268+AA264+AA260+AA258</f>
        <v>194.95999999999975</v>
      </c>
      <c r="AB269" s="24">
        <f t="shared" si="603"/>
        <v>128.6069303201474</v>
      </c>
      <c r="AC269" s="24">
        <f t="shared" si="603"/>
        <v>547.87091128839472</v>
      </c>
      <c r="AD269" s="24">
        <f t="shared" si="603"/>
        <v>778.0792465268861</v>
      </c>
      <c r="AE269" s="24">
        <f t="shared" si="603"/>
        <v>1042.761723527668</v>
      </c>
      <c r="AI269" s="23">
        <f>AI268+AI264+AI260+AI258</f>
        <v>0</v>
      </c>
      <c r="AJ269" s="23">
        <f>AJ268+AJ264+AJ260+AJ258</f>
        <v>5.8799999999999386</v>
      </c>
      <c r="AK269" s="23">
        <f>AK268+AK264+AK260+AK258</f>
        <v>68.861336410309605</v>
      </c>
      <c r="AL269" s="23">
        <f>AL268+AL264+AL260+AL258</f>
        <v>8.1700000000001545</v>
      </c>
      <c r="AM269" s="23">
        <f>AM268+AM264+AM260+AM258</f>
        <v>4.7879605889267882</v>
      </c>
      <c r="AN269" s="23">
        <f t="shared" ref="AN269:CD269" si="605">AN268+AN264+AN260+AN258</f>
        <v>2.4999999999998863</v>
      </c>
      <c r="AO269" s="23">
        <f t="shared" si="605"/>
        <v>17.966617380466758</v>
      </c>
      <c r="AP269" s="23">
        <f t="shared" si="605"/>
        <v>3.3000000000000043</v>
      </c>
      <c r="AQ269" s="23">
        <f t="shared" si="605"/>
        <v>9.0541274568195274</v>
      </c>
      <c r="AR269" s="23">
        <f t="shared" si="605"/>
        <v>1.7300000000000519</v>
      </c>
      <c r="AS269" s="23">
        <f t="shared" si="605"/>
        <v>17.334967232125862</v>
      </c>
      <c r="AT269" s="23">
        <f t="shared" si="605"/>
        <v>3.909999999999819</v>
      </c>
      <c r="AU269" s="23">
        <f t="shared" si="605"/>
        <v>15.607949461474707</v>
      </c>
      <c r="AV269" s="23">
        <f t="shared" si="605"/>
        <v>2.1300000000000843</v>
      </c>
      <c r="AW269" s="23">
        <f t="shared" si="605"/>
        <v>70.839358136751514</v>
      </c>
      <c r="AX269" s="23">
        <f t="shared" si="605"/>
        <v>3.6099999999997223</v>
      </c>
      <c r="AY269" s="23">
        <f t="shared" si="605"/>
        <v>-6.9285766508514968</v>
      </c>
      <c r="AZ269" s="23">
        <f t="shared" si="605"/>
        <v>2.7300000000003095</v>
      </c>
      <c r="BA269" s="23">
        <f t="shared" si="605"/>
        <v>105.70082000000009</v>
      </c>
      <c r="BB269" s="23">
        <f t="shared" si="605"/>
        <v>5.690000000000083</v>
      </c>
      <c r="BC269" s="23">
        <f t="shared" si="605"/>
        <v>8.8299734967698562</v>
      </c>
      <c r="BD269" s="23">
        <f t="shared" si="605"/>
        <v>1.9400000000001967</v>
      </c>
      <c r="BE269" s="23">
        <f t="shared" si="605"/>
        <v>-56.140146547776268</v>
      </c>
      <c r="BF269" s="23">
        <f t="shared" si="605"/>
        <v>1.6799999999998647</v>
      </c>
      <c r="BG269" s="23">
        <f t="shared" si="605"/>
        <v>-48.946584763723493</v>
      </c>
      <c r="BH269" s="23">
        <f t="shared" si="605"/>
        <v>0.72000000000009834</v>
      </c>
      <c r="BI269" s="23">
        <f t="shared" si="605"/>
        <v>38.028074089799318</v>
      </c>
      <c r="BJ269" s="23">
        <f t="shared" si="605"/>
        <v>0.67999999999972971</v>
      </c>
      <c r="BK269" s="23">
        <f t="shared" si="605"/>
        <v>32.849044411228782</v>
      </c>
      <c r="BL269" s="23">
        <f t="shared" si="605"/>
        <v>8.4400000000002393</v>
      </c>
      <c r="BM269" s="23">
        <f t="shared" si="605"/>
        <v>66.327468268777281</v>
      </c>
      <c r="BN269" s="23">
        <f t="shared" si="605"/>
        <v>13.649999999999935</v>
      </c>
      <c r="BO269" s="23">
        <f t="shared" si="605"/>
        <v>381.76618630136971</v>
      </c>
      <c r="BP269" s="23">
        <f t="shared" si="605"/>
        <v>5.1099999999999</v>
      </c>
      <c r="BQ269" s="23">
        <f t="shared" si="605"/>
        <v>-191.13622263474599</v>
      </c>
      <c r="BR269" s="23">
        <f t="shared" si="605"/>
        <v>10.099999999999966</v>
      </c>
      <c r="BS269" s="23">
        <f t="shared" si="605"/>
        <v>116.67343150657402</v>
      </c>
      <c r="BT269" s="23">
        <f t="shared" si="605"/>
        <v>11.979999999999933</v>
      </c>
      <c r="BU269" s="23">
        <f t="shared" si="605"/>
        <v>45.242288469969395</v>
      </c>
      <c r="BV269" s="23">
        <f t="shared" si="605"/>
        <v>22.300000000000352</v>
      </c>
      <c r="BW269" s="23">
        <f t="shared" si="605"/>
        <v>100.75531750010168</v>
      </c>
      <c r="BX269" s="23">
        <f t="shared" si="605"/>
        <v>54.299999999999699</v>
      </c>
      <c r="BY269" s="23">
        <f t="shared" si="605"/>
        <v>178.21133761912836</v>
      </c>
      <c r="BZ269" s="23">
        <f t="shared" si="605"/>
        <v>34.82999999999992</v>
      </c>
      <c r="CA269" s="23">
        <f t="shared" si="605"/>
        <v>54.696182269607007</v>
      </c>
      <c r="CB269" s="23">
        <f t="shared" si="605"/>
        <v>28.810000000000265</v>
      </c>
      <c r="CC269" s="23">
        <f t="shared" si="605"/>
        <v>40.799517129496891</v>
      </c>
      <c r="CD269" s="23">
        <f t="shared" si="605"/>
        <v>38.540000000000013</v>
      </c>
      <c r="CE269" s="23">
        <f t="shared" ref="CE269:CJ269" si="606">CE268+CE264+CE260+CE258</f>
        <v>60.7762796668191</v>
      </c>
      <c r="CF269" s="23">
        <f t="shared" si="606"/>
        <v>20.009999999999877</v>
      </c>
      <c r="CG269" s="23">
        <f t="shared" si="606"/>
        <v>-67.342706591080258</v>
      </c>
      <c r="CH269" s="23">
        <f t="shared" si="606"/>
        <v>130.7800000000002</v>
      </c>
      <c r="CI269" s="23">
        <f t="shared" si="606"/>
        <v>123.70088982704641</v>
      </c>
      <c r="CJ269" s="23">
        <f t="shared" si="606"/>
        <v>122.61999999999998</v>
      </c>
      <c r="CK269" s="23">
        <f t="shared" ref="CK269:DB269" si="607">CK268+CK264+CK260+CK258</f>
        <v>182.24216667938697</v>
      </c>
      <c r="CL269" s="23">
        <f t="shared" si="607"/>
        <v>194.96000000000046</v>
      </c>
      <c r="CM269" s="24">
        <f t="shared" si="607"/>
        <v>134.56924148350194</v>
      </c>
      <c r="CN269" s="24">
        <f t="shared" si="607"/>
        <v>130.12447543473257</v>
      </c>
      <c r="CO269" s="24">
        <f t="shared" si="607"/>
        <v>128.86152207052208</v>
      </c>
      <c r="CP269" s="24">
        <f t="shared" si="607"/>
        <v>128.60693032014677</v>
      </c>
      <c r="CQ269" s="24">
        <f t="shared" si="607"/>
        <v>219.44451274076619</v>
      </c>
      <c r="CR269" s="24">
        <f t="shared" si="607"/>
        <v>315.25412680726828</v>
      </c>
      <c r="CS269" s="24">
        <f t="shared" si="607"/>
        <v>428.56590758892571</v>
      </c>
      <c r="CT269" s="24">
        <f t="shared" si="607"/>
        <v>547.8709112883945</v>
      </c>
      <c r="CU269" s="24">
        <f t="shared" si="607"/>
        <v>601.51910681591733</v>
      </c>
      <c r="CV269" s="24">
        <f t="shared" si="607"/>
        <v>658.06669784871428</v>
      </c>
      <c r="CW269" s="24">
        <f t="shared" si="607"/>
        <v>717.0579015303133</v>
      </c>
      <c r="CX269" s="24">
        <f t="shared" si="607"/>
        <v>778.07924652688598</v>
      </c>
      <c r="CY269" s="24">
        <f t="shared" si="607"/>
        <v>840.78270243112627</v>
      </c>
      <c r="CZ269" s="24">
        <f t="shared" si="607"/>
        <v>905.8697283772841</v>
      </c>
      <c r="DA269" s="24">
        <f t="shared" si="607"/>
        <v>973.21161819986105</v>
      </c>
      <c r="DB269" s="24">
        <f t="shared" si="607"/>
        <v>1042.7617235276682</v>
      </c>
      <c r="DE269" s="123"/>
      <c r="DF269" s="23">
        <v>197.15010018110573</v>
      </c>
    </row>
    <row r="270" spans="1:110" s="28" customFormat="1" x14ac:dyDescent="0.2">
      <c r="A270" s="28" t="s">
        <v>443</v>
      </c>
      <c r="C270" s="28">
        <f t="shared" ref="C270:W270" si="608">C269-C220</f>
        <v>1.6875389974302379E-14</v>
      </c>
      <c r="D270" s="28">
        <f t="shared" si="608"/>
        <v>-1.2434497875801753E-14</v>
      </c>
      <c r="E270" s="28">
        <f t="shared" si="608"/>
        <v>0</v>
      </c>
      <c r="F270" s="28">
        <f t="shared" si="608"/>
        <v>0</v>
      </c>
      <c r="G270" s="28">
        <f t="shared" si="608"/>
        <v>1.3322676295501878E-14</v>
      </c>
      <c r="H270" s="28">
        <f t="shared" si="608"/>
        <v>0</v>
      </c>
      <c r="I270" s="28">
        <f t="shared" si="608"/>
        <v>5.8619775700208265E-14</v>
      </c>
      <c r="J270" s="28">
        <f>J269-J220</f>
        <v>-2.0250467969162855E-13</v>
      </c>
      <c r="K270" s="28">
        <f t="shared" si="608"/>
        <v>-7.815970093361102E-14</v>
      </c>
      <c r="L270" s="28">
        <f t="shared" si="608"/>
        <v>8.3488771451811772E-14</v>
      </c>
      <c r="M270" s="28">
        <f t="shared" si="608"/>
        <v>-1.900701818158268E-13</v>
      </c>
      <c r="N270" s="28">
        <f t="shared" si="608"/>
        <v>1.1546319456101628E-13</v>
      </c>
      <c r="O270" s="28">
        <f t="shared" si="608"/>
        <v>-6.9722005946459831E-14</v>
      </c>
      <c r="P270" s="28">
        <f t="shared" si="608"/>
        <v>-3.1974423109204508E-14</v>
      </c>
      <c r="Q270" s="28">
        <f t="shared" si="608"/>
        <v>-1.1413092693146609E-13</v>
      </c>
      <c r="R270" s="28">
        <f t="shared" si="608"/>
        <v>2.1049828546892968E-13</v>
      </c>
      <c r="S270" s="28">
        <f t="shared" si="608"/>
        <v>4.9515946898281982E-14</v>
      </c>
      <c r="T270" s="28">
        <f t="shared" si="608"/>
        <v>-2.3481216970822061E-13</v>
      </c>
      <c r="U270" s="28">
        <f t="shared" si="608"/>
        <v>2.7533531010703882E-13</v>
      </c>
      <c r="V270" s="28">
        <f t="shared" si="608"/>
        <v>0</v>
      </c>
      <c r="W270" s="28">
        <f t="shared" si="608"/>
        <v>-2.1671553440683056E-13</v>
      </c>
      <c r="X270" s="28">
        <f t="shared" ref="X270:AE270" si="609">X269-X220</f>
        <v>1.2789769243681803E-13</v>
      </c>
      <c r="Y270" s="28">
        <f t="shared" si="609"/>
        <v>0</v>
      </c>
      <c r="Z270" s="28">
        <f t="shared" si="609"/>
        <v>-3.4106051316484809E-13</v>
      </c>
      <c r="AA270" s="28">
        <f t="shared" ref="AA270" si="610">AA269-AA220</f>
        <v>-2.2737367544323206E-13</v>
      </c>
      <c r="AB270" s="30">
        <f t="shared" si="609"/>
        <v>6.2527760746888816E-13</v>
      </c>
      <c r="AC270" s="30">
        <f t="shared" si="609"/>
        <v>0</v>
      </c>
      <c r="AD270" s="30">
        <f t="shared" si="609"/>
        <v>0</v>
      </c>
      <c r="AE270" s="30">
        <f t="shared" si="609"/>
        <v>0</v>
      </c>
      <c r="AI270" s="28">
        <f>AI269-AI220</f>
        <v>0</v>
      </c>
      <c r="AJ270" s="28">
        <f>AJ269-AJ220</f>
        <v>-6.1284310959308641E-14</v>
      </c>
      <c r="AK270" s="28">
        <f>AK269-AK220</f>
        <v>0</v>
      </c>
      <c r="AL270" s="28">
        <f>AL269-AL220</f>
        <v>1.5454304502782179E-13</v>
      </c>
      <c r="AM270" s="28">
        <f>AM269-AM220</f>
        <v>0</v>
      </c>
      <c r="AN270" s="28">
        <f t="shared" ref="AN270:CD270" si="611">AN269-AN220</f>
        <v>-1.1368683772161603E-13</v>
      </c>
      <c r="AO270" s="28">
        <f t="shared" si="611"/>
        <v>0</v>
      </c>
      <c r="AP270" s="28">
        <f t="shared" si="611"/>
        <v>2.0000000000004459E-2</v>
      </c>
      <c r="AQ270" s="28">
        <f t="shared" si="611"/>
        <v>0</v>
      </c>
      <c r="AR270" s="28">
        <f t="shared" si="611"/>
        <v>-1.9999999999948059E-2</v>
      </c>
      <c r="AS270" s="28">
        <f t="shared" si="611"/>
        <v>0</v>
      </c>
      <c r="AT270" s="28">
        <f t="shared" si="611"/>
        <v>-1.8118839761882555E-13</v>
      </c>
      <c r="AU270" s="28">
        <f t="shared" si="611"/>
        <v>0</v>
      </c>
      <c r="AV270" s="28">
        <f t="shared" si="611"/>
        <v>8.4376949871511897E-14</v>
      </c>
      <c r="AW270" s="28">
        <f t="shared" si="611"/>
        <v>0</v>
      </c>
      <c r="AX270" s="28">
        <f t="shared" si="611"/>
        <v>-2.7755575615628914E-13</v>
      </c>
      <c r="AY270" s="28">
        <f t="shared" si="611"/>
        <v>0</v>
      </c>
      <c r="AZ270" s="28">
        <f t="shared" si="611"/>
        <v>3.0953017926549364E-13</v>
      </c>
      <c r="BA270" s="28">
        <f t="shared" si="611"/>
        <v>0</v>
      </c>
      <c r="BB270" s="28">
        <f t="shared" si="611"/>
        <v>8.2600593032111647E-14</v>
      </c>
      <c r="BC270" s="28">
        <f t="shared" si="611"/>
        <v>0</v>
      </c>
      <c r="BD270" s="28">
        <f t="shared" si="611"/>
        <v>1.9673151996357774E-13</v>
      </c>
      <c r="BE270" s="28">
        <f t="shared" si="611"/>
        <v>0</v>
      </c>
      <c r="BF270" s="28">
        <f t="shared" si="611"/>
        <v>-1.3522516439934407E-13</v>
      </c>
      <c r="BG270" s="28">
        <f t="shared" si="611"/>
        <v>0</v>
      </c>
      <c r="BH270" s="28">
        <f t="shared" si="611"/>
        <v>9.8365759981788869E-14</v>
      </c>
      <c r="BI270" s="28">
        <f t="shared" si="611"/>
        <v>0</v>
      </c>
      <c r="BJ270" s="28">
        <f t="shared" si="611"/>
        <v>-2.7033930649622562E-13</v>
      </c>
      <c r="BK270" s="28">
        <f t="shared" si="611"/>
        <v>0</v>
      </c>
      <c r="BL270" s="28">
        <f t="shared" si="611"/>
        <v>2.3980817331903381E-13</v>
      </c>
      <c r="BM270" s="28">
        <f t="shared" si="611"/>
        <v>0</v>
      </c>
      <c r="BN270" s="28">
        <f t="shared" si="611"/>
        <v>-6.5725203057809267E-14</v>
      </c>
      <c r="BO270" s="28">
        <f t="shared" si="611"/>
        <v>0</v>
      </c>
      <c r="BP270" s="28">
        <f t="shared" si="611"/>
        <v>-1.0036416142611415E-13</v>
      </c>
      <c r="BQ270" s="28">
        <f t="shared" si="611"/>
        <v>0</v>
      </c>
      <c r="BR270" s="28">
        <f t="shared" si="611"/>
        <v>-3.3750779948604759E-14</v>
      </c>
      <c r="BS270" s="28">
        <f t="shared" si="611"/>
        <v>0</v>
      </c>
      <c r="BT270" s="28">
        <f t="shared" si="611"/>
        <v>-6.7501559897209518E-14</v>
      </c>
      <c r="BU270" s="28">
        <f t="shared" si="611"/>
        <v>0</v>
      </c>
      <c r="BV270" s="28">
        <f t="shared" si="611"/>
        <v>3.5171865420124959E-13</v>
      </c>
      <c r="BW270" s="28">
        <f t="shared" si="611"/>
        <v>0</v>
      </c>
      <c r="BX270" s="28">
        <f t="shared" si="611"/>
        <v>-2.9842794901924208E-13</v>
      </c>
      <c r="BY270" s="28">
        <f t="shared" si="611"/>
        <v>0</v>
      </c>
      <c r="BZ270" s="28">
        <f t="shared" si="611"/>
        <v>-7.815970093361102E-14</v>
      </c>
      <c r="CA270" s="28">
        <f t="shared" si="611"/>
        <v>0</v>
      </c>
      <c r="CB270" s="28">
        <f t="shared" si="611"/>
        <v>2.6290081223123707E-13</v>
      </c>
      <c r="CC270" s="28">
        <f t="shared" si="611"/>
        <v>0</v>
      </c>
      <c r="CD270" s="28">
        <f t="shared" si="611"/>
        <v>0</v>
      </c>
      <c r="CE270" s="28">
        <f t="shared" ref="CE270:CJ270" si="612">CE269-CE220</f>
        <v>0</v>
      </c>
      <c r="CF270" s="28">
        <f t="shared" si="612"/>
        <v>-1.2434497875801753E-13</v>
      </c>
      <c r="CG270" s="28">
        <f t="shared" si="612"/>
        <v>0</v>
      </c>
      <c r="CH270" s="28">
        <f t="shared" si="612"/>
        <v>0</v>
      </c>
      <c r="CI270" s="28">
        <f t="shared" si="612"/>
        <v>0</v>
      </c>
      <c r="CJ270" s="28">
        <f t="shared" si="612"/>
        <v>0</v>
      </c>
      <c r="CK270" s="28">
        <f t="shared" ref="CK270:DB270" si="613">CK269-CK220</f>
        <v>0</v>
      </c>
      <c r="CL270" s="28">
        <f t="shared" si="613"/>
        <v>4.8316906031686813E-13</v>
      </c>
      <c r="CM270" s="30">
        <f t="shared" si="613"/>
        <v>0</v>
      </c>
      <c r="CN270" s="30">
        <f t="shared" si="613"/>
        <v>0</v>
      </c>
      <c r="CO270" s="30">
        <f t="shared" si="613"/>
        <v>0</v>
      </c>
      <c r="CP270" s="30">
        <f t="shared" si="613"/>
        <v>0</v>
      </c>
      <c r="CQ270" s="30">
        <f t="shared" si="613"/>
        <v>0</v>
      </c>
      <c r="CR270" s="30">
        <f t="shared" si="613"/>
        <v>0</v>
      </c>
      <c r="CS270" s="30">
        <f t="shared" si="613"/>
        <v>0</v>
      </c>
      <c r="CT270" s="30">
        <f t="shared" si="613"/>
        <v>0</v>
      </c>
      <c r="CU270" s="30">
        <f t="shared" si="613"/>
        <v>0</v>
      </c>
      <c r="CV270" s="30">
        <f t="shared" si="613"/>
        <v>0</v>
      </c>
      <c r="CW270" s="30">
        <f t="shared" si="613"/>
        <v>0</v>
      </c>
      <c r="CX270" s="30">
        <f t="shared" si="613"/>
        <v>0</v>
      </c>
      <c r="CY270" s="30">
        <f t="shared" si="613"/>
        <v>0</v>
      </c>
      <c r="CZ270" s="30">
        <f t="shared" si="613"/>
        <v>0</v>
      </c>
      <c r="DA270" s="30">
        <f t="shared" si="613"/>
        <v>0</v>
      </c>
      <c r="DB270" s="30">
        <f t="shared" si="613"/>
        <v>0</v>
      </c>
      <c r="DE270" s="139"/>
      <c r="DF270" s="28">
        <v>0</v>
      </c>
    </row>
    <row r="271" spans="1:110" s="23" customFormat="1" x14ac:dyDescent="0.2">
      <c r="AB271" s="24"/>
      <c r="AC271" s="24"/>
      <c r="AD271" s="24"/>
      <c r="AE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E271" s="123"/>
    </row>
    <row r="272" spans="1:110" s="22" customFormat="1" x14ac:dyDescent="0.2">
      <c r="A272" s="22" t="s">
        <v>95</v>
      </c>
      <c r="C272" s="22">
        <f t="shared" ref="C272:W272" si="614">C258+C260</f>
        <v>13.82496390000005</v>
      </c>
      <c r="D272" s="22">
        <f t="shared" si="614"/>
        <v>-29.117715300000011</v>
      </c>
      <c r="E272" s="22">
        <f t="shared" si="614"/>
        <v>-71.189845300000002</v>
      </c>
      <c r="F272" s="22">
        <f t="shared" si="614"/>
        <v>-17.059150999999975</v>
      </c>
      <c r="G272" s="22">
        <f t="shared" si="614"/>
        <v>-156.2420055</v>
      </c>
      <c r="H272" s="22">
        <f t="shared" si="614"/>
        <v>-348.5207663999999</v>
      </c>
      <c r="I272" s="22">
        <f t="shared" si="614"/>
        <v>-86.155516199999923</v>
      </c>
      <c r="J272" s="22">
        <f>J258+J260</f>
        <v>36.385321399999796</v>
      </c>
      <c r="K272" s="22">
        <f t="shared" si="614"/>
        <v>3.2819913999999422</v>
      </c>
      <c r="L272" s="22">
        <f t="shared" si="614"/>
        <v>-16.019755299999787</v>
      </c>
      <c r="M272" s="22">
        <f t="shared" si="614"/>
        <v>-0.2200000000003115</v>
      </c>
      <c r="N272" s="22">
        <f t="shared" si="614"/>
        <v>63.270000000000252</v>
      </c>
      <c r="O272" s="22">
        <f t="shared" si="614"/>
        <v>73.959999999999894</v>
      </c>
      <c r="P272" s="22">
        <f t="shared" si="614"/>
        <v>-13.009999999999906</v>
      </c>
      <c r="Q272" s="22">
        <f t="shared" si="614"/>
        <v>-22.850000000000236</v>
      </c>
      <c r="R272" s="22">
        <f t="shared" si="614"/>
        <v>-57.089999999999861</v>
      </c>
      <c r="S272" s="22">
        <f t="shared" si="614"/>
        <v>-74.329999999999771</v>
      </c>
      <c r="T272" s="22">
        <f t="shared" si="614"/>
        <v>83.36999999999999</v>
      </c>
      <c r="U272" s="22">
        <f t="shared" si="614"/>
        <v>79.360000000000142</v>
      </c>
      <c r="V272" s="22">
        <f t="shared" si="614"/>
        <v>33.710000000000093</v>
      </c>
      <c r="W272" s="22">
        <f t="shared" si="614"/>
        <v>-27.930000000000092</v>
      </c>
      <c r="X272" s="22">
        <f t="shared" ref="X272:AE272" si="615">X258+X260</f>
        <v>-241.16999999999959</v>
      </c>
      <c r="Y272" s="22">
        <f t="shared" si="615"/>
        <v>-297.95000000000016</v>
      </c>
      <c r="Z272" s="22">
        <f t="shared" si="615"/>
        <v>31.9099999999994</v>
      </c>
      <c r="AA272" s="22">
        <f t="shared" ref="AA272" si="616">AA258+AA260</f>
        <v>-63.960000000000093</v>
      </c>
      <c r="AB272" s="21">
        <f t="shared" si="615"/>
        <v>21.646930320147192</v>
      </c>
      <c r="AC272" s="21">
        <f t="shared" si="615"/>
        <v>291.2639809682484</v>
      </c>
      <c r="AD272" s="21">
        <f t="shared" si="615"/>
        <v>374.20833523849183</v>
      </c>
      <c r="AE272" s="21">
        <f t="shared" si="615"/>
        <v>408.68247700078211</v>
      </c>
      <c r="AI272" s="22">
        <f>AI258+AI260</f>
        <v>9.7699999999999569</v>
      </c>
      <c r="AJ272" s="22">
        <f>AJ258+AJ260</f>
        <v>-853.81000000000017</v>
      </c>
      <c r="AK272" s="22">
        <f>AK258+AK260</f>
        <v>62.981336410309609</v>
      </c>
      <c r="AL272" s="22">
        <f>AL258+AL260</f>
        <v>-21.751336410309509</v>
      </c>
      <c r="AM272" s="22">
        <f>AM258+AM260</f>
        <v>-3.3820394110732117</v>
      </c>
      <c r="AN272" s="22">
        <f t="shared" ref="AN272:CD272" si="617">AN258+AN260</f>
        <v>37.902039411073154</v>
      </c>
      <c r="AO272" s="22">
        <f t="shared" si="617"/>
        <v>15.466617380466758</v>
      </c>
      <c r="AP272" s="22">
        <f t="shared" si="617"/>
        <v>18.853382619533342</v>
      </c>
      <c r="AQ272" s="22">
        <f t="shared" si="617"/>
        <v>5.774127456819528</v>
      </c>
      <c r="AR272" s="22">
        <f t="shared" si="617"/>
        <v>-6.1641274568194504</v>
      </c>
      <c r="AS272" s="22">
        <f t="shared" si="617"/>
        <v>15.584967232125862</v>
      </c>
      <c r="AT272" s="22">
        <f t="shared" si="617"/>
        <v>-40.35496723212605</v>
      </c>
      <c r="AU272" s="22">
        <f t="shared" si="617"/>
        <v>11.697949461474707</v>
      </c>
      <c r="AV272" s="22">
        <f t="shared" si="617"/>
        <v>1.7920505385253591</v>
      </c>
      <c r="AW272" s="22">
        <f t="shared" si="617"/>
        <v>68.709358136751518</v>
      </c>
      <c r="AX272" s="22">
        <f t="shared" si="617"/>
        <v>-121.13935813675158</v>
      </c>
      <c r="AY272" s="22">
        <f t="shared" si="617"/>
        <v>-10.538576650851496</v>
      </c>
      <c r="AZ272" s="22">
        <f t="shared" si="617"/>
        <v>-20.531423349148135</v>
      </c>
      <c r="BA272" s="22">
        <f t="shared" si="617"/>
        <v>102.97082000000009</v>
      </c>
      <c r="BB272" s="22">
        <f t="shared" si="617"/>
        <v>-131.85082000000003</v>
      </c>
      <c r="BC272" s="22">
        <f t="shared" si="617"/>
        <v>3.1399734967698549</v>
      </c>
      <c r="BD272" s="22">
        <f t="shared" si="617"/>
        <v>-5.3999734967697606</v>
      </c>
      <c r="BE272" s="22">
        <f t="shared" si="617"/>
        <v>-58.080146547776273</v>
      </c>
      <c r="BF272" s="22">
        <f t="shared" si="617"/>
        <v>-2.6098534522238737</v>
      </c>
      <c r="BG272" s="22">
        <f t="shared" si="617"/>
        <v>-50.626584763723443</v>
      </c>
      <c r="BH272" s="22">
        <f t="shared" si="617"/>
        <v>95.39658476372361</v>
      </c>
      <c r="BI272" s="22">
        <f t="shared" si="617"/>
        <v>37.308074089799319</v>
      </c>
      <c r="BJ272" s="22">
        <f t="shared" si="617"/>
        <v>-2.4380740897995068</v>
      </c>
      <c r="BK272" s="22">
        <f t="shared" si="617"/>
        <v>32.169044411228782</v>
      </c>
      <c r="BL272" s="22">
        <f t="shared" si="617"/>
        <v>34.750955588771312</v>
      </c>
      <c r="BM272" s="22">
        <f t="shared" si="617"/>
        <v>57.887468268777283</v>
      </c>
      <c r="BN272" s="22">
        <f t="shared" si="617"/>
        <v>-66.007468268777274</v>
      </c>
      <c r="BO272" s="22">
        <f t="shared" si="617"/>
        <v>368.11618630136974</v>
      </c>
      <c r="BP272" s="22">
        <f t="shared" si="617"/>
        <v>-307.00618630136984</v>
      </c>
      <c r="BQ272" s="22">
        <f t="shared" si="617"/>
        <v>-196.246222634746</v>
      </c>
      <c r="BR272" s="22">
        <f t="shared" si="617"/>
        <v>198.01622263474593</v>
      </c>
      <c r="BS272" s="22">
        <f t="shared" si="617"/>
        <v>106.57343150657402</v>
      </c>
      <c r="BT272" s="22">
        <f t="shared" si="617"/>
        <v>-183.1934315065742</v>
      </c>
      <c r="BU272" s="22">
        <f t="shared" si="617"/>
        <v>33.262288469969391</v>
      </c>
      <c r="BV272" s="22">
        <f t="shared" si="617"/>
        <v>-60.952288469969147</v>
      </c>
      <c r="BW272" s="22">
        <f t="shared" si="617"/>
        <v>78.455317500101685</v>
      </c>
      <c r="BX272" s="22">
        <f t="shared" si="617"/>
        <v>-273.95531750010173</v>
      </c>
      <c r="BY272" s="22">
        <f t="shared" si="617"/>
        <v>123.91133761912812</v>
      </c>
      <c r="BZ272" s="22">
        <f t="shared" si="617"/>
        <v>-169.58133761912825</v>
      </c>
      <c r="CA272" s="22">
        <f t="shared" si="617"/>
        <v>19.866182269607009</v>
      </c>
      <c r="CB272" s="22">
        <f t="shared" si="617"/>
        <v>-193.98618226960699</v>
      </c>
      <c r="CC272" s="22">
        <f t="shared" si="617"/>
        <v>11.989517129496889</v>
      </c>
      <c r="CD272" s="22">
        <f t="shared" si="617"/>
        <v>-135.81951712949683</v>
      </c>
      <c r="CE272" s="22">
        <f t="shared" ref="CE272:CJ272" si="618">CE258+CE260</f>
        <v>22.236279666819101</v>
      </c>
      <c r="CF272" s="22">
        <f t="shared" si="618"/>
        <v>-169.01627966681912</v>
      </c>
      <c r="CG272" s="22">
        <f t="shared" si="618"/>
        <v>-87.352706591080263</v>
      </c>
      <c r="CH272" s="22">
        <f t="shared" si="618"/>
        <v>266.04270659108033</v>
      </c>
      <c r="CI272" s="22">
        <f t="shared" si="618"/>
        <v>-7.0791101729535839</v>
      </c>
      <c r="CJ272" s="22">
        <f t="shared" si="618"/>
        <v>-144.47088982704653</v>
      </c>
      <c r="CK272" s="22">
        <f t="shared" ref="CK272:DB272" si="619">CK258+CK260</f>
        <v>59.622166679386837</v>
      </c>
      <c r="CL272" s="22">
        <f t="shared" si="619"/>
        <v>27.967833320613494</v>
      </c>
      <c r="CM272" s="21">
        <f t="shared" si="619"/>
        <v>-38.390758516498039</v>
      </c>
      <c r="CN272" s="21">
        <f t="shared" si="619"/>
        <v>17.555233951230647</v>
      </c>
      <c r="CO272" s="21">
        <f t="shared" si="619"/>
        <v>20.737046635789525</v>
      </c>
      <c r="CP272" s="21">
        <f t="shared" si="619"/>
        <v>21.745408249624674</v>
      </c>
      <c r="CQ272" s="21">
        <f t="shared" si="619"/>
        <v>58.837582420619412</v>
      </c>
      <c r="CR272" s="21">
        <f t="shared" si="619"/>
        <v>63.809614066502093</v>
      </c>
      <c r="CS272" s="21">
        <f t="shared" si="619"/>
        <v>81.311780781657447</v>
      </c>
      <c r="CT272" s="21">
        <f t="shared" si="619"/>
        <v>87.305003699468742</v>
      </c>
      <c r="CU272" s="21">
        <f t="shared" si="619"/>
        <v>89.648195527522873</v>
      </c>
      <c r="CV272" s="21">
        <f t="shared" si="619"/>
        <v>92.547591032797015</v>
      </c>
      <c r="CW272" s="21">
        <f t="shared" si="619"/>
        <v>94.991203681599018</v>
      </c>
      <c r="CX272" s="21">
        <f t="shared" si="619"/>
        <v>97.021344996572665</v>
      </c>
      <c r="CY272" s="21">
        <f t="shared" si="619"/>
        <v>98.703455904240244</v>
      </c>
      <c r="CZ272" s="21">
        <f t="shared" si="619"/>
        <v>101.08702594615784</v>
      </c>
      <c r="DA272" s="21">
        <f t="shared" si="619"/>
        <v>103.34188982257696</v>
      </c>
      <c r="DB272" s="21">
        <f t="shared" si="619"/>
        <v>105.55010532780716</v>
      </c>
      <c r="DE272" s="126"/>
      <c r="DF272" s="22">
        <v>14.90793350171915</v>
      </c>
    </row>
    <row r="273" spans="1:110" x14ac:dyDescent="0.2">
      <c r="A273" s="152" t="s">
        <v>495</v>
      </c>
      <c r="AA273" s="2"/>
      <c r="CL273" s="2"/>
    </row>
    <row r="274" spans="1:110" x14ac:dyDescent="0.2">
      <c r="AA274" s="2"/>
      <c r="CL274" s="2"/>
    </row>
    <row r="275" spans="1:110" s="7" customFormat="1" hidden="1" outlineLevel="1" x14ac:dyDescent="0.2">
      <c r="A275" s="61" t="s">
        <v>96</v>
      </c>
      <c r="AB275" s="77"/>
      <c r="AC275" s="77"/>
      <c r="AD275" s="77"/>
      <c r="AE275" s="77"/>
      <c r="CM275" s="50"/>
      <c r="CN275" s="50"/>
      <c r="CO275" s="50"/>
      <c r="CP275" s="50"/>
      <c r="CQ275" s="50"/>
      <c r="CR275" s="50"/>
      <c r="CS275" s="50"/>
      <c r="CT275" s="50"/>
      <c r="CU275" s="50"/>
      <c r="CV275" s="50"/>
      <c r="CW275" s="50"/>
      <c r="CX275" s="50"/>
      <c r="CY275" s="50"/>
      <c r="CZ275" s="50"/>
      <c r="DA275" s="50"/>
      <c r="DB275" s="50"/>
      <c r="DE275" s="138"/>
    </row>
    <row r="276" spans="1:110" s="62" customFormat="1" hidden="1" outlineLevel="1" x14ac:dyDescent="0.2">
      <c r="A276" s="62" t="s">
        <v>97</v>
      </c>
      <c r="AB276" s="63"/>
      <c r="AC276" s="63"/>
      <c r="AD276" s="63"/>
      <c r="AE276" s="63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E276" s="139"/>
    </row>
    <row r="277" spans="1:110" s="62" customFormat="1" hidden="1" outlineLevel="1" x14ac:dyDescent="0.2">
      <c r="A277" s="62" t="s">
        <v>98</v>
      </c>
      <c r="AB277" s="63"/>
      <c r="AC277" s="63"/>
      <c r="AD277" s="63"/>
      <c r="AE277" s="63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E277" s="139"/>
    </row>
    <row r="278" spans="1:110" s="62" customFormat="1" hidden="1" outlineLevel="1" x14ac:dyDescent="0.2">
      <c r="A278" s="62" t="s">
        <v>99</v>
      </c>
      <c r="AB278" s="63"/>
      <c r="AC278" s="63"/>
      <c r="AD278" s="63"/>
      <c r="AE278" s="63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E278" s="139"/>
    </row>
    <row r="279" spans="1:110" s="62" customFormat="1" hidden="1" outlineLevel="1" x14ac:dyDescent="0.2">
      <c r="AB279" s="63"/>
      <c r="AC279" s="63"/>
      <c r="AD279" s="63"/>
      <c r="AE279" s="63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E279" s="139"/>
    </row>
    <row r="280" spans="1:110" s="62" customFormat="1" hidden="1" outlineLevel="1" x14ac:dyDescent="0.2">
      <c r="AB280" s="63"/>
      <c r="AC280" s="63"/>
      <c r="AD280" s="63"/>
      <c r="AE280" s="63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E280" s="139"/>
    </row>
    <row r="281" spans="1:110" s="62" customFormat="1" hidden="1" outlineLevel="1" x14ac:dyDescent="0.2">
      <c r="AB281" s="63"/>
      <c r="AC281" s="63"/>
      <c r="AD281" s="63"/>
      <c r="AE281" s="63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E281" s="139"/>
    </row>
    <row r="282" spans="1:110" s="11" customFormat="1" collapsed="1" x14ac:dyDescent="0.2">
      <c r="AB282" s="63"/>
      <c r="AC282" s="63"/>
      <c r="AD282" s="63"/>
      <c r="AE282" s="63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E282" s="139"/>
    </row>
    <row r="283" spans="1:110" s="83" customFormat="1" x14ac:dyDescent="0.2">
      <c r="A283" s="82" t="s">
        <v>100</v>
      </c>
      <c r="AB283" s="72"/>
      <c r="AC283" s="72"/>
      <c r="AD283" s="72"/>
      <c r="AE283" s="72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E283" s="139"/>
    </row>
    <row r="284" spans="1:110" s="66" customFormat="1" x14ac:dyDescent="0.2">
      <c r="A284" s="66" t="s">
        <v>470</v>
      </c>
      <c r="AB284" s="50"/>
      <c r="AC284" s="50"/>
      <c r="AD284" s="50"/>
      <c r="AE284" s="50"/>
      <c r="AL284" s="66">
        <f t="shared" ref="AL284:BQ284" si="620">SUM(AI57:AL57)</f>
        <v>1484.92</v>
      </c>
      <c r="AM284" s="66">
        <f t="shared" si="620"/>
        <v>1440</v>
      </c>
      <c r="AN284" s="66">
        <f t="shared" si="620"/>
        <v>1407.38</v>
      </c>
      <c r="AO284" s="66">
        <f t="shared" si="620"/>
        <v>1427.5</v>
      </c>
      <c r="AP284" s="66">
        <f t="shared" si="620"/>
        <v>1439.62</v>
      </c>
      <c r="AQ284" s="66">
        <f t="shared" si="620"/>
        <v>1447.03</v>
      </c>
      <c r="AR284" s="66">
        <f t="shared" si="620"/>
        <v>1464.78</v>
      </c>
      <c r="AS284" s="66">
        <f t="shared" si="620"/>
        <v>1484.22</v>
      </c>
      <c r="AT284" s="66">
        <f t="shared" si="620"/>
        <v>1476.94</v>
      </c>
      <c r="AU284" s="66">
        <f t="shared" si="620"/>
        <v>1468.52</v>
      </c>
      <c r="AV284" s="66">
        <f t="shared" si="620"/>
        <v>1498.75</v>
      </c>
      <c r="AW284" s="66">
        <f t="shared" si="620"/>
        <v>1486.1200000000001</v>
      </c>
      <c r="AX284" s="66">
        <f t="shared" si="620"/>
        <v>1509.7300000000002</v>
      </c>
      <c r="AY284" s="66">
        <f t="shared" si="620"/>
        <v>1549.19</v>
      </c>
      <c r="AZ284" s="66">
        <f t="shared" si="620"/>
        <v>1574.02</v>
      </c>
      <c r="BA284" s="66">
        <f t="shared" si="620"/>
        <v>1567.3000000000002</v>
      </c>
      <c r="BB284" s="66">
        <f t="shared" si="620"/>
        <v>1593.94</v>
      </c>
      <c r="BC284" s="66">
        <f t="shared" si="620"/>
        <v>1608.8799999999999</v>
      </c>
      <c r="BD284" s="66">
        <f t="shared" si="620"/>
        <v>1554.24</v>
      </c>
      <c r="BE284" s="66">
        <f t="shared" si="620"/>
        <v>1621.02</v>
      </c>
      <c r="BF284" s="66">
        <f t="shared" si="620"/>
        <v>1637.91</v>
      </c>
      <c r="BG284" s="66">
        <f t="shared" si="620"/>
        <v>1690.8500000000001</v>
      </c>
      <c r="BH284" s="66">
        <f t="shared" si="620"/>
        <v>1790.69</v>
      </c>
      <c r="BI284" s="66">
        <f t="shared" si="620"/>
        <v>1814.38</v>
      </c>
      <c r="BJ284" s="66">
        <f t="shared" si="620"/>
        <v>1873.5299999999997</v>
      </c>
      <c r="BK284" s="66">
        <f t="shared" si="620"/>
        <v>1860.2199999999998</v>
      </c>
      <c r="BL284" s="66">
        <f t="shared" si="620"/>
        <v>1876.8600000000001</v>
      </c>
      <c r="BM284" s="66">
        <f t="shared" si="620"/>
        <v>1877</v>
      </c>
      <c r="BN284" s="66">
        <f t="shared" si="620"/>
        <v>1790.11</v>
      </c>
      <c r="BO284" s="66">
        <f t="shared" si="620"/>
        <v>1438.33</v>
      </c>
      <c r="BP284" s="66">
        <f t="shared" si="620"/>
        <v>1263.08</v>
      </c>
      <c r="BQ284" s="66">
        <f t="shared" si="620"/>
        <v>1263.05</v>
      </c>
      <c r="BR284" s="66">
        <f t="shared" ref="BR284:CW284" si="621">SUM(BO57:BR57)</f>
        <v>1358.97</v>
      </c>
      <c r="BS284" s="66">
        <f t="shared" si="621"/>
        <v>1661.2800000000002</v>
      </c>
      <c r="BT284" s="66">
        <f t="shared" si="621"/>
        <v>1987.52</v>
      </c>
      <c r="BU284" s="66">
        <f t="shared" si="621"/>
        <v>2197.0699999999997</v>
      </c>
      <c r="BV284" s="66">
        <f t="shared" si="621"/>
        <v>2437.7599999999998</v>
      </c>
      <c r="BW284" s="66">
        <f t="shared" si="621"/>
        <v>2739.87</v>
      </c>
      <c r="BX284" s="66">
        <f t="shared" si="621"/>
        <v>2810.5099999999998</v>
      </c>
      <c r="BY284" s="66">
        <f t="shared" si="621"/>
        <v>2765.71</v>
      </c>
      <c r="BZ284" s="66">
        <f t="shared" si="621"/>
        <v>2712.3</v>
      </c>
      <c r="CA284" s="66">
        <f t="shared" si="621"/>
        <v>2676.1200000000003</v>
      </c>
      <c r="CB284" s="66">
        <f t="shared" si="621"/>
        <v>2595.54</v>
      </c>
      <c r="CC284" s="66">
        <f t="shared" si="621"/>
        <v>2611.6400000000003</v>
      </c>
      <c r="CD284" s="66">
        <f t="shared" si="621"/>
        <v>2628.06</v>
      </c>
      <c r="CE284" s="66">
        <f t="shared" si="621"/>
        <v>2644.01</v>
      </c>
      <c r="CF284" s="66">
        <f t="shared" si="621"/>
        <v>2690.88</v>
      </c>
      <c r="CG284" s="66">
        <f t="shared" si="621"/>
        <v>2823.7700000000004</v>
      </c>
      <c r="CH284" s="66">
        <f t="shared" si="621"/>
        <v>2856.95</v>
      </c>
      <c r="CI284" s="66">
        <f t="shared" si="621"/>
        <v>2953.6699999999996</v>
      </c>
      <c r="CJ284" s="66">
        <f t="shared" si="621"/>
        <v>3064.24</v>
      </c>
      <c r="CK284" s="66">
        <f t="shared" si="621"/>
        <v>3084.91</v>
      </c>
      <c r="CL284" s="66">
        <f t="shared" si="621"/>
        <v>3234.5299999999997</v>
      </c>
      <c r="CM284" s="50">
        <f t="shared" si="621"/>
        <v>3403.8215788012194</v>
      </c>
      <c r="CN284" s="50">
        <f t="shared" si="621"/>
        <v>3577.6622191812394</v>
      </c>
      <c r="CO284" s="50">
        <f t="shared" si="621"/>
        <v>3766.9750688443132</v>
      </c>
      <c r="CP284" s="50">
        <f t="shared" si="621"/>
        <v>3853.982253019682</v>
      </c>
      <c r="CQ284" s="50">
        <f t="shared" si="621"/>
        <v>3877.3596352951445</v>
      </c>
      <c r="CR284" s="50">
        <f t="shared" si="621"/>
        <v>3911.3526859989738</v>
      </c>
      <c r="CS284" s="50">
        <f t="shared" si="621"/>
        <v>3950.0275585696509</v>
      </c>
      <c r="CT284" s="50">
        <f t="shared" si="621"/>
        <v>3987.4329448677026</v>
      </c>
      <c r="CU284" s="50">
        <f t="shared" si="621"/>
        <v>4014.334886834913</v>
      </c>
      <c r="CV284" s="50">
        <f t="shared" si="621"/>
        <v>4030.6714396979996</v>
      </c>
      <c r="CW284" s="50">
        <f t="shared" si="621"/>
        <v>4039.3843116551325</v>
      </c>
      <c r="CX284" s="50">
        <f t="shared" ref="CX284:EC284" si="622">SUM(CU57:CX57)</f>
        <v>4043.4236959667869</v>
      </c>
      <c r="CY284" s="50">
        <f t="shared" si="622"/>
        <v>4047.4671196627532</v>
      </c>
      <c r="CZ284" s="50">
        <f t="shared" si="622"/>
        <v>4051.5145867824158</v>
      </c>
      <c r="DA284" s="50">
        <f t="shared" si="622"/>
        <v>4055.5661013691979</v>
      </c>
      <c r="DB284" s="50">
        <f t="shared" si="622"/>
        <v>4059.6216674705665</v>
      </c>
      <c r="DE284" s="138"/>
      <c r="DF284" s="66">
        <v>3154.2930847298499</v>
      </c>
    </row>
    <row r="285" spans="1:110" s="66" customFormat="1" x14ac:dyDescent="0.2">
      <c r="A285" s="66" t="s">
        <v>471</v>
      </c>
      <c r="AB285" s="50"/>
      <c r="AC285" s="50"/>
      <c r="AD285" s="50"/>
      <c r="AE285" s="50"/>
      <c r="AL285" s="66">
        <f t="shared" ref="AL285:BQ285" si="623">SUM(AI82:AL82)</f>
        <v>214.45</v>
      </c>
      <c r="AM285" s="66">
        <f t="shared" si="623"/>
        <v>208.70000000000007</v>
      </c>
      <c r="AN285" s="66">
        <f t="shared" si="623"/>
        <v>198.08999999999997</v>
      </c>
      <c r="AO285" s="66">
        <f t="shared" si="623"/>
        <v>195.15</v>
      </c>
      <c r="AP285" s="66">
        <f t="shared" si="623"/>
        <v>195.74000000000004</v>
      </c>
      <c r="AQ285" s="66">
        <f t="shared" si="623"/>
        <v>200.46</v>
      </c>
      <c r="AR285" s="66">
        <f t="shared" si="623"/>
        <v>203.92000000000007</v>
      </c>
      <c r="AS285" s="66">
        <f t="shared" si="623"/>
        <v>208.77000000000004</v>
      </c>
      <c r="AT285" s="66">
        <f t="shared" si="623"/>
        <v>217.39</v>
      </c>
      <c r="AU285" s="66">
        <f t="shared" si="623"/>
        <v>228.38</v>
      </c>
      <c r="AV285" s="66">
        <f t="shared" si="623"/>
        <v>236.42000000000002</v>
      </c>
      <c r="AW285" s="66">
        <f t="shared" si="623"/>
        <v>238.56000000000012</v>
      </c>
      <c r="AX285" s="66">
        <f t="shared" si="623"/>
        <v>231.6100000000001</v>
      </c>
      <c r="AY285" s="66">
        <f t="shared" si="623"/>
        <v>224.18000000000012</v>
      </c>
      <c r="AZ285" s="66">
        <f t="shared" si="623"/>
        <v>212.23000000000013</v>
      </c>
      <c r="BA285" s="66">
        <f t="shared" si="623"/>
        <v>193.2600000000001</v>
      </c>
      <c r="BB285" s="66">
        <f t="shared" si="623"/>
        <v>175.78000000000006</v>
      </c>
      <c r="BC285" s="66">
        <f t="shared" si="623"/>
        <v>150</v>
      </c>
      <c r="BD285" s="66">
        <f t="shared" si="623"/>
        <v>133.01999999999995</v>
      </c>
      <c r="BE285" s="66">
        <f t="shared" si="623"/>
        <v>127.02999999999989</v>
      </c>
      <c r="BF285" s="66">
        <f t="shared" si="623"/>
        <v>127.28999999999994</v>
      </c>
      <c r="BG285" s="66">
        <f t="shared" si="623"/>
        <v>139.0199999999999</v>
      </c>
      <c r="BH285" s="66">
        <f t="shared" si="623"/>
        <v>153.49999999999997</v>
      </c>
      <c r="BI285" s="66">
        <f t="shared" si="623"/>
        <v>156.29</v>
      </c>
      <c r="BJ285" s="66">
        <f t="shared" si="623"/>
        <v>159.22999999999999</v>
      </c>
      <c r="BK285" s="66">
        <f t="shared" si="623"/>
        <v>155.57</v>
      </c>
      <c r="BL285" s="66">
        <f t="shared" si="623"/>
        <v>147.84999999999997</v>
      </c>
      <c r="BM285" s="66">
        <f t="shared" si="623"/>
        <v>156.38999999999996</v>
      </c>
      <c r="BN285" s="66">
        <f t="shared" si="623"/>
        <v>161.52999999999994</v>
      </c>
      <c r="BO285" s="66">
        <f t="shared" si="623"/>
        <v>108.19999999999995</v>
      </c>
      <c r="BP285" s="66">
        <f t="shared" si="623"/>
        <v>92.269999999999939</v>
      </c>
      <c r="BQ285" s="66">
        <f t="shared" si="623"/>
        <v>92.34999999999998</v>
      </c>
      <c r="BR285" s="66">
        <f t="shared" ref="BR285:CW285" si="624">SUM(BO82:BR82)</f>
        <v>122.14</v>
      </c>
      <c r="BS285" s="66">
        <f t="shared" si="624"/>
        <v>187.86</v>
      </c>
      <c r="BT285" s="66">
        <f t="shared" si="624"/>
        <v>237.70999999999992</v>
      </c>
      <c r="BU285" s="66">
        <f t="shared" si="624"/>
        <v>273.05999999999995</v>
      </c>
      <c r="BV285" s="66">
        <f t="shared" si="624"/>
        <v>307.38</v>
      </c>
      <c r="BW285" s="66">
        <f t="shared" si="624"/>
        <v>351.4</v>
      </c>
      <c r="BX285" s="66">
        <f t="shared" si="624"/>
        <v>356.60000000000008</v>
      </c>
      <c r="BY285" s="66">
        <f t="shared" si="624"/>
        <v>338.31000000000006</v>
      </c>
      <c r="BZ285" s="66">
        <f t="shared" si="624"/>
        <v>301.57</v>
      </c>
      <c r="CA285" s="66">
        <f t="shared" si="624"/>
        <v>262.27000000000004</v>
      </c>
      <c r="CB285" s="66">
        <f t="shared" si="624"/>
        <v>230.1</v>
      </c>
      <c r="CC285" s="66">
        <f t="shared" si="624"/>
        <v>219.68</v>
      </c>
      <c r="CD285" s="66">
        <f t="shared" si="624"/>
        <v>215.48</v>
      </c>
      <c r="CE285" s="66">
        <f t="shared" si="624"/>
        <v>228.94999999999996</v>
      </c>
      <c r="CF285" s="66">
        <f t="shared" si="624"/>
        <v>238.08000000000004</v>
      </c>
      <c r="CG285" s="66">
        <f t="shared" si="624"/>
        <v>253.62999999999997</v>
      </c>
      <c r="CH285" s="66">
        <f t="shared" si="624"/>
        <v>244.64</v>
      </c>
      <c r="CI285" s="66">
        <f t="shared" si="624"/>
        <v>234.95000000000002</v>
      </c>
      <c r="CJ285" s="66">
        <f t="shared" si="624"/>
        <v>256.25999999999988</v>
      </c>
      <c r="CK285" s="66">
        <f t="shared" si="624"/>
        <v>276.64999999999992</v>
      </c>
      <c r="CL285" s="66">
        <f t="shared" si="624"/>
        <v>320.72999999999985</v>
      </c>
      <c r="CM285" s="50">
        <f t="shared" si="624"/>
        <v>366.44542979784569</v>
      </c>
      <c r="CN285" s="50">
        <f t="shared" si="624"/>
        <v>401.32620585669412</v>
      </c>
      <c r="CO285" s="50">
        <f t="shared" si="624"/>
        <v>433.6348667805986</v>
      </c>
      <c r="CP285" s="50">
        <f t="shared" si="624"/>
        <v>452.12181483485773</v>
      </c>
      <c r="CQ285" s="50">
        <f t="shared" si="624"/>
        <v>469.69359356831472</v>
      </c>
      <c r="CR285" s="50">
        <f t="shared" si="624"/>
        <v>483.98123498358757</v>
      </c>
      <c r="CS285" s="50">
        <f t="shared" si="624"/>
        <v>497.04557969424525</v>
      </c>
      <c r="CT285" s="50">
        <f t="shared" si="624"/>
        <v>509.31883451709103</v>
      </c>
      <c r="CU285" s="50">
        <f t="shared" si="624"/>
        <v>517.29490747270449</v>
      </c>
      <c r="CV285" s="50">
        <f t="shared" si="624"/>
        <v>521.37608594532412</v>
      </c>
      <c r="CW285" s="50">
        <f t="shared" si="624"/>
        <v>522.4455166311426</v>
      </c>
      <c r="CX285" s="50">
        <f t="shared" ref="CX285:EC285" si="625">SUM(CU82:CX82)</f>
        <v>520.84403167533014</v>
      </c>
      <c r="CY285" s="50">
        <f t="shared" si="625"/>
        <v>522.48676333253502</v>
      </c>
      <c r="CZ285" s="50">
        <f t="shared" si="625"/>
        <v>523.24559430319005</v>
      </c>
      <c r="DA285" s="50">
        <f t="shared" si="625"/>
        <v>523.56191538195571</v>
      </c>
      <c r="DB285" s="50">
        <f t="shared" si="625"/>
        <v>523.84110314753912</v>
      </c>
      <c r="DE285" s="138"/>
      <c r="DF285" s="66">
        <v>290.94788567620975</v>
      </c>
    </row>
    <row r="286" spans="1:110" s="66" customFormat="1" x14ac:dyDescent="0.2">
      <c r="A286" s="66" t="s">
        <v>472</v>
      </c>
      <c r="AB286" s="50"/>
      <c r="AC286" s="50"/>
      <c r="AD286" s="50"/>
      <c r="AE286" s="50"/>
      <c r="AL286" s="66">
        <f t="shared" ref="AL286:BQ286" si="626">SUM(AI95:AL95)</f>
        <v>51.749999999999986</v>
      </c>
      <c r="AM286" s="66">
        <f t="shared" si="626"/>
        <v>48.010000000000076</v>
      </c>
      <c r="AN286" s="66">
        <f t="shared" si="626"/>
        <v>42.159999999999968</v>
      </c>
      <c r="AO286" s="66">
        <f t="shared" si="626"/>
        <v>43.239999999999995</v>
      </c>
      <c r="AP286" s="66">
        <f t="shared" si="626"/>
        <v>40.800000000000026</v>
      </c>
      <c r="AQ286" s="66">
        <f t="shared" si="626"/>
        <v>46.11</v>
      </c>
      <c r="AR286" s="66">
        <f t="shared" si="626"/>
        <v>45.840000000000074</v>
      </c>
      <c r="AS286" s="66">
        <f t="shared" si="626"/>
        <v>47.460000000000029</v>
      </c>
      <c r="AT286" s="66">
        <f t="shared" si="626"/>
        <v>51.92</v>
      </c>
      <c r="AU286" s="66">
        <f t="shared" si="626"/>
        <v>57.779999999999987</v>
      </c>
      <c r="AV286" s="66">
        <f t="shared" si="626"/>
        <v>64.460000000000008</v>
      </c>
      <c r="AW286" s="66">
        <f t="shared" si="626"/>
        <v>66.240000000000094</v>
      </c>
      <c r="AX286" s="66">
        <f t="shared" si="626"/>
        <v>77.390000000000086</v>
      </c>
      <c r="AY286" s="66">
        <f t="shared" si="626"/>
        <v>75.470000000000155</v>
      </c>
      <c r="AZ286" s="66">
        <f t="shared" si="626"/>
        <v>72.270000000000152</v>
      </c>
      <c r="BA286" s="66">
        <f t="shared" si="626"/>
        <v>61.220000000000113</v>
      </c>
      <c r="BB286" s="66">
        <f t="shared" si="626"/>
        <v>54.84000000000006</v>
      </c>
      <c r="BC286" s="66">
        <f t="shared" si="626"/>
        <v>40.780000000000015</v>
      </c>
      <c r="BD286" s="66">
        <f t="shared" si="626"/>
        <v>25.749999999999961</v>
      </c>
      <c r="BE286" s="66">
        <f t="shared" si="626"/>
        <v>25.009999999999895</v>
      </c>
      <c r="BF286" s="66">
        <f t="shared" si="626"/>
        <v>30.449999999999939</v>
      </c>
      <c r="BG286" s="66">
        <f t="shared" si="626"/>
        <v>33.319999999999901</v>
      </c>
      <c r="BH286" s="66">
        <f t="shared" si="626"/>
        <v>42.059999999999974</v>
      </c>
      <c r="BI286" s="66">
        <f t="shared" si="626"/>
        <v>37.559999999999988</v>
      </c>
      <c r="BJ286" s="66">
        <f t="shared" si="626"/>
        <v>13.229999999999986</v>
      </c>
      <c r="BK286" s="66">
        <f t="shared" si="626"/>
        <v>10.27999999999999</v>
      </c>
      <c r="BL286" s="66">
        <f t="shared" si="626"/>
        <v>4.2299999999999622</v>
      </c>
      <c r="BM286" s="66">
        <f t="shared" si="626"/>
        <v>10.509999999999959</v>
      </c>
      <c r="BN286" s="66">
        <f t="shared" si="626"/>
        <v>13.279999999999944</v>
      </c>
      <c r="BO286" s="66">
        <f t="shared" si="626"/>
        <v>-20.380000000000056</v>
      </c>
      <c r="BP286" s="66">
        <f t="shared" si="626"/>
        <v>-27.730000000000064</v>
      </c>
      <c r="BQ286" s="66">
        <f t="shared" si="626"/>
        <v>-25.840000000000028</v>
      </c>
      <c r="BR286" s="66">
        <f t="shared" ref="BR286:CW286" si="627">SUM(BO95:BR95)</f>
        <v>4.2099999999999902</v>
      </c>
      <c r="BS286" s="66">
        <f t="shared" si="627"/>
        <v>49.620000000000019</v>
      </c>
      <c r="BT286" s="66">
        <f t="shared" si="627"/>
        <v>83.729999999999933</v>
      </c>
      <c r="BU286" s="66">
        <f t="shared" si="627"/>
        <v>120.03999999999992</v>
      </c>
      <c r="BV286" s="66">
        <f t="shared" si="627"/>
        <v>152.94</v>
      </c>
      <c r="BW286" s="66">
        <f t="shared" si="627"/>
        <v>192.57999999999998</v>
      </c>
      <c r="BX286" s="66">
        <f t="shared" si="627"/>
        <v>196.25000000000011</v>
      </c>
      <c r="BY286" s="66">
        <f t="shared" si="627"/>
        <v>174.87000000000012</v>
      </c>
      <c r="BZ286" s="66">
        <f t="shared" si="627"/>
        <v>156.29000000000002</v>
      </c>
      <c r="CA286" s="66">
        <f t="shared" si="627"/>
        <v>118.19000000000004</v>
      </c>
      <c r="CB286" s="66">
        <f t="shared" si="627"/>
        <v>96.889999999999986</v>
      </c>
      <c r="CC286" s="66">
        <f t="shared" si="627"/>
        <v>80</v>
      </c>
      <c r="CD286" s="66">
        <f t="shared" si="627"/>
        <v>47.459999999999987</v>
      </c>
      <c r="CE286" s="66">
        <f t="shared" si="627"/>
        <v>48.969999999999956</v>
      </c>
      <c r="CF286" s="66">
        <f t="shared" si="627"/>
        <v>43.940000000000033</v>
      </c>
      <c r="CG286" s="66">
        <f t="shared" si="627"/>
        <v>42.579999999999956</v>
      </c>
      <c r="CH286" s="66">
        <f t="shared" si="627"/>
        <v>38.439999999999976</v>
      </c>
      <c r="CI286" s="66">
        <f t="shared" si="627"/>
        <v>26.29000000000001</v>
      </c>
      <c r="CJ286" s="66">
        <f t="shared" si="627"/>
        <v>43.869999999999855</v>
      </c>
      <c r="CK286" s="66">
        <f t="shared" si="627"/>
        <v>65.889999999999901</v>
      </c>
      <c r="CL286" s="66">
        <f t="shared" si="627"/>
        <v>89.249999999999829</v>
      </c>
      <c r="CM286" s="50">
        <f t="shared" si="627"/>
        <v>121.46975156785005</v>
      </c>
      <c r="CN286" s="50">
        <f t="shared" si="627"/>
        <v>137.77550494128994</v>
      </c>
      <c r="CO286" s="50">
        <f t="shared" si="627"/>
        <v>157.86511254065761</v>
      </c>
      <c r="CP286" s="50">
        <f t="shared" si="627"/>
        <v>172.60549583347461</v>
      </c>
      <c r="CQ286" s="50">
        <f t="shared" si="627"/>
        <v>186.27321289007432</v>
      </c>
      <c r="CR286" s="50">
        <f t="shared" si="627"/>
        <v>200.64990480789686</v>
      </c>
      <c r="CS286" s="50">
        <f t="shared" si="627"/>
        <v>214.79531193487668</v>
      </c>
      <c r="CT286" s="50">
        <f t="shared" si="627"/>
        <v>230.16387265608392</v>
      </c>
      <c r="CU286" s="50">
        <f t="shared" si="627"/>
        <v>244.46545479925555</v>
      </c>
      <c r="CV286" s="50">
        <f t="shared" si="627"/>
        <v>256.35518639087286</v>
      </c>
      <c r="CW286" s="50">
        <f t="shared" si="627"/>
        <v>266.27086843896046</v>
      </c>
      <c r="CX286" s="50">
        <f t="shared" ref="CX286:EC286" si="628">SUM(CU95:CX95)</f>
        <v>274.39900761049682</v>
      </c>
      <c r="CY286" s="50">
        <f t="shared" si="628"/>
        <v>285.33689216073765</v>
      </c>
      <c r="CZ286" s="50">
        <f t="shared" si="628"/>
        <v>295.72461337411198</v>
      </c>
      <c r="DA286" s="50">
        <f t="shared" si="628"/>
        <v>305.88987536512769</v>
      </c>
      <c r="DB286" s="50">
        <f t="shared" si="628"/>
        <v>316.20011705676194</v>
      </c>
      <c r="DE286" s="138"/>
      <c r="DF286" s="66">
        <v>72.324545816924996</v>
      </c>
    </row>
    <row r="287" spans="1:110" s="93" customFormat="1" x14ac:dyDescent="0.2">
      <c r="AB287" s="30"/>
      <c r="AC287" s="30"/>
      <c r="AD287" s="30"/>
      <c r="AE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E287" s="139"/>
    </row>
    <row r="288" spans="1:110" s="11" customFormat="1" x14ac:dyDescent="0.2">
      <c r="AB288" s="63"/>
      <c r="AC288" s="63"/>
      <c r="AD288" s="63"/>
      <c r="AE288" s="63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E288" s="139"/>
    </row>
    <row r="289" spans="1:110" s="62" customFormat="1" hidden="1" outlineLevel="1" x14ac:dyDescent="0.2">
      <c r="A289" s="61" t="s">
        <v>338</v>
      </c>
      <c r="AB289" s="63"/>
      <c r="AC289" s="63"/>
      <c r="AD289" s="63"/>
      <c r="AE289" s="63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E289" s="139"/>
    </row>
    <row r="290" spans="1:110" s="64" customFormat="1" hidden="1" outlineLevel="1" x14ac:dyDescent="0.2">
      <c r="A290" s="64" t="s">
        <v>473</v>
      </c>
      <c r="B290" s="64">
        <f t="shared" ref="B290:Z290" si="629">B55-B296</f>
        <v>228.618515</v>
      </c>
      <c r="C290" s="64">
        <f t="shared" si="629"/>
        <v>217.23502680000001</v>
      </c>
      <c r="D290" s="64">
        <f t="shared" si="629"/>
        <v>225.4564876</v>
      </c>
      <c r="E290" s="64">
        <f t="shared" si="629"/>
        <v>298.60218639999999</v>
      </c>
      <c r="F290" s="64">
        <f t="shared" si="629"/>
        <v>311.3615896</v>
      </c>
      <c r="G290" s="64">
        <f t="shared" si="629"/>
        <v>363.44456489999999</v>
      </c>
      <c r="H290" s="64">
        <f t="shared" si="629"/>
        <v>554.76020940000001</v>
      </c>
      <c r="I290" s="64">
        <f t="shared" si="629"/>
        <v>695.05184650000001</v>
      </c>
      <c r="J290" s="64">
        <f t="shared" si="629"/>
        <v>749.59416329999999</v>
      </c>
      <c r="K290" s="64">
        <f t="shared" si="629"/>
        <v>854.98256800000001</v>
      </c>
      <c r="L290" s="64">
        <f t="shared" si="629"/>
        <v>1183.92</v>
      </c>
      <c r="M290" s="64">
        <f t="shared" si="629"/>
        <v>1424.61</v>
      </c>
      <c r="N290" s="64">
        <f t="shared" si="629"/>
        <v>1485.21</v>
      </c>
      <c r="O290" s="64">
        <f t="shared" si="629"/>
        <v>1464.7</v>
      </c>
      <c r="P290" s="64">
        <f t="shared" si="629"/>
        <v>1503.72</v>
      </c>
      <c r="Q290" s="64">
        <f t="shared" si="629"/>
        <v>1537.83</v>
      </c>
      <c r="R290" s="64">
        <f t="shared" si="629"/>
        <v>1628.16</v>
      </c>
      <c r="S290" s="64">
        <f t="shared" si="629"/>
        <v>1648.38</v>
      </c>
      <c r="T290" s="64">
        <f t="shared" si="629"/>
        <v>1873.53</v>
      </c>
      <c r="U290" s="64">
        <f t="shared" si="629"/>
        <v>1790.11</v>
      </c>
      <c r="V290" s="64">
        <f t="shared" si="629"/>
        <v>1358.97</v>
      </c>
      <c r="W290" s="64">
        <f t="shared" si="629"/>
        <v>2437.7600000000002</v>
      </c>
      <c r="X290" s="64">
        <f t="shared" si="629"/>
        <v>2712.3</v>
      </c>
      <c r="Y290" s="64">
        <f t="shared" si="629"/>
        <v>2628.06</v>
      </c>
      <c r="Z290" s="64">
        <f t="shared" si="629"/>
        <v>2856.95</v>
      </c>
      <c r="AA290" s="64">
        <f t="shared" ref="AA290" si="630">AA55-AA296</f>
        <v>3234.53</v>
      </c>
      <c r="AB290" s="30"/>
      <c r="AC290" s="30"/>
      <c r="AD290" s="30"/>
      <c r="AE290" s="30"/>
      <c r="AI290" s="64">
        <f t="shared" ref="AI290:BN290" si="631">AI55-AI296</f>
        <v>412.53999999999996</v>
      </c>
      <c r="AJ290" s="64">
        <f t="shared" si="631"/>
        <v>385.66</v>
      </c>
      <c r="AK290" s="64">
        <f t="shared" si="631"/>
        <v>329.46</v>
      </c>
      <c r="AL290" s="64">
        <f t="shared" si="631"/>
        <v>357.26</v>
      </c>
      <c r="AM290" s="64">
        <f t="shared" si="631"/>
        <v>367.62</v>
      </c>
      <c r="AN290" s="64">
        <f t="shared" si="631"/>
        <v>353.03999999999996</v>
      </c>
      <c r="AO290" s="64">
        <f t="shared" si="631"/>
        <v>349.58</v>
      </c>
      <c r="AP290" s="64">
        <f t="shared" si="631"/>
        <v>369.38</v>
      </c>
      <c r="AQ290" s="64">
        <f t="shared" si="631"/>
        <v>375.03000000000003</v>
      </c>
      <c r="AR290" s="64">
        <f t="shared" si="631"/>
        <v>370.79</v>
      </c>
      <c r="AS290" s="64">
        <f t="shared" si="631"/>
        <v>369.02</v>
      </c>
      <c r="AT290" s="64">
        <f t="shared" si="631"/>
        <v>362.1</v>
      </c>
      <c r="AU290" s="64">
        <f t="shared" si="631"/>
        <v>366.61</v>
      </c>
      <c r="AV290" s="64">
        <f t="shared" si="631"/>
        <v>401.02000000000004</v>
      </c>
      <c r="AW290" s="64">
        <f t="shared" si="631"/>
        <v>356.39000000000004</v>
      </c>
      <c r="AX290" s="64">
        <f t="shared" si="631"/>
        <v>385.71</v>
      </c>
      <c r="AY290" s="64">
        <f t="shared" si="631"/>
        <v>414.97</v>
      </c>
      <c r="AZ290" s="64">
        <f t="shared" si="631"/>
        <v>435</v>
      </c>
      <c r="BA290" s="64">
        <f t="shared" si="631"/>
        <v>358.11</v>
      </c>
      <c r="BB290" s="64">
        <f t="shared" si="631"/>
        <v>422.59</v>
      </c>
      <c r="BC290" s="64">
        <f t="shared" si="631"/>
        <v>432</v>
      </c>
      <c r="BD290" s="64">
        <f t="shared" si="631"/>
        <v>371.21</v>
      </c>
      <c r="BE290" s="64">
        <f t="shared" si="631"/>
        <v>416.45</v>
      </c>
      <c r="BF290" s="64">
        <f t="shared" si="631"/>
        <v>429.37</v>
      </c>
      <c r="BG290" s="64">
        <f t="shared" si="631"/>
        <v>473.95</v>
      </c>
      <c r="BH290" s="64">
        <f t="shared" si="631"/>
        <v>471.05</v>
      </c>
      <c r="BI290" s="64">
        <f t="shared" si="631"/>
        <v>440.14</v>
      </c>
      <c r="BJ290" s="64">
        <f t="shared" si="631"/>
        <v>488.39</v>
      </c>
      <c r="BK290" s="64">
        <f t="shared" si="631"/>
        <v>460.64</v>
      </c>
      <c r="BL290" s="64">
        <f t="shared" si="631"/>
        <v>487.69</v>
      </c>
      <c r="BM290" s="64">
        <f t="shared" si="631"/>
        <v>440.28</v>
      </c>
      <c r="BN290" s="64">
        <f t="shared" si="631"/>
        <v>401.5</v>
      </c>
      <c r="BO290" s="64">
        <f t="shared" ref="BO290:CT290" si="632">BO55-BO296</f>
        <v>108.86</v>
      </c>
      <c r="BP290" s="64">
        <f t="shared" si="632"/>
        <v>312.44</v>
      </c>
      <c r="BQ290" s="64">
        <f t="shared" si="632"/>
        <v>440.25</v>
      </c>
      <c r="BR290" s="64">
        <f t="shared" si="632"/>
        <v>497.42</v>
      </c>
      <c r="BS290" s="64">
        <f t="shared" si="632"/>
        <v>411.17</v>
      </c>
      <c r="BT290" s="64">
        <f t="shared" si="632"/>
        <v>638.67999999999995</v>
      </c>
      <c r="BU290" s="64">
        <f t="shared" si="632"/>
        <v>649.79999999999995</v>
      </c>
      <c r="BV290" s="64">
        <f t="shared" si="632"/>
        <v>738.11</v>
      </c>
      <c r="BW290" s="64">
        <f t="shared" si="632"/>
        <v>713.28</v>
      </c>
      <c r="BX290" s="64">
        <f t="shared" si="632"/>
        <v>709.32</v>
      </c>
      <c r="BY290" s="64">
        <f t="shared" si="632"/>
        <v>605</v>
      </c>
      <c r="BZ290" s="64">
        <f t="shared" si="632"/>
        <v>684.7</v>
      </c>
      <c r="CA290" s="64">
        <f t="shared" si="632"/>
        <v>677.1</v>
      </c>
      <c r="CB290" s="64">
        <f t="shared" si="632"/>
        <v>628.74</v>
      </c>
      <c r="CC290" s="64">
        <f t="shared" si="632"/>
        <v>621.1</v>
      </c>
      <c r="CD290" s="64">
        <f t="shared" si="632"/>
        <v>701.12</v>
      </c>
      <c r="CE290" s="64">
        <f t="shared" si="632"/>
        <v>693.05</v>
      </c>
      <c r="CF290" s="64">
        <f t="shared" si="632"/>
        <v>675.61</v>
      </c>
      <c r="CG290" s="64">
        <f t="shared" si="632"/>
        <v>753.99</v>
      </c>
      <c r="CH290" s="64">
        <f t="shared" si="632"/>
        <v>734.3</v>
      </c>
      <c r="CI290" s="64">
        <f t="shared" si="632"/>
        <v>789.77</v>
      </c>
      <c r="CJ290" s="64">
        <f t="shared" si="632"/>
        <v>786.18</v>
      </c>
      <c r="CK290" s="64">
        <f t="shared" si="632"/>
        <v>774.66</v>
      </c>
      <c r="CL290" s="64">
        <f t="shared" si="632"/>
        <v>883.92</v>
      </c>
      <c r="CM290" s="30">
        <f t="shared" si="632"/>
        <v>959.06157880121941</v>
      </c>
      <c r="CN290" s="30">
        <f t="shared" si="632"/>
        <v>960.0206403800205</v>
      </c>
      <c r="CO290" s="30">
        <f t="shared" si="632"/>
        <v>963.97284966307359</v>
      </c>
      <c r="CP290" s="30">
        <f t="shared" si="632"/>
        <v>970.92718417536844</v>
      </c>
      <c r="CQ290" s="30">
        <f t="shared" si="632"/>
        <v>982.43896107668195</v>
      </c>
      <c r="CR290" s="30">
        <f t="shared" si="632"/>
        <v>994.01369108384961</v>
      </c>
      <c r="CS290" s="30">
        <f t="shared" si="632"/>
        <v>1002.647722233751</v>
      </c>
      <c r="CT290" s="30">
        <f t="shared" si="632"/>
        <v>1008.3325704734195</v>
      </c>
      <c r="CU290" s="30">
        <f t="shared" ref="CU290:DB290" si="633">CU55-CU296</f>
        <v>1009.3409030438928</v>
      </c>
      <c r="CV290" s="30">
        <f t="shared" si="633"/>
        <v>1010.3502439469364</v>
      </c>
      <c r="CW290" s="30">
        <f t="shared" si="633"/>
        <v>1011.3605941908834</v>
      </c>
      <c r="CX290" s="30">
        <f t="shared" si="633"/>
        <v>1012.3719547850742</v>
      </c>
      <c r="CY290" s="30">
        <f t="shared" si="633"/>
        <v>1013.3843267398593</v>
      </c>
      <c r="CZ290" s="30">
        <f t="shared" si="633"/>
        <v>1014.397711066599</v>
      </c>
      <c r="DA290" s="30">
        <f t="shared" si="633"/>
        <v>1015.4121087776655</v>
      </c>
      <c r="DB290" s="30">
        <f t="shared" si="633"/>
        <v>1016.4275208864431</v>
      </c>
      <c r="DE290" s="139"/>
      <c r="DF290" s="64">
        <v>803.68308472985007</v>
      </c>
    </row>
    <row r="291" spans="1:110" s="64" customFormat="1" hidden="1" outlineLevel="1" x14ac:dyDescent="0.2">
      <c r="A291" s="64" t="s">
        <v>474</v>
      </c>
      <c r="B291" s="64">
        <f t="shared" ref="B291:Z291" si="634">B82-B297</f>
        <v>24.943076500000004</v>
      </c>
      <c r="C291" s="64">
        <f t="shared" si="634"/>
        <v>22.178197200000035</v>
      </c>
      <c r="D291" s="64">
        <f t="shared" si="634"/>
        <v>27.66742889999999</v>
      </c>
      <c r="E291" s="64">
        <f t="shared" si="634"/>
        <v>37.28601119999999</v>
      </c>
      <c r="F291" s="64">
        <f t="shared" si="634"/>
        <v>43.049664600000042</v>
      </c>
      <c r="G291" s="64">
        <f t="shared" si="634"/>
        <v>59.797726200000014</v>
      </c>
      <c r="H291" s="64">
        <f t="shared" si="634"/>
        <v>95.047935500000051</v>
      </c>
      <c r="I291" s="64">
        <f t="shared" si="634"/>
        <v>88.275941800000027</v>
      </c>
      <c r="J291" s="64">
        <f t="shared" si="634"/>
        <v>71.785674999999969</v>
      </c>
      <c r="K291" s="64">
        <f t="shared" si="634"/>
        <v>129.51827400000002</v>
      </c>
      <c r="L291" s="64">
        <f t="shared" si="634"/>
        <v>195.7600000000001</v>
      </c>
      <c r="M291" s="64">
        <f t="shared" si="634"/>
        <v>147.8599999999999</v>
      </c>
      <c r="N291" s="64">
        <f t="shared" si="634"/>
        <v>207.92000000000013</v>
      </c>
      <c r="O291" s="64">
        <f t="shared" si="634"/>
        <v>188.43</v>
      </c>
      <c r="P291" s="64">
        <f t="shared" si="634"/>
        <v>209.11000000000007</v>
      </c>
      <c r="Q291" s="64">
        <f t="shared" si="634"/>
        <v>225.92999999999984</v>
      </c>
      <c r="R291" s="64">
        <f t="shared" si="634"/>
        <v>173.62</v>
      </c>
      <c r="S291" s="64">
        <f t="shared" si="634"/>
        <v>124.70000000000027</v>
      </c>
      <c r="T291" s="64">
        <f t="shared" si="634"/>
        <v>159.23000000000002</v>
      </c>
      <c r="U291" s="64">
        <f t="shared" si="634"/>
        <v>161.52999999999997</v>
      </c>
      <c r="V291" s="64">
        <f t="shared" si="634"/>
        <v>122.14000000000016</v>
      </c>
      <c r="W291" s="64">
        <f t="shared" si="634"/>
        <v>307.38000000000022</v>
      </c>
      <c r="X291" s="64">
        <f t="shared" si="634"/>
        <v>301.57000000000005</v>
      </c>
      <c r="Y291" s="64">
        <f t="shared" si="634"/>
        <v>215.4799999999999</v>
      </c>
      <c r="Z291" s="64">
        <f t="shared" si="634"/>
        <v>243.03999999999974</v>
      </c>
      <c r="AA291" s="64">
        <f t="shared" ref="AA291" si="635">AA82-AA297</f>
        <v>303.60000000000014</v>
      </c>
      <c r="AB291" s="30"/>
      <c r="AC291" s="30"/>
      <c r="AD291" s="30"/>
      <c r="AE291" s="30"/>
      <c r="AI291" s="64">
        <f t="shared" ref="AI291:BN291" si="636">AI82-AI297</f>
        <v>51.919999999999959</v>
      </c>
      <c r="AJ291" s="64">
        <f t="shared" si="636"/>
        <v>60.830000000000041</v>
      </c>
      <c r="AK291" s="64">
        <f t="shared" si="636"/>
        <v>51.299999999999983</v>
      </c>
      <c r="AL291" s="64">
        <f t="shared" si="636"/>
        <v>50.400000000000006</v>
      </c>
      <c r="AM291" s="64">
        <f t="shared" si="636"/>
        <v>46.170000000000044</v>
      </c>
      <c r="AN291" s="64">
        <f t="shared" si="636"/>
        <v>50.219999999999942</v>
      </c>
      <c r="AO291" s="64">
        <f t="shared" si="636"/>
        <v>48.360000000000014</v>
      </c>
      <c r="AP291" s="64">
        <f t="shared" si="636"/>
        <v>50.990000000000038</v>
      </c>
      <c r="AQ291" s="64">
        <f t="shared" si="636"/>
        <v>50.890000000000015</v>
      </c>
      <c r="AR291" s="64">
        <f t="shared" si="636"/>
        <v>53.680000000000007</v>
      </c>
      <c r="AS291" s="64">
        <f t="shared" si="636"/>
        <v>53.209999999999965</v>
      </c>
      <c r="AT291" s="64">
        <f t="shared" si="636"/>
        <v>59.610000000000014</v>
      </c>
      <c r="AU291" s="64">
        <f t="shared" si="636"/>
        <v>61.879999999999995</v>
      </c>
      <c r="AV291" s="64">
        <f t="shared" si="636"/>
        <v>61.720000000000027</v>
      </c>
      <c r="AW291" s="64">
        <f t="shared" si="636"/>
        <v>55.350000000000065</v>
      </c>
      <c r="AX291" s="64">
        <f t="shared" si="636"/>
        <v>52.66</v>
      </c>
      <c r="AY291" s="64">
        <f t="shared" si="636"/>
        <v>54.45000000000006</v>
      </c>
      <c r="AZ291" s="64">
        <f t="shared" si="636"/>
        <v>49.770000000000024</v>
      </c>
      <c r="BA291" s="64">
        <f t="shared" si="636"/>
        <v>36.380000000000024</v>
      </c>
      <c r="BB291" s="64">
        <f t="shared" si="636"/>
        <v>35.17999999999995</v>
      </c>
      <c r="BC291" s="64">
        <f t="shared" si="636"/>
        <v>28.670000000000016</v>
      </c>
      <c r="BD291" s="64">
        <f t="shared" si="636"/>
        <v>32.789999999999964</v>
      </c>
      <c r="BE291" s="64">
        <f t="shared" si="636"/>
        <v>30.389999999999958</v>
      </c>
      <c r="BF291" s="64">
        <f t="shared" si="636"/>
        <v>35.44</v>
      </c>
      <c r="BG291" s="64">
        <f t="shared" si="636"/>
        <v>40.399999999999977</v>
      </c>
      <c r="BH291" s="64">
        <f t="shared" si="636"/>
        <v>47.270000000000039</v>
      </c>
      <c r="BI291" s="64">
        <f t="shared" si="636"/>
        <v>33.179999999999978</v>
      </c>
      <c r="BJ291" s="64">
        <f t="shared" si="636"/>
        <v>38.379999999999995</v>
      </c>
      <c r="BK291" s="64">
        <f t="shared" si="636"/>
        <v>36.739999999999981</v>
      </c>
      <c r="BL291" s="64">
        <f t="shared" si="636"/>
        <v>39.550000000000011</v>
      </c>
      <c r="BM291" s="64">
        <f t="shared" si="636"/>
        <v>41.71999999999997</v>
      </c>
      <c r="BN291" s="64">
        <f t="shared" si="636"/>
        <v>43.519999999999982</v>
      </c>
      <c r="BO291" s="64">
        <f t="shared" ref="BO291:CT291" si="637">BO82-BO297</f>
        <v>-16.590000000000018</v>
      </c>
      <c r="BP291" s="64">
        <f t="shared" si="637"/>
        <v>23.620000000000005</v>
      </c>
      <c r="BQ291" s="64">
        <f t="shared" si="637"/>
        <v>41.800000000000011</v>
      </c>
      <c r="BR291" s="64">
        <f t="shared" si="637"/>
        <v>73.31</v>
      </c>
      <c r="BS291" s="64">
        <f t="shared" si="637"/>
        <v>49.129999999999995</v>
      </c>
      <c r="BT291" s="64">
        <f t="shared" si="637"/>
        <v>73.469999999999914</v>
      </c>
      <c r="BU291" s="64">
        <f t="shared" si="637"/>
        <v>77.150000000000006</v>
      </c>
      <c r="BV291" s="64">
        <f t="shared" si="637"/>
        <v>107.63000000000008</v>
      </c>
      <c r="BW291" s="64">
        <f t="shared" si="637"/>
        <v>93.149999999999977</v>
      </c>
      <c r="BX291" s="64">
        <f t="shared" si="637"/>
        <v>78.670000000000016</v>
      </c>
      <c r="BY291" s="64">
        <f t="shared" si="637"/>
        <v>58.860000000000014</v>
      </c>
      <c r="BZ291" s="64">
        <f t="shared" si="637"/>
        <v>70.889999999999986</v>
      </c>
      <c r="CA291" s="64">
        <f t="shared" si="637"/>
        <v>53.850000000000023</v>
      </c>
      <c r="CB291" s="64">
        <f t="shared" si="637"/>
        <v>46.499999999999972</v>
      </c>
      <c r="CC291" s="64">
        <f t="shared" si="637"/>
        <v>48.440000000000026</v>
      </c>
      <c r="CD291" s="64">
        <f t="shared" si="637"/>
        <v>66.689999999999969</v>
      </c>
      <c r="CE291" s="64">
        <f t="shared" si="637"/>
        <v>67.319999999999993</v>
      </c>
      <c r="CF291" s="64">
        <f t="shared" si="637"/>
        <v>55.630000000000052</v>
      </c>
      <c r="CG291" s="64">
        <f t="shared" si="637"/>
        <v>63.989999999999952</v>
      </c>
      <c r="CH291" s="64">
        <f t="shared" si="637"/>
        <v>57.699999999999989</v>
      </c>
      <c r="CI291" s="64">
        <f t="shared" si="637"/>
        <v>57.630000000000024</v>
      </c>
      <c r="CJ291" s="64">
        <f t="shared" si="637"/>
        <v>76.939999999999912</v>
      </c>
      <c r="CK291" s="64">
        <f t="shared" si="637"/>
        <v>84.38</v>
      </c>
      <c r="CL291" s="64">
        <f t="shared" si="637"/>
        <v>101.77999999999992</v>
      </c>
      <c r="CM291" s="30">
        <f t="shared" si="637"/>
        <v>103.3454297978459</v>
      </c>
      <c r="CN291" s="30">
        <f t="shared" si="637"/>
        <v>111.82077605884831</v>
      </c>
      <c r="CO291" s="30">
        <f t="shared" si="637"/>
        <v>116.68866092390448</v>
      </c>
      <c r="CP291" s="30">
        <f t="shared" si="637"/>
        <v>120.26694805425905</v>
      </c>
      <c r="CQ291" s="30">
        <f t="shared" si="637"/>
        <v>120.91720853130289</v>
      </c>
      <c r="CR291" s="30">
        <f t="shared" si="637"/>
        <v>126.10841747412115</v>
      </c>
      <c r="CS291" s="30">
        <f t="shared" si="637"/>
        <v>129.75300563456216</v>
      </c>
      <c r="CT291" s="30">
        <f t="shared" si="637"/>
        <v>132.54020287710483</v>
      </c>
      <c r="CU291" s="30">
        <f t="shared" ref="CU291:DB291" si="638">CU82-CU297</f>
        <v>128.89328148691635</v>
      </c>
      <c r="CV291" s="30">
        <f t="shared" si="638"/>
        <v>130.18959594674078</v>
      </c>
      <c r="CW291" s="30">
        <f t="shared" si="638"/>
        <v>130.82243632038063</v>
      </c>
      <c r="CX291" s="30">
        <f t="shared" si="638"/>
        <v>130.93871792129238</v>
      </c>
      <c r="CY291" s="30">
        <f t="shared" si="638"/>
        <v>130.53601314412123</v>
      </c>
      <c r="CZ291" s="30">
        <f t="shared" si="638"/>
        <v>130.94842691739581</v>
      </c>
      <c r="DA291" s="30">
        <f t="shared" si="638"/>
        <v>131.13875739914636</v>
      </c>
      <c r="DB291" s="30">
        <f t="shared" si="638"/>
        <v>131.21790568687578</v>
      </c>
      <c r="DE291" s="139"/>
      <c r="DF291" s="64">
        <v>71.997885676209904</v>
      </c>
    </row>
    <row r="292" spans="1:110" s="89" customFormat="1" hidden="1" outlineLevel="1" x14ac:dyDescent="0.2">
      <c r="A292" s="86" t="s">
        <v>475</v>
      </c>
      <c r="B292" s="86">
        <f t="shared" ref="B292:Z292" si="639">+B291/B290</f>
        <v>0.10910348402884168</v>
      </c>
      <c r="C292" s="86">
        <f t="shared" si="639"/>
        <v>0.10209309947248357</v>
      </c>
      <c r="D292" s="86">
        <f t="shared" si="639"/>
        <v>0.12271737750606201</v>
      </c>
      <c r="E292" s="86">
        <f t="shared" si="639"/>
        <v>0.12486851368882003</v>
      </c>
      <c r="F292" s="86">
        <f t="shared" si="639"/>
        <v>0.13826260540134408</v>
      </c>
      <c r="G292" s="86">
        <f t="shared" si="639"/>
        <v>0.16453052810530561</v>
      </c>
      <c r="H292" s="86">
        <f t="shared" si="639"/>
        <v>0.17133156612439632</v>
      </c>
      <c r="I292" s="86">
        <f t="shared" si="639"/>
        <v>0.12700626902082479</v>
      </c>
      <c r="J292" s="86">
        <f t="shared" si="639"/>
        <v>9.5766053839016027E-2</v>
      </c>
      <c r="K292" s="86">
        <f t="shared" si="639"/>
        <v>0.15148644995531654</v>
      </c>
      <c r="L292" s="86">
        <f t="shared" si="639"/>
        <v>0.16534901006824793</v>
      </c>
      <c r="M292" s="86">
        <f t="shared" si="639"/>
        <v>0.10378980914074723</v>
      </c>
      <c r="N292" s="86">
        <f t="shared" si="639"/>
        <v>0.13999367092869031</v>
      </c>
      <c r="O292" s="86">
        <f t="shared" si="639"/>
        <v>0.12864750460845226</v>
      </c>
      <c r="P292" s="86">
        <f t="shared" si="639"/>
        <v>0.13906179341898761</v>
      </c>
      <c r="Q292" s="86">
        <f t="shared" si="639"/>
        <v>0.14691480852890101</v>
      </c>
      <c r="R292" s="86">
        <f t="shared" si="639"/>
        <v>0.10663571147798742</v>
      </c>
      <c r="S292" s="86">
        <f t="shared" si="639"/>
        <v>7.5650032152780461E-2</v>
      </c>
      <c r="T292" s="86">
        <f t="shared" si="639"/>
        <v>8.4989298276515468E-2</v>
      </c>
      <c r="U292" s="86">
        <f t="shared" si="639"/>
        <v>9.0234678315857672E-2</v>
      </c>
      <c r="V292" s="86">
        <f t="shared" si="639"/>
        <v>8.9876892057955765E-2</v>
      </c>
      <c r="W292" s="86">
        <f t="shared" si="639"/>
        <v>0.12609116566027836</v>
      </c>
      <c r="X292" s="86">
        <f t="shared" si="639"/>
        <v>0.11118607823618333</v>
      </c>
      <c r="Y292" s="86">
        <f t="shared" si="639"/>
        <v>8.1992039755561102E-2</v>
      </c>
      <c r="Z292" s="86">
        <f t="shared" si="639"/>
        <v>8.5069742207598928E-2</v>
      </c>
      <c r="AA292" s="86">
        <f t="shared" ref="AA292" si="640">+AA291/AA290</f>
        <v>9.3862168537623747E-2</v>
      </c>
      <c r="AB292" s="87"/>
      <c r="AC292" s="87"/>
      <c r="AD292" s="87"/>
      <c r="AE292" s="87"/>
      <c r="AF292" s="86"/>
      <c r="AG292" s="86"/>
      <c r="AH292" s="86"/>
      <c r="AI292" s="86">
        <f t="shared" ref="AI292:BN292" si="641">+AI291/AI290</f>
        <v>0.12585446259756622</v>
      </c>
      <c r="AJ292" s="86">
        <f t="shared" si="641"/>
        <v>0.15772960638904746</v>
      </c>
      <c r="AK292" s="86">
        <f t="shared" si="641"/>
        <v>0.1557093425605536</v>
      </c>
      <c r="AL292" s="86">
        <f t="shared" si="641"/>
        <v>0.14107372781727595</v>
      </c>
      <c r="AM292" s="86">
        <f t="shared" si="641"/>
        <v>0.12559164354496502</v>
      </c>
      <c r="AN292" s="86">
        <f t="shared" si="641"/>
        <v>0.14225016995241319</v>
      </c>
      <c r="AO292" s="86">
        <f t="shared" si="641"/>
        <v>0.13833743349161856</v>
      </c>
      <c r="AP292" s="86">
        <f t="shared" si="641"/>
        <v>0.13804212464129093</v>
      </c>
      <c r="AQ292" s="86">
        <f t="shared" si="641"/>
        <v>0.13569581100178654</v>
      </c>
      <c r="AR292" s="86">
        <f t="shared" si="641"/>
        <v>0.1447719733541897</v>
      </c>
      <c r="AS292" s="86">
        <f t="shared" si="641"/>
        <v>0.14419272668148059</v>
      </c>
      <c r="AT292" s="86">
        <f t="shared" si="641"/>
        <v>0.16462303231151618</v>
      </c>
      <c r="AU292" s="86">
        <f t="shared" si="641"/>
        <v>0.16878972204795284</v>
      </c>
      <c r="AV292" s="86">
        <f t="shared" si="641"/>
        <v>0.15390753578375149</v>
      </c>
      <c r="AW292" s="86">
        <f t="shared" si="641"/>
        <v>0.15530738797384905</v>
      </c>
      <c r="AX292" s="86">
        <f t="shared" si="641"/>
        <v>0.13652744289751367</v>
      </c>
      <c r="AY292" s="86">
        <f t="shared" si="641"/>
        <v>0.13121430464852896</v>
      </c>
      <c r="AZ292" s="86">
        <f t="shared" si="641"/>
        <v>0.11441379310344833</v>
      </c>
      <c r="BA292" s="86">
        <f t="shared" si="641"/>
        <v>0.10158889726620318</v>
      </c>
      <c r="BB292" s="86">
        <f t="shared" si="641"/>
        <v>8.3248538772805677E-2</v>
      </c>
      <c r="BC292" s="86">
        <f t="shared" si="641"/>
        <v>6.6365740740740781E-2</v>
      </c>
      <c r="BD292" s="86">
        <f t="shared" si="641"/>
        <v>8.8332749656528556E-2</v>
      </c>
      <c r="BE292" s="86">
        <f t="shared" si="641"/>
        <v>7.297394645215502E-2</v>
      </c>
      <c r="BF292" s="86">
        <f t="shared" si="641"/>
        <v>8.2539534667070355E-2</v>
      </c>
      <c r="BG292" s="86">
        <f t="shared" si="641"/>
        <v>8.5241059183458132E-2</v>
      </c>
      <c r="BH292" s="86">
        <f t="shared" si="641"/>
        <v>0.10035028128648771</v>
      </c>
      <c r="BI292" s="86">
        <f t="shared" si="641"/>
        <v>7.5385104739401049E-2</v>
      </c>
      <c r="BJ292" s="86">
        <f t="shared" si="641"/>
        <v>7.8584737607240107E-2</v>
      </c>
      <c r="BK292" s="86">
        <f t="shared" si="641"/>
        <v>7.9758596734977386E-2</v>
      </c>
      <c r="BL292" s="86">
        <f t="shared" si="641"/>
        <v>8.1096598248887639E-2</v>
      </c>
      <c r="BM292" s="86">
        <f t="shared" si="641"/>
        <v>9.4757881348232875E-2</v>
      </c>
      <c r="BN292" s="86">
        <f t="shared" si="641"/>
        <v>0.1083935242839352</v>
      </c>
      <c r="BO292" s="86">
        <f t="shared" ref="BO292:CJ292" si="642">+BO291/BO290</f>
        <v>-0.15239757486680156</v>
      </c>
      <c r="BP292" s="86">
        <f t="shared" si="642"/>
        <v>7.5598514914863663E-2</v>
      </c>
      <c r="BQ292" s="86">
        <f t="shared" si="642"/>
        <v>9.4946053378762094E-2</v>
      </c>
      <c r="BR292" s="86">
        <f t="shared" si="642"/>
        <v>0.14738048329379599</v>
      </c>
      <c r="BS292" s="86">
        <f t="shared" si="642"/>
        <v>0.11948828951528563</v>
      </c>
      <c r="BT292" s="86">
        <f t="shared" si="642"/>
        <v>0.11503413289910427</v>
      </c>
      <c r="BU292" s="86">
        <f t="shared" si="642"/>
        <v>0.11872883964296709</v>
      </c>
      <c r="BV292" s="86">
        <f t="shared" si="642"/>
        <v>0.14581837395510164</v>
      </c>
      <c r="BW292" s="86">
        <f t="shared" si="642"/>
        <v>0.13059387617765811</v>
      </c>
      <c r="BX292" s="86">
        <f t="shared" si="642"/>
        <v>0.11090903964360234</v>
      </c>
      <c r="BY292" s="86">
        <f t="shared" si="642"/>
        <v>9.7289256198347135E-2</v>
      </c>
      <c r="BZ292" s="86">
        <f t="shared" si="642"/>
        <v>0.10353439462538336</v>
      </c>
      <c r="CA292" s="86">
        <f t="shared" si="642"/>
        <v>7.9530350022153334E-2</v>
      </c>
      <c r="CB292" s="86">
        <f t="shared" si="642"/>
        <v>7.3957438686897553E-2</v>
      </c>
      <c r="CC292" s="86">
        <f t="shared" si="642"/>
        <v>7.7990661729190183E-2</v>
      </c>
      <c r="CD292" s="86">
        <f t="shared" si="642"/>
        <v>9.5119237790962985E-2</v>
      </c>
      <c r="CE292" s="86">
        <f t="shared" si="642"/>
        <v>9.7135848784358991E-2</v>
      </c>
      <c r="CF292" s="86">
        <f t="shared" si="642"/>
        <v>8.2340403487219035E-2</v>
      </c>
      <c r="CG292" s="86">
        <f t="shared" si="642"/>
        <v>8.4868499582222506E-2</v>
      </c>
      <c r="CH292" s="86">
        <f t="shared" si="642"/>
        <v>7.8578237777475135E-2</v>
      </c>
      <c r="CI292" s="86">
        <f t="shared" si="642"/>
        <v>7.2970611697076401E-2</v>
      </c>
      <c r="CJ292" s="86">
        <f t="shared" si="642"/>
        <v>9.7865628736421573E-2</v>
      </c>
      <c r="CK292" s="86">
        <f t="shared" ref="CK292:DB292" si="643">+CK291/CK290</f>
        <v>0.10892520589678052</v>
      </c>
      <c r="CL292" s="86">
        <f t="shared" si="643"/>
        <v>0.11514616707394325</v>
      </c>
      <c r="CM292" s="47">
        <f t="shared" si="643"/>
        <v>0.10775682404775581</v>
      </c>
      <c r="CN292" s="47">
        <f t="shared" si="643"/>
        <v>0.11647747074957106</v>
      </c>
      <c r="CO292" s="47">
        <f t="shared" si="643"/>
        <v>0.12104973803431221</v>
      </c>
      <c r="CP292" s="47">
        <f t="shared" si="643"/>
        <v>0.12386814378506111</v>
      </c>
      <c r="CQ292" s="47">
        <f t="shared" si="643"/>
        <v>0.12307859655605106</v>
      </c>
      <c r="CR292" s="47">
        <f t="shared" si="643"/>
        <v>0.12686788784228459</v>
      </c>
      <c r="CS292" s="47">
        <f t="shared" si="643"/>
        <v>0.12941036293932992</v>
      </c>
      <c r="CT292" s="47">
        <f t="shared" si="643"/>
        <v>0.1314449287449638</v>
      </c>
      <c r="CU292" s="47">
        <f t="shared" si="643"/>
        <v>0.12770044402065733</v>
      </c>
      <c r="CV292" s="47">
        <f t="shared" si="643"/>
        <v>0.12885590588680884</v>
      </c>
      <c r="CW292" s="47">
        <f t="shared" si="643"/>
        <v>0.12935291039793995</v>
      </c>
      <c r="CX292" s="47">
        <f t="shared" si="643"/>
        <v>0.12933854726259242</v>
      </c>
      <c r="CY292" s="47">
        <f t="shared" si="643"/>
        <v>0.12881195189199968</v>
      </c>
      <c r="CZ292" s="47">
        <f t="shared" si="643"/>
        <v>0.12908982885983519</v>
      </c>
      <c r="DA292" s="47">
        <f t="shared" si="643"/>
        <v>0.1291483096030919</v>
      </c>
      <c r="DB292" s="47">
        <f t="shared" si="643"/>
        <v>0.12909715940437985</v>
      </c>
      <c r="DE292" s="130"/>
      <c r="DF292" s="89">
        <v>8.9584921026938449E-2</v>
      </c>
    </row>
    <row r="293" spans="1:110" s="64" customFormat="1" hidden="1" outlineLevel="1" x14ac:dyDescent="0.2">
      <c r="A293" s="64" t="s">
        <v>476</v>
      </c>
      <c r="B293" s="64">
        <f t="shared" ref="B293:Z293" si="644">B95-B299</f>
        <v>7.4685614000000058</v>
      </c>
      <c r="C293" s="64">
        <f t="shared" si="644"/>
        <v>4.6024951000000334</v>
      </c>
      <c r="D293" s="64">
        <f t="shared" si="644"/>
        <v>7.568497399999992</v>
      </c>
      <c r="E293" s="64">
        <f t="shared" si="644"/>
        <v>12.06359129999999</v>
      </c>
      <c r="F293" s="64">
        <f t="shared" si="644"/>
        <v>14.04881440000004</v>
      </c>
      <c r="G293" s="64">
        <f t="shared" si="644"/>
        <v>24.775344700000019</v>
      </c>
      <c r="H293" s="64">
        <f t="shared" si="644"/>
        <v>27.024879000000052</v>
      </c>
      <c r="I293" s="64">
        <f t="shared" si="644"/>
        <v>5.3745691000000315</v>
      </c>
      <c r="J293" s="64">
        <f t="shared" si="644"/>
        <v>-15.984456400000031</v>
      </c>
      <c r="K293" s="64">
        <f t="shared" si="644"/>
        <v>17.152475700000014</v>
      </c>
      <c r="L293" s="64">
        <f t="shared" si="644"/>
        <v>56.590000000000103</v>
      </c>
      <c r="M293" s="64">
        <f t="shared" si="644"/>
        <v>17.079999999999906</v>
      </c>
      <c r="N293" s="64">
        <f t="shared" si="644"/>
        <v>51.300000000000111</v>
      </c>
      <c r="O293" s="64">
        <f t="shared" si="644"/>
        <v>40.500000000000007</v>
      </c>
      <c r="P293" s="64">
        <f t="shared" si="644"/>
        <v>51.920000000000073</v>
      </c>
      <c r="Q293" s="64">
        <f t="shared" si="644"/>
        <v>77.039999999999836</v>
      </c>
      <c r="R293" s="64">
        <f t="shared" si="644"/>
        <v>52.930000000000007</v>
      </c>
      <c r="S293" s="64">
        <f t="shared" si="644"/>
        <v>28.620000000000271</v>
      </c>
      <c r="T293" s="64">
        <f t="shared" si="644"/>
        <v>13.230000000000018</v>
      </c>
      <c r="U293" s="64">
        <f t="shared" si="644"/>
        <v>13.279999999999973</v>
      </c>
      <c r="V293" s="64">
        <f t="shared" si="644"/>
        <v>4.2100000000001607</v>
      </c>
      <c r="W293" s="64">
        <f t="shared" si="644"/>
        <v>152.94000000000023</v>
      </c>
      <c r="X293" s="64">
        <f t="shared" si="644"/>
        <v>156.29000000000005</v>
      </c>
      <c r="Y293" s="64">
        <f t="shared" si="644"/>
        <v>47.459999999999887</v>
      </c>
      <c r="Z293" s="64">
        <f t="shared" si="644"/>
        <v>38.439999999999721</v>
      </c>
      <c r="AA293" s="64">
        <f t="shared" ref="AA293" si="645">AA95-AA299</f>
        <v>89.250000000000114</v>
      </c>
      <c r="AB293" s="30"/>
      <c r="AC293" s="30"/>
      <c r="AD293" s="30"/>
      <c r="AE293" s="30"/>
      <c r="AI293" s="64">
        <f t="shared" ref="AI293:BN293" si="646">AI95-AI299</f>
        <v>9.7699999999999569</v>
      </c>
      <c r="AJ293" s="64">
        <f t="shared" si="646"/>
        <v>18.090000000000039</v>
      </c>
      <c r="AK293" s="64">
        <f t="shared" si="646"/>
        <v>11.069999999999983</v>
      </c>
      <c r="AL293" s="64">
        <f t="shared" si="646"/>
        <v>12.820000000000007</v>
      </c>
      <c r="AM293" s="64">
        <f t="shared" si="646"/>
        <v>6.0300000000000411</v>
      </c>
      <c r="AN293" s="64">
        <f t="shared" si="646"/>
        <v>12.23999999999994</v>
      </c>
      <c r="AO293" s="64">
        <f t="shared" si="646"/>
        <v>12.150000000000009</v>
      </c>
      <c r="AP293" s="64">
        <f t="shared" si="646"/>
        <v>10.380000000000036</v>
      </c>
      <c r="AQ293" s="64">
        <f t="shared" si="646"/>
        <v>11.340000000000014</v>
      </c>
      <c r="AR293" s="64">
        <f t="shared" si="646"/>
        <v>11.970000000000011</v>
      </c>
      <c r="AS293" s="64">
        <f t="shared" si="646"/>
        <v>13.769999999999968</v>
      </c>
      <c r="AT293" s="64">
        <f t="shared" si="646"/>
        <v>14.840000000000014</v>
      </c>
      <c r="AU293" s="64">
        <f t="shared" si="646"/>
        <v>17.199999999999989</v>
      </c>
      <c r="AV293" s="64">
        <f t="shared" si="646"/>
        <v>18.650000000000027</v>
      </c>
      <c r="AW293" s="64">
        <f t="shared" si="646"/>
        <v>15.550000000000065</v>
      </c>
      <c r="AX293" s="64">
        <f t="shared" si="646"/>
        <v>25.990000000000006</v>
      </c>
      <c r="AY293" s="64">
        <f t="shared" si="646"/>
        <v>15.280000000000062</v>
      </c>
      <c r="AZ293" s="64">
        <f t="shared" si="646"/>
        <v>15.450000000000024</v>
      </c>
      <c r="BA293" s="64">
        <f t="shared" si="646"/>
        <v>4.5000000000000231</v>
      </c>
      <c r="BB293" s="64">
        <f t="shared" si="646"/>
        <v>19.609999999999953</v>
      </c>
      <c r="BC293" s="64">
        <f t="shared" si="646"/>
        <v>1.220000000000016</v>
      </c>
      <c r="BD293" s="64">
        <f t="shared" si="646"/>
        <v>0.41999999999996618</v>
      </c>
      <c r="BE293" s="64">
        <f t="shared" si="646"/>
        <v>3.759999999999958</v>
      </c>
      <c r="BF293" s="64">
        <f t="shared" si="646"/>
        <v>25.049999999999997</v>
      </c>
      <c r="BG293" s="64">
        <f t="shared" si="646"/>
        <v>4.0899999999999759</v>
      </c>
      <c r="BH293" s="64">
        <f t="shared" si="646"/>
        <v>9.1600000000000392</v>
      </c>
      <c r="BI293" s="64">
        <f t="shared" si="646"/>
        <v>-0.74000000000002331</v>
      </c>
      <c r="BJ293" s="64">
        <f t="shared" si="646"/>
        <v>0.71999999999999531</v>
      </c>
      <c r="BK293" s="64">
        <f t="shared" si="646"/>
        <v>1.1399999999999786</v>
      </c>
      <c r="BL293" s="64">
        <f t="shared" si="646"/>
        <v>3.1100000000000119</v>
      </c>
      <c r="BM293" s="64">
        <f t="shared" si="646"/>
        <v>5.5399999999999743</v>
      </c>
      <c r="BN293" s="64">
        <f t="shared" si="646"/>
        <v>3.4899999999999816</v>
      </c>
      <c r="BO293" s="64">
        <f t="shared" ref="BO293:CT293" si="647">BO95-BO299</f>
        <v>-32.520000000000024</v>
      </c>
      <c r="BP293" s="64">
        <f t="shared" si="647"/>
        <v>-4.2399999999999949</v>
      </c>
      <c r="BQ293" s="64">
        <f t="shared" si="647"/>
        <v>7.4300000000000113</v>
      </c>
      <c r="BR293" s="64">
        <f t="shared" si="647"/>
        <v>33.54</v>
      </c>
      <c r="BS293" s="64">
        <f t="shared" si="647"/>
        <v>12.889999999999997</v>
      </c>
      <c r="BT293" s="64">
        <f t="shared" si="647"/>
        <v>29.869999999999919</v>
      </c>
      <c r="BU293" s="64">
        <f t="shared" si="647"/>
        <v>43.740000000000009</v>
      </c>
      <c r="BV293" s="64">
        <f t="shared" si="647"/>
        <v>66.440000000000083</v>
      </c>
      <c r="BW293" s="64">
        <f t="shared" si="647"/>
        <v>52.529999999999987</v>
      </c>
      <c r="BX293" s="64">
        <f t="shared" si="647"/>
        <v>33.54000000000002</v>
      </c>
      <c r="BY293" s="64">
        <f t="shared" si="647"/>
        <v>22.36000000000001</v>
      </c>
      <c r="BZ293" s="64">
        <f t="shared" si="647"/>
        <v>47.859999999999985</v>
      </c>
      <c r="CA293" s="64">
        <f t="shared" si="647"/>
        <v>14.430000000000025</v>
      </c>
      <c r="CB293" s="64">
        <f t="shared" si="647"/>
        <v>12.239999999999972</v>
      </c>
      <c r="CC293" s="64">
        <f t="shared" si="647"/>
        <v>5.4700000000000273</v>
      </c>
      <c r="CD293" s="64">
        <f t="shared" si="647"/>
        <v>15.319999999999965</v>
      </c>
      <c r="CE293" s="64">
        <f t="shared" si="647"/>
        <v>15.939999999999991</v>
      </c>
      <c r="CF293" s="64">
        <f t="shared" si="647"/>
        <v>7.2100000000000533</v>
      </c>
      <c r="CG293" s="64">
        <f t="shared" si="647"/>
        <v>4.109999999999947</v>
      </c>
      <c r="CH293" s="64">
        <f t="shared" si="647"/>
        <v>11.179999999999987</v>
      </c>
      <c r="CI293" s="64">
        <f t="shared" si="647"/>
        <v>3.7900000000000227</v>
      </c>
      <c r="CJ293" s="64">
        <f t="shared" si="647"/>
        <v>24.789999999999896</v>
      </c>
      <c r="CK293" s="64">
        <f t="shared" si="647"/>
        <v>26.129999999999995</v>
      </c>
      <c r="CL293" s="64">
        <f t="shared" si="647"/>
        <v>34.539999999999914</v>
      </c>
      <c r="CM293" s="30">
        <f t="shared" si="647"/>
        <v>36.009751567850245</v>
      </c>
      <c r="CN293" s="30">
        <f t="shared" si="647"/>
        <v>41.095753373439777</v>
      </c>
      <c r="CO293" s="30">
        <f t="shared" si="647"/>
        <v>46.219607599367656</v>
      </c>
      <c r="CP293" s="30">
        <f t="shared" si="647"/>
        <v>49.280383292816929</v>
      </c>
      <c r="CQ293" s="30">
        <f t="shared" si="647"/>
        <v>49.677468624449958</v>
      </c>
      <c r="CR293" s="30">
        <f t="shared" si="647"/>
        <v>55.472445291262325</v>
      </c>
      <c r="CS293" s="30">
        <f t="shared" si="647"/>
        <v>60.365014726347482</v>
      </c>
      <c r="CT293" s="30">
        <f t="shared" si="647"/>
        <v>64.648944014024138</v>
      </c>
      <c r="CU293" s="30">
        <f t="shared" ref="CU293:DB293" si="648">CU95-CU299</f>
        <v>63.979050767621644</v>
      </c>
      <c r="CV293" s="30">
        <f t="shared" si="648"/>
        <v>67.362176882879581</v>
      </c>
      <c r="CW293" s="30">
        <f t="shared" si="648"/>
        <v>70.280696774435114</v>
      </c>
      <c r="CX293" s="30">
        <f t="shared" si="648"/>
        <v>72.777083185560485</v>
      </c>
      <c r="CY293" s="30">
        <f t="shared" si="648"/>
        <v>74.91693531786251</v>
      </c>
      <c r="CZ293" s="30">
        <f t="shared" si="648"/>
        <v>77.749898096253872</v>
      </c>
      <c r="DA293" s="30">
        <f t="shared" si="648"/>
        <v>80.445958765450811</v>
      </c>
      <c r="DB293" s="30">
        <f t="shared" si="648"/>
        <v>83.087324877194746</v>
      </c>
      <c r="DE293" s="139"/>
      <c r="DF293" s="64">
        <v>17.614545816925165</v>
      </c>
    </row>
    <row r="294" spans="1:110" s="64" customFormat="1" hidden="1" outlineLevel="1" x14ac:dyDescent="0.2">
      <c r="AB294" s="30"/>
      <c r="AC294" s="30"/>
      <c r="AD294" s="30"/>
      <c r="AE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E294" s="139"/>
    </row>
    <row r="295" spans="1:110" s="64" customFormat="1" hidden="1" outlineLevel="1" x14ac:dyDescent="0.2">
      <c r="A295" s="65" t="s">
        <v>351</v>
      </c>
      <c r="AB295" s="30"/>
      <c r="AC295" s="30"/>
      <c r="AD295" s="30"/>
      <c r="AE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E295" s="139"/>
    </row>
    <row r="296" spans="1:110" s="64" customFormat="1" hidden="1" outlineLevel="1" x14ac:dyDescent="0.2">
      <c r="A296" s="64" t="s">
        <v>477</v>
      </c>
      <c r="AB296" s="30"/>
      <c r="AC296" s="30"/>
      <c r="AD296" s="30"/>
      <c r="AE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E296" s="139"/>
    </row>
    <row r="297" spans="1:110" s="64" customFormat="1" hidden="1" outlineLevel="1" x14ac:dyDescent="0.2">
      <c r="A297" s="64" t="s">
        <v>478</v>
      </c>
      <c r="AB297" s="30"/>
      <c r="AC297" s="30"/>
      <c r="AD297" s="30"/>
      <c r="AE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E297" s="139"/>
    </row>
    <row r="298" spans="1:110" s="89" customFormat="1" hidden="1" outlineLevel="1" x14ac:dyDescent="0.2">
      <c r="A298" s="86" t="s">
        <v>479</v>
      </c>
      <c r="B298" s="86" t="e">
        <f>+B297/B296</f>
        <v>#DIV/0!</v>
      </c>
      <c r="C298" s="86" t="e">
        <f t="shared" ref="C298:X298" si="649">+C297/C296</f>
        <v>#DIV/0!</v>
      </c>
      <c r="D298" s="86" t="e">
        <f t="shared" si="649"/>
        <v>#DIV/0!</v>
      </c>
      <c r="E298" s="86" t="e">
        <f t="shared" si="649"/>
        <v>#DIV/0!</v>
      </c>
      <c r="F298" s="86" t="e">
        <f t="shared" si="649"/>
        <v>#DIV/0!</v>
      </c>
      <c r="G298" s="86" t="e">
        <f t="shared" si="649"/>
        <v>#DIV/0!</v>
      </c>
      <c r="H298" s="86" t="e">
        <f t="shared" si="649"/>
        <v>#DIV/0!</v>
      </c>
      <c r="I298" s="86" t="e">
        <f t="shared" si="649"/>
        <v>#DIV/0!</v>
      </c>
      <c r="J298" s="86" t="e">
        <f t="shared" si="649"/>
        <v>#DIV/0!</v>
      </c>
      <c r="K298" s="86" t="e">
        <f t="shared" si="649"/>
        <v>#DIV/0!</v>
      </c>
      <c r="L298" s="86" t="e">
        <f t="shared" si="649"/>
        <v>#DIV/0!</v>
      </c>
      <c r="M298" s="86" t="e">
        <f t="shared" si="649"/>
        <v>#DIV/0!</v>
      </c>
      <c r="N298" s="86" t="e">
        <f t="shared" si="649"/>
        <v>#DIV/0!</v>
      </c>
      <c r="O298" s="86" t="e">
        <f t="shared" si="649"/>
        <v>#DIV/0!</v>
      </c>
      <c r="P298" s="86" t="e">
        <f t="shared" si="649"/>
        <v>#DIV/0!</v>
      </c>
      <c r="Q298" s="86" t="e">
        <f t="shared" si="649"/>
        <v>#DIV/0!</v>
      </c>
      <c r="R298" s="86" t="e">
        <f t="shared" si="649"/>
        <v>#DIV/0!</v>
      </c>
      <c r="S298" s="86" t="e">
        <f t="shared" si="649"/>
        <v>#DIV/0!</v>
      </c>
      <c r="T298" s="86" t="e">
        <f t="shared" si="649"/>
        <v>#DIV/0!</v>
      </c>
      <c r="U298" s="86" t="e">
        <f t="shared" si="649"/>
        <v>#DIV/0!</v>
      </c>
      <c r="V298" s="86" t="e">
        <f t="shared" si="649"/>
        <v>#DIV/0!</v>
      </c>
      <c r="W298" s="86" t="e">
        <f t="shared" si="649"/>
        <v>#DIV/0!</v>
      </c>
      <c r="X298" s="86" t="e">
        <f t="shared" si="649"/>
        <v>#DIV/0!</v>
      </c>
      <c r="Y298" s="86" t="e">
        <f>+Y297/Y296</f>
        <v>#DIV/0!</v>
      </c>
      <c r="Z298" s="86" t="e">
        <f>+Z297/Z296</f>
        <v>#DIV/0!</v>
      </c>
      <c r="AA298" s="86" t="e">
        <f>+AA297/AA296</f>
        <v>#DIV/0!</v>
      </c>
      <c r="AB298" s="87"/>
      <c r="AC298" s="87"/>
      <c r="AD298" s="87"/>
      <c r="AE298" s="87"/>
      <c r="AF298" s="86"/>
      <c r="AG298" s="86"/>
      <c r="AH298" s="86"/>
      <c r="AI298" s="86" t="e">
        <f t="shared" ref="AI298:BN298" si="650">+AI297/AI296</f>
        <v>#DIV/0!</v>
      </c>
      <c r="AJ298" s="86" t="e">
        <f t="shared" si="650"/>
        <v>#DIV/0!</v>
      </c>
      <c r="AK298" s="86" t="e">
        <f t="shared" si="650"/>
        <v>#DIV/0!</v>
      </c>
      <c r="AL298" s="86" t="e">
        <f t="shared" si="650"/>
        <v>#DIV/0!</v>
      </c>
      <c r="AM298" s="86" t="e">
        <f t="shared" si="650"/>
        <v>#DIV/0!</v>
      </c>
      <c r="AN298" s="86" t="e">
        <f t="shared" si="650"/>
        <v>#DIV/0!</v>
      </c>
      <c r="AO298" s="86" t="e">
        <f t="shared" si="650"/>
        <v>#DIV/0!</v>
      </c>
      <c r="AP298" s="86" t="e">
        <f t="shared" si="650"/>
        <v>#DIV/0!</v>
      </c>
      <c r="AQ298" s="86" t="e">
        <f t="shared" si="650"/>
        <v>#DIV/0!</v>
      </c>
      <c r="AR298" s="86" t="e">
        <f t="shared" si="650"/>
        <v>#DIV/0!</v>
      </c>
      <c r="AS298" s="86" t="e">
        <f t="shared" si="650"/>
        <v>#DIV/0!</v>
      </c>
      <c r="AT298" s="86" t="e">
        <f t="shared" si="650"/>
        <v>#DIV/0!</v>
      </c>
      <c r="AU298" s="86" t="e">
        <f t="shared" si="650"/>
        <v>#DIV/0!</v>
      </c>
      <c r="AV298" s="86" t="e">
        <f t="shared" si="650"/>
        <v>#DIV/0!</v>
      </c>
      <c r="AW298" s="86" t="e">
        <f t="shared" si="650"/>
        <v>#DIV/0!</v>
      </c>
      <c r="AX298" s="86" t="e">
        <f t="shared" si="650"/>
        <v>#DIV/0!</v>
      </c>
      <c r="AY298" s="86" t="e">
        <f t="shared" si="650"/>
        <v>#DIV/0!</v>
      </c>
      <c r="AZ298" s="86" t="e">
        <f t="shared" si="650"/>
        <v>#DIV/0!</v>
      </c>
      <c r="BA298" s="86" t="e">
        <f t="shared" si="650"/>
        <v>#DIV/0!</v>
      </c>
      <c r="BB298" s="86" t="e">
        <f t="shared" si="650"/>
        <v>#DIV/0!</v>
      </c>
      <c r="BC298" s="86" t="e">
        <f t="shared" si="650"/>
        <v>#DIV/0!</v>
      </c>
      <c r="BD298" s="86" t="e">
        <f t="shared" si="650"/>
        <v>#DIV/0!</v>
      </c>
      <c r="BE298" s="86" t="e">
        <f t="shared" si="650"/>
        <v>#DIV/0!</v>
      </c>
      <c r="BF298" s="86" t="e">
        <f t="shared" si="650"/>
        <v>#DIV/0!</v>
      </c>
      <c r="BG298" s="86" t="e">
        <f t="shared" si="650"/>
        <v>#DIV/0!</v>
      </c>
      <c r="BH298" s="86" t="e">
        <f t="shared" si="650"/>
        <v>#DIV/0!</v>
      </c>
      <c r="BI298" s="86" t="e">
        <f t="shared" si="650"/>
        <v>#DIV/0!</v>
      </c>
      <c r="BJ298" s="86" t="e">
        <f t="shared" si="650"/>
        <v>#DIV/0!</v>
      </c>
      <c r="BK298" s="86" t="e">
        <f t="shared" si="650"/>
        <v>#DIV/0!</v>
      </c>
      <c r="BL298" s="86" t="e">
        <f t="shared" si="650"/>
        <v>#DIV/0!</v>
      </c>
      <c r="BM298" s="86" t="e">
        <f t="shared" si="650"/>
        <v>#DIV/0!</v>
      </c>
      <c r="BN298" s="86" t="e">
        <f t="shared" si="650"/>
        <v>#DIV/0!</v>
      </c>
      <c r="BO298" s="86" t="e">
        <f t="shared" ref="BO298:CJ298" si="651">+BO297/BO296</f>
        <v>#DIV/0!</v>
      </c>
      <c r="BP298" s="86" t="e">
        <f t="shared" si="651"/>
        <v>#DIV/0!</v>
      </c>
      <c r="BQ298" s="86" t="e">
        <f t="shared" si="651"/>
        <v>#DIV/0!</v>
      </c>
      <c r="BR298" s="86" t="e">
        <f t="shared" si="651"/>
        <v>#DIV/0!</v>
      </c>
      <c r="BS298" s="86" t="e">
        <f t="shared" si="651"/>
        <v>#DIV/0!</v>
      </c>
      <c r="BT298" s="86" t="e">
        <f t="shared" si="651"/>
        <v>#DIV/0!</v>
      </c>
      <c r="BU298" s="86" t="e">
        <f t="shared" si="651"/>
        <v>#DIV/0!</v>
      </c>
      <c r="BV298" s="86" t="e">
        <f t="shared" si="651"/>
        <v>#DIV/0!</v>
      </c>
      <c r="BW298" s="86" t="e">
        <f t="shared" si="651"/>
        <v>#DIV/0!</v>
      </c>
      <c r="BX298" s="86" t="e">
        <f t="shared" si="651"/>
        <v>#DIV/0!</v>
      </c>
      <c r="BY298" s="86" t="e">
        <f t="shared" si="651"/>
        <v>#DIV/0!</v>
      </c>
      <c r="BZ298" s="86" t="e">
        <f t="shared" si="651"/>
        <v>#DIV/0!</v>
      </c>
      <c r="CA298" s="86" t="e">
        <f t="shared" si="651"/>
        <v>#DIV/0!</v>
      </c>
      <c r="CB298" s="86" t="e">
        <f t="shared" si="651"/>
        <v>#DIV/0!</v>
      </c>
      <c r="CC298" s="86" t="e">
        <f t="shared" si="651"/>
        <v>#DIV/0!</v>
      </c>
      <c r="CD298" s="86" t="e">
        <f t="shared" si="651"/>
        <v>#DIV/0!</v>
      </c>
      <c r="CE298" s="86" t="e">
        <f t="shared" si="651"/>
        <v>#DIV/0!</v>
      </c>
      <c r="CF298" s="86" t="e">
        <f t="shared" si="651"/>
        <v>#DIV/0!</v>
      </c>
      <c r="CG298" s="86" t="e">
        <f t="shared" si="651"/>
        <v>#DIV/0!</v>
      </c>
      <c r="CH298" s="86" t="e">
        <f t="shared" si="651"/>
        <v>#DIV/0!</v>
      </c>
      <c r="CI298" s="86" t="e">
        <f t="shared" si="651"/>
        <v>#DIV/0!</v>
      </c>
      <c r="CJ298" s="86" t="e">
        <f t="shared" si="651"/>
        <v>#DIV/0!</v>
      </c>
      <c r="CK298" s="86" t="e">
        <f t="shared" ref="CK298:DB298" si="652">+CK297/CK296</f>
        <v>#DIV/0!</v>
      </c>
      <c r="CL298" s="86" t="e">
        <f t="shared" si="652"/>
        <v>#DIV/0!</v>
      </c>
      <c r="CM298" s="47" t="e">
        <f t="shared" si="652"/>
        <v>#DIV/0!</v>
      </c>
      <c r="CN298" s="47" t="e">
        <f t="shared" si="652"/>
        <v>#DIV/0!</v>
      </c>
      <c r="CO298" s="47" t="e">
        <f t="shared" si="652"/>
        <v>#DIV/0!</v>
      </c>
      <c r="CP298" s="47" t="e">
        <f t="shared" si="652"/>
        <v>#DIV/0!</v>
      </c>
      <c r="CQ298" s="47" t="e">
        <f t="shared" si="652"/>
        <v>#DIV/0!</v>
      </c>
      <c r="CR298" s="47" t="e">
        <f t="shared" si="652"/>
        <v>#DIV/0!</v>
      </c>
      <c r="CS298" s="47" t="e">
        <f t="shared" si="652"/>
        <v>#DIV/0!</v>
      </c>
      <c r="CT298" s="47" t="e">
        <f t="shared" si="652"/>
        <v>#DIV/0!</v>
      </c>
      <c r="CU298" s="47" t="e">
        <f t="shared" si="652"/>
        <v>#DIV/0!</v>
      </c>
      <c r="CV298" s="47" t="e">
        <f t="shared" si="652"/>
        <v>#DIV/0!</v>
      </c>
      <c r="CW298" s="47" t="e">
        <f t="shared" si="652"/>
        <v>#DIV/0!</v>
      </c>
      <c r="CX298" s="47" t="e">
        <f t="shared" si="652"/>
        <v>#DIV/0!</v>
      </c>
      <c r="CY298" s="47" t="e">
        <f t="shared" si="652"/>
        <v>#DIV/0!</v>
      </c>
      <c r="CZ298" s="47" t="e">
        <f t="shared" si="652"/>
        <v>#DIV/0!</v>
      </c>
      <c r="DA298" s="47" t="e">
        <f t="shared" si="652"/>
        <v>#DIV/0!</v>
      </c>
      <c r="DB298" s="47" t="e">
        <f t="shared" si="652"/>
        <v>#DIV/0!</v>
      </c>
      <c r="DE298" s="130"/>
    </row>
    <row r="299" spans="1:110" s="64" customFormat="1" hidden="1" outlineLevel="1" x14ac:dyDescent="0.2">
      <c r="A299" s="64" t="s">
        <v>480</v>
      </c>
      <c r="AB299" s="30"/>
      <c r="AC299" s="30"/>
      <c r="AD299" s="30"/>
      <c r="AE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E299" s="139"/>
    </row>
    <row r="300" spans="1:110" s="62" customFormat="1" hidden="1" outlineLevel="1" x14ac:dyDescent="0.2">
      <c r="AB300" s="63"/>
      <c r="AC300" s="63"/>
      <c r="AD300" s="63"/>
      <c r="AE300" s="63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E300" s="139"/>
    </row>
    <row r="301" spans="1:110" s="11" customFormat="1" collapsed="1" x14ac:dyDescent="0.2">
      <c r="AB301" s="63"/>
      <c r="AC301" s="63"/>
      <c r="AD301" s="63"/>
      <c r="AE301" s="63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E301" s="139"/>
    </row>
    <row r="302" spans="1:110" s="62" customFormat="1" x14ac:dyDescent="0.2">
      <c r="A302" s="154" t="s">
        <v>496</v>
      </c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63"/>
      <c r="AC302" s="63"/>
      <c r="AD302" s="63"/>
      <c r="AE302" s="63"/>
      <c r="AL302" s="179"/>
      <c r="CF302" s="179"/>
      <c r="CG302" s="179"/>
      <c r="CH302" s="179"/>
      <c r="CI302" s="179"/>
      <c r="CJ302" s="179"/>
      <c r="CK302" s="179"/>
      <c r="CL302" s="179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E302" s="139"/>
    </row>
    <row r="303" spans="1:110" s="84" customFormat="1" x14ac:dyDescent="0.2">
      <c r="A303" s="84" t="s">
        <v>511</v>
      </c>
      <c r="B303" s="84">
        <f>B55/B224</f>
        <v>1.8024805688679504</v>
      </c>
      <c r="C303" s="84">
        <f>C55/C224</f>
        <v>1.8437778253791464</v>
      </c>
      <c r="D303" s="84">
        <f>D55/D224</f>
        <v>1.4435071706689158</v>
      </c>
      <c r="E303" s="84">
        <f t="shared" ref="E303:AE303" si="653">E57/(E220+E207+E192)</f>
        <v>1.0128620713301881</v>
      </c>
      <c r="F303" s="84">
        <f t="shared" si="653"/>
        <v>0.96845394962120868</v>
      </c>
      <c r="G303" s="84">
        <f t="shared" si="653"/>
        <v>0.68195668527197495</v>
      </c>
      <c r="H303" s="84">
        <f t="shared" si="653"/>
        <v>0.60527753939095941</v>
      </c>
      <c r="I303" s="84">
        <f t="shared" si="653"/>
        <v>0.68277673886639423</v>
      </c>
      <c r="J303" s="84">
        <f t="shared" si="653"/>
        <v>0.79630568164770199</v>
      </c>
      <c r="K303" s="84">
        <f t="shared" si="653"/>
        <v>0.88739227938127252</v>
      </c>
      <c r="L303" s="84">
        <f t="shared" si="653"/>
        <v>1.0559751942456417</v>
      </c>
      <c r="M303" s="84">
        <f t="shared" si="653"/>
        <v>1.2616351529395005</v>
      </c>
      <c r="N303" s="84">
        <f t="shared" si="653"/>
        <v>1.3165958886425755</v>
      </c>
      <c r="O303" s="84">
        <f t="shared" si="653"/>
        <v>1.3151898501762633</v>
      </c>
      <c r="P303" s="84">
        <f t="shared" si="653"/>
        <v>1.254450100789231</v>
      </c>
      <c r="Q303" s="84">
        <f t="shared" si="653"/>
        <v>1.1694560832083083</v>
      </c>
      <c r="R303" s="84">
        <f t="shared" si="653"/>
        <v>1.1187163895820886</v>
      </c>
      <c r="S303" s="84">
        <f t="shared" si="653"/>
        <v>1.0402566872101153</v>
      </c>
      <c r="T303" s="84">
        <f t="shared" si="653"/>
        <v>1.2256910143600144</v>
      </c>
      <c r="U303" s="84">
        <f t="shared" si="653"/>
        <v>1.2477590509249579</v>
      </c>
      <c r="V303" s="84">
        <f t="shared" si="653"/>
        <v>0.96477328392222017</v>
      </c>
      <c r="W303" s="84">
        <f t="shared" si="653"/>
        <v>1.3370776656428258</v>
      </c>
      <c r="X303" s="84">
        <f t="shared" si="653"/>
        <v>1.2558049087651231</v>
      </c>
      <c r="Y303" s="84">
        <f t="shared" si="653"/>
        <v>0.95944362302174047</v>
      </c>
      <c r="Z303" s="84">
        <f t="shared" si="653"/>
        <v>0.96549568273601316</v>
      </c>
      <c r="AA303" s="84">
        <f t="shared" ref="AA303" si="654">AA57/(AA220+AA207+AA192)</f>
        <v>0.97975089205120269</v>
      </c>
      <c r="AB303" s="50">
        <f t="shared" si="653"/>
        <v>1.1127443159116965</v>
      </c>
      <c r="AC303" s="50">
        <f t="shared" si="653"/>
        <v>1.0330831730897085</v>
      </c>
      <c r="AD303" s="50">
        <f t="shared" si="653"/>
        <v>1.0123196306866555</v>
      </c>
      <c r="AE303" s="50">
        <f t="shared" si="653"/>
        <v>0.97341133283120607</v>
      </c>
      <c r="AL303" s="84">
        <f t="shared" ref="AL303:BQ303" si="655">SUM(AI57:AL57)/(AL220+AL207+AL192)</f>
        <v>1.3220088494787354</v>
      </c>
      <c r="AM303" s="84">
        <f t="shared" si="655"/>
        <v>1.2730647251849563</v>
      </c>
      <c r="AN303" s="84">
        <f t="shared" si="655"/>
        <v>1.2652995172122379</v>
      </c>
      <c r="AO303" s="84">
        <f t="shared" si="655"/>
        <v>1.2701332453081264</v>
      </c>
      <c r="AP303" s="84">
        <f t="shared" si="655"/>
        <v>1.321649560251914</v>
      </c>
      <c r="AQ303" s="84">
        <f t="shared" si="655"/>
        <v>1.3134740891918706</v>
      </c>
      <c r="AR303" s="84">
        <f t="shared" si="655"/>
        <v>1.3174496101022639</v>
      </c>
      <c r="AS303" s="84">
        <f t="shared" si="655"/>
        <v>1.3189661593265676</v>
      </c>
      <c r="AT303" s="84">
        <f t="shared" si="655"/>
        <v>1.2615224298746115</v>
      </c>
      <c r="AU303" s="84">
        <f t="shared" si="655"/>
        <v>1.2351976416639954</v>
      </c>
      <c r="AV303" s="84">
        <f t="shared" si="655"/>
        <v>1.2566553473357649</v>
      </c>
      <c r="AW303" s="84">
        <f t="shared" si="655"/>
        <v>1.2372124085331708</v>
      </c>
      <c r="AX303" s="84">
        <f t="shared" si="655"/>
        <v>1.1735993967708584</v>
      </c>
      <c r="AY303" s="84">
        <f t="shared" si="655"/>
        <v>1.1864582413123579</v>
      </c>
      <c r="AZ303" s="84">
        <f t="shared" si="655"/>
        <v>1.1614583717652613</v>
      </c>
      <c r="BA303" s="84">
        <f t="shared" si="655"/>
        <v>1.1669195240910517</v>
      </c>
      <c r="BB303" s="84">
        <f t="shared" si="655"/>
        <v>1.120480826684475</v>
      </c>
      <c r="BC303" s="84">
        <f t="shared" si="655"/>
        <v>1.1303174197610502</v>
      </c>
      <c r="BD303" s="84">
        <f t="shared" si="655"/>
        <v>1.0647448500750138</v>
      </c>
      <c r="BE303" s="84">
        <f t="shared" si="655"/>
        <v>1.0980760406430494</v>
      </c>
      <c r="BF303" s="84">
        <f t="shared" si="655"/>
        <v>1.0406696740580723</v>
      </c>
      <c r="BG303" s="84">
        <f t="shared" si="655"/>
        <v>1.0609843544885453</v>
      </c>
      <c r="BH303" s="84">
        <f t="shared" si="655"/>
        <v>1.1302007068921989</v>
      </c>
      <c r="BI303" s="84">
        <f t="shared" si="655"/>
        <v>1.1536872460980119</v>
      </c>
      <c r="BJ303" s="84">
        <f t="shared" si="655"/>
        <v>1.2256910143600142</v>
      </c>
      <c r="BK303" s="84">
        <f t="shared" si="655"/>
        <v>1.2235563260044251</v>
      </c>
      <c r="BL303" s="84">
        <f t="shared" si="655"/>
        <v>1.2826302373418803</v>
      </c>
      <c r="BM303" s="84">
        <f t="shared" si="655"/>
        <v>1.2903150348815207</v>
      </c>
      <c r="BN303" s="84">
        <f t="shared" si="655"/>
        <v>1.2477590509249579</v>
      </c>
      <c r="BO303" s="84">
        <f t="shared" si="655"/>
        <v>1.0908272071986336</v>
      </c>
      <c r="BP303" s="84">
        <f t="shared" si="655"/>
        <v>0.97355459807767908</v>
      </c>
      <c r="BQ303" s="84">
        <f t="shared" si="655"/>
        <v>0.94555929382774606</v>
      </c>
      <c r="BR303" s="84">
        <f t="shared" ref="BR303:CW303" si="656">SUM(BO57:BR57)/(BR220+BR207+BR192)</f>
        <v>0.96477328392222017</v>
      </c>
      <c r="BS303" s="84">
        <f t="shared" si="656"/>
        <v>1.1854819773007761</v>
      </c>
      <c r="BT303" s="84">
        <f t="shared" si="656"/>
        <v>1.2705572496148412</v>
      </c>
      <c r="BU303" s="84">
        <f t="shared" si="656"/>
        <v>1.3636406234012037</v>
      </c>
      <c r="BV303" s="84">
        <f t="shared" si="656"/>
        <v>1.3370776656428258</v>
      </c>
      <c r="BW303" s="84">
        <f t="shared" si="656"/>
        <v>1.464206996326054</v>
      </c>
      <c r="BX303" s="84">
        <f t="shared" si="656"/>
        <v>1.4545722729131192</v>
      </c>
      <c r="BY303" s="84">
        <f t="shared" si="656"/>
        <v>1.4288520137270311</v>
      </c>
      <c r="BZ303" s="84">
        <f t="shared" si="656"/>
        <v>1.2558049087651231</v>
      </c>
      <c r="CA303" s="84">
        <f t="shared" si="656"/>
        <v>1.2331999027993108</v>
      </c>
      <c r="CB303" s="84">
        <f t="shared" si="656"/>
        <v>1.0842896351779829</v>
      </c>
      <c r="CC303" s="84">
        <f t="shared" si="656"/>
        <v>1.0906619980577836</v>
      </c>
      <c r="CD303" s="84">
        <f t="shared" si="656"/>
        <v>0.963301541687132</v>
      </c>
      <c r="CE303" s="84">
        <f t="shared" si="656"/>
        <v>0.96583076178647909</v>
      </c>
      <c r="CF303" s="84">
        <f t="shared" si="656"/>
        <v>0.98291959497961756</v>
      </c>
      <c r="CG303" s="84">
        <f t="shared" si="656"/>
        <v>1.0142048944769233</v>
      </c>
      <c r="CH303" s="84">
        <f t="shared" si="656"/>
        <v>0.96549568273601316</v>
      </c>
      <c r="CI303" s="84">
        <f t="shared" si="656"/>
        <v>0.97813053685974261</v>
      </c>
      <c r="CJ303" s="84">
        <f t="shared" si="656"/>
        <v>0.97861522738886031</v>
      </c>
      <c r="CK303" s="84">
        <f t="shared" si="656"/>
        <v>0.98113323654508411</v>
      </c>
      <c r="CL303" s="84">
        <f t="shared" si="656"/>
        <v>0.98306511663247464</v>
      </c>
      <c r="CM303" s="50">
        <f t="shared" si="656"/>
        <v>1.0067993986012767</v>
      </c>
      <c r="CN303" s="50">
        <f t="shared" si="656"/>
        <v>1.0519760056287712</v>
      </c>
      <c r="CO303" s="50">
        <f t="shared" si="656"/>
        <v>1.0985205365068413</v>
      </c>
      <c r="CP303" s="50">
        <f t="shared" si="656"/>
        <v>1.1127443159116965</v>
      </c>
      <c r="CQ303" s="50">
        <f t="shared" si="656"/>
        <v>1.0900972436258065</v>
      </c>
      <c r="CR303" s="50">
        <f t="shared" si="656"/>
        <v>1.0698001319201074</v>
      </c>
      <c r="CS303" s="50">
        <f t="shared" si="656"/>
        <v>1.0512920507171664</v>
      </c>
      <c r="CT303" s="50">
        <f t="shared" si="656"/>
        <v>1.0330831730897085</v>
      </c>
      <c r="CU303" s="50">
        <f t="shared" si="656"/>
        <v>1.0322978013947643</v>
      </c>
      <c r="CV303" s="50">
        <f t="shared" si="656"/>
        <v>1.0279393061799249</v>
      </c>
      <c r="CW303" s="50">
        <f t="shared" si="656"/>
        <v>1.0209699115583195</v>
      </c>
      <c r="CX303" s="50">
        <f t="shared" ref="CX303:EC303" si="657">SUM(CU57:CX57)/(CX220+CX207+CX192)</f>
        <v>1.0123196306866555</v>
      </c>
      <c r="CY303" s="50">
        <f t="shared" si="657"/>
        <v>1.0032998114871754</v>
      </c>
      <c r="CZ303" s="50">
        <f t="shared" si="657"/>
        <v>0.99376655171389827</v>
      </c>
      <c r="DA303" s="50">
        <f t="shared" si="657"/>
        <v>0.98378816397661351</v>
      </c>
      <c r="DB303" s="50">
        <f t="shared" si="657"/>
        <v>0.97341133283120607</v>
      </c>
      <c r="DE303" s="138"/>
      <c r="DF303" s="84">
        <v>0.988600879705962</v>
      </c>
    </row>
    <row r="304" spans="1:110" s="84" customFormat="1" x14ac:dyDescent="0.2">
      <c r="A304" s="84" t="s">
        <v>512</v>
      </c>
      <c r="E304" s="180">
        <f t="shared" ref="E304:AE304" si="658">+E96</f>
        <v>4.5155852817502118E-2</v>
      </c>
      <c r="F304" s="180">
        <f t="shared" si="658"/>
        <v>4.8514937019237918E-2</v>
      </c>
      <c r="G304" s="180">
        <f t="shared" si="658"/>
        <v>7.1442549483321599E-2</v>
      </c>
      <c r="H304" s="180">
        <f t="shared" si="658"/>
        <v>4.8926326403676064E-2</v>
      </c>
      <c r="I304" s="180">
        <f t="shared" si="658"/>
        <v>7.7512377910676422E-3</v>
      </c>
      <c r="J304" s="180">
        <f t="shared" si="658"/>
        <v>-2.136188564408616E-2</v>
      </c>
      <c r="K304" s="180">
        <f t="shared" si="658"/>
        <v>2.0126157483562775E-2</v>
      </c>
      <c r="L304" s="180">
        <f t="shared" si="658"/>
        <v>4.8304766457252207E-2</v>
      </c>
      <c r="M304" s="180">
        <f t="shared" si="658"/>
        <v>1.2051763311271297E-2</v>
      </c>
      <c r="N304" s="180">
        <f t="shared" si="658"/>
        <v>3.468935111303461E-2</v>
      </c>
      <c r="O304" s="180">
        <f t="shared" si="658"/>
        <v>2.8270080482476041E-2</v>
      </c>
      <c r="P304" s="180">
        <f t="shared" si="658"/>
        <v>3.5351953481404866E-2</v>
      </c>
      <c r="Q304" s="180">
        <f t="shared" si="658"/>
        <v>5.1209784631746774E-2</v>
      </c>
      <c r="R304" s="180">
        <f t="shared" si="658"/>
        <v>3.3259395637885429E-2</v>
      </c>
      <c r="S304" s="180">
        <f t="shared" si="658"/>
        <v>1.7480424611851671E-2</v>
      </c>
      <c r="T304" s="180">
        <f t="shared" si="658"/>
        <v>7.061536244415632E-3</v>
      </c>
      <c r="U304" s="180">
        <f t="shared" si="658"/>
        <v>7.4185385255654528E-3</v>
      </c>
      <c r="V304" s="180">
        <f t="shared" si="658"/>
        <v>3.0979344650729308E-3</v>
      </c>
      <c r="W304" s="180">
        <f t="shared" si="658"/>
        <v>6.2737923339459267E-2</v>
      </c>
      <c r="X304" s="180">
        <f t="shared" si="658"/>
        <v>5.7622681856726775E-2</v>
      </c>
      <c r="Y304" s="180">
        <f t="shared" si="658"/>
        <v>1.8058948425834984E-2</v>
      </c>
      <c r="Z304" s="180">
        <f t="shared" si="658"/>
        <v>1.3454908206303828E-2</v>
      </c>
      <c r="AA304" s="180">
        <f t="shared" ref="AA304" si="659">+AA96</f>
        <v>2.7592880573066289E-2</v>
      </c>
      <c r="AB304" s="181">
        <f t="shared" si="658"/>
        <v>4.4786271576168817E-2</v>
      </c>
      <c r="AC304" s="181">
        <f t="shared" si="658"/>
        <v>5.772231805235313E-2</v>
      </c>
      <c r="AD304" s="181">
        <f t="shared" si="658"/>
        <v>6.7863035942585775E-2</v>
      </c>
      <c r="AE304" s="181">
        <f t="shared" si="658"/>
        <v>7.7889060350241207E-2</v>
      </c>
      <c r="AL304" s="180">
        <f t="shared" ref="AL304:BQ304" si="660">+AL96</f>
        <v>3.5884229972569022E-2</v>
      </c>
      <c r="AM304" s="180">
        <f t="shared" si="660"/>
        <v>1.6402807246613461E-2</v>
      </c>
      <c r="AN304" s="180">
        <f t="shared" si="660"/>
        <v>3.4670292318150754E-2</v>
      </c>
      <c r="AO304" s="180">
        <f t="shared" si="660"/>
        <v>3.4755992905772672E-2</v>
      </c>
      <c r="AP304" s="180">
        <f t="shared" si="660"/>
        <v>2.8101142454924566E-2</v>
      </c>
      <c r="AQ304" s="180">
        <f t="shared" si="660"/>
        <v>3.0237580993520554E-2</v>
      </c>
      <c r="AR304" s="180">
        <f t="shared" si="660"/>
        <v>3.2282424013592631E-2</v>
      </c>
      <c r="AS304" s="180">
        <f t="shared" si="660"/>
        <v>3.731505067476009E-2</v>
      </c>
      <c r="AT304" s="180">
        <f t="shared" si="660"/>
        <v>4.098315382491028E-2</v>
      </c>
      <c r="AU304" s="180">
        <f t="shared" si="660"/>
        <v>4.6916341616431601E-2</v>
      </c>
      <c r="AV304" s="180">
        <f t="shared" si="660"/>
        <v>4.6506408657922362E-2</v>
      </c>
      <c r="AW304" s="180">
        <f t="shared" si="660"/>
        <v>4.3631976205842089E-2</v>
      </c>
      <c r="AX304" s="180">
        <f t="shared" si="660"/>
        <v>6.7382230172927868E-2</v>
      </c>
      <c r="AY304" s="180">
        <f t="shared" si="660"/>
        <v>3.7628980225084492E-2</v>
      </c>
      <c r="AZ304" s="180">
        <f t="shared" si="660"/>
        <v>3.6280380415639364E-2</v>
      </c>
      <c r="BA304" s="180">
        <f t="shared" si="660"/>
        <v>1.2869276746646905E-2</v>
      </c>
      <c r="BB304" s="180">
        <f t="shared" si="660"/>
        <v>4.7556687280223005E-2</v>
      </c>
      <c r="BC304" s="180">
        <f t="shared" si="660"/>
        <v>2.8977934015819483E-3</v>
      </c>
      <c r="BD304" s="180">
        <f t="shared" si="660"/>
        <v>1.1314350367715477E-3</v>
      </c>
      <c r="BE304" s="180">
        <f t="shared" si="660"/>
        <v>9.0286949213590068E-3</v>
      </c>
      <c r="BF304" s="180">
        <f t="shared" si="660"/>
        <v>5.8358960022365104E-2</v>
      </c>
      <c r="BG304" s="180">
        <f t="shared" si="660"/>
        <v>8.6296022787213326E-3</v>
      </c>
      <c r="BH304" s="180">
        <f t="shared" si="660"/>
        <v>1.9445918692283279E-2</v>
      </c>
      <c r="BI304" s="180">
        <f t="shared" si="660"/>
        <v>-1.6812832280638508E-3</v>
      </c>
      <c r="BJ304" s="180">
        <f t="shared" si="660"/>
        <v>1.4742316591248702E-3</v>
      </c>
      <c r="BK304" s="180">
        <f t="shared" si="660"/>
        <v>2.4748176450155842E-3</v>
      </c>
      <c r="BL304" s="180">
        <f t="shared" si="660"/>
        <v>6.3770017839201373E-3</v>
      </c>
      <c r="BM304" s="180">
        <f t="shared" si="660"/>
        <v>1.2582901789770088E-2</v>
      </c>
      <c r="BN304" s="180">
        <f t="shared" si="660"/>
        <v>8.6924034869239886E-3</v>
      </c>
      <c r="BO304" s="180">
        <f t="shared" si="660"/>
        <v>-0.29873231673709372</v>
      </c>
      <c r="BP304" s="180">
        <f t="shared" si="660"/>
        <v>-1.3570605556266787E-2</v>
      </c>
      <c r="BQ304" s="180">
        <f t="shared" si="660"/>
        <v>1.6876774559909168E-2</v>
      </c>
      <c r="BR304" s="180">
        <f t="shared" ref="BR304:DB304" si="661">+BR96</f>
        <v>6.7427928109042662E-2</v>
      </c>
      <c r="BS304" s="180">
        <f t="shared" si="661"/>
        <v>3.1349563440912512E-2</v>
      </c>
      <c r="BT304" s="180">
        <f t="shared" si="661"/>
        <v>4.6768334690298619E-2</v>
      </c>
      <c r="BU304" s="180">
        <f t="shared" si="661"/>
        <v>6.7313019390581735E-2</v>
      </c>
      <c r="BV304" s="180">
        <f t="shared" si="661"/>
        <v>9.0013683597295904E-2</v>
      </c>
      <c r="BW304" s="180">
        <f t="shared" si="661"/>
        <v>7.3645693135935386E-2</v>
      </c>
      <c r="BX304" s="180">
        <f t="shared" si="661"/>
        <v>4.7284723397056361E-2</v>
      </c>
      <c r="BY304" s="180">
        <f t="shared" si="661"/>
        <v>3.6958677685950431E-2</v>
      </c>
      <c r="BZ304" s="180">
        <f t="shared" si="661"/>
        <v>6.9899225938367143E-2</v>
      </c>
      <c r="CA304" s="180">
        <f t="shared" si="661"/>
        <v>2.1311475409836102E-2</v>
      </c>
      <c r="CB304" s="180">
        <f t="shared" si="661"/>
        <v>1.9467506441454292E-2</v>
      </c>
      <c r="CC304" s="180">
        <f t="shared" si="661"/>
        <v>8.8069554017066939E-3</v>
      </c>
      <c r="CD304" s="180">
        <f t="shared" si="661"/>
        <v>2.185075308078498E-2</v>
      </c>
      <c r="CE304" s="180">
        <f t="shared" si="661"/>
        <v>2.299978356539931E-2</v>
      </c>
      <c r="CF304" s="180">
        <f t="shared" si="661"/>
        <v>1.067183730258589E-2</v>
      </c>
      <c r="CG304" s="180">
        <f t="shared" si="661"/>
        <v>5.4510006764014731E-3</v>
      </c>
      <c r="CH304" s="180">
        <f t="shared" si="661"/>
        <v>1.5225384720141615E-2</v>
      </c>
      <c r="CI304" s="180">
        <f t="shared" si="661"/>
        <v>4.7988654924851831E-3</v>
      </c>
      <c r="CJ304" s="180">
        <f t="shared" si="661"/>
        <v>3.1532219084687854E-2</v>
      </c>
      <c r="CK304" s="180">
        <f t="shared" si="661"/>
        <v>3.373092711641236E-2</v>
      </c>
      <c r="CL304" s="180">
        <f t="shared" si="661"/>
        <v>3.9075934473707934E-2</v>
      </c>
      <c r="CM304" s="181">
        <f t="shared" si="661"/>
        <v>3.7546860768690883E-2</v>
      </c>
      <c r="CN304" s="181">
        <f t="shared" si="661"/>
        <v>4.2807156059865736E-2</v>
      </c>
      <c r="CO304" s="181">
        <f t="shared" si="661"/>
        <v>4.7947001428019748E-2</v>
      </c>
      <c r="CP304" s="181">
        <f t="shared" si="661"/>
        <v>5.0756003226618822E-2</v>
      </c>
      <c r="CQ304" s="181">
        <f t="shared" si="661"/>
        <v>5.0565450468298863E-2</v>
      </c>
      <c r="CR304" s="181">
        <f t="shared" si="661"/>
        <v>5.5806520361682793E-2</v>
      </c>
      <c r="CS304" s="181">
        <f t="shared" si="661"/>
        <v>6.0205607002091571E-2</v>
      </c>
      <c r="CT304" s="181">
        <f t="shared" si="661"/>
        <v>6.4114703726837849E-2</v>
      </c>
      <c r="CU304" s="181">
        <f t="shared" si="661"/>
        <v>6.3386959326307432E-2</v>
      </c>
      <c r="CV304" s="181">
        <f t="shared" si="661"/>
        <v>6.6672104338520291E-2</v>
      </c>
      <c r="CW304" s="181">
        <f t="shared" si="661"/>
        <v>6.9491235053172729E-2</v>
      </c>
      <c r="CX304" s="181">
        <f t="shared" si="661"/>
        <v>7.18876919116265E-2</v>
      </c>
      <c r="CY304" s="181">
        <f t="shared" si="661"/>
        <v>7.3927465958425129E-2</v>
      </c>
      <c r="CZ304" s="181">
        <f t="shared" si="661"/>
        <v>7.6646365866207392E-2</v>
      </c>
      <c r="DA304" s="181">
        <f t="shared" si="661"/>
        <v>7.922493544250736E-2</v>
      </c>
      <c r="DB304" s="181">
        <f t="shared" si="661"/>
        <v>8.1744465955361903E-2</v>
      </c>
      <c r="DE304" s="138"/>
      <c r="DF304" s="84">
        <v>2.1917278279965438E-2</v>
      </c>
    </row>
    <row r="305" spans="1:110" s="84" customFormat="1" x14ac:dyDescent="0.2">
      <c r="A305" s="84" t="s">
        <v>513</v>
      </c>
      <c r="E305" s="84">
        <f t="shared" ref="E305:AE305" si="662">(E220+E207+E192+E194)/E174</f>
        <v>3.6240310617204994</v>
      </c>
      <c r="F305" s="84">
        <f t="shared" si="662"/>
        <v>3.5965011731094831</v>
      </c>
      <c r="G305" s="84">
        <f t="shared" si="662"/>
        <v>3.643132234148565</v>
      </c>
      <c r="H305" s="84">
        <f t="shared" si="662"/>
        <v>4.8561881631640818</v>
      </c>
      <c r="I305" s="84">
        <f t="shared" si="662"/>
        <v>5.2848716941628409</v>
      </c>
      <c r="J305" s="84">
        <f t="shared" si="662"/>
        <v>5.3337203429641535</v>
      </c>
      <c r="K305" s="84">
        <f t="shared" si="662"/>
        <v>5.0996446016385439</v>
      </c>
      <c r="L305" s="84">
        <f t="shared" si="662"/>
        <v>4.6634527089072542</v>
      </c>
      <c r="M305" s="84">
        <f t="shared" si="662"/>
        <v>4.4873452872104096</v>
      </c>
      <c r="N305" s="84">
        <f t="shared" si="662"/>
        <v>3.7974819540036928</v>
      </c>
      <c r="O305" s="84">
        <f t="shared" si="662"/>
        <v>3.310291765983767</v>
      </c>
      <c r="P305" s="84">
        <f t="shared" si="662"/>
        <v>3.1654829163303737</v>
      </c>
      <c r="Q305" s="84">
        <f t="shared" si="662"/>
        <v>2.9419692657939671</v>
      </c>
      <c r="R305" s="84">
        <f t="shared" si="662"/>
        <v>2.9036061308289627</v>
      </c>
      <c r="S305" s="84">
        <f t="shared" si="662"/>
        <v>3.0869565217391299</v>
      </c>
      <c r="T305" s="84">
        <f t="shared" si="662"/>
        <v>2.9468023814096411</v>
      </c>
      <c r="U305" s="84">
        <f t="shared" si="662"/>
        <v>2.7327932918500526</v>
      </c>
      <c r="V305" s="84">
        <f t="shared" si="662"/>
        <v>2.5502951080855989</v>
      </c>
      <c r="W305" s="84">
        <f t="shared" si="662"/>
        <v>2.5477211459220874</v>
      </c>
      <c r="X305" s="84">
        <f t="shared" si="662"/>
        <v>2.4464801331627282</v>
      </c>
      <c r="Y305" s="84">
        <f t="shared" si="662"/>
        <v>2.7835460013003894</v>
      </c>
      <c r="Z305" s="84">
        <f t="shared" si="662"/>
        <v>2.9398676970142437</v>
      </c>
      <c r="AA305" s="84">
        <f t="shared" ref="AA305" si="663">(AA220+AA207+AA192+AA194)/AA174</f>
        <v>3.0902561624871088</v>
      </c>
      <c r="AB305" s="50">
        <f t="shared" si="662"/>
        <v>2.7930524918314799</v>
      </c>
      <c r="AC305" s="50">
        <f t="shared" si="662"/>
        <v>2.6263807952843723</v>
      </c>
      <c r="AD305" s="50">
        <f t="shared" si="662"/>
        <v>2.2921030655428343</v>
      </c>
      <c r="AE305" s="50">
        <f t="shared" si="662"/>
        <v>2.0271193843431146</v>
      </c>
      <c r="AL305" s="84">
        <f t="shared" ref="AL305:BQ305" si="664">(AL220+AL207+AL192+AL194)/AL174</f>
        <v>3.7974819540036928</v>
      </c>
      <c r="AM305" s="84">
        <f t="shared" si="664"/>
        <v>3.7481198584923896</v>
      </c>
      <c r="AN305" s="84">
        <f t="shared" si="664"/>
        <v>3.5434012400354291</v>
      </c>
      <c r="AO305" s="84">
        <f t="shared" si="664"/>
        <v>3.4476127316148468</v>
      </c>
      <c r="AP305" s="84">
        <f t="shared" si="664"/>
        <v>3.3102314214162867</v>
      </c>
      <c r="AQ305" s="84">
        <f t="shared" si="664"/>
        <v>3.2369560352938174</v>
      </c>
      <c r="AR305" s="84">
        <f t="shared" si="664"/>
        <v>3.1563398545413537</v>
      </c>
      <c r="AS305" s="84">
        <f t="shared" si="664"/>
        <v>3.0749245138256098</v>
      </c>
      <c r="AT305" s="84">
        <f t="shared" si="664"/>
        <v>3.1654829163303737</v>
      </c>
      <c r="AU305" s="84">
        <f t="shared" si="664"/>
        <v>3.0721130289874305</v>
      </c>
      <c r="AV305" s="84">
        <f t="shared" si="664"/>
        <v>2.9407434670592565</v>
      </c>
      <c r="AW305" s="84">
        <f t="shared" si="664"/>
        <v>2.8528343235267668</v>
      </c>
      <c r="AX305" s="84">
        <f t="shared" si="664"/>
        <v>2.9419692657939676</v>
      </c>
      <c r="AY305" s="84">
        <f t="shared" si="664"/>
        <v>2.8855664707751343</v>
      </c>
      <c r="AZ305" s="84">
        <f t="shared" si="664"/>
        <v>2.8969032670001065</v>
      </c>
      <c r="BA305" s="84">
        <f t="shared" si="664"/>
        <v>2.8439104066181313</v>
      </c>
      <c r="BB305" s="84">
        <f t="shared" si="664"/>
        <v>2.9036061308289631</v>
      </c>
      <c r="BC305" s="84">
        <f t="shared" si="664"/>
        <v>2.8981218621032703</v>
      </c>
      <c r="BD305" s="84">
        <f t="shared" si="664"/>
        <v>3.0163823087530099</v>
      </c>
      <c r="BE305" s="84">
        <f t="shared" si="664"/>
        <v>3.0269305889145146</v>
      </c>
      <c r="BF305" s="84">
        <f t="shared" si="664"/>
        <v>3.0869565217391304</v>
      </c>
      <c r="BG305" s="84">
        <f t="shared" si="664"/>
        <v>3.1007901237348672</v>
      </c>
      <c r="BH305" s="84">
        <f t="shared" si="664"/>
        <v>3.0358506414172268</v>
      </c>
      <c r="BI305" s="84">
        <f t="shared" si="664"/>
        <v>3.017738971764333</v>
      </c>
      <c r="BJ305" s="84">
        <f t="shared" si="664"/>
        <v>2.9468023814096416</v>
      </c>
      <c r="BK305" s="84">
        <f t="shared" si="664"/>
        <v>2.9246295266130136</v>
      </c>
      <c r="BL305" s="84">
        <f t="shared" si="664"/>
        <v>2.8233146283342299</v>
      </c>
      <c r="BM305" s="84">
        <f t="shared" si="664"/>
        <v>2.7772076572368976</v>
      </c>
      <c r="BN305" s="84">
        <f t="shared" si="664"/>
        <v>2.7327932918500526</v>
      </c>
      <c r="BO305" s="84">
        <f t="shared" si="664"/>
        <v>2.6777560422173416</v>
      </c>
      <c r="BP305" s="84">
        <f t="shared" si="664"/>
        <v>2.6348571312524109</v>
      </c>
      <c r="BQ305" s="84">
        <f t="shared" si="664"/>
        <v>2.6724757465853415</v>
      </c>
      <c r="BR305" s="84">
        <f t="shared" ref="BR305:DB305" si="665">(BR220+BR207+BR192+BR194)/BR174</f>
        <v>2.5502951080855989</v>
      </c>
      <c r="BS305" s="84">
        <f t="shared" si="665"/>
        <v>2.4793342094867175</v>
      </c>
      <c r="BT305" s="84">
        <f t="shared" si="665"/>
        <v>2.6437444018184584</v>
      </c>
      <c r="BU305" s="84">
        <f t="shared" si="665"/>
        <v>2.5355569023830986</v>
      </c>
      <c r="BV305" s="84">
        <f t="shared" si="665"/>
        <v>2.547721145922087</v>
      </c>
      <c r="BW305" s="84">
        <f t="shared" si="665"/>
        <v>2.4360686652474435</v>
      </c>
      <c r="BX305" s="84">
        <f t="shared" si="665"/>
        <v>2.3506208911614319</v>
      </c>
      <c r="BY305" s="84">
        <f t="shared" si="665"/>
        <v>2.306256833195877</v>
      </c>
      <c r="BZ305" s="84">
        <f t="shared" si="665"/>
        <v>2.4464801331627282</v>
      </c>
      <c r="CA305" s="84">
        <f t="shared" si="665"/>
        <v>2.4230514558858949</v>
      </c>
      <c r="CB305" s="84">
        <f t="shared" si="665"/>
        <v>2.4758773290319911</v>
      </c>
      <c r="CC305" s="84">
        <f t="shared" si="665"/>
        <v>2.4669609168320168</v>
      </c>
      <c r="CD305" s="84">
        <f t="shared" si="665"/>
        <v>2.7724012516254879</v>
      </c>
      <c r="CE305" s="84">
        <f t="shared" si="665"/>
        <v>2.742138992592825</v>
      </c>
      <c r="CF305" s="84">
        <f t="shared" si="665"/>
        <v>2.787726448821815</v>
      </c>
      <c r="CG305" s="84">
        <f t="shared" si="665"/>
        <v>2.8274364572286297</v>
      </c>
      <c r="CH305" s="84">
        <f t="shared" si="665"/>
        <v>2.9398676970142437</v>
      </c>
      <c r="CI305" s="84">
        <f t="shared" si="665"/>
        <v>2.9937848013610422</v>
      </c>
      <c r="CJ305" s="84">
        <f t="shared" si="665"/>
        <v>3.0785420340975902</v>
      </c>
      <c r="CK305" s="84">
        <f t="shared" si="665"/>
        <v>3.0189283697922238</v>
      </c>
      <c r="CL305" s="84">
        <f t="shared" si="665"/>
        <v>3.079914891244762</v>
      </c>
      <c r="CM305" s="50">
        <f t="shared" si="665"/>
        <v>3.0616709089048135</v>
      </c>
      <c r="CN305" s="50">
        <f t="shared" si="665"/>
        <v>2.970001143721547</v>
      </c>
      <c r="CO305" s="50">
        <f t="shared" si="665"/>
        <v>2.8791308002675309</v>
      </c>
      <c r="CP305" s="50">
        <f t="shared" si="665"/>
        <v>2.7930524918314799</v>
      </c>
      <c r="CQ305" s="50">
        <f t="shared" si="665"/>
        <v>2.7581479956042401</v>
      </c>
      <c r="CR305" s="50">
        <f t="shared" si="665"/>
        <v>2.7184762001788472</v>
      </c>
      <c r="CS305" s="50">
        <f t="shared" si="665"/>
        <v>2.6739892062286366</v>
      </c>
      <c r="CT305" s="50">
        <f t="shared" si="665"/>
        <v>2.6263807952843723</v>
      </c>
      <c r="CU305" s="50">
        <f t="shared" si="665"/>
        <v>2.536285660077751</v>
      </c>
      <c r="CV305" s="50">
        <f t="shared" si="665"/>
        <v>2.4503109144048452</v>
      </c>
      <c r="CW305" s="50">
        <f t="shared" si="665"/>
        <v>2.3688587078889891</v>
      </c>
      <c r="CX305" s="50">
        <f t="shared" si="665"/>
        <v>2.2921030655428343</v>
      </c>
      <c r="CY305" s="50">
        <f t="shared" si="665"/>
        <v>2.2200355408875656</v>
      </c>
      <c r="CZ305" s="50">
        <f t="shared" si="665"/>
        <v>2.1519269531139114</v>
      </c>
      <c r="DA305" s="50">
        <f t="shared" si="665"/>
        <v>2.0876788655458416</v>
      </c>
      <c r="DB305" s="50">
        <f t="shared" si="665"/>
        <v>2.0271193843431146</v>
      </c>
      <c r="DE305" s="138"/>
      <c r="DF305" s="84">
        <v>3.0125815401446863</v>
      </c>
    </row>
    <row r="306" spans="1:110" s="84" customFormat="1" x14ac:dyDescent="0.2">
      <c r="A306" s="154" t="s">
        <v>497</v>
      </c>
      <c r="AB306" s="50"/>
      <c r="AC306" s="50"/>
      <c r="AD306" s="50"/>
      <c r="AE306" s="50"/>
      <c r="CM306" s="50"/>
      <c r="CN306" s="50"/>
      <c r="CO306" s="50"/>
      <c r="CP306" s="50"/>
      <c r="CQ306" s="50"/>
      <c r="CR306" s="50"/>
      <c r="CS306" s="50"/>
      <c r="CT306" s="50"/>
      <c r="CU306" s="50"/>
      <c r="CV306" s="50"/>
      <c r="CW306" s="50"/>
      <c r="CX306" s="50"/>
      <c r="CY306" s="50"/>
      <c r="CZ306" s="50"/>
      <c r="DA306" s="50"/>
      <c r="DB306" s="50"/>
      <c r="DE306" s="138"/>
    </row>
    <row r="307" spans="1:110" s="88" customFormat="1" x14ac:dyDescent="0.2">
      <c r="A307" s="88" t="s">
        <v>101</v>
      </c>
      <c r="B307" s="88">
        <f>B220/B174</f>
        <v>5.2001020714472539E-2</v>
      </c>
      <c r="C307" s="88">
        <f>C220/C174</f>
        <v>6.3171304786864391E-2</v>
      </c>
      <c r="D307" s="88">
        <f>D220/D174</f>
        <v>8.8908996841724972E-2</v>
      </c>
      <c r="F307" s="88">
        <f t="shared" ref="F307:AE307" si="666">F220/F174</f>
        <v>2.689293277794181E-2</v>
      </c>
      <c r="G307" s="88">
        <f t="shared" si="666"/>
        <v>3.2826249996900578E-2</v>
      </c>
      <c r="H307" s="88">
        <f t="shared" si="666"/>
        <v>5.4070138269592255E-2</v>
      </c>
      <c r="I307" s="88">
        <f t="shared" si="666"/>
        <v>4.5951553040215136E-2</v>
      </c>
      <c r="J307" s="88">
        <f t="shared" si="666"/>
        <v>4.7646277601035195E-2</v>
      </c>
      <c r="K307" s="88">
        <f t="shared" si="666"/>
        <v>3.6428487686301692E-2</v>
      </c>
      <c r="L307" s="88">
        <f t="shared" si="666"/>
        <v>4.2532765673261544E-2</v>
      </c>
      <c r="M307" s="88">
        <f t="shared" si="666"/>
        <v>3.5663281497937169E-2</v>
      </c>
      <c r="N307" s="88">
        <f t="shared" si="666"/>
        <v>2.7429914386436122E-2</v>
      </c>
      <c r="O307" s="88">
        <f t="shared" si="666"/>
        <v>9.8965090667712634E-3</v>
      </c>
      <c r="P307" s="88">
        <f t="shared" si="666"/>
        <v>1.0519235942964757E-2</v>
      </c>
      <c r="Q307" s="88">
        <f t="shared" si="666"/>
        <v>8.2185543540125219E-3</v>
      </c>
      <c r="R307" s="88">
        <f t="shared" si="666"/>
        <v>1.1566451193234949E-2</v>
      </c>
      <c r="S307" s="88">
        <f t="shared" si="666"/>
        <v>3.2828529555446995E-3</v>
      </c>
      <c r="T307" s="88">
        <f t="shared" si="666"/>
        <v>1.3059343191857118E-3</v>
      </c>
      <c r="U307" s="88">
        <f t="shared" si="666"/>
        <v>2.5895431780239793E-2</v>
      </c>
      <c r="V307" s="88">
        <f t="shared" si="666"/>
        <v>1.8285838432849331E-2</v>
      </c>
      <c r="W307" s="88">
        <f t="shared" si="666"/>
        <v>3.1148296621178045E-2</v>
      </c>
      <c r="X307" s="88">
        <f t="shared" si="666"/>
        <v>3.9439267152061419E-2</v>
      </c>
      <c r="Y307" s="88">
        <f t="shared" si="666"/>
        <v>3.9153933680104031E-2</v>
      </c>
      <c r="Z307" s="88">
        <f t="shared" si="666"/>
        <v>0.12989928286219432</v>
      </c>
      <c r="AA307" s="88">
        <f t="shared" ref="AA307" si="667">AA220/AA174</f>
        <v>0.18114413669432389</v>
      </c>
      <c r="AB307" s="42">
        <f t="shared" si="666"/>
        <v>0.10298148214814661</v>
      </c>
      <c r="AC307" s="42">
        <f t="shared" si="666"/>
        <v>0.37044351789591601</v>
      </c>
      <c r="AD307" s="42">
        <f t="shared" si="666"/>
        <v>0.44377521911199308</v>
      </c>
      <c r="AE307" s="42">
        <f t="shared" si="666"/>
        <v>0.50387656937522551</v>
      </c>
      <c r="AL307" s="88">
        <f t="shared" ref="AL307:BQ307" si="668">AL220/AL174</f>
        <v>2.7429914386436122E-2</v>
      </c>
      <c r="AM307" s="88">
        <f t="shared" si="668"/>
        <v>1.5756089867470013E-2</v>
      </c>
      <c r="AN307" s="88">
        <f t="shared" si="668"/>
        <v>7.9083892192838168E-3</v>
      </c>
      <c r="AO307" s="88">
        <f t="shared" si="668"/>
        <v>5.4731219363532327E-2</v>
      </c>
      <c r="AP307" s="88">
        <f t="shared" si="668"/>
        <v>9.8965090667712634E-3</v>
      </c>
      <c r="AQ307" s="88">
        <f t="shared" si="668"/>
        <v>2.6414585456193733E-2</v>
      </c>
      <c r="AR307" s="88">
        <f t="shared" si="668"/>
        <v>4.9331905057225008E-3</v>
      </c>
      <c r="AS307" s="88">
        <f t="shared" si="668"/>
        <v>4.7040696947507156E-2</v>
      </c>
      <c r="AT307" s="88">
        <f t="shared" si="668"/>
        <v>1.0519235942964757E-2</v>
      </c>
      <c r="AU307" s="88">
        <f t="shared" si="668"/>
        <v>4.0133580512920305E-2</v>
      </c>
      <c r="AV307" s="88">
        <f t="shared" si="668"/>
        <v>5.2263525947736471E-3</v>
      </c>
      <c r="AW307" s="88">
        <f t="shared" si="668"/>
        <v>0.1674293503586658</v>
      </c>
      <c r="AX307" s="88">
        <f t="shared" si="668"/>
        <v>8.2185543540125219E-3</v>
      </c>
      <c r="AY307" s="88">
        <f t="shared" si="668"/>
        <v>-1.5243386907028129E-2</v>
      </c>
      <c r="AZ307" s="88">
        <f t="shared" si="668"/>
        <v>5.810365010109609E-3</v>
      </c>
      <c r="BA307" s="88">
        <f t="shared" si="668"/>
        <v>0.22283297143459491</v>
      </c>
      <c r="BB307" s="88">
        <f t="shared" si="668"/>
        <v>1.1566451193234949E-2</v>
      </c>
      <c r="BC307" s="88">
        <f t="shared" si="668"/>
        <v>1.7904885831717607E-2</v>
      </c>
      <c r="BD307" s="88">
        <f t="shared" si="668"/>
        <v>3.9926732387989047E-3</v>
      </c>
      <c r="BE307" s="88">
        <f t="shared" si="668"/>
        <v>-0.11465362309358985</v>
      </c>
      <c r="BF307" s="88">
        <f t="shared" si="668"/>
        <v>3.2828529555446995E-3</v>
      </c>
      <c r="BG307" s="88">
        <f t="shared" si="668"/>
        <v>-9.4887144780791521E-2</v>
      </c>
      <c r="BH307" s="88">
        <f t="shared" si="668"/>
        <v>1.3744654856444715E-3</v>
      </c>
      <c r="BI307" s="88">
        <f t="shared" si="668"/>
        <v>7.269752263391191E-2</v>
      </c>
      <c r="BJ307" s="88">
        <f t="shared" si="668"/>
        <v>1.3059343191857118E-3</v>
      </c>
      <c r="BK307" s="88">
        <f t="shared" si="668"/>
        <v>6.2948498411828882E-2</v>
      </c>
      <c r="BL307" s="88">
        <f t="shared" si="668"/>
        <v>1.6219540318241216E-2</v>
      </c>
      <c r="BM307" s="88">
        <f t="shared" si="668"/>
        <v>0.12612182595317986</v>
      </c>
      <c r="BN307" s="88">
        <f t="shared" si="668"/>
        <v>2.5895431780239793E-2</v>
      </c>
      <c r="BO307" s="88">
        <f t="shared" si="668"/>
        <v>0.77186855297486801</v>
      </c>
      <c r="BP307" s="88">
        <f t="shared" si="668"/>
        <v>1.0377530919355822E-2</v>
      </c>
      <c r="BQ307" s="88">
        <f t="shared" si="668"/>
        <v>-0.38239481160920691</v>
      </c>
      <c r="BR307" s="88">
        <f t="shared" ref="BR307:DB307" si="669">BR220/BR174</f>
        <v>1.8285838432849331E-2</v>
      </c>
      <c r="BS307" s="88">
        <f t="shared" si="669"/>
        <v>0.20641762027240948</v>
      </c>
      <c r="BT307" s="88">
        <f t="shared" si="669"/>
        <v>2.0246404488685338E-2</v>
      </c>
      <c r="BU307" s="88">
        <f t="shared" si="669"/>
        <v>7.1197243638318364E-2</v>
      </c>
      <c r="BV307" s="88">
        <f t="shared" si="669"/>
        <v>3.1148296621178045E-2</v>
      </c>
      <c r="BW307" s="88">
        <f t="shared" si="669"/>
        <v>0.13111328826497368</v>
      </c>
      <c r="BX307" s="88">
        <f t="shared" si="669"/>
        <v>6.5022931660060596E-2</v>
      </c>
      <c r="BY307" s="88">
        <f t="shared" si="669"/>
        <v>0.20901123289914658</v>
      </c>
      <c r="BZ307" s="88">
        <f t="shared" si="669"/>
        <v>3.9439267152061419E-2</v>
      </c>
      <c r="CA307" s="88">
        <f t="shared" si="669"/>
        <v>6.1051660084392251E-2</v>
      </c>
      <c r="CB307" s="88">
        <f t="shared" si="669"/>
        <v>2.9788862005500759E-2</v>
      </c>
      <c r="CC307" s="88">
        <f t="shared" si="669"/>
        <v>4.2020204057363293E-2</v>
      </c>
      <c r="CD307" s="88">
        <f t="shared" si="669"/>
        <v>3.9153933680104031E-2</v>
      </c>
      <c r="CE307" s="88">
        <f t="shared" si="669"/>
        <v>6.0861485746864709E-2</v>
      </c>
      <c r="CF307" s="88">
        <f t="shared" si="669"/>
        <v>2.0038655277046177E-2</v>
      </c>
      <c r="CG307" s="88">
        <f t="shared" si="669"/>
        <v>-6.7274087022317491E-2</v>
      </c>
      <c r="CH307" s="88">
        <f t="shared" si="669"/>
        <v>0.12989928286219432</v>
      </c>
      <c r="CI307" s="88">
        <f t="shared" si="669"/>
        <v>0.1226084485504618</v>
      </c>
      <c r="CJ307" s="88">
        <f t="shared" si="669"/>
        <v>0.12014501273760533</v>
      </c>
      <c r="CK307" s="88">
        <f t="shared" si="669"/>
        <v>0.17438273673475169</v>
      </c>
      <c r="CL307" s="88">
        <f t="shared" si="669"/>
        <v>0.18114413669432389</v>
      </c>
      <c r="CM307" s="42">
        <f t="shared" si="669"/>
        <v>0.12098615582579114</v>
      </c>
      <c r="CN307" s="42">
        <f t="shared" si="669"/>
        <v>0.11282252079020196</v>
      </c>
      <c r="CO307" s="42">
        <f t="shared" si="669"/>
        <v>0.10742353268143623</v>
      </c>
      <c r="CP307" s="42">
        <f t="shared" si="669"/>
        <v>0.10298148214814661</v>
      </c>
      <c r="CQ307" s="42">
        <f t="shared" si="669"/>
        <v>0.16899808375283601</v>
      </c>
      <c r="CR307" s="42">
        <f t="shared" si="669"/>
        <v>0.23283765193504238</v>
      </c>
      <c r="CS307" s="42">
        <f t="shared" si="669"/>
        <v>0.30301896244470111</v>
      </c>
      <c r="CT307" s="42">
        <f t="shared" si="669"/>
        <v>0.37044351789591601</v>
      </c>
      <c r="CU307" s="42">
        <f t="shared" si="669"/>
        <v>0.38985548474472304</v>
      </c>
      <c r="CV307" s="42">
        <f t="shared" si="669"/>
        <v>0.40866585576833003</v>
      </c>
      <c r="CW307" s="42">
        <f t="shared" si="669"/>
        <v>0.42668016415420212</v>
      </c>
      <c r="CX307" s="42">
        <f t="shared" si="669"/>
        <v>0.44377521911199308</v>
      </c>
      <c r="CY307" s="42">
        <f t="shared" si="669"/>
        <v>0.45989008968431788</v>
      </c>
      <c r="CZ307" s="42">
        <f t="shared" si="669"/>
        <v>0.47528135553334111</v>
      </c>
      <c r="DA307" s="42">
        <f t="shared" si="669"/>
        <v>0.48993709515522371</v>
      </c>
      <c r="DB307" s="42">
        <f t="shared" si="669"/>
        <v>0.50387656937522551</v>
      </c>
      <c r="DE307" s="125"/>
      <c r="DF307" s="88">
        <v>0.18552081232116643</v>
      </c>
    </row>
    <row r="308" spans="1:110" s="89" customFormat="1" x14ac:dyDescent="0.2">
      <c r="A308" s="89" t="s">
        <v>102</v>
      </c>
      <c r="C308" s="89">
        <f>C182/B182-1</f>
        <v>-4.1151275425964862E-2</v>
      </c>
      <c r="D308" s="89">
        <f>D182/C182-1</f>
        <v>0.45916073785763101</v>
      </c>
      <c r="F308" s="89">
        <f t="shared" ref="F308:AE308" si="670">F182/E182-1</f>
        <v>0.1263548116531068</v>
      </c>
      <c r="G308" s="89">
        <f t="shared" si="670"/>
        <v>0.68589359394080929</v>
      </c>
      <c r="H308" s="89">
        <f t="shared" si="670"/>
        <v>1.0667533171272519</v>
      </c>
      <c r="I308" s="89">
        <f t="shared" si="670"/>
        <v>0.13164281285827073</v>
      </c>
      <c r="J308" s="89">
        <f t="shared" si="670"/>
        <v>-5.0463173411227635E-2</v>
      </c>
      <c r="K308" s="89">
        <f t="shared" si="670"/>
        <v>-3.1282853360159457E-4</v>
      </c>
      <c r="L308" s="89">
        <f t="shared" si="670"/>
        <v>3.778289372447019E-2</v>
      </c>
      <c r="M308" s="89">
        <f t="shared" si="670"/>
        <v>5.0086259669430699E-3</v>
      </c>
      <c r="N308" s="89">
        <f t="shared" si="670"/>
        <v>-8.1067611717149379E-2</v>
      </c>
      <c r="O308" s="89">
        <f t="shared" si="670"/>
        <v>-0.1083609520940042</v>
      </c>
      <c r="P308" s="89">
        <f t="shared" si="670"/>
        <v>4.2137631574501011E-2</v>
      </c>
      <c r="Q308" s="89">
        <f t="shared" si="670"/>
        <v>5.1944683127705504E-2</v>
      </c>
      <c r="R308" s="89">
        <f t="shared" si="670"/>
        <v>9.1561994297603588E-2</v>
      </c>
      <c r="S308" s="89">
        <f t="shared" si="670"/>
        <v>0.1117245079490583</v>
      </c>
      <c r="T308" s="89">
        <f t="shared" si="670"/>
        <v>-0.10171579522218999</v>
      </c>
      <c r="U308" s="89">
        <f t="shared" si="670"/>
        <v>-8.4165135020500492E-2</v>
      </c>
      <c r="V308" s="89">
        <f t="shared" si="670"/>
        <v>-8.9954767896012422E-2</v>
      </c>
      <c r="W308" s="89">
        <f t="shared" si="670"/>
        <v>2.9160305343511439E-2</v>
      </c>
      <c r="X308" s="89">
        <f t="shared" si="670"/>
        <v>0.35774448235507417</v>
      </c>
      <c r="Y308" s="89">
        <f t="shared" si="670"/>
        <v>0.2929236521675791</v>
      </c>
      <c r="Z308" s="89">
        <f t="shared" si="670"/>
        <v>6.5416611894612453E-2</v>
      </c>
      <c r="AA308" s="89">
        <f t="shared" ref="AA308" si="671">AA182/Z182-1</f>
        <v>0.12448333906177012</v>
      </c>
      <c r="AB308" s="47">
        <f t="shared" si="670"/>
        <v>-6.896876028653387E-2</v>
      </c>
      <c r="AC308" s="47">
        <f t="shared" si="670"/>
        <v>0.10774954964055428</v>
      </c>
      <c r="AD308" s="47">
        <f t="shared" si="670"/>
        <v>-0.10942748149611681</v>
      </c>
      <c r="AE308" s="47">
        <f t="shared" si="670"/>
        <v>-0.12287318463402563</v>
      </c>
      <c r="AL308" s="89">
        <f t="shared" ref="AL308:BQ308" si="672">AL182/AK182-1</f>
        <v>-5.5884517596681338E-2</v>
      </c>
      <c r="AM308" s="89">
        <f t="shared" si="672"/>
        <v>0</v>
      </c>
      <c r="AN308" s="89">
        <f t="shared" si="672"/>
        <v>-7.1204578069911317E-2</v>
      </c>
      <c r="AO308" s="89">
        <f t="shared" si="672"/>
        <v>0</v>
      </c>
      <c r="AP308" s="89">
        <f t="shared" si="672"/>
        <v>-5.0740119029452191E-2</v>
      </c>
      <c r="AQ308" s="89">
        <f t="shared" si="672"/>
        <v>0</v>
      </c>
      <c r="AR308" s="89">
        <f t="shared" si="672"/>
        <v>-2.3310023310022521E-3</v>
      </c>
      <c r="AS308" s="89">
        <f t="shared" si="672"/>
        <v>0</v>
      </c>
      <c r="AT308" s="89">
        <f t="shared" si="672"/>
        <v>7.7002094747019134E-2</v>
      </c>
      <c r="AU308" s="89">
        <f t="shared" si="672"/>
        <v>0</v>
      </c>
      <c r="AV308" s="89">
        <f t="shared" si="672"/>
        <v>-2.8557535860559868E-2</v>
      </c>
      <c r="AW308" s="89">
        <f t="shared" si="672"/>
        <v>0</v>
      </c>
      <c r="AX308" s="89">
        <f t="shared" si="672"/>
        <v>0.12205452025257935</v>
      </c>
      <c r="AY308" s="89">
        <f t="shared" si="672"/>
        <v>0</v>
      </c>
      <c r="AZ308" s="89">
        <f t="shared" si="672"/>
        <v>5.2021137876604229E-2</v>
      </c>
      <c r="BA308" s="89">
        <f t="shared" si="672"/>
        <v>0</v>
      </c>
      <c r="BB308" s="89">
        <f t="shared" si="672"/>
        <v>5.5222127992693659E-2</v>
      </c>
      <c r="BC308" s="89">
        <f t="shared" si="672"/>
        <v>0</v>
      </c>
      <c r="BD308" s="89">
        <f t="shared" si="672"/>
        <v>9.5823931254057637E-3</v>
      </c>
      <c r="BE308" s="89">
        <f t="shared" si="672"/>
        <v>0</v>
      </c>
      <c r="BF308" s="89">
        <f t="shared" si="672"/>
        <v>9.7027035302042153E-2</v>
      </c>
      <c r="BG308" s="89">
        <f t="shared" si="672"/>
        <v>0</v>
      </c>
      <c r="BH308" s="89">
        <f t="shared" si="672"/>
        <v>-6.2196483393804125E-2</v>
      </c>
      <c r="BI308" s="89">
        <f t="shared" si="672"/>
        <v>0</v>
      </c>
      <c r="BJ308" s="89">
        <f t="shared" si="672"/>
        <v>-4.7304435813877332E-2</v>
      </c>
      <c r="BK308" s="89">
        <f t="shared" si="672"/>
        <v>0</v>
      </c>
      <c r="BL308" s="89">
        <f t="shared" si="672"/>
        <v>-8.5233662376608677E-2</v>
      </c>
      <c r="BM308" s="89">
        <f t="shared" si="672"/>
        <v>0</v>
      </c>
      <c r="BN308" s="89">
        <f t="shared" si="672"/>
        <v>2.6636160295046452E-2</v>
      </c>
      <c r="BO308" s="89">
        <f t="shared" si="672"/>
        <v>0</v>
      </c>
      <c r="BP308" s="89">
        <f t="shared" si="672"/>
        <v>-0.11924759259567252</v>
      </c>
      <c r="BQ308" s="89">
        <f t="shared" si="672"/>
        <v>0</v>
      </c>
      <c r="BR308" s="89">
        <f t="shared" ref="BR308:DB308" si="673">BR182/BQ182-1</f>
        <v>-2.972222746756803E-2</v>
      </c>
      <c r="BS308" s="89">
        <f t="shared" si="673"/>
        <v>0</v>
      </c>
      <c r="BT308" s="89">
        <f t="shared" si="673"/>
        <v>0.15937177665764968</v>
      </c>
      <c r="BU308" s="89">
        <f t="shared" si="673"/>
        <v>0</v>
      </c>
      <c r="BV308" s="89">
        <f t="shared" si="673"/>
        <v>1.8414691465789446E-2</v>
      </c>
      <c r="BW308" s="89">
        <f t="shared" si="673"/>
        <v>0</v>
      </c>
      <c r="BX308" s="89">
        <f t="shared" si="673"/>
        <v>0.31515271390660793</v>
      </c>
      <c r="BY308" s="89">
        <f t="shared" si="673"/>
        <v>0</v>
      </c>
      <c r="BZ308" s="89">
        <f t="shared" si="673"/>
        <v>3.2385416536113931E-2</v>
      </c>
      <c r="CA308" s="89">
        <f t="shared" si="673"/>
        <v>0</v>
      </c>
      <c r="CB308" s="89">
        <f t="shared" si="673"/>
        <v>0.13043108785645785</v>
      </c>
      <c r="CC308" s="89">
        <f t="shared" si="673"/>
        <v>0</v>
      </c>
      <c r="CD308" s="89">
        <f t="shared" si="673"/>
        <v>0.14374389209274341</v>
      </c>
      <c r="CE308" s="89">
        <f t="shared" si="673"/>
        <v>0</v>
      </c>
      <c r="CF308" s="89">
        <f t="shared" si="673"/>
        <v>0.12565961202606513</v>
      </c>
      <c r="CG308" s="89">
        <f t="shared" si="673"/>
        <v>0</v>
      </c>
      <c r="CH308" s="89">
        <f t="shared" si="673"/>
        <v>-5.3517954706593707E-2</v>
      </c>
      <c r="CI308" s="89">
        <f t="shared" si="673"/>
        <v>0</v>
      </c>
      <c r="CJ308" s="89">
        <f t="shared" si="673"/>
        <v>0.13645136557121318</v>
      </c>
      <c r="CK308" s="89">
        <f t="shared" si="673"/>
        <v>0</v>
      </c>
      <c r="CL308" s="89">
        <f t="shared" si="673"/>
        <v>-1.0531050313294821E-2</v>
      </c>
      <c r="CM308" s="47">
        <f t="shared" si="673"/>
        <v>-1.7242190071633412E-2</v>
      </c>
      <c r="CN308" s="47">
        <f t="shared" si="673"/>
        <v>-1.7544699108410278E-2</v>
      </c>
      <c r="CO308" s="47">
        <f t="shared" si="673"/>
        <v>-1.7858012565546977E-2</v>
      </c>
      <c r="CP308" s="47">
        <f t="shared" si="673"/>
        <v>-1.8182719804287761E-2</v>
      </c>
      <c r="CQ308" s="47">
        <f t="shared" si="673"/>
        <v>2.6937387410138625E-2</v>
      </c>
      <c r="CR308" s="47">
        <f t="shared" si="673"/>
        <v>2.6230798235978847E-2</v>
      </c>
      <c r="CS308" s="47">
        <f t="shared" si="673"/>
        <v>2.5560330367270012E-2</v>
      </c>
      <c r="CT308" s="47">
        <f t="shared" si="673"/>
        <v>2.4923283019455678E-2</v>
      </c>
      <c r="CU308" s="47">
        <f t="shared" si="673"/>
        <v>-2.735687037402923E-2</v>
      </c>
      <c r="CV308" s="47">
        <f t="shared" si="673"/>
        <v>-2.8126318421175966E-2</v>
      </c>
      <c r="CW308" s="47">
        <f t="shared" si="673"/>
        <v>-2.8940302586941469E-2</v>
      </c>
      <c r="CX308" s="47">
        <f t="shared" si="673"/>
        <v>-2.9802804775071579E-2</v>
      </c>
      <c r="CY308" s="47">
        <f t="shared" si="673"/>
        <v>-3.0718296158506408E-2</v>
      </c>
      <c r="CZ308" s="47">
        <f t="shared" si="673"/>
        <v>-3.1691814708523336E-2</v>
      </c>
      <c r="DA308" s="47">
        <f t="shared" si="673"/>
        <v>-3.2729057948615359E-2</v>
      </c>
      <c r="DB308" s="47">
        <f t="shared" si="673"/>
        <v>-3.3836494539165707E-2</v>
      </c>
      <c r="DE308" s="130"/>
      <c r="DF308" s="89">
        <v>0</v>
      </c>
    </row>
    <row r="309" spans="1:110" s="89" customFormat="1" x14ac:dyDescent="0.2">
      <c r="A309" s="89" t="s">
        <v>103</v>
      </c>
      <c r="C309" s="89">
        <f>C82/B82-1</f>
        <v>-0.11084756525523098</v>
      </c>
      <c r="D309" s="89">
        <f>D82/C82-1</f>
        <v>0.2475057666093774</v>
      </c>
      <c r="F309" s="89">
        <f t="shared" ref="F309:AE309" si="674">F82/E82-1</f>
        <v>0.15457951157832772</v>
      </c>
      <c r="G309" s="89">
        <f t="shared" si="674"/>
        <v>0.3890404665312992</v>
      </c>
      <c r="H309" s="89">
        <f t="shared" si="674"/>
        <v>0.58949079739423316</v>
      </c>
      <c r="I309" s="89">
        <f t="shared" si="674"/>
        <v>-7.1248193497059353E-2</v>
      </c>
      <c r="J309" s="89">
        <f t="shared" si="674"/>
        <v>-0.18680363487212381</v>
      </c>
      <c r="K309" s="89">
        <f t="shared" si="674"/>
        <v>0.80423565007921249</v>
      </c>
      <c r="L309" s="89">
        <f t="shared" si="674"/>
        <v>0.51144694840513449</v>
      </c>
      <c r="M309" s="89">
        <f t="shared" si="674"/>
        <v>-0.24468737229260407</v>
      </c>
      <c r="N309" s="89">
        <f t="shared" si="674"/>
        <v>0.40619504937102846</v>
      </c>
      <c r="O309" s="89">
        <f t="shared" si="674"/>
        <v>-9.3737976144671609E-2</v>
      </c>
      <c r="P309" s="89">
        <f t="shared" si="674"/>
        <v>0.10974897840046727</v>
      </c>
      <c r="Q309" s="89">
        <f t="shared" si="674"/>
        <v>8.0436134092103595E-2</v>
      </c>
      <c r="R309" s="89">
        <f t="shared" si="674"/>
        <v>-0.23153189040853306</v>
      </c>
      <c r="S309" s="89">
        <f t="shared" si="674"/>
        <v>-0.28176477364358787</v>
      </c>
      <c r="T309" s="89">
        <f t="shared" si="674"/>
        <v>0.27690457097032617</v>
      </c>
      <c r="U309" s="89">
        <f t="shared" si="674"/>
        <v>1.4444514224706051E-2</v>
      </c>
      <c r="V309" s="89">
        <f t="shared" si="674"/>
        <v>-0.24385563053302683</v>
      </c>
      <c r="W309" s="89">
        <f t="shared" si="674"/>
        <v>1.5166202718192223</v>
      </c>
      <c r="X309" s="89">
        <f t="shared" si="674"/>
        <v>-1.8901685210489183E-2</v>
      </c>
      <c r="Y309" s="89">
        <f t="shared" si="674"/>
        <v>-0.28547269290711985</v>
      </c>
      <c r="Z309" s="89">
        <f t="shared" si="674"/>
        <v>0.12790050120660768</v>
      </c>
      <c r="AA309" s="89">
        <f t="shared" ref="AA309" si="675">AA82/Z82-1</f>
        <v>0.24917709019091694</v>
      </c>
      <c r="AB309" s="47">
        <f t="shared" si="674"/>
        <v>0.48920228865236282</v>
      </c>
      <c r="AC309" s="47">
        <f t="shared" si="674"/>
        <v>0.12650798480742642</v>
      </c>
      <c r="AD309" s="47">
        <f t="shared" si="674"/>
        <v>2.2628649044887927E-2</v>
      </c>
      <c r="AE309" s="47">
        <f t="shared" si="674"/>
        <v>5.7542590294612506E-3</v>
      </c>
      <c r="AL309" s="89">
        <f t="shared" ref="AL309:BQ309" si="676">AL82/AK82-1</f>
        <v>-1.7543859649122417E-2</v>
      </c>
      <c r="AM309" s="89">
        <f t="shared" si="676"/>
        <v>-8.3928571428570686E-2</v>
      </c>
      <c r="AN309" s="89">
        <f t="shared" si="676"/>
        <v>8.7719298245611643E-2</v>
      </c>
      <c r="AO309" s="89">
        <f t="shared" si="676"/>
        <v>-3.7037037037035647E-2</v>
      </c>
      <c r="AP309" s="89">
        <f t="shared" si="676"/>
        <v>5.4383788254756427E-2</v>
      </c>
      <c r="AQ309" s="89">
        <f t="shared" si="676"/>
        <v>-1.9611688566389951E-3</v>
      </c>
      <c r="AR309" s="89">
        <f t="shared" si="676"/>
        <v>5.4824130477500344E-2</v>
      </c>
      <c r="AS309" s="89">
        <f t="shared" si="676"/>
        <v>-8.7555886736222499E-3</v>
      </c>
      <c r="AT309" s="89">
        <f t="shared" si="676"/>
        <v>0.12027814320616526</v>
      </c>
      <c r="AU309" s="89">
        <f t="shared" si="676"/>
        <v>3.8080858916288873E-2</v>
      </c>
      <c r="AV309" s="89">
        <f t="shared" si="676"/>
        <v>-2.5856496444726096E-3</v>
      </c>
      <c r="AW309" s="89">
        <f t="shared" si="676"/>
        <v>-0.10320803629293518</v>
      </c>
      <c r="AX309" s="89">
        <f t="shared" si="676"/>
        <v>-4.8599819331527794E-2</v>
      </c>
      <c r="AY309" s="89">
        <f t="shared" si="676"/>
        <v>3.3991644511964791E-2</v>
      </c>
      <c r="AZ309" s="89">
        <f t="shared" si="676"/>
        <v>-8.5950413223141009E-2</v>
      </c>
      <c r="BA309" s="89">
        <f t="shared" si="676"/>
        <v>-0.26903757283504104</v>
      </c>
      <c r="BB309" s="89">
        <f t="shared" si="676"/>
        <v>-3.2985156679496197E-2</v>
      </c>
      <c r="BC309" s="89">
        <f t="shared" si="676"/>
        <v>-0.18504832291074313</v>
      </c>
      <c r="BD309" s="89">
        <f t="shared" si="676"/>
        <v>0.14370422043948183</v>
      </c>
      <c r="BE309" s="89">
        <f t="shared" si="676"/>
        <v>-7.3193046660567473E-2</v>
      </c>
      <c r="BF309" s="89">
        <f t="shared" si="676"/>
        <v>0.16617308325107105</v>
      </c>
      <c r="BG309" s="89">
        <f t="shared" si="676"/>
        <v>0.13995485327313717</v>
      </c>
      <c r="BH309" s="89">
        <f t="shared" si="676"/>
        <v>0.17004950495049664</v>
      </c>
      <c r="BI309" s="89">
        <f t="shared" si="676"/>
        <v>-0.29807488893590117</v>
      </c>
      <c r="BJ309" s="89">
        <f t="shared" si="676"/>
        <v>0.15672091621458772</v>
      </c>
      <c r="BK309" s="89">
        <f t="shared" si="676"/>
        <v>-4.2730588848358897E-2</v>
      </c>
      <c r="BL309" s="89">
        <f t="shared" si="676"/>
        <v>7.6483396842679241E-2</v>
      </c>
      <c r="BM309" s="89">
        <f t="shared" si="676"/>
        <v>5.4867256637167072E-2</v>
      </c>
      <c r="BN309" s="89">
        <f t="shared" si="676"/>
        <v>4.3144774688399057E-2</v>
      </c>
      <c r="BO309" s="89">
        <f t="shared" si="676"/>
        <v>-1.3812040441176476</v>
      </c>
      <c r="BP309" s="89">
        <f t="shared" si="676"/>
        <v>-2.4237492465340553</v>
      </c>
      <c r="BQ309" s="89">
        <f t="shared" si="676"/>
        <v>0.7696867061812025</v>
      </c>
      <c r="BR309" s="89">
        <f t="shared" ref="BR309:DB309" si="677">BR82/BQ82-1</f>
        <v>0.75382775119617174</v>
      </c>
      <c r="BS309" s="89">
        <f t="shared" si="677"/>
        <v>-0.32983221934251816</v>
      </c>
      <c r="BT309" s="89">
        <f t="shared" si="677"/>
        <v>0.49542031345409976</v>
      </c>
      <c r="BU309" s="89">
        <f t="shared" si="677"/>
        <v>5.0088471484961206E-2</v>
      </c>
      <c r="BV309" s="89">
        <f t="shared" si="677"/>
        <v>0.39507453013609939</v>
      </c>
      <c r="BW309" s="89">
        <f t="shared" si="677"/>
        <v>-0.13453498095326666</v>
      </c>
      <c r="BX309" s="89">
        <f t="shared" si="677"/>
        <v>-0.15544820182501307</v>
      </c>
      <c r="BY309" s="89">
        <f t="shared" si="677"/>
        <v>-0.25181136392525738</v>
      </c>
      <c r="BZ309" s="89">
        <f t="shared" si="677"/>
        <v>0.20438328236493319</v>
      </c>
      <c r="CA309" s="89">
        <f t="shared" si="677"/>
        <v>-0.24037240795598769</v>
      </c>
      <c r="CB309" s="89">
        <f t="shared" si="677"/>
        <v>-0.13649025069637977</v>
      </c>
      <c r="CC309" s="89">
        <f t="shared" si="677"/>
        <v>4.1720430107528017E-2</v>
      </c>
      <c r="CD309" s="89">
        <f t="shared" si="677"/>
        <v>0.37675474814202992</v>
      </c>
      <c r="CE309" s="89">
        <f t="shared" si="677"/>
        <v>9.4466936572203952E-3</v>
      </c>
      <c r="CF309" s="89">
        <f t="shared" si="677"/>
        <v>-0.17364824717765803</v>
      </c>
      <c r="CG309" s="89">
        <f t="shared" si="677"/>
        <v>0.15027862664030001</v>
      </c>
      <c r="CH309" s="89">
        <f t="shared" si="677"/>
        <v>-9.8296608845131583E-2</v>
      </c>
      <c r="CI309" s="89">
        <f t="shared" si="677"/>
        <v>-1.2131715771224183E-3</v>
      </c>
      <c r="CJ309" s="89">
        <f t="shared" si="677"/>
        <v>0.33506854069061043</v>
      </c>
      <c r="CK309" s="89">
        <f t="shared" si="677"/>
        <v>9.6698726280219471E-2</v>
      </c>
      <c r="CL309" s="89">
        <f t="shared" si="677"/>
        <v>0.20621000237022891</v>
      </c>
      <c r="CM309" s="47">
        <f t="shared" si="677"/>
        <v>1.5380524639870163E-2</v>
      </c>
      <c r="CN309" s="47">
        <f t="shared" si="677"/>
        <v>8.2009879658742957E-2</v>
      </c>
      <c r="CO309" s="47">
        <f t="shared" si="677"/>
        <v>4.3532919700846273E-2</v>
      </c>
      <c r="CP309" s="47">
        <f t="shared" si="677"/>
        <v>3.0665251465076482E-2</v>
      </c>
      <c r="CQ309" s="47">
        <f t="shared" si="677"/>
        <v>5.4068094980714854E-3</v>
      </c>
      <c r="CR309" s="47">
        <f t="shared" si="677"/>
        <v>4.2931928431628963E-2</v>
      </c>
      <c r="CS309" s="47">
        <f t="shared" si="677"/>
        <v>2.8900435303526928E-2</v>
      </c>
      <c r="CT309" s="47">
        <f t="shared" si="677"/>
        <v>2.1480791361339069E-2</v>
      </c>
      <c r="CU309" s="47">
        <f t="shared" si="677"/>
        <v>-2.7515586297766625E-2</v>
      </c>
      <c r="CV309" s="47">
        <f t="shared" si="677"/>
        <v>1.0057269431502647E-2</v>
      </c>
      <c r="CW309" s="47">
        <f t="shared" si="677"/>
        <v>4.8609135702266659E-3</v>
      </c>
      <c r="CX309" s="47">
        <f t="shared" si="677"/>
        <v>8.8885059919663334E-4</v>
      </c>
      <c r="CY309" s="47">
        <f t="shared" si="677"/>
        <v>-3.0755210037509695E-3</v>
      </c>
      <c r="CZ309" s="47">
        <f t="shared" si="677"/>
        <v>3.159386925807528E-3</v>
      </c>
      <c r="DA309" s="47">
        <f t="shared" si="677"/>
        <v>1.4534766566582924E-3</v>
      </c>
      <c r="DB309" s="47">
        <f t="shared" si="677"/>
        <v>6.035461163362843E-4</v>
      </c>
      <c r="DE309" s="130"/>
      <c r="DF309" s="89">
        <v>-0.14674228873891992</v>
      </c>
    </row>
    <row r="310" spans="1:110" s="103" customFormat="1" x14ac:dyDescent="0.2">
      <c r="A310" s="147" t="s">
        <v>104</v>
      </c>
      <c r="C310" s="103" t="str">
        <f>IF(C308&gt;C309,"RF",0)</f>
        <v>RF</v>
      </c>
      <c r="D310" s="103" t="str">
        <f t="shared" ref="D310:U310" si="678">IF(D308&gt;D309,"RF",0)</f>
        <v>RF</v>
      </c>
      <c r="F310" s="103">
        <f t="shared" si="678"/>
        <v>0</v>
      </c>
      <c r="G310" s="103" t="str">
        <f t="shared" si="678"/>
        <v>RF</v>
      </c>
      <c r="H310" s="103" t="str">
        <f t="shared" si="678"/>
        <v>RF</v>
      </c>
      <c r="I310" s="103" t="str">
        <f t="shared" si="678"/>
        <v>RF</v>
      </c>
      <c r="J310" s="103" t="str">
        <f t="shared" si="678"/>
        <v>RF</v>
      </c>
      <c r="K310" s="103">
        <f t="shared" si="678"/>
        <v>0</v>
      </c>
      <c r="L310" s="103">
        <f t="shared" si="678"/>
        <v>0</v>
      </c>
      <c r="M310" s="103" t="str">
        <f t="shared" si="678"/>
        <v>RF</v>
      </c>
      <c r="N310" s="103">
        <f t="shared" si="678"/>
        <v>0</v>
      </c>
      <c r="O310" s="103">
        <f t="shared" si="678"/>
        <v>0</v>
      </c>
      <c r="P310" s="103">
        <f t="shared" si="678"/>
        <v>0</v>
      </c>
      <c r="Q310" s="103">
        <f t="shared" si="678"/>
        <v>0</v>
      </c>
      <c r="R310" s="103" t="str">
        <f t="shared" si="678"/>
        <v>RF</v>
      </c>
      <c r="S310" s="103" t="str">
        <f t="shared" si="678"/>
        <v>RF</v>
      </c>
      <c r="T310" s="103">
        <f t="shared" si="678"/>
        <v>0</v>
      </c>
      <c r="U310" s="103">
        <f t="shared" si="678"/>
        <v>0</v>
      </c>
      <c r="V310" s="103" t="str">
        <f>IF(V308&gt;V309,"RF",0)</f>
        <v>RF</v>
      </c>
      <c r="W310" s="103">
        <f t="shared" ref="W310:AE310" si="679">IF(W308&gt;W309,"RF",0)</f>
        <v>0</v>
      </c>
      <c r="X310" s="103" t="str">
        <f t="shared" si="679"/>
        <v>RF</v>
      </c>
      <c r="Y310" s="103" t="str">
        <f t="shared" si="679"/>
        <v>RF</v>
      </c>
      <c r="Z310" s="103">
        <f t="shared" si="679"/>
        <v>0</v>
      </c>
      <c r="AA310" s="103">
        <f t="shared" ref="AA310" si="680">IF(AA308&gt;AA309,"RF",0)</f>
        <v>0</v>
      </c>
      <c r="AB310" s="73">
        <f t="shared" si="679"/>
        <v>0</v>
      </c>
      <c r="AC310" s="73">
        <f t="shared" si="679"/>
        <v>0</v>
      </c>
      <c r="AD310" s="73">
        <f t="shared" si="679"/>
        <v>0</v>
      </c>
      <c r="AE310" s="73">
        <f t="shared" si="679"/>
        <v>0</v>
      </c>
      <c r="AL310" s="103">
        <f t="shared" ref="AL310:CW310" si="681">IF(AL308&gt;AL309,"RF",0)</f>
        <v>0</v>
      </c>
      <c r="AM310" s="103" t="str">
        <f t="shared" si="681"/>
        <v>RF</v>
      </c>
      <c r="AN310" s="103">
        <f t="shared" si="681"/>
        <v>0</v>
      </c>
      <c r="AO310" s="103" t="str">
        <f t="shared" si="681"/>
        <v>RF</v>
      </c>
      <c r="AP310" s="103">
        <f t="shared" si="681"/>
        <v>0</v>
      </c>
      <c r="AQ310" s="103" t="str">
        <f t="shared" si="681"/>
        <v>RF</v>
      </c>
      <c r="AR310" s="103">
        <f t="shared" si="681"/>
        <v>0</v>
      </c>
      <c r="AS310" s="103" t="str">
        <f t="shared" si="681"/>
        <v>RF</v>
      </c>
      <c r="AT310" s="103">
        <f t="shared" si="681"/>
        <v>0</v>
      </c>
      <c r="AU310" s="103">
        <f t="shared" si="681"/>
        <v>0</v>
      </c>
      <c r="AV310" s="103">
        <f t="shared" si="681"/>
        <v>0</v>
      </c>
      <c r="AW310" s="103" t="str">
        <f t="shared" si="681"/>
        <v>RF</v>
      </c>
      <c r="AX310" s="103" t="str">
        <f t="shared" si="681"/>
        <v>RF</v>
      </c>
      <c r="AY310" s="103">
        <f t="shared" si="681"/>
        <v>0</v>
      </c>
      <c r="AZ310" s="103" t="str">
        <f t="shared" si="681"/>
        <v>RF</v>
      </c>
      <c r="BA310" s="103" t="str">
        <f t="shared" si="681"/>
        <v>RF</v>
      </c>
      <c r="BB310" s="103" t="str">
        <f t="shared" si="681"/>
        <v>RF</v>
      </c>
      <c r="BC310" s="103" t="str">
        <f t="shared" si="681"/>
        <v>RF</v>
      </c>
      <c r="BD310" s="103">
        <f t="shared" si="681"/>
        <v>0</v>
      </c>
      <c r="BE310" s="103" t="str">
        <f t="shared" si="681"/>
        <v>RF</v>
      </c>
      <c r="BF310" s="103">
        <f t="shared" si="681"/>
        <v>0</v>
      </c>
      <c r="BG310" s="103">
        <f t="shared" si="681"/>
        <v>0</v>
      </c>
      <c r="BH310" s="103">
        <f t="shared" si="681"/>
        <v>0</v>
      </c>
      <c r="BI310" s="103" t="str">
        <f t="shared" si="681"/>
        <v>RF</v>
      </c>
      <c r="BJ310" s="103">
        <f t="shared" si="681"/>
        <v>0</v>
      </c>
      <c r="BK310" s="103" t="str">
        <f t="shared" si="681"/>
        <v>RF</v>
      </c>
      <c r="BL310" s="103">
        <f t="shared" si="681"/>
        <v>0</v>
      </c>
      <c r="BM310" s="103">
        <f t="shared" si="681"/>
        <v>0</v>
      </c>
      <c r="BN310" s="103">
        <f t="shared" si="681"/>
        <v>0</v>
      </c>
      <c r="BO310" s="103" t="str">
        <f t="shared" si="681"/>
        <v>RF</v>
      </c>
      <c r="BP310" s="103" t="str">
        <f t="shared" si="681"/>
        <v>RF</v>
      </c>
      <c r="BQ310" s="103">
        <f t="shared" si="681"/>
        <v>0</v>
      </c>
      <c r="BR310" s="103">
        <f t="shared" si="681"/>
        <v>0</v>
      </c>
      <c r="BS310" s="103" t="str">
        <f t="shared" si="681"/>
        <v>RF</v>
      </c>
      <c r="BT310" s="103">
        <f t="shared" si="681"/>
        <v>0</v>
      </c>
      <c r="BU310" s="103">
        <f t="shared" si="681"/>
        <v>0</v>
      </c>
      <c r="BV310" s="103">
        <f t="shared" si="681"/>
        <v>0</v>
      </c>
      <c r="BW310" s="103" t="str">
        <f t="shared" si="681"/>
        <v>RF</v>
      </c>
      <c r="BX310" s="103" t="str">
        <f t="shared" si="681"/>
        <v>RF</v>
      </c>
      <c r="BY310" s="103" t="str">
        <f t="shared" si="681"/>
        <v>RF</v>
      </c>
      <c r="BZ310" s="103">
        <f t="shared" si="681"/>
        <v>0</v>
      </c>
      <c r="CA310" s="103" t="str">
        <f t="shared" si="681"/>
        <v>RF</v>
      </c>
      <c r="CB310" s="103" t="str">
        <f t="shared" si="681"/>
        <v>RF</v>
      </c>
      <c r="CC310" s="103">
        <f t="shared" si="681"/>
        <v>0</v>
      </c>
      <c r="CD310" s="103">
        <f t="shared" si="681"/>
        <v>0</v>
      </c>
      <c r="CE310" s="103">
        <f t="shared" si="681"/>
        <v>0</v>
      </c>
      <c r="CF310" s="103" t="str">
        <f t="shared" si="681"/>
        <v>RF</v>
      </c>
      <c r="CG310" s="103">
        <f t="shared" si="681"/>
        <v>0</v>
      </c>
      <c r="CH310" s="103" t="str">
        <f t="shared" si="681"/>
        <v>RF</v>
      </c>
      <c r="CI310" s="103" t="str">
        <f t="shared" si="681"/>
        <v>RF</v>
      </c>
      <c r="CJ310" s="103">
        <f t="shared" si="681"/>
        <v>0</v>
      </c>
      <c r="CK310" s="103">
        <f t="shared" si="681"/>
        <v>0</v>
      </c>
      <c r="CL310" s="103">
        <f>IF(CL308&gt;CL309,"RF",0)</f>
        <v>0</v>
      </c>
      <c r="CM310" s="73">
        <f t="shared" si="681"/>
        <v>0</v>
      </c>
      <c r="CN310" s="73">
        <f t="shared" si="681"/>
        <v>0</v>
      </c>
      <c r="CO310" s="73">
        <f t="shared" si="681"/>
        <v>0</v>
      </c>
      <c r="CP310" s="73">
        <f t="shared" si="681"/>
        <v>0</v>
      </c>
      <c r="CQ310" s="73" t="str">
        <f t="shared" si="681"/>
        <v>RF</v>
      </c>
      <c r="CR310" s="73">
        <f t="shared" si="681"/>
        <v>0</v>
      </c>
      <c r="CS310" s="73">
        <f t="shared" si="681"/>
        <v>0</v>
      </c>
      <c r="CT310" s="73" t="str">
        <f t="shared" si="681"/>
        <v>RF</v>
      </c>
      <c r="CU310" s="73" t="str">
        <f t="shared" si="681"/>
        <v>RF</v>
      </c>
      <c r="CV310" s="73">
        <f t="shared" si="681"/>
        <v>0</v>
      </c>
      <c r="CW310" s="73">
        <f t="shared" si="681"/>
        <v>0</v>
      </c>
      <c r="CX310" s="73">
        <f>IF(CX308&gt;CX309,"RF",0)</f>
        <v>0</v>
      </c>
      <c r="CY310" s="73">
        <f>IF(CY308&gt;CY309,"RF",0)</f>
        <v>0</v>
      </c>
      <c r="CZ310" s="73">
        <f>IF(CZ308&gt;CZ309,"RF",0)</f>
        <v>0</v>
      </c>
      <c r="DA310" s="73">
        <f>IF(DA308&gt;DA309,"RF",0)</f>
        <v>0</v>
      </c>
      <c r="DB310" s="73">
        <f>IF(DB308&gt;DB309,"RF",0)</f>
        <v>0</v>
      </c>
      <c r="DE310" s="142"/>
      <c r="DF310" s="103" t="s">
        <v>522</v>
      </c>
    </row>
    <row r="311" spans="1:110" s="86" customFormat="1" x14ac:dyDescent="0.2">
      <c r="A311" s="86" t="s">
        <v>431</v>
      </c>
      <c r="B311" s="86">
        <f>B90/B55</f>
        <v>4.3846041515928837E-2</v>
      </c>
      <c r="C311" s="86">
        <f>C90/C55</f>
        <v>4.1289814686551275E-2</v>
      </c>
      <c r="D311" s="86">
        <f>D90/D55</f>
        <v>3.1229584364375593E-2</v>
      </c>
      <c r="F311" s="86">
        <f t="shared" ref="F311:AE311" si="682">F90/F55</f>
        <v>2.8949285335997017E-2</v>
      </c>
      <c r="G311" s="86">
        <f t="shared" si="682"/>
        <v>2.6927655673411339E-2</v>
      </c>
      <c r="H311" s="86">
        <f t="shared" si="682"/>
        <v>4.0774338383902126E-2</v>
      </c>
      <c r="I311" s="86">
        <f t="shared" si="682"/>
        <v>5.648929586722564E-2</v>
      </c>
      <c r="J311" s="86">
        <f t="shared" si="682"/>
        <v>6.860580447104983E-2</v>
      </c>
      <c r="K311" s="86">
        <f t="shared" si="682"/>
        <v>5.5658936428748335E-2</v>
      </c>
      <c r="L311" s="86">
        <f t="shared" si="682"/>
        <v>4.7705926076086216E-2</v>
      </c>
      <c r="M311" s="86">
        <f t="shared" si="682"/>
        <v>4.670050048785282E-2</v>
      </c>
      <c r="N311" s="86">
        <f t="shared" si="682"/>
        <v>4.6235885834326459E-2</v>
      </c>
      <c r="O311" s="86">
        <f t="shared" si="682"/>
        <v>4.5101385949341162E-2</v>
      </c>
      <c r="P311" s="86">
        <f t="shared" si="682"/>
        <v>4.4702471204745561E-2</v>
      </c>
      <c r="Q311" s="86">
        <f t="shared" si="682"/>
        <v>4.1591073135522134E-2</v>
      </c>
      <c r="R311" s="86">
        <f t="shared" si="682"/>
        <v>3.9756534984276733E-2</v>
      </c>
      <c r="S311" s="86">
        <f t="shared" si="682"/>
        <v>3.8116211067836296E-2</v>
      </c>
      <c r="T311" s="86">
        <f t="shared" si="682"/>
        <v>3.55532070476587E-2</v>
      </c>
      <c r="U311" s="86">
        <f t="shared" si="682"/>
        <v>3.8438978610253006E-2</v>
      </c>
      <c r="V311" s="86">
        <f t="shared" si="682"/>
        <v>3.6343701479797201E-2</v>
      </c>
      <c r="W311" s="86">
        <f t="shared" si="682"/>
        <v>1.9608164872669989E-2</v>
      </c>
      <c r="X311" s="86">
        <f t="shared" si="682"/>
        <v>1.9876119898241344E-2</v>
      </c>
      <c r="Y311" s="86">
        <f t="shared" si="682"/>
        <v>2.7179744754685969E-2</v>
      </c>
      <c r="Z311" s="86">
        <f t="shared" si="682"/>
        <v>3.3140236965995211E-2</v>
      </c>
      <c r="AA311" s="86">
        <f t="shared" ref="AA311" si="683">AA90/AA55</f>
        <v>3.5229229594407843E-2</v>
      </c>
      <c r="AB311" s="87">
        <f t="shared" si="682"/>
        <v>3.1358567144037126E-2</v>
      </c>
      <c r="AC311" s="87">
        <f t="shared" si="682"/>
        <v>2.6634865953403745E-2</v>
      </c>
      <c r="AD311" s="87">
        <f t="shared" si="682"/>
        <v>1.7206020411059172E-2</v>
      </c>
      <c r="AE311" s="87">
        <f t="shared" si="682"/>
        <v>6.6139644560486606E-3</v>
      </c>
      <c r="AL311" s="86">
        <f t="shared" ref="AL311:BQ311" si="684">AL90/AL55</f>
        <v>4.5569053350501043E-2</v>
      </c>
      <c r="AM311" s="86">
        <f t="shared" si="684"/>
        <v>4.608019150209456E-2</v>
      </c>
      <c r="AN311" s="86">
        <f t="shared" si="684"/>
        <v>4.2629730342170866E-2</v>
      </c>
      <c r="AO311" s="86">
        <f t="shared" si="684"/>
        <v>4.7228102294181597E-2</v>
      </c>
      <c r="AP311" s="86">
        <f t="shared" si="684"/>
        <v>4.7539119605825977E-2</v>
      </c>
      <c r="AQ311" s="86">
        <f t="shared" si="684"/>
        <v>4.4689758152681121E-2</v>
      </c>
      <c r="AR311" s="86">
        <f t="shared" si="684"/>
        <v>4.3933223657595936E-2</v>
      </c>
      <c r="AS311" s="86">
        <f t="shared" si="684"/>
        <v>4.4577529673188447E-2</v>
      </c>
      <c r="AT311" s="86">
        <f t="shared" si="684"/>
        <v>4.8936757801712229E-2</v>
      </c>
      <c r="AU311" s="86">
        <f t="shared" si="684"/>
        <v>4.7871034614440415E-2</v>
      </c>
      <c r="AV311" s="86">
        <f t="shared" si="684"/>
        <v>4.0746097451498674E-2</v>
      </c>
      <c r="AW311" s="86">
        <f t="shared" si="684"/>
        <v>4.2369314514997612E-2</v>
      </c>
      <c r="AX311" s="86">
        <f t="shared" si="684"/>
        <v>3.8811542350470567E-2</v>
      </c>
      <c r="AY311" s="86">
        <f t="shared" si="684"/>
        <v>3.9858303009856128E-2</v>
      </c>
      <c r="AZ311" s="86">
        <f t="shared" si="684"/>
        <v>3.6206896551724141E-2</v>
      </c>
      <c r="BA311" s="86">
        <f t="shared" si="684"/>
        <v>4.6410320851135126E-2</v>
      </c>
      <c r="BB311" s="86">
        <f t="shared" si="684"/>
        <v>3.4738162284957054E-2</v>
      </c>
      <c r="BC311" s="86">
        <f t="shared" si="684"/>
        <v>3.770833333333333E-2</v>
      </c>
      <c r="BD311" s="86">
        <f t="shared" si="684"/>
        <v>4.3317798550685592E-2</v>
      </c>
      <c r="BE311" s="86">
        <f t="shared" si="684"/>
        <v>3.1024132548925443E-2</v>
      </c>
      <c r="BF311" s="86">
        <f t="shared" si="684"/>
        <v>4.0827258541584185E-2</v>
      </c>
      <c r="BG311" s="86">
        <f t="shared" si="684"/>
        <v>3.8231881000105501E-2</v>
      </c>
      <c r="BH311" s="86">
        <f t="shared" si="684"/>
        <v>3.3754378516081096E-2</v>
      </c>
      <c r="BI311" s="86">
        <f t="shared" si="684"/>
        <v>3.2671422729131643E-2</v>
      </c>
      <c r="BJ311" s="86">
        <f t="shared" si="684"/>
        <v>3.7285775712033419E-2</v>
      </c>
      <c r="BK311" s="86">
        <f t="shared" si="684"/>
        <v>4.0899617922889896E-2</v>
      </c>
      <c r="BL311" s="86">
        <f t="shared" si="684"/>
        <v>3.5596382948184298E-2</v>
      </c>
      <c r="BM311" s="86">
        <f t="shared" si="684"/>
        <v>3.4341782502044157E-2</v>
      </c>
      <c r="BN311" s="86">
        <f t="shared" si="684"/>
        <v>4.3561643835616434E-2</v>
      </c>
      <c r="BO311" s="86">
        <f t="shared" si="684"/>
        <v>0.12722763182068711</v>
      </c>
      <c r="BP311" s="86">
        <f t="shared" si="684"/>
        <v>3.1141979260017924E-2</v>
      </c>
      <c r="BQ311" s="86">
        <f t="shared" si="684"/>
        <v>2.6825667234525837E-2</v>
      </c>
      <c r="BR311" s="86">
        <f t="shared" ref="BR311:DB311" si="685">BR90/BR55</f>
        <v>2.8145229383619477E-2</v>
      </c>
      <c r="BS311" s="86">
        <f t="shared" si="685"/>
        <v>2.8066249969598948E-2</v>
      </c>
      <c r="BT311" s="86">
        <f t="shared" si="685"/>
        <v>1.8851380973257344E-2</v>
      </c>
      <c r="BU311" s="86">
        <f t="shared" si="685"/>
        <v>2.0006155740227762E-2</v>
      </c>
      <c r="BV311" s="86">
        <f t="shared" si="685"/>
        <v>1.5200986302854588E-2</v>
      </c>
      <c r="BW311" s="86">
        <f t="shared" si="685"/>
        <v>2.0034208165096455E-2</v>
      </c>
      <c r="BX311" s="86">
        <f t="shared" si="685"/>
        <v>2.3177127389612587E-2</v>
      </c>
      <c r="BY311" s="86">
        <f t="shared" si="685"/>
        <v>2.2165289256198348E-2</v>
      </c>
      <c r="BZ311" s="86">
        <f t="shared" si="685"/>
        <v>1.4269022929750253E-2</v>
      </c>
      <c r="CA311" s="86">
        <f t="shared" si="685"/>
        <v>2.0543494313986117E-2</v>
      </c>
      <c r="CB311" s="86">
        <f t="shared" si="685"/>
        <v>2.5066005025924865E-2</v>
      </c>
      <c r="CC311" s="86">
        <f t="shared" si="685"/>
        <v>2.9657060054741589E-2</v>
      </c>
      <c r="CD311" s="86">
        <f t="shared" si="685"/>
        <v>3.3289593792788681E-2</v>
      </c>
      <c r="CE311" s="86">
        <f t="shared" si="685"/>
        <v>3.3374215424572543E-2</v>
      </c>
      <c r="CF311" s="86">
        <f t="shared" si="685"/>
        <v>3.6455943517709921E-2</v>
      </c>
      <c r="CG311" s="86">
        <f t="shared" si="685"/>
        <v>2.844865316516134E-2</v>
      </c>
      <c r="CH311" s="86">
        <f t="shared" si="685"/>
        <v>3.4686095601252895E-2</v>
      </c>
      <c r="CI311" s="86">
        <f t="shared" si="685"/>
        <v>3.8365600111424848E-2</v>
      </c>
      <c r="CJ311" s="86">
        <f t="shared" si="685"/>
        <v>3.7319697779134554E-2</v>
      </c>
      <c r="CK311" s="86">
        <f t="shared" si="685"/>
        <v>3.5357447138099296E-2</v>
      </c>
      <c r="CL311" s="86">
        <f t="shared" si="685"/>
        <v>3.0455244818535617E-2</v>
      </c>
      <c r="CM311" s="87">
        <f t="shared" si="685"/>
        <v>3.1077162904308116E-2</v>
      </c>
      <c r="CN311" s="87">
        <f t="shared" si="685"/>
        <v>3.214871255475469E-2</v>
      </c>
      <c r="CO311" s="87">
        <f t="shared" si="685"/>
        <v>3.1514780281195753E-2</v>
      </c>
      <c r="CP311" s="87">
        <f t="shared" si="685"/>
        <v>3.0700168510076651E-2</v>
      </c>
      <c r="CQ311" s="87">
        <f t="shared" si="685"/>
        <v>2.9730153488957335E-2</v>
      </c>
      <c r="CR311" s="87">
        <f t="shared" si="685"/>
        <v>2.7751915619435817E-2</v>
      </c>
      <c r="CS311" s="87">
        <f t="shared" si="685"/>
        <v>2.5758216983558756E-2</v>
      </c>
      <c r="CT311" s="87">
        <f t="shared" si="685"/>
        <v>2.3389583855683391E-2</v>
      </c>
      <c r="CU311" s="87">
        <f t="shared" si="685"/>
        <v>2.0981310571732463E-2</v>
      </c>
      <c r="CV311" s="87">
        <f t="shared" si="685"/>
        <v>1.8513880753334093E-2</v>
      </c>
      <c r="CW311" s="87">
        <f t="shared" si="685"/>
        <v>1.5972315429782408E-2</v>
      </c>
      <c r="CX311" s="87">
        <f t="shared" si="685"/>
        <v>1.3369257475644795E-2</v>
      </c>
      <c r="CY311" s="87">
        <f t="shared" si="685"/>
        <v>1.0716148487947127E-2</v>
      </c>
      <c r="CZ311" s="87">
        <f t="shared" si="685"/>
        <v>8.0226059858653359E-3</v>
      </c>
      <c r="DA311" s="87">
        <f t="shared" si="685"/>
        <v>5.2697119186324633E-3</v>
      </c>
      <c r="DB311" s="87">
        <f t="shared" si="685"/>
        <v>2.4611435648363967E-3</v>
      </c>
      <c r="DE311" s="141"/>
      <c r="DF311" s="86">
        <v>3.1949637167209791E-2</v>
      </c>
    </row>
    <row r="312" spans="1:110" s="86" customFormat="1" x14ac:dyDescent="0.2">
      <c r="A312" s="86" t="s">
        <v>432</v>
      </c>
      <c r="B312" s="86">
        <f>B86/B55</f>
        <v>4.2147571905976206E-2</v>
      </c>
      <c r="C312" s="86">
        <f>C86/C55</f>
        <v>4.9134596097280936E-2</v>
      </c>
      <c r="D312" s="86">
        <f>D86/D55</f>
        <v>5.2697039355455652E-2</v>
      </c>
      <c r="F312" s="86">
        <f t="shared" ref="F312:AE312" si="686">F86/F55</f>
        <v>6.5427991699847102E-2</v>
      </c>
      <c r="G312" s="86">
        <f t="shared" si="686"/>
        <v>5.5268608310394901E-2</v>
      </c>
      <c r="H312" s="86">
        <f t="shared" si="686"/>
        <v>6.5921222323339898E-2</v>
      </c>
      <c r="I312" s="86">
        <f t="shared" si="686"/>
        <v>7.0646562766882734E-2</v>
      </c>
      <c r="J312" s="86">
        <f t="shared" si="686"/>
        <v>7.8776239718887905E-2</v>
      </c>
      <c r="K312" s="86">
        <f t="shared" si="686"/>
        <v>7.3773200718637341E-2</v>
      </c>
      <c r="L312" s="86">
        <f t="shared" si="686"/>
        <v>5.4057706601797414E-2</v>
      </c>
      <c r="M312" s="86">
        <f t="shared" si="686"/>
        <v>4.762706986473491E-2</v>
      </c>
      <c r="N312" s="86">
        <f t="shared" si="686"/>
        <v>5.1831054194356352E-2</v>
      </c>
      <c r="O312" s="86">
        <f t="shared" si="686"/>
        <v>5.0740766027172791E-2</v>
      </c>
      <c r="P312" s="86">
        <f t="shared" si="686"/>
        <v>5.3467400845902166E-2</v>
      </c>
      <c r="Q312" s="86">
        <f t="shared" si="686"/>
        <v>4.9543837745394483E-2</v>
      </c>
      <c r="R312" s="86">
        <f t="shared" si="686"/>
        <v>4.4590212264150934E-2</v>
      </c>
      <c r="S312" s="86">
        <f t="shared" si="686"/>
        <v>4.6767128938715589E-2</v>
      </c>
      <c r="T312" s="86">
        <f t="shared" si="686"/>
        <v>4.2983032030445206E-2</v>
      </c>
      <c r="U312" s="86">
        <f t="shared" si="686"/>
        <v>4.5276547251286235E-2</v>
      </c>
      <c r="V312" s="86">
        <f t="shared" si="686"/>
        <v>5.9294907172343758E-2</v>
      </c>
      <c r="W312" s="86">
        <f t="shared" si="686"/>
        <v>2.8854358099238645E-2</v>
      </c>
      <c r="X312" s="86">
        <f t="shared" si="686"/>
        <v>2.9270360948272681E-2</v>
      </c>
      <c r="Y312" s="86">
        <f t="shared" si="686"/>
        <v>3.6837058514645783E-2</v>
      </c>
      <c r="Z312" s="86">
        <f t="shared" si="686"/>
        <v>4.0074205008838099E-2</v>
      </c>
      <c r="AA312" s="86">
        <f t="shared" ref="AA312" si="687">AA86/AA55</f>
        <v>2.9481872173082332E-2</v>
      </c>
      <c r="AB312" s="87">
        <f t="shared" si="686"/>
        <v>2.8968777776016003E-2</v>
      </c>
      <c r="AC312" s="87">
        <f t="shared" si="686"/>
        <v>2.7775163828332249E-2</v>
      </c>
      <c r="AD312" s="87">
        <f t="shared" si="686"/>
        <v>2.5443004177228085E-2</v>
      </c>
      <c r="AE312" s="87">
        <f t="shared" si="686"/>
        <v>2.353963358684397E-2</v>
      </c>
      <c r="AL312" s="86">
        <f t="shared" ref="AL312:BQ312" si="688">AL86/AL55</f>
        <v>5.2594748922353468E-2</v>
      </c>
      <c r="AM312" s="86">
        <f t="shared" si="688"/>
        <v>5.0786137859746484E-2</v>
      </c>
      <c r="AN312" s="86">
        <f t="shared" si="688"/>
        <v>5.3280081577158397E-2</v>
      </c>
      <c r="AO312" s="86">
        <f t="shared" si="688"/>
        <v>5.4036272097946113E-2</v>
      </c>
      <c r="AP312" s="86">
        <f t="shared" si="688"/>
        <v>4.8594942877253779E-2</v>
      </c>
      <c r="AQ312" s="86">
        <f t="shared" si="688"/>
        <v>5.050262645655014E-2</v>
      </c>
      <c r="AR312" s="86">
        <f t="shared" si="688"/>
        <v>5.1646484533024076E-2</v>
      </c>
      <c r="AS312" s="86">
        <f t="shared" si="688"/>
        <v>5.2680071540837904E-2</v>
      </c>
      <c r="AT312" s="86">
        <f t="shared" si="688"/>
        <v>6.3159348246340785E-2</v>
      </c>
      <c r="AU312" s="86">
        <f t="shared" si="688"/>
        <v>5.5563132484111183E-2</v>
      </c>
      <c r="AV312" s="86">
        <f t="shared" si="688"/>
        <v>4.8052466211161535E-2</v>
      </c>
      <c r="AW312" s="86">
        <f t="shared" si="688"/>
        <v>5.2077779960156001E-2</v>
      </c>
      <c r="AX312" s="86">
        <f t="shared" si="688"/>
        <v>4.6641258976951594E-2</v>
      </c>
      <c r="AY312" s="86">
        <f t="shared" si="688"/>
        <v>4.6822661879171987E-2</v>
      </c>
      <c r="AZ312" s="86">
        <f t="shared" si="688"/>
        <v>4.4620689655172414E-2</v>
      </c>
      <c r="BA312" s="86">
        <f t="shared" si="688"/>
        <v>4.7638993605316794E-2</v>
      </c>
      <c r="BB312" s="86">
        <f t="shared" si="688"/>
        <v>3.9470881942308148E-2</v>
      </c>
      <c r="BC312" s="86">
        <f t="shared" si="688"/>
        <v>4.4259259259259262E-2</v>
      </c>
      <c r="BD312" s="86">
        <f t="shared" si="688"/>
        <v>5.1992133832601498E-2</v>
      </c>
      <c r="BE312" s="86">
        <f t="shared" si="688"/>
        <v>4.6776323688317925E-2</v>
      </c>
      <c r="BF312" s="86">
        <f t="shared" si="688"/>
        <v>4.4600228241376896E-2</v>
      </c>
      <c r="BG312" s="86">
        <f t="shared" si="688"/>
        <v>4.2304040510602388E-2</v>
      </c>
      <c r="BH312" s="86">
        <f t="shared" si="688"/>
        <v>4.269185861373527E-2</v>
      </c>
      <c r="BI312" s="86">
        <f t="shared" si="688"/>
        <v>4.6280728858999413E-2</v>
      </c>
      <c r="BJ312" s="86">
        <f t="shared" si="688"/>
        <v>4.0950879420135547E-2</v>
      </c>
      <c r="BK312" s="86">
        <f t="shared" si="688"/>
        <v>4.3765196248697465E-2</v>
      </c>
      <c r="BL312" s="86">
        <f t="shared" si="688"/>
        <v>4.1727326785457979E-2</v>
      </c>
      <c r="BM312" s="86">
        <f t="shared" si="688"/>
        <v>4.6493140728627237E-2</v>
      </c>
      <c r="BN312" s="86">
        <f t="shared" si="688"/>
        <v>4.9987546699875471E-2</v>
      </c>
      <c r="BO312" s="86">
        <f t="shared" si="688"/>
        <v>0.18813154510380306</v>
      </c>
      <c r="BP312" s="86">
        <f t="shared" si="688"/>
        <v>6.5740622199462292E-2</v>
      </c>
      <c r="BQ312" s="86">
        <f t="shared" si="688"/>
        <v>4.6178307779670635E-2</v>
      </c>
      <c r="BR312" s="86">
        <f t="shared" ref="BR312:DB312" si="689">BR86/BR55</f>
        <v>3.8659482931928751E-2</v>
      </c>
      <c r="BS312" s="86">
        <f t="shared" si="689"/>
        <v>4.6939222219519905E-2</v>
      </c>
      <c r="BT312" s="86">
        <f t="shared" si="689"/>
        <v>2.8355357925721802E-2</v>
      </c>
      <c r="BU312" s="86">
        <f t="shared" si="689"/>
        <v>2.7685441674361343E-2</v>
      </c>
      <c r="BV312" s="86">
        <f t="shared" si="689"/>
        <v>2.0240885504870548E-2</v>
      </c>
      <c r="BW312" s="86">
        <f t="shared" si="689"/>
        <v>2.5936518618214447E-2</v>
      </c>
      <c r="BX312" s="86">
        <f t="shared" si="689"/>
        <v>3.1086110641177465E-2</v>
      </c>
      <c r="BY312" s="86">
        <f t="shared" si="689"/>
        <v>4.1520661157024796E-2</v>
      </c>
      <c r="BZ312" s="86">
        <f t="shared" si="689"/>
        <v>2.0037972834818167E-2</v>
      </c>
      <c r="CA312" s="86">
        <f t="shared" si="689"/>
        <v>3.1959828681140154E-2</v>
      </c>
      <c r="CB312" s="86">
        <f t="shared" si="689"/>
        <v>3.5229188535801759E-2</v>
      </c>
      <c r="CC312" s="86">
        <f t="shared" si="689"/>
        <v>4.331025599742392E-2</v>
      </c>
      <c r="CD312" s="86">
        <f t="shared" si="689"/>
        <v>3.7254678229119126E-2</v>
      </c>
      <c r="CE312" s="86">
        <f t="shared" si="689"/>
        <v>4.0401125459923526E-2</v>
      </c>
      <c r="CF312" s="86">
        <f t="shared" si="689"/>
        <v>4.110359526946019E-2</v>
      </c>
      <c r="CG312" s="86">
        <f t="shared" si="689"/>
        <v>3.828963248849454E-2</v>
      </c>
      <c r="CH312" s="86">
        <f t="shared" si="689"/>
        <v>4.0650960098052573E-2</v>
      </c>
      <c r="CI312" s="86">
        <f t="shared" si="689"/>
        <v>4.5430948250756553E-2</v>
      </c>
      <c r="CJ312" s="86">
        <f t="shared" si="689"/>
        <v>1.3304841130529906E-2</v>
      </c>
      <c r="CK312" s="86">
        <f t="shared" si="689"/>
        <v>3.1652595977590167E-2</v>
      </c>
      <c r="CL312" s="86">
        <f t="shared" si="689"/>
        <v>2.7717440492352249E-2</v>
      </c>
      <c r="CM312" s="87">
        <f t="shared" si="689"/>
        <v>2.8751960889689732E-2</v>
      </c>
      <c r="CN312" s="87">
        <f t="shared" si="689"/>
        <v>2.8959702347750159E-2</v>
      </c>
      <c r="CO312" s="87">
        <f t="shared" si="689"/>
        <v>2.9072162581968458E-2</v>
      </c>
      <c r="CP312" s="87">
        <f t="shared" si="689"/>
        <v>2.9089274142445231E-2</v>
      </c>
      <c r="CQ312" s="87">
        <f t="shared" si="689"/>
        <v>2.8967052796346159E-2</v>
      </c>
      <c r="CR312" s="87">
        <f t="shared" si="689"/>
        <v>2.8106672069843741E-2</v>
      </c>
      <c r="CS312" s="87">
        <f t="shared" si="689"/>
        <v>2.7355542134319847E-2</v>
      </c>
      <c r="CT312" s="87">
        <f t="shared" si="689"/>
        <v>2.6704337410401967E-2</v>
      </c>
      <c r="CU312" s="87">
        <f t="shared" si="689"/>
        <v>2.619024939554199E-2</v>
      </c>
      <c r="CV312" s="87">
        <f t="shared" si="689"/>
        <v>2.5686058143255117E-2</v>
      </c>
      <c r="CW312" s="87">
        <f t="shared" si="689"/>
        <v>2.5191573129921648E-2</v>
      </c>
      <c r="CX312" s="87">
        <f t="shared" si="689"/>
        <v>2.4706607499712194E-2</v>
      </c>
      <c r="CY312" s="87">
        <f t="shared" si="689"/>
        <v>2.4230977993978633E-2</v>
      </c>
      <c r="CZ312" s="87">
        <f t="shared" si="689"/>
        <v>2.3764504882004395E-2</v>
      </c>
      <c r="DA312" s="87">
        <f t="shared" si="689"/>
        <v>2.330701189308788E-2</v>
      </c>
      <c r="DB312" s="87">
        <f t="shared" si="689"/>
        <v>2.2858326149933356E-2</v>
      </c>
      <c r="DE312" s="141"/>
      <c r="DF312" s="86">
        <v>2.9961681020519725E-2</v>
      </c>
    </row>
    <row r="313" spans="1:110" s="85" customFormat="1" x14ac:dyDescent="0.2">
      <c r="AB313" s="58"/>
      <c r="AC313" s="58"/>
      <c r="AD313" s="58"/>
      <c r="AE313" s="58"/>
      <c r="CM313" s="72"/>
      <c r="CN313" s="72"/>
      <c r="CO313" s="72"/>
      <c r="CP313" s="72"/>
      <c r="CQ313" s="72"/>
      <c r="CR313" s="72"/>
      <c r="CS313" s="72"/>
      <c r="CT313" s="72"/>
      <c r="CU313" s="72"/>
      <c r="CV313" s="72"/>
      <c r="CW313" s="72"/>
      <c r="CX313" s="72"/>
      <c r="CY313" s="72"/>
      <c r="CZ313" s="72"/>
      <c r="DA313" s="72"/>
      <c r="DB313" s="72"/>
      <c r="DE313" s="143"/>
    </row>
  </sheetData>
  <sortState xmlns:xlrd2="http://schemas.microsoft.com/office/spreadsheetml/2017/richdata2" ref="A68:DF79">
    <sortCondition descending="1" ref="Z68:Z7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597B3-81B9-4D84-B247-F482AF9F4189}">
  <dimension ref="A3:J13"/>
  <sheetViews>
    <sheetView workbookViewId="0">
      <selection activeCell="H10" sqref="H10:J10"/>
    </sheetView>
  </sheetViews>
  <sheetFormatPr defaultRowHeight="15" x14ac:dyDescent="0.25"/>
  <cols>
    <col min="1" max="1" width="16.5703125" bestFit="1" customWidth="1"/>
    <col min="2" max="2" width="17.85546875" bestFit="1" customWidth="1"/>
  </cols>
  <sheetData>
    <row r="3" spans="1:10" x14ac:dyDescent="0.25">
      <c r="C3">
        <v>18</v>
      </c>
      <c r="D3">
        <v>19</v>
      </c>
      <c r="E3">
        <v>20</v>
      </c>
      <c r="F3">
        <v>21</v>
      </c>
      <c r="G3">
        <v>22</v>
      </c>
      <c r="H3">
        <v>23</v>
      </c>
      <c r="I3">
        <v>24</v>
      </c>
      <c r="J3">
        <v>25</v>
      </c>
    </row>
    <row r="5" spans="1:10" x14ac:dyDescent="0.25">
      <c r="A5" t="s">
        <v>542</v>
      </c>
      <c r="F5">
        <v>85500</v>
      </c>
      <c r="I5">
        <v>103140</v>
      </c>
      <c r="J5">
        <v>114420</v>
      </c>
    </row>
    <row r="7" spans="1:10" x14ac:dyDescent="0.25">
      <c r="A7" t="s">
        <v>543</v>
      </c>
    </row>
    <row r="8" spans="1:10" x14ac:dyDescent="0.25">
      <c r="B8" t="s">
        <v>548</v>
      </c>
      <c r="F8">
        <v>30</v>
      </c>
      <c r="G8">
        <v>30</v>
      </c>
      <c r="H8">
        <v>32.4</v>
      </c>
      <c r="I8">
        <v>48</v>
      </c>
      <c r="J8">
        <v>48</v>
      </c>
    </row>
    <row r="9" spans="1:10" x14ac:dyDescent="0.25">
      <c r="B9" t="s">
        <v>544</v>
      </c>
      <c r="F9">
        <v>72</v>
      </c>
      <c r="G9">
        <v>72</v>
      </c>
      <c r="H9">
        <v>72</v>
      </c>
      <c r="I9">
        <v>72</v>
      </c>
      <c r="J9">
        <v>72</v>
      </c>
    </row>
    <row r="10" spans="1:10" x14ac:dyDescent="0.25">
      <c r="B10" t="s">
        <v>547</v>
      </c>
      <c r="F10">
        <v>48</v>
      </c>
      <c r="G10">
        <v>48</v>
      </c>
      <c r="H10">
        <v>48</v>
      </c>
      <c r="I10">
        <v>48</v>
      </c>
      <c r="J10">
        <v>60</v>
      </c>
    </row>
    <row r="12" spans="1:10" x14ac:dyDescent="0.25">
      <c r="A12" t="s">
        <v>537</v>
      </c>
      <c r="B12" t="s">
        <v>545</v>
      </c>
      <c r="F12">
        <v>4</v>
      </c>
      <c r="G12">
        <v>5</v>
      </c>
      <c r="H12">
        <v>5.6</v>
      </c>
      <c r="I12">
        <v>251.94</v>
      </c>
      <c r="J12">
        <v>251.94</v>
      </c>
    </row>
    <row r="13" spans="1:10" x14ac:dyDescent="0.25">
      <c r="B13" t="s">
        <v>546</v>
      </c>
      <c r="F13">
        <v>511</v>
      </c>
      <c r="G13">
        <v>511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114234</v>
      </c>
      <c r="B1" t="s">
        <v>221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</row>
    <row r="3" spans="1:74" x14ac:dyDescent="0.25">
      <c r="A3" t="s">
        <v>109</v>
      </c>
      <c r="B3" t="s">
        <v>110</v>
      </c>
    </row>
    <row r="4" spans="1:74" x14ac:dyDescent="0.25">
      <c r="A4" t="s">
        <v>111</v>
      </c>
      <c r="B4" t="s">
        <v>128</v>
      </c>
      <c r="C4" t="str">
        <f>_xll.EQNXTDZ(A1,B4,C1)</f>
        <v>Sangam (India) Ltd.</v>
      </c>
    </row>
    <row r="5" spans="1:74" x14ac:dyDescent="0.25">
      <c r="A5" t="s">
        <v>251</v>
      </c>
      <c r="B5" t="s">
        <v>274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107</v>
      </c>
      <c r="B6" t="s">
        <v>275</v>
      </c>
      <c r="C6">
        <f>_xll.EQNXTDZ($A$1,$B6,C$1,$B$1)</f>
        <v>411.09</v>
      </c>
      <c r="D6">
        <f>_xll.EQNXTDZ($A$1,$B6,D$1,$B$1)</f>
        <v>384.06</v>
      </c>
      <c r="E6">
        <f>_xll.EQNXTDZ($A$1,$B6,E$1,$B$1)</f>
        <v>327.96</v>
      </c>
      <c r="F6">
        <f>_xll.EQNXTDZ($A$1,$B6,F$1,$B$1)</f>
        <v>355.73</v>
      </c>
      <c r="G6">
        <f>_xll.EQNXTDZ($A$1,$B6,G$1,$B$1)</f>
        <v>365.8</v>
      </c>
      <c r="H6">
        <f>_xll.EQNXTDZ($A$1,$B6,H$1,$B$1)</f>
        <v>351.4</v>
      </c>
      <c r="I6">
        <f>_xll.EQNXTDZ($A$1,$B6,I$1,$B$1)</f>
        <v>347.89</v>
      </c>
      <c r="J6">
        <f>_xll.EQNXTDZ($A$1,$B6,J$1,$B$1)</f>
        <v>367.52</v>
      </c>
      <c r="K6">
        <f>_xll.EQNXTDZ($A$1,$B6,K$1,$B$1)</f>
        <v>372.93</v>
      </c>
      <c r="L6">
        <f>_xll.EQNXTDZ($A$1,$B6,L$1,$B$1)</f>
        <v>369</v>
      </c>
      <c r="M6">
        <f>_xll.EQNXTDZ($A$1,$B6,M$1,$B$1)</f>
        <v>367.31</v>
      </c>
      <c r="N6">
        <f>_xll.EQNXTDZ($A$1,$B6,N$1,$B$1)</f>
        <v>359.42</v>
      </c>
      <c r="O6">
        <f>_xll.EQNXTDZ($A$1,$B6,O$1,$B$1)</f>
        <v>364.93</v>
      </c>
      <c r="P6">
        <f>_xll.EQNXTDZ($A$1,$B6,P$1,$B$1)</f>
        <v>399.22</v>
      </c>
      <c r="Q6">
        <f>_xll.EQNXTDZ($A$1,$B6,Q$1,$B$1)</f>
        <v>354.54</v>
      </c>
      <c r="R6">
        <f>_xll.EQNXTDZ($A$1,$B6,R$1,$B$1)</f>
        <v>385.71</v>
      </c>
      <c r="S6">
        <f>_xll.EQNXTDZ($A$1,$B6,S$1,$B$1)</f>
        <v>414.97</v>
      </c>
      <c r="T6">
        <f>_xll.EQNXTDZ($A$1,$B6,T$1,$B$1)</f>
        <v>435</v>
      </c>
      <c r="U6">
        <f>_xll.EQNXTDZ($A$1,$B6,U$1,$B$1)</f>
        <v>358.11</v>
      </c>
      <c r="V6">
        <f>_xll.EQNXTDZ($A$1,$B6,V$1,$B$1)</f>
        <v>422.59</v>
      </c>
      <c r="W6">
        <f>_xll.EQNXTDZ($A$1,$B6,W$1,$B$1)</f>
        <v>432</v>
      </c>
      <c r="X6">
        <f>_xll.EQNXTDZ($A$1,$B6,X$1,$B$1)</f>
        <v>371.21</v>
      </c>
      <c r="Y6">
        <f>_xll.EQNXTDZ($A$1,$B6,Y$1,$B$1)</f>
        <v>416.45</v>
      </c>
      <c r="Z6">
        <f>_xll.EQNXTDZ($A$1,$B6,Z$1,$B$1)</f>
        <v>429.37</v>
      </c>
      <c r="AA6">
        <f>_xll.EQNXTDZ($A$1,$B6,AA$1,$B$1)</f>
        <v>473.95</v>
      </c>
      <c r="AB6">
        <f>_xll.EQNXTDZ($A$1,$B6,AB$1,$B$1)</f>
        <v>471.05</v>
      </c>
      <c r="AC6">
        <f>_xll.EQNXTDZ($A$1,$B6,AC$1,$B$1)</f>
        <v>440.14</v>
      </c>
      <c r="AD6">
        <f>_xll.EQNXTDZ($A$1,$B6,AD$1,$B$1)</f>
        <v>488.39</v>
      </c>
      <c r="AE6">
        <f>_xll.EQNXTDZ($A$1,$B6,AE$1,$B$1)</f>
        <v>460.64</v>
      </c>
      <c r="AF6">
        <f>_xll.EQNXTDZ($A$1,$B6,AF$1,$B$1)</f>
        <v>487.69</v>
      </c>
      <c r="AG6">
        <f>_xll.EQNXTDZ($A$1,$B6,AG$1,$B$1)</f>
        <v>440.28</v>
      </c>
      <c r="AH6">
        <f>_xll.EQNXTDZ($A$1,$B6,AH$1,$B$1)</f>
        <v>401.5</v>
      </c>
      <c r="AI6">
        <f>_xll.EQNXTDZ($A$1,$B6,AI$1,$B$1)</f>
        <v>108.86</v>
      </c>
      <c r="AJ6">
        <f>_xll.EQNXTDZ($A$1,$B6,AJ$1,$B$1)</f>
        <v>312.44</v>
      </c>
      <c r="AK6">
        <f>_xll.EQNXTDZ($A$1,$B6,AK$1,$B$1)</f>
        <v>440.25</v>
      </c>
      <c r="AL6">
        <f>_xll.EQNXTDZ($A$1,$B6,AL$1,$B$1)</f>
        <v>497.42</v>
      </c>
      <c r="AM6">
        <f>_xll.EQNXTDZ($A$1,$B6,AM$1,$B$1)</f>
        <v>411.17</v>
      </c>
      <c r="AN6">
        <f>_xll.EQNXTDZ($A$1,$B6,AN$1,$B$1)</f>
        <v>638.67999999999995</v>
      </c>
      <c r="AO6">
        <f>_xll.EQNXTDZ($A$1,$B6,AO$1,$B$1)</f>
        <v>649.79999999999995</v>
      </c>
      <c r="AP6">
        <f>_xll.EQNXTDZ($A$1,$B6,AP$1,$B$1)</f>
        <v>738.11</v>
      </c>
      <c r="AQ6">
        <f>_xll.EQNXTDZ($A$1,$B6,AQ$1,$B$1)</f>
        <v>713.28</v>
      </c>
      <c r="AR6">
        <f>_xll.EQNXTDZ($A$1,$B6,AR$1,$B$1)</f>
        <v>709.32</v>
      </c>
      <c r="AS6">
        <f>_xll.EQNXTDZ($A$1,$B6,AS$1,$B$1)</f>
        <v>605</v>
      </c>
      <c r="AT6">
        <f>_xll.EQNXTDZ($A$1,$B6,AT$1,$B$1)</f>
        <v>684.7</v>
      </c>
      <c r="AU6">
        <f>_xll.EQNXTDZ($A$1,$B6,AU$1,$B$1)</f>
        <v>677.1</v>
      </c>
      <c r="AV6">
        <f>_xll.EQNXTDZ($A$1,$B6,AV$1,$B$1)</f>
        <v>628.74</v>
      </c>
      <c r="AW6">
        <f>_xll.EQNXTDZ($A$1,$B6,AW$1,$B$1)</f>
        <v>621.1</v>
      </c>
      <c r="AX6">
        <f>_xll.EQNXTDZ($A$1,$B6,AX$1,$B$1)</f>
        <v>701.12</v>
      </c>
      <c r="AY6">
        <f>_xll.EQNXTDZ($A$1,$B6,AY$1,$B$1)</f>
        <v>693.05</v>
      </c>
      <c r="AZ6">
        <f>_xll.EQNXTDZ($A$1,$B6,AZ$1,$B$1)</f>
        <v>675.61</v>
      </c>
      <c r="BA6">
        <f>_xll.EQNXTDZ($A$1,$B6,BA$1,$B$1)</f>
        <v>753.99</v>
      </c>
      <c r="BB6">
        <f>_xll.EQNXTDZ($A$1,$B6,BB$1,$B$1)</f>
        <v>734.3</v>
      </c>
      <c r="BC6">
        <f>_xll.EQNXTDZ($A$1,$B6,BC$1,$B$1)</f>
        <v>789.77</v>
      </c>
      <c r="BD6">
        <f>_xll.EQNXTDZ($A$1,$B6,BD$1,$B$1)</f>
        <v>786.18</v>
      </c>
      <c r="BE6">
        <f>_xll.EQNXTDZ($A$1,$B6,BE$1,$B$1)</f>
        <v>774.66</v>
      </c>
      <c r="BF6">
        <f>_xll.EQNXTDZ($A$1,$B6,BF$1,$B$1)</f>
        <v>883.92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252</v>
      </c>
      <c r="B7" t="s">
        <v>276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253</v>
      </c>
      <c r="B8" t="s">
        <v>277</v>
      </c>
      <c r="C8">
        <f>_xll.EQNXTDZ($A$1,$B8,C$1,$B$1)</f>
        <v>1.45</v>
      </c>
      <c r="D8">
        <f>_xll.EQNXTDZ($A$1,$B8,D$1,$B$1)</f>
        <v>1.6</v>
      </c>
      <c r="E8">
        <f>_xll.EQNXTDZ($A$1,$B8,E$1,$B$1)</f>
        <v>1.5</v>
      </c>
      <c r="F8">
        <f>_xll.EQNXTDZ($A$1,$B8,F$1,$B$1)</f>
        <v>1.53</v>
      </c>
      <c r="G8">
        <f>_xll.EQNXTDZ($A$1,$B8,G$1,$B$1)</f>
        <v>1.82</v>
      </c>
      <c r="H8">
        <f>_xll.EQNXTDZ($A$1,$B8,H$1,$B$1)</f>
        <v>1.64</v>
      </c>
      <c r="I8">
        <f>_xll.EQNXTDZ($A$1,$B8,I$1,$B$1)</f>
        <v>1.69</v>
      </c>
      <c r="J8">
        <f>_xll.EQNXTDZ($A$1,$B8,J$1,$B$1)</f>
        <v>1.86</v>
      </c>
      <c r="K8">
        <f>_xll.EQNXTDZ($A$1,$B8,K$1,$B$1)</f>
        <v>2.1</v>
      </c>
      <c r="L8">
        <f>_xll.EQNXTDZ($A$1,$B8,L$1,$B$1)</f>
        <v>1.79</v>
      </c>
      <c r="M8">
        <f>_xll.EQNXTDZ($A$1,$B8,M$1,$B$1)</f>
        <v>1.71</v>
      </c>
      <c r="N8">
        <f>_xll.EQNXTDZ($A$1,$B8,N$1,$B$1)</f>
        <v>2.68</v>
      </c>
      <c r="O8">
        <f>_xll.EQNXTDZ($A$1,$B8,O$1,$B$1)</f>
        <v>1.68</v>
      </c>
      <c r="P8">
        <f>_xll.EQNXTDZ($A$1,$B8,P$1,$B$1)</f>
        <v>1.8</v>
      </c>
      <c r="Q8">
        <f>_xll.EQNXTDZ($A$1,$B8,Q$1,$B$1)</f>
        <v>1.85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254</v>
      </c>
      <c r="B9" t="s">
        <v>278</v>
      </c>
      <c r="C9">
        <f>_xll.EQNXTDZ($A$1,$B9,C$1,$B$1)</f>
        <v>412.54</v>
      </c>
      <c r="D9">
        <f>_xll.EQNXTDZ($A$1,$B9,D$1,$B$1)</f>
        <v>385.66</v>
      </c>
      <c r="E9">
        <f>_xll.EQNXTDZ($A$1,$B9,E$1,$B$1)</f>
        <v>329.46</v>
      </c>
      <c r="F9">
        <f>_xll.EQNXTDZ($A$1,$B9,F$1,$B$1)</f>
        <v>357.26</v>
      </c>
      <c r="G9">
        <f>_xll.EQNXTDZ($A$1,$B9,G$1,$B$1)</f>
        <v>367.62</v>
      </c>
      <c r="H9">
        <f>_xll.EQNXTDZ($A$1,$B9,H$1,$B$1)</f>
        <v>353.04</v>
      </c>
      <c r="I9">
        <f>_xll.EQNXTDZ($A$1,$B9,I$1,$B$1)</f>
        <v>349.58</v>
      </c>
      <c r="J9">
        <f>_xll.EQNXTDZ($A$1,$B9,J$1,$B$1)</f>
        <v>369.38</v>
      </c>
      <c r="K9">
        <f>_xll.EQNXTDZ($A$1,$B9,K$1,$B$1)</f>
        <v>375.03</v>
      </c>
      <c r="L9">
        <f>_xll.EQNXTDZ($A$1,$B9,L$1,$B$1)</f>
        <v>370.79</v>
      </c>
      <c r="M9">
        <f>_xll.EQNXTDZ($A$1,$B9,M$1,$B$1)</f>
        <v>369.02</v>
      </c>
      <c r="N9">
        <f>_xll.EQNXTDZ($A$1,$B9,N$1,$B$1)</f>
        <v>362.1</v>
      </c>
      <c r="O9">
        <f>_xll.EQNXTDZ($A$1,$B9,O$1,$B$1)</f>
        <v>366.61</v>
      </c>
      <c r="P9">
        <f>_xll.EQNXTDZ($A$1,$B9,P$1,$B$1)</f>
        <v>401.02</v>
      </c>
      <c r="Q9">
        <f>_xll.EQNXTDZ($A$1,$B9,Q$1,$B$1)</f>
        <v>356.39</v>
      </c>
      <c r="R9">
        <f>_xll.EQNXTDZ($A$1,$B9,R$1,$B$1)</f>
        <v>385.71</v>
      </c>
      <c r="S9">
        <f>_xll.EQNXTDZ($A$1,$B9,S$1,$B$1)</f>
        <v>414.97</v>
      </c>
      <c r="T9">
        <f>_xll.EQNXTDZ($A$1,$B9,T$1,$B$1)</f>
        <v>435</v>
      </c>
      <c r="U9">
        <f>_xll.EQNXTDZ($A$1,$B9,U$1,$B$1)</f>
        <v>358.11</v>
      </c>
      <c r="V9">
        <f>_xll.EQNXTDZ($A$1,$B9,V$1,$B$1)</f>
        <v>422.59</v>
      </c>
      <c r="W9">
        <f>_xll.EQNXTDZ($A$1,$B9,W$1,$B$1)</f>
        <v>432</v>
      </c>
      <c r="X9">
        <f>_xll.EQNXTDZ($A$1,$B9,X$1,$B$1)</f>
        <v>371.21</v>
      </c>
      <c r="Y9">
        <f>_xll.EQNXTDZ($A$1,$B9,Y$1,$B$1)</f>
        <v>416.45</v>
      </c>
      <c r="Z9">
        <f>_xll.EQNXTDZ($A$1,$B9,Z$1,$B$1)</f>
        <v>429.37</v>
      </c>
      <c r="AA9">
        <f>_xll.EQNXTDZ($A$1,$B9,AA$1,$B$1)</f>
        <v>473.95</v>
      </c>
      <c r="AB9">
        <f>_xll.EQNXTDZ($A$1,$B9,AB$1,$B$1)</f>
        <v>471.05</v>
      </c>
      <c r="AC9">
        <f>_xll.EQNXTDZ($A$1,$B9,AC$1,$B$1)</f>
        <v>440.14</v>
      </c>
      <c r="AD9">
        <f>_xll.EQNXTDZ($A$1,$B9,AD$1,$B$1)</f>
        <v>488.39</v>
      </c>
      <c r="AE9">
        <f>_xll.EQNXTDZ($A$1,$B9,AE$1,$B$1)</f>
        <v>460.64</v>
      </c>
      <c r="AF9">
        <f>_xll.EQNXTDZ($A$1,$B9,AF$1,$B$1)</f>
        <v>487.69</v>
      </c>
      <c r="AG9">
        <f>_xll.EQNXTDZ($A$1,$B9,AG$1,$B$1)</f>
        <v>440.28</v>
      </c>
      <c r="AH9">
        <f>_xll.EQNXTDZ($A$1,$B9,AH$1,$B$1)</f>
        <v>401.5</v>
      </c>
      <c r="AI9">
        <f>_xll.EQNXTDZ($A$1,$B9,AI$1,$B$1)</f>
        <v>108.86</v>
      </c>
      <c r="AJ9">
        <f>_xll.EQNXTDZ($A$1,$B9,AJ$1,$B$1)</f>
        <v>312.44</v>
      </c>
      <c r="AK9">
        <f>_xll.EQNXTDZ($A$1,$B9,AK$1,$B$1)</f>
        <v>440.25</v>
      </c>
      <c r="AL9">
        <f>_xll.EQNXTDZ($A$1,$B9,AL$1,$B$1)</f>
        <v>497.42</v>
      </c>
      <c r="AM9">
        <f>_xll.EQNXTDZ($A$1,$B9,AM$1,$B$1)</f>
        <v>411.17</v>
      </c>
      <c r="AN9">
        <f>_xll.EQNXTDZ($A$1,$B9,AN$1,$B$1)</f>
        <v>638.67999999999995</v>
      </c>
      <c r="AO9">
        <f>_xll.EQNXTDZ($A$1,$B9,AO$1,$B$1)</f>
        <v>649.79999999999995</v>
      </c>
      <c r="AP9">
        <f>_xll.EQNXTDZ($A$1,$B9,AP$1,$B$1)</f>
        <v>738.11</v>
      </c>
      <c r="AQ9">
        <f>_xll.EQNXTDZ($A$1,$B9,AQ$1,$B$1)</f>
        <v>713.28</v>
      </c>
      <c r="AR9">
        <f>_xll.EQNXTDZ($A$1,$B9,AR$1,$B$1)</f>
        <v>709.32</v>
      </c>
      <c r="AS9">
        <f>_xll.EQNXTDZ($A$1,$B9,AS$1,$B$1)</f>
        <v>605</v>
      </c>
      <c r="AT9">
        <f>_xll.EQNXTDZ($A$1,$B9,AT$1,$B$1)</f>
        <v>684.7</v>
      </c>
      <c r="AU9">
        <f>_xll.EQNXTDZ($A$1,$B9,AU$1,$B$1)</f>
        <v>677.1</v>
      </c>
      <c r="AV9">
        <f>_xll.EQNXTDZ($A$1,$B9,AV$1,$B$1)</f>
        <v>628.74</v>
      </c>
      <c r="AW9">
        <f>_xll.EQNXTDZ($A$1,$B9,AW$1,$B$1)</f>
        <v>621.1</v>
      </c>
      <c r="AX9">
        <f>_xll.EQNXTDZ($A$1,$B9,AX$1,$B$1)</f>
        <v>701.12</v>
      </c>
      <c r="AY9">
        <f>_xll.EQNXTDZ($A$1,$B9,AY$1,$B$1)</f>
        <v>693.05</v>
      </c>
      <c r="AZ9">
        <f>_xll.EQNXTDZ($A$1,$B9,AZ$1,$B$1)</f>
        <v>675.61</v>
      </c>
      <c r="BA9">
        <f>_xll.EQNXTDZ($A$1,$B9,BA$1,$B$1)</f>
        <v>753.99</v>
      </c>
      <c r="BB9">
        <f>_xll.EQNXTDZ($A$1,$B9,BB$1,$B$1)</f>
        <v>734.3</v>
      </c>
      <c r="BC9">
        <f>_xll.EQNXTDZ($A$1,$B9,BC$1,$B$1)</f>
        <v>789.77</v>
      </c>
      <c r="BD9">
        <f>_xll.EQNXTDZ($A$1,$B9,BD$1,$B$1)</f>
        <v>786.18</v>
      </c>
      <c r="BE9">
        <f>_xll.EQNXTDZ($A$1,$B9,BE$1,$B$1)</f>
        <v>774.66</v>
      </c>
      <c r="BF9">
        <f>_xll.EQNXTDZ($A$1,$B9,BF$1,$B$1)</f>
        <v>883.92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255</v>
      </c>
      <c r="B10" t="s">
        <v>279</v>
      </c>
      <c r="C10">
        <f>_xll.EQNXTDZ($A$1,$B10,C$1,$B$1)</f>
        <v>11.8</v>
      </c>
      <c r="D10">
        <f>_xll.EQNXTDZ($A$1,$B10,D$1,$B$1)</f>
        <v>-23.48</v>
      </c>
      <c r="E10">
        <f>_xll.EQNXTDZ($A$1,$B10,E$1,$B$1)</f>
        <v>9.31</v>
      </c>
      <c r="F10">
        <f>_xll.EQNXTDZ($A$1,$B10,F$1,$B$1)</f>
        <v>-14.47</v>
      </c>
      <c r="G10">
        <f>_xll.EQNXTDZ($A$1,$B10,G$1,$B$1)</f>
        <v>22.28</v>
      </c>
      <c r="H10">
        <f>_xll.EQNXTDZ($A$1,$B10,H$1,$B$1)</f>
        <v>-21.76</v>
      </c>
      <c r="I10">
        <f>_xll.EQNXTDZ($A$1,$B10,I$1,$B$1)</f>
        <v>-13.23</v>
      </c>
      <c r="J10">
        <f>_xll.EQNXTDZ($A$1,$B10,J$1,$B$1)</f>
        <v>1.59</v>
      </c>
      <c r="K10">
        <f>_xll.EQNXTDZ($A$1,$B10,K$1,$B$1)</f>
        <v>15.99</v>
      </c>
      <c r="L10">
        <f>_xll.EQNXTDZ($A$1,$B10,L$1,$B$1)</f>
        <v>-16.57</v>
      </c>
      <c r="M10">
        <f>_xll.EQNXTDZ($A$1,$B10,M$1,$B$1)</f>
        <v>-3.89</v>
      </c>
      <c r="N10">
        <f>_xll.EQNXTDZ($A$1,$B10,N$1,$B$1)</f>
        <v>-2.9</v>
      </c>
      <c r="O10">
        <f>_xll.EQNXTDZ($A$1,$B10,O$1,$B$1)</f>
        <v>-1.83</v>
      </c>
      <c r="P10">
        <f>_xll.EQNXTDZ($A$1,$B10,P$1,$B$1)</f>
        <v>-17.239999999999998</v>
      </c>
      <c r="Q10">
        <f>_xll.EQNXTDZ($A$1,$B10,Q$1,$B$1)</f>
        <v>-11.23</v>
      </c>
      <c r="R10">
        <f>_xll.EQNXTDZ($A$1,$B10,R$1,$B$1)</f>
        <v>8.07</v>
      </c>
      <c r="S10">
        <f>_xll.EQNXTDZ($A$1,$B10,S$1,$B$1)</f>
        <v>-11.99</v>
      </c>
      <c r="T10">
        <f>_xll.EQNXTDZ($A$1,$B10,T$1,$B$1)</f>
        <v>-5.86</v>
      </c>
      <c r="U10">
        <f>_xll.EQNXTDZ($A$1,$B10,U$1,$B$1)</f>
        <v>-28</v>
      </c>
      <c r="V10">
        <f>_xll.EQNXTDZ($A$1,$B10,V$1,$B$1)</f>
        <v>4.13</v>
      </c>
      <c r="W10">
        <f>_xll.EQNXTDZ($A$1,$B10,W$1,$B$1)</f>
        <v>10.7</v>
      </c>
      <c r="X10">
        <f>_xll.EQNXTDZ($A$1,$B10,X$1,$B$1)</f>
        <v>-26.71</v>
      </c>
      <c r="Y10">
        <f>_xll.EQNXTDZ($A$1,$B10,Y$1,$B$1)</f>
        <v>4.01</v>
      </c>
      <c r="Z10">
        <f>_xll.EQNXTDZ($A$1,$B10,Z$1,$B$1)</f>
        <v>-18.75</v>
      </c>
      <c r="AA10">
        <f>_xll.EQNXTDZ($A$1,$B10,AA$1,$B$1)</f>
        <v>27.67</v>
      </c>
      <c r="AB10">
        <f>_xll.EQNXTDZ($A$1,$B10,AB$1,$B$1)</f>
        <v>-20.100000000000001</v>
      </c>
      <c r="AC10">
        <f>_xll.EQNXTDZ($A$1,$B10,AC$1,$B$1)</f>
        <v>-8.58</v>
      </c>
      <c r="AD10">
        <f>_xll.EQNXTDZ($A$1,$B10,AD$1,$B$1)</f>
        <v>14.29</v>
      </c>
      <c r="AE10">
        <f>_xll.EQNXTDZ($A$1,$B10,AE$1,$B$1)</f>
        <v>-13.34</v>
      </c>
      <c r="AF10">
        <f>_xll.EQNXTDZ($A$1,$B10,AF$1,$B$1)</f>
        <v>9.89</v>
      </c>
      <c r="AG10">
        <f>_xll.EQNXTDZ($A$1,$B10,AG$1,$B$1)</f>
        <v>13.51</v>
      </c>
      <c r="AH10">
        <f>_xll.EQNXTDZ($A$1,$B10,AH$1,$B$1)</f>
        <v>-21.71</v>
      </c>
      <c r="AI10">
        <f>_xll.EQNXTDZ($A$1,$B10,AI$1,$B$1)</f>
        <v>-13.35</v>
      </c>
      <c r="AJ10">
        <f>_xll.EQNXTDZ($A$1,$B10,AJ$1,$B$1)</f>
        <v>21.31</v>
      </c>
      <c r="AK10">
        <f>_xll.EQNXTDZ($A$1,$B10,AK$1,$B$1)</f>
        <v>35.57</v>
      </c>
      <c r="AL10">
        <f>_xll.EQNXTDZ($A$1,$B10,AL$1,$B$1)</f>
        <v>-15.72</v>
      </c>
      <c r="AM10">
        <f>_xll.EQNXTDZ($A$1,$B10,AM$1,$B$1)</f>
        <v>-48.46</v>
      </c>
      <c r="AN10">
        <f>_xll.EQNXTDZ($A$1,$B10,AN$1,$B$1)</f>
        <v>24.57</v>
      </c>
      <c r="AO10">
        <f>_xll.EQNXTDZ($A$1,$B10,AO$1,$B$1)</f>
        <v>-7.71</v>
      </c>
      <c r="AP10">
        <f>_xll.EQNXTDZ($A$1,$B10,AP$1,$B$1)</f>
        <v>-4.07</v>
      </c>
      <c r="AQ10">
        <f>_xll.EQNXTDZ($A$1,$B10,AQ$1,$B$1)</f>
        <v>-48.88</v>
      </c>
      <c r="AR10">
        <f>_xll.EQNXTDZ($A$1,$B10,AR$1,$B$1)</f>
        <v>-17.87</v>
      </c>
      <c r="AS10">
        <f>_xll.EQNXTDZ($A$1,$B10,AS$1,$B$1)</f>
        <v>-30.85</v>
      </c>
      <c r="AT10">
        <f>_xll.EQNXTDZ($A$1,$B10,AT$1,$B$1)</f>
        <v>2.83</v>
      </c>
      <c r="AU10">
        <f>_xll.EQNXTDZ($A$1,$B10,AU$1,$B$1)</f>
        <v>-17.04</v>
      </c>
      <c r="AV10">
        <f>_xll.EQNXTDZ($A$1,$B10,AV$1,$B$1)</f>
        <v>-0.4</v>
      </c>
      <c r="AW10">
        <f>_xll.EQNXTDZ($A$1,$B10,AW$1,$B$1)</f>
        <v>-9.51</v>
      </c>
      <c r="AX10">
        <f>_xll.EQNXTDZ($A$1,$B10,AX$1,$B$1)</f>
        <v>3.83</v>
      </c>
      <c r="AY10">
        <f>_xll.EQNXTDZ($A$1,$B10,AY$1,$B$1)</f>
        <v>-11.33</v>
      </c>
      <c r="AZ10">
        <f>_xll.EQNXTDZ($A$1,$B10,AZ$1,$B$1)</f>
        <v>-32.729999999999997</v>
      </c>
      <c r="BA10">
        <f>_xll.EQNXTDZ($A$1,$B10,BA$1,$B$1)</f>
        <v>49.61</v>
      </c>
      <c r="BB10">
        <f>_xll.EQNXTDZ($A$1,$B10,BB$1,$B$1)</f>
        <v>4.18</v>
      </c>
      <c r="BC10">
        <f>_xll.EQNXTDZ($A$1,$B10,BC$1,$B$1)</f>
        <v>-5.48</v>
      </c>
      <c r="BD10">
        <f>_xll.EQNXTDZ($A$1,$B10,BD$1,$B$1)</f>
        <v>11.69</v>
      </c>
      <c r="BE10">
        <f>_xll.EQNXTDZ($A$1,$B10,BE$1,$B$1)</f>
        <v>-4.75</v>
      </c>
      <c r="BF10">
        <f>_xll.EQNXTDZ($A$1,$B10,BF$1,$B$1)</f>
        <v>59.57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256</v>
      </c>
      <c r="B11" t="s">
        <v>280</v>
      </c>
      <c r="C11">
        <f>_xll.EQNXTDZ($A$1,$B11,C$1,$B$1)</f>
        <v>203.73</v>
      </c>
      <c r="D11">
        <f>_xll.EQNXTDZ($A$1,$B11,D$1,$B$1)</f>
        <v>225.81</v>
      </c>
      <c r="E11">
        <f>_xll.EQNXTDZ($A$1,$B11,E$1,$B$1)</f>
        <v>183.37</v>
      </c>
      <c r="F11">
        <f>_xll.EQNXTDZ($A$1,$B11,F$1,$B$1)</f>
        <v>221.43</v>
      </c>
      <c r="G11">
        <f>_xll.EQNXTDZ($A$1,$B11,G$1,$B$1)</f>
        <v>186.1</v>
      </c>
      <c r="H11">
        <f>_xll.EQNXTDZ($A$1,$B11,H$1,$B$1)</f>
        <v>210.12</v>
      </c>
      <c r="I11">
        <f>_xll.EQNXTDZ($A$1,$B11,I$1,$B$1)</f>
        <v>214.51</v>
      </c>
      <c r="J11">
        <f>_xll.EQNXTDZ($A$1,$B11,J$1,$B$1)</f>
        <v>216.54</v>
      </c>
      <c r="K11">
        <f>_xll.EQNXTDZ($A$1,$B11,K$1,$B$1)</f>
        <v>210.62</v>
      </c>
      <c r="L11">
        <f>_xll.EQNXTDZ($A$1,$B11,L$1,$B$1)</f>
        <v>226.37</v>
      </c>
      <c r="M11">
        <f>_xll.EQNXTDZ($A$1,$B11,M$1,$B$1)</f>
        <v>192.93</v>
      </c>
      <c r="N11">
        <f>_xll.EQNXTDZ($A$1,$B11,N$1,$B$1)</f>
        <v>200.72</v>
      </c>
      <c r="O11">
        <f>_xll.EQNXTDZ($A$1,$B11,O$1,$B$1)</f>
        <v>194.79</v>
      </c>
      <c r="P11">
        <f>_xll.EQNXTDZ($A$1,$B11,P$1,$B$1)</f>
        <v>233.71</v>
      </c>
      <c r="Q11">
        <f>_xll.EQNXTDZ($A$1,$B11,Q$1,$B$1)</f>
        <v>195.94</v>
      </c>
      <c r="R11">
        <f>_xll.EQNXTDZ($A$1,$B11,R$1,$B$1)</f>
        <v>205.88</v>
      </c>
      <c r="S11">
        <f>_xll.EQNXTDZ($A$1,$B11,S$1,$B$1)</f>
        <v>219.9</v>
      </c>
      <c r="T11">
        <f>_xll.EQNXTDZ($A$1,$B11,T$1,$B$1)</f>
        <v>236.8</v>
      </c>
      <c r="U11">
        <f>_xll.EQNXTDZ($A$1,$B11,U$1,$B$1)</f>
        <v>213.45</v>
      </c>
      <c r="V11">
        <f>_xll.EQNXTDZ($A$1,$B11,V$1,$B$1)</f>
        <v>236.61</v>
      </c>
      <c r="W11">
        <f>_xll.EQNXTDZ($A$1,$B11,W$1,$B$1)</f>
        <v>221.22</v>
      </c>
      <c r="X11">
        <f>_xll.EQNXTDZ($A$1,$B11,X$1,$B$1)</f>
        <v>228.57</v>
      </c>
      <c r="Y11">
        <f>_xll.EQNXTDZ($A$1,$B11,Y$1,$B$1)</f>
        <v>236.18</v>
      </c>
      <c r="Z11">
        <f>_xll.EQNXTDZ($A$1,$B11,Z$1,$B$1)</f>
        <v>250.69</v>
      </c>
      <c r="AA11">
        <f>_xll.EQNXTDZ($A$1,$B11,AA$1,$B$1)</f>
        <v>251.32</v>
      </c>
      <c r="AB11">
        <f>_xll.EQNXTDZ($A$1,$B11,AB$1,$B$1)</f>
        <v>264.43</v>
      </c>
      <c r="AC11">
        <f>_xll.EQNXTDZ($A$1,$B11,AC$1,$B$1)</f>
        <v>263.94</v>
      </c>
      <c r="AD11">
        <f>_xll.EQNXTDZ($A$1,$B11,AD$1,$B$1)</f>
        <v>271.89999999999998</v>
      </c>
      <c r="AE11">
        <f>_xll.EQNXTDZ($A$1,$B11,AE$1,$B$1)</f>
        <v>277.77</v>
      </c>
      <c r="AF11">
        <f>_xll.EQNXTDZ($A$1,$B11,AF$1,$B$1)</f>
        <v>251.27</v>
      </c>
      <c r="AG11">
        <f>_xll.EQNXTDZ($A$1,$B11,AG$1,$B$1)</f>
        <v>229.21</v>
      </c>
      <c r="AH11">
        <f>_xll.EQNXTDZ($A$1,$B11,AH$1,$B$1)</f>
        <v>224.08</v>
      </c>
      <c r="AI11">
        <f>_xll.EQNXTDZ($A$1,$B11,AI$1,$B$1)</f>
        <v>65.48</v>
      </c>
      <c r="AJ11">
        <f>_xll.EQNXTDZ($A$1,$B11,AJ$1,$B$1)</f>
        <v>153.97</v>
      </c>
      <c r="AK11">
        <f>_xll.EQNXTDZ($A$1,$B11,AK$1,$B$1)</f>
        <v>212.39</v>
      </c>
      <c r="AL11">
        <f>_xll.EQNXTDZ($A$1,$B11,AL$1,$B$1)</f>
        <v>275.08999999999997</v>
      </c>
      <c r="AM11">
        <f>_xll.EQNXTDZ($A$1,$B11,AM$1,$B$1)</f>
        <v>241.07</v>
      </c>
      <c r="AN11">
        <f>_xll.EQNXTDZ($A$1,$B11,AN$1,$B$1)</f>
        <v>314.52999999999997</v>
      </c>
      <c r="AO11">
        <f>_xll.EQNXTDZ($A$1,$B11,AO$1,$B$1)</f>
        <v>362.64</v>
      </c>
      <c r="AP11">
        <f>_xll.EQNXTDZ($A$1,$B11,AP$1,$B$1)</f>
        <v>416.59</v>
      </c>
      <c r="AQ11">
        <f>_xll.EQNXTDZ($A$1,$B11,AQ$1,$B$1)</f>
        <v>425.25</v>
      </c>
      <c r="AR11">
        <f>_xll.EQNXTDZ($A$1,$B11,AR$1,$B$1)</f>
        <v>388.8</v>
      </c>
      <c r="AS11">
        <f>_xll.EQNXTDZ($A$1,$B11,AS$1,$B$1)</f>
        <v>371.3</v>
      </c>
      <c r="AT11">
        <f>_xll.EQNXTDZ($A$1,$B11,AT$1,$B$1)</f>
        <v>392.03</v>
      </c>
      <c r="AU11">
        <f>_xll.EQNXTDZ($A$1,$B11,AU$1,$B$1)</f>
        <v>386.53</v>
      </c>
      <c r="AV11">
        <f>_xll.EQNXTDZ($A$1,$B11,AV$1,$B$1)</f>
        <v>374.32</v>
      </c>
      <c r="AW11">
        <f>_xll.EQNXTDZ($A$1,$B11,AW$1,$B$1)</f>
        <v>382.68</v>
      </c>
      <c r="AX11">
        <f>_xll.EQNXTDZ($A$1,$B11,AX$1,$B$1)</f>
        <v>396.72</v>
      </c>
      <c r="AY11">
        <f>_xll.EQNXTDZ($A$1,$B11,AY$1,$B$1)</f>
        <v>386.05</v>
      </c>
      <c r="AZ11">
        <f>_xll.EQNXTDZ($A$1,$B11,AZ$1,$B$1)</f>
        <v>394.1</v>
      </c>
      <c r="BA11">
        <f>_xll.EQNXTDZ($A$1,$B11,BA$1,$B$1)</f>
        <v>416.41</v>
      </c>
      <c r="BB11">
        <f>_xll.EQNXTDZ($A$1,$B11,BB$1,$B$1)</f>
        <v>447.38</v>
      </c>
      <c r="BC11">
        <f>_xll.EQNXTDZ($A$1,$B11,BC$1,$B$1)</f>
        <v>439.02</v>
      </c>
      <c r="BD11">
        <f>_xll.EQNXTDZ($A$1,$B11,BD$1,$B$1)</f>
        <v>439.32</v>
      </c>
      <c r="BE11">
        <f>_xll.EQNXTDZ($A$1,$B11,BE$1,$B$1)</f>
        <v>432.62</v>
      </c>
      <c r="BF11">
        <f>_xll.EQNXTDZ($A$1,$B11,BF$1,$B$1)</f>
        <v>452.79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281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25.32</v>
      </c>
      <c r="N12">
        <f>_xll.EQNXTDZ($A$1,$B12,N$1,$B$1)</f>
        <v>-0.62</v>
      </c>
      <c r="O12">
        <f>_xll.EQNXTDZ($A$1,$B12,O$1,$B$1)</f>
        <v>1.46</v>
      </c>
      <c r="P12">
        <f>_xll.EQNXTDZ($A$1,$B12,P$1,$B$1)</f>
        <v>2.11</v>
      </c>
      <c r="Q12">
        <f>_xll.EQNXTDZ($A$1,$B12,Q$1,$B$1)</f>
        <v>5.38</v>
      </c>
      <c r="R12">
        <f>_xll.EQNXTDZ($A$1,$B12,R$1,$B$1)</f>
        <v>3.54</v>
      </c>
      <c r="S12">
        <f>_xll.EQNXTDZ($A$1,$B12,S$1,$B$1)</f>
        <v>22.03</v>
      </c>
      <c r="T12">
        <f>_xll.EQNXTDZ($A$1,$B12,T$1,$B$1)</f>
        <v>17.25</v>
      </c>
      <c r="U12">
        <f>_xll.EQNXTDZ($A$1,$B12,U$1,$B$1)</f>
        <v>4.25</v>
      </c>
      <c r="V12">
        <f>_xll.EQNXTDZ($A$1,$B12,V$1,$B$1)</f>
        <v>2.93</v>
      </c>
      <c r="W12">
        <f>_xll.EQNXTDZ($A$1,$B12,W$1,$B$1)</f>
        <v>26.19</v>
      </c>
      <c r="X12">
        <f>_xll.EQNXTDZ($A$1,$B12,X$1,$B$1)</f>
        <v>1.41</v>
      </c>
      <c r="Y12">
        <f>_xll.EQNXTDZ($A$1,$B12,Y$1,$B$1)</f>
        <v>3.58</v>
      </c>
      <c r="Z12">
        <f>_xll.EQNXTDZ($A$1,$B12,Z$1,$B$1)</f>
        <v>7.74</v>
      </c>
      <c r="AA12">
        <f>_xll.EQNXTDZ($A$1,$B12,AA$1,$B$1)</f>
        <v>2.0499999999999998</v>
      </c>
      <c r="AB12">
        <f>_xll.EQNXTDZ($A$1,$B12,AB$1,$B$1)</f>
        <v>22.51</v>
      </c>
      <c r="AC12">
        <f>_xll.EQNXTDZ($A$1,$B12,AC$1,$B$1)</f>
        <v>1.6</v>
      </c>
      <c r="AD12">
        <f>_xll.EQNXTDZ($A$1,$B12,AD$1,$B$1)</f>
        <v>3.37</v>
      </c>
      <c r="AE12">
        <f>_xll.EQNXTDZ($A$1,$B12,AE$1,$B$1)</f>
        <v>5.13</v>
      </c>
      <c r="AF12">
        <f>_xll.EQNXTDZ($A$1,$B12,AF$1,$B$1)</f>
        <v>32.32</v>
      </c>
      <c r="AG12">
        <f>_xll.EQNXTDZ($A$1,$B12,AG$1,$B$1)</f>
        <v>2.1800000000000002</v>
      </c>
      <c r="AH12">
        <f>_xll.EQNXTDZ($A$1,$B12,AH$1,$B$1)</f>
        <v>0.51</v>
      </c>
      <c r="AI12">
        <f>_xll.EQNXTDZ($A$1,$B12,AI$1,$B$1)</f>
        <v>0.61</v>
      </c>
      <c r="AJ12">
        <f>_xll.EQNXTDZ($A$1,$B12,AJ$1,$B$1)</f>
        <v>0.56999999999999995</v>
      </c>
      <c r="AK12">
        <f>_xll.EQNXTDZ($A$1,$B12,AK$1,$B$1)</f>
        <v>8.31</v>
      </c>
      <c r="AL12">
        <f>_xll.EQNXTDZ($A$1,$B12,AL$1,$B$1)</f>
        <v>0.91</v>
      </c>
      <c r="AM12">
        <f>_xll.EQNXTDZ($A$1,$B12,AM$1,$B$1)</f>
        <v>11.24</v>
      </c>
      <c r="AN12">
        <f>_xll.EQNXTDZ($A$1,$B12,AN$1,$B$1)</f>
        <v>21.04</v>
      </c>
      <c r="AO12">
        <f>_xll.EQNXTDZ($A$1,$B12,AO$1,$B$1)</f>
        <v>3.87</v>
      </c>
      <c r="AP12">
        <f>_xll.EQNXTDZ($A$1,$B12,AP$1,$B$1)</f>
        <v>8.61</v>
      </c>
      <c r="AQ12">
        <f>_xll.EQNXTDZ($A$1,$B12,AQ$1,$B$1)</f>
        <v>22.2</v>
      </c>
      <c r="AR12">
        <f>_xll.EQNXTDZ($A$1,$B12,AR$1,$B$1)</f>
        <v>20.62</v>
      </c>
      <c r="AS12">
        <f>_xll.EQNXTDZ($A$1,$B12,AS$1,$B$1)</f>
        <v>0.63</v>
      </c>
      <c r="AT12">
        <f>_xll.EQNXTDZ($A$1,$B12,AT$1,$B$1)</f>
        <v>7.29</v>
      </c>
      <c r="AU12">
        <f>_xll.EQNXTDZ($A$1,$B12,AU$1,$B$1)</f>
        <v>34.15</v>
      </c>
      <c r="AV12">
        <f>_xll.EQNXTDZ($A$1,$B12,AV$1,$B$1)</f>
        <v>-3.89</v>
      </c>
      <c r="AW12">
        <f>_xll.EQNXTDZ($A$1,$B12,AW$1,$B$1)</f>
        <v>2</v>
      </c>
      <c r="AX12">
        <f>_xll.EQNXTDZ($A$1,$B12,AX$1,$B$1)</f>
        <v>6.39</v>
      </c>
      <c r="AY12">
        <f>_xll.EQNXTDZ($A$1,$B12,AY$1,$B$1)</f>
        <v>20.69</v>
      </c>
      <c r="AZ12">
        <f>_xll.EQNXTDZ($A$1,$B12,AZ$1,$B$1)</f>
        <v>20.84</v>
      </c>
      <c r="BA12">
        <f>_xll.EQNXTDZ($A$1,$B12,BA$1,$B$1)</f>
        <v>9.69</v>
      </c>
      <c r="BB12">
        <f>_xll.EQNXTDZ($A$1,$B12,BB$1,$B$1)</f>
        <v>16.420000000000002</v>
      </c>
      <c r="BC12">
        <f>_xll.EQNXTDZ($A$1,$B12,BC$1,$B$1)</f>
        <v>70.55</v>
      </c>
      <c r="BD12">
        <f>_xll.EQNXTDZ($A$1,$B12,BD$1,$B$1)</f>
        <v>19.62</v>
      </c>
      <c r="BE12">
        <f>_xll.EQNXTDZ($A$1,$B12,BE$1,$B$1)</f>
        <v>15.68</v>
      </c>
      <c r="BF12">
        <f>_xll.EQNXTDZ($A$1,$B12,BF$1,$B$1)</f>
        <v>10.59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257</v>
      </c>
      <c r="B13" t="s">
        <v>282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8.9</v>
      </c>
      <c r="T13">
        <f>_xll.EQNXTDZ($A$1,$B13,T$1,$B$1)</f>
        <v>9.15</v>
      </c>
      <c r="U13">
        <f>_xll.EQNXTDZ($A$1,$B13,U$1,$B$1)</f>
        <v>8.44</v>
      </c>
      <c r="V13">
        <f>_xll.EQNXTDZ($A$1,$B13,V$1,$B$1)</f>
        <v>10.24</v>
      </c>
      <c r="W13">
        <f>_xll.EQNXTDZ($A$1,$B13,W$1,$B$1)</f>
        <v>10.99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0.13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117</v>
      </c>
      <c r="B14" t="s">
        <v>283</v>
      </c>
      <c r="C14">
        <f>_xll.EQNXTDZ($A$1,$B14,C$1,$B$1)</f>
        <v>86.1</v>
      </c>
      <c r="D14">
        <f>_xll.EQNXTDZ($A$1,$B14,D$1,$B$1)</f>
        <v>59.2</v>
      </c>
      <c r="E14">
        <f>_xll.EQNXTDZ($A$1,$B14,E$1,$B$1)</f>
        <v>29.18</v>
      </c>
      <c r="F14">
        <f>_xll.EQNXTDZ($A$1,$B14,F$1,$B$1)</f>
        <v>41.63</v>
      </c>
      <c r="G14">
        <f>_xll.EQNXTDZ($A$1,$B14,G$1,$B$1)</f>
        <v>54.79</v>
      </c>
      <c r="H14">
        <f>_xll.EQNXTDZ($A$1,$B14,H$1,$B$1)</f>
        <v>52.5</v>
      </c>
      <c r="I14">
        <f>_xll.EQNXTDZ($A$1,$B14,I$1,$B$1)</f>
        <v>28.14</v>
      </c>
      <c r="J14">
        <f>_xll.EQNXTDZ($A$1,$B14,J$1,$B$1)</f>
        <v>34.57</v>
      </c>
      <c r="K14">
        <f>_xll.EQNXTDZ($A$1,$B14,K$1,$B$1)</f>
        <v>32.51</v>
      </c>
      <c r="L14">
        <f>_xll.EQNXTDZ($A$1,$B14,L$1,$B$1)</f>
        <v>34.93</v>
      </c>
      <c r="M14">
        <f>_xll.EQNXTDZ($A$1,$B14,M$1,$B$1)</f>
        <v>33</v>
      </c>
      <c r="N14">
        <f>_xll.EQNXTDZ($A$1,$B14,N$1,$B$1)</f>
        <v>37</v>
      </c>
      <c r="O14">
        <f>_xll.EQNXTDZ($A$1,$B14,O$1,$B$1)</f>
        <v>36.840000000000003</v>
      </c>
      <c r="P14">
        <f>_xll.EQNXTDZ($A$1,$B14,P$1,$B$1)</f>
        <v>41.18</v>
      </c>
      <c r="Q14">
        <f>_xll.EQNXTDZ($A$1,$B14,Q$1,$B$1)</f>
        <v>38.049999999999997</v>
      </c>
      <c r="R14">
        <f>_xll.EQNXTDZ($A$1,$B14,R$1,$B$1)</f>
        <v>43.65</v>
      </c>
      <c r="S14">
        <f>_xll.EQNXTDZ($A$1,$B14,S$1,$B$1)</f>
        <v>43.58</v>
      </c>
      <c r="T14">
        <f>_xll.EQNXTDZ($A$1,$B14,T$1,$B$1)</f>
        <v>46.08</v>
      </c>
      <c r="U14">
        <f>_xll.EQNXTDZ($A$1,$B14,U$1,$B$1)</f>
        <v>40.159999999999997</v>
      </c>
      <c r="V14">
        <f>_xll.EQNXTDZ($A$1,$B14,V$1,$B$1)</f>
        <v>44.15</v>
      </c>
      <c r="W14">
        <f>_xll.EQNXTDZ($A$1,$B14,W$1,$B$1)</f>
        <v>38.4</v>
      </c>
      <c r="X14">
        <f>_xll.EQNXTDZ($A$1,$B14,X$1,$B$1)</f>
        <v>36.04</v>
      </c>
      <c r="Y14">
        <f>_xll.EQNXTDZ($A$1,$B14,Y$1,$B$1)</f>
        <v>41.21</v>
      </c>
      <c r="Z14">
        <f>_xll.EQNXTDZ($A$1,$B14,Z$1,$B$1)</f>
        <v>45.08</v>
      </c>
      <c r="AA14">
        <f>_xll.EQNXTDZ($A$1,$B14,AA$1,$B$1)</f>
        <v>45.9</v>
      </c>
      <c r="AB14">
        <f>_xll.EQNXTDZ($A$1,$B14,AB$1,$B$1)</f>
        <v>48.59</v>
      </c>
      <c r="AC14">
        <f>_xll.EQNXTDZ($A$1,$B14,AC$1,$B$1)</f>
        <v>40</v>
      </c>
      <c r="AD14">
        <f>_xll.EQNXTDZ($A$1,$B14,AD$1,$B$1)</f>
        <v>47.75</v>
      </c>
      <c r="AE14">
        <f>_xll.EQNXTDZ($A$1,$B14,AE$1,$B$1)</f>
        <v>46.09</v>
      </c>
      <c r="AF14">
        <f>_xll.EQNXTDZ($A$1,$B14,AF$1,$B$1)</f>
        <v>46.72</v>
      </c>
      <c r="AG14">
        <f>_xll.EQNXTDZ($A$1,$B14,AG$1,$B$1)</f>
        <v>47.77</v>
      </c>
      <c r="AH14">
        <f>_xll.EQNXTDZ($A$1,$B14,AH$1,$B$1)</f>
        <v>55.96</v>
      </c>
      <c r="AI14">
        <f>_xll.EQNXTDZ($A$1,$B14,AI$1,$B$1)</f>
        <v>27.2</v>
      </c>
      <c r="AJ14">
        <f>_xll.EQNXTDZ($A$1,$B14,AJ$1,$B$1)</f>
        <v>42.13</v>
      </c>
      <c r="AK14">
        <f>_xll.EQNXTDZ($A$1,$B14,AK$1,$B$1)</f>
        <v>53.82</v>
      </c>
      <c r="AL14">
        <f>_xll.EQNXTDZ($A$1,$B14,AL$1,$B$1)</f>
        <v>61.46</v>
      </c>
      <c r="AM14">
        <f>_xll.EQNXTDZ($A$1,$B14,AM$1,$B$1)</f>
        <v>65.05</v>
      </c>
      <c r="AN14">
        <f>_xll.EQNXTDZ($A$1,$B14,AN$1,$B$1)</f>
        <v>93.11</v>
      </c>
      <c r="AO14">
        <f>_xll.EQNXTDZ($A$1,$B14,AO$1,$B$1)</f>
        <v>93.02</v>
      </c>
      <c r="AP14">
        <f>_xll.EQNXTDZ($A$1,$B14,AP$1,$B$1)</f>
        <v>88.94</v>
      </c>
      <c r="AQ14">
        <f>_xll.EQNXTDZ($A$1,$B14,AQ$1,$B$1)</f>
        <v>87.46</v>
      </c>
      <c r="AR14">
        <f>_xll.EQNXTDZ($A$1,$B14,AR$1,$B$1)</f>
        <v>98.7</v>
      </c>
      <c r="AS14">
        <f>_xll.EQNXTDZ($A$1,$B14,AS$1,$B$1)</f>
        <v>73.77</v>
      </c>
      <c r="AT14">
        <f>_xll.EQNXTDZ($A$1,$B14,AT$1,$B$1)</f>
        <v>83.9</v>
      </c>
      <c r="AU14">
        <f>_xll.EQNXTDZ($A$1,$B14,AU$1,$B$1)</f>
        <v>77.94</v>
      </c>
      <c r="AV14">
        <f>_xll.EQNXTDZ($A$1,$B14,AV$1,$B$1)</f>
        <v>73.650000000000006</v>
      </c>
      <c r="AW14">
        <f>_xll.EQNXTDZ($A$1,$B14,AW$1,$B$1)</f>
        <v>62.98</v>
      </c>
      <c r="AX14">
        <f>_xll.EQNXTDZ($A$1,$B14,AX$1,$B$1)</f>
        <v>85.1</v>
      </c>
      <c r="AY14">
        <f>_xll.EQNXTDZ($A$1,$B14,AY$1,$B$1)</f>
        <v>86.44</v>
      </c>
      <c r="AZ14">
        <f>_xll.EQNXTDZ($A$1,$B14,AZ$1,$B$1)</f>
        <v>88.61</v>
      </c>
      <c r="BA14">
        <f>_xll.EQNXTDZ($A$1,$B14,BA$1,$B$1)</f>
        <v>79.48</v>
      </c>
      <c r="BB14">
        <f>_xll.EQNXTDZ($A$1,$B14,BB$1,$B$1)</f>
        <v>70.98</v>
      </c>
      <c r="BC14">
        <f>_xll.EQNXTDZ($A$1,$B14,BC$1,$B$1)</f>
        <v>93.53</v>
      </c>
      <c r="BD14">
        <f>_xll.EQNXTDZ($A$1,$B14,BD$1,$B$1)</f>
        <v>87.59</v>
      </c>
      <c r="BE14">
        <f>_xll.EQNXTDZ($A$1,$B14,BE$1,$B$1)</f>
        <v>88.02</v>
      </c>
      <c r="BF14">
        <f>_xll.EQNXTDZ($A$1,$B14,BF$1,$B$1)</f>
        <v>91.79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258</v>
      </c>
      <c r="B15" t="s">
        <v>284</v>
      </c>
      <c r="C15">
        <f>_xll.EQNXTDZ($A$1,$B15,C$1,$B$1)</f>
        <v>36.21</v>
      </c>
      <c r="D15">
        <f>_xll.EQNXTDZ($A$1,$B15,D$1,$B$1)</f>
        <v>38.58</v>
      </c>
      <c r="E15">
        <f>_xll.EQNXTDZ($A$1,$B15,E$1,$B$1)</f>
        <v>34.229999999999997</v>
      </c>
      <c r="F15">
        <f>_xll.EQNXTDZ($A$1,$B15,F$1,$B$1)</f>
        <v>33.619999999999997</v>
      </c>
      <c r="G15">
        <f>_xll.EQNXTDZ($A$1,$B15,G$1,$B$1)</f>
        <v>32.770000000000003</v>
      </c>
      <c r="H15">
        <f>_xll.EQNXTDZ($A$1,$B15,H$1,$B$1)</f>
        <v>34.32</v>
      </c>
      <c r="I15">
        <f>_xll.EQNXTDZ($A$1,$B15,I$1,$B$1)</f>
        <v>35.28</v>
      </c>
      <c r="J15">
        <f>_xll.EQNXTDZ($A$1,$B15,J$1,$B$1)</f>
        <v>36.21</v>
      </c>
      <c r="K15">
        <f>_xll.EQNXTDZ($A$1,$B15,K$1,$B$1)</f>
        <v>37.270000000000003</v>
      </c>
      <c r="L15">
        <f>_xll.EQNXTDZ($A$1,$B15,L$1,$B$1)</f>
        <v>42.38</v>
      </c>
      <c r="M15">
        <f>_xll.EQNXTDZ($A$1,$B15,M$1,$B$1)</f>
        <v>38.82</v>
      </c>
      <c r="N15">
        <f>_xll.EQNXTDZ($A$1,$B15,N$1,$B$1)</f>
        <v>37.049999999999997</v>
      </c>
      <c r="O15">
        <f>_xll.EQNXTDZ($A$1,$B15,O$1,$B$1)</f>
        <v>40.380000000000003</v>
      </c>
      <c r="P15">
        <f>_xll.EQNXTDZ($A$1,$B15,P$1,$B$1)</f>
        <v>44.1</v>
      </c>
      <c r="Q15">
        <f>_xll.EQNXTDZ($A$1,$B15,Q$1,$B$1)</f>
        <v>37.69</v>
      </c>
      <c r="R15">
        <f>_xll.EQNXTDZ($A$1,$B15,R$1,$B$1)</f>
        <v>35.75</v>
      </c>
      <c r="S15">
        <f>_xll.EQNXTDZ($A$1,$B15,S$1,$B$1)</f>
        <v>38.78</v>
      </c>
      <c r="T15">
        <f>_xll.EQNXTDZ($A$1,$B15,T$1,$B$1)</f>
        <v>41.53</v>
      </c>
      <c r="U15">
        <f>_xll.EQNXTDZ($A$1,$B15,U$1,$B$1)</f>
        <v>44.28</v>
      </c>
      <c r="V15">
        <f>_xll.EQNXTDZ($A$1,$B15,V$1,$B$1)</f>
        <v>48.34</v>
      </c>
      <c r="W15">
        <f>_xll.EQNXTDZ($A$1,$B15,W$1,$B$1)</f>
        <v>53.62</v>
      </c>
      <c r="X15">
        <f>_xll.EQNXTDZ($A$1,$B15,X$1,$B$1)</f>
        <v>55.74</v>
      </c>
      <c r="Y15">
        <f>_xll.EQNXTDZ($A$1,$B15,Y$1,$B$1)</f>
        <v>58.84</v>
      </c>
      <c r="Z15">
        <f>_xll.EQNXTDZ($A$1,$B15,Z$1,$B$1)</f>
        <v>63.07</v>
      </c>
      <c r="AA15">
        <f>_xll.EQNXTDZ($A$1,$B15,AA$1,$B$1)</f>
        <v>60.22</v>
      </c>
      <c r="AB15">
        <f>_xll.EQNXTDZ($A$1,$B15,AB$1,$B$1)</f>
        <v>60.72</v>
      </c>
      <c r="AC15">
        <f>_xll.EQNXTDZ($A$1,$B15,AC$1,$B$1)</f>
        <v>62.62</v>
      </c>
      <c r="AD15">
        <f>_xll.EQNXTDZ($A$1,$B15,AD$1,$B$1)</f>
        <v>63.99</v>
      </c>
      <c r="AE15">
        <f>_xll.EQNXTDZ($A$1,$B15,AE$1,$B$1)</f>
        <v>59.76</v>
      </c>
      <c r="AF15">
        <f>_xll.EQNXTDZ($A$1,$B15,AF$1,$B$1)</f>
        <v>58.27</v>
      </c>
      <c r="AG15">
        <f>_xll.EQNXTDZ($A$1,$B15,AG$1,$B$1)</f>
        <v>56.75</v>
      </c>
      <c r="AH15">
        <f>_xll.EQNXTDZ($A$1,$B15,AH$1,$B$1)</f>
        <v>54.03</v>
      </c>
      <c r="AI15">
        <f>_xll.EQNXTDZ($A$1,$B15,AI$1,$B$1)</f>
        <v>21.39</v>
      </c>
      <c r="AJ15">
        <f>_xll.EQNXTDZ($A$1,$B15,AJ$1,$B$1)</f>
        <v>36.42</v>
      </c>
      <c r="AK15">
        <f>_xll.EQNXTDZ($A$1,$B15,AK$1,$B$1)</f>
        <v>46.26</v>
      </c>
      <c r="AL15">
        <f>_xll.EQNXTDZ($A$1,$B15,AL$1,$B$1)</f>
        <v>53.4</v>
      </c>
      <c r="AM15">
        <f>_xll.EQNXTDZ($A$1,$B15,AM$1,$B$1)</f>
        <v>49.2</v>
      </c>
      <c r="AN15">
        <f>_xll.EQNXTDZ($A$1,$B15,AN$1,$B$1)</f>
        <v>59.61</v>
      </c>
      <c r="AO15">
        <f>_xll.EQNXTDZ($A$1,$B15,AO$1,$B$1)</f>
        <v>67.77</v>
      </c>
      <c r="AP15">
        <f>_xll.EQNXTDZ($A$1,$B15,AP$1,$B$1)</f>
        <v>68.81</v>
      </c>
      <c r="AQ15">
        <f>_xll.EQNXTDZ($A$1,$B15,AQ$1,$B$1)</f>
        <v>79.150000000000006</v>
      </c>
      <c r="AR15">
        <f>_xll.EQNXTDZ($A$1,$B15,AR$1,$B$1)</f>
        <v>80.900000000000006</v>
      </c>
      <c r="AS15">
        <f>_xll.EQNXTDZ($A$1,$B15,AS$1,$B$1)</f>
        <v>71.23</v>
      </c>
      <c r="AT15">
        <f>_xll.EQNXTDZ($A$1,$B15,AT$1,$B$1)</f>
        <v>71.040000000000006</v>
      </c>
      <c r="AU15">
        <f>_xll.EQNXTDZ($A$1,$B15,AU$1,$B$1)</f>
        <v>77.790000000000006</v>
      </c>
      <c r="AV15">
        <f>_xll.EQNXTDZ($A$1,$B15,AV$1,$B$1)</f>
        <v>74.959999999999994</v>
      </c>
      <c r="AW15">
        <f>_xll.EQNXTDZ($A$1,$B15,AW$1,$B$1)</f>
        <v>70.63</v>
      </c>
      <c r="AX15">
        <f>_xll.EQNXTDZ($A$1,$B15,AX$1,$B$1)</f>
        <v>75.97</v>
      </c>
      <c r="AY15">
        <f>_xll.EQNXTDZ($A$1,$B15,AY$1,$B$1)</f>
        <v>75.22</v>
      </c>
      <c r="AZ15">
        <f>_xll.EQNXTDZ($A$1,$B15,AZ$1,$B$1)</f>
        <v>78.03</v>
      </c>
      <c r="BA15">
        <f>_xll.EQNXTDZ($A$1,$B15,BA$1,$B$1)</f>
        <v>72.760000000000005</v>
      </c>
      <c r="BB15">
        <f>_xll.EQNXTDZ($A$1,$B15,BB$1,$B$1)</f>
        <v>73.23</v>
      </c>
      <c r="BC15">
        <f>_xll.EQNXTDZ($A$1,$B15,BC$1,$B$1)</f>
        <v>68.489999999999995</v>
      </c>
      <c r="BD15">
        <f>_xll.EQNXTDZ($A$1,$B15,BD$1,$B$1)</f>
        <v>77.44</v>
      </c>
      <c r="BE15">
        <f>_xll.EQNXTDZ($A$1,$B15,BE$1,$B$1)</f>
        <v>84.6</v>
      </c>
      <c r="BF15">
        <f>_xll.EQNXTDZ($A$1,$B15,BF$1,$B$1)</f>
        <v>87.65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285</v>
      </c>
      <c r="C16">
        <f>_xll.EQNXTDZ($A$1,$B16,C$1,$B$1)</f>
        <v>22.78</v>
      </c>
      <c r="D16">
        <f>_xll.EQNXTDZ($A$1,$B16,D$1,$B$1)</f>
        <v>24.72</v>
      </c>
      <c r="E16">
        <f>_xll.EQNXTDZ($A$1,$B16,E$1,$B$1)</f>
        <v>22.07</v>
      </c>
      <c r="F16">
        <f>_xll.EQNXTDZ($A$1,$B16,F$1,$B$1)</f>
        <v>24.65</v>
      </c>
      <c r="G16">
        <f>_xll.EQNXTDZ($A$1,$B16,G$1,$B$1)</f>
        <v>25.51</v>
      </c>
      <c r="H16">
        <f>_xll.EQNXTDZ($A$1,$B16,H$1,$B$1)</f>
        <v>27.64</v>
      </c>
      <c r="I16">
        <f>_xll.EQNXTDZ($A$1,$B16,I$1,$B$1)</f>
        <v>26.14</v>
      </c>
      <c r="J16">
        <f>_xll.EQNXTDZ($A$1,$B16,J$1,$B$1)</f>
        <v>25.96</v>
      </c>
      <c r="K16">
        <f>_xll.EQNXTDZ($A$1,$B16,K$1,$B$1)</f>
        <v>27.75</v>
      </c>
      <c r="L16">
        <f>_xll.EQNXTDZ($A$1,$B16,L$1,$B$1)</f>
        <v>30</v>
      </c>
      <c r="M16">
        <f>_xll.EQNXTDZ($A$1,$B16,M$1,$B$1)</f>
        <v>29.63</v>
      </c>
      <c r="N16">
        <f>_xll.EQNXTDZ($A$1,$B16,N$1,$B$1)</f>
        <v>31.24</v>
      </c>
      <c r="O16">
        <f>_xll.EQNXTDZ($A$1,$B16,O$1,$B$1)</f>
        <v>33.090000000000003</v>
      </c>
      <c r="P16">
        <f>_xll.EQNXTDZ($A$1,$B16,P$1,$B$1)</f>
        <v>35.44</v>
      </c>
      <c r="Q16">
        <f>_xll.EQNXTDZ($A$1,$B16,Q$1,$B$1)</f>
        <v>35.21</v>
      </c>
      <c r="R16">
        <f>_xll.EQNXTDZ($A$1,$B16,R$1,$B$1)</f>
        <v>36.159999999999997</v>
      </c>
      <c r="S16">
        <f>_xll.EQNXTDZ($A$1,$B16,S$1,$B$1)</f>
        <v>39.32</v>
      </c>
      <c r="T16">
        <f>_xll.EQNXTDZ($A$1,$B16,T$1,$B$1)</f>
        <v>40.28</v>
      </c>
      <c r="U16">
        <f>_xll.EQNXTDZ($A$1,$B16,U$1,$B$1)</f>
        <v>39.15</v>
      </c>
      <c r="V16">
        <f>_xll.EQNXTDZ($A$1,$B16,V$1,$B$1)</f>
        <v>41.01</v>
      </c>
      <c r="W16">
        <f>_xll.EQNXTDZ($A$1,$B16,W$1,$B$1)</f>
        <v>42.21</v>
      </c>
      <c r="X16">
        <f>_xll.EQNXTDZ($A$1,$B16,X$1,$B$1)</f>
        <v>43.37</v>
      </c>
      <c r="Y16">
        <f>_xll.EQNXTDZ($A$1,$B16,Y$1,$B$1)</f>
        <v>42.24</v>
      </c>
      <c r="Z16">
        <f>_xll.EQNXTDZ($A$1,$B16,Z$1,$B$1)</f>
        <v>45.97</v>
      </c>
      <c r="AA16">
        <f>_xll.EQNXTDZ($A$1,$B16,AA$1,$B$1)</f>
        <v>46.39</v>
      </c>
      <c r="AB16">
        <f>_xll.EQNXTDZ($A$1,$B16,AB$1,$B$1)</f>
        <v>47.63</v>
      </c>
      <c r="AC16">
        <f>_xll.EQNXTDZ($A$1,$B16,AC$1,$B$1)</f>
        <v>47.38</v>
      </c>
      <c r="AD16">
        <f>_xll.EQNXTDZ($A$1,$B16,AD$1,$B$1)</f>
        <v>48.71</v>
      </c>
      <c r="AE16">
        <f>_xll.EQNXTDZ($A$1,$B16,AE$1,$B$1)</f>
        <v>48.49</v>
      </c>
      <c r="AF16">
        <f>_xll.EQNXTDZ($A$1,$B16,AF$1,$B$1)</f>
        <v>49.67</v>
      </c>
      <c r="AG16">
        <f>_xll.EQNXTDZ($A$1,$B16,AG$1,$B$1)</f>
        <v>49.14</v>
      </c>
      <c r="AH16">
        <f>_xll.EQNXTDZ($A$1,$B16,AH$1,$B$1)</f>
        <v>45.11</v>
      </c>
      <c r="AI16">
        <f>_xll.EQNXTDZ($A$1,$B16,AI$1,$B$1)</f>
        <v>24.12</v>
      </c>
      <c r="AJ16">
        <f>_xll.EQNXTDZ($A$1,$B16,AJ$1,$B$1)</f>
        <v>34.42</v>
      </c>
      <c r="AK16">
        <f>_xll.EQNXTDZ($A$1,$B16,AK$1,$B$1)</f>
        <v>42.1</v>
      </c>
      <c r="AL16">
        <f>_xll.EQNXTDZ($A$1,$B16,AL$1,$B$1)</f>
        <v>48.97</v>
      </c>
      <c r="AM16">
        <f>_xll.EQNXTDZ($A$1,$B16,AM$1,$B$1)</f>
        <v>43.94</v>
      </c>
      <c r="AN16">
        <f>_xll.EQNXTDZ($A$1,$B16,AN$1,$B$1)</f>
        <v>52.35</v>
      </c>
      <c r="AO16">
        <f>_xll.EQNXTDZ($A$1,$B16,AO$1,$B$1)</f>
        <v>53.06</v>
      </c>
      <c r="AP16">
        <f>_xll.EQNXTDZ($A$1,$B16,AP$1,$B$1)</f>
        <v>51.6</v>
      </c>
      <c r="AQ16">
        <f>_xll.EQNXTDZ($A$1,$B16,AQ$1,$B$1)</f>
        <v>54.95</v>
      </c>
      <c r="AR16">
        <f>_xll.EQNXTDZ($A$1,$B16,AR$1,$B$1)</f>
        <v>59.5</v>
      </c>
      <c r="AS16">
        <f>_xll.EQNXTDZ($A$1,$B16,AS$1,$B$1)</f>
        <v>60.06</v>
      </c>
      <c r="AT16">
        <f>_xll.EQNXTDZ($A$1,$B16,AT$1,$B$1)</f>
        <v>56.72</v>
      </c>
      <c r="AU16">
        <f>_xll.EQNXTDZ($A$1,$B16,AU$1,$B$1)</f>
        <v>63.88</v>
      </c>
      <c r="AV16">
        <f>_xll.EQNXTDZ($A$1,$B16,AV$1,$B$1)</f>
        <v>63.6</v>
      </c>
      <c r="AW16">
        <f>_xll.EQNXTDZ($A$1,$B16,AW$1,$B$1)</f>
        <v>63.88</v>
      </c>
      <c r="AX16">
        <f>_xll.EQNXTDZ($A$1,$B16,AX$1,$B$1)</f>
        <v>66.42</v>
      </c>
      <c r="AY16">
        <f>_xll.EQNXTDZ($A$1,$B16,AY$1,$B$1)</f>
        <v>68.66</v>
      </c>
      <c r="AZ16">
        <f>_xll.EQNXTDZ($A$1,$B16,AZ$1,$B$1)</f>
        <v>71.13</v>
      </c>
      <c r="BA16">
        <f>_xll.EQNXTDZ($A$1,$B16,BA$1,$B$1)</f>
        <v>62.05</v>
      </c>
      <c r="BB16">
        <f>_xll.EQNXTDZ($A$1,$B16,BB$1,$B$1)</f>
        <v>64.41</v>
      </c>
      <c r="BC16">
        <f>_xll.EQNXTDZ($A$1,$B16,BC$1,$B$1)</f>
        <v>66.03</v>
      </c>
      <c r="BD16">
        <f>_xll.EQNXTDZ($A$1,$B16,BD$1,$B$1)</f>
        <v>73.58</v>
      </c>
      <c r="BE16">
        <f>_xll.EQNXTDZ($A$1,$B16,BE$1,$B$1)</f>
        <v>74.11</v>
      </c>
      <c r="BF16">
        <f>_xll.EQNXTDZ($A$1,$B16,BF$1,$B$1)</f>
        <v>79.75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259</v>
      </c>
      <c r="B17" t="s">
        <v>286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10.38</v>
      </c>
      <c r="J17">
        <f>_xll.EQNXTDZ($A$1,$B17,J$1,$B$1)</f>
        <v>3.52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260</v>
      </c>
      <c r="B18" t="s">
        <v>287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261</v>
      </c>
      <c r="B19" t="s">
        <v>288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262</v>
      </c>
      <c r="B20" t="s">
        <v>289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11</v>
      </c>
      <c r="B21" t="s">
        <v>290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121</v>
      </c>
      <c r="B22" t="s">
        <v>291</v>
      </c>
      <c r="C22">
        <f>_xll.EQNXTDZ($A$1,$B22,C$1,$B$1)</f>
        <v>51.92</v>
      </c>
      <c r="D22">
        <f>_xll.EQNXTDZ($A$1,$B22,D$1,$B$1)</f>
        <v>60.83</v>
      </c>
      <c r="E22">
        <f>_xll.EQNXTDZ($A$1,$B22,E$1,$B$1)</f>
        <v>51.3</v>
      </c>
      <c r="F22">
        <f>_xll.EQNXTDZ($A$1,$B22,F$1,$B$1)</f>
        <v>50.4</v>
      </c>
      <c r="G22">
        <f>_xll.EQNXTDZ($A$1,$B22,G$1,$B$1)</f>
        <v>46.17</v>
      </c>
      <c r="H22">
        <f>_xll.EQNXTDZ($A$1,$B22,H$1,$B$1)</f>
        <v>50.22</v>
      </c>
      <c r="I22">
        <f>_xll.EQNXTDZ($A$1,$B22,I$1,$B$1)</f>
        <v>48.36</v>
      </c>
      <c r="J22">
        <f>_xll.EQNXTDZ($A$1,$B22,J$1,$B$1)</f>
        <v>50.99</v>
      </c>
      <c r="K22">
        <f>_xll.EQNXTDZ($A$1,$B22,K$1,$B$1)</f>
        <v>50.89</v>
      </c>
      <c r="L22">
        <f>_xll.EQNXTDZ($A$1,$B22,L$1,$B$1)</f>
        <v>53.68</v>
      </c>
      <c r="M22">
        <f>_xll.EQNXTDZ($A$1,$B22,M$1,$B$1)</f>
        <v>53.21</v>
      </c>
      <c r="N22">
        <f>_xll.EQNXTDZ($A$1,$B22,N$1,$B$1)</f>
        <v>59.61</v>
      </c>
      <c r="O22">
        <f>_xll.EQNXTDZ($A$1,$B22,O$1,$B$1)</f>
        <v>61.88</v>
      </c>
      <c r="P22">
        <f>_xll.EQNXTDZ($A$1,$B22,P$1,$B$1)</f>
        <v>61.72</v>
      </c>
      <c r="Q22">
        <f>_xll.EQNXTDZ($A$1,$B22,Q$1,$B$1)</f>
        <v>55.35</v>
      </c>
      <c r="R22">
        <f>_xll.EQNXTDZ($A$1,$B22,R$1,$B$1)</f>
        <v>52.66</v>
      </c>
      <c r="S22">
        <f>_xll.EQNXTDZ($A$1,$B22,S$1,$B$1)</f>
        <v>54.45</v>
      </c>
      <c r="T22">
        <f>_xll.EQNXTDZ($A$1,$B22,T$1,$B$1)</f>
        <v>49.77</v>
      </c>
      <c r="U22">
        <f>_xll.EQNXTDZ($A$1,$B22,U$1,$B$1)</f>
        <v>36.380000000000003</v>
      </c>
      <c r="V22">
        <f>_xll.EQNXTDZ($A$1,$B22,V$1,$B$1)</f>
        <v>35.18</v>
      </c>
      <c r="W22">
        <f>_xll.EQNXTDZ($A$1,$B22,W$1,$B$1)</f>
        <v>28.67</v>
      </c>
      <c r="X22">
        <f>_xll.EQNXTDZ($A$1,$B22,X$1,$B$1)</f>
        <v>32.79</v>
      </c>
      <c r="Y22">
        <f>_xll.EQNXTDZ($A$1,$B22,Y$1,$B$1)</f>
        <v>30.39</v>
      </c>
      <c r="Z22">
        <f>_xll.EQNXTDZ($A$1,$B22,Z$1,$B$1)</f>
        <v>35.44</v>
      </c>
      <c r="AA22">
        <f>_xll.EQNXTDZ($A$1,$B22,AA$1,$B$1)</f>
        <v>40.4</v>
      </c>
      <c r="AB22">
        <f>_xll.EQNXTDZ($A$1,$B22,AB$1,$B$1)</f>
        <v>47.27</v>
      </c>
      <c r="AC22">
        <f>_xll.EQNXTDZ($A$1,$B22,AC$1,$B$1)</f>
        <v>33.1799999999999</v>
      </c>
      <c r="AD22">
        <f>_xll.EQNXTDZ($A$1,$B22,AD$1,$B$1)</f>
        <v>38.379999999999903</v>
      </c>
      <c r="AE22">
        <f>_xll.EQNXTDZ($A$1,$B22,AE$1,$B$1)</f>
        <v>36.74</v>
      </c>
      <c r="AF22">
        <f>_xll.EQNXTDZ($A$1,$B22,AF$1,$B$1)</f>
        <v>39.549999999999997</v>
      </c>
      <c r="AG22">
        <f>_xll.EQNXTDZ($A$1,$B22,AG$1,$B$1)</f>
        <v>41.72</v>
      </c>
      <c r="AH22">
        <f>_xll.EQNXTDZ($A$1,$B22,AH$1,$B$1)</f>
        <v>43.52</v>
      </c>
      <c r="AI22">
        <f>_xll.EQNXTDZ($A$1,$B22,AI$1,$B$1)</f>
        <v>-16.59</v>
      </c>
      <c r="AJ22">
        <f>_xll.EQNXTDZ($A$1,$B22,AJ$1,$B$1)</f>
        <v>23.6200000000001</v>
      </c>
      <c r="AK22">
        <f>_xll.EQNXTDZ($A$1,$B22,AK$1,$B$1)</f>
        <v>41.8</v>
      </c>
      <c r="AL22">
        <f>_xll.EQNXTDZ($A$1,$B22,AL$1,$B$1)</f>
        <v>73.309999999999903</v>
      </c>
      <c r="AM22">
        <f>_xll.EQNXTDZ($A$1,$B22,AM$1,$B$1)</f>
        <v>49.13</v>
      </c>
      <c r="AN22">
        <f>_xll.EQNXTDZ($A$1,$B22,AN$1,$B$1)</f>
        <v>73.47</v>
      </c>
      <c r="AO22">
        <f>_xll.EQNXTDZ($A$1,$B22,AO$1,$B$1)</f>
        <v>77.150000000000006</v>
      </c>
      <c r="AP22">
        <f>_xll.EQNXTDZ($A$1,$B22,AP$1,$B$1)</f>
        <v>107.63</v>
      </c>
      <c r="AQ22">
        <f>_xll.EQNXTDZ($A$1,$B22,AQ$1,$B$1)</f>
        <v>93.15</v>
      </c>
      <c r="AR22">
        <f>_xll.EQNXTDZ($A$1,$B22,AR$1,$B$1)</f>
        <v>78.67</v>
      </c>
      <c r="AS22">
        <f>_xll.EQNXTDZ($A$1,$B22,AS$1,$B$1)</f>
        <v>58.8599999999999</v>
      </c>
      <c r="AT22">
        <f>_xll.EQNXTDZ($A$1,$B22,AT$1,$B$1)</f>
        <v>70.8900000000001</v>
      </c>
      <c r="AU22">
        <f>_xll.EQNXTDZ($A$1,$B22,AU$1,$B$1)</f>
        <v>53.85</v>
      </c>
      <c r="AV22">
        <f>_xll.EQNXTDZ($A$1,$B22,AV$1,$B$1)</f>
        <v>46.499999999999901</v>
      </c>
      <c r="AW22">
        <f>_xll.EQNXTDZ($A$1,$B22,AW$1,$B$1)</f>
        <v>48.44</v>
      </c>
      <c r="AX22">
        <f>_xll.EQNXTDZ($A$1,$B22,AX$1,$B$1)</f>
        <v>66.690000000000097</v>
      </c>
      <c r="AY22">
        <f>_xll.EQNXTDZ($A$1,$B22,AY$1,$B$1)</f>
        <v>67.320000000000107</v>
      </c>
      <c r="AZ22">
        <f>_xll.EQNXTDZ($A$1,$B22,AZ$1,$B$1)</f>
        <v>55.63</v>
      </c>
      <c r="BA22">
        <f>_xll.EQNXTDZ($A$1,$B22,BA$1,$B$1)</f>
        <v>63.989999999999903</v>
      </c>
      <c r="BB22">
        <f>_xll.EQNXTDZ($A$1,$B22,BB$1,$B$1)</f>
        <v>57.699999999999903</v>
      </c>
      <c r="BC22">
        <f>_xll.EQNXTDZ($A$1,$B22,BC$1,$B$1)</f>
        <v>57.63</v>
      </c>
      <c r="BD22">
        <f>_xll.EQNXTDZ($A$1,$B22,BD$1,$B$1)</f>
        <v>76.940000000000097</v>
      </c>
      <c r="BE22">
        <f>_xll.EQNXTDZ($A$1,$B22,BE$1,$B$1)</f>
        <v>84.38</v>
      </c>
      <c r="BF22">
        <f>_xll.EQNXTDZ($A$1,$B22,BF$1,$B$1)</f>
        <v>101.78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16</v>
      </c>
      <c r="B23" t="s">
        <v>292</v>
      </c>
      <c r="C23">
        <f>_xll.EQNXTDZ($A$1,$B23,C$1,$B$1)</f>
        <v>1.54</v>
      </c>
      <c r="D23">
        <f>_xll.EQNXTDZ($A$1,$B23,D$1,$B$1)</f>
        <v>0.49</v>
      </c>
      <c r="E23">
        <f>_xll.EQNXTDZ($A$1,$B23,E$1,$B$1)</f>
        <v>0.92</v>
      </c>
      <c r="F23">
        <f>_xll.EQNXTDZ($A$1,$B23,F$1,$B$1)</f>
        <v>3.53</v>
      </c>
      <c r="G23">
        <f>_xll.EQNXTDZ($A$1,$B23,G$1,$B$1)</f>
        <v>1.68</v>
      </c>
      <c r="H23">
        <f>_xll.EQNXTDZ($A$1,$B23,H$1,$B$1)</f>
        <v>1.78</v>
      </c>
      <c r="I23">
        <f>_xll.EQNXTDZ($A$1,$B23,I$1,$B$1)</f>
        <v>3.9</v>
      </c>
      <c r="J23">
        <f>_xll.EQNXTDZ($A$1,$B23,J$1,$B$1)</f>
        <v>-1.27</v>
      </c>
      <c r="K23">
        <f>_xll.EQNXTDZ($A$1,$B23,K$1,$B$1)</f>
        <v>1.62</v>
      </c>
      <c r="L23">
        <f>_xll.EQNXTDZ($A$1,$B23,L$1,$B$1)</f>
        <v>0.49</v>
      </c>
      <c r="M23">
        <f>_xll.EQNXTDZ($A$1,$B23,M$1,$B$1)</f>
        <v>-0.71</v>
      </c>
      <c r="N23">
        <f>_xll.EQNXTDZ($A$1,$B23,N$1,$B$1)</f>
        <v>1.34</v>
      </c>
      <c r="O23">
        <f>_xll.EQNXTDZ($A$1,$B23,O$1,$B$1)</f>
        <v>2.11</v>
      </c>
      <c r="P23">
        <f>_xll.EQNXTDZ($A$1,$B23,P$1,$B$1)</f>
        <v>1.91</v>
      </c>
      <c r="Q23">
        <f>_xll.EQNXTDZ($A$1,$B23,Q$1,$B$1)</f>
        <v>1.2</v>
      </c>
      <c r="R23">
        <f>_xll.EQNXTDZ($A$1,$B23,R$1,$B$1)</f>
        <v>14.1</v>
      </c>
      <c r="S23">
        <f>_xll.EQNXTDZ($A$1,$B23,S$1,$B$1)</f>
        <v>4.53</v>
      </c>
      <c r="T23">
        <f>_xll.EQNXTDZ($A$1,$B23,T$1,$B$1)</f>
        <v>4.55</v>
      </c>
      <c r="U23">
        <f>_xll.EQNXTDZ($A$1,$B23,U$1,$B$1)</f>
        <v>2.4500000000000002</v>
      </c>
      <c r="V23">
        <f>_xll.EQNXTDZ($A$1,$B23,V$1,$B$1)</f>
        <v>11.81</v>
      </c>
      <c r="W23">
        <f>_xll.EQNXTDZ($A$1,$B23,W$1,$B$1)</f>
        <v>7.91</v>
      </c>
      <c r="X23">
        <f>_xll.EQNXTDZ($A$1,$B23,X$1,$B$1)</f>
        <v>3.51</v>
      </c>
      <c r="Y23">
        <f>_xll.EQNXTDZ($A$1,$B23,Y$1,$B$1)</f>
        <v>6.73</v>
      </c>
      <c r="Z23">
        <f>_xll.EQNXTDZ($A$1,$B23,Z$1,$B$1)</f>
        <v>7.08</v>
      </c>
      <c r="AA23">
        <f>_xll.EQNXTDZ($A$1,$B23,AA$1,$B$1)</f>
        <v>2.73</v>
      </c>
      <c r="AB23">
        <f>_xll.EQNXTDZ($A$1,$B23,AB$1,$B$1)</f>
        <v>1.64</v>
      </c>
      <c r="AC23">
        <f>_xll.EQNXTDZ($A$1,$B23,AC$1,$B$1)</f>
        <v>1.58</v>
      </c>
      <c r="AD23">
        <f>_xll.EQNXTDZ($A$1,$B23,AD$1,$B$1)</f>
        <v>3.05</v>
      </c>
      <c r="AE23">
        <f>_xll.EQNXTDZ($A$1,$B23,AE$1,$B$1)</f>
        <v>4.0999999999999996</v>
      </c>
      <c r="AF23">
        <f>_xll.EQNXTDZ($A$1,$B23,AF$1,$B$1)</f>
        <v>2.19</v>
      </c>
      <c r="AG23">
        <f>_xll.EQNXTDZ($A$1,$B23,AG$1,$B$1)</f>
        <v>1.1000000000000001</v>
      </c>
      <c r="AH23">
        <f>_xll.EQNXTDZ($A$1,$B23,AH$1,$B$1)</f>
        <v>1.08</v>
      </c>
      <c r="AI23">
        <f>_xll.EQNXTDZ($A$1,$B23,AI$1,$B$1)</f>
        <v>1.31</v>
      </c>
      <c r="AJ23">
        <f>_xll.EQNXTDZ($A$1,$B23,AJ$1,$B$1)</f>
        <v>0.85</v>
      </c>
      <c r="AK23">
        <f>_xll.EQNXTDZ($A$1,$B23,AK$1,$B$1)</f>
        <v>2.58</v>
      </c>
      <c r="AL23">
        <f>_xll.EQNXTDZ($A$1,$B23,AL$1,$B$1)</f>
        <v>5.07</v>
      </c>
      <c r="AM23">
        <f>_xll.EQNXTDZ($A$1,$B23,AM$1,$B$1)</f>
        <v>1.78</v>
      </c>
      <c r="AN23">
        <f>_xll.EQNXTDZ($A$1,$B23,AN$1,$B$1)</f>
        <v>3.52</v>
      </c>
      <c r="AO23">
        <f>_xll.EQNXTDZ($A$1,$B23,AO$1,$B$1)</f>
        <v>2.64</v>
      </c>
      <c r="AP23">
        <f>_xll.EQNXTDZ($A$1,$B23,AP$1,$B$1)</f>
        <v>-0.8</v>
      </c>
      <c r="AQ23">
        <f>_xll.EQNXTDZ($A$1,$B23,AQ$1,$B$1)</f>
        <v>4.72</v>
      </c>
      <c r="AR23">
        <f>_xll.EQNXTDZ($A$1,$B23,AR$1,$B$1)</f>
        <v>3.09</v>
      </c>
      <c r="AS23">
        <f>_xll.EQNXTDZ($A$1,$B23,AS$1,$B$1)</f>
        <v>3.89</v>
      </c>
      <c r="AT23">
        <f>_xll.EQNXTDZ($A$1,$B23,AT$1,$B$1)</f>
        <v>5.44</v>
      </c>
      <c r="AU23">
        <f>_xll.EQNXTDZ($A$1,$B23,AU$1,$B$1)</f>
        <v>2.38</v>
      </c>
      <c r="AV23">
        <f>_xll.EQNXTDZ($A$1,$B23,AV$1,$B$1)</f>
        <v>3.81</v>
      </c>
      <c r="AW23">
        <f>_xll.EQNXTDZ($A$1,$B23,AW$1,$B$1)</f>
        <v>2.92</v>
      </c>
      <c r="AX23">
        <f>_xll.EQNXTDZ($A$1,$B23,AX$1,$B$1)</f>
        <v>3.68</v>
      </c>
      <c r="AY23">
        <f>_xll.EQNXTDZ($A$1,$B23,AY$1,$B$1)</f>
        <v>5.05</v>
      </c>
      <c r="AZ23">
        <f>_xll.EQNXTDZ($A$1,$B23,AZ$1,$B$1)</f>
        <v>1.43</v>
      </c>
      <c r="BA23">
        <f>_xll.EQNXTDZ($A$1,$B23,BA$1,$B$1)</f>
        <v>-3.19</v>
      </c>
      <c r="BB23">
        <f>_xll.EQNXTDZ($A$1,$B23,BB$1,$B$1)</f>
        <v>12.08</v>
      </c>
      <c r="BC23">
        <f>_xll.EQNXTDZ($A$1,$B23,BC$1,$B$1)</f>
        <v>12.74</v>
      </c>
      <c r="BD23">
        <f>_xll.EQNXTDZ($A$1,$B23,BD$1,$B$1)</f>
        <v>-1.4</v>
      </c>
      <c r="BE23">
        <f>_xll.EQNXTDZ($A$1,$B23,BE$1,$B$1)</f>
        <v>0.33</v>
      </c>
      <c r="BF23">
        <f>_xll.EQNXTDZ($A$1,$B23,BF$1,$B$1)</f>
        <v>-3.61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122</v>
      </c>
      <c r="B24" t="s">
        <v>293</v>
      </c>
      <c r="C24">
        <f>_xll.EQNXTDZ($A$1,$B24,C$1,$B$1)</f>
        <v>53.46</v>
      </c>
      <c r="D24">
        <f>_xll.EQNXTDZ($A$1,$B24,D$1,$B$1)</f>
        <v>61.32</v>
      </c>
      <c r="E24">
        <f>_xll.EQNXTDZ($A$1,$B24,E$1,$B$1)</f>
        <v>52.22</v>
      </c>
      <c r="F24">
        <f>_xll.EQNXTDZ($A$1,$B24,F$1,$B$1)</f>
        <v>53.93</v>
      </c>
      <c r="G24">
        <f>_xll.EQNXTDZ($A$1,$B24,G$1,$B$1)</f>
        <v>47.85</v>
      </c>
      <c r="H24">
        <f>_xll.EQNXTDZ($A$1,$B24,H$1,$B$1)</f>
        <v>52</v>
      </c>
      <c r="I24">
        <f>_xll.EQNXTDZ($A$1,$B24,I$1,$B$1)</f>
        <v>52.26</v>
      </c>
      <c r="J24">
        <f>_xll.EQNXTDZ($A$1,$B24,J$1,$B$1)</f>
        <v>49.72</v>
      </c>
      <c r="K24">
        <f>_xll.EQNXTDZ($A$1,$B24,K$1,$B$1)</f>
        <v>52.51</v>
      </c>
      <c r="L24">
        <f>_xll.EQNXTDZ($A$1,$B24,L$1,$B$1)</f>
        <v>54.17</v>
      </c>
      <c r="M24">
        <f>_xll.EQNXTDZ($A$1,$B24,M$1,$B$1)</f>
        <v>52.5</v>
      </c>
      <c r="N24">
        <f>_xll.EQNXTDZ($A$1,$B24,N$1,$B$1)</f>
        <v>60.95</v>
      </c>
      <c r="O24">
        <f>_xll.EQNXTDZ($A$1,$B24,O$1,$B$1)</f>
        <v>63.99</v>
      </c>
      <c r="P24">
        <f>_xll.EQNXTDZ($A$1,$B24,P$1,$B$1)</f>
        <v>63.63</v>
      </c>
      <c r="Q24">
        <f>_xll.EQNXTDZ($A$1,$B24,Q$1,$B$1)</f>
        <v>56.55</v>
      </c>
      <c r="R24">
        <f>_xll.EQNXTDZ($A$1,$B24,R$1,$B$1)</f>
        <v>66.760000000000005</v>
      </c>
      <c r="S24">
        <f>_xll.EQNXTDZ($A$1,$B24,S$1,$B$1)</f>
        <v>58.98</v>
      </c>
      <c r="T24">
        <f>_xll.EQNXTDZ($A$1,$B24,T$1,$B$1)</f>
        <v>54.32</v>
      </c>
      <c r="U24">
        <f>_xll.EQNXTDZ($A$1,$B24,U$1,$B$1)</f>
        <v>38.83</v>
      </c>
      <c r="V24">
        <f>_xll.EQNXTDZ($A$1,$B24,V$1,$B$1)</f>
        <v>46.99</v>
      </c>
      <c r="W24">
        <f>_xll.EQNXTDZ($A$1,$B24,W$1,$B$1)</f>
        <v>36.58</v>
      </c>
      <c r="X24">
        <f>_xll.EQNXTDZ($A$1,$B24,X$1,$B$1)</f>
        <v>36.299999999999997</v>
      </c>
      <c r="Y24">
        <f>_xll.EQNXTDZ($A$1,$B24,Y$1,$B$1)</f>
        <v>37.119999999999997</v>
      </c>
      <c r="Z24">
        <f>_xll.EQNXTDZ($A$1,$B24,Z$1,$B$1)</f>
        <v>42.52</v>
      </c>
      <c r="AA24">
        <f>_xll.EQNXTDZ($A$1,$B24,AA$1,$B$1)</f>
        <v>43.13</v>
      </c>
      <c r="AB24">
        <f>_xll.EQNXTDZ($A$1,$B24,AB$1,$B$1)</f>
        <v>48.91</v>
      </c>
      <c r="AC24">
        <f>_xll.EQNXTDZ($A$1,$B24,AC$1,$B$1)</f>
        <v>34.759999999999899</v>
      </c>
      <c r="AD24">
        <f>_xll.EQNXTDZ($A$1,$B24,AD$1,$B$1)</f>
        <v>41.4299999999999</v>
      </c>
      <c r="AE24">
        <f>_xll.EQNXTDZ($A$1,$B24,AE$1,$B$1)</f>
        <v>40.840000000000003</v>
      </c>
      <c r="AF24">
        <f>_xll.EQNXTDZ($A$1,$B24,AF$1,$B$1)</f>
        <v>41.740000000000101</v>
      </c>
      <c r="AG24">
        <f>_xll.EQNXTDZ($A$1,$B24,AG$1,$B$1)</f>
        <v>42.82</v>
      </c>
      <c r="AH24">
        <f>_xll.EQNXTDZ($A$1,$B24,AH$1,$B$1)</f>
        <v>44.6</v>
      </c>
      <c r="AI24">
        <f>_xll.EQNXTDZ($A$1,$B24,AI$1,$B$1)</f>
        <v>-15.28</v>
      </c>
      <c r="AJ24">
        <f>_xll.EQNXTDZ($A$1,$B24,AJ$1,$B$1)</f>
        <v>24.470000000000098</v>
      </c>
      <c r="AK24">
        <f>_xll.EQNXTDZ($A$1,$B24,AK$1,$B$1)</f>
        <v>44.38</v>
      </c>
      <c r="AL24">
        <f>_xll.EQNXTDZ($A$1,$B24,AL$1,$B$1)</f>
        <v>78.379999999999896</v>
      </c>
      <c r="AM24">
        <f>_xll.EQNXTDZ($A$1,$B24,AM$1,$B$1)</f>
        <v>50.91</v>
      </c>
      <c r="AN24">
        <f>_xll.EQNXTDZ($A$1,$B24,AN$1,$B$1)</f>
        <v>76.989999999999995</v>
      </c>
      <c r="AO24">
        <f>_xll.EQNXTDZ($A$1,$B24,AO$1,$B$1)</f>
        <v>79.790000000000006</v>
      </c>
      <c r="AP24">
        <f>_xll.EQNXTDZ($A$1,$B24,AP$1,$B$1)</f>
        <v>106.83</v>
      </c>
      <c r="AQ24">
        <f>_xll.EQNXTDZ($A$1,$B24,AQ$1,$B$1)</f>
        <v>97.87</v>
      </c>
      <c r="AR24">
        <f>_xll.EQNXTDZ($A$1,$B24,AR$1,$B$1)</f>
        <v>81.760000000000005</v>
      </c>
      <c r="AS24">
        <f>_xll.EQNXTDZ($A$1,$B24,AS$1,$B$1)</f>
        <v>62.749999999999901</v>
      </c>
      <c r="AT24">
        <f>_xll.EQNXTDZ($A$1,$B24,AT$1,$B$1)</f>
        <v>76.33</v>
      </c>
      <c r="AU24">
        <f>_xll.EQNXTDZ($A$1,$B24,AU$1,$B$1)</f>
        <v>56.23</v>
      </c>
      <c r="AV24">
        <f>_xll.EQNXTDZ($A$1,$B24,AV$1,$B$1)</f>
        <v>50.309999999999903</v>
      </c>
      <c r="AW24">
        <f>_xll.EQNXTDZ($A$1,$B24,AW$1,$B$1)</f>
        <v>51.3599999999999</v>
      </c>
      <c r="AX24">
        <f>_xll.EQNXTDZ($A$1,$B24,AX$1,$B$1)</f>
        <v>70.370000000000104</v>
      </c>
      <c r="AY24">
        <f>_xll.EQNXTDZ($A$1,$B24,AY$1,$B$1)</f>
        <v>72.370000000000104</v>
      </c>
      <c r="AZ24">
        <f>_xll.EQNXTDZ($A$1,$B24,AZ$1,$B$1)</f>
        <v>57.059999999999903</v>
      </c>
      <c r="BA24">
        <f>_xll.EQNXTDZ($A$1,$B24,BA$1,$B$1)</f>
        <v>60.799999999999898</v>
      </c>
      <c r="BB24">
        <f>_xll.EQNXTDZ($A$1,$B24,BB$1,$B$1)</f>
        <v>69.779999999999902</v>
      </c>
      <c r="BC24">
        <f>_xll.EQNXTDZ($A$1,$B24,BC$1,$B$1)</f>
        <v>70.370000000000104</v>
      </c>
      <c r="BD24">
        <f>_xll.EQNXTDZ($A$1,$B24,BD$1,$B$1)</f>
        <v>75.540000000000106</v>
      </c>
      <c r="BE24">
        <f>_xll.EQNXTDZ($A$1,$B24,BE$1,$B$1)</f>
        <v>84.709999999999894</v>
      </c>
      <c r="BF24">
        <f>_xll.EQNXTDZ($A$1,$B24,BF$1,$B$1)</f>
        <v>98.170000000000201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17</v>
      </c>
      <c r="B25" t="s">
        <v>294</v>
      </c>
      <c r="C25">
        <f>_xll.EQNXTDZ($A$1,$B25,C$1,$B$1)</f>
        <v>20.03</v>
      </c>
      <c r="D25">
        <f>_xll.EQNXTDZ($A$1,$B25,D$1,$B$1)</f>
        <v>15.64</v>
      </c>
      <c r="E25">
        <f>_xll.EQNXTDZ($A$1,$B25,E$1,$B$1)</f>
        <v>16.72</v>
      </c>
      <c r="F25">
        <f>_xll.EQNXTDZ($A$1,$B25,F$1,$B$1)</f>
        <v>16.28</v>
      </c>
      <c r="G25">
        <f>_xll.EQNXTDZ($A$1,$B25,G$1,$B$1)</f>
        <v>16.940000000000001</v>
      </c>
      <c r="H25">
        <f>_xll.EQNXTDZ($A$1,$B25,H$1,$B$1)</f>
        <v>15.05</v>
      </c>
      <c r="I25">
        <f>_xll.EQNXTDZ($A$1,$B25,I$1,$B$1)</f>
        <v>16.510000000000002</v>
      </c>
      <c r="J25">
        <f>_xll.EQNXTDZ($A$1,$B25,J$1,$B$1)</f>
        <v>17.559999999999999</v>
      </c>
      <c r="K25">
        <f>_xll.EQNXTDZ($A$1,$B25,K$1,$B$1)</f>
        <v>16.760000000000002</v>
      </c>
      <c r="L25">
        <f>_xll.EQNXTDZ($A$1,$B25,L$1,$B$1)</f>
        <v>16.29</v>
      </c>
      <c r="M25">
        <f>_xll.EQNXTDZ($A$1,$B25,M$1,$B$1)</f>
        <v>16.45</v>
      </c>
      <c r="N25">
        <f>_xll.EQNXTDZ($A$1,$B25,N$1,$B$1)</f>
        <v>17.72</v>
      </c>
      <c r="O25">
        <f>_xll.EQNXTDZ($A$1,$B25,O$1,$B$1)</f>
        <v>17.55</v>
      </c>
      <c r="P25">
        <f>_xll.EQNXTDZ($A$1,$B25,P$1,$B$1)</f>
        <v>16.34</v>
      </c>
      <c r="Q25">
        <f>_xll.EQNXTDZ($A$1,$B25,Q$1,$B$1)</f>
        <v>15.1</v>
      </c>
      <c r="R25">
        <f>_xll.EQNXTDZ($A$1,$B25,R$1,$B$1)</f>
        <v>14.97</v>
      </c>
      <c r="S25">
        <f>_xll.EQNXTDZ($A$1,$B25,S$1,$B$1)</f>
        <v>16.54</v>
      </c>
      <c r="T25">
        <f>_xll.EQNXTDZ($A$1,$B25,T$1,$B$1)</f>
        <v>15.75</v>
      </c>
      <c r="U25">
        <f>_xll.EQNXTDZ($A$1,$B25,U$1,$B$1)</f>
        <v>16.62</v>
      </c>
      <c r="V25">
        <f>_xll.EQNXTDZ($A$1,$B25,V$1,$B$1)</f>
        <v>14.68</v>
      </c>
      <c r="W25">
        <f>_xll.EQNXTDZ($A$1,$B25,W$1,$B$1)</f>
        <v>16.29</v>
      </c>
      <c r="X25">
        <f>_xll.EQNXTDZ($A$1,$B25,X$1,$B$1)</f>
        <v>16.079999999999998</v>
      </c>
      <c r="Y25">
        <f>_xll.EQNXTDZ($A$1,$B25,Y$1,$B$1)</f>
        <v>12.92</v>
      </c>
      <c r="Z25">
        <f>_xll.EQNXTDZ($A$1,$B25,Z$1,$B$1)</f>
        <v>17.53</v>
      </c>
      <c r="AA25">
        <f>_xll.EQNXTDZ($A$1,$B25,AA$1,$B$1)</f>
        <v>18.12</v>
      </c>
      <c r="AB25">
        <f>_xll.EQNXTDZ($A$1,$B25,AB$1,$B$1)</f>
        <v>15.9</v>
      </c>
      <c r="AC25">
        <f>_xll.EQNXTDZ($A$1,$B25,AC$1,$B$1)</f>
        <v>14.38</v>
      </c>
      <c r="AD25">
        <f>_xll.EQNXTDZ($A$1,$B25,AD$1,$B$1)</f>
        <v>18.21</v>
      </c>
      <c r="AE25">
        <f>_xll.EQNXTDZ($A$1,$B25,AE$1,$B$1)</f>
        <v>18.84</v>
      </c>
      <c r="AF25">
        <f>_xll.EQNXTDZ($A$1,$B25,AF$1,$B$1)</f>
        <v>17.36</v>
      </c>
      <c r="AG25">
        <f>_xll.EQNXTDZ($A$1,$B25,AG$1,$B$1)</f>
        <v>15.12</v>
      </c>
      <c r="AH25">
        <f>_xll.EQNXTDZ($A$1,$B25,AH$1,$B$1)</f>
        <v>17.489999999999998</v>
      </c>
      <c r="AI25">
        <f>_xll.EQNXTDZ($A$1,$B25,AI$1,$B$1)</f>
        <v>13.85</v>
      </c>
      <c r="AJ25">
        <f>_xll.EQNXTDZ($A$1,$B25,AJ$1,$B$1)</f>
        <v>9.73</v>
      </c>
      <c r="AK25">
        <f>_xll.EQNXTDZ($A$1,$B25,AK$1,$B$1)</f>
        <v>11.81</v>
      </c>
      <c r="AL25">
        <f>_xll.EQNXTDZ($A$1,$B25,AL$1,$B$1)</f>
        <v>14</v>
      </c>
      <c r="AM25">
        <f>_xll.EQNXTDZ($A$1,$B25,AM$1,$B$1)</f>
        <v>11.54</v>
      </c>
      <c r="AN25">
        <f>_xll.EQNXTDZ($A$1,$B25,AN$1,$B$1)</f>
        <v>12.04</v>
      </c>
      <c r="AO25">
        <f>_xll.EQNXTDZ($A$1,$B25,AO$1,$B$1)</f>
        <v>13</v>
      </c>
      <c r="AP25">
        <f>_xll.EQNXTDZ($A$1,$B25,AP$1,$B$1)</f>
        <v>11.22</v>
      </c>
      <c r="AQ25">
        <f>_xll.EQNXTDZ($A$1,$B25,AQ$1,$B$1)</f>
        <v>14.29</v>
      </c>
      <c r="AR25">
        <f>_xll.EQNXTDZ($A$1,$B25,AR$1,$B$1)</f>
        <v>16.440000000000001</v>
      </c>
      <c r="AS25">
        <f>_xll.EQNXTDZ($A$1,$B25,AS$1,$B$1)</f>
        <v>13.41</v>
      </c>
      <c r="AT25">
        <f>_xll.EQNXTDZ($A$1,$B25,AT$1,$B$1)</f>
        <v>9.77</v>
      </c>
      <c r="AU25">
        <f>_xll.EQNXTDZ($A$1,$B25,AU$1,$B$1)</f>
        <v>13.91</v>
      </c>
      <c r="AV25">
        <f>_xll.EQNXTDZ($A$1,$B25,AV$1,$B$1)</f>
        <v>15.76</v>
      </c>
      <c r="AW25">
        <f>_xll.EQNXTDZ($A$1,$B25,AW$1,$B$1)</f>
        <v>18.420000000000002</v>
      </c>
      <c r="AX25">
        <f>_xll.EQNXTDZ($A$1,$B25,AX$1,$B$1)</f>
        <v>23.34</v>
      </c>
      <c r="AY25">
        <f>_xll.EQNXTDZ($A$1,$B25,AY$1,$B$1)</f>
        <v>23.13</v>
      </c>
      <c r="AZ25">
        <f>_xll.EQNXTDZ($A$1,$B25,AZ$1,$B$1)</f>
        <v>24.63</v>
      </c>
      <c r="BA25">
        <f>_xll.EQNXTDZ($A$1,$B25,BA$1,$B$1)</f>
        <v>21.45</v>
      </c>
      <c r="BB25">
        <f>_xll.EQNXTDZ($A$1,$B25,BB$1,$B$1)</f>
        <v>25.47</v>
      </c>
      <c r="BC25">
        <f>_xll.EQNXTDZ($A$1,$B25,BC$1,$B$1)</f>
        <v>30.3</v>
      </c>
      <c r="BD25">
        <f>_xll.EQNXTDZ($A$1,$B25,BD$1,$B$1)</f>
        <v>29.34</v>
      </c>
      <c r="BE25">
        <f>_xll.EQNXTDZ($A$1,$B25,BE$1,$B$1)</f>
        <v>27.39</v>
      </c>
      <c r="BF25">
        <f>_xll.EQNXTDZ($A$1,$B25,BF$1,$B$1)</f>
        <v>26.92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263</v>
      </c>
      <c r="B26" t="s">
        <v>295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-0.45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-0.3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-0.35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-0.35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-12.29</v>
      </c>
      <c r="AQ26">
        <f>_xll.EQNXTDZ($A$1,$B26,AQ$1,$B$1)</f>
        <v>0</v>
      </c>
      <c r="AR26">
        <f>_xll.EQNXTDZ($A$1,$B26,AR$1,$B$1)</f>
        <v>-3.21</v>
      </c>
      <c r="AS26">
        <f>_xll.EQNXTDZ($A$1,$B26,AS$1,$B$1)</f>
        <v>-4.8099999999999996</v>
      </c>
      <c r="AT26">
        <f>_xll.EQNXTDZ($A$1,$B26,AT$1,$B$1)</f>
        <v>-17.73</v>
      </c>
      <c r="AU26">
        <f>_xll.EQNXTDZ($A$1,$B26,AU$1,$B$1)</f>
        <v>-1.66</v>
      </c>
      <c r="AV26">
        <f>_xll.EQNXTDZ($A$1,$B26,AV$1,$B$1)</f>
        <v>-1.66</v>
      </c>
      <c r="AW26">
        <f>_xll.EQNXTDZ($A$1,$B26,AW$1,$B$1)</f>
        <v>-1.66</v>
      </c>
      <c r="AX26">
        <f>_xll.EQNXTDZ($A$1,$B26,AX$1,$B$1)</f>
        <v>-1.66</v>
      </c>
      <c r="AY26">
        <f>_xll.EQNXTDZ($A$1,$B26,AY$1,$B$1)</f>
        <v>-1.66</v>
      </c>
      <c r="AZ26">
        <f>_xll.EQNXTDZ($A$1,$B26,AZ$1,$B$1)</f>
        <v>-1.66</v>
      </c>
      <c r="BA26">
        <f>_xll.EQNXTDZ($A$1,$B26,BA$1,$B$1)</f>
        <v>-1.66</v>
      </c>
      <c r="BB26">
        <f>_xll.EQNXTDZ($A$1,$B26,BB$1,$B$1)</f>
        <v>-1.66</v>
      </c>
      <c r="BC26">
        <f>_xll.EQNXTDZ($A$1,$B26,BC$1,$B$1)</f>
        <v>-1.66</v>
      </c>
      <c r="BD26">
        <f>_xll.EQNXTDZ($A$1,$B26,BD$1,$B$1)</f>
        <v>-1.66</v>
      </c>
      <c r="BE26">
        <f>_xll.EQNXTDZ($A$1,$B26,BE$1,$B$1)</f>
        <v>-1.66</v>
      </c>
      <c r="BF26">
        <f>_xll.EQNXTDZ($A$1,$B26,BF$1,$B$1)</f>
        <v>-1.66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123</v>
      </c>
      <c r="B27" t="s">
        <v>296</v>
      </c>
      <c r="C27">
        <f>_xll.EQNXTDZ($A$1,$B27,C$1,$B$1)</f>
        <v>33.43</v>
      </c>
      <c r="D27">
        <f>_xll.EQNXTDZ($A$1,$B27,D$1,$B$1)</f>
        <v>45.68</v>
      </c>
      <c r="E27">
        <f>_xll.EQNXTDZ($A$1,$B27,E$1,$B$1)</f>
        <v>35.5</v>
      </c>
      <c r="F27">
        <f>_xll.EQNXTDZ($A$1,$B27,F$1,$B$1)</f>
        <v>37.200000000000003</v>
      </c>
      <c r="G27">
        <f>_xll.EQNXTDZ($A$1,$B27,G$1,$B$1)</f>
        <v>30.91</v>
      </c>
      <c r="H27">
        <f>_xll.EQNXTDZ($A$1,$B27,H$1,$B$1)</f>
        <v>36.950000000000003</v>
      </c>
      <c r="I27">
        <f>_xll.EQNXTDZ($A$1,$B27,I$1,$B$1)</f>
        <v>35.75</v>
      </c>
      <c r="J27">
        <f>_xll.EQNXTDZ($A$1,$B27,J$1,$B$1)</f>
        <v>31.86</v>
      </c>
      <c r="K27">
        <f>_xll.EQNXTDZ($A$1,$B27,K$1,$B$1)</f>
        <v>35.75</v>
      </c>
      <c r="L27">
        <f>_xll.EQNXTDZ($A$1,$B27,L$1,$B$1)</f>
        <v>37.880000000000003</v>
      </c>
      <c r="M27">
        <f>_xll.EQNXTDZ($A$1,$B27,M$1,$B$1)</f>
        <v>36.049999999999997</v>
      </c>
      <c r="N27">
        <f>_xll.EQNXTDZ($A$1,$B27,N$1,$B$1)</f>
        <v>42.88</v>
      </c>
      <c r="O27">
        <f>_xll.EQNXTDZ($A$1,$B27,O$1,$B$1)</f>
        <v>46.44</v>
      </c>
      <c r="P27">
        <f>_xll.EQNXTDZ($A$1,$B27,P$1,$B$1)</f>
        <v>47.29</v>
      </c>
      <c r="Q27">
        <f>_xll.EQNXTDZ($A$1,$B27,Q$1,$B$1)</f>
        <v>41.45</v>
      </c>
      <c r="R27">
        <f>_xll.EQNXTDZ($A$1,$B27,R$1,$B$1)</f>
        <v>51.44</v>
      </c>
      <c r="S27">
        <f>_xll.EQNXTDZ($A$1,$B27,S$1,$B$1)</f>
        <v>42.44</v>
      </c>
      <c r="T27">
        <f>_xll.EQNXTDZ($A$1,$B27,T$1,$B$1)</f>
        <v>38.57</v>
      </c>
      <c r="U27">
        <f>_xll.EQNXTDZ($A$1,$B27,U$1,$B$1)</f>
        <v>22.21</v>
      </c>
      <c r="V27">
        <f>_xll.EQNXTDZ($A$1,$B27,V$1,$B$1)</f>
        <v>32.31</v>
      </c>
      <c r="W27">
        <f>_xll.EQNXTDZ($A$1,$B27,W$1,$B$1)</f>
        <v>20.29</v>
      </c>
      <c r="X27">
        <f>_xll.EQNXTDZ($A$1,$B27,X$1,$B$1)</f>
        <v>20.22</v>
      </c>
      <c r="Y27">
        <f>_xll.EQNXTDZ($A$1,$B27,Y$1,$B$1)</f>
        <v>24.2</v>
      </c>
      <c r="Z27">
        <f>_xll.EQNXTDZ($A$1,$B27,Z$1,$B$1)</f>
        <v>24.99</v>
      </c>
      <c r="AA27">
        <f>_xll.EQNXTDZ($A$1,$B27,AA$1,$B$1)</f>
        <v>25.01</v>
      </c>
      <c r="AB27">
        <f>_xll.EQNXTDZ($A$1,$B27,AB$1,$B$1)</f>
        <v>33.01</v>
      </c>
      <c r="AC27">
        <f>_xll.EQNXTDZ($A$1,$B27,AC$1,$B$1)</f>
        <v>20.3799999999999</v>
      </c>
      <c r="AD27">
        <f>_xll.EQNXTDZ($A$1,$B27,AD$1,$B$1)</f>
        <v>23.219999999999899</v>
      </c>
      <c r="AE27">
        <f>_xll.EQNXTDZ($A$1,$B27,AE$1,$B$1)</f>
        <v>22</v>
      </c>
      <c r="AF27">
        <f>_xll.EQNXTDZ($A$1,$B27,AF$1,$B$1)</f>
        <v>24.380000000000098</v>
      </c>
      <c r="AG27">
        <f>_xll.EQNXTDZ($A$1,$B27,AG$1,$B$1)</f>
        <v>27.7</v>
      </c>
      <c r="AH27">
        <f>_xll.EQNXTDZ($A$1,$B27,AH$1,$B$1)</f>
        <v>27.11</v>
      </c>
      <c r="AI27">
        <f>_xll.EQNXTDZ($A$1,$B27,AI$1,$B$1)</f>
        <v>-29.13</v>
      </c>
      <c r="AJ27">
        <f>_xll.EQNXTDZ($A$1,$B27,AJ$1,$B$1)</f>
        <v>14.7400000000001</v>
      </c>
      <c r="AK27">
        <f>_xll.EQNXTDZ($A$1,$B27,AK$1,$B$1)</f>
        <v>32.57</v>
      </c>
      <c r="AL27">
        <f>_xll.EQNXTDZ($A$1,$B27,AL$1,$B$1)</f>
        <v>64.379999999999896</v>
      </c>
      <c r="AM27">
        <f>_xll.EQNXTDZ($A$1,$B27,AM$1,$B$1)</f>
        <v>39.369999999999997</v>
      </c>
      <c r="AN27">
        <f>_xll.EQNXTDZ($A$1,$B27,AN$1,$B$1)</f>
        <v>64.95</v>
      </c>
      <c r="AO27">
        <f>_xll.EQNXTDZ($A$1,$B27,AO$1,$B$1)</f>
        <v>66.790000000000006</v>
      </c>
      <c r="AP27">
        <f>_xll.EQNXTDZ($A$1,$B27,AP$1,$B$1)</f>
        <v>83.32</v>
      </c>
      <c r="AQ27">
        <f>_xll.EQNXTDZ($A$1,$B27,AQ$1,$B$1)</f>
        <v>83.58</v>
      </c>
      <c r="AR27">
        <f>_xll.EQNXTDZ($A$1,$B27,AR$1,$B$1)</f>
        <v>62.11</v>
      </c>
      <c r="AS27">
        <f>_xll.EQNXTDZ($A$1,$B27,AS$1,$B$1)</f>
        <v>44.529999999999902</v>
      </c>
      <c r="AT27">
        <f>_xll.EQNXTDZ($A$1,$B27,AT$1,$B$1)</f>
        <v>48.83</v>
      </c>
      <c r="AU27">
        <f>_xll.EQNXTDZ($A$1,$B27,AU$1,$B$1)</f>
        <v>40.659999999999997</v>
      </c>
      <c r="AV27">
        <f>_xll.EQNXTDZ($A$1,$B27,AV$1,$B$1)</f>
        <v>32.889999999999901</v>
      </c>
      <c r="AW27">
        <f>_xll.EQNXTDZ($A$1,$B27,AW$1,$B$1)</f>
        <v>31.279999999999902</v>
      </c>
      <c r="AX27">
        <f>_xll.EQNXTDZ($A$1,$B27,AX$1,$B$1)</f>
        <v>45.370000000000097</v>
      </c>
      <c r="AY27">
        <f>_xll.EQNXTDZ($A$1,$B27,AY$1,$B$1)</f>
        <v>47.580000000000098</v>
      </c>
      <c r="AZ27">
        <f>_xll.EQNXTDZ($A$1,$B27,AZ$1,$B$1)</f>
        <v>30.7699999999999</v>
      </c>
      <c r="BA27">
        <f>_xll.EQNXTDZ($A$1,$B27,BA$1,$B$1)</f>
        <v>37.689999999999898</v>
      </c>
      <c r="BB27">
        <f>_xll.EQNXTDZ($A$1,$B27,BB$1,$B$1)</f>
        <v>42.649999999999899</v>
      </c>
      <c r="BC27">
        <f>_xll.EQNXTDZ($A$1,$B27,BC$1,$B$1)</f>
        <v>38.410000000000103</v>
      </c>
      <c r="BD27">
        <f>_xll.EQNXTDZ($A$1,$B27,BD$1,$B$1)</f>
        <v>44.540000000000099</v>
      </c>
      <c r="BE27">
        <f>_xll.EQNXTDZ($A$1,$B27,BE$1,$B$1)</f>
        <v>55.659999999999897</v>
      </c>
      <c r="BF27">
        <f>_xll.EQNXTDZ($A$1,$B27,BF$1,$B$1)</f>
        <v>69.590000000000202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14</v>
      </c>
      <c r="B28" t="s">
        <v>297</v>
      </c>
      <c r="C28">
        <f>_xll.EQNXTDZ($A$1,$B28,C$1,$B$1)</f>
        <v>19.39</v>
      </c>
      <c r="D28">
        <f>_xll.EQNXTDZ($A$1,$B28,D$1,$B$1)</f>
        <v>19.350000000000001</v>
      </c>
      <c r="E28">
        <f>_xll.EQNXTDZ($A$1,$B28,E$1,$B$1)</f>
        <v>19.45</v>
      </c>
      <c r="F28">
        <f>_xll.EQNXTDZ($A$1,$B28,F$1,$B$1)</f>
        <v>18.79</v>
      </c>
      <c r="G28">
        <f>_xll.EQNXTDZ($A$1,$B28,G$1,$B$1)</f>
        <v>18.670000000000002</v>
      </c>
      <c r="H28">
        <f>_xll.EQNXTDZ($A$1,$B28,H$1,$B$1)</f>
        <v>18.809999999999999</v>
      </c>
      <c r="I28">
        <f>_xll.EQNXTDZ($A$1,$B28,I$1,$B$1)</f>
        <v>18.89</v>
      </c>
      <c r="J28">
        <f>_xll.EQNXTDZ($A$1,$B28,J$1,$B$1)</f>
        <v>17.95</v>
      </c>
      <c r="K28">
        <f>_xll.EQNXTDZ($A$1,$B28,K$1,$B$1)</f>
        <v>18.940000000000001</v>
      </c>
      <c r="L28">
        <f>_xll.EQNXTDZ($A$1,$B28,L$1,$B$1)</f>
        <v>19.149999999999999</v>
      </c>
      <c r="M28">
        <f>_xll.EQNXTDZ($A$1,$B28,M$1,$B$1)</f>
        <v>19.440000000000001</v>
      </c>
      <c r="N28">
        <f>_xll.EQNXTDZ($A$1,$B28,N$1,$B$1)</f>
        <v>22.87</v>
      </c>
      <c r="O28">
        <f>_xll.EQNXTDZ($A$1,$B28,O$1,$B$1)</f>
        <v>20.37</v>
      </c>
      <c r="P28">
        <f>_xll.EQNXTDZ($A$1,$B28,P$1,$B$1)</f>
        <v>19.27</v>
      </c>
      <c r="Q28">
        <f>_xll.EQNXTDZ($A$1,$B28,Q$1,$B$1)</f>
        <v>18.559999999999999</v>
      </c>
      <c r="R28">
        <f>_xll.EQNXTDZ($A$1,$B28,R$1,$B$1)</f>
        <v>17.989999999999998</v>
      </c>
      <c r="S28">
        <f>_xll.EQNXTDZ($A$1,$B28,S$1,$B$1)</f>
        <v>19.43</v>
      </c>
      <c r="T28">
        <f>_xll.EQNXTDZ($A$1,$B28,T$1,$B$1)</f>
        <v>19.41</v>
      </c>
      <c r="U28">
        <f>_xll.EQNXTDZ($A$1,$B28,U$1,$B$1)</f>
        <v>17.059999999999999</v>
      </c>
      <c r="V28">
        <f>_xll.EQNXTDZ($A$1,$B28,V$1,$B$1)</f>
        <v>16.68</v>
      </c>
      <c r="W28">
        <f>_xll.EQNXTDZ($A$1,$B28,W$1,$B$1)</f>
        <v>19.12</v>
      </c>
      <c r="X28">
        <f>_xll.EQNXTDZ($A$1,$B28,X$1,$B$1)</f>
        <v>19.3</v>
      </c>
      <c r="Y28">
        <f>_xll.EQNXTDZ($A$1,$B28,Y$1,$B$1)</f>
        <v>19.48</v>
      </c>
      <c r="Z28">
        <f>_xll.EQNXTDZ($A$1,$B28,Z$1,$B$1)</f>
        <v>19.149999999999999</v>
      </c>
      <c r="AA28">
        <f>_xll.EQNXTDZ($A$1,$B28,AA$1,$B$1)</f>
        <v>20.05</v>
      </c>
      <c r="AB28">
        <f>_xll.EQNXTDZ($A$1,$B28,AB$1,$B$1)</f>
        <v>20.11</v>
      </c>
      <c r="AC28">
        <f>_xll.EQNXTDZ($A$1,$B28,AC$1,$B$1)</f>
        <v>20.37</v>
      </c>
      <c r="AD28">
        <f>_xll.EQNXTDZ($A$1,$B28,AD$1,$B$1)</f>
        <v>20</v>
      </c>
      <c r="AE28">
        <f>_xll.EQNXTDZ($A$1,$B28,AE$1,$B$1)</f>
        <v>20.16</v>
      </c>
      <c r="AF28">
        <f>_xll.EQNXTDZ($A$1,$B28,AF$1,$B$1)</f>
        <v>20.350000000000001</v>
      </c>
      <c r="AG28">
        <f>_xll.EQNXTDZ($A$1,$B28,AG$1,$B$1)</f>
        <v>20.47</v>
      </c>
      <c r="AH28">
        <f>_xll.EQNXTDZ($A$1,$B28,AH$1,$B$1)</f>
        <v>20.07</v>
      </c>
      <c r="AI28">
        <f>_xll.EQNXTDZ($A$1,$B28,AI$1,$B$1)</f>
        <v>20.48</v>
      </c>
      <c r="AJ28">
        <f>_xll.EQNXTDZ($A$1,$B28,AJ$1,$B$1)</f>
        <v>20.54</v>
      </c>
      <c r="AK28">
        <f>_xll.EQNXTDZ($A$1,$B28,AK$1,$B$1)</f>
        <v>20.329999999999998</v>
      </c>
      <c r="AL28">
        <f>_xll.EQNXTDZ($A$1,$B28,AL$1,$B$1)</f>
        <v>19.23</v>
      </c>
      <c r="AM28">
        <f>_xll.EQNXTDZ($A$1,$B28,AM$1,$B$1)</f>
        <v>19.3</v>
      </c>
      <c r="AN28">
        <f>_xll.EQNXTDZ($A$1,$B28,AN$1,$B$1)</f>
        <v>18.11</v>
      </c>
      <c r="AO28">
        <f>_xll.EQNXTDZ($A$1,$B28,AO$1,$B$1)</f>
        <v>17.989999999999998</v>
      </c>
      <c r="AP28">
        <f>_xll.EQNXTDZ($A$1,$B28,AP$1,$B$1)</f>
        <v>14.94</v>
      </c>
      <c r="AQ28">
        <f>_xll.EQNXTDZ($A$1,$B28,AQ$1,$B$1)</f>
        <v>18.5</v>
      </c>
      <c r="AR28">
        <f>_xll.EQNXTDZ($A$1,$B28,AR$1,$B$1)</f>
        <v>22.05</v>
      </c>
      <c r="AS28">
        <f>_xll.EQNXTDZ($A$1,$B28,AS$1,$B$1)</f>
        <v>25.12</v>
      </c>
      <c r="AT28">
        <f>_xll.EQNXTDZ($A$1,$B28,AT$1,$B$1)</f>
        <v>13.72</v>
      </c>
      <c r="AU28">
        <f>_xll.EQNXTDZ($A$1,$B28,AU$1,$B$1)</f>
        <v>21.64</v>
      </c>
      <c r="AV28">
        <f>_xll.EQNXTDZ($A$1,$B28,AV$1,$B$1)</f>
        <v>22.15</v>
      </c>
      <c r="AW28">
        <f>_xll.EQNXTDZ($A$1,$B28,AW$1,$B$1)</f>
        <v>26.9</v>
      </c>
      <c r="AX28">
        <f>_xll.EQNXTDZ($A$1,$B28,AX$1,$B$1)</f>
        <v>26.12</v>
      </c>
      <c r="AY28">
        <f>_xll.EQNXTDZ($A$1,$B28,AY$1,$B$1)</f>
        <v>28</v>
      </c>
      <c r="AZ28">
        <f>_xll.EQNXTDZ($A$1,$B28,AZ$1,$B$1)</f>
        <v>27.77</v>
      </c>
      <c r="BA28">
        <f>_xll.EQNXTDZ($A$1,$B28,BA$1,$B$1)</f>
        <v>28.87</v>
      </c>
      <c r="BB28">
        <f>_xll.EQNXTDZ($A$1,$B28,BB$1,$B$1)</f>
        <v>29.85</v>
      </c>
      <c r="BC28">
        <f>_xll.EQNXTDZ($A$1,$B28,BC$1,$B$1)</f>
        <v>35.880000000000003</v>
      </c>
      <c r="BD28">
        <f>_xll.EQNXTDZ($A$1,$B28,BD$1,$B$1)</f>
        <v>10.46</v>
      </c>
      <c r="BE28">
        <f>_xll.EQNXTDZ($A$1,$B28,BE$1,$B$1)</f>
        <v>24.52</v>
      </c>
      <c r="BF28">
        <f>_xll.EQNXTDZ($A$1,$B28,BF$1,$B$1)</f>
        <v>24.5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20</v>
      </c>
      <c r="B29" t="s">
        <v>298</v>
      </c>
      <c r="C29">
        <f>_xll.EQNXTDZ($A$1,$B29,C$1,$B$1)</f>
        <v>4.2699999999999996</v>
      </c>
      <c r="D29">
        <f>_xll.EQNXTDZ($A$1,$B29,D$1,$B$1)</f>
        <v>8.24</v>
      </c>
      <c r="E29">
        <f>_xll.EQNXTDZ($A$1,$B29,E$1,$B$1)</f>
        <v>4.9800000000000004</v>
      </c>
      <c r="F29">
        <f>_xll.EQNXTDZ($A$1,$B29,F$1,$B$1)</f>
        <v>6.04</v>
      </c>
      <c r="G29">
        <f>_xll.EQNXTDZ($A$1,$B29,G$1,$B$1)</f>
        <v>6.21</v>
      </c>
      <c r="H29">
        <f>_xll.EQNXTDZ($A$1,$B29,H$1,$B$1)</f>
        <v>5.9</v>
      </c>
      <c r="I29">
        <f>_xll.EQNXTDZ($A$1,$B29,I$1,$B$1)</f>
        <v>4.71</v>
      </c>
      <c r="J29">
        <f>_xll.EQNXTDZ($A$1,$B29,J$1,$B$1)</f>
        <v>3.83</v>
      </c>
      <c r="K29">
        <f>_xll.EQNXTDZ($A$1,$B29,K$1,$B$1)</f>
        <v>5.47</v>
      </c>
      <c r="L29">
        <f>_xll.EQNXTDZ($A$1,$B29,L$1,$B$1)</f>
        <v>6.76</v>
      </c>
      <c r="M29">
        <f>_xll.EQNXTDZ($A$1,$B29,M$1,$B$1)</f>
        <v>2.84</v>
      </c>
      <c r="N29">
        <f>_xll.EQNXTDZ($A$1,$B29,N$1,$B$1)</f>
        <v>5.52</v>
      </c>
      <c r="O29">
        <f>_xll.EQNXTDZ($A$1,$B29,O$1,$B$1)</f>
        <v>8.8699999999999992</v>
      </c>
      <c r="P29">
        <f>_xll.EQNXTDZ($A$1,$B29,P$1,$B$1)</f>
        <v>9.3699999999999992</v>
      </c>
      <c r="Q29">
        <f>_xll.EQNXTDZ($A$1,$B29,Q$1,$B$1)</f>
        <v>7.34</v>
      </c>
      <c r="R29">
        <f>_xll.EQNXTDZ($A$1,$B29,R$1,$B$1)</f>
        <v>7.81</v>
      </c>
      <c r="S29">
        <f>_xll.EQNXTDZ($A$1,$B29,S$1,$B$1)</f>
        <v>7.73</v>
      </c>
      <c r="T29">
        <f>_xll.EQNXTDZ($A$1,$B29,T$1,$B$1)</f>
        <v>3.71</v>
      </c>
      <c r="U29">
        <f>_xll.EQNXTDZ($A$1,$B29,U$1,$B$1)</f>
        <v>0.65</v>
      </c>
      <c r="V29">
        <f>_xll.EQNXTDZ($A$1,$B29,V$1,$B$1)</f>
        <v>-3.98</v>
      </c>
      <c r="W29">
        <f>_xll.EQNXTDZ($A$1,$B29,W$1,$B$1)</f>
        <v>-0.05</v>
      </c>
      <c r="X29">
        <f>_xll.EQNXTDZ($A$1,$B29,X$1,$B$1)</f>
        <v>0.5</v>
      </c>
      <c r="Y29">
        <f>_xll.EQNXTDZ($A$1,$B29,Y$1,$B$1)</f>
        <v>0.96</v>
      </c>
      <c r="Z29">
        <f>_xll.EQNXTDZ($A$1,$B29,Z$1,$B$1)</f>
        <v>-19.21</v>
      </c>
      <c r="AA29">
        <f>_xll.EQNXTDZ($A$1,$B29,AA$1,$B$1)</f>
        <v>0.87</v>
      </c>
      <c r="AB29">
        <f>_xll.EQNXTDZ($A$1,$B29,AB$1,$B$1)</f>
        <v>3.74</v>
      </c>
      <c r="AC29">
        <f>_xll.EQNXTDZ($A$1,$B29,AC$1,$B$1)</f>
        <v>0.75</v>
      </c>
      <c r="AD29">
        <f>_xll.EQNXTDZ($A$1,$B29,AD$1,$B$1)</f>
        <v>2.5</v>
      </c>
      <c r="AE29">
        <f>_xll.EQNXTDZ($A$1,$B29,AE$1,$B$1)</f>
        <v>0.7</v>
      </c>
      <c r="AF29">
        <f>_xll.EQNXTDZ($A$1,$B29,AF$1,$B$1)</f>
        <v>0.92</v>
      </c>
      <c r="AG29">
        <f>_xll.EQNXTDZ($A$1,$B29,AG$1,$B$1)</f>
        <v>1.69</v>
      </c>
      <c r="AH29">
        <f>_xll.EQNXTDZ($A$1,$B29,AH$1,$B$1)</f>
        <v>3.55</v>
      </c>
      <c r="AI29">
        <f>_xll.EQNXTDZ($A$1,$B29,AI$1,$B$1)</f>
        <v>-17.09</v>
      </c>
      <c r="AJ29">
        <f>_xll.EQNXTDZ($A$1,$B29,AJ$1,$B$1)</f>
        <v>-1.56</v>
      </c>
      <c r="AK29">
        <f>_xll.EQNXTDZ($A$1,$B29,AK$1,$B$1)</f>
        <v>4.8099999999999996</v>
      </c>
      <c r="AL29">
        <f>_xll.EQNXTDZ($A$1,$B29,AL$1,$B$1)</f>
        <v>11.61</v>
      </c>
      <c r="AM29">
        <f>_xll.EQNXTDZ($A$1,$B29,AM$1,$B$1)</f>
        <v>7.18</v>
      </c>
      <c r="AN29">
        <f>_xll.EQNXTDZ($A$1,$B29,AN$1,$B$1)</f>
        <v>16.97</v>
      </c>
      <c r="AO29">
        <f>_xll.EQNXTDZ($A$1,$B29,AO$1,$B$1)</f>
        <v>5.0599999999999996</v>
      </c>
      <c r="AP29">
        <f>_xll.EQNXTDZ($A$1,$B29,AP$1,$B$1)</f>
        <v>14.23</v>
      </c>
      <c r="AQ29">
        <f>_xll.EQNXTDZ($A$1,$B29,AQ$1,$B$1)</f>
        <v>12.55</v>
      </c>
      <c r="AR29">
        <f>_xll.EQNXTDZ($A$1,$B29,AR$1,$B$1)</f>
        <v>9.73</v>
      </c>
      <c r="AS29">
        <f>_xll.EQNXTDZ($A$1,$B29,AS$1,$B$1)</f>
        <v>1.86</v>
      </c>
      <c r="AT29">
        <f>_xll.EQNXTDZ($A$1,$B29,AT$1,$B$1)</f>
        <v>4.9800000000000004</v>
      </c>
      <c r="AU29">
        <f>_xll.EQNXTDZ($A$1,$B29,AU$1,$B$1)</f>
        <v>6.25</v>
      </c>
      <c r="AV29">
        <f>_xll.EQNXTDZ($A$1,$B29,AV$1,$B$1)</f>
        <v>0.16</v>
      </c>
      <c r="AW29">
        <f>_xll.EQNXTDZ($A$1,$B29,AW$1,$B$1)</f>
        <v>0.56999999999999995</v>
      </c>
      <c r="AX29">
        <f>_xll.EQNXTDZ($A$1,$B29,AX$1,$B$1)</f>
        <v>5.59</v>
      </c>
      <c r="AY29">
        <f>_xll.EQNXTDZ($A$1,$B29,AY$1,$B$1)</f>
        <v>5.3</v>
      </c>
      <c r="AZ29">
        <f>_xll.EQNXTDZ($A$1,$B29,AZ$1,$B$1)</f>
        <v>-2.5499999999999998</v>
      </c>
      <c r="BA29">
        <f>_xll.EQNXTDZ($A$1,$B29,BA$1,$B$1)</f>
        <v>6.37</v>
      </c>
      <c r="BB29">
        <f>_xll.EQNXTDZ($A$1,$B29,BB$1,$B$1)</f>
        <v>3.28</v>
      </c>
      <c r="BC29">
        <f>_xll.EQNXTDZ($A$1,$B29,BC$1,$B$1)</f>
        <v>0.4</v>
      </c>
      <c r="BD29">
        <f>_xll.EQNXTDZ($A$1,$B29,BD$1,$B$1)</f>
        <v>10.95</v>
      </c>
      <c r="BE29">
        <f>_xll.EQNXTDZ($A$1,$B29,BE$1,$B$1)</f>
        <v>6.67</v>
      </c>
      <c r="BF29">
        <f>_xll.EQNXTDZ($A$1,$B29,BF$1,$B$1)</f>
        <v>12.21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264</v>
      </c>
      <c r="B30" t="s">
        <v>299</v>
      </c>
      <c r="C30">
        <f>_xll.EQNXTDZ($A$1,$B30,C$1,$B$1)</f>
        <v>9.77</v>
      </c>
      <c r="D30">
        <f>_xll.EQNXTDZ($A$1,$B30,D$1,$B$1)</f>
        <v>18.09</v>
      </c>
      <c r="E30">
        <f>_xll.EQNXTDZ($A$1,$B30,E$1,$B$1)</f>
        <v>11.07</v>
      </c>
      <c r="F30">
        <f>_xll.EQNXTDZ($A$1,$B30,F$1,$B$1)</f>
        <v>12.37</v>
      </c>
      <c r="G30">
        <f>_xll.EQNXTDZ($A$1,$B30,G$1,$B$1)</f>
        <v>6.03</v>
      </c>
      <c r="H30">
        <f>_xll.EQNXTDZ($A$1,$B30,H$1,$B$1)</f>
        <v>12.24</v>
      </c>
      <c r="I30">
        <f>_xll.EQNXTDZ($A$1,$B30,I$1,$B$1)</f>
        <v>12.15</v>
      </c>
      <c r="J30">
        <f>_xll.EQNXTDZ($A$1,$B30,J$1,$B$1)</f>
        <v>10.08</v>
      </c>
      <c r="K30">
        <f>_xll.EQNXTDZ($A$1,$B30,K$1,$B$1)</f>
        <v>11.34</v>
      </c>
      <c r="L30">
        <f>_xll.EQNXTDZ($A$1,$B30,L$1,$B$1)</f>
        <v>11.97</v>
      </c>
      <c r="M30">
        <f>_xll.EQNXTDZ($A$1,$B30,M$1,$B$1)</f>
        <v>13.77</v>
      </c>
      <c r="N30">
        <f>_xll.EQNXTDZ($A$1,$B30,N$1,$B$1)</f>
        <v>14.49</v>
      </c>
      <c r="O30">
        <f>_xll.EQNXTDZ($A$1,$B30,O$1,$B$1)</f>
        <v>17.2</v>
      </c>
      <c r="P30">
        <f>_xll.EQNXTDZ($A$1,$B30,P$1,$B$1)</f>
        <v>18.649999999999999</v>
      </c>
      <c r="Q30">
        <f>_xll.EQNXTDZ($A$1,$B30,Q$1,$B$1)</f>
        <v>15.55</v>
      </c>
      <c r="R30">
        <f>_xll.EQNXTDZ($A$1,$B30,R$1,$B$1)</f>
        <v>25.64</v>
      </c>
      <c r="S30">
        <f>_xll.EQNXTDZ($A$1,$B30,S$1,$B$1)</f>
        <v>15.28</v>
      </c>
      <c r="T30">
        <f>_xll.EQNXTDZ($A$1,$B30,T$1,$B$1)</f>
        <v>15.45</v>
      </c>
      <c r="U30">
        <f>_xll.EQNXTDZ($A$1,$B30,U$1,$B$1)</f>
        <v>4.5</v>
      </c>
      <c r="V30">
        <f>_xll.EQNXTDZ($A$1,$B30,V$1,$B$1)</f>
        <v>19.61</v>
      </c>
      <c r="W30">
        <f>_xll.EQNXTDZ($A$1,$B30,W$1,$B$1)</f>
        <v>1.22</v>
      </c>
      <c r="X30">
        <f>_xll.EQNXTDZ($A$1,$B30,X$1,$B$1)</f>
        <v>0.42</v>
      </c>
      <c r="Y30">
        <f>_xll.EQNXTDZ($A$1,$B30,Y$1,$B$1)</f>
        <v>3.76</v>
      </c>
      <c r="Z30">
        <f>_xll.EQNXTDZ($A$1,$B30,Z$1,$B$1)</f>
        <v>25.05</v>
      </c>
      <c r="AA30">
        <f>_xll.EQNXTDZ($A$1,$B30,AA$1,$B$1)</f>
        <v>4.09</v>
      </c>
      <c r="AB30">
        <f>_xll.EQNXTDZ($A$1,$B30,AB$1,$B$1)</f>
        <v>9.16</v>
      </c>
      <c r="AC30">
        <f>_xll.EQNXTDZ($A$1,$B30,AC$1,$B$1)</f>
        <v>-0.74000000000005495</v>
      </c>
      <c r="AD30">
        <f>_xll.EQNXTDZ($A$1,$B30,AD$1,$B$1)</f>
        <v>0.71999999999992803</v>
      </c>
      <c r="AE30">
        <f>_xll.EQNXTDZ($A$1,$B30,AE$1,$B$1)</f>
        <v>1.1399999999999599</v>
      </c>
      <c r="AF30">
        <f>_xll.EQNXTDZ($A$1,$B30,AF$1,$B$1)</f>
        <v>3.1100000000000598</v>
      </c>
      <c r="AG30">
        <f>_xll.EQNXTDZ($A$1,$B30,AG$1,$B$1)</f>
        <v>5.5400000000000302</v>
      </c>
      <c r="AH30">
        <f>_xll.EQNXTDZ($A$1,$B30,AH$1,$B$1)</f>
        <v>3.49</v>
      </c>
      <c r="AI30">
        <f>_xll.EQNXTDZ($A$1,$B30,AI$1,$B$1)</f>
        <v>-32.520000000000003</v>
      </c>
      <c r="AJ30">
        <f>_xll.EQNXTDZ($A$1,$B30,AJ$1,$B$1)</f>
        <v>-4.23999999999993</v>
      </c>
      <c r="AK30">
        <f>_xll.EQNXTDZ($A$1,$B30,AK$1,$B$1)</f>
        <v>7.4300000000000201</v>
      </c>
      <c r="AL30">
        <f>_xll.EQNXTDZ($A$1,$B30,AL$1,$B$1)</f>
        <v>33.5399999999999</v>
      </c>
      <c r="AM30">
        <f>_xll.EQNXTDZ($A$1,$B30,AM$1,$B$1)</f>
        <v>12.89</v>
      </c>
      <c r="AN30">
        <f>_xll.EQNXTDZ($A$1,$B30,AN$1,$B$1)</f>
        <v>29.87</v>
      </c>
      <c r="AO30">
        <f>_xll.EQNXTDZ($A$1,$B30,AO$1,$B$1)</f>
        <v>43.74</v>
      </c>
      <c r="AP30">
        <f>_xll.EQNXTDZ($A$1,$B30,AP$1,$B$1)</f>
        <v>54.15</v>
      </c>
      <c r="AQ30">
        <f>_xll.EQNXTDZ($A$1,$B30,AQ$1,$B$1)</f>
        <v>52.53</v>
      </c>
      <c r="AR30">
        <f>_xll.EQNXTDZ($A$1,$B30,AR$1,$B$1)</f>
        <v>30.33</v>
      </c>
      <c r="AS30">
        <f>_xll.EQNXTDZ($A$1,$B30,AS$1,$B$1)</f>
        <v>17.549999999999901</v>
      </c>
      <c r="AT30">
        <f>_xll.EQNXTDZ($A$1,$B30,AT$1,$B$1)</f>
        <v>30.13</v>
      </c>
      <c r="AU30">
        <f>_xll.EQNXTDZ($A$1,$B30,AU$1,$B$1)</f>
        <v>12.77</v>
      </c>
      <c r="AV30">
        <f>_xll.EQNXTDZ($A$1,$B30,AV$1,$B$1)</f>
        <v>10.579999999999901</v>
      </c>
      <c r="AW30">
        <f>_xll.EQNXTDZ($A$1,$B30,AW$1,$B$1)</f>
        <v>3.8099999999999401</v>
      </c>
      <c r="AX30">
        <f>_xll.EQNXTDZ($A$1,$B30,AX$1,$B$1)</f>
        <v>13.6600000000001</v>
      </c>
      <c r="AY30">
        <f>_xll.EQNXTDZ($A$1,$B30,AY$1,$B$1)</f>
        <v>14.280000000000101</v>
      </c>
      <c r="AZ30">
        <f>_xll.EQNXTDZ($A$1,$B30,AZ$1,$B$1)</f>
        <v>5.5499999999999403</v>
      </c>
      <c r="BA30">
        <f>_xll.EQNXTDZ($A$1,$B30,BA$1,$B$1)</f>
        <v>2.44999999999991</v>
      </c>
      <c r="BB30">
        <f>_xll.EQNXTDZ($A$1,$B30,BB$1,$B$1)</f>
        <v>9.5199999999999303</v>
      </c>
      <c r="BC30">
        <f>_xll.EQNXTDZ($A$1,$B30,BC$1,$B$1)</f>
        <v>2.1300000000000701</v>
      </c>
      <c r="BD30">
        <f>_xll.EQNXTDZ($A$1,$B30,BD$1,$B$1)</f>
        <v>23.130000000000098</v>
      </c>
      <c r="BE30">
        <f>_xll.EQNXTDZ($A$1,$B30,BE$1,$B$1)</f>
        <v>24.469999999999899</v>
      </c>
      <c r="BF30">
        <f>_xll.EQNXTDZ($A$1,$B30,BF$1,$B$1)</f>
        <v>32.880000000000202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265</v>
      </c>
      <c r="B31" t="s">
        <v>300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266</v>
      </c>
      <c r="B32" t="s">
        <v>301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267</v>
      </c>
      <c r="B33" t="s">
        <v>302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-0.71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22</v>
      </c>
      <c r="B34" t="s">
        <v>303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268</v>
      </c>
      <c r="B35" t="s">
        <v>304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-0.01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269</v>
      </c>
      <c r="B36" t="s">
        <v>305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270</v>
      </c>
      <c r="B37" t="s">
        <v>306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222</v>
      </c>
      <c r="B38" t="s">
        <v>307</v>
      </c>
      <c r="C38">
        <f>_xll.EQNXTDZ($A$1,$B38,C$1,$B$1)</f>
        <v>9.77</v>
      </c>
      <c r="D38">
        <f>_xll.EQNXTDZ($A$1,$B38,D$1,$B$1)</f>
        <v>18.09</v>
      </c>
      <c r="E38">
        <f>_xll.EQNXTDZ($A$1,$B38,E$1,$B$1)</f>
        <v>11.07</v>
      </c>
      <c r="F38">
        <f>_xll.EQNXTDZ($A$1,$B38,F$1,$B$1)</f>
        <v>12.37</v>
      </c>
      <c r="G38">
        <f>_xll.EQNXTDZ($A$1,$B38,G$1,$B$1)</f>
        <v>6.03</v>
      </c>
      <c r="H38">
        <f>_xll.EQNXTDZ($A$1,$B38,H$1,$B$1)</f>
        <v>12.24</v>
      </c>
      <c r="I38">
        <f>_xll.EQNXTDZ($A$1,$B38,I$1,$B$1)</f>
        <v>12.15</v>
      </c>
      <c r="J38">
        <f>_xll.EQNXTDZ($A$1,$B38,J$1,$B$1)</f>
        <v>10.08</v>
      </c>
      <c r="K38">
        <f>_xll.EQNXTDZ($A$1,$B38,K$1,$B$1)</f>
        <v>11.34</v>
      </c>
      <c r="L38">
        <f>_xll.EQNXTDZ($A$1,$B38,L$1,$B$1)</f>
        <v>11.97</v>
      </c>
      <c r="M38">
        <f>_xll.EQNXTDZ($A$1,$B38,M$1,$B$1)</f>
        <v>13.77</v>
      </c>
      <c r="N38">
        <f>_xll.EQNXTDZ($A$1,$B38,N$1,$B$1)</f>
        <v>14.49</v>
      </c>
      <c r="O38">
        <f>_xll.EQNXTDZ($A$1,$B38,O$1,$B$1)</f>
        <v>17.2</v>
      </c>
      <c r="P38">
        <f>_xll.EQNXTDZ($A$1,$B38,P$1,$B$1)</f>
        <v>18.649999999999999</v>
      </c>
      <c r="Q38">
        <f>_xll.EQNXTDZ($A$1,$B38,Q$1,$B$1)</f>
        <v>15.55</v>
      </c>
      <c r="R38">
        <f>_xll.EQNXTDZ($A$1,$B38,R$1,$B$1)</f>
        <v>25.64</v>
      </c>
      <c r="S38">
        <f>_xll.EQNXTDZ($A$1,$B38,S$1,$B$1)</f>
        <v>15.28</v>
      </c>
      <c r="T38">
        <f>_xll.EQNXTDZ($A$1,$B38,T$1,$B$1)</f>
        <v>15.45</v>
      </c>
      <c r="U38">
        <f>_xll.EQNXTDZ($A$1,$B38,U$1,$B$1)</f>
        <v>4.5</v>
      </c>
      <c r="V38">
        <f>_xll.EQNXTDZ($A$1,$B38,V$1,$B$1)</f>
        <v>19.61</v>
      </c>
      <c r="W38">
        <f>_xll.EQNXTDZ($A$1,$B38,W$1,$B$1)</f>
        <v>1.22</v>
      </c>
      <c r="X38">
        <f>_xll.EQNXTDZ($A$1,$B38,X$1,$B$1)</f>
        <v>0.42</v>
      </c>
      <c r="Y38">
        <f>_xll.EQNXTDZ($A$1,$B38,Y$1,$B$1)</f>
        <v>3.76</v>
      </c>
      <c r="Z38">
        <f>_xll.EQNXTDZ($A$1,$B38,Z$1,$B$1)</f>
        <v>25.05</v>
      </c>
      <c r="AA38">
        <f>_xll.EQNXTDZ($A$1,$B38,AA$1,$B$1)</f>
        <v>4.09</v>
      </c>
      <c r="AB38">
        <f>_xll.EQNXTDZ($A$1,$B38,AB$1,$B$1)</f>
        <v>9.16</v>
      </c>
      <c r="AC38">
        <f>_xll.EQNXTDZ($A$1,$B38,AC$1,$B$1)</f>
        <v>-0.74</v>
      </c>
      <c r="AD38">
        <f>_xll.EQNXTDZ($A$1,$B38,AD$1,$B$1)</f>
        <v>0.71</v>
      </c>
      <c r="AE38">
        <f>_xll.EQNXTDZ($A$1,$B38,AE$1,$B$1)</f>
        <v>1.1399999999999999</v>
      </c>
      <c r="AF38">
        <f>_xll.EQNXTDZ($A$1,$B38,AF$1,$B$1)</f>
        <v>3.11</v>
      </c>
      <c r="AG38">
        <f>_xll.EQNXTDZ($A$1,$B38,AG$1,$B$1)</f>
        <v>5.54</v>
      </c>
      <c r="AH38">
        <f>_xll.EQNXTDZ($A$1,$B38,AH$1,$B$1)</f>
        <v>3.49</v>
      </c>
      <c r="AI38">
        <f>_xll.EQNXTDZ($A$1,$B38,AI$1,$B$1)</f>
        <v>-32.520000000000003</v>
      </c>
      <c r="AJ38">
        <f>_xll.EQNXTDZ($A$1,$B38,AJ$1,$B$1)</f>
        <v>-4.24</v>
      </c>
      <c r="AK38">
        <f>_xll.EQNXTDZ($A$1,$B38,AK$1,$B$1)</f>
        <v>7.43</v>
      </c>
      <c r="AL38">
        <f>_xll.EQNXTDZ($A$1,$B38,AL$1,$B$1)</f>
        <v>33.54</v>
      </c>
      <c r="AM38">
        <f>_xll.EQNXTDZ($A$1,$B38,AM$1,$B$1)</f>
        <v>12.89</v>
      </c>
      <c r="AN38">
        <f>_xll.EQNXTDZ($A$1,$B38,AN$1,$B$1)</f>
        <v>29.87</v>
      </c>
      <c r="AO38">
        <f>_xll.EQNXTDZ($A$1,$B38,AO$1,$B$1)</f>
        <v>43.74</v>
      </c>
      <c r="AP38">
        <f>_xll.EQNXTDZ($A$1,$B38,AP$1,$B$1)</f>
        <v>53.44</v>
      </c>
      <c r="AQ38">
        <f>_xll.EQNXTDZ($A$1,$B38,AQ$1,$B$1)</f>
        <v>52.53</v>
      </c>
      <c r="AR38">
        <f>_xll.EQNXTDZ($A$1,$B38,AR$1,$B$1)</f>
        <v>30.33</v>
      </c>
      <c r="AS38">
        <f>_xll.EQNXTDZ($A$1,$B38,AS$1,$B$1)</f>
        <v>17.55</v>
      </c>
      <c r="AT38">
        <f>_xll.EQNXTDZ($A$1,$B38,AT$1,$B$1)</f>
        <v>30.13</v>
      </c>
      <c r="AU38">
        <f>_xll.EQNXTDZ($A$1,$B38,AU$1,$B$1)</f>
        <v>12.77</v>
      </c>
      <c r="AV38">
        <f>_xll.EQNXTDZ($A$1,$B38,AV$1,$B$1)</f>
        <v>10.58</v>
      </c>
      <c r="AW38">
        <f>_xll.EQNXTDZ($A$1,$B38,AW$1,$B$1)</f>
        <v>3.81</v>
      </c>
      <c r="AX38">
        <f>_xll.EQNXTDZ($A$1,$B38,AX$1,$B$1)</f>
        <v>13.66</v>
      </c>
      <c r="AY38">
        <f>_xll.EQNXTDZ($A$1,$B38,AY$1,$B$1)</f>
        <v>14.28</v>
      </c>
      <c r="AZ38">
        <f>_xll.EQNXTDZ($A$1,$B38,AZ$1,$B$1)</f>
        <v>5.55</v>
      </c>
      <c r="BA38">
        <f>_xll.EQNXTDZ($A$1,$B38,BA$1,$B$1)</f>
        <v>2.4500000000000002</v>
      </c>
      <c r="BB38">
        <f>_xll.EQNXTDZ($A$1,$B38,BB$1,$B$1)</f>
        <v>9.52</v>
      </c>
      <c r="BC38">
        <f>_xll.EQNXTDZ($A$1,$B38,BC$1,$B$1)</f>
        <v>2.13</v>
      </c>
      <c r="BD38">
        <f>_xll.EQNXTDZ($A$1,$B38,BD$1,$B$1)</f>
        <v>23.13</v>
      </c>
      <c r="BE38">
        <f>_xll.EQNXTDZ($A$1,$B38,BE$1,$B$1)</f>
        <v>24.47</v>
      </c>
      <c r="BF38">
        <f>_xll.EQNXTDZ($A$1,$B38,BF$1,$B$1)</f>
        <v>32.869999999999997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271</v>
      </c>
      <c r="B39" t="s">
        <v>308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272</v>
      </c>
      <c r="B40" t="s">
        <v>309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-7.0000000000000007E-2</v>
      </c>
      <c r="T40">
        <f>_xll.EQNXTDZ($A$1,$B40,T$1,$B$1)</f>
        <v>-0.06</v>
      </c>
      <c r="U40">
        <f>_xll.EQNXTDZ($A$1,$B40,U$1,$B$1)</f>
        <v>-7.0000000000000007E-2</v>
      </c>
      <c r="V40">
        <f>_xll.EQNXTDZ($A$1,$B40,V$1,$B$1)</f>
        <v>-0.04</v>
      </c>
      <c r="W40">
        <f>_xll.EQNXTDZ($A$1,$B40,W$1,$B$1)</f>
        <v>-0.06</v>
      </c>
      <c r="X40">
        <f>_xll.EQNXTDZ($A$1,$B40,X$1,$B$1)</f>
        <v>-0.06</v>
      </c>
      <c r="Y40">
        <f>_xll.EQNXTDZ($A$1,$B40,Y$1,$B$1)</f>
        <v>-0.06</v>
      </c>
      <c r="Z40">
        <f>_xll.EQNXTDZ($A$1,$B40,Z$1,$B$1)</f>
        <v>0.87</v>
      </c>
      <c r="AA40">
        <f>_xll.EQNXTDZ($A$1,$B40,AA$1,$B$1)</f>
        <v>-1.26</v>
      </c>
      <c r="AB40">
        <f>_xll.EQNXTDZ($A$1,$B40,AB$1,$B$1)</f>
        <v>0.44</v>
      </c>
      <c r="AC40">
        <f>_xll.EQNXTDZ($A$1,$B40,AC$1,$B$1)</f>
        <v>1.73</v>
      </c>
      <c r="AD40">
        <f>_xll.EQNXTDZ($A$1,$B40,AD$1,$B$1)</f>
        <v>-0.44</v>
      </c>
      <c r="AE40">
        <f>_xll.EQNXTDZ($A$1,$B40,AE$1,$B$1)</f>
        <v>0.19</v>
      </c>
      <c r="AF40">
        <f>_xll.EQNXTDZ($A$1,$B40,AF$1,$B$1)</f>
        <v>-0.04</v>
      </c>
      <c r="AG40">
        <f>_xll.EQNXTDZ($A$1,$B40,AG$1,$B$1)</f>
        <v>0.27</v>
      </c>
      <c r="AH40">
        <f>_xll.EQNXTDZ($A$1,$B40,AH$1,$B$1)</f>
        <v>-2.52</v>
      </c>
      <c r="AI40">
        <f>_xll.EQNXTDZ($A$1,$B40,AI$1,$B$1)</f>
        <v>1.97</v>
      </c>
      <c r="AJ40">
        <f>_xll.EQNXTDZ($A$1,$B40,AJ$1,$B$1)</f>
        <v>0.08</v>
      </c>
      <c r="AK40">
        <f>_xll.EQNXTDZ($A$1,$B40,AK$1,$B$1)</f>
        <v>0.61</v>
      </c>
      <c r="AL40">
        <f>_xll.EQNXTDZ($A$1,$B40,AL$1,$B$1)</f>
        <v>2.29</v>
      </c>
      <c r="AM40">
        <f>_xll.EQNXTDZ($A$1,$B40,AM$1,$B$1)</f>
        <v>0.28000000000000003</v>
      </c>
      <c r="AN40">
        <f>_xll.EQNXTDZ($A$1,$B40,AN$1,$B$1)</f>
        <v>0.68</v>
      </c>
      <c r="AO40">
        <f>_xll.EQNXTDZ($A$1,$B40,AO$1,$B$1)</f>
        <v>1.62</v>
      </c>
      <c r="AP40">
        <f>_xll.EQNXTDZ($A$1,$B40,AP$1,$B$1)</f>
        <v>-1.54</v>
      </c>
      <c r="AQ40">
        <f>_xll.EQNXTDZ($A$1,$B40,AQ$1,$B$1)</f>
        <v>0.2</v>
      </c>
      <c r="AR40">
        <f>_xll.EQNXTDZ($A$1,$B40,AR$1,$B$1)</f>
        <v>0.3</v>
      </c>
      <c r="AS40">
        <f>_xll.EQNXTDZ($A$1,$B40,AS$1,$B$1)</f>
        <v>0.32</v>
      </c>
      <c r="AT40">
        <f>_xll.EQNXTDZ($A$1,$B40,AT$1,$B$1)</f>
        <v>0.06</v>
      </c>
      <c r="AU40">
        <f>_xll.EQNXTDZ($A$1,$B40,AU$1,$B$1)</f>
        <v>1.29</v>
      </c>
      <c r="AV40">
        <f>_xll.EQNXTDZ($A$1,$B40,AV$1,$B$1)</f>
        <v>-1.35</v>
      </c>
      <c r="AW40">
        <f>_xll.EQNXTDZ($A$1,$B40,AW$1,$B$1)</f>
        <v>0.48</v>
      </c>
      <c r="AX40">
        <f>_xll.EQNXTDZ($A$1,$B40,AX$1,$B$1)</f>
        <v>-0.77</v>
      </c>
      <c r="AY40">
        <f>_xll.EQNXTDZ($A$1,$B40,AY$1,$B$1)</f>
        <v>2.34</v>
      </c>
      <c r="AZ40">
        <f>_xll.EQNXTDZ($A$1,$B40,AZ$1,$B$1)</f>
        <v>2.11</v>
      </c>
      <c r="BA40">
        <f>_xll.EQNXTDZ($A$1,$B40,BA$1,$B$1)</f>
        <v>-0.42</v>
      </c>
      <c r="BB40">
        <f>_xll.EQNXTDZ($A$1,$B40,BB$1,$B$1)</f>
        <v>-3.36</v>
      </c>
      <c r="BC40">
        <f>_xll.EQNXTDZ($A$1,$B40,BC$1,$B$1)</f>
        <v>-0.39</v>
      </c>
      <c r="BD40">
        <f>_xll.EQNXTDZ($A$1,$B40,BD$1,$B$1)</f>
        <v>-0.89</v>
      </c>
      <c r="BE40">
        <f>_xll.EQNXTDZ($A$1,$B40,BE$1,$B$1)</f>
        <v>0.04</v>
      </c>
      <c r="BF40">
        <f>_xll.EQNXTDZ($A$1,$B40,BF$1,$B$1)</f>
        <v>-1.81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273</v>
      </c>
      <c r="B41" t="s">
        <v>310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17.2</v>
      </c>
      <c r="P41">
        <f>_xll.EQNXTDZ($A$1,$B41,P$1,$B$1)</f>
        <v>18.649999999999999</v>
      </c>
      <c r="Q41">
        <f>_xll.EQNXTDZ($A$1,$B41,Q$1,$B$1)</f>
        <v>15.55</v>
      </c>
      <c r="R41">
        <f>_xll.EQNXTDZ($A$1,$B41,R$1,$B$1)</f>
        <v>25.64</v>
      </c>
      <c r="S41">
        <f>_xll.EQNXTDZ($A$1,$B41,S$1,$B$1)</f>
        <v>15.21</v>
      </c>
      <c r="T41">
        <f>_xll.EQNXTDZ($A$1,$B41,T$1,$B$1)</f>
        <v>15.39</v>
      </c>
      <c r="U41">
        <f>_xll.EQNXTDZ($A$1,$B41,U$1,$B$1)</f>
        <v>4.43</v>
      </c>
      <c r="V41">
        <f>_xll.EQNXTDZ($A$1,$B41,V$1,$B$1)</f>
        <v>19.57</v>
      </c>
      <c r="W41">
        <f>_xll.EQNXTDZ($A$1,$B41,W$1,$B$1)</f>
        <v>1.1599999999999999</v>
      </c>
      <c r="X41">
        <f>_xll.EQNXTDZ($A$1,$B41,X$1,$B$1)</f>
        <v>0.36</v>
      </c>
      <c r="Y41">
        <f>_xll.EQNXTDZ($A$1,$B41,Y$1,$B$1)</f>
        <v>3.7</v>
      </c>
      <c r="Z41">
        <f>_xll.EQNXTDZ($A$1,$B41,Z$1,$B$1)</f>
        <v>25.92</v>
      </c>
      <c r="AA41">
        <f>_xll.EQNXTDZ($A$1,$B41,AA$1,$B$1)</f>
        <v>2.83</v>
      </c>
      <c r="AB41">
        <f>_xll.EQNXTDZ($A$1,$B41,AB$1,$B$1)</f>
        <v>9.6</v>
      </c>
      <c r="AC41">
        <f>_xll.EQNXTDZ($A$1,$B41,AC$1,$B$1)</f>
        <v>0.99</v>
      </c>
      <c r="AD41">
        <f>_xll.EQNXTDZ($A$1,$B41,AD$1,$B$1)</f>
        <v>0.27</v>
      </c>
      <c r="AE41">
        <f>_xll.EQNXTDZ($A$1,$B41,AE$1,$B$1)</f>
        <v>1.33</v>
      </c>
      <c r="AF41">
        <f>_xll.EQNXTDZ($A$1,$B41,AF$1,$B$1)</f>
        <v>3.07</v>
      </c>
      <c r="AG41">
        <f>_xll.EQNXTDZ($A$1,$B41,AG$1,$B$1)</f>
        <v>5.81</v>
      </c>
      <c r="AH41">
        <f>_xll.EQNXTDZ($A$1,$B41,AH$1,$B$1)</f>
        <v>0.97</v>
      </c>
      <c r="AI41">
        <f>_xll.EQNXTDZ($A$1,$B41,AI$1,$B$1)</f>
        <v>-30.55</v>
      </c>
      <c r="AJ41">
        <f>_xll.EQNXTDZ($A$1,$B41,AJ$1,$B$1)</f>
        <v>-4.16</v>
      </c>
      <c r="AK41">
        <f>_xll.EQNXTDZ($A$1,$B41,AK$1,$B$1)</f>
        <v>8.0399999999999991</v>
      </c>
      <c r="AL41">
        <f>_xll.EQNXTDZ($A$1,$B41,AL$1,$B$1)</f>
        <v>35.83</v>
      </c>
      <c r="AM41">
        <f>_xll.EQNXTDZ($A$1,$B41,AM$1,$B$1)</f>
        <v>13.17</v>
      </c>
      <c r="AN41">
        <f>_xll.EQNXTDZ($A$1,$B41,AN$1,$B$1)</f>
        <v>30.55</v>
      </c>
      <c r="AO41">
        <f>_xll.EQNXTDZ($A$1,$B41,AO$1,$B$1)</f>
        <v>45.36</v>
      </c>
      <c r="AP41">
        <f>_xll.EQNXTDZ($A$1,$B41,AP$1,$B$1)</f>
        <v>51.9</v>
      </c>
      <c r="AQ41">
        <f>_xll.EQNXTDZ($A$1,$B41,AQ$1,$B$1)</f>
        <v>52.73</v>
      </c>
      <c r="AR41">
        <f>_xll.EQNXTDZ($A$1,$B41,AR$1,$B$1)</f>
        <v>30.63</v>
      </c>
      <c r="AS41">
        <f>_xll.EQNXTDZ($A$1,$B41,AS$1,$B$1)</f>
        <v>17.87</v>
      </c>
      <c r="AT41">
        <f>_xll.EQNXTDZ($A$1,$B41,AT$1,$B$1)</f>
        <v>30.19</v>
      </c>
      <c r="AU41">
        <f>_xll.EQNXTDZ($A$1,$B41,AU$1,$B$1)</f>
        <v>14.06</v>
      </c>
      <c r="AV41">
        <f>_xll.EQNXTDZ($A$1,$B41,AV$1,$B$1)</f>
        <v>9.23</v>
      </c>
      <c r="AW41">
        <f>_xll.EQNXTDZ($A$1,$B41,AW$1,$B$1)</f>
        <v>4.29</v>
      </c>
      <c r="AX41">
        <f>_xll.EQNXTDZ($A$1,$B41,AX$1,$B$1)</f>
        <v>12.89</v>
      </c>
      <c r="AY41">
        <f>_xll.EQNXTDZ($A$1,$B41,AY$1,$B$1)</f>
        <v>16.62</v>
      </c>
      <c r="AZ41">
        <f>_xll.EQNXTDZ($A$1,$B41,AZ$1,$B$1)</f>
        <v>7.66</v>
      </c>
      <c r="BA41">
        <f>_xll.EQNXTDZ($A$1,$B41,BA$1,$B$1)</f>
        <v>2.0299999999999998</v>
      </c>
      <c r="BB41">
        <f>_xll.EQNXTDZ($A$1,$B41,BB$1,$B$1)</f>
        <v>6.16</v>
      </c>
      <c r="BC41">
        <f>_xll.EQNXTDZ($A$1,$B41,BC$1,$B$1)</f>
        <v>1.74</v>
      </c>
      <c r="BD41">
        <f>_xll.EQNXTDZ($A$1,$B41,BD$1,$B$1)</f>
        <v>22.24</v>
      </c>
      <c r="BE41">
        <f>_xll.EQNXTDZ($A$1,$B41,BE$1,$B$1)</f>
        <v>24.51</v>
      </c>
      <c r="BF41">
        <f>_xll.EQNXTDZ($A$1,$B41,BF$1,$B$1)</f>
        <v>31.06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311</v>
      </c>
      <c r="B42" t="s">
        <v>312</v>
      </c>
      <c r="C42">
        <f>_xll.EQNXTDZ($A$1,$B42,C$1,$B$1)</f>
        <v>9.77</v>
      </c>
      <c r="D42">
        <f>_xll.EQNXTDZ($A$1,$B42,D$1,$B$1)</f>
        <v>18.09</v>
      </c>
      <c r="E42">
        <f>_xll.EQNXTDZ($A$1,$B42,E$1,$B$1)</f>
        <v>11.07</v>
      </c>
      <c r="F42">
        <f>_xll.EQNXTDZ($A$1,$B42,F$1,$B$1)</f>
        <v>12.37</v>
      </c>
      <c r="G42">
        <f>_xll.EQNXTDZ($A$1,$B42,G$1,$B$1)</f>
        <v>6.03</v>
      </c>
      <c r="H42">
        <f>_xll.EQNXTDZ($A$1,$B42,H$1,$B$1)</f>
        <v>12.24</v>
      </c>
      <c r="I42">
        <f>_xll.EQNXTDZ($A$1,$B42,I$1,$B$1)</f>
        <v>12.15</v>
      </c>
      <c r="J42">
        <f>_xll.EQNXTDZ($A$1,$B42,J$1,$B$1)</f>
        <v>10.08</v>
      </c>
      <c r="K42">
        <f>_xll.EQNXTDZ($A$1,$B42,K$1,$B$1)</f>
        <v>11.34</v>
      </c>
      <c r="L42">
        <f>_xll.EQNXTDZ($A$1,$B42,L$1,$B$1)</f>
        <v>11.97</v>
      </c>
      <c r="M42">
        <f>_xll.EQNXTDZ($A$1,$B42,M$1,$B$1)</f>
        <v>13.77</v>
      </c>
      <c r="N42">
        <f>_xll.EQNXTDZ($A$1,$B42,N$1,$B$1)</f>
        <v>14.49</v>
      </c>
      <c r="O42">
        <f>_xll.EQNXTDZ($A$1,$B42,O$1,$B$1)</f>
        <v>17.2</v>
      </c>
      <c r="P42">
        <f>_xll.EQNXTDZ($A$1,$B42,P$1,$B$1)</f>
        <v>18.649999999999999</v>
      </c>
      <c r="Q42">
        <f>_xll.EQNXTDZ($A$1,$B42,Q$1,$B$1)</f>
        <v>15.55</v>
      </c>
      <c r="R42">
        <f>_xll.EQNXTDZ($A$1,$B42,R$1,$B$1)</f>
        <v>25.64</v>
      </c>
      <c r="S42">
        <f>_xll.EQNXTDZ($A$1,$B42,S$1,$B$1)</f>
        <v>15.28</v>
      </c>
      <c r="T42">
        <f>_xll.EQNXTDZ($A$1,$B42,T$1,$B$1)</f>
        <v>15.45</v>
      </c>
      <c r="U42">
        <f>_xll.EQNXTDZ($A$1,$B42,U$1,$B$1)</f>
        <v>4.5</v>
      </c>
      <c r="V42">
        <f>_xll.EQNXTDZ($A$1,$B42,V$1,$B$1)</f>
        <v>19.61</v>
      </c>
      <c r="W42">
        <f>_xll.EQNXTDZ($A$1,$B42,W$1,$B$1)</f>
        <v>1.22</v>
      </c>
      <c r="X42">
        <f>_xll.EQNXTDZ($A$1,$B42,X$1,$B$1)</f>
        <v>0.42</v>
      </c>
      <c r="Y42">
        <f>_xll.EQNXTDZ($A$1,$B42,Y$1,$B$1)</f>
        <v>3.76</v>
      </c>
      <c r="Z42">
        <f>_xll.EQNXTDZ($A$1,$B42,Z$1,$B$1)</f>
        <v>25.05</v>
      </c>
      <c r="AA42">
        <f>_xll.EQNXTDZ($A$1,$B42,AA$1,$B$1)</f>
        <v>4.09</v>
      </c>
      <c r="AB42">
        <f>_xll.EQNXTDZ($A$1,$B42,AB$1,$B$1)</f>
        <v>9.16</v>
      </c>
      <c r="AC42">
        <f>_xll.EQNXTDZ($A$1,$B42,AC$1,$B$1)</f>
        <v>-0.74</v>
      </c>
      <c r="AD42">
        <f>_xll.EQNXTDZ($A$1,$B42,AD$1,$B$1)</f>
        <v>0.71</v>
      </c>
      <c r="AE42">
        <f>_xll.EQNXTDZ($A$1,$B42,AE$1,$B$1)</f>
        <v>1.1399999999999999</v>
      </c>
      <c r="AF42">
        <f>_xll.EQNXTDZ($A$1,$B42,AF$1,$B$1)</f>
        <v>3.11</v>
      </c>
      <c r="AG42">
        <f>_xll.EQNXTDZ($A$1,$B42,AG$1,$B$1)</f>
        <v>5.54</v>
      </c>
      <c r="AH42">
        <f>_xll.EQNXTDZ($A$1,$B42,AH$1,$B$1)</f>
        <v>3.49</v>
      </c>
      <c r="AI42">
        <f>_xll.EQNXTDZ($A$1,$B42,AI$1,$B$1)</f>
        <v>-32.520000000000003</v>
      </c>
      <c r="AJ42">
        <f>_xll.EQNXTDZ($A$1,$B42,AJ$1,$B$1)</f>
        <v>-4.24</v>
      </c>
      <c r="AK42">
        <f>_xll.EQNXTDZ($A$1,$B42,AK$1,$B$1)</f>
        <v>7.43</v>
      </c>
      <c r="AL42">
        <f>_xll.EQNXTDZ($A$1,$B42,AL$1,$B$1)</f>
        <v>33.54</v>
      </c>
      <c r="AM42">
        <f>_xll.EQNXTDZ($A$1,$B42,AM$1,$B$1)</f>
        <v>12.89</v>
      </c>
      <c r="AN42">
        <f>_xll.EQNXTDZ($A$1,$B42,AN$1,$B$1)</f>
        <v>29.87</v>
      </c>
      <c r="AO42">
        <f>_xll.EQNXTDZ($A$1,$B42,AO$1,$B$1)</f>
        <v>43.74</v>
      </c>
      <c r="AP42">
        <f>_xll.EQNXTDZ($A$1,$B42,AP$1,$B$1)</f>
        <v>53.44</v>
      </c>
      <c r="AQ42">
        <f>_xll.EQNXTDZ($A$1,$B42,AQ$1,$B$1)</f>
        <v>52.53</v>
      </c>
      <c r="AR42">
        <f>_xll.EQNXTDZ($A$1,$B42,AR$1,$B$1)</f>
        <v>30.33</v>
      </c>
      <c r="AS42">
        <f>_xll.EQNXTDZ($A$1,$B42,AS$1,$B$1)</f>
        <v>17.55</v>
      </c>
      <c r="AT42">
        <f>_xll.EQNXTDZ($A$1,$B42,AT$1,$B$1)</f>
        <v>30.13</v>
      </c>
      <c r="AU42">
        <f>_xll.EQNXTDZ($A$1,$B42,AU$1,$B$1)</f>
        <v>12.77</v>
      </c>
      <c r="AV42">
        <f>_xll.EQNXTDZ($A$1,$B42,AV$1,$B$1)</f>
        <v>10.58</v>
      </c>
      <c r="AW42">
        <f>_xll.EQNXTDZ($A$1,$B42,AW$1,$B$1)</f>
        <v>3.81</v>
      </c>
      <c r="AX42">
        <f>_xll.EQNXTDZ($A$1,$B42,AX$1,$B$1)</f>
        <v>13.66</v>
      </c>
      <c r="AY42">
        <f>_xll.EQNXTDZ($A$1,$B42,AY$1,$B$1)</f>
        <v>14.28</v>
      </c>
      <c r="AZ42">
        <f>_xll.EQNXTDZ($A$1,$B42,AZ$1,$B$1)</f>
        <v>5.55</v>
      </c>
      <c r="BA42">
        <f>_xll.EQNXTDZ($A$1,$B42,BA$1,$B$1)</f>
        <v>2.4500000000000002</v>
      </c>
      <c r="BB42">
        <f>_xll.EQNXTDZ($A$1,$B42,BB$1,$B$1)</f>
        <v>9.52</v>
      </c>
      <c r="BC42">
        <f>_xll.EQNXTDZ($A$1,$B42,BC$1,$B$1)</f>
        <v>2.13</v>
      </c>
      <c r="BD42">
        <f>_xll.EQNXTDZ($A$1,$B42,BD$1,$B$1)</f>
        <v>23.13</v>
      </c>
      <c r="BE42">
        <f>_xll.EQNXTDZ($A$1,$B42,BE$1,$B$1)</f>
        <v>24.47</v>
      </c>
      <c r="BF42">
        <f>_xll.EQNXTDZ($A$1,$B42,BF$1,$B$1)</f>
        <v>32.869999999999997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109</v>
      </c>
      <c r="B44" t="s">
        <v>110</v>
      </c>
    </row>
    <row r="45" spans="1:74" x14ac:dyDescent="0.25">
      <c r="A45" t="s">
        <v>332</v>
      </c>
      <c r="B45" t="s">
        <v>333</v>
      </c>
      <c r="C45">
        <f>_xll.EQNXTDZ($A$1,$B45,C$1,$B$1)</f>
        <v>39.42</v>
      </c>
      <c r="D45">
        <f>_xll.EQNXTDZ($A$1,$B45,D$1,$B$1)</f>
        <v>39.42</v>
      </c>
      <c r="E45">
        <f>_xll.EQNXTDZ($A$1,$B45,E$1,$B$1)</f>
        <v>39.42</v>
      </c>
      <c r="F45">
        <f>_xll.EQNXTDZ($A$1,$B45,F$1,$B$1)</f>
        <v>39.42</v>
      </c>
      <c r="G45">
        <f>_xll.EQNXTDZ($A$1,$B45,G$1,$B$1)</f>
        <v>39.42</v>
      </c>
      <c r="H45">
        <f>_xll.EQNXTDZ($A$1,$B45,H$1,$B$1)</f>
        <v>39.42</v>
      </c>
      <c r="I45">
        <f>_xll.EQNXTDZ($A$1,$B45,I$1,$B$1)</f>
        <v>39.42</v>
      </c>
      <c r="J45">
        <f>_xll.EQNXTDZ($A$1,$B45,J$1,$B$1)</f>
        <v>39.42</v>
      </c>
      <c r="K45">
        <f>_xll.EQNXTDZ($A$1,$B45,K$1,$B$1)</f>
        <v>39.42</v>
      </c>
      <c r="L45">
        <f>_xll.EQNXTDZ($A$1,$B45,L$1,$B$1)</f>
        <v>39.42</v>
      </c>
      <c r="M45">
        <f>_xll.EQNXTDZ($A$1,$B45,M$1,$B$1)</f>
        <v>39.42</v>
      </c>
      <c r="N45">
        <f>_xll.EQNXTDZ($A$1,$B45,N$1,$B$1)</f>
        <v>39.42</v>
      </c>
      <c r="O45">
        <f>_xll.EQNXTDZ($A$1,$B45,O$1,$B$1)</f>
        <v>39.42</v>
      </c>
      <c r="P45">
        <f>_xll.EQNXTDZ($A$1,$B45,P$1,$B$1)</f>
        <v>39.42</v>
      </c>
      <c r="Q45">
        <f>_xll.EQNXTDZ($A$1,$B45,Q$1,$B$1)</f>
        <v>39.42</v>
      </c>
      <c r="R45">
        <f>_xll.EQNXTDZ($A$1,$B45,R$1,$B$1)</f>
        <v>39.42</v>
      </c>
      <c r="S45">
        <f>_xll.EQNXTDZ($A$1,$B45,S$1,$B$1)</f>
        <v>39.42</v>
      </c>
      <c r="T45">
        <f>_xll.EQNXTDZ($A$1,$B45,T$1,$B$1)</f>
        <v>39.42</v>
      </c>
      <c r="U45">
        <f>_xll.EQNXTDZ($A$1,$B45,U$1,$B$1)</f>
        <v>39.42</v>
      </c>
      <c r="V45">
        <f>_xll.EQNXTDZ($A$1,$B45,V$1,$B$1)</f>
        <v>39.42</v>
      </c>
      <c r="W45">
        <f>_xll.EQNXTDZ($A$1,$B45,W$1,$B$1)</f>
        <v>39.42</v>
      </c>
      <c r="X45">
        <f>_xll.EQNXTDZ($A$1,$B45,X$1,$B$1)</f>
        <v>39.42</v>
      </c>
      <c r="Y45">
        <f>_xll.EQNXTDZ($A$1,$B45,Y$1,$B$1)</f>
        <v>39.42</v>
      </c>
      <c r="Z45">
        <f>_xll.EQNXTDZ($A$1,$B45,Z$1,$B$1)</f>
        <v>39.42</v>
      </c>
      <c r="AA45">
        <f>_xll.EQNXTDZ($A$1,$B45,AA$1,$B$1)</f>
        <v>39.42</v>
      </c>
      <c r="AB45">
        <f>_xll.EQNXTDZ($A$1,$B45,AB$1,$B$1)</f>
        <v>39.42</v>
      </c>
      <c r="AC45">
        <f>_xll.EQNXTDZ($A$1,$B45,AC$1,$B$1)</f>
        <v>39.42</v>
      </c>
      <c r="AD45">
        <f>_xll.EQNXTDZ($A$1,$B45,AD$1,$B$1)</f>
        <v>39.42</v>
      </c>
      <c r="AE45">
        <f>_xll.EQNXTDZ($A$1,$B45,AE$1,$B$1)</f>
        <v>39.42</v>
      </c>
      <c r="AF45">
        <f>_xll.EQNXTDZ($A$1,$B45,AF$1,$B$1)</f>
        <v>39.42</v>
      </c>
      <c r="AG45">
        <f>_xll.EQNXTDZ($A$1,$B45,AG$1,$B$1)</f>
        <v>39.42</v>
      </c>
      <c r="AH45">
        <f>_xll.EQNXTDZ($A$1,$B45,AH$1,$B$1)</f>
        <v>39.42</v>
      </c>
      <c r="AI45">
        <f>_xll.EQNXTDZ($A$1,$B45,AI$1,$B$1)</f>
        <v>39.42</v>
      </c>
      <c r="AJ45">
        <f>_xll.EQNXTDZ($A$1,$B45,AJ$1,$B$1)</f>
        <v>39.42</v>
      </c>
      <c r="AK45">
        <f>_xll.EQNXTDZ($A$1,$B45,AK$1,$B$1)</f>
        <v>43.42</v>
      </c>
      <c r="AL45">
        <f>_xll.EQNXTDZ($A$1,$B45,AL$1,$B$1)</f>
        <v>43.42</v>
      </c>
      <c r="AM45">
        <f>_xll.EQNXTDZ($A$1,$B45,AM$1,$B$1)</f>
        <v>43.42</v>
      </c>
      <c r="AN45">
        <f>_xll.EQNXTDZ($A$1,$B45,AN$1,$B$1)</f>
        <v>43.42</v>
      </c>
      <c r="AO45">
        <f>_xll.EQNXTDZ($A$1,$B45,AO$1,$B$1)</f>
        <v>43.42</v>
      </c>
      <c r="AP45">
        <f>_xll.EQNXTDZ($A$1,$B45,AP$1,$B$1)</f>
        <v>43.42</v>
      </c>
      <c r="AQ45">
        <f>_xll.EQNXTDZ($A$1,$B45,AQ$1,$B$1)</f>
        <v>43.42</v>
      </c>
      <c r="AR45">
        <f>_xll.EQNXTDZ($A$1,$B45,AR$1,$B$1)</f>
        <v>45.05</v>
      </c>
      <c r="AS45">
        <f>_xll.EQNXTDZ($A$1,$B45,AS$1,$B$1)</f>
        <v>45.05</v>
      </c>
      <c r="AT45">
        <f>_xll.EQNXTDZ($A$1,$B45,AT$1,$B$1)</f>
        <v>45.05</v>
      </c>
      <c r="AU45">
        <f>_xll.EQNXTDZ($A$1,$B45,AU$1,$B$1)</f>
        <v>50.25</v>
      </c>
      <c r="AV45">
        <f>_xll.EQNXTDZ($A$1,$B45,AV$1,$B$1)</f>
        <v>50.25</v>
      </c>
      <c r="AW45">
        <f>_xll.EQNXTDZ($A$1,$B45,AW$1,$B$1)</f>
        <v>50.25</v>
      </c>
      <c r="AX45">
        <f>_xll.EQNXTDZ($A$1,$B45,AX$1,$B$1)</f>
        <v>50.25</v>
      </c>
      <c r="AY45">
        <f>_xll.EQNXTDZ($A$1,$B45,AY$1,$B$1)</f>
        <v>50.25</v>
      </c>
      <c r="AZ45">
        <f>_xll.EQNXTDZ($A$1,$B45,AZ$1,$B$1)</f>
        <v>50.25</v>
      </c>
      <c r="BA45">
        <f>_xll.EQNXTDZ($A$1,$B45,BA$1,$B$1)</f>
        <v>50.25</v>
      </c>
      <c r="BB45">
        <f>_xll.EQNXTDZ($A$1,$B45,BB$1,$B$1)</f>
        <v>50.25</v>
      </c>
      <c r="BC45">
        <f>_xll.EQNXTDZ($A$1,$B45,BC$1,$B$1)</f>
        <v>50.25</v>
      </c>
      <c r="BD45">
        <f>_xll.EQNXTDZ($A$1,$B45,BD$1,$B$1)</f>
        <v>50.25</v>
      </c>
      <c r="BE45">
        <f>_xll.EQNXTDZ($A$1,$B45,BE$1,$B$1)</f>
        <v>50.25</v>
      </c>
      <c r="BF45">
        <f>_xll.EQNXTDZ($A$1,$B45,BF$1,$B$1)</f>
        <v>50.25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314</v>
      </c>
      <c r="B46" t="s">
        <v>334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336</v>
      </c>
      <c r="B47" t="s">
        <v>337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36</v>
      </c>
      <c r="B48" t="s">
        <v>335</v>
      </c>
      <c r="C48" s="55">
        <f>_xll.EQNXTDZ($A$1,$B48,C$5)</f>
        <v>47.85</v>
      </c>
      <c r="D48" s="55">
        <f>_xll.EQNXTDZ($A$1,$B48,D$5)</f>
        <v>55.75</v>
      </c>
      <c r="E48" s="55">
        <f>_xll.EQNXTDZ($A$1,$B48,E$5)</f>
        <v>51</v>
      </c>
      <c r="F48" s="55">
        <f>_xll.EQNXTDZ($A$1,$B48,F$5)</f>
        <v>34</v>
      </c>
      <c r="G48" s="55">
        <f>_xll.EQNXTDZ($A$1,$B48,G$5)</f>
        <v>41.25</v>
      </c>
      <c r="H48" s="55">
        <f>_xll.EQNXTDZ($A$1,$B48,H$5)</f>
        <v>28.05</v>
      </c>
      <c r="I48" s="55">
        <f>_xll.EQNXTDZ($A$1,$B48,I$5)</f>
        <v>35.85</v>
      </c>
      <c r="J48" s="55">
        <f>_xll.EQNXTDZ($A$1,$B48,J$5)</f>
        <v>35.1</v>
      </c>
      <c r="K48" s="55">
        <f>_xll.EQNXTDZ($A$1,$B48,K$5)</f>
        <v>54.8</v>
      </c>
      <c r="L48" s="55">
        <f>_xll.EQNXTDZ($A$1,$B48,L$5)</f>
        <v>82.8</v>
      </c>
      <c r="M48" s="55">
        <f>_xll.EQNXTDZ($A$1,$B48,M$5)</f>
        <v>77.3</v>
      </c>
      <c r="N48" s="55">
        <f>_xll.EQNXTDZ($A$1,$B48,N$5)</f>
        <v>78.150000000000006</v>
      </c>
      <c r="O48" s="55">
        <f>_xll.EQNXTDZ($A$1,$B48,O$5)</f>
        <v>149.6</v>
      </c>
      <c r="P48" s="55">
        <f>_xll.EQNXTDZ($A$1,$B48,P$5)</f>
        <v>263.2</v>
      </c>
      <c r="Q48" s="55">
        <f>_xll.EQNXTDZ($A$1,$B48,Q$5)</f>
        <v>306</v>
      </c>
      <c r="R48" s="55">
        <f>_xll.EQNXTDZ($A$1,$B48,R$5)</f>
        <v>249.1</v>
      </c>
      <c r="S48" s="55">
        <f>_xll.EQNXTDZ($A$1,$B48,S$5)</f>
        <v>274.14999999999998</v>
      </c>
      <c r="T48" s="55">
        <f>_xll.EQNXTDZ($A$1,$B48,T$5)</f>
        <v>252.05</v>
      </c>
      <c r="U48" s="55">
        <f>_xll.EQNXTDZ($A$1,$B48,U$5)</f>
        <v>246.5</v>
      </c>
      <c r="V48" s="55">
        <f>_xll.EQNXTDZ($A$1,$B48,V$5)</f>
        <v>276.05</v>
      </c>
      <c r="W48" s="55">
        <f>_xll.EQNXTDZ($A$1,$B48,W$5)</f>
        <v>262.14999999999998</v>
      </c>
      <c r="X48" s="55">
        <f>_xll.EQNXTDZ($A$1,$B48,X$5)</f>
        <v>197.2</v>
      </c>
      <c r="Y48" s="55">
        <f>_xll.EQNXTDZ($A$1,$B48,Y$5)</f>
        <v>190.2</v>
      </c>
      <c r="Z48" s="55">
        <f>_xll.EQNXTDZ($A$1,$B48,Z$5)</f>
        <v>119.5</v>
      </c>
      <c r="AA48" s="55">
        <f>_xll.EQNXTDZ($A$1,$B48,AA$5)</f>
        <v>81.650000000000006</v>
      </c>
      <c r="AB48" s="55">
        <f>_xll.EQNXTDZ($A$1,$B48,AB$5)</f>
        <v>60.3</v>
      </c>
      <c r="AC48" s="55">
        <f>_xll.EQNXTDZ($A$1,$B48,AC$5)</f>
        <v>68.25</v>
      </c>
      <c r="AD48" s="55">
        <f>_xll.EQNXTDZ($A$1,$B48,AD$5)</f>
        <v>65.55</v>
      </c>
      <c r="AE48" s="55">
        <f>_xll.EQNXTDZ($A$1,$B48,AE$5)</f>
        <v>52.05</v>
      </c>
      <c r="AF48" s="55">
        <f>_xll.EQNXTDZ($A$1,$B48,AF$5)</f>
        <v>38.450000000000003</v>
      </c>
      <c r="AG48" s="55">
        <f>_xll.EQNXTDZ($A$1,$B48,AG$5)</f>
        <v>61</v>
      </c>
      <c r="AH48" s="55">
        <f>_xll.EQNXTDZ($A$1,$B48,AH$5)</f>
        <v>35.299999999999997</v>
      </c>
      <c r="AI48" s="55">
        <f>_xll.EQNXTDZ($A$1,$B48,AI$5)</f>
        <v>48.8</v>
      </c>
      <c r="AJ48" s="55">
        <f>_xll.EQNXTDZ($A$1,$B48,AJ$5)</f>
        <v>46.9</v>
      </c>
      <c r="AK48" s="55">
        <f>_xll.EQNXTDZ($A$1,$B48,AK$5)</f>
        <v>76.849999999999994</v>
      </c>
      <c r="AL48" s="55">
        <f>_xll.EQNXTDZ($A$1,$B48,AL$5)</f>
        <v>73.55</v>
      </c>
      <c r="AM48" s="55">
        <f>_xll.EQNXTDZ($A$1,$B48,AM$5)</f>
        <v>105.25</v>
      </c>
      <c r="AN48" s="55">
        <f>_xll.EQNXTDZ($A$1,$B48,AN$5)</f>
        <v>166.8</v>
      </c>
      <c r="AO48" s="55">
        <f>_xll.EQNXTDZ($A$1,$B48,AO$5)</f>
        <v>348.15</v>
      </c>
      <c r="AP48" s="55">
        <f>_xll.EQNXTDZ($A$1,$B48,AP$5)</f>
        <v>258.45</v>
      </c>
      <c r="AQ48" s="55">
        <f>_xll.EQNXTDZ($A$1,$B48,AQ$5)</f>
        <v>272.2</v>
      </c>
      <c r="AR48" s="55">
        <f>_xll.EQNXTDZ($A$1,$B48,AR$5)</f>
        <v>278.89999999999998</v>
      </c>
      <c r="AS48" s="55">
        <f>_xll.EQNXTDZ($A$1,$B48,AS$5)</f>
        <v>243.65</v>
      </c>
      <c r="AT48" s="55">
        <f>_xll.EQNXTDZ($A$1,$B48,AT$5)</f>
        <v>215.4</v>
      </c>
      <c r="AU48" s="55">
        <f>_xll.EQNXTDZ($A$1,$B48,AU$5)</f>
        <v>300.45</v>
      </c>
      <c r="AV48" s="55">
        <f>_xll.EQNXTDZ($A$1,$B48,AV$5)</f>
        <v>342.3</v>
      </c>
      <c r="AW48" s="55">
        <f>_xll.EQNXTDZ($A$1,$B48,AW$5)</f>
        <v>426.45</v>
      </c>
      <c r="AX48" s="55">
        <f>_xll.EQNXTDZ($A$1,$B48,AX$5)</f>
        <v>438.55</v>
      </c>
      <c r="AY48" s="55">
        <f>_xll.EQNXTDZ($A$1,$B48,AY$5)</f>
        <v>408.8</v>
      </c>
      <c r="AZ48" s="55">
        <f>_xll.EQNXTDZ($A$1,$B48,AZ$5)</f>
        <v>466.6</v>
      </c>
      <c r="BA48" s="55">
        <f>_xll.EQNXTDZ($A$1,$B48,BA$5)</f>
        <v>414.95</v>
      </c>
      <c r="BB48" s="55">
        <f>_xll.EQNXTDZ($A$1,$B48,BB$5)</f>
        <v>436.5</v>
      </c>
      <c r="BC48" s="55">
        <f>_xll.EQNXTDZ($A$1,$B48,BC$5)</f>
        <v>488.15</v>
      </c>
      <c r="BD48" s="55">
        <f>_xll.EQNXTDZ($A$1,$B48,BD$5)</f>
        <v>434.15</v>
      </c>
      <c r="BE48" s="55">
        <f>_xll.EQNXTDZ($A$1,$B48,BE$5)</f>
        <v>495.35</v>
      </c>
      <c r="BF48" s="55">
        <f>_xll.EQNXTDZ($A$1,$B48,BF$5)</f>
        <v>415.8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326</v>
      </c>
      <c r="B49" t="s">
        <v>329</v>
      </c>
      <c r="C49" s="55">
        <f>_xll.EQNXTDZ($A$1,$B49,C$5)</f>
        <v>36.99</v>
      </c>
      <c r="D49" s="55">
        <f>_xll.EQNXTDZ($A$1,$B49,D$5)</f>
        <v>37.99</v>
      </c>
      <c r="E49" s="55">
        <f>_xll.EQNXTDZ($A$1,$B49,E$5)</f>
        <v>37.99</v>
      </c>
      <c r="F49" s="55">
        <f>_xll.EQNXTDZ($A$1,$B49,F$5)</f>
        <v>38.65</v>
      </c>
      <c r="G49" s="55">
        <f>_xll.EQNXTDZ($A$1,$B49,G$5)</f>
        <v>38.65</v>
      </c>
      <c r="H49" s="55">
        <f>_xll.EQNXTDZ($A$1,$B49,H$5)</f>
        <v>38.65</v>
      </c>
      <c r="I49" s="55">
        <f>_xll.EQNXTDZ($A$1,$B49,I$5)</f>
        <v>38.65</v>
      </c>
      <c r="J49" s="55">
        <f>_xll.EQNXTDZ($A$1,$B49,J$5)</f>
        <v>42.8</v>
      </c>
      <c r="K49" s="55">
        <f>_xll.EQNXTDZ($A$1,$B49,K$5)</f>
        <v>42.8</v>
      </c>
      <c r="L49" s="55">
        <f>_xll.EQNXTDZ($A$1,$B49,L$5)</f>
        <v>42.8</v>
      </c>
      <c r="M49" s="55">
        <f>_xll.EQNXTDZ($A$1,$B49,M$5)</f>
        <v>42.8</v>
      </c>
      <c r="N49" s="55">
        <f>_xll.EQNXTDZ($A$1,$B49,N$5)</f>
        <v>42.8</v>
      </c>
      <c r="O49" s="55">
        <f>_xll.EQNXTDZ($A$1,$B49,O$5)</f>
        <v>47.35</v>
      </c>
      <c r="P49" s="55">
        <f>_xll.EQNXTDZ($A$1,$B49,P$5)</f>
        <v>47.35</v>
      </c>
      <c r="Q49" s="55">
        <f>_xll.EQNXTDZ($A$1,$B49,Q$5)</f>
        <v>47.35</v>
      </c>
      <c r="R49" s="55">
        <f>_xll.EQNXTDZ($A$1,$B49,R$5)</f>
        <v>47.35</v>
      </c>
      <c r="S49" s="55">
        <f>_xll.EQNXTDZ($A$1,$B49,S$5)</f>
        <v>47.35</v>
      </c>
      <c r="T49" s="55">
        <f>_xll.EQNXTDZ($A$1,$B49,T$5)</f>
        <v>47.48</v>
      </c>
      <c r="U49" s="55">
        <f>_xll.EQNXTDZ($A$1,$B49,U$5)</f>
        <v>47.35</v>
      </c>
      <c r="V49" s="55">
        <f>_xll.EQNXTDZ($A$1,$B49,V$5)</f>
        <v>47.35</v>
      </c>
      <c r="W49" s="55">
        <f>_xll.EQNXTDZ($A$1,$B49,W$5)</f>
        <v>47.35</v>
      </c>
      <c r="X49" s="55">
        <f>_xll.EQNXTDZ($A$1,$B49,X$5)</f>
        <v>47.35</v>
      </c>
      <c r="Y49" s="55">
        <f>_xll.EQNXTDZ($A$1,$B49,Y$5)</f>
        <v>47.35</v>
      </c>
      <c r="Z49" s="55">
        <f>_xll.EQNXTDZ($A$1,$B49,Z$5)</f>
        <v>47.35</v>
      </c>
      <c r="AA49" s="55">
        <f>_xll.EQNXTDZ($A$1,$B49,AA$5)</f>
        <v>47.35</v>
      </c>
      <c r="AB49" s="55">
        <f>_xll.EQNXTDZ($A$1,$B49,AB$5)</f>
        <v>47.35</v>
      </c>
      <c r="AC49" s="55">
        <f>_xll.EQNXTDZ($A$1,$B49,AC$5)</f>
        <v>47.35</v>
      </c>
      <c r="AD49" s="55">
        <f>_xll.EQNXTDZ($A$1,$B49,AD$5)</f>
        <v>50.05</v>
      </c>
      <c r="AE49" s="55">
        <f>_xll.EQNXTDZ($A$1,$B49,AE$5)</f>
        <v>50.05</v>
      </c>
      <c r="AF49" s="55">
        <f>_xll.EQNXTDZ($A$1,$B49,AF$5)</f>
        <v>55</v>
      </c>
      <c r="AG49" s="55">
        <f>_xll.EQNXTDZ($A$1,$B49,AG$5)</f>
        <v>55</v>
      </c>
      <c r="AH49" s="55">
        <f>_xll.EQNXTDZ($A$1,$B49,AH$5)</f>
        <v>55</v>
      </c>
      <c r="AI49" s="55">
        <f>_xll.EQNXTDZ($A$1,$B49,AI$5)</f>
        <v>55</v>
      </c>
      <c r="AJ49" s="55">
        <f>_xll.EQNXTDZ($A$1,$B49,AJ$5)</f>
        <v>55</v>
      </c>
      <c r="AK49" s="55">
        <f>_xll.EQNXTDZ($A$1,$B49,AK$5)</f>
        <v>59.15</v>
      </c>
      <c r="AL49" s="55">
        <f>_xll.EQNXTDZ($A$1,$B49,AL$5)</f>
        <v>59.15</v>
      </c>
      <c r="AM49" s="55">
        <f>_xll.EQNXTDZ($A$1,$B49,AM$5)</f>
        <v>59.15</v>
      </c>
      <c r="AN49" s="55">
        <f>_xll.EQNXTDZ($A$1,$B49,AN$5)</f>
        <v>61.45</v>
      </c>
      <c r="AO49" s="55">
        <f>_xll.EQNXTDZ($A$1,$B49,AO$5)</f>
        <v>61.45</v>
      </c>
      <c r="AP49" s="55">
        <f>_xll.EQNXTDZ($A$1,$B49,AP$5)</f>
        <v>61.44</v>
      </c>
      <c r="AQ49" s="55">
        <f>_xll.EQNXTDZ($A$1,$B49,AQ$5)</f>
        <v>61.44</v>
      </c>
      <c r="AR49" s="55">
        <f>_xll.EQNXTDZ($A$1,$B49,AR$5)</f>
        <v>70.28</v>
      </c>
      <c r="AS49" s="55">
        <f>_xll.EQNXTDZ($A$1,$B49,AS$5)</f>
        <v>70.28</v>
      </c>
      <c r="AT49" s="55">
        <f>_xll.EQNXTDZ($A$1,$B49,AT$5)</f>
        <v>70.28</v>
      </c>
      <c r="AU49" s="55">
        <f>_xll.EQNXTDZ($A$1,$B49,AU$5)</f>
        <v>70.17</v>
      </c>
      <c r="AV49" s="55">
        <f>_xll.EQNXTDZ($A$1,$B49,AV$5)</f>
        <v>70.17</v>
      </c>
      <c r="AW49" s="55">
        <f>_xll.EQNXTDZ($A$1,$B49,AW$5)</f>
        <v>70.16</v>
      </c>
      <c r="AX49" s="55">
        <f>_xll.EQNXTDZ($A$1,$B49,AX$5)</f>
        <v>70.16</v>
      </c>
      <c r="AY49" s="55">
        <f>_xll.EQNXTDZ($A$1,$B49,AY$5)</f>
        <v>70.16</v>
      </c>
      <c r="AZ49" s="55">
        <f>_xll.EQNXTDZ($A$1,$B49,AZ$5)</f>
        <v>70.16</v>
      </c>
      <c r="BA49" s="55">
        <f>_xll.EQNXTDZ($A$1,$B49,BA$5)</f>
        <v>70.16</v>
      </c>
      <c r="BB49" s="55">
        <f>_xll.EQNXTDZ($A$1,$B49,BB$5)</f>
        <v>70.16</v>
      </c>
      <c r="BC49" s="55">
        <f>_xll.EQNXTDZ($A$1,$B49,BC$5)</f>
        <v>70.16</v>
      </c>
      <c r="BD49" s="55">
        <f>_xll.EQNXTDZ($A$1,$B49,BD$5)</f>
        <v>70.17</v>
      </c>
      <c r="BE49" s="55">
        <f>_xll.EQNXTDZ($A$1,$B49,BE$5)</f>
        <v>70.349999999999994</v>
      </c>
      <c r="BF49" s="55">
        <f>_xll.EQNXTDZ($A$1,$B49,BF$5)</f>
        <v>70.52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331</v>
      </c>
      <c r="B50" t="s">
        <v>330</v>
      </c>
      <c r="C50" s="55">
        <f>_xll.EQNXTDZ($A$1,$B50,C$5)</f>
        <v>21.26</v>
      </c>
      <c r="D50" s="55">
        <f>_xll.EQNXTDZ($A$1,$B50,D$5)</f>
        <v>20.7</v>
      </c>
      <c r="E50" s="55">
        <f>_xll.EQNXTDZ($A$1,$B50,E$5)</f>
        <v>20.7</v>
      </c>
      <c r="F50" s="55">
        <f>_xll.EQNXTDZ($A$1,$B50,F$5)</f>
        <v>20.350000000000001</v>
      </c>
      <c r="G50" s="55">
        <f>_xll.EQNXTDZ($A$1,$B50,G$5)</f>
        <v>20.350000000000001</v>
      </c>
      <c r="H50" s="55">
        <f>_xll.EQNXTDZ($A$1,$B50,H$5)</f>
        <v>20.350000000000001</v>
      </c>
      <c r="I50" s="55">
        <f>_xll.EQNXTDZ($A$1,$B50,I$5)</f>
        <v>20.350000000000001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109</v>
      </c>
      <c r="B54" t="s">
        <v>110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112</v>
      </c>
      <c r="B55" s="56" t="s">
        <v>370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40</v>
      </c>
      <c r="B56" t="s">
        <v>371</v>
      </c>
      <c r="C56" s="55">
        <f>_xll.EQNXTDZ($A$1,$B56,C$5,$B$1)</f>
        <v>0</v>
      </c>
      <c r="D56" s="55">
        <f>_xll.EQNXTDZ($A$1,$B56,D$5,$B$1)</f>
        <v>39.42</v>
      </c>
      <c r="E56" s="55">
        <f>_xll.EQNXTDZ($A$1,$B56,E$5,$B$1)</f>
        <v>0</v>
      </c>
      <c r="F56" s="55">
        <f>_xll.EQNXTDZ($A$1,$B56,F$5,$B$1)</f>
        <v>39.42</v>
      </c>
      <c r="G56" s="55">
        <f>_xll.EQNXTDZ($A$1,$B56,G$5,$B$1)</f>
        <v>0</v>
      </c>
      <c r="H56" s="55">
        <f>_xll.EQNXTDZ($A$1,$B56,H$5,$B$1)</f>
        <v>39.42</v>
      </c>
      <c r="I56" s="55">
        <f>_xll.EQNXTDZ($A$1,$B56,I$5,$B$1)</f>
        <v>0</v>
      </c>
      <c r="J56" s="55">
        <f>_xll.EQNXTDZ($A$1,$B56,J$5,$B$1)</f>
        <v>39.42</v>
      </c>
      <c r="K56" s="55">
        <f>_xll.EQNXTDZ($A$1,$B56,K$5,$B$1)</f>
        <v>0</v>
      </c>
      <c r="L56" s="55">
        <f>_xll.EQNXTDZ($A$1,$B56,L$5,$B$1)</f>
        <v>39.42</v>
      </c>
      <c r="M56" s="55">
        <f>_xll.EQNXTDZ($A$1,$B56,M$5,$B$1)</f>
        <v>0</v>
      </c>
      <c r="N56" s="55">
        <f>_xll.EQNXTDZ($A$1,$B56,N$5,$B$1)</f>
        <v>39.42</v>
      </c>
      <c r="O56" s="55">
        <f>_xll.EQNXTDZ($A$1,$B56,O$5,$B$1)</f>
        <v>0</v>
      </c>
      <c r="P56" s="55">
        <f>_xll.EQNXTDZ($A$1,$B56,P$5,$B$1)</f>
        <v>39.42</v>
      </c>
      <c r="Q56" s="55">
        <f>_xll.EQNXTDZ($A$1,$B56,Q$5,$B$1)</f>
        <v>0</v>
      </c>
      <c r="R56" s="55">
        <f>_xll.EQNXTDZ($A$1,$B56,R$5,$B$1)</f>
        <v>39.42</v>
      </c>
      <c r="S56" s="55">
        <f>_xll.EQNXTDZ($A$1,$B56,S$5,$B$1)</f>
        <v>0</v>
      </c>
      <c r="T56" s="55">
        <f>_xll.EQNXTDZ($A$1,$B56,T$5,$B$1)</f>
        <v>39.42</v>
      </c>
      <c r="U56" s="55">
        <f>_xll.EQNXTDZ($A$1,$B56,U$5,$B$1)</f>
        <v>0</v>
      </c>
      <c r="V56" s="55">
        <f>_xll.EQNXTDZ($A$1,$B56,V$5,$B$1)</f>
        <v>39.42</v>
      </c>
      <c r="W56" s="55">
        <f>_xll.EQNXTDZ($A$1,$B56,W$5,$B$1)</f>
        <v>0</v>
      </c>
      <c r="X56" s="55">
        <f>_xll.EQNXTDZ($A$1,$B56,X$5,$B$1)</f>
        <v>39.42</v>
      </c>
      <c r="Y56" s="55">
        <f>_xll.EQNXTDZ($A$1,$B56,Y$5,$B$1)</f>
        <v>0</v>
      </c>
      <c r="Z56" s="55">
        <f>_xll.EQNXTDZ($A$1,$B56,Z$5,$B$1)</f>
        <v>39.42</v>
      </c>
      <c r="AA56" s="55">
        <f>_xll.EQNXTDZ($A$1,$B56,AA$5,$B$1)</f>
        <v>0</v>
      </c>
      <c r="AB56" s="55">
        <f>_xll.EQNXTDZ($A$1,$B56,AB$5,$B$1)</f>
        <v>39.42</v>
      </c>
      <c r="AC56" s="55">
        <f>_xll.EQNXTDZ($A$1,$B56,AC$5,$B$1)</f>
        <v>0</v>
      </c>
      <c r="AD56" s="55">
        <f>_xll.EQNXTDZ($A$1,$B56,AD$5,$B$1)</f>
        <v>39.42</v>
      </c>
      <c r="AE56" s="55">
        <f>_xll.EQNXTDZ($A$1,$B56,AE$5,$B$1)</f>
        <v>0</v>
      </c>
      <c r="AF56" s="55">
        <f>_xll.EQNXTDZ($A$1,$B56,AF$5,$B$1)</f>
        <v>39.42</v>
      </c>
      <c r="AG56" s="55">
        <f>_xll.EQNXTDZ($A$1,$B56,AG$5,$B$1)</f>
        <v>0</v>
      </c>
      <c r="AH56" s="55">
        <f>_xll.EQNXTDZ($A$1,$B56,AH$5,$B$1)</f>
        <v>39.42</v>
      </c>
      <c r="AI56" s="55">
        <f>_xll.EQNXTDZ($A$1,$B56,AI$5,$B$1)</f>
        <v>0</v>
      </c>
      <c r="AJ56" s="55">
        <f>_xll.EQNXTDZ($A$1,$B56,AJ$5,$B$1)</f>
        <v>39.42</v>
      </c>
      <c r="AK56" s="55">
        <f>_xll.EQNXTDZ($A$1,$B56,AK$5,$B$1)</f>
        <v>0</v>
      </c>
      <c r="AL56" s="55">
        <f>_xll.EQNXTDZ($A$1,$B56,AL$5,$B$1)</f>
        <v>43.42</v>
      </c>
      <c r="AM56" s="55">
        <f>_xll.EQNXTDZ($A$1,$B56,AM$5,$B$1)</f>
        <v>0</v>
      </c>
      <c r="AN56" s="55">
        <f>_xll.EQNXTDZ($A$1,$B56,AN$5,$B$1)</f>
        <v>43.42</v>
      </c>
      <c r="AO56" s="55">
        <f>_xll.EQNXTDZ($A$1,$B56,AO$5,$B$1)</f>
        <v>0</v>
      </c>
      <c r="AP56" s="55">
        <f>_xll.EQNXTDZ($A$1,$B56,AP$5,$B$1)</f>
        <v>43.42</v>
      </c>
      <c r="AQ56" s="55">
        <f>_xll.EQNXTDZ($A$1,$B56,AQ$5,$B$1)</f>
        <v>0</v>
      </c>
      <c r="AR56" s="55">
        <f>_xll.EQNXTDZ($A$1,$B56,AR$5,$B$1)</f>
        <v>45.05</v>
      </c>
      <c r="AS56" s="55">
        <f>_xll.EQNXTDZ($A$1,$B56,AS$5,$B$1)</f>
        <v>0</v>
      </c>
      <c r="AT56" s="55">
        <f>_xll.EQNXTDZ($A$1,$B56,AT$5,$B$1)</f>
        <v>45.05</v>
      </c>
      <c r="AU56" s="55">
        <f>_xll.EQNXTDZ($A$1,$B56,AU$5,$B$1)</f>
        <v>0</v>
      </c>
      <c r="AV56" s="55">
        <f>_xll.EQNXTDZ($A$1,$B56,AV$5,$B$1)</f>
        <v>50.25</v>
      </c>
      <c r="AW56" s="55">
        <f>_xll.EQNXTDZ($A$1,$B56,AW$5,$B$1)</f>
        <v>0</v>
      </c>
      <c r="AX56" s="55">
        <f>_xll.EQNXTDZ($A$1,$B56,AX$5,$B$1)</f>
        <v>50.25</v>
      </c>
      <c r="AY56" s="55">
        <f>_xll.EQNXTDZ($A$1,$B56,AY$5,$B$1)</f>
        <v>0</v>
      </c>
      <c r="AZ56" s="55">
        <f>_xll.EQNXTDZ($A$1,$B56,AZ$5,$B$1)</f>
        <v>50.25</v>
      </c>
      <c r="BA56" s="55">
        <f>_xll.EQNXTDZ($A$1,$B56,BA$5,$B$1)</f>
        <v>0</v>
      </c>
      <c r="BB56" s="55">
        <f>_xll.EQNXTDZ($A$1,$B56,BB$5,$B$1)</f>
        <v>50.25</v>
      </c>
      <c r="BC56" s="55">
        <f>_xll.EQNXTDZ($A$1,$B56,BC$5,$B$1)</f>
        <v>0</v>
      </c>
      <c r="BD56" s="55">
        <f>_xll.EQNXTDZ($A$1,$B56,BD$5,$B$1)</f>
        <v>50.25</v>
      </c>
      <c r="BE56" s="55">
        <f>_xll.EQNXTDZ($A$1,$B56,BE$5,$B$1)</f>
        <v>0</v>
      </c>
      <c r="BF56" s="55">
        <f>_xll.EQNXTDZ($A$1,$B56,BF$5,$B$1)</f>
        <v>50.25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352</v>
      </c>
      <c r="B57" t="s">
        <v>372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25.65</v>
      </c>
      <c r="AQ57" s="55">
        <f>_xll.EQNXTDZ($A$1,$B57,AQ$5,$B$1)</f>
        <v>0</v>
      </c>
      <c r="AR57" s="55">
        <f>_xll.EQNXTDZ($A$1,$B57,AR$5,$B$1)</f>
        <v>23.4</v>
      </c>
      <c r="AS57" s="55">
        <f>_xll.EQNXTDZ($A$1,$B57,AS$5,$B$1)</f>
        <v>0</v>
      </c>
      <c r="AT57" s="55">
        <f>_xll.EQNXTDZ($A$1,$B57,AT$5,$B$1)</f>
        <v>23.4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353</v>
      </c>
      <c r="B58" t="s">
        <v>373</v>
      </c>
      <c r="C58" s="55">
        <f>_xll.EQNXTDZ($A$1,$B58,C$5,$B$1)</f>
        <v>0</v>
      </c>
      <c r="D58" s="55">
        <f>_xll.EQNXTDZ($A$1,$B58,D$5,$B$1)</f>
        <v>240.52</v>
      </c>
      <c r="E58" s="55">
        <f>_xll.EQNXTDZ($A$1,$B58,E$5,$B$1)</f>
        <v>0</v>
      </c>
      <c r="F58" s="55">
        <f>_xll.EQNXTDZ($A$1,$B58,F$5,$B$1)</f>
        <v>258.43</v>
      </c>
      <c r="G58" s="55">
        <f>_xll.EQNXTDZ($A$1,$B58,G$5,$B$1)</f>
        <v>0</v>
      </c>
      <c r="H58" s="55">
        <f>_xll.EQNXTDZ($A$1,$B58,H$5,$B$1)</f>
        <v>276.7</v>
      </c>
      <c r="I58" s="55">
        <f>_xll.EQNXTDZ($A$1,$B58,I$5,$B$1)</f>
        <v>0</v>
      </c>
      <c r="J58" s="55">
        <f>_xll.EQNXTDZ($A$1,$B58,J$5,$B$1)</f>
        <v>292.01</v>
      </c>
      <c r="K58" s="55">
        <f>_xll.EQNXTDZ($A$1,$B58,K$5,$B$1)</f>
        <v>0</v>
      </c>
      <c r="L58" s="55">
        <f>_xll.EQNXTDZ($A$1,$B58,L$5,$B$1)</f>
        <v>315.32</v>
      </c>
      <c r="M58" s="55">
        <f>_xll.EQNXTDZ($A$1,$B58,M$5,$B$1)</f>
        <v>0</v>
      </c>
      <c r="N58" s="55">
        <f>_xll.EQNXTDZ($A$1,$B58,N$5,$B$1)</f>
        <v>332.28</v>
      </c>
      <c r="O58" s="55">
        <f>_xll.EQNXTDZ($A$1,$B58,O$5,$B$1)</f>
        <v>0</v>
      </c>
      <c r="P58" s="55">
        <f>_xll.EQNXTDZ($A$1,$B58,P$5,$B$1)</f>
        <v>368.13</v>
      </c>
      <c r="Q58" s="55">
        <f>_xll.EQNXTDZ($A$1,$B58,Q$5,$B$1)</f>
        <v>0</v>
      </c>
      <c r="R58" s="55">
        <f>_xll.EQNXTDZ($A$1,$B58,R$5,$B$1)</f>
        <v>399.83</v>
      </c>
      <c r="S58" s="55">
        <f>_xll.EQNXTDZ($A$1,$B58,S$5,$B$1)</f>
        <v>0</v>
      </c>
      <c r="T58" s="55">
        <f>_xll.EQNXTDZ($A$1,$B58,T$5,$B$1)</f>
        <v>430.43</v>
      </c>
      <c r="U58" s="55">
        <f>_xll.EQNXTDZ($A$1,$B58,U$5,$B$1)</f>
        <v>0</v>
      </c>
      <c r="V58" s="55">
        <f>_xll.EQNXTDZ($A$1,$B58,V$5,$B$1)</f>
        <v>452.52</v>
      </c>
      <c r="W58" s="55">
        <f>_xll.EQNXTDZ($A$1,$B58,W$5,$B$1)</f>
        <v>0</v>
      </c>
      <c r="X58" s="55">
        <f>_xll.EQNXTDZ($A$1,$B58,X$5,$B$1)</f>
        <v>446.47</v>
      </c>
      <c r="Y58" s="55">
        <f>_xll.EQNXTDZ($A$1,$B58,Y$5,$B$1)</f>
        <v>0</v>
      </c>
      <c r="Z58" s="55">
        <f>_xll.EQNXTDZ($A$1,$B58,Z$5,$B$1)</f>
        <v>472.33</v>
      </c>
      <c r="AA58" s="55">
        <f>_xll.EQNXTDZ($A$1,$B58,AA$5,$B$1)</f>
        <v>0</v>
      </c>
      <c r="AB58" s="55">
        <f>_xll.EQNXTDZ($A$1,$B58,AB$5,$B$1)</f>
        <v>484.42</v>
      </c>
      <c r="AC58" s="55">
        <f>_xll.EQNXTDZ($A$1,$B58,AC$5,$B$1)</f>
        <v>0</v>
      </c>
      <c r="AD58" s="55">
        <f>_xll.EQNXTDZ($A$1,$B58,AD$5,$B$1)</f>
        <v>481.28</v>
      </c>
      <c r="AE58" s="55">
        <f>_xll.EQNXTDZ($A$1,$B58,AE$5,$B$1)</f>
        <v>0</v>
      </c>
      <c r="AF58" s="55">
        <f>_xll.EQNXTDZ($A$1,$B58,AF$5,$B$1)</f>
        <v>480.94</v>
      </c>
      <c r="AG58" s="55">
        <f>_xll.EQNXTDZ($A$1,$B58,AG$5,$B$1)</f>
        <v>0</v>
      </c>
      <c r="AH58" s="55">
        <f>_xll.EQNXTDZ($A$1,$B58,AH$5,$B$1)</f>
        <v>487.7</v>
      </c>
      <c r="AI58" s="55">
        <f>_xll.EQNXTDZ($A$1,$B58,AI$5,$B$1)</f>
        <v>0</v>
      </c>
      <c r="AJ58" s="55">
        <f>_xll.EQNXTDZ($A$1,$B58,AJ$5,$B$1)</f>
        <v>452.99</v>
      </c>
      <c r="AK58" s="55">
        <f>_xll.EQNXTDZ($A$1,$B58,AK$5,$B$1)</f>
        <v>0</v>
      </c>
      <c r="AL58" s="55">
        <f>_xll.EQNXTDZ($A$1,$B58,AL$5,$B$1)</f>
        <v>508.92</v>
      </c>
      <c r="AM58" s="55">
        <f>_xll.EQNXTDZ($A$1,$B58,AM$5,$B$1)</f>
        <v>0</v>
      </c>
      <c r="AN58" s="55">
        <f>_xll.EQNXTDZ($A$1,$B58,AN$5,$B$1)</f>
        <v>548.29</v>
      </c>
      <c r="AO58" s="55">
        <f>_xll.EQNXTDZ($A$1,$B58,AO$5,$B$1)</f>
        <v>0</v>
      </c>
      <c r="AP58" s="55">
        <f>_xll.EQNXTDZ($A$1,$B58,AP$5,$B$1)</f>
        <v>646.86</v>
      </c>
      <c r="AQ58" s="55">
        <f>_xll.EQNXTDZ($A$1,$B58,AQ$5,$B$1)</f>
        <v>0</v>
      </c>
      <c r="AR58" s="55">
        <f>_xll.EQNXTDZ($A$1,$B58,AR$5,$B$1)</f>
        <v>766.64</v>
      </c>
      <c r="AS58" s="55">
        <f>_xll.EQNXTDZ($A$1,$B58,AS$5,$B$1)</f>
        <v>0</v>
      </c>
      <c r="AT58" s="55">
        <f>_xll.EQNXTDZ($A$1,$B58,AT$5,$B$1)</f>
        <v>814.68</v>
      </c>
      <c r="AU58" s="55">
        <f>_xll.EQNXTDZ($A$1,$B58,AU$5,$B$1)</f>
        <v>0</v>
      </c>
      <c r="AV58" s="55">
        <f>_xll.EQNXTDZ($A$1,$B58,AV$5,$B$1)</f>
        <v>916.89</v>
      </c>
      <c r="AW58" s="55">
        <f>_xll.EQNXTDZ($A$1,$B58,AW$5,$B$1)</f>
        <v>0</v>
      </c>
      <c r="AX58" s="55">
        <f>_xll.EQNXTDZ($A$1,$B58,AX$5,$B$1)</f>
        <v>934.07</v>
      </c>
      <c r="AY58" s="55">
        <f>_xll.EQNXTDZ($A$1,$B58,AY$5,$B$1)</f>
        <v>0</v>
      </c>
      <c r="AZ58" s="55">
        <f>_xll.EQNXTDZ($A$1,$B58,AZ$5,$B$1)</f>
        <v>948.32</v>
      </c>
      <c r="BA58" s="55">
        <f>_xll.EQNXTDZ($A$1,$B58,BA$5,$B$1)</f>
        <v>0</v>
      </c>
      <c r="BB58" s="55">
        <f>_xll.EQNXTDZ($A$1,$B58,BB$5,$B$1)</f>
        <v>956.53</v>
      </c>
      <c r="BC58" s="55">
        <f>_xll.EQNXTDZ($A$1,$B58,BC$5,$B$1)</f>
        <v>0</v>
      </c>
      <c r="BD58" s="55">
        <f>_xll.EQNXTDZ($A$1,$B58,BD$5,$B$1)</f>
        <v>970.35</v>
      </c>
      <c r="BE58" s="55">
        <f>_xll.EQNXTDZ($A$1,$B58,BE$5,$B$1)</f>
        <v>0</v>
      </c>
      <c r="BF58" s="55">
        <f>_xll.EQNXTDZ($A$1,$B58,BF$5,$B$1)</f>
        <v>1026.02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43</v>
      </c>
      <c r="B59" t="s">
        <v>374</v>
      </c>
      <c r="C59" s="55">
        <f>_xll.EQNXTDZ($A$1,$B59,C$5,$B$1)</f>
        <v>0</v>
      </c>
      <c r="D59" s="55">
        <f>_xll.EQNXTDZ($A$1,$B59,D$5,$B$1)</f>
        <v>279.94</v>
      </c>
      <c r="E59" s="55">
        <f>_xll.EQNXTDZ($A$1,$B59,E$5,$B$1)</f>
        <v>0</v>
      </c>
      <c r="F59" s="55">
        <f>_xll.EQNXTDZ($A$1,$B59,F$5,$B$1)</f>
        <v>297.85000000000002</v>
      </c>
      <c r="G59" s="55">
        <f>_xll.EQNXTDZ($A$1,$B59,G$5,$B$1)</f>
        <v>0</v>
      </c>
      <c r="H59" s="55">
        <f>_xll.EQNXTDZ($A$1,$B59,H$5,$B$1)</f>
        <v>316.12</v>
      </c>
      <c r="I59" s="55">
        <f>_xll.EQNXTDZ($A$1,$B59,I$5,$B$1)</f>
        <v>0</v>
      </c>
      <c r="J59" s="55">
        <f>_xll.EQNXTDZ($A$1,$B59,J$5,$B$1)</f>
        <v>331.43</v>
      </c>
      <c r="K59" s="55">
        <f>_xll.EQNXTDZ($A$1,$B59,K$5,$B$1)</f>
        <v>0</v>
      </c>
      <c r="L59" s="55">
        <f>_xll.EQNXTDZ($A$1,$B59,L$5,$B$1)</f>
        <v>354.74</v>
      </c>
      <c r="M59" s="55">
        <f>_xll.EQNXTDZ($A$1,$B59,M$5,$B$1)</f>
        <v>0</v>
      </c>
      <c r="N59" s="55">
        <f>_xll.EQNXTDZ($A$1,$B59,N$5,$B$1)</f>
        <v>371.7</v>
      </c>
      <c r="O59" s="55">
        <f>_xll.EQNXTDZ($A$1,$B59,O$5,$B$1)</f>
        <v>0</v>
      </c>
      <c r="P59" s="55">
        <f>_xll.EQNXTDZ($A$1,$B59,P$5,$B$1)</f>
        <v>407.55</v>
      </c>
      <c r="Q59" s="55">
        <f>_xll.EQNXTDZ($A$1,$B59,Q$5,$B$1)</f>
        <v>0</v>
      </c>
      <c r="R59" s="55">
        <f>_xll.EQNXTDZ($A$1,$B59,R$5,$B$1)</f>
        <v>439.25</v>
      </c>
      <c r="S59" s="55">
        <f>_xll.EQNXTDZ($A$1,$B59,S$5,$B$1)</f>
        <v>0</v>
      </c>
      <c r="T59" s="55">
        <f>_xll.EQNXTDZ($A$1,$B59,T$5,$B$1)</f>
        <v>469.85</v>
      </c>
      <c r="U59" s="55">
        <f>_xll.EQNXTDZ($A$1,$B59,U$5,$B$1)</f>
        <v>0</v>
      </c>
      <c r="V59" s="55">
        <f>_xll.EQNXTDZ($A$1,$B59,V$5,$B$1)</f>
        <v>491.94</v>
      </c>
      <c r="W59" s="55">
        <f>_xll.EQNXTDZ($A$1,$B59,W$5,$B$1)</f>
        <v>0</v>
      </c>
      <c r="X59" s="55">
        <f>_xll.EQNXTDZ($A$1,$B59,X$5,$B$1)</f>
        <v>485.89</v>
      </c>
      <c r="Y59" s="55">
        <f>_xll.EQNXTDZ($A$1,$B59,Y$5,$B$1)</f>
        <v>0</v>
      </c>
      <c r="Z59" s="55">
        <f>_xll.EQNXTDZ($A$1,$B59,Z$5,$B$1)</f>
        <v>511.75</v>
      </c>
      <c r="AA59" s="55">
        <f>_xll.EQNXTDZ($A$1,$B59,AA$5,$B$1)</f>
        <v>0</v>
      </c>
      <c r="AB59" s="55">
        <f>_xll.EQNXTDZ($A$1,$B59,AB$5,$B$1)</f>
        <v>523.84</v>
      </c>
      <c r="AC59" s="55">
        <f>_xll.EQNXTDZ($A$1,$B59,AC$5,$B$1)</f>
        <v>0</v>
      </c>
      <c r="AD59" s="55">
        <f>_xll.EQNXTDZ($A$1,$B59,AD$5,$B$1)</f>
        <v>520.70000000000005</v>
      </c>
      <c r="AE59" s="55">
        <f>_xll.EQNXTDZ($A$1,$B59,AE$5,$B$1)</f>
        <v>0</v>
      </c>
      <c r="AF59" s="55">
        <f>_xll.EQNXTDZ($A$1,$B59,AF$5,$B$1)</f>
        <v>520.36</v>
      </c>
      <c r="AG59" s="55">
        <f>_xll.EQNXTDZ($A$1,$B59,AG$5,$B$1)</f>
        <v>0</v>
      </c>
      <c r="AH59" s="55">
        <f>_xll.EQNXTDZ($A$1,$B59,AH$5,$B$1)</f>
        <v>527.12</v>
      </c>
      <c r="AI59" s="55">
        <f>_xll.EQNXTDZ($A$1,$B59,AI$5,$B$1)</f>
        <v>0</v>
      </c>
      <c r="AJ59" s="55">
        <f>_xll.EQNXTDZ($A$1,$B59,AJ$5,$B$1)</f>
        <v>492.41</v>
      </c>
      <c r="AK59" s="55">
        <f>_xll.EQNXTDZ($A$1,$B59,AK$5,$B$1)</f>
        <v>0</v>
      </c>
      <c r="AL59" s="55">
        <f>_xll.EQNXTDZ($A$1,$B59,AL$5,$B$1)</f>
        <v>552.34</v>
      </c>
      <c r="AM59" s="55">
        <f>_xll.EQNXTDZ($A$1,$B59,AM$5,$B$1)</f>
        <v>0</v>
      </c>
      <c r="AN59" s="55">
        <f>_xll.EQNXTDZ($A$1,$B59,AN$5,$B$1)</f>
        <v>591.71</v>
      </c>
      <c r="AO59" s="55">
        <f>_xll.EQNXTDZ($A$1,$B59,AO$5,$B$1)</f>
        <v>0</v>
      </c>
      <c r="AP59" s="55">
        <f>_xll.EQNXTDZ($A$1,$B59,AP$5,$B$1)</f>
        <v>715.93</v>
      </c>
      <c r="AQ59" s="55">
        <f>_xll.EQNXTDZ($A$1,$B59,AQ$5,$B$1)</f>
        <v>0</v>
      </c>
      <c r="AR59" s="55">
        <f>_xll.EQNXTDZ($A$1,$B59,AR$5,$B$1)</f>
        <v>835.09</v>
      </c>
      <c r="AS59" s="55">
        <f>_xll.EQNXTDZ($A$1,$B59,AS$5,$B$1)</f>
        <v>0</v>
      </c>
      <c r="AT59" s="55">
        <f>_xll.EQNXTDZ($A$1,$B59,AT$5,$B$1)</f>
        <v>883.13</v>
      </c>
      <c r="AU59" s="55">
        <f>_xll.EQNXTDZ($A$1,$B59,AU$5,$B$1)</f>
        <v>0</v>
      </c>
      <c r="AV59" s="55">
        <f>_xll.EQNXTDZ($A$1,$B59,AV$5,$B$1)</f>
        <v>967.14</v>
      </c>
      <c r="AW59" s="55">
        <f>_xll.EQNXTDZ($A$1,$B59,AW$5,$B$1)</f>
        <v>0</v>
      </c>
      <c r="AX59" s="55">
        <f>_xll.EQNXTDZ($A$1,$B59,AX$5,$B$1)</f>
        <v>984.32</v>
      </c>
      <c r="AY59" s="55">
        <f>_xll.EQNXTDZ($A$1,$B59,AY$5,$B$1)</f>
        <v>0</v>
      </c>
      <c r="AZ59" s="55">
        <f>_xll.EQNXTDZ($A$1,$B59,AZ$5,$B$1)</f>
        <v>998.57</v>
      </c>
      <c r="BA59" s="55">
        <f>_xll.EQNXTDZ($A$1,$B59,BA$5,$B$1)</f>
        <v>0</v>
      </c>
      <c r="BB59" s="55">
        <f>_xll.EQNXTDZ($A$1,$B59,BB$5,$B$1)</f>
        <v>1006.78</v>
      </c>
      <c r="BC59" s="55">
        <f>_xll.EQNXTDZ($A$1,$B59,BC$5,$B$1)</f>
        <v>0</v>
      </c>
      <c r="BD59" s="55">
        <f>_xll.EQNXTDZ($A$1,$B59,BD$5,$B$1)</f>
        <v>1020.6</v>
      </c>
      <c r="BE59" s="55">
        <f>_xll.EQNXTDZ($A$1,$B59,BE$5,$B$1)</f>
        <v>0</v>
      </c>
      <c r="BF59" s="55">
        <f>_xll.EQNXTDZ($A$1,$B59,BF$5,$B$1)</f>
        <v>1076.27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22</v>
      </c>
      <c r="B60" t="s">
        <v>375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354</v>
      </c>
      <c r="B61" t="s">
        <v>376</v>
      </c>
      <c r="C61" s="55">
        <f>_xll.EQNXTDZ($A$1,$B61,C$5,$B$1)</f>
        <v>0</v>
      </c>
      <c r="D61" s="55">
        <f>_xll.EQNXTDZ($A$1,$B61,D$5,$B$1)</f>
        <v>387.85</v>
      </c>
      <c r="E61" s="55">
        <f>_xll.EQNXTDZ($A$1,$B61,E$5,$B$1)</f>
        <v>0</v>
      </c>
      <c r="F61" s="55">
        <f>_xll.EQNXTDZ($A$1,$B61,F$5,$B$1)</f>
        <v>344.86</v>
      </c>
      <c r="G61" s="55">
        <f>_xll.EQNXTDZ($A$1,$B61,G$5,$B$1)</f>
        <v>0</v>
      </c>
      <c r="H61" s="55">
        <f>_xll.EQNXTDZ($A$1,$B61,H$5,$B$1)</f>
        <v>296.25</v>
      </c>
      <c r="I61" s="55">
        <f>_xll.EQNXTDZ($A$1,$B61,I$5,$B$1)</f>
        <v>0</v>
      </c>
      <c r="J61" s="55">
        <f>_xll.EQNXTDZ($A$1,$B61,J$5,$B$1)</f>
        <v>275.86</v>
      </c>
      <c r="K61" s="55">
        <f>_xll.EQNXTDZ($A$1,$B61,K$5,$B$1)</f>
        <v>0</v>
      </c>
      <c r="L61" s="55">
        <f>_xll.EQNXTDZ($A$1,$B61,L$5,$B$1)</f>
        <v>252.64</v>
      </c>
      <c r="M61" s="55">
        <f>_xll.EQNXTDZ($A$1,$B61,M$5,$B$1)</f>
        <v>0</v>
      </c>
      <c r="N61" s="55">
        <f>_xll.EQNXTDZ($A$1,$B61,N$5,$B$1)</f>
        <v>257.77999999999997</v>
      </c>
      <c r="O61" s="55">
        <f>_xll.EQNXTDZ($A$1,$B61,O$5,$B$1)</f>
        <v>0</v>
      </c>
      <c r="P61" s="55">
        <f>_xll.EQNXTDZ($A$1,$B61,P$5,$B$1)</f>
        <v>236.2</v>
      </c>
      <c r="Q61" s="55">
        <f>_xll.EQNXTDZ($A$1,$B61,Q$5,$B$1)</f>
        <v>0</v>
      </c>
      <c r="R61" s="55">
        <f>_xll.EQNXTDZ($A$1,$B61,R$5,$B$1)</f>
        <v>281.33999999999997</v>
      </c>
      <c r="S61" s="55">
        <f>_xll.EQNXTDZ($A$1,$B61,S$5,$B$1)</f>
        <v>0</v>
      </c>
      <c r="T61" s="55">
        <f>_xll.EQNXTDZ($A$1,$B61,T$5,$B$1)</f>
        <v>308.64999999999998</v>
      </c>
      <c r="U61" s="55">
        <f>_xll.EQNXTDZ($A$1,$B61,U$5,$B$1)</f>
        <v>0</v>
      </c>
      <c r="V61" s="55">
        <f>_xll.EQNXTDZ($A$1,$B61,V$5,$B$1)</f>
        <v>327.11</v>
      </c>
      <c r="W61" s="55">
        <f>_xll.EQNXTDZ($A$1,$B61,W$5,$B$1)</f>
        <v>0</v>
      </c>
      <c r="X61" s="55">
        <f>_xll.EQNXTDZ($A$1,$B61,X$5,$B$1)</f>
        <v>327.95</v>
      </c>
      <c r="Y61" s="55">
        <f>_xll.EQNXTDZ($A$1,$B61,Y$5,$B$1)</f>
        <v>0</v>
      </c>
      <c r="Z61" s="55">
        <f>_xll.EQNXTDZ($A$1,$B61,Z$5,$B$1)</f>
        <v>344.3</v>
      </c>
      <c r="AA61" s="55">
        <f>_xll.EQNXTDZ($A$1,$B61,AA$5,$B$1)</f>
        <v>0</v>
      </c>
      <c r="AB61" s="55">
        <f>_xll.EQNXTDZ($A$1,$B61,AB$5,$B$1)</f>
        <v>311.52</v>
      </c>
      <c r="AC61" s="55">
        <f>_xll.EQNXTDZ($A$1,$B61,AC$5,$B$1)</f>
        <v>0</v>
      </c>
      <c r="AD61" s="55">
        <f>_xll.EQNXTDZ($A$1,$B61,AD$5,$B$1)</f>
        <v>285.17</v>
      </c>
      <c r="AE61" s="55">
        <f>_xll.EQNXTDZ($A$1,$B61,AE$5,$B$1)</f>
        <v>0</v>
      </c>
      <c r="AF61" s="55">
        <f>_xll.EQNXTDZ($A$1,$B61,AF$5,$B$1)</f>
        <v>245.25</v>
      </c>
      <c r="AG61" s="55">
        <f>_xll.EQNXTDZ($A$1,$B61,AG$5,$B$1)</f>
        <v>0</v>
      </c>
      <c r="AH61" s="55">
        <f>_xll.EQNXTDZ($A$1,$B61,AH$5,$B$1)</f>
        <v>242.28</v>
      </c>
      <c r="AI61" s="55">
        <f>_xll.EQNXTDZ($A$1,$B61,AI$5,$B$1)</f>
        <v>0</v>
      </c>
      <c r="AJ61" s="55">
        <f>_xll.EQNXTDZ($A$1,$B61,AJ$5,$B$1)</f>
        <v>248.38</v>
      </c>
      <c r="AK61" s="55">
        <f>_xll.EQNXTDZ($A$1,$B61,AK$5,$B$1)</f>
        <v>0</v>
      </c>
      <c r="AL61" s="55">
        <f>_xll.EQNXTDZ($A$1,$B61,AL$5,$B$1)</f>
        <v>204.37</v>
      </c>
      <c r="AM61" s="55">
        <f>_xll.EQNXTDZ($A$1,$B61,AM$5,$B$1)</f>
        <v>0</v>
      </c>
      <c r="AN61" s="55">
        <f>_xll.EQNXTDZ($A$1,$B61,AN$5,$B$1)</f>
        <v>168.53</v>
      </c>
      <c r="AO61" s="55">
        <f>_xll.EQNXTDZ($A$1,$B61,AO$5,$B$1)</f>
        <v>0</v>
      </c>
      <c r="AP61" s="55">
        <f>_xll.EQNXTDZ($A$1,$B61,AP$5,$B$1)</f>
        <v>180.55</v>
      </c>
      <c r="AQ61" s="55">
        <f>_xll.EQNXTDZ($A$1,$B61,AQ$5,$B$1)</f>
        <v>0</v>
      </c>
      <c r="AR61" s="55">
        <f>_xll.EQNXTDZ($A$1,$B61,AR$5,$B$1)</f>
        <v>255.9</v>
      </c>
      <c r="AS61" s="55">
        <f>_xll.EQNXTDZ($A$1,$B61,AS$5,$B$1)</f>
        <v>0</v>
      </c>
      <c r="AT61" s="55">
        <f>_xll.EQNXTDZ($A$1,$B61,AT$5,$B$1)</f>
        <v>339.53</v>
      </c>
      <c r="AU61" s="55">
        <f>_xll.EQNXTDZ($A$1,$B61,AU$5,$B$1)</f>
        <v>0</v>
      </c>
      <c r="AV61" s="55">
        <f>_xll.EQNXTDZ($A$1,$B61,AV$5,$B$1)</f>
        <v>425.85</v>
      </c>
      <c r="AW61" s="55">
        <f>_xll.EQNXTDZ($A$1,$B61,AW$5,$B$1)</f>
        <v>0</v>
      </c>
      <c r="AX61" s="55">
        <f>_xll.EQNXTDZ($A$1,$B61,AX$5,$B$1)</f>
        <v>618.72</v>
      </c>
      <c r="AY61" s="55">
        <f>_xll.EQNXTDZ($A$1,$B61,AY$5,$B$1)</f>
        <v>0</v>
      </c>
      <c r="AZ61" s="55">
        <f>_xll.EQNXTDZ($A$1,$B61,AZ$5,$B$1)</f>
        <v>740.18</v>
      </c>
      <c r="BA61" s="55">
        <f>_xll.EQNXTDZ($A$1,$B61,BA$5,$B$1)</f>
        <v>0</v>
      </c>
      <c r="BB61" s="55">
        <f>_xll.EQNXTDZ($A$1,$B61,BB$5,$B$1)</f>
        <v>721.69</v>
      </c>
      <c r="BC61" s="55">
        <f>_xll.EQNXTDZ($A$1,$B61,BC$5,$B$1)</f>
        <v>0</v>
      </c>
      <c r="BD61" s="55">
        <f>_xll.EQNXTDZ($A$1,$B61,BD$5,$B$1)</f>
        <v>736.3</v>
      </c>
      <c r="BE61" s="55">
        <f>_xll.EQNXTDZ($A$1,$B61,BE$5,$B$1)</f>
        <v>0</v>
      </c>
      <c r="BF61" s="55">
        <f>_xll.EQNXTDZ($A$1,$B61,BF$5,$B$1)</f>
        <v>719.4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355</v>
      </c>
      <c r="B62" t="s">
        <v>377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45</v>
      </c>
      <c r="B63" t="s">
        <v>378</v>
      </c>
      <c r="C63" s="55">
        <f>_xll.EQNXTDZ($A$1,$B63,C$5,$B$1)</f>
        <v>0</v>
      </c>
      <c r="D63" s="55">
        <f>_xll.EQNXTDZ($A$1,$B63,D$5,$B$1)</f>
        <v>387.85</v>
      </c>
      <c r="E63" s="55">
        <f>_xll.EQNXTDZ($A$1,$B63,E$5,$B$1)</f>
        <v>0</v>
      </c>
      <c r="F63" s="55">
        <f>_xll.EQNXTDZ($A$1,$B63,F$5,$B$1)</f>
        <v>344.86</v>
      </c>
      <c r="G63" s="55">
        <f>_xll.EQNXTDZ($A$1,$B63,G$5,$B$1)</f>
        <v>0</v>
      </c>
      <c r="H63" s="55">
        <f>_xll.EQNXTDZ($A$1,$B63,H$5,$B$1)</f>
        <v>296.25</v>
      </c>
      <c r="I63" s="55">
        <f>_xll.EQNXTDZ($A$1,$B63,I$5,$B$1)</f>
        <v>0</v>
      </c>
      <c r="J63" s="55">
        <f>_xll.EQNXTDZ($A$1,$B63,J$5,$B$1)</f>
        <v>275.86</v>
      </c>
      <c r="K63" s="55">
        <f>_xll.EQNXTDZ($A$1,$B63,K$5,$B$1)</f>
        <v>0</v>
      </c>
      <c r="L63" s="55">
        <f>_xll.EQNXTDZ($A$1,$B63,L$5,$B$1)</f>
        <v>252.64</v>
      </c>
      <c r="M63" s="55">
        <f>_xll.EQNXTDZ($A$1,$B63,M$5,$B$1)</f>
        <v>0</v>
      </c>
      <c r="N63" s="55">
        <f>_xll.EQNXTDZ($A$1,$B63,N$5,$B$1)</f>
        <v>257.77999999999997</v>
      </c>
      <c r="O63" s="55">
        <f>_xll.EQNXTDZ($A$1,$B63,O$5,$B$1)</f>
        <v>0</v>
      </c>
      <c r="P63" s="55">
        <f>_xll.EQNXTDZ($A$1,$B63,P$5,$B$1)</f>
        <v>236.2</v>
      </c>
      <c r="Q63" s="55">
        <f>_xll.EQNXTDZ($A$1,$B63,Q$5,$B$1)</f>
        <v>0</v>
      </c>
      <c r="R63" s="55">
        <f>_xll.EQNXTDZ($A$1,$B63,R$5,$B$1)</f>
        <v>281.33999999999997</v>
      </c>
      <c r="S63" s="55">
        <f>_xll.EQNXTDZ($A$1,$B63,S$5,$B$1)</f>
        <v>0</v>
      </c>
      <c r="T63" s="55">
        <f>_xll.EQNXTDZ($A$1,$B63,T$5,$B$1)</f>
        <v>308.64999999999998</v>
      </c>
      <c r="U63" s="55">
        <f>_xll.EQNXTDZ($A$1,$B63,U$5,$B$1)</f>
        <v>0</v>
      </c>
      <c r="V63" s="55">
        <f>_xll.EQNXTDZ($A$1,$B63,V$5,$B$1)</f>
        <v>327.11</v>
      </c>
      <c r="W63" s="55">
        <f>_xll.EQNXTDZ($A$1,$B63,W$5,$B$1)</f>
        <v>0</v>
      </c>
      <c r="X63" s="55">
        <f>_xll.EQNXTDZ($A$1,$B63,X$5,$B$1)</f>
        <v>327.95</v>
      </c>
      <c r="Y63" s="55">
        <f>_xll.EQNXTDZ($A$1,$B63,Y$5,$B$1)</f>
        <v>0</v>
      </c>
      <c r="Z63" s="55">
        <f>_xll.EQNXTDZ($A$1,$B63,Z$5,$B$1)</f>
        <v>344.3</v>
      </c>
      <c r="AA63" s="55">
        <f>_xll.EQNXTDZ($A$1,$B63,AA$5,$B$1)</f>
        <v>0</v>
      </c>
      <c r="AB63" s="55">
        <f>_xll.EQNXTDZ($A$1,$B63,AB$5,$B$1)</f>
        <v>311.52</v>
      </c>
      <c r="AC63" s="55">
        <f>_xll.EQNXTDZ($A$1,$B63,AC$5,$B$1)</f>
        <v>0</v>
      </c>
      <c r="AD63" s="55">
        <f>_xll.EQNXTDZ($A$1,$B63,AD$5,$B$1)</f>
        <v>285.17</v>
      </c>
      <c r="AE63" s="55">
        <f>_xll.EQNXTDZ($A$1,$B63,AE$5,$B$1)</f>
        <v>0</v>
      </c>
      <c r="AF63" s="55">
        <f>_xll.EQNXTDZ($A$1,$B63,AF$5,$B$1)</f>
        <v>245.25</v>
      </c>
      <c r="AG63" s="55">
        <f>_xll.EQNXTDZ($A$1,$B63,AG$5,$B$1)</f>
        <v>0</v>
      </c>
      <c r="AH63" s="55">
        <f>_xll.EQNXTDZ($A$1,$B63,AH$5,$B$1)</f>
        <v>242.28</v>
      </c>
      <c r="AI63" s="55">
        <f>_xll.EQNXTDZ($A$1,$B63,AI$5,$B$1)</f>
        <v>0</v>
      </c>
      <c r="AJ63" s="55">
        <f>_xll.EQNXTDZ($A$1,$B63,AJ$5,$B$1)</f>
        <v>248.38</v>
      </c>
      <c r="AK63" s="55">
        <f>_xll.EQNXTDZ($A$1,$B63,AK$5,$B$1)</f>
        <v>0</v>
      </c>
      <c r="AL63" s="55">
        <f>_xll.EQNXTDZ($A$1,$B63,AL$5,$B$1)</f>
        <v>204.37</v>
      </c>
      <c r="AM63" s="55">
        <f>_xll.EQNXTDZ($A$1,$B63,AM$5,$B$1)</f>
        <v>0</v>
      </c>
      <c r="AN63" s="55">
        <f>_xll.EQNXTDZ($A$1,$B63,AN$5,$B$1)</f>
        <v>168.53</v>
      </c>
      <c r="AO63" s="55">
        <f>_xll.EQNXTDZ($A$1,$B63,AO$5,$B$1)</f>
        <v>0</v>
      </c>
      <c r="AP63" s="55">
        <f>_xll.EQNXTDZ($A$1,$B63,AP$5,$B$1)</f>
        <v>180.55</v>
      </c>
      <c r="AQ63" s="55">
        <f>_xll.EQNXTDZ($A$1,$B63,AQ$5,$B$1)</f>
        <v>0</v>
      </c>
      <c r="AR63" s="55">
        <f>_xll.EQNXTDZ($A$1,$B63,AR$5,$B$1)</f>
        <v>255.9</v>
      </c>
      <c r="AS63" s="55">
        <f>_xll.EQNXTDZ($A$1,$B63,AS$5,$B$1)</f>
        <v>0</v>
      </c>
      <c r="AT63" s="55">
        <f>_xll.EQNXTDZ($A$1,$B63,AT$5,$B$1)</f>
        <v>339.53</v>
      </c>
      <c r="AU63" s="55">
        <f>_xll.EQNXTDZ($A$1,$B63,AU$5,$B$1)</f>
        <v>0</v>
      </c>
      <c r="AV63" s="55">
        <f>_xll.EQNXTDZ($A$1,$B63,AV$5,$B$1)</f>
        <v>425.85</v>
      </c>
      <c r="AW63" s="55">
        <f>_xll.EQNXTDZ($A$1,$B63,AW$5,$B$1)</f>
        <v>0</v>
      </c>
      <c r="AX63" s="55">
        <f>_xll.EQNXTDZ($A$1,$B63,AX$5,$B$1)</f>
        <v>618.72</v>
      </c>
      <c r="AY63" s="55">
        <f>_xll.EQNXTDZ($A$1,$B63,AY$5,$B$1)</f>
        <v>0</v>
      </c>
      <c r="AZ63" s="55">
        <f>_xll.EQNXTDZ($A$1,$B63,AZ$5,$B$1)</f>
        <v>740.18</v>
      </c>
      <c r="BA63" s="55">
        <f>_xll.EQNXTDZ($A$1,$B63,BA$5,$B$1)</f>
        <v>0</v>
      </c>
      <c r="BB63" s="55">
        <f>_xll.EQNXTDZ($A$1,$B63,BB$5,$B$1)</f>
        <v>721.69</v>
      </c>
      <c r="BC63" s="55">
        <f>_xll.EQNXTDZ($A$1,$B63,BC$5,$B$1)</f>
        <v>0</v>
      </c>
      <c r="BD63" s="55">
        <f>_xll.EQNXTDZ($A$1,$B63,BD$5,$B$1)</f>
        <v>736.3</v>
      </c>
      <c r="BE63" s="55">
        <f>_xll.EQNXTDZ($A$1,$B63,BE$5,$B$1)</f>
        <v>0</v>
      </c>
      <c r="BF63" s="55">
        <f>_xll.EQNXTDZ($A$1,$B63,BF$5,$B$1)</f>
        <v>719.4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65</v>
      </c>
      <c r="B64" t="s">
        <v>379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2.19</v>
      </c>
      <c r="AQ64" s="55">
        <f>_xll.EQNXTDZ($A$1,$B64,AQ$5,$B$1)</f>
        <v>0</v>
      </c>
      <c r="AR64" s="55">
        <f>_xll.EQNXTDZ($A$1,$B64,AR$5,$B$1)</f>
        <v>1.43</v>
      </c>
      <c r="AS64" s="55">
        <f>_xll.EQNXTDZ($A$1,$B64,AS$5,$B$1)</f>
        <v>0</v>
      </c>
      <c r="AT64" s="55">
        <f>_xll.EQNXTDZ($A$1,$B64,AT$5,$B$1)</f>
        <v>11.06</v>
      </c>
      <c r="AU64" s="55">
        <f>_xll.EQNXTDZ($A$1,$B64,AU$5,$B$1)</f>
        <v>0</v>
      </c>
      <c r="AV64" s="55">
        <f>_xll.EQNXTDZ($A$1,$B64,AV$5,$B$1)</f>
        <v>0.36</v>
      </c>
      <c r="AW64" s="55">
        <f>_xll.EQNXTDZ($A$1,$B64,AW$5,$B$1)</f>
        <v>0</v>
      </c>
      <c r="AX64" s="55">
        <f>_xll.EQNXTDZ($A$1,$B64,AX$5,$B$1)</f>
        <v>0.34</v>
      </c>
      <c r="AY64" s="55">
        <f>_xll.EQNXTDZ($A$1,$B64,AY$5,$B$1)</f>
        <v>0</v>
      </c>
      <c r="AZ64" s="55">
        <f>_xll.EQNXTDZ($A$1,$B64,AZ$5,$B$1)</f>
        <v>1.28</v>
      </c>
      <c r="BA64" s="55">
        <f>_xll.EQNXTDZ($A$1,$B64,BA$5,$B$1)</f>
        <v>0</v>
      </c>
      <c r="BB64" s="55">
        <f>_xll.EQNXTDZ($A$1,$B64,BB$5,$B$1)</f>
        <v>2.13</v>
      </c>
      <c r="BC64" s="55">
        <f>_xll.EQNXTDZ($A$1,$B64,BC$5,$B$1)</f>
        <v>0</v>
      </c>
      <c r="BD64" s="55">
        <f>_xll.EQNXTDZ($A$1,$B64,BD$5,$B$1)</f>
        <v>2.42</v>
      </c>
      <c r="BE64" s="55">
        <f>_xll.EQNXTDZ($A$1,$B64,BE$5,$B$1)</f>
        <v>0</v>
      </c>
      <c r="BF64" s="55">
        <f>_xll.EQNXTDZ($A$1,$B64,BF$5,$B$1)</f>
        <v>2.21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160</v>
      </c>
      <c r="B65" t="s">
        <v>380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356</v>
      </c>
      <c r="B66" t="s">
        <v>381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19.079999999999998</v>
      </c>
      <c r="AY66" s="55">
        <f>_xll.EQNXTDZ($A$1,$B66,AY$5,$B$1)</f>
        <v>0</v>
      </c>
      <c r="AZ66" s="55">
        <f>_xll.EQNXTDZ($A$1,$B66,AZ$5,$B$1)</f>
        <v>18.28</v>
      </c>
      <c r="BA66" s="55">
        <f>_xll.EQNXTDZ($A$1,$B66,BA$5,$B$1)</f>
        <v>0</v>
      </c>
      <c r="BB66" s="55">
        <f>_xll.EQNXTDZ($A$1,$B66,BB$5,$B$1)</f>
        <v>21.72</v>
      </c>
      <c r="BC66" s="55">
        <f>_xll.EQNXTDZ($A$1,$B66,BC$5,$B$1)</f>
        <v>0</v>
      </c>
      <c r="BD66" s="55">
        <f>_xll.EQNXTDZ($A$1,$B66,BD$5,$B$1)</f>
        <v>21.72</v>
      </c>
      <c r="BE66" s="55">
        <f>_xll.EQNXTDZ($A$1,$B66,BE$5,$B$1)</f>
        <v>0</v>
      </c>
      <c r="BF66" s="55">
        <f>_xll.EQNXTDZ($A$1,$B66,BF$5,$B$1)</f>
        <v>19.34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164</v>
      </c>
      <c r="B67" t="s">
        <v>382</v>
      </c>
      <c r="C67" s="55">
        <f>_xll.EQNXTDZ($A$1,$B67,C$5,$B$1)</f>
        <v>0</v>
      </c>
      <c r="D67" s="55">
        <f>_xll.EQNXTDZ($A$1,$B67,D$5,$B$1)</f>
        <v>667.79</v>
      </c>
      <c r="E67" s="55">
        <f>_xll.EQNXTDZ($A$1,$B67,E$5,$B$1)</f>
        <v>0</v>
      </c>
      <c r="F67" s="55">
        <f>_xll.EQNXTDZ($A$1,$B67,F$5,$B$1)</f>
        <v>642.71</v>
      </c>
      <c r="G67" s="55">
        <f>_xll.EQNXTDZ($A$1,$B67,G$5,$B$1)</f>
        <v>0</v>
      </c>
      <c r="H67" s="55">
        <f>_xll.EQNXTDZ($A$1,$B67,H$5,$B$1)</f>
        <v>612.37</v>
      </c>
      <c r="I67" s="55">
        <f>_xll.EQNXTDZ($A$1,$B67,I$5,$B$1)</f>
        <v>0</v>
      </c>
      <c r="J67" s="55">
        <f>_xll.EQNXTDZ($A$1,$B67,J$5,$B$1)</f>
        <v>607.29</v>
      </c>
      <c r="K67" s="55">
        <f>_xll.EQNXTDZ($A$1,$B67,K$5,$B$1)</f>
        <v>0</v>
      </c>
      <c r="L67" s="55">
        <f>_xll.EQNXTDZ($A$1,$B67,L$5,$B$1)</f>
        <v>607.38</v>
      </c>
      <c r="M67" s="55">
        <f>_xll.EQNXTDZ($A$1,$B67,M$5,$B$1)</f>
        <v>0</v>
      </c>
      <c r="N67" s="55">
        <f>_xll.EQNXTDZ($A$1,$B67,N$5,$B$1)</f>
        <v>629.48</v>
      </c>
      <c r="O67" s="55">
        <f>_xll.EQNXTDZ($A$1,$B67,O$5,$B$1)</f>
        <v>0</v>
      </c>
      <c r="P67" s="55">
        <f>_xll.EQNXTDZ($A$1,$B67,P$5,$B$1)</f>
        <v>643.75</v>
      </c>
      <c r="Q67" s="55">
        <f>_xll.EQNXTDZ($A$1,$B67,Q$5,$B$1)</f>
        <v>0</v>
      </c>
      <c r="R67" s="55">
        <f>_xll.EQNXTDZ($A$1,$B67,R$5,$B$1)</f>
        <v>720.59</v>
      </c>
      <c r="S67" s="55">
        <f>_xll.EQNXTDZ($A$1,$B67,S$5,$B$1)</f>
        <v>0</v>
      </c>
      <c r="T67" s="55">
        <f>_xll.EQNXTDZ($A$1,$B67,T$5,$B$1)</f>
        <v>778.5</v>
      </c>
      <c r="U67" s="55">
        <f>_xll.EQNXTDZ($A$1,$B67,U$5,$B$1)</f>
        <v>0</v>
      </c>
      <c r="V67" s="55">
        <f>_xll.EQNXTDZ($A$1,$B67,V$5,$B$1)</f>
        <v>819.05</v>
      </c>
      <c r="W67" s="55">
        <f>_xll.EQNXTDZ($A$1,$B67,W$5,$B$1)</f>
        <v>0</v>
      </c>
      <c r="X67" s="55">
        <f>_xll.EQNXTDZ($A$1,$B67,X$5,$B$1)</f>
        <v>813.84</v>
      </c>
      <c r="Y67" s="55">
        <f>_xll.EQNXTDZ($A$1,$B67,Y$5,$B$1)</f>
        <v>0</v>
      </c>
      <c r="Z67" s="55">
        <f>_xll.EQNXTDZ($A$1,$B67,Z$5,$B$1)</f>
        <v>856.05</v>
      </c>
      <c r="AA67" s="55">
        <f>_xll.EQNXTDZ($A$1,$B67,AA$5,$B$1)</f>
        <v>0</v>
      </c>
      <c r="AB67" s="55">
        <f>_xll.EQNXTDZ($A$1,$B67,AB$5,$B$1)</f>
        <v>835.36</v>
      </c>
      <c r="AC67" s="55">
        <f>_xll.EQNXTDZ($A$1,$B67,AC$5,$B$1)</f>
        <v>0</v>
      </c>
      <c r="AD67" s="55">
        <f>_xll.EQNXTDZ($A$1,$B67,AD$5,$B$1)</f>
        <v>805.87</v>
      </c>
      <c r="AE67" s="55">
        <f>_xll.EQNXTDZ($A$1,$B67,AE$5,$B$1)</f>
        <v>0</v>
      </c>
      <c r="AF67" s="55">
        <f>_xll.EQNXTDZ($A$1,$B67,AF$5,$B$1)</f>
        <v>765.61</v>
      </c>
      <c r="AG67" s="55">
        <f>_xll.EQNXTDZ($A$1,$B67,AG$5,$B$1)</f>
        <v>0</v>
      </c>
      <c r="AH67" s="55">
        <f>_xll.EQNXTDZ($A$1,$B67,AH$5,$B$1)</f>
        <v>769.4</v>
      </c>
      <c r="AI67" s="55">
        <f>_xll.EQNXTDZ($A$1,$B67,AI$5,$B$1)</f>
        <v>0</v>
      </c>
      <c r="AJ67" s="55">
        <f>_xll.EQNXTDZ($A$1,$B67,AJ$5,$B$1)</f>
        <v>740.79</v>
      </c>
      <c r="AK67" s="55">
        <f>_xll.EQNXTDZ($A$1,$B67,AK$5,$B$1)</f>
        <v>0</v>
      </c>
      <c r="AL67" s="55">
        <f>_xll.EQNXTDZ($A$1,$B67,AL$5,$B$1)</f>
        <v>756.71</v>
      </c>
      <c r="AM67" s="55">
        <f>_xll.EQNXTDZ($A$1,$B67,AM$5,$B$1)</f>
        <v>0</v>
      </c>
      <c r="AN67" s="55">
        <f>_xll.EQNXTDZ($A$1,$B67,AN$5,$B$1)</f>
        <v>760.24</v>
      </c>
      <c r="AO67" s="55">
        <f>_xll.EQNXTDZ($A$1,$B67,AO$5,$B$1)</f>
        <v>0</v>
      </c>
      <c r="AP67" s="55">
        <f>_xll.EQNXTDZ($A$1,$B67,AP$5,$B$1)</f>
        <v>898.67</v>
      </c>
      <c r="AQ67" s="55">
        <f>_xll.EQNXTDZ($A$1,$B67,AQ$5,$B$1)</f>
        <v>0</v>
      </c>
      <c r="AR67" s="55">
        <f>_xll.EQNXTDZ($A$1,$B67,AR$5,$B$1)</f>
        <v>1092.42</v>
      </c>
      <c r="AS67" s="55">
        <f>_xll.EQNXTDZ($A$1,$B67,AS$5,$B$1)</f>
        <v>0</v>
      </c>
      <c r="AT67" s="55">
        <f>_xll.EQNXTDZ($A$1,$B67,AT$5,$B$1)</f>
        <v>1233.72</v>
      </c>
      <c r="AU67" s="55">
        <f>_xll.EQNXTDZ($A$1,$B67,AU$5,$B$1)</f>
        <v>0</v>
      </c>
      <c r="AV67" s="55">
        <f>_xll.EQNXTDZ($A$1,$B67,AV$5,$B$1)</f>
        <v>1393.35</v>
      </c>
      <c r="AW67" s="55">
        <f>_xll.EQNXTDZ($A$1,$B67,AW$5,$B$1)</f>
        <v>0</v>
      </c>
      <c r="AX67" s="55">
        <f>_xll.EQNXTDZ($A$1,$B67,AX$5,$B$1)</f>
        <v>1622.46</v>
      </c>
      <c r="AY67" s="55">
        <f>_xll.EQNXTDZ($A$1,$B67,AY$5,$B$1)</f>
        <v>0</v>
      </c>
      <c r="AZ67" s="55">
        <f>_xll.EQNXTDZ($A$1,$B67,AZ$5,$B$1)</f>
        <v>1758.31</v>
      </c>
      <c r="BA67" s="55">
        <f>_xll.EQNXTDZ($A$1,$B67,BA$5,$B$1)</f>
        <v>0</v>
      </c>
      <c r="BB67" s="55">
        <f>_xll.EQNXTDZ($A$1,$B67,BB$5,$B$1)</f>
        <v>1752.32</v>
      </c>
      <c r="BC67" s="55">
        <f>_xll.EQNXTDZ($A$1,$B67,BC$5,$B$1)</f>
        <v>0</v>
      </c>
      <c r="BD67" s="55">
        <f>_xll.EQNXTDZ($A$1,$B67,BD$5,$B$1)</f>
        <v>1781.04</v>
      </c>
      <c r="BE67" s="55">
        <f>_xll.EQNXTDZ($A$1,$B67,BE$5,$B$1)</f>
        <v>0</v>
      </c>
      <c r="BF67" s="55">
        <f>_xll.EQNXTDZ($A$1,$B67,BF$5,$B$1)</f>
        <v>1817.22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357</v>
      </c>
      <c r="B68" t="s">
        <v>383</v>
      </c>
      <c r="C68" s="55">
        <f>_xll.EQNXTDZ($A$1,$B68,C$5,$B$1)</f>
        <v>0</v>
      </c>
      <c r="D68" s="55">
        <f>_xll.EQNXTDZ($A$1,$B68,D$5,$B$1)</f>
        <v>619.32000000000005</v>
      </c>
      <c r="E68" s="55">
        <f>_xll.EQNXTDZ($A$1,$B68,E$5,$B$1)</f>
        <v>0</v>
      </c>
      <c r="F68" s="55">
        <f>_xll.EQNXTDZ($A$1,$B68,F$5,$B$1)</f>
        <v>591.65</v>
      </c>
      <c r="G68" s="55">
        <f>_xll.EQNXTDZ($A$1,$B68,G$5,$B$1)</f>
        <v>0</v>
      </c>
      <c r="H68" s="55">
        <f>_xll.EQNXTDZ($A$1,$B68,H$5,$B$1)</f>
        <v>568.1</v>
      </c>
      <c r="I68" s="55">
        <f>_xll.EQNXTDZ($A$1,$B68,I$5,$B$1)</f>
        <v>0</v>
      </c>
      <c r="J68" s="55">
        <f>_xll.EQNXTDZ($A$1,$B68,J$5,$B$1)</f>
        <v>551.36</v>
      </c>
      <c r="K68" s="55">
        <f>_xll.EQNXTDZ($A$1,$B68,K$5,$B$1)</f>
        <v>0</v>
      </c>
      <c r="L68" s="55">
        <f>_xll.EQNXTDZ($A$1,$B68,L$5,$B$1)</f>
        <v>549.89</v>
      </c>
      <c r="M68" s="55">
        <f>_xll.EQNXTDZ($A$1,$B68,M$5,$B$1)</f>
        <v>0</v>
      </c>
      <c r="N68" s="55">
        <f>_xll.EQNXTDZ($A$1,$B68,N$5,$B$1)</f>
        <v>565.69000000000005</v>
      </c>
      <c r="O68" s="55">
        <f>_xll.EQNXTDZ($A$1,$B68,O$5,$B$1)</f>
        <v>0</v>
      </c>
      <c r="P68" s="55">
        <f>_xll.EQNXTDZ($A$1,$B68,P$5,$B$1)</f>
        <v>536.79</v>
      </c>
      <c r="Q68" s="55">
        <f>_xll.EQNXTDZ($A$1,$B68,Q$5,$B$1)</f>
        <v>0</v>
      </c>
      <c r="R68" s="55">
        <f>_xll.EQNXTDZ($A$1,$B68,R$5,$B$1)</f>
        <v>584.74</v>
      </c>
      <c r="S68" s="55">
        <f>_xll.EQNXTDZ($A$1,$B68,S$5,$B$1)</f>
        <v>0</v>
      </c>
      <c r="T68" s="55">
        <f>_xll.EQNXTDZ($A$1,$B68,T$5,$B$1)</f>
        <v>622.41999999999996</v>
      </c>
      <c r="U68" s="55">
        <f>_xll.EQNXTDZ($A$1,$B68,U$5,$B$1)</f>
        <v>0</v>
      </c>
      <c r="V68" s="55">
        <f>_xll.EQNXTDZ($A$1,$B68,V$5,$B$1)</f>
        <v>654.66</v>
      </c>
      <c r="W68" s="55">
        <f>_xll.EQNXTDZ($A$1,$B68,W$5,$B$1)</f>
        <v>0</v>
      </c>
      <c r="X68" s="55">
        <f>_xll.EQNXTDZ($A$1,$B68,X$5,$B$1)</f>
        <v>655.14</v>
      </c>
      <c r="Y68" s="55">
        <f>_xll.EQNXTDZ($A$1,$B68,Y$5,$B$1)</f>
        <v>0</v>
      </c>
      <c r="Z68" s="55">
        <f>_xll.EQNXTDZ($A$1,$B68,Z$5,$B$1)</f>
        <v>700.26</v>
      </c>
      <c r="AA68" s="55">
        <f>_xll.EQNXTDZ($A$1,$B68,AA$5,$B$1)</f>
        <v>0</v>
      </c>
      <c r="AB68" s="55">
        <f>_xll.EQNXTDZ($A$1,$B68,AB$5,$B$1)</f>
        <v>675.78</v>
      </c>
      <c r="AC68" s="55">
        <f>_xll.EQNXTDZ($A$1,$B68,AC$5,$B$1)</f>
        <v>0</v>
      </c>
      <c r="AD68" s="55">
        <f>_xll.EQNXTDZ($A$1,$B68,AD$5,$B$1)</f>
        <v>650.08000000000004</v>
      </c>
      <c r="AE68" s="55">
        <f>_xll.EQNXTDZ($A$1,$B68,AE$5,$B$1)</f>
        <v>0</v>
      </c>
      <c r="AF68" s="55">
        <f>_xll.EQNXTDZ($A$1,$B68,AF$5,$B$1)</f>
        <v>630.75</v>
      </c>
      <c r="AG68" s="55">
        <f>_xll.EQNXTDZ($A$1,$B68,AG$5,$B$1)</f>
        <v>0</v>
      </c>
      <c r="AH68" s="55">
        <f>_xll.EQNXTDZ($A$1,$B68,AH$5,$B$1)</f>
        <v>619.78</v>
      </c>
      <c r="AI68" s="55">
        <f>_xll.EQNXTDZ($A$1,$B68,AI$5,$B$1)</f>
        <v>0</v>
      </c>
      <c r="AJ68" s="55">
        <f>_xll.EQNXTDZ($A$1,$B68,AJ$5,$B$1)</f>
        <v>590.03</v>
      </c>
      <c r="AK68" s="55">
        <f>_xll.EQNXTDZ($A$1,$B68,AK$5,$B$1)</f>
        <v>0</v>
      </c>
      <c r="AL68" s="55">
        <f>_xll.EQNXTDZ($A$1,$B68,AL$5,$B$1)</f>
        <v>590.30999999999995</v>
      </c>
      <c r="AM68" s="55">
        <f>_xll.EQNXTDZ($A$1,$B68,AM$5,$B$1)</f>
        <v>0</v>
      </c>
      <c r="AN68" s="55">
        <f>_xll.EQNXTDZ($A$1,$B68,AN$5,$B$1)</f>
        <v>563.62</v>
      </c>
      <c r="AO68" s="55">
        <f>_xll.EQNXTDZ($A$1,$B68,AO$5,$B$1)</f>
        <v>0</v>
      </c>
      <c r="AP68" s="55">
        <f>_xll.EQNXTDZ($A$1,$B68,AP$5,$B$1)</f>
        <v>598.42999999999995</v>
      </c>
      <c r="AQ68" s="55">
        <f>_xll.EQNXTDZ($A$1,$B68,AQ$5,$B$1)</f>
        <v>0</v>
      </c>
      <c r="AR68" s="55">
        <f>_xll.EQNXTDZ($A$1,$B68,AR$5,$B$1)</f>
        <v>693.7</v>
      </c>
      <c r="AS68" s="55">
        <f>_xll.EQNXTDZ($A$1,$B68,AS$5,$B$1)</f>
        <v>0</v>
      </c>
      <c r="AT68" s="55">
        <f>_xll.EQNXTDZ($A$1,$B68,AT$5,$B$1)</f>
        <v>722.96</v>
      </c>
      <c r="AU68" s="55">
        <f>_xll.EQNXTDZ($A$1,$B68,AU$5,$B$1)</f>
        <v>0</v>
      </c>
      <c r="AV68" s="55">
        <f>_xll.EQNXTDZ($A$1,$B68,AV$5,$B$1)</f>
        <v>917.53</v>
      </c>
      <c r="AW68" s="55">
        <f>_xll.EQNXTDZ($A$1,$B68,AW$5,$B$1)</f>
        <v>0</v>
      </c>
      <c r="AX68" s="55">
        <f>_xll.EQNXTDZ($A$1,$B68,AX$5,$B$1)</f>
        <v>1009.19</v>
      </c>
      <c r="AY68" s="55">
        <f>_xll.EQNXTDZ($A$1,$B68,AY$5,$B$1)</f>
        <v>0</v>
      </c>
      <c r="AZ68" s="55">
        <f>_xll.EQNXTDZ($A$1,$B68,AZ$5,$B$1)</f>
        <v>1011.79</v>
      </c>
      <c r="BA68" s="55">
        <f>_xll.EQNXTDZ($A$1,$B68,BA$5,$B$1)</f>
        <v>0</v>
      </c>
      <c r="BB68" s="55">
        <f>_xll.EQNXTDZ($A$1,$B68,BB$5,$B$1)</f>
        <v>1281.27</v>
      </c>
      <c r="BC68" s="55">
        <f>_xll.EQNXTDZ($A$1,$B68,BC$5,$B$1)</f>
        <v>0</v>
      </c>
      <c r="BD68" s="55">
        <f>_xll.EQNXTDZ($A$1,$B68,BD$5,$B$1)</f>
        <v>1365.49</v>
      </c>
      <c r="BE68" s="55">
        <f>_xll.EQNXTDZ($A$1,$B68,BE$5,$B$1)</f>
        <v>0</v>
      </c>
      <c r="BF68" s="55">
        <f>_xll.EQNXTDZ($A$1,$B68,BF$5,$B$1)</f>
        <v>1509.27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50</v>
      </c>
      <c r="B69" t="s">
        <v>384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51</v>
      </c>
      <c r="B70" t="s">
        <v>385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358</v>
      </c>
      <c r="B71" t="s">
        <v>386</v>
      </c>
      <c r="C71" s="55">
        <f>_xll.EQNXTDZ($A$1,$B71,C$5,$B$1)</f>
        <v>0</v>
      </c>
      <c r="D71" s="55">
        <f>_xll.EQNXTDZ($A$1,$B71,D$5,$B$1)</f>
        <v>619.32000000000005</v>
      </c>
      <c r="E71" s="55">
        <f>_xll.EQNXTDZ($A$1,$B71,E$5,$B$1)</f>
        <v>0</v>
      </c>
      <c r="F71" s="55">
        <f>_xll.EQNXTDZ($A$1,$B71,F$5,$B$1)</f>
        <v>591.65</v>
      </c>
      <c r="G71" s="55">
        <f>_xll.EQNXTDZ($A$1,$B71,G$5,$B$1)</f>
        <v>0</v>
      </c>
      <c r="H71" s="55">
        <f>_xll.EQNXTDZ($A$1,$B71,H$5,$B$1)</f>
        <v>568.1</v>
      </c>
      <c r="I71" s="55">
        <f>_xll.EQNXTDZ($A$1,$B71,I$5,$B$1)</f>
        <v>0</v>
      </c>
      <c r="J71" s="55">
        <f>_xll.EQNXTDZ($A$1,$B71,J$5,$B$1)</f>
        <v>551.36</v>
      </c>
      <c r="K71" s="55">
        <f>_xll.EQNXTDZ($A$1,$B71,K$5,$B$1)</f>
        <v>0</v>
      </c>
      <c r="L71" s="55">
        <f>_xll.EQNXTDZ($A$1,$B71,L$5,$B$1)</f>
        <v>549.89</v>
      </c>
      <c r="M71" s="55">
        <f>_xll.EQNXTDZ($A$1,$B71,M$5,$B$1)</f>
        <v>0</v>
      </c>
      <c r="N71" s="55">
        <f>_xll.EQNXTDZ($A$1,$B71,N$5,$B$1)</f>
        <v>565.69000000000005</v>
      </c>
      <c r="O71" s="55">
        <f>_xll.EQNXTDZ($A$1,$B71,O$5,$B$1)</f>
        <v>0</v>
      </c>
      <c r="P71" s="55">
        <f>_xll.EQNXTDZ($A$1,$B71,P$5,$B$1)</f>
        <v>536.79</v>
      </c>
      <c r="Q71" s="55">
        <f>_xll.EQNXTDZ($A$1,$B71,Q$5,$B$1)</f>
        <v>0</v>
      </c>
      <c r="R71" s="55">
        <f>_xll.EQNXTDZ($A$1,$B71,R$5,$B$1)</f>
        <v>584.74</v>
      </c>
      <c r="S71" s="55">
        <f>_xll.EQNXTDZ($A$1,$B71,S$5,$B$1)</f>
        <v>0</v>
      </c>
      <c r="T71" s="55">
        <f>_xll.EQNXTDZ($A$1,$B71,T$5,$B$1)</f>
        <v>622.41999999999996</v>
      </c>
      <c r="U71" s="55">
        <f>_xll.EQNXTDZ($A$1,$B71,U$5,$B$1)</f>
        <v>0</v>
      </c>
      <c r="V71" s="55">
        <f>_xll.EQNXTDZ($A$1,$B71,V$5,$B$1)</f>
        <v>654.66</v>
      </c>
      <c r="W71" s="55">
        <f>_xll.EQNXTDZ($A$1,$B71,W$5,$B$1)</f>
        <v>0</v>
      </c>
      <c r="X71" s="55">
        <f>_xll.EQNXTDZ($A$1,$B71,X$5,$B$1)</f>
        <v>655.14</v>
      </c>
      <c r="Y71" s="55">
        <f>_xll.EQNXTDZ($A$1,$B71,Y$5,$B$1)</f>
        <v>0</v>
      </c>
      <c r="Z71" s="55">
        <f>_xll.EQNXTDZ($A$1,$B71,Z$5,$B$1)</f>
        <v>700.26</v>
      </c>
      <c r="AA71" s="55">
        <f>_xll.EQNXTDZ($A$1,$B71,AA$5,$B$1)</f>
        <v>0</v>
      </c>
      <c r="AB71" s="55">
        <f>_xll.EQNXTDZ($A$1,$B71,AB$5,$B$1)</f>
        <v>675.78</v>
      </c>
      <c r="AC71" s="55">
        <f>_xll.EQNXTDZ($A$1,$B71,AC$5,$B$1)</f>
        <v>0</v>
      </c>
      <c r="AD71" s="55">
        <f>_xll.EQNXTDZ($A$1,$B71,AD$5,$B$1)</f>
        <v>650.08000000000004</v>
      </c>
      <c r="AE71" s="55">
        <f>_xll.EQNXTDZ($A$1,$B71,AE$5,$B$1)</f>
        <v>0</v>
      </c>
      <c r="AF71" s="55">
        <f>_xll.EQNXTDZ($A$1,$B71,AF$5,$B$1)</f>
        <v>630.75</v>
      </c>
      <c r="AG71" s="55">
        <f>_xll.EQNXTDZ($A$1,$B71,AG$5,$B$1)</f>
        <v>0</v>
      </c>
      <c r="AH71" s="55">
        <f>_xll.EQNXTDZ($A$1,$B71,AH$5,$B$1)</f>
        <v>619.78</v>
      </c>
      <c r="AI71" s="55">
        <f>_xll.EQNXTDZ($A$1,$B71,AI$5,$B$1)</f>
        <v>0</v>
      </c>
      <c r="AJ71" s="55">
        <f>_xll.EQNXTDZ($A$1,$B71,AJ$5,$B$1)</f>
        <v>590.03</v>
      </c>
      <c r="AK71" s="55">
        <f>_xll.EQNXTDZ($A$1,$B71,AK$5,$B$1)</f>
        <v>0</v>
      </c>
      <c r="AL71" s="55">
        <f>_xll.EQNXTDZ($A$1,$B71,AL$5,$B$1)</f>
        <v>590.30999999999995</v>
      </c>
      <c r="AM71" s="55">
        <f>_xll.EQNXTDZ($A$1,$B71,AM$5,$B$1)</f>
        <v>0</v>
      </c>
      <c r="AN71" s="55">
        <f>_xll.EQNXTDZ($A$1,$B71,AN$5,$B$1)</f>
        <v>563.62</v>
      </c>
      <c r="AO71" s="55">
        <f>_xll.EQNXTDZ($A$1,$B71,AO$5,$B$1)</f>
        <v>0</v>
      </c>
      <c r="AP71" s="55">
        <f>_xll.EQNXTDZ($A$1,$B71,AP$5,$B$1)</f>
        <v>598.42999999999995</v>
      </c>
      <c r="AQ71" s="55">
        <f>_xll.EQNXTDZ($A$1,$B71,AQ$5,$B$1)</f>
        <v>0</v>
      </c>
      <c r="AR71" s="55">
        <f>_xll.EQNXTDZ($A$1,$B71,AR$5,$B$1)</f>
        <v>693.7</v>
      </c>
      <c r="AS71" s="55">
        <f>_xll.EQNXTDZ($A$1,$B71,AS$5,$B$1)</f>
        <v>0</v>
      </c>
      <c r="AT71" s="55">
        <f>_xll.EQNXTDZ($A$1,$B71,AT$5,$B$1)</f>
        <v>722.96</v>
      </c>
      <c r="AU71" s="55">
        <f>_xll.EQNXTDZ($A$1,$B71,AU$5,$B$1)</f>
        <v>0</v>
      </c>
      <c r="AV71" s="55">
        <f>_xll.EQNXTDZ($A$1,$B71,AV$5,$B$1)</f>
        <v>917.53</v>
      </c>
      <c r="AW71" s="55">
        <f>_xll.EQNXTDZ($A$1,$B71,AW$5,$B$1)</f>
        <v>0</v>
      </c>
      <c r="AX71" s="55">
        <f>_xll.EQNXTDZ($A$1,$B71,AX$5,$B$1)</f>
        <v>1009.19</v>
      </c>
      <c r="AY71" s="55">
        <f>_xll.EQNXTDZ($A$1,$B71,AY$5,$B$1)</f>
        <v>0</v>
      </c>
      <c r="AZ71" s="55">
        <f>_xll.EQNXTDZ($A$1,$B71,AZ$5,$B$1)</f>
        <v>1011.79</v>
      </c>
      <c r="BA71" s="55">
        <f>_xll.EQNXTDZ($A$1,$B71,BA$5,$B$1)</f>
        <v>0</v>
      </c>
      <c r="BB71" s="55">
        <f>_xll.EQNXTDZ($A$1,$B71,BB$5,$B$1)</f>
        <v>1281.27</v>
      </c>
      <c r="BC71" s="55">
        <f>_xll.EQNXTDZ($A$1,$B71,BC$5,$B$1)</f>
        <v>0</v>
      </c>
      <c r="BD71" s="55">
        <f>_xll.EQNXTDZ($A$1,$B71,BD$5,$B$1)</f>
        <v>1365.49</v>
      </c>
      <c r="BE71" s="55">
        <f>_xll.EQNXTDZ($A$1,$B71,BE$5,$B$1)</f>
        <v>0</v>
      </c>
      <c r="BF71" s="55">
        <f>_xll.EQNXTDZ($A$1,$B71,BF$5,$B$1)</f>
        <v>1509.27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359</v>
      </c>
      <c r="B72" t="s">
        <v>387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360</v>
      </c>
      <c r="B73" t="s">
        <v>388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361</v>
      </c>
      <c r="B74" t="s">
        <v>389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14.2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10.98</v>
      </c>
      <c r="W74" s="55">
        <f>_xll.EQNXTDZ($A$1,$B74,W$5,$B$1)</f>
        <v>0</v>
      </c>
      <c r="X74" s="55">
        <f>_xll.EQNXTDZ($A$1,$B74,X$5,$B$1)</f>
        <v>39.119999999999997</v>
      </c>
      <c r="Y74" s="55">
        <f>_xll.EQNXTDZ($A$1,$B74,Y$5,$B$1)</f>
        <v>0</v>
      </c>
      <c r="Z74" s="55">
        <f>_xll.EQNXTDZ($A$1,$B74,Z$5,$B$1)</f>
        <v>8.77</v>
      </c>
      <c r="AA74" s="55">
        <f>_xll.EQNXTDZ($A$1,$B74,AA$5,$B$1)</f>
        <v>0</v>
      </c>
      <c r="AB74" s="55">
        <f>_xll.EQNXTDZ($A$1,$B74,AB$5,$B$1)</f>
        <v>12.64</v>
      </c>
      <c r="AC74" s="55">
        <f>_xll.EQNXTDZ($A$1,$B74,AC$5,$B$1)</f>
        <v>0</v>
      </c>
      <c r="AD74" s="55">
        <f>_xll.EQNXTDZ($A$1,$B74,AD$5,$B$1)</f>
        <v>10.14</v>
      </c>
      <c r="AE74" s="55">
        <f>_xll.EQNXTDZ($A$1,$B74,AE$5,$B$1)</f>
        <v>0</v>
      </c>
      <c r="AF74" s="55">
        <f>_xll.EQNXTDZ($A$1,$B74,AF$5,$B$1)</f>
        <v>15.65</v>
      </c>
      <c r="AG74" s="55">
        <f>_xll.EQNXTDZ($A$1,$B74,AG$5,$B$1)</f>
        <v>0</v>
      </c>
      <c r="AH74" s="55">
        <f>_xll.EQNXTDZ($A$1,$B74,AH$5,$B$1)</f>
        <v>6.02</v>
      </c>
      <c r="AI74" s="55">
        <f>_xll.EQNXTDZ($A$1,$B74,AI$5,$B$1)</f>
        <v>0</v>
      </c>
      <c r="AJ74" s="55">
        <f>_xll.EQNXTDZ($A$1,$B74,AJ$5,$B$1)</f>
        <v>15.34</v>
      </c>
      <c r="AK74" s="55">
        <f>_xll.EQNXTDZ($A$1,$B74,AK$5,$B$1)</f>
        <v>0</v>
      </c>
      <c r="AL74" s="55">
        <f>_xll.EQNXTDZ($A$1,$B74,AL$5,$B$1)</f>
        <v>8.81</v>
      </c>
      <c r="AM74" s="55">
        <f>_xll.EQNXTDZ($A$1,$B74,AM$5,$B$1)</f>
        <v>0</v>
      </c>
      <c r="AN74" s="55">
        <f>_xll.EQNXTDZ($A$1,$B74,AN$5,$B$1)</f>
        <v>36.61</v>
      </c>
      <c r="AO74" s="55">
        <f>_xll.EQNXTDZ($A$1,$B74,AO$5,$B$1)</f>
        <v>0</v>
      </c>
      <c r="AP74" s="55">
        <f>_xll.EQNXTDZ($A$1,$B74,AP$5,$B$1)</f>
        <v>73.930000000000007</v>
      </c>
      <c r="AQ74" s="55">
        <f>_xll.EQNXTDZ($A$1,$B74,AQ$5,$B$1)</f>
        <v>0</v>
      </c>
      <c r="AR74" s="55">
        <f>_xll.EQNXTDZ($A$1,$B74,AR$5,$B$1)</f>
        <v>115.58</v>
      </c>
      <c r="AS74" s="55">
        <f>_xll.EQNXTDZ($A$1,$B74,AS$5,$B$1)</f>
        <v>0</v>
      </c>
      <c r="AT74" s="55">
        <f>_xll.EQNXTDZ($A$1,$B74,AT$5,$B$1)</f>
        <v>222.98</v>
      </c>
      <c r="AU74" s="55">
        <f>_xll.EQNXTDZ($A$1,$B74,AU$5,$B$1)</f>
        <v>0</v>
      </c>
      <c r="AV74" s="55">
        <f>_xll.EQNXTDZ($A$1,$B74,AV$5,$B$1)</f>
        <v>196.89</v>
      </c>
      <c r="AW74" s="55">
        <f>_xll.EQNXTDZ($A$1,$B74,AW$5,$B$1)</f>
        <v>0</v>
      </c>
      <c r="AX74" s="55">
        <f>_xll.EQNXTDZ($A$1,$B74,AX$5,$B$1)</f>
        <v>218.55</v>
      </c>
      <c r="AY74" s="55">
        <f>_xll.EQNXTDZ($A$1,$B74,AY$5,$B$1)</f>
        <v>0</v>
      </c>
      <c r="AZ74" s="55">
        <f>_xll.EQNXTDZ($A$1,$B74,AZ$5,$B$1)</f>
        <v>340.8</v>
      </c>
      <c r="BA74" s="55">
        <f>_xll.EQNXTDZ($A$1,$B74,BA$5,$B$1)</f>
        <v>0</v>
      </c>
      <c r="BB74" s="55">
        <f>_xll.EQNXTDZ($A$1,$B74,BB$5,$B$1)</f>
        <v>172.29</v>
      </c>
      <c r="BC74" s="55">
        <f>_xll.EQNXTDZ($A$1,$B74,BC$5,$B$1)</f>
        <v>0</v>
      </c>
      <c r="BD74" s="55">
        <f>_xll.EQNXTDZ($A$1,$B74,BD$5,$B$1)</f>
        <v>136.88</v>
      </c>
      <c r="BE74" s="55">
        <f>_xll.EQNXTDZ($A$1,$B74,BE$5,$B$1)</f>
        <v>0</v>
      </c>
      <c r="BF74" s="55">
        <f>_xll.EQNXTDZ($A$1,$B74,BF$5,$B$1)</f>
        <v>81.56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362</v>
      </c>
      <c r="B75" t="s">
        <v>390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363</v>
      </c>
      <c r="B76" t="s">
        <v>391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364</v>
      </c>
      <c r="B77" t="s">
        <v>392</v>
      </c>
      <c r="C77" s="55">
        <f>_xll.EQNXTDZ($A$1,$B77,C$5,$B$1)</f>
        <v>0</v>
      </c>
      <c r="D77" s="55">
        <f>_xll.EQNXTDZ($A$1,$B77,D$5,$B$1)</f>
        <v>7.85</v>
      </c>
      <c r="E77" s="55">
        <f>_xll.EQNXTDZ($A$1,$B77,E$5,$B$1)</f>
        <v>0</v>
      </c>
      <c r="F77" s="55">
        <f>_xll.EQNXTDZ($A$1,$B77,F$5,$B$1)</f>
        <v>7.85</v>
      </c>
      <c r="G77" s="55">
        <f>_xll.EQNXTDZ($A$1,$B77,G$5,$B$1)</f>
        <v>0</v>
      </c>
      <c r="H77" s="55">
        <f>_xll.EQNXTDZ($A$1,$B77,H$5,$B$1)</f>
        <v>7.85</v>
      </c>
      <c r="I77" s="55">
        <f>_xll.EQNXTDZ($A$1,$B77,I$5,$B$1)</f>
        <v>0</v>
      </c>
      <c r="J77" s="55">
        <f>_xll.EQNXTDZ($A$1,$B77,J$5,$B$1)</f>
        <v>7.85</v>
      </c>
      <c r="K77" s="55">
        <f>_xll.EQNXTDZ($A$1,$B77,K$5,$B$1)</f>
        <v>0</v>
      </c>
      <c r="L77" s="55">
        <f>_xll.EQNXTDZ($A$1,$B77,L$5,$B$1)</f>
        <v>7.85</v>
      </c>
      <c r="M77" s="55">
        <f>_xll.EQNXTDZ($A$1,$B77,M$5,$B$1)</f>
        <v>0</v>
      </c>
      <c r="N77" s="55">
        <f>_xll.EQNXTDZ($A$1,$B77,N$5,$B$1)</f>
        <v>5.85</v>
      </c>
      <c r="O77" s="55">
        <f>_xll.EQNXTDZ($A$1,$B77,O$5,$B$1)</f>
        <v>0</v>
      </c>
      <c r="P77" s="55">
        <f>_xll.EQNXTDZ($A$1,$B77,P$5,$B$1)</f>
        <v>5.85</v>
      </c>
      <c r="Q77" s="55">
        <f>_xll.EQNXTDZ($A$1,$B77,Q$5,$B$1)</f>
        <v>0</v>
      </c>
      <c r="R77" s="55">
        <f>_xll.EQNXTDZ($A$1,$B77,R$5,$B$1)</f>
        <v>5.85</v>
      </c>
      <c r="S77" s="55">
        <f>_xll.EQNXTDZ($A$1,$B77,S$5,$B$1)</f>
        <v>0</v>
      </c>
      <c r="T77" s="55">
        <f>_xll.EQNXTDZ($A$1,$B77,T$5,$B$1)</f>
        <v>5.9</v>
      </c>
      <c r="U77" s="55">
        <f>_xll.EQNXTDZ($A$1,$B77,U$5,$B$1)</f>
        <v>0</v>
      </c>
      <c r="V77" s="55">
        <f>_xll.EQNXTDZ($A$1,$B77,V$5,$B$1)</f>
        <v>5.85</v>
      </c>
      <c r="W77" s="55">
        <f>_xll.EQNXTDZ($A$1,$B77,W$5,$B$1)</f>
        <v>0</v>
      </c>
      <c r="X77" s="55">
        <f>_xll.EQNXTDZ($A$1,$B77,X$5,$B$1)</f>
        <v>5.9</v>
      </c>
      <c r="Y77" s="55">
        <f>_xll.EQNXTDZ($A$1,$B77,Y$5,$B$1)</f>
        <v>0</v>
      </c>
      <c r="Z77" s="55">
        <f>_xll.EQNXTDZ($A$1,$B77,Z$5,$B$1)</f>
        <v>5.85</v>
      </c>
      <c r="AA77" s="55">
        <f>_xll.EQNXTDZ($A$1,$B77,AA$5,$B$1)</f>
        <v>0</v>
      </c>
      <c r="AB77" s="55">
        <f>_xll.EQNXTDZ($A$1,$B77,AB$5,$B$1)</f>
        <v>5.9</v>
      </c>
      <c r="AC77" s="55">
        <f>_xll.EQNXTDZ($A$1,$B77,AC$5,$B$1)</f>
        <v>0</v>
      </c>
      <c r="AD77" s="55">
        <f>_xll.EQNXTDZ($A$1,$B77,AD$5,$B$1)</f>
        <v>5.85</v>
      </c>
      <c r="AE77" s="55">
        <f>_xll.EQNXTDZ($A$1,$B77,AE$5,$B$1)</f>
        <v>0</v>
      </c>
      <c r="AF77" s="55">
        <f>_xll.EQNXTDZ($A$1,$B77,AF$5,$B$1)</f>
        <v>5.85</v>
      </c>
      <c r="AG77" s="55">
        <f>_xll.EQNXTDZ($A$1,$B77,AG$5,$B$1)</f>
        <v>0</v>
      </c>
      <c r="AH77" s="55">
        <f>_xll.EQNXTDZ($A$1,$B77,AH$5,$B$1)</f>
        <v>5.85</v>
      </c>
      <c r="AI77" s="55">
        <f>_xll.EQNXTDZ($A$1,$B77,AI$5,$B$1)</f>
        <v>0</v>
      </c>
      <c r="AJ77" s="55">
        <f>_xll.EQNXTDZ($A$1,$B77,AJ$5,$B$1)</f>
        <v>0.04</v>
      </c>
      <c r="AK77" s="55">
        <f>_xll.EQNXTDZ($A$1,$B77,AK$5,$B$1)</f>
        <v>0</v>
      </c>
      <c r="AL77" s="55">
        <f>_xll.EQNXTDZ($A$1,$B77,AL$5,$B$1)</f>
        <v>0.04</v>
      </c>
      <c r="AM77" s="55">
        <f>_xll.EQNXTDZ($A$1,$B77,AM$5,$B$1)</f>
        <v>0</v>
      </c>
      <c r="AN77" s="55">
        <f>_xll.EQNXTDZ($A$1,$B77,AN$5,$B$1)</f>
        <v>0.04</v>
      </c>
      <c r="AO77" s="55">
        <f>_xll.EQNXTDZ($A$1,$B77,AO$5,$B$1)</f>
        <v>0</v>
      </c>
      <c r="AP77" s="55">
        <f>_xll.EQNXTDZ($A$1,$B77,AP$5,$B$1)</f>
        <v>0.79</v>
      </c>
      <c r="AQ77" s="55">
        <f>_xll.EQNXTDZ($A$1,$B77,AQ$5,$B$1)</f>
        <v>0</v>
      </c>
      <c r="AR77" s="55">
        <f>_xll.EQNXTDZ($A$1,$B77,AR$5,$B$1)</f>
        <v>30.79</v>
      </c>
      <c r="AS77" s="55">
        <f>_xll.EQNXTDZ($A$1,$B77,AS$5,$B$1)</f>
        <v>0</v>
      </c>
      <c r="AT77" s="55">
        <f>_xll.EQNXTDZ($A$1,$B77,AT$5,$B$1)</f>
        <v>0.75</v>
      </c>
      <c r="AU77" s="55">
        <f>_xll.EQNXTDZ($A$1,$B77,AU$5,$B$1)</f>
        <v>0</v>
      </c>
      <c r="AV77" s="55">
        <f>_xll.EQNXTDZ($A$1,$B77,AV$5,$B$1)</f>
        <v>0.75</v>
      </c>
      <c r="AW77" s="55">
        <f>_xll.EQNXTDZ($A$1,$B77,AW$5,$B$1)</f>
        <v>0</v>
      </c>
      <c r="AX77" s="55">
        <f>_xll.EQNXTDZ($A$1,$B77,AX$5,$B$1)</f>
        <v>0.75</v>
      </c>
      <c r="AY77" s="55">
        <f>_xll.EQNXTDZ($A$1,$B77,AY$5,$B$1)</f>
        <v>0</v>
      </c>
      <c r="AZ77" s="55">
        <f>_xll.EQNXTDZ($A$1,$B77,AZ$5,$B$1)</f>
        <v>46.1</v>
      </c>
      <c r="BA77" s="55">
        <f>_xll.EQNXTDZ($A$1,$B77,BA$5,$B$1)</f>
        <v>0</v>
      </c>
      <c r="BB77" s="55">
        <f>_xll.EQNXTDZ($A$1,$B77,BB$5,$B$1)</f>
        <v>0.75</v>
      </c>
      <c r="BC77" s="55">
        <f>_xll.EQNXTDZ($A$1,$B77,BC$5,$B$1)</f>
        <v>0</v>
      </c>
      <c r="BD77" s="55">
        <f>_xll.EQNXTDZ($A$1,$B77,BD$5,$B$1)</f>
        <v>10.76</v>
      </c>
      <c r="BE77" s="55">
        <f>_xll.EQNXTDZ($A$1,$B77,BE$5,$B$1)</f>
        <v>0</v>
      </c>
      <c r="BF77" s="55">
        <f>_xll.EQNXTDZ($A$1,$B77,BF$5,$B$1)</f>
        <v>24.57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58</v>
      </c>
      <c r="B78" t="s">
        <v>393</v>
      </c>
      <c r="C78" s="55">
        <f>_xll.EQNXTDZ($A$1,$B78,C$5,$B$1)</f>
        <v>0</v>
      </c>
      <c r="D78" s="55">
        <f>_xll.EQNXTDZ($A$1,$B78,D$5,$B$1)</f>
        <v>8.56</v>
      </c>
      <c r="E78" s="55">
        <f>_xll.EQNXTDZ($A$1,$B78,E$5,$B$1)</f>
        <v>0</v>
      </c>
      <c r="F78" s="55">
        <f>_xll.EQNXTDZ($A$1,$B78,F$5,$B$1)</f>
        <v>11.58</v>
      </c>
      <c r="G78" s="55">
        <f>_xll.EQNXTDZ($A$1,$B78,G$5,$B$1)</f>
        <v>0</v>
      </c>
      <c r="H78" s="55">
        <f>_xll.EQNXTDZ($A$1,$B78,H$5,$B$1)</f>
        <v>16.47</v>
      </c>
      <c r="I78" s="55">
        <f>_xll.EQNXTDZ($A$1,$B78,I$5,$B$1)</f>
        <v>0</v>
      </c>
      <c r="J78" s="55">
        <f>_xll.EQNXTDZ($A$1,$B78,J$5,$B$1)</f>
        <v>17.010000000000002</v>
      </c>
      <c r="K78" s="55">
        <f>_xll.EQNXTDZ($A$1,$B78,K$5,$B$1)</f>
        <v>0</v>
      </c>
      <c r="L78" s="55">
        <f>_xll.EQNXTDZ($A$1,$B78,L$5,$B$1)</f>
        <v>28.16</v>
      </c>
      <c r="M78" s="55">
        <f>_xll.EQNXTDZ($A$1,$B78,M$5,$B$1)</f>
        <v>0</v>
      </c>
      <c r="N78" s="55">
        <f>_xll.EQNXTDZ($A$1,$B78,N$5,$B$1)</f>
        <v>14.51</v>
      </c>
      <c r="O78" s="55">
        <f>_xll.EQNXTDZ($A$1,$B78,O$5,$B$1)</f>
        <v>0</v>
      </c>
      <c r="P78" s="55">
        <f>_xll.EQNXTDZ($A$1,$B78,P$5,$B$1)</f>
        <v>22.66</v>
      </c>
      <c r="Q78" s="55">
        <f>_xll.EQNXTDZ($A$1,$B78,Q$5,$B$1)</f>
        <v>0</v>
      </c>
      <c r="R78" s="55">
        <f>_xll.EQNXTDZ($A$1,$B78,R$5,$B$1)</f>
        <v>19.71</v>
      </c>
      <c r="S78" s="55">
        <f>_xll.EQNXTDZ($A$1,$B78,S$5,$B$1)</f>
        <v>0</v>
      </c>
      <c r="T78" s="55">
        <f>_xll.EQNXTDZ($A$1,$B78,T$5,$B$1)</f>
        <v>26.22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59</v>
      </c>
      <c r="B79" t="s">
        <v>394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18.11</v>
      </c>
      <c r="W79" s="55">
        <f>_xll.EQNXTDZ($A$1,$B79,W$5,$B$1)</f>
        <v>0</v>
      </c>
      <c r="X79" s="55">
        <f>_xll.EQNXTDZ($A$1,$B79,X$5,$B$1)</f>
        <v>21.03</v>
      </c>
      <c r="Y79" s="55">
        <f>_xll.EQNXTDZ($A$1,$B79,Y$5,$B$1)</f>
        <v>0</v>
      </c>
      <c r="Z79" s="55">
        <f>_xll.EQNXTDZ($A$1,$B79,Z$5,$B$1)</f>
        <v>14.33</v>
      </c>
      <c r="AA79" s="55">
        <f>_xll.EQNXTDZ($A$1,$B79,AA$5,$B$1)</f>
        <v>0</v>
      </c>
      <c r="AB79" s="55">
        <f>_xll.EQNXTDZ($A$1,$B79,AB$5,$B$1)</f>
        <v>16.940000000000001</v>
      </c>
      <c r="AC79" s="55">
        <f>_xll.EQNXTDZ($A$1,$B79,AC$5,$B$1)</f>
        <v>0</v>
      </c>
      <c r="AD79" s="55">
        <f>_xll.EQNXTDZ($A$1,$B79,AD$5,$B$1)</f>
        <v>18.579999999999998</v>
      </c>
      <c r="AE79" s="55">
        <f>_xll.EQNXTDZ($A$1,$B79,AE$5,$B$1)</f>
        <v>0</v>
      </c>
      <c r="AF79" s="55">
        <f>_xll.EQNXTDZ($A$1,$B79,AF$5,$B$1)</f>
        <v>19.86</v>
      </c>
      <c r="AG79" s="55">
        <f>_xll.EQNXTDZ($A$1,$B79,AG$5,$B$1)</f>
        <v>0</v>
      </c>
      <c r="AH79" s="55">
        <f>_xll.EQNXTDZ($A$1,$B79,AH$5,$B$1)</f>
        <v>15.89</v>
      </c>
      <c r="AI79" s="55">
        <f>_xll.EQNXTDZ($A$1,$B79,AI$5,$B$1)</f>
        <v>0</v>
      </c>
      <c r="AJ79" s="55">
        <f>_xll.EQNXTDZ($A$1,$B79,AJ$5,$B$1)</f>
        <v>13.89</v>
      </c>
      <c r="AK79" s="55">
        <f>_xll.EQNXTDZ($A$1,$B79,AK$5,$B$1)</f>
        <v>0</v>
      </c>
      <c r="AL79" s="55">
        <f>_xll.EQNXTDZ($A$1,$B79,AL$5,$B$1)</f>
        <v>15.8</v>
      </c>
      <c r="AM79" s="55">
        <f>_xll.EQNXTDZ($A$1,$B79,AM$5,$B$1)</f>
        <v>0</v>
      </c>
      <c r="AN79" s="55">
        <f>_xll.EQNXTDZ($A$1,$B79,AN$5,$B$1)</f>
        <v>46.03</v>
      </c>
      <c r="AO79" s="55">
        <f>_xll.EQNXTDZ($A$1,$B79,AO$5,$B$1)</f>
        <v>0</v>
      </c>
      <c r="AP79" s="55">
        <f>_xll.EQNXTDZ($A$1,$B79,AP$5,$B$1)</f>
        <v>84</v>
      </c>
      <c r="AQ79" s="55">
        <f>_xll.EQNXTDZ($A$1,$B79,AQ$5,$B$1)</f>
        <v>0</v>
      </c>
      <c r="AR79" s="55">
        <f>_xll.EQNXTDZ($A$1,$B79,AR$5,$B$1)</f>
        <v>90.22</v>
      </c>
      <c r="AS79" s="55">
        <f>_xll.EQNXTDZ($A$1,$B79,AS$5,$B$1)</f>
        <v>0</v>
      </c>
      <c r="AT79" s="55">
        <f>_xll.EQNXTDZ($A$1,$B79,AT$5,$B$1)</f>
        <v>147.33000000000001</v>
      </c>
      <c r="AU79" s="55">
        <f>_xll.EQNXTDZ($A$1,$B79,AU$5,$B$1)</f>
        <v>0</v>
      </c>
      <c r="AV79" s="55">
        <f>_xll.EQNXTDZ($A$1,$B79,AV$5,$B$1)</f>
        <v>164.86</v>
      </c>
      <c r="AW79" s="55">
        <f>_xll.EQNXTDZ($A$1,$B79,AW$5,$B$1)</f>
        <v>0</v>
      </c>
      <c r="AX79" s="55">
        <f>_xll.EQNXTDZ($A$1,$B79,AX$5,$B$1)</f>
        <v>143.61000000000001</v>
      </c>
      <c r="AY79" s="55">
        <f>_xll.EQNXTDZ($A$1,$B79,AY$5,$B$1)</f>
        <v>0</v>
      </c>
      <c r="AZ79" s="55">
        <f>_xll.EQNXTDZ($A$1,$B79,AZ$5,$B$1)</f>
        <v>69.58</v>
      </c>
      <c r="BA79" s="55">
        <f>_xll.EQNXTDZ($A$1,$B79,BA$5,$B$1)</f>
        <v>0</v>
      </c>
      <c r="BB79" s="55">
        <f>_xll.EQNXTDZ($A$1,$B79,BB$5,$B$1)</f>
        <v>115.24</v>
      </c>
      <c r="BC79" s="55">
        <f>_xll.EQNXTDZ($A$1,$B79,BC$5,$B$1)</f>
        <v>0</v>
      </c>
      <c r="BD79" s="55">
        <f>_xll.EQNXTDZ($A$1,$B79,BD$5,$B$1)</f>
        <v>117.72</v>
      </c>
      <c r="BE79" s="55">
        <f>_xll.EQNXTDZ($A$1,$B79,BE$5,$B$1)</f>
        <v>0</v>
      </c>
      <c r="BF79" s="55">
        <f>_xll.EQNXTDZ($A$1,$B79,BF$5,$B$1)</f>
        <v>103.38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365</v>
      </c>
      <c r="B80" t="s">
        <v>395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6.86</v>
      </c>
      <c r="AU80" s="55">
        <f>_xll.EQNXTDZ($A$1,$B80,AU$5,$B$1)</f>
        <v>0</v>
      </c>
      <c r="AV80" s="55">
        <f>_xll.EQNXTDZ($A$1,$B80,AV$5,$B$1)</f>
        <v>8.1199999999999992</v>
      </c>
      <c r="AW80" s="55">
        <f>_xll.EQNXTDZ($A$1,$B80,AW$5,$B$1)</f>
        <v>0</v>
      </c>
      <c r="AX80" s="55">
        <f>_xll.EQNXTDZ($A$1,$B80,AX$5,$B$1)</f>
        <v>10.27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78.83</v>
      </c>
      <c r="BC80" s="55">
        <f>_xll.EQNXTDZ($A$1,$B80,BC$5,$B$1)</f>
        <v>0</v>
      </c>
      <c r="BD80" s="55">
        <f>_xll.EQNXTDZ($A$1,$B80,BD$5,$B$1)</f>
        <v>91.19</v>
      </c>
      <c r="BE80" s="55">
        <f>_xll.EQNXTDZ($A$1,$B80,BE$5,$B$1)</f>
        <v>0</v>
      </c>
      <c r="BF80" s="55">
        <f>_xll.EQNXTDZ($A$1,$B80,BF$5,$B$1)</f>
        <v>129.16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60</v>
      </c>
      <c r="B81" t="s">
        <v>396</v>
      </c>
      <c r="C81" s="55">
        <f>_xll.EQNXTDZ($A$1,$B81,C$5,$B$1)</f>
        <v>0</v>
      </c>
      <c r="D81" s="55">
        <f>_xll.EQNXTDZ($A$1,$B81,D$5,$B$1)</f>
        <v>202.85</v>
      </c>
      <c r="E81" s="55">
        <f>_xll.EQNXTDZ($A$1,$B81,E$5,$B$1)</f>
        <v>0</v>
      </c>
      <c r="F81" s="55">
        <f>_xll.EQNXTDZ($A$1,$B81,F$5,$B$1)</f>
        <v>213.55</v>
      </c>
      <c r="G81" s="55">
        <f>_xll.EQNXTDZ($A$1,$B81,G$5,$B$1)</f>
        <v>0</v>
      </c>
      <c r="H81" s="55">
        <f>_xll.EQNXTDZ($A$1,$B81,H$5,$B$1)</f>
        <v>209.52</v>
      </c>
      <c r="I81" s="55">
        <f>_xll.EQNXTDZ($A$1,$B81,I$5,$B$1)</f>
        <v>0</v>
      </c>
      <c r="J81" s="55">
        <f>_xll.EQNXTDZ($A$1,$B81,J$5,$B$1)</f>
        <v>233.73</v>
      </c>
      <c r="K81" s="55">
        <f>_xll.EQNXTDZ($A$1,$B81,K$5,$B$1)</f>
        <v>0</v>
      </c>
      <c r="L81" s="55">
        <f>_xll.EQNXTDZ($A$1,$B81,L$5,$B$1)</f>
        <v>216.98</v>
      </c>
      <c r="M81" s="55">
        <f>_xll.EQNXTDZ($A$1,$B81,M$5,$B$1)</f>
        <v>0</v>
      </c>
      <c r="N81" s="55">
        <f>_xll.EQNXTDZ($A$1,$B81,N$5,$B$1)</f>
        <v>265.08999999999997</v>
      </c>
      <c r="O81" s="55">
        <f>_xll.EQNXTDZ($A$1,$B81,O$5,$B$1)</f>
        <v>0</v>
      </c>
      <c r="P81" s="55">
        <f>_xll.EQNXTDZ($A$1,$B81,P$5,$B$1)</f>
        <v>261.57</v>
      </c>
      <c r="Q81" s="55">
        <f>_xll.EQNXTDZ($A$1,$B81,Q$5,$B$1)</f>
        <v>0</v>
      </c>
      <c r="R81" s="55">
        <f>_xll.EQNXTDZ($A$1,$B81,R$5,$B$1)</f>
        <v>294.49</v>
      </c>
      <c r="S81" s="55">
        <f>_xll.EQNXTDZ($A$1,$B81,S$5,$B$1)</f>
        <v>0</v>
      </c>
      <c r="T81" s="55">
        <f>_xll.EQNXTDZ($A$1,$B81,T$5,$B$1)</f>
        <v>283.91000000000003</v>
      </c>
      <c r="U81" s="55">
        <f>_xll.EQNXTDZ($A$1,$B81,U$5,$B$1)</f>
        <v>0</v>
      </c>
      <c r="V81" s="55">
        <f>_xll.EQNXTDZ($A$1,$B81,V$5,$B$1)</f>
        <v>360.77</v>
      </c>
      <c r="W81" s="55">
        <f>_xll.EQNXTDZ($A$1,$B81,W$5,$B$1)</f>
        <v>0</v>
      </c>
      <c r="X81" s="55">
        <f>_xll.EQNXTDZ($A$1,$B81,X$5,$B$1)</f>
        <v>324.41000000000003</v>
      </c>
      <c r="Y81" s="55">
        <f>_xll.EQNXTDZ($A$1,$B81,Y$5,$B$1)</f>
        <v>0</v>
      </c>
      <c r="Z81" s="55">
        <f>_xll.EQNXTDZ($A$1,$B81,Z$5,$B$1)</f>
        <v>360.04</v>
      </c>
      <c r="AA81" s="55">
        <f>_xll.EQNXTDZ($A$1,$B81,AA$5,$B$1)</f>
        <v>0</v>
      </c>
      <c r="AB81" s="55">
        <f>_xll.EQNXTDZ($A$1,$B81,AB$5,$B$1)</f>
        <v>357.65</v>
      </c>
      <c r="AC81" s="55">
        <f>_xll.EQNXTDZ($A$1,$B81,AC$5,$B$1)</f>
        <v>0</v>
      </c>
      <c r="AD81" s="55">
        <f>_xll.EQNXTDZ($A$1,$B81,AD$5,$B$1)</f>
        <v>360.8</v>
      </c>
      <c r="AE81" s="55">
        <f>_xll.EQNXTDZ($A$1,$B81,AE$5,$B$1)</f>
        <v>0</v>
      </c>
      <c r="AF81" s="55">
        <f>_xll.EQNXTDZ($A$1,$B81,AF$5,$B$1)</f>
        <v>331.86</v>
      </c>
      <c r="AG81" s="55">
        <f>_xll.EQNXTDZ($A$1,$B81,AG$5,$B$1)</f>
        <v>0</v>
      </c>
      <c r="AH81" s="55">
        <f>_xll.EQNXTDZ($A$1,$B81,AH$5,$B$1)</f>
        <v>372.78</v>
      </c>
      <c r="AI81" s="55">
        <f>_xll.EQNXTDZ($A$1,$B81,AI$5,$B$1)</f>
        <v>0</v>
      </c>
      <c r="AJ81" s="55">
        <f>_xll.EQNXTDZ($A$1,$B81,AJ$5,$B$1)</f>
        <v>306.74</v>
      </c>
      <c r="AK81" s="55">
        <f>_xll.EQNXTDZ($A$1,$B81,AK$5,$B$1)</f>
        <v>0</v>
      </c>
      <c r="AL81" s="55">
        <f>_xll.EQNXTDZ($A$1,$B81,AL$5,$B$1)</f>
        <v>376.35</v>
      </c>
      <c r="AM81" s="55">
        <f>_xll.EQNXTDZ($A$1,$B81,AM$5,$B$1)</f>
        <v>0</v>
      </c>
      <c r="AN81" s="55">
        <f>_xll.EQNXTDZ($A$1,$B81,AN$5,$B$1)</f>
        <v>360.71</v>
      </c>
      <c r="AO81" s="55">
        <f>_xll.EQNXTDZ($A$1,$B81,AO$5,$B$1)</f>
        <v>0</v>
      </c>
      <c r="AP81" s="55">
        <f>_xll.EQNXTDZ($A$1,$B81,AP$5,$B$1)</f>
        <v>527.97</v>
      </c>
      <c r="AQ81" s="55">
        <f>_xll.EQNXTDZ($A$1,$B81,AQ$5,$B$1)</f>
        <v>0</v>
      </c>
      <c r="AR81" s="55">
        <f>_xll.EQNXTDZ($A$1,$B81,AR$5,$B$1)</f>
        <v>432.83</v>
      </c>
      <c r="AS81" s="55">
        <f>_xll.EQNXTDZ($A$1,$B81,AS$5,$B$1)</f>
        <v>0</v>
      </c>
      <c r="AT81" s="55">
        <f>_xll.EQNXTDZ($A$1,$B81,AT$5,$B$1)</f>
        <v>513.36</v>
      </c>
      <c r="AU81" s="55">
        <f>_xll.EQNXTDZ($A$1,$B81,AU$5,$B$1)</f>
        <v>0</v>
      </c>
      <c r="AV81" s="55">
        <f>_xll.EQNXTDZ($A$1,$B81,AV$5,$B$1)</f>
        <v>506.04</v>
      </c>
      <c r="AW81" s="55">
        <f>_xll.EQNXTDZ($A$1,$B81,AW$5,$B$1)</f>
        <v>0</v>
      </c>
      <c r="AX81" s="55">
        <f>_xll.EQNXTDZ($A$1,$B81,AX$5,$B$1)</f>
        <v>669.42</v>
      </c>
      <c r="AY81" s="55">
        <f>_xll.EQNXTDZ($A$1,$B81,AY$5,$B$1)</f>
        <v>0</v>
      </c>
      <c r="AZ81" s="55">
        <f>_xll.EQNXTDZ($A$1,$B81,AZ$5,$B$1)</f>
        <v>633.78</v>
      </c>
      <c r="BA81" s="55">
        <f>_xll.EQNXTDZ($A$1,$B81,BA$5,$B$1)</f>
        <v>0</v>
      </c>
      <c r="BB81" s="55">
        <f>_xll.EQNXTDZ($A$1,$B81,BB$5,$B$1)</f>
        <v>575.91</v>
      </c>
      <c r="BC81" s="55">
        <f>_xll.EQNXTDZ($A$1,$B81,BC$5,$B$1)</f>
        <v>0</v>
      </c>
      <c r="BD81" s="55">
        <f>_xll.EQNXTDZ($A$1,$B81,BD$5,$B$1)</f>
        <v>536.20000000000005</v>
      </c>
      <c r="BE81" s="55">
        <f>_xll.EQNXTDZ($A$1,$B81,BE$5,$B$1)</f>
        <v>0</v>
      </c>
      <c r="BF81" s="55">
        <f>_xll.EQNXTDZ($A$1,$B81,BF$5,$B$1)</f>
        <v>586.57000000000005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61</v>
      </c>
      <c r="B82" t="s">
        <v>397</v>
      </c>
      <c r="C82" s="55">
        <f>_xll.EQNXTDZ($A$1,$B82,C$5,$B$1)</f>
        <v>0</v>
      </c>
      <c r="D82" s="55">
        <f>_xll.EQNXTDZ($A$1,$B82,D$5,$B$1)</f>
        <v>153.38</v>
      </c>
      <c r="E82" s="55">
        <f>_xll.EQNXTDZ($A$1,$B82,E$5,$B$1)</f>
        <v>0</v>
      </c>
      <c r="F82" s="55">
        <f>_xll.EQNXTDZ($A$1,$B82,F$5,$B$1)</f>
        <v>175.46</v>
      </c>
      <c r="G82" s="55">
        <f>_xll.EQNXTDZ($A$1,$B82,G$5,$B$1)</f>
        <v>0</v>
      </c>
      <c r="H82" s="55">
        <f>_xll.EQNXTDZ($A$1,$B82,H$5,$B$1)</f>
        <v>184.21</v>
      </c>
      <c r="I82" s="55">
        <f>_xll.EQNXTDZ($A$1,$B82,I$5,$B$1)</f>
        <v>0</v>
      </c>
      <c r="J82" s="55">
        <f>_xll.EQNXTDZ($A$1,$B82,J$5,$B$1)</f>
        <v>200.85</v>
      </c>
      <c r="K82" s="55">
        <f>_xll.EQNXTDZ($A$1,$B82,K$5,$B$1)</f>
        <v>0</v>
      </c>
      <c r="L82" s="55">
        <f>_xll.EQNXTDZ($A$1,$B82,L$5,$B$1)</f>
        <v>228.08</v>
      </c>
      <c r="M82" s="55">
        <f>_xll.EQNXTDZ($A$1,$B82,M$5,$B$1)</f>
        <v>0</v>
      </c>
      <c r="N82" s="55">
        <f>_xll.EQNXTDZ($A$1,$B82,N$5,$B$1)</f>
        <v>251.71</v>
      </c>
      <c r="O82" s="55">
        <f>_xll.EQNXTDZ($A$1,$B82,O$5,$B$1)</f>
        <v>0</v>
      </c>
      <c r="P82" s="55">
        <f>_xll.EQNXTDZ($A$1,$B82,P$5,$B$1)</f>
        <v>279.13</v>
      </c>
      <c r="Q82" s="55">
        <f>_xll.EQNXTDZ($A$1,$B82,Q$5,$B$1)</f>
        <v>0</v>
      </c>
      <c r="R82" s="55">
        <f>_xll.EQNXTDZ($A$1,$B82,R$5,$B$1)</f>
        <v>271.10000000000002</v>
      </c>
      <c r="S82" s="55">
        <f>_xll.EQNXTDZ($A$1,$B82,S$5,$B$1)</f>
        <v>0</v>
      </c>
      <c r="T82" s="55">
        <f>_xll.EQNXTDZ($A$1,$B82,T$5,$B$1)</f>
        <v>302.70999999999998</v>
      </c>
      <c r="U82" s="55">
        <f>_xll.EQNXTDZ($A$1,$B82,U$5,$B$1)</f>
        <v>0</v>
      </c>
      <c r="V82" s="55">
        <f>_xll.EQNXTDZ($A$1,$B82,V$5,$B$1)</f>
        <v>254.98</v>
      </c>
      <c r="W82" s="55">
        <f>_xll.EQNXTDZ($A$1,$B82,W$5,$B$1)</f>
        <v>0</v>
      </c>
      <c r="X82" s="55">
        <f>_xll.EQNXTDZ($A$1,$B82,X$5,$B$1)</f>
        <v>287.60000000000002</v>
      </c>
      <c r="Y82" s="55">
        <f>_xll.EQNXTDZ($A$1,$B82,Y$5,$B$1)</f>
        <v>0</v>
      </c>
      <c r="Z82" s="55">
        <f>_xll.EQNXTDZ($A$1,$B82,Z$5,$B$1)</f>
        <v>317.89999999999998</v>
      </c>
      <c r="AA82" s="55">
        <f>_xll.EQNXTDZ($A$1,$B82,AA$5,$B$1)</f>
        <v>0</v>
      </c>
      <c r="AB82" s="55">
        <f>_xll.EQNXTDZ($A$1,$B82,AB$5,$B$1)</f>
        <v>389.52</v>
      </c>
      <c r="AC82" s="55">
        <f>_xll.EQNXTDZ($A$1,$B82,AC$5,$B$1)</f>
        <v>0</v>
      </c>
      <c r="AD82" s="55">
        <f>_xll.EQNXTDZ($A$1,$B82,AD$5,$B$1)</f>
        <v>349.88</v>
      </c>
      <c r="AE82" s="55">
        <f>_xll.EQNXTDZ($A$1,$B82,AE$5,$B$1)</f>
        <v>0</v>
      </c>
      <c r="AF82" s="55">
        <f>_xll.EQNXTDZ($A$1,$B82,AF$5,$B$1)</f>
        <v>352.14</v>
      </c>
      <c r="AG82" s="55">
        <f>_xll.EQNXTDZ($A$1,$B82,AG$5,$B$1)</f>
        <v>0</v>
      </c>
      <c r="AH82" s="55">
        <f>_xll.EQNXTDZ($A$1,$B82,AH$5,$B$1)</f>
        <v>291.55</v>
      </c>
      <c r="AI82" s="55">
        <f>_xll.EQNXTDZ($A$1,$B82,AI$5,$B$1)</f>
        <v>0</v>
      </c>
      <c r="AJ82" s="55">
        <f>_xll.EQNXTDZ($A$1,$B82,AJ$5,$B$1)</f>
        <v>266.82</v>
      </c>
      <c r="AK82" s="55">
        <f>_xll.EQNXTDZ($A$1,$B82,AK$5,$B$1)</f>
        <v>0</v>
      </c>
      <c r="AL82" s="55">
        <f>_xll.EQNXTDZ($A$1,$B82,AL$5,$B$1)</f>
        <v>280.01</v>
      </c>
      <c r="AM82" s="55">
        <f>_xll.EQNXTDZ($A$1,$B82,AM$5,$B$1)</f>
        <v>0</v>
      </c>
      <c r="AN82" s="55">
        <f>_xll.EQNXTDZ($A$1,$B82,AN$5,$B$1)</f>
        <v>421.98</v>
      </c>
      <c r="AO82" s="55">
        <f>_xll.EQNXTDZ($A$1,$B82,AO$5,$B$1)</f>
        <v>0</v>
      </c>
      <c r="AP82" s="55">
        <f>_xll.EQNXTDZ($A$1,$B82,AP$5,$B$1)</f>
        <v>376.43</v>
      </c>
      <c r="AQ82" s="55">
        <f>_xll.EQNXTDZ($A$1,$B82,AQ$5,$B$1)</f>
        <v>0</v>
      </c>
      <c r="AR82" s="55">
        <f>_xll.EQNXTDZ($A$1,$B82,AR$5,$B$1)</f>
        <v>386.4</v>
      </c>
      <c r="AS82" s="55">
        <f>_xll.EQNXTDZ($A$1,$B82,AS$5,$B$1)</f>
        <v>0</v>
      </c>
      <c r="AT82" s="55">
        <f>_xll.EQNXTDZ($A$1,$B82,AT$5,$B$1)</f>
        <v>352.82</v>
      </c>
      <c r="AU82" s="55">
        <f>_xll.EQNXTDZ($A$1,$B82,AU$5,$B$1)</f>
        <v>0</v>
      </c>
      <c r="AV82" s="55">
        <f>_xll.EQNXTDZ($A$1,$B82,AV$5,$B$1)</f>
        <v>416.81</v>
      </c>
      <c r="AW82" s="55">
        <f>_xll.EQNXTDZ($A$1,$B82,AW$5,$B$1)</f>
        <v>0</v>
      </c>
      <c r="AX82" s="55">
        <f>_xll.EQNXTDZ($A$1,$B82,AX$5,$B$1)</f>
        <v>448.4</v>
      </c>
      <c r="AY82" s="55">
        <f>_xll.EQNXTDZ($A$1,$B82,AY$5,$B$1)</f>
        <v>0</v>
      </c>
      <c r="AZ82" s="55">
        <f>_xll.EQNXTDZ($A$1,$B82,AZ$5,$B$1)</f>
        <v>520.67999999999995</v>
      </c>
      <c r="BA82" s="55">
        <f>_xll.EQNXTDZ($A$1,$B82,BA$5,$B$1)</f>
        <v>0</v>
      </c>
      <c r="BB82" s="55">
        <f>_xll.EQNXTDZ($A$1,$B82,BB$5,$B$1)</f>
        <v>517.53</v>
      </c>
      <c r="BC82" s="55">
        <f>_xll.EQNXTDZ($A$1,$B82,BC$5,$B$1)</f>
        <v>0</v>
      </c>
      <c r="BD82" s="55">
        <f>_xll.EQNXTDZ($A$1,$B82,BD$5,$B$1)</f>
        <v>638.33000000000004</v>
      </c>
      <c r="BE82" s="55">
        <f>_xll.EQNXTDZ($A$1,$B82,BE$5,$B$1)</f>
        <v>0</v>
      </c>
      <c r="BF82" s="55">
        <f>_xll.EQNXTDZ($A$1,$B82,BF$5,$B$1)</f>
        <v>637.12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75</v>
      </c>
      <c r="B83" t="s">
        <v>398</v>
      </c>
      <c r="C83" s="55">
        <f>_xll.EQNXTDZ($A$1,$B83,C$5,$B$1)</f>
        <v>0</v>
      </c>
      <c r="D83" s="55">
        <f>_xll.EQNXTDZ($A$1,$B83,D$5,$B$1)</f>
        <v>5.88</v>
      </c>
      <c r="E83" s="55">
        <f>_xll.EQNXTDZ($A$1,$B83,E$5,$B$1)</f>
        <v>0</v>
      </c>
      <c r="F83" s="55">
        <f>_xll.EQNXTDZ($A$1,$B83,F$5,$B$1)</f>
        <v>8.17</v>
      </c>
      <c r="G83" s="55">
        <f>_xll.EQNXTDZ($A$1,$B83,G$5,$B$1)</f>
        <v>0</v>
      </c>
      <c r="H83" s="55">
        <f>_xll.EQNXTDZ($A$1,$B83,H$5,$B$1)</f>
        <v>2.5</v>
      </c>
      <c r="I83" s="55">
        <f>_xll.EQNXTDZ($A$1,$B83,I$5,$B$1)</f>
        <v>0</v>
      </c>
      <c r="J83" s="55">
        <f>_xll.EQNXTDZ($A$1,$B83,J$5,$B$1)</f>
        <v>3.28</v>
      </c>
      <c r="K83" s="55">
        <f>_xll.EQNXTDZ($A$1,$B83,K$5,$B$1)</f>
        <v>0</v>
      </c>
      <c r="L83" s="55">
        <f>_xll.EQNXTDZ($A$1,$B83,L$5,$B$1)</f>
        <v>1.75</v>
      </c>
      <c r="M83" s="55">
        <f>_xll.EQNXTDZ($A$1,$B83,M$5,$B$1)</f>
        <v>0</v>
      </c>
      <c r="N83" s="55">
        <f>_xll.EQNXTDZ($A$1,$B83,N$5,$B$1)</f>
        <v>3.91</v>
      </c>
      <c r="O83" s="55">
        <f>_xll.EQNXTDZ($A$1,$B83,O$5,$B$1)</f>
        <v>0</v>
      </c>
      <c r="P83" s="55">
        <f>_xll.EQNXTDZ($A$1,$B83,P$5,$B$1)</f>
        <v>2.13</v>
      </c>
      <c r="Q83" s="55">
        <f>_xll.EQNXTDZ($A$1,$B83,Q$5,$B$1)</f>
        <v>0</v>
      </c>
      <c r="R83" s="55">
        <f>_xll.EQNXTDZ($A$1,$B83,R$5,$B$1)</f>
        <v>3.61</v>
      </c>
      <c r="S83" s="55">
        <f>_xll.EQNXTDZ($A$1,$B83,S$5,$B$1)</f>
        <v>0</v>
      </c>
      <c r="T83" s="55">
        <f>_xll.EQNXTDZ($A$1,$B83,T$5,$B$1)</f>
        <v>2.73</v>
      </c>
      <c r="U83" s="55">
        <f>_xll.EQNXTDZ($A$1,$B83,U$5,$B$1)</f>
        <v>0</v>
      </c>
      <c r="V83" s="55">
        <f>_xll.EQNXTDZ($A$1,$B83,V$5,$B$1)</f>
        <v>5.69</v>
      </c>
      <c r="W83" s="55">
        <f>_xll.EQNXTDZ($A$1,$B83,W$5,$B$1)</f>
        <v>0</v>
      </c>
      <c r="X83" s="55">
        <f>_xll.EQNXTDZ($A$1,$B83,X$5,$B$1)</f>
        <v>1.94</v>
      </c>
      <c r="Y83" s="55">
        <f>_xll.EQNXTDZ($A$1,$B83,Y$5,$B$1)</f>
        <v>0</v>
      </c>
      <c r="Z83" s="55">
        <f>_xll.EQNXTDZ($A$1,$B83,Z$5,$B$1)</f>
        <v>1.68</v>
      </c>
      <c r="AA83" s="55">
        <f>_xll.EQNXTDZ($A$1,$B83,AA$5,$B$1)</f>
        <v>0</v>
      </c>
      <c r="AB83" s="55">
        <f>_xll.EQNXTDZ($A$1,$B83,AB$5,$B$1)</f>
        <v>0.72</v>
      </c>
      <c r="AC83" s="55">
        <f>_xll.EQNXTDZ($A$1,$B83,AC$5,$B$1)</f>
        <v>0</v>
      </c>
      <c r="AD83" s="55">
        <f>_xll.EQNXTDZ($A$1,$B83,AD$5,$B$1)</f>
        <v>0.68</v>
      </c>
      <c r="AE83" s="55">
        <f>_xll.EQNXTDZ($A$1,$B83,AE$5,$B$1)</f>
        <v>0</v>
      </c>
      <c r="AF83" s="55">
        <f>_xll.EQNXTDZ($A$1,$B83,AF$5,$B$1)</f>
        <v>8.44</v>
      </c>
      <c r="AG83" s="55">
        <f>_xll.EQNXTDZ($A$1,$B83,AG$5,$B$1)</f>
        <v>0</v>
      </c>
      <c r="AH83" s="55">
        <f>_xll.EQNXTDZ($A$1,$B83,AH$5,$B$1)</f>
        <v>13.65</v>
      </c>
      <c r="AI83" s="55">
        <f>_xll.EQNXTDZ($A$1,$B83,AI$5,$B$1)</f>
        <v>0</v>
      </c>
      <c r="AJ83" s="55">
        <f>_xll.EQNXTDZ($A$1,$B83,AJ$5,$B$1)</f>
        <v>5.1100000000000003</v>
      </c>
      <c r="AK83" s="55">
        <f>_xll.EQNXTDZ($A$1,$B83,AK$5,$B$1)</f>
        <v>0</v>
      </c>
      <c r="AL83" s="55">
        <f>_xll.EQNXTDZ($A$1,$B83,AL$5,$B$1)</f>
        <v>10.1</v>
      </c>
      <c r="AM83" s="55">
        <f>_xll.EQNXTDZ($A$1,$B83,AM$5,$B$1)</f>
        <v>0</v>
      </c>
      <c r="AN83" s="55">
        <f>_xll.EQNXTDZ($A$1,$B83,AN$5,$B$1)</f>
        <v>11.98</v>
      </c>
      <c r="AO83" s="55">
        <f>_xll.EQNXTDZ($A$1,$B83,AO$5,$B$1)</f>
        <v>0</v>
      </c>
      <c r="AP83" s="55">
        <f>_xll.EQNXTDZ($A$1,$B83,AP$5,$B$1)</f>
        <v>22.3</v>
      </c>
      <c r="AQ83" s="55">
        <f>_xll.EQNXTDZ($A$1,$B83,AQ$5,$B$1)</f>
        <v>0</v>
      </c>
      <c r="AR83" s="55">
        <f>_xll.EQNXTDZ($A$1,$B83,AR$5,$B$1)</f>
        <v>54.3</v>
      </c>
      <c r="AS83" s="55">
        <f>_xll.EQNXTDZ($A$1,$B83,AS$5,$B$1)</f>
        <v>0</v>
      </c>
      <c r="AT83" s="55">
        <f>_xll.EQNXTDZ($A$1,$B83,AT$5,$B$1)</f>
        <v>27.97</v>
      </c>
      <c r="AU83" s="55">
        <f>_xll.EQNXTDZ($A$1,$B83,AU$5,$B$1)</f>
        <v>0</v>
      </c>
      <c r="AV83" s="55">
        <f>_xll.EQNXTDZ($A$1,$B83,AV$5,$B$1)</f>
        <v>20.69</v>
      </c>
      <c r="AW83" s="55">
        <f>_xll.EQNXTDZ($A$1,$B83,AW$5,$B$1)</f>
        <v>0</v>
      </c>
      <c r="AX83" s="55">
        <f>_xll.EQNXTDZ($A$1,$B83,AX$5,$B$1)</f>
        <v>28.27</v>
      </c>
      <c r="AY83" s="55">
        <f>_xll.EQNXTDZ($A$1,$B83,AY$5,$B$1)</f>
        <v>0</v>
      </c>
      <c r="AZ83" s="55">
        <f>_xll.EQNXTDZ($A$1,$B83,AZ$5,$B$1)</f>
        <v>20.010000000000002</v>
      </c>
      <c r="BA83" s="55">
        <f>_xll.EQNXTDZ($A$1,$B83,BA$5,$B$1)</f>
        <v>0</v>
      </c>
      <c r="BB83" s="55">
        <f>_xll.EQNXTDZ($A$1,$B83,BB$5,$B$1)</f>
        <v>51.95</v>
      </c>
      <c r="BC83" s="55">
        <f>_xll.EQNXTDZ($A$1,$B83,BC$5,$B$1)</f>
        <v>0</v>
      </c>
      <c r="BD83" s="55">
        <f>_xll.EQNXTDZ($A$1,$B83,BD$5,$B$1)</f>
        <v>31.43</v>
      </c>
      <c r="BE83" s="55">
        <f>_xll.EQNXTDZ($A$1,$B83,BE$5,$B$1)</f>
        <v>0</v>
      </c>
      <c r="BF83" s="55">
        <f>_xll.EQNXTDZ($A$1,$B83,BF$5,$B$1)</f>
        <v>65.8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62</v>
      </c>
      <c r="B84" t="s">
        <v>399</v>
      </c>
      <c r="C84" s="55">
        <f>_xll.EQNXTDZ($A$1,$B84,C$5,$B$1)</f>
        <v>0</v>
      </c>
      <c r="D84" s="55">
        <f>_xll.EQNXTDZ($A$1,$B84,D$5,$B$1)</f>
        <v>13.86</v>
      </c>
      <c r="E84" s="55">
        <f>_xll.EQNXTDZ($A$1,$B84,E$5,$B$1)</f>
        <v>0</v>
      </c>
      <c r="F84" s="55">
        <f>_xll.EQNXTDZ($A$1,$B84,F$5,$B$1)</f>
        <v>16.13</v>
      </c>
      <c r="G84" s="55">
        <f>_xll.EQNXTDZ($A$1,$B84,G$5,$B$1)</f>
        <v>0</v>
      </c>
      <c r="H84" s="55">
        <f>_xll.EQNXTDZ($A$1,$B84,H$5,$B$1)</f>
        <v>15.35</v>
      </c>
      <c r="I84" s="55">
        <f>_xll.EQNXTDZ($A$1,$B84,I$5,$B$1)</f>
        <v>0</v>
      </c>
      <c r="J84" s="55">
        <f>_xll.EQNXTDZ($A$1,$B84,J$5,$B$1)</f>
        <v>20.350000000000001</v>
      </c>
      <c r="K84" s="55">
        <f>_xll.EQNXTDZ($A$1,$B84,K$5,$B$1)</f>
        <v>0</v>
      </c>
      <c r="L84" s="55">
        <f>_xll.EQNXTDZ($A$1,$B84,L$5,$B$1)</f>
        <v>15.58</v>
      </c>
      <c r="M84" s="55">
        <f>_xll.EQNXTDZ($A$1,$B84,M$5,$B$1)</f>
        <v>0</v>
      </c>
      <c r="N84" s="55">
        <f>_xll.EQNXTDZ($A$1,$B84,N$5,$B$1)</f>
        <v>12.13</v>
      </c>
      <c r="O84" s="55">
        <f>_xll.EQNXTDZ($A$1,$B84,O$5,$B$1)</f>
        <v>0</v>
      </c>
      <c r="P84" s="55">
        <f>_xll.EQNXTDZ($A$1,$B84,P$5,$B$1)</f>
        <v>13.15</v>
      </c>
      <c r="Q84" s="55">
        <f>_xll.EQNXTDZ($A$1,$B84,Q$5,$B$1)</f>
        <v>0</v>
      </c>
      <c r="R84" s="55">
        <f>_xll.EQNXTDZ($A$1,$B84,R$5,$B$1)</f>
        <v>22.13</v>
      </c>
      <c r="S84" s="55">
        <f>_xll.EQNXTDZ($A$1,$B84,S$5,$B$1)</f>
        <v>0</v>
      </c>
      <c r="T84" s="55">
        <f>_xll.EQNXTDZ($A$1,$B84,T$5,$B$1)</f>
        <v>23.47</v>
      </c>
      <c r="U84" s="55">
        <f>_xll.EQNXTDZ($A$1,$B84,U$5,$B$1)</f>
        <v>0</v>
      </c>
      <c r="V84" s="55">
        <f>_xll.EQNXTDZ($A$1,$B84,V$5,$B$1)</f>
        <v>117.36</v>
      </c>
      <c r="W84" s="55">
        <f>_xll.EQNXTDZ($A$1,$B84,W$5,$B$1)</f>
        <v>0</v>
      </c>
      <c r="X84" s="55">
        <f>_xll.EQNXTDZ($A$1,$B84,X$5,$B$1)</f>
        <v>130.49</v>
      </c>
      <c r="Y84" s="55">
        <f>_xll.EQNXTDZ($A$1,$B84,Y$5,$B$1)</f>
        <v>0</v>
      </c>
      <c r="Z84" s="55">
        <f>_xll.EQNXTDZ($A$1,$B84,Z$5,$B$1)</f>
        <v>170.92</v>
      </c>
      <c r="AA84" s="55">
        <f>_xll.EQNXTDZ($A$1,$B84,AA$5,$B$1)</f>
        <v>0</v>
      </c>
      <c r="AB84" s="55">
        <f>_xll.EQNXTDZ($A$1,$B84,AB$5,$B$1)</f>
        <v>131.15</v>
      </c>
      <c r="AC84" s="55">
        <f>_xll.EQNXTDZ($A$1,$B84,AC$5,$B$1)</f>
        <v>0</v>
      </c>
      <c r="AD84" s="55">
        <f>_xll.EQNXTDZ($A$1,$B84,AD$5,$B$1)</f>
        <v>138.38999999999999</v>
      </c>
      <c r="AE84" s="55">
        <f>_xll.EQNXTDZ($A$1,$B84,AE$5,$B$1)</f>
        <v>0</v>
      </c>
      <c r="AF84" s="55">
        <f>_xll.EQNXTDZ($A$1,$B84,AF$5,$B$1)</f>
        <v>104.59</v>
      </c>
      <c r="AG84" s="55">
        <f>_xll.EQNXTDZ($A$1,$B84,AG$5,$B$1)</f>
        <v>0</v>
      </c>
      <c r="AH84" s="55">
        <f>_xll.EQNXTDZ($A$1,$B84,AH$5,$B$1)</f>
        <v>114.99</v>
      </c>
      <c r="AI84" s="55">
        <f>_xll.EQNXTDZ($A$1,$B84,AI$5,$B$1)</f>
        <v>0</v>
      </c>
      <c r="AJ84" s="55">
        <f>_xll.EQNXTDZ($A$1,$B84,AJ$5,$B$1)</f>
        <v>99.46</v>
      </c>
      <c r="AK84" s="55">
        <f>_xll.EQNXTDZ($A$1,$B84,AK$5,$B$1)</f>
        <v>0</v>
      </c>
      <c r="AL84" s="55">
        <f>_xll.EQNXTDZ($A$1,$B84,AL$5,$B$1)</f>
        <v>127.21</v>
      </c>
      <c r="AM84" s="55">
        <f>_xll.EQNXTDZ($A$1,$B84,AM$5,$B$1)</f>
        <v>0</v>
      </c>
      <c r="AN84" s="55">
        <f>_xll.EQNXTDZ($A$1,$B84,AN$5,$B$1)</f>
        <v>123.36</v>
      </c>
      <c r="AO84" s="55">
        <f>_xll.EQNXTDZ($A$1,$B84,AO$5,$B$1)</f>
        <v>0</v>
      </c>
      <c r="AP84" s="55">
        <f>_xll.EQNXTDZ($A$1,$B84,AP$5,$B$1)</f>
        <v>140.13999999999999</v>
      </c>
      <c r="AQ84" s="55">
        <f>_xll.EQNXTDZ($A$1,$B84,AQ$5,$B$1)</f>
        <v>0</v>
      </c>
      <c r="AR84" s="55">
        <f>_xll.EQNXTDZ($A$1,$B84,AR$5,$B$1)</f>
        <v>159.16</v>
      </c>
      <c r="AS84" s="55">
        <f>_xll.EQNXTDZ($A$1,$B84,AS$5,$B$1)</f>
        <v>0</v>
      </c>
      <c r="AT84" s="55">
        <f>_xll.EQNXTDZ($A$1,$B84,AT$5,$B$1)</f>
        <v>165.53</v>
      </c>
      <c r="AU84" s="55">
        <f>_xll.EQNXTDZ($A$1,$B84,AU$5,$B$1)</f>
        <v>0</v>
      </c>
      <c r="AV84" s="55">
        <f>_xll.EQNXTDZ($A$1,$B84,AV$5,$B$1)</f>
        <v>162.83000000000001</v>
      </c>
      <c r="AW84" s="55">
        <f>_xll.EQNXTDZ($A$1,$B84,AW$5,$B$1)</f>
        <v>0</v>
      </c>
      <c r="AX84" s="55">
        <f>_xll.EQNXTDZ($A$1,$B84,AX$5,$B$1)</f>
        <v>200.47</v>
      </c>
      <c r="AY84" s="55">
        <f>_xll.EQNXTDZ($A$1,$B84,AY$5,$B$1)</f>
        <v>0</v>
      </c>
      <c r="AZ84" s="55">
        <f>_xll.EQNXTDZ($A$1,$B84,AZ$5,$B$1)</f>
        <v>141</v>
      </c>
      <c r="BA84" s="55">
        <f>_xll.EQNXTDZ($A$1,$B84,BA$5,$B$1)</f>
        <v>0</v>
      </c>
      <c r="BB84" s="55">
        <f>_xll.EQNXTDZ($A$1,$B84,BB$5,$B$1)</f>
        <v>161.47999999999999</v>
      </c>
      <c r="BC84" s="55">
        <f>_xll.EQNXTDZ($A$1,$B84,BC$5,$B$1)</f>
        <v>0</v>
      </c>
      <c r="BD84" s="55">
        <f>_xll.EQNXTDZ($A$1,$B84,BD$5,$B$1)</f>
        <v>213.96</v>
      </c>
      <c r="BE84" s="55">
        <f>_xll.EQNXTDZ($A$1,$B84,BE$5,$B$1)</f>
        <v>0</v>
      </c>
      <c r="BF84" s="55">
        <f>_xll.EQNXTDZ($A$1,$B84,BF$5,$B$1)</f>
        <v>177.39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366</v>
      </c>
      <c r="B85" t="s">
        <v>400</v>
      </c>
      <c r="C85" s="55">
        <f>_xll.EQNXTDZ($A$1,$B85,C$5,$B$1)</f>
        <v>0</v>
      </c>
      <c r="D85" s="55">
        <f>_xll.EQNXTDZ($A$1,$B85,D$5,$B$1)</f>
        <v>104.07</v>
      </c>
      <c r="E85" s="55">
        <f>_xll.EQNXTDZ($A$1,$B85,E$5,$B$1)</f>
        <v>0</v>
      </c>
      <c r="F85" s="55">
        <f>_xll.EQNXTDZ($A$1,$B85,F$5,$B$1)</f>
        <v>106.69</v>
      </c>
      <c r="G85" s="55">
        <f>_xll.EQNXTDZ($A$1,$B85,G$5,$B$1)</f>
        <v>0</v>
      </c>
      <c r="H85" s="55">
        <f>_xll.EQNXTDZ($A$1,$B85,H$5,$B$1)</f>
        <v>116.14</v>
      </c>
      <c r="I85" s="55">
        <f>_xll.EQNXTDZ($A$1,$B85,I$5,$B$1)</f>
        <v>0</v>
      </c>
      <c r="J85" s="55">
        <f>_xll.EQNXTDZ($A$1,$B85,J$5,$B$1)</f>
        <v>62.68</v>
      </c>
      <c r="K85" s="55">
        <f>_xll.EQNXTDZ($A$1,$B85,K$5,$B$1)</f>
        <v>0</v>
      </c>
      <c r="L85" s="55">
        <f>_xll.EQNXTDZ($A$1,$B85,L$5,$B$1)</f>
        <v>71.39</v>
      </c>
      <c r="M85" s="55">
        <f>_xll.EQNXTDZ($A$1,$B85,M$5,$B$1)</f>
        <v>0</v>
      </c>
      <c r="N85" s="55">
        <f>_xll.EQNXTDZ($A$1,$B85,N$5,$B$1)</f>
        <v>57.72</v>
      </c>
      <c r="O85" s="55">
        <f>_xll.EQNXTDZ($A$1,$B85,O$5,$B$1)</f>
        <v>0</v>
      </c>
      <c r="P85" s="55">
        <f>_xll.EQNXTDZ($A$1,$B85,P$5,$B$1)</f>
        <v>77.22</v>
      </c>
      <c r="Q85" s="55">
        <f>_xll.EQNXTDZ($A$1,$B85,Q$5,$B$1)</f>
        <v>0</v>
      </c>
      <c r="R85" s="55">
        <f>_xll.EQNXTDZ($A$1,$B85,R$5,$B$1)</f>
        <v>76.430000000000007</v>
      </c>
      <c r="S85" s="55">
        <f>_xll.EQNXTDZ($A$1,$B85,S$5,$B$1)</f>
        <v>0</v>
      </c>
      <c r="T85" s="55">
        <f>_xll.EQNXTDZ($A$1,$B85,T$5,$B$1)</f>
        <v>93.75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172</v>
      </c>
      <c r="B86" t="s">
        <v>401</v>
      </c>
      <c r="C86" s="55">
        <f>_xll.EQNXTDZ($A$1,$B86,C$5,$B$1)</f>
        <v>0</v>
      </c>
      <c r="D86" s="55">
        <f>_xll.EQNXTDZ($A$1,$B86,D$5,$B$1)</f>
        <v>480.04</v>
      </c>
      <c r="E86" s="55">
        <f>_xll.EQNXTDZ($A$1,$B86,E$5,$B$1)</f>
        <v>0</v>
      </c>
      <c r="F86" s="55">
        <f>_xll.EQNXTDZ($A$1,$B86,F$5,$B$1)</f>
        <v>520</v>
      </c>
      <c r="G86" s="55">
        <f>_xll.EQNXTDZ($A$1,$B86,G$5,$B$1)</f>
        <v>0</v>
      </c>
      <c r="H86" s="55">
        <f>_xll.EQNXTDZ($A$1,$B86,H$5,$B$1)</f>
        <v>527.72</v>
      </c>
      <c r="I86" s="55">
        <f>_xll.EQNXTDZ($A$1,$B86,I$5,$B$1)</f>
        <v>0</v>
      </c>
      <c r="J86" s="55">
        <f>_xll.EQNXTDZ($A$1,$B86,J$5,$B$1)</f>
        <v>520.89</v>
      </c>
      <c r="K86" s="55">
        <f>_xll.EQNXTDZ($A$1,$B86,K$5,$B$1)</f>
        <v>0</v>
      </c>
      <c r="L86" s="55">
        <f>_xll.EQNXTDZ($A$1,$B86,L$5,$B$1)</f>
        <v>533.78</v>
      </c>
      <c r="M86" s="55">
        <f>_xll.EQNXTDZ($A$1,$B86,M$5,$B$1)</f>
        <v>0</v>
      </c>
      <c r="N86" s="55">
        <f>_xll.EQNXTDZ($A$1,$B86,N$5,$B$1)</f>
        <v>590.55999999999995</v>
      </c>
      <c r="O86" s="55">
        <f>_xll.EQNXTDZ($A$1,$B86,O$5,$B$1)</f>
        <v>0</v>
      </c>
      <c r="P86" s="55">
        <f>_xll.EQNXTDZ($A$1,$B86,P$5,$B$1)</f>
        <v>633.20000000000005</v>
      </c>
      <c r="Q86" s="55">
        <f>_xll.EQNXTDZ($A$1,$B86,Q$5,$B$1)</f>
        <v>0</v>
      </c>
      <c r="R86" s="55">
        <f>_xll.EQNXTDZ($A$1,$B86,R$5,$B$1)</f>
        <v>667.76</v>
      </c>
      <c r="S86" s="55">
        <f>_xll.EQNXTDZ($A$1,$B86,S$5,$B$1)</f>
        <v>0</v>
      </c>
      <c r="T86" s="55">
        <f>_xll.EQNXTDZ($A$1,$B86,T$5,$B$1)</f>
        <v>706.57</v>
      </c>
      <c r="U86" s="55">
        <f>_xll.EQNXTDZ($A$1,$B86,U$5,$B$1)</f>
        <v>0</v>
      </c>
      <c r="V86" s="55">
        <f>_xll.EQNXTDZ($A$1,$B86,V$5,$B$1)</f>
        <v>738.8</v>
      </c>
      <c r="W86" s="55">
        <f>_xll.EQNXTDZ($A$1,$B86,W$5,$B$1)</f>
        <v>0</v>
      </c>
      <c r="X86" s="55">
        <f>_xll.EQNXTDZ($A$1,$B86,X$5,$B$1)</f>
        <v>744.44</v>
      </c>
      <c r="Y86" s="55">
        <f>_xll.EQNXTDZ($A$1,$B86,Y$5,$B$1)</f>
        <v>0</v>
      </c>
      <c r="Z86" s="55">
        <f>_xll.EQNXTDZ($A$1,$B86,Z$5,$B$1)</f>
        <v>850.54</v>
      </c>
      <c r="AA86" s="55">
        <f>_xll.EQNXTDZ($A$1,$B86,AA$5,$B$1)</f>
        <v>0</v>
      </c>
      <c r="AB86" s="55">
        <f>_xll.EQNXTDZ($A$1,$B86,AB$5,$B$1)</f>
        <v>879.04</v>
      </c>
      <c r="AC86" s="55">
        <f>_xll.EQNXTDZ($A$1,$B86,AC$5,$B$1)</f>
        <v>0</v>
      </c>
      <c r="AD86" s="55">
        <f>_xll.EQNXTDZ($A$1,$B86,AD$5,$B$1)</f>
        <v>849.75</v>
      </c>
      <c r="AE86" s="55">
        <f>_xll.EQNXTDZ($A$1,$B86,AE$5,$B$1)</f>
        <v>0</v>
      </c>
      <c r="AF86" s="55">
        <f>_xll.EQNXTDZ($A$1,$B86,AF$5,$B$1)</f>
        <v>797.03</v>
      </c>
      <c r="AG86" s="55">
        <f>_xll.EQNXTDZ($A$1,$B86,AG$5,$B$1)</f>
        <v>0</v>
      </c>
      <c r="AH86" s="55">
        <f>_xll.EQNXTDZ($A$1,$B86,AH$5,$B$1)</f>
        <v>792.97</v>
      </c>
      <c r="AI86" s="55">
        <f>_xll.EQNXTDZ($A$1,$B86,AI$5,$B$1)</f>
        <v>0</v>
      </c>
      <c r="AJ86" s="55">
        <f>_xll.EQNXTDZ($A$1,$B86,AJ$5,$B$1)</f>
        <v>678.13</v>
      </c>
      <c r="AK86" s="55">
        <f>_xll.EQNXTDZ($A$1,$B86,AK$5,$B$1)</f>
        <v>0</v>
      </c>
      <c r="AL86" s="55">
        <f>_xll.EQNXTDZ($A$1,$B86,AL$5,$B$1)</f>
        <v>793.67</v>
      </c>
      <c r="AM86" s="55">
        <f>_xll.EQNXTDZ($A$1,$B86,AM$5,$B$1)</f>
        <v>0</v>
      </c>
      <c r="AN86" s="55">
        <f>_xll.EQNXTDZ($A$1,$B86,AN$5,$B$1)</f>
        <v>918.03</v>
      </c>
      <c r="AO86" s="55">
        <f>_xll.EQNXTDZ($A$1,$B86,AO$5,$B$1)</f>
        <v>0</v>
      </c>
      <c r="AP86" s="55">
        <f>_xll.EQNXTDZ($A$1,$B86,AP$5,$B$1)</f>
        <v>1066.8399999999999</v>
      </c>
      <c r="AQ86" s="55">
        <f>_xll.EQNXTDZ($A$1,$B86,AQ$5,$B$1)</f>
        <v>0</v>
      </c>
      <c r="AR86" s="55">
        <f>_xll.EQNXTDZ($A$1,$B86,AR$5,$B$1)</f>
        <v>1032.69</v>
      </c>
      <c r="AS86" s="55">
        <f>_xll.EQNXTDZ($A$1,$B86,AS$5,$B$1)</f>
        <v>0</v>
      </c>
      <c r="AT86" s="55">
        <f>_xll.EQNXTDZ($A$1,$B86,AT$5,$B$1)</f>
        <v>1066.54</v>
      </c>
      <c r="AU86" s="55">
        <f>_xll.EQNXTDZ($A$1,$B86,AU$5,$B$1)</f>
        <v>0</v>
      </c>
      <c r="AV86" s="55">
        <f>_xll.EQNXTDZ($A$1,$B86,AV$5,$B$1)</f>
        <v>1114.49</v>
      </c>
      <c r="AW86" s="55">
        <f>_xll.EQNXTDZ($A$1,$B86,AW$5,$B$1)</f>
        <v>0</v>
      </c>
      <c r="AX86" s="55">
        <f>_xll.EQNXTDZ($A$1,$B86,AX$5,$B$1)</f>
        <v>1356.83</v>
      </c>
      <c r="AY86" s="55">
        <f>_xll.EQNXTDZ($A$1,$B86,AY$5,$B$1)</f>
        <v>0</v>
      </c>
      <c r="AZ86" s="55">
        <f>_xll.EQNXTDZ($A$1,$B86,AZ$5,$B$1)</f>
        <v>1315.47</v>
      </c>
      <c r="BA86" s="55">
        <f>_xll.EQNXTDZ($A$1,$B86,BA$5,$B$1)</f>
        <v>0</v>
      </c>
      <c r="BB86" s="55">
        <f>_xll.EQNXTDZ($A$1,$B86,BB$5,$B$1)</f>
        <v>1385.7</v>
      </c>
      <c r="BC86" s="55">
        <f>_xll.EQNXTDZ($A$1,$B86,BC$5,$B$1)</f>
        <v>0</v>
      </c>
      <c r="BD86" s="55">
        <f>_xll.EQNXTDZ($A$1,$B86,BD$5,$B$1)</f>
        <v>1511.11</v>
      </c>
      <c r="BE86" s="55">
        <f>_xll.EQNXTDZ($A$1,$B86,BE$5,$B$1)</f>
        <v>0</v>
      </c>
      <c r="BF86" s="55">
        <f>_xll.EQNXTDZ($A$1,$B86,BF$5,$B$1)</f>
        <v>1596.04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68</v>
      </c>
      <c r="B87" t="s">
        <v>402</v>
      </c>
      <c r="C87" s="55">
        <f>_xll.EQNXTDZ($A$1,$B87,C$5,$B$1)</f>
        <v>0</v>
      </c>
      <c r="D87" s="55">
        <f>_xll.EQNXTDZ($A$1,$B87,D$5,$B$1)</f>
        <v>185.56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47</v>
      </c>
      <c r="B88" t="s">
        <v>403</v>
      </c>
      <c r="C88" s="55">
        <f>_xll.EQNXTDZ($A$1,$B88,C$5,$B$1)</f>
        <v>0</v>
      </c>
      <c r="D88" s="55">
        <f>_xll.EQNXTDZ($A$1,$B88,D$5,$B$1)</f>
        <v>209.99</v>
      </c>
      <c r="E88" s="55">
        <f>_xll.EQNXTDZ($A$1,$B88,E$5,$B$1)</f>
        <v>0</v>
      </c>
      <c r="F88" s="55">
        <f>_xll.EQNXTDZ($A$1,$B88,F$5,$B$1)</f>
        <v>219.57</v>
      </c>
      <c r="G88" s="55">
        <f>_xll.EQNXTDZ($A$1,$B88,G$5,$B$1)</f>
        <v>0</v>
      </c>
      <c r="H88" s="55">
        <f>_xll.EQNXTDZ($A$1,$B88,H$5,$B$1)</f>
        <v>227.99</v>
      </c>
      <c r="I88" s="55">
        <f>_xll.EQNXTDZ($A$1,$B88,I$5,$B$1)</f>
        <v>0</v>
      </c>
      <c r="J88" s="55">
        <f>_xll.EQNXTDZ($A$1,$B88,J$5,$B$1)</f>
        <v>221.78</v>
      </c>
      <c r="K88" s="55">
        <f>_xll.EQNXTDZ($A$1,$B88,K$5,$B$1)</f>
        <v>0</v>
      </c>
      <c r="L88" s="55">
        <f>_xll.EQNXTDZ($A$1,$B88,L$5,$B$1)</f>
        <v>243.84</v>
      </c>
      <c r="M88" s="55">
        <f>_xll.EQNXTDZ($A$1,$B88,M$5,$B$1)</f>
        <v>0</v>
      </c>
      <c r="N88" s="55">
        <f>_xll.EQNXTDZ($A$1,$B88,N$5,$B$1)</f>
        <v>276.93</v>
      </c>
      <c r="O88" s="55">
        <f>_xll.EQNXTDZ($A$1,$B88,O$5,$B$1)</f>
        <v>0</v>
      </c>
      <c r="P88" s="55">
        <f>_xll.EQNXTDZ($A$1,$B88,P$5,$B$1)</f>
        <v>283.24</v>
      </c>
      <c r="Q88" s="55">
        <f>_xll.EQNXTDZ($A$1,$B88,Q$5,$B$1)</f>
        <v>0</v>
      </c>
      <c r="R88" s="55">
        <f>_xll.EQNXTDZ($A$1,$B88,R$5,$B$1)</f>
        <v>301.5</v>
      </c>
      <c r="S88" s="55">
        <f>_xll.EQNXTDZ($A$1,$B88,S$5,$B$1)</f>
        <v>0</v>
      </c>
      <c r="T88" s="55">
        <f>_xll.EQNXTDZ($A$1,$B88,T$5,$B$1)</f>
        <v>304.51</v>
      </c>
      <c r="U88" s="55">
        <f>_xll.EQNXTDZ($A$1,$B88,U$5,$B$1)</f>
        <v>0</v>
      </c>
      <c r="V88" s="55">
        <f>_xll.EQNXTDZ($A$1,$B88,V$5,$B$1)</f>
        <v>319.91000000000003</v>
      </c>
      <c r="W88" s="55">
        <f>_xll.EQNXTDZ($A$1,$B88,W$5,$B$1)</f>
        <v>0</v>
      </c>
      <c r="X88" s="55">
        <f>_xll.EQNXTDZ($A$1,$B88,X$5,$B$1)</f>
        <v>325.27</v>
      </c>
      <c r="Y88" s="55">
        <f>_xll.EQNXTDZ($A$1,$B88,Y$5,$B$1)</f>
        <v>0</v>
      </c>
      <c r="Z88" s="55">
        <f>_xll.EQNXTDZ($A$1,$B88,Z$5,$B$1)</f>
        <v>372.3</v>
      </c>
      <c r="AA88" s="55">
        <f>_xll.EQNXTDZ($A$1,$B88,AA$5,$B$1)</f>
        <v>0</v>
      </c>
      <c r="AB88" s="55">
        <f>_xll.EQNXTDZ($A$1,$B88,AB$5,$B$1)</f>
        <v>360.51</v>
      </c>
      <c r="AC88" s="55">
        <f>_xll.EQNXTDZ($A$1,$B88,AC$5,$B$1)</f>
        <v>0</v>
      </c>
      <c r="AD88" s="55">
        <f>_xll.EQNXTDZ($A$1,$B88,AD$5,$B$1)</f>
        <v>355.07</v>
      </c>
      <c r="AE88" s="55">
        <f>_xll.EQNXTDZ($A$1,$B88,AE$5,$B$1)</f>
        <v>0</v>
      </c>
      <c r="AF88" s="55">
        <f>_xll.EQNXTDZ($A$1,$B88,AF$5,$B$1)</f>
        <v>340.42</v>
      </c>
      <c r="AG88" s="55">
        <f>_xll.EQNXTDZ($A$1,$B88,AG$5,$B$1)</f>
        <v>0</v>
      </c>
      <c r="AH88" s="55">
        <f>_xll.EQNXTDZ($A$1,$B88,AH$5,$B$1)</f>
        <v>358.99</v>
      </c>
      <c r="AI88" s="55">
        <f>_xll.EQNXTDZ($A$1,$B88,AI$5,$B$1)</f>
        <v>0</v>
      </c>
      <c r="AJ88" s="55">
        <f>_xll.EQNXTDZ($A$1,$B88,AJ$5,$B$1)</f>
        <v>281.19</v>
      </c>
      <c r="AK88" s="55">
        <f>_xll.EQNXTDZ($A$1,$B88,AK$5,$B$1)</f>
        <v>0</v>
      </c>
      <c r="AL88" s="55">
        <f>_xll.EQNXTDZ($A$1,$B88,AL$5,$B$1)</f>
        <v>309.45999999999998</v>
      </c>
      <c r="AM88" s="55">
        <f>_xll.EQNXTDZ($A$1,$B88,AM$5,$B$1)</f>
        <v>0</v>
      </c>
      <c r="AN88" s="55">
        <f>_xll.EQNXTDZ($A$1,$B88,AN$5,$B$1)</f>
        <v>427.19</v>
      </c>
      <c r="AO88" s="55">
        <f>_xll.EQNXTDZ($A$1,$B88,AO$5,$B$1)</f>
        <v>0</v>
      </c>
      <c r="AP88" s="55">
        <f>_xll.EQNXTDZ($A$1,$B88,AP$5,$B$1)</f>
        <v>426.14</v>
      </c>
      <c r="AQ88" s="55">
        <f>_xll.EQNXTDZ($A$1,$B88,AQ$5,$B$1)</f>
        <v>0</v>
      </c>
      <c r="AR88" s="55">
        <f>_xll.EQNXTDZ($A$1,$B88,AR$5,$B$1)</f>
        <v>541.99</v>
      </c>
      <c r="AS88" s="55">
        <f>_xll.EQNXTDZ($A$1,$B88,AS$5,$B$1)</f>
        <v>0</v>
      </c>
      <c r="AT88" s="55">
        <f>_xll.EQNXTDZ($A$1,$B88,AT$5,$B$1)</f>
        <v>484.2</v>
      </c>
      <c r="AU88" s="55">
        <f>_xll.EQNXTDZ($A$1,$B88,AU$5,$B$1)</f>
        <v>0</v>
      </c>
      <c r="AV88" s="55">
        <f>_xll.EQNXTDZ($A$1,$B88,AV$5,$B$1)</f>
        <v>505.32</v>
      </c>
      <c r="AW88" s="55">
        <f>_xll.EQNXTDZ($A$1,$B88,AW$5,$B$1)</f>
        <v>0</v>
      </c>
      <c r="AX88" s="55">
        <f>_xll.EQNXTDZ($A$1,$B88,AX$5,$B$1)</f>
        <v>446.3</v>
      </c>
      <c r="AY88" s="55">
        <f>_xll.EQNXTDZ($A$1,$B88,AY$5,$B$1)</f>
        <v>0</v>
      </c>
      <c r="AZ88" s="55">
        <f>_xll.EQNXTDZ($A$1,$B88,AZ$5,$B$1)</f>
        <v>458.67</v>
      </c>
      <c r="BA88" s="55">
        <f>_xll.EQNXTDZ($A$1,$B88,BA$5,$B$1)</f>
        <v>0</v>
      </c>
      <c r="BB88" s="55">
        <f>_xll.EQNXTDZ($A$1,$B88,BB$5,$B$1)</f>
        <v>413</v>
      </c>
      <c r="BC88" s="55">
        <f>_xll.EQNXTDZ($A$1,$B88,BC$5,$B$1)</f>
        <v>0</v>
      </c>
      <c r="BD88" s="55">
        <f>_xll.EQNXTDZ($A$1,$B88,BD$5,$B$1)</f>
        <v>553.22</v>
      </c>
      <c r="BE88" s="55">
        <f>_xll.EQNXTDZ($A$1,$B88,BE$5,$B$1)</f>
        <v>0</v>
      </c>
      <c r="BF88" s="55">
        <f>_xll.EQNXTDZ($A$1,$B88,BF$5,$B$1)</f>
        <v>556.54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69</v>
      </c>
      <c r="B89" t="s">
        <v>404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64.44</v>
      </c>
      <c r="G89" s="55">
        <f>_xll.EQNXTDZ($A$1,$B89,G$5,$B$1)</f>
        <v>0</v>
      </c>
      <c r="H89" s="55">
        <f>_xll.EQNXTDZ($A$1,$B89,H$5,$B$1)</f>
        <v>55.32</v>
      </c>
      <c r="I89" s="55">
        <f>_xll.EQNXTDZ($A$1,$B89,I$5,$B$1)</f>
        <v>0</v>
      </c>
      <c r="J89" s="55">
        <f>_xll.EQNXTDZ($A$1,$B89,J$5,$B$1)</f>
        <v>70.7</v>
      </c>
      <c r="K89" s="55">
        <f>_xll.EQNXTDZ($A$1,$B89,K$5,$B$1)</f>
        <v>0</v>
      </c>
      <c r="L89" s="55">
        <f>_xll.EQNXTDZ($A$1,$B89,L$5,$B$1)</f>
        <v>64.849999999999994</v>
      </c>
      <c r="M89" s="55">
        <f>_xll.EQNXTDZ($A$1,$B89,M$5,$B$1)</f>
        <v>0</v>
      </c>
      <c r="N89" s="55">
        <f>_xll.EQNXTDZ($A$1,$B89,N$5,$B$1)</f>
        <v>75.05</v>
      </c>
      <c r="O89" s="55">
        <f>_xll.EQNXTDZ($A$1,$B89,O$5,$B$1)</f>
        <v>0</v>
      </c>
      <c r="P89" s="55">
        <f>_xll.EQNXTDZ($A$1,$B89,P$5,$B$1)</f>
        <v>63.04</v>
      </c>
      <c r="Q89" s="55">
        <f>_xll.EQNXTDZ($A$1,$B89,Q$5,$B$1)</f>
        <v>0</v>
      </c>
      <c r="R89" s="55">
        <f>_xll.EQNXTDZ($A$1,$B89,R$5,$B$1)</f>
        <v>76.47</v>
      </c>
      <c r="S89" s="55">
        <f>_xll.EQNXTDZ($A$1,$B89,S$5,$B$1)</f>
        <v>0</v>
      </c>
      <c r="T89" s="55">
        <f>_xll.EQNXTDZ($A$1,$B89,T$5,$B$1)</f>
        <v>84.63</v>
      </c>
      <c r="U89" s="55">
        <f>_xll.EQNXTDZ($A$1,$B89,U$5,$B$1)</f>
        <v>0</v>
      </c>
      <c r="V89" s="55">
        <f>_xll.EQNXTDZ($A$1,$B89,V$5,$B$1)</f>
        <v>102.23</v>
      </c>
      <c r="W89" s="55">
        <f>_xll.EQNXTDZ($A$1,$B89,W$5,$B$1)</f>
        <v>0</v>
      </c>
      <c r="X89" s="55">
        <f>_xll.EQNXTDZ($A$1,$B89,X$5,$B$1)</f>
        <v>104.59</v>
      </c>
      <c r="Y89" s="55">
        <f>_xll.EQNXTDZ($A$1,$B89,Y$5,$B$1)</f>
        <v>0</v>
      </c>
      <c r="Z89" s="55">
        <f>_xll.EQNXTDZ($A$1,$B89,Z$5,$B$1)</f>
        <v>150.94</v>
      </c>
      <c r="AA89" s="55">
        <f>_xll.EQNXTDZ($A$1,$B89,AA$5,$B$1)</f>
        <v>0</v>
      </c>
      <c r="AB89" s="55">
        <f>_xll.EQNXTDZ($A$1,$B89,AB$5,$B$1)</f>
        <v>167.34</v>
      </c>
      <c r="AC89" s="55">
        <f>_xll.EQNXTDZ($A$1,$B89,AC$5,$B$1)</f>
        <v>0</v>
      </c>
      <c r="AD89" s="55">
        <f>_xll.EQNXTDZ($A$1,$B89,AD$5,$B$1)</f>
        <v>164.58</v>
      </c>
      <c r="AE89" s="55">
        <f>_xll.EQNXTDZ($A$1,$B89,AE$5,$B$1)</f>
        <v>0</v>
      </c>
      <c r="AF89" s="55">
        <f>_xll.EQNXTDZ($A$1,$B89,AF$5,$B$1)</f>
        <v>145.52000000000001</v>
      </c>
      <c r="AG89" s="55">
        <f>_xll.EQNXTDZ($A$1,$B89,AG$5,$B$1)</f>
        <v>0</v>
      </c>
      <c r="AH89" s="55">
        <f>_xll.EQNXTDZ($A$1,$B89,AH$5,$B$1)</f>
        <v>114.66</v>
      </c>
      <c r="AI89" s="55">
        <f>_xll.EQNXTDZ($A$1,$B89,AI$5,$B$1)</f>
        <v>0</v>
      </c>
      <c r="AJ89" s="55">
        <f>_xll.EQNXTDZ($A$1,$B89,AJ$5,$B$1)</f>
        <v>75.66</v>
      </c>
      <c r="AK89" s="55">
        <f>_xll.EQNXTDZ($A$1,$B89,AK$5,$B$1)</f>
        <v>0</v>
      </c>
      <c r="AL89" s="55">
        <f>_xll.EQNXTDZ($A$1,$B89,AL$5,$B$1)</f>
        <v>116.07</v>
      </c>
      <c r="AM89" s="55">
        <f>_xll.EQNXTDZ($A$1,$B89,AM$5,$B$1)</f>
        <v>0</v>
      </c>
      <c r="AN89" s="55">
        <f>_xll.EQNXTDZ($A$1,$B89,AN$5,$B$1)</f>
        <v>180.9</v>
      </c>
      <c r="AO89" s="55">
        <f>_xll.EQNXTDZ($A$1,$B89,AO$5,$B$1)</f>
        <v>0</v>
      </c>
      <c r="AP89" s="55">
        <f>_xll.EQNXTDZ($A$1,$B89,AP$5,$B$1)</f>
        <v>133.72999999999999</v>
      </c>
      <c r="AQ89" s="55">
        <f>_xll.EQNXTDZ($A$1,$B89,AQ$5,$B$1)</f>
        <v>0</v>
      </c>
      <c r="AR89" s="55">
        <f>_xll.EQNXTDZ($A$1,$B89,AR$5,$B$1)</f>
        <v>96.03</v>
      </c>
      <c r="AS89" s="55">
        <f>_xll.EQNXTDZ($A$1,$B89,AS$5,$B$1)</f>
        <v>0</v>
      </c>
      <c r="AT89" s="55">
        <f>_xll.EQNXTDZ($A$1,$B89,AT$5,$B$1)</f>
        <v>226.87</v>
      </c>
      <c r="AU89" s="55">
        <f>_xll.EQNXTDZ($A$1,$B89,AU$5,$B$1)</f>
        <v>0</v>
      </c>
      <c r="AV89" s="55">
        <f>_xll.EQNXTDZ($A$1,$B89,AV$5,$B$1)</f>
        <v>249.71</v>
      </c>
      <c r="AW89" s="55">
        <f>_xll.EQNXTDZ($A$1,$B89,AW$5,$B$1)</f>
        <v>0</v>
      </c>
      <c r="AX89" s="55">
        <f>_xll.EQNXTDZ($A$1,$B89,AX$5,$B$1)</f>
        <v>426.58</v>
      </c>
      <c r="AY89" s="55">
        <f>_xll.EQNXTDZ($A$1,$B89,AY$5,$B$1)</f>
        <v>0</v>
      </c>
      <c r="AZ89" s="55">
        <f>_xll.EQNXTDZ($A$1,$B89,AZ$5,$B$1)</f>
        <v>380.39</v>
      </c>
      <c r="BA89" s="55">
        <f>_xll.EQNXTDZ($A$1,$B89,BA$5,$B$1)</f>
        <v>0</v>
      </c>
      <c r="BB89" s="55">
        <f>_xll.EQNXTDZ($A$1,$B89,BB$5,$B$1)</f>
        <v>602.82000000000005</v>
      </c>
      <c r="BC89" s="55">
        <f>_xll.EQNXTDZ($A$1,$B89,BC$5,$B$1)</f>
        <v>0</v>
      </c>
      <c r="BD89" s="55">
        <f>_xll.EQNXTDZ($A$1,$B89,BD$5,$B$1)</f>
        <v>589.4</v>
      </c>
      <c r="BE89" s="55">
        <f>_xll.EQNXTDZ($A$1,$B89,BE$5,$B$1)</f>
        <v>0</v>
      </c>
      <c r="BF89" s="55">
        <f>_xll.EQNXTDZ($A$1,$B89,BF$5,$B$1)</f>
        <v>698.03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367</v>
      </c>
      <c r="B90" t="s">
        <v>405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70</v>
      </c>
      <c r="B91" t="s">
        <v>406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148.69</v>
      </c>
      <c r="G91" s="55">
        <f>_xll.EQNXTDZ($A$1,$B91,G$5,$B$1)</f>
        <v>0</v>
      </c>
      <c r="H91" s="55">
        <f>_xll.EQNXTDZ($A$1,$B91,H$5,$B$1)</f>
        <v>176.82</v>
      </c>
      <c r="I91" s="55">
        <f>_xll.EQNXTDZ($A$1,$B91,I$5,$B$1)</f>
        <v>0</v>
      </c>
      <c r="J91" s="55">
        <f>_xll.EQNXTDZ($A$1,$B91,J$5,$B$1)</f>
        <v>142.97</v>
      </c>
      <c r="K91" s="55">
        <f>_xll.EQNXTDZ($A$1,$B91,K$5,$B$1)</f>
        <v>0</v>
      </c>
      <c r="L91" s="55">
        <f>_xll.EQNXTDZ($A$1,$B91,L$5,$B$1)</f>
        <v>161.83000000000001</v>
      </c>
      <c r="M91" s="55">
        <f>_xll.EQNXTDZ($A$1,$B91,M$5,$B$1)</f>
        <v>0</v>
      </c>
      <c r="N91" s="55">
        <f>_xll.EQNXTDZ($A$1,$B91,N$5,$B$1)</f>
        <v>142.83000000000001</v>
      </c>
      <c r="O91" s="55">
        <f>_xll.EQNXTDZ($A$1,$B91,O$5,$B$1)</f>
        <v>0</v>
      </c>
      <c r="P91" s="55">
        <f>_xll.EQNXTDZ($A$1,$B91,P$5,$B$1)</f>
        <v>166.42</v>
      </c>
      <c r="Q91" s="55">
        <f>_xll.EQNXTDZ($A$1,$B91,Q$5,$B$1)</f>
        <v>0</v>
      </c>
      <c r="R91" s="55">
        <f>_xll.EQNXTDZ($A$1,$B91,R$5,$B$1)</f>
        <v>137.47999999999999</v>
      </c>
      <c r="S91" s="55">
        <f>_xll.EQNXTDZ($A$1,$B91,S$5,$B$1)</f>
        <v>0</v>
      </c>
      <c r="T91" s="55">
        <f>_xll.EQNXTDZ($A$1,$B91,T$5,$B$1)</f>
        <v>147.47</v>
      </c>
      <c r="U91" s="55">
        <f>_xll.EQNXTDZ($A$1,$B91,U$5,$B$1)</f>
        <v>0</v>
      </c>
      <c r="V91" s="55">
        <f>_xll.EQNXTDZ($A$1,$B91,V$5,$B$1)</f>
        <v>135.91999999999999</v>
      </c>
      <c r="W91" s="55">
        <f>_xll.EQNXTDZ($A$1,$B91,W$5,$B$1)</f>
        <v>0</v>
      </c>
      <c r="X91" s="55">
        <f>_xll.EQNXTDZ($A$1,$B91,X$5,$B$1)</f>
        <v>167.81</v>
      </c>
      <c r="Y91" s="55">
        <f>_xll.EQNXTDZ($A$1,$B91,Y$5,$B$1)</f>
        <v>0</v>
      </c>
      <c r="Z91" s="55">
        <f>_xll.EQNXTDZ($A$1,$B91,Z$5,$B$1)</f>
        <v>147.56</v>
      </c>
      <c r="AA91" s="55">
        <f>_xll.EQNXTDZ($A$1,$B91,AA$5,$B$1)</f>
        <v>0</v>
      </c>
      <c r="AB91" s="55">
        <f>_xll.EQNXTDZ($A$1,$B91,AB$5,$B$1)</f>
        <v>170.24</v>
      </c>
      <c r="AC91" s="55">
        <f>_xll.EQNXTDZ($A$1,$B91,AC$5,$B$1)</f>
        <v>0</v>
      </c>
      <c r="AD91" s="55">
        <f>_xll.EQNXTDZ($A$1,$B91,AD$5,$B$1)</f>
        <v>149.38999999999999</v>
      </c>
      <c r="AE91" s="55">
        <f>_xll.EQNXTDZ($A$1,$B91,AE$5,$B$1)</f>
        <v>0</v>
      </c>
      <c r="AF91" s="55">
        <f>_xll.EQNXTDZ($A$1,$B91,AF$5,$B$1)</f>
        <v>154.97999999999999</v>
      </c>
      <c r="AG91" s="55">
        <f>_xll.EQNXTDZ($A$1,$B91,AG$5,$B$1)</f>
        <v>0</v>
      </c>
      <c r="AH91" s="55">
        <f>_xll.EQNXTDZ($A$1,$B91,AH$5,$B$1)</f>
        <v>130.83000000000001</v>
      </c>
      <c r="AI91" s="55">
        <f>_xll.EQNXTDZ($A$1,$B91,AI$5,$B$1)</f>
        <v>0</v>
      </c>
      <c r="AJ91" s="55">
        <f>_xll.EQNXTDZ($A$1,$B91,AJ$5,$B$1)</f>
        <v>149.33000000000001</v>
      </c>
      <c r="AK91" s="55">
        <f>_xll.EQNXTDZ($A$1,$B91,AK$5,$B$1)</f>
        <v>0</v>
      </c>
      <c r="AL91" s="55">
        <f>_xll.EQNXTDZ($A$1,$B91,AL$5,$B$1)</f>
        <v>160.47999999999999</v>
      </c>
      <c r="AM91" s="55">
        <f>_xll.EQNXTDZ($A$1,$B91,AM$5,$B$1)</f>
        <v>0</v>
      </c>
      <c r="AN91" s="55">
        <f>_xll.EQNXTDZ($A$1,$B91,AN$5,$B$1)</f>
        <v>130.66999999999999</v>
      </c>
      <c r="AO91" s="55">
        <f>_xll.EQNXTDZ($A$1,$B91,AO$5,$B$1)</f>
        <v>0</v>
      </c>
      <c r="AP91" s="55">
        <f>_xll.EQNXTDZ($A$1,$B91,AP$5,$B$1)</f>
        <v>308.60000000000002</v>
      </c>
      <c r="AQ91" s="55">
        <f>_xll.EQNXTDZ($A$1,$B91,AQ$5,$B$1)</f>
        <v>0</v>
      </c>
      <c r="AR91" s="55">
        <f>_xll.EQNXTDZ($A$1,$B91,AR$5,$B$1)</f>
        <v>175.56</v>
      </c>
      <c r="AS91" s="55">
        <f>_xll.EQNXTDZ($A$1,$B91,AS$5,$B$1)</f>
        <v>0</v>
      </c>
      <c r="AT91" s="55">
        <f>_xll.EQNXTDZ($A$1,$B91,AT$5,$B$1)</f>
        <v>157.76</v>
      </c>
      <c r="AU91" s="55">
        <f>_xll.EQNXTDZ($A$1,$B91,AU$5,$B$1)</f>
        <v>0</v>
      </c>
      <c r="AV91" s="55">
        <f>_xll.EQNXTDZ($A$1,$B91,AV$5,$B$1)</f>
        <v>181.56</v>
      </c>
      <c r="AW91" s="55">
        <f>_xll.EQNXTDZ($A$1,$B91,AW$5,$B$1)</f>
        <v>0</v>
      </c>
      <c r="AX91" s="55">
        <f>_xll.EQNXTDZ($A$1,$B91,AX$5,$B$1)</f>
        <v>182.55</v>
      </c>
      <c r="AY91" s="55">
        <f>_xll.EQNXTDZ($A$1,$B91,AY$5,$B$1)</f>
        <v>0</v>
      </c>
      <c r="AZ91" s="55">
        <f>_xll.EQNXTDZ($A$1,$B91,AZ$5,$B$1)</f>
        <v>131.68</v>
      </c>
      <c r="BA91" s="55">
        <f>_xll.EQNXTDZ($A$1,$B91,BA$5,$B$1)</f>
        <v>0</v>
      </c>
      <c r="BB91" s="55">
        <f>_xll.EQNXTDZ($A$1,$B91,BB$5,$B$1)</f>
        <v>130.26</v>
      </c>
      <c r="BC91" s="55">
        <f>_xll.EQNXTDZ($A$1,$B91,BC$5,$B$1)</f>
        <v>0</v>
      </c>
      <c r="BD91" s="55">
        <f>_xll.EQNXTDZ($A$1,$B91,BD$5,$B$1)</f>
        <v>152.52000000000001</v>
      </c>
      <c r="BE91" s="55">
        <f>_xll.EQNXTDZ($A$1,$B91,BE$5,$B$1)</f>
        <v>0</v>
      </c>
      <c r="BF91" s="55">
        <f>_xll.EQNXTDZ($A$1,$B91,BF$5,$B$1)</f>
        <v>165.08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368</v>
      </c>
      <c r="B92" t="s">
        <v>407</v>
      </c>
      <c r="C92" s="55">
        <f>_xll.EQNXTDZ($A$1,$B92,C$5,$B$1)</f>
        <v>0</v>
      </c>
      <c r="D92" s="55">
        <f>_xll.EQNXTDZ($A$1,$B92,D$5,$B$1)</f>
        <v>3.66</v>
      </c>
      <c r="E92" s="55">
        <f>_xll.EQNXTDZ($A$1,$B92,E$5,$B$1)</f>
        <v>0</v>
      </c>
      <c r="F92" s="55">
        <f>_xll.EQNXTDZ($A$1,$B92,F$5,$B$1)</f>
        <v>8.06</v>
      </c>
      <c r="G92" s="55">
        <f>_xll.EQNXTDZ($A$1,$B92,G$5,$B$1)</f>
        <v>0</v>
      </c>
      <c r="H92" s="55">
        <f>_xll.EQNXTDZ($A$1,$B92,H$5,$B$1)</f>
        <v>2.02</v>
      </c>
      <c r="I92" s="55">
        <f>_xll.EQNXTDZ($A$1,$B92,I$5,$B$1)</f>
        <v>0</v>
      </c>
      <c r="J92" s="55">
        <f>_xll.EQNXTDZ($A$1,$B92,J$5,$B$1)</f>
        <v>9.43</v>
      </c>
      <c r="K92" s="55">
        <f>_xll.EQNXTDZ($A$1,$B92,K$5,$B$1)</f>
        <v>0</v>
      </c>
      <c r="L92" s="55">
        <f>_xll.EQNXTDZ($A$1,$B92,L$5,$B$1)</f>
        <v>1.27</v>
      </c>
      <c r="M92" s="55">
        <f>_xll.EQNXTDZ($A$1,$B92,M$5,$B$1)</f>
        <v>0</v>
      </c>
      <c r="N92" s="55">
        <f>_xll.EQNXTDZ($A$1,$B92,N$5,$B$1)</f>
        <v>11.97</v>
      </c>
      <c r="O92" s="55">
        <f>_xll.EQNXTDZ($A$1,$B92,O$5,$B$1)</f>
        <v>0</v>
      </c>
      <c r="P92" s="55">
        <f>_xll.EQNXTDZ($A$1,$B92,P$5,$B$1)</f>
        <v>4.22</v>
      </c>
      <c r="Q92" s="55">
        <f>_xll.EQNXTDZ($A$1,$B92,Q$5,$B$1)</f>
        <v>0</v>
      </c>
      <c r="R92" s="55">
        <f>_xll.EQNXTDZ($A$1,$B92,R$5,$B$1)</f>
        <v>14.17</v>
      </c>
      <c r="S92" s="55">
        <f>_xll.EQNXTDZ($A$1,$B92,S$5,$B$1)</f>
        <v>0</v>
      </c>
      <c r="T92" s="55">
        <f>_xll.EQNXTDZ($A$1,$B92,T$5,$B$1)</f>
        <v>5.9</v>
      </c>
      <c r="U92" s="55">
        <f>_xll.EQNXTDZ($A$1,$B92,U$5,$B$1)</f>
        <v>0</v>
      </c>
      <c r="V92" s="55">
        <f>_xll.EQNXTDZ($A$1,$B92,V$5,$B$1)</f>
        <v>7.18</v>
      </c>
      <c r="W92" s="55">
        <f>_xll.EQNXTDZ($A$1,$B92,W$5,$B$1)</f>
        <v>0</v>
      </c>
      <c r="X92" s="55">
        <f>_xll.EQNXTDZ($A$1,$B92,X$5,$B$1)</f>
        <v>9.35</v>
      </c>
      <c r="Y92" s="55">
        <f>_xll.EQNXTDZ($A$1,$B92,Y$5,$B$1)</f>
        <v>0</v>
      </c>
      <c r="Z92" s="55">
        <f>_xll.EQNXTDZ($A$1,$B92,Z$5,$B$1)</f>
        <v>10.029999999999999</v>
      </c>
      <c r="AA92" s="55">
        <f>_xll.EQNXTDZ($A$1,$B92,AA$5,$B$1)</f>
        <v>0</v>
      </c>
      <c r="AB92" s="55">
        <f>_xll.EQNXTDZ($A$1,$B92,AB$5,$B$1)</f>
        <v>12.53</v>
      </c>
      <c r="AC92" s="55">
        <f>_xll.EQNXTDZ($A$1,$B92,AC$5,$B$1)</f>
        <v>0</v>
      </c>
      <c r="AD92" s="55">
        <f>_xll.EQNXTDZ($A$1,$B92,AD$5,$B$1)</f>
        <v>13.51</v>
      </c>
      <c r="AE92" s="55">
        <f>_xll.EQNXTDZ($A$1,$B92,AE$5,$B$1)</f>
        <v>0</v>
      </c>
      <c r="AF92" s="55">
        <f>_xll.EQNXTDZ($A$1,$B92,AF$5,$B$1)</f>
        <v>16.18</v>
      </c>
      <c r="AG92" s="55">
        <f>_xll.EQNXTDZ($A$1,$B92,AG$5,$B$1)</f>
        <v>0</v>
      </c>
      <c r="AH92" s="55">
        <f>_xll.EQNXTDZ($A$1,$B92,AH$5,$B$1)</f>
        <v>17.52</v>
      </c>
      <c r="AI92" s="55">
        <f>_xll.EQNXTDZ($A$1,$B92,AI$5,$B$1)</f>
        <v>0</v>
      </c>
      <c r="AJ92" s="55">
        <f>_xll.EQNXTDZ($A$1,$B92,AJ$5,$B$1)</f>
        <v>18.899999999999999</v>
      </c>
      <c r="AK92" s="55">
        <f>_xll.EQNXTDZ($A$1,$B92,AK$5,$B$1)</f>
        <v>0</v>
      </c>
      <c r="AL92" s="55">
        <f>_xll.EQNXTDZ($A$1,$B92,AL$5,$B$1)</f>
        <v>16.96</v>
      </c>
      <c r="AM92" s="55">
        <f>_xll.EQNXTDZ($A$1,$B92,AM$5,$B$1)</f>
        <v>0</v>
      </c>
      <c r="AN92" s="55">
        <f>_xll.EQNXTDZ($A$1,$B92,AN$5,$B$1)</f>
        <v>17.989999999999998</v>
      </c>
      <c r="AO92" s="55">
        <f>_xll.EQNXTDZ($A$1,$B92,AO$5,$B$1)</f>
        <v>0</v>
      </c>
      <c r="AP92" s="55">
        <f>_xll.EQNXTDZ($A$1,$B92,AP$5,$B$1)</f>
        <v>18.989999999999998</v>
      </c>
      <c r="AQ92" s="55">
        <f>_xll.EQNXTDZ($A$1,$B92,AQ$5,$B$1)</f>
        <v>0</v>
      </c>
      <c r="AR92" s="55">
        <f>_xll.EQNXTDZ($A$1,$B92,AR$5,$B$1)</f>
        <v>22.12</v>
      </c>
      <c r="AS92" s="55">
        <f>_xll.EQNXTDZ($A$1,$B92,AS$5,$B$1)</f>
        <v>0</v>
      </c>
      <c r="AT92" s="55">
        <f>_xll.EQNXTDZ($A$1,$B92,AT$5,$B$1)</f>
        <v>23.31</v>
      </c>
      <c r="AU92" s="55">
        <f>_xll.EQNXTDZ($A$1,$B92,AU$5,$B$1)</f>
        <v>0</v>
      </c>
      <c r="AV92" s="55">
        <f>_xll.EQNXTDZ($A$1,$B92,AV$5,$B$1)</f>
        <v>31.98</v>
      </c>
      <c r="AW92" s="55">
        <f>_xll.EQNXTDZ($A$1,$B92,AW$5,$B$1)</f>
        <v>0</v>
      </c>
      <c r="AX92" s="55">
        <f>_xll.EQNXTDZ($A$1,$B92,AX$5,$B$1)</f>
        <v>14.57</v>
      </c>
      <c r="AY92" s="55">
        <f>_xll.EQNXTDZ($A$1,$B92,AY$5,$B$1)</f>
        <v>0</v>
      </c>
      <c r="AZ92" s="55">
        <f>_xll.EQNXTDZ($A$1,$B92,AZ$5,$B$1)</f>
        <v>18.43</v>
      </c>
      <c r="BA92" s="55">
        <f>_xll.EQNXTDZ($A$1,$B92,BA$5,$B$1)</f>
        <v>0</v>
      </c>
      <c r="BB92" s="55">
        <f>_xll.EQNXTDZ($A$1,$B92,BB$5,$B$1)</f>
        <v>13.32</v>
      </c>
      <c r="BC92" s="55">
        <f>_xll.EQNXTDZ($A$1,$B92,BC$5,$B$1)</f>
        <v>0</v>
      </c>
      <c r="BD92" s="55">
        <f>_xll.EQNXTDZ($A$1,$B92,BD$5,$B$1)</f>
        <v>14.56</v>
      </c>
      <c r="BE92" s="55">
        <f>_xll.EQNXTDZ($A$1,$B92,BE$5,$B$1)</f>
        <v>0</v>
      </c>
      <c r="BF92" s="55">
        <f>_xll.EQNXTDZ($A$1,$B92,BF$5,$B$1)</f>
        <v>16.23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163</v>
      </c>
      <c r="B93" t="s">
        <v>408</v>
      </c>
      <c r="C93" s="55">
        <f>_xll.EQNXTDZ($A$1,$B93,C$5,$B$1)</f>
        <v>0</v>
      </c>
      <c r="D93" s="55">
        <f>_xll.EQNXTDZ($A$1,$B93,D$5,$B$1)</f>
        <v>399.21</v>
      </c>
      <c r="E93" s="55">
        <f>_xll.EQNXTDZ($A$1,$B93,E$5,$B$1)</f>
        <v>0</v>
      </c>
      <c r="F93" s="55">
        <f>_xll.EQNXTDZ($A$1,$B93,F$5,$B$1)</f>
        <v>440.76</v>
      </c>
      <c r="G93" s="55">
        <f>_xll.EQNXTDZ($A$1,$B93,G$5,$B$1)</f>
        <v>0</v>
      </c>
      <c r="H93" s="55">
        <f>_xll.EQNXTDZ($A$1,$B93,H$5,$B$1)</f>
        <v>462.15</v>
      </c>
      <c r="I93" s="55">
        <f>_xll.EQNXTDZ($A$1,$B93,I$5,$B$1)</f>
        <v>0</v>
      </c>
      <c r="J93" s="55">
        <f>_xll.EQNXTDZ($A$1,$B93,J$5,$B$1)</f>
        <v>444.88</v>
      </c>
      <c r="K93" s="55">
        <f>_xll.EQNXTDZ($A$1,$B93,K$5,$B$1)</f>
        <v>0</v>
      </c>
      <c r="L93" s="55">
        <f>_xll.EQNXTDZ($A$1,$B93,L$5,$B$1)</f>
        <v>471.79</v>
      </c>
      <c r="M93" s="55">
        <f>_xll.EQNXTDZ($A$1,$B93,M$5,$B$1)</f>
        <v>0</v>
      </c>
      <c r="N93" s="55">
        <f>_xll.EQNXTDZ($A$1,$B93,N$5,$B$1)</f>
        <v>506.78</v>
      </c>
      <c r="O93" s="55">
        <f>_xll.EQNXTDZ($A$1,$B93,O$5,$B$1)</f>
        <v>0</v>
      </c>
      <c r="P93" s="55">
        <f>_xll.EQNXTDZ($A$1,$B93,P$5,$B$1)</f>
        <v>516.91999999999996</v>
      </c>
      <c r="Q93" s="55">
        <f>_xll.EQNXTDZ($A$1,$B93,Q$5,$B$1)</f>
        <v>0</v>
      </c>
      <c r="R93" s="55">
        <f>_xll.EQNXTDZ($A$1,$B93,R$5,$B$1)</f>
        <v>529.62</v>
      </c>
      <c r="S93" s="55">
        <f>_xll.EQNXTDZ($A$1,$B93,S$5,$B$1)</f>
        <v>0</v>
      </c>
      <c r="T93" s="55">
        <f>_xll.EQNXTDZ($A$1,$B93,T$5,$B$1)</f>
        <v>542.51</v>
      </c>
      <c r="U93" s="55">
        <f>_xll.EQNXTDZ($A$1,$B93,U$5,$B$1)</f>
        <v>0</v>
      </c>
      <c r="V93" s="55">
        <f>_xll.EQNXTDZ($A$1,$B93,V$5,$B$1)</f>
        <v>565.24</v>
      </c>
      <c r="W93" s="55">
        <f>_xll.EQNXTDZ($A$1,$B93,W$5,$B$1)</f>
        <v>0</v>
      </c>
      <c r="X93" s="55">
        <f>_xll.EQNXTDZ($A$1,$B93,X$5,$B$1)</f>
        <v>607.02</v>
      </c>
      <c r="Y93" s="55">
        <f>_xll.EQNXTDZ($A$1,$B93,Y$5,$B$1)</f>
        <v>0</v>
      </c>
      <c r="Z93" s="55">
        <f>_xll.EQNXTDZ($A$1,$B93,Z$5,$B$1)</f>
        <v>680.83</v>
      </c>
      <c r="AA93" s="55">
        <f>_xll.EQNXTDZ($A$1,$B93,AA$5,$B$1)</f>
        <v>0</v>
      </c>
      <c r="AB93" s="55">
        <f>_xll.EQNXTDZ($A$1,$B93,AB$5,$B$1)</f>
        <v>710.62</v>
      </c>
      <c r="AC93" s="55">
        <f>_xll.EQNXTDZ($A$1,$B93,AC$5,$B$1)</f>
        <v>0</v>
      </c>
      <c r="AD93" s="55">
        <f>_xll.EQNXTDZ($A$1,$B93,AD$5,$B$1)</f>
        <v>682.55</v>
      </c>
      <c r="AE93" s="55">
        <f>_xll.EQNXTDZ($A$1,$B93,AE$5,$B$1)</f>
        <v>0</v>
      </c>
      <c r="AF93" s="55">
        <f>_xll.EQNXTDZ($A$1,$B93,AF$5,$B$1)</f>
        <v>657.1</v>
      </c>
      <c r="AG93" s="55">
        <f>_xll.EQNXTDZ($A$1,$B93,AG$5,$B$1)</f>
        <v>0</v>
      </c>
      <c r="AH93" s="55">
        <f>_xll.EQNXTDZ($A$1,$B93,AH$5,$B$1)</f>
        <v>622</v>
      </c>
      <c r="AI93" s="55">
        <f>_xll.EQNXTDZ($A$1,$B93,AI$5,$B$1)</f>
        <v>0</v>
      </c>
      <c r="AJ93" s="55">
        <f>_xll.EQNXTDZ($A$1,$B93,AJ$5,$B$1)</f>
        <v>525.08000000000004</v>
      </c>
      <c r="AK93" s="55">
        <f>_xll.EQNXTDZ($A$1,$B93,AK$5,$B$1)</f>
        <v>0</v>
      </c>
      <c r="AL93" s="55">
        <f>_xll.EQNXTDZ($A$1,$B93,AL$5,$B$1)</f>
        <v>602.97</v>
      </c>
      <c r="AM93" s="55">
        <f>_xll.EQNXTDZ($A$1,$B93,AM$5,$B$1)</f>
        <v>0</v>
      </c>
      <c r="AN93" s="55">
        <f>_xll.EQNXTDZ($A$1,$B93,AN$5,$B$1)</f>
        <v>756.75</v>
      </c>
      <c r="AO93" s="55">
        <f>_xll.EQNXTDZ($A$1,$B93,AO$5,$B$1)</f>
        <v>0</v>
      </c>
      <c r="AP93" s="55">
        <f>_xll.EQNXTDZ($A$1,$B93,AP$5,$B$1)</f>
        <v>887.46</v>
      </c>
      <c r="AQ93" s="55">
        <f>_xll.EQNXTDZ($A$1,$B93,AQ$5,$B$1)</f>
        <v>0</v>
      </c>
      <c r="AR93" s="55">
        <f>_xll.EQNXTDZ($A$1,$B93,AR$5,$B$1)</f>
        <v>835.7</v>
      </c>
      <c r="AS93" s="55">
        <f>_xll.EQNXTDZ($A$1,$B93,AS$5,$B$1)</f>
        <v>0</v>
      </c>
      <c r="AT93" s="55">
        <f>_xll.EQNXTDZ($A$1,$B93,AT$5,$B$1)</f>
        <v>892.14</v>
      </c>
      <c r="AU93" s="55">
        <f>_xll.EQNXTDZ($A$1,$B93,AU$5,$B$1)</f>
        <v>0</v>
      </c>
      <c r="AV93" s="55">
        <f>_xll.EQNXTDZ($A$1,$B93,AV$5,$B$1)</f>
        <v>968.57</v>
      </c>
      <c r="AW93" s="55">
        <f>_xll.EQNXTDZ($A$1,$B93,AW$5,$B$1)</f>
        <v>0</v>
      </c>
      <c r="AX93" s="55">
        <f>_xll.EQNXTDZ($A$1,$B93,AX$5,$B$1)</f>
        <v>1070</v>
      </c>
      <c r="AY93" s="55">
        <f>_xll.EQNXTDZ($A$1,$B93,AY$5,$B$1)</f>
        <v>0</v>
      </c>
      <c r="AZ93" s="55">
        <f>_xll.EQNXTDZ($A$1,$B93,AZ$5,$B$1)</f>
        <v>989.17</v>
      </c>
      <c r="BA93" s="55">
        <f>_xll.EQNXTDZ($A$1,$B93,BA$5,$B$1)</f>
        <v>0</v>
      </c>
      <c r="BB93" s="55">
        <f>_xll.EQNXTDZ($A$1,$B93,BB$5,$B$1)</f>
        <v>1159.4000000000001</v>
      </c>
      <c r="BC93" s="55">
        <f>_xll.EQNXTDZ($A$1,$B93,BC$5,$B$1)</f>
        <v>0</v>
      </c>
      <c r="BD93" s="55">
        <f>_xll.EQNXTDZ($A$1,$B93,BD$5,$B$1)</f>
        <v>1309.7</v>
      </c>
      <c r="BE93" s="55">
        <f>_xll.EQNXTDZ($A$1,$B93,BE$5,$B$1)</f>
        <v>0</v>
      </c>
      <c r="BF93" s="55">
        <f>_xll.EQNXTDZ($A$1,$B93,BF$5,$B$1)</f>
        <v>1435.88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369</v>
      </c>
      <c r="B94" t="s">
        <v>409</v>
      </c>
      <c r="C94" s="55">
        <f>_xll.EQNXTDZ($A$1,$B94,C$5,$B$1)</f>
        <v>0</v>
      </c>
      <c r="D94" s="55">
        <f>_xll.EQNXTDZ($A$1,$B94,D$5,$B$1)</f>
        <v>80.830000000000098</v>
      </c>
      <c r="E94" s="55">
        <f>_xll.EQNXTDZ($A$1,$B94,E$5,$B$1)</f>
        <v>0</v>
      </c>
      <c r="F94" s="55">
        <f>_xll.EQNXTDZ($A$1,$B94,F$5,$B$1)</f>
        <v>79.239999999999995</v>
      </c>
      <c r="G94" s="55">
        <f>_xll.EQNXTDZ($A$1,$B94,G$5,$B$1)</f>
        <v>0</v>
      </c>
      <c r="H94" s="55">
        <f>_xll.EQNXTDZ($A$1,$B94,H$5,$B$1)</f>
        <v>65.569999999999993</v>
      </c>
      <c r="I94" s="55">
        <f>_xll.EQNXTDZ($A$1,$B94,I$5,$B$1)</f>
        <v>0</v>
      </c>
      <c r="J94" s="55">
        <f>_xll.EQNXTDZ($A$1,$B94,J$5,$B$1)</f>
        <v>76.010000000000005</v>
      </c>
      <c r="K94" s="55">
        <f>_xll.EQNXTDZ($A$1,$B94,K$5,$B$1)</f>
        <v>0</v>
      </c>
      <c r="L94" s="55">
        <f>_xll.EQNXTDZ($A$1,$B94,L$5,$B$1)</f>
        <v>61.990000000000101</v>
      </c>
      <c r="M94" s="55">
        <f>_xll.EQNXTDZ($A$1,$B94,M$5,$B$1)</f>
        <v>0</v>
      </c>
      <c r="N94" s="55">
        <f>_xll.EQNXTDZ($A$1,$B94,N$5,$B$1)</f>
        <v>83.78</v>
      </c>
      <c r="O94" s="55">
        <f>_xll.EQNXTDZ($A$1,$B94,O$5,$B$1)</f>
        <v>0</v>
      </c>
      <c r="P94" s="55">
        <f>_xll.EQNXTDZ($A$1,$B94,P$5,$B$1)</f>
        <v>116.28</v>
      </c>
      <c r="Q94" s="55">
        <f>_xll.EQNXTDZ($A$1,$B94,Q$5,$B$1)</f>
        <v>0</v>
      </c>
      <c r="R94" s="55">
        <f>_xll.EQNXTDZ($A$1,$B94,R$5,$B$1)</f>
        <v>138.13999999999999</v>
      </c>
      <c r="S94" s="55">
        <f>_xll.EQNXTDZ($A$1,$B94,S$5,$B$1)</f>
        <v>0</v>
      </c>
      <c r="T94" s="55">
        <f>_xll.EQNXTDZ($A$1,$B94,T$5,$B$1)</f>
        <v>164.06</v>
      </c>
      <c r="U94" s="55">
        <f>_xll.EQNXTDZ($A$1,$B94,U$5,$B$1)</f>
        <v>0</v>
      </c>
      <c r="V94" s="55">
        <f>_xll.EQNXTDZ($A$1,$B94,V$5,$B$1)</f>
        <v>173.56</v>
      </c>
      <c r="W94" s="55">
        <f>_xll.EQNXTDZ($A$1,$B94,W$5,$B$1)</f>
        <v>0</v>
      </c>
      <c r="X94" s="55">
        <f>_xll.EQNXTDZ($A$1,$B94,X$5,$B$1)</f>
        <v>137.41999999999999</v>
      </c>
      <c r="Y94" s="55">
        <f>_xll.EQNXTDZ($A$1,$B94,Y$5,$B$1)</f>
        <v>0</v>
      </c>
      <c r="Z94" s="55">
        <f>_xll.EQNXTDZ($A$1,$B94,Z$5,$B$1)</f>
        <v>169.71</v>
      </c>
      <c r="AA94" s="55">
        <f>_xll.EQNXTDZ($A$1,$B94,AA$5,$B$1)</f>
        <v>0</v>
      </c>
      <c r="AB94" s="55">
        <f>_xll.EQNXTDZ($A$1,$B94,AB$5,$B$1)</f>
        <v>168.42</v>
      </c>
      <c r="AC94" s="55">
        <f>_xll.EQNXTDZ($A$1,$B94,AC$5,$B$1)</f>
        <v>0</v>
      </c>
      <c r="AD94" s="55">
        <f>_xll.EQNXTDZ($A$1,$B94,AD$5,$B$1)</f>
        <v>167.2</v>
      </c>
      <c r="AE94" s="55">
        <f>_xll.EQNXTDZ($A$1,$B94,AE$5,$B$1)</f>
        <v>0</v>
      </c>
      <c r="AF94" s="55">
        <f>_xll.EQNXTDZ($A$1,$B94,AF$5,$B$1)</f>
        <v>139.93</v>
      </c>
      <c r="AG94" s="55">
        <f>_xll.EQNXTDZ($A$1,$B94,AG$5,$B$1)</f>
        <v>0</v>
      </c>
      <c r="AH94" s="55">
        <f>_xll.EQNXTDZ($A$1,$B94,AH$5,$B$1)</f>
        <v>170.97</v>
      </c>
      <c r="AI94" s="55">
        <f>_xll.EQNXTDZ($A$1,$B94,AI$5,$B$1)</f>
        <v>0</v>
      </c>
      <c r="AJ94" s="55">
        <f>_xll.EQNXTDZ($A$1,$B94,AJ$5,$B$1)</f>
        <v>153.05000000000001</v>
      </c>
      <c r="AK94" s="55">
        <f>_xll.EQNXTDZ($A$1,$B94,AK$5,$B$1)</f>
        <v>0</v>
      </c>
      <c r="AL94" s="55">
        <f>_xll.EQNXTDZ($A$1,$B94,AL$5,$B$1)</f>
        <v>190.7</v>
      </c>
      <c r="AM94" s="55">
        <f>_xll.EQNXTDZ($A$1,$B94,AM$5,$B$1)</f>
        <v>0</v>
      </c>
      <c r="AN94" s="55">
        <f>_xll.EQNXTDZ($A$1,$B94,AN$5,$B$1)</f>
        <v>161.28</v>
      </c>
      <c r="AO94" s="55">
        <f>_xll.EQNXTDZ($A$1,$B94,AO$5,$B$1)</f>
        <v>0</v>
      </c>
      <c r="AP94" s="55">
        <f>_xll.EQNXTDZ($A$1,$B94,AP$5,$B$1)</f>
        <v>179.38</v>
      </c>
      <c r="AQ94" s="55">
        <f>_xll.EQNXTDZ($A$1,$B94,AQ$5,$B$1)</f>
        <v>0</v>
      </c>
      <c r="AR94" s="55">
        <f>_xll.EQNXTDZ($A$1,$B94,AR$5,$B$1)</f>
        <v>196.99</v>
      </c>
      <c r="AS94" s="55">
        <f>_xll.EQNXTDZ($A$1,$B94,AS$5,$B$1)</f>
        <v>0</v>
      </c>
      <c r="AT94" s="55">
        <f>_xll.EQNXTDZ($A$1,$B94,AT$5,$B$1)</f>
        <v>174.4</v>
      </c>
      <c r="AU94" s="55">
        <f>_xll.EQNXTDZ($A$1,$B94,AU$5,$B$1)</f>
        <v>0</v>
      </c>
      <c r="AV94" s="55">
        <f>_xll.EQNXTDZ($A$1,$B94,AV$5,$B$1)</f>
        <v>145.91999999999999</v>
      </c>
      <c r="AW94" s="55">
        <f>_xll.EQNXTDZ($A$1,$B94,AW$5,$B$1)</f>
        <v>0</v>
      </c>
      <c r="AX94" s="55">
        <f>_xll.EQNXTDZ($A$1,$B94,AX$5,$B$1)</f>
        <v>286.83</v>
      </c>
      <c r="AY94" s="55">
        <f>_xll.EQNXTDZ($A$1,$B94,AY$5,$B$1)</f>
        <v>0</v>
      </c>
      <c r="AZ94" s="55">
        <f>_xll.EQNXTDZ($A$1,$B94,AZ$5,$B$1)</f>
        <v>326.3</v>
      </c>
      <c r="BA94" s="55">
        <f>_xll.EQNXTDZ($A$1,$B94,BA$5,$B$1)</f>
        <v>0</v>
      </c>
      <c r="BB94" s="55">
        <f>_xll.EQNXTDZ($A$1,$B94,BB$5,$B$1)</f>
        <v>226.3</v>
      </c>
      <c r="BC94" s="55">
        <f>_xll.EQNXTDZ($A$1,$B94,BC$5,$B$1)</f>
        <v>0</v>
      </c>
      <c r="BD94" s="55">
        <f>_xll.EQNXTDZ($A$1,$B94,BD$5,$B$1)</f>
        <v>201.41</v>
      </c>
      <c r="BE94" s="55">
        <f>_xll.EQNXTDZ($A$1,$B94,BE$5,$B$1)</f>
        <v>0</v>
      </c>
      <c r="BF94" s="55">
        <f>_xll.EQNXTDZ($A$1,$B94,BF$5,$B$1)</f>
        <v>160.16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78</v>
      </c>
      <c r="B95" t="s">
        <v>410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77</v>
      </c>
      <c r="B96" t="s">
        <v>411</v>
      </c>
      <c r="C96" s="55">
        <f>_xll.EQNXTDZ($A$1,$B96,C$5,$B$1)</f>
        <v>0</v>
      </c>
      <c r="D96" s="55">
        <f>_xll.EQNXTDZ($A$1,$B96,D$5,$B$1)</f>
        <v>-48.77</v>
      </c>
      <c r="E96" s="55">
        <f>_xll.EQNXTDZ($A$1,$B96,E$5,$B$1)</f>
        <v>0</v>
      </c>
      <c r="F96" s="55">
        <f>_xll.EQNXTDZ($A$1,$B96,F$5,$B$1)</f>
        <v>-47.61</v>
      </c>
      <c r="G96" s="55">
        <f>_xll.EQNXTDZ($A$1,$B96,G$5,$B$1)</f>
        <v>0</v>
      </c>
      <c r="H96" s="55">
        <f>_xll.EQNXTDZ($A$1,$B96,H$5,$B$1)</f>
        <v>-45.62</v>
      </c>
      <c r="I96" s="55">
        <f>_xll.EQNXTDZ($A$1,$B96,I$5,$B$1)</f>
        <v>0</v>
      </c>
      <c r="J96" s="55">
        <f>_xll.EQNXTDZ($A$1,$B96,J$5,$B$1)</f>
        <v>-44.96</v>
      </c>
      <c r="K96" s="55">
        <f>_xll.EQNXTDZ($A$1,$B96,K$5,$B$1)</f>
        <v>0</v>
      </c>
      <c r="L96" s="55">
        <f>_xll.EQNXTDZ($A$1,$B96,L$5,$B$1)</f>
        <v>-40.51</v>
      </c>
      <c r="M96" s="55">
        <f>_xll.EQNXTDZ($A$1,$B96,M$5,$B$1)</f>
        <v>0</v>
      </c>
      <c r="N96" s="55">
        <f>_xll.EQNXTDZ($A$1,$B96,N$5,$B$1)</f>
        <v>-40.35</v>
      </c>
      <c r="O96" s="55">
        <f>_xll.EQNXTDZ($A$1,$B96,O$5,$B$1)</f>
        <v>0</v>
      </c>
      <c r="P96" s="55">
        <f>_xll.EQNXTDZ($A$1,$B96,P$5,$B$1)</f>
        <v>-37.83</v>
      </c>
      <c r="Q96" s="55">
        <f>_xll.EQNXTDZ($A$1,$B96,Q$5,$B$1)</f>
        <v>0</v>
      </c>
      <c r="R96" s="55">
        <f>_xll.EQNXTDZ($A$1,$B96,R$5,$B$1)</f>
        <v>-42.05</v>
      </c>
      <c r="S96" s="55">
        <f>_xll.EQNXTDZ($A$1,$B96,S$5,$B$1)</f>
        <v>0</v>
      </c>
      <c r="T96" s="55">
        <f>_xll.EQNXTDZ($A$1,$B96,T$5,$B$1)</f>
        <v>-40.1</v>
      </c>
      <c r="U96" s="55">
        <f>_xll.EQNXTDZ($A$1,$B96,U$5,$B$1)</f>
        <v>0</v>
      </c>
      <c r="V96" s="55">
        <f>_xll.EQNXTDZ($A$1,$B96,V$5,$B$1)</f>
        <v>-44.11</v>
      </c>
      <c r="W96" s="55">
        <f>_xll.EQNXTDZ($A$1,$B96,W$5,$B$1)</f>
        <v>0</v>
      </c>
      <c r="X96" s="55">
        <f>_xll.EQNXTDZ($A$1,$B96,X$5,$B$1)</f>
        <v>-44.77</v>
      </c>
      <c r="Y96" s="55">
        <f>_xll.EQNXTDZ($A$1,$B96,Y$5,$B$1)</f>
        <v>0</v>
      </c>
      <c r="Z96" s="55">
        <f>_xll.EQNXTDZ($A$1,$B96,Z$5,$B$1)</f>
        <v>-42.87</v>
      </c>
      <c r="AA96" s="55">
        <f>_xll.EQNXTDZ($A$1,$B96,AA$5,$B$1)</f>
        <v>0</v>
      </c>
      <c r="AB96" s="55">
        <f>_xll.EQNXTDZ($A$1,$B96,AB$5,$B$1)</f>
        <v>-44.32</v>
      </c>
      <c r="AC96" s="55">
        <f>_xll.EQNXTDZ($A$1,$B96,AC$5,$B$1)</f>
        <v>0</v>
      </c>
      <c r="AD96" s="55">
        <f>_xll.EQNXTDZ($A$1,$B96,AD$5,$B$1)</f>
        <v>-45.98</v>
      </c>
      <c r="AE96" s="55">
        <f>_xll.EQNXTDZ($A$1,$B96,AE$5,$B$1)</f>
        <v>0</v>
      </c>
      <c r="AF96" s="55">
        <f>_xll.EQNXTDZ($A$1,$B96,AF$5,$B$1)</f>
        <v>-46.43</v>
      </c>
      <c r="AG96" s="55">
        <f>_xll.EQNXTDZ($A$1,$B96,AG$5,$B$1)</f>
        <v>0</v>
      </c>
      <c r="AH96" s="55">
        <f>_xll.EQNXTDZ($A$1,$B96,AH$5,$B$1)</f>
        <v>-49.11</v>
      </c>
      <c r="AI96" s="55">
        <f>_xll.EQNXTDZ($A$1,$B96,AI$5,$B$1)</f>
        <v>0</v>
      </c>
      <c r="AJ96" s="55">
        <f>_xll.EQNXTDZ($A$1,$B96,AJ$5,$B$1)</f>
        <v>-31.56</v>
      </c>
      <c r="AK96" s="55">
        <f>_xll.EQNXTDZ($A$1,$B96,AK$5,$B$1)</f>
        <v>0</v>
      </c>
      <c r="AL96" s="55">
        <f>_xll.EQNXTDZ($A$1,$B96,AL$5,$B$1)</f>
        <v>-48.95</v>
      </c>
      <c r="AM96" s="55">
        <f>_xll.EQNXTDZ($A$1,$B96,AM$5,$B$1)</f>
        <v>0</v>
      </c>
      <c r="AN96" s="55">
        <f>_xll.EQNXTDZ($A$1,$B96,AN$5,$B$1)</f>
        <v>-47.34</v>
      </c>
      <c r="AO96" s="55">
        <f>_xll.EQNXTDZ($A$1,$B96,AO$5,$B$1)</f>
        <v>0</v>
      </c>
      <c r="AP96" s="55">
        <f>_xll.EQNXTDZ($A$1,$B96,AP$5,$B$1)</f>
        <v>-37.86</v>
      </c>
      <c r="AQ96" s="55">
        <f>_xll.EQNXTDZ($A$1,$B96,AQ$5,$B$1)</f>
        <v>0</v>
      </c>
      <c r="AR96" s="55">
        <f>_xll.EQNXTDZ($A$1,$B96,AR$5,$B$1)</f>
        <v>-34.86</v>
      </c>
      <c r="AS96" s="55">
        <f>_xll.EQNXTDZ($A$1,$B96,AS$5,$B$1)</f>
        <v>0</v>
      </c>
      <c r="AT96" s="55">
        <f>_xll.EQNXTDZ($A$1,$B96,AT$5,$B$1)</f>
        <v>-34.700000000000003</v>
      </c>
      <c r="AU96" s="55">
        <f>_xll.EQNXTDZ($A$1,$B96,AU$5,$B$1)</f>
        <v>0</v>
      </c>
      <c r="AV96" s="55">
        <f>_xll.EQNXTDZ($A$1,$B96,AV$5,$B$1)</f>
        <v>-32.6</v>
      </c>
      <c r="AW96" s="55">
        <f>_xll.EQNXTDZ($A$1,$B96,AW$5,$B$1)</f>
        <v>0</v>
      </c>
      <c r="AX96" s="55">
        <f>_xll.EQNXTDZ($A$1,$B96,AX$5,$B$1)</f>
        <v>-36.47</v>
      </c>
      <c r="AY96" s="55">
        <f>_xll.EQNXTDZ($A$1,$B96,AY$5,$B$1)</f>
        <v>0</v>
      </c>
      <c r="AZ96" s="55">
        <f>_xll.EQNXTDZ($A$1,$B96,AZ$5,$B$1)</f>
        <v>-36.26</v>
      </c>
      <c r="BA96" s="55">
        <f>_xll.EQNXTDZ($A$1,$B96,BA$5,$B$1)</f>
        <v>0</v>
      </c>
      <c r="BB96" s="55">
        <f>_xll.EQNXTDZ($A$1,$B96,BB$5,$B$1)</f>
        <v>-43.53</v>
      </c>
      <c r="BC96" s="55">
        <f>_xll.EQNXTDZ($A$1,$B96,BC$5,$B$1)</f>
        <v>0</v>
      </c>
      <c r="BD96" s="55">
        <f>_xll.EQNXTDZ($A$1,$B96,BD$5,$B$1)</f>
        <v>-51.22</v>
      </c>
      <c r="BE96" s="55">
        <f>_xll.EQNXTDZ($A$1,$B96,BE$5,$B$1)</f>
        <v>0</v>
      </c>
      <c r="BF96" s="55">
        <f>_xll.EQNXTDZ($A$1,$B96,BF$5,$B$1)</f>
        <v>-61.72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173</v>
      </c>
      <c r="B97" t="s">
        <v>412</v>
      </c>
      <c r="C97" s="55">
        <f>_xll.EQNXTDZ($A$1,$B97,C$5,$B$1)</f>
        <v>0</v>
      </c>
      <c r="D97" s="55">
        <f>_xll.EQNXTDZ($A$1,$B97,D$5,$B$1)</f>
        <v>667.79</v>
      </c>
      <c r="E97" s="55">
        <f>_xll.EQNXTDZ($A$1,$B97,E$5,$B$1)</f>
        <v>0</v>
      </c>
      <c r="F97" s="55">
        <f>_xll.EQNXTDZ($A$1,$B97,F$5,$B$1)</f>
        <v>642.71</v>
      </c>
      <c r="G97" s="55">
        <f>_xll.EQNXTDZ($A$1,$B97,G$5,$B$1)</f>
        <v>0</v>
      </c>
      <c r="H97" s="55">
        <f>_xll.EQNXTDZ($A$1,$B97,H$5,$B$1)</f>
        <v>612.37</v>
      </c>
      <c r="I97" s="55">
        <f>_xll.EQNXTDZ($A$1,$B97,I$5,$B$1)</f>
        <v>0</v>
      </c>
      <c r="J97" s="55">
        <f>_xll.EQNXTDZ($A$1,$B97,J$5,$B$1)</f>
        <v>607.27</v>
      </c>
      <c r="K97" s="55">
        <f>_xll.EQNXTDZ($A$1,$B97,K$5,$B$1)</f>
        <v>0</v>
      </c>
      <c r="L97" s="55">
        <f>_xll.EQNXTDZ($A$1,$B97,L$5,$B$1)</f>
        <v>607.38</v>
      </c>
      <c r="M97" s="55">
        <f>_xll.EQNXTDZ($A$1,$B97,M$5,$B$1)</f>
        <v>0</v>
      </c>
      <c r="N97" s="55">
        <f>_xll.EQNXTDZ($A$1,$B97,N$5,$B$1)</f>
        <v>629.48</v>
      </c>
      <c r="O97" s="55">
        <f>_xll.EQNXTDZ($A$1,$B97,O$5,$B$1)</f>
        <v>0</v>
      </c>
      <c r="P97" s="55">
        <f>_xll.EQNXTDZ($A$1,$B97,P$5,$B$1)</f>
        <v>643.75</v>
      </c>
      <c r="Q97" s="55">
        <f>_xll.EQNXTDZ($A$1,$B97,Q$5,$B$1)</f>
        <v>0</v>
      </c>
      <c r="R97" s="55">
        <f>_xll.EQNXTDZ($A$1,$B97,R$5,$B$1)</f>
        <v>720.59</v>
      </c>
      <c r="S97" s="55">
        <f>_xll.EQNXTDZ($A$1,$B97,S$5,$B$1)</f>
        <v>0</v>
      </c>
      <c r="T97" s="55">
        <f>_xll.EQNXTDZ($A$1,$B97,T$5,$B$1)</f>
        <v>778.5</v>
      </c>
      <c r="U97" s="55">
        <f>_xll.EQNXTDZ($A$1,$B97,U$5,$B$1)</f>
        <v>0</v>
      </c>
      <c r="V97" s="55">
        <f>_xll.EQNXTDZ($A$1,$B97,V$5,$B$1)</f>
        <v>819.05</v>
      </c>
      <c r="W97" s="55">
        <f>_xll.EQNXTDZ($A$1,$B97,W$5,$B$1)</f>
        <v>0</v>
      </c>
      <c r="X97" s="55">
        <f>_xll.EQNXTDZ($A$1,$B97,X$5,$B$1)</f>
        <v>813.84</v>
      </c>
      <c r="Y97" s="55">
        <f>_xll.EQNXTDZ($A$1,$B97,Y$5,$B$1)</f>
        <v>0</v>
      </c>
      <c r="Z97" s="55">
        <f>_xll.EQNXTDZ($A$1,$B97,Z$5,$B$1)</f>
        <v>856.05</v>
      </c>
      <c r="AA97" s="55">
        <f>_xll.EQNXTDZ($A$1,$B97,AA$5,$B$1)</f>
        <v>0</v>
      </c>
      <c r="AB97" s="55">
        <f>_xll.EQNXTDZ($A$1,$B97,AB$5,$B$1)</f>
        <v>835.36</v>
      </c>
      <c r="AC97" s="55">
        <f>_xll.EQNXTDZ($A$1,$B97,AC$5,$B$1)</f>
        <v>0</v>
      </c>
      <c r="AD97" s="55">
        <f>_xll.EQNXTDZ($A$1,$B97,AD$5,$B$1)</f>
        <v>805.87</v>
      </c>
      <c r="AE97" s="55">
        <f>_xll.EQNXTDZ($A$1,$B97,AE$5,$B$1)</f>
        <v>0</v>
      </c>
      <c r="AF97" s="55">
        <f>_xll.EQNXTDZ($A$1,$B97,AF$5,$B$1)</f>
        <v>765.61</v>
      </c>
      <c r="AG97" s="55">
        <f>_xll.EQNXTDZ($A$1,$B97,AG$5,$B$1)</f>
        <v>0</v>
      </c>
      <c r="AH97" s="55">
        <f>_xll.EQNXTDZ($A$1,$B97,AH$5,$B$1)</f>
        <v>769.4</v>
      </c>
      <c r="AI97" s="55">
        <f>_xll.EQNXTDZ($A$1,$B97,AI$5,$B$1)</f>
        <v>0</v>
      </c>
      <c r="AJ97" s="55">
        <f>_xll.EQNXTDZ($A$1,$B97,AJ$5,$B$1)</f>
        <v>740.79</v>
      </c>
      <c r="AK97" s="55">
        <f>_xll.EQNXTDZ($A$1,$B97,AK$5,$B$1)</f>
        <v>0</v>
      </c>
      <c r="AL97" s="55">
        <f>_xll.EQNXTDZ($A$1,$B97,AL$5,$B$1)</f>
        <v>756.71</v>
      </c>
      <c r="AM97" s="55">
        <f>_xll.EQNXTDZ($A$1,$B97,AM$5,$B$1)</f>
        <v>0</v>
      </c>
      <c r="AN97" s="55">
        <f>_xll.EQNXTDZ($A$1,$B97,AN$5,$B$1)</f>
        <v>760.24</v>
      </c>
      <c r="AO97" s="55">
        <f>_xll.EQNXTDZ($A$1,$B97,AO$5,$B$1)</f>
        <v>0</v>
      </c>
      <c r="AP97" s="55">
        <f>_xll.EQNXTDZ($A$1,$B97,AP$5,$B$1)</f>
        <v>898.67</v>
      </c>
      <c r="AQ97" s="55">
        <f>_xll.EQNXTDZ($A$1,$B97,AQ$5,$B$1)</f>
        <v>0</v>
      </c>
      <c r="AR97" s="55">
        <f>_xll.EQNXTDZ($A$1,$B97,AR$5,$B$1)</f>
        <v>1092.42</v>
      </c>
      <c r="AS97" s="55">
        <f>_xll.EQNXTDZ($A$1,$B97,AS$5,$B$1)</f>
        <v>0</v>
      </c>
      <c r="AT97" s="55">
        <f>_xll.EQNXTDZ($A$1,$B97,AT$5,$B$1)</f>
        <v>1233.72</v>
      </c>
      <c r="AU97" s="55">
        <f>_xll.EQNXTDZ($A$1,$B97,AU$5,$B$1)</f>
        <v>0</v>
      </c>
      <c r="AV97" s="55">
        <f>_xll.EQNXTDZ($A$1,$B97,AV$5,$B$1)</f>
        <v>1393.35</v>
      </c>
      <c r="AW97" s="55">
        <f>_xll.EQNXTDZ($A$1,$B97,AW$5,$B$1)</f>
        <v>0</v>
      </c>
      <c r="AX97" s="55">
        <f>_xll.EQNXTDZ($A$1,$B97,AX$5,$B$1)</f>
        <v>1622.46</v>
      </c>
      <c r="AY97" s="55">
        <f>_xll.EQNXTDZ($A$1,$B97,AY$5,$B$1)</f>
        <v>0</v>
      </c>
      <c r="AZ97" s="55">
        <f>_xll.EQNXTDZ($A$1,$B97,AZ$5,$B$1)</f>
        <v>1758.31</v>
      </c>
      <c r="BA97" s="55">
        <f>_xll.EQNXTDZ($A$1,$B97,BA$5,$B$1)</f>
        <v>0</v>
      </c>
      <c r="BB97" s="55">
        <f>_xll.EQNXTDZ($A$1,$B97,BB$5,$B$1)</f>
        <v>1752.32</v>
      </c>
      <c r="BC97" s="55">
        <f>_xll.EQNXTDZ($A$1,$B97,BC$5,$B$1)</f>
        <v>0</v>
      </c>
      <c r="BD97" s="55">
        <f>_xll.EQNXTDZ($A$1,$B97,BD$5,$B$1)</f>
        <v>1781.04</v>
      </c>
      <c r="BE97" s="55">
        <f>_xll.EQNXTDZ($A$1,$B97,BE$5,$B$1)</f>
        <v>0</v>
      </c>
      <c r="BF97" s="55">
        <f>_xll.EQNXTDZ($A$1,$B97,BF$5,$B$1)</f>
        <v>1817.22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8A7A-E8BA-4E12-AA1B-110F946A461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114234</v>
      </c>
      <c r="B1" t="s">
        <v>221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109</v>
      </c>
      <c r="B3" t="s">
        <v>110</v>
      </c>
    </row>
    <row r="4" spans="1:32" x14ac:dyDescent="0.25">
      <c r="A4" t="s">
        <v>111</v>
      </c>
      <c r="B4" t="s">
        <v>128</v>
      </c>
      <c r="C4" t="str">
        <f>_xll.EQNXTDZ(A1,B4,"L")</f>
        <v>Sangam (India) Ltd.</v>
      </c>
    </row>
    <row r="5" spans="1:32" x14ac:dyDescent="0.25">
      <c r="A5" t="s">
        <v>112</v>
      </c>
      <c r="B5" t="s">
        <v>129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113</v>
      </c>
      <c r="B6" t="s">
        <v>130</v>
      </c>
      <c r="C6" s="100">
        <f>_xll.EQNXTDZ($A$1,$B6,C$1,$B$1)</f>
        <v>228.618515</v>
      </c>
      <c r="D6" s="100">
        <f>_xll.EQNXTDZ($A$1,$B6,D$1,$B$1)</f>
        <v>217.23502680000001</v>
      </c>
      <c r="E6" s="100">
        <f>_xll.EQNXTDZ($A$1,$B6,E$1,$B$1)</f>
        <v>225.4564876</v>
      </c>
      <c r="F6" s="100">
        <f>_xll.EQNXTDZ($A$1,$B6,F$1,$B$1)</f>
        <v>298.60218639999999</v>
      </c>
      <c r="G6" s="100">
        <f>_xll.EQNXTDZ($A$1,$B6,G$1,$B$1)</f>
        <v>311.3615896</v>
      </c>
      <c r="H6" s="100">
        <f>_xll.EQNXTDZ($A$1,$B6,H$1,$B$1)</f>
        <v>363.44456489999999</v>
      </c>
      <c r="I6" s="100">
        <f>_xll.EQNXTDZ($A$1,$B6,I$1,$B$1)</f>
        <v>554.76020940000001</v>
      </c>
      <c r="J6" s="100">
        <f>_xll.EQNXTDZ($A$1,$B6,J$1,$B$1)</f>
        <v>695.05184650000001</v>
      </c>
      <c r="K6" s="100">
        <f>_xll.EQNXTDZ($A$1,$B6,K$1,$B$1)</f>
        <v>749.59416329999999</v>
      </c>
      <c r="L6" s="100">
        <f>_xll.EQNXTDZ($A$1,$B6,L$1,$B$1)</f>
        <v>854.98256800000001</v>
      </c>
      <c r="M6" s="100">
        <f>_xll.EQNXTDZ($A$1,$B6,M$1,$B$1)</f>
        <v>1183.92</v>
      </c>
      <c r="N6" s="100">
        <f>_xll.EQNXTDZ($A$1,$B6,N$1,$B$1)</f>
        <v>1424.61</v>
      </c>
      <c r="O6" s="100">
        <f>_xll.EQNXTDZ($A$1,$B6,O$1,$B$1)</f>
        <v>1485.21</v>
      </c>
      <c r="P6" s="100">
        <f>_xll.EQNXTDZ($A$1,$B6,P$1,$B$1)</f>
        <v>1464.7</v>
      </c>
      <c r="Q6" s="100">
        <f>_xll.EQNXTDZ($A$1,$B6,Q$1,$B$1)</f>
        <v>1503.72</v>
      </c>
      <c r="R6" s="100">
        <f>_xll.EQNXTDZ($A$1,$B6,R$1,$B$1)</f>
        <v>1537.83</v>
      </c>
      <c r="S6" s="100">
        <f>_xll.EQNXTDZ($A$1,$B6,S$1,$B$1)</f>
        <v>1628.16</v>
      </c>
      <c r="T6" s="100">
        <f>_xll.EQNXTDZ($A$1,$B6,T$1,$B$1)</f>
        <v>1648.38</v>
      </c>
      <c r="U6" s="100">
        <f>_xll.EQNXTDZ($A$1,$B6,U$1,$B$1)</f>
        <v>1873.53</v>
      </c>
      <c r="V6" s="100">
        <f>_xll.EQNXTDZ($A$1,$B6,V$1,$B$1)</f>
        <v>1790.11</v>
      </c>
      <c r="W6" s="100">
        <f>_xll.EQNXTDZ($A$1,$B6,W$1,$B$1)</f>
        <v>1358.97</v>
      </c>
      <c r="X6" s="100">
        <f>_xll.EQNXTDZ($A$1,$B6,X$1,$B$1)</f>
        <v>2437.7600000000002</v>
      </c>
      <c r="Y6" s="100">
        <f>_xll.EQNXTDZ($A$1,$B6,Y$1,$B$1)</f>
        <v>2712.3</v>
      </c>
      <c r="Z6" s="100">
        <f>_xll.EQNXTDZ($A$1,$B6,Z$1,$B$1)</f>
        <v>2628.06</v>
      </c>
      <c r="AA6" s="100">
        <f>_xll.EQNXTDZ($A$1,$B6,AA$1,$B$1)</f>
        <v>2856.95</v>
      </c>
      <c r="AB6" s="100">
        <f>_xll.EQNXTDZ($A$1,$B6,AB$1,$B$1)</f>
        <v>3234.53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114</v>
      </c>
      <c r="B7" t="s">
        <v>131</v>
      </c>
      <c r="C7" s="100">
        <f>_xll.EQNXTDZ($A$1,$B7,C$1,$B$1)</f>
        <v>20.628236399999999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115</v>
      </c>
      <c r="B8" t="s">
        <v>132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116</v>
      </c>
      <c r="B9" t="s">
        <v>133</v>
      </c>
      <c r="C9" s="100">
        <f>_xll.EQNXTDZ($A$1,$B9,C$1,$B$1)</f>
        <v>24.499193200000001</v>
      </c>
      <c r="D9" s="100">
        <f>_xll.EQNXTDZ($A$1,$B9,D$1,$B$1)</f>
        <v>27.553136899999998</v>
      </c>
      <c r="E9" s="100">
        <f>_xll.EQNXTDZ($A$1,$B9,E$1,$B$1)</f>
        <v>29.747752599999998</v>
      </c>
      <c r="F9" s="100">
        <f>_xll.EQNXTDZ($A$1,$B9,F$1,$B$1)</f>
        <v>31.447641699999998</v>
      </c>
      <c r="G9" s="100">
        <f>_xll.EQNXTDZ($A$1,$B9,G$1,$B$1)</f>
        <v>21.784497200000001</v>
      </c>
      <c r="H9" s="100">
        <f>_xll.EQNXTDZ($A$1,$B9,H$1,$B$1)</f>
        <v>16.657602799999999</v>
      </c>
      <c r="I9" s="100">
        <f>_xll.EQNXTDZ($A$1,$B9,I$1,$B$1)</f>
        <v>2.4015716999999999</v>
      </c>
      <c r="J9" s="100">
        <f>_xll.EQNXTDZ($A$1,$B9,J$1,$B$1)</f>
        <v>1.6698029000000001</v>
      </c>
      <c r="K9" s="100">
        <f>_xll.EQNXTDZ($A$1,$B9,K$1,$B$1)</f>
        <v>1.3242461999999999</v>
      </c>
      <c r="L9" s="100">
        <f>_xll.EQNXTDZ($A$1,$B9,L$1,$B$1)</f>
        <v>2.7346556</v>
      </c>
      <c r="M9" s="100">
        <f>_xll.EQNXTDZ($A$1,$B9,M$1,$B$1)</f>
        <v>12.4</v>
      </c>
      <c r="N9" s="100">
        <f>_xll.EQNXTDZ($A$1,$B9,N$1,$B$1)</f>
        <v>7.39</v>
      </c>
      <c r="O9" s="100">
        <f>_xll.EQNXTDZ($A$1,$B9,O$1,$B$1)</f>
        <v>6.37</v>
      </c>
      <c r="P9" s="100">
        <f>_xll.EQNXTDZ($A$1,$B9,P$1,$B$1)</f>
        <v>32.090000000000003</v>
      </c>
      <c r="Q9" s="100">
        <f>_xll.EQNXTDZ($A$1,$B9,Q$1,$B$1)</f>
        <v>35.06</v>
      </c>
      <c r="R9" s="100">
        <f>_xll.EQNXTDZ($A$1,$B9,R$1,$B$1)</f>
        <v>33.43</v>
      </c>
      <c r="S9" s="100">
        <f>_xll.EQNXTDZ($A$1,$B9,S$1,$B$1)</f>
        <v>36.729999999999997</v>
      </c>
      <c r="T9" s="100">
        <f>_xll.EQNXTDZ($A$1,$B9,T$1,$B$1)</f>
        <v>11.12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134</v>
      </c>
      <c r="C10" s="100">
        <f>_xll.EQNXTDZ($A$1,$B10,C$1,$B$1)</f>
        <v>183.4910854</v>
      </c>
      <c r="D10" s="100">
        <f>_xll.EQNXTDZ($A$1,$B10,D$1,$B$1)</f>
        <v>189.68188989999999</v>
      </c>
      <c r="E10" s="100">
        <f>_xll.EQNXTDZ($A$1,$B10,E$1,$B$1)</f>
        <v>195.70873499999999</v>
      </c>
      <c r="F10" s="100">
        <f>_xll.EQNXTDZ($A$1,$B10,F$1,$B$1)</f>
        <v>267.15454469999997</v>
      </c>
      <c r="G10" s="100">
        <f>_xll.EQNXTDZ($A$1,$B10,G$1,$B$1)</f>
        <v>289.57709240000003</v>
      </c>
      <c r="H10" s="100">
        <f>_xll.EQNXTDZ($A$1,$B10,H$1,$B$1)</f>
        <v>346.78696209999998</v>
      </c>
      <c r="I10" s="100">
        <f>_xll.EQNXTDZ($A$1,$B10,I$1,$B$1)</f>
        <v>552.35863770000003</v>
      </c>
      <c r="J10" s="100">
        <f>_xll.EQNXTDZ($A$1,$B10,J$1,$B$1)</f>
        <v>693.38204359999997</v>
      </c>
      <c r="K10" s="100">
        <f>_xll.EQNXTDZ($A$1,$B10,K$1,$B$1)</f>
        <v>748.26991710000004</v>
      </c>
      <c r="L10" s="100">
        <f>_xll.EQNXTDZ($A$1,$B10,L$1,$B$1)</f>
        <v>852.24791240000002</v>
      </c>
      <c r="M10" s="100">
        <f>_xll.EQNXTDZ($A$1,$B10,M$1,$B$1)</f>
        <v>1171.52</v>
      </c>
      <c r="N10" s="100">
        <f>_xll.EQNXTDZ($A$1,$B10,N$1,$B$1)</f>
        <v>1417.22</v>
      </c>
      <c r="O10" s="100">
        <f>_xll.EQNXTDZ($A$1,$B10,O$1,$B$1)</f>
        <v>1478.84</v>
      </c>
      <c r="P10" s="100">
        <f>_xll.EQNXTDZ($A$1,$B10,P$1,$B$1)</f>
        <v>1432.61</v>
      </c>
      <c r="Q10" s="100">
        <f>_xll.EQNXTDZ($A$1,$B10,Q$1,$B$1)</f>
        <v>1468.66</v>
      </c>
      <c r="R10" s="100">
        <f>_xll.EQNXTDZ($A$1,$B10,R$1,$B$1)</f>
        <v>1504.4</v>
      </c>
      <c r="S10" s="100">
        <f>_xll.EQNXTDZ($A$1,$B10,S$1,$B$1)</f>
        <v>1591.43</v>
      </c>
      <c r="T10" s="100">
        <f>_xll.EQNXTDZ($A$1,$B10,T$1,$B$1)</f>
        <v>1637.26</v>
      </c>
      <c r="U10" s="100">
        <f>_xll.EQNXTDZ($A$1,$B10,U$1,$B$1)</f>
        <v>1873.53</v>
      </c>
      <c r="V10" s="100">
        <f>_xll.EQNXTDZ($A$1,$B10,V$1,$B$1)</f>
        <v>1790.11</v>
      </c>
      <c r="W10" s="100">
        <f>_xll.EQNXTDZ($A$1,$B10,W$1,$B$1)</f>
        <v>1358.97</v>
      </c>
      <c r="X10" s="100">
        <f>_xll.EQNXTDZ($A$1,$B10,X$1,$B$1)</f>
        <v>2437.7600000000002</v>
      </c>
      <c r="Y10" s="100">
        <f>_xll.EQNXTDZ($A$1,$B10,Y$1,$B$1)</f>
        <v>2712.3</v>
      </c>
      <c r="Z10" s="100">
        <f>_xll.EQNXTDZ($A$1,$B10,Z$1,$B$1)</f>
        <v>2628.06</v>
      </c>
      <c r="AA10" s="100">
        <f>_xll.EQNXTDZ($A$1,$B10,AA$1,$B$1)</f>
        <v>2856.95</v>
      </c>
      <c r="AB10" s="100">
        <f>_xll.EQNXTDZ($A$1,$B10,AB$1,$B$1)</f>
        <v>3234.53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135</v>
      </c>
      <c r="C11" s="100">
        <f>_xll.EQNXTDZ($A$1,$B11,C$1,$B$1)</f>
        <v>-0.50674730000000001</v>
      </c>
      <c r="D11" s="100">
        <f>_xll.EQNXTDZ($A$1,$B11,D$1,$B$1)</f>
        <v>3.5157219</v>
      </c>
      <c r="E11" s="100">
        <f>_xll.EQNXTDZ($A$1,$B11,E$1,$B$1)</f>
        <v>-7.2267181000000003</v>
      </c>
      <c r="F11" s="100">
        <f>_xll.EQNXTDZ($A$1,$B11,F$1,$B$1)</f>
        <v>-2.8291686</v>
      </c>
      <c r="G11" s="100">
        <f>_xll.EQNXTDZ($A$1,$B11,G$1,$B$1)</f>
        <v>-5.3305705000000003</v>
      </c>
      <c r="H11" s="100">
        <f>_xll.EQNXTDZ($A$1,$B11,H$1,$B$1)</f>
        <v>-6.7168970000000003</v>
      </c>
      <c r="I11" s="100">
        <f>_xll.EQNXTDZ($A$1,$B11,I$1,$B$1)</f>
        <v>-20.445547999999999</v>
      </c>
      <c r="J11" s="100">
        <f>_xll.EQNXTDZ($A$1,$B11,J$1,$B$1)</f>
        <v>-21.801715999999999</v>
      </c>
      <c r="K11" s="100">
        <f>_xll.EQNXTDZ($A$1,$B11,K$1,$B$1)</f>
        <v>9.1524093000000004</v>
      </c>
      <c r="L11" s="100">
        <f>_xll.EQNXTDZ($A$1,$B11,L$1,$B$1)</f>
        <v>-1.1278927000000001</v>
      </c>
      <c r="M11" s="100">
        <f>_xll.EQNXTDZ($A$1,$B11,M$1,$B$1)</f>
        <v>-43.15</v>
      </c>
      <c r="N11" s="100">
        <f>_xll.EQNXTDZ($A$1,$B11,N$1,$B$1)</f>
        <v>15.3</v>
      </c>
      <c r="O11" s="100">
        <f>_xll.EQNXTDZ($A$1,$B11,O$1,$B$1)</f>
        <v>-16.84</v>
      </c>
      <c r="P11" s="100">
        <f>_xll.EQNXTDZ($A$1,$B11,P$1,$B$1)</f>
        <v>-11.12</v>
      </c>
      <c r="Q11" s="100">
        <f>_xll.EQNXTDZ($A$1,$B11,Q$1,$B$1)</f>
        <v>-7.37</v>
      </c>
      <c r="R11" s="100">
        <f>_xll.EQNXTDZ($A$1,$B11,R$1,$B$1)</f>
        <v>-22.23</v>
      </c>
      <c r="S11" s="100">
        <f>_xll.EQNXTDZ($A$1,$B11,S$1,$B$1)</f>
        <v>-42.79</v>
      </c>
      <c r="T11" s="100">
        <f>_xll.EQNXTDZ($A$1,$B11,T$1,$B$1)</f>
        <v>-33.15</v>
      </c>
      <c r="U11" s="100">
        <f>_xll.EQNXTDZ($A$1,$B11,U$1,$B$1)</f>
        <v>13.28</v>
      </c>
      <c r="V11" s="100">
        <f>_xll.EQNXTDZ($A$1,$B11,V$1,$B$1)</f>
        <v>-11.65</v>
      </c>
      <c r="W11" s="100">
        <f>_xll.EQNXTDZ($A$1,$B11,W$1,$B$1)</f>
        <v>27.81</v>
      </c>
      <c r="X11" s="100">
        <f>_xll.EQNXTDZ($A$1,$B11,X$1,$B$1)</f>
        <v>-35.67</v>
      </c>
      <c r="Y11" s="100">
        <f>_xll.EQNXTDZ($A$1,$B11,Y$1,$B$1)</f>
        <v>-94.77</v>
      </c>
      <c r="Z11" s="100">
        <f>_xll.EQNXTDZ($A$1,$B11,Z$1,$B$1)</f>
        <v>-23.12</v>
      </c>
      <c r="AA11" s="100">
        <f>_xll.EQNXTDZ($A$1,$B11,AA$1,$B$1)</f>
        <v>9.8800000000000008</v>
      </c>
      <c r="AB11" s="100">
        <f>_xll.EQNXTDZ($A$1,$B11,AB$1,$B$1)</f>
        <v>61.25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136</v>
      </c>
      <c r="C12" s="100">
        <f>_xll.EQNXTDZ($A$1,$B12,C$1,$B$1)</f>
        <v>108.2147915</v>
      </c>
      <c r="D12" s="100">
        <f>_xll.EQNXTDZ($A$1,$B12,D$1,$B$1)</f>
        <v>106.921577</v>
      </c>
      <c r="E12" s="100">
        <f>_xll.EQNXTDZ($A$1,$B12,E$1,$B$1)</f>
        <v>120.6985723</v>
      </c>
      <c r="F12" s="100">
        <f>_xll.EQNXTDZ($A$1,$B12,F$1,$B$1)</f>
        <v>163.0175212</v>
      </c>
      <c r="G12" s="100">
        <f>_xll.EQNXTDZ($A$1,$B12,G$1,$B$1)</f>
        <v>177.16084069999999</v>
      </c>
      <c r="H12" s="100">
        <f>_xll.EQNXTDZ($A$1,$B12,H$1,$B$1)</f>
        <v>202.08444019999999</v>
      </c>
      <c r="I12" s="100">
        <f>_xll.EQNXTDZ($A$1,$B12,I$1,$B$1)</f>
        <v>331.10323690000001</v>
      </c>
      <c r="J12" s="100">
        <f>_xll.EQNXTDZ($A$1,$B12,J$1,$B$1)</f>
        <v>434.6933755</v>
      </c>
      <c r="K12" s="100">
        <f>_xll.EQNXTDZ($A$1,$B12,K$1,$B$1)</f>
        <v>426.06851160000002</v>
      </c>
      <c r="L12" s="100">
        <f>_xll.EQNXTDZ($A$1,$B12,L$1,$B$1)</f>
        <v>465.1707902</v>
      </c>
      <c r="M12" s="100">
        <f>_xll.EQNXTDZ($A$1,$B12,M$1,$B$1)</f>
        <v>662.76</v>
      </c>
      <c r="N12" s="100">
        <f>_xll.EQNXTDZ($A$1,$B12,N$1,$B$1)</f>
        <v>710.18</v>
      </c>
      <c r="O12" s="100">
        <f>_xll.EQNXTDZ($A$1,$B12,O$1,$B$1)</f>
        <v>780.91</v>
      </c>
      <c r="P12" s="100">
        <f>_xll.EQNXTDZ($A$1,$B12,P$1,$B$1)</f>
        <v>807.53</v>
      </c>
      <c r="Q12" s="100">
        <f>_xll.EQNXTDZ($A$1,$B12,Q$1,$B$1)</f>
        <v>796.55</v>
      </c>
      <c r="R12" s="100">
        <f>_xll.EQNXTDZ($A$1,$B12,R$1,$B$1)</f>
        <v>778.47</v>
      </c>
      <c r="S12" s="100">
        <f>_xll.EQNXTDZ($A$1,$B12,S$1,$B$1)</f>
        <v>888.71</v>
      </c>
      <c r="T12" s="100">
        <f>_xll.EQNXTDZ($A$1,$B12,T$1,$B$1)</f>
        <v>912.08</v>
      </c>
      <c r="U12" s="100">
        <f>_xll.EQNXTDZ($A$1,$B12,U$1,$B$1)</f>
        <v>1001.13</v>
      </c>
      <c r="V12" s="100">
        <f>_xll.EQNXTDZ($A$1,$B12,V$1,$B$1)</f>
        <v>941.73</v>
      </c>
      <c r="W12" s="100">
        <f>_xll.EQNXTDZ($A$1,$B12,W$1,$B$1)</f>
        <v>665.02</v>
      </c>
      <c r="X12" s="100">
        <f>_xll.EQNXTDZ($A$1,$B12,X$1,$B$1)</f>
        <v>1282.68</v>
      </c>
      <c r="Y12" s="100">
        <f>_xll.EQNXTDZ($A$1,$B12,Y$1,$B$1)</f>
        <v>1501.13</v>
      </c>
      <c r="Z12" s="100">
        <f>_xll.EQNXTDZ($A$1,$B12,Z$1,$B$1)</f>
        <v>1464.99</v>
      </c>
      <c r="AA12" s="100">
        <f>_xll.EQNXTDZ($A$1,$B12,AA$1,$B$1)</f>
        <v>1597.99</v>
      </c>
      <c r="AB12" s="100">
        <f>_xll.EQNXTDZ($A$1,$B12,AB$1,$B$1)</f>
        <v>1762.08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137</v>
      </c>
      <c r="C13" s="100">
        <f>_xll.EQNXTDZ($A$1,$B13,C$1,$B$1)</f>
        <v>16.030760999999998</v>
      </c>
      <c r="D13" s="100">
        <f>_xll.EQNXTDZ($A$1,$B13,D$1,$B$1)</f>
        <v>14.322329699999999</v>
      </c>
      <c r="E13" s="100">
        <f>_xll.EQNXTDZ($A$1,$B13,E$1,$B$1)</f>
        <v>16.2425411</v>
      </c>
      <c r="F13" s="100">
        <f>_xll.EQNXTDZ($A$1,$B13,F$1,$B$1)</f>
        <v>24.662792499999998</v>
      </c>
      <c r="G13" s="100">
        <f>_xll.EQNXTDZ($A$1,$B13,G$1,$B$1)</f>
        <v>26.673482100000001</v>
      </c>
      <c r="H13" s="100">
        <f>_xll.EQNXTDZ($A$1,$B13,H$1,$B$1)</f>
        <v>27.422207199999999</v>
      </c>
      <c r="I13" s="100">
        <f>_xll.EQNXTDZ($A$1,$B13,I$1,$B$1)</f>
        <v>56.216064899999999</v>
      </c>
      <c r="J13" s="100">
        <f>_xll.EQNXTDZ($A$1,$B13,J$1,$B$1)</f>
        <v>75.572921899999997</v>
      </c>
      <c r="K13" s="100">
        <f>_xll.EQNXTDZ($A$1,$B13,K$1,$B$1)</f>
        <v>91.883766199999997</v>
      </c>
      <c r="L13" s="100">
        <f>_xll.EQNXTDZ($A$1,$B13,L$1,$B$1)</f>
        <v>101.5682781</v>
      </c>
      <c r="M13" s="100">
        <f>_xll.EQNXTDZ($A$1,$B13,M$1,$B$1)</f>
        <v>104.26</v>
      </c>
      <c r="N13" s="100">
        <f>_xll.EQNXTDZ($A$1,$B13,N$1,$B$1)</f>
        <v>109.95</v>
      </c>
      <c r="O13" s="100">
        <f>_xll.EQNXTDZ($A$1,$B13,O$1,$B$1)</f>
        <v>142.63999999999999</v>
      </c>
      <c r="P13" s="100">
        <f>_xll.EQNXTDZ($A$1,$B13,P$1,$B$1)</f>
        <v>138.58000000000001</v>
      </c>
      <c r="Q13" s="100">
        <f>_xll.EQNXTDZ($A$1,$B13,Q$1,$B$1)</f>
        <v>155.52000000000001</v>
      </c>
      <c r="R13" s="100">
        <f>_xll.EQNXTDZ($A$1,$B13,R$1,$B$1)</f>
        <v>157.91999999999999</v>
      </c>
      <c r="S13" s="100">
        <f>_xll.EQNXTDZ($A$1,$B13,S$1,$B$1)</f>
        <v>172.93</v>
      </c>
      <c r="T13" s="100">
        <f>_xll.EQNXTDZ($A$1,$B13,T$1,$B$1)</f>
        <v>231.27</v>
      </c>
      <c r="U13" s="100">
        <f>_xll.EQNXTDZ($A$1,$B13,U$1,$B$1)</f>
        <v>247.55</v>
      </c>
      <c r="V13" s="100">
        <f>_xll.EQNXTDZ($A$1,$B13,V$1,$B$1)</f>
        <v>228.81</v>
      </c>
      <c r="W13" s="100">
        <f>_xll.EQNXTDZ($A$1,$B13,W$1,$B$1)</f>
        <v>157.47</v>
      </c>
      <c r="X13" s="100">
        <f>_xll.EQNXTDZ($A$1,$B13,X$1,$B$1)</f>
        <v>245.39</v>
      </c>
      <c r="Y13" s="100">
        <f>_xll.EQNXTDZ($A$1,$B13,Y$1,$B$1)</f>
        <v>302.32</v>
      </c>
      <c r="Z13" s="100">
        <f>_xll.EQNXTDZ($A$1,$B13,Z$1,$B$1)</f>
        <v>299.35000000000002</v>
      </c>
      <c r="AA13" s="100">
        <f>_xll.EQNXTDZ($A$1,$B13,AA$1,$B$1)</f>
        <v>299.24</v>
      </c>
      <c r="AB13" s="100">
        <f>_xll.EQNXTDZ($A$1,$B13,AB$1,$B$1)</f>
        <v>318.18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138</v>
      </c>
      <c r="C14" s="100">
        <f>_xll.EQNXTDZ($A$1,$B14,C$1,$B$1)</f>
        <v>9.3838041000000008</v>
      </c>
      <c r="D14" s="100">
        <f>_xll.EQNXTDZ($A$1,$B14,D$1,$B$1)</f>
        <v>9.9036197999999995</v>
      </c>
      <c r="E14" s="100">
        <f>_xll.EQNXTDZ($A$1,$B14,E$1,$B$1)</f>
        <v>10.1812594</v>
      </c>
      <c r="F14" s="100">
        <f>_xll.EQNXTDZ($A$1,$B14,F$1,$B$1)</f>
        <v>13.7621185</v>
      </c>
      <c r="G14" s="100">
        <f>_xll.EQNXTDZ($A$1,$B14,G$1,$B$1)</f>
        <v>16.2450726</v>
      </c>
      <c r="H14" s="100">
        <f>_xll.EQNXTDZ($A$1,$B14,H$1,$B$1)</f>
        <v>18.710016400000001</v>
      </c>
      <c r="I14" s="100">
        <f>_xll.EQNXTDZ($A$1,$B14,I$1,$B$1)</f>
        <v>34.036640599999998</v>
      </c>
      <c r="J14" s="100">
        <f>_xll.EQNXTDZ($A$1,$B14,J$1,$B$1)</f>
        <v>44.658973000000003</v>
      </c>
      <c r="K14" s="100">
        <f>_xll.EQNXTDZ($A$1,$B14,K$1,$B$1)</f>
        <v>48.801439700000003</v>
      </c>
      <c r="L14" s="100">
        <f>_xll.EQNXTDZ($A$1,$B14,L$1,$B$1)</f>
        <v>57.508082199999997</v>
      </c>
      <c r="M14" s="100">
        <f>_xll.EQNXTDZ($A$1,$B14,M$1,$B$1)</f>
        <v>67.59</v>
      </c>
      <c r="N14" s="100">
        <f>_xll.EQNXTDZ($A$1,$B14,N$1,$B$1)</f>
        <v>82.83</v>
      </c>
      <c r="O14" s="100">
        <f>_xll.EQNXTDZ($A$1,$B14,O$1,$B$1)</f>
        <v>94.22</v>
      </c>
      <c r="P14" s="100">
        <f>_xll.EQNXTDZ($A$1,$B14,P$1,$B$1)</f>
        <v>105.25</v>
      </c>
      <c r="Q14" s="100">
        <f>_xll.EQNXTDZ($A$1,$B14,Q$1,$B$1)</f>
        <v>118.62</v>
      </c>
      <c r="R14" s="100">
        <f>_xll.EQNXTDZ($A$1,$B14,R$1,$B$1)</f>
        <v>139.9</v>
      </c>
      <c r="S14" s="100">
        <f>_xll.EQNXTDZ($A$1,$B14,S$1,$B$1)</f>
        <v>159.87</v>
      </c>
      <c r="T14" s="100">
        <f>_xll.EQNXTDZ($A$1,$B14,T$1,$B$1)</f>
        <v>175.5</v>
      </c>
      <c r="U14" s="100">
        <f>_xll.EQNXTDZ($A$1,$B14,U$1,$B$1)</f>
        <v>190.1</v>
      </c>
      <c r="V14" s="100">
        <f>_xll.EQNXTDZ($A$1,$B14,V$1,$B$1)</f>
        <v>192.41</v>
      </c>
      <c r="W14" s="100">
        <f>_xll.EQNXTDZ($A$1,$B14,W$1,$B$1)</f>
        <v>149.61000000000001</v>
      </c>
      <c r="X14" s="100">
        <f>_xll.EQNXTDZ($A$1,$B14,X$1,$B$1)</f>
        <v>200.95</v>
      </c>
      <c r="Y14" s="100">
        <f>_xll.EQNXTDZ($A$1,$B14,Y$1,$B$1)</f>
        <v>231.23</v>
      </c>
      <c r="Z14" s="100">
        <f>_xll.EQNXTDZ($A$1,$B14,Z$1,$B$1)</f>
        <v>257.77999999999997</v>
      </c>
      <c r="AA14" s="100">
        <f>_xll.EQNXTDZ($A$1,$B14,AA$1,$B$1)</f>
        <v>266.25</v>
      </c>
      <c r="AB14" s="100">
        <f>_xll.EQNXTDZ($A$1,$B14,AB$1,$B$1)</f>
        <v>293.47000000000003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117</v>
      </c>
      <c r="B15" t="s">
        <v>139</v>
      </c>
      <c r="C15" s="100">
        <f>_xll.EQNXTDZ($A$1,$B15,C$1,$B$1)</f>
        <v>16.0315756</v>
      </c>
      <c r="D15" s="100">
        <f>_xll.EQNXTDZ($A$1,$B15,D$1,$B$1)</f>
        <v>22.908752199999999</v>
      </c>
      <c r="E15" s="100">
        <f>_xll.EQNXTDZ($A$1,$B15,E$1,$B$1)</f>
        <v>16.6746187</v>
      </c>
      <c r="F15" s="100">
        <f>_xll.EQNXTDZ($A$1,$B15,F$1,$B$1)</f>
        <v>19.261937499999998</v>
      </c>
      <c r="G15" s="100">
        <f>_xll.EQNXTDZ($A$1,$B15,G$1,$B$1)</f>
        <v>19.939484199999999</v>
      </c>
      <c r="H15" s="100">
        <f>_xll.EQNXTDZ($A$1,$B15,H$1,$B$1)</f>
        <v>27.492860199999999</v>
      </c>
      <c r="I15" s="100">
        <f>_xll.EQNXTDZ($A$1,$B15,I$1,$B$1)</f>
        <v>29.696939499999999</v>
      </c>
      <c r="J15" s="100">
        <f>_xll.EQNXTDZ($A$1,$B15,J$1,$B$1)</f>
        <v>40.396378499999997</v>
      </c>
      <c r="K15" s="100">
        <f>_xll.EQNXTDZ($A$1,$B15,K$1,$B$1)</f>
        <v>64.554778600000006</v>
      </c>
      <c r="L15" s="100">
        <f>_xll.EQNXTDZ($A$1,$B15,L$1,$B$1)</f>
        <v>68.122469499999994</v>
      </c>
      <c r="M15" s="100">
        <f>_xll.EQNXTDZ($A$1,$B15,M$1,$B$1)</f>
        <v>141.46</v>
      </c>
      <c r="N15" s="100">
        <f>_xll.EQNXTDZ($A$1,$B15,N$1,$B$1)</f>
        <v>299.42</v>
      </c>
      <c r="O15" s="100">
        <f>_xll.EQNXTDZ($A$1,$B15,O$1,$B$1)</f>
        <v>221.51</v>
      </c>
      <c r="P15" s="100">
        <f>_xll.EQNXTDZ($A$1,$B15,P$1,$B$1)</f>
        <v>154.04</v>
      </c>
      <c r="Q15" s="100">
        <f>_xll.EQNXTDZ($A$1,$B15,Q$1,$B$1)</f>
        <v>143.13</v>
      </c>
      <c r="R15" s="100">
        <f>_xll.EQNXTDZ($A$1,$B15,R$1,$B$1)</f>
        <v>162.49</v>
      </c>
      <c r="S15" s="100">
        <f>_xll.EQNXTDZ($A$1,$B15,S$1,$B$1)</f>
        <v>172.28</v>
      </c>
      <c r="T15" s="100">
        <f>_xll.EQNXTDZ($A$1,$B15,T$1,$B$1)</f>
        <v>161.52000000000001</v>
      </c>
      <c r="U15" s="100">
        <f>_xll.EQNXTDZ($A$1,$B15,U$1,$B$1)</f>
        <v>184.51</v>
      </c>
      <c r="V15" s="100">
        <f>_xll.EQNXTDZ($A$1,$B15,V$1,$B$1)</f>
        <v>196.35</v>
      </c>
      <c r="W15" s="100">
        <f>_xll.EQNXTDZ($A$1,$B15,W$1,$B$1)</f>
        <v>145.74</v>
      </c>
      <c r="X15" s="100">
        <f>_xll.EQNXTDZ($A$1,$B15,X$1,$B$1)</f>
        <v>233.76</v>
      </c>
      <c r="Y15" s="100">
        <f>_xll.EQNXTDZ($A$1,$B15,Y$1,$B$1)</f>
        <v>306.42</v>
      </c>
      <c r="Z15" s="100">
        <f>_xll.EQNXTDZ($A$1,$B15,Z$1,$B$1)</f>
        <v>270.08999999999997</v>
      </c>
      <c r="AA15" s="100">
        <f>_xll.EQNXTDZ($A$1,$B15,AA$1,$B$1)</f>
        <v>267.49</v>
      </c>
      <c r="AB15" s="100">
        <f>_xll.EQNXTDZ($A$1,$B15,AB$1,$B$1)</f>
        <v>294.58999999999997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118</v>
      </c>
      <c r="B16" t="s">
        <v>140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9</v>
      </c>
      <c r="B17" t="s">
        <v>141</v>
      </c>
      <c r="C17" s="100">
        <f>_xll.EQNXTDZ($A$1,$B17,C$1,$B$1)</f>
        <v>1.5825880999999999</v>
      </c>
      <c r="D17" s="100">
        <f>_xll.EQNXTDZ($A$1,$B17,D$1,$B$1)</f>
        <v>1.7474395</v>
      </c>
      <c r="E17" s="100">
        <f>_xll.EQNXTDZ($A$1,$B17,E$1,$B$1)</f>
        <v>2.1740621999999998</v>
      </c>
      <c r="F17" s="100">
        <f>_xll.EQNXTDZ($A$1,$B17,F$1,$B$1)</f>
        <v>3.0154554</v>
      </c>
      <c r="G17" s="100">
        <f>_xll.EQNXTDZ($A$1,$B17,G$1,$B$1)</f>
        <v>2.9152570999999998</v>
      </c>
      <c r="H17" s="100">
        <f>_xll.EQNXTDZ($A$1,$B17,H$1,$B$1)</f>
        <v>4.0560089000000001</v>
      </c>
      <c r="I17" s="100">
        <f>_xll.EQNXTDZ($A$1,$B17,I$1,$B$1)</f>
        <v>6.3435568</v>
      </c>
      <c r="J17" s="100">
        <f>_xll.EQNXTDZ($A$1,$B17,J$1,$B$1)</f>
        <v>6.0165522999999999</v>
      </c>
      <c r="K17" s="100">
        <f>_xll.EQNXTDZ($A$1,$B17,K$1,$B$1)</f>
        <v>5.2581059999999997</v>
      </c>
      <c r="L17" s="100">
        <f>_xll.EQNXTDZ($A$1,$B17,L$1,$B$1)</f>
        <v>6.3856970999999998</v>
      </c>
      <c r="M17" s="100">
        <f>_xll.EQNXTDZ($A$1,$B17,M$1,$B$1)</f>
        <v>7.94</v>
      </c>
      <c r="N17" s="100">
        <f>_xll.EQNXTDZ($A$1,$B17,N$1,$B$1)</f>
        <v>7.11</v>
      </c>
      <c r="O17" s="100">
        <f>_xll.EQNXTDZ($A$1,$B17,O$1,$B$1)</f>
        <v>7.96</v>
      </c>
      <c r="P17" s="100">
        <f>_xll.EQNXTDZ($A$1,$B17,P$1,$B$1)</f>
        <v>9.2100000000000009</v>
      </c>
      <c r="Q17" s="100">
        <f>_xll.EQNXTDZ($A$1,$B17,Q$1,$B$1)</f>
        <v>9.49</v>
      </c>
      <c r="R17" s="100">
        <f>_xll.EQNXTDZ($A$1,$B17,R$1,$B$1)</f>
        <v>14.48</v>
      </c>
      <c r="S17" s="100">
        <f>_xll.EQNXTDZ($A$1,$B17,S$1,$B$1)</f>
        <v>16.45</v>
      </c>
      <c r="T17" s="100">
        <f>_xll.EQNXTDZ($A$1,$B17,T$1,$B$1)</f>
        <v>15.53</v>
      </c>
      <c r="U17" s="100">
        <f>_xll.EQNXTDZ($A$1,$B17,U$1,$B$1)</f>
        <v>16.510000000000002</v>
      </c>
      <c r="V17" s="100">
        <f>_xll.EQNXTDZ($A$1,$B17,V$1,$B$1)</f>
        <v>21.69</v>
      </c>
      <c r="W17" s="100">
        <f>_xll.EQNXTDZ($A$1,$B17,W$1,$B$1)</f>
        <v>16.61</v>
      </c>
      <c r="X17" s="100">
        <f>_xll.EQNXTDZ($A$1,$B17,X$1,$B$1)</f>
        <v>32.76</v>
      </c>
      <c r="Y17" s="100">
        <f>_xll.EQNXTDZ($A$1,$B17,Y$1,$B$1)</f>
        <v>37.28</v>
      </c>
      <c r="Z17" s="100">
        <f>_xll.EQNXTDZ($A$1,$B17,Z$1,$B$1)</f>
        <v>37.549999999999997</v>
      </c>
      <c r="AA17" s="100">
        <f>_xll.EQNXTDZ($A$1,$B17,AA$1,$B$1)</f>
        <v>38.590000000000003</v>
      </c>
      <c r="AB17" s="100">
        <f>_xll.EQNXTDZ($A$1,$B17,AB$1,$B$1)</f>
        <v>50.71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10</v>
      </c>
      <c r="B18" t="s">
        <v>142</v>
      </c>
      <c r="C18" s="100">
        <f>_xll.EQNXTDZ($A$1,$B18,C$1,$B$1)</f>
        <v>6.9516515999999999</v>
      </c>
      <c r="D18" s="100">
        <f>_xll.EQNXTDZ($A$1,$B18,D$1,$B$1)</f>
        <v>6.2951078999999996</v>
      </c>
      <c r="E18" s="100">
        <f>_xll.EQNXTDZ($A$1,$B18,E$1,$B$1)</f>
        <v>6.0050941</v>
      </c>
      <c r="F18" s="100">
        <f>_xll.EQNXTDZ($A$1,$B18,F$1,$B$1)</f>
        <v>8.0091558000000003</v>
      </c>
      <c r="G18" s="100">
        <f>_xll.EQNXTDZ($A$1,$B18,G$1,$B$1)</f>
        <v>7.7686247000000002</v>
      </c>
      <c r="H18" s="100">
        <f>_xll.EQNXTDZ($A$1,$B18,H$1,$B$1)</f>
        <v>12.491468299999999</v>
      </c>
      <c r="I18" s="100">
        <f>_xll.EQNXTDZ($A$1,$B18,I$1,$B$1)</f>
        <v>18.1456257</v>
      </c>
      <c r="J18" s="100">
        <f>_xll.EQNXTDZ($A$1,$B18,J$1,$B$1)</f>
        <v>22.320437900000002</v>
      </c>
      <c r="K18" s="100">
        <f>_xll.EQNXTDZ($A$1,$B18,K$1,$B$1)</f>
        <v>25.741028700000001</v>
      </c>
      <c r="L18" s="100">
        <f>_xll.EQNXTDZ($A$1,$B18,L$1,$B$1)</f>
        <v>22.523331899999999</v>
      </c>
      <c r="M18" s="100">
        <f>_xll.EQNXTDZ($A$1,$B18,M$1,$B$1)</f>
        <v>27.52</v>
      </c>
      <c r="N18" s="100">
        <f>_xll.EQNXTDZ($A$1,$B18,N$1,$B$1)</f>
        <v>31.14</v>
      </c>
      <c r="O18" s="100">
        <f>_xll.EQNXTDZ($A$1,$B18,O$1,$B$1)</f>
        <v>38.57</v>
      </c>
      <c r="P18" s="100">
        <f>_xll.EQNXTDZ($A$1,$B18,P$1,$B$1)</f>
        <v>38.24</v>
      </c>
      <c r="Q18" s="100">
        <f>_xll.EQNXTDZ($A$1,$B18,Q$1,$B$1)</f>
        <v>41.58</v>
      </c>
      <c r="R18" s="100">
        <f>_xll.EQNXTDZ($A$1,$B18,R$1,$B$1)</f>
        <v>44.52</v>
      </c>
      <c r="S18" s="100">
        <f>_xll.EQNXTDZ($A$1,$B18,S$1,$B$1)</f>
        <v>47.2</v>
      </c>
      <c r="T18" s="100">
        <f>_xll.EQNXTDZ($A$1,$B18,T$1,$B$1)</f>
        <v>45.51</v>
      </c>
      <c r="U18" s="100">
        <f>_xll.EQNXTDZ($A$1,$B18,U$1,$B$1)</f>
        <v>50.93</v>
      </c>
      <c r="V18" s="100">
        <f>_xll.EQNXTDZ($A$1,$B18,V$1,$B$1)</f>
        <v>52.72</v>
      </c>
      <c r="W18" s="100">
        <f>_xll.EQNXTDZ($A$1,$B18,W$1,$B$1)</f>
        <v>60.13</v>
      </c>
      <c r="X18" s="100">
        <f>_xll.EQNXTDZ($A$1,$B18,X$1,$B$1)</f>
        <v>143.12</v>
      </c>
      <c r="Y18" s="100">
        <f>_xll.EQNXTDZ($A$1,$B18,Y$1,$B$1)</f>
        <v>90.86</v>
      </c>
      <c r="Z18" s="100">
        <f>_xll.EQNXTDZ($A$1,$B18,Z$1,$B$1)</f>
        <v>90.88</v>
      </c>
      <c r="AA18" s="100">
        <f>_xll.EQNXTDZ($A$1,$B18,AA$1,$B$1)</f>
        <v>123.17</v>
      </c>
      <c r="AB18" s="100">
        <f>_xll.EQNXTDZ($A$1,$B18,AB$1,$B$1)</f>
        <v>110.36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11</v>
      </c>
      <c r="B19" t="s">
        <v>143</v>
      </c>
      <c r="C19" s="100">
        <f>_xll.EQNXTDZ($A$1,$B19,C$1,$B$1)</f>
        <v>0.85958429999999997</v>
      </c>
      <c r="D19" s="100">
        <f>_xll.EQNXTDZ($A$1,$B19,D$1,$B$1)</f>
        <v>1.8891446999999999</v>
      </c>
      <c r="E19" s="100">
        <f>_xll.EQNXTDZ($A$1,$B19,E$1,$B$1)</f>
        <v>3.2918764</v>
      </c>
      <c r="F19" s="100">
        <f>_xll.EQNXTDZ($A$1,$B19,F$1,$B$1)</f>
        <v>0.96872119999999995</v>
      </c>
      <c r="G19" s="100">
        <f>_xll.EQNXTDZ($A$1,$B19,G$1,$B$1)</f>
        <v>1.1552369</v>
      </c>
      <c r="H19" s="100">
        <f>_xll.EQNXTDZ($A$1,$B19,H$1,$B$1)</f>
        <v>1.4491316999999999</v>
      </c>
      <c r="I19" s="100">
        <f>_xll.EQNXTDZ($A$1,$B19,I$1,$B$1)</f>
        <v>2.2141858000000001</v>
      </c>
      <c r="J19" s="100">
        <f>_xll.EQNXTDZ($A$1,$B19,J$1,$B$1)</f>
        <v>3.2491786999999999</v>
      </c>
      <c r="K19" s="100">
        <f>_xll.EQNXTDZ($A$1,$B19,K$1,$B$1)</f>
        <v>5.0242019999999998</v>
      </c>
      <c r="L19" s="100">
        <f>_xll.EQNXTDZ($A$1,$B19,L$1,$B$1)</f>
        <v>2.5788821</v>
      </c>
      <c r="M19" s="100">
        <f>_xll.EQNXTDZ($A$1,$B19,M$1,$B$1)</f>
        <v>7.38</v>
      </c>
      <c r="N19" s="100">
        <f>_xll.EQNXTDZ($A$1,$B19,N$1,$B$1)</f>
        <v>13.43</v>
      </c>
      <c r="O19" s="100">
        <f>_xll.EQNXTDZ($A$1,$B19,O$1,$B$1)</f>
        <v>1.95</v>
      </c>
      <c r="P19" s="100">
        <f>_xll.EQNXTDZ($A$1,$B19,P$1,$B$1)</f>
        <v>2.4500000000000002</v>
      </c>
      <c r="Q19" s="100">
        <f>_xll.EQNXTDZ($A$1,$B19,Q$1,$B$1)</f>
        <v>2.0299999999999998</v>
      </c>
      <c r="R19" s="100">
        <f>_xll.EQNXTDZ($A$1,$B19,R$1,$B$1)</f>
        <v>2.92</v>
      </c>
      <c r="S19" s="100">
        <f>_xll.EQNXTDZ($A$1,$B19,S$1,$B$1)</f>
        <v>3.16</v>
      </c>
      <c r="T19" s="100">
        <f>_xll.EQNXTDZ($A$1,$B19,T$1,$B$1)</f>
        <v>4.3</v>
      </c>
      <c r="U19" s="100">
        <f>_xll.EQNXTDZ($A$1,$B19,U$1,$B$1)</f>
        <v>10.29</v>
      </c>
      <c r="V19" s="100">
        <f>_xll.EQNXTDZ($A$1,$B19,V$1,$B$1)</f>
        <v>6.52</v>
      </c>
      <c r="W19" s="100">
        <f>_xll.EQNXTDZ($A$1,$B19,W$1,$B$1)</f>
        <v>14.44</v>
      </c>
      <c r="X19" s="100">
        <f>_xll.EQNXTDZ($A$1,$B19,X$1,$B$1)</f>
        <v>27.39</v>
      </c>
      <c r="Y19" s="100">
        <f>_xll.EQNXTDZ($A$1,$B19,Y$1,$B$1)</f>
        <v>36.26</v>
      </c>
      <c r="Z19" s="100">
        <f>_xll.EQNXTDZ($A$1,$B19,Z$1,$B$1)</f>
        <v>15.06</v>
      </c>
      <c r="AA19" s="100">
        <f>_xll.EQNXTDZ($A$1,$B19,AA$1,$B$1)</f>
        <v>11.3</v>
      </c>
      <c r="AB19" s="100">
        <f>_xll.EQNXTDZ($A$1,$B19,AB$1,$B$1)</f>
        <v>40.29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119</v>
      </c>
      <c r="B20" t="s">
        <v>144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120</v>
      </c>
      <c r="B21" t="s">
        <v>145</v>
      </c>
      <c r="C21" s="100">
        <f>_xll.EQNXTDZ($A$1,$B21,C$1,$B$1)</f>
        <v>158.54800890000001</v>
      </c>
      <c r="D21" s="100">
        <f>_xll.EQNXTDZ($A$1,$B21,D$1,$B$1)</f>
        <v>167.50369269999999</v>
      </c>
      <c r="E21" s="100">
        <f>_xll.EQNXTDZ($A$1,$B21,E$1,$B$1)</f>
        <v>168.04130610000001</v>
      </c>
      <c r="F21" s="100">
        <f>_xll.EQNXTDZ($A$1,$B21,F$1,$B$1)</f>
        <v>229.86853350000001</v>
      </c>
      <c r="G21" s="100">
        <f>_xll.EQNXTDZ($A$1,$B21,G$1,$B$1)</f>
        <v>246.5274278</v>
      </c>
      <c r="H21" s="100">
        <f>_xll.EQNXTDZ($A$1,$B21,H$1,$B$1)</f>
        <v>286.98923589999998</v>
      </c>
      <c r="I21" s="100">
        <f>_xll.EQNXTDZ($A$1,$B21,I$1,$B$1)</f>
        <v>457.31070219999998</v>
      </c>
      <c r="J21" s="100">
        <f>_xll.EQNXTDZ($A$1,$B21,J$1,$B$1)</f>
        <v>605.10610180000003</v>
      </c>
      <c r="K21" s="100">
        <f>_xll.EQNXTDZ($A$1,$B21,K$1,$B$1)</f>
        <v>676.48424209999996</v>
      </c>
      <c r="L21" s="100">
        <f>_xll.EQNXTDZ($A$1,$B21,L$1,$B$1)</f>
        <v>722.7296384</v>
      </c>
      <c r="M21" s="100">
        <f>_xll.EQNXTDZ($A$1,$B21,M$1,$B$1)</f>
        <v>975.76</v>
      </c>
      <c r="N21" s="100">
        <f>_xll.EQNXTDZ($A$1,$B21,N$1,$B$1)</f>
        <v>1269.3599999999999</v>
      </c>
      <c r="O21" s="100">
        <f>_xll.EQNXTDZ($A$1,$B21,O$1,$B$1)</f>
        <v>1270.92</v>
      </c>
      <c r="P21" s="100">
        <f>_xll.EQNXTDZ($A$1,$B21,P$1,$B$1)</f>
        <v>1244.18</v>
      </c>
      <c r="Q21" s="100">
        <f>_xll.EQNXTDZ($A$1,$B21,Q$1,$B$1)</f>
        <v>1259.55</v>
      </c>
      <c r="R21" s="100">
        <f>_xll.EQNXTDZ($A$1,$B21,R$1,$B$1)</f>
        <v>1278.47</v>
      </c>
      <c r="S21" s="100">
        <f>_xll.EQNXTDZ($A$1,$B21,S$1,$B$1)</f>
        <v>1417.81</v>
      </c>
      <c r="T21" s="100">
        <f>_xll.EQNXTDZ($A$1,$B21,T$1,$B$1)</f>
        <v>1512.56</v>
      </c>
      <c r="U21" s="100">
        <f>_xll.EQNXTDZ($A$1,$B21,U$1,$B$1)</f>
        <v>1714.3</v>
      </c>
      <c r="V21" s="100">
        <f>_xll.EQNXTDZ($A$1,$B21,V$1,$B$1)</f>
        <v>1628.58</v>
      </c>
      <c r="W21" s="100">
        <f>_xll.EQNXTDZ($A$1,$B21,W$1,$B$1)</f>
        <v>1236.83</v>
      </c>
      <c r="X21" s="100">
        <f>_xll.EQNXTDZ($A$1,$B21,X$1,$B$1)</f>
        <v>2130.38</v>
      </c>
      <c r="Y21" s="100">
        <f>_xll.EQNXTDZ($A$1,$B21,Y$1,$B$1)</f>
        <v>2410.73</v>
      </c>
      <c r="Z21" s="100">
        <f>_xll.EQNXTDZ($A$1,$B21,Z$1,$B$1)</f>
        <v>2412.58</v>
      </c>
      <c r="AA21" s="100">
        <f>_xll.EQNXTDZ($A$1,$B21,AA$1,$B$1)</f>
        <v>2613.91</v>
      </c>
      <c r="AB21" s="100">
        <f>_xll.EQNXTDZ($A$1,$B21,AB$1,$B$1)</f>
        <v>2930.93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121</v>
      </c>
      <c r="B22" t="s">
        <v>146</v>
      </c>
      <c r="C22" s="100">
        <f>_xll.EQNXTDZ($A$1,$B22,C$1,$B$1)</f>
        <v>24.9430765</v>
      </c>
      <c r="D22" s="100">
        <f>_xll.EQNXTDZ($A$1,$B22,D$1,$B$1)</f>
        <v>22.1781972</v>
      </c>
      <c r="E22" s="100">
        <f>_xll.EQNXTDZ($A$1,$B22,E$1,$B$1)</f>
        <v>27.667428900000001</v>
      </c>
      <c r="F22" s="100">
        <f>_xll.EQNXTDZ($A$1,$B22,F$1,$B$1)</f>
        <v>37.286011199999997</v>
      </c>
      <c r="G22" s="100">
        <f>_xll.EQNXTDZ($A$1,$B22,G$1,$B$1)</f>
        <v>43.0496646</v>
      </c>
      <c r="H22" s="100">
        <f>_xll.EQNXTDZ($A$1,$B22,H$1,$B$1)</f>
        <v>59.7977262</v>
      </c>
      <c r="I22" s="100">
        <f>_xll.EQNXTDZ($A$1,$B22,I$1,$B$1)</f>
        <v>95.047935499999994</v>
      </c>
      <c r="J22" s="100">
        <f>_xll.EQNXTDZ($A$1,$B22,J$1,$B$1)</f>
        <v>88.275941799999998</v>
      </c>
      <c r="K22" s="100">
        <f>_xll.EQNXTDZ($A$1,$B22,K$1,$B$1)</f>
        <v>71.785674999999998</v>
      </c>
      <c r="L22" s="100">
        <f>_xll.EQNXTDZ($A$1,$B22,L$1,$B$1)</f>
        <v>129.51827399999999</v>
      </c>
      <c r="M22" s="100">
        <f>_xll.EQNXTDZ($A$1,$B22,M$1,$B$1)</f>
        <v>195.76</v>
      </c>
      <c r="N22" s="100">
        <f>_xll.EQNXTDZ($A$1,$B22,N$1,$B$1)</f>
        <v>147.86000000000001</v>
      </c>
      <c r="O22" s="100">
        <f>_xll.EQNXTDZ($A$1,$B22,O$1,$B$1)</f>
        <v>207.92</v>
      </c>
      <c r="P22" s="100">
        <f>_xll.EQNXTDZ($A$1,$B22,P$1,$B$1)</f>
        <v>188.43</v>
      </c>
      <c r="Q22" s="100">
        <f>_xll.EQNXTDZ($A$1,$B22,Q$1,$B$1)</f>
        <v>209.11</v>
      </c>
      <c r="R22" s="100">
        <f>_xll.EQNXTDZ($A$1,$B22,R$1,$B$1)</f>
        <v>225.93</v>
      </c>
      <c r="S22" s="100">
        <f>_xll.EQNXTDZ($A$1,$B22,S$1,$B$1)</f>
        <v>173.62</v>
      </c>
      <c r="T22" s="100">
        <f>_xll.EQNXTDZ($A$1,$B22,T$1,$B$1)</f>
        <v>124.7</v>
      </c>
      <c r="U22" s="100">
        <f>_xll.EQNXTDZ($A$1,$B22,U$1,$B$1)</f>
        <v>159.22999999999999</v>
      </c>
      <c r="V22" s="100">
        <f>_xll.EQNXTDZ($A$1,$B22,V$1,$B$1)</f>
        <v>161.53</v>
      </c>
      <c r="W22" s="100">
        <f>_xll.EQNXTDZ($A$1,$B22,W$1,$B$1)</f>
        <v>122.14</v>
      </c>
      <c r="X22" s="100">
        <f>_xll.EQNXTDZ($A$1,$B22,X$1,$B$1)</f>
        <v>307.38</v>
      </c>
      <c r="Y22" s="100">
        <f>_xll.EQNXTDZ($A$1,$B22,Y$1,$B$1)</f>
        <v>301.57</v>
      </c>
      <c r="Z22" s="100">
        <f>_xll.EQNXTDZ($A$1,$B22,Z$1,$B$1)</f>
        <v>215.48</v>
      </c>
      <c r="AA22" s="100">
        <f>_xll.EQNXTDZ($A$1,$B22,AA$1,$B$1)</f>
        <v>243.04</v>
      </c>
      <c r="AB22" s="100">
        <f>_xll.EQNXTDZ($A$1,$B22,AB$1,$B$1)</f>
        <v>303.60000000000002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16</v>
      </c>
      <c r="B23" t="s">
        <v>147</v>
      </c>
      <c r="C23" s="100">
        <f>_xll.EQNXTDZ($A$1,$B23,C$1,$B$1)</f>
        <v>2.8652171000000002</v>
      </c>
      <c r="D23" s="100">
        <f>_xll.EQNXTDZ($A$1,$B23,D$1,$B$1)</f>
        <v>3.3725735999999999</v>
      </c>
      <c r="E23" s="100">
        <f>_xll.EQNXTDZ($A$1,$B23,E$1,$B$1)</f>
        <v>2.4245481</v>
      </c>
      <c r="F23" s="100">
        <f>_xll.EQNXTDZ($A$1,$B23,F$1,$B$1)</f>
        <v>3.9396309999999999</v>
      </c>
      <c r="G23" s="100">
        <f>_xll.EQNXTDZ($A$1,$B23,G$1,$B$1)</f>
        <v>4.0605729999999998</v>
      </c>
      <c r="H23" s="100">
        <f>_xll.EQNXTDZ($A$1,$B23,H$1,$B$1)</f>
        <v>3.8310629</v>
      </c>
      <c r="I23" s="100">
        <f>_xll.EQNXTDZ($A$1,$B23,I$1,$B$1)</f>
        <v>1.2023453</v>
      </c>
      <c r="J23" s="100">
        <f>_xll.EQNXTDZ($A$1,$B23,J$1,$B$1)</f>
        <v>6.8410063000000001</v>
      </c>
      <c r="K23" s="100">
        <f>_xll.EQNXTDZ($A$1,$B23,K$1,$B$1)</f>
        <v>6.5305887</v>
      </c>
      <c r="L23" s="100">
        <f>_xll.EQNXTDZ($A$1,$B23,L$1,$B$1)</f>
        <v>7.3795812999999999</v>
      </c>
      <c r="M23" s="100">
        <f>_xll.EQNXTDZ($A$1,$B23,M$1,$B$1)</f>
        <v>8.01</v>
      </c>
      <c r="N23" s="100">
        <f>_xll.EQNXTDZ($A$1,$B23,N$1,$B$1)</f>
        <v>12.53</v>
      </c>
      <c r="O23" s="100">
        <f>_xll.EQNXTDZ($A$1,$B23,O$1,$B$1)</f>
        <v>12.56</v>
      </c>
      <c r="P23" s="100">
        <f>_xll.EQNXTDZ($A$1,$B23,P$1,$B$1)</f>
        <v>13.1</v>
      </c>
      <c r="Q23" s="100">
        <f>_xll.EQNXTDZ($A$1,$B23,Q$1,$B$1)</f>
        <v>11.02</v>
      </c>
      <c r="R23" s="100">
        <f>_xll.EQNXTDZ($A$1,$B23,R$1,$B$1)</f>
        <v>24.65</v>
      </c>
      <c r="S23" s="100">
        <f>_xll.EQNXTDZ($A$1,$B23,S$1,$B$1)</f>
        <v>24.48</v>
      </c>
      <c r="T23" s="100">
        <f>_xll.EQNXTDZ($A$1,$B23,T$1,$B$1)</f>
        <v>25.22</v>
      </c>
      <c r="U23" s="100">
        <f>_xll.EQNXTDZ($A$1,$B23,U$1,$B$1)</f>
        <v>9</v>
      </c>
      <c r="V23" s="100">
        <f>_xll.EQNXTDZ($A$1,$B23,V$1,$B$1)</f>
        <v>8.4700000000000006</v>
      </c>
      <c r="W23" s="100">
        <f>_xll.EQNXTDZ($A$1,$B23,W$1,$B$1)</f>
        <v>9.81</v>
      </c>
      <c r="X23" s="100">
        <f>_xll.EQNXTDZ($A$1,$B23,X$1,$B$1)</f>
        <v>7.14</v>
      </c>
      <c r="Y23" s="100">
        <f>_xll.EQNXTDZ($A$1,$B23,Y$1,$B$1)</f>
        <v>17.14</v>
      </c>
      <c r="Z23" s="100">
        <f>_xll.EQNXTDZ($A$1,$B23,Z$1,$B$1)</f>
        <v>12.79</v>
      </c>
      <c r="AA23" s="100">
        <f>_xll.EQNXTDZ($A$1,$B23,AA$1,$B$1)</f>
        <v>16.97</v>
      </c>
      <c r="AB23" s="100">
        <f>_xll.EQNXTDZ($A$1,$B23,AB$1,$B$1)</f>
        <v>25.19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122</v>
      </c>
      <c r="B24" t="s">
        <v>148</v>
      </c>
      <c r="C24" s="100">
        <f>_xll.EQNXTDZ($A$1,$B24,C$1,$B$1)</f>
        <v>27.808293599999999</v>
      </c>
      <c r="D24" s="100">
        <f>_xll.EQNXTDZ($A$1,$B24,D$1,$B$1)</f>
        <v>25.550770799999999</v>
      </c>
      <c r="E24" s="100">
        <f>_xll.EQNXTDZ($A$1,$B24,E$1,$B$1)</f>
        <v>30.091977</v>
      </c>
      <c r="F24" s="100">
        <f>_xll.EQNXTDZ($A$1,$B24,F$1,$B$1)</f>
        <v>41.225642200000003</v>
      </c>
      <c r="G24" s="100">
        <f>_xll.EQNXTDZ($A$1,$B24,G$1,$B$1)</f>
        <v>47.110237599999998</v>
      </c>
      <c r="H24" s="100">
        <f>_xll.EQNXTDZ($A$1,$B24,H$1,$B$1)</f>
        <v>63.628789099999999</v>
      </c>
      <c r="I24" s="100">
        <f>_xll.EQNXTDZ($A$1,$B24,I$1,$B$1)</f>
        <v>96.250280799999999</v>
      </c>
      <c r="J24" s="100">
        <f>_xll.EQNXTDZ($A$1,$B24,J$1,$B$1)</f>
        <v>95.116948100000002</v>
      </c>
      <c r="K24" s="100">
        <f>_xll.EQNXTDZ($A$1,$B24,K$1,$B$1)</f>
        <v>78.316263699999993</v>
      </c>
      <c r="L24" s="100">
        <f>_xll.EQNXTDZ($A$1,$B24,L$1,$B$1)</f>
        <v>136.8978553</v>
      </c>
      <c r="M24" s="100">
        <f>_xll.EQNXTDZ($A$1,$B24,M$1,$B$1)</f>
        <v>203.77</v>
      </c>
      <c r="N24" s="100">
        <f>_xll.EQNXTDZ($A$1,$B24,N$1,$B$1)</f>
        <v>160.38999999999999</v>
      </c>
      <c r="O24" s="100">
        <f>_xll.EQNXTDZ($A$1,$B24,O$1,$B$1)</f>
        <v>220.48</v>
      </c>
      <c r="P24" s="100">
        <f>_xll.EQNXTDZ($A$1,$B24,P$1,$B$1)</f>
        <v>201.53</v>
      </c>
      <c r="Q24" s="100">
        <f>_xll.EQNXTDZ($A$1,$B24,Q$1,$B$1)</f>
        <v>220.13</v>
      </c>
      <c r="R24" s="100">
        <f>_xll.EQNXTDZ($A$1,$B24,R$1,$B$1)</f>
        <v>250.58</v>
      </c>
      <c r="S24" s="100">
        <f>_xll.EQNXTDZ($A$1,$B24,S$1,$B$1)</f>
        <v>198.1</v>
      </c>
      <c r="T24" s="100">
        <f>_xll.EQNXTDZ($A$1,$B24,T$1,$B$1)</f>
        <v>149.91999999999999</v>
      </c>
      <c r="U24" s="100">
        <f>_xll.EQNXTDZ($A$1,$B24,U$1,$B$1)</f>
        <v>168.23</v>
      </c>
      <c r="V24" s="100">
        <f>_xll.EQNXTDZ($A$1,$B24,V$1,$B$1)</f>
        <v>170</v>
      </c>
      <c r="W24" s="100">
        <f>_xll.EQNXTDZ($A$1,$B24,W$1,$B$1)</f>
        <v>131.94999999999999</v>
      </c>
      <c r="X24" s="100">
        <f>_xll.EQNXTDZ($A$1,$B24,X$1,$B$1)</f>
        <v>314.52</v>
      </c>
      <c r="Y24" s="100">
        <f>_xll.EQNXTDZ($A$1,$B24,Y$1,$B$1)</f>
        <v>318.70999999999998</v>
      </c>
      <c r="Z24" s="100">
        <f>_xll.EQNXTDZ($A$1,$B24,Z$1,$B$1)</f>
        <v>228.27</v>
      </c>
      <c r="AA24" s="100">
        <f>_xll.EQNXTDZ($A$1,$B24,AA$1,$B$1)</f>
        <v>260.01</v>
      </c>
      <c r="AB24" s="100">
        <f>_xll.EQNXTDZ($A$1,$B24,AB$1,$B$1)</f>
        <v>328.79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17</v>
      </c>
      <c r="B25" t="s">
        <v>149</v>
      </c>
      <c r="C25" s="100">
        <f>_xll.EQNXTDZ($A$1,$B25,C$1,$B$1)</f>
        <v>10.024016899999999</v>
      </c>
      <c r="D25" s="100">
        <f>_xll.EQNXTDZ($A$1,$B25,D$1,$B$1)</f>
        <v>8.9695940000000007</v>
      </c>
      <c r="E25" s="100">
        <f>_xll.EQNXTDZ($A$1,$B25,E$1,$B$1)</f>
        <v>7.0409123999999998</v>
      </c>
      <c r="F25" s="100">
        <f>_xll.EQNXTDZ($A$1,$B25,F$1,$B$1)</f>
        <v>9.2696582999999997</v>
      </c>
      <c r="G25" s="100">
        <f>_xll.EQNXTDZ($A$1,$B25,G$1,$B$1)</f>
        <v>9.0136955000000007</v>
      </c>
      <c r="H25" s="100">
        <f>_xll.EQNXTDZ($A$1,$B25,H$1,$B$1)</f>
        <v>9.7867101000000005</v>
      </c>
      <c r="I25" s="100">
        <f>_xll.EQNXTDZ($A$1,$B25,I$1,$B$1)</f>
        <v>22.6199805</v>
      </c>
      <c r="J25" s="100">
        <f>_xll.EQNXTDZ($A$1,$B25,J$1,$B$1)</f>
        <v>39.262989400000002</v>
      </c>
      <c r="K25" s="100">
        <f>_xll.EQNXTDZ($A$1,$B25,K$1,$B$1)</f>
        <v>51.4265106</v>
      </c>
      <c r="L25" s="100">
        <f>_xll.EQNXTDZ($A$1,$B25,L$1,$B$1)</f>
        <v>47.587420399999999</v>
      </c>
      <c r="M25" s="100">
        <f>_xll.EQNXTDZ($A$1,$B25,M$1,$B$1)</f>
        <v>56.48</v>
      </c>
      <c r="N25" s="100">
        <f>_xll.EQNXTDZ($A$1,$B25,N$1,$B$1)</f>
        <v>66.53</v>
      </c>
      <c r="O25" s="100">
        <f>_xll.EQNXTDZ($A$1,$B25,O$1,$B$1)</f>
        <v>68.67</v>
      </c>
      <c r="P25" s="100">
        <f>_xll.EQNXTDZ($A$1,$B25,P$1,$B$1)</f>
        <v>66.06</v>
      </c>
      <c r="Q25" s="100">
        <f>_xll.EQNXTDZ($A$1,$B25,Q$1,$B$1)</f>
        <v>67.22</v>
      </c>
      <c r="R25" s="100">
        <f>_xll.EQNXTDZ($A$1,$B25,R$1,$B$1)</f>
        <v>63.96</v>
      </c>
      <c r="S25" s="100">
        <f>_xll.EQNXTDZ($A$1,$B25,S$1,$B$1)</f>
        <v>64.73</v>
      </c>
      <c r="T25" s="100">
        <f>_xll.EQNXTDZ($A$1,$B25,T$1,$B$1)</f>
        <v>62.83</v>
      </c>
      <c r="U25" s="100">
        <f>_xll.EQNXTDZ($A$1,$B25,U$1,$B$1)</f>
        <v>66.61</v>
      </c>
      <c r="V25" s="100">
        <f>_xll.EQNXTDZ($A$1,$B25,V$1,$B$1)</f>
        <v>68.81</v>
      </c>
      <c r="W25" s="100">
        <f>_xll.EQNXTDZ($A$1,$B25,W$1,$B$1)</f>
        <v>49.39</v>
      </c>
      <c r="X25" s="100">
        <f>_xll.EQNXTDZ($A$1,$B25,X$1,$B$1)</f>
        <v>47.8</v>
      </c>
      <c r="Y25" s="100">
        <f>_xll.EQNXTDZ($A$1,$B25,Y$1,$B$1)</f>
        <v>53.91</v>
      </c>
      <c r="Z25" s="100">
        <f>_xll.EQNXTDZ($A$1,$B25,Z$1,$B$1)</f>
        <v>71.430000000000007</v>
      </c>
      <c r="AA25" s="100">
        <f>_xll.EQNXTDZ($A$1,$B25,AA$1,$B$1)</f>
        <v>94.68</v>
      </c>
      <c r="AB25" s="100">
        <f>_xll.EQNXTDZ($A$1,$B25,AB$1,$B$1)</f>
        <v>113.95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123</v>
      </c>
      <c r="B26" t="s">
        <v>150</v>
      </c>
      <c r="C26" s="100">
        <f>_xll.EQNXTDZ($A$1,$B26,C$1,$B$1)</f>
        <v>17.784276699999999</v>
      </c>
      <c r="D26" s="100">
        <f>_xll.EQNXTDZ($A$1,$B26,D$1,$B$1)</f>
        <v>16.581176800000001</v>
      </c>
      <c r="E26" s="100">
        <f>_xll.EQNXTDZ($A$1,$B26,E$1,$B$1)</f>
        <v>23.0510646</v>
      </c>
      <c r="F26" s="100">
        <f>_xll.EQNXTDZ($A$1,$B26,F$1,$B$1)</f>
        <v>31.9559839</v>
      </c>
      <c r="G26" s="100">
        <f>_xll.EQNXTDZ($A$1,$B26,G$1,$B$1)</f>
        <v>38.096542100000001</v>
      </c>
      <c r="H26" s="100">
        <f>_xll.EQNXTDZ($A$1,$B26,H$1,$B$1)</f>
        <v>53.842078999999998</v>
      </c>
      <c r="I26" s="100">
        <f>_xll.EQNXTDZ($A$1,$B26,I$1,$B$1)</f>
        <v>73.630300300000002</v>
      </c>
      <c r="J26" s="100">
        <f>_xll.EQNXTDZ($A$1,$B26,J$1,$B$1)</f>
        <v>55.8539587</v>
      </c>
      <c r="K26" s="100">
        <f>_xll.EQNXTDZ($A$1,$B26,K$1,$B$1)</f>
        <v>26.8897531</v>
      </c>
      <c r="L26" s="100">
        <f>_xll.EQNXTDZ($A$1,$B26,L$1,$B$1)</f>
        <v>89.310434900000004</v>
      </c>
      <c r="M26" s="100">
        <f>_xll.EQNXTDZ($A$1,$B26,M$1,$B$1)</f>
        <v>147.29</v>
      </c>
      <c r="N26" s="100">
        <f>_xll.EQNXTDZ($A$1,$B26,N$1,$B$1)</f>
        <v>93.86</v>
      </c>
      <c r="O26" s="100">
        <f>_xll.EQNXTDZ($A$1,$B26,O$1,$B$1)</f>
        <v>151.81</v>
      </c>
      <c r="P26" s="100">
        <f>_xll.EQNXTDZ($A$1,$B26,P$1,$B$1)</f>
        <v>135.47</v>
      </c>
      <c r="Q26" s="100">
        <f>_xll.EQNXTDZ($A$1,$B26,Q$1,$B$1)</f>
        <v>152.91</v>
      </c>
      <c r="R26" s="100">
        <f>_xll.EQNXTDZ($A$1,$B26,R$1,$B$1)</f>
        <v>186.62</v>
      </c>
      <c r="S26" s="100">
        <f>_xll.EQNXTDZ($A$1,$B26,S$1,$B$1)</f>
        <v>133.37</v>
      </c>
      <c r="T26" s="100">
        <f>_xll.EQNXTDZ($A$1,$B26,T$1,$B$1)</f>
        <v>87.09</v>
      </c>
      <c r="U26" s="100">
        <f>_xll.EQNXTDZ($A$1,$B26,U$1,$B$1)</f>
        <v>101.62</v>
      </c>
      <c r="V26" s="100">
        <f>_xll.EQNXTDZ($A$1,$B26,V$1,$B$1)</f>
        <v>101.19</v>
      </c>
      <c r="W26" s="100">
        <f>_xll.EQNXTDZ($A$1,$B26,W$1,$B$1)</f>
        <v>82.56</v>
      </c>
      <c r="X26" s="100">
        <f>_xll.EQNXTDZ($A$1,$B26,X$1,$B$1)</f>
        <v>266.72000000000003</v>
      </c>
      <c r="Y26" s="100">
        <f>_xll.EQNXTDZ($A$1,$B26,Y$1,$B$1)</f>
        <v>264.8</v>
      </c>
      <c r="Z26" s="100">
        <f>_xll.EQNXTDZ($A$1,$B26,Z$1,$B$1)</f>
        <v>156.84</v>
      </c>
      <c r="AA26" s="100">
        <f>_xll.EQNXTDZ($A$1,$B26,AA$1,$B$1)</f>
        <v>165.33</v>
      </c>
      <c r="AB26" s="100">
        <f>_xll.EQNXTDZ($A$1,$B26,AB$1,$B$1)</f>
        <v>214.84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14</v>
      </c>
      <c r="B27" t="s">
        <v>151</v>
      </c>
      <c r="C27" s="100">
        <f>_xll.EQNXTDZ($A$1,$B27,C$1,$B$1)</f>
        <v>9.6357152999999993</v>
      </c>
      <c r="D27" s="100">
        <f>_xll.EQNXTDZ($A$1,$B27,D$1,$B$1)</f>
        <v>10.6737553</v>
      </c>
      <c r="E27" s="100">
        <f>_xll.EQNXTDZ($A$1,$B27,E$1,$B$1)</f>
        <v>11.880889399999999</v>
      </c>
      <c r="F27" s="100">
        <f>_xll.EQNXTDZ($A$1,$B27,F$1,$B$1)</f>
        <v>16.128715499999998</v>
      </c>
      <c r="G27" s="100">
        <f>_xll.EQNXTDZ($A$1,$B27,G$1,$B$1)</f>
        <v>20.3717635</v>
      </c>
      <c r="H27" s="100">
        <f>_xll.EQNXTDZ($A$1,$B27,H$1,$B$1)</f>
        <v>20.087075299999999</v>
      </c>
      <c r="I27" s="100">
        <f>_xll.EQNXTDZ($A$1,$B27,I$1,$B$1)</f>
        <v>36.570471099999999</v>
      </c>
      <c r="J27" s="100">
        <f>_xll.EQNXTDZ($A$1,$B27,J$1,$B$1)</f>
        <v>49.103023899999997</v>
      </c>
      <c r="K27" s="100">
        <f>_xll.EQNXTDZ($A$1,$B27,K$1,$B$1)</f>
        <v>59.050209500000001</v>
      </c>
      <c r="L27" s="100">
        <f>_xll.EQNXTDZ($A$1,$B27,L$1,$B$1)</f>
        <v>63.074800600000003</v>
      </c>
      <c r="M27" s="100">
        <f>_xll.EQNXTDZ($A$1,$B27,M$1,$B$1)</f>
        <v>64</v>
      </c>
      <c r="N27" s="100">
        <f>_xll.EQNXTDZ($A$1,$B27,N$1,$B$1)</f>
        <v>67.849999999999994</v>
      </c>
      <c r="O27" s="100">
        <f>_xll.EQNXTDZ($A$1,$B27,O$1,$B$1)</f>
        <v>76.98</v>
      </c>
      <c r="P27" s="100">
        <f>_xll.EQNXTDZ($A$1,$B27,P$1,$B$1)</f>
        <v>74.319999999999993</v>
      </c>
      <c r="Q27" s="100">
        <f>_xll.EQNXTDZ($A$1,$B27,Q$1,$B$1)</f>
        <v>80.400000000000006</v>
      </c>
      <c r="R27" s="100">
        <f>_xll.EQNXTDZ($A$1,$B27,R$1,$B$1)</f>
        <v>76.19</v>
      </c>
      <c r="S27" s="100">
        <f>_xll.EQNXTDZ($A$1,$B27,S$1,$B$1)</f>
        <v>72.599999999999994</v>
      </c>
      <c r="T27" s="100">
        <f>_xll.EQNXTDZ($A$1,$B27,T$1,$B$1)</f>
        <v>77.09</v>
      </c>
      <c r="U27" s="100">
        <f>_xll.EQNXTDZ($A$1,$B27,U$1,$B$1)</f>
        <v>80.53</v>
      </c>
      <c r="V27" s="100">
        <f>_xll.EQNXTDZ($A$1,$B27,V$1,$B$1)</f>
        <v>81.05</v>
      </c>
      <c r="W27" s="100">
        <f>_xll.EQNXTDZ($A$1,$B27,W$1,$B$1)</f>
        <v>80.58</v>
      </c>
      <c r="X27" s="100">
        <f>_xll.EQNXTDZ($A$1,$B27,X$1,$B$1)</f>
        <v>70.34</v>
      </c>
      <c r="Y27" s="100">
        <f>_xll.EQNXTDZ($A$1,$B27,Y$1,$B$1)</f>
        <v>79.39</v>
      </c>
      <c r="Z27" s="100">
        <f>_xll.EQNXTDZ($A$1,$B27,Z$1,$B$1)</f>
        <v>96.81</v>
      </c>
      <c r="AA27" s="100">
        <f>_xll.EQNXTDZ($A$1,$B27,AA$1,$B$1)</f>
        <v>114.49</v>
      </c>
      <c r="AB27" s="100">
        <f>_xll.EQNXTDZ($A$1,$B27,AB$1,$B$1)</f>
        <v>95.36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124</v>
      </c>
      <c r="B28" t="s">
        <v>152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18</v>
      </c>
      <c r="B29" t="s">
        <v>153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-0.35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-12.29</v>
      </c>
      <c r="Y29" s="100">
        <f>_xll.EQNXTDZ($A$1,$B29,Y$1,$B$1)</f>
        <v>-25.75</v>
      </c>
      <c r="Z29" s="100">
        <f>_xll.EQNXTDZ($A$1,$B29,Z$1,$B$1)</f>
        <v>-6.64</v>
      </c>
      <c r="AA29" s="100">
        <f>_xll.EQNXTDZ($A$1,$B29,AA$1,$B$1)</f>
        <v>-6.64</v>
      </c>
      <c r="AB29" s="100">
        <f>_xll.EQNXTDZ($A$1,$B29,AB$1,$B$1)</f>
        <v>-6.64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125</v>
      </c>
      <c r="B30" t="s">
        <v>154</v>
      </c>
      <c r="C30" s="100">
        <f>_xll.EQNXTDZ($A$1,$B30,C$1,$B$1)</f>
        <v>0.68</v>
      </c>
      <c r="D30" s="100">
        <f>_xll.EQNXTDZ($A$1,$B30,D$1,$B$1)</f>
        <v>1.3049264</v>
      </c>
      <c r="E30" s="100">
        <f>_xll.EQNXTDZ($A$1,$B30,E$1,$B$1)</f>
        <v>3.6016778</v>
      </c>
      <c r="F30" s="100">
        <f>_xll.EQNXTDZ($A$1,$B30,F$1,$B$1)</f>
        <v>3.7636771000000002</v>
      </c>
      <c r="G30" s="100">
        <f>_xll.EQNXTDZ($A$1,$B30,G$1,$B$1)</f>
        <v>3.6759642000000001</v>
      </c>
      <c r="H30" s="100">
        <f>_xll.EQNXTDZ($A$1,$B30,H$1,$B$1)</f>
        <v>8.9796589999999998</v>
      </c>
      <c r="I30" s="100">
        <f>_xll.EQNXTDZ($A$1,$B30,I$1,$B$1)</f>
        <v>10.034950200000001</v>
      </c>
      <c r="J30" s="100">
        <f>_xll.EQNXTDZ($A$1,$B30,J$1,$B$1)</f>
        <v>1.3763657</v>
      </c>
      <c r="K30" s="100">
        <f>_xll.EQNXTDZ($A$1,$B30,K$1,$B$1)</f>
        <v>-16.175999999999998</v>
      </c>
      <c r="L30" s="100">
        <f>_xll.EQNXTDZ($A$1,$B30,L$1,$B$1)</f>
        <v>9.0831586000000009</v>
      </c>
      <c r="M30" s="100">
        <f>_xll.EQNXTDZ($A$1,$B30,M$1,$B$1)</f>
        <v>26.7</v>
      </c>
      <c r="N30" s="100">
        <f>_xll.EQNXTDZ($A$1,$B30,N$1,$B$1)</f>
        <v>8.93</v>
      </c>
      <c r="O30" s="100">
        <f>_xll.EQNXTDZ($A$1,$B30,O$1,$B$1)</f>
        <v>23.53</v>
      </c>
      <c r="P30" s="100">
        <f>_xll.EQNXTDZ($A$1,$B30,P$1,$B$1)</f>
        <v>20.65</v>
      </c>
      <c r="Q30" s="100">
        <f>_xll.EQNXTDZ($A$1,$B30,Q$1,$B$1)</f>
        <v>20.59</v>
      </c>
      <c r="R30" s="100">
        <f>_xll.EQNXTDZ($A$1,$B30,R$1,$B$1)</f>
        <v>33.39</v>
      </c>
      <c r="S30" s="100">
        <f>_xll.EQNXTDZ($A$1,$B30,S$1,$B$1)</f>
        <v>7.84</v>
      </c>
      <c r="T30" s="100">
        <f>_xll.EQNXTDZ($A$1,$B30,T$1,$B$1)</f>
        <v>-18.62</v>
      </c>
      <c r="U30" s="100">
        <f>_xll.EQNXTDZ($A$1,$B30,U$1,$B$1)</f>
        <v>7.86</v>
      </c>
      <c r="V30" s="100">
        <f>_xll.EQNXTDZ($A$1,$B30,V$1,$B$1)</f>
        <v>6.86</v>
      </c>
      <c r="W30" s="100">
        <f>_xll.EQNXTDZ($A$1,$B30,W$1,$B$1)</f>
        <v>-2.23</v>
      </c>
      <c r="X30" s="100">
        <f>_xll.EQNXTDZ($A$1,$B30,X$1,$B$1)</f>
        <v>43.44</v>
      </c>
      <c r="Y30" s="100">
        <f>_xll.EQNXTDZ($A$1,$B30,Y$1,$B$1)</f>
        <v>29.12</v>
      </c>
      <c r="Z30" s="100">
        <f>_xll.EQNXTDZ($A$1,$B30,Z$1,$B$1)</f>
        <v>12.57</v>
      </c>
      <c r="AA30" s="100">
        <f>_xll.EQNXTDZ($A$1,$B30,AA$1,$B$1)</f>
        <v>12.4</v>
      </c>
      <c r="AB30" s="100">
        <f>_xll.EQNXTDZ($A$1,$B30,AB$1,$B$1)</f>
        <v>30.23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126</v>
      </c>
      <c r="B31" t="s">
        <v>155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22</v>
      </c>
      <c r="B32" t="s">
        <v>156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23</v>
      </c>
      <c r="B33" t="s">
        <v>157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-0.01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127</v>
      </c>
      <c r="B34" t="s">
        <v>158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222</v>
      </c>
      <c r="B35" s="116" t="s">
        <v>223</v>
      </c>
      <c r="C35" s="100">
        <f>_xll.EQNXTDZ($A$1,$B35,C$1,$B$1)</f>
        <v>7.4685613999999996</v>
      </c>
      <c r="D35" s="100">
        <f>_xll.EQNXTDZ($A$1,$B35,D$1,$B$1)</f>
        <v>4.6024950999999996</v>
      </c>
      <c r="E35" s="100">
        <f>_xll.EQNXTDZ($A$1,$B35,E$1,$B$1)</f>
        <v>7.5684974</v>
      </c>
      <c r="F35" s="100">
        <f>_xll.EQNXTDZ($A$1,$B35,F$1,$B$1)</f>
        <v>12.063591300000001</v>
      </c>
      <c r="G35" s="100">
        <f>_xll.EQNXTDZ($A$1,$B35,G$1,$B$1)</f>
        <v>14.048814399999999</v>
      </c>
      <c r="H35" s="100">
        <f>_xll.EQNXTDZ($A$1,$B35,H$1,$B$1)</f>
        <v>24.775344700000002</v>
      </c>
      <c r="I35" s="100">
        <f>_xll.EQNXTDZ($A$1,$B35,I$1,$B$1)</f>
        <v>27.024878999999999</v>
      </c>
      <c r="J35" s="100">
        <f>_xll.EQNXTDZ($A$1,$B35,J$1,$B$1)</f>
        <v>5.3745691000000004</v>
      </c>
      <c r="K35" s="100">
        <f>_xll.EQNXTDZ($A$1,$B35,K$1,$B$1)</f>
        <v>-15.984456399999999</v>
      </c>
      <c r="L35" s="100">
        <f>_xll.EQNXTDZ($A$1,$B35,L$1,$B$1)</f>
        <v>17.1524757</v>
      </c>
      <c r="M35" s="100">
        <f>_xll.EQNXTDZ($A$1,$B35,M$1,$B$1)</f>
        <v>56.59</v>
      </c>
      <c r="N35" s="100">
        <f>_xll.EQNXTDZ($A$1,$B35,N$1,$B$1)</f>
        <v>17.079999999999998</v>
      </c>
      <c r="O35" s="100">
        <f>_xll.EQNXTDZ($A$1,$B35,O$1,$B$1)</f>
        <v>51.3</v>
      </c>
      <c r="P35" s="100">
        <f>_xll.EQNXTDZ($A$1,$B35,P$1,$B$1)</f>
        <v>40.5</v>
      </c>
      <c r="Q35" s="100">
        <f>_xll.EQNXTDZ($A$1,$B35,Q$1,$B$1)</f>
        <v>51.57</v>
      </c>
      <c r="R35" s="100">
        <f>_xll.EQNXTDZ($A$1,$B35,R$1,$B$1)</f>
        <v>77.040000000000006</v>
      </c>
      <c r="S35" s="100">
        <f>_xll.EQNXTDZ($A$1,$B35,S$1,$B$1)</f>
        <v>52.93</v>
      </c>
      <c r="T35" s="100">
        <f>_xll.EQNXTDZ($A$1,$B35,T$1,$B$1)</f>
        <v>28.62</v>
      </c>
      <c r="U35" s="100">
        <f>_xll.EQNXTDZ($A$1,$B35,U$1,$B$1)</f>
        <v>13.23</v>
      </c>
      <c r="V35" s="100">
        <f>_xll.EQNXTDZ($A$1,$B35,V$1,$B$1)</f>
        <v>13.28</v>
      </c>
      <c r="W35" s="100">
        <f>_xll.EQNXTDZ($A$1,$B35,W$1,$B$1)</f>
        <v>4.21</v>
      </c>
      <c r="X35" s="100">
        <f>_xll.EQNXTDZ($A$1,$B35,X$1,$B$1)</f>
        <v>140.65</v>
      </c>
      <c r="Y35" s="100">
        <f>_xll.EQNXTDZ($A$1,$B35,Y$1,$B$1)</f>
        <v>130.54</v>
      </c>
      <c r="Z35" s="100">
        <f>_xll.EQNXTDZ($A$1,$B35,Z$1,$B$1)</f>
        <v>40.82</v>
      </c>
      <c r="AA35" s="100">
        <f>_xll.EQNXTDZ($A$1,$B35,AA$1,$B$1)</f>
        <v>31.8</v>
      </c>
      <c r="AB35" s="100">
        <f>_xll.EQNXTDZ($A$1,$B35,AB$1,$B$1)</f>
        <v>82.6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224</v>
      </c>
      <c r="B36" t="s">
        <v>225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109</v>
      </c>
      <c r="B39" t="s">
        <v>110</v>
      </c>
    </row>
    <row r="40" spans="1:32" x14ac:dyDescent="0.25">
      <c r="A40" t="s">
        <v>112</v>
      </c>
      <c r="B40" t="s">
        <v>174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40</v>
      </c>
      <c r="B41" t="s">
        <v>175</v>
      </c>
      <c r="C41" s="55">
        <f>_xll.EQNXTDZ($A$1,$B41,C$1,$B$1)</f>
        <v>20.4359</v>
      </c>
      <c r="D41" s="55">
        <f>_xll.EQNXTDZ($A$1,$B41,D$1,$B$1)</f>
        <v>21.635899999999999</v>
      </c>
      <c r="E41" s="55">
        <f>_xll.EQNXTDZ($A$1,$B41,E$1,$B$1)</f>
        <v>21.635899999999999</v>
      </c>
      <c r="F41" s="55">
        <f>_xll.EQNXTDZ($A$1,$B41,F$1,$B$1)</f>
        <v>29.850452000000001</v>
      </c>
      <c r="G41" s="55">
        <f>_xll.EQNXTDZ($A$1,$B41,G$1,$B$1)</f>
        <v>29.850452000000001</v>
      </c>
      <c r="H41" s="55">
        <f>_xll.EQNXTDZ($A$1,$B41,H$1,$B$1)</f>
        <v>33.329230000000003</v>
      </c>
      <c r="I41" s="55">
        <f>_xll.EQNXTDZ($A$1,$B41,I$1,$B$1)</f>
        <v>39.421559000000002</v>
      </c>
      <c r="J41" s="55">
        <f>_xll.EQNXTDZ($A$1,$B41,J$1,$B$1)</f>
        <v>39.421559000000002</v>
      </c>
      <c r="K41" s="55">
        <f>_xll.EQNXTDZ($A$1,$B41,K$1,$B$1)</f>
        <v>39.421559000000002</v>
      </c>
      <c r="L41" s="55">
        <f>_xll.EQNXTDZ($A$1,$B41,L$1,$B$1)</f>
        <v>39.421559000000002</v>
      </c>
      <c r="M41" s="55">
        <f>_xll.EQNXTDZ($A$1,$B41,M$1,$B$1)</f>
        <v>39.42</v>
      </c>
      <c r="N41" s="55">
        <f>_xll.EQNXTDZ($A$1,$B41,N$1,$B$1)</f>
        <v>39.42</v>
      </c>
      <c r="O41" s="55">
        <f>_xll.EQNXTDZ($A$1,$B41,O$1,$B$1)</f>
        <v>39.42</v>
      </c>
      <c r="P41" s="55">
        <f>_xll.EQNXTDZ($A$1,$B41,P$1,$B$1)</f>
        <v>39.42</v>
      </c>
      <c r="Q41" s="55">
        <f>_xll.EQNXTDZ($A$1,$B41,Q$1,$B$1)</f>
        <v>39.42</v>
      </c>
      <c r="R41" s="55">
        <f>_xll.EQNXTDZ($A$1,$B41,R$1,$B$1)</f>
        <v>39.42</v>
      </c>
      <c r="S41" s="55">
        <f>_xll.EQNXTDZ($A$1,$B41,S$1,$B$1)</f>
        <v>39.42</v>
      </c>
      <c r="T41" s="55">
        <f>_xll.EQNXTDZ($A$1,$B41,T$1,$B$1)</f>
        <v>39.42</v>
      </c>
      <c r="U41" s="55">
        <f>_xll.EQNXTDZ($A$1,$B41,U$1,$B$1)</f>
        <v>39.42</v>
      </c>
      <c r="V41" s="55">
        <f>_xll.EQNXTDZ($A$1,$B41,V$1,$B$1)</f>
        <v>39.42</v>
      </c>
      <c r="W41" s="55">
        <f>_xll.EQNXTDZ($A$1,$B41,W$1,$B$1)</f>
        <v>43.42</v>
      </c>
      <c r="X41" s="55">
        <f>_xll.EQNXTDZ($A$1,$B41,X$1,$B$1)</f>
        <v>43.42</v>
      </c>
      <c r="Y41" s="55">
        <f>_xll.EQNXTDZ($A$1,$B41,Y$1,$B$1)</f>
        <v>45.05</v>
      </c>
      <c r="Z41" s="55">
        <f>_xll.EQNXTDZ($A$1,$B41,Z$1,$B$1)</f>
        <v>50.25</v>
      </c>
      <c r="AA41" s="55">
        <f>_xll.EQNXTDZ($A$1,$B41,AA$1,$B$1)</f>
        <v>50.25</v>
      </c>
      <c r="AB41" s="55">
        <f>_xll.EQNXTDZ($A$1,$B41,AB$1,$B$1)</f>
        <v>50.25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41</v>
      </c>
      <c r="B42" t="s">
        <v>176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2.261339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25.65</v>
      </c>
      <c r="Y42" s="55">
        <f>_xll.EQNXTDZ($A$1,$B42,Y$1,$B$1)</f>
        <v>23.4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42</v>
      </c>
      <c r="B43" t="s">
        <v>177</v>
      </c>
      <c r="C43" s="55">
        <f>_xll.EQNXTDZ($A$1,$B43,C$1,$B$1)</f>
        <v>31.758911999999999</v>
      </c>
      <c r="D43" s="55">
        <f>_xll.EQNXTDZ($A$1,$B43,D$1,$B$1)</f>
        <v>24.6155857</v>
      </c>
      <c r="E43" s="55">
        <f>_xll.EQNXTDZ($A$1,$B43,E$1,$B$1)</f>
        <v>30.119852099999999</v>
      </c>
      <c r="F43" s="55">
        <f>_xll.EQNXTDZ($A$1,$B43,F$1,$B$1)</f>
        <v>42.9309382</v>
      </c>
      <c r="G43" s="55">
        <f>_xll.EQNXTDZ($A$1,$B43,G$1,$B$1)</f>
        <v>53.288591199999999</v>
      </c>
      <c r="H43" s="55">
        <f>_xll.EQNXTDZ($A$1,$B43,H$1,$B$1)</f>
        <v>103.99195109999999</v>
      </c>
      <c r="I43" s="55">
        <f>_xll.EQNXTDZ($A$1,$B43,I$1,$B$1)</f>
        <v>148.49761090000001</v>
      </c>
      <c r="J43" s="55">
        <f>_xll.EQNXTDZ($A$1,$B43,J$1,$B$1)</f>
        <v>153.87217999999999</v>
      </c>
      <c r="K43" s="55">
        <f>_xll.EQNXTDZ($A$1,$B43,K$1,$B$1)</f>
        <v>137.88772359999999</v>
      </c>
      <c r="L43" s="55">
        <f>_xll.EQNXTDZ($A$1,$B43,L$1,$B$1)</f>
        <v>150.44330059999999</v>
      </c>
      <c r="M43" s="55">
        <f>_xll.EQNXTDZ($A$1,$B43,M$1,$B$1)</f>
        <v>200.16</v>
      </c>
      <c r="N43" s="55">
        <f>_xll.EQNXTDZ($A$1,$B43,N$1,$B$1)</f>
        <v>212.66</v>
      </c>
      <c r="O43" s="55">
        <f>_xll.EQNXTDZ($A$1,$B43,O$1,$B$1)</f>
        <v>258.43</v>
      </c>
      <c r="P43" s="55">
        <f>_xll.EQNXTDZ($A$1,$B43,P$1,$B$1)</f>
        <v>292.01</v>
      </c>
      <c r="Q43" s="55">
        <f>_xll.EQNXTDZ($A$1,$B43,Q$1,$B$1)</f>
        <v>332.28</v>
      </c>
      <c r="R43" s="55">
        <f>_xll.EQNXTDZ($A$1,$B43,R$1,$B$1)</f>
        <v>399.83</v>
      </c>
      <c r="S43" s="55">
        <f>_xll.EQNXTDZ($A$1,$B43,S$1,$B$1)</f>
        <v>452.52</v>
      </c>
      <c r="T43" s="55">
        <f>_xll.EQNXTDZ($A$1,$B43,T$1,$B$1)</f>
        <v>472.33</v>
      </c>
      <c r="U43" s="55">
        <f>_xll.EQNXTDZ($A$1,$B43,U$1,$B$1)</f>
        <v>481.28</v>
      </c>
      <c r="V43" s="55">
        <f>_xll.EQNXTDZ($A$1,$B43,V$1,$B$1)</f>
        <v>487.7</v>
      </c>
      <c r="W43" s="55">
        <f>_xll.EQNXTDZ($A$1,$B43,W$1,$B$1)</f>
        <v>508.92</v>
      </c>
      <c r="X43" s="55">
        <f>_xll.EQNXTDZ($A$1,$B43,X$1,$B$1)</f>
        <v>646.86</v>
      </c>
      <c r="Y43" s="55">
        <f>_xll.EQNXTDZ($A$1,$B43,Y$1,$B$1)</f>
        <v>814.68</v>
      </c>
      <c r="Z43" s="55">
        <f>_xll.EQNXTDZ($A$1,$B43,Z$1,$B$1)</f>
        <v>934.07</v>
      </c>
      <c r="AA43" s="55">
        <f>_xll.EQNXTDZ($A$1,$B43,AA$1,$B$1)</f>
        <v>956.53</v>
      </c>
      <c r="AB43" s="55">
        <f>_xll.EQNXTDZ($A$1,$B43,AB$1,$B$1)</f>
        <v>1026.02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43</v>
      </c>
      <c r="B44" t="s">
        <v>178</v>
      </c>
      <c r="C44" s="55">
        <f>_xll.EQNXTDZ($A$1,$B44,C$1,$B$1)</f>
        <v>52.194811999999999</v>
      </c>
      <c r="D44" s="55">
        <f>_xll.EQNXTDZ($A$1,$B44,D$1,$B$1)</f>
        <v>46.251485700000003</v>
      </c>
      <c r="E44" s="55">
        <f>_xll.EQNXTDZ($A$1,$B44,E$1,$B$1)</f>
        <v>51.755752100000002</v>
      </c>
      <c r="F44" s="55">
        <f>_xll.EQNXTDZ($A$1,$B44,F$1,$B$1)</f>
        <v>72.781390200000004</v>
      </c>
      <c r="G44" s="55">
        <f>_xll.EQNXTDZ($A$1,$B44,G$1,$B$1)</f>
        <v>83.139043200000003</v>
      </c>
      <c r="H44" s="55">
        <f>_xll.EQNXTDZ($A$1,$B44,H$1,$B$1)</f>
        <v>139.58252010000001</v>
      </c>
      <c r="I44" s="55">
        <f>_xll.EQNXTDZ($A$1,$B44,I$1,$B$1)</f>
        <v>187.91916990000001</v>
      </c>
      <c r="J44" s="55">
        <f>_xll.EQNXTDZ($A$1,$B44,J$1,$B$1)</f>
        <v>193.29373899999999</v>
      </c>
      <c r="K44" s="55">
        <f>_xll.EQNXTDZ($A$1,$B44,K$1,$B$1)</f>
        <v>177.30928259999999</v>
      </c>
      <c r="L44" s="55">
        <f>_xll.EQNXTDZ($A$1,$B44,L$1,$B$1)</f>
        <v>189.86485959999999</v>
      </c>
      <c r="M44" s="55">
        <f>_xll.EQNXTDZ($A$1,$B44,M$1,$B$1)</f>
        <v>239.58</v>
      </c>
      <c r="N44" s="55">
        <f>_xll.EQNXTDZ($A$1,$B44,N$1,$B$1)</f>
        <v>252.08</v>
      </c>
      <c r="O44" s="55">
        <f>_xll.EQNXTDZ($A$1,$B44,O$1,$B$1)</f>
        <v>297.85000000000002</v>
      </c>
      <c r="P44" s="55">
        <f>_xll.EQNXTDZ($A$1,$B44,P$1,$B$1)</f>
        <v>331.43</v>
      </c>
      <c r="Q44" s="55">
        <f>_xll.EQNXTDZ($A$1,$B44,Q$1,$B$1)</f>
        <v>371.7</v>
      </c>
      <c r="R44" s="55">
        <f>_xll.EQNXTDZ($A$1,$B44,R$1,$B$1)</f>
        <v>439.25</v>
      </c>
      <c r="S44" s="55">
        <f>_xll.EQNXTDZ($A$1,$B44,S$1,$B$1)</f>
        <v>491.94</v>
      </c>
      <c r="T44" s="55">
        <f>_xll.EQNXTDZ($A$1,$B44,T$1,$B$1)</f>
        <v>511.75</v>
      </c>
      <c r="U44" s="55">
        <f>_xll.EQNXTDZ($A$1,$B44,U$1,$B$1)</f>
        <v>520.70000000000005</v>
      </c>
      <c r="V44" s="55">
        <f>_xll.EQNXTDZ($A$1,$B44,V$1,$B$1)</f>
        <v>527.12</v>
      </c>
      <c r="W44" s="55">
        <f>_xll.EQNXTDZ($A$1,$B44,W$1,$B$1)</f>
        <v>552.34</v>
      </c>
      <c r="X44" s="55">
        <f>_xll.EQNXTDZ($A$1,$B44,X$1,$B$1)</f>
        <v>715.93</v>
      </c>
      <c r="Y44" s="55">
        <f>_xll.EQNXTDZ($A$1,$B44,Y$1,$B$1)</f>
        <v>883.13</v>
      </c>
      <c r="Z44" s="55">
        <f>_xll.EQNXTDZ($A$1,$B44,Z$1,$B$1)</f>
        <v>984.32</v>
      </c>
      <c r="AA44" s="55">
        <f>_xll.EQNXTDZ($A$1,$B44,AA$1,$B$1)</f>
        <v>1006.78</v>
      </c>
      <c r="AB44" s="55">
        <f>_xll.EQNXTDZ($A$1,$B44,AB$1,$B$1)</f>
        <v>1076.27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22</v>
      </c>
      <c r="B45" t="s">
        <v>179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159</v>
      </c>
      <c r="B46" t="s">
        <v>180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44</v>
      </c>
      <c r="B47" t="s">
        <v>181</v>
      </c>
      <c r="C47" s="55">
        <f>_xll.EQNXTDZ($A$1,$B47,C$1,$B$1)</f>
        <v>72.910682899999998</v>
      </c>
      <c r="D47" s="55">
        <f>_xll.EQNXTDZ($A$1,$B47,D$1,$B$1)</f>
        <v>66.359123600000004</v>
      </c>
      <c r="E47" s="55">
        <f>_xll.EQNXTDZ($A$1,$B47,E$1,$B$1)</f>
        <v>99.220855200000003</v>
      </c>
      <c r="F47" s="55">
        <f>_xll.EQNXTDZ($A$1,$B47,F$1,$B$1)</f>
        <v>158.01655909999999</v>
      </c>
      <c r="G47" s="55">
        <f>_xll.EQNXTDZ($A$1,$B47,G$1,$B$1)</f>
        <v>180.0432668</v>
      </c>
      <c r="H47" s="55">
        <f>_xll.EQNXTDZ($A$1,$B47,H$1,$B$1)</f>
        <v>291.96325810000002</v>
      </c>
      <c r="I47" s="55">
        <f>_xll.EQNXTDZ($A$1,$B47,I$1,$B$1)</f>
        <v>603.9368283</v>
      </c>
      <c r="J47" s="55">
        <f>_xll.EQNXTDZ($A$1,$B47,J$1,$B$1)</f>
        <v>677.54287650000003</v>
      </c>
      <c r="K47" s="55">
        <f>_xll.EQNXTDZ($A$1,$B47,K$1,$B$1)</f>
        <v>666.16610290000006</v>
      </c>
      <c r="L47" s="55">
        <f>_xll.EQNXTDZ($A$1,$B47,L$1,$B$1)</f>
        <v>670.78587479999999</v>
      </c>
      <c r="M47" s="55">
        <f>_xll.EQNXTDZ($A$1,$B47,M$1,$B$1)</f>
        <v>361.12</v>
      </c>
      <c r="N47" s="55">
        <f>_xll.EQNXTDZ($A$1,$B47,N$1,$B$1)</f>
        <v>394.11</v>
      </c>
      <c r="O47" s="55">
        <f>_xll.EQNXTDZ($A$1,$B47,O$1,$B$1)</f>
        <v>344.86</v>
      </c>
      <c r="P47" s="55">
        <f>_xll.EQNXTDZ($A$1,$B47,P$1,$B$1)</f>
        <v>275.86</v>
      </c>
      <c r="Q47" s="55">
        <f>_xll.EQNXTDZ($A$1,$B47,Q$1,$B$1)</f>
        <v>257.77999999999997</v>
      </c>
      <c r="R47" s="55">
        <f>_xll.EQNXTDZ($A$1,$B47,R$1,$B$1)</f>
        <v>264.70999999999998</v>
      </c>
      <c r="S47" s="55">
        <f>_xll.EQNXTDZ($A$1,$B47,S$1,$B$1)</f>
        <v>327.11</v>
      </c>
      <c r="T47" s="55">
        <f>_xll.EQNXTDZ($A$1,$B47,T$1,$B$1)</f>
        <v>344.3</v>
      </c>
      <c r="U47" s="55">
        <f>_xll.EQNXTDZ($A$1,$B47,U$1,$B$1)</f>
        <v>285.17</v>
      </c>
      <c r="V47" s="55">
        <f>_xll.EQNXTDZ($A$1,$B47,V$1,$B$1)</f>
        <v>242.28</v>
      </c>
      <c r="W47" s="55">
        <f>_xll.EQNXTDZ($A$1,$B47,W$1,$B$1)</f>
        <v>204.37</v>
      </c>
      <c r="X47" s="55">
        <f>_xll.EQNXTDZ($A$1,$B47,X$1,$B$1)</f>
        <v>180.55</v>
      </c>
      <c r="Y47" s="55">
        <f>_xll.EQNXTDZ($A$1,$B47,Y$1,$B$1)</f>
        <v>339.53</v>
      </c>
      <c r="Z47" s="55">
        <f>_xll.EQNXTDZ($A$1,$B47,Z$1,$B$1)</f>
        <v>618.72</v>
      </c>
      <c r="AA47" s="55">
        <f>_xll.EQNXTDZ($A$1,$B47,AA$1,$B$1)</f>
        <v>721.69</v>
      </c>
      <c r="AB47" s="55">
        <f>_xll.EQNXTDZ($A$1,$B47,AB$1,$B$1)</f>
        <v>719.4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45</v>
      </c>
      <c r="B48" t="s">
        <v>182</v>
      </c>
      <c r="C48" s="55">
        <f>_xll.EQNXTDZ($A$1,$B48,C$1,$B$1)</f>
        <v>1.73</v>
      </c>
      <c r="D48" s="55">
        <f>_xll.EQNXTDZ($A$1,$B48,D$1,$B$1)</f>
        <v>5.21</v>
      </c>
      <c r="E48" s="55">
        <f>_xll.EQNXTDZ($A$1,$B48,E$1,$B$1)</f>
        <v>5.21</v>
      </c>
      <c r="F48" s="55">
        <f>_xll.EQNXTDZ($A$1,$B48,F$1,$B$1)</f>
        <v>6.2685000000000004</v>
      </c>
      <c r="G48" s="55">
        <f>_xll.EQNXTDZ($A$1,$B48,G$1,$B$1)</f>
        <v>5</v>
      </c>
      <c r="H48" s="55">
        <f>_xll.EQNXTDZ($A$1,$B48,H$1,$B$1)</f>
        <v>20</v>
      </c>
      <c r="I48" s="55">
        <f>_xll.EQNXTDZ($A$1,$B48,I$1,$B$1)</f>
        <v>40.814270200000003</v>
      </c>
      <c r="J48" s="55">
        <f>_xll.EQNXTDZ($A$1,$B48,J$1,$B$1)</f>
        <v>52.085070199999997</v>
      </c>
      <c r="K48" s="55">
        <f>_xll.EQNXTDZ($A$1,$B48,K$1,$B$1)</f>
        <v>26.642502199999999</v>
      </c>
      <c r="L48" s="55">
        <f>_xll.EQNXTDZ($A$1,$B48,L$1,$B$1)</f>
        <v>21.806000000000001</v>
      </c>
      <c r="M48" s="55">
        <f>_xll.EQNXTDZ($A$1,$B48,M$1,$B$1)</f>
        <v>45</v>
      </c>
      <c r="N48" s="55">
        <f>_xll.EQNXTDZ($A$1,$B48,N$1,$B$1)</f>
        <v>49.96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16.63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77</v>
      </c>
      <c r="B49" t="s">
        <v>183</v>
      </c>
      <c r="C49" s="55">
        <f>_xll.EQNXTDZ($A$1,$B49,C$1,$B$1)</f>
        <v>0</v>
      </c>
      <c r="D49" s="55">
        <f>_xll.EQNXTDZ($A$1,$B49,D$1,$B$1)</f>
        <v>12.721458800000001</v>
      </c>
      <c r="E49" s="55">
        <f>_xll.EQNXTDZ($A$1,$B49,E$1,$B$1)</f>
        <v>15.423136599999999</v>
      </c>
      <c r="F49" s="55">
        <f>_xll.EQNXTDZ($A$1,$B49,F$1,$B$1)</f>
        <v>17.972213700000001</v>
      </c>
      <c r="G49" s="55">
        <f>_xll.EQNXTDZ($A$1,$B49,G$1,$B$1)</f>
        <v>20.601136400000001</v>
      </c>
      <c r="H49" s="55">
        <f>_xll.EQNXTDZ($A$1,$B49,H$1,$B$1)</f>
        <v>27.0087124</v>
      </c>
      <c r="I49" s="55">
        <f>_xll.EQNXTDZ($A$1,$B49,I$1,$B$1)</f>
        <v>40.7930931</v>
      </c>
      <c r="J49" s="55">
        <f>_xll.EQNXTDZ($A$1,$B49,J$1,$B$1)</f>
        <v>41.6928932</v>
      </c>
      <c r="K49" s="55">
        <f>_xll.EQNXTDZ($A$1,$B49,K$1,$B$1)</f>
        <v>25.337393200000001</v>
      </c>
      <c r="L49" s="55">
        <f>_xll.EQNXTDZ($A$1,$B49,L$1,$B$1)</f>
        <v>34.390593199999998</v>
      </c>
      <c r="M49" s="55">
        <f>_xll.EQNXTDZ($A$1,$B49,M$1,$B$1)</f>
        <v>49.47</v>
      </c>
      <c r="N49" s="55">
        <f>_xll.EQNXTDZ($A$1,$B49,N$1,$B$1)</f>
        <v>51.24</v>
      </c>
      <c r="O49" s="55">
        <f>_xll.EQNXTDZ($A$1,$B49,O$1,$B$1)</f>
        <v>47.61</v>
      </c>
      <c r="P49" s="55">
        <f>_xll.EQNXTDZ($A$1,$B49,P$1,$B$1)</f>
        <v>44.96</v>
      </c>
      <c r="Q49" s="55">
        <f>_xll.EQNXTDZ($A$1,$B49,Q$1,$B$1)</f>
        <v>40.35</v>
      </c>
      <c r="R49" s="55">
        <f>_xll.EQNXTDZ($A$1,$B49,R$1,$B$1)</f>
        <v>42.05</v>
      </c>
      <c r="S49" s="55">
        <f>_xll.EQNXTDZ($A$1,$B49,S$1,$B$1)</f>
        <v>44.11</v>
      </c>
      <c r="T49" s="55">
        <f>_xll.EQNXTDZ($A$1,$B49,T$1,$B$1)</f>
        <v>42.87</v>
      </c>
      <c r="U49" s="55">
        <f>_xll.EQNXTDZ($A$1,$B49,U$1,$B$1)</f>
        <v>45.98</v>
      </c>
      <c r="V49" s="55">
        <f>_xll.EQNXTDZ($A$1,$B49,V$1,$B$1)</f>
        <v>49.11</v>
      </c>
      <c r="W49" s="55">
        <f>_xll.EQNXTDZ($A$1,$B49,W$1,$B$1)</f>
        <v>48.95</v>
      </c>
      <c r="X49" s="55">
        <f>_xll.EQNXTDZ($A$1,$B49,X$1,$B$1)</f>
        <v>37.86</v>
      </c>
      <c r="Y49" s="55">
        <f>_xll.EQNXTDZ($A$1,$B49,Y$1,$B$1)</f>
        <v>34.700000000000003</v>
      </c>
      <c r="Z49" s="55">
        <f>_xll.EQNXTDZ($A$1,$B49,Z$1,$B$1)</f>
        <v>36.47</v>
      </c>
      <c r="AA49" s="55">
        <f>_xll.EQNXTDZ($A$1,$B49,AA$1,$B$1)</f>
        <v>43.53</v>
      </c>
      <c r="AB49" s="55">
        <f>_xll.EQNXTDZ($A$1,$B49,AB$1,$B$1)</f>
        <v>61.72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65</v>
      </c>
      <c r="B50" t="s">
        <v>184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2.19</v>
      </c>
      <c r="Y50" s="55">
        <f>_xll.EQNXTDZ($A$1,$B50,Y$1,$B$1)</f>
        <v>11.06</v>
      </c>
      <c r="Z50" s="55">
        <f>_xll.EQNXTDZ($A$1,$B50,Z$1,$B$1)</f>
        <v>0.34</v>
      </c>
      <c r="AA50" s="55">
        <f>_xll.EQNXTDZ($A$1,$B50,AA$1,$B$1)</f>
        <v>2.13</v>
      </c>
      <c r="AB50" s="55">
        <f>_xll.EQNXTDZ($A$1,$B50,AB$1,$B$1)</f>
        <v>2.21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160</v>
      </c>
      <c r="B51" t="s">
        <v>185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67</v>
      </c>
      <c r="B52" t="s">
        <v>186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19.079999999999998</v>
      </c>
      <c r="AA52" s="55">
        <f>_xll.EQNXTDZ($A$1,$B52,AA$1,$B$1)</f>
        <v>21.72</v>
      </c>
      <c r="AB52" s="55">
        <f>_xll.EQNXTDZ($A$1,$B52,AB$1,$B$1)</f>
        <v>19.34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161</v>
      </c>
      <c r="B53" t="s">
        <v>187</v>
      </c>
      <c r="C53" s="55">
        <f>_xll.EQNXTDZ($A$1,$B53,C$1,$B$1)</f>
        <v>74.640682900000002</v>
      </c>
      <c r="D53" s="55">
        <f>_xll.EQNXTDZ($A$1,$B53,D$1,$B$1)</f>
        <v>84.290582400000005</v>
      </c>
      <c r="E53" s="55">
        <f>_xll.EQNXTDZ($A$1,$B53,E$1,$B$1)</f>
        <v>119.8539918</v>
      </c>
      <c r="F53" s="55">
        <f>_xll.EQNXTDZ($A$1,$B53,F$1,$B$1)</f>
        <v>182.25727280000001</v>
      </c>
      <c r="G53" s="55">
        <f>_xll.EQNXTDZ($A$1,$B53,G$1,$B$1)</f>
        <v>205.6444032</v>
      </c>
      <c r="H53" s="55">
        <f>_xll.EQNXTDZ($A$1,$B53,H$1,$B$1)</f>
        <v>338.9719705</v>
      </c>
      <c r="I53" s="55">
        <f>_xll.EQNXTDZ($A$1,$B53,I$1,$B$1)</f>
        <v>685.54419159999998</v>
      </c>
      <c r="J53" s="55">
        <f>_xll.EQNXTDZ($A$1,$B53,J$1,$B$1)</f>
        <v>771.32083990000001</v>
      </c>
      <c r="K53" s="55">
        <f>_xll.EQNXTDZ($A$1,$B53,K$1,$B$1)</f>
        <v>718.14599829999997</v>
      </c>
      <c r="L53" s="55">
        <f>_xll.EQNXTDZ($A$1,$B53,L$1,$B$1)</f>
        <v>726.98246800000004</v>
      </c>
      <c r="M53" s="55">
        <f>_xll.EQNXTDZ($A$1,$B53,M$1,$B$1)</f>
        <v>455.59</v>
      </c>
      <c r="N53" s="55">
        <f>_xll.EQNXTDZ($A$1,$B53,N$1,$B$1)</f>
        <v>495.31</v>
      </c>
      <c r="O53" s="55">
        <f>_xll.EQNXTDZ($A$1,$B53,O$1,$B$1)</f>
        <v>392.47</v>
      </c>
      <c r="P53" s="55">
        <f>_xll.EQNXTDZ($A$1,$B53,P$1,$B$1)</f>
        <v>320.82</v>
      </c>
      <c r="Q53" s="55">
        <f>_xll.EQNXTDZ($A$1,$B53,Q$1,$B$1)</f>
        <v>298.13</v>
      </c>
      <c r="R53" s="55">
        <f>_xll.EQNXTDZ($A$1,$B53,R$1,$B$1)</f>
        <v>323.39</v>
      </c>
      <c r="S53" s="55">
        <f>_xll.EQNXTDZ($A$1,$B53,S$1,$B$1)</f>
        <v>371.22</v>
      </c>
      <c r="T53" s="55">
        <f>_xll.EQNXTDZ($A$1,$B53,T$1,$B$1)</f>
        <v>387.17</v>
      </c>
      <c r="U53" s="55">
        <f>_xll.EQNXTDZ($A$1,$B53,U$1,$B$1)</f>
        <v>331.15</v>
      </c>
      <c r="V53" s="55">
        <f>_xll.EQNXTDZ($A$1,$B53,V$1,$B$1)</f>
        <v>291.39</v>
      </c>
      <c r="W53" s="55">
        <f>_xll.EQNXTDZ($A$1,$B53,W$1,$B$1)</f>
        <v>253.32</v>
      </c>
      <c r="X53" s="55">
        <f>_xll.EQNXTDZ($A$1,$B53,X$1,$B$1)</f>
        <v>220.6</v>
      </c>
      <c r="Y53" s="55">
        <f>_xll.EQNXTDZ($A$1,$B53,Y$1,$B$1)</f>
        <v>385.29</v>
      </c>
      <c r="Z53" s="55">
        <f>_xll.EQNXTDZ($A$1,$B53,Z$1,$B$1)</f>
        <v>674.61</v>
      </c>
      <c r="AA53" s="55">
        <f>_xll.EQNXTDZ($A$1,$B53,AA$1,$B$1)</f>
        <v>789.07</v>
      </c>
      <c r="AB53" s="55">
        <f>_xll.EQNXTDZ($A$1,$B53,AB$1,$B$1)</f>
        <v>802.67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69</v>
      </c>
      <c r="B54" t="s">
        <v>188</v>
      </c>
      <c r="C54" s="55">
        <f>_xll.EQNXTDZ($A$1,$B54,C$1,$B$1)</f>
        <v>4.2959448</v>
      </c>
      <c r="D54" s="55">
        <f>_xll.EQNXTDZ($A$1,$B54,D$1,$B$1)</f>
        <v>2.2408207</v>
      </c>
      <c r="E54" s="55">
        <f>_xll.EQNXTDZ($A$1,$B54,E$1,$B$1)</f>
        <v>6.8354628999999996</v>
      </c>
      <c r="F54" s="55">
        <f>_xll.EQNXTDZ($A$1,$B54,F$1,$B$1)</f>
        <v>2.3816883999999998</v>
      </c>
      <c r="G54" s="55">
        <f>_xll.EQNXTDZ($A$1,$B54,G$1,$B$1)</f>
        <v>4.3291968000000001</v>
      </c>
      <c r="H54" s="55">
        <f>_xll.EQNXTDZ($A$1,$B54,H$1,$B$1)</f>
        <v>18.713463600000001</v>
      </c>
      <c r="I54" s="55">
        <f>_xll.EQNXTDZ($A$1,$B54,I$1,$B$1)</f>
        <v>21.949110999999998</v>
      </c>
      <c r="J54" s="55">
        <f>_xll.EQNXTDZ($A$1,$B54,J$1,$B$1)</f>
        <v>46.080411400000003</v>
      </c>
      <c r="K54" s="55">
        <f>_xll.EQNXTDZ($A$1,$B54,K$1,$B$1)</f>
        <v>33.2848337</v>
      </c>
      <c r="L54" s="55">
        <f>_xll.EQNXTDZ($A$1,$B54,L$1,$B$1)</f>
        <v>29.0673979</v>
      </c>
      <c r="M54" s="55">
        <f>_xll.EQNXTDZ($A$1,$B54,M$1,$B$1)</f>
        <v>51.22</v>
      </c>
      <c r="N54" s="55">
        <f>_xll.EQNXTDZ($A$1,$B54,N$1,$B$1)</f>
        <v>49.46</v>
      </c>
      <c r="O54" s="55">
        <f>_xll.EQNXTDZ($A$1,$B54,O$1,$B$1)</f>
        <v>64.44</v>
      </c>
      <c r="P54" s="55">
        <f>_xll.EQNXTDZ($A$1,$B54,P$1,$B$1)</f>
        <v>70.7</v>
      </c>
      <c r="Q54" s="55">
        <f>_xll.EQNXTDZ($A$1,$B54,Q$1,$B$1)</f>
        <v>75.05</v>
      </c>
      <c r="R54" s="55">
        <f>_xll.EQNXTDZ($A$1,$B54,R$1,$B$1)</f>
        <v>76.47</v>
      </c>
      <c r="S54" s="55">
        <f>_xll.EQNXTDZ($A$1,$B54,S$1,$B$1)</f>
        <v>102.23</v>
      </c>
      <c r="T54" s="55">
        <f>_xll.EQNXTDZ($A$1,$B54,T$1,$B$1)</f>
        <v>150.94</v>
      </c>
      <c r="U54" s="55">
        <f>_xll.EQNXTDZ($A$1,$B54,U$1,$B$1)</f>
        <v>164.58</v>
      </c>
      <c r="V54" s="55">
        <f>_xll.EQNXTDZ($A$1,$B54,V$1,$B$1)</f>
        <v>114.66</v>
      </c>
      <c r="W54" s="55">
        <f>_xll.EQNXTDZ($A$1,$B54,W$1,$B$1)</f>
        <v>116.07</v>
      </c>
      <c r="X54" s="55">
        <f>_xll.EQNXTDZ($A$1,$B54,X$1,$B$1)</f>
        <v>287.43</v>
      </c>
      <c r="Y54" s="55">
        <f>_xll.EQNXTDZ($A$1,$B54,Y$1,$B$1)</f>
        <v>226.87</v>
      </c>
      <c r="Z54" s="55">
        <f>_xll.EQNXTDZ($A$1,$B54,Z$1,$B$1)</f>
        <v>426.58</v>
      </c>
      <c r="AA54" s="55">
        <f>_xll.EQNXTDZ($A$1,$B54,AA$1,$B$1)</f>
        <v>602.82000000000005</v>
      </c>
      <c r="AB54" s="55">
        <f>_xll.EQNXTDZ($A$1,$B54,AB$1,$B$1)</f>
        <v>698.03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70</v>
      </c>
      <c r="B55" t="s">
        <v>189</v>
      </c>
      <c r="C55" s="55">
        <f>_xll.EQNXTDZ($A$1,$B55,C$1,$B$1)</f>
        <v>4.1518952999999996</v>
      </c>
      <c r="D55" s="55">
        <f>_xll.EQNXTDZ($A$1,$B55,D$1,$B$1)</f>
        <v>3.3184721000000001</v>
      </c>
      <c r="E55" s="55">
        <f>_xll.EQNXTDZ($A$1,$B55,E$1,$B$1)</f>
        <v>3.8879636999999998</v>
      </c>
      <c r="F55" s="55">
        <f>_xll.EQNXTDZ($A$1,$B55,F$1,$B$1)</f>
        <v>4.2073473000000003</v>
      </c>
      <c r="G55" s="55">
        <f>_xll.EQNXTDZ($A$1,$B55,G$1,$B$1)</f>
        <v>3.9100571999999998</v>
      </c>
      <c r="H55" s="55">
        <f>_xll.EQNXTDZ($A$1,$B55,H$1,$B$1)</f>
        <v>7.4399835999999997</v>
      </c>
      <c r="I55" s="55">
        <f>_xll.EQNXTDZ($A$1,$B55,I$1,$B$1)</f>
        <v>12.9689038</v>
      </c>
      <c r="J55" s="55">
        <f>_xll.EQNXTDZ($A$1,$B55,J$1,$B$1)</f>
        <v>11.950507399999999</v>
      </c>
      <c r="K55" s="55">
        <f>_xll.EQNXTDZ($A$1,$B55,K$1,$B$1)</f>
        <v>17.564031499999999</v>
      </c>
      <c r="L55" s="55">
        <f>_xll.EQNXTDZ($A$1,$B55,L$1,$B$1)</f>
        <v>17.7316821</v>
      </c>
      <c r="M55" s="55">
        <f>_xll.EQNXTDZ($A$1,$B55,M$1,$B$1)</f>
        <v>125.21</v>
      </c>
      <c r="N55" s="55">
        <f>_xll.EQNXTDZ($A$1,$B55,N$1,$B$1)</f>
        <v>120.22</v>
      </c>
      <c r="O55" s="55">
        <f>_xll.EQNXTDZ($A$1,$B55,O$1,$B$1)</f>
        <v>148.69</v>
      </c>
      <c r="P55" s="55">
        <f>_xll.EQNXTDZ($A$1,$B55,P$1,$B$1)</f>
        <v>142.97</v>
      </c>
      <c r="Q55" s="55">
        <f>_xll.EQNXTDZ($A$1,$B55,Q$1,$B$1)</f>
        <v>142.83000000000001</v>
      </c>
      <c r="R55" s="55">
        <f>_xll.EQNXTDZ($A$1,$B55,R$1,$B$1)</f>
        <v>137.47999999999999</v>
      </c>
      <c r="S55" s="55">
        <f>_xll.EQNXTDZ($A$1,$B55,S$1,$B$1)</f>
        <v>135.91999999999999</v>
      </c>
      <c r="T55" s="55">
        <f>_xll.EQNXTDZ($A$1,$B55,T$1,$B$1)</f>
        <v>147.56</v>
      </c>
      <c r="U55" s="55">
        <f>_xll.EQNXTDZ($A$1,$B55,U$1,$B$1)</f>
        <v>149.38999999999999</v>
      </c>
      <c r="V55" s="55">
        <f>_xll.EQNXTDZ($A$1,$B55,V$1,$B$1)</f>
        <v>130.83000000000001</v>
      </c>
      <c r="W55" s="55">
        <f>_xll.EQNXTDZ($A$1,$B55,W$1,$B$1)</f>
        <v>160.47999999999999</v>
      </c>
      <c r="X55" s="55">
        <f>_xll.EQNXTDZ($A$1,$B55,X$1,$B$1)</f>
        <v>212.85</v>
      </c>
      <c r="Y55" s="55">
        <f>_xll.EQNXTDZ($A$1,$B55,Y$1,$B$1)</f>
        <v>207.69</v>
      </c>
      <c r="Z55" s="55">
        <f>_xll.EQNXTDZ($A$1,$B55,Z$1,$B$1)</f>
        <v>237.47</v>
      </c>
      <c r="AA55" s="55">
        <f>_xll.EQNXTDZ($A$1,$B55,AA$1,$B$1)</f>
        <v>191.67</v>
      </c>
      <c r="AB55" s="55">
        <f>_xll.EQNXTDZ($A$1,$B55,AB$1,$B$1)</f>
        <v>257.91000000000003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47</v>
      </c>
      <c r="B56" t="s">
        <v>190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236.82</v>
      </c>
      <c r="N56" s="55">
        <f>_xll.EQNXTDZ($A$1,$B56,N$1,$B$1)</f>
        <v>207.53</v>
      </c>
      <c r="O56" s="55">
        <f>_xll.EQNXTDZ($A$1,$B56,O$1,$B$1)</f>
        <v>219.57</v>
      </c>
      <c r="P56" s="55">
        <f>_xll.EQNXTDZ($A$1,$B56,P$1,$B$1)</f>
        <v>221.78</v>
      </c>
      <c r="Q56" s="55">
        <f>_xll.EQNXTDZ($A$1,$B56,Q$1,$B$1)</f>
        <v>276.93</v>
      </c>
      <c r="R56" s="55">
        <f>_xll.EQNXTDZ($A$1,$B56,R$1,$B$1)</f>
        <v>301.5</v>
      </c>
      <c r="S56" s="55">
        <f>_xll.EQNXTDZ($A$1,$B56,S$1,$B$1)</f>
        <v>319.91000000000003</v>
      </c>
      <c r="T56" s="55">
        <f>_xll.EQNXTDZ($A$1,$B56,T$1,$B$1)</f>
        <v>372.3</v>
      </c>
      <c r="U56" s="55">
        <f>_xll.EQNXTDZ($A$1,$B56,U$1,$B$1)</f>
        <v>355.07</v>
      </c>
      <c r="V56" s="55">
        <f>_xll.EQNXTDZ($A$1,$B56,V$1,$B$1)</f>
        <v>358.99</v>
      </c>
      <c r="W56" s="55">
        <f>_xll.EQNXTDZ($A$1,$B56,W$1,$B$1)</f>
        <v>309.45999999999998</v>
      </c>
      <c r="X56" s="55">
        <f>_xll.EQNXTDZ($A$1,$B56,X$1,$B$1)</f>
        <v>364.35</v>
      </c>
      <c r="Y56" s="55">
        <f>_xll.EQNXTDZ($A$1,$B56,Y$1,$B$1)</f>
        <v>434.27</v>
      </c>
      <c r="Z56" s="55">
        <f>_xll.EQNXTDZ($A$1,$B56,Z$1,$B$1)</f>
        <v>391.38</v>
      </c>
      <c r="AA56" s="55">
        <f>_xll.EQNXTDZ($A$1,$B56,AA$1,$B$1)</f>
        <v>351.59</v>
      </c>
      <c r="AB56" s="55">
        <f>_xll.EQNXTDZ($A$1,$B56,AB$1,$B$1)</f>
        <v>463.71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71</v>
      </c>
      <c r="B57" t="s">
        <v>191</v>
      </c>
      <c r="C57" s="55">
        <f>_xll.EQNXTDZ($A$1,$B57,C$1,$B$1)</f>
        <v>2.1560714000000001</v>
      </c>
      <c r="D57" s="55">
        <f>_xll.EQNXTDZ($A$1,$B57,D$1,$B$1)</f>
        <v>0</v>
      </c>
      <c r="E57" s="55">
        <f>_xll.EQNXTDZ($A$1,$B57,E$1,$B$1)</f>
        <v>2.0642309999999999</v>
      </c>
      <c r="F57" s="55">
        <f>_xll.EQNXTDZ($A$1,$B57,F$1,$B$1)</f>
        <v>2.8113283</v>
      </c>
      <c r="G57" s="55">
        <f>_xll.EQNXTDZ($A$1,$B57,G$1,$B$1)</f>
        <v>3.6847745000000001</v>
      </c>
      <c r="H57" s="55">
        <f>_xll.EQNXTDZ($A$1,$B57,H$1,$B$1)</f>
        <v>5.9230999999999998</v>
      </c>
      <c r="I57" s="55">
        <f>_xll.EQNXTDZ($A$1,$B57,I$1,$B$1)</f>
        <v>5.9447327000000003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4.5968986999999997</v>
      </c>
      <c r="M57" s="55">
        <f>_xll.EQNXTDZ($A$1,$B57,M$1,$B$1)</f>
        <v>8.85</v>
      </c>
      <c r="N57" s="55">
        <f>_xll.EQNXTDZ($A$1,$B57,N$1,$B$1)</f>
        <v>6.57</v>
      </c>
      <c r="O57" s="55">
        <f>_xll.EQNXTDZ($A$1,$B57,O$1,$B$1)</f>
        <v>8.06</v>
      </c>
      <c r="P57" s="55">
        <f>_xll.EQNXTDZ($A$1,$B57,P$1,$B$1)</f>
        <v>9.43</v>
      </c>
      <c r="Q57" s="55">
        <f>_xll.EQNXTDZ($A$1,$B57,Q$1,$B$1)</f>
        <v>11.97</v>
      </c>
      <c r="R57" s="55">
        <f>_xll.EQNXTDZ($A$1,$B57,R$1,$B$1)</f>
        <v>14.17</v>
      </c>
      <c r="S57" s="55">
        <f>_xll.EQNXTDZ($A$1,$B57,S$1,$B$1)</f>
        <v>7.18</v>
      </c>
      <c r="T57" s="55">
        <f>_xll.EQNXTDZ($A$1,$B57,T$1,$B$1)</f>
        <v>10.029999999999999</v>
      </c>
      <c r="U57" s="55">
        <f>_xll.EQNXTDZ($A$1,$B57,U$1,$B$1)</f>
        <v>13.51</v>
      </c>
      <c r="V57" s="55">
        <f>_xll.EQNXTDZ($A$1,$B57,V$1,$B$1)</f>
        <v>17.52</v>
      </c>
      <c r="W57" s="55">
        <f>_xll.EQNXTDZ($A$1,$B57,W$1,$B$1)</f>
        <v>16.96</v>
      </c>
      <c r="X57" s="55">
        <f>_xll.EQNXTDZ($A$1,$B57,X$1,$B$1)</f>
        <v>22.83</v>
      </c>
      <c r="Y57" s="55">
        <f>_xll.EQNXTDZ($A$1,$B57,Y$1,$B$1)</f>
        <v>23.31</v>
      </c>
      <c r="Z57" s="55">
        <f>_xll.EQNXTDZ($A$1,$B57,Z$1,$B$1)</f>
        <v>25.54</v>
      </c>
      <c r="AA57" s="55">
        <f>_xll.EQNXTDZ($A$1,$B57,AA$1,$B$1)</f>
        <v>17.87</v>
      </c>
      <c r="AB57" s="55">
        <f>_xll.EQNXTDZ($A$1,$B57,AB$1,$B$1)</f>
        <v>27.36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162</v>
      </c>
      <c r="B58" t="s">
        <v>192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163</v>
      </c>
      <c r="B59" t="s">
        <v>193</v>
      </c>
      <c r="C59" s="55">
        <f>_xll.EQNXTDZ($A$1,$B59,C$1,$B$1)</f>
        <v>10.603911500000001</v>
      </c>
      <c r="D59" s="55">
        <f>_xll.EQNXTDZ($A$1,$B59,D$1,$B$1)</f>
        <v>5.5592927999999997</v>
      </c>
      <c r="E59" s="55">
        <f>_xll.EQNXTDZ($A$1,$B59,E$1,$B$1)</f>
        <v>12.787657599999999</v>
      </c>
      <c r="F59" s="55">
        <f>_xll.EQNXTDZ($A$1,$B59,F$1,$B$1)</f>
        <v>9.4003639999999997</v>
      </c>
      <c r="G59" s="55">
        <f>_xll.EQNXTDZ($A$1,$B59,G$1,$B$1)</f>
        <v>11.9240285</v>
      </c>
      <c r="H59" s="55">
        <f>_xll.EQNXTDZ($A$1,$B59,H$1,$B$1)</f>
        <v>32.0765472</v>
      </c>
      <c r="I59" s="55">
        <f>_xll.EQNXTDZ($A$1,$B59,I$1,$B$1)</f>
        <v>40.862747499999998</v>
      </c>
      <c r="J59" s="55">
        <f>_xll.EQNXTDZ($A$1,$B59,J$1,$B$1)</f>
        <v>58.030918800000002</v>
      </c>
      <c r="K59" s="55">
        <f>_xll.EQNXTDZ($A$1,$B59,K$1,$B$1)</f>
        <v>50.848865199999999</v>
      </c>
      <c r="L59" s="55">
        <f>_xll.EQNXTDZ($A$1,$B59,L$1,$B$1)</f>
        <v>51.395978700000001</v>
      </c>
      <c r="M59" s="55">
        <f>_xll.EQNXTDZ($A$1,$B59,M$1,$B$1)</f>
        <v>422.1</v>
      </c>
      <c r="N59" s="55">
        <f>_xll.EQNXTDZ($A$1,$B59,N$1,$B$1)</f>
        <v>383.78</v>
      </c>
      <c r="O59" s="55">
        <f>_xll.EQNXTDZ($A$1,$B59,O$1,$B$1)</f>
        <v>440.76</v>
      </c>
      <c r="P59" s="55">
        <f>_xll.EQNXTDZ($A$1,$B59,P$1,$B$1)</f>
        <v>444.88</v>
      </c>
      <c r="Q59" s="55">
        <f>_xll.EQNXTDZ($A$1,$B59,Q$1,$B$1)</f>
        <v>506.78</v>
      </c>
      <c r="R59" s="55">
        <f>_xll.EQNXTDZ($A$1,$B59,R$1,$B$1)</f>
        <v>529.62</v>
      </c>
      <c r="S59" s="55">
        <f>_xll.EQNXTDZ($A$1,$B59,S$1,$B$1)</f>
        <v>565.24</v>
      </c>
      <c r="T59" s="55">
        <f>_xll.EQNXTDZ($A$1,$B59,T$1,$B$1)</f>
        <v>680.83</v>
      </c>
      <c r="U59" s="55">
        <f>_xll.EQNXTDZ($A$1,$B59,U$1,$B$1)</f>
        <v>682.55</v>
      </c>
      <c r="V59" s="55">
        <f>_xll.EQNXTDZ($A$1,$B59,V$1,$B$1)</f>
        <v>622</v>
      </c>
      <c r="W59" s="55">
        <f>_xll.EQNXTDZ($A$1,$B59,W$1,$B$1)</f>
        <v>602.97</v>
      </c>
      <c r="X59" s="55">
        <f>_xll.EQNXTDZ($A$1,$B59,X$1,$B$1)</f>
        <v>887.46</v>
      </c>
      <c r="Y59" s="55">
        <f>_xll.EQNXTDZ($A$1,$B59,Y$1,$B$1)</f>
        <v>892.14</v>
      </c>
      <c r="Z59" s="55">
        <f>_xll.EQNXTDZ($A$1,$B59,Z$1,$B$1)</f>
        <v>1080.97</v>
      </c>
      <c r="AA59" s="55">
        <f>_xll.EQNXTDZ($A$1,$B59,AA$1,$B$1)</f>
        <v>1163.95</v>
      </c>
      <c r="AB59" s="55">
        <f>_xll.EQNXTDZ($A$1,$B59,AB$1,$B$1)</f>
        <v>1447.01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164</v>
      </c>
      <c r="B60" t="s">
        <v>194</v>
      </c>
      <c r="C60" s="55">
        <f>_xll.EQNXTDZ($A$1,$B60,C$1,$B$1)</f>
        <v>137.4394064</v>
      </c>
      <c r="D60" s="55">
        <f>_xll.EQNXTDZ($A$1,$B60,D$1,$B$1)</f>
        <v>136.1013609</v>
      </c>
      <c r="E60" s="55">
        <f>_xll.EQNXTDZ($A$1,$B60,E$1,$B$1)</f>
        <v>184.3974015</v>
      </c>
      <c r="F60" s="55">
        <f>_xll.EQNXTDZ($A$1,$B60,F$1,$B$1)</f>
        <v>264.43902700000001</v>
      </c>
      <c r="G60" s="55">
        <f>_xll.EQNXTDZ($A$1,$B60,G$1,$B$1)</f>
        <v>300.70747490000002</v>
      </c>
      <c r="H60" s="55">
        <f>_xll.EQNXTDZ($A$1,$B60,H$1,$B$1)</f>
        <v>510.6310378</v>
      </c>
      <c r="I60" s="55">
        <f>_xll.EQNXTDZ($A$1,$B60,I$1,$B$1)</f>
        <v>914.32610899999997</v>
      </c>
      <c r="J60" s="55">
        <f>_xll.EQNXTDZ($A$1,$B60,J$1,$B$1)</f>
        <v>1022.6454977</v>
      </c>
      <c r="K60" s="55">
        <f>_xll.EQNXTDZ($A$1,$B60,K$1,$B$1)</f>
        <v>946.30414610000003</v>
      </c>
      <c r="L60" s="55">
        <f>_xll.EQNXTDZ($A$1,$B60,L$1,$B$1)</f>
        <v>968.24330629999997</v>
      </c>
      <c r="M60" s="55">
        <f>_xll.EQNXTDZ($A$1,$B60,M$1,$B$1)</f>
        <v>1117.27</v>
      </c>
      <c r="N60" s="55">
        <f>_xll.EQNXTDZ($A$1,$B60,N$1,$B$1)</f>
        <v>1131.17</v>
      </c>
      <c r="O60" s="55">
        <f>_xll.EQNXTDZ($A$1,$B60,O$1,$B$1)</f>
        <v>1131.08</v>
      </c>
      <c r="P60" s="55">
        <f>_xll.EQNXTDZ($A$1,$B60,P$1,$B$1)</f>
        <v>1097.1300000000001</v>
      </c>
      <c r="Q60" s="55">
        <f>_xll.EQNXTDZ($A$1,$B60,Q$1,$B$1)</f>
        <v>1176.6099999999999</v>
      </c>
      <c r="R60" s="55">
        <f>_xll.EQNXTDZ($A$1,$B60,R$1,$B$1)</f>
        <v>1292.26</v>
      </c>
      <c r="S60" s="55">
        <f>_xll.EQNXTDZ($A$1,$B60,S$1,$B$1)</f>
        <v>1428.4</v>
      </c>
      <c r="T60" s="55">
        <f>_xll.EQNXTDZ($A$1,$B60,T$1,$B$1)</f>
        <v>1579.75</v>
      </c>
      <c r="U60" s="55">
        <f>_xll.EQNXTDZ($A$1,$B60,U$1,$B$1)</f>
        <v>1534.4</v>
      </c>
      <c r="V60" s="55">
        <f>_xll.EQNXTDZ($A$1,$B60,V$1,$B$1)</f>
        <v>1440.51</v>
      </c>
      <c r="W60" s="55">
        <f>_xll.EQNXTDZ($A$1,$B60,W$1,$B$1)</f>
        <v>1408.63</v>
      </c>
      <c r="X60" s="55">
        <f>_xll.EQNXTDZ($A$1,$B60,X$1,$B$1)</f>
        <v>1823.99</v>
      </c>
      <c r="Y60" s="55">
        <f>_xll.EQNXTDZ($A$1,$B60,Y$1,$B$1)</f>
        <v>2160.56</v>
      </c>
      <c r="Z60" s="55">
        <f>_xll.EQNXTDZ($A$1,$B60,Z$1,$B$1)</f>
        <v>2739.9</v>
      </c>
      <c r="AA60" s="55">
        <f>_xll.EQNXTDZ($A$1,$B60,AA$1,$B$1)</f>
        <v>2959.8</v>
      </c>
      <c r="AB60" s="55">
        <f>_xll.EQNXTDZ($A$1,$B60,AB$1,$B$1)</f>
        <v>3325.95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165</v>
      </c>
      <c r="B61" t="s">
        <v>195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49</v>
      </c>
      <c r="B62" t="s">
        <v>196</v>
      </c>
      <c r="C62" s="55">
        <f>_xll.EQNXTDZ($A$1,$B62,C$1,$B$1)</f>
        <v>120.1858335</v>
      </c>
      <c r="D62" s="55">
        <f>_xll.EQNXTDZ($A$1,$B62,D$1,$B$1)</f>
        <v>133.49901819999999</v>
      </c>
      <c r="E62" s="55">
        <f>_xll.EQNXTDZ($A$1,$B62,E$1,$B$1)</f>
        <v>164.39265599999999</v>
      </c>
      <c r="F62" s="55">
        <f>_xll.EQNXTDZ($A$1,$B62,F$1,$B$1)</f>
        <v>241.24909980000001</v>
      </c>
      <c r="G62" s="55">
        <f>_xll.EQNXTDZ($A$1,$B62,G$1,$B$1)</f>
        <v>269.45265940000002</v>
      </c>
      <c r="H62" s="55">
        <f>_xll.EQNXTDZ($A$1,$B62,H$1,$B$1)</f>
        <v>353.63697480000002</v>
      </c>
      <c r="I62" s="55">
        <f>_xll.EQNXTDZ($A$1,$B62,I$1,$B$1)</f>
        <v>527.76302869999995</v>
      </c>
      <c r="J62" s="55">
        <f>_xll.EQNXTDZ($A$1,$B62,J$1,$B$1)</f>
        <v>705.11429469999996</v>
      </c>
      <c r="K62" s="55">
        <f>_xll.EQNXTDZ($A$1,$B62,K$1,$B$1)</f>
        <v>876.87589739999999</v>
      </c>
      <c r="L62" s="55">
        <f>_xll.EQNXTDZ($A$1,$B62,L$1,$B$1)</f>
        <v>891.42315399999995</v>
      </c>
      <c r="M62" s="55">
        <f>_xll.EQNXTDZ($A$1,$B62,M$1,$B$1)</f>
        <v>924.29</v>
      </c>
      <c r="N62" s="55">
        <f>_xll.EQNXTDZ($A$1,$B62,N$1,$B$1)</f>
        <v>1058.73</v>
      </c>
      <c r="O62" s="55">
        <f>_xll.EQNXTDZ($A$1,$B62,O$1,$B$1)</f>
        <v>1087.17</v>
      </c>
      <c r="P62" s="55">
        <f>_xll.EQNXTDZ($A$1,$B62,P$1,$B$1)</f>
        <v>1114.04</v>
      </c>
      <c r="Q62" s="55">
        <f>_xll.EQNXTDZ($A$1,$B62,Q$1,$B$1)</f>
        <v>1218.51</v>
      </c>
      <c r="R62" s="55">
        <f>_xll.EQNXTDZ($A$1,$B62,R$1,$B$1)</f>
        <v>1316.27</v>
      </c>
      <c r="S62" s="55">
        <f>_xll.EQNXTDZ($A$1,$B62,S$1,$B$1)</f>
        <v>727.14</v>
      </c>
      <c r="T62" s="55">
        <f>_xll.EQNXTDZ($A$1,$B62,T$1,$B$1)</f>
        <v>848.92</v>
      </c>
      <c r="U62" s="55">
        <f>_xll.EQNXTDZ($A$1,$B62,U$1,$B$1)</f>
        <v>878.09</v>
      </c>
      <c r="V62" s="55">
        <f>_xll.EQNXTDZ($A$1,$B62,V$1,$B$1)</f>
        <v>926.92</v>
      </c>
      <c r="W62" s="55">
        <f>_xll.EQNXTDZ($A$1,$B62,W$1,$B$1)</f>
        <v>981.2</v>
      </c>
      <c r="X62" s="55">
        <f>_xll.EQNXTDZ($A$1,$B62,X$1,$B$1)</f>
        <v>996.96</v>
      </c>
      <c r="Y62" s="55">
        <f>_xll.EQNXTDZ($A$1,$B62,Y$1,$B$1)</f>
        <v>1179.44</v>
      </c>
      <c r="Z62" s="55">
        <f>_xll.EQNXTDZ($A$1,$B62,Z$1,$B$1)</f>
        <v>1521.51</v>
      </c>
      <c r="AA62" s="55">
        <f>_xll.EQNXTDZ($A$1,$B62,AA$1,$B$1)</f>
        <v>1888.16</v>
      </c>
      <c r="AB62" s="55">
        <f>_xll.EQNXTDZ($A$1,$B62,AB$1,$B$1)</f>
        <v>2112.8200000000002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50</v>
      </c>
      <c r="B63" t="s">
        <v>197</v>
      </c>
      <c r="C63" s="55">
        <f>_xll.EQNXTDZ($A$1,$B63,C$1,$B$1)</f>
        <v>35.497450499999999</v>
      </c>
      <c r="D63" s="55">
        <f>_xll.EQNXTDZ($A$1,$B63,D$1,$B$1)</f>
        <v>43.215790900000002</v>
      </c>
      <c r="E63" s="55">
        <f>_xll.EQNXTDZ($A$1,$B63,E$1,$B$1)</f>
        <v>53.7755145</v>
      </c>
      <c r="F63" s="55">
        <f>_xll.EQNXTDZ($A$1,$B63,F$1,$B$1)</f>
        <v>69.898575800000003</v>
      </c>
      <c r="G63" s="55">
        <f>_xll.EQNXTDZ($A$1,$B63,G$1,$B$1)</f>
        <v>86.230091900000005</v>
      </c>
      <c r="H63" s="55">
        <f>_xll.EQNXTDZ($A$1,$B63,H$1,$B$1)</f>
        <v>105.0874305</v>
      </c>
      <c r="I63" s="55">
        <f>_xll.EQNXTDZ($A$1,$B63,I$1,$B$1)</f>
        <v>161.9810172</v>
      </c>
      <c r="J63" s="55">
        <f>_xll.EQNXTDZ($A$1,$B63,J$1,$B$1)</f>
        <v>209.40807580000001</v>
      </c>
      <c r="K63" s="55">
        <f>_xll.EQNXTDZ($A$1,$B63,K$1,$B$1)</f>
        <v>265.81165299999998</v>
      </c>
      <c r="L63" s="55">
        <f>_xll.EQNXTDZ($A$1,$B63,L$1,$B$1)</f>
        <v>327.01416180000001</v>
      </c>
      <c r="M63" s="55">
        <f>_xll.EQNXTDZ($A$1,$B63,M$1,$B$1)</f>
        <v>385.7</v>
      </c>
      <c r="N63" s="55">
        <f>_xll.EQNXTDZ($A$1,$B63,N$1,$B$1)</f>
        <v>433.89</v>
      </c>
      <c r="O63" s="55">
        <f>_xll.EQNXTDZ($A$1,$B63,O$1,$B$1)</f>
        <v>503.93</v>
      </c>
      <c r="P63" s="55">
        <f>_xll.EQNXTDZ($A$1,$B63,P$1,$B$1)</f>
        <v>576.42999999999995</v>
      </c>
      <c r="Q63" s="55">
        <f>_xll.EQNXTDZ($A$1,$B63,Q$1,$B$1)</f>
        <v>655.77</v>
      </c>
      <c r="R63" s="55">
        <f>_xll.EQNXTDZ($A$1,$B63,R$1,$B$1)</f>
        <v>731.53</v>
      </c>
      <c r="S63" s="55">
        <f>_xll.EQNXTDZ($A$1,$B63,S$1,$B$1)</f>
        <v>72.48</v>
      </c>
      <c r="T63" s="55">
        <f>_xll.EQNXTDZ($A$1,$B63,T$1,$B$1)</f>
        <v>149.30000000000001</v>
      </c>
      <c r="U63" s="55">
        <f>_xll.EQNXTDZ($A$1,$B63,U$1,$B$1)</f>
        <v>229.69</v>
      </c>
      <c r="V63" s="55">
        <f>_xll.EQNXTDZ($A$1,$B63,V$1,$B$1)</f>
        <v>310.7</v>
      </c>
      <c r="W63" s="55">
        <f>_xll.EQNXTDZ($A$1,$B63,W$1,$B$1)</f>
        <v>390.89</v>
      </c>
      <c r="X63" s="55">
        <f>_xll.EQNXTDZ($A$1,$B63,X$1,$B$1)</f>
        <v>395.18</v>
      </c>
      <c r="Y63" s="55">
        <f>_xll.EQNXTDZ($A$1,$B63,Y$1,$B$1)</f>
        <v>454.17</v>
      </c>
      <c r="Z63" s="55">
        <f>_xll.EQNXTDZ($A$1,$B63,Z$1,$B$1)</f>
        <v>514.39</v>
      </c>
      <c r="AA63" s="55">
        <f>_xll.EQNXTDZ($A$1,$B63,AA$1,$B$1)</f>
        <v>610.30999999999995</v>
      </c>
      <c r="AB63" s="55">
        <f>_xll.EQNXTDZ($A$1,$B63,AB$1,$B$1)</f>
        <v>603.67999999999995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51</v>
      </c>
      <c r="B64" t="s">
        <v>198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52</v>
      </c>
      <c r="B65" t="s">
        <v>199</v>
      </c>
      <c r="C65" s="55">
        <f>_xll.EQNXTDZ($A$1,$B65,C$1,$B$1)</f>
        <v>84.688383000000002</v>
      </c>
      <c r="D65" s="55">
        <f>_xll.EQNXTDZ($A$1,$B65,D$1,$B$1)</f>
        <v>90.283227299999993</v>
      </c>
      <c r="E65" s="55">
        <f>_xll.EQNXTDZ($A$1,$B65,E$1,$B$1)</f>
        <v>110.6171415</v>
      </c>
      <c r="F65" s="55">
        <f>_xll.EQNXTDZ($A$1,$B65,F$1,$B$1)</f>
        <v>171.35052400000001</v>
      </c>
      <c r="G65" s="55">
        <f>_xll.EQNXTDZ($A$1,$B65,G$1,$B$1)</f>
        <v>183.2225675</v>
      </c>
      <c r="H65" s="55">
        <f>_xll.EQNXTDZ($A$1,$B65,H$1,$B$1)</f>
        <v>248.54954430000001</v>
      </c>
      <c r="I65" s="55">
        <f>_xll.EQNXTDZ($A$1,$B65,I$1,$B$1)</f>
        <v>365.78201150000001</v>
      </c>
      <c r="J65" s="55">
        <f>_xll.EQNXTDZ($A$1,$B65,J$1,$B$1)</f>
        <v>495.70621890000001</v>
      </c>
      <c r="K65" s="55">
        <f>_xll.EQNXTDZ($A$1,$B65,K$1,$B$1)</f>
        <v>611.06424440000001</v>
      </c>
      <c r="L65" s="55">
        <f>_xll.EQNXTDZ($A$1,$B65,L$1,$B$1)</f>
        <v>564.40899219999994</v>
      </c>
      <c r="M65" s="55">
        <f>_xll.EQNXTDZ($A$1,$B65,M$1,$B$1)</f>
        <v>538.59</v>
      </c>
      <c r="N65" s="55">
        <f>_xll.EQNXTDZ($A$1,$B65,N$1,$B$1)</f>
        <v>624.84</v>
      </c>
      <c r="O65" s="55">
        <f>_xll.EQNXTDZ($A$1,$B65,O$1,$B$1)</f>
        <v>583.24</v>
      </c>
      <c r="P65" s="55">
        <f>_xll.EQNXTDZ($A$1,$B65,P$1,$B$1)</f>
        <v>537.61</v>
      </c>
      <c r="Q65" s="55">
        <f>_xll.EQNXTDZ($A$1,$B65,Q$1,$B$1)</f>
        <v>562.74</v>
      </c>
      <c r="R65" s="55">
        <f>_xll.EQNXTDZ($A$1,$B65,R$1,$B$1)</f>
        <v>584.74</v>
      </c>
      <c r="S65" s="55">
        <f>_xll.EQNXTDZ($A$1,$B65,S$1,$B$1)</f>
        <v>654.66</v>
      </c>
      <c r="T65" s="55">
        <f>_xll.EQNXTDZ($A$1,$B65,T$1,$B$1)</f>
        <v>699.62</v>
      </c>
      <c r="U65" s="55">
        <f>_xll.EQNXTDZ($A$1,$B65,U$1,$B$1)</f>
        <v>648.4</v>
      </c>
      <c r="V65" s="55">
        <f>_xll.EQNXTDZ($A$1,$B65,V$1,$B$1)</f>
        <v>616.22</v>
      </c>
      <c r="W65" s="55">
        <f>_xll.EQNXTDZ($A$1,$B65,W$1,$B$1)</f>
        <v>590.30999999999995</v>
      </c>
      <c r="X65" s="55">
        <f>_xll.EQNXTDZ($A$1,$B65,X$1,$B$1)</f>
        <v>601.78</v>
      </c>
      <c r="Y65" s="55">
        <f>_xll.EQNXTDZ($A$1,$B65,Y$1,$B$1)</f>
        <v>725.27</v>
      </c>
      <c r="Z65" s="55">
        <f>_xll.EQNXTDZ($A$1,$B65,Z$1,$B$1)</f>
        <v>1007.12</v>
      </c>
      <c r="AA65" s="55">
        <f>_xll.EQNXTDZ($A$1,$B65,AA$1,$B$1)</f>
        <v>1277.8499999999999</v>
      </c>
      <c r="AB65" s="55">
        <f>_xll.EQNXTDZ($A$1,$B65,AB$1,$B$1)</f>
        <v>1509.14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166</v>
      </c>
      <c r="B66" t="s">
        <v>200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55</v>
      </c>
      <c r="B67" t="s">
        <v>201</v>
      </c>
      <c r="C67" s="55">
        <f>_xll.EQNXTDZ($A$1,$B67,C$1,$B$1)</f>
        <v>0.67726439999999999</v>
      </c>
      <c r="D67" s="55">
        <f>_xll.EQNXTDZ($A$1,$B67,D$1,$B$1)</f>
        <v>8.3169199999999999E-2</v>
      </c>
      <c r="E67" s="55">
        <f>_xll.EQNXTDZ($A$1,$B67,E$1,$B$1)</f>
        <v>15.1135477</v>
      </c>
      <c r="F67" s="55">
        <f>_xll.EQNXTDZ($A$1,$B67,F$1,$B$1)</f>
        <v>2.3034916999999999</v>
      </c>
      <c r="G67" s="55">
        <f>_xll.EQNXTDZ($A$1,$B67,G$1,$B$1)</f>
        <v>2.5223414000000002</v>
      </c>
      <c r="H67" s="55">
        <f>_xll.EQNXTDZ($A$1,$B67,H$1,$B$1)</f>
        <v>84.992672600000006</v>
      </c>
      <c r="I67" s="55">
        <f>_xll.EQNXTDZ($A$1,$B67,I$1,$B$1)</f>
        <v>228.54407739999999</v>
      </c>
      <c r="J67" s="55">
        <f>_xll.EQNXTDZ($A$1,$B67,J$1,$B$1)</f>
        <v>149.88965529999999</v>
      </c>
      <c r="K67" s="55">
        <f>_xll.EQNXTDZ($A$1,$B67,K$1,$B$1)</f>
        <v>5.3007793999999997</v>
      </c>
      <c r="L67" s="55">
        <f>_xll.EQNXTDZ($A$1,$B67,L$1,$B$1)</f>
        <v>12.5741288</v>
      </c>
      <c r="M67" s="55">
        <f>_xll.EQNXTDZ($A$1,$B67,M$1,$B$1)</f>
        <v>12.87</v>
      </c>
      <c r="N67" s="55">
        <f>_xll.EQNXTDZ($A$1,$B67,N$1,$B$1)</f>
        <v>9.7200000000000006</v>
      </c>
      <c r="O67" s="55">
        <f>_xll.EQNXTDZ($A$1,$B67,O$1,$B$1)</f>
        <v>8.41</v>
      </c>
      <c r="P67" s="55">
        <f>_xll.EQNXTDZ($A$1,$B67,P$1,$B$1)</f>
        <v>13.77</v>
      </c>
      <c r="Q67" s="55">
        <f>_xll.EQNXTDZ($A$1,$B67,Q$1,$B$1)</f>
        <v>2.95</v>
      </c>
      <c r="R67" s="55">
        <f>_xll.EQNXTDZ($A$1,$B67,R$1,$B$1)</f>
        <v>14.2</v>
      </c>
      <c r="S67" s="55">
        <f>_xll.EQNXTDZ($A$1,$B67,S$1,$B$1)</f>
        <v>10.98</v>
      </c>
      <c r="T67" s="55">
        <f>_xll.EQNXTDZ($A$1,$B67,T$1,$B$1)</f>
        <v>8.77</v>
      </c>
      <c r="U67" s="55">
        <f>_xll.EQNXTDZ($A$1,$B67,U$1,$B$1)</f>
        <v>10.14</v>
      </c>
      <c r="V67" s="55">
        <f>_xll.EQNXTDZ($A$1,$B67,V$1,$B$1)</f>
        <v>6.02</v>
      </c>
      <c r="W67" s="55">
        <f>_xll.EQNXTDZ($A$1,$B67,W$1,$B$1)</f>
        <v>8.81</v>
      </c>
      <c r="X67" s="55">
        <f>_xll.EQNXTDZ($A$1,$B67,X$1,$B$1)</f>
        <v>73.930000000000007</v>
      </c>
      <c r="Y67" s="55">
        <f>_xll.EQNXTDZ($A$1,$B67,Y$1,$B$1)</f>
        <v>222.98</v>
      </c>
      <c r="Z67" s="55">
        <f>_xll.EQNXTDZ($A$1,$B67,Z$1,$B$1)</f>
        <v>218.55</v>
      </c>
      <c r="AA67" s="55">
        <f>_xll.EQNXTDZ($A$1,$B67,AA$1,$B$1)</f>
        <v>172.29</v>
      </c>
      <c r="AB67" s="55">
        <f>_xll.EQNXTDZ($A$1,$B67,AB$1,$B$1)</f>
        <v>81.56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167</v>
      </c>
      <c r="B68" t="s">
        <v>202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0.64</v>
      </c>
      <c r="U68" s="55">
        <f>_xll.EQNXTDZ($A$1,$B68,U$1,$B$1)</f>
        <v>1.68</v>
      </c>
      <c r="V68" s="55">
        <f>_xll.EQNXTDZ($A$1,$B68,V$1,$B$1)</f>
        <v>3.56</v>
      </c>
      <c r="W68" s="55">
        <f>_xll.EQNXTDZ($A$1,$B68,W$1,$B$1)</f>
        <v>0</v>
      </c>
      <c r="X68" s="55">
        <f>_xll.EQNXTDZ($A$1,$B68,X$1,$B$1)</f>
        <v>0.14000000000000001</v>
      </c>
      <c r="Y68" s="55">
        <f>_xll.EQNXTDZ($A$1,$B68,Y$1,$B$1)</f>
        <v>0.09</v>
      </c>
      <c r="Z68" s="55">
        <f>_xll.EQNXTDZ($A$1,$B68,Z$1,$B$1)</f>
        <v>2.88</v>
      </c>
      <c r="AA68" s="55">
        <f>_xll.EQNXTDZ($A$1,$B68,AA$1,$B$1)</f>
        <v>6.45</v>
      </c>
      <c r="AB68" s="55">
        <f>_xll.EQNXTDZ($A$1,$B68,AB$1,$B$1)</f>
        <v>1.97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168</v>
      </c>
      <c r="B69" t="s">
        <v>203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169</v>
      </c>
      <c r="B70" t="s">
        <v>204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57</v>
      </c>
      <c r="B71" t="s">
        <v>205</v>
      </c>
      <c r="C71" s="55">
        <f>_xll.EQNXTDZ($A$1,$B71,C$1,$B$1)</f>
        <v>0.14930009999999999</v>
      </c>
      <c r="D71" s="55">
        <f>_xll.EQNXTDZ($A$1,$B71,D$1,$B$1)</f>
        <v>5.9999999999999995E-4</v>
      </c>
      <c r="E71" s="55">
        <f>_xll.EQNXTDZ($A$1,$B71,E$1,$B$1)</f>
        <v>5.9999999999999995E-4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6</v>
      </c>
      <c r="K71" s="55">
        <f>_xll.EQNXTDZ($A$1,$B71,K$1,$B$1)</f>
        <v>6.0414000000000003</v>
      </c>
      <c r="L71" s="55">
        <f>_xll.EQNXTDZ($A$1,$B71,L$1,$B$1)</f>
        <v>7.8474000000000004</v>
      </c>
      <c r="M71" s="55">
        <f>_xll.EQNXTDZ($A$1,$B71,M$1,$B$1)</f>
        <v>7.85</v>
      </c>
      <c r="N71" s="55">
        <f>_xll.EQNXTDZ($A$1,$B71,N$1,$B$1)</f>
        <v>7.85</v>
      </c>
      <c r="O71" s="55">
        <f>_xll.EQNXTDZ($A$1,$B71,O$1,$B$1)</f>
        <v>7.85</v>
      </c>
      <c r="P71" s="55">
        <f>_xll.EQNXTDZ($A$1,$B71,P$1,$B$1)</f>
        <v>7.85</v>
      </c>
      <c r="Q71" s="55">
        <f>_xll.EQNXTDZ($A$1,$B71,Q$1,$B$1)</f>
        <v>5.85</v>
      </c>
      <c r="R71" s="55">
        <f>_xll.EQNXTDZ($A$1,$B71,R$1,$B$1)</f>
        <v>5.85</v>
      </c>
      <c r="S71" s="55">
        <f>_xll.EQNXTDZ($A$1,$B71,S$1,$B$1)</f>
        <v>5.85</v>
      </c>
      <c r="T71" s="55">
        <f>_xll.EQNXTDZ($A$1,$B71,T$1,$B$1)</f>
        <v>5.85</v>
      </c>
      <c r="U71" s="55">
        <f>_xll.EQNXTDZ($A$1,$B71,U$1,$B$1)</f>
        <v>5.85</v>
      </c>
      <c r="V71" s="55">
        <f>_xll.EQNXTDZ($A$1,$B71,V$1,$B$1)</f>
        <v>5.85</v>
      </c>
      <c r="W71" s="55">
        <f>_xll.EQNXTDZ($A$1,$B71,W$1,$B$1)</f>
        <v>0.04</v>
      </c>
      <c r="X71" s="55">
        <f>_xll.EQNXTDZ($A$1,$B71,X$1,$B$1)</f>
        <v>0.79</v>
      </c>
      <c r="Y71" s="55">
        <f>_xll.EQNXTDZ($A$1,$B71,Y$1,$B$1)</f>
        <v>0.75</v>
      </c>
      <c r="Z71" s="55">
        <f>_xll.EQNXTDZ($A$1,$B71,Z$1,$B$1)</f>
        <v>0.75</v>
      </c>
      <c r="AA71" s="55">
        <f>_xll.EQNXTDZ($A$1,$B71,AA$1,$B$1)</f>
        <v>0.75</v>
      </c>
      <c r="AB71" s="55">
        <f>_xll.EQNXTDZ($A$1,$B71,AB$1,$B$1)</f>
        <v>24.57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58</v>
      </c>
      <c r="B72" t="s">
        <v>206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12.14</v>
      </c>
      <c r="N72" s="55">
        <f>_xll.EQNXTDZ($A$1,$B72,N$1,$B$1)</f>
        <v>10.19</v>
      </c>
      <c r="O72" s="55">
        <f>_xll.EQNXTDZ($A$1,$B72,O$1,$B$1)</f>
        <v>11.58</v>
      </c>
      <c r="P72" s="55">
        <f>_xll.EQNXTDZ($A$1,$B72,P$1,$B$1)</f>
        <v>17.010000000000002</v>
      </c>
      <c r="Q72" s="55">
        <f>_xll.EQNXTDZ($A$1,$B72,Q$1,$B$1)</f>
        <v>14.51</v>
      </c>
      <c r="R72" s="55">
        <f>_xll.EQNXTDZ($A$1,$B72,R$1,$B$1)</f>
        <v>19.579999999999998</v>
      </c>
      <c r="S72" s="55">
        <f>_xll.EQNXTDZ($A$1,$B72,S$1,$B$1)</f>
        <v>17.260000000000002</v>
      </c>
      <c r="T72" s="55">
        <f>_xll.EQNXTDZ($A$1,$B72,T$1,$B$1)</f>
        <v>13.62</v>
      </c>
      <c r="U72" s="55">
        <f>_xll.EQNXTDZ($A$1,$B72,U$1,$B$1)</f>
        <v>17.45</v>
      </c>
      <c r="V72" s="55">
        <f>_xll.EQNXTDZ($A$1,$B72,V$1,$B$1)</f>
        <v>14.82</v>
      </c>
      <c r="W72" s="55">
        <f>_xll.EQNXTDZ($A$1,$B72,W$1,$B$1)</f>
        <v>14.88</v>
      </c>
      <c r="X72" s="55">
        <f>_xll.EQNXTDZ($A$1,$B72,X$1,$B$1)</f>
        <v>77.55</v>
      </c>
      <c r="Y72" s="55">
        <f>_xll.EQNXTDZ($A$1,$B72,Y$1,$B$1)</f>
        <v>106.33</v>
      </c>
      <c r="Z72" s="55">
        <f>_xll.EQNXTDZ($A$1,$B72,Z$1,$B$1)</f>
        <v>121.07</v>
      </c>
      <c r="AA72" s="55">
        <f>_xll.EQNXTDZ($A$1,$B72,AA$1,$B$1)</f>
        <v>95.2</v>
      </c>
      <c r="AB72" s="55">
        <f>_xll.EQNXTDZ($A$1,$B72,AB$1,$B$1)</f>
        <v>93.13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59</v>
      </c>
      <c r="B73" t="s">
        <v>207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0.13</v>
      </c>
      <c r="S73" s="55">
        <f>_xll.EQNXTDZ($A$1,$B73,S$1,$B$1)</f>
        <v>0.85</v>
      </c>
      <c r="T73" s="55">
        <f>_xll.EQNXTDZ($A$1,$B73,T$1,$B$1)</f>
        <v>0.71</v>
      </c>
      <c r="U73" s="55">
        <f>_xll.EQNXTDZ($A$1,$B73,U$1,$B$1)</f>
        <v>1.1299999999999999</v>
      </c>
      <c r="V73" s="55">
        <f>_xll.EQNXTDZ($A$1,$B73,V$1,$B$1)</f>
        <v>1.07</v>
      </c>
      <c r="W73" s="55">
        <f>_xll.EQNXTDZ($A$1,$B73,W$1,$B$1)</f>
        <v>0.92</v>
      </c>
      <c r="X73" s="55">
        <f>_xll.EQNXTDZ($A$1,$B73,X$1,$B$1)</f>
        <v>2.96</v>
      </c>
      <c r="Y73" s="55">
        <f>_xll.EQNXTDZ($A$1,$B73,Y$1,$B$1)</f>
        <v>38.6</v>
      </c>
      <c r="Z73" s="55">
        <f>_xll.EQNXTDZ($A$1,$B73,Z$1,$B$1)</f>
        <v>21.73</v>
      </c>
      <c r="AA73" s="55">
        <f>_xll.EQNXTDZ($A$1,$B73,AA$1,$B$1)</f>
        <v>17.010000000000002</v>
      </c>
      <c r="AB73" s="55">
        <f>_xll.EQNXTDZ($A$1,$B73,AB$1,$B$1)</f>
        <v>8.42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170</v>
      </c>
      <c r="B74" t="s">
        <v>208</v>
      </c>
      <c r="C74" s="55">
        <f>_xll.EQNXTDZ($A$1,$B74,C$1,$B$1)</f>
        <v>85.514947500000005</v>
      </c>
      <c r="D74" s="55">
        <f>_xll.EQNXTDZ($A$1,$B74,D$1,$B$1)</f>
        <v>90.366996499999999</v>
      </c>
      <c r="E74" s="55">
        <f>_xll.EQNXTDZ($A$1,$B74,E$1,$B$1)</f>
        <v>125.73128920000001</v>
      </c>
      <c r="F74" s="55">
        <f>_xll.EQNXTDZ($A$1,$B74,F$1,$B$1)</f>
        <v>173.6540157</v>
      </c>
      <c r="G74" s="55">
        <f>_xll.EQNXTDZ($A$1,$B74,G$1,$B$1)</f>
        <v>185.74490890000001</v>
      </c>
      <c r="H74" s="55">
        <f>_xll.EQNXTDZ($A$1,$B74,H$1,$B$1)</f>
        <v>333.54221690000003</v>
      </c>
      <c r="I74" s="55">
        <f>_xll.EQNXTDZ($A$1,$B74,I$1,$B$1)</f>
        <v>594.32608889999995</v>
      </c>
      <c r="J74" s="55">
        <f>_xll.EQNXTDZ($A$1,$B74,J$1,$B$1)</f>
        <v>651.59587420000003</v>
      </c>
      <c r="K74" s="55">
        <f>_xll.EQNXTDZ($A$1,$B74,K$1,$B$1)</f>
        <v>622.40642379999997</v>
      </c>
      <c r="L74" s="55">
        <f>_xll.EQNXTDZ($A$1,$B74,L$1,$B$1)</f>
        <v>584.83052099999998</v>
      </c>
      <c r="M74" s="55">
        <f>_xll.EQNXTDZ($A$1,$B74,M$1,$B$1)</f>
        <v>571.45000000000005</v>
      </c>
      <c r="N74" s="55">
        <f>_xll.EQNXTDZ($A$1,$B74,N$1,$B$1)</f>
        <v>652.6</v>
      </c>
      <c r="O74" s="55">
        <f>_xll.EQNXTDZ($A$1,$B74,O$1,$B$1)</f>
        <v>611.08000000000004</v>
      </c>
      <c r="P74" s="55">
        <f>_xll.EQNXTDZ($A$1,$B74,P$1,$B$1)</f>
        <v>576.24</v>
      </c>
      <c r="Q74" s="55">
        <f>_xll.EQNXTDZ($A$1,$B74,Q$1,$B$1)</f>
        <v>586.04999999999995</v>
      </c>
      <c r="R74" s="55">
        <f>_xll.EQNXTDZ($A$1,$B74,R$1,$B$1)</f>
        <v>624.5</v>
      </c>
      <c r="S74" s="55">
        <f>_xll.EQNXTDZ($A$1,$B74,S$1,$B$1)</f>
        <v>689.6</v>
      </c>
      <c r="T74" s="55">
        <f>_xll.EQNXTDZ($A$1,$B74,T$1,$B$1)</f>
        <v>729.21</v>
      </c>
      <c r="U74" s="55">
        <f>_xll.EQNXTDZ($A$1,$B74,U$1,$B$1)</f>
        <v>684.65</v>
      </c>
      <c r="V74" s="55">
        <f>_xll.EQNXTDZ($A$1,$B74,V$1,$B$1)</f>
        <v>647.54</v>
      </c>
      <c r="W74" s="55">
        <f>_xll.EQNXTDZ($A$1,$B74,W$1,$B$1)</f>
        <v>614.96</v>
      </c>
      <c r="X74" s="55">
        <f>_xll.EQNXTDZ($A$1,$B74,X$1,$B$1)</f>
        <v>757.15</v>
      </c>
      <c r="Y74" s="55">
        <f>_xll.EQNXTDZ($A$1,$B74,Y$1,$B$1)</f>
        <v>1094.02</v>
      </c>
      <c r="Z74" s="55">
        <f>_xll.EQNXTDZ($A$1,$B74,Z$1,$B$1)</f>
        <v>1372.1</v>
      </c>
      <c r="AA74" s="55">
        <f>_xll.EQNXTDZ($A$1,$B74,AA$1,$B$1)</f>
        <v>1569.55</v>
      </c>
      <c r="AB74" s="55">
        <f>_xll.EQNXTDZ($A$1,$B74,AB$1,$B$1)</f>
        <v>1718.79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74</v>
      </c>
      <c r="B75" t="s">
        <v>209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6.86</v>
      </c>
      <c r="Z75" s="55">
        <f>_xll.EQNXTDZ($A$1,$B75,Z$1,$B$1)</f>
        <v>10.27</v>
      </c>
      <c r="AA75" s="55">
        <f>_xll.EQNXTDZ($A$1,$B75,AA$1,$B$1)</f>
        <v>78.83</v>
      </c>
      <c r="AB75" s="55">
        <f>_xll.EQNXTDZ($A$1,$B75,AB$1,$B$1)</f>
        <v>129.16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60</v>
      </c>
      <c r="B76" t="s">
        <v>210</v>
      </c>
      <c r="C76" s="55">
        <f>_xll.EQNXTDZ($A$1,$B76,C$1,$B$1)</f>
        <v>21.951475299999998</v>
      </c>
      <c r="D76" s="55">
        <f>_xll.EQNXTDZ($A$1,$B76,D$1,$B$1)</f>
        <v>18.6164804</v>
      </c>
      <c r="E76" s="55">
        <f>_xll.EQNXTDZ($A$1,$B76,E$1,$B$1)</f>
        <v>28.8377236</v>
      </c>
      <c r="F76" s="55">
        <f>_xll.EQNXTDZ($A$1,$B76,F$1,$B$1)</f>
        <v>32.5533924</v>
      </c>
      <c r="G76" s="55">
        <f>_xll.EQNXTDZ($A$1,$B76,G$1,$B$1)</f>
        <v>40.824891200000003</v>
      </c>
      <c r="H76" s="55">
        <f>_xll.EQNXTDZ($A$1,$B76,H$1,$B$1)</f>
        <v>67.938698500000001</v>
      </c>
      <c r="I76" s="55">
        <f>_xll.EQNXTDZ($A$1,$B76,I$1,$B$1)</f>
        <v>122.54573790000001</v>
      </c>
      <c r="J76" s="55">
        <f>_xll.EQNXTDZ($A$1,$B76,J$1,$B$1)</f>
        <v>168.72729649999999</v>
      </c>
      <c r="K76" s="55">
        <f>_xll.EQNXTDZ($A$1,$B76,K$1,$B$1)</f>
        <v>142.8652677</v>
      </c>
      <c r="L76" s="55">
        <f>_xll.EQNXTDZ($A$1,$B76,L$1,$B$1)</f>
        <v>177.0016238</v>
      </c>
      <c r="M76" s="55">
        <f>_xll.EQNXTDZ($A$1,$B76,M$1,$B$1)</f>
        <v>238.02</v>
      </c>
      <c r="N76" s="55">
        <f>_xll.EQNXTDZ($A$1,$B76,N$1,$B$1)</f>
        <v>201.5</v>
      </c>
      <c r="O76" s="55">
        <f>_xll.EQNXTDZ($A$1,$B76,O$1,$B$1)</f>
        <v>213.55</v>
      </c>
      <c r="P76" s="55">
        <f>_xll.EQNXTDZ($A$1,$B76,P$1,$B$1)</f>
        <v>233.73</v>
      </c>
      <c r="Q76" s="55">
        <f>_xll.EQNXTDZ($A$1,$B76,Q$1,$B$1)</f>
        <v>265.08999999999997</v>
      </c>
      <c r="R76" s="55">
        <f>_xll.EQNXTDZ($A$1,$B76,R$1,$B$1)</f>
        <v>294.49</v>
      </c>
      <c r="S76" s="55">
        <f>_xll.EQNXTDZ($A$1,$B76,S$1,$B$1)</f>
        <v>360.77</v>
      </c>
      <c r="T76" s="55">
        <f>_xll.EQNXTDZ($A$1,$B76,T$1,$B$1)</f>
        <v>360.04</v>
      </c>
      <c r="U76" s="55">
        <f>_xll.EQNXTDZ($A$1,$B76,U$1,$B$1)</f>
        <v>360.8</v>
      </c>
      <c r="V76" s="55">
        <f>_xll.EQNXTDZ($A$1,$B76,V$1,$B$1)</f>
        <v>372.78</v>
      </c>
      <c r="W76" s="55">
        <f>_xll.EQNXTDZ($A$1,$B76,W$1,$B$1)</f>
        <v>376.35</v>
      </c>
      <c r="X76" s="55">
        <f>_xll.EQNXTDZ($A$1,$B76,X$1,$B$1)</f>
        <v>527.97</v>
      </c>
      <c r="Y76" s="55">
        <f>_xll.EQNXTDZ($A$1,$B76,Y$1,$B$1)</f>
        <v>513.36</v>
      </c>
      <c r="Z76" s="55">
        <f>_xll.EQNXTDZ($A$1,$B76,Z$1,$B$1)</f>
        <v>669.42</v>
      </c>
      <c r="AA76" s="55">
        <f>_xll.EQNXTDZ($A$1,$B76,AA$1,$B$1)</f>
        <v>575.91</v>
      </c>
      <c r="AB76" s="55">
        <f>_xll.EQNXTDZ($A$1,$B76,AB$1,$B$1)</f>
        <v>586.57000000000005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61</v>
      </c>
      <c r="B77" t="s">
        <v>211</v>
      </c>
      <c r="C77" s="55">
        <f>_xll.EQNXTDZ($A$1,$B77,C$1,$B$1)</f>
        <v>22.424298700000001</v>
      </c>
      <c r="D77" s="55">
        <f>_xll.EQNXTDZ($A$1,$B77,D$1,$B$1)</f>
        <v>20.617198599999998</v>
      </c>
      <c r="E77" s="55">
        <f>_xll.EQNXTDZ($A$1,$B77,E$1,$B$1)</f>
        <v>18.403451</v>
      </c>
      <c r="F77" s="55">
        <f>_xll.EQNXTDZ($A$1,$B77,F$1,$B$1)</f>
        <v>28.4679766</v>
      </c>
      <c r="G77" s="55">
        <f>_xll.EQNXTDZ($A$1,$B77,G$1,$B$1)</f>
        <v>37.248010100000002</v>
      </c>
      <c r="H77" s="55">
        <f>_xll.EQNXTDZ($A$1,$B77,H$1,$B$1)</f>
        <v>67.440812199999996</v>
      </c>
      <c r="I77" s="55">
        <f>_xll.EQNXTDZ($A$1,$B77,I$1,$B$1)</f>
        <v>128.60740989999999</v>
      </c>
      <c r="J77" s="55">
        <f>_xll.EQNXTDZ($A$1,$B77,J$1,$B$1)</f>
        <v>135.94137760000001</v>
      </c>
      <c r="K77" s="55">
        <f>_xll.EQNXTDZ($A$1,$B77,K$1,$B$1)</f>
        <v>118.5944813</v>
      </c>
      <c r="L77" s="55">
        <f>_xll.EQNXTDZ($A$1,$B77,L$1,$B$1)</f>
        <v>130.56015149999999</v>
      </c>
      <c r="M77" s="55">
        <f>_xll.EQNXTDZ($A$1,$B77,M$1,$B$1)</f>
        <v>151.49</v>
      </c>
      <c r="N77" s="55">
        <f>_xll.EQNXTDZ($A$1,$B77,N$1,$B$1)</f>
        <v>125.1</v>
      </c>
      <c r="O77" s="55">
        <f>_xll.EQNXTDZ($A$1,$B77,O$1,$B$1)</f>
        <v>175.46</v>
      </c>
      <c r="P77" s="55">
        <f>_xll.EQNXTDZ($A$1,$B77,P$1,$B$1)</f>
        <v>200.85</v>
      </c>
      <c r="Q77" s="55">
        <f>_xll.EQNXTDZ($A$1,$B77,Q$1,$B$1)</f>
        <v>251.71</v>
      </c>
      <c r="R77" s="55">
        <f>_xll.EQNXTDZ($A$1,$B77,R$1,$B$1)</f>
        <v>271.10000000000002</v>
      </c>
      <c r="S77" s="55">
        <f>_xll.EQNXTDZ($A$1,$B77,S$1,$B$1)</f>
        <v>254.98</v>
      </c>
      <c r="T77" s="55">
        <f>_xll.EQNXTDZ($A$1,$B77,T$1,$B$1)</f>
        <v>317.89999999999998</v>
      </c>
      <c r="U77" s="55">
        <f>_xll.EQNXTDZ($A$1,$B77,U$1,$B$1)</f>
        <v>349.88</v>
      </c>
      <c r="V77" s="55">
        <f>_xll.EQNXTDZ($A$1,$B77,V$1,$B$1)</f>
        <v>291.55</v>
      </c>
      <c r="W77" s="55">
        <f>_xll.EQNXTDZ($A$1,$B77,W$1,$B$1)</f>
        <v>280.01</v>
      </c>
      <c r="X77" s="55">
        <f>_xll.EQNXTDZ($A$1,$B77,X$1,$B$1)</f>
        <v>376.43</v>
      </c>
      <c r="Y77" s="55">
        <f>_xll.EQNXTDZ($A$1,$B77,Y$1,$B$1)</f>
        <v>352.82</v>
      </c>
      <c r="Z77" s="55">
        <f>_xll.EQNXTDZ($A$1,$B77,Z$1,$B$1)</f>
        <v>448.4</v>
      </c>
      <c r="AA77" s="55">
        <f>_xll.EQNXTDZ($A$1,$B77,AA$1,$B$1)</f>
        <v>517.53</v>
      </c>
      <c r="AB77" s="55">
        <f>_xll.EQNXTDZ($A$1,$B77,AB$1,$B$1)</f>
        <v>637.12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75</v>
      </c>
      <c r="B78" t="s">
        <v>212</v>
      </c>
      <c r="C78" s="55">
        <f>_xll.EQNXTDZ($A$1,$B78,C$1,$B$1)</f>
        <v>2.7141834999999999</v>
      </c>
      <c r="D78" s="55">
        <f>_xll.EQNXTDZ($A$1,$B78,D$1,$B$1)</f>
        <v>2.9217667</v>
      </c>
      <c r="E78" s="55">
        <f>_xll.EQNXTDZ($A$1,$B78,E$1,$B$1)</f>
        <v>4.6015519999999999</v>
      </c>
      <c r="F78" s="55">
        <f>_xll.EQNXTDZ($A$1,$B78,F$1,$B$1)</f>
        <v>2.2279574000000002</v>
      </c>
      <c r="G78" s="55">
        <f>_xll.EQNXTDZ($A$1,$B78,G$1,$B$1)</f>
        <v>2.2358527000000001</v>
      </c>
      <c r="H78" s="55">
        <f>_xll.EQNXTDZ($A$1,$B78,H$1,$B$1)</f>
        <v>4.5819707000000003</v>
      </c>
      <c r="I78" s="55">
        <f>_xll.EQNXTDZ($A$1,$B78,I$1,$B$1)</f>
        <v>10.1608155</v>
      </c>
      <c r="J78" s="55">
        <f>_xll.EQNXTDZ($A$1,$B78,J$1,$B$1)</f>
        <v>8.8821475000000003</v>
      </c>
      <c r="K78" s="55">
        <f>_xll.EQNXTDZ($A$1,$B78,K$1,$B$1)</f>
        <v>8.4481272999999995</v>
      </c>
      <c r="L78" s="55">
        <f>_xll.EQNXTDZ($A$1,$B78,L$1,$B$1)</f>
        <v>6.9164896999999996</v>
      </c>
      <c r="M78" s="55">
        <f>_xll.EQNXTDZ($A$1,$B78,M$1,$B$1)</f>
        <v>10.19</v>
      </c>
      <c r="N78" s="55">
        <f>_xll.EQNXTDZ($A$1,$B78,N$1,$B$1)</f>
        <v>8.99</v>
      </c>
      <c r="O78" s="55">
        <f>_xll.EQNXTDZ($A$1,$B78,O$1,$B$1)</f>
        <v>8.17</v>
      </c>
      <c r="P78" s="55">
        <f>_xll.EQNXTDZ($A$1,$B78,P$1,$B$1)</f>
        <v>3.28</v>
      </c>
      <c r="Q78" s="55">
        <f>_xll.EQNXTDZ($A$1,$B78,Q$1,$B$1)</f>
        <v>3.91</v>
      </c>
      <c r="R78" s="55">
        <f>_xll.EQNXTDZ($A$1,$B78,R$1,$B$1)</f>
        <v>3.61</v>
      </c>
      <c r="S78" s="55">
        <f>_xll.EQNXTDZ($A$1,$B78,S$1,$B$1)</f>
        <v>5.69</v>
      </c>
      <c r="T78" s="55">
        <f>_xll.EQNXTDZ($A$1,$B78,T$1,$B$1)</f>
        <v>1.68</v>
      </c>
      <c r="U78" s="55">
        <f>_xll.EQNXTDZ($A$1,$B78,U$1,$B$1)</f>
        <v>0.68</v>
      </c>
      <c r="V78" s="55">
        <f>_xll.EQNXTDZ($A$1,$B78,V$1,$B$1)</f>
        <v>13.65</v>
      </c>
      <c r="W78" s="55">
        <f>_xll.EQNXTDZ($A$1,$B78,W$1,$B$1)</f>
        <v>10.1</v>
      </c>
      <c r="X78" s="55">
        <f>_xll.EQNXTDZ($A$1,$B78,X$1,$B$1)</f>
        <v>22.3</v>
      </c>
      <c r="Y78" s="55">
        <f>_xll.EQNXTDZ($A$1,$B78,Y$1,$B$1)</f>
        <v>27.97</v>
      </c>
      <c r="Z78" s="55">
        <f>_xll.EQNXTDZ($A$1,$B78,Z$1,$B$1)</f>
        <v>28.27</v>
      </c>
      <c r="AA78" s="55">
        <f>_xll.EQNXTDZ($A$1,$B78,AA$1,$B$1)</f>
        <v>51.95</v>
      </c>
      <c r="AB78" s="55">
        <f>_xll.EQNXTDZ($A$1,$B78,AB$1,$B$1)</f>
        <v>65.8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62</v>
      </c>
      <c r="B79" t="s">
        <v>213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56.6</v>
      </c>
      <c r="N79" s="55">
        <f>_xll.EQNXTDZ($A$1,$B79,N$1,$B$1)</f>
        <v>33.31</v>
      </c>
      <c r="O79" s="55">
        <f>_xll.EQNXTDZ($A$1,$B79,O$1,$B$1)</f>
        <v>37.99</v>
      </c>
      <c r="P79" s="55">
        <f>_xll.EQNXTDZ($A$1,$B79,P$1,$B$1)</f>
        <v>36.24</v>
      </c>
      <c r="Q79" s="55">
        <f>_xll.EQNXTDZ($A$1,$B79,Q$1,$B$1)</f>
        <v>36.479999999999997</v>
      </c>
      <c r="R79" s="55">
        <f>_xll.EQNXTDZ($A$1,$B79,R$1,$B$1)</f>
        <v>48.19</v>
      </c>
      <c r="S79" s="55">
        <f>_xll.EQNXTDZ($A$1,$B79,S$1,$B$1)</f>
        <v>43.27</v>
      </c>
      <c r="T79" s="55">
        <f>_xll.EQNXTDZ($A$1,$B79,T$1,$B$1)</f>
        <v>40.25</v>
      </c>
      <c r="U79" s="55">
        <f>_xll.EQNXTDZ($A$1,$B79,U$1,$B$1)</f>
        <v>39.44</v>
      </c>
      <c r="V79" s="55">
        <f>_xll.EQNXTDZ($A$1,$B79,V$1,$B$1)</f>
        <v>39.11</v>
      </c>
      <c r="W79" s="55">
        <f>_xll.EQNXTDZ($A$1,$B79,W$1,$B$1)</f>
        <v>43.92</v>
      </c>
      <c r="X79" s="55">
        <f>_xll.EQNXTDZ($A$1,$B79,X$1,$B$1)</f>
        <v>50.33</v>
      </c>
      <c r="Y79" s="55">
        <f>_xll.EQNXTDZ($A$1,$B79,Y$1,$B$1)</f>
        <v>42.16</v>
      </c>
      <c r="Z79" s="55">
        <f>_xll.EQNXTDZ($A$1,$B79,Z$1,$B$1)</f>
        <v>62.39</v>
      </c>
      <c r="AA79" s="55">
        <f>_xll.EQNXTDZ($A$1,$B79,AA$1,$B$1)</f>
        <v>56.78</v>
      </c>
      <c r="AB79" s="55">
        <f>_xll.EQNXTDZ($A$1,$B79,AB$1,$B$1)</f>
        <v>69.650000000000006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63</v>
      </c>
      <c r="B80" t="s">
        <v>214</v>
      </c>
      <c r="C80" s="55">
        <f>_xll.EQNXTDZ($A$1,$B80,C$1,$B$1)</f>
        <v>4.6353992000000002</v>
      </c>
      <c r="D80" s="55">
        <f>_xll.EQNXTDZ($A$1,$B80,D$1,$B$1)</f>
        <v>3.5788003000000002</v>
      </c>
      <c r="E80" s="55">
        <f>_xll.EQNXTDZ($A$1,$B80,E$1,$B$1)</f>
        <v>6.8233265000000003</v>
      </c>
      <c r="F80" s="55">
        <f>_xll.EQNXTDZ($A$1,$B80,F$1,$B$1)</f>
        <v>26.8586767</v>
      </c>
      <c r="G80" s="55">
        <f>_xll.EQNXTDZ($A$1,$B80,G$1,$B$1)</f>
        <v>32.956003500000001</v>
      </c>
      <c r="H80" s="55">
        <f>_xll.EQNXTDZ($A$1,$B80,H$1,$B$1)</f>
        <v>35.01388</v>
      </c>
      <c r="I80" s="55">
        <f>_xll.EQNXTDZ($A$1,$B80,I$1,$B$1)</f>
        <v>56.930796299999997</v>
      </c>
      <c r="J80" s="55">
        <f>_xll.EQNXTDZ($A$1,$B80,J$1,$B$1)</f>
        <v>56.385914100000001</v>
      </c>
      <c r="K80" s="55">
        <f>_xll.EQNXTDZ($A$1,$B80,K$1,$B$1)</f>
        <v>53.403827499999998</v>
      </c>
      <c r="L80" s="55">
        <f>_xll.EQNXTDZ($A$1,$B80,L$1,$B$1)</f>
        <v>68.934520300000003</v>
      </c>
      <c r="M80" s="55">
        <f>_xll.EQNXTDZ($A$1,$B80,M$1,$B$1)</f>
        <v>89.52</v>
      </c>
      <c r="N80" s="55">
        <f>_xll.EQNXTDZ($A$1,$B80,N$1,$B$1)</f>
        <v>109.67</v>
      </c>
      <c r="O80" s="55">
        <f>_xll.EQNXTDZ($A$1,$B80,O$1,$B$1)</f>
        <v>84.83</v>
      </c>
      <c r="P80" s="55">
        <f>_xll.EQNXTDZ($A$1,$B80,P$1,$B$1)</f>
        <v>46.79</v>
      </c>
      <c r="Q80" s="55">
        <f>_xll.EQNXTDZ($A$1,$B80,Q$1,$B$1)</f>
        <v>33.369999999999997</v>
      </c>
      <c r="R80" s="55">
        <f>_xll.EQNXTDZ($A$1,$B80,R$1,$B$1)</f>
        <v>50.37</v>
      </c>
      <c r="S80" s="55">
        <f>_xll.EQNXTDZ($A$1,$B80,S$1,$B$1)</f>
        <v>74.09</v>
      </c>
      <c r="T80" s="55">
        <f>_xll.EQNXTDZ($A$1,$B80,T$1,$B$1)</f>
        <v>130.66999999999999</v>
      </c>
      <c r="U80" s="55">
        <f>_xll.EQNXTDZ($A$1,$B80,U$1,$B$1)</f>
        <v>98.95</v>
      </c>
      <c r="V80" s="55">
        <f>_xll.EQNXTDZ($A$1,$B80,V$1,$B$1)</f>
        <v>75.88</v>
      </c>
      <c r="W80" s="55">
        <f>_xll.EQNXTDZ($A$1,$B80,W$1,$B$1)</f>
        <v>83.29</v>
      </c>
      <c r="X80" s="55">
        <f>_xll.EQNXTDZ($A$1,$B80,X$1,$B$1)</f>
        <v>82.05</v>
      </c>
      <c r="Y80" s="55">
        <f>_xll.EQNXTDZ($A$1,$B80,Y$1,$B$1)</f>
        <v>123.37</v>
      </c>
      <c r="Z80" s="55">
        <f>_xll.EQNXTDZ($A$1,$B80,Z$1,$B$1)</f>
        <v>149.05000000000001</v>
      </c>
      <c r="AA80" s="55">
        <f>_xll.EQNXTDZ($A$1,$B80,AA$1,$B$1)</f>
        <v>109.25</v>
      </c>
      <c r="AB80" s="55">
        <f>_xll.EQNXTDZ($A$1,$B80,AB$1,$B$1)</f>
        <v>118.86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171</v>
      </c>
      <c r="B81" t="s">
        <v>215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7.76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172</v>
      </c>
      <c r="B82" t="s">
        <v>216</v>
      </c>
      <c r="C82" s="55">
        <f>_xll.EQNXTDZ($A$1,$B82,C$1,$B$1)</f>
        <v>51.725356699999999</v>
      </c>
      <c r="D82" s="55">
        <f>_xll.EQNXTDZ($A$1,$B82,D$1,$B$1)</f>
        <v>45.734245999999999</v>
      </c>
      <c r="E82" s="55">
        <f>_xll.EQNXTDZ($A$1,$B82,E$1,$B$1)</f>
        <v>58.666053099999999</v>
      </c>
      <c r="F82" s="55">
        <f>_xll.EQNXTDZ($A$1,$B82,F$1,$B$1)</f>
        <v>90.108003100000005</v>
      </c>
      <c r="G82" s="55">
        <f>_xll.EQNXTDZ($A$1,$B82,G$1,$B$1)</f>
        <v>113.2647575</v>
      </c>
      <c r="H82" s="55">
        <f>_xll.EQNXTDZ($A$1,$B82,H$1,$B$1)</f>
        <v>174.9753614</v>
      </c>
      <c r="I82" s="55">
        <f>_xll.EQNXTDZ($A$1,$B82,I$1,$B$1)</f>
        <v>318.24475960000001</v>
      </c>
      <c r="J82" s="55">
        <f>_xll.EQNXTDZ($A$1,$B82,J$1,$B$1)</f>
        <v>369.93673569999999</v>
      </c>
      <c r="K82" s="55">
        <f>_xll.EQNXTDZ($A$1,$B82,K$1,$B$1)</f>
        <v>323.31170379999998</v>
      </c>
      <c r="L82" s="55">
        <f>_xll.EQNXTDZ($A$1,$B82,L$1,$B$1)</f>
        <v>383.4127853</v>
      </c>
      <c r="M82" s="55">
        <f>_xll.EQNXTDZ($A$1,$B82,M$1,$B$1)</f>
        <v>545.82000000000005</v>
      </c>
      <c r="N82" s="55">
        <f>_xll.EQNXTDZ($A$1,$B82,N$1,$B$1)</f>
        <v>478.57</v>
      </c>
      <c r="O82" s="55">
        <f>_xll.EQNXTDZ($A$1,$B82,O$1,$B$1)</f>
        <v>520</v>
      </c>
      <c r="P82" s="55">
        <f>_xll.EQNXTDZ($A$1,$B82,P$1,$B$1)</f>
        <v>520.89</v>
      </c>
      <c r="Q82" s="55">
        <f>_xll.EQNXTDZ($A$1,$B82,Q$1,$B$1)</f>
        <v>590.55999999999995</v>
      </c>
      <c r="R82" s="55">
        <f>_xll.EQNXTDZ($A$1,$B82,R$1,$B$1)</f>
        <v>667.76</v>
      </c>
      <c r="S82" s="55">
        <f>_xll.EQNXTDZ($A$1,$B82,S$1,$B$1)</f>
        <v>738.8</v>
      </c>
      <c r="T82" s="55">
        <f>_xll.EQNXTDZ($A$1,$B82,T$1,$B$1)</f>
        <v>850.54</v>
      </c>
      <c r="U82" s="55">
        <f>_xll.EQNXTDZ($A$1,$B82,U$1,$B$1)</f>
        <v>849.75</v>
      </c>
      <c r="V82" s="55">
        <f>_xll.EQNXTDZ($A$1,$B82,V$1,$B$1)</f>
        <v>792.97</v>
      </c>
      <c r="W82" s="55">
        <f>_xll.EQNXTDZ($A$1,$B82,W$1,$B$1)</f>
        <v>793.67</v>
      </c>
      <c r="X82" s="55">
        <f>_xll.EQNXTDZ($A$1,$B82,X$1,$B$1)</f>
        <v>1059.08</v>
      </c>
      <c r="Y82" s="55">
        <f>_xll.EQNXTDZ($A$1,$B82,Y$1,$B$1)</f>
        <v>1066.54</v>
      </c>
      <c r="Z82" s="55">
        <f>_xll.EQNXTDZ($A$1,$B82,Z$1,$B$1)</f>
        <v>1367.8</v>
      </c>
      <c r="AA82" s="55">
        <f>_xll.EQNXTDZ($A$1,$B82,AA$1,$B$1)</f>
        <v>1390.25</v>
      </c>
      <c r="AB82" s="55">
        <f>_xll.EQNXTDZ($A$1,$B82,AB$1,$B$1)</f>
        <v>1607.16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78</v>
      </c>
      <c r="B83" t="s">
        <v>217</v>
      </c>
      <c r="C83" s="55">
        <f>_xll.EQNXTDZ($A$1,$B83,C$1,$B$1)</f>
        <v>0.19910220000000001</v>
      </c>
      <c r="D83" s="55">
        <f>_xll.EQNXTDZ($A$1,$B83,D$1,$B$1)</f>
        <v>1.184E-4</v>
      </c>
      <c r="E83" s="55">
        <f>_xll.EQNXTDZ($A$1,$B83,E$1,$B$1)</f>
        <v>5.9200000000000002E-5</v>
      </c>
      <c r="F83" s="55">
        <f>_xll.EQNXTDZ($A$1,$B83,F$1,$B$1)</f>
        <v>0.67700819999999995</v>
      </c>
      <c r="G83" s="55">
        <f>_xll.EQNXTDZ($A$1,$B83,G$1,$B$1)</f>
        <v>1.6978085000000001</v>
      </c>
      <c r="H83" s="55">
        <f>_xll.EQNXTDZ($A$1,$B83,H$1,$B$1)</f>
        <v>2.1134594999999998</v>
      </c>
      <c r="I83" s="55">
        <f>_xll.EQNXTDZ($A$1,$B83,I$1,$B$1)</f>
        <v>1.7552604999999999</v>
      </c>
      <c r="J83" s="55">
        <f>_xll.EQNXTDZ($A$1,$B83,J$1,$B$1)</f>
        <v>1.1128878</v>
      </c>
      <c r="K83" s="55">
        <f>_xll.EQNXTDZ($A$1,$B83,K$1,$B$1)</f>
        <v>0.5860185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173</v>
      </c>
      <c r="B84" t="s">
        <v>218</v>
      </c>
      <c r="C84" s="55">
        <f>_xll.EQNXTDZ($A$1,$B84,C$1,$B$1)</f>
        <v>137.4394064</v>
      </c>
      <c r="D84" s="55">
        <f>_xll.EQNXTDZ($A$1,$B84,D$1,$B$1)</f>
        <v>136.1013609</v>
      </c>
      <c r="E84" s="55">
        <f>_xll.EQNXTDZ($A$1,$B84,E$1,$B$1)</f>
        <v>184.3974015</v>
      </c>
      <c r="F84" s="55">
        <f>_xll.EQNXTDZ($A$1,$B84,F$1,$B$1)</f>
        <v>264.43902700000001</v>
      </c>
      <c r="G84" s="55">
        <f>_xll.EQNXTDZ($A$1,$B84,G$1,$B$1)</f>
        <v>300.70747490000002</v>
      </c>
      <c r="H84" s="55">
        <f>_xll.EQNXTDZ($A$1,$B84,H$1,$B$1)</f>
        <v>510.6310378</v>
      </c>
      <c r="I84" s="55">
        <f>_xll.EQNXTDZ($A$1,$B84,I$1,$B$1)</f>
        <v>914.32610899999997</v>
      </c>
      <c r="J84" s="55">
        <f>_xll.EQNXTDZ($A$1,$B84,J$1,$B$1)</f>
        <v>1022.6454977</v>
      </c>
      <c r="K84" s="55">
        <f>_xll.EQNXTDZ($A$1,$B84,K$1,$B$1)</f>
        <v>946.30414610000003</v>
      </c>
      <c r="L84" s="55">
        <f>_xll.EQNXTDZ($A$1,$B84,L$1,$B$1)</f>
        <v>968.24330629999997</v>
      </c>
      <c r="M84" s="55">
        <f>_xll.EQNXTDZ($A$1,$B84,M$1,$B$1)</f>
        <v>1117.27</v>
      </c>
      <c r="N84" s="55">
        <f>_xll.EQNXTDZ($A$1,$B84,N$1,$B$1)</f>
        <v>1131.17</v>
      </c>
      <c r="O84" s="55">
        <f>_xll.EQNXTDZ($A$1,$B84,O$1,$B$1)</f>
        <v>1131.08</v>
      </c>
      <c r="P84" s="55">
        <f>_xll.EQNXTDZ($A$1,$B84,P$1,$B$1)</f>
        <v>1097.1300000000001</v>
      </c>
      <c r="Q84" s="55">
        <f>_xll.EQNXTDZ($A$1,$B84,Q$1,$B$1)</f>
        <v>1176.6099999999999</v>
      </c>
      <c r="R84" s="55">
        <f>_xll.EQNXTDZ($A$1,$B84,R$1,$B$1)</f>
        <v>1292.26</v>
      </c>
      <c r="S84" s="55">
        <f>_xll.EQNXTDZ($A$1,$B84,S$1,$B$1)</f>
        <v>1428.4</v>
      </c>
      <c r="T84" s="55">
        <f>_xll.EQNXTDZ($A$1,$B84,T$1,$B$1)</f>
        <v>1579.75</v>
      </c>
      <c r="U84" s="55">
        <f>_xll.EQNXTDZ($A$1,$B84,U$1,$B$1)</f>
        <v>1534.4</v>
      </c>
      <c r="V84" s="55">
        <f>_xll.EQNXTDZ($A$1,$B84,V$1,$B$1)</f>
        <v>1440.51</v>
      </c>
      <c r="W84" s="55">
        <f>_xll.EQNXTDZ($A$1,$B84,W$1,$B$1)</f>
        <v>1408.63</v>
      </c>
      <c r="X84" s="55">
        <f>_xll.EQNXTDZ($A$1,$B84,X$1,$B$1)</f>
        <v>1823.99</v>
      </c>
      <c r="Y84" s="55">
        <f>_xll.EQNXTDZ($A$1,$B84,Y$1,$B$1)</f>
        <v>2160.56</v>
      </c>
      <c r="Z84" s="55">
        <f>_xll.EQNXTDZ($A$1,$B84,Z$1,$B$1)</f>
        <v>2739.9</v>
      </c>
      <c r="AA84" s="55">
        <f>_xll.EQNXTDZ($A$1,$B84,AA$1,$B$1)</f>
        <v>2959.8</v>
      </c>
      <c r="AB84" s="55">
        <f>_xll.EQNXTDZ($A$1,$B84,AB$1,$B$1)</f>
        <v>3325.95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80</v>
      </c>
      <c r="B85" t="s">
        <v>219</v>
      </c>
      <c r="C85" s="55">
        <f>_xll.EQNXTDZ($A$1,$B85,C$1,$B$1)</f>
        <v>21.932200000000002</v>
      </c>
      <c r="D85" s="55">
        <f>_xll.EQNXTDZ($A$1,$B85,D$1,$B$1)</f>
        <v>1.2884</v>
      </c>
      <c r="E85" s="55">
        <f>_xll.EQNXTDZ($A$1,$B85,E$1,$B$1)</f>
        <v>11.3034</v>
      </c>
      <c r="F85" s="55">
        <f>_xll.EQNXTDZ($A$1,$B85,F$1,$B$1)</f>
        <v>12.758900000000001</v>
      </c>
      <c r="G85" s="55">
        <f>_xll.EQNXTDZ($A$1,$B85,G$1,$B$1)</f>
        <v>43.5563</v>
      </c>
      <c r="H85" s="55">
        <f>_xll.EQNXTDZ($A$1,$B85,H$1,$B$1)</f>
        <v>143.87989999999999</v>
      </c>
      <c r="I85" s="55">
        <f>_xll.EQNXTDZ($A$1,$B85,I$1,$B$1)</f>
        <v>71.248500000000007</v>
      </c>
      <c r="J85" s="55">
        <f>_xll.EQNXTDZ($A$1,$B85,J$1,$B$1)</f>
        <v>21.505600000000001</v>
      </c>
      <c r="K85" s="55">
        <f>_xll.EQNXTDZ($A$1,$B85,K$1,$B$1)</f>
        <v>20.429099999999998</v>
      </c>
      <c r="L85" s="55">
        <f>_xll.EQNXTDZ($A$1,$B85,L$1,$B$1)</f>
        <v>28.196100000000001</v>
      </c>
      <c r="M85" s="55">
        <f>_xll.EQNXTDZ($A$1,$B85,M$1,$B$1)</f>
        <v>38.64</v>
      </c>
      <c r="N85" s="55">
        <f>_xll.EQNXTDZ($A$1,$B85,N$1,$B$1)</f>
        <v>40.909999999999997</v>
      </c>
      <c r="O85" s="55">
        <f>_xll.EQNXTDZ($A$1,$B85,O$1,$B$1)</f>
        <v>33.43</v>
      </c>
      <c r="P85" s="55">
        <f>_xll.EQNXTDZ($A$1,$B85,P$1,$B$1)</f>
        <v>7.17</v>
      </c>
      <c r="Q85" s="55">
        <f>_xll.EQNXTDZ($A$1,$B85,Q$1,$B$1)</f>
        <v>25.1</v>
      </c>
      <c r="R85" s="55">
        <f>_xll.EQNXTDZ($A$1,$B85,R$1,$B$1)</f>
        <v>20.170000000000002</v>
      </c>
      <c r="S85" s="55">
        <f>_xll.EQNXTDZ($A$1,$B85,S$1,$B$1)</f>
        <v>16.13</v>
      </c>
      <c r="T85" s="55">
        <f>_xll.EQNXTDZ($A$1,$B85,T$1,$B$1)</f>
        <v>24.21</v>
      </c>
      <c r="U85" s="55">
        <f>_xll.EQNXTDZ($A$1,$B85,U$1,$B$1)</f>
        <v>17.66</v>
      </c>
      <c r="V85" s="55">
        <f>_xll.EQNXTDZ($A$1,$B85,V$1,$B$1)</f>
        <v>14.49</v>
      </c>
      <c r="W85" s="55">
        <f>_xll.EQNXTDZ($A$1,$B85,W$1,$B$1)</f>
        <v>15.39</v>
      </c>
      <c r="X85" s="55">
        <f>_xll.EQNXTDZ($A$1,$B85,X$1,$B$1)</f>
        <v>12.93</v>
      </c>
      <c r="Y85" s="55">
        <f>_xll.EQNXTDZ($A$1,$B85,Y$1,$B$1)</f>
        <v>9.66</v>
      </c>
      <c r="Z85" s="55">
        <f>_xll.EQNXTDZ($A$1,$B85,Z$1,$B$1)</f>
        <v>120</v>
      </c>
      <c r="AA85" s="55">
        <f>_xll.EQNXTDZ($A$1,$B85,AA$1,$B$1)</f>
        <v>93.5</v>
      </c>
      <c r="AB85" s="55">
        <f>_xll.EQNXTDZ($A$1,$B85,AB$1,$B$1)</f>
        <v>89.2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238</v>
      </c>
      <c r="B86" t="s">
        <v>220</v>
      </c>
      <c r="C86" s="55">
        <f>_xll.EQNXTDZ($A$1,$B86,C$1,$B$1)</f>
        <v>0</v>
      </c>
      <c r="D86" s="55">
        <f>_xll.EQNXTDZ($A$1,$B86,D$1,$B$1)</f>
        <v>0.55674210000000002</v>
      </c>
      <c r="E86" s="55">
        <f>_xll.EQNXTDZ($A$1,$B86,E$1,$B$1)</f>
        <v>0.55674210000000002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226</v>
      </c>
      <c r="B87" t="s">
        <v>230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227</v>
      </c>
      <c r="B88" t="s">
        <v>231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75.819999999999993</v>
      </c>
      <c r="N88" s="55">
        <f>_xll.EQNXTDZ($A$1,$B88,N$1,$B$1)</f>
        <v>70.760000000000005</v>
      </c>
      <c r="O88" s="55">
        <f>_xll.EQNXTDZ($A$1,$B88,O$1,$B$1)</f>
        <v>99.37</v>
      </c>
      <c r="P88" s="55">
        <f>_xll.EQNXTDZ($A$1,$B88,P$1,$B$1)</f>
        <v>94.23</v>
      </c>
      <c r="Q88" s="55">
        <f>_xll.EQNXTDZ($A$1,$B88,Q$1,$B$1)</f>
        <v>82.1</v>
      </c>
      <c r="R88" s="55">
        <f>_xll.EQNXTDZ($A$1,$B88,R$1,$B$1)</f>
        <v>66.010000000000005</v>
      </c>
      <c r="S88" s="55">
        <f>_xll.EQNXTDZ($A$1,$B88,S$1,$B$1)</f>
        <v>61.24</v>
      </c>
      <c r="T88" s="55">
        <f>_xll.EQNXTDZ($A$1,$B88,T$1,$B$1)</f>
        <v>70.790000000000006</v>
      </c>
      <c r="U88" s="55">
        <f>_xll.EQNXTDZ($A$1,$B88,U$1,$B$1)</f>
        <v>67.06</v>
      </c>
      <c r="V88" s="55">
        <f>_xll.EQNXTDZ($A$1,$B88,V$1,$B$1)</f>
        <v>46.5</v>
      </c>
      <c r="W88" s="55">
        <f>_xll.EQNXTDZ($A$1,$B88,W$1,$B$1)</f>
        <v>75.67</v>
      </c>
      <c r="X88" s="55">
        <f>_xll.EQNXTDZ($A$1,$B88,X$1,$B$1)</f>
        <v>61.79</v>
      </c>
      <c r="Y88" s="55">
        <f>_xll.EQNXTDZ($A$1,$B88,Y$1,$B$1)</f>
        <v>49.93</v>
      </c>
      <c r="Z88" s="55">
        <f>_xll.EQNXTDZ($A$1,$B88,Z$1,$B$1)</f>
        <v>54.92</v>
      </c>
      <c r="AA88" s="55">
        <f>_xll.EQNXTDZ($A$1,$B88,AA$1,$B$1)</f>
        <v>61.41</v>
      </c>
      <c r="AB88" s="55">
        <f>_xll.EQNXTDZ($A$1,$B88,AB$1,$B$1)</f>
        <v>92.83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228</v>
      </c>
      <c r="B89" t="s">
        <v>232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229</v>
      </c>
      <c r="B90" t="s">
        <v>233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237</v>
      </c>
      <c r="B91" t="s">
        <v>234</v>
      </c>
      <c r="C91" s="55">
        <f>_xll.EQNXTDZ($A$1,$B91,C$1,$B$1)</f>
        <v>0</v>
      </c>
      <c r="D91" s="55">
        <f>_xll.EQNXTDZ($A$1,$B91,D$1,$B$1)</f>
        <v>0.55674210000000002</v>
      </c>
      <c r="E91" s="55">
        <f>_xll.EQNXTDZ($A$1,$B91,E$1,$B$1)</f>
        <v>0.55674210000000002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236</v>
      </c>
      <c r="B92" t="s">
        <v>235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82</v>
      </c>
      <c r="B93" t="s">
        <v>244</v>
      </c>
      <c r="C93" s="55">
        <f>_xll.EQNXTDZ($A$1,$B93,C$1,$B$1)</f>
        <v>0</v>
      </c>
      <c r="D93" s="55">
        <f>_xll.EQNXTDZ($A$1,$B93,D$1,$B$1)</f>
        <v>0.17019999999999999</v>
      </c>
      <c r="E93" s="55">
        <f>_xll.EQNXTDZ($A$1,$B93,E$1,$B$1)</f>
        <v>0.1968</v>
      </c>
      <c r="F93" s="55">
        <f>_xll.EQNXTDZ($A$1,$B93,F$1,$B$1)</f>
        <v>4.3571</v>
      </c>
      <c r="G93" s="55">
        <f>_xll.EQNXTDZ($A$1,$B93,G$1,$B$1)</f>
        <v>4.2058999999999997</v>
      </c>
      <c r="H93" s="55">
        <f>_xll.EQNXTDZ($A$1,$B93,H$1,$B$1)</f>
        <v>4.2694000000000001</v>
      </c>
      <c r="I93" s="55">
        <f>_xll.EQNXTDZ($A$1,$B93,I$1,$B$1)</f>
        <v>0.50939999999999996</v>
      </c>
      <c r="J93" s="55">
        <f>_xll.EQNXTDZ($A$1,$B93,J$1,$B$1)</f>
        <v>0.4249</v>
      </c>
      <c r="K93" s="55">
        <f>_xll.EQNXTDZ($A$1,$B93,K$1,$B$1)</f>
        <v>0.24890000000000001</v>
      </c>
      <c r="L93" s="55">
        <f>_xll.EQNXTDZ($A$1,$B93,L$1,$B$1)</f>
        <v>0.24890000000000001</v>
      </c>
      <c r="M93" s="55">
        <f>_xll.EQNXTDZ($A$1,$B93,M$1,$B$1)</f>
        <v>0.21</v>
      </c>
      <c r="N93" s="55">
        <f>_xll.EQNXTDZ($A$1,$B93,N$1,$B$1)</f>
        <v>0.21</v>
      </c>
      <c r="O93" s="55">
        <f>_xll.EQNXTDZ($A$1,$B93,O$1,$B$1)</f>
        <v>0.21</v>
      </c>
      <c r="P93" s="55">
        <f>_xll.EQNXTDZ($A$1,$B93,P$1,$B$1)</f>
        <v>7.17</v>
      </c>
      <c r="Q93" s="55">
        <f>_xll.EQNXTDZ($A$1,$B93,Q$1,$B$1)</f>
        <v>11.41</v>
      </c>
      <c r="R93" s="55">
        <f>_xll.EQNXTDZ($A$1,$B93,R$1,$B$1)</f>
        <v>10.210000000000001</v>
      </c>
      <c r="S93" s="55">
        <f>_xll.EQNXTDZ($A$1,$B93,S$1,$B$1)</f>
        <v>11.88</v>
      </c>
      <c r="T93" s="55">
        <f>_xll.EQNXTDZ($A$1,$B93,T$1,$B$1)</f>
        <v>19.95</v>
      </c>
      <c r="U93" s="55">
        <f>_xll.EQNXTDZ($A$1,$B93,U$1,$B$1)</f>
        <v>14.28</v>
      </c>
      <c r="V93" s="55">
        <f>_xll.EQNXTDZ($A$1,$B93,V$1,$B$1)</f>
        <v>11.01</v>
      </c>
      <c r="W93" s="55">
        <f>_xll.EQNXTDZ($A$1,$B93,W$1,$B$1)</f>
        <v>11.74</v>
      </c>
      <c r="X93" s="55">
        <f>_xll.EQNXTDZ($A$1,$B93,X$1,$B$1)</f>
        <v>8.8000000000000007</v>
      </c>
      <c r="Y93" s="55">
        <f>_xll.EQNXTDZ($A$1,$B93,Y$1,$B$1)</f>
        <v>3.49</v>
      </c>
      <c r="Z93" s="55">
        <f>_xll.EQNXTDZ($A$1,$B93,Z$1,$B$1)</f>
        <v>2.96</v>
      </c>
      <c r="AA93" s="55">
        <f>_xll.EQNXTDZ($A$1,$B93,AA$1,$B$1)</f>
        <v>2.96</v>
      </c>
      <c r="AB93" s="55">
        <f>_xll.EQNXTDZ($A$1,$B93,AB$1,$B$1)</f>
        <v>2.96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239</v>
      </c>
      <c r="B94" t="s">
        <v>245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81</v>
      </c>
      <c r="B95" t="s">
        <v>246</v>
      </c>
      <c r="C95" s="55">
        <f>_xll.EQNXTDZ($A$1,$B95,C$1,$B$1)</f>
        <v>19.0092</v>
      </c>
      <c r="D95" s="55">
        <f>_xll.EQNXTDZ($A$1,$B95,D$1,$B$1)</f>
        <v>1.0731999999999999</v>
      </c>
      <c r="E95" s="55">
        <f>_xll.EQNXTDZ($A$1,$B95,E$1,$B$1)</f>
        <v>1.0713999999999999</v>
      </c>
      <c r="F95" s="55">
        <f>_xll.EQNXTDZ($A$1,$B95,F$1,$B$1)</f>
        <v>4.4154999999999998</v>
      </c>
      <c r="G95" s="55">
        <f>_xll.EQNXTDZ($A$1,$B95,G$1,$B$1)</f>
        <v>20.8065</v>
      </c>
      <c r="H95" s="55">
        <f>_xll.EQNXTDZ($A$1,$B95,H$1,$B$1)</f>
        <v>6.8936999999999999</v>
      </c>
      <c r="I95" s="55">
        <f>_xll.EQNXTDZ($A$1,$B95,I$1,$B$1)</f>
        <v>1.4834000000000001</v>
      </c>
      <c r="J95" s="55">
        <f>_xll.EQNXTDZ($A$1,$B95,J$1,$B$1)</f>
        <v>1.7129000000000001</v>
      </c>
      <c r="K95" s="55">
        <f>_xll.EQNXTDZ($A$1,$B95,K$1,$B$1)</f>
        <v>17.351299999999998</v>
      </c>
      <c r="L95" s="55">
        <f>_xll.EQNXTDZ($A$1,$B95,L$1,$B$1)</f>
        <v>17.351299999999998</v>
      </c>
      <c r="M95" s="55">
        <f>_xll.EQNXTDZ($A$1,$B95,M$1,$B$1)</f>
        <v>30.67</v>
      </c>
      <c r="N95" s="55">
        <f>_xll.EQNXTDZ($A$1,$B95,N$1,$B$1)</f>
        <v>28.11</v>
      </c>
      <c r="O95" s="55">
        <f>_xll.EQNXTDZ($A$1,$B95,O$1,$B$1)</f>
        <v>24.99</v>
      </c>
      <c r="P95" s="55">
        <f>_xll.EQNXTDZ($A$1,$B95,P$1,$B$1)</f>
        <v>0</v>
      </c>
      <c r="Q95" s="55">
        <f>_xll.EQNXTDZ($A$1,$B95,Q$1,$B$1)</f>
        <v>13.69</v>
      </c>
      <c r="R95" s="55">
        <f>_xll.EQNXTDZ($A$1,$B95,R$1,$B$1)</f>
        <v>9.51</v>
      </c>
      <c r="S95" s="55">
        <f>_xll.EQNXTDZ($A$1,$B95,S$1,$B$1)</f>
        <v>4.25</v>
      </c>
      <c r="T95" s="55">
        <f>_xll.EQNXTDZ($A$1,$B95,T$1,$B$1)</f>
        <v>4.26</v>
      </c>
      <c r="U95" s="55">
        <f>_xll.EQNXTDZ($A$1,$B95,U$1,$B$1)</f>
        <v>3.38</v>
      </c>
      <c r="V95" s="55">
        <f>_xll.EQNXTDZ($A$1,$B95,V$1,$B$1)</f>
        <v>3.48</v>
      </c>
      <c r="W95" s="55">
        <f>_xll.EQNXTDZ($A$1,$B95,W$1,$B$1)</f>
        <v>3.65</v>
      </c>
      <c r="X95" s="55">
        <f>_xll.EQNXTDZ($A$1,$B95,X$1,$B$1)</f>
        <v>4.13</v>
      </c>
      <c r="Y95" s="55">
        <f>_xll.EQNXTDZ($A$1,$B95,Y$1,$B$1)</f>
        <v>6.17</v>
      </c>
      <c r="Z95" s="55">
        <f>_xll.EQNXTDZ($A$1,$B95,Z$1,$B$1)</f>
        <v>117.04</v>
      </c>
      <c r="AA95" s="55">
        <f>_xll.EQNXTDZ($A$1,$B95,AA$1,$B$1)</f>
        <v>90.54</v>
      </c>
      <c r="AB95" s="55">
        <f>_xll.EQNXTDZ($A$1,$B95,AB$1,$B$1)</f>
        <v>86.24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240</v>
      </c>
      <c r="B96" t="s">
        <v>247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241</v>
      </c>
      <c r="B97" t="s">
        <v>248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0.54600000000000004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7.76</v>
      </c>
      <c r="N97" s="55">
        <f>_xll.EQNXTDZ($A$1,$B97,N$1,$B$1)</f>
        <v>12.59</v>
      </c>
      <c r="O97" s="55">
        <f>_xll.EQNXTDZ($A$1,$B97,O$1,$B$1)</f>
        <v>8.23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0.45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242</v>
      </c>
      <c r="B98" t="s">
        <v>249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243</v>
      </c>
      <c r="B99" t="s">
        <v>250</v>
      </c>
      <c r="C99" s="55">
        <f>_xll.EQNXTDZ($A$1,$B99,C$1,$B$1)</f>
        <v>2.923</v>
      </c>
      <c r="D99" s="55">
        <f>_xll.EQNXTDZ($A$1,$B99,D$1,$B$1)</f>
        <v>4.4999999999999998E-2</v>
      </c>
      <c r="E99" s="55">
        <f>_xll.EQNXTDZ($A$1,$B99,E$1,$B$1)</f>
        <v>10.0352</v>
      </c>
      <c r="F99" s="55">
        <f>_xll.EQNXTDZ($A$1,$B99,F$1,$B$1)</f>
        <v>3.9863</v>
      </c>
      <c r="G99" s="55">
        <f>_xll.EQNXTDZ($A$1,$B99,G$1,$B$1)</f>
        <v>18.543900000000001</v>
      </c>
      <c r="H99" s="55">
        <f>_xll.EQNXTDZ($A$1,$B99,H$1,$B$1)</f>
        <v>132.71680000000001</v>
      </c>
      <c r="I99" s="55">
        <f>_xll.EQNXTDZ($A$1,$B99,I$1,$B$1)</f>
        <v>69.255700000000004</v>
      </c>
      <c r="J99" s="55">
        <f>_xll.EQNXTDZ($A$1,$B99,J$1,$B$1)</f>
        <v>18.8218</v>
      </c>
      <c r="K99" s="55">
        <f>_xll.EQNXTDZ($A$1,$B99,K$1,$B$1)</f>
        <v>2.8289</v>
      </c>
      <c r="L99" s="55">
        <f>_xll.EQNXTDZ($A$1,$B99,L$1,$B$1)</f>
        <v>10.5959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109</v>
      </c>
      <c r="B103" t="s">
        <v>110</v>
      </c>
      <c r="C103" s="55"/>
    </row>
    <row r="104" spans="1:32" x14ac:dyDescent="0.25">
      <c r="A104" t="s">
        <v>313</v>
      </c>
      <c r="B104" t="s">
        <v>319</v>
      </c>
      <c r="C104" s="55">
        <f>_xll.EQNXTDZ($A$1,$B104,C$1,$B$1)</f>
        <v>16.4359</v>
      </c>
      <c r="D104" s="55">
        <f>_xll.EQNXTDZ($A$1,$B104,D$1,$B$1)</f>
        <v>16.4359</v>
      </c>
      <c r="E104" s="55">
        <f>_xll.EQNXTDZ($A$1,$B104,E$1,$B$1)</f>
        <v>16.4359</v>
      </c>
      <c r="F104" s="55">
        <f>_xll.EQNXTDZ($A$1,$B104,F$1,$B$1)</f>
        <v>24.650452000000001</v>
      </c>
      <c r="G104" s="55">
        <f>_xll.EQNXTDZ($A$1,$B104,G$1,$B$1)</f>
        <v>24.650452000000001</v>
      </c>
      <c r="H104" s="55">
        <f>_xll.EQNXTDZ($A$1,$B104,H$1,$B$1)</f>
        <v>33.329230000000003</v>
      </c>
      <c r="I104" s="55">
        <f>_xll.EQNXTDZ($A$1,$B104,I$1,$B$1)</f>
        <v>39.421559000000002</v>
      </c>
      <c r="J104" s="55">
        <f>_xll.EQNXTDZ($A$1,$B104,J$1,$B$1)</f>
        <v>39.421559000000002</v>
      </c>
      <c r="K104" s="55">
        <f>_xll.EQNXTDZ($A$1,$B104,K$1,$B$1)</f>
        <v>39.421559000000002</v>
      </c>
      <c r="L104" s="55">
        <f>_xll.EQNXTDZ($A$1,$B104,L$1,$B$1)</f>
        <v>39.421559000000002</v>
      </c>
      <c r="M104" s="55">
        <f>_xll.EQNXTDZ($A$1,$B104,M$1,$B$1)</f>
        <v>39.42</v>
      </c>
      <c r="N104" s="55">
        <f>_xll.EQNXTDZ($A$1,$B104,N$1,$B$1)</f>
        <v>39.42</v>
      </c>
      <c r="O104" s="55">
        <f>_xll.EQNXTDZ($A$1,$B104,O$1,$B$1)</f>
        <v>39.42</v>
      </c>
      <c r="P104" s="55">
        <f>_xll.EQNXTDZ($A$1,$B104,P$1,$B$1)</f>
        <v>39.42</v>
      </c>
      <c r="Q104" s="55">
        <f>_xll.EQNXTDZ($A$1,$B104,Q$1,$B$1)</f>
        <v>39.42</v>
      </c>
      <c r="R104" s="55">
        <f>_xll.EQNXTDZ($A$1,$B104,R$1,$B$1)</f>
        <v>39.42</v>
      </c>
      <c r="S104" s="55">
        <f>_xll.EQNXTDZ($A$1,$B104,S$1,$B$1)</f>
        <v>39.42</v>
      </c>
      <c r="T104" s="55">
        <f>_xll.EQNXTDZ($A$1,$B104,T$1,$B$1)</f>
        <v>39.42</v>
      </c>
      <c r="U104" s="55">
        <f>_xll.EQNXTDZ($A$1,$B104,U$1,$B$1)</f>
        <v>39.42</v>
      </c>
      <c r="V104" s="55">
        <f>_xll.EQNXTDZ($A$1,$B104,V$1,$B$1)</f>
        <v>39.42</v>
      </c>
      <c r="W104" s="55">
        <f>_xll.EQNXTDZ($A$1,$B104,W$1,$B$1)</f>
        <v>43.42</v>
      </c>
      <c r="X104" s="55">
        <f>_xll.EQNXTDZ($A$1,$B104,X$1,$B$1)</f>
        <v>43.42</v>
      </c>
      <c r="Y104" s="55">
        <f>_xll.EQNXTDZ($A$1,$B104,Y$1,$B$1)</f>
        <v>45.05</v>
      </c>
      <c r="Z104" s="55">
        <f>_xll.EQNXTDZ($A$1,$B104,Z$1,$B$1)</f>
        <v>50.25</v>
      </c>
      <c r="AA104" s="55">
        <f>_xll.EQNXTDZ($A$1,$B104,AA$1,$B$1)</f>
        <v>50.25</v>
      </c>
      <c r="AB104" s="55">
        <f>_xll.EQNXTDZ($A$1,$B104,AB$1,$B$1)</f>
        <v>50.25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314</v>
      </c>
      <c r="B105" t="s">
        <v>320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315</v>
      </c>
      <c r="B106" t="s">
        <v>321</v>
      </c>
      <c r="C106" s="55">
        <f>_xll.EQNXTDZ($A$1,$B106,C$1,$B$1)</f>
        <v>9.0231213872832399</v>
      </c>
      <c r="D106" s="55">
        <f>_xll.EQNXTDZ($A$1,$B106,D$1,$B$1)</f>
        <v>7.2184971098265898</v>
      </c>
      <c r="E106" s="55">
        <f>_xll.EQNXTDZ($A$1,$B106,E$1,$B$1)</f>
        <v>8.5934489402697505</v>
      </c>
      <c r="F106" s="55">
        <f>_xll.EQNXTDZ($A$1,$B106,F$1,$B$1)</f>
        <v>16.5</v>
      </c>
      <c r="G106" s="55">
        <f>_xll.EQNXTDZ($A$1,$B106,G$1,$B$1)</f>
        <v>34.299999999999997</v>
      </c>
      <c r="H106" s="55">
        <f>_xll.EQNXTDZ($A$1,$B106,H$1,$B$1)</f>
        <v>75.650000000000006</v>
      </c>
      <c r="I106" s="55">
        <f>_xll.EQNXTDZ($A$1,$B106,I$1,$B$1)</f>
        <v>79.150000000000006</v>
      </c>
      <c r="J106" s="55">
        <f>_xll.EQNXTDZ($A$1,$B106,J$1,$B$1)</f>
        <v>28.1</v>
      </c>
      <c r="K106" s="55">
        <f>_xll.EQNXTDZ($A$1,$B106,K$1,$B$1)</f>
        <v>10.93</v>
      </c>
      <c r="L106" s="55">
        <f>_xll.EQNXTDZ($A$1,$B106,L$1,$B$1)</f>
        <v>29.6</v>
      </c>
      <c r="M106" s="55">
        <f>_xll.EQNXTDZ($A$1,$B106,M$1,$B$1)</f>
        <v>43.85</v>
      </c>
      <c r="N106" s="55">
        <f>_xll.EQNXTDZ($A$1,$B106,N$1,$B$1)</f>
        <v>46.75</v>
      </c>
      <c r="O106" s="55">
        <f>_xll.EQNXTDZ($A$1,$B106,O$1,$B$1)</f>
        <v>34</v>
      </c>
      <c r="P106" s="55">
        <f>_xll.EQNXTDZ($A$1,$B106,P$1,$B$1)</f>
        <v>35.1</v>
      </c>
      <c r="Q106" s="55">
        <f>_xll.EQNXTDZ($A$1,$B106,Q$1,$B$1)</f>
        <v>78.150000000000006</v>
      </c>
      <c r="R106" s="55">
        <f>_xll.EQNXTDZ($A$1,$B106,R$1,$B$1)</f>
        <v>249.1</v>
      </c>
      <c r="S106" s="55">
        <f>_xll.EQNXTDZ($A$1,$B106,S$1,$B$1)</f>
        <v>276.05</v>
      </c>
      <c r="T106" s="55">
        <f>_xll.EQNXTDZ($A$1,$B106,T$1,$B$1)</f>
        <v>119.5</v>
      </c>
      <c r="U106" s="55">
        <f>_xll.EQNXTDZ($A$1,$B106,U$1,$B$1)</f>
        <v>65.55</v>
      </c>
      <c r="V106" s="55">
        <f>_xll.EQNXTDZ($A$1,$B106,V$1,$B$1)</f>
        <v>35.299999999999997</v>
      </c>
      <c r="W106" s="55">
        <f>_xll.EQNXTDZ($A$1,$B106,W$1,$B$1)</f>
        <v>73.55</v>
      </c>
      <c r="X106" s="55">
        <f>_xll.EQNXTDZ($A$1,$B106,X$1,$B$1)</f>
        <v>258.45</v>
      </c>
      <c r="Y106" s="55">
        <f>_xll.EQNXTDZ($A$1,$B106,Y$1,$B$1)</f>
        <v>215.4</v>
      </c>
      <c r="Z106" s="55">
        <f>_xll.EQNXTDZ($A$1,$B106,Z$1,$B$1)</f>
        <v>438.55</v>
      </c>
      <c r="AA106" s="55">
        <f>_xll.EQNXTDZ($A$1,$B106,AA$1,$B$1)</f>
        <v>436.5</v>
      </c>
      <c r="AB106" s="55">
        <f>_xll.EQNXTDZ($A$1,$B106,AB$1,$B$1)</f>
        <v>415.8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316</v>
      </c>
      <c r="B107" t="s">
        <v>322</v>
      </c>
      <c r="C107" s="55">
        <f>_xll.EQNXTDZ($A$1,$B107,C$1,$B$1)</f>
        <v>23.589017341040499</v>
      </c>
      <c r="D107" s="55">
        <f>_xll.EQNXTDZ($A$1,$B107,D$1,$B$1)</f>
        <v>11.8589595375723</v>
      </c>
      <c r="E107" s="55">
        <f>_xll.EQNXTDZ($A$1,$B107,E$1,$B$1)</f>
        <v>18.475915221579999</v>
      </c>
      <c r="F107" s="55">
        <f>_xll.EQNXTDZ($A$1,$B107,F$1,$B$1)</f>
        <v>40.5</v>
      </c>
      <c r="G107" s="55">
        <f>_xll.EQNXTDZ($A$1,$B107,G$1,$B$1)</f>
        <v>42.25</v>
      </c>
      <c r="H107" s="55">
        <f>_xll.EQNXTDZ($A$1,$B107,H$1,$B$1)</f>
        <v>96</v>
      </c>
      <c r="I107" s="55">
        <f>_xll.EQNXTDZ($A$1,$B107,I$1,$B$1)</f>
        <v>103</v>
      </c>
      <c r="J107" s="55">
        <f>_xll.EQNXTDZ($A$1,$B107,J$1,$B$1)</f>
        <v>90.9</v>
      </c>
      <c r="K107" s="55">
        <f>_xll.EQNXTDZ($A$1,$B107,K$1,$B$1)</f>
        <v>39</v>
      </c>
      <c r="L107" s="55">
        <f>_xll.EQNXTDZ($A$1,$B107,L$1,$B$1)</f>
        <v>39</v>
      </c>
      <c r="M107" s="55">
        <f>_xll.EQNXTDZ($A$1,$B107,M$1,$B$1)</f>
        <v>63</v>
      </c>
      <c r="N107" s="55">
        <f>_xll.EQNXTDZ($A$1,$B107,N$1,$B$1)</f>
        <v>55</v>
      </c>
      <c r="O107" s="55">
        <f>_xll.EQNXTDZ($A$1,$B107,O$1,$B$1)</f>
        <v>66.900000000000006</v>
      </c>
      <c r="P107" s="55">
        <f>_xll.EQNXTDZ($A$1,$B107,P$1,$B$1)</f>
        <v>52.5</v>
      </c>
      <c r="Q107" s="55">
        <f>_xll.EQNXTDZ($A$1,$B107,Q$1,$B$1)</f>
        <v>107.5</v>
      </c>
      <c r="R107" s="55">
        <f>_xll.EQNXTDZ($A$1,$B107,R$1,$B$1)</f>
        <v>324</v>
      </c>
      <c r="S107" s="55">
        <f>_xll.EQNXTDZ($A$1,$B107,S$1,$B$1)</f>
        <v>325</v>
      </c>
      <c r="T107" s="55">
        <f>_xll.EQNXTDZ($A$1,$B107,T$1,$B$1)</f>
        <v>324</v>
      </c>
      <c r="U107" s="55">
        <f>_xll.EQNXTDZ($A$1,$B107,U$1,$B$1)</f>
        <v>141.85</v>
      </c>
      <c r="V107" s="55">
        <f>_xll.EQNXTDZ($A$1,$B107,V$1,$B$1)</f>
        <v>70.5</v>
      </c>
      <c r="W107" s="55">
        <f>_xll.EQNXTDZ($A$1,$B107,W$1,$B$1)</f>
        <v>103.75</v>
      </c>
      <c r="X107" s="55">
        <f>_xll.EQNXTDZ($A$1,$B107,X$1,$B$1)</f>
        <v>423.4</v>
      </c>
      <c r="Y107" s="55">
        <f>_xll.EQNXTDZ($A$1,$B107,Y$1,$B$1)</f>
        <v>422</v>
      </c>
      <c r="Z107" s="55">
        <f>_xll.EQNXTDZ($A$1,$B107,Z$1,$B$1)</f>
        <v>627.20000000000005</v>
      </c>
      <c r="AA107" s="55">
        <f>_xll.EQNXTDZ($A$1,$B107,AA$1,$B$1)</f>
        <v>498.2</v>
      </c>
      <c r="AB107" s="55">
        <f>_xll.EQNXTDZ($A$1,$B107,AB$1,$B$1)</f>
        <v>524.1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317</v>
      </c>
      <c r="B108" t="s">
        <v>323</v>
      </c>
      <c r="C108" s="55">
        <f>_xll.EQNXTDZ($A$1,$B108,C$1,$B$1)</f>
        <v>8.8942196531791904</v>
      </c>
      <c r="D108" s="55">
        <f>_xll.EQNXTDZ($A$1,$B108,D$1,$B$1)</f>
        <v>6.1872832369942197</v>
      </c>
      <c r="E108" s="55">
        <f>_xll.EQNXTDZ($A$1,$B108,E$1,$B$1)</f>
        <v>6.5739884393063601</v>
      </c>
      <c r="F108" s="55">
        <f>_xll.EQNXTDZ($A$1,$B108,F$1,$B$1)</f>
        <v>8.5934489402697505</v>
      </c>
      <c r="G108" s="55">
        <f>_xll.EQNXTDZ($A$1,$B108,G$1,$B$1)</f>
        <v>14.75</v>
      </c>
      <c r="H108" s="55">
        <f>_xll.EQNXTDZ($A$1,$B108,H$1,$B$1)</f>
        <v>33</v>
      </c>
      <c r="I108" s="55">
        <f>_xll.EQNXTDZ($A$1,$B108,I$1,$B$1)</f>
        <v>50.1</v>
      </c>
      <c r="J108" s="55">
        <f>_xll.EQNXTDZ($A$1,$B108,J$1,$B$1)</f>
        <v>24.05</v>
      </c>
      <c r="K108" s="55">
        <f>_xll.EQNXTDZ($A$1,$B108,K$1,$B$1)</f>
        <v>8.01</v>
      </c>
      <c r="L108" s="55">
        <f>_xll.EQNXTDZ($A$1,$B108,L$1,$B$1)</f>
        <v>10.5</v>
      </c>
      <c r="M108" s="55">
        <f>_xll.EQNXTDZ($A$1,$B108,M$1,$B$1)</f>
        <v>29.1</v>
      </c>
      <c r="N108" s="55">
        <f>_xll.EQNXTDZ($A$1,$B108,N$1,$B$1)</f>
        <v>26.45</v>
      </c>
      <c r="O108" s="55">
        <f>_xll.EQNXTDZ($A$1,$B108,O$1,$B$1)</f>
        <v>33</v>
      </c>
      <c r="P108" s="55">
        <f>_xll.EQNXTDZ($A$1,$B108,P$1,$B$1)</f>
        <v>26</v>
      </c>
      <c r="Q108" s="55">
        <f>_xll.EQNXTDZ($A$1,$B108,Q$1,$B$1)</f>
        <v>33.65</v>
      </c>
      <c r="R108" s="55">
        <f>_xll.EQNXTDZ($A$1,$B108,R$1,$B$1)</f>
        <v>71.5</v>
      </c>
      <c r="S108" s="55">
        <f>_xll.EQNXTDZ($A$1,$B108,S$1,$B$1)</f>
        <v>225</v>
      </c>
      <c r="T108" s="55">
        <f>_xll.EQNXTDZ($A$1,$B108,T$1,$B$1)</f>
        <v>118.2</v>
      </c>
      <c r="U108" s="55">
        <f>_xll.EQNXTDZ($A$1,$B108,U$1,$B$1)</f>
        <v>53.7</v>
      </c>
      <c r="V108" s="55">
        <f>_xll.EQNXTDZ($A$1,$B108,V$1,$B$1)</f>
        <v>32.15</v>
      </c>
      <c r="W108" s="55">
        <f>_xll.EQNXTDZ($A$1,$B108,W$1,$B$1)</f>
        <v>34.549999999999997</v>
      </c>
      <c r="X108" s="55">
        <f>_xll.EQNXTDZ($A$1,$B108,X$1,$B$1)</f>
        <v>73.55</v>
      </c>
      <c r="Y108" s="55">
        <f>_xll.EQNXTDZ($A$1,$B108,Y$1,$B$1)</f>
        <v>185</v>
      </c>
      <c r="Z108" s="55">
        <f>_xll.EQNXTDZ($A$1,$B108,Z$1,$B$1)</f>
        <v>218</v>
      </c>
      <c r="AA108" s="55">
        <f>_xll.EQNXTDZ($A$1,$B108,AA$1,$B$1)</f>
        <v>295.25</v>
      </c>
      <c r="AB108" s="55">
        <f>_xll.EQNXTDZ($A$1,$B108,AB$1,$B$1)</f>
        <v>340.9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318</v>
      </c>
      <c r="B109" t="s">
        <v>324</v>
      </c>
      <c r="C109" s="55">
        <f>_xll.EQNXTDZ($A$1,$B109,C$1,$B$1)</f>
        <v>17.257694999999998</v>
      </c>
      <c r="D109" s="55">
        <f>_xll.EQNXTDZ($A$1,$B109,D$1,$B$1)</f>
        <v>13.806156</v>
      </c>
      <c r="E109" s="55">
        <f>_xll.EQNXTDZ($A$1,$B109,E$1,$B$1)</f>
        <v>16.4359</v>
      </c>
      <c r="F109" s="55">
        <f>_xll.EQNXTDZ($A$1,$B109,F$1,$B$1)</f>
        <v>40.673245799999997</v>
      </c>
      <c r="G109" s="55">
        <f>_xll.EQNXTDZ($A$1,$B109,G$1,$B$1)</f>
        <v>84.551050360000005</v>
      </c>
      <c r="H109" s="55">
        <f>_xll.EQNXTDZ($A$1,$B109,H$1,$B$1)</f>
        <v>252.13562494999999</v>
      </c>
      <c r="I109" s="55">
        <f>_xll.EQNXTDZ($A$1,$B109,I$1,$B$1)</f>
        <v>312.02163948499998</v>
      </c>
      <c r="J109" s="55">
        <f>_xll.EQNXTDZ($A$1,$B109,J$1,$B$1)</f>
        <v>110.77458079</v>
      </c>
      <c r="K109" s="55">
        <f>_xll.EQNXTDZ($A$1,$B109,K$1,$B$1)</f>
        <v>43.087763987000002</v>
      </c>
      <c r="L109" s="55">
        <f>_xll.EQNXTDZ($A$1,$B109,L$1,$B$1)</f>
        <v>116.68781464</v>
      </c>
      <c r="M109" s="55">
        <f>_xll.EQNXTDZ($A$1,$B109,M$1,$B$1)</f>
        <v>172.85669999999999</v>
      </c>
      <c r="N109" s="55">
        <f>_xll.EQNXTDZ($A$1,$B109,N$1,$B$1)</f>
        <v>184.2885</v>
      </c>
      <c r="O109" s="55">
        <f>_xll.EQNXTDZ($A$1,$B109,O$1,$B$1)</f>
        <v>134.02799999999999</v>
      </c>
      <c r="P109" s="55">
        <f>_xll.EQNXTDZ($A$1,$B109,P$1,$B$1)</f>
        <v>138.36420000000001</v>
      </c>
      <c r="Q109" s="55">
        <f>_xll.EQNXTDZ($A$1,$B109,Q$1,$B$1)</f>
        <v>308.06729999999999</v>
      </c>
      <c r="R109" s="55">
        <f>_xll.EQNXTDZ($A$1,$B109,R$1,$B$1)</f>
        <v>981.95219999999995</v>
      </c>
      <c r="S109" s="55">
        <f>_xll.EQNXTDZ($A$1,$B109,S$1,$B$1)</f>
        <v>1088.1891000000001</v>
      </c>
      <c r="T109" s="55">
        <f>_xll.EQNXTDZ($A$1,$B109,T$1,$B$1)</f>
        <v>471.06900000000002</v>
      </c>
      <c r="U109" s="55">
        <f>_xll.EQNXTDZ($A$1,$B109,U$1,$B$1)</f>
        <v>258.3981</v>
      </c>
      <c r="V109" s="55">
        <f>_xll.EQNXTDZ($A$1,$B109,V$1,$B$1)</f>
        <v>139.15260000000001</v>
      </c>
      <c r="W109" s="55">
        <f>_xll.EQNXTDZ($A$1,$B109,W$1,$B$1)</f>
        <v>319.35410000000002</v>
      </c>
      <c r="X109" s="55">
        <f>_xll.EQNXTDZ($A$1,$B109,X$1,$B$1)</f>
        <v>1122.1899000000001</v>
      </c>
      <c r="Y109" s="55">
        <f>_xll.EQNXTDZ($A$1,$B109,Y$1,$B$1)</f>
        <v>970.37699999999995</v>
      </c>
      <c r="Z109" s="55">
        <f>_xll.EQNXTDZ($A$1,$B109,Z$1,$B$1)</f>
        <v>2203.7137499999999</v>
      </c>
      <c r="AA109" s="55">
        <f>_xll.EQNXTDZ($A$1,$B109,AA$1,$B$1)</f>
        <v>2193.4124999999999</v>
      </c>
      <c r="AB109" s="55">
        <f>_xll.EQNXTDZ($A$1,$B109,AB$1,$B$1)</f>
        <v>2089.395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325</v>
      </c>
      <c r="B110" t="s">
        <v>327</v>
      </c>
      <c r="C110" s="55">
        <f>_xll.EQNXTDZ($A$1,$B110,C$1,$B$1)</f>
        <v>0.86206896551724099</v>
      </c>
      <c r="D110" s="55">
        <f>_xll.EQNXTDZ($A$1,$B110,D$1,$B$1)</f>
        <v>0</v>
      </c>
      <c r="E110" s="55">
        <f>_xll.EQNXTDZ($A$1,$B110,E$1,$B$1)</f>
        <v>0.68965517241379304</v>
      </c>
      <c r="F110" s="55">
        <f>_xll.EQNXTDZ($A$1,$B110,F$1,$B$1)</f>
        <v>0.8</v>
      </c>
      <c r="G110" s="55">
        <f>_xll.EQNXTDZ($A$1,$B110,G$1,$B$1)</f>
        <v>1.1000000000000001</v>
      </c>
      <c r="H110" s="55">
        <f>_xll.EQNXTDZ($A$1,$B110,H$1,$B$1)</f>
        <v>1.5</v>
      </c>
      <c r="I110" s="55">
        <f>_xll.EQNXTDZ($A$1,$B110,I$1,$B$1)</f>
        <v>1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1</v>
      </c>
      <c r="M110" s="55">
        <f>_xll.EQNXTDZ($A$1,$B110,M$1,$B$1)</f>
        <v>1.5</v>
      </c>
      <c r="N110" s="55">
        <f>_xll.EQNXTDZ($A$1,$B110,N$1,$B$1)</f>
        <v>1</v>
      </c>
      <c r="O110" s="55">
        <f>_xll.EQNXTDZ($A$1,$B110,O$1,$B$1)</f>
        <v>1.2</v>
      </c>
      <c r="P110" s="55">
        <f>_xll.EQNXTDZ($A$1,$B110,P$1,$B$1)</f>
        <v>1.5</v>
      </c>
      <c r="Q110" s="55">
        <f>_xll.EQNXTDZ($A$1,$B110,Q$1,$B$1)</f>
        <v>2</v>
      </c>
      <c r="R110" s="55">
        <f>_xll.EQNXTDZ($A$1,$B110,R$1,$B$1)</f>
        <v>2</v>
      </c>
      <c r="S110" s="55">
        <f>_xll.EQNXTDZ($A$1,$B110,S$1,$B$1)</f>
        <v>2</v>
      </c>
      <c r="T110" s="55">
        <f>_xll.EQNXTDZ($A$1,$B110,T$1,$B$1)</f>
        <v>1</v>
      </c>
      <c r="U110" s="55">
        <f>_xll.EQNXTDZ($A$1,$B110,U$1,$B$1)</f>
        <v>1</v>
      </c>
      <c r="V110" s="55">
        <f>_xll.EQNXTDZ($A$1,$B110,V$1,$B$1)</f>
        <v>1</v>
      </c>
      <c r="W110" s="55">
        <f>_xll.EQNXTDZ($A$1,$B110,W$1,$B$1)</f>
        <v>1</v>
      </c>
      <c r="X110" s="55">
        <f>_xll.EQNXTDZ($A$1,$B110,X$1,$B$1)</f>
        <v>2</v>
      </c>
      <c r="Y110" s="55">
        <f>_xll.EQNXTDZ($A$1,$B110,Y$1,$B$1)</f>
        <v>2</v>
      </c>
      <c r="Z110" s="55">
        <f>_xll.EQNXTDZ($A$1,$B110,Z$1,$B$1)</f>
        <v>2</v>
      </c>
      <c r="AA110" s="55">
        <f>_xll.EQNXTDZ($A$1,$B110,AA$1,$B$1)</f>
        <v>2</v>
      </c>
      <c r="AB110" s="55">
        <f>_xll.EQNXTDZ($A$1,$B110,AB$1,$B$1)</f>
        <v>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251</v>
      </c>
      <c r="B111" t="s">
        <v>328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326</v>
      </c>
      <c r="B112" t="s">
        <v>329</v>
      </c>
      <c r="C112" s="56">
        <f>_xll.EQNXTDZ($A$1,$B112,C$5)</f>
        <v>51.26</v>
      </c>
      <c r="D112" s="56">
        <f>_xll.EQNXTDZ($A$1,$B112,D$5)</f>
        <v>50.73</v>
      </c>
      <c r="E112" s="56">
        <f>_xll.EQNXTDZ($A$1,$B112,E$5)</f>
        <v>48.69</v>
      </c>
      <c r="F112" s="56">
        <f>_xll.EQNXTDZ($A$1,$B112,F$5)</f>
        <v>41.83</v>
      </c>
      <c r="G112" s="56">
        <f>_xll.EQNXTDZ($A$1,$B112,G$5)</f>
        <v>41.83</v>
      </c>
      <c r="H112" s="56">
        <f>_xll.EQNXTDZ($A$1,$B112,H$5)</f>
        <v>35.44</v>
      </c>
      <c r="I112" s="56">
        <f>_xll.EQNXTDZ($A$1,$B112,I$5)</f>
        <v>36.03</v>
      </c>
      <c r="J112" s="56">
        <f>_xll.EQNXTDZ($A$1,$B112,J$5)</f>
        <v>36.03</v>
      </c>
      <c r="K112" s="56">
        <f>_xll.EQNXTDZ($A$1,$B112,K$5)</f>
        <v>36.03</v>
      </c>
      <c r="L112" s="56">
        <f>_xll.EQNXTDZ($A$1,$B112,L$5)</f>
        <v>36.03</v>
      </c>
      <c r="M112" s="56">
        <f>_xll.EQNXTDZ($A$1,$B112,M$5)</f>
        <v>36.99</v>
      </c>
      <c r="N112" s="56">
        <f>_xll.EQNXTDZ($A$1,$B112,N$5)</f>
        <v>36.99</v>
      </c>
      <c r="O112" s="56">
        <f>_xll.EQNXTDZ($A$1,$B112,O$5)</f>
        <v>38.65</v>
      </c>
      <c r="P112" s="56">
        <f>_xll.EQNXTDZ($A$1,$B112,P$5)</f>
        <v>42.8</v>
      </c>
      <c r="Q112" s="56">
        <f>_xll.EQNXTDZ($A$1,$B112,Q$5)</f>
        <v>42.8</v>
      </c>
      <c r="R112" s="56">
        <f>_xll.EQNXTDZ($A$1,$B112,R$5)</f>
        <v>47.35</v>
      </c>
      <c r="S112" s="56">
        <f>_xll.EQNXTDZ($A$1,$B112,S$5)</f>
        <v>47.35</v>
      </c>
      <c r="T112" s="56">
        <f>_xll.EQNXTDZ($A$1,$B112,T$5)</f>
        <v>47.35</v>
      </c>
      <c r="U112" s="56">
        <f>_xll.EQNXTDZ($A$1,$B112,U$5)</f>
        <v>50.05</v>
      </c>
      <c r="V112" s="56">
        <f>_xll.EQNXTDZ($A$1,$B112,V$5)</f>
        <v>55</v>
      </c>
      <c r="W112" s="56">
        <f>_xll.EQNXTDZ($A$1,$B112,W$5)</f>
        <v>59.15</v>
      </c>
      <c r="X112" s="56">
        <f>_xll.EQNXTDZ($A$1,$B112,X$5)</f>
        <v>61.44</v>
      </c>
      <c r="Y112" s="56">
        <f>_xll.EQNXTDZ($A$1,$B112,Y$5)</f>
        <v>70.28</v>
      </c>
      <c r="Z112" s="56">
        <f>_xll.EQNXTDZ($A$1,$B112,Z$5)</f>
        <v>70.16</v>
      </c>
      <c r="AA112" s="56">
        <f>_xll.EQNXTDZ($A$1,$B112,AA$5)</f>
        <v>70.16</v>
      </c>
      <c r="AB112" s="56">
        <f>_xll.EQNXTDZ($A$1,$B112,AB$5)</f>
        <v>70.52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331</v>
      </c>
      <c r="B113" t="s">
        <v>330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21.26</v>
      </c>
      <c r="N113" s="56">
        <f>_xll.EQNXTDZ($A$1,$B113,N$5)</f>
        <v>21.26</v>
      </c>
      <c r="O113" s="56">
        <f>_xll.EQNXTDZ($A$1,$B113,O$5)</f>
        <v>20.350000000000001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114234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3">
        <v>45901</v>
      </c>
      <c r="FG2" s="183">
        <f>+EOMONTH(FF2,1)</f>
        <v>45961</v>
      </c>
      <c r="FH2" s="183">
        <f t="shared" ref="FH2:HH2" si="0">+EOMONTH(FG2,1)</f>
        <v>45991</v>
      </c>
      <c r="FI2" s="183">
        <f t="shared" si="0"/>
        <v>46022</v>
      </c>
      <c r="FJ2" s="183">
        <f t="shared" si="0"/>
        <v>46053</v>
      </c>
      <c r="FK2" s="183">
        <f t="shared" si="0"/>
        <v>46081</v>
      </c>
      <c r="FL2" s="183">
        <f t="shared" si="0"/>
        <v>46112</v>
      </c>
      <c r="FM2" s="183">
        <f t="shared" si="0"/>
        <v>46142</v>
      </c>
      <c r="FN2" s="183">
        <f t="shared" si="0"/>
        <v>46173</v>
      </c>
      <c r="FO2" s="183">
        <f t="shared" si="0"/>
        <v>46203</v>
      </c>
      <c r="FP2" s="183">
        <f t="shared" si="0"/>
        <v>46234</v>
      </c>
      <c r="FQ2" s="183">
        <f t="shared" si="0"/>
        <v>46265</v>
      </c>
      <c r="FR2" s="183">
        <f t="shared" si="0"/>
        <v>46295</v>
      </c>
      <c r="FS2" s="183">
        <f t="shared" si="0"/>
        <v>46326</v>
      </c>
      <c r="FT2" s="183">
        <f t="shared" si="0"/>
        <v>46356</v>
      </c>
      <c r="FU2" s="183">
        <f t="shared" si="0"/>
        <v>46387</v>
      </c>
      <c r="FV2" s="183">
        <f t="shared" si="0"/>
        <v>46418</v>
      </c>
      <c r="FW2" s="183">
        <f t="shared" si="0"/>
        <v>46446</v>
      </c>
      <c r="FX2" s="183">
        <f t="shared" si="0"/>
        <v>46477</v>
      </c>
      <c r="FY2" s="183">
        <f t="shared" si="0"/>
        <v>46507</v>
      </c>
      <c r="FZ2" s="183">
        <f t="shared" si="0"/>
        <v>46538</v>
      </c>
      <c r="GA2" s="183">
        <f t="shared" si="0"/>
        <v>46568</v>
      </c>
      <c r="GB2" s="183">
        <f t="shared" si="0"/>
        <v>46599</v>
      </c>
      <c r="GC2" s="183">
        <f t="shared" si="0"/>
        <v>46630</v>
      </c>
      <c r="GD2" s="183">
        <f t="shared" si="0"/>
        <v>46660</v>
      </c>
      <c r="GE2" s="183">
        <f t="shared" si="0"/>
        <v>46691</v>
      </c>
      <c r="GF2" s="183">
        <f t="shared" si="0"/>
        <v>46721</v>
      </c>
      <c r="GG2" s="183">
        <f t="shared" si="0"/>
        <v>46752</v>
      </c>
      <c r="GH2" s="183">
        <f t="shared" si="0"/>
        <v>46783</v>
      </c>
      <c r="GI2" s="183">
        <f t="shared" si="0"/>
        <v>46812</v>
      </c>
      <c r="GJ2" s="183">
        <f t="shared" si="0"/>
        <v>46843</v>
      </c>
      <c r="GK2" s="183">
        <f t="shared" si="0"/>
        <v>46873</v>
      </c>
      <c r="GL2" s="183">
        <f t="shared" si="0"/>
        <v>46904</v>
      </c>
      <c r="GM2" s="183">
        <f t="shared" si="0"/>
        <v>46934</v>
      </c>
      <c r="GN2" s="183">
        <f t="shared" si="0"/>
        <v>46965</v>
      </c>
      <c r="GO2" s="183">
        <f t="shared" si="0"/>
        <v>46996</v>
      </c>
      <c r="GP2" s="183">
        <f t="shared" si="0"/>
        <v>47026</v>
      </c>
      <c r="GQ2" s="183">
        <f t="shared" si="0"/>
        <v>47057</v>
      </c>
      <c r="GR2" s="183">
        <f t="shared" si="0"/>
        <v>47087</v>
      </c>
      <c r="GS2" s="183">
        <f t="shared" si="0"/>
        <v>47118</v>
      </c>
      <c r="GT2" s="183">
        <f t="shared" si="0"/>
        <v>47149</v>
      </c>
      <c r="GU2" s="183">
        <f t="shared" si="0"/>
        <v>47177</v>
      </c>
      <c r="GV2" s="183">
        <f t="shared" si="0"/>
        <v>47208</v>
      </c>
      <c r="GW2" s="183">
        <f t="shared" si="0"/>
        <v>47238</v>
      </c>
      <c r="GX2" s="183">
        <f t="shared" si="0"/>
        <v>47269</v>
      </c>
      <c r="GY2" s="183">
        <f t="shared" si="0"/>
        <v>47299</v>
      </c>
      <c r="GZ2" s="183">
        <f t="shared" si="0"/>
        <v>47330</v>
      </c>
      <c r="HA2" s="183">
        <f t="shared" si="0"/>
        <v>47361</v>
      </c>
      <c r="HB2" s="183">
        <f t="shared" si="0"/>
        <v>47391</v>
      </c>
      <c r="HC2" s="183">
        <f t="shared" si="0"/>
        <v>47422</v>
      </c>
      <c r="HD2" s="183">
        <f t="shared" si="0"/>
        <v>47452</v>
      </c>
      <c r="HE2" s="183">
        <f t="shared" si="0"/>
        <v>47483</v>
      </c>
      <c r="HF2" s="183">
        <f t="shared" si="0"/>
        <v>47514</v>
      </c>
      <c r="HG2" s="183">
        <f t="shared" si="0"/>
        <v>47542</v>
      </c>
      <c r="HH2" s="183">
        <f t="shared" si="0"/>
        <v>47573</v>
      </c>
      <c r="HI2" s="183"/>
      <c r="HJ2" s="183"/>
      <c r="HK2" s="183"/>
      <c r="HL2" s="183"/>
    </row>
    <row r="4" spans="1:294" x14ac:dyDescent="0.25">
      <c r="A4" t="s">
        <v>109</v>
      </c>
      <c r="B4" t="s">
        <v>110</v>
      </c>
    </row>
    <row r="5" spans="1:294" x14ac:dyDescent="0.25">
      <c r="A5" t="s">
        <v>413</v>
      </c>
      <c r="B5" t="s">
        <v>415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414</v>
      </c>
      <c r="B6" t="s">
        <v>416</v>
      </c>
      <c r="C6" cm="1">
        <f t="array" ref="C6">_xll.EQNXTDZ($A$1,$B6,C$1)</f>
        <v>44</v>
      </c>
      <c r="D6" cm="1">
        <f t="array" ref="D6">_xll.EQNXTDZ($A$1,$B6,D$1)</f>
        <v>47.1</v>
      </c>
      <c r="E6" cm="1">
        <f t="array" ref="E6">_xll.EQNXTDZ($A$1,$B6,E$1)</f>
        <v>47</v>
      </c>
      <c r="F6" cm="1">
        <f t="array" ref="F6">_xll.EQNXTDZ($A$1,$B6,F$1)</f>
        <v>54.1</v>
      </c>
      <c r="G6" cm="1">
        <f t="array" ref="G6">_xll.EQNXTDZ($A$1,$B6,G$1)</f>
        <v>55.3</v>
      </c>
      <c r="H6" cm="1">
        <f t="array" ref="H6">_xll.EQNXTDZ($A$1,$B6,H$1)</f>
        <v>60.8</v>
      </c>
      <c r="I6" cm="1">
        <f t="array" ref="I6">_xll.EQNXTDZ($A$1,$B6,I$1)</f>
        <v>57</v>
      </c>
      <c r="J6" cm="1">
        <f t="array" ref="J6">_xll.EQNXTDZ($A$1,$B6,J$1)</f>
        <v>50.6</v>
      </c>
      <c r="K6" cm="1">
        <f t="array" ref="K6">_xll.EQNXTDZ($A$1,$B6,K$1)</f>
        <v>53</v>
      </c>
      <c r="L6" cm="1">
        <f t="array" ref="L6">_xll.EQNXTDZ($A$1,$B6,L$1)</f>
        <v>41</v>
      </c>
      <c r="M6" cm="1">
        <f t="array" ref="M6">_xll.EQNXTDZ($A$1,$B6,M$1)</f>
        <v>35</v>
      </c>
      <c r="N6" cm="1">
        <f t="array" ref="N6">_xll.EQNXTDZ($A$1,$B6,N$1)</f>
        <v>40.700000000000003</v>
      </c>
      <c r="O6" cm="1">
        <f t="array" ref="O6">_xll.EQNXTDZ($A$1,$B6,O$1)</f>
        <v>43.4</v>
      </c>
      <c r="P6" cm="1">
        <f t="array" ref="P6">_xll.EQNXTDZ($A$1,$B6,P$1)</f>
        <v>41.1</v>
      </c>
      <c r="Q6" cm="1">
        <f t="array" ref="Q6">_xll.EQNXTDZ($A$1,$B6,Q$1)</f>
        <v>28.2</v>
      </c>
      <c r="R6" cm="1">
        <f t="array" ref="R6">_xll.EQNXTDZ($A$1,$B6,R$1)</f>
        <v>31</v>
      </c>
      <c r="S6" cm="1">
        <f t="array" ref="S6">_xll.EQNXTDZ($A$1,$B6,S$1)</f>
        <v>29.5</v>
      </c>
      <c r="T6" cm="1">
        <f t="array" ref="T6">_xll.EQNXTDZ($A$1,$B6,T$1)</f>
        <v>32.5</v>
      </c>
      <c r="U6" cm="1">
        <f t="array" ref="U6">_xll.EQNXTDZ($A$1,$B6,U$1)</f>
        <v>34</v>
      </c>
      <c r="V6" cm="1">
        <f t="array" ref="V6">_xll.EQNXTDZ($A$1,$B6,V$1)</f>
        <v>36.799999999999997</v>
      </c>
      <c r="W6" cm="1">
        <f t="array" ref="W6">_xll.EQNXTDZ($A$1,$B6,W$1)</f>
        <v>35.049999999999997</v>
      </c>
      <c r="X6" cm="1">
        <f t="array" ref="X6">_xll.EQNXTDZ($A$1,$B6,X$1)</f>
        <v>33.5</v>
      </c>
      <c r="Y6" cm="1">
        <f t="array" ref="Y6">_xll.EQNXTDZ($A$1,$B6,Y$1)</f>
        <v>34.799999999999997</v>
      </c>
      <c r="Z6" cm="1">
        <f t="array" ref="Z6">_xll.EQNXTDZ($A$1,$B6,Z$1)</f>
        <v>40.5</v>
      </c>
      <c r="AA6" cm="1">
        <f t="array" ref="AA6">_xll.EQNXTDZ($A$1,$B6,AA$1)</f>
        <v>38.950000000000003</v>
      </c>
      <c r="AB6" cm="1">
        <f t="array" ref="AB6">_xll.EQNXTDZ($A$1,$B6,AB$1)</f>
        <v>57.35</v>
      </c>
      <c r="AC6" cm="1">
        <f t="array" ref="AC6">_xll.EQNXTDZ($A$1,$B6,AC$1)</f>
        <v>79</v>
      </c>
      <c r="AD6" cm="1">
        <f t="array" ref="AD6">_xll.EQNXTDZ($A$1,$B6,AD$1)</f>
        <v>72.900000000000006</v>
      </c>
      <c r="AE6" cm="1">
        <f t="array" ref="AE6">_xll.EQNXTDZ($A$1,$B6,AE$1)</f>
        <v>83</v>
      </c>
      <c r="AF6" cm="1">
        <f t="array" ref="AF6">_xll.EQNXTDZ($A$1,$B6,AF$1)</f>
        <v>83</v>
      </c>
      <c r="AG6" cm="1">
        <f t="array" ref="AG6">_xll.EQNXTDZ($A$1,$B6,AG$1)</f>
        <v>83</v>
      </c>
      <c r="AH6" cm="1">
        <f t="array" ref="AH6">_xll.EQNXTDZ($A$1,$B6,AH$1)</f>
        <v>78</v>
      </c>
      <c r="AI6" cm="1">
        <f t="array" ref="AI6">_xll.EQNXTDZ($A$1,$B6,AI$1)</f>
        <v>80.5</v>
      </c>
      <c r="AJ6" cm="1">
        <f t="array" ref="AJ6">_xll.EQNXTDZ($A$1,$B6,AJ$1)</f>
        <v>75.599999999999994</v>
      </c>
      <c r="AK6" cm="1">
        <f t="array" ref="AK6">_xll.EQNXTDZ($A$1,$B6,AK$1)</f>
        <v>78.849999999999994</v>
      </c>
      <c r="AL6" cm="1">
        <f t="array" ref="AL6">_xll.EQNXTDZ($A$1,$B6,AL$1)</f>
        <v>86</v>
      </c>
      <c r="AM6" cm="1">
        <f t="array" ref="AM6">_xll.EQNXTDZ($A$1,$B6,AM$1)</f>
        <v>122</v>
      </c>
      <c r="AN6" cm="1">
        <f t="array" ref="AN6">_xll.EQNXTDZ($A$1,$B6,AN$1)</f>
        <v>151.80000000000001</v>
      </c>
      <c r="AO6" cm="1">
        <f t="array" ref="AO6">_xll.EQNXTDZ($A$1,$B6,AO$1)</f>
        <v>214.9</v>
      </c>
      <c r="AP6" cm="1">
        <f t="array" ref="AP6">_xll.EQNXTDZ($A$1,$B6,AP$1)</f>
        <v>224.5</v>
      </c>
      <c r="AQ6" cm="1">
        <f t="array" ref="AQ6">_xll.EQNXTDZ($A$1,$B6,AQ$1)</f>
        <v>263.05</v>
      </c>
      <c r="AR6" cm="1">
        <f t="array" ref="AR6">_xll.EQNXTDZ($A$1,$B6,AR$1)</f>
        <v>247.95</v>
      </c>
      <c r="AS6" cm="1">
        <f t="array" ref="AS6">_xll.EQNXTDZ($A$1,$B6,AS$1)</f>
        <v>289.85000000000002</v>
      </c>
      <c r="AT6" cm="1">
        <f t="array" ref="AT6">_xll.EQNXTDZ($A$1,$B6,AT$1)</f>
        <v>308.35000000000002</v>
      </c>
      <c r="AU6" cm="1">
        <f t="array" ref="AU6">_xll.EQNXTDZ($A$1,$B6,AU$1)</f>
        <v>283</v>
      </c>
      <c r="AV6" cm="1">
        <f t="array" ref="AV6">_xll.EQNXTDZ($A$1,$B6,AV$1)</f>
        <v>245.05</v>
      </c>
      <c r="AW6" cm="1">
        <f t="array" ref="AW6">_xll.EQNXTDZ($A$1,$B6,AW$1)</f>
        <v>250</v>
      </c>
      <c r="AX6" cm="1">
        <f t="array" ref="AX6">_xll.EQNXTDZ($A$1,$B6,AX$1)</f>
        <v>279</v>
      </c>
      <c r="AY6" cm="1">
        <f t="array" ref="AY6">_xll.EQNXTDZ($A$1,$B6,AY$1)</f>
        <v>278.45</v>
      </c>
      <c r="AZ6" cm="1">
        <f t="array" ref="AZ6">_xll.EQNXTDZ($A$1,$B6,AZ$1)</f>
        <v>274</v>
      </c>
      <c r="BA6" cm="1">
        <f t="array" ref="BA6">_xll.EQNXTDZ($A$1,$B6,BA$1)</f>
        <v>272</v>
      </c>
      <c r="BB6" cm="1">
        <f t="array" ref="BB6">_xll.EQNXTDZ($A$1,$B6,BB$1)</f>
        <v>268</v>
      </c>
      <c r="BC6" cm="1">
        <f t="array" ref="BC6">_xll.EQNXTDZ($A$1,$B6,BC$1)</f>
        <v>248</v>
      </c>
      <c r="BD6" cm="1">
        <f t="array" ref="BD6">_xll.EQNXTDZ($A$1,$B6,BD$1)</f>
        <v>314</v>
      </c>
      <c r="BE6" cm="1">
        <f t="array" ref="BE6">_xll.EQNXTDZ($A$1,$B6,BE$1)</f>
        <v>258</v>
      </c>
      <c r="BF6" cm="1">
        <f t="array" ref="BF6">_xll.EQNXTDZ($A$1,$B6,BF$1)</f>
        <v>247.2</v>
      </c>
      <c r="BG6" cm="1">
        <f t="array" ref="BG6">_xll.EQNXTDZ($A$1,$B6,BG$1)</f>
        <v>274.75</v>
      </c>
      <c r="BH6" cm="1">
        <f t="array" ref="BH6">_xll.EQNXTDZ($A$1,$B6,BH$1)</f>
        <v>268.5</v>
      </c>
      <c r="BI6" cm="1">
        <f t="array" ref="BI6">_xll.EQNXTDZ($A$1,$B6,BI$1)</f>
        <v>276.39999999999998</v>
      </c>
      <c r="BJ6" cm="1">
        <f t="array" ref="BJ6">_xll.EQNXTDZ($A$1,$B6,BJ$1)</f>
        <v>306</v>
      </c>
      <c r="BK6" cm="1">
        <f t="array" ref="BK6">_xll.EQNXTDZ($A$1,$B6,BK$1)</f>
        <v>271.89999999999998</v>
      </c>
      <c r="BL6" cm="1">
        <f t="array" ref="BL6">_xll.EQNXTDZ($A$1,$B6,BL$1)</f>
        <v>262.45</v>
      </c>
      <c r="BM6" cm="1">
        <f t="array" ref="BM6">_xll.EQNXTDZ($A$1,$B6,BM$1)</f>
        <v>269.5</v>
      </c>
      <c r="BN6" cm="1">
        <f t="array" ref="BN6">_xll.EQNXTDZ($A$1,$B6,BN$1)</f>
        <v>243</v>
      </c>
      <c r="BO6" cm="1">
        <f t="array" ref="BO6">_xll.EQNXTDZ($A$1,$B6,BO$1)</f>
        <v>199</v>
      </c>
      <c r="BP6" cm="1">
        <f t="array" ref="BP6">_xll.EQNXTDZ($A$1,$B6,BP$1)</f>
        <v>197.4</v>
      </c>
      <c r="BQ6" cm="1">
        <f t="array" ref="BQ6">_xll.EQNXTDZ($A$1,$B6,BQ$1)</f>
        <v>197.05</v>
      </c>
      <c r="BR6" cm="1">
        <f t="array" ref="BR6">_xll.EQNXTDZ($A$1,$B6,BR$1)</f>
        <v>190.35</v>
      </c>
      <c r="BS6" cm="1">
        <f t="array" ref="BS6">_xll.EQNXTDZ($A$1,$B6,BS$1)</f>
        <v>173.05</v>
      </c>
      <c r="BT6" cm="1">
        <f t="array" ref="BT6">_xll.EQNXTDZ($A$1,$B6,BT$1)</f>
        <v>143.6</v>
      </c>
      <c r="BU6" cm="1">
        <f t="array" ref="BU6">_xll.EQNXTDZ($A$1,$B6,BU$1)</f>
        <v>124</v>
      </c>
      <c r="BV6" cm="1">
        <f t="array" ref="BV6">_xll.EQNXTDZ($A$1,$B6,BV$1)</f>
        <v>125.15</v>
      </c>
      <c r="BW6" cm="1">
        <f t="array" ref="BW6">_xll.EQNXTDZ($A$1,$B6,BW$1)</f>
        <v>111.3</v>
      </c>
      <c r="BX6" cm="1">
        <f t="array" ref="BX6">_xll.EQNXTDZ($A$1,$B6,BX$1)</f>
        <v>82.2</v>
      </c>
      <c r="BY6" cm="1">
        <f t="array" ref="BY6">_xll.EQNXTDZ($A$1,$B6,BY$1)</f>
        <v>81.55</v>
      </c>
      <c r="BZ6" cm="1">
        <f t="array" ref="BZ6">_xll.EQNXTDZ($A$1,$B6,BZ$1)</f>
        <v>82.7</v>
      </c>
      <c r="CA6" cm="1">
        <f t="array" ref="CA6">_xll.EQNXTDZ($A$1,$B6,CA$1)</f>
        <v>60.6</v>
      </c>
      <c r="CB6" cm="1">
        <f t="array" ref="CB6">_xll.EQNXTDZ($A$1,$B6,CB$1)</f>
        <v>67.3</v>
      </c>
      <c r="CC6" cm="1">
        <f t="array" ref="CC6">_xll.EQNXTDZ($A$1,$B6,CC$1)</f>
        <v>75.55</v>
      </c>
      <c r="CD6" cm="1">
        <f t="array" ref="CD6">_xll.EQNXTDZ($A$1,$B6,CD$1)</f>
        <v>72.849999999999994</v>
      </c>
      <c r="CE6" cm="1">
        <f t="array" ref="CE6">_xll.EQNXTDZ($A$1,$B6,CE$1)</f>
        <v>61.8</v>
      </c>
      <c r="CF6" cm="1">
        <f t="array" ref="CF6">_xll.EQNXTDZ($A$1,$B6,CF$1)</f>
        <v>56.95</v>
      </c>
      <c r="CG6" cm="1">
        <f t="array" ref="CG6">_xll.EQNXTDZ($A$1,$B6,CG$1)</f>
        <v>65</v>
      </c>
      <c r="CH6" cm="1">
        <f t="array" ref="CH6">_xll.EQNXTDZ($A$1,$B6,CH$1)</f>
        <v>60.45</v>
      </c>
      <c r="CI6" cm="1">
        <f t="array" ref="CI6">_xll.EQNXTDZ($A$1,$B6,CI$1)</f>
        <v>63.3</v>
      </c>
      <c r="CJ6" cm="1">
        <f t="array" ref="CJ6">_xll.EQNXTDZ($A$1,$B6,CJ$1)</f>
        <v>50.25</v>
      </c>
      <c r="CK6" cm="1">
        <f t="array" ref="CK6">_xll.EQNXTDZ($A$1,$B6,CK$1)</f>
        <v>38.200000000000003</v>
      </c>
      <c r="CL6" cm="1">
        <f t="array" ref="CL6">_xll.EQNXTDZ($A$1,$B6,CL$1)</f>
        <v>33.6</v>
      </c>
      <c r="CM6" cm="1">
        <f t="array" ref="CM6">_xll.EQNXTDZ($A$1,$B6,CM$1)</f>
        <v>38.450000000000003</v>
      </c>
      <c r="CN6" cm="1">
        <f t="array" ref="CN6">_xll.EQNXTDZ($A$1,$B6,CN$1)</f>
        <v>40.049999999999997</v>
      </c>
      <c r="CO6" cm="1">
        <f t="array" ref="CO6">_xll.EQNXTDZ($A$1,$B6,CO$1)</f>
        <v>58</v>
      </c>
      <c r="CP6" cm="1">
        <f t="array" ref="CP6">_xll.EQNXTDZ($A$1,$B6,CP$1)</f>
        <v>58.9</v>
      </c>
      <c r="CQ6" cm="1">
        <f t="array" ref="CQ6">_xll.EQNXTDZ($A$1,$B6,CQ$1)</f>
        <v>57</v>
      </c>
      <c r="CR6" cm="1">
        <f t="array" ref="CR6">_xll.EQNXTDZ($A$1,$B6,CR$1)</f>
        <v>50</v>
      </c>
      <c r="CS6" cm="1">
        <f t="array" ref="CS6">_xll.EQNXTDZ($A$1,$B6,CS$1)</f>
        <v>37.5</v>
      </c>
      <c r="CT6" cm="1">
        <f t="array" ref="CT6">_xll.EQNXTDZ($A$1,$B6,CT$1)</f>
        <v>38.15</v>
      </c>
      <c r="CU6" cm="1">
        <f t="array" ref="CU6">_xll.EQNXTDZ($A$1,$B6,CU$1)</f>
        <v>39.5</v>
      </c>
      <c r="CV6" cm="1">
        <f t="array" ref="CV6">_xll.EQNXTDZ($A$1,$B6,CV$1)</f>
        <v>48.05</v>
      </c>
      <c r="CW6" cm="1">
        <f t="array" ref="CW6">_xll.EQNXTDZ($A$1,$B6,CW$1)</f>
        <v>49.9</v>
      </c>
      <c r="CX6" cm="1">
        <f t="array" ref="CX6">_xll.EQNXTDZ($A$1,$B6,CX$1)</f>
        <v>52.3</v>
      </c>
      <c r="CY6" cm="1">
        <f t="array" ref="CY6">_xll.EQNXTDZ($A$1,$B6,CY$1)</f>
        <v>47.4</v>
      </c>
      <c r="CZ6" cm="1">
        <f t="array" ref="CZ6">_xll.EQNXTDZ($A$1,$B6,CZ$1)</f>
        <v>50.25</v>
      </c>
      <c r="DA6" cm="1">
        <f t="array" ref="DA6">_xll.EQNXTDZ($A$1,$B6,DA$1)</f>
        <v>57.5</v>
      </c>
      <c r="DB6" cm="1">
        <f t="array" ref="DB6">_xll.EQNXTDZ($A$1,$B6,DB$1)</f>
        <v>78.95</v>
      </c>
      <c r="DC6" cm="1">
        <f t="array" ref="DC6">_xll.EQNXTDZ($A$1,$B6,DC$1)</f>
        <v>84</v>
      </c>
      <c r="DD6" cm="1">
        <f t="array" ref="DD6">_xll.EQNXTDZ($A$1,$B6,DD$1)</f>
        <v>74.8</v>
      </c>
      <c r="DE6" cm="1">
        <f t="array" ref="DE6">_xll.EQNXTDZ($A$1,$B6,DE$1)</f>
        <v>76.599999999999994</v>
      </c>
      <c r="DF6" cm="1">
        <f t="array" ref="DF6">_xll.EQNXTDZ($A$1,$B6,DF$1)</f>
        <v>79</v>
      </c>
      <c r="DG6" cm="1">
        <f t="array" ref="DG6">_xll.EQNXTDZ($A$1,$B6,DG$1)</f>
        <v>98.9</v>
      </c>
      <c r="DH6" cm="1">
        <f t="array" ref="DH6">_xll.EQNXTDZ($A$1,$B6,DH$1)</f>
        <v>107.9</v>
      </c>
      <c r="DI6" cm="1">
        <f t="array" ref="DI6">_xll.EQNXTDZ($A$1,$B6,DI$1)</f>
        <v>132.80000000000001</v>
      </c>
      <c r="DJ6" cm="1">
        <f t="array" ref="DJ6">_xll.EQNXTDZ($A$1,$B6,DJ$1)</f>
        <v>134.15</v>
      </c>
      <c r="DK6" cm="1">
        <f t="array" ref="DK6">_xll.EQNXTDZ($A$1,$B6,DK$1)</f>
        <v>168</v>
      </c>
      <c r="DL6" cm="1">
        <f t="array" ref="DL6">_xll.EQNXTDZ($A$1,$B6,DL$1)</f>
        <v>295.89999999999998</v>
      </c>
      <c r="DM6" cm="1">
        <f t="array" ref="DM6">_xll.EQNXTDZ($A$1,$B6,DM$1)</f>
        <v>233</v>
      </c>
      <c r="DN6" cm="1">
        <f t="array" ref="DN6">_xll.EQNXTDZ($A$1,$B6,DN$1)</f>
        <v>354.9</v>
      </c>
      <c r="DO6" cm="1">
        <f t="array" ref="DO6">_xll.EQNXTDZ($A$1,$B6,DO$1)</f>
        <v>377.9</v>
      </c>
      <c r="DP6" cm="1">
        <f t="array" ref="DP6">_xll.EQNXTDZ($A$1,$B6,DP$1)</f>
        <v>303.89999999999998</v>
      </c>
      <c r="DQ6" cm="1">
        <f t="array" ref="DQ6">_xll.EQNXTDZ($A$1,$B6,DQ$1)</f>
        <v>263.10000000000002</v>
      </c>
      <c r="DR6" cm="1">
        <f t="array" ref="DR6">_xll.EQNXTDZ($A$1,$B6,DR$1)</f>
        <v>375.1</v>
      </c>
      <c r="DS6" cm="1">
        <f t="array" ref="DS6">_xll.EQNXTDZ($A$1,$B6,DS$1)</f>
        <v>284</v>
      </c>
      <c r="DT6" cm="1">
        <f t="array" ref="DT6">_xll.EQNXTDZ($A$1,$B6,DT$1)</f>
        <v>273.64999999999998</v>
      </c>
      <c r="DU6" cm="1">
        <f t="array" ref="DU6">_xll.EQNXTDZ($A$1,$B6,DU$1)</f>
        <v>268</v>
      </c>
      <c r="DV6" cm="1">
        <f t="array" ref="DV6">_xll.EQNXTDZ($A$1,$B6,DV$1)</f>
        <v>324</v>
      </c>
      <c r="DW6" cm="1">
        <f t="array" ref="DW6">_xll.EQNXTDZ($A$1,$B6,DW$1)</f>
        <v>273.8</v>
      </c>
      <c r="DX6" cm="1">
        <f t="array" ref="DX6">_xll.EQNXTDZ($A$1,$B6,DX$1)</f>
        <v>280</v>
      </c>
      <c r="DY6" cm="1">
        <f t="array" ref="DY6">_xll.EQNXTDZ($A$1,$B6,DY$1)</f>
        <v>266.95</v>
      </c>
      <c r="DZ6" cm="1">
        <f t="array" ref="DZ6">_xll.EQNXTDZ($A$1,$B6,DZ$1)</f>
        <v>244.7</v>
      </c>
      <c r="EA6" cm="1">
        <f t="array" ref="EA6">_xll.EQNXTDZ($A$1,$B6,EA$1)</f>
        <v>218.9</v>
      </c>
      <c r="EB6" cm="1">
        <f t="array" ref="EB6">_xll.EQNXTDZ($A$1,$B6,EB$1)</f>
        <v>218.15</v>
      </c>
      <c r="EC6" cm="1">
        <f t="array" ref="EC6">_xll.EQNXTDZ($A$1,$B6,EC$1)</f>
        <v>218.3</v>
      </c>
      <c r="ED6" cm="1">
        <f t="array" ref="ED6">_xll.EQNXTDZ($A$1,$B6,ED$1)</f>
        <v>270.60000000000002</v>
      </c>
      <c r="EE6" cm="1">
        <f t="array" ref="EE6">_xll.EQNXTDZ($A$1,$B6,EE$1)</f>
        <v>233.9</v>
      </c>
      <c r="EF6" cm="1">
        <f t="array" ref="EF6">_xll.EQNXTDZ($A$1,$B6,EF$1)</f>
        <v>300.85000000000002</v>
      </c>
      <c r="EG6" cm="1">
        <f t="array" ref="EG6">_xll.EQNXTDZ($A$1,$B6,EG$1)</f>
        <v>329</v>
      </c>
      <c r="EH6" cm="1">
        <f t="array" ref="EH6">_xll.EQNXTDZ($A$1,$B6,EH$1)</f>
        <v>342.5</v>
      </c>
      <c r="EI6" cm="1">
        <f t="array" ref="EI6">_xll.EQNXTDZ($A$1,$B6,EI$1)</f>
        <v>345</v>
      </c>
      <c r="EJ6" cm="1">
        <f t="array" ref="EJ6">_xll.EQNXTDZ($A$1,$B6,EJ$1)</f>
        <v>311.25</v>
      </c>
      <c r="EK6" cm="1">
        <f t="array" ref="EK6">_xll.EQNXTDZ($A$1,$B6,EK$1)</f>
        <v>312.89999999999998</v>
      </c>
      <c r="EL6" cm="1">
        <f t="array" ref="EL6">_xll.EQNXTDZ($A$1,$B6,EL$1)</f>
        <v>420.35</v>
      </c>
      <c r="EM6" cm="1">
        <f t="array" ref="EM6">_xll.EQNXTDZ($A$1,$B6,EM$1)</f>
        <v>477.8</v>
      </c>
      <c r="EN6" cm="1">
        <f t="array" ref="EN6">_xll.EQNXTDZ($A$1,$B6,EN$1)</f>
        <v>492</v>
      </c>
      <c r="EO6" cm="1">
        <f t="array" ref="EO6">_xll.EQNXTDZ($A$1,$B6,EO$1)</f>
        <v>445</v>
      </c>
      <c r="EP6" cm="1">
        <f t="array" ref="EP6">_xll.EQNXTDZ($A$1,$B6,EP$1)</f>
        <v>440.5</v>
      </c>
      <c r="EQ6" cm="1">
        <f t="array" ref="EQ6">_xll.EQNXTDZ($A$1,$B6,EQ$1)</f>
        <v>370</v>
      </c>
      <c r="ER6" cm="1">
        <f t="array" ref="ER6">_xll.EQNXTDZ($A$1,$B6,ER$1)</f>
        <v>405.4</v>
      </c>
      <c r="ES6" cm="1">
        <f t="array" ref="ES6">_xll.EQNXTDZ($A$1,$B6,ES$1)</f>
        <v>424.3</v>
      </c>
      <c r="ET6" cm="1">
        <f t="array" ref="ET6">_xll.EQNXTDZ($A$1,$B6,ET$1)</f>
        <v>423.6</v>
      </c>
      <c r="EU6" cm="1">
        <f t="array" ref="EU6">_xll.EQNXTDZ($A$1,$B6,EU$1)</f>
        <v>466.1</v>
      </c>
      <c r="EV6" cm="1">
        <f t="array" ref="EV6">_xll.EQNXTDZ($A$1,$B6,EV$1)</f>
        <v>395.7</v>
      </c>
      <c r="EW6" cm="1">
        <f t="array" ref="EW6">_xll.EQNXTDZ($A$1,$B6,EW$1)</f>
        <v>366</v>
      </c>
      <c r="EX6" cm="1">
        <f t="array" ref="EX6">_xll.EQNXTDZ($A$1,$B6,EX$1)</f>
        <v>416.8</v>
      </c>
      <c r="EY6" cm="1">
        <f t="array" ref="EY6">_xll.EQNXTDZ($A$1,$B6,EY$1)</f>
        <v>401.25</v>
      </c>
      <c r="EZ6" cm="1">
        <f t="array" ref="EZ6">_xll.EQNXTDZ($A$1,$B6,EZ$1)</f>
        <v>315</v>
      </c>
      <c r="FA6" cm="1">
        <f t="array" ref="FA6">_xll.EQNXTDZ($A$1,$B6,FA$1)</f>
        <v>430</v>
      </c>
      <c r="FB6" cm="1">
        <f t="array" ref="FB6">_xll.EQNXTDZ($A$1,$B6,FB$1)</f>
        <v>389.35</v>
      </c>
      <c r="FC6" cm="1">
        <f t="array" ref="FC6">_xll.EQNXTDZ($A$1,$B6,FC$1)</f>
        <v>407</v>
      </c>
      <c r="FD6" cm="1">
        <f t="array" ref="FD6">_xll.EQNXTDZ($A$1,$B6,FD$1)</f>
        <v>484.1</v>
      </c>
      <c r="FE6" cm="1">
        <f t="array" ref="FE6">_xll.EQNXTDZ($A$1,$B6,FE$1)</f>
        <v>430.25</v>
      </c>
      <c r="FF6" cm="1">
        <f t="array" ref="FF6">_xll.EQNXTDZ($A$1,$B6,FF$1)</f>
        <v>372</v>
      </c>
      <c r="FG6" cm="1">
        <f t="array" ref="FG6">_xll.EQNXTDZ($A$1,$B6,FG$1)</f>
        <v>440.25</v>
      </c>
      <c r="FH6" cm="1">
        <f t="array" ref="FH6">_xll.EQNXTDZ($A$1,$B6,FH$1)</f>
        <v>455</v>
      </c>
      <c r="FI6" cm="1">
        <f t="array" ref="FI6">_xll.EQNXTDZ($A$1,$B6,FI$1)</f>
        <v>446.9</v>
      </c>
      <c r="FJ6" cm="1">
        <f t="array" ref="FJ6">_xll.EQNXTDZ($A$1,$B6,FJ$1)</f>
        <v>498.8</v>
      </c>
      <c r="FK6" cm="1">
        <f t="array" ref="FK6">_xll.EQNXTDZ($A$1,$B6,FK$1)</f>
        <v>443.95</v>
      </c>
      <c r="FL6" cm="1">
        <f t="array" ref="FL6">_xll.EQNXTDZ($A$1,$B6,FL$1)</f>
        <v>455.1</v>
      </c>
      <c r="FM6" cm="1">
        <f t="array" ref="FM6">_xll.EQNXTDZ($A$1,$B6,FM$1)</f>
        <v>422.8</v>
      </c>
      <c r="FN6" cm="1">
        <f t="array" ref="FN6">_xll.EQNXTDZ($A$1,$B6,FN$1)</f>
        <v>520.35</v>
      </c>
      <c r="FO6" cm="1">
        <f t="array" ref="FO6">_xll.EQNXTDZ($A$1,$B6,FO$1)</f>
        <v>516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37</v>
      </c>
      <c r="B7" s="116" t="s">
        <v>417</v>
      </c>
      <c r="C7" s="116" cm="1">
        <f t="array" ref="C7">_xll.EQNXTDZ($A$1,$B7,C$1)</f>
        <v>49.7</v>
      </c>
      <c r="D7" s="116" cm="1">
        <f t="array" ref="D7">_xll.EQNXTDZ($A$1,$B7,D$1)</f>
        <v>49.7</v>
      </c>
      <c r="E7" s="116" cm="1">
        <f t="array" ref="E7">_xll.EQNXTDZ($A$1,$B7,E$1)</f>
        <v>62.3</v>
      </c>
      <c r="F7" s="116" cm="1">
        <f t="array" ref="F7">_xll.EQNXTDZ($A$1,$B7,F$1)</f>
        <v>59</v>
      </c>
      <c r="G7" s="116" cm="1">
        <f t="array" ref="G7">_xll.EQNXTDZ($A$1,$B7,G$1)</f>
        <v>60.9</v>
      </c>
      <c r="H7" s="116" cm="1">
        <f t="array" ref="H7">_xll.EQNXTDZ($A$1,$B7,H$1)</f>
        <v>67</v>
      </c>
      <c r="I7" s="116" cm="1">
        <f t="array" ref="I7">_xll.EQNXTDZ($A$1,$B7,I$1)</f>
        <v>61.5</v>
      </c>
      <c r="J7" s="116" cm="1">
        <f t="array" ref="J7">_xll.EQNXTDZ($A$1,$B7,J$1)</f>
        <v>57.85</v>
      </c>
      <c r="K7" s="116" cm="1">
        <f t="array" ref="K7">_xll.EQNXTDZ($A$1,$B7,K$1)</f>
        <v>54.5</v>
      </c>
      <c r="L7" s="116" cm="1">
        <f t="array" ref="L7">_xll.EQNXTDZ($A$1,$B7,L$1)</f>
        <v>41.5</v>
      </c>
      <c r="M7" s="116" cm="1">
        <f t="array" ref="M7">_xll.EQNXTDZ($A$1,$B7,M$1)</f>
        <v>41.4</v>
      </c>
      <c r="N7" s="116" cm="1">
        <f t="array" ref="N7">_xll.EQNXTDZ($A$1,$B7,N$1)</f>
        <v>48.9</v>
      </c>
      <c r="O7" s="116" cm="1">
        <f t="array" ref="O7">_xll.EQNXTDZ($A$1,$B7,O$1)</f>
        <v>49.4</v>
      </c>
      <c r="P7" s="116" cm="1">
        <f t="array" ref="P7">_xll.EQNXTDZ($A$1,$B7,P$1)</f>
        <v>42.2</v>
      </c>
      <c r="Q7" s="116" cm="1">
        <f t="array" ref="Q7">_xll.EQNXTDZ($A$1,$B7,Q$1)</f>
        <v>31.9</v>
      </c>
      <c r="R7" s="116" cm="1">
        <f t="array" ref="R7">_xll.EQNXTDZ($A$1,$B7,R$1)</f>
        <v>34</v>
      </c>
      <c r="S7" s="116" cm="1">
        <f t="array" ref="S7">_xll.EQNXTDZ($A$1,$B7,S$1)</f>
        <v>43.05</v>
      </c>
      <c r="T7" s="116" cm="1">
        <f t="array" ref="T7">_xll.EQNXTDZ($A$1,$B7,T$1)</f>
        <v>35</v>
      </c>
      <c r="U7" s="116" cm="1">
        <f t="array" ref="U7">_xll.EQNXTDZ($A$1,$B7,U$1)</f>
        <v>39.1</v>
      </c>
      <c r="V7" s="116" cm="1">
        <f t="array" ref="V7">_xll.EQNXTDZ($A$1,$B7,V$1)</f>
        <v>46</v>
      </c>
      <c r="W7" s="116" cm="1">
        <f t="array" ref="W7">_xll.EQNXTDZ($A$1,$B7,W$1)</f>
        <v>37.9</v>
      </c>
      <c r="X7" s="116" cm="1">
        <f t="array" ref="X7">_xll.EQNXTDZ($A$1,$B7,X$1)</f>
        <v>38.9</v>
      </c>
      <c r="Y7" s="116" cm="1">
        <f t="array" ref="Y7">_xll.EQNXTDZ($A$1,$B7,Y$1)</f>
        <v>41.5</v>
      </c>
      <c r="Z7" s="116" cm="1">
        <f t="array" ref="Z7">_xll.EQNXTDZ($A$1,$B7,Z$1)</f>
        <v>44.5</v>
      </c>
      <c r="AA7" s="116" cm="1">
        <f t="array" ref="AA7">_xll.EQNXTDZ($A$1,$B7,AA$1)</f>
        <v>58.15</v>
      </c>
      <c r="AB7" s="116" cm="1">
        <f t="array" ref="AB7">_xll.EQNXTDZ($A$1,$B7,AB$1)</f>
        <v>88.6</v>
      </c>
      <c r="AC7" s="116" cm="1">
        <f t="array" ref="AC7">_xll.EQNXTDZ($A$1,$B7,AC$1)</f>
        <v>79.400000000000006</v>
      </c>
      <c r="AD7" s="116" cm="1">
        <f t="array" ref="AD7">_xll.EQNXTDZ($A$1,$B7,AD$1)</f>
        <v>88</v>
      </c>
      <c r="AE7" s="116" cm="1">
        <f t="array" ref="AE7">_xll.EQNXTDZ($A$1,$B7,AE$1)</f>
        <v>86</v>
      </c>
      <c r="AF7" s="116" cm="1">
        <f t="array" ref="AF7">_xll.EQNXTDZ($A$1,$B7,AF$1)</f>
        <v>86.45</v>
      </c>
      <c r="AG7" s="116" cm="1">
        <f t="array" ref="AG7">_xll.EQNXTDZ($A$1,$B7,AG$1)</f>
        <v>93.85</v>
      </c>
      <c r="AH7" s="116" cm="1">
        <f t="array" ref="AH7">_xll.EQNXTDZ($A$1,$B7,AH$1)</f>
        <v>82</v>
      </c>
      <c r="AI7" s="116" cm="1">
        <f t="array" ref="AI7">_xll.EQNXTDZ($A$1,$B7,AI$1)</f>
        <v>82.5</v>
      </c>
      <c r="AJ7" s="116" cm="1">
        <f t="array" ref="AJ7">_xll.EQNXTDZ($A$1,$B7,AJ$1)</f>
        <v>107.95</v>
      </c>
      <c r="AK7" s="116" cm="1">
        <f t="array" ref="AK7">_xll.EQNXTDZ($A$1,$B7,AK$1)</f>
        <v>89.45</v>
      </c>
      <c r="AL7" s="116" cm="1">
        <f t="array" ref="AL7">_xll.EQNXTDZ($A$1,$B7,AL$1)</f>
        <v>131</v>
      </c>
      <c r="AM7" s="116" cm="1">
        <f t="array" ref="AM7">_xll.EQNXTDZ($A$1,$B7,AM$1)</f>
        <v>152.1</v>
      </c>
      <c r="AN7" s="116" cm="1">
        <f t="array" ref="AN7">_xll.EQNXTDZ($A$1,$B7,AN$1)</f>
        <v>218.95</v>
      </c>
      <c r="AO7" s="116" cm="1">
        <f t="array" ref="AO7">_xll.EQNXTDZ($A$1,$B7,AO$1)</f>
        <v>249</v>
      </c>
      <c r="AP7" s="116" cm="1">
        <f t="array" ref="AP7">_xll.EQNXTDZ($A$1,$B7,AP$1)</f>
        <v>277</v>
      </c>
      <c r="AQ7" s="116" cm="1">
        <f t="array" ref="AQ7">_xll.EQNXTDZ($A$1,$B7,AQ$1)</f>
        <v>290</v>
      </c>
      <c r="AR7" s="116" cm="1">
        <f t="array" ref="AR7">_xll.EQNXTDZ($A$1,$B7,AR$1)</f>
        <v>297.89999999999998</v>
      </c>
      <c r="AS7" s="116" cm="1">
        <f t="array" ref="AS7">_xll.EQNXTDZ($A$1,$B7,AS$1)</f>
        <v>324.89999999999998</v>
      </c>
      <c r="AT7" s="116" cm="1">
        <f t="array" ref="AT7">_xll.EQNXTDZ($A$1,$B7,AT$1)</f>
        <v>319.95</v>
      </c>
      <c r="AU7" s="116" cm="1">
        <f t="array" ref="AU7">_xll.EQNXTDZ($A$1,$B7,AU$1)</f>
        <v>286.89999999999998</v>
      </c>
      <c r="AV7" s="116" cm="1">
        <f t="array" ref="AV7">_xll.EQNXTDZ($A$1,$B7,AV$1)</f>
        <v>273.89999999999998</v>
      </c>
      <c r="AW7" s="116" cm="1">
        <f t="array" ref="AW7">_xll.EQNXTDZ($A$1,$B7,AW$1)</f>
        <v>286.7</v>
      </c>
      <c r="AX7" s="116" cm="1">
        <f t="array" ref="AX7">_xll.EQNXTDZ($A$1,$B7,AX$1)</f>
        <v>292.2</v>
      </c>
      <c r="AY7" s="116" cm="1">
        <f t="array" ref="AY7">_xll.EQNXTDZ($A$1,$B7,AY$1)</f>
        <v>294</v>
      </c>
      <c r="AZ7" s="116" cm="1">
        <f t="array" ref="AZ7">_xll.EQNXTDZ($A$1,$B7,AZ$1)</f>
        <v>282</v>
      </c>
      <c r="BA7" s="116" cm="1">
        <f t="array" ref="BA7">_xll.EQNXTDZ($A$1,$B7,BA$1)</f>
        <v>278</v>
      </c>
      <c r="BB7" s="116" cm="1">
        <f t="array" ref="BB7">_xll.EQNXTDZ($A$1,$B7,BB$1)</f>
        <v>270</v>
      </c>
      <c r="BC7" s="116" cm="1">
        <f t="array" ref="BC7">_xll.EQNXTDZ($A$1,$B7,BC$1)</f>
        <v>325</v>
      </c>
      <c r="BD7" s="116" cm="1">
        <f t="array" ref="BD7">_xll.EQNXTDZ($A$1,$B7,BD$1)</f>
        <v>325.8</v>
      </c>
      <c r="BE7" s="116" cm="1">
        <f t="array" ref="BE7">_xll.EQNXTDZ($A$1,$B7,BE$1)</f>
        <v>269</v>
      </c>
      <c r="BF7" s="116" cm="1">
        <f t="array" ref="BF7">_xll.EQNXTDZ($A$1,$B7,BF$1)</f>
        <v>299.3</v>
      </c>
      <c r="BG7" s="116" cm="1">
        <f t="array" ref="BG7">_xll.EQNXTDZ($A$1,$B7,BG$1)</f>
        <v>304.89999999999998</v>
      </c>
      <c r="BH7" s="116" cm="1">
        <f t="array" ref="BH7">_xll.EQNXTDZ($A$1,$B7,BH$1)</f>
        <v>285</v>
      </c>
      <c r="BI7" s="116" cm="1">
        <f t="array" ref="BI7">_xll.EQNXTDZ($A$1,$B7,BI$1)</f>
        <v>325.8</v>
      </c>
      <c r="BJ7" s="116" cm="1">
        <f t="array" ref="BJ7">_xll.EQNXTDZ($A$1,$B7,BJ$1)</f>
        <v>319.5</v>
      </c>
      <c r="BK7" s="116" cm="1">
        <f t="array" ref="BK7">_xll.EQNXTDZ($A$1,$B7,BK$1)</f>
        <v>287.60000000000002</v>
      </c>
      <c r="BL7" s="116" cm="1">
        <f t="array" ref="BL7">_xll.EQNXTDZ($A$1,$B7,BL$1)</f>
        <v>296.5</v>
      </c>
      <c r="BM7" s="116" cm="1">
        <f t="array" ref="BM7">_xll.EQNXTDZ($A$1,$B7,BM$1)</f>
        <v>275.10000000000002</v>
      </c>
      <c r="BN7" s="116" cm="1">
        <f t="array" ref="BN7">_xll.EQNXTDZ($A$1,$B7,BN$1)</f>
        <v>251.75</v>
      </c>
      <c r="BO7" s="116" cm="1">
        <f t="array" ref="BO7">_xll.EQNXTDZ($A$1,$B7,BO$1)</f>
        <v>216.4</v>
      </c>
      <c r="BP7" s="116" cm="1">
        <f t="array" ref="BP7">_xll.EQNXTDZ($A$1,$B7,BP$1)</f>
        <v>224</v>
      </c>
      <c r="BQ7" s="116" cm="1">
        <f t="array" ref="BQ7">_xll.EQNXTDZ($A$1,$B7,BQ$1)</f>
        <v>212.8</v>
      </c>
      <c r="BR7" s="116" cm="1">
        <f t="array" ref="BR7">_xll.EQNXTDZ($A$1,$B7,BR$1)</f>
        <v>210.7</v>
      </c>
      <c r="BS7" s="116" cm="1">
        <f t="array" ref="BS7">_xll.EQNXTDZ($A$1,$B7,BS$1)</f>
        <v>174.75</v>
      </c>
      <c r="BT7" s="116" cm="1">
        <f t="array" ref="BT7">_xll.EQNXTDZ($A$1,$B7,BT$1)</f>
        <v>152</v>
      </c>
      <c r="BU7" s="116" cm="1">
        <f t="array" ref="BU7">_xll.EQNXTDZ($A$1,$B7,BU$1)</f>
        <v>142</v>
      </c>
      <c r="BV7" s="116" cm="1">
        <f t="array" ref="BV7">_xll.EQNXTDZ($A$1,$B7,BV$1)</f>
        <v>141.75</v>
      </c>
      <c r="BW7" s="116" cm="1">
        <f t="array" ref="BW7">_xll.EQNXTDZ($A$1,$B7,BW$1)</f>
        <v>115</v>
      </c>
      <c r="BX7" s="116" cm="1">
        <f t="array" ref="BX7">_xll.EQNXTDZ($A$1,$B7,BX$1)</f>
        <v>100</v>
      </c>
      <c r="BY7" s="116" cm="1">
        <f t="array" ref="BY7">_xll.EQNXTDZ($A$1,$B7,BY$1)</f>
        <v>96.45</v>
      </c>
      <c r="BZ7" s="116" cm="1">
        <f t="array" ref="BZ7">_xll.EQNXTDZ($A$1,$B7,BZ$1)</f>
        <v>85.5</v>
      </c>
      <c r="CA7" s="116" cm="1">
        <f t="array" ref="CA7">_xll.EQNXTDZ($A$1,$B7,CA$1)</f>
        <v>72</v>
      </c>
      <c r="CB7" s="116" cm="1">
        <f t="array" ref="CB7">_xll.EQNXTDZ($A$1,$B7,CB$1)</f>
        <v>88.25</v>
      </c>
      <c r="CC7" s="116" cm="1">
        <f t="array" ref="CC7">_xll.EQNXTDZ($A$1,$B7,CC$1)</f>
        <v>79.95</v>
      </c>
      <c r="CD7" s="116" cm="1">
        <f t="array" ref="CD7">_xll.EQNXTDZ($A$1,$B7,CD$1)</f>
        <v>84.6</v>
      </c>
      <c r="CE7" s="116" cm="1">
        <f t="array" ref="CE7">_xll.EQNXTDZ($A$1,$B7,CE$1)</f>
        <v>66</v>
      </c>
      <c r="CF7" s="116" cm="1">
        <f t="array" ref="CF7">_xll.EQNXTDZ($A$1,$B7,CF$1)</f>
        <v>72.849999999999994</v>
      </c>
      <c r="CG7" s="116" cm="1">
        <f t="array" ref="CG7">_xll.EQNXTDZ($A$1,$B7,CG$1)</f>
        <v>70</v>
      </c>
      <c r="CH7" s="116" cm="1">
        <f t="array" ref="CH7">_xll.EQNXTDZ($A$1,$B7,CH$1)</f>
        <v>64.2</v>
      </c>
      <c r="CI7" s="116" cm="1">
        <f t="array" ref="CI7">_xll.EQNXTDZ($A$1,$B7,CI$1)</f>
        <v>64</v>
      </c>
      <c r="CJ7" s="116" cm="1">
        <f t="array" ref="CJ7">_xll.EQNXTDZ($A$1,$B7,CJ$1)</f>
        <v>54.95</v>
      </c>
      <c r="CK7" s="116" cm="1">
        <f t="array" ref="CK7">_xll.EQNXTDZ($A$1,$B7,CK$1)</f>
        <v>53.9</v>
      </c>
      <c r="CL7" s="116" cm="1">
        <f t="array" ref="CL7">_xll.EQNXTDZ($A$1,$B7,CL$1)</f>
        <v>47.4</v>
      </c>
      <c r="CM7" s="116" cm="1">
        <f t="array" ref="CM7">_xll.EQNXTDZ($A$1,$B7,CM$1)</f>
        <v>42.95</v>
      </c>
      <c r="CN7" s="116" cm="1">
        <f t="array" ref="CN7">_xll.EQNXTDZ($A$1,$B7,CN$1)</f>
        <v>58</v>
      </c>
      <c r="CO7" s="116" cm="1">
        <f t="array" ref="CO7">_xll.EQNXTDZ($A$1,$B7,CO$1)</f>
        <v>70.5</v>
      </c>
      <c r="CP7" s="116" cm="1">
        <f t="array" ref="CP7">_xll.EQNXTDZ($A$1,$B7,CP$1)</f>
        <v>67.599999999999994</v>
      </c>
      <c r="CQ7" s="116" cm="1">
        <f t="array" ref="CQ7">_xll.EQNXTDZ($A$1,$B7,CQ$1)</f>
        <v>61.4</v>
      </c>
      <c r="CR7" s="116" cm="1">
        <f t="array" ref="CR7">_xll.EQNXTDZ($A$1,$B7,CR$1)</f>
        <v>53</v>
      </c>
      <c r="CS7" s="116" cm="1">
        <f t="array" ref="CS7">_xll.EQNXTDZ($A$1,$B7,CS$1)</f>
        <v>44.95</v>
      </c>
      <c r="CT7" s="116" cm="1">
        <f t="array" ref="CT7">_xll.EQNXTDZ($A$1,$B7,CT$1)</f>
        <v>42.75</v>
      </c>
      <c r="CU7" s="116" cm="1">
        <f t="array" ref="CU7">_xll.EQNXTDZ($A$1,$B7,CU$1)</f>
        <v>55.85</v>
      </c>
      <c r="CV7" s="116" cm="1">
        <f t="array" ref="CV7">_xll.EQNXTDZ($A$1,$B7,CV$1)</f>
        <v>65.2</v>
      </c>
      <c r="CW7" s="116" cm="1">
        <f t="array" ref="CW7">_xll.EQNXTDZ($A$1,$B7,CW$1)</f>
        <v>59.05</v>
      </c>
      <c r="CX7" s="116" cm="1">
        <f t="array" ref="CX7">_xll.EQNXTDZ($A$1,$B7,CX$1)</f>
        <v>54.9</v>
      </c>
      <c r="CY7" s="116" cm="1">
        <f t="array" ref="CY7">_xll.EQNXTDZ($A$1,$B7,CY$1)</f>
        <v>55.05</v>
      </c>
      <c r="CZ7" s="116" cm="1">
        <f t="array" ref="CZ7">_xll.EQNXTDZ($A$1,$B7,CZ$1)</f>
        <v>59</v>
      </c>
      <c r="DA7" s="116" cm="1">
        <f t="array" ref="DA7">_xll.EQNXTDZ($A$1,$B7,DA$1)</f>
        <v>83.95</v>
      </c>
      <c r="DB7" s="116" cm="1">
        <f t="array" ref="DB7">_xll.EQNXTDZ($A$1,$B7,DB$1)</f>
        <v>104</v>
      </c>
      <c r="DC7" s="116" cm="1">
        <f t="array" ref="DC7">_xll.EQNXTDZ($A$1,$B7,DC$1)</f>
        <v>84.9</v>
      </c>
      <c r="DD7" s="116" cm="1">
        <f t="array" ref="DD7">_xll.EQNXTDZ($A$1,$B7,DD$1)</f>
        <v>86.9</v>
      </c>
      <c r="DE7" s="116" cm="1">
        <f t="array" ref="DE7">_xll.EQNXTDZ($A$1,$B7,DE$1)</f>
        <v>82.45</v>
      </c>
      <c r="DF7" s="116" cm="1">
        <f t="array" ref="DF7">_xll.EQNXTDZ($A$1,$B7,DF$1)</f>
        <v>109.7</v>
      </c>
      <c r="DG7" s="116" cm="1">
        <f t="array" ref="DG7">_xll.EQNXTDZ($A$1,$B7,DG$1)</f>
        <v>116</v>
      </c>
      <c r="DH7" s="116" cm="1">
        <f t="array" ref="DH7">_xll.EQNXTDZ($A$1,$B7,DH$1)</f>
        <v>153.94999999999999</v>
      </c>
      <c r="DI7" s="116" cm="1">
        <f t="array" ref="DI7">_xll.EQNXTDZ($A$1,$B7,DI$1)</f>
        <v>173.55</v>
      </c>
      <c r="DJ7" s="116" cm="1">
        <f t="array" ref="DJ7">_xll.EQNXTDZ($A$1,$B7,DJ$1)</f>
        <v>167.2</v>
      </c>
      <c r="DK7" s="116" cm="1">
        <f t="array" ref="DK7">_xll.EQNXTDZ($A$1,$B7,DK$1)</f>
        <v>285.3</v>
      </c>
      <c r="DL7" s="116" cm="1">
        <f t="array" ref="DL7">_xll.EQNXTDZ($A$1,$B7,DL$1)</f>
        <v>323.8</v>
      </c>
      <c r="DM7" s="116" cm="1">
        <f t="array" ref="DM7">_xll.EQNXTDZ($A$1,$B7,DM$1)</f>
        <v>355</v>
      </c>
      <c r="DN7" s="116" cm="1">
        <f t="array" ref="DN7">_xll.EQNXTDZ($A$1,$B7,DN$1)</f>
        <v>419.8</v>
      </c>
      <c r="DO7" s="116" cm="1">
        <f t="array" ref="DO7">_xll.EQNXTDZ($A$1,$B7,DO$1)</f>
        <v>399.4</v>
      </c>
      <c r="DP7" s="116" cm="1">
        <f t="array" ref="DP7">_xll.EQNXTDZ($A$1,$B7,DP$1)</f>
        <v>328</v>
      </c>
      <c r="DQ7" s="116" cm="1">
        <f t="array" ref="DQ7">_xll.EQNXTDZ($A$1,$B7,DQ$1)</f>
        <v>423</v>
      </c>
      <c r="DR7" s="116" cm="1">
        <f t="array" ref="DR7">_xll.EQNXTDZ($A$1,$B7,DR$1)</f>
        <v>406.5</v>
      </c>
      <c r="DS7" s="116" cm="1">
        <f t="array" ref="DS7">_xll.EQNXTDZ($A$1,$B7,DS$1)</f>
        <v>312</v>
      </c>
      <c r="DT7" s="116" cm="1">
        <f t="array" ref="DT7">_xll.EQNXTDZ($A$1,$B7,DT$1)</f>
        <v>287.05</v>
      </c>
      <c r="DU7" s="116" cm="1">
        <f t="array" ref="DU7">_xll.EQNXTDZ($A$1,$B7,DU$1)</f>
        <v>358.4</v>
      </c>
      <c r="DV7" s="116" cm="1">
        <f t="array" ref="DV7">_xll.EQNXTDZ($A$1,$B7,DV$1)</f>
        <v>338.8</v>
      </c>
      <c r="DW7" s="116" cm="1">
        <f t="array" ref="DW7">_xll.EQNXTDZ($A$1,$B7,DW$1)</f>
        <v>297.7</v>
      </c>
      <c r="DX7" s="116" cm="1">
        <f t="array" ref="DX7">_xll.EQNXTDZ($A$1,$B7,DX$1)</f>
        <v>299.2</v>
      </c>
      <c r="DY7" s="116" cm="1">
        <f t="array" ref="DY7">_xll.EQNXTDZ($A$1,$B7,DY$1)</f>
        <v>269.75</v>
      </c>
      <c r="DZ7" s="116" cm="1">
        <f t="array" ref="DZ7">_xll.EQNXTDZ($A$1,$B7,DZ$1)</f>
        <v>248.25</v>
      </c>
      <c r="EA7" s="116" cm="1">
        <f t="array" ref="EA7">_xll.EQNXTDZ($A$1,$B7,EA$1)</f>
        <v>224</v>
      </c>
      <c r="EB7" s="116" cm="1">
        <f t="array" ref="EB7">_xll.EQNXTDZ($A$1,$B7,EB$1)</f>
        <v>249.7</v>
      </c>
      <c r="EC7" s="116" cm="1">
        <f t="array" ref="EC7">_xll.EQNXTDZ($A$1,$B7,EC$1)</f>
        <v>279</v>
      </c>
      <c r="ED7" s="116" cm="1">
        <f t="array" ref="ED7">_xll.EQNXTDZ($A$1,$B7,ED$1)</f>
        <v>270.7</v>
      </c>
      <c r="EE7" s="116" cm="1">
        <f t="array" ref="EE7">_xll.EQNXTDZ($A$1,$B7,EE$1)</f>
        <v>344.4</v>
      </c>
      <c r="EF7" s="116" cm="1">
        <f t="array" ref="EF7">_xll.EQNXTDZ($A$1,$B7,EF$1)</f>
        <v>354</v>
      </c>
      <c r="EG7" s="116" cm="1">
        <f t="array" ref="EG7">_xll.EQNXTDZ($A$1,$B7,EG$1)</f>
        <v>393</v>
      </c>
      <c r="EH7" s="116" cm="1">
        <f t="array" ref="EH7">_xll.EQNXTDZ($A$1,$B7,EH$1)</f>
        <v>360.45</v>
      </c>
      <c r="EI7" s="116" cm="1">
        <f t="array" ref="EI7">_xll.EQNXTDZ($A$1,$B7,EI$1)</f>
        <v>367.3</v>
      </c>
      <c r="EJ7" s="116" cm="1">
        <f t="array" ref="EJ7">_xll.EQNXTDZ($A$1,$B7,EJ$1)</f>
        <v>335</v>
      </c>
      <c r="EK7" s="116" cm="1">
        <f t="array" ref="EK7">_xll.EQNXTDZ($A$1,$B7,EK$1)</f>
        <v>455.2</v>
      </c>
      <c r="EL7" s="116" cm="1">
        <f t="array" ref="EL7">_xll.EQNXTDZ($A$1,$B7,EL$1)</f>
        <v>497.9</v>
      </c>
      <c r="EM7" s="116" cm="1">
        <f t="array" ref="EM7">_xll.EQNXTDZ($A$1,$B7,EM$1)</f>
        <v>629.95000000000005</v>
      </c>
      <c r="EN7" s="116" cm="1">
        <f t="array" ref="EN7">_xll.EQNXTDZ($A$1,$B7,EN$1)</f>
        <v>499.45</v>
      </c>
      <c r="EO7" s="116" cm="1">
        <f t="array" ref="EO7">_xll.EQNXTDZ($A$1,$B7,EO$1)</f>
        <v>487.6</v>
      </c>
      <c r="EP7" s="116" cm="1">
        <f t="array" ref="EP7">_xll.EQNXTDZ($A$1,$B7,EP$1)</f>
        <v>442.45</v>
      </c>
      <c r="EQ7" s="116" cm="1">
        <f t="array" ref="EQ7">_xll.EQNXTDZ($A$1,$B7,EQ$1)</f>
        <v>455</v>
      </c>
      <c r="ER7" s="116" cm="1">
        <f t="array" ref="ER7">_xll.EQNXTDZ($A$1,$B7,ER$1)</f>
        <v>442.5</v>
      </c>
      <c r="ES7" s="116" cm="1">
        <f t="array" ref="ES7">_xll.EQNXTDZ($A$1,$B7,ES$1)</f>
        <v>458.35</v>
      </c>
      <c r="ET7" s="116" cm="1">
        <f t="array" ref="ET7">_xll.EQNXTDZ($A$1,$B7,ET$1)</f>
        <v>498.4</v>
      </c>
      <c r="EU7" s="116" cm="1">
        <f t="array" ref="EU7">_xll.EQNXTDZ($A$1,$B7,EU$1)</f>
        <v>471.85</v>
      </c>
      <c r="EV7" s="116" cm="1">
        <f t="array" ref="EV7">_xll.EQNXTDZ($A$1,$B7,EV$1)</f>
        <v>400</v>
      </c>
      <c r="EW7" s="116" cm="1">
        <f t="array" ref="EW7">_xll.EQNXTDZ($A$1,$B7,EW$1)</f>
        <v>451.8</v>
      </c>
      <c r="EX7" s="116" cm="1">
        <f t="array" ref="EX7">_xll.EQNXTDZ($A$1,$B7,EX$1)</f>
        <v>453.3</v>
      </c>
      <c r="EY7" s="116" cm="1">
        <f t="array" ref="EY7">_xll.EQNXTDZ($A$1,$B7,EY$1)</f>
        <v>428.8</v>
      </c>
      <c r="EZ7" s="116" cm="1">
        <f t="array" ref="EZ7">_xll.EQNXTDZ($A$1,$B7,EZ$1)</f>
        <v>439.85</v>
      </c>
      <c r="FA7" s="116" cm="1">
        <f t="array" ref="FA7">_xll.EQNXTDZ($A$1,$B7,FA$1)</f>
        <v>443.9</v>
      </c>
      <c r="FB7" s="116" cm="1">
        <f t="array" ref="FB7">_xll.EQNXTDZ($A$1,$B7,FB$1)</f>
        <v>472.05</v>
      </c>
      <c r="FC7" s="116" cm="1">
        <f t="array" ref="FC7">_xll.EQNXTDZ($A$1,$B7,FC$1)</f>
        <v>513</v>
      </c>
      <c r="FD7" s="116" cm="1">
        <f t="array" ref="FD7">_xll.EQNXTDZ($A$1,$B7,FD$1)</f>
        <v>484.1</v>
      </c>
      <c r="FE7" s="116" cm="1">
        <f t="array" ref="FE7">_xll.EQNXTDZ($A$1,$B7,FE$1)</f>
        <v>438.9</v>
      </c>
      <c r="FF7" s="116" cm="1">
        <f t="array" ref="FF7">_xll.EQNXTDZ($A$1,$B7,FF$1)</f>
        <v>447.5</v>
      </c>
      <c r="FG7" s="116" cm="1">
        <f t="array" ref="FG7">_xll.EQNXTDZ($A$1,$B7,FG$1)</f>
        <v>465.45</v>
      </c>
      <c r="FH7" s="116" cm="1">
        <f t="array" ref="FH7">_xll.EQNXTDZ($A$1,$B7,FH$1)</f>
        <v>494.9</v>
      </c>
      <c r="FI7" s="116" cm="1">
        <f t="array" ref="FI7">_xll.EQNXTDZ($A$1,$B7,FI$1)</f>
        <v>502.7</v>
      </c>
      <c r="FJ7" s="116" cm="1">
        <f t="array" ref="FJ7">_xll.EQNXTDZ($A$1,$B7,FJ$1)</f>
        <v>509</v>
      </c>
      <c r="FK7" s="116" cm="1">
        <f t="array" ref="FK7">_xll.EQNXTDZ($A$1,$B7,FK$1)</f>
        <v>524</v>
      </c>
      <c r="FL7" s="116" cm="1">
        <f t="array" ref="FL7">_xll.EQNXTDZ($A$1,$B7,FL$1)</f>
        <v>462.25</v>
      </c>
      <c r="FM7" s="116" cm="1">
        <f t="array" ref="FM7">_xll.EQNXTDZ($A$1,$B7,FM$1)</f>
        <v>576.95000000000005</v>
      </c>
      <c r="FN7" s="116" cm="1">
        <f t="array" ref="FN7">_xll.EQNXTDZ($A$1,$B7,FN$1)</f>
        <v>543</v>
      </c>
      <c r="FO7" s="116" cm="1">
        <f t="array" ref="FO7">_xll.EQNXTDZ($A$1,$B7,FO$1)</f>
        <v>560.25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62.3</v>
      </c>
      <c r="HQ7" s="116">
        <f>+MAX(G7:I7)</f>
        <v>67</v>
      </c>
      <c r="HR7" s="116">
        <f>+MAX(J7:L7)</f>
        <v>57.85</v>
      </c>
      <c r="HS7" s="116">
        <f>+MAX(M7:O7)</f>
        <v>49.4</v>
      </c>
      <c r="HT7" s="116">
        <f>+MAX(P7:R7)</f>
        <v>42.2</v>
      </c>
      <c r="HU7" s="116">
        <f>+MAX(S7:U7)</f>
        <v>43.05</v>
      </c>
      <c r="HV7" s="116">
        <f>+MAX(V7:X7)</f>
        <v>46</v>
      </c>
      <c r="HW7" s="116">
        <f>+MAX(Y7:AA7)</f>
        <v>58.15</v>
      </c>
      <c r="HX7" s="116">
        <f>+MAX(AB7:AD7)</f>
        <v>88.6</v>
      </c>
      <c r="HY7" s="116">
        <f>+MAX(AE7:AG7)</f>
        <v>93.85</v>
      </c>
      <c r="HZ7" s="116">
        <f>+MAX(AH7:AJ7)</f>
        <v>107.95</v>
      </c>
      <c r="IA7" s="116">
        <f>+MAX(AK7:AM7)</f>
        <v>152.1</v>
      </c>
      <c r="IB7" s="116">
        <f>+MAX(AN7:AP7)</f>
        <v>277</v>
      </c>
      <c r="IC7" s="116">
        <f>+MAX(AQ7:AS7)</f>
        <v>324.89999999999998</v>
      </c>
      <c r="ID7" s="116">
        <f>+MAX(AT7:AV7)</f>
        <v>319.95</v>
      </c>
      <c r="IE7" s="116">
        <f>+MAX(AW7:AY7)</f>
        <v>294</v>
      </c>
      <c r="IF7" s="116">
        <f>+MAX(AZ7:BB7)</f>
        <v>282</v>
      </c>
      <c r="IG7" s="116">
        <f>+MAX(BC7:BE7)</f>
        <v>325.8</v>
      </c>
      <c r="IH7" s="116">
        <f>+MAX(BF7:BH7)</f>
        <v>304.89999999999998</v>
      </c>
      <c r="II7" s="116">
        <f>+MAX(BI7:BK7)</f>
        <v>325.8</v>
      </c>
      <c r="IJ7" s="116">
        <f>+MAX(BL7:BN7)</f>
        <v>296.5</v>
      </c>
      <c r="IK7" s="116">
        <f>+MAX(BO7:BQ7)</f>
        <v>224</v>
      </c>
      <c r="IL7" s="116">
        <f>+MAX(BR7:BT7)</f>
        <v>210.7</v>
      </c>
      <c r="IM7" s="116">
        <f>+MAX(BU7:BW7)</f>
        <v>142</v>
      </c>
      <c r="IN7" s="116">
        <f>+MAX(BX7:BZ7)</f>
        <v>100</v>
      </c>
      <c r="IO7" s="116">
        <f>+MAX(CA7:CC7)</f>
        <v>88.25</v>
      </c>
      <c r="IP7" s="116">
        <f>+MAX(CD7:CF7)</f>
        <v>84.6</v>
      </c>
      <c r="IQ7" s="116">
        <f>+MAX(CG7:CI7)</f>
        <v>70</v>
      </c>
      <c r="IR7" s="116">
        <f>+MAX(CJ7:CL7)</f>
        <v>54.95</v>
      </c>
      <c r="IS7" s="116">
        <f>+MAX(CM7:CO7)</f>
        <v>70.5</v>
      </c>
      <c r="IT7" s="116">
        <f>+MAX(CP7:CR7)</f>
        <v>67.599999999999994</v>
      </c>
      <c r="IU7" s="116">
        <f>+MAX(CS7:CU7)</f>
        <v>55.85</v>
      </c>
      <c r="IV7" s="116">
        <f>+MAX(CV7:CX7)</f>
        <v>65.2</v>
      </c>
      <c r="IW7" s="116">
        <f>+MAX(CY7:DA7)</f>
        <v>83.95</v>
      </c>
      <c r="IX7" s="116">
        <f>+MAX(DB7:DD7)</f>
        <v>104</v>
      </c>
      <c r="IY7" s="116">
        <f>+MAX(DE7:DG7)</f>
        <v>116</v>
      </c>
      <c r="IZ7" s="116">
        <f>+MAX(DH7:DJ7)</f>
        <v>173.55</v>
      </c>
      <c r="JA7" s="116">
        <f>+MAX(DK7:DM7)</f>
        <v>355</v>
      </c>
      <c r="JB7" s="116">
        <f>+MAX(DN7:DP7)</f>
        <v>419.8</v>
      </c>
      <c r="JC7" s="116">
        <f>+MAX(DQ7:DS7)</f>
        <v>423</v>
      </c>
      <c r="JD7" s="116">
        <f>+MAX(DT7:DV7)</f>
        <v>358.4</v>
      </c>
      <c r="JE7" s="116">
        <f>+MAX(DW7:DY7)</f>
        <v>299.2</v>
      </c>
      <c r="JF7" s="116">
        <f>+MAX(DZ7:EB7)</f>
        <v>249.7</v>
      </c>
      <c r="JG7" s="116">
        <f>+MAX(EC7:EE7)</f>
        <v>344.4</v>
      </c>
      <c r="JH7" s="116">
        <f>+MAX(EF7:EH7)</f>
        <v>393</v>
      </c>
      <c r="JI7" s="116">
        <f>+MAX(EI7:EK7)</f>
        <v>455.2</v>
      </c>
      <c r="JJ7" s="116">
        <f>+MAX(EL7:EN7)</f>
        <v>629.95000000000005</v>
      </c>
      <c r="JK7" s="116">
        <f>MAX(EO7:EQ7)</f>
        <v>487.6</v>
      </c>
      <c r="JL7" s="116">
        <f>MAX(ER7:ET7)</f>
        <v>498.4</v>
      </c>
      <c r="JM7" s="116">
        <f>MAX(EU7:EW7)</f>
        <v>471.85</v>
      </c>
      <c r="JN7" s="116">
        <f>MAX(EX7:EZ7)</f>
        <v>453.3</v>
      </c>
      <c r="JO7" s="116">
        <f>MAX(FA7:FC7)</f>
        <v>513</v>
      </c>
      <c r="JP7" s="116">
        <f>MAX(FD7:FF7)</f>
        <v>484.1</v>
      </c>
      <c r="JQ7" s="116">
        <f>MAX(FG7:FI7)</f>
        <v>502.7</v>
      </c>
      <c r="JR7" s="116">
        <f>MAX(FJ7:FL7)</f>
        <v>524</v>
      </c>
      <c r="JS7" s="116">
        <f>MAX(FM7:FO7)</f>
        <v>576.95000000000005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38</v>
      </c>
      <c r="B8" s="116" t="s">
        <v>418</v>
      </c>
      <c r="C8" s="116" cm="1">
        <f t="array" ref="C8">_xll.EQNXTDZ($A$1,$B8,C$1)</f>
        <v>42</v>
      </c>
      <c r="D8" s="116" cm="1">
        <f t="array" ref="D8">_xll.EQNXTDZ($A$1,$B8,D$1)</f>
        <v>44.1</v>
      </c>
      <c r="E8" s="116" cm="1">
        <f t="array" ref="E8">_xll.EQNXTDZ($A$1,$B8,E$1)</f>
        <v>44.4</v>
      </c>
      <c r="F8" s="116" cm="1">
        <f t="array" ref="F8">_xll.EQNXTDZ($A$1,$B8,F$1)</f>
        <v>54.1</v>
      </c>
      <c r="G8" s="116" cm="1">
        <f t="array" ref="G8">_xll.EQNXTDZ($A$1,$B8,G$1)</f>
        <v>53</v>
      </c>
      <c r="H8" s="116" cm="1">
        <f t="array" ref="H8">_xll.EQNXTDZ($A$1,$B8,H$1)</f>
        <v>53.85</v>
      </c>
      <c r="I8" s="116" cm="1">
        <f t="array" ref="I8">_xll.EQNXTDZ($A$1,$B8,I$1)</f>
        <v>40.4</v>
      </c>
      <c r="J8" s="116" cm="1">
        <f t="array" ref="J8">_xll.EQNXTDZ($A$1,$B8,J$1)</f>
        <v>46.75</v>
      </c>
      <c r="K8" s="116" cm="1">
        <f t="array" ref="K8">_xll.EQNXTDZ($A$1,$B8,K$1)</f>
        <v>38.5</v>
      </c>
      <c r="L8" s="116" cm="1">
        <f t="array" ref="L8">_xll.EQNXTDZ($A$1,$B8,L$1)</f>
        <v>33</v>
      </c>
      <c r="M8" s="116" cm="1">
        <f t="array" ref="M8">_xll.EQNXTDZ($A$1,$B8,M$1)</f>
        <v>33.5</v>
      </c>
      <c r="N8" s="116" cm="1">
        <f t="array" ref="N8">_xll.EQNXTDZ($A$1,$B8,N$1)</f>
        <v>37.700000000000003</v>
      </c>
      <c r="O8" s="116" cm="1">
        <f t="array" ref="O8">_xll.EQNXTDZ($A$1,$B8,O$1)</f>
        <v>40.6</v>
      </c>
      <c r="P8" s="116" cm="1">
        <f t="array" ref="P8">_xll.EQNXTDZ($A$1,$B8,P$1)</f>
        <v>27.5</v>
      </c>
      <c r="Q8" s="116" cm="1">
        <f t="array" ref="Q8">_xll.EQNXTDZ($A$1,$B8,Q$1)</f>
        <v>26.8</v>
      </c>
      <c r="R8" s="116" cm="1">
        <f t="array" ref="R8">_xll.EQNXTDZ($A$1,$B8,R$1)</f>
        <v>26.85</v>
      </c>
      <c r="S8" s="116" cm="1">
        <f t="array" ref="S8">_xll.EQNXTDZ($A$1,$B8,S$1)</f>
        <v>28.7</v>
      </c>
      <c r="T8" s="116" cm="1">
        <f t="array" ref="T8">_xll.EQNXTDZ($A$1,$B8,T$1)</f>
        <v>31.05</v>
      </c>
      <c r="U8" s="116" cm="1">
        <f t="array" ref="U8">_xll.EQNXTDZ($A$1,$B8,U$1)</f>
        <v>33.5</v>
      </c>
      <c r="V8" s="116" cm="1">
        <f t="array" ref="V8">_xll.EQNXTDZ($A$1,$B8,V$1)</f>
        <v>33.299999999999997</v>
      </c>
      <c r="W8" s="116" cm="1">
        <f t="array" ref="W8">_xll.EQNXTDZ($A$1,$B8,W$1)</f>
        <v>31.25</v>
      </c>
      <c r="X8" s="116" cm="1">
        <f t="array" ref="X8">_xll.EQNXTDZ($A$1,$B8,X$1)</f>
        <v>30.95</v>
      </c>
      <c r="Y8" s="116" cm="1">
        <f t="array" ref="Y8">_xll.EQNXTDZ($A$1,$B8,Y$1)</f>
        <v>34.15</v>
      </c>
      <c r="Z8" s="116" cm="1">
        <f t="array" ref="Z8">_xll.EQNXTDZ($A$1,$B8,Z$1)</f>
        <v>34.6</v>
      </c>
      <c r="AA8" s="116" cm="1">
        <f t="array" ref="AA8">_xll.EQNXTDZ($A$1,$B8,AA$1)</f>
        <v>38</v>
      </c>
      <c r="AB8" s="116" cm="1">
        <f t="array" ref="AB8">_xll.EQNXTDZ($A$1,$B8,AB$1)</f>
        <v>52.8</v>
      </c>
      <c r="AC8" s="116" cm="1">
        <f t="array" ref="AC8">_xll.EQNXTDZ($A$1,$B8,AC$1)</f>
        <v>68.5</v>
      </c>
      <c r="AD8" s="116" cm="1">
        <f t="array" ref="AD8">_xll.EQNXTDZ($A$1,$B8,AD$1)</f>
        <v>71.55</v>
      </c>
      <c r="AE8" s="116" cm="1">
        <f t="array" ref="AE8">_xll.EQNXTDZ($A$1,$B8,AE$1)</f>
        <v>75.150000000000006</v>
      </c>
      <c r="AF8" s="116" cm="1">
        <f t="array" ref="AF8">_xll.EQNXTDZ($A$1,$B8,AF$1)</f>
        <v>76.7</v>
      </c>
      <c r="AG8" s="116" cm="1">
        <f t="array" ref="AG8">_xll.EQNXTDZ($A$1,$B8,AG$1)</f>
        <v>69</v>
      </c>
      <c r="AH8" s="116" cm="1">
        <f t="array" ref="AH8">_xll.EQNXTDZ($A$1,$B8,AH$1)</f>
        <v>68.05</v>
      </c>
      <c r="AI8" s="116" cm="1">
        <f t="array" ref="AI8">_xll.EQNXTDZ($A$1,$B8,AI$1)</f>
        <v>71.05</v>
      </c>
      <c r="AJ8" s="116" cm="1">
        <f t="array" ref="AJ8">_xll.EQNXTDZ($A$1,$B8,AJ$1)</f>
        <v>71.349999999999994</v>
      </c>
      <c r="AK8" s="116" cm="1">
        <f t="array" ref="AK8">_xll.EQNXTDZ($A$1,$B8,AK$1)</f>
        <v>74.5</v>
      </c>
      <c r="AL8" s="116" cm="1">
        <f t="array" ref="AL8">_xll.EQNXTDZ($A$1,$B8,AL$1)</f>
        <v>72</v>
      </c>
      <c r="AM8" s="116" cm="1">
        <f t="array" ref="AM8">_xll.EQNXTDZ($A$1,$B8,AM$1)</f>
        <v>111.2</v>
      </c>
      <c r="AN8" s="116" cm="1">
        <f t="array" ref="AN8">_xll.EQNXTDZ($A$1,$B8,AN$1)</f>
        <v>146.5</v>
      </c>
      <c r="AO8" s="116" cm="1">
        <f t="array" ref="AO8">_xll.EQNXTDZ($A$1,$B8,AO$1)</f>
        <v>186.15</v>
      </c>
      <c r="AP8" s="116" cm="1">
        <f t="array" ref="AP8">_xll.EQNXTDZ($A$1,$B8,AP$1)</f>
        <v>214</v>
      </c>
      <c r="AQ8" s="116" cm="1">
        <f t="array" ref="AQ8">_xll.EQNXTDZ($A$1,$B8,AQ$1)</f>
        <v>238.85</v>
      </c>
      <c r="AR8" s="116" cm="1">
        <f t="array" ref="AR8">_xll.EQNXTDZ($A$1,$B8,AR$1)</f>
        <v>245.1</v>
      </c>
      <c r="AS8" s="116" cm="1">
        <f t="array" ref="AS8">_xll.EQNXTDZ($A$1,$B8,AS$1)</f>
        <v>261.95</v>
      </c>
      <c r="AT8" s="116" cm="1">
        <f t="array" ref="AT8">_xll.EQNXTDZ($A$1,$B8,AT$1)</f>
        <v>260.5</v>
      </c>
      <c r="AU8" s="116" cm="1">
        <f t="array" ref="AU8">_xll.EQNXTDZ($A$1,$B8,AU$1)</f>
        <v>235.1</v>
      </c>
      <c r="AV8" s="116" cm="1">
        <f t="array" ref="AV8">_xll.EQNXTDZ($A$1,$B8,AV$1)</f>
        <v>245.05</v>
      </c>
      <c r="AW8" s="116" cm="1">
        <f t="array" ref="AW8">_xll.EQNXTDZ($A$1,$B8,AW$1)</f>
        <v>246.6</v>
      </c>
      <c r="AX8" s="116" cm="1">
        <f t="array" ref="AX8">_xll.EQNXTDZ($A$1,$B8,AX$1)</f>
        <v>262.05</v>
      </c>
      <c r="AY8" s="116" cm="1">
        <f t="array" ref="AY8">_xll.EQNXTDZ($A$1,$B8,AY$1)</f>
        <v>264.5</v>
      </c>
      <c r="AZ8" s="116" cm="1">
        <f t="array" ref="AZ8">_xll.EQNXTDZ($A$1,$B8,AZ$1)</f>
        <v>263.7</v>
      </c>
      <c r="BA8" s="116" cm="1">
        <f t="array" ref="BA8">_xll.EQNXTDZ($A$1,$B8,BA$1)</f>
        <v>248.7</v>
      </c>
      <c r="BB8" s="116" cm="1">
        <f t="array" ref="BB8">_xll.EQNXTDZ($A$1,$B8,BB$1)</f>
        <v>242.6</v>
      </c>
      <c r="BC8" s="116" cm="1">
        <f t="array" ref="BC8">_xll.EQNXTDZ($A$1,$B8,BC$1)</f>
        <v>248</v>
      </c>
      <c r="BD8" s="116" cm="1">
        <f t="array" ref="BD8">_xll.EQNXTDZ($A$1,$B8,BD$1)</f>
        <v>222.55</v>
      </c>
      <c r="BE8" s="116" cm="1">
        <f t="array" ref="BE8">_xll.EQNXTDZ($A$1,$B8,BE$1)</f>
        <v>235</v>
      </c>
      <c r="BF8" s="116" cm="1">
        <f t="array" ref="BF8">_xll.EQNXTDZ($A$1,$B8,BF$1)</f>
        <v>241.1</v>
      </c>
      <c r="BG8" s="116" cm="1">
        <f t="array" ref="BG8">_xll.EQNXTDZ($A$1,$B8,BG$1)</f>
        <v>257.35000000000002</v>
      </c>
      <c r="BH8" s="116" cm="1">
        <f t="array" ref="BH8">_xll.EQNXTDZ($A$1,$B8,BH$1)</f>
        <v>241.55</v>
      </c>
      <c r="BI8" s="116" cm="1">
        <f t="array" ref="BI8">_xll.EQNXTDZ($A$1,$B8,BI$1)</f>
        <v>271.60000000000002</v>
      </c>
      <c r="BJ8" s="116" cm="1">
        <f t="array" ref="BJ8">_xll.EQNXTDZ($A$1,$B8,BJ$1)</f>
        <v>250</v>
      </c>
      <c r="BK8" s="116" cm="1">
        <f t="array" ref="BK8">_xll.EQNXTDZ($A$1,$B8,BK$1)</f>
        <v>255.15</v>
      </c>
      <c r="BL8" s="116" cm="1">
        <f t="array" ref="BL8">_xll.EQNXTDZ($A$1,$B8,BL$1)</f>
        <v>256.60000000000002</v>
      </c>
      <c r="BM8" s="116" cm="1">
        <f t="array" ref="BM8">_xll.EQNXTDZ($A$1,$B8,BM$1)</f>
        <v>241.5</v>
      </c>
      <c r="BN8" s="116" cm="1">
        <f t="array" ref="BN8">_xll.EQNXTDZ($A$1,$B8,BN$1)</f>
        <v>188.6</v>
      </c>
      <c r="BO8" s="116" cm="1">
        <f t="array" ref="BO8">_xll.EQNXTDZ($A$1,$B8,BO$1)</f>
        <v>184.25</v>
      </c>
      <c r="BP8" s="116" cm="1">
        <f t="array" ref="BP8">_xll.EQNXTDZ($A$1,$B8,BP$1)</f>
        <v>185.25</v>
      </c>
      <c r="BQ8" s="116" cm="1">
        <f t="array" ref="BQ8">_xll.EQNXTDZ($A$1,$B8,BQ$1)</f>
        <v>182</v>
      </c>
      <c r="BR8" s="116" cm="1">
        <f t="array" ref="BR8">_xll.EQNXTDZ($A$1,$B8,BR$1)</f>
        <v>170.3</v>
      </c>
      <c r="BS8" s="116" cm="1">
        <f t="array" ref="BS8">_xll.EQNXTDZ($A$1,$B8,BS$1)</f>
        <v>138.25</v>
      </c>
      <c r="BT8" s="116" cm="1">
        <f t="array" ref="BT8">_xll.EQNXTDZ($A$1,$B8,BT$1)</f>
        <v>120.1</v>
      </c>
      <c r="BU8" s="116" cm="1">
        <f t="array" ref="BU8">_xll.EQNXTDZ($A$1,$B8,BU$1)</f>
        <v>121.3</v>
      </c>
      <c r="BV8" s="116" cm="1">
        <f t="array" ref="BV8">_xll.EQNXTDZ($A$1,$B8,BV$1)</f>
        <v>102</v>
      </c>
      <c r="BW8" s="116" cm="1">
        <f t="array" ref="BW8">_xll.EQNXTDZ($A$1,$B8,BW$1)</f>
        <v>76.95</v>
      </c>
      <c r="BX8" s="116" cm="1">
        <f t="array" ref="BX8">_xll.EQNXTDZ($A$1,$B8,BX$1)</f>
        <v>67</v>
      </c>
      <c r="BY8" s="116" cm="1">
        <f t="array" ref="BY8">_xll.EQNXTDZ($A$1,$B8,BY$1)</f>
        <v>79.25</v>
      </c>
      <c r="BZ8" s="116" cm="1">
        <f t="array" ref="BZ8">_xll.EQNXTDZ($A$1,$B8,BZ$1)</f>
        <v>59.15</v>
      </c>
      <c r="CA8" s="116" cm="1">
        <f t="array" ref="CA8">_xll.EQNXTDZ($A$1,$B8,CA$1)</f>
        <v>53.4</v>
      </c>
      <c r="CB8" s="116" cm="1">
        <f t="array" ref="CB8">_xll.EQNXTDZ($A$1,$B8,CB$1)</f>
        <v>66.2</v>
      </c>
      <c r="CC8" s="116" cm="1">
        <f t="array" ref="CC8">_xll.EQNXTDZ($A$1,$B8,CC$1)</f>
        <v>64.099999999999994</v>
      </c>
      <c r="CD8" s="116" cm="1">
        <f t="array" ref="CD8">_xll.EQNXTDZ($A$1,$B8,CD$1)</f>
        <v>58.35</v>
      </c>
      <c r="CE8" s="116" cm="1">
        <f t="array" ref="CE8">_xll.EQNXTDZ($A$1,$B8,CE$1)</f>
        <v>53.4</v>
      </c>
      <c r="CF8" s="116" cm="1">
        <f t="array" ref="CF8">_xll.EQNXTDZ($A$1,$B8,CF$1)</f>
        <v>56.45</v>
      </c>
      <c r="CG8" s="116" cm="1">
        <f t="array" ref="CG8">_xll.EQNXTDZ($A$1,$B8,CG$1)</f>
        <v>59.5</v>
      </c>
      <c r="CH8" s="116" cm="1">
        <f t="array" ref="CH8">_xll.EQNXTDZ($A$1,$B8,CH$1)</f>
        <v>50.1</v>
      </c>
      <c r="CI8" s="116" cm="1">
        <f t="array" ref="CI8">_xll.EQNXTDZ($A$1,$B8,CI$1)</f>
        <v>50</v>
      </c>
      <c r="CJ8" s="116" cm="1">
        <f t="array" ref="CJ8">_xll.EQNXTDZ($A$1,$B8,CJ$1)</f>
        <v>39.75</v>
      </c>
      <c r="CK8" s="116" cm="1">
        <f t="array" ref="CK8">_xll.EQNXTDZ($A$1,$B8,CK$1)</f>
        <v>32.4</v>
      </c>
      <c r="CL8" s="116" cm="1">
        <f t="array" ref="CL8">_xll.EQNXTDZ($A$1,$B8,CL$1)</f>
        <v>33.6</v>
      </c>
      <c r="CM8" s="116" cm="1">
        <f t="array" ref="CM8">_xll.EQNXTDZ($A$1,$B8,CM$1)</f>
        <v>35.200000000000003</v>
      </c>
      <c r="CN8" s="116" cm="1">
        <f t="array" ref="CN8">_xll.EQNXTDZ($A$1,$B8,CN$1)</f>
        <v>39.200000000000003</v>
      </c>
      <c r="CO8" s="116" cm="1">
        <f t="array" ref="CO8">_xll.EQNXTDZ($A$1,$B8,CO$1)</f>
        <v>53.05</v>
      </c>
      <c r="CP8" s="116" cm="1">
        <f t="array" ref="CP8">_xll.EQNXTDZ($A$1,$B8,CP$1)</f>
        <v>56.25</v>
      </c>
      <c r="CQ8" s="116" cm="1">
        <f t="array" ref="CQ8">_xll.EQNXTDZ($A$1,$B8,CQ$1)</f>
        <v>50</v>
      </c>
      <c r="CR8" s="116" cm="1">
        <f t="array" ref="CR8">_xll.EQNXTDZ($A$1,$B8,CR$1)</f>
        <v>32.35</v>
      </c>
      <c r="CS8" s="116" cm="1">
        <f t="array" ref="CS8">_xll.EQNXTDZ($A$1,$B8,CS$1)</f>
        <v>35</v>
      </c>
      <c r="CT8" s="116" cm="1">
        <f t="array" ref="CT8">_xll.EQNXTDZ($A$1,$B8,CT$1)</f>
        <v>36.15</v>
      </c>
      <c r="CU8" s="116" cm="1">
        <f t="array" ref="CU8">_xll.EQNXTDZ($A$1,$B8,CU$1)</f>
        <v>37.65</v>
      </c>
      <c r="CV8" s="116" cm="1">
        <f t="array" ref="CV8">_xll.EQNXTDZ($A$1,$B8,CV$1)</f>
        <v>43.3</v>
      </c>
      <c r="CW8" s="116" cm="1">
        <f t="array" ref="CW8">_xll.EQNXTDZ($A$1,$B8,CW$1)</f>
        <v>46.25</v>
      </c>
      <c r="CX8" s="116" cm="1">
        <f t="array" ref="CX8">_xll.EQNXTDZ($A$1,$B8,CX$1)</f>
        <v>44.65</v>
      </c>
      <c r="CY8" s="116" cm="1">
        <f t="array" ref="CY8">_xll.EQNXTDZ($A$1,$B8,CY$1)</f>
        <v>46.1</v>
      </c>
      <c r="CZ8" s="116" cm="1">
        <f t="array" ref="CZ8">_xll.EQNXTDZ($A$1,$B8,CZ$1)</f>
        <v>47.25</v>
      </c>
      <c r="DA8" s="116" cm="1">
        <f t="array" ref="DA8">_xll.EQNXTDZ($A$1,$B8,DA$1)</f>
        <v>53.45</v>
      </c>
      <c r="DB8" s="116" cm="1">
        <f t="array" ref="DB8">_xll.EQNXTDZ($A$1,$B8,DB$1)</f>
        <v>76.55</v>
      </c>
      <c r="DC8" s="116" cm="1">
        <f t="array" ref="DC8">_xll.EQNXTDZ($A$1,$B8,DC$1)</f>
        <v>71.150000000000006</v>
      </c>
      <c r="DD8" s="116" cm="1">
        <f t="array" ref="DD8">_xll.EQNXTDZ($A$1,$B8,DD$1)</f>
        <v>71.099999999999994</v>
      </c>
      <c r="DE8" s="116" cm="1">
        <f t="array" ref="DE8">_xll.EQNXTDZ($A$1,$B8,DE$1)</f>
        <v>74.5</v>
      </c>
      <c r="DF8" s="116" cm="1">
        <f t="array" ref="DF8">_xll.EQNXTDZ($A$1,$B8,DF$1)</f>
        <v>79</v>
      </c>
      <c r="DG8" s="116" cm="1">
        <f t="array" ref="DG8">_xll.EQNXTDZ($A$1,$B8,DG$1)</f>
        <v>95.05</v>
      </c>
      <c r="DH8" s="116" cm="1">
        <f t="array" ref="DH8">_xll.EQNXTDZ($A$1,$B8,DH$1)</f>
        <v>103.8</v>
      </c>
      <c r="DI8" s="116" cm="1">
        <f t="array" ref="DI8">_xll.EQNXTDZ($A$1,$B8,DI$1)</f>
        <v>122.6</v>
      </c>
      <c r="DJ8" s="116" cm="1">
        <f t="array" ref="DJ8">_xll.EQNXTDZ($A$1,$B8,DJ$1)</f>
        <v>129.05000000000001</v>
      </c>
      <c r="DK8" s="116" cm="1">
        <f t="array" ref="DK8">_xll.EQNXTDZ($A$1,$B8,DK$1)</f>
        <v>167.8</v>
      </c>
      <c r="DL8" s="116" cm="1">
        <f t="array" ref="DL8">_xll.EQNXTDZ($A$1,$B8,DL$1)</f>
        <v>232.45</v>
      </c>
      <c r="DM8" s="116" cm="1">
        <f t="array" ref="DM8">_xll.EQNXTDZ($A$1,$B8,DM$1)</f>
        <v>232.8</v>
      </c>
      <c r="DN8" s="116" cm="1">
        <f t="array" ref="DN8">_xll.EQNXTDZ($A$1,$B8,DN$1)</f>
        <v>352.05</v>
      </c>
      <c r="DO8" s="116" cm="1">
        <f t="array" ref="DO8">_xll.EQNXTDZ($A$1,$B8,DO$1)</f>
        <v>272.85000000000002</v>
      </c>
      <c r="DP8" s="116" cm="1">
        <f t="array" ref="DP8">_xll.EQNXTDZ($A$1,$B8,DP$1)</f>
        <v>254.3</v>
      </c>
      <c r="DQ8" s="116" cm="1">
        <f t="array" ref="DQ8">_xll.EQNXTDZ($A$1,$B8,DQ$1)</f>
        <v>262.45</v>
      </c>
      <c r="DR8" s="116" cm="1">
        <f t="array" ref="DR8">_xll.EQNXTDZ($A$1,$B8,DR$1)</f>
        <v>237</v>
      </c>
      <c r="DS8" s="116" cm="1">
        <f t="array" ref="DS8">_xll.EQNXTDZ($A$1,$B8,DS$1)</f>
        <v>251.85</v>
      </c>
      <c r="DT8" s="116" cm="1">
        <f t="array" ref="DT8">_xll.EQNXTDZ($A$1,$B8,DT$1)</f>
        <v>262.05</v>
      </c>
      <c r="DU8" s="116" cm="1">
        <f t="array" ref="DU8">_xll.EQNXTDZ($A$1,$B8,DU$1)</f>
        <v>252.45</v>
      </c>
      <c r="DV8" s="116" cm="1">
        <f t="array" ref="DV8">_xll.EQNXTDZ($A$1,$B8,DV$1)</f>
        <v>275</v>
      </c>
      <c r="DW8" s="116" cm="1">
        <f t="array" ref="DW8">_xll.EQNXTDZ($A$1,$B8,DW$1)</f>
        <v>253.1</v>
      </c>
      <c r="DX8" s="116" cm="1">
        <f t="array" ref="DX8">_xll.EQNXTDZ($A$1,$B8,DX$1)</f>
        <v>256.60000000000002</v>
      </c>
      <c r="DY8" s="116" cm="1">
        <f t="array" ref="DY8">_xll.EQNXTDZ($A$1,$B8,DY$1)</f>
        <v>225.55</v>
      </c>
      <c r="DZ8" s="116" cm="1">
        <f t="array" ref="DZ8">_xll.EQNXTDZ($A$1,$B8,DZ$1)</f>
        <v>204.05</v>
      </c>
      <c r="EA8" s="116" cm="1">
        <f t="array" ref="EA8">_xll.EQNXTDZ($A$1,$B8,EA$1)</f>
        <v>194.65</v>
      </c>
      <c r="EB8" s="116" cm="1">
        <f t="array" ref="EB8">_xll.EQNXTDZ($A$1,$B8,EB$1)</f>
        <v>212</v>
      </c>
      <c r="EC8" s="116" cm="1">
        <f t="array" ref="EC8">_xll.EQNXTDZ($A$1,$B8,EC$1)</f>
        <v>217.9</v>
      </c>
      <c r="ED8" s="116" cm="1">
        <f t="array" ref="ED8">_xll.EQNXTDZ($A$1,$B8,ED$1)</f>
        <v>226.6</v>
      </c>
      <c r="EE8" s="116" cm="1">
        <f t="array" ref="EE8">_xll.EQNXTDZ($A$1,$B8,EE$1)</f>
        <v>230.15</v>
      </c>
      <c r="EF8" s="116" cm="1">
        <f t="array" ref="EF8">_xll.EQNXTDZ($A$1,$B8,EF$1)</f>
        <v>290.35000000000002</v>
      </c>
      <c r="EG8" s="116" cm="1">
        <f t="array" ref="EG8">_xll.EQNXTDZ($A$1,$B8,EG$1)</f>
        <v>308</v>
      </c>
      <c r="EH8" s="116" cm="1">
        <f t="array" ref="EH8">_xll.EQNXTDZ($A$1,$B8,EH$1)</f>
        <v>320.2</v>
      </c>
      <c r="EI8" s="116" cm="1">
        <f t="array" ref="EI8">_xll.EQNXTDZ($A$1,$B8,EI$1)</f>
        <v>273.75</v>
      </c>
      <c r="EJ8" s="116" cm="1">
        <f t="array" ref="EJ8">_xll.EQNXTDZ($A$1,$B8,EJ$1)</f>
        <v>293.55</v>
      </c>
      <c r="EK8" s="116" cm="1">
        <f t="array" ref="EK8">_xll.EQNXTDZ($A$1,$B8,EK$1)</f>
        <v>312.25</v>
      </c>
      <c r="EL8" s="116" cm="1">
        <f t="array" ref="EL8">_xll.EQNXTDZ($A$1,$B8,EL$1)</f>
        <v>420</v>
      </c>
      <c r="EM8" s="116" cm="1">
        <f t="array" ref="EM8">_xll.EQNXTDZ($A$1,$B8,EM$1)</f>
        <v>463.85</v>
      </c>
      <c r="EN8" s="116" cm="1">
        <f t="array" ref="EN8">_xll.EQNXTDZ($A$1,$B8,EN$1)</f>
        <v>353.9</v>
      </c>
      <c r="EO8" s="116" cm="1">
        <f t="array" ref="EO8">_xll.EQNXTDZ($A$1,$B8,EO$1)</f>
        <v>410.1</v>
      </c>
      <c r="EP8" s="116" cm="1">
        <f t="array" ref="EP8">_xll.EQNXTDZ($A$1,$B8,EP$1)</f>
        <v>359.55</v>
      </c>
      <c r="EQ8" s="116" cm="1">
        <f t="array" ref="EQ8">_xll.EQNXTDZ($A$1,$B8,EQ$1)</f>
        <v>317.60000000000002</v>
      </c>
      <c r="ER8" s="116" cm="1">
        <f t="array" ref="ER8">_xll.EQNXTDZ($A$1,$B8,ER$1)</f>
        <v>382.8</v>
      </c>
      <c r="ES8" s="116" cm="1">
        <f t="array" ref="ES8">_xll.EQNXTDZ($A$1,$B8,ES$1)</f>
        <v>375</v>
      </c>
      <c r="ET8" s="116" cm="1">
        <f t="array" ref="ET8">_xll.EQNXTDZ($A$1,$B8,ET$1)</f>
        <v>392.35</v>
      </c>
      <c r="EU8" s="116" cm="1">
        <f t="array" ref="EU8">_xll.EQNXTDZ($A$1,$B8,EU$1)</f>
        <v>373.05</v>
      </c>
      <c r="EV8" s="116" cm="1">
        <f t="array" ref="EV8">_xll.EQNXTDZ($A$1,$B8,EV$1)</f>
        <v>348.15</v>
      </c>
      <c r="EW8" s="116" cm="1">
        <f t="array" ref="EW8">_xll.EQNXTDZ($A$1,$B8,EW$1)</f>
        <v>363.5</v>
      </c>
      <c r="EX8" s="116" cm="1">
        <f t="array" ref="EX8">_xll.EQNXTDZ($A$1,$B8,EX$1)</f>
        <v>367.95</v>
      </c>
      <c r="EY8" s="116" cm="1">
        <f t="array" ref="EY8">_xll.EQNXTDZ($A$1,$B8,EY$1)</f>
        <v>302</v>
      </c>
      <c r="EZ8" s="116" cm="1">
        <f t="array" ref="EZ8">_xll.EQNXTDZ($A$1,$B8,EZ$1)</f>
        <v>293.14999999999998</v>
      </c>
      <c r="FA8" s="116" cm="1">
        <f t="array" ref="FA8">_xll.EQNXTDZ($A$1,$B8,FA$1)</f>
        <v>351.6</v>
      </c>
      <c r="FB8" s="116" cm="1">
        <f t="array" ref="FB8">_xll.EQNXTDZ($A$1,$B8,FB$1)</f>
        <v>380.2</v>
      </c>
      <c r="FC8" s="116" cm="1">
        <f t="array" ref="FC8">_xll.EQNXTDZ($A$1,$B8,FC$1)</f>
        <v>397.8</v>
      </c>
      <c r="FD8" s="116" cm="1">
        <f t="array" ref="FD8">_xll.EQNXTDZ($A$1,$B8,FD$1)</f>
        <v>424.95</v>
      </c>
      <c r="FE8" s="116" cm="1">
        <f t="array" ref="FE8">_xll.EQNXTDZ($A$1,$B8,FE$1)</f>
        <v>341.55</v>
      </c>
      <c r="FF8" s="116" cm="1">
        <f t="array" ref="FF8">_xll.EQNXTDZ($A$1,$B8,FF$1)</f>
        <v>362.75</v>
      </c>
      <c r="FG8" s="116" cm="1">
        <f t="array" ref="FG8">_xll.EQNXTDZ($A$1,$B8,FG$1)</f>
        <v>391.2</v>
      </c>
      <c r="FH8" s="116" cm="1">
        <f t="array" ref="FH8">_xll.EQNXTDZ($A$1,$B8,FH$1)</f>
        <v>421.95</v>
      </c>
      <c r="FI8" s="116" cm="1">
        <f t="array" ref="FI8">_xll.EQNXTDZ($A$1,$B8,FI$1)</f>
        <v>419.45</v>
      </c>
      <c r="FJ8" s="116" cm="1">
        <f t="array" ref="FJ8">_xll.EQNXTDZ($A$1,$B8,FJ$1)</f>
        <v>412.6</v>
      </c>
      <c r="FK8" s="116" cm="1">
        <f t="array" ref="FK8">_xll.EQNXTDZ($A$1,$B8,FK$1)</f>
        <v>440.1</v>
      </c>
      <c r="FL8" s="116" cm="1">
        <f t="array" ref="FL8">_xll.EQNXTDZ($A$1,$B8,FL$1)</f>
        <v>410.1</v>
      </c>
      <c r="FM8" s="116" cm="1">
        <f t="array" ref="FM8">_xll.EQNXTDZ($A$1,$B8,FM$1)</f>
        <v>413</v>
      </c>
      <c r="FN8" s="116" cm="1">
        <f t="array" ref="FN8">_xll.EQNXTDZ($A$1,$B8,FN$1)</f>
        <v>469.8</v>
      </c>
      <c r="FO8" s="116" cm="1">
        <f t="array" ref="FO8">_xll.EQNXTDZ($A$1,$B8,FO$1)</f>
        <v>515.85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44.1</v>
      </c>
      <c r="HQ8" s="116">
        <f>+MIN(G8:I8)</f>
        <v>40.4</v>
      </c>
      <c r="HR8" s="116">
        <f>+MIN(J8:L8)</f>
        <v>33</v>
      </c>
      <c r="HS8" s="116">
        <f>+MIN(M8:O8)</f>
        <v>33.5</v>
      </c>
      <c r="HT8" s="116">
        <f>+MIN(P8:R8)</f>
        <v>26.8</v>
      </c>
      <c r="HU8" s="116">
        <f>+MIN(S8:U8)</f>
        <v>28.7</v>
      </c>
      <c r="HV8" s="116">
        <f>+MIN(V8:X8)</f>
        <v>30.95</v>
      </c>
      <c r="HW8" s="116">
        <f>+MIN(Y8:AA8)</f>
        <v>34.15</v>
      </c>
      <c r="HX8" s="116">
        <f>+MIN(AB8:AD8)</f>
        <v>52.8</v>
      </c>
      <c r="HY8" s="116">
        <f>+MIN(AE8:AG8)</f>
        <v>69</v>
      </c>
      <c r="HZ8" s="116">
        <f>+MIN(AH8:AJ8)</f>
        <v>68.05</v>
      </c>
      <c r="IA8" s="116">
        <f>+MIN(AK8:AM8)</f>
        <v>72</v>
      </c>
      <c r="IB8" s="116">
        <f>+MIN(AN8:AP8)</f>
        <v>146.5</v>
      </c>
      <c r="IC8" s="116">
        <f>+MIN(AQ8:AS8)</f>
        <v>238.85</v>
      </c>
      <c r="ID8" s="116">
        <f>+MIN(AT8:AV8)</f>
        <v>235.1</v>
      </c>
      <c r="IE8" s="116">
        <f>+MIN(AW8:AY8)</f>
        <v>246.6</v>
      </c>
      <c r="IF8" s="116">
        <f>+MIN(AZ8:BB8)</f>
        <v>242.6</v>
      </c>
      <c r="IG8" s="116">
        <f>+MIN(BC8:BE8)</f>
        <v>222.55</v>
      </c>
      <c r="IH8" s="116">
        <f>+MIN(BF8:BH8)</f>
        <v>241.1</v>
      </c>
      <c r="II8" s="116">
        <f>+MIN(BI8:BK8)</f>
        <v>250</v>
      </c>
      <c r="IJ8" s="116">
        <f>+MIN(BL8:BN8)</f>
        <v>188.6</v>
      </c>
      <c r="IK8" s="116">
        <f>+MIN(BO8:BQ8)</f>
        <v>182</v>
      </c>
      <c r="IL8" s="116">
        <f>+MIN(BR8:BT8)</f>
        <v>120.1</v>
      </c>
      <c r="IM8" s="116">
        <f>+MIN(BU8:BW8)</f>
        <v>76.95</v>
      </c>
      <c r="IN8" s="116">
        <f>+MIN(BX8:BZ8)</f>
        <v>59.15</v>
      </c>
      <c r="IO8" s="116">
        <f>+MIN(CA8:CC8)</f>
        <v>53.4</v>
      </c>
      <c r="IP8" s="116">
        <f>+MIN(CD8:CF8)</f>
        <v>53.4</v>
      </c>
      <c r="IQ8" s="116">
        <f>+MIN(CG8:CI8)</f>
        <v>50</v>
      </c>
      <c r="IR8" s="116">
        <f>+MIN(CJ8:CL8)</f>
        <v>32.4</v>
      </c>
      <c r="IS8" s="116">
        <f>+MIN(CM8:CO8)</f>
        <v>35.200000000000003</v>
      </c>
      <c r="IT8" s="116">
        <f>+MIN(CP8:CR8)</f>
        <v>32.35</v>
      </c>
      <c r="IU8" s="116">
        <f>+MIN(CS8:CU8)</f>
        <v>35</v>
      </c>
      <c r="IV8" s="116">
        <f>+MIN(CV8:CX8)</f>
        <v>43.3</v>
      </c>
      <c r="IW8" s="116">
        <f>+MIN(CY8:DA8)</f>
        <v>46.1</v>
      </c>
      <c r="IX8" s="116">
        <f>+MIN(DB8:DD8)</f>
        <v>71.099999999999994</v>
      </c>
      <c r="IY8" s="116">
        <f>+MIN(DE8:DG8)</f>
        <v>74.5</v>
      </c>
      <c r="IZ8" s="116">
        <f>+MIN(DH8:DJ8)</f>
        <v>103.8</v>
      </c>
      <c r="JA8" s="116">
        <f>+MIN(DK8:DM8)</f>
        <v>167.8</v>
      </c>
      <c r="JB8" s="116">
        <f>+MIN(DN8:DP8)</f>
        <v>254.3</v>
      </c>
      <c r="JC8" s="116">
        <f>+MIN(DQ8:DS8)</f>
        <v>237</v>
      </c>
      <c r="JD8" s="116">
        <f>+MIN(DT8:DV8)</f>
        <v>252.45</v>
      </c>
      <c r="JE8" s="116">
        <f>+MIN(DW8:DY8)</f>
        <v>225.55</v>
      </c>
      <c r="JF8" s="116">
        <f>+MIN(DZ8:EB8)</f>
        <v>194.65</v>
      </c>
      <c r="JG8" s="116">
        <f>+MIN(EC8:EE8)</f>
        <v>217.9</v>
      </c>
      <c r="JH8" s="116">
        <f>+MIN(EF8:EH8)</f>
        <v>290.35000000000002</v>
      </c>
      <c r="JI8" s="116">
        <f>+MIN(EI8:EK8)</f>
        <v>273.75</v>
      </c>
      <c r="JJ8" s="116">
        <f>+MIN(EL8:EN8)</f>
        <v>353.9</v>
      </c>
      <c r="JK8" s="116">
        <f>MIN(EO8:EQ8)</f>
        <v>317.60000000000002</v>
      </c>
      <c r="JL8" s="116">
        <f>MIN(ER8:ET8)</f>
        <v>375</v>
      </c>
      <c r="JM8" s="116">
        <f>MIN(EU8:EW8)</f>
        <v>348.15</v>
      </c>
      <c r="JN8" s="116">
        <f>MIN(EX8:EZ8)</f>
        <v>293.14999999999998</v>
      </c>
      <c r="JO8" s="116">
        <f>MIN(FA8:FC8)</f>
        <v>351.6</v>
      </c>
      <c r="JP8" s="116">
        <f>MIN(FD8:FF8)</f>
        <v>341.55</v>
      </c>
      <c r="JQ8" s="116">
        <f>MIN(FG8:FI8)</f>
        <v>391.2</v>
      </c>
      <c r="JR8" s="116">
        <f>MIN(FJ8:FL8)</f>
        <v>410.1</v>
      </c>
      <c r="JS8" s="116">
        <f>MIN(FM8:FO8)</f>
        <v>413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36</v>
      </c>
      <c r="B9" s="116" t="s">
        <v>419</v>
      </c>
      <c r="C9" s="116" cm="1">
        <f t="array" ref="C9">_xll.EQNXTDZ($A$1,$B9,C$1)</f>
        <v>48.4</v>
      </c>
      <c r="D9" s="116" cm="1">
        <f t="array" ref="D9">_xll.EQNXTDZ($A$1,$B9,D$1)</f>
        <v>47</v>
      </c>
      <c r="E9" s="116" cm="1">
        <f t="array" ref="E9">_xll.EQNXTDZ($A$1,$B9,E$1)</f>
        <v>55.7</v>
      </c>
      <c r="F9" s="116" cm="1">
        <f t="array" ref="F9">_xll.EQNXTDZ($A$1,$B9,F$1)</f>
        <v>56.05</v>
      </c>
      <c r="G9" s="116" cm="1">
        <f t="array" ref="G9">_xll.EQNXTDZ($A$1,$B9,G$1)</f>
        <v>59.85</v>
      </c>
      <c r="H9" s="116" cm="1">
        <f t="array" ref="H9">_xll.EQNXTDZ($A$1,$B9,H$1)</f>
        <v>58.1</v>
      </c>
      <c r="I9" s="116" cm="1">
        <f t="array" ref="I9">_xll.EQNXTDZ($A$1,$B9,I$1)</f>
        <v>51.4</v>
      </c>
      <c r="J9" s="116" cm="1">
        <f t="array" ref="J9">_xll.EQNXTDZ($A$1,$B9,J$1)</f>
        <v>53.55</v>
      </c>
      <c r="K9" s="116" cm="1">
        <f t="array" ref="K9">_xll.EQNXTDZ($A$1,$B9,K$1)</f>
        <v>39.299999999999997</v>
      </c>
      <c r="L9" s="116" cm="1">
        <f t="array" ref="L9">_xll.EQNXTDZ($A$1,$B9,L$1)</f>
        <v>33.549999999999997</v>
      </c>
      <c r="M9" s="116" cm="1">
        <f t="array" ref="M9">_xll.EQNXTDZ($A$1,$B9,M$1)</f>
        <v>40.049999999999997</v>
      </c>
      <c r="N9" s="116" cm="1">
        <f t="array" ref="N9">_xll.EQNXTDZ($A$1,$B9,N$1)</f>
        <v>45</v>
      </c>
      <c r="O9" s="116" cm="1">
        <f t="array" ref="O9">_xll.EQNXTDZ($A$1,$B9,O$1)</f>
        <v>41.2</v>
      </c>
      <c r="P9" s="116" cm="1">
        <f t="array" ref="P9">_xll.EQNXTDZ($A$1,$B9,P$1)</f>
        <v>28.65</v>
      </c>
      <c r="Q9" s="116" cm="1">
        <f t="array" ref="Q9">_xll.EQNXTDZ($A$1,$B9,Q$1)</f>
        <v>31.2</v>
      </c>
      <c r="R9" s="116" cm="1">
        <f t="array" ref="R9">_xll.EQNXTDZ($A$1,$B9,R$1)</f>
        <v>29.5</v>
      </c>
      <c r="S9" s="116" cm="1">
        <f t="array" ref="S9">_xll.EQNXTDZ($A$1,$B9,S$1)</f>
        <v>31.8</v>
      </c>
      <c r="T9" s="116" cm="1">
        <f t="array" ref="T9">_xll.EQNXTDZ($A$1,$B9,T$1)</f>
        <v>34.5</v>
      </c>
      <c r="U9" s="116" cm="1">
        <f t="array" ref="U9">_xll.EQNXTDZ($A$1,$B9,U$1)</f>
        <v>36.200000000000003</v>
      </c>
      <c r="V9" s="116" cm="1">
        <f t="array" ref="V9">_xll.EQNXTDZ($A$1,$B9,V$1)</f>
        <v>34.85</v>
      </c>
      <c r="W9" s="116" cm="1">
        <f t="array" ref="W9">_xll.EQNXTDZ($A$1,$B9,W$1)</f>
        <v>33.299999999999997</v>
      </c>
      <c r="X9" s="116" cm="1">
        <f t="array" ref="X9">_xll.EQNXTDZ($A$1,$B9,X$1)</f>
        <v>35.15</v>
      </c>
      <c r="Y9" s="116" cm="1">
        <f t="array" ref="Y9">_xll.EQNXTDZ($A$1,$B9,Y$1)</f>
        <v>38.299999999999997</v>
      </c>
      <c r="Z9" s="116" cm="1">
        <f t="array" ref="Z9">_xll.EQNXTDZ($A$1,$B9,Z$1)</f>
        <v>38.200000000000003</v>
      </c>
      <c r="AA9" s="116" cm="1">
        <f t="array" ref="AA9">_xll.EQNXTDZ($A$1,$B9,AA$1)</f>
        <v>54.45</v>
      </c>
      <c r="AB9" s="116" cm="1">
        <f t="array" ref="AB9">_xll.EQNXTDZ($A$1,$B9,AB$1)</f>
        <v>79.55</v>
      </c>
      <c r="AC9" s="116" cm="1">
        <f t="array" ref="AC9">_xll.EQNXTDZ($A$1,$B9,AC$1)</f>
        <v>71.849999999999994</v>
      </c>
      <c r="AD9" s="116" cm="1">
        <f t="array" ref="AD9">_xll.EQNXTDZ($A$1,$B9,AD$1)</f>
        <v>83.75</v>
      </c>
      <c r="AE9" s="116" cm="1">
        <f t="array" ref="AE9">_xll.EQNXTDZ($A$1,$B9,AE$1)</f>
        <v>83.35</v>
      </c>
      <c r="AF9" s="116" cm="1">
        <f t="array" ref="AF9">_xll.EQNXTDZ($A$1,$B9,AF$1)</f>
        <v>83</v>
      </c>
      <c r="AG9" s="116" cm="1">
        <f t="array" ref="AG9">_xll.EQNXTDZ($A$1,$B9,AG$1)</f>
        <v>77.95</v>
      </c>
      <c r="AH9" s="116" cm="1">
        <f t="array" ref="AH9">_xll.EQNXTDZ($A$1,$B9,AH$1)</f>
        <v>81.2</v>
      </c>
      <c r="AI9" s="116" cm="1">
        <f t="array" ref="AI9">_xll.EQNXTDZ($A$1,$B9,AI$1)</f>
        <v>75</v>
      </c>
      <c r="AJ9" s="116" cm="1">
        <f t="array" ref="AJ9">_xll.EQNXTDZ($A$1,$B9,AJ$1)</f>
        <v>78.2</v>
      </c>
      <c r="AK9" s="116" cm="1">
        <f t="array" ref="AK9">_xll.EQNXTDZ($A$1,$B9,AK$1)</f>
        <v>84.4</v>
      </c>
      <c r="AL9" s="116" cm="1">
        <f t="array" ref="AL9">_xll.EQNXTDZ($A$1,$B9,AL$1)</f>
        <v>122.9</v>
      </c>
      <c r="AM9" s="116" cm="1">
        <f t="array" ref="AM9">_xll.EQNXTDZ($A$1,$B9,AM$1)</f>
        <v>150</v>
      </c>
      <c r="AN9" s="116" cm="1">
        <f t="array" ref="AN9">_xll.EQNXTDZ($A$1,$B9,AN$1)</f>
        <v>212.95</v>
      </c>
      <c r="AO9" s="116" cm="1">
        <f t="array" ref="AO9">_xll.EQNXTDZ($A$1,$B9,AO$1)</f>
        <v>226.15</v>
      </c>
      <c r="AP9" s="116" cm="1">
        <f t="array" ref="AP9">_xll.EQNXTDZ($A$1,$B9,AP$1)</f>
        <v>261.95</v>
      </c>
      <c r="AQ9" s="116" cm="1">
        <f t="array" ref="AQ9">_xll.EQNXTDZ($A$1,$B9,AQ$1)</f>
        <v>249.9</v>
      </c>
      <c r="AR9" s="116" cm="1">
        <f t="array" ref="AR9">_xll.EQNXTDZ($A$1,$B9,AR$1)</f>
        <v>287.89999999999998</v>
      </c>
      <c r="AS9" s="116" cm="1">
        <f t="array" ref="AS9">_xll.EQNXTDZ($A$1,$B9,AS$1)</f>
        <v>306.5</v>
      </c>
      <c r="AT9" s="116" cm="1">
        <f t="array" ref="AT9">_xll.EQNXTDZ($A$1,$B9,AT$1)</f>
        <v>281.64999999999998</v>
      </c>
      <c r="AU9" s="116" cm="1">
        <f t="array" ref="AU9">_xll.EQNXTDZ($A$1,$B9,AU$1)</f>
        <v>248.4</v>
      </c>
      <c r="AV9" s="116" cm="1">
        <f t="array" ref="AV9">_xll.EQNXTDZ($A$1,$B9,AV$1)</f>
        <v>250.6</v>
      </c>
      <c r="AW9" s="116" cm="1">
        <f t="array" ref="AW9">_xll.EQNXTDZ($A$1,$B9,AW$1)</f>
        <v>279.75</v>
      </c>
      <c r="AX9" s="116" cm="1">
        <f t="array" ref="AX9">_xll.EQNXTDZ($A$1,$B9,AX$1)</f>
        <v>276.89999999999998</v>
      </c>
      <c r="AY9" s="116" cm="1">
        <f t="array" ref="AY9">_xll.EQNXTDZ($A$1,$B9,AY$1)</f>
        <v>275.85000000000002</v>
      </c>
      <c r="AZ9" s="116" cm="1">
        <f t="array" ref="AZ9">_xll.EQNXTDZ($A$1,$B9,AZ$1)</f>
        <v>271.10000000000002</v>
      </c>
      <c r="BA9" s="116" cm="1">
        <f t="array" ref="BA9">_xll.EQNXTDZ($A$1,$B9,BA$1)</f>
        <v>269</v>
      </c>
      <c r="BB9" s="116" cm="1">
        <f t="array" ref="BB9">_xll.EQNXTDZ($A$1,$B9,BB$1)</f>
        <v>252.65</v>
      </c>
      <c r="BC9" s="116" cm="1">
        <f t="array" ref="BC9">_xll.EQNXTDZ($A$1,$B9,BC$1)</f>
        <v>317.55</v>
      </c>
      <c r="BD9" s="116" cm="1">
        <f t="array" ref="BD9">_xll.EQNXTDZ($A$1,$B9,BD$1)</f>
        <v>259.8</v>
      </c>
      <c r="BE9" s="116" cm="1">
        <f t="array" ref="BE9">_xll.EQNXTDZ($A$1,$B9,BE$1)</f>
        <v>246.6</v>
      </c>
      <c r="BF9" s="116" cm="1">
        <f t="array" ref="BF9">_xll.EQNXTDZ($A$1,$B9,BF$1)</f>
        <v>275</v>
      </c>
      <c r="BG9" s="116" cm="1">
        <f t="array" ref="BG9">_xll.EQNXTDZ($A$1,$B9,BG$1)</f>
        <v>269.95</v>
      </c>
      <c r="BH9" s="116" cm="1">
        <f t="array" ref="BH9">_xll.EQNXTDZ($A$1,$B9,BH$1)</f>
        <v>277.7</v>
      </c>
      <c r="BI9" s="116" cm="1">
        <f t="array" ref="BI9">_xll.EQNXTDZ($A$1,$B9,BI$1)</f>
        <v>306.14999999999998</v>
      </c>
      <c r="BJ9" s="116" cm="1">
        <f t="array" ref="BJ9">_xll.EQNXTDZ($A$1,$B9,BJ$1)</f>
        <v>270.10000000000002</v>
      </c>
      <c r="BK9" s="116" cm="1">
        <f t="array" ref="BK9">_xll.EQNXTDZ($A$1,$B9,BK$1)</f>
        <v>262.5</v>
      </c>
      <c r="BL9" s="116" cm="1">
        <f t="array" ref="BL9">_xll.EQNXTDZ($A$1,$B9,BL$1)</f>
        <v>264.8</v>
      </c>
      <c r="BM9" s="116" cm="1">
        <f t="array" ref="BM9">_xll.EQNXTDZ($A$1,$B9,BM$1)</f>
        <v>243.25</v>
      </c>
      <c r="BN9" s="116" cm="1">
        <f t="array" ref="BN9">_xll.EQNXTDZ($A$1,$B9,BN$1)</f>
        <v>193.1</v>
      </c>
      <c r="BO9" s="116" cm="1">
        <f t="array" ref="BO9">_xll.EQNXTDZ($A$1,$B9,BO$1)</f>
        <v>194</v>
      </c>
      <c r="BP9" s="116" cm="1">
        <f t="array" ref="BP9">_xll.EQNXTDZ($A$1,$B9,BP$1)</f>
        <v>197.5</v>
      </c>
      <c r="BQ9" s="116" cm="1">
        <f t="array" ref="BQ9">_xll.EQNXTDZ($A$1,$B9,BQ$1)</f>
        <v>190.35</v>
      </c>
      <c r="BR9" s="116" cm="1">
        <f t="array" ref="BR9">_xll.EQNXTDZ($A$1,$B9,BR$1)</f>
        <v>173.15</v>
      </c>
      <c r="BS9" s="116" cm="1">
        <f t="array" ref="BS9">_xll.EQNXTDZ($A$1,$B9,BS$1)</f>
        <v>143.6</v>
      </c>
      <c r="BT9" s="116" cm="1">
        <f t="array" ref="BT9">_xll.EQNXTDZ($A$1,$B9,BT$1)</f>
        <v>120.85</v>
      </c>
      <c r="BU9" s="116" cm="1">
        <f t="array" ref="BU9">_xll.EQNXTDZ($A$1,$B9,BU$1)</f>
        <v>128</v>
      </c>
      <c r="BV9" s="116" cm="1">
        <f t="array" ref="BV9">_xll.EQNXTDZ($A$1,$B9,BV$1)</f>
        <v>111.2</v>
      </c>
      <c r="BW9" s="116" cm="1">
        <f t="array" ref="BW9">_xll.EQNXTDZ($A$1,$B9,BW$1)</f>
        <v>82.05</v>
      </c>
      <c r="BX9" s="116" cm="1">
        <f t="array" ref="BX9">_xll.EQNXTDZ($A$1,$B9,BX$1)</f>
        <v>81.95</v>
      </c>
      <c r="BY9" s="116" cm="1">
        <f t="array" ref="BY9">_xll.EQNXTDZ($A$1,$B9,BY$1)</f>
        <v>82.7</v>
      </c>
      <c r="BZ9" s="116" cm="1">
        <f t="array" ref="BZ9">_xll.EQNXTDZ($A$1,$B9,BZ$1)</f>
        <v>60.6</v>
      </c>
      <c r="CA9" s="116" cm="1">
        <f t="array" ref="CA9">_xll.EQNXTDZ($A$1,$B9,CA$1)</f>
        <v>67.3</v>
      </c>
      <c r="CB9" s="116" cm="1">
        <f t="array" ref="CB9">_xll.EQNXTDZ($A$1,$B9,CB$1)</f>
        <v>76.3</v>
      </c>
      <c r="CC9" s="116" cm="1">
        <f t="array" ref="CC9">_xll.EQNXTDZ($A$1,$B9,CC$1)</f>
        <v>71.45</v>
      </c>
      <c r="CD9" s="116" cm="1">
        <f t="array" ref="CD9">_xll.EQNXTDZ($A$1,$B9,CD$1)</f>
        <v>60.2</v>
      </c>
      <c r="CE9" s="116" cm="1">
        <f t="array" ref="CE9">_xll.EQNXTDZ($A$1,$B9,CE$1)</f>
        <v>56.25</v>
      </c>
      <c r="CF9" s="116" cm="1">
        <f t="array" ref="CF9">_xll.EQNXTDZ($A$1,$B9,CF$1)</f>
        <v>65.599999999999994</v>
      </c>
      <c r="CG9" s="116" cm="1">
        <f t="array" ref="CG9">_xll.EQNXTDZ($A$1,$B9,CG$1)</f>
        <v>59.85</v>
      </c>
      <c r="CH9" s="116" cm="1">
        <f t="array" ref="CH9">_xll.EQNXTDZ($A$1,$B9,CH$1)</f>
        <v>63.3</v>
      </c>
      <c r="CI9" s="116" cm="1">
        <f t="array" ref="CI9">_xll.EQNXTDZ($A$1,$B9,CI$1)</f>
        <v>52</v>
      </c>
      <c r="CJ9" s="116" cm="1">
        <f t="array" ref="CJ9">_xll.EQNXTDZ($A$1,$B9,CJ$1)</f>
        <v>40.6</v>
      </c>
      <c r="CK9" s="116" cm="1">
        <f t="array" ref="CK9">_xll.EQNXTDZ($A$1,$B9,CK$1)</f>
        <v>34.049999999999997</v>
      </c>
      <c r="CL9" s="116" cm="1">
        <f t="array" ref="CL9">_xll.EQNXTDZ($A$1,$B9,CL$1)</f>
        <v>38.5</v>
      </c>
      <c r="CM9" s="116" cm="1">
        <f t="array" ref="CM9">_xll.EQNXTDZ($A$1,$B9,CM$1)</f>
        <v>40.4</v>
      </c>
      <c r="CN9" s="116" cm="1">
        <f t="array" ref="CN9">_xll.EQNXTDZ($A$1,$B9,CN$1)</f>
        <v>54.25</v>
      </c>
      <c r="CO9" s="116" cm="1">
        <f t="array" ref="CO9">_xll.EQNXTDZ($A$1,$B9,CO$1)</f>
        <v>61.35</v>
      </c>
      <c r="CP9" s="116" cm="1">
        <f t="array" ref="CP9">_xll.EQNXTDZ($A$1,$B9,CP$1)</f>
        <v>59.95</v>
      </c>
      <c r="CQ9" s="116" cm="1">
        <f t="array" ref="CQ9">_xll.EQNXTDZ($A$1,$B9,CQ$1)</f>
        <v>51</v>
      </c>
      <c r="CR9" s="116" cm="1">
        <f t="array" ref="CR9">_xll.EQNXTDZ($A$1,$B9,CR$1)</f>
        <v>36.5</v>
      </c>
      <c r="CS9" s="116" cm="1">
        <f t="array" ref="CS9">_xll.EQNXTDZ($A$1,$B9,CS$1)</f>
        <v>41.75</v>
      </c>
      <c r="CT9" s="116" cm="1">
        <f t="array" ref="CT9">_xll.EQNXTDZ($A$1,$B9,CT$1)</f>
        <v>38.4</v>
      </c>
      <c r="CU9" s="116" cm="1">
        <f t="array" ref="CU9">_xll.EQNXTDZ($A$1,$B9,CU$1)</f>
        <v>48.45</v>
      </c>
      <c r="CV9" s="116" cm="1">
        <f t="array" ref="CV9">_xll.EQNXTDZ($A$1,$B9,CV$1)</f>
        <v>49.9</v>
      </c>
      <c r="CW9" s="116" cm="1">
        <f t="array" ref="CW9">_xll.EQNXTDZ($A$1,$B9,CW$1)</f>
        <v>51.9</v>
      </c>
      <c r="CX9" s="116" cm="1">
        <f t="array" ref="CX9">_xll.EQNXTDZ($A$1,$B9,CX$1)</f>
        <v>47.75</v>
      </c>
      <c r="CY9" s="116" cm="1">
        <f t="array" ref="CY9">_xll.EQNXTDZ($A$1,$B9,CY$1)</f>
        <v>48.95</v>
      </c>
      <c r="CZ9" s="116" cm="1">
        <f t="array" ref="CZ9">_xll.EQNXTDZ($A$1,$B9,CZ$1)</f>
        <v>56.5</v>
      </c>
      <c r="DA9" s="116" cm="1">
        <f t="array" ref="DA9">_xll.EQNXTDZ($A$1,$B9,DA$1)</f>
        <v>76.849999999999994</v>
      </c>
      <c r="DB9" s="116" cm="1">
        <f t="array" ref="DB9">_xll.EQNXTDZ($A$1,$B9,DB$1)</f>
        <v>82.25</v>
      </c>
      <c r="DC9" s="116" cm="1">
        <f t="array" ref="DC9">_xll.EQNXTDZ($A$1,$B9,DC$1)</f>
        <v>73</v>
      </c>
      <c r="DD9" s="116" cm="1">
        <f t="array" ref="DD9">_xll.EQNXTDZ($A$1,$B9,DD$1)</f>
        <v>74.5</v>
      </c>
      <c r="DE9" s="116" cm="1">
        <f t="array" ref="DE9">_xll.EQNXTDZ($A$1,$B9,DE$1)</f>
        <v>80.2</v>
      </c>
      <c r="DF9" s="116" cm="1">
        <f t="array" ref="DF9">_xll.EQNXTDZ($A$1,$B9,DF$1)</f>
        <v>97.1</v>
      </c>
      <c r="DG9" s="116" cm="1">
        <f t="array" ref="DG9">_xll.EQNXTDZ($A$1,$B9,DG$1)</f>
        <v>105.5</v>
      </c>
      <c r="DH9" s="116" cm="1">
        <f t="array" ref="DH9">_xll.EQNXTDZ($A$1,$B9,DH$1)</f>
        <v>129.19999999999999</v>
      </c>
      <c r="DI9" s="116" cm="1">
        <f t="array" ref="DI9">_xll.EQNXTDZ($A$1,$B9,DI$1)</f>
        <v>132.85</v>
      </c>
      <c r="DJ9" s="116" cm="1">
        <f t="array" ref="DJ9">_xll.EQNXTDZ($A$1,$B9,DJ$1)</f>
        <v>166.4</v>
      </c>
      <c r="DK9" s="116" cm="1">
        <f t="array" ref="DK9">_xll.EQNXTDZ($A$1,$B9,DK$1)</f>
        <v>285.3</v>
      </c>
      <c r="DL9" s="116" cm="1">
        <f t="array" ref="DL9">_xll.EQNXTDZ($A$1,$B9,DL$1)</f>
        <v>234</v>
      </c>
      <c r="DM9" s="116" cm="1">
        <f t="array" ref="DM9">_xll.EQNXTDZ($A$1,$B9,DM$1)</f>
        <v>347.85</v>
      </c>
      <c r="DN9" s="116" cm="1">
        <f t="array" ref="DN9">_xll.EQNXTDZ($A$1,$B9,DN$1)</f>
        <v>372.5</v>
      </c>
      <c r="DO9" s="116" cm="1">
        <f t="array" ref="DO9">_xll.EQNXTDZ($A$1,$B9,DO$1)</f>
        <v>305.05</v>
      </c>
      <c r="DP9" s="116" cm="1">
        <f t="array" ref="DP9">_xll.EQNXTDZ($A$1,$B9,DP$1)</f>
        <v>258.95</v>
      </c>
      <c r="DQ9" s="116" cm="1">
        <f t="array" ref="DQ9">_xll.EQNXTDZ($A$1,$B9,DQ$1)</f>
        <v>384.2</v>
      </c>
      <c r="DR9" s="116" cm="1">
        <f t="array" ref="DR9">_xll.EQNXTDZ($A$1,$B9,DR$1)</f>
        <v>279.8</v>
      </c>
      <c r="DS9" s="116" cm="1">
        <f t="array" ref="DS9">_xll.EQNXTDZ($A$1,$B9,DS$1)</f>
        <v>271.85000000000002</v>
      </c>
      <c r="DT9" s="116" cm="1">
        <f t="array" ref="DT9">_xll.EQNXTDZ($A$1,$B9,DT$1)</f>
        <v>266.7</v>
      </c>
      <c r="DU9" s="116" cm="1">
        <f t="array" ref="DU9">_xll.EQNXTDZ($A$1,$B9,DU$1)</f>
        <v>326.35000000000002</v>
      </c>
      <c r="DV9" s="116" cm="1">
        <f t="array" ref="DV9">_xll.EQNXTDZ($A$1,$B9,DV$1)</f>
        <v>278.89999999999998</v>
      </c>
      <c r="DW9" s="116" cm="1">
        <f t="array" ref="DW9">_xll.EQNXTDZ($A$1,$B9,DW$1)</f>
        <v>277.39999999999998</v>
      </c>
      <c r="DX9" s="116" cm="1">
        <f t="array" ref="DX9">_xll.EQNXTDZ($A$1,$B9,DX$1)</f>
        <v>263.7</v>
      </c>
      <c r="DY9" s="116" cm="1">
        <f t="array" ref="DY9">_xll.EQNXTDZ($A$1,$B9,DY$1)</f>
        <v>243.55</v>
      </c>
      <c r="DZ9" s="116" cm="1">
        <f t="array" ref="DZ9">_xll.EQNXTDZ($A$1,$B9,DZ$1)</f>
        <v>213.4</v>
      </c>
      <c r="EA9" s="116" cm="1">
        <f t="array" ref="EA9">_xll.EQNXTDZ($A$1,$B9,EA$1)</f>
        <v>217.4</v>
      </c>
      <c r="EB9" s="116" cm="1">
        <f t="array" ref="EB9">_xll.EQNXTDZ($A$1,$B9,EB$1)</f>
        <v>215.05</v>
      </c>
      <c r="EC9" s="116" cm="1">
        <f t="array" ref="EC9">_xll.EQNXTDZ($A$1,$B9,EC$1)</f>
        <v>271.89999999999998</v>
      </c>
      <c r="ED9" s="116" cm="1">
        <f t="array" ref="ED9">_xll.EQNXTDZ($A$1,$B9,ED$1)</f>
        <v>232.45</v>
      </c>
      <c r="EE9" s="116" cm="1">
        <f t="array" ref="EE9">_xll.EQNXTDZ($A$1,$B9,EE$1)</f>
        <v>300.85000000000002</v>
      </c>
      <c r="EF9" s="116" cm="1">
        <f t="array" ref="EF9">_xll.EQNXTDZ($A$1,$B9,EF$1)</f>
        <v>326.35000000000002</v>
      </c>
      <c r="EG9" s="116" cm="1">
        <f t="array" ref="EG9">_xll.EQNXTDZ($A$1,$B9,EG$1)</f>
        <v>340.8</v>
      </c>
      <c r="EH9" s="116" cm="1">
        <f t="array" ref="EH9">_xll.EQNXTDZ($A$1,$B9,EH$1)</f>
        <v>341.7</v>
      </c>
      <c r="EI9" s="116" cm="1">
        <f t="array" ref="EI9">_xll.EQNXTDZ($A$1,$B9,EI$1)</f>
        <v>308.35000000000002</v>
      </c>
      <c r="EJ9" s="116" cm="1">
        <f t="array" ref="EJ9">_xll.EQNXTDZ($A$1,$B9,EJ$1)</f>
        <v>311.55</v>
      </c>
      <c r="EK9" s="116" cm="1">
        <f t="array" ref="EK9">_xll.EQNXTDZ($A$1,$B9,EK$1)</f>
        <v>424.85</v>
      </c>
      <c r="EL9" s="116" cm="1">
        <f t="array" ref="EL9">_xll.EQNXTDZ($A$1,$B9,EL$1)</f>
        <v>475.45</v>
      </c>
      <c r="EM9" s="116" cm="1">
        <f t="array" ref="EM9">_xll.EQNXTDZ($A$1,$B9,EM$1)</f>
        <v>489.15</v>
      </c>
      <c r="EN9" s="116" cm="1">
        <f t="array" ref="EN9">_xll.EQNXTDZ($A$1,$B9,EN$1)</f>
        <v>442.9</v>
      </c>
      <c r="EO9" s="116" cm="1">
        <f t="array" ref="EO9">_xll.EQNXTDZ($A$1,$B9,EO$1)</f>
        <v>440.55</v>
      </c>
      <c r="EP9" s="116" cm="1">
        <f t="array" ref="EP9">_xll.EQNXTDZ($A$1,$B9,EP$1)</f>
        <v>362.7</v>
      </c>
      <c r="EQ9" s="116" cm="1">
        <f t="array" ref="EQ9">_xll.EQNXTDZ($A$1,$B9,EQ$1)</f>
        <v>409.1</v>
      </c>
      <c r="ER9" s="116" cm="1">
        <f t="array" ref="ER9">_xll.EQNXTDZ($A$1,$B9,ER$1)</f>
        <v>421.85</v>
      </c>
      <c r="ES9" s="116" cm="1">
        <f t="array" ref="ES9">_xll.EQNXTDZ($A$1,$B9,ES$1)</f>
        <v>417.35</v>
      </c>
      <c r="ET9" s="116" cm="1">
        <f t="array" ref="ET9">_xll.EQNXTDZ($A$1,$B9,ET$1)</f>
        <v>465.7</v>
      </c>
      <c r="EU9" s="116" cm="1">
        <f t="array" ref="EU9">_xll.EQNXTDZ($A$1,$B9,EU$1)</f>
        <v>392.9</v>
      </c>
      <c r="EV9" s="116" cm="1">
        <f t="array" ref="EV9">_xll.EQNXTDZ($A$1,$B9,EV$1)</f>
        <v>365.7</v>
      </c>
      <c r="EW9" s="116" cm="1">
        <f t="array" ref="EW9">_xll.EQNXTDZ($A$1,$B9,EW$1)</f>
        <v>414.75</v>
      </c>
      <c r="EX9" s="116" cm="1">
        <f t="array" ref="EX9">_xll.EQNXTDZ($A$1,$B9,EX$1)</f>
        <v>393.45</v>
      </c>
      <c r="EY9" s="116" cm="1">
        <f t="array" ref="EY9">_xll.EQNXTDZ($A$1,$B9,EY$1)</f>
        <v>318.7</v>
      </c>
      <c r="EZ9" s="116" cm="1">
        <f t="array" ref="EZ9">_xll.EQNXTDZ($A$1,$B9,EZ$1)</f>
        <v>435.15</v>
      </c>
      <c r="FA9" s="116" cm="1">
        <f t="array" ref="FA9">_xll.EQNXTDZ($A$1,$B9,FA$1)</f>
        <v>389.35</v>
      </c>
      <c r="FB9" s="116" cm="1">
        <f t="array" ref="FB9">_xll.EQNXTDZ($A$1,$B9,FB$1)</f>
        <v>406.55</v>
      </c>
      <c r="FC9" s="116" cm="1">
        <f t="array" ref="FC9">_xll.EQNXTDZ($A$1,$B9,FC$1)</f>
        <v>487.15</v>
      </c>
      <c r="FD9" s="116" cm="1">
        <f t="array" ref="FD9">_xll.EQNXTDZ($A$1,$B9,FD$1)</f>
        <v>433.4</v>
      </c>
      <c r="FE9" s="116" cm="1">
        <f t="array" ref="FE9">_xll.EQNXTDZ($A$1,$B9,FE$1)</f>
        <v>372.05</v>
      </c>
      <c r="FF9" s="116" cm="1">
        <f t="array" ref="FF9">_xll.EQNXTDZ($A$1,$B9,FF$1)</f>
        <v>435.9</v>
      </c>
      <c r="FG9" s="116" cm="1">
        <f t="array" ref="FG9">_xll.EQNXTDZ($A$1,$B9,FG$1)</f>
        <v>450.65</v>
      </c>
      <c r="FH9" s="116" cm="1">
        <f t="array" ref="FH9">_xll.EQNXTDZ($A$1,$B9,FH$1)</f>
        <v>446.45</v>
      </c>
      <c r="FI9" s="116" cm="1">
        <f t="array" ref="FI9">_xll.EQNXTDZ($A$1,$B9,FI$1)</f>
        <v>497.95</v>
      </c>
      <c r="FJ9" s="116" cm="1">
        <f t="array" ref="FJ9">_xll.EQNXTDZ($A$1,$B9,FJ$1)</f>
        <v>454.75</v>
      </c>
      <c r="FK9" s="116" cm="1">
        <f t="array" ref="FK9">_xll.EQNXTDZ($A$1,$B9,FK$1)</f>
        <v>467.05</v>
      </c>
      <c r="FL9" s="116" cm="1">
        <f t="array" ref="FL9">_xll.EQNXTDZ($A$1,$B9,FL$1)</f>
        <v>414.7</v>
      </c>
      <c r="FM9" s="116" cm="1">
        <f t="array" ref="FM9">_xll.EQNXTDZ($A$1,$B9,FM$1)</f>
        <v>517.79999999999995</v>
      </c>
      <c r="FN9" s="116" cm="1">
        <f t="array" ref="FN9">_xll.EQNXTDZ($A$1,$B9,FN$1)</f>
        <v>515.95000000000005</v>
      </c>
      <c r="FO9" s="116" cm="1">
        <f t="array" ref="FO9">_xll.EQNXTDZ($A$1,$B9,FO$1)</f>
        <v>526.25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56.05</v>
      </c>
      <c r="HQ9" s="116">
        <f>+I9</f>
        <v>51.4</v>
      </c>
      <c r="HR9" s="116">
        <f>+L9</f>
        <v>33.549999999999997</v>
      </c>
      <c r="HS9" s="116">
        <f>+O9</f>
        <v>41.2</v>
      </c>
      <c r="HT9" s="116">
        <f>+R9</f>
        <v>29.5</v>
      </c>
      <c r="HU9" s="116">
        <f>+U9</f>
        <v>36.200000000000003</v>
      </c>
      <c r="HV9" s="116">
        <f>+X9</f>
        <v>35.15</v>
      </c>
      <c r="HW9" s="116">
        <f>+AA9</f>
        <v>54.45</v>
      </c>
      <c r="HX9" s="116">
        <f>+AD9</f>
        <v>83.75</v>
      </c>
      <c r="HY9" s="116">
        <f>+AG9</f>
        <v>77.95</v>
      </c>
      <c r="HZ9" s="116">
        <f>+AJ9</f>
        <v>78.2</v>
      </c>
      <c r="IA9" s="116">
        <f>+AM9</f>
        <v>150</v>
      </c>
      <c r="IB9" s="116">
        <f>+AP9</f>
        <v>261.95</v>
      </c>
      <c r="IC9" s="116">
        <f>+AS9</f>
        <v>306.5</v>
      </c>
      <c r="ID9" s="116">
        <f>+AV9</f>
        <v>250.6</v>
      </c>
      <c r="IE9" s="116">
        <f>+AY9</f>
        <v>275.85000000000002</v>
      </c>
      <c r="IF9" s="116">
        <f>+BB9</f>
        <v>252.65</v>
      </c>
      <c r="IG9" s="116">
        <f>+BE9</f>
        <v>246.6</v>
      </c>
      <c r="IH9" s="116">
        <f>+BH9</f>
        <v>277.7</v>
      </c>
      <c r="II9" s="116">
        <f>+BK9</f>
        <v>262.5</v>
      </c>
      <c r="IJ9" s="116">
        <f>+BN9</f>
        <v>193.1</v>
      </c>
      <c r="IK9" s="116">
        <f>+BQ9</f>
        <v>190.35</v>
      </c>
      <c r="IL9" s="116">
        <f>+BT9</f>
        <v>120.85</v>
      </c>
      <c r="IM9" s="116">
        <f>+BW9</f>
        <v>82.05</v>
      </c>
      <c r="IN9" s="116">
        <f>+BZ9</f>
        <v>60.6</v>
      </c>
      <c r="IO9" s="116">
        <f>+CC9</f>
        <v>71.45</v>
      </c>
      <c r="IP9" s="116">
        <f>+CF9</f>
        <v>65.599999999999994</v>
      </c>
      <c r="IQ9" s="116">
        <f>+CI9</f>
        <v>52</v>
      </c>
      <c r="IR9" s="116">
        <f>+CL9</f>
        <v>38.5</v>
      </c>
      <c r="IS9" s="116">
        <f>+CO9</f>
        <v>61.35</v>
      </c>
      <c r="IT9" s="116">
        <f>+CR9</f>
        <v>36.5</v>
      </c>
      <c r="IU9" s="116">
        <f>+CU9</f>
        <v>48.45</v>
      </c>
      <c r="IV9" s="116">
        <f>+CX9</f>
        <v>47.75</v>
      </c>
      <c r="IW9" s="116">
        <f>+DA9</f>
        <v>76.849999999999994</v>
      </c>
      <c r="IX9" s="116">
        <f>+DD9</f>
        <v>74.5</v>
      </c>
      <c r="IY9" s="116">
        <f>+DG9</f>
        <v>105.5</v>
      </c>
      <c r="IZ9" s="116">
        <f>+DJ9</f>
        <v>166.4</v>
      </c>
      <c r="JA9" s="116">
        <f>+DM9</f>
        <v>347.85</v>
      </c>
      <c r="JB9" s="116">
        <f>+DP9</f>
        <v>258.95</v>
      </c>
      <c r="JC9" s="116">
        <f>+DS9</f>
        <v>271.85000000000002</v>
      </c>
      <c r="JD9" s="116">
        <f>+DV9</f>
        <v>278.89999999999998</v>
      </c>
      <c r="JE9" s="116">
        <f>+DY9</f>
        <v>243.55</v>
      </c>
      <c r="JF9" s="116">
        <f>+EB9</f>
        <v>215.05</v>
      </c>
      <c r="JG9" s="116">
        <f>+EE9</f>
        <v>300.85000000000002</v>
      </c>
      <c r="JH9" s="116">
        <f>+EH9</f>
        <v>341.7</v>
      </c>
      <c r="JI9" s="116">
        <f>+EK9</f>
        <v>424.85</v>
      </c>
      <c r="JJ9" s="116">
        <f>+EN9</f>
        <v>442.9</v>
      </c>
      <c r="JK9" s="116">
        <f>EQ9</f>
        <v>409.1</v>
      </c>
      <c r="JL9" s="116">
        <f>ET9</f>
        <v>465.7</v>
      </c>
      <c r="JM9" s="116">
        <f>EW9</f>
        <v>414.75</v>
      </c>
      <c r="JN9" s="116">
        <f>EZ9</f>
        <v>435.15</v>
      </c>
      <c r="JO9" s="116">
        <f>FC9</f>
        <v>487.15</v>
      </c>
      <c r="JP9" s="116">
        <f>FF9</f>
        <v>435.9</v>
      </c>
      <c r="JQ9" s="116">
        <f>FI9</f>
        <v>497.95</v>
      </c>
      <c r="JR9" s="116">
        <f>FL9</f>
        <v>414.7</v>
      </c>
      <c r="JS9" s="116">
        <f>FO9</f>
        <v>526.25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109</v>
      </c>
      <c r="B11" t="s">
        <v>110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336</v>
      </c>
      <c r="B12" t="s">
        <v>337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414</v>
      </c>
      <c r="B13" t="s">
        <v>420</v>
      </c>
      <c r="C13" cm="1">
        <f t="array" ref="C13">_xll.EQNXTDZ($A$1,$B13,C$1)</f>
        <v>45.15</v>
      </c>
      <c r="D13" cm="1">
        <f t="array" ref="D13">_xll.EQNXTDZ($A$1,$B13,D$1)</f>
        <v>47.7</v>
      </c>
      <c r="E13" cm="1">
        <f t="array" ref="E13">_xll.EQNXTDZ($A$1,$B13,E$1)</f>
        <v>46.65</v>
      </c>
      <c r="F13" cm="1">
        <f t="array" ref="F13">_xll.EQNXTDZ($A$1,$B13,F$1)</f>
        <v>56.5</v>
      </c>
      <c r="G13" cm="1">
        <f t="array" ref="G13">_xll.EQNXTDZ($A$1,$B13,G$1)</f>
        <v>56.85</v>
      </c>
      <c r="H13" cm="1">
        <f t="array" ref="H13">_xll.EQNXTDZ($A$1,$B13,H$1)</f>
        <v>62</v>
      </c>
      <c r="I13" cm="1">
        <f t="array" ref="I13">_xll.EQNXTDZ($A$1,$B13,I$1)</f>
        <v>58</v>
      </c>
      <c r="J13" cm="1">
        <f t="array" ref="J13">_xll.EQNXTDZ($A$1,$B13,J$1)</f>
        <v>50.6</v>
      </c>
      <c r="K13" cm="1">
        <f t="array" ref="K13">_xll.EQNXTDZ($A$1,$B13,K$1)</f>
        <v>52</v>
      </c>
      <c r="L13" cm="1">
        <f t="array" ref="L13">_xll.EQNXTDZ($A$1,$B13,L$1)</f>
        <v>40.5</v>
      </c>
      <c r="M13" cm="1">
        <f t="array" ref="M13">_xll.EQNXTDZ($A$1,$B13,M$1)</f>
        <v>34.5</v>
      </c>
      <c r="N13" cm="1">
        <f t="array" ref="N13">_xll.EQNXTDZ($A$1,$B13,N$1)</f>
        <v>40.299999999999997</v>
      </c>
      <c r="O13" cm="1">
        <f t="array" ref="O13">_xll.EQNXTDZ($A$1,$B13,O$1)</f>
        <v>46.9</v>
      </c>
      <c r="P13" cm="1">
        <f t="array" ref="P13">_xll.EQNXTDZ($A$1,$B13,P$1)</f>
        <v>35.700000000000003</v>
      </c>
      <c r="Q13" cm="1">
        <f t="array" ref="Q13">_xll.EQNXTDZ($A$1,$B13,Q$1)</f>
        <v>26</v>
      </c>
      <c r="R13" cm="1">
        <f t="array" ref="R13">_xll.EQNXTDZ($A$1,$B13,R$1)</f>
        <v>30.55</v>
      </c>
      <c r="S13" cm="1">
        <f t="array" ref="S13">_xll.EQNXTDZ($A$1,$B13,S$1)</f>
        <v>28.75</v>
      </c>
      <c r="T13" cm="1">
        <f t="array" ref="T13">_xll.EQNXTDZ($A$1,$B13,T$1)</f>
        <v>31.6</v>
      </c>
      <c r="U13" cm="1">
        <f t="array" ref="U13">_xll.EQNXTDZ($A$1,$B13,U$1)</f>
        <v>34.6</v>
      </c>
      <c r="V13" cm="1">
        <f t="array" ref="V13">_xll.EQNXTDZ($A$1,$B13,V$1)</f>
        <v>36.299999999999997</v>
      </c>
      <c r="W13" cm="1">
        <f t="array" ref="W13">_xll.EQNXTDZ($A$1,$B13,W$1)</f>
        <v>34.299999999999997</v>
      </c>
      <c r="X13" cm="1">
        <f t="array" ref="X13">_xll.EQNXTDZ($A$1,$B13,X$1)</f>
        <v>34</v>
      </c>
      <c r="Y13" cm="1">
        <f t="array" ref="Y13">_xll.EQNXTDZ($A$1,$B13,Y$1)</f>
        <v>35.200000000000003</v>
      </c>
      <c r="Z13" cm="1">
        <f t="array" ref="Z13">_xll.EQNXTDZ($A$1,$B13,Z$1)</f>
        <v>41</v>
      </c>
      <c r="AA13" cm="1">
        <f t="array" ref="AA13">_xll.EQNXTDZ($A$1,$B13,AA$1)</f>
        <v>39.299999999999997</v>
      </c>
      <c r="AB13" cm="1">
        <f t="array" ref="AB13">_xll.EQNXTDZ($A$1,$B13,AB$1)</f>
        <v>57</v>
      </c>
      <c r="AC13" cm="1">
        <f t="array" ref="AC13">_xll.EQNXTDZ($A$1,$B13,AC$1)</f>
        <v>78.05</v>
      </c>
      <c r="AD13" cm="1">
        <f t="array" ref="AD13">_xll.EQNXTDZ($A$1,$B13,AD$1)</f>
        <v>72.099999999999994</v>
      </c>
      <c r="AE13" cm="1">
        <f t="array" ref="AE13">_xll.EQNXTDZ($A$1,$B13,AE$1)</f>
        <v>83.5</v>
      </c>
      <c r="AF13" cm="1">
        <f t="array" ref="AF13">_xll.EQNXTDZ($A$1,$B13,AF$1)</f>
        <v>83.05</v>
      </c>
      <c r="AG13" cm="1">
        <f t="array" ref="AG13">_xll.EQNXTDZ($A$1,$B13,AG$1)</f>
        <v>82</v>
      </c>
      <c r="AH13" cm="1">
        <f t="array" ref="AH13">_xll.EQNXTDZ($A$1,$B13,AH$1)</f>
        <v>78.5</v>
      </c>
      <c r="AI13" cm="1">
        <f t="array" ref="AI13">_xll.EQNXTDZ($A$1,$B13,AI$1)</f>
        <v>81</v>
      </c>
      <c r="AJ13" cm="1">
        <f t="array" ref="AJ13">_xll.EQNXTDZ($A$1,$B13,AJ$1)</f>
        <v>75</v>
      </c>
      <c r="AK13" cm="1">
        <f t="array" ref="AK13">_xll.EQNXTDZ($A$1,$B13,AK$1)</f>
        <v>76.900000000000006</v>
      </c>
      <c r="AL13" cm="1">
        <f t="array" ref="AL13">_xll.EQNXTDZ($A$1,$B13,AL$1)</f>
        <v>86.7</v>
      </c>
      <c r="AM13" cm="1">
        <f t="array" ref="AM13">_xll.EQNXTDZ($A$1,$B13,AM$1)</f>
        <v>123.8</v>
      </c>
      <c r="AN13" cm="1">
        <f t="array" ref="AN13">_xll.EQNXTDZ($A$1,$B13,AN$1)</f>
        <v>150</v>
      </c>
      <c r="AO13" cm="1">
        <f t="array" ref="AO13">_xll.EQNXTDZ($A$1,$B13,AO$1)</f>
        <v>211</v>
      </c>
      <c r="AP13" cm="1">
        <f t="array" ref="AP13">_xll.EQNXTDZ($A$1,$B13,AP$1)</f>
        <v>226</v>
      </c>
      <c r="AQ13" cm="1">
        <f t="array" ref="AQ13">_xll.EQNXTDZ($A$1,$B13,AQ$1)</f>
        <v>265.5</v>
      </c>
      <c r="AR13" cm="1">
        <f t="array" ref="AR13">_xll.EQNXTDZ($A$1,$B13,AR$1)</f>
        <v>248.8</v>
      </c>
      <c r="AS13" cm="1">
        <f t="array" ref="AS13">_xll.EQNXTDZ($A$1,$B13,AS$1)</f>
        <v>295</v>
      </c>
      <c r="AT13" cm="1">
        <f t="array" ref="AT13">_xll.EQNXTDZ($A$1,$B13,AT$1)</f>
        <v>308.5</v>
      </c>
      <c r="AU13" cm="1">
        <f t="array" ref="AU13">_xll.EQNXTDZ($A$1,$B13,AU$1)</f>
        <v>284.89999999999998</v>
      </c>
      <c r="AV13" cm="1">
        <f t="array" ref="AV13">_xll.EQNXTDZ($A$1,$B13,AV$1)</f>
        <v>247</v>
      </c>
      <c r="AW13" cm="1">
        <f t="array" ref="AW13">_xll.EQNXTDZ($A$1,$B13,AW$1)</f>
        <v>251.5</v>
      </c>
      <c r="AX13" cm="1">
        <f t="array" ref="AX13">_xll.EQNXTDZ($A$1,$B13,AX$1)</f>
        <v>279.5</v>
      </c>
      <c r="AY13" cm="1">
        <f t="array" ref="AY13">_xll.EQNXTDZ($A$1,$B13,AY$1)</f>
        <v>276.35000000000002</v>
      </c>
      <c r="AZ13" cm="1">
        <f t="array" ref="AZ13">_xll.EQNXTDZ($A$1,$B13,AZ$1)</f>
        <v>274.5</v>
      </c>
      <c r="BA13" cm="1">
        <f t="array" ref="BA13">_xll.EQNXTDZ($A$1,$B13,BA$1)</f>
        <v>270.89999999999998</v>
      </c>
      <c r="BB13" cm="1">
        <f t="array" ref="BB13">_xll.EQNXTDZ($A$1,$B13,BB$1)</f>
        <v>268</v>
      </c>
      <c r="BC13" cm="1">
        <f t="array" ref="BC13">_xll.EQNXTDZ($A$1,$B13,BC$1)</f>
        <v>253.65</v>
      </c>
      <c r="BD13" cm="1">
        <f t="array" ref="BD13">_xll.EQNXTDZ($A$1,$B13,BD$1)</f>
        <v>318.05</v>
      </c>
      <c r="BE13" cm="1">
        <f t="array" ref="BE13">_xll.EQNXTDZ($A$1,$B13,BE$1)</f>
        <v>259</v>
      </c>
      <c r="BF13" cm="1">
        <f t="array" ref="BF13">_xll.EQNXTDZ($A$1,$B13,BF$1)</f>
        <v>249.35</v>
      </c>
      <c r="BG13" cm="1">
        <f t="array" ref="BG13">_xll.EQNXTDZ($A$1,$B13,BG$1)</f>
        <v>278.5</v>
      </c>
      <c r="BH13" cm="1">
        <f t="array" ref="BH13">_xll.EQNXTDZ($A$1,$B13,BH$1)</f>
        <v>271</v>
      </c>
      <c r="BI13" cm="1">
        <f t="array" ref="BI13">_xll.EQNXTDZ($A$1,$B13,BI$1)</f>
        <v>279</v>
      </c>
      <c r="BJ13" cm="1">
        <f t="array" ref="BJ13">_xll.EQNXTDZ($A$1,$B13,BJ$1)</f>
        <v>305</v>
      </c>
      <c r="BK13" cm="1">
        <f t="array" ref="BK13">_xll.EQNXTDZ($A$1,$B13,BK$1)</f>
        <v>270</v>
      </c>
      <c r="BL13" cm="1">
        <f t="array" ref="BL13">_xll.EQNXTDZ($A$1,$B13,BL$1)</f>
        <v>262.5</v>
      </c>
      <c r="BM13" cm="1">
        <f t="array" ref="BM13">_xll.EQNXTDZ($A$1,$B13,BM$1)</f>
        <v>267.25</v>
      </c>
      <c r="BN13" cm="1">
        <f t="array" ref="BN13">_xll.EQNXTDZ($A$1,$B13,BN$1)</f>
        <v>244.65</v>
      </c>
      <c r="BO13" cm="1">
        <f t="array" ref="BO13">_xll.EQNXTDZ($A$1,$B13,BO$1)</f>
        <v>197.85</v>
      </c>
      <c r="BP13" cm="1">
        <f t="array" ref="BP13">_xll.EQNXTDZ($A$1,$B13,BP$1)</f>
        <v>197.8</v>
      </c>
      <c r="BQ13" cm="1">
        <f t="array" ref="BQ13">_xll.EQNXTDZ($A$1,$B13,BQ$1)</f>
        <v>199.55</v>
      </c>
      <c r="BR13" cm="1">
        <f t="array" ref="BR13">_xll.EQNXTDZ($A$1,$B13,BR$1)</f>
        <v>190.05</v>
      </c>
      <c r="BS13" cm="1">
        <f t="array" ref="BS13">_xll.EQNXTDZ($A$1,$B13,BS$1)</f>
        <v>175</v>
      </c>
      <c r="BT13" cm="1">
        <f t="array" ref="BT13">_xll.EQNXTDZ($A$1,$B13,BT$1)</f>
        <v>146</v>
      </c>
      <c r="BU13" cm="1">
        <f t="array" ref="BU13">_xll.EQNXTDZ($A$1,$B13,BU$1)</f>
        <v>122.5</v>
      </c>
      <c r="BV13" cm="1">
        <f t="array" ref="BV13">_xll.EQNXTDZ($A$1,$B13,BV$1)</f>
        <v>130.85</v>
      </c>
      <c r="BW13" cm="1">
        <f t="array" ref="BW13">_xll.EQNXTDZ($A$1,$B13,BW$1)</f>
        <v>113.1</v>
      </c>
      <c r="BX13" cm="1">
        <f t="array" ref="BX13">_xll.EQNXTDZ($A$1,$B13,BX$1)</f>
        <v>82.25</v>
      </c>
      <c r="BY13" cm="1">
        <f t="array" ref="BY13">_xll.EQNXTDZ($A$1,$B13,BY$1)</f>
        <v>81.95</v>
      </c>
      <c r="BZ13" cm="1">
        <f t="array" ref="BZ13">_xll.EQNXTDZ($A$1,$B13,BZ$1)</f>
        <v>84.95</v>
      </c>
      <c r="CA13" cm="1">
        <f t="array" ref="CA13">_xll.EQNXTDZ($A$1,$B13,CA$1)</f>
        <v>58</v>
      </c>
      <c r="CB13" cm="1">
        <f t="array" ref="CB13">_xll.EQNXTDZ($A$1,$B13,CB$1)</f>
        <v>67</v>
      </c>
      <c r="CC13" cm="1">
        <f t="array" ref="CC13">_xll.EQNXTDZ($A$1,$B13,CC$1)</f>
        <v>73.25</v>
      </c>
      <c r="CD13" cm="1">
        <f t="array" ref="CD13">_xll.EQNXTDZ($A$1,$B13,CD$1)</f>
        <v>72.5</v>
      </c>
      <c r="CE13" cm="1">
        <f t="array" ref="CE13">_xll.EQNXTDZ($A$1,$B13,CE$1)</f>
        <v>61.7</v>
      </c>
      <c r="CF13" cm="1">
        <f t="array" ref="CF13">_xll.EQNXTDZ($A$1,$B13,CF$1)</f>
        <v>56.5</v>
      </c>
      <c r="CG13" cm="1">
        <f t="array" ref="CG13">_xll.EQNXTDZ($A$1,$B13,CG$1)</f>
        <v>66.55</v>
      </c>
      <c r="CH13" cm="1">
        <f t="array" ref="CH13">_xll.EQNXTDZ($A$1,$B13,CH$1)</f>
        <v>59</v>
      </c>
      <c r="CI13" cm="1">
        <f t="array" ref="CI13">_xll.EQNXTDZ($A$1,$B13,CI$1)</f>
        <v>63</v>
      </c>
      <c r="CJ13" cm="1">
        <f t="array" ref="CJ13">_xll.EQNXTDZ($A$1,$B13,CJ$1)</f>
        <v>55.9</v>
      </c>
      <c r="CK13" cm="1">
        <f t="array" ref="CK13">_xll.EQNXTDZ($A$1,$B13,CK$1)</f>
        <v>40</v>
      </c>
      <c r="CL13" cm="1">
        <f t="array" ref="CL13">_xll.EQNXTDZ($A$1,$B13,CL$1)</f>
        <v>34.450000000000003</v>
      </c>
      <c r="CM13" cm="1">
        <f t="array" ref="CM13">_xll.EQNXTDZ($A$1,$B13,CM$1)</f>
        <v>40</v>
      </c>
      <c r="CN13" cm="1">
        <f t="array" ref="CN13">_xll.EQNXTDZ($A$1,$B13,CN$1)</f>
        <v>42</v>
      </c>
      <c r="CO13" cm="1">
        <f t="array" ref="CO13">_xll.EQNXTDZ($A$1,$B13,CO$1)</f>
        <v>55</v>
      </c>
      <c r="CP13" cm="1">
        <f t="array" ref="CP13">_xll.EQNXTDZ($A$1,$B13,CP$1)</f>
        <v>60.05</v>
      </c>
      <c r="CQ13" cm="1">
        <f t="array" ref="CQ13">_xll.EQNXTDZ($A$1,$B13,CQ$1)</f>
        <v>55.45</v>
      </c>
      <c r="CR13" cm="1">
        <f t="array" ref="CR13">_xll.EQNXTDZ($A$1,$B13,CR$1)</f>
        <v>50.2</v>
      </c>
      <c r="CS13" cm="1">
        <f t="array" ref="CS13">_xll.EQNXTDZ($A$1,$B13,CS$1)</f>
        <v>34.549999999999997</v>
      </c>
      <c r="CT13" cm="1">
        <f t="array" ref="CT13">_xll.EQNXTDZ($A$1,$B13,CT$1)</f>
        <v>38.5</v>
      </c>
      <c r="CU13" cm="1">
        <f t="array" ref="CU13">_xll.EQNXTDZ($A$1,$B13,CU$1)</f>
        <v>39.200000000000003</v>
      </c>
      <c r="CV13" cm="1">
        <f t="array" ref="CV13">_xll.EQNXTDZ($A$1,$B13,CV$1)</f>
        <v>48</v>
      </c>
      <c r="CW13" cm="1">
        <f t="array" ref="CW13">_xll.EQNXTDZ($A$1,$B13,CW$1)</f>
        <v>48.9</v>
      </c>
      <c r="CX13" cm="1">
        <f t="array" ref="CX13">_xll.EQNXTDZ($A$1,$B13,CX$1)</f>
        <v>51.3</v>
      </c>
      <c r="CY13" cm="1">
        <f t="array" ref="CY13">_xll.EQNXTDZ($A$1,$B13,CY$1)</f>
        <v>48.15</v>
      </c>
      <c r="CZ13" cm="1">
        <f t="array" ref="CZ13">_xll.EQNXTDZ($A$1,$B13,CZ$1)</f>
        <v>49.95</v>
      </c>
      <c r="DA13" cm="1">
        <f t="array" ref="DA13">_xll.EQNXTDZ($A$1,$B13,DA$1)</f>
        <v>56.05</v>
      </c>
      <c r="DB13" cm="1">
        <f t="array" ref="DB13">_xll.EQNXTDZ($A$1,$B13,DB$1)</f>
        <v>79.849999999999994</v>
      </c>
      <c r="DC13" cm="1">
        <f t="array" ref="DC13">_xll.EQNXTDZ($A$1,$B13,DC$1)</f>
        <v>82</v>
      </c>
      <c r="DD13" cm="1">
        <f t="array" ref="DD13">_xll.EQNXTDZ($A$1,$B13,DD$1)</f>
        <v>70.349999999999994</v>
      </c>
      <c r="DE13" cm="1">
        <f t="array" ref="DE13">_xll.EQNXTDZ($A$1,$B13,DE$1)</f>
        <v>73.55</v>
      </c>
      <c r="DF13" cm="1">
        <f t="array" ref="DF13">_xll.EQNXTDZ($A$1,$B13,DF$1)</f>
        <v>77.5</v>
      </c>
      <c r="DG13" cm="1">
        <f t="array" ref="DG13">_xll.EQNXTDZ($A$1,$B13,DG$1)</f>
        <v>96.8</v>
      </c>
      <c r="DH13" cm="1">
        <f t="array" ref="DH13">_xll.EQNXTDZ($A$1,$B13,DH$1)</f>
        <v>107</v>
      </c>
      <c r="DI13" cm="1">
        <f t="array" ref="DI13">_xll.EQNXTDZ($A$1,$B13,DI$1)</f>
        <v>132.44999999999999</v>
      </c>
      <c r="DJ13" cm="1">
        <f t="array" ref="DJ13">_xll.EQNXTDZ($A$1,$B13,DJ$1)</f>
        <v>130.1</v>
      </c>
      <c r="DK13" cm="1">
        <f t="array" ref="DK13">_xll.EQNXTDZ($A$1,$B13,DK$1)</f>
        <v>169</v>
      </c>
      <c r="DL13" cm="1">
        <f t="array" ref="DL13">_xll.EQNXTDZ($A$1,$B13,DL$1)</f>
        <v>297</v>
      </c>
      <c r="DM13" cm="1">
        <f t="array" ref="DM13">_xll.EQNXTDZ($A$1,$B13,DM$1)</f>
        <v>233</v>
      </c>
      <c r="DN13" cm="1">
        <f t="array" ref="DN13">_xll.EQNXTDZ($A$1,$B13,DN$1)</f>
        <v>364</v>
      </c>
      <c r="DO13" cm="1">
        <f t="array" ref="DO13">_xll.EQNXTDZ($A$1,$B13,DO$1)</f>
        <v>377.65</v>
      </c>
      <c r="DP13" cm="1">
        <f t="array" ref="DP13">_xll.EQNXTDZ($A$1,$B13,DP$1)</f>
        <v>305.85000000000002</v>
      </c>
      <c r="DQ13" cm="1">
        <f t="array" ref="DQ13">_xll.EQNXTDZ($A$1,$B13,DQ$1)</f>
        <v>258</v>
      </c>
      <c r="DR13" cm="1">
        <f t="array" ref="DR13">_xll.EQNXTDZ($A$1,$B13,DR$1)</f>
        <v>371</v>
      </c>
      <c r="DS13" cm="1">
        <f t="array" ref="DS13">_xll.EQNXTDZ($A$1,$B13,DS$1)</f>
        <v>287.75</v>
      </c>
      <c r="DT13" cm="1">
        <f t="array" ref="DT13">_xll.EQNXTDZ($A$1,$B13,DT$1)</f>
        <v>273.10000000000002</v>
      </c>
      <c r="DU13" cm="1">
        <f t="array" ref="DU13">_xll.EQNXTDZ($A$1,$B13,DU$1)</f>
        <v>271.2</v>
      </c>
      <c r="DV13" cm="1">
        <f t="array" ref="DV13">_xll.EQNXTDZ($A$1,$B13,DV$1)</f>
        <v>325</v>
      </c>
      <c r="DW13" cm="1">
        <f t="array" ref="DW13">_xll.EQNXTDZ($A$1,$B13,DW$1)</f>
        <v>275</v>
      </c>
      <c r="DX13" cm="1">
        <f t="array" ref="DX13">_xll.EQNXTDZ($A$1,$B13,DX$1)</f>
        <v>268</v>
      </c>
      <c r="DY13" cm="1">
        <f t="array" ref="DY13">_xll.EQNXTDZ($A$1,$B13,DY$1)</f>
        <v>272</v>
      </c>
      <c r="DZ13" cm="1">
        <f t="array" ref="DZ13">_xll.EQNXTDZ($A$1,$B13,DZ$1)</f>
        <v>242.55</v>
      </c>
      <c r="EA13" cm="1">
        <f t="array" ref="EA13">_xll.EQNXTDZ($A$1,$B13,EA$1)</f>
        <v>217.35</v>
      </c>
      <c r="EB13" cm="1">
        <f t="array" ref="EB13">_xll.EQNXTDZ($A$1,$B13,EB$1)</f>
        <v>216.4</v>
      </c>
      <c r="EC13" cm="1">
        <f t="array" ref="EC13">_xll.EQNXTDZ($A$1,$B13,EC$1)</f>
        <v>218.3</v>
      </c>
      <c r="ED13" cm="1">
        <f t="array" ref="ED13">_xll.EQNXTDZ($A$1,$B13,ED$1)</f>
        <v>268.05</v>
      </c>
      <c r="EE13" cm="1">
        <f t="array" ref="EE13">_xll.EQNXTDZ($A$1,$B13,EE$1)</f>
        <v>232.95</v>
      </c>
      <c r="EF13" cm="1">
        <f t="array" ref="EF13">_xll.EQNXTDZ($A$1,$B13,EF$1)</f>
        <v>302</v>
      </c>
      <c r="EG13" cm="1">
        <f t="array" ref="EG13">_xll.EQNXTDZ($A$1,$B13,EG$1)</f>
        <v>320</v>
      </c>
      <c r="EH13" cm="1">
        <f t="array" ref="EH13">_xll.EQNXTDZ($A$1,$B13,EH$1)</f>
        <v>344.4</v>
      </c>
      <c r="EI13" cm="1">
        <f t="array" ref="EI13">_xll.EQNXTDZ($A$1,$B13,EI$1)</f>
        <v>347.35</v>
      </c>
      <c r="EJ13" cm="1">
        <f t="array" ref="EJ13">_xll.EQNXTDZ($A$1,$B13,EJ$1)</f>
        <v>312.5</v>
      </c>
      <c r="EK13" cm="1">
        <f t="array" ref="EK13">_xll.EQNXTDZ($A$1,$B13,EK$1)</f>
        <v>314.35000000000002</v>
      </c>
      <c r="EL13" cm="1">
        <f t="array" ref="EL13">_xll.EQNXTDZ($A$1,$B13,EL$1)</f>
        <v>403.6</v>
      </c>
      <c r="EM13" cm="1">
        <f t="array" ref="EM13">_xll.EQNXTDZ($A$1,$B13,EM$1)</f>
        <v>476.35</v>
      </c>
      <c r="EN13" cm="1">
        <f t="array" ref="EN13">_xll.EQNXTDZ($A$1,$B13,EN$1)</f>
        <v>489.1</v>
      </c>
      <c r="EO13" cm="1">
        <f t="array" ref="EO13">_xll.EQNXTDZ($A$1,$B13,EO$1)</f>
        <v>435.15</v>
      </c>
      <c r="EP13" cm="1">
        <f t="array" ref="EP13">_xll.EQNXTDZ($A$1,$B13,EP$1)</f>
        <v>441</v>
      </c>
      <c r="EQ13" cm="1">
        <f t="array" ref="EQ13">_xll.EQNXTDZ($A$1,$B13,EQ$1)</f>
        <v>371.3</v>
      </c>
      <c r="ER13" cm="1">
        <f t="array" ref="ER13">_xll.EQNXTDZ($A$1,$B13,ER$1)</f>
        <v>417</v>
      </c>
      <c r="ES13" cm="1">
        <f t="array" ref="ES13">_xll.EQNXTDZ($A$1,$B13,ES$1)</f>
        <v>423.05</v>
      </c>
      <c r="ET13" cm="1">
        <f t="array" ref="ET13">_xll.EQNXTDZ($A$1,$B13,ET$1)</f>
        <v>424.2</v>
      </c>
      <c r="EU13" cm="1">
        <f t="array" ref="EU13">_xll.EQNXTDZ($A$1,$B13,EU$1)</f>
        <v>466.6</v>
      </c>
      <c r="EV13" cm="1">
        <f t="array" ref="EV13">_xll.EQNXTDZ($A$1,$B13,EV$1)</f>
        <v>394</v>
      </c>
      <c r="EW13" cm="1">
        <f t="array" ref="EW13">_xll.EQNXTDZ($A$1,$B13,EW$1)</f>
        <v>364.25</v>
      </c>
      <c r="EX13" cm="1">
        <f t="array" ref="EX13">_xll.EQNXTDZ($A$1,$B13,EX$1)</f>
        <v>416.2</v>
      </c>
      <c r="EY13" cm="1">
        <f t="array" ref="EY13">_xll.EQNXTDZ($A$1,$B13,EY$1)</f>
        <v>393.65</v>
      </c>
      <c r="EZ13" cm="1">
        <f t="array" ref="EZ13">_xll.EQNXTDZ($A$1,$B13,EZ$1)</f>
        <v>309</v>
      </c>
      <c r="FA13" cm="1">
        <f t="array" ref="FA13">_xll.EQNXTDZ($A$1,$B13,FA$1)</f>
        <v>430.1</v>
      </c>
      <c r="FB13" cm="1">
        <f t="array" ref="FB13">_xll.EQNXTDZ($A$1,$B13,FB$1)</f>
        <v>396</v>
      </c>
      <c r="FC13" cm="1">
        <f t="array" ref="FC13">_xll.EQNXTDZ($A$1,$B13,FC$1)</f>
        <v>406.6</v>
      </c>
      <c r="FD13" cm="1">
        <f t="array" ref="FD13">_xll.EQNXTDZ($A$1,$B13,FD$1)</f>
        <v>481</v>
      </c>
      <c r="FE13" cm="1">
        <f t="array" ref="FE13">_xll.EQNXTDZ($A$1,$B13,FE$1)</f>
        <v>433.4</v>
      </c>
      <c r="FF13" cm="1">
        <f t="array" ref="FF13">_xll.EQNXTDZ($A$1,$B13,FF$1)</f>
        <v>369.15</v>
      </c>
      <c r="FG13" cm="1">
        <f t="array" ref="FG13">_xll.EQNXTDZ($A$1,$B13,FG$1)</f>
        <v>431.65</v>
      </c>
      <c r="FH13" cm="1">
        <f t="array" ref="FH13">_xll.EQNXTDZ($A$1,$B13,FH$1)</f>
        <v>430</v>
      </c>
      <c r="FI13" cm="1">
        <f t="array" ref="FI13">_xll.EQNXTDZ($A$1,$B13,FI$1)</f>
        <v>443.85</v>
      </c>
      <c r="FJ13" cm="1">
        <f t="array" ref="FJ13">_xll.EQNXTDZ($A$1,$B13,FJ$1)</f>
        <v>496.55</v>
      </c>
      <c r="FK13" cm="1">
        <f t="array" ref="FK13">_xll.EQNXTDZ($A$1,$B13,FK$1)</f>
        <v>448.75</v>
      </c>
      <c r="FL13" cm="1">
        <f t="array" ref="FL13">_xll.EQNXTDZ($A$1,$B13,FL$1)</f>
        <v>440</v>
      </c>
      <c r="FM13" cm="1">
        <f t="array" ref="FM13">_xll.EQNXTDZ($A$1,$B13,FM$1)</f>
        <v>432.1</v>
      </c>
      <c r="FN13" cm="1">
        <f t="array" ref="FN13">_xll.EQNXTDZ($A$1,$B13,FN$1)</f>
        <v>520</v>
      </c>
      <c r="FO13" cm="1">
        <f t="array" ref="FO13">_xll.EQNXTDZ($A$1,$B13,FO$1)</f>
        <v>530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37</v>
      </c>
      <c r="B14" s="116" t="s">
        <v>421</v>
      </c>
      <c r="C14" s="116" cm="1">
        <f t="array" ref="C14">_xll.EQNXTDZ($A$1,$B14,C$1)</f>
        <v>49.5</v>
      </c>
      <c r="D14" s="116" cm="1">
        <f t="array" ref="D14">_xll.EQNXTDZ($A$1,$B14,D$1)</f>
        <v>49</v>
      </c>
      <c r="E14" s="116" cm="1">
        <f t="array" ref="E14">_xll.EQNXTDZ($A$1,$B14,E$1)</f>
        <v>62.3</v>
      </c>
      <c r="F14" s="116" cm="1">
        <f t="array" ref="F14">_xll.EQNXTDZ($A$1,$B14,F$1)</f>
        <v>58.85</v>
      </c>
      <c r="G14" s="116" cm="1">
        <f t="array" ref="G14">_xll.EQNXTDZ($A$1,$B14,G$1)</f>
        <v>61.3</v>
      </c>
      <c r="H14" s="116" cm="1">
        <f t="array" ref="H14">_xll.EQNXTDZ($A$1,$B14,H$1)</f>
        <v>66.900000000000006</v>
      </c>
      <c r="I14" s="116" cm="1">
        <f t="array" ref="I14">_xll.EQNXTDZ($A$1,$B14,I$1)</f>
        <v>61.5</v>
      </c>
      <c r="J14" s="116" cm="1">
        <f t="array" ref="J14">_xll.EQNXTDZ($A$1,$B14,J$1)</f>
        <v>57.95</v>
      </c>
      <c r="K14" s="116" cm="1">
        <f t="array" ref="K14">_xll.EQNXTDZ($A$1,$B14,K$1)</f>
        <v>54</v>
      </c>
      <c r="L14" s="116" cm="1">
        <f t="array" ref="L14">_xll.EQNXTDZ($A$1,$B14,L$1)</f>
        <v>46.4</v>
      </c>
      <c r="M14" s="116" cm="1">
        <f t="array" ref="M14">_xll.EQNXTDZ($A$1,$B14,M$1)</f>
        <v>40.549999999999997</v>
      </c>
      <c r="N14" s="116" cm="1">
        <f t="array" ref="N14">_xll.EQNXTDZ($A$1,$B14,N$1)</f>
        <v>52.5</v>
      </c>
      <c r="O14" s="116" cm="1">
        <f t="array" ref="O14">_xll.EQNXTDZ($A$1,$B14,O$1)</f>
        <v>48.5</v>
      </c>
      <c r="P14" s="116" cm="1">
        <f t="array" ref="P14">_xll.EQNXTDZ($A$1,$B14,P$1)</f>
        <v>41.6</v>
      </c>
      <c r="Q14" s="116" cm="1">
        <f t="array" ref="Q14">_xll.EQNXTDZ($A$1,$B14,Q$1)</f>
        <v>32</v>
      </c>
      <c r="R14" s="116" cm="1">
        <f t="array" ref="R14">_xll.EQNXTDZ($A$1,$B14,R$1)</f>
        <v>33.450000000000003</v>
      </c>
      <c r="S14" s="116" cm="1">
        <f t="array" ref="S14">_xll.EQNXTDZ($A$1,$B14,S$1)</f>
        <v>38.4</v>
      </c>
      <c r="T14" s="116" cm="1">
        <f t="array" ref="T14">_xll.EQNXTDZ($A$1,$B14,T$1)</f>
        <v>35.4</v>
      </c>
      <c r="U14" s="116" cm="1">
        <f t="array" ref="U14">_xll.EQNXTDZ($A$1,$B14,U$1)</f>
        <v>38.9</v>
      </c>
      <c r="V14" s="116" cm="1">
        <f t="array" ref="V14">_xll.EQNXTDZ($A$1,$B14,V$1)</f>
        <v>45.9</v>
      </c>
      <c r="W14" s="116" cm="1">
        <f t="array" ref="W14">_xll.EQNXTDZ($A$1,$B14,W$1)</f>
        <v>37</v>
      </c>
      <c r="X14" s="116" cm="1">
        <f t="array" ref="X14">_xll.EQNXTDZ($A$1,$B14,X$1)</f>
        <v>39.9</v>
      </c>
      <c r="Y14" s="116" cm="1">
        <f t="array" ref="Y14">_xll.EQNXTDZ($A$1,$B14,Y$1)</f>
        <v>41.45</v>
      </c>
      <c r="Z14" s="116" cm="1">
        <f t="array" ref="Z14">_xll.EQNXTDZ($A$1,$B14,Z$1)</f>
        <v>44.5</v>
      </c>
      <c r="AA14" s="116" cm="1">
        <f t="array" ref="AA14">_xll.EQNXTDZ($A$1,$B14,AA$1)</f>
        <v>59</v>
      </c>
      <c r="AB14" s="116" cm="1">
        <f t="array" ref="AB14">_xll.EQNXTDZ($A$1,$B14,AB$1)</f>
        <v>88.7</v>
      </c>
      <c r="AC14" s="116" cm="1">
        <f t="array" ref="AC14">_xll.EQNXTDZ($A$1,$B14,AC$1)</f>
        <v>79.599999999999994</v>
      </c>
      <c r="AD14" s="116" cm="1">
        <f t="array" ref="AD14">_xll.EQNXTDZ($A$1,$B14,AD$1)</f>
        <v>88</v>
      </c>
      <c r="AE14" s="116" cm="1">
        <f t="array" ref="AE14">_xll.EQNXTDZ($A$1,$B14,AE$1)</f>
        <v>86.6</v>
      </c>
      <c r="AF14" s="116" cm="1">
        <f t="array" ref="AF14">_xll.EQNXTDZ($A$1,$B14,AF$1)</f>
        <v>86.5</v>
      </c>
      <c r="AG14" s="116" cm="1">
        <f t="array" ref="AG14">_xll.EQNXTDZ($A$1,$B14,AG$1)</f>
        <v>94.05</v>
      </c>
      <c r="AH14" s="116" cm="1">
        <f t="array" ref="AH14">_xll.EQNXTDZ($A$1,$B14,AH$1)</f>
        <v>82.2</v>
      </c>
      <c r="AI14" s="116" cm="1">
        <f t="array" ref="AI14">_xll.EQNXTDZ($A$1,$B14,AI$1)</f>
        <v>82</v>
      </c>
      <c r="AJ14" s="116" cm="1">
        <f t="array" ref="AJ14">_xll.EQNXTDZ($A$1,$B14,AJ$1)</f>
        <v>107.5</v>
      </c>
      <c r="AK14" s="116" cm="1">
        <f t="array" ref="AK14">_xll.EQNXTDZ($A$1,$B14,AK$1)</f>
        <v>89.35</v>
      </c>
      <c r="AL14" s="116" cm="1">
        <f t="array" ref="AL14">_xll.EQNXTDZ($A$1,$B14,AL$1)</f>
        <v>131.44999999999999</v>
      </c>
      <c r="AM14" s="116" cm="1">
        <f t="array" ref="AM14">_xll.EQNXTDZ($A$1,$B14,AM$1)</f>
        <v>152.4</v>
      </c>
      <c r="AN14" s="116" cm="1">
        <f t="array" ref="AN14">_xll.EQNXTDZ($A$1,$B14,AN$1)</f>
        <v>219</v>
      </c>
      <c r="AO14" s="116" cm="1">
        <f t="array" ref="AO14">_xll.EQNXTDZ($A$1,$B14,AO$1)</f>
        <v>249</v>
      </c>
      <c r="AP14" s="116" cm="1">
        <f t="array" ref="AP14">_xll.EQNXTDZ($A$1,$B14,AP$1)</f>
        <v>278</v>
      </c>
      <c r="AQ14" s="116" cm="1">
        <f t="array" ref="AQ14">_xll.EQNXTDZ($A$1,$B14,AQ$1)</f>
        <v>290</v>
      </c>
      <c r="AR14" s="116" cm="1">
        <f t="array" ref="AR14">_xll.EQNXTDZ($A$1,$B14,AR$1)</f>
        <v>297</v>
      </c>
      <c r="AS14" s="116" cm="1">
        <f t="array" ref="AS14">_xll.EQNXTDZ($A$1,$B14,AS$1)</f>
        <v>324</v>
      </c>
      <c r="AT14" s="116" cm="1">
        <f t="array" ref="AT14">_xll.EQNXTDZ($A$1,$B14,AT$1)</f>
        <v>320</v>
      </c>
      <c r="AU14" s="116" cm="1">
        <f t="array" ref="AU14">_xll.EQNXTDZ($A$1,$B14,AU$1)</f>
        <v>285.2</v>
      </c>
      <c r="AV14" s="116" cm="1">
        <f t="array" ref="AV14">_xll.EQNXTDZ($A$1,$B14,AV$1)</f>
        <v>272.60000000000002</v>
      </c>
      <c r="AW14" s="116" cm="1">
        <f t="array" ref="AW14">_xll.EQNXTDZ($A$1,$B14,AW$1)</f>
        <v>286</v>
      </c>
      <c r="AX14" s="116" cm="1">
        <f t="array" ref="AX14">_xll.EQNXTDZ($A$1,$B14,AX$1)</f>
        <v>305</v>
      </c>
      <c r="AY14" s="116" cm="1">
        <f t="array" ref="AY14">_xll.EQNXTDZ($A$1,$B14,AY$1)</f>
        <v>293.85000000000002</v>
      </c>
      <c r="AZ14" s="116" cm="1">
        <f t="array" ref="AZ14">_xll.EQNXTDZ($A$1,$B14,AZ$1)</f>
        <v>281.89999999999998</v>
      </c>
      <c r="BA14" s="116" cm="1">
        <f t="array" ref="BA14">_xll.EQNXTDZ($A$1,$B14,BA$1)</f>
        <v>282</v>
      </c>
      <c r="BB14" s="116" cm="1">
        <f t="array" ref="BB14">_xll.EQNXTDZ($A$1,$B14,BB$1)</f>
        <v>270</v>
      </c>
      <c r="BC14" s="116" cm="1">
        <f t="array" ref="BC14">_xll.EQNXTDZ($A$1,$B14,BC$1)</f>
        <v>325</v>
      </c>
      <c r="BD14" s="116" cm="1">
        <f t="array" ref="BD14">_xll.EQNXTDZ($A$1,$B14,BD$1)</f>
        <v>325</v>
      </c>
      <c r="BE14" s="116" cm="1">
        <f t="array" ref="BE14">_xll.EQNXTDZ($A$1,$B14,BE$1)</f>
        <v>271.3</v>
      </c>
      <c r="BF14" s="116" cm="1">
        <f t="array" ref="BF14">_xll.EQNXTDZ($A$1,$B14,BF$1)</f>
        <v>299.5</v>
      </c>
      <c r="BG14" s="116" cm="1">
        <f t="array" ref="BG14">_xll.EQNXTDZ($A$1,$B14,BG$1)</f>
        <v>304.5</v>
      </c>
      <c r="BH14" s="116" cm="1">
        <f t="array" ref="BH14">_xll.EQNXTDZ($A$1,$B14,BH$1)</f>
        <v>280</v>
      </c>
      <c r="BI14" s="116" cm="1">
        <f t="array" ref="BI14">_xll.EQNXTDZ($A$1,$B14,BI$1)</f>
        <v>324</v>
      </c>
      <c r="BJ14" s="116" cm="1">
        <f t="array" ref="BJ14">_xll.EQNXTDZ($A$1,$B14,BJ$1)</f>
        <v>319</v>
      </c>
      <c r="BK14" s="116" cm="1">
        <f t="array" ref="BK14">_xll.EQNXTDZ($A$1,$B14,BK$1)</f>
        <v>285</v>
      </c>
      <c r="BL14" s="116" cm="1">
        <f t="array" ref="BL14">_xll.EQNXTDZ($A$1,$B14,BL$1)</f>
        <v>295</v>
      </c>
      <c r="BM14" s="116" cm="1">
        <f t="array" ref="BM14">_xll.EQNXTDZ($A$1,$B14,BM$1)</f>
        <v>275</v>
      </c>
      <c r="BN14" s="116" cm="1">
        <f t="array" ref="BN14">_xll.EQNXTDZ($A$1,$B14,BN$1)</f>
        <v>250.85</v>
      </c>
      <c r="BO14" s="116" cm="1">
        <f t="array" ref="BO14">_xll.EQNXTDZ($A$1,$B14,BO$1)</f>
        <v>217</v>
      </c>
      <c r="BP14" s="116" cm="1">
        <f t="array" ref="BP14">_xll.EQNXTDZ($A$1,$B14,BP$1)</f>
        <v>223.6</v>
      </c>
      <c r="BQ14" s="116" cm="1">
        <f t="array" ref="BQ14">_xll.EQNXTDZ($A$1,$B14,BQ$1)</f>
        <v>215</v>
      </c>
      <c r="BR14" s="116" cm="1">
        <f t="array" ref="BR14">_xll.EQNXTDZ($A$1,$B14,BR$1)</f>
        <v>210</v>
      </c>
      <c r="BS14" s="116" cm="1">
        <f t="array" ref="BS14">_xll.EQNXTDZ($A$1,$B14,BS$1)</f>
        <v>175</v>
      </c>
      <c r="BT14" s="116" cm="1">
        <f t="array" ref="BT14">_xll.EQNXTDZ($A$1,$B14,BT$1)</f>
        <v>150.85</v>
      </c>
      <c r="BU14" s="116" cm="1">
        <f t="array" ref="BU14">_xll.EQNXTDZ($A$1,$B14,BU$1)</f>
        <v>141.85</v>
      </c>
      <c r="BV14" s="116" cm="1">
        <f t="array" ref="BV14">_xll.EQNXTDZ($A$1,$B14,BV$1)</f>
        <v>141.4</v>
      </c>
      <c r="BW14" s="116" cm="1">
        <f t="array" ref="BW14">_xll.EQNXTDZ($A$1,$B14,BW$1)</f>
        <v>114.2</v>
      </c>
      <c r="BX14" s="116" cm="1">
        <f t="array" ref="BX14">_xll.EQNXTDZ($A$1,$B14,BX$1)</f>
        <v>99.8</v>
      </c>
      <c r="BY14" s="116" cm="1">
        <f t="array" ref="BY14">_xll.EQNXTDZ($A$1,$B14,BY$1)</f>
        <v>96</v>
      </c>
      <c r="BZ14" s="116" cm="1">
        <f t="array" ref="BZ14">_xll.EQNXTDZ($A$1,$B14,BZ$1)</f>
        <v>85.95</v>
      </c>
      <c r="CA14" s="116" cm="1">
        <f t="array" ref="CA14">_xll.EQNXTDZ($A$1,$B14,CA$1)</f>
        <v>70.95</v>
      </c>
      <c r="CB14" s="116" cm="1">
        <f t="array" ref="CB14">_xll.EQNXTDZ($A$1,$B14,CB$1)</f>
        <v>87.5</v>
      </c>
      <c r="CC14" s="116" cm="1">
        <f t="array" ref="CC14">_xll.EQNXTDZ($A$1,$B14,CC$1)</f>
        <v>78</v>
      </c>
      <c r="CD14" s="116" cm="1">
        <f t="array" ref="CD14">_xll.EQNXTDZ($A$1,$B14,CD$1)</f>
        <v>82.9</v>
      </c>
      <c r="CE14" s="116" cm="1">
        <f t="array" ref="CE14">_xll.EQNXTDZ($A$1,$B14,CE$1)</f>
        <v>65.05</v>
      </c>
      <c r="CF14" s="116" cm="1">
        <f t="array" ref="CF14">_xll.EQNXTDZ($A$1,$B14,CF$1)</f>
        <v>72.650000000000006</v>
      </c>
      <c r="CG14" s="116" cm="1">
        <f t="array" ref="CG14">_xll.EQNXTDZ($A$1,$B14,CG$1)</f>
        <v>69.55</v>
      </c>
      <c r="CH14" s="116" cm="1">
        <f t="array" ref="CH14">_xll.EQNXTDZ($A$1,$B14,CH$1)</f>
        <v>64.900000000000006</v>
      </c>
      <c r="CI14" s="116" cm="1">
        <f t="array" ref="CI14">_xll.EQNXTDZ($A$1,$B14,CI$1)</f>
        <v>63.95</v>
      </c>
      <c r="CJ14" s="116" cm="1">
        <f t="array" ref="CJ14">_xll.EQNXTDZ($A$1,$B14,CJ$1)</f>
        <v>56.5</v>
      </c>
      <c r="CK14" s="116" cm="1">
        <f t="array" ref="CK14">_xll.EQNXTDZ($A$1,$B14,CK$1)</f>
        <v>52.85</v>
      </c>
      <c r="CL14" s="116" cm="1">
        <f t="array" ref="CL14">_xll.EQNXTDZ($A$1,$B14,CL$1)</f>
        <v>47.5</v>
      </c>
      <c r="CM14" s="116" cm="1">
        <f t="array" ref="CM14">_xll.EQNXTDZ($A$1,$B14,CM$1)</f>
        <v>45.5</v>
      </c>
      <c r="CN14" s="116" cm="1">
        <f t="array" ref="CN14">_xll.EQNXTDZ($A$1,$B14,CN$1)</f>
        <v>56.85</v>
      </c>
      <c r="CO14" s="116" cm="1">
        <f t="array" ref="CO14">_xll.EQNXTDZ($A$1,$B14,CO$1)</f>
        <v>70.5</v>
      </c>
      <c r="CP14" s="116" cm="1">
        <f t="array" ref="CP14">_xll.EQNXTDZ($A$1,$B14,CP$1)</f>
        <v>65.45</v>
      </c>
      <c r="CQ14" s="116" cm="1">
        <f t="array" ref="CQ14">_xll.EQNXTDZ($A$1,$B14,CQ$1)</f>
        <v>59.9</v>
      </c>
      <c r="CR14" s="116" cm="1">
        <f t="array" ref="CR14">_xll.EQNXTDZ($A$1,$B14,CR$1)</f>
        <v>52.9</v>
      </c>
      <c r="CS14" s="116" cm="1">
        <f t="array" ref="CS14">_xll.EQNXTDZ($A$1,$B14,CS$1)</f>
        <v>43.9</v>
      </c>
      <c r="CT14" s="116" cm="1">
        <f t="array" ref="CT14">_xll.EQNXTDZ($A$1,$B14,CT$1)</f>
        <v>40.200000000000003</v>
      </c>
      <c r="CU14" s="116" cm="1">
        <f t="array" ref="CU14">_xll.EQNXTDZ($A$1,$B14,CU$1)</f>
        <v>55</v>
      </c>
      <c r="CV14" s="116" cm="1">
        <f t="array" ref="CV14">_xll.EQNXTDZ($A$1,$B14,CV$1)</f>
        <v>66.2</v>
      </c>
      <c r="CW14" s="116" cm="1">
        <f t="array" ref="CW14">_xll.EQNXTDZ($A$1,$B14,CW$1)</f>
        <v>58.45</v>
      </c>
      <c r="CX14" s="116" cm="1">
        <f t="array" ref="CX14">_xll.EQNXTDZ($A$1,$B14,CX$1)</f>
        <v>55.95</v>
      </c>
      <c r="CY14" s="116" cm="1">
        <f t="array" ref="CY14">_xll.EQNXTDZ($A$1,$B14,CY$1)</f>
        <v>55</v>
      </c>
      <c r="CZ14" s="116" cm="1">
        <f t="array" ref="CZ14">_xll.EQNXTDZ($A$1,$B14,CZ$1)</f>
        <v>57.7</v>
      </c>
      <c r="DA14" s="116" cm="1">
        <f t="array" ref="DA14">_xll.EQNXTDZ($A$1,$B14,DA$1)</f>
        <v>83.9</v>
      </c>
      <c r="DB14" s="116" cm="1">
        <f t="array" ref="DB14">_xll.EQNXTDZ($A$1,$B14,DB$1)</f>
        <v>103.75</v>
      </c>
      <c r="DC14" s="116" cm="1">
        <f t="array" ref="DC14">_xll.EQNXTDZ($A$1,$B14,DC$1)</f>
        <v>83.9</v>
      </c>
      <c r="DD14" s="116" cm="1">
        <f t="array" ref="DD14">_xll.EQNXTDZ($A$1,$B14,DD$1)</f>
        <v>84.5</v>
      </c>
      <c r="DE14" s="116" cm="1">
        <f t="array" ref="DE14">_xll.EQNXTDZ($A$1,$B14,DE$1)</f>
        <v>82</v>
      </c>
      <c r="DF14" s="116" cm="1">
        <f t="array" ref="DF14">_xll.EQNXTDZ($A$1,$B14,DF$1)</f>
        <v>108.95</v>
      </c>
      <c r="DG14" s="116" cm="1">
        <f t="array" ref="DG14">_xll.EQNXTDZ($A$1,$B14,DG$1)</f>
        <v>114.6</v>
      </c>
      <c r="DH14" s="116" cm="1">
        <f t="array" ref="DH14">_xll.EQNXTDZ($A$1,$B14,DH$1)</f>
        <v>152.80000000000001</v>
      </c>
      <c r="DI14" s="116" cm="1">
        <f t="array" ref="DI14">_xll.EQNXTDZ($A$1,$B14,DI$1)</f>
        <v>173.8</v>
      </c>
      <c r="DJ14" s="116" cm="1">
        <f t="array" ref="DJ14">_xll.EQNXTDZ($A$1,$B14,DJ$1)</f>
        <v>169.95</v>
      </c>
      <c r="DK14" s="116" cm="1">
        <f t="array" ref="DK14">_xll.EQNXTDZ($A$1,$B14,DK$1)</f>
        <v>283.3</v>
      </c>
      <c r="DL14" s="116" cm="1">
        <f t="array" ref="DL14">_xll.EQNXTDZ($A$1,$B14,DL$1)</f>
        <v>327.7</v>
      </c>
      <c r="DM14" s="116" cm="1">
        <f t="array" ref="DM14">_xll.EQNXTDZ($A$1,$B14,DM$1)</f>
        <v>354</v>
      </c>
      <c r="DN14" s="116" cm="1">
        <f t="array" ref="DN14">_xll.EQNXTDZ($A$1,$B14,DN$1)</f>
        <v>423.4</v>
      </c>
      <c r="DO14" s="116" cm="1">
        <f t="array" ref="DO14">_xll.EQNXTDZ($A$1,$B14,DO$1)</f>
        <v>399.7</v>
      </c>
      <c r="DP14" s="116" cm="1">
        <f t="array" ref="DP14">_xll.EQNXTDZ($A$1,$B14,DP$1)</f>
        <v>327</v>
      </c>
      <c r="DQ14" s="116" cm="1">
        <f t="array" ref="DQ14">_xll.EQNXTDZ($A$1,$B14,DQ$1)</f>
        <v>422</v>
      </c>
      <c r="DR14" s="116" cm="1">
        <f t="array" ref="DR14">_xll.EQNXTDZ($A$1,$B14,DR$1)</f>
        <v>399.7</v>
      </c>
      <c r="DS14" s="116" cm="1">
        <f t="array" ref="DS14">_xll.EQNXTDZ($A$1,$B14,DS$1)</f>
        <v>311.95</v>
      </c>
      <c r="DT14" s="116" cm="1">
        <f t="array" ref="DT14">_xll.EQNXTDZ($A$1,$B14,DT$1)</f>
        <v>293</v>
      </c>
      <c r="DU14" s="116" cm="1">
        <f t="array" ref="DU14">_xll.EQNXTDZ($A$1,$B14,DU$1)</f>
        <v>359.95</v>
      </c>
      <c r="DV14" s="116" cm="1">
        <f t="array" ref="DV14">_xll.EQNXTDZ($A$1,$B14,DV$1)</f>
        <v>337.55</v>
      </c>
      <c r="DW14" s="116" cm="1">
        <f t="array" ref="DW14">_xll.EQNXTDZ($A$1,$B14,DW$1)</f>
        <v>298.8</v>
      </c>
      <c r="DX14" s="116" cm="1">
        <f t="array" ref="DX14">_xll.EQNXTDZ($A$1,$B14,DX$1)</f>
        <v>298.64999999999998</v>
      </c>
      <c r="DY14" s="116" cm="1">
        <f t="array" ref="DY14">_xll.EQNXTDZ($A$1,$B14,DY$1)</f>
        <v>273.95</v>
      </c>
      <c r="DZ14" s="116" cm="1">
        <f t="array" ref="DZ14">_xll.EQNXTDZ($A$1,$B14,DZ$1)</f>
        <v>249.9</v>
      </c>
      <c r="EA14" s="116" cm="1">
        <f t="array" ref="EA14">_xll.EQNXTDZ($A$1,$B14,EA$1)</f>
        <v>224.9</v>
      </c>
      <c r="EB14" s="116" cm="1">
        <f t="array" ref="EB14">_xll.EQNXTDZ($A$1,$B14,EB$1)</f>
        <v>254</v>
      </c>
      <c r="EC14" s="116" cm="1">
        <f t="array" ref="EC14">_xll.EQNXTDZ($A$1,$B14,EC$1)</f>
        <v>280</v>
      </c>
      <c r="ED14" s="116" cm="1">
        <f t="array" ref="ED14">_xll.EQNXTDZ($A$1,$B14,ED$1)</f>
        <v>270.25</v>
      </c>
      <c r="EE14" s="116" cm="1">
        <f t="array" ref="EE14">_xll.EQNXTDZ($A$1,$B14,EE$1)</f>
        <v>344</v>
      </c>
      <c r="EF14" s="116" cm="1">
        <f t="array" ref="EF14">_xll.EQNXTDZ($A$1,$B14,EF$1)</f>
        <v>354.45</v>
      </c>
      <c r="EG14" s="116" cm="1">
        <f t="array" ref="EG14">_xll.EQNXTDZ($A$1,$B14,EG$1)</f>
        <v>393.3</v>
      </c>
      <c r="EH14" s="116" cm="1">
        <f t="array" ref="EH14">_xll.EQNXTDZ($A$1,$B14,EH$1)</f>
        <v>360</v>
      </c>
      <c r="EI14" s="116" cm="1">
        <f t="array" ref="EI14">_xll.EQNXTDZ($A$1,$B14,EI$1)</f>
        <v>366.9</v>
      </c>
      <c r="EJ14" s="116" cm="1">
        <f t="array" ref="EJ14">_xll.EQNXTDZ($A$1,$B14,EJ$1)</f>
        <v>335</v>
      </c>
      <c r="EK14" s="116" cm="1">
        <f t="array" ref="EK14">_xll.EQNXTDZ($A$1,$B14,EK$1)</f>
        <v>454.9</v>
      </c>
      <c r="EL14" s="116" cm="1">
        <f t="array" ref="EL14">_xll.EQNXTDZ($A$1,$B14,EL$1)</f>
        <v>497.1</v>
      </c>
      <c r="EM14" s="116" cm="1">
        <f t="array" ref="EM14">_xll.EQNXTDZ($A$1,$B14,EM$1)</f>
        <v>627.20000000000005</v>
      </c>
      <c r="EN14" s="116" cm="1">
        <f t="array" ref="EN14">_xll.EQNXTDZ($A$1,$B14,EN$1)</f>
        <v>499.3</v>
      </c>
      <c r="EO14" s="116" cm="1">
        <f t="array" ref="EO14">_xll.EQNXTDZ($A$1,$B14,EO$1)</f>
        <v>485</v>
      </c>
      <c r="EP14" s="116" cm="1">
        <f t="array" ref="EP14">_xll.EQNXTDZ($A$1,$B14,EP$1)</f>
        <v>441</v>
      </c>
      <c r="EQ14" s="116" cm="1">
        <f t="array" ref="EQ14">_xll.EQNXTDZ($A$1,$B14,EQ$1)</f>
        <v>453</v>
      </c>
      <c r="ER14" s="116" cm="1">
        <f t="array" ref="ER14">_xll.EQNXTDZ($A$1,$B14,ER$1)</f>
        <v>437.85</v>
      </c>
      <c r="ES14" s="116" cm="1">
        <f t="array" ref="ES14">_xll.EQNXTDZ($A$1,$B14,ES$1)</f>
        <v>458</v>
      </c>
      <c r="ET14" s="116" cm="1">
        <f t="array" ref="ET14">_xll.EQNXTDZ($A$1,$B14,ET$1)</f>
        <v>498.2</v>
      </c>
      <c r="EU14" s="116" cm="1">
        <f t="array" ref="EU14">_xll.EQNXTDZ($A$1,$B14,EU$1)</f>
        <v>469.05</v>
      </c>
      <c r="EV14" s="116" cm="1">
        <f t="array" ref="EV14">_xll.EQNXTDZ($A$1,$B14,EV$1)</f>
        <v>400</v>
      </c>
      <c r="EW14" s="116" cm="1">
        <f t="array" ref="EW14">_xll.EQNXTDZ($A$1,$B14,EW$1)</f>
        <v>450</v>
      </c>
      <c r="EX14" s="116" cm="1">
        <f t="array" ref="EX14">_xll.EQNXTDZ($A$1,$B14,EX$1)</f>
        <v>453</v>
      </c>
      <c r="EY14" s="116" cm="1">
        <f t="array" ref="EY14">_xll.EQNXTDZ($A$1,$B14,EY$1)</f>
        <v>414</v>
      </c>
      <c r="EZ14" s="116" cm="1">
        <f t="array" ref="EZ14">_xll.EQNXTDZ($A$1,$B14,EZ$1)</f>
        <v>439</v>
      </c>
      <c r="FA14" s="116" cm="1">
        <f t="array" ref="FA14">_xll.EQNXTDZ($A$1,$B14,FA$1)</f>
        <v>445</v>
      </c>
      <c r="FB14" s="116" cm="1">
        <f t="array" ref="FB14">_xll.EQNXTDZ($A$1,$B14,FB$1)</f>
        <v>472.05</v>
      </c>
      <c r="FC14" s="116" cm="1">
        <f t="array" ref="FC14">_xll.EQNXTDZ($A$1,$B14,FC$1)</f>
        <v>512.45000000000005</v>
      </c>
      <c r="FD14" s="116" cm="1">
        <f t="array" ref="FD14">_xll.EQNXTDZ($A$1,$B14,FD$1)</f>
        <v>487</v>
      </c>
      <c r="FE14" s="116" cm="1">
        <f t="array" ref="FE14">_xll.EQNXTDZ($A$1,$B14,FE$1)</f>
        <v>433.55</v>
      </c>
      <c r="FF14" s="116" cm="1">
        <f t="array" ref="FF14">_xll.EQNXTDZ($A$1,$B14,FF$1)</f>
        <v>446.6</v>
      </c>
      <c r="FG14" s="116" cm="1">
        <f t="array" ref="FG14">_xll.EQNXTDZ($A$1,$B14,FG$1)</f>
        <v>464.4</v>
      </c>
      <c r="FH14" s="116" cm="1">
        <f t="array" ref="FH14">_xll.EQNXTDZ($A$1,$B14,FH$1)</f>
        <v>495</v>
      </c>
      <c r="FI14" s="116" cm="1">
        <f t="array" ref="FI14">_xll.EQNXTDZ($A$1,$B14,FI$1)</f>
        <v>501</v>
      </c>
      <c r="FJ14" s="116" cm="1">
        <f t="array" ref="FJ14">_xll.EQNXTDZ($A$1,$B14,FJ$1)</f>
        <v>507.5</v>
      </c>
      <c r="FK14" s="116" cm="1">
        <f t="array" ref="FK14">_xll.EQNXTDZ($A$1,$B14,FK$1)</f>
        <v>524.1</v>
      </c>
      <c r="FL14" s="116" cm="1">
        <f t="array" ref="FL14">_xll.EQNXTDZ($A$1,$B14,FL$1)</f>
        <v>455.25</v>
      </c>
      <c r="FM14" s="116" cm="1">
        <f t="array" ref="FM14">_xll.EQNXTDZ($A$1,$B14,FM$1)</f>
        <v>575.5</v>
      </c>
      <c r="FN14" s="116" cm="1">
        <f t="array" ref="FN14">_xll.EQNXTDZ($A$1,$B14,FN$1)</f>
        <v>542.70000000000005</v>
      </c>
      <c r="FO14" s="116" cm="1">
        <f t="array" ref="FO14">_xll.EQNXTDZ($A$1,$B14,FO$1)</f>
        <v>569.4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62.3</v>
      </c>
      <c r="HQ14" s="116">
        <f>+MAX(G14:I14)</f>
        <v>66.900000000000006</v>
      </c>
      <c r="HR14" s="116">
        <f>+MAX(J14:L14)</f>
        <v>57.95</v>
      </c>
      <c r="HS14" s="116">
        <f>+MAX(M14:O14)</f>
        <v>52.5</v>
      </c>
      <c r="HT14" s="116">
        <f>+MAX(P14:R14)</f>
        <v>41.6</v>
      </c>
      <c r="HU14" s="116">
        <f>+MAX(S14:U14)</f>
        <v>38.9</v>
      </c>
      <c r="HV14" s="116">
        <f>+MAX(V14:X14)</f>
        <v>45.9</v>
      </c>
      <c r="HW14" s="116">
        <f>+MAX(Y14:AA14)</f>
        <v>59</v>
      </c>
      <c r="HX14" s="116">
        <f>+MAX(AB14:AD14)</f>
        <v>88.7</v>
      </c>
      <c r="HY14" s="116">
        <f>+MAX(AE14:AG14)</f>
        <v>94.05</v>
      </c>
      <c r="HZ14" s="116">
        <f>+MAX(AH14:AJ14)</f>
        <v>107.5</v>
      </c>
      <c r="IA14" s="116">
        <f>+MAX(AK14:AM14)</f>
        <v>152.4</v>
      </c>
      <c r="IB14" s="116">
        <f>+MAX(AN14:AP14)</f>
        <v>278</v>
      </c>
      <c r="IC14" s="116">
        <f>+MAX(AQ14:AS14)</f>
        <v>324</v>
      </c>
      <c r="ID14" s="116">
        <f>+MAX(AT14:AV14)</f>
        <v>320</v>
      </c>
      <c r="IE14" s="116">
        <f>+MAX(AW14:AY14)</f>
        <v>305</v>
      </c>
      <c r="IF14" s="116">
        <f>+MAX(AZ14:BB14)</f>
        <v>282</v>
      </c>
      <c r="IG14" s="116">
        <f>+MAX(BC14:BE14)</f>
        <v>325</v>
      </c>
      <c r="IH14" s="116">
        <f>+MAX(BF14:BH14)</f>
        <v>304.5</v>
      </c>
      <c r="II14" s="116">
        <f>+MAX(BI14:BK14)</f>
        <v>324</v>
      </c>
      <c r="IJ14" s="116">
        <f>+MAX(BL14:BN14)</f>
        <v>295</v>
      </c>
      <c r="IK14" s="116">
        <f>+MAX(BO14:BQ14)</f>
        <v>223.6</v>
      </c>
      <c r="IL14" s="116">
        <f>+MAX(BR14:BT14)</f>
        <v>210</v>
      </c>
      <c r="IM14" s="116">
        <f>+MAX(BU14:BW14)</f>
        <v>141.85</v>
      </c>
      <c r="IN14" s="116">
        <f>+MAX(BX14:BZ14)</f>
        <v>99.8</v>
      </c>
      <c r="IO14" s="116">
        <f>+MAX(CA14:CC14)</f>
        <v>87.5</v>
      </c>
      <c r="IP14" s="116">
        <f>+MAX(CD14:CF14)</f>
        <v>82.9</v>
      </c>
      <c r="IQ14" s="116">
        <f>+MAX(CG14:CI14)</f>
        <v>69.55</v>
      </c>
      <c r="IR14" s="116">
        <f>+MAX(CJ14:CL14)</f>
        <v>56.5</v>
      </c>
      <c r="IS14" s="116">
        <f>+MAX(CM14:CO14)</f>
        <v>70.5</v>
      </c>
      <c r="IT14" s="116">
        <f>+MAX(CP14:CR14)</f>
        <v>65.45</v>
      </c>
      <c r="IU14" s="116">
        <f>+MAX(CS14:CU14)</f>
        <v>55</v>
      </c>
      <c r="IV14" s="116">
        <f>+MAX(CV14:CX14)</f>
        <v>66.2</v>
      </c>
      <c r="IW14" s="116">
        <f>+MAX(CY14:DA14)</f>
        <v>83.9</v>
      </c>
      <c r="IX14" s="116">
        <f>+MAX(DB14:DD14)</f>
        <v>103.75</v>
      </c>
      <c r="IY14" s="116">
        <f>+MAX(DE14:DG14)</f>
        <v>114.6</v>
      </c>
      <c r="IZ14" s="116">
        <f>+MAX(DH14:DJ14)</f>
        <v>173.8</v>
      </c>
      <c r="JA14" s="116">
        <f>+MAX(DK14:DM14)</f>
        <v>354</v>
      </c>
      <c r="JB14" s="116">
        <f>+MAX(DN14:DP14)</f>
        <v>423.4</v>
      </c>
      <c r="JC14" s="116">
        <f>+MAX(DQ14:DS14)</f>
        <v>422</v>
      </c>
      <c r="JD14" s="116">
        <f>+MAX(DT14:DV14)</f>
        <v>359.95</v>
      </c>
      <c r="JE14" s="116">
        <f>+MAX(DW14:DY14)</f>
        <v>298.8</v>
      </c>
      <c r="JF14" s="116">
        <f>+MAX(DZ14:EB14)</f>
        <v>254</v>
      </c>
      <c r="JG14" s="116">
        <f>+MAX(EC14:EE14)</f>
        <v>344</v>
      </c>
      <c r="JH14" s="116">
        <f>+MAX(EF14:EH14)</f>
        <v>393.3</v>
      </c>
      <c r="JI14" s="116">
        <f>+MAX(EI14:EK14)</f>
        <v>454.9</v>
      </c>
      <c r="JJ14" s="116">
        <f>+MAX(EL14:EN14)</f>
        <v>627.20000000000005</v>
      </c>
      <c r="JK14" s="116">
        <f>MAX(EO14:EQ14)</f>
        <v>485</v>
      </c>
      <c r="JL14" s="116">
        <f>MAX(ER14:ET14)</f>
        <v>498.2</v>
      </c>
      <c r="JM14" s="116">
        <f>MAX(EU14:EW14)</f>
        <v>469.05</v>
      </c>
      <c r="JN14" s="116">
        <f>MAX(EX14:EZ14)</f>
        <v>453</v>
      </c>
      <c r="JO14" s="116">
        <f>MAX(FA14:FC14)</f>
        <v>512.45000000000005</v>
      </c>
      <c r="JP14" s="116">
        <f>MAX(FD14:FF14)</f>
        <v>487</v>
      </c>
      <c r="JQ14" s="116">
        <f>MAX(FG14:FI14)</f>
        <v>501</v>
      </c>
      <c r="JR14" s="116">
        <f>MAX(FJ14:FL14)</f>
        <v>524.1</v>
      </c>
      <c r="JS14" s="116">
        <f>MAX(FM14:FO14)</f>
        <v>575.5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38</v>
      </c>
      <c r="B15" s="116" t="s">
        <v>422</v>
      </c>
      <c r="C15" s="116" cm="1">
        <f t="array" ref="C15">_xll.EQNXTDZ($A$1,$B15,C$1)</f>
        <v>42.5</v>
      </c>
      <c r="D15" s="116" cm="1">
        <f t="array" ref="D15">_xll.EQNXTDZ($A$1,$B15,D$1)</f>
        <v>42.2</v>
      </c>
      <c r="E15" s="116" cm="1">
        <f t="array" ref="E15">_xll.EQNXTDZ($A$1,$B15,E$1)</f>
        <v>44.95</v>
      </c>
      <c r="F15" s="116" cm="1">
        <f t="array" ref="F15">_xll.EQNXTDZ($A$1,$B15,F$1)</f>
        <v>55</v>
      </c>
      <c r="G15" s="116" cm="1">
        <f t="array" ref="G15">_xll.EQNXTDZ($A$1,$B15,G$1)</f>
        <v>54.05</v>
      </c>
      <c r="H15" s="116" cm="1">
        <f t="array" ref="H15">_xll.EQNXTDZ($A$1,$B15,H$1)</f>
        <v>55</v>
      </c>
      <c r="I15" s="116" cm="1">
        <f t="array" ref="I15">_xll.EQNXTDZ($A$1,$B15,I$1)</f>
        <v>49.15</v>
      </c>
      <c r="J15" s="116" cm="1">
        <f t="array" ref="J15">_xll.EQNXTDZ($A$1,$B15,J$1)</f>
        <v>50</v>
      </c>
      <c r="K15" s="116" cm="1">
        <f t="array" ref="K15">_xll.EQNXTDZ($A$1,$B15,K$1)</f>
        <v>38.700000000000003</v>
      </c>
      <c r="L15" s="116" cm="1">
        <f t="array" ref="L15">_xll.EQNXTDZ($A$1,$B15,L$1)</f>
        <v>33</v>
      </c>
      <c r="M15" s="116" cm="1">
        <f t="array" ref="M15">_xll.EQNXTDZ($A$1,$B15,M$1)</f>
        <v>34</v>
      </c>
      <c r="N15" s="116" cm="1">
        <f t="array" ref="N15">_xll.EQNXTDZ($A$1,$B15,N$1)</f>
        <v>40.299999999999997</v>
      </c>
      <c r="O15" s="116" cm="1">
        <f t="array" ref="O15">_xll.EQNXTDZ($A$1,$B15,O$1)</f>
        <v>40.35</v>
      </c>
      <c r="P15" s="116" cm="1">
        <f t="array" ref="P15">_xll.EQNXTDZ($A$1,$B15,P$1)</f>
        <v>27.7</v>
      </c>
      <c r="Q15" s="116" cm="1">
        <f t="array" ref="Q15">_xll.EQNXTDZ($A$1,$B15,Q$1)</f>
        <v>26</v>
      </c>
      <c r="R15" s="116" cm="1">
        <f t="array" ref="R15">_xll.EQNXTDZ($A$1,$B15,R$1)</f>
        <v>26.6</v>
      </c>
      <c r="S15" s="116" cm="1">
        <f t="array" ref="S15">_xll.EQNXTDZ($A$1,$B15,S$1)</f>
        <v>28.05</v>
      </c>
      <c r="T15" s="116" cm="1">
        <f t="array" ref="T15">_xll.EQNXTDZ($A$1,$B15,T$1)</f>
        <v>30.55</v>
      </c>
      <c r="U15" s="116" cm="1">
        <f t="array" ref="U15">_xll.EQNXTDZ($A$1,$B15,U$1)</f>
        <v>33.4</v>
      </c>
      <c r="V15" s="116" cm="1">
        <f t="array" ref="V15">_xll.EQNXTDZ($A$1,$B15,V$1)</f>
        <v>34.049999999999997</v>
      </c>
      <c r="W15" s="116" cm="1">
        <f t="array" ref="W15">_xll.EQNXTDZ($A$1,$B15,W$1)</f>
        <v>31.3</v>
      </c>
      <c r="X15" s="116" cm="1">
        <f t="array" ref="X15">_xll.EQNXTDZ($A$1,$B15,X$1)</f>
        <v>31.3</v>
      </c>
      <c r="Y15" s="116" cm="1">
        <f t="array" ref="Y15">_xll.EQNXTDZ($A$1,$B15,Y$1)</f>
        <v>33.65</v>
      </c>
      <c r="Z15" s="116" cm="1">
        <f t="array" ref="Z15">_xll.EQNXTDZ($A$1,$B15,Z$1)</f>
        <v>36.1</v>
      </c>
      <c r="AA15" s="116" cm="1">
        <f t="array" ref="AA15">_xll.EQNXTDZ($A$1,$B15,AA$1)</f>
        <v>38.549999999999997</v>
      </c>
      <c r="AB15" s="116" cm="1">
        <f t="array" ref="AB15">_xll.EQNXTDZ($A$1,$B15,AB$1)</f>
        <v>53.1</v>
      </c>
      <c r="AC15" s="116" cm="1">
        <f t="array" ref="AC15">_xll.EQNXTDZ($A$1,$B15,AC$1)</f>
        <v>68.349999999999994</v>
      </c>
      <c r="AD15" s="116" cm="1">
        <f t="array" ref="AD15">_xll.EQNXTDZ($A$1,$B15,AD$1)</f>
        <v>72</v>
      </c>
      <c r="AE15" s="116" cm="1">
        <f t="array" ref="AE15">_xll.EQNXTDZ($A$1,$B15,AE$1)</f>
        <v>76</v>
      </c>
      <c r="AF15" s="116" cm="1">
        <f t="array" ref="AF15">_xll.EQNXTDZ($A$1,$B15,AF$1)</f>
        <v>75.55</v>
      </c>
      <c r="AG15" s="116" cm="1">
        <f t="array" ref="AG15">_xll.EQNXTDZ($A$1,$B15,AG$1)</f>
        <v>69.650000000000006</v>
      </c>
      <c r="AH15" s="116" cm="1">
        <f t="array" ref="AH15">_xll.EQNXTDZ($A$1,$B15,AH$1)</f>
        <v>68</v>
      </c>
      <c r="AI15" s="116" cm="1">
        <f t="array" ref="AI15">_xll.EQNXTDZ($A$1,$B15,AI$1)</f>
        <v>73.05</v>
      </c>
      <c r="AJ15" s="116" cm="1">
        <f t="array" ref="AJ15">_xll.EQNXTDZ($A$1,$B15,AJ$1)</f>
        <v>71.150000000000006</v>
      </c>
      <c r="AK15" s="116" cm="1">
        <f t="array" ref="AK15">_xll.EQNXTDZ($A$1,$B15,AK$1)</f>
        <v>75</v>
      </c>
      <c r="AL15" s="116" cm="1">
        <f t="array" ref="AL15">_xll.EQNXTDZ($A$1,$B15,AL$1)</f>
        <v>71.5</v>
      </c>
      <c r="AM15" s="116" cm="1">
        <f t="array" ref="AM15">_xll.EQNXTDZ($A$1,$B15,AM$1)</f>
        <v>112.3</v>
      </c>
      <c r="AN15" s="116" cm="1">
        <f t="array" ref="AN15">_xll.EQNXTDZ($A$1,$B15,AN$1)</f>
        <v>150</v>
      </c>
      <c r="AO15" s="116" cm="1">
        <f t="array" ref="AO15">_xll.EQNXTDZ($A$1,$B15,AO$1)</f>
        <v>186.4</v>
      </c>
      <c r="AP15" s="116" cm="1">
        <f t="array" ref="AP15">_xll.EQNXTDZ($A$1,$B15,AP$1)</f>
        <v>214</v>
      </c>
      <c r="AQ15" s="116" cm="1">
        <f t="array" ref="AQ15">_xll.EQNXTDZ($A$1,$B15,AQ$1)</f>
        <v>239.3</v>
      </c>
      <c r="AR15" s="116" cm="1">
        <f t="array" ref="AR15">_xll.EQNXTDZ($A$1,$B15,AR$1)</f>
        <v>244.8</v>
      </c>
      <c r="AS15" s="116" cm="1">
        <f t="array" ref="AS15">_xll.EQNXTDZ($A$1,$B15,AS$1)</f>
        <v>263.3</v>
      </c>
      <c r="AT15" s="116" cm="1">
        <f t="array" ref="AT15">_xll.EQNXTDZ($A$1,$B15,AT$1)</f>
        <v>265.3</v>
      </c>
      <c r="AU15" s="116" cm="1">
        <f t="array" ref="AU15">_xll.EQNXTDZ($A$1,$B15,AU$1)</f>
        <v>238.5</v>
      </c>
      <c r="AV15" s="116" cm="1">
        <f t="array" ref="AV15">_xll.EQNXTDZ($A$1,$B15,AV$1)</f>
        <v>247</v>
      </c>
      <c r="AW15" s="116" cm="1">
        <f t="array" ref="AW15">_xll.EQNXTDZ($A$1,$B15,AW$1)</f>
        <v>246.3</v>
      </c>
      <c r="AX15" s="116" cm="1">
        <f t="array" ref="AX15">_xll.EQNXTDZ($A$1,$B15,AX$1)</f>
        <v>261.35000000000002</v>
      </c>
      <c r="AY15" s="116" cm="1">
        <f t="array" ref="AY15">_xll.EQNXTDZ($A$1,$B15,AY$1)</f>
        <v>263</v>
      </c>
      <c r="AZ15" s="116" cm="1">
        <f t="array" ref="AZ15">_xll.EQNXTDZ($A$1,$B15,AZ$1)</f>
        <v>264.55</v>
      </c>
      <c r="BA15" s="116" cm="1">
        <f t="array" ref="BA15">_xll.EQNXTDZ($A$1,$B15,BA$1)</f>
        <v>250.1</v>
      </c>
      <c r="BB15" s="116" cm="1">
        <f t="array" ref="BB15">_xll.EQNXTDZ($A$1,$B15,BB$1)</f>
        <v>244.05</v>
      </c>
      <c r="BC15" s="116" cm="1">
        <f t="array" ref="BC15">_xll.EQNXTDZ($A$1,$B15,BC$1)</f>
        <v>250.8</v>
      </c>
      <c r="BD15" s="116" cm="1">
        <f t="array" ref="BD15">_xll.EQNXTDZ($A$1,$B15,BD$1)</f>
        <v>225</v>
      </c>
      <c r="BE15" s="116" cm="1">
        <f t="array" ref="BE15">_xll.EQNXTDZ($A$1,$B15,BE$1)</f>
        <v>235</v>
      </c>
      <c r="BF15" s="116" cm="1">
        <f t="array" ref="BF15">_xll.EQNXTDZ($A$1,$B15,BF$1)</f>
        <v>237.4</v>
      </c>
      <c r="BG15" s="116" cm="1">
        <f t="array" ref="BG15">_xll.EQNXTDZ($A$1,$B15,BG$1)</f>
        <v>253</v>
      </c>
      <c r="BH15" s="116" cm="1">
        <f t="array" ref="BH15">_xll.EQNXTDZ($A$1,$B15,BH$1)</f>
        <v>236</v>
      </c>
      <c r="BI15" s="116" cm="1">
        <f t="array" ref="BI15">_xll.EQNXTDZ($A$1,$B15,BI$1)</f>
        <v>271.10000000000002</v>
      </c>
      <c r="BJ15" s="116" cm="1">
        <f t="array" ref="BJ15">_xll.EQNXTDZ($A$1,$B15,BJ$1)</f>
        <v>250</v>
      </c>
      <c r="BK15" s="116" cm="1">
        <f t="array" ref="BK15">_xll.EQNXTDZ($A$1,$B15,BK$1)</f>
        <v>256.10000000000002</v>
      </c>
      <c r="BL15" s="116" cm="1">
        <f t="array" ref="BL15">_xll.EQNXTDZ($A$1,$B15,BL$1)</f>
        <v>250.65</v>
      </c>
      <c r="BM15" s="116" cm="1">
        <f t="array" ref="BM15">_xll.EQNXTDZ($A$1,$B15,BM$1)</f>
        <v>240</v>
      </c>
      <c r="BN15" s="116" cm="1">
        <f t="array" ref="BN15">_xll.EQNXTDZ($A$1,$B15,BN$1)</f>
        <v>189.45</v>
      </c>
      <c r="BO15" s="116" cm="1">
        <f t="array" ref="BO15">_xll.EQNXTDZ($A$1,$B15,BO$1)</f>
        <v>184</v>
      </c>
      <c r="BP15" s="116" cm="1">
        <f t="array" ref="BP15">_xll.EQNXTDZ($A$1,$B15,BP$1)</f>
        <v>177</v>
      </c>
      <c r="BQ15" s="116" cm="1">
        <f t="array" ref="BQ15">_xll.EQNXTDZ($A$1,$B15,BQ$1)</f>
        <v>180.1</v>
      </c>
      <c r="BR15" s="116" cm="1">
        <f t="array" ref="BR15">_xll.EQNXTDZ($A$1,$B15,BR$1)</f>
        <v>171.65</v>
      </c>
      <c r="BS15" s="116" cm="1">
        <f t="array" ref="BS15">_xll.EQNXTDZ($A$1,$B15,BS$1)</f>
        <v>138.19999999999999</v>
      </c>
      <c r="BT15" s="116" cm="1">
        <f t="array" ref="BT15">_xll.EQNXTDZ($A$1,$B15,BT$1)</f>
        <v>118.2</v>
      </c>
      <c r="BU15" s="116" cm="1">
        <f t="array" ref="BU15">_xll.EQNXTDZ($A$1,$B15,BU$1)</f>
        <v>120.05</v>
      </c>
      <c r="BV15" s="116" cm="1">
        <f t="array" ref="BV15">_xll.EQNXTDZ($A$1,$B15,BV$1)</f>
        <v>102</v>
      </c>
      <c r="BW15" s="116" cm="1">
        <f t="array" ref="BW15">_xll.EQNXTDZ($A$1,$B15,BW$1)</f>
        <v>77.8</v>
      </c>
      <c r="BX15" s="116" cm="1">
        <f t="array" ref="BX15">_xll.EQNXTDZ($A$1,$B15,BX$1)</f>
        <v>67</v>
      </c>
      <c r="BY15" s="116" cm="1">
        <f t="array" ref="BY15">_xll.EQNXTDZ($A$1,$B15,BY$1)</f>
        <v>79.25</v>
      </c>
      <c r="BZ15" s="116" cm="1">
        <f t="array" ref="BZ15">_xll.EQNXTDZ($A$1,$B15,BZ$1)</f>
        <v>60.2</v>
      </c>
      <c r="CA15" s="116" cm="1">
        <f t="array" ref="CA15">_xll.EQNXTDZ($A$1,$B15,CA$1)</f>
        <v>54</v>
      </c>
      <c r="CB15" s="116" cm="1">
        <f t="array" ref="CB15">_xll.EQNXTDZ($A$1,$B15,CB$1)</f>
        <v>67</v>
      </c>
      <c r="CC15" s="116" cm="1">
        <f t="array" ref="CC15">_xll.EQNXTDZ($A$1,$B15,CC$1)</f>
        <v>66.099999999999994</v>
      </c>
      <c r="CD15" s="116" cm="1">
        <f t="array" ref="CD15">_xll.EQNXTDZ($A$1,$B15,CD$1)</f>
        <v>58.35</v>
      </c>
      <c r="CE15" s="116" cm="1">
        <f t="array" ref="CE15">_xll.EQNXTDZ($A$1,$B15,CE$1)</f>
        <v>53.7</v>
      </c>
      <c r="CF15" s="116" cm="1">
        <f t="array" ref="CF15">_xll.EQNXTDZ($A$1,$B15,CF$1)</f>
        <v>56.5</v>
      </c>
      <c r="CG15" s="116" cm="1">
        <f t="array" ref="CG15">_xll.EQNXTDZ($A$1,$B15,CG$1)</f>
        <v>59.5</v>
      </c>
      <c r="CH15" s="116" cm="1">
        <f t="array" ref="CH15">_xll.EQNXTDZ($A$1,$B15,CH$1)</f>
        <v>50.1</v>
      </c>
      <c r="CI15" s="116" cm="1">
        <f t="array" ref="CI15">_xll.EQNXTDZ($A$1,$B15,CI$1)</f>
        <v>50.05</v>
      </c>
      <c r="CJ15" s="116" cm="1">
        <f t="array" ref="CJ15">_xll.EQNXTDZ($A$1,$B15,CJ$1)</f>
        <v>39.85</v>
      </c>
      <c r="CK15" s="116" cm="1">
        <f t="array" ref="CK15">_xll.EQNXTDZ($A$1,$B15,CK$1)</f>
        <v>32.15</v>
      </c>
      <c r="CL15" s="116" cm="1">
        <f t="array" ref="CL15">_xll.EQNXTDZ($A$1,$B15,CL$1)</f>
        <v>33.799999999999997</v>
      </c>
      <c r="CM15" s="116" cm="1">
        <f t="array" ref="CM15">_xll.EQNXTDZ($A$1,$B15,CM$1)</f>
        <v>35.799999999999997</v>
      </c>
      <c r="CN15" s="116" cm="1">
        <f t="array" ref="CN15">_xll.EQNXTDZ($A$1,$B15,CN$1)</f>
        <v>40.049999999999997</v>
      </c>
      <c r="CO15" s="116" cm="1">
        <f t="array" ref="CO15">_xll.EQNXTDZ($A$1,$B15,CO$1)</f>
        <v>55</v>
      </c>
      <c r="CP15" s="116" cm="1">
        <f t="array" ref="CP15">_xll.EQNXTDZ($A$1,$B15,CP$1)</f>
        <v>56.65</v>
      </c>
      <c r="CQ15" s="116" cm="1">
        <f t="array" ref="CQ15">_xll.EQNXTDZ($A$1,$B15,CQ$1)</f>
        <v>49.7</v>
      </c>
      <c r="CR15" s="116" cm="1">
        <f t="array" ref="CR15">_xll.EQNXTDZ($A$1,$B15,CR$1)</f>
        <v>33.6</v>
      </c>
      <c r="CS15" s="116" cm="1">
        <f t="array" ref="CS15">_xll.EQNXTDZ($A$1,$B15,CS$1)</f>
        <v>34.549999999999997</v>
      </c>
      <c r="CT15" s="116" cm="1">
        <f t="array" ref="CT15">_xll.EQNXTDZ($A$1,$B15,CT$1)</f>
        <v>36.9</v>
      </c>
      <c r="CU15" s="116" cm="1">
        <f t="array" ref="CU15">_xll.EQNXTDZ($A$1,$B15,CU$1)</f>
        <v>37.450000000000003</v>
      </c>
      <c r="CV15" s="116" cm="1">
        <f t="array" ref="CV15">_xll.EQNXTDZ($A$1,$B15,CV$1)</f>
        <v>45</v>
      </c>
      <c r="CW15" s="116" cm="1">
        <f t="array" ref="CW15">_xll.EQNXTDZ($A$1,$B15,CW$1)</f>
        <v>46</v>
      </c>
      <c r="CX15" s="116" cm="1">
        <f t="array" ref="CX15">_xll.EQNXTDZ($A$1,$B15,CX$1)</f>
        <v>45.1</v>
      </c>
      <c r="CY15" s="116" cm="1">
        <f t="array" ref="CY15">_xll.EQNXTDZ($A$1,$B15,CY$1)</f>
        <v>45.95</v>
      </c>
      <c r="CZ15" s="116" cm="1">
        <f t="array" ref="CZ15">_xll.EQNXTDZ($A$1,$B15,CZ$1)</f>
        <v>47.05</v>
      </c>
      <c r="DA15" s="116" cm="1">
        <f t="array" ref="DA15">_xll.EQNXTDZ($A$1,$B15,DA$1)</f>
        <v>54.1</v>
      </c>
      <c r="DB15" s="116" cm="1">
        <f t="array" ref="DB15">_xll.EQNXTDZ($A$1,$B15,DB$1)</f>
        <v>75.55</v>
      </c>
      <c r="DC15" s="116" cm="1">
        <f t="array" ref="DC15">_xll.EQNXTDZ($A$1,$B15,DC$1)</f>
        <v>72.5</v>
      </c>
      <c r="DD15" s="116" cm="1">
        <f t="array" ref="DD15">_xll.EQNXTDZ($A$1,$B15,DD$1)</f>
        <v>70.349999999999994</v>
      </c>
      <c r="DE15" s="116" cm="1">
        <f t="array" ref="DE15">_xll.EQNXTDZ($A$1,$B15,DE$1)</f>
        <v>73.55</v>
      </c>
      <c r="DF15" s="116" cm="1">
        <f t="array" ref="DF15">_xll.EQNXTDZ($A$1,$B15,DF$1)</f>
        <v>77.5</v>
      </c>
      <c r="DG15" s="116" cm="1">
        <f t="array" ref="DG15">_xll.EQNXTDZ($A$1,$B15,DG$1)</f>
        <v>96.1</v>
      </c>
      <c r="DH15" s="116" cm="1">
        <f t="array" ref="DH15">_xll.EQNXTDZ($A$1,$B15,DH$1)</f>
        <v>101.6</v>
      </c>
      <c r="DI15" s="116" cm="1">
        <f t="array" ref="DI15">_xll.EQNXTDZ($A$1,$B15,DI$1)</f>
        <v>123.1</v>
      </c>
      <c r="DJ15" s="116" cm="1">
        <f t="array" ref="DJ15">_xll.EQNXTDZ($A$1,$B15,DJ$1)</f>
        <v>127.55</v>
      </c>
      <c r="DK15" s="116" cm="1">
        <f t="array" ref="DK15">_xll.EQNXTDZ($A$1,$B15,DK$1)</f>
        <v>166.75</v>
      </c>
      <c r="DL15" s="116" cm="1">
        <f t="array" ref="DL15">_xll.EQNXTDZ($A$1,$B15,DL$1)</f>
        <v>232.85</v>
      </c>
      <c r="DM15" s="116" cm="1">
        <f t="array" ref="DM15">_xll.EQNXTDZ($A$1,$B15,DM$1)</f>
        <v>233</v>
      </c>
      <c r="DN15" s="116" cm="1">
        <f t="array" ref="DN15">_xll.EQNXTDZ($A$1,$B15,DN$1)</f>
        <v>348</v>
      </c>
      <c r="DO15" s="116" cm="1">
        <f t="array" ref="DO15">_xll.EQNXTDZ($A$1,$B15,DO$1)</f>
        <v>282.95</v>
      </c>
      <c r="DP15" s="116" cm="1">
        <f t="array" ref="DP15">_xll.EQNXTDZ($A$1,$B15,DP$1)</f>
        <v>257.25</v>
      </c>
      <c r="DQ15" s="116" cm="1">
        <f t="array" ref="DQ15">_xll.EQNXTDZ($A$1,$B15,DQ$1)</f>
        <v>255</v>
      </c>
      <c r="DR15" s="116" cm="1">
        <f t="array" ref="DR15">_xll.EQNXTDZ($A$1,$B15,DR$1)</f>
        <v>237</v>
      </c>
      <c r="DS15" s="116" cm="1">
        <f t="array" ref="DS15">_xll.EQNXTDZ($A$1,$B15,DS$1)</f>
        <v>255</v>
      </c>
      <c r="DT15" s="116" cm="1">
        <f t="array" ref="DT15">_xll.EQNXTDZ($A$1,$B15,DT$1)</f>
        <v>261.64999999999998</v>
      </c>
      <c r="DU15" s="116" cm="1">
        <f t="array" ref="DU15">_xll.EQNXTDZ($A$1,$B15,DU$1)</f>
        <v>252.1</v>
      </c>
      <c r="DV15" s="116" cm="1">
        <f t="array" ref="DV15">_xll.EQNXTDZ($A$1,$B15,DV$1)</f>
        <v>272</v>
      </c>
      <c r="DW15" s="116" cm="1">
        <f t="array" ref="DW15">_xll.EQNXTDZ($A$1,$B15,DW$1)</f>
        <v>254.3</v>
      </c>
      <c r="DX15" s="116" cm="1">
        <f t="array" ref="DX15">_xll.EQNXTDZ($A$1,$B15,DX$1)</f>
        <v>245.05</v>
      </c>
      <c r="DY15" s="116" cm="1">
        <f t="array" ref="DY15">_xll.EQNXTDZ($A$1,$B15,DY$1)</f>
        <v>215</v>
      </c>
      <c r="DZ15" s="116" cm="1">
        <f t="array" ref="DZ15">_xll.EQNXTDZ($A$1,$B15,DZ$1)</f>
        <v>185</v>
      </c>
      <c r="EA15" s="116" cm="1">
        <f t="array" ref="EA15">_xll.EQNXTDZ($A$1,$B15,EA$1)</f>
        <v>194.2</v>
      </c>
      <c r="EB15" s="116" cm="1">
        <f t="array" ref="EB15">_xll.EQNXTDZ($A$1,$B15,EB$1)</f>
        <v>210.2</v>
      </c>
      <c r="EC15" s="116" cm="1">
        <f t="array" ref="EC15">_xll.EQNXTDZ($A$1,$B15,EC$1)</f>
        <v>218</v>
      </c>
      <c r="ED15" s="116" cm="1">
        <f t="array" ref="ED15">_xll.EQNXTDZ($A$1,$B15,ED$1)</f>
        <v>226</v>
      </c>
      <c r="EE15" s="116" cm="1">
        <f t="array" ref="EE15">_xll.EQNXTDZ($A$1,$B15,EE$1)</f>
        <v>230.15</v>
      </c>
      <c r="EF15" s="116" cm="1">
        <f t="array" ref="EF15">_xll.EQNXTDZ($A$1,$B15,EF$1)</f>
        <v>290.25</v>
      </c>
      <c r="EG15" s="116" cm="1">
        <f t="array" ref="EG15">_xll.EQNXTDZ($A$1,$B15,EG$1)</f>
        <v>308</v>
      </c>
      <c r="EH15" s="116" cm="1">
        <f t="array" ref="EH15">_xll.EQNXTDZ($A$1,$B15,EH$1)</f>
        <v>319.7</v>
      </c>
      <c r="EI15" s="116" cm="1">
        <f t="array" ref="EI15">_xll.EQNXTDZ($A$1,$B15,EI$1)</f>
        <v>274.45</v>
      </c>
      <c r="EJ15" s="116" cm="1">
        <f t="array" ref="EJ15">_xll.EQNXTDZ($A$1,$B15,EJ$1)</f>
        <v>293.60000000000002</v>
      </c>
      <c r="EK15" s="116" cm="1">
        <f t="array" ref="EK15">_xll.EQNXTDZ($A$1,$B15,EK$1)</f>
        <v>311.64999999999998</v>
      </c>
      <c r="EL15" s="116" cm="1">
        <f t="array" ref="EL15">_xll.EQNXTDZ($A$1,$B15,EL$1)</f>
        <v>403.6</v>
      </c>
      <c r="EM15" s="116" cm="1">
        <f t="array" ref="EM15">_xll.EQNXTDZ($A$1,$B15,EM$1)</f>
        <v>463.55</v>
      </c>
      <c r="EN15" s="116" cm="1">
        <f t="array" ref="EN15">_xll.EQNXTDZ($A$1,$B15,EN$1)</f>
        <v>360</v>
      </c>
      <c r="EO15" s="116" cm="1">
        <f t="array" ref="EO15">_xll.EQNXTDZ($A$1,$B15,EO$1)</f>
        <v>410</v>
      </c>
      <c r="EP15" s="116" cm="1">
        <f t="array" ref="EP15">_xll.EQNXTDZ($A$1,$B15,EP$1)</f>
        <v>357.35</v>
      </c>
      <c r="EQ15" s="116" cm="1">
        <f t="array" ref="EQ15">_xll.EQNXTDZ($A$1,$B15,EQ$1)</f>
        <v>319.85000000000002</v>
      </c>
      <c r="ER15" s="116" cm="1">
        <f t="array" ref="ER15">_xll.EQNXTDZ($A$1,$B15,ER$1)</f>
        <v>383.5</v>
      </c>
      <c r="ES15" s="116" cm="1">
        <f t="array" ref="ES15">_xll.EQNXTDZ($A$1,$B15,ES$1)</f>
        <v>360.9</v>
      </c>
      <c r="ET15" s="116" cm="1">
        <f t="array" ref="ET15">_xll.EQNXTDZ($A$1,$B15,ET$1)</f>
        <v>393.05</v>
      </c>
      <c r="EU15" s="116" cm="1">
        <f t="array" ref="EU15">_xll.EQNXTDZ($A$1,$B15,EU$1)</f>
        <v>373.2</v>
      </c>
      <c r="EV15" s="116" cm="1">
        <f t="array" ref="EV15">_xll.EQNXTDZ($A$1,$B15,EV$1)</f>
        <v>350</v>
      </c>
      <c r="EW15" s="116" cm="1">
        <f t="array" ref="EW15">_xll.EQNXTDZ($A$1,$B15,EW$1)</f>
        <v>364.25</v>
      </c>
      <c r="EX15" s="116" cm="1">
        <f t="array" ref="EX15">_xll.EQNXTDZ($A$1,$B15,EX$1)</f>
        <v>369.25</v>
      </c>
      <c r="EY15" s="116" cm="1">
        <f t="array" ref="EY15">_xll.EQNXTDZ($A$1,$B15,EY$1)</f>
        <v>300.05</v>
      </c>
      <c r="EZ15" s="116" cm="1">
        <f t="array" ref="EZ15">_xll.EQNXTDZ($A$1,$B15,EZ$1)</f>
        <v>295.25</v>
      </c>
      <c r="FA15" s="116" cm="1">
        <f t="array" ref="FA15">_xll.EQNXTDZ($A$1,$B15,FA$1)</f>
        <v>367.8</v>
      </c>
      <c r="FB15" s="116" cm="1">
        <f t="array" ref="FB15">_xll.EQNXTDZ($A$1,$B15,FB$1)</f>
        <v>380.25</v>
      </c>
      <c r="FC15" s="116" cm="1">
        <f t="array" ref="FC15">_xll.EQNXTDZ($A$1,$B15,FC$1)</f>
        <v>397.5</v>
      </c>
      <c r="FD15" s="116" cm="1">
        <f t="array" ref="FD15">_xll.EQNXTDZ($A$1,$B15,FD$1)</f>
        <v>405.1</v>
      </c>
      <c r="FE15" s="116" cm="1">
        <f t="array" ref="FE15">_xll.EQNXTDZ($A$1,$B15,FE$1)</f>
        <v>340.9</v>
      </c>
      <c r="FF15" s="116" cm="1">
        <f t="array" ref="FF15">_xll.EQNXTDZ($A$1,$B15,FF$1)</f>
        <v>360</v>
      </c>
      <c r="FG15" s="116" cm="1">
        <f t="array" ref="FG15">_xll.EQNXTDZ($A$1,$B15,FG$1)</f>
        <v>391.5</v>
      </c>
      <c r="FH15" s="116" cm="1">
        <f t="array" ref="FH15">_xll.EQNXTDZ($A$1,$B15,FH$1)</f>
        <v>422.4</v>
      </c>
      <c r="FI15" s="116" cm="1">
        <f t="array" ref="FI15">_xll.EQNXTDZ($A$1,$B15,FI$1)</f>
        <v>418.35</v>
      </c>
      <c r="FJ15" s="116" cm="1">
        <f t="array" ref="FJ15">_xll.EQNXTDZ($A$1,$B15,FJ$1)</f>
        <v>413</v>
      </c>
      <c r="FK15" s="116" cm="1">
        <f t="array" ref="FK15">_xll.EQNXTDZ($A$1,$B15,FK$1)</f>
        <v>437.45</v>
      </c>
      <c r="FL15" s="116" cm="1">
        <f t="array" ref="FL15">_xll.EQNXTDZ($A$1,$B15,FL$1)</f>
        <v>411.35</v>
      </c>
      <c r="FM15" s="116" cm="1">
        <f t="array" ref="FM15">_xll.EQNXTDZ($A$1,$B15,FM$1)</f>
        <v>415.7</v>
      </c>
      <c r="FN15" s="116" cm="1">
        <f t="array" ref="FN15">_xll.EQNXTDZ($A$1,$B15,FN$1)</f>
        <v>470.4</v>
      </c>
      <c r="FO15" s="116" cm="1">
        <f t="array" ref="FO15">_xll.EQNXTDZ($A$1,$B15,FO$1)</f>
        <v>487.15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42.2</v>
      </c>
      <c r="HQ15" s="116">
        <f>+MIN(G15:I15)</f>
        <v>49.15</v>
      </c>
      <c r="HR15" s="116">
        <f>+MIN(J15:L15)</f>
        <v>33</v>
      </c>
      <c r="HS15" s="116">
        <f>+MIN(M15:O15)</f>
        <v>34</v>
      </c>
      <c r="HT15" s="116">
        <f>+MIN(P15:R15)</f>
        <v>26</v>
      </c>
      <c r="HU15" s="116">
        <f>+MIN(S15:U15)</f>
        <v>28.05</v>
      </c>
      <c r="HV15" s="116">
        <f>+MIN(V15:X15)</f>
        <v>31.3</v>
      </c>
      <c r="HW15" s="116">
        <f>+MIN(Y15:AA15)</f>
        <v>33.65</v>
      </c>
      <c r="HX15" s="116">
        <f>+MIN(AB15:AD15)</f>
        <v>53.1</v>
      </c>
      <c r="HY15" s="116">
        <f>+MIN(AE15:AG15)</f>
        <v>69.650000000000006</v>
      </c>
      <c r="HZ15" s="116">
        <f>+MIN(AH15:AJ15)</f>
        <v>68</v>
      </c>
      <c r="IA15" s="116">
        <f>+MIN(AK15:AM15)</f>
        <v>71.5</v>
      </c>
      <c r="IB15" s="116">
        <f>+MIN(AN15:AP15)</f>
        <v>150</v>
      </c>
      <c r="IC15" s="116">
        <f>+MIN(AQ15:AS15)</f>
        <v>239.3</v>
      </c>
      <c r="ID15" s="116">
        <f>+MIN(AT15:AV15)</f>
        <v>238.5</v>
      </c>
      <c r="IE15" s="116">
        <f>+MIN(AW15:AY15)</f>
        <v>246.3</v>
      </c>
      <c r="IF15" s="116">
        <f>+MIN(AZ15:BB15)</f>
        <v>244.05</v>
      </c>
      <c r="IG15" s="116">
        <f>+MIN(BC15:BE15)</f>
        <v>225</v>
      </c>
      <c r="IH15" s="116">
        <f>+MIN(BF15:BH15)</f>
        <v>236</v>
      </c>
      <c r="II15" s="116">
        <f>+MIN(BI15:BK15)</f>
        <v>250</v>
      </c>
      <c r="IJ15" s="116">
        <f>+MIN(BL15:BN15)</f>
        <v>189.45</v>
      </c>
      <c r="IK15" s="116">
        <f>+MIN(BO15:BQ15)</f>
        <v>177</v>
      </c>
      <c r="IL15" s="116">
        <f>+MIN(BR15:BT15)</f>
        <v>118.2</v>
      </c>
      <c r="IM15" s="116">
        <f>+MIN(BU15:BW15)</f>
        <v>77.8</v>
      </c>
      <c r="IN15" s="116">
        <f>+MIN(BX15:BZ15)</f>
        <v>60.2</v>
      </c>
      <c r="IO15" s="116">
        <f>+MIN(CA15:CC15)</f>
        <v>54</v>
      </c>
      <c r="IP15" s="116">
        <f>+MIN(CD15:CF15)</f>
        <v>53.7</v>
      </c>
      <c r="IQ15" s="116">
        <f>+MIN(CG15:CI15)</f>
        <v>50.05</v>
      </c>
      <c r="IR15" s="116">
        <f>+MIN(CJ15:CL15)</f>
        <v>32.15</v>
      </c>
      <c r="IS15" s="116">
        <f>+MIN(CM15:CO15)</f>
        <v>35.799999999999997</v>
      </c>
      <c r="IT15" s="116">
        <f>+MIN(CP15:CR15)</f>
        <v>33.6</v>
      </c>
      <c r="IU15" s="116">
        <f>+MIN(CS15:CU15)</f>
        <v>34.549999999999997</v>
      </c>
      <c r="IV15" s="116">
        <f>+MIN(CV15:CX15)</f>
        <v>45</v>
      </c>
      <c r="IW15" s="116">
        <f>+MIN(CY15:DA15)</f>
        <v>45.95</v>
      </c>
      <c r="IX15" s="116">
        <f>+MIN(DB15:DD15)</f>
        <v>70.349999999999994</v>
      </c>
      <c r="IY15" s="116">
        <f>+MIN(DE15:DG15)</f>
        <v>73.55</v>
      </c>
      <c r="IZ15" s="116">
        <f>+MIN(DH15:DJ15)</f>
        <v>101.6</v>
      </c>
      <c r="JA15" s="116">
        <f>+MIN(DK15:DM15)</f>
        <v>166.75</v>
      </c>
      <c r="JB15" s="116">
        <f>+MIN(DN15:DP15)</f>
        <v>257.25</v>
      </c>
      <c r="JC15" s="116">
        <f>+MIN(DQ15:DS15)</f>
        <v>237</v>
      </c>
      <c r="JD15" s="116">
        <f>+MIN(DT15:DV15)</f>
        <v>252.1</v>
      </c>
      <c r="JE15" s="116">
        <f>+MIN(DW15:DY15)</f>
        <v>215</v>
      </c>
      <c r="JF15" s="116">
        <f>+MIN(DZ15:EB15)</f>
        <v>185</v>
      </c>
      <c r="JG15" s="116">
        <f>+MIN(EC15:EE15)</f>
        <v>218</v>
      </c>
      <c r="JH15" s="116">
        <f>+MIN(EF15:EH15)</f>
        <v>290.25</v>
      </c>
      <c r="JI15" s="116">
        <f>+MIN(EI15:EK15)</f>
        <v>274.45</v>
      </c>
      <c r="JJ15" s="116">
        <f>+MIN(EL15:EN15)</f>
        <v>360</v>
      </c>
      <c r="JK15" s="116">
        <f>MIN(EO15:EQ15)</f>
        <v>319.85000000000002</v>
      </c>
      <c r="JL15" s="116">
        <f>MIN(ER15:ET15)</f>
        <v>360.9</v>
      </c>
      <c r="JM15" s="116">
        <f>MIN(EU15:EW15)</f>
        <v>350</v>
      </c>
      <c r="JN15" s="116">
        <f>MIN(EX15:EZ15)</f>
        <v>295.25</v>
      </c>
      <c r="JO15" s="116">
        <f>MIN(FA15:FC15)</f>
        <v>367.8</v>
      </c>
      <c r="JP15" s="116">
        <f>MIN(FD15:FF15)</f>
        <v>340.9</v>
      </c>
      <c r="JQ15" s="116">
        <f>MIN(FG15:FI15)</f>
        <v>391.5</v>
      </c>
      <c r="JR15" s="116">
        <f>MIN(FJ15:FL15)</f>
        <v>411.35</v>
      </c>
      <c r="JS15" s="116">
        <f>MIN(FM15:FO15)</f>
        <v>415.7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36</v>
      </c>
      <c r="B16" s="116" t="s">
        <v>335</v>
      </c>
      <c r="C16" s="116" cm="1">
        <f t="array" ref="C16">_xll.EQNXTDZ($A$1,$B16,C$1)</f>
        <v>47.85</v>
      </c>
      <c r="D16" s="116" cm="1">
        <f t="array" ref="D16">_xll.EQNXTDZ($A$1,$B16,D$1)</f>
        <v>46.1</v>
      </c>
      <c r="E16" s="116" cm="1">
        <f t="array" ref="E16">_xll.EQNXTDZ($A$1,$B16,E$1)</f>
        <v>55.4</v>
      </c>
      <c r="F16" s="116" cm="1">
        <f t="array" ref="F16">_xll.EQNXTDZ($A$1,$B16,F$1)</f>
        <v>55.75</v>
      </c>
      <c r="G16" s="116" cm="1">
        <f t="array" ref="G16">_xll.EQNXTDZ($A$1,$B16,G$1)</f>
        <v>59.85</v>
      </c>
      <c r="H16" s="116" cm="1">
        <f t="array" ref="H16">_xll.EQNXTDZ($A$1,$B16,H$1)</f>
        <v>58.2</v>
      </c>
      <c r="I16" s="116" cm="1">
        <f t="array" ref="I16">_xll.EQNXTDZ($A$1,$B16,I$1)</f>
        <v>51</v>
      </c>
      <c r="J16" s="116" cm="1">
        <f t="array" ref="J16">_xll.EQNXTDZ($A$1,$B16,J$1)</f>
        <v>53.4</v>
      </c>
      <c r="K16" s="116" cm="1">
        <f t="array" ref="K16">_xll.EQNXTDZ($A$1,$B16,K$1)</f>
        <v>39.4</v>
      </c>
      <c r="L16" s="116" cm="1">
        <f t="array" ref="L16">_xll.EQNXTDZ($A$1,$B16,L$1)</f>
        <v>34</v>
      </c>
      <c r="M16" s="116" cm="1">
        <f t="array" ref="M16">_xll.EQNXTDZ($A$1,$B16,M$1)</f>
        <v>40.15</v>
      </c>
      <c r="N16" s="116" cm="1">
        <f t="array" ref="N16">_xll.EQNXTDZ($A$1,$B16,N$1)</f>
        <v>44.85</v>
      </c>
      <c r="O16" s="116" cm="1">
        <f t="array" ref="O16">_xll.EQNXTDZ($A$1,$B16,O$1)</f>
        <v>41.25</v>
      </c>
      <c r="P16" s="116" cm="1">
        <f t="array" ref="P16">_xll.EQNXTDZ($A$1,$B16,P$1)</f>
        <v>28.3</v>
      </c>
      <c r="Q16" s="116" cm="1">
        <f t="array" ref="Q16">_xll.EQNXTDZ($A$1,$B16,Q$1)</f>
        <v>30.75</v>
      </c>
      <c r="R16" s="116" cm="1">
        <f t="array" ref="R16">_xll.EQNXTDZ($A$1,$B16,R$1)</f>
        <v>28.05</v>
      </c>
      <c r="S16" s="116" cm="1">
        <f t="array" ref="S16">_xll.EQNXTDZ($A$1,$B16,S$1)</f>
        <v>31.75</v>
      </c>
      <c r="T16" s="116" cm="1">
        <f t="array" ref="T16">_xll.EQNXTDZ($A$1,$B16,T$1)</f>
        <v>34.549999999999997</v>
      </c>
      <c r="U16" s="116" cm="1">
        <f t="array" ref="U16">_xll.EQNXTDZ($A$1,$B16,U$1)</f>
        <v>35.85</v>
      </c>
      <c r="V16" s="116" cm="1">
        <f t="array" ref="V16">_xll.EQNXTDZ($A$1,$B16,V$1)</f>
        <v>35.049999999999997</v>
      </c>
      <c r="W16" s="116" cm="1">
        <f t="array" ref="W16">_xll.EQNXTDZ($A$1,$B16,W$1)</f>
        <v>33.299999999999997</v>
      </c>
      <c r="X16" s="116" cm="1">
        <f t="array" ref="X16">_xll.EQNXTDZ($A$1,$B16,X$1)</f>
        <v>35.1</v>
      </c>
      <c r="Y16" s="116" cm="1">
        <f t="array" ref="Y16">_xll.EQNXTDZ($A$1,$B16,Y$1)</f>
        <v>38.25</v>
      </c>
      <c r="Z16" s="116" cm="1">
        <f t="array" ref="Z16">_xll.EQNXTDZ($A$1,$B16,Z$1)</f>
        <v>38.25</v>
      </c>
      <c r="AA16" s="116" cm="1">
        <f t="array" ref="AA16">_xll.EQNXTDZ($A$1,$B16,AA$1)</f>
        <v>54.8</v>
      </c>
      <c r="AB16" s="116" cm="1">
        <f t="array" ref="AB16">_xll.EQNXTDZ($A$1,$B16,AB$1)</f>
        <v>79.55</v>
      </c>
      <c r="AC16" s="116" cm="1">
        <f t="array" ref="AC16">_xll.EQNXTDZ($A$1,$B16,AC$1)</f>
        <v>72.05</v>
      </c>
      <c r="AD16" s="116" cm="1">
        <f t="array" ref="AD16">_xll.EQNXTDZ($A$1,$B16,AD$1)</f>
        <v>82.8</v>
      </c>
      <c r="AE16" s="116" cm="1">
        <f t="array" ref="AE16">_xll.EQNXTDZ($A$1,$B16,AE$1)</f>
        <v>83.25</v>
      </c>
      <c r="AF16" s="116" cm="1">
        <f t="array" ref="AF16">_xll.EQNXTDZ($A$1,$B16,AF$1)</f>
        <v>82.75</v>
      </c>
      <c r="AG16" s="116" cm="1">
        <f t="array" ref="AG16">_xll.EQNXTDZ($A$1,$B16,AG$1)</f>
        <v>77.3</v>
      </c>
      <c r="AH16" s="116" cm="1">
        <f t="array" ref="AH16">_xll.EQNXTDZ($A$1,$B16,AH$1)</f>
        <v>80.7</v>
      </c>
      <c r="AI16" s="116" cm="1">
        <f t="array" ref="AI16">_xll.EQNXTDZ($A$1,$B16,AI$1)</f>
        <v>74.7</v>
      </c>
      <c r="AJ16" s="116" cm="1">
        <f t="array" ref="AJ16">_xll.EQNXTDZ($A$1,$B16,AJ$1)</f>
        <v>78.150000000000006</v>
      </c>
      <c r="AK16" s="116" cm="1">
        <f t="array" ref="AK16">_xll.EQNXTDZ($A$1,$B16,AK$1)</f>
        <v>84.8</v>
      </c>
      <c r="AL16" s="116" cm="1">
        <f t="array" ref="AL16">_xll.EQNXTDZ($A$1,$B16,AL$1)</f>
        <v>122.8</v>
      </c>
      <c r="AM16" s="116" cm="1">
        <f t="array" ref="AM16">_xll.EQNXTDZ($A$1,$B16,AM$1)</f>
        <v>149.6</v>
      </c>
      <c r="AN16" s="116" cm="1">
        <f t="array" ref="AN16">_xll.EQNXTDZ($A$1,$B16,AN$1)</f>
        <v>211.9</v>
      </c>
      <c r="AO16" s="116" cm="1">
        <f t="array" ref="AO16">_xll.EQNXTDZ($A$1,$B16,AO$1)</f>
        <v>226.6</v>
      </c>
      <c r="AP16" s="116" cm="1">
        <f t="array" ref="AP16">_xll.EQNXTDZ($A$1,$B16,AP$1)</f>
        <v>263.2</v>
      </c>
      <c r="AQ16" s="116" cm="1">
        <f t="array" ref="AQ16">_xll.EQNXTDZ($A$1,$B16,AQ$1)</f>
        <v>249.9</v>
      </c>
      <c r="AR16" s="116" cm="1">
        <f t="array" ref="AR16">_xll.EQNXTDZ($A$1,$B16,AR$1)</f>
        <v>287.3</v>
      </c>
      <c r="AS16" s="116" cm="1">
        <f t="array" ref="AS16">_xll.EQNXTDZ($A$1,$B16,AS$1)</f>
        <v>306</v>
      </c>
      <c r="AT16" s="116" cm="1">
        <f t="array" ref="AT16">_xll.EQNXTDZ($A$1,$B16,AT$1)</f>
        <v>280.7</v>
      </c>
      <c r="AU16" s="116" cm="1">
        <f t="array" ref="AU16">_xll.EQNXTDZ($A$1,$B16,AU$1)</f>
        <v>247.1</v>
      </c>
      <c r="AV16" s="116" cm="1">
        <f t="array" ref="AV16">_xll.EQNXTDZ($A$1,$B16,AV$1)</f>
        <v>249.1</v>
      </c>
      <c r="AW16" s="116" cm="1">
        <f t="array" ref="AW16">_xll.EQNXTDZ($A$1,$B16,AW$1)</f>
        <v>278.3</v>
      </c>
      <c r="AX16" s="116" cm="1">
        <f t="array" ref="AX16">_xll.EQNXTDZ($A$1,$B16,AX$1)</f>
        <v>276.35000000000002</v>
      </c>
      <c r="AY16" s="116" cm="1">
        <f t="array" ref="AY16">_xll.EQNXTDZ($A$1,$B16,AY$1)</f>
        <v>274.14999999999998</v>
      </c>
      <c r="AZ16" s="116" cm="1">
        <f t="array" ref="AZ16">_xll.EQNXTDZ($A$1,$B16,AZ$1)</f>
        <v>269.95</v>
      </c>
      <c r="BA16" s="116" cm="1">
        <f t="array" ref="BA16">_xll.EQNXTDZ($A$1,$B16,BA$1)</f>
        <v>265.5</v>
      </c>
      <c r="BB16" s="116" cm="1">
        <f t="array" ref="BB16">_xll.EQNXTDZ($A$1,$B16,BB$1)</f>
        <v>252.05</v>
      </c>
      <c r="BC16" s="116" cm="1">
        <f t="array" ref="BC16">_xll.EQNXTDZ($A$1,$B16,BC$1)</f>
        <v>319.8</v>
      </c>
      <c r="BD16" s="116" cm="1">
        <f t="array" ref="BD16">_xll.EQNXTDZ($A$1,$B16,BD$1)</f>
        <v>259.85000000000002</v>
      </c>
      <c r="BE16" s="116" cm="1">
        <f t="array" ref="BE16">_xll.EQNXTDZ($A$1,$B16,BE$1)</f>
        <v>246.5</v>
      </c>
      <c r="BF16" s="116" cm="1">
        <f t="array" ref="BF16">_xll.EQNXTDZ($A$1,$B16,BF$1)</f>
        <v>274.89999999999998</v>
      </c>
      <c r="BG16" s="116" cm="1">
        <f t="array" ref="BG16">_xll.EQNXTDZ($A$1,$B16,BG$1)</f>
        <v>270</v>
      </c>
      <c r="BH16" s="116" cm="1">
        <f t="array" ref="BH16">_xll.EQNXTDZ($A$1,$B16,BH$1)</f>
        <v>276.05</v>
      </c>
      <c r="BI16" s="116" cm="1">
        <f t="array" ref="BI16">_xll.EQNXTDZ($A$1,$B16,BI$1)</f>
        <v>305.2</v>
      </c>
      <c r="BJ16" s="116" cm="1">
        <f t="array" ref="BJ16">_xll.EQNXTDZ($A$1,$B16,BJ$1)</f>
        <v>270.3</v>
      </c>
      <c r="BK16" s="116" cm="1">
        <f t="array" ref="BK16">_xll.EQNXTDZ($A$1,$B16,BK$1)</f>
        <v>262.14999999999998</v>
      </c>
      <c r="BL16" s="116" cm="1">
        <f t="array" ref="BL16">_xll.EQNXTDZ($A$1,$B16,BL$1)</f>
        <v>265.64999999999998</v>
      </c>
      <c r="BM16" s="116" cm="1">
        <f t="array" ref="BM16">_xll.EQNXTDZ($A$1,$B16,BM$1)</f>
        <v>244.1</v>
      </c>
      <c r="BN16" s="116" cm="1">
        <f t="array" ref="BN16">_xll.EQNXTDZ($A$1,$B16,BN$1)</f>
        <v>197.2</v>
      </c>
      <c r="BO16" s="116" cm="1">
        <f t="array" ref="BO16">_xll.EQNXTDZ($A$1,$B16,BO$1)</f>
        <v>193.25</v>
      </c>
      <c r="BP16" s="116" cm="1">
        <f t="array" ref="BP16">_xll.EQNXTDZ($A$1,$B16,BP$1)</f>
        <v>198.65</v>
      </c>
      <c r="BQ16" s="116" cm="1">
        <f t="array" ref="BQ16">_xll.EQNXTDZ($A$1,$B16,BQ$1)</f>
        <v>190.2</v>
      </c>
      <c r="BR16" s="116" cm="1">
        <f t="array" ref="BR16">_xll.EQNXTDZ($A$1,$B16,BR$1)</f>
        <v>173.25</v>
      </c>
      <c r="BS16" s="116" cm="1">
        <f t="array" ref="BS16">_xll.EQNXTDZ($A$1,$B16,BS$1)</f>
        <v>144.9</v>
      </c>
      <c r="BT16" s="116" cm="1">
        <f t="array" ref="BT16">_xll.EQNXTDZ($A$1,$B16,BT$1)</f>
        <v>119.5</v>
      </c>
      <c r="BU16" s="116" cm="1">
        <f t="array" ref="BU16">_xll.EQNXTDZ($A$1,$B16,BU$1)</f>
        <v>129.1</v>
      </c>
      <c r="BV16" s="116" cm="1">
        <f t="array" ref="BV16">_xll.EQNXTDZ($A$1,$B16,BV$1)</f>
        <v>110.8</v>
      </c>
      <c r="BW16" s="116" cm="1">
        <f t="array" ref="BW16">_xll.EQNXTDZ($A$1,$B16,BW$1)</f>
        <v>81.650000000000006</v>
      </c>
      <c r="BX16" s="116" cm="1">
        <f t="array" ref="BX16">_xll.EQNXTDZ($A$1,$B16,BX$1)</f>
        <v>81.099999999999994</v>
      </c>
      <c r="BY16" s="116" cm="1">
        <f t="array" ref="BY16">_xll.EQNXTDZ($A$1,$B16,BY$1)</f>
        <v>82.95</v>
      </c>
      <c r="BZ16" s="116" cm="1">
        <f t="array" ref="BZ16">_xll.EQNXTDZ($A$1,$B16,BZ$1)</f>
        <v>60.3</v>
      </c>
      <c r="CA16" s="116" cm="1">
        <f t="array" ref="CA16">_xll.EQNXTDZ($A$1,$B16,CA$1)</f>
        <v>68.05</v>
      </c>
      <c r="CB16" s="116" cm="1">
        <f t="array" ref="CB16">_xll.EQNXTDZ($A$1,$B16,CB$1)</f>
        <v>75.849999999999994</v>
      </c>
      <c r="CC16" s="116" cm="1">
        <f t="array" ref="CC16">_xll.EQNXTDZ($A$1,$B16,CC$1)</f>
        <v>68.25</v>
      </c>
      <c r="CD16" s="116" cm="1">
        <f t="array" ref="CD16">_xll.EQNXTDZ($A$1,$B16,CD$1)</f>
        <v>59.85</v>
      </c>
      <c r="CE16" s="116" cm="1">
        <f t="array" ref="CE16">_xll.EQNXTDZ($A$1,$B16,CE$1)</f>
        <v>55.7</v>
      </c>
      <c r="CF16" s="116" cm="1">
        <f t="array" ref="CF16">_xll.EQNXTDZ($A$1,$B16,CF$1)</f>
        <v>65.55</v>
      </c>
      <c r="CG16" s="116" cm="1">
        <f t="array" ref="CG16">_xll.EQNXTDZ($A$1,$B16,CG$1)</f>
        <v>60.1</v>
      </c>
      <c r="CH16" s="116" cm="1">
        <f t="array" ref="CH16">_xll.EQNXTDZ($A$1,$B16,CH$1)</f>
        <v>63.7</v>
      </c>
      <c r="CI16" s="116" cm="1">
        <f t="array" ref="CI16">_xll.EQNXTDZ($A$1,$B16,CI$1)</f>
        <v>52.05</v>
      </c>
      <c r="CJ16" s="116" cm="1">
        <f t="array" ref="CJ16">_xll.EQNXTDZ($A$1,$B16,CJ$1)</f>
        <v>40.049999999999997</v>
      </c>
      <c r="CK16" s="116" cm="1">
        <f t="array" ref="CK16">_xll.EQNXTDZ($A$1,$B16,CK$1)</f>
        <v>34.049999999999997</v>
      </c>
      <c r="CL16" s="116" cm="1">
        <f t="array" ref="CL16">_xll.EQNXTDZ($A$1,$B16,CL$1)</f>
        <v>38.450000000000003</v>
      </c>
      <c r="CM16" s="116" cm="1">
        <f t="array" ref="CM16">_xll.EQNXTDZ($A$1,$B16,CM$1)</f>
        <v>39.9</v>
      </c>
      <c r="CN16" s="116" cm="1">
        <f t="array" ref="CN16">_xll.EQNXTDZ($A$1,$B16,CN$1)</f>
        <v>54.05</v>
      </c>
      <c r="CO16" s="116" cm="1">
        <f t="array" ref="CO16">_xll.EQNXTDZ($A$1,$B16,CO$1)</f>
        <v>61</v>
      </c>
      <c r="CP16" s="116" cm="1">
        <f t="array" ref="CP16">_xll.EQNXTDZ($A$1,$B16,CP$1)</f>
        <v>57.15</v>
      </c>
      <c r="CQ16" s="116" cm="1">
        <f t="array" ref="CQ16">_xll.EQNXTDZ($A$1,$B16,CQ$1)</f>
        <v>50.4</v>
      </c>
      <c r="CR16" s="116" cm="1">
        <f t="array" ref="CR16">_xll.EQNXTDZ($A$1,$B16,CR$1)</f>
        <v>35.299999999999997</v>
      </c>
      <c r="CS16" s="116" cm="1">
        <f t="array" ref="CS16">_xll.EQNXTDZ($A$1,$B16,CS$1)</f>
        <v>41.65</v>
      </c>
      <c r="CT16" s="116" cm="1">
        <f t="array" ref="CT16">_xll.EQNXTDZ($A$1,$B16,CT$1)</f>
        <v>38.4</v>
      </c>
      <c r="CU16" s="116" cm="1">
        <f t="array" ref="CU16">_xll.EQNXTDZ($A$1,$B16,CU$1)</f>
        <v>48.8</v>
      </c>
      <c r="CV16" s="116" cm="1">
        <f t="array" ref="CV16">_xll.EQNXTDZ($A$1,$B16,CV$1)</f>
        <v>48.95</v>
      </c>
      <c r="CW16" s="116" cm="1">
        <f t="array" ref="CW16">_xll.EQNXTDZ($A$1,$B16,CW$1)</f>
        <v>52</v>
      </c>
      <c r="CX16" s="116" cm="1">
        <f t="array" ref="CX16">_xll.EQNXTDZ($A$1,$B16,CX$1)</f>
        <v>46.9</v>
      </c>
      <c r="CY16" s="116" cm="1">
        <f t="array" ref="CY16">_xll.EQNXTDZ($A$1,$B16,CY$1)</f>
        <v>49.05</v>
      </c>
      <c r="CZ16" s="116" cm="1">
        <f t="array" ref="CZ16">_xll.EQNXTDZ($A$1,$B16,CZ$1)</f>
        <v>56.5</v>
      </c>
      <c r="DA16" s="116" cm="1">
        <f t="array" ref="DA16">_xll.EQNXTDZ($A$1,$B16,DA$1)</f>
        <v>76.849999999999994</v>
      </c>
      <c r="DB16" s="116" cm="1">
        <f t="array" ref="DB16">_xll.EQNXTDZ($A$1,$B16,DB$1)</f>
        <v>80.900000000000006</v>
      </c>
      <c r="DC16" s="116" cm="1">
        <f t="array" ref="DC16">_xll.EQNXTDZ($A$1,$B16,DC$1)</f>
        <v>73.3</v>
      </c>
      <c r="DD16" s="116" cm="1">
        <f t="array" ref="DD16">_xll.EQNXTDZ($A$1,$B16,DD$1)</f>
        <v>73.55</v>
      </c>
      <c r="DE16" s="116" cm="1">
        <f t="array" ref="DE16">_xll.EQNXTDZ($A$1,$B16,DE$1)</f>
        <v>81</v>
      </c>
      <c r="DF16" s="116" cm="1">
        <f t="array" ref="DF16">_xll.EQNXTDZ($A$1,$B16,DF$1)</f>
        <v>97.7</v>
      </c>
      <c r="DG16" s="116" cm="1">
        <f t="array" ref="DG16">_xll.EQNXTDZ($A$1,$B16,DG$1)</f>
        <v>105.25</v>
      </c>
      <c r="DH16" s="116" cm="1">
        <f t="array" ref="DH16">_xll.EQNXTDZ($A$1,$B16,DH$1)</f>
        <v>129.94999999999999</v>
      </c>
      <c r="DI16" s="116" cm="1">
        <f t="array" ref="DI16">_xll.EQNXTDZ($A$1,$B16,DI$1)</f>
        <v>133.1</v>
      </c>
      <c r="DJ16" s="116" cm="1">
        <f t="array" ref="DJ16">_xll.EQNXTDZ($A$1,$B16,DJ$1)</f>
        <v>166.8</v>
      </c>
      <c r="DK16" s="116" cm="1">
        <f t="array" ref="DK16">_xll.EQNXTDZ($A$1,$B16,DK$1)</f>
        <v>283.3</v>
      </c>
      <c r="DL16" s="116" cm="1">
        <f t="array" ref="DL16">_xll.EQNXTDZ($A$1,$B16,DL$1)</f>
        <v>235.55</v>
      </c>
      <c r="DM16" s="116" cm="1">
        <f t="array" ref="DM16">_xll.EQNXTDZ($A$1,$B16,DM$1)</f>
        <v>348.15</v>
      </c>
      <c r="DN16" s="116" cm="1">
        <f t="array" ref="DN16">_xll.EQNXTDZ($A$1,$B16,DN$1)</f>
        <v>372.7</v>
      </c>
      <c r="DO16" s="116" cm="1">
        <f t="array" ref="DO16">_xll.EQNXTDZ($A$1,$B16,DO$1)</f>
        <v>306.45</v>
      </c>
      <c r="DP16" s="116" cm="1">
        <f t="array" ref="DP16">_xll.EQNXTDZ($A$1,$B16,DP$1)</f>
        <v>258.45</v>
      </c>
      <c r="DQ16" s="116" cm="1">
        <f t="array" ref="DQ16">_xll.EQNXTDZ($A$1,$B16,DQ$1)</f>
        <v>386.45</v>
      </c>
      <c r="DR16" s="116" cm="1">
        <f t="array" ref="DR16">_xll.EQNXTDZ($A$1,$B16,DR$1)</f>
        <v>278.64999999999998</v>
      </c>
      <c r="DS16" s="116" cm="1">
        <f t="array" ref="DS16">_xll.EQNXTDZ($A$1,$B16,DS$1)</f>
        <v>272.2</v>
      </c>
      <c r="DT16" s="116" cm="1">
        <f t="array" ref="DT16">_xll.EQNXTDZ($A$1,$B16,DT$1)</f>
        <v>266.05</v>
      </c>
      <c r="DU16" s="116" cm="1">
        <f t="array" ref="DU16">_xll.EQNXTDZ($A$1,$B16,DU$1)</f>
        <v>325.10000000000002</v>
      </c>
      <c r="DV16" s="116" cm="1">
        <f t="array" ref="DV16">_xll.EQNXTDZ($A$1,$B16,DV$1)</f>
        <v>278.89999999999998</v>
      </c>
      <c r="DW16" s="116" cm="1">
        <f t="array" ref="DW16">_xll.EQNXTDZ($A$1,$B16,DW$1)</f>
        <v>279.89999999999998</v>
      </c>
      <c r="DX16" s="116" cm="1">
        <f t="array" ref="DX16">_xll.EQNXTDZ($A$1,$B16,DX$1)</f>
        <v>263.95</v>
      </c>
      <c r="DY16" s="116" cm="1">
        <f t="array" ref="DY16">_xll.EQNXTDZ($A$1,$B16,DY$1)</f>
        <v>243.65</v>
      </c>
      <c r="DZ16" s="116" cm="1">
        <f t="array" ref="DZ16">_xll.EQNXTDZ($A$1,$B16,DZ$1)</f>
        <v>215.2</v>
      </c>
      <c r="EA16" s="116" cm="1">
        <f t="array" ref="EA16">_xll.EQNXTDZ($A$1,$B16,EA$1)</f>
        <v>215.7</v>
      </c>
      <c r="EB16" s="116" cm="1">
        <f t="array" ref="EB16">_xll.EQNXTDZ($A$1,$B16,EB$1)</f>
        <v>215.4</v>
      </c>
      <c r="EC16" s="116" cm="1">
        <f t="array" ref="EC16">_xll.EQNXTDZ($A$1,$B16,EC$1)</f>
        <v>272.3</v>
      </c>
      <c r="ED16" s="116" cm="1">
        <f t="array" ref="ED16">_xll.EQNXTDZ($A$1,$B16,ED$1)</f>
        <v>231.55</v>
      </c>
      <c r="EE16" s="116" cm="1">
        <f t="array" ref="EE16">_xll.EQNXTDZ($A$1,$B16,EE$1)</f>
        <v>300.45</v>
      </c>
      <c r="EF16" s="116" cm="1">
        <f t="array" ref="EF16">_xll.EQNXTDZ($A$1,$B16,EF$1)</f>
        <v>325.75</v>
      </c>
      <c r="EG16" s="116" cm="1">
        <f t="array" ref="EG16">_xll.EQNXTDZ($A$1,$B16,EG$1)</f>
        <v>340.3</v>
      </c>
      <c r="EH16" s="116" cm="1">
        <f t="array" ref="EH16">_xll.EQNXTDZ($A$1,$B16,EH$1)</f>
        <v>342.3</v>
      </c>
      <c r="EI16" s="116" cm="1">
        <f t="array" ref="EI16">_xll.EQNXTDZ($A$1,$B16,EI$1)</f>
        <v>310.10000000000002</v>
      </c>
      <c r="EJ16" s="116" cm="1">
        <f t="array" ref="EJ16">_xll.EQNXTDZ($A$1,$B16,EJ$1)</f>
        <v>311.95</v>
      </c>
      <c r="EK16" s="116" cm="1">
        <f t="array" ref="EK16">_xll.EQNXTDZ($A$1,$B16,EK$1)</f>
        <v>426.45</v>
      </c>
      <c r="EL16" s="116" cm="1">
        <f t="array" ref="EL16">_xll.EQNXTDZ($A$1,$B16,EL$1)</f>
        <v>475.6</v>
      </c>
      <c r="EM16" s="116" cm="1">
        <f t="array" ref="EM16">_xll.EQNXTDZ($A$1,$B16,EM$1)</f>
        <v>487.6</v>
      </c>
      <c r="EN16" s="116" cm="1">
        <f t="array" ref="EN16">_xll.EQNXTDZ($A$1,$B16,EN$1)</f>
        <v>438.55</v>
      </c>
      <c r="EO16" s="116" cm="1">
        <f t="array" ref="EO16">_xll.EQNXTDZ($A$1,$B16,EO$1)</f>
        <v>441.75</v>
      </c>
      <c r="EP16" s="116" cm="1">
        <f t="array" ref="EP16">_xll.EQNXTDZ($A$1,$B16,EP$1)</f>
        <v>358.75</v>
      </c>
      <c r="EQ16" s="116" cm="1">
        <f t="array" ref="EQ16">_xll.EQNXTDZ($A$1,$B16,EQ$1)</f>
        <v>408.8</v>
      </c>
      <c r="ER16" s="116" cm="1">
        <f t="array" ref="ER16">_xll.EQNXTDZ($A$1,$B16,ER$1)</f>
        <v>421.55</v>
      </c>
      <c r="ES16" s="116" cm="1">
        <f t="array" ref="ES16">_xll.EQNXTDZ($A$1,$B16,ES$1)</f>
        <v>415.6</v>
      </c>
      <c r="ET16" s="116" cm="1">
        <f t="array" ref="ET16">_xll.EQNXTDZ($A$1,$B16,ET$1)</f>
        <v>466.6</v>
      </c>
      <c r="EU16" s="116" cm="1">
        <f t="array" ref="EU16">_xll.EQNXTDZ($A$1,$B16,EU$1)</f>
        <v>392.6</v>
      </c>
      <c r="EV16" s="116" cm="1">
        <f t="array" ref="EV16">_xll.EQNXTDZ($A$1,$B16,EV$1)</f>
        <v>366</v>
      </c>
      <c r="EW16" s="116" cm="1">
        <f t="array" ref="EW16">_xll.EQNXTDZ($A$1,$B16,EW$1)</f>
        <v>414.95</v>
      </c>
      <c r="EX16" s="116" cm="1">
        <f t="array" ref="EX16">_xll.EQNXTDZ($A$1,$B16,EX$1)</f>
        <v>395.3</v>
      </c>
      <c r="EY16" s="116" cm="1">
        <f t="array" ref="EY16">_xll.EQNXTDZ($A$1,$B16,EY$1)</f>
        <v>314.3</v>
      </c>
      <c r="EZ16" s="116" cm="1">
        <f t="array" ref="EZ16">_xll.EQNXTDZ($A$1,$B16,EZ$1)</f>
        <v>436.5</v>
      </c>
      <c r="FA16" s="116" cm="1">
        <f t="array" ref="FA16">_xll.EQNXTDZ($A$1,$B16,FA$1)</f>
        <v>390.2</v>
      </c>
      <c r="FB16" s="116" cm="1">
        <f t="array" ref="FB16">_xll.EQNXTDZ($A$1,$B16,FB$1)</f>
        <v>406.5</v>
      </c>
      <c r="FC16" s="116" cm="1">
        <f t="array" ref="FC16">_xll.EQNXTDZ($A$1,$B16,FC$1)</f>
        <v>488.15</v>
      </c>
      <c r="FD16" s="116" cm="1">
        <f t="array" ref="FD16">_xll.EQNXTDZ($A$1,$B16,FD$1)</f>
        <v>433</v>
      </c>
      <c r="FE16" s="116" cm="1">
        <f t="array" ref="FE16">_xll.EQNXTDZ($A$1,$B16,FE$1)</f>
        <v>366.75</v>
      </c>
      <c r="FF16" s="116" cm="1">
        <f t="array" ref="FF16">_xll.EQNXTDZ($A$1,$B16,FF$1)</f>
        <v>434.15</v>
      </c>
      <c r="FG16" s="116" cm="1">
        <f t="array" ref="FG16">_xll.EQNXTDZ($A$1,$B16,FG$1)</f>
        <v>445.95</v>
      </c>
      <c r="FH16" s="116" cm="1">
        <f t="array" ref="FH16">_xll.EQNXTDZ($A$1,$B16,FH$1)</f>
        <v>445.65</v>
      </c>
      <c r="FI16" s="116" cm="1">
        <f t="array" ref="FI16">_xll.EQNXTDZ($A$1,$B16,FI$1)</f>
        <v>495.35</v>
      </c>
      <c r="FJ16" s="116" cm="1">
        <f t="array" ref="FJ16">_xll.EQNXTDZ($A$1,$B16,FJ$1)</f>
        <v>456.7</v>
      </c>
      <c r="FK16" s="116" cm="1">
        <f t="array" ref="FK16">_xll.EQNXTDZ($A$1,$B16,FK$1)</f>
        <v>467.8</v>
      </c>
      <c r="FL16" s="116" cm="1">
        <f t="array" ref="FL16">_xll.EQNXTDZ($A$1,$B16,FL$1)</f>
        <v>415.8</v>
      </c>
      <c r="FM16" s="116" cm="1">
        <f t="array" ref="FM16">_xll.EQNXTDZ($A$1,$B16,FM$1)</f>
        <v>519.04999999999995</v>
      </c>
      <c r="FN16" s="116" cm="1">
        <f t="array" ref="FN16">_xll.EQNXTDZ($A$1,$B16,FN$1)</f>
        <v>515</v>
      </c>
      <c r="FO16" s="116" cm="1">
        <f t="array" ref="FO16">_xll.EQNXTDZ($A$1,$B16,FO$1)</f>
        <v>527.25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55.75</v>
      </c>
      <c r="HQ16" s="116">
        <f>+I16</f>
        <v>51</v>
      </c>
      <c r="HR16" s="116">
        <f>+L16</f>
        <v>34</v>
      </c>
      <c r="HS16" s="116">
        <f>+O16</f>
        <v>41.25</v>
      </c>
      <c r="HT16" s="116">
        <f>+R16</f>
        <v>28.05</v>
      </c>
      <c r="HU16" s="116">
        <f>+U16</f>
        <v>35.85</v>
      </c>
      <c r="HV16" s="116">
        <f>+X16</f>
        <v>35.1</v>
      </c>
      <c r="HW16" s="116">
        <f>+AA16</f>
        <v>54.8</v>
      </c>
      <c r="HX16" s="116">
        <f>+AD16</f>
        <v>82.8</v>
      </c>
      <c r="HY16" s="116">
        <f>+AG16</f>
        <v>77.3</v>
      </c>
      <c r="HZ16" s="116">
        <f>+AJ16</f>
        <v>78.150000000000006</v>
      </c>
      <c r="IA16" s="116">
        <f>+AM16</f>
        <v>149.6</v>
      </c>
      <c r="IB16" s="116">
        <f>+AP16</f>
        <v>263.2</v>
      </c>
      <c r="IC16" s="116">
        <f>+AS16</f>
        <v>306</v>
      </c>
      <c r="ID16" s="116">
        <f>+AV16</f>
        <v>249.1</v>
      </c>
      <c r="IE16" s="116">
        <f>+AY16</f>
        <v>274.14999999999998</v>
      </c>
      <c r="IF16" s="116">
        <f>+BB16</f>
        <v>252.05</v>
      </c>
      <c r="IG16" s="116">
        <f>+BE16</f>
        <v>246.5</v>
      </c>
      <c r="IH16" s="116">
        <f>+BH16</f>
        <v>276.05</v>
      </c>
      <c r="II16" s="116">
        <f>+BK16</f>
        <v>262.14999999999998</v>
      </c>
      <c r="IJ16" s="116">
        <f>+BN16</f>
        <v>197.2</v>
      </c>
      <c r="IK16" s="116">
        <f>+BQ16</f>
        <v>190.2</v>
      </c>
      <c r="IL16" s="116">
        <f>+BT16</f>
        <v>119.5</v>
      </c>
      <c r="IM16" s="116">
        <f>+BW16</f>
        <v>81.650000000000006</v>
      </c>
      <c r="IN16" s="116">
        <f>+BZ16</f>
        <v>60.3</v>
      </c>
      <c r="IO16" s="116">
        <f>+CC16</f>
        <v>68.25</v>
      </c>
      <c r="IP16" s="116">
        <f>+CF16</f>
        <v>65.55</v>
      </c>
      <c r="IQ16" s="116">
        <f>+CI16</f>
        <v>52.05</v>
      </c>
      <c r="IR16" s="116">
        <f>+CL16</f>
        <v>38.450000000000003</v>
      </c>
      <c r="IS16" s="116">
        <f>+CO16</f>
        <v>61</v>
      </c>
      <c r="IT16" s="116">
        <f>+CR16</f>
        <v>35.299999999999997</v>
      </c>
      <c r="IU16" s="116">
        <f>+CU16</f>
        <v>48.8</v>
      </c>
      <c r="IV16" s="116">
        <f>+CX16</f>
        <v>46.9</v>
      </c>
      <c r="IW16" s="116">
        <f>+DA16</f>
        <v>76.849999999999994</v>
      </c>
      <c r="IX16" s="116">
        <f>+DD16</f>
        <v>73.55</v>
      </c>
      <c r="IY16" s="116">
        <f>+DG16</f>
        <v>105.25</v>
      </c>
      <c r="IZ16" s="116">
        <f>+DJ16</f>
        <v>166.8</v>
      </c>
      <c r="JA16" s="116">
        <f>+DM16</f>
        <v>348.15</v>
      </c>
      <c r="JB16" s="116">
        <f>+DP16</f>
        <v>258.45</v>
      </c>
      <c r="JC16" s="116">
        <f>+DS16</f>
        <v>272.2</v>
      </c>
      <c r="JD16" s="116">
        <f>+DV16</f>
        <v>278.89999999999998</v>
      </c>
      <c r="JE16" s="116">
        <f>+DY16</f>
        <v>243.65</v>
      </c>
      <c r="JF16" s="116">
        <f>+EB16</f>
        <v>215.4</v>
      </c>
      <c r="JG16" s="116">
        <f>+EE16</f>
        <v>300.45</v>
      </c>
      <c r="JH16" s="116">
        <f>+EH16</f>
        <v>342.3</v>
      </c>
      <c r="JI16" s="116">
        <f>+EK16</f>
        <v>426.45</v>
      </c>
      <c r="JJ16" s="116">
        <f>+EN16</f>
        <v>438.55</v>
      </c>
      <c r="JK16" s="116">
        <f>EQ16</f>
        <v>408.8</v>
      </c>
      <c r="JL16" s="116">
        <f>ET16</f>
        <v>466.6</v>
      </c>
      <c r="JM16" s="116">
        <f>EW16</f>
        <v>414.95</v>
      </c>
      <c r="JN16" s="116">
        <f>EZ16</f>
        <v>436.5</v>
      </c>
      <c r="JO16" s="116">
        <f>FC16</f>
        <v>488.15</v>
      </c>
      <c r="JP16" s="116">
        <f>FF16</f>
        <v>434.15</v>
      </c>
      <c r="JQ16" s="116">
        <f>FI16</f>
        <v>495.35</v>
      </c>
      <c r="JR16" s="116">
        <f>FL16</f>
        <v>415.8</v>
      </c>
      <c r="JS16" s="116">
        <f>FO16</f>
        <v>527.25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37</v>
      </c>
      <c r="HP19" s="116">
        <f>+IF(HP14=0,HP7,HP14)</f>
        <v>62.3</v>
      </c>
      <c r="HQ19" s="116">
        <f t="shared" ref="HQ19:JI21" si="1">+IF(HQ14=0,HQ7,HQ14)</f>
        <v>66.900000000000006</v>
      </c>
      <c r="HR19" s="116">
        <f t="shared" si="1"/>
        <v>57.95</v>
      </c>
      <c r="HS19" s="116">
        <f t="shared" si="1"/>
        <v>52.5</v>
      </c>
      <c r="HT19" s="116">
        <f t="shared" si="1"/>
        <v>41.6</v>
      </c>
      <c r="HU19" s="116">
        <f t="shared" si="1"/>
        <v>38.9</v>
      </c>
      <c r="HV19" s="116">
        <f t="shared" si="1"/>
        <v>45.9</v>
      </c>
      <c r="HW19" s="116">
        <f t="shared" si="1"/>
        <v>59</v>
      </c>
      <c r="HX19" s="116">
        <f t="shared" si="1"/>
        <v>88.7</v>
      </c>
      <c r="HY19" s="116">
        <f t="shared" si="1"/>
        <v>94.05</v>
      </c>
      <c r="HZ19" s="116">
        <f t="shared" si="1"/>
        <v>107.5</v>
      </c>
      <c r="IA19" s="116">
        <f t="shared" si="1"/>
        <v>152.4</v>
      </c>
      <c r="IB19" s="116">
        <f t="shared" si="1"/>
        <v>278</v>
      </c>
      <c r="IC19" s="116">
        <f t="shared" si="1"/>
        <v>324</v>
      </c>
      <c r="ID19" s="116">
        <f t="shared" si="1"/>
        <v>320</v>
      </c>
      <c r="IE19" s="116">
        <f t="shared" si="1"/>
        <v>305</v>
      </c>
      <c r="IF19" s="116">
        <f t="shared" si="1"/>
        <v>282</v>
      </c>
      <c r="IG19" s="116">
        <f t="shared" si="1"/>
        <v>325</v>
      </c>
      <c r="IH19" s="116">
        <f t="shared" si="1"/>
        <v>304.5</v>
      </c>
      <c r="II19" s="116">
        <f t="shared" si="1"/>
        <v>324</v>
      </c>
      <c r="IJ19" s="116">
        <f t="shared" si="1"/>
        <v>295</v>
      </c>
      <c r="IK19" s="116">
        <f t="shared" si="1"/>
        <v>223.6</v>
      </c>
      <c r="IL19" s="116">
        <f t="shared" si="1"/>
        <v>210</v>
      </c>
      <c r="IM19" s="116">
        <f t="shared" si="1"/>
        <v>141.85</v>
      </c>
      <c r="IN19" s="116">
        <f t="shared" si="1"/>
        <v>99.8</v>
      </c>
      <c r="IO19" s="116">
        <f t="shared" si="1"/>
        <v>87.5</v>
      </c>
      <c r="IP19" s="116">
        <f t="shared" si="1"/>
        <v>82.9</v>
      </c>
      <c r="IQ19" s="116">
        <f t="shared" si="1"/>
        <v>69.55</v>
      </c>
      <c r="IR19" s="116">
        <f t="shared" si="1"/>
        <v>56.5</v>
      </c>
      <c r="IS19" s="116">
        <f t="shared" si="1"/>
        <v>70.5</v>
      </c>
      <c r="IT19" s="116">
        <f t="shared" si="1"/>
        <v>65.45</v>
      </c>
      <c r="IU19" s="116">
        <f t="shared" si="1"/>
        <v>55</v>
      </c>
      <c r="IV19" s="116">
        <f t="shared" si="1"/>
        <v>66.2</v>
      </c>
      <c r="IW19" s="116">
        <f t="shared" si="1"/>
        <v>83.9</v>
      </c>
      <c r="IX19" s="116">
        <f t="shared" si="1"/>
        <v>103.75</v>
      </c>
      <c r="IY19" s="116">
        <f t="shared" si="1"/>
        <v>114.6</v>
      </c>
      <c r="IZ19" s="116">
        <f t="shared" si="1"/>
        <v>173.8</v>
      </c>
      <c r="JA19" s="116">
        <f t="shared" si="1"/>
        <v>354</v>
      </c>
      <c r="JB19" s="116">
        <f t="shared" si="1"/>
        <v>423.4</v>
      </c>
      <c r="JC19" s="116">
        <f t="shared" si="1"/>
        <v>422</v>
      </c>
      <c r="JD19" s="116">
        <f t="shared" si="1"/>
        <v>359.95</v>
      </c>
      <c r="JE19" s="116">
        <f t="shared" si="1"/>
        <v>298.8</v>
      </c>
      <c r="JF19" s="116">
        <f t="shared" si="1"/>
        <v>254</v>
      </c>
      <c r="JG19" s="116">
        <f t="shared" si="1"/>
        <v>344</v>
      </c>
      <c r="JH19" s="116">
        <f t="shared" si="1"/>
        <v>393.3</v>
      </c>
      <c r="JI19" s="116">
        <f t="shared" si="1"/>
        <v>454.9</v>
      </c>
      <c r="JJ19" s="116">
        <f t="shared" ref="JJ19:JP21" si="2">+IF(JJ14=0,JJ7,JJ14)</f>
        <v>627.20000000000005</v>
      </c>
      <c r="JK19" s="116">
        <f t="shared" si="2"/>
        <v>485</v>
      </c>
      <c r="JL19" s="116">
        <f t="shared" si="2"/>
        <v>498.2</v>
      </c>
      <c r="JM19" s="116">
        <f t="shared" si="2"/>
        <v>469.05</v>
      </c>
      <c r="JN19" s="116">
        <f t="shared" si="2"/>
        <v>453</v>
      </c>
      <c r="JO19" s="116">
        <f t="shared" si="2"/>
        <v>512.45000000000005</v>
      </c>
      <c r="JP19" s="116">
        <f t="shared" si="2"/>
        <v>487</v>
      </c>
      <c r="JQ19" s="116">
        <f t="shared" ref="JQ19:KH19" si="3">+IF(JQ14=0,JQ7,JQ14)</f>
        <v>501</v>
      </c>
      <c r="JR19" s="116">
        <f t="shared" si="3"/>
        <v>524.1</v>
      </c>
      <c r="JS19" s="116">
        <f t="shared" si="3"/>
        <v>575.5</v>
      </c>
      <c r="JT19" s="116">
        <f t="shared" si="3"/>
        <v>0</v>
      </c>
      <c r="JU19" s="116">
        <f t="shared" si="3"/>
        <v>0</v>
      </c>
      <c r="JV19" s="116">
        <f t="shared" si="3"/>
        <v>0</v>
      </c>
      <c r="JW19" s="116">
        <f t="shared" si="3"/>
        <v>0</v>
      </c>
      <c r="JX19" s="116">
        <f t="shared" si="3"/>
        <v>0</v>
      </c>
      <c r="JY19" s="116">
        <f t="shared" si="3"/>
        <v>0</v>
      </c>
      <c r="JZ19" s="116">
        <f t="shared" si="3"/>
        <v>0</v>
      </c>
      <c r="KA19" s="116">
        <f t="shared" si="3"/>
        <v>0</v>
      </c>
      <c r="KB19" s="116">
        <f t="shared" si="3"/>
        <v>0</v>
      </c>
      <c r="KC19" s="116">
        <f t="shared" si="3"/>
        <v>0</v>
      </c>
      <c r="KD19" s="116">
        <f t="shared" si="3"/>
        <v>0</v>
      </c>
      <c r="KE19" s="116">
        <f t="shared" si="3"/>
        <v>0</v>
      </c>
      <c r="KF19" s="116">
        <f t="shared" si="3"/>
        <v>0</v>
      </c>
      <c r="KG19" s="116">
        <f t="shared" si="3"/>
        <v>0</v>
      </c>
      <c r="KH19" s="116">
        <f t="shared" si="3"/>
        <v>0</v>
      </c>
    </row>
    <row r="20" spans="1:294" s="116" customFormat="1" x14ac:dyDescent="0.25">
      <c r="A20" s="116" t="s">
        <v>38</v>
      </c>
      <c r="HP20" s="116">
        <f t="shared" ref="HP20:IE21" si="4">+IF(HP15=0,HP8,HP15)</f>
        <v>42.2</v>
      </c>
      <c r="HQ20" s="116">
        <f t="shared" si="4"/>
        <v>49.15</v>
      </c>
      <c r="HR20" s="116">
        <f t="shared" si="4"/>
        <v>33</v>
      </c>
      <c r="HS20" s="116">
        <f t="shared" si="4"/>
        <v>34</v>
      </c>
      <c r="HT20" s="116">
        <f t="shared" si="4"/>
        <v>26</v>
      </c>
      <c r="HU20" s="116">
        <f t="shared" si="4"/>
        <v>28.05</v>
      </c>
      <c r="HV20" s="116">
        <f t="shared" si="4"/>
        <v>31.3</v>
      </c>
      <c r="HW20" s="116">
        <f t="shared" si="4"/>
        <v>33.65</v>
      </c>
      <c r="HX20" s="116">
        <f t="shared" si="4"/>
        <v>53.1</v>
      </c>
      <c r="HY20" s="116">
        <f t="shared" si="4"/>
        <v>69.650000000000006</v>
      </c>
      <c r="HZ20" s="116">
        <f t="shared" si="4"/>
        <v>68</v>
      </c>
      <c r="IA20" s="116">
        <f t="shared" si="4"/>
        <v>71.5</v>
      </c>
      <c r="IB20" s="116">
        <f t="shared" si="4"/>
        <v>150</v>
      </c>
      <c r="IC20" s="116">
        <f t="shared" si="4"/>
        <v>239.3</v>
      </c>
      <c r="ID20" s="116">
        <f t="shared" si="4"/>
        <v>238.5</v>
      </c>
      <c r="IE20" s="116">
        <f t="shared" si="4"/>
        <v>246.3</v>
      </c>
      <c r="IF20" s="116">
        <f t="shared" si="1"/>
        <v>244.05</v>
      </c>
      <c r="IG20" s="116">
        <f t="shared" si="1"/>
        <v>225</v>
      </c>
      <c r="IH20" s="116">
        <f t="shared" si="1"/>
        <v>236</v>
      </c>
      <c r="II20" s="116">
        <f t="shared" si="1"/>
        <v>250</v>
      </c>
      <c r="IJ20" s="116">
        <f t="shared" si="1"/>
        <v>189.45</v>
      </c>
      <c r="IK20" s="116">
        <f t="shared" si="1"/>
        <v>177</v>
      </c>
      <c r="IL20" s="116">
        <f t="shared" si="1"/>
        <v>118.2</v>
      </c>
      <c r="IM20" s="116">
        <f t="shared" si="1"/>
        <v>77.8</v>
      </c>
      <c r="IN20" s="116">
        <f t="shared" si="1"/>
        <v>60.2</v>
      </c>
      <c r="IO20" s="116">
        <f t="shared" si="1"/>
        <v>54</v>
      </c>
      <c r="IP20" s="116">
        <f t="shared" si="1"/>
        <v>53.7</v>
      </c>
      <c r="IQ20" s="116">
        <f t="shared" si="1"/>
        <v>50.05</v>
      </c>
      <c r="IR20" s="116">
        <f t="shared" si="1"/>
        <v>32.15</v>
      </c>
      <c r="IS20" s="116">
        <f t="shared" si="1"/>
        <v>35.799999999999997</v>
      </c>
      <c r="IT20" s="116">
        <f t="shared" si="1"/>
        <v>33.6</v>
      </c>
      <c r="IU20" s="116">
        <f t="shared" si="1"/>
        <v>34.549999999999997</v>
      </c>
      <c r="IV20" s="116">
        <f t="shared" si="1"/>
        <v>45</v>
      </c>
      <c r="IW20" s="116">
        <f t="shared" si="1"/>
        <v>45.95</v>
      </c>
      <c r="IX20" s="116">
        <f t="shared" si="1"/>
        <v>70.349999999999994</v>
      </c>
      <c r="IY20" s="116">
        <f t="shared" si="1"/>
        <v>73.55</v>
      </c>
      <c r="IZ20" s="116">
        <f t="shared" si="1"/>
        <v>101.6</v>
      </c>
      <c r="JA20" s="116">
        <f t="shared" si="1"/>
        <v>166.75</v>
      </c>
      <c r="JB20" s="116">
        <f t="shared" si="1"/>
        <v>257.25</v>
      </c>
      <c r="JC20" s="116">
        <f t="shared" si="1"/>
        <v>237</v>
      </c>
      <c r="JD20" s="116">
        <f t="shared" si="1"/>
        <v>252.1</v>
      </c>
      <c r="JE20" s="116">
        <f t="shared" si="1"/>
        <v>215</v>
      </c>
      <c r="JF20" s="116">
        <f t="shared" si="1"/>
        <v>185</v>
      </c>
      <c r="JG20" s="116">
        <f t="shared" si="1"/>
        <v>218</v>
      </c>
      <c r="JH20" s="116">
        <f t="shared" si="1"/>
        <v>290.25</v>
      </c>
      <c r="JI20" s="116">
        <f t="shared" si="1"/>
        <v>274.45</v>
      </c>
      <c r="JJ20" s="116">
        <f t="shared" si="2"/>
        <v>360</v>
      </c>
      <c r="JK20" s="116">
        <f t="shared" si="2"/>
        <v>319.85000000000002</v>
      </c>
      <c r="JL20" s="116">
        <f t="shared" si="2"/>
        <v>360.9</v>
      </c>
      <c r="JM20" s="116">
        <f t="shared" si="2"/>
        <v>350</v>
      </c>
      <c r="JN20" s="116">
        <f t="shared" si="2"/>
        <v>295.25</v>
      </c>
      <c r="JO20" s="116">
        <f t="shared" si="2"/>
        <v>367.8</v>
      </c>
      <c r="JP20" s="116">
        <f t="shared" si="2"/>
        <v>340.9</v>
      </c>
      <c r="JQ20" s="116">
        <f t="shared" ref="JQ20:KH20" si="5">+IF(JQ15=0,JQ8,JQ15)</f>
        <v>391.5</v>
      </c>
      <c r="JR20" s="116">
        <f t="shared" si="5"/>
        <v>411.35</v>
      </c>
      <c r="JS20" s="116">
        <f t="shared" si="5"/>
        <v>415.7</v>
      </c>
      <c r="JT20" s="116">
        <f t="shared" si="5"/>
        <v>0</v>
      </c>
      <c r="JU20" s="116">
        <f t="shared" si="5"/>
        <v>0</v>
      </c>
      <c r="JV20" s="116">
        <f t="shared" si="5"/>
        <v>0</v>
      </c>
      <c r="JW20" s="116">
        <f t="shared" si="5"/>
        <v>0</v>
      </c>
      <c r="JX20" s="116">
        <f t="shared" si="5"/>
        <v>0</v>
      </c>
      <c r="JY20" s="116">
        <f t="shared" si="5"/>
        <v>0</v>
      </c>
      <c r="JZ20" s="116">
        <f t="shared" si="5"/>
        <v>0</v>
      </c>
      <c r="KA20" s="116">
        <f t="shared" si="5"/>
        <v>0</v>
      </c>
      <c r="KB20" s="116">
        <f t="shared" si="5"/>
        <v>0</v>
      </c>
      <c r="KC20" s="116">
        <f t="shared" si="5"/>
        <v>0</v>
      </c>
      <c r="KD20" s="116">
        <f t="shared" si="5"/>
        <v>0</v>
      </c>
      <c r="KE20" s="116">
        <f t="shared" si="5"/>
        <v>0</v>
      </c>
      <c r="KF20" s="116">
        <f t="shared" si="5"/>
        <v>0</v>
      </c>
      <c r="KG20" s="116">
        <f t="shared" si="5"/>
        <v>0</v>
      </c>
      <c r="KH20" s="116">
        <f t="shared" si="5"/>
        <v>0</v>
      </c>
    </row>
    <row r="21" spans="1:294" s="116" customFormat="1" x14ac:dyDescent="0.25">
      <c r="A21" s="116" t="s">
        <v>36</v>
      </c>
      <c r="HP21" s="116">
        <f t="shared" si="4"/>
        <v>55.75</v>
      </c>
      <c r="HQ21" s="116">
        <f t="shared" si="1"/>
        <v>51</v>
      </c>
      <c r="HR21" s="116">
        <f t="shared" si="1"/>
        <v>34</v>
      </c>
      <c r="HS21" s="116">
        <f t="shared" si="1"/>
        <v>41.25</v>
      </c>
      <c r="HT21" s="116">
        <f t="shared" si="1"/>
        <v>28.05</v>
      </c>
      <c r="HU21" s="116">
        <f t="shared" si="1"/>
        <v>35.85</v>
      </c>
      <c r="HV21" s="116">
        <f t="shared" si="1"/>
        <v>35.1</v>
      </c>
      <c r="HW21" s="116">
        <f t="shared" si="1"/>
        <v>54.8</v>
      </c>
      <c r="HX21" s="116">
        <f t="shared" si="1"/>
        <v>82.8</v>
      </c>
      <c r="HY21" s="116">
        <f t="shared" si="1"/>
        <v>77.3</v>
      </c>
      <c r="HZ21" s="116">
        <f t="shared" si="1"/>
        <v>78.150000000000006</v>
      </c>
      <c r="IA21" s="116">
        <f t="shared" si="1"/>
        <v>149.6</v>
      </c>
      <c r="IB21" s="116">
        <f t="shared" si="1"/>
        <v>263.2</v>
      </c>
      <c r="IC21" s="116">
        <f t="shared" si="1"/>
        <v>306</v>
      </c>
      <c r="ID21" s="116">
        <f t="shared" si="1"/>
        <v>249.1</v>
      </c>
      <c r="IE21" s="116">
        <f t="shared" si="1"/>
        <v>274.14999999999998</v>
      </c>
      <c r="IF21" s="116">
        <f t="shared" si="1"/>
        <v>252.05</v>
      </c>
      <c r="IG21" s="116">
        <f t="shared" si="1"/>
        <v>246.5</v>
      </c>
      <c r="IH21" s="116">
        <f t="shared" si="1"/>
        <v>276.05</v>
      </c>
      <c r="II21" s="116">
        <f t="shared" si="1"/>
        <v>262.14999999999998</v>
      </c>
      <c r="IJ21" s="116">
        <f t="shared" si="1"/>
        <v>197.2</v>
      </c>
      <c r="IK21" s="116">
        <f t="shared" si="1"/>
        <v>190.2</v>
      </c>
      <c r="IL21" s="116">
        <f t="shared" si="1"/>
        <v>119.5</v>
      </c>
      <c r="IM21" s="116">
        <f t="shared" si="1"/>
        <v>81.650000000000006</v>
      </c>
      <c r="IN21" s="116">
        <f t="shared" si="1"/>
        <v>60.3</v>
      </c>
      <c r="IO21" s="116">
        <f t="shared" si="1"/>
        <v>68.25</v>
      </c>
      <c r="IP21" s="116">
        <f t="shared" si="1"/>
        <v>65.55</v>
      </c>
      <c r="IQ21" s="116">
        <f t="shared" si="1"/>
        <v>52.05</v>
      </c>
      <c r="IR21" s="116">
        <f t="shared" si="1"/>
        <v>38.450000000000003</v>
      </c>
      <c r="IS21" s="116">
        <f t="shared" si="1"/>
        <v>61</v>
      </c>
      <c r="IT21" s="116">
        <f t="shared" si="1"/>
        <v>35.299999999999997</v>
      </c>
      <c r="IU21" s="116">
        <f t="shared" si="1"/>
        <v>48.8</v>
      </c>
      <c r="IV21" s="116">
        <f t="shared" si="1"/>
        <v>46.9</v>
      </c>
      <c r="IW21" s="116">
        <f t="shared" si="1"/>
        <v>76.849999999999994</v>
      </c>
      <c r="IX21" s="116">
        <f t="shared" si="1"/>
        <v>73.55</v>
      </c>
      <c r="IY21" s="116">
        <f t="shared" si="1"/>
        <v>105.25</v>
      </c>
      <c r="IZ21" s="116">
        <f t="shared" si="1"/>
        <v>166.8</v>
      </c>
      <c r="JA21" s="116">
        <f t="shared" si="1"/>
        <v>348.15</v>
      </c>
      <c r="JB21" s="116">
        <f t="shared" si="1"/>
        <v>258.45</v>
      </c>
      <c r="JC21" s="116">
        <f t="shared" si="1"/>
        <v>272.2</v>
      </c>
      <c r="JD21" s="116">
        <f t="shared" si="1"/>
        <v>278.89999999999998</v>
      </c>
      <c r="JE21" s="116">
        <f t="shared" si="1"/>
        <v>243.65</v>
      </c>
      <c r="JF21" s="116">
        <f t="shared" si="1"/>
        <v>215.4</v>
      </c>
      <c r="JG21" s="116">
        <f t="shared" si="1"/>
        <v>300.45</v>
      </c>
      <c r="JH21" s="116">
        <f t="shared" si="1"/>
        <v>342.3</v>
      </c>
      <c r="JI21" s="116">
        <f t="shared" si="1"/>
        <v>426.45</v>
      </c>
      <c r="JJ21" s="116">
        <f t="shared" si="2"/>
        <v>438.55</v>
      </c>
      <c r="JK21" s="116">
        <f t="shared" si="2"/>
        <v>408.8</v>
      </c>
      <c r="JL21" s="116">
        <f t="shared" si="2"/>
        <v>466.6</v>
      </c>
      <c r="JM21" s="116">
        <f t="shared" si="2"/>
        <v>414.95</v>
      </c>
      <c r="JN21" s="116">
        <f t="shared" si="2"/>
        <v>436.5</v>
      </c>
      <c r="JO21" s="116">
        <f t="shared" si="2"/>
        <v>488.15</v>
      </c>
      <c r="JP21" s="116">
        <f t="shared" si="2"/>
        <v>434.15</v>
      </c>
      <c r="JQ21" s="116">
        <f t="shared" ref="JQ21:KH21" si="6">+IF(JQ16=0,JQ9,JQ16)</f>
        <v>495.35</v>
      </c>
      <c r="JR21" s="116">
        <f t="shared" si="6"/>
        <v>415.8</v>
      </c>
      <c r="JS21" s="116">
        <f t="shared" si="6"/>
        <v>527.25</v>
      </c>
      <c r="JT21" s="116">
        <f t="shared" si="6"/>
        <v>0</v>
      </c>
      <c r="JU21" s="116">
        <f t="shared" si="6"/>
        <v>0</v>
      </c>
      <c r="JV21" s="116">
        <f t="shared" si="6"/>
        <v>0</v>
      </c>
      <c r="JW21" s="116">
        <f t="shared" si="6"/>
        <v>0</v>
      </c>
      <c r="JX21" s="116">
        <f t="shared" si="6"/>
        <v>0</v>
      </c>
      <c r="JY21" s="116">
        <f t="shared" si="6"/>
        <v>0</v>
      </c>
      <c r="JZ21" s="116">
        <f t="shared" si="6"/>
        <v>0</v>
      </c>
      <c r="KA21" s="116">
        <f t="shared" si="6"/>
        <v>0</v>
      </c>
      <c r="KB21" s="116">
        <f t="shared" si="6"/>
        <v>0</v>
      </c>
      <c r="KC21" s="116">
        <f t="shared" si="6"/>
        <v>0</v>
      </c>
      <c r="KD21" s="116">
        <f t="shared" si="6"/>
        <v>0</v>
      </c>
      <c r="KE21" s="116">
        <f t="shared" si="6"/>
        <v>0</v>
      </c>
      <c r="KF21" s="116">
        <f t="shared" si="6"/>
        <v>0</v>
      </c>
      <c r="KG21" s="116">
        <f t="shared" si="6"/>
        <v>0</v>
      </c>
      <c r="KH21" s="116">
        <f t="shared" si="6"/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114234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109</v>
      </c>
      <c r="B4" t="s">
        <v>110</v>
      </c>
    </row>
    <row r="5" spans="1:51" x14ac:dyDescent="0.25">
      <c r="A5" t="s">
        <v>251</v>
      </c>
      <c r="B5" t="s">
        <v>328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426</v>
      </c>
      <c r="B6" t="s">
        <v>427</v>
      </c>
      <c r="C6" cm="1">
        <f t="array" ref="C6">_xll.EQNXTDZ($A$1,$B6,C$1)</f>
        <v>39421559</v>
      </c>
      <c r="D6" cm="1">
        <f t="array" ref="D6">_xll.EQNXTDZ($A$1,$B6,D$1)</f>
        <v>39421559</v>
      </c>
      <c r="E6" cm="1">
        <f t="array" ref="E6">_xll.EQNXTDZ($A$1,$B6,E$1)</f>
        <v>39421559</v>
      </c>
      <c r="F6" cm="1">
        <f t="array" ref="F6">_xll.EQNXTDZ($A$1,$B6,F$1)</f>
        <v>39421559</v>
      </c>
      <c r="G6" cm="1">
        <f t="array" ref="G6">_xll.EQNXTDZ($A$1,$B6,G$1)</f>
        <v>39421559</v>
      </c>
      <c r="H6" cm="1">
        <f t="array" ref="H6">_xll.EQNXTDZ($A$1,$B6,H$1)</f>
        <v>39421559</v>
      </c>
      <c r="I6" cm="1">
        <f t="array" ref="I6">_xll.EQNXTDZ($A$1,$B6,I$1)</f>
        <v>39421559</v>
      </c>
      <c r="J6" cm="1">
        <f t="array" ref="J6">_xll.EQNXTDZ($A$1,$B6,J$1)</f>
        <v>39421559</v>
      </c>
      <c r="K6" cm="1">
        <f t="array" ref="K6">_xll.EQNXTDZ($A$1,$B6,K$1)</f>
        <v>39421559</v>
      </c>
      <c r="L6" cm="1">
        <f t="array" ref="L6">_xll.EQNXTDZ($A$1,$B6,L$1)</f>
        <v>39421559</v>
      </c>
      <c r="M6" cm="1">
        <f t="array" ref="M6">_xll.EQNXTDZ($A$1,$B6,M$1)</f>
        <v>39421559</v>
      </c>
      <c r="N6" cm="1">
        <f t="array" ref="N6">_xll.EQNXTDZ($A$1,$B6,N$1)</f>
        <v>39421559</v>
      </c>
      <c r="O6" cm="1">
        <f t="array" ref="O6">_xll.EQNXTDZ($A$1,$B6,O$1)</f>
        <v>39421559</v>
      </c>
      <c r="P6" cm="1">
        <f t="array" ref="P6">_xll.EQNXTDZ($A$1,$B6,P$1)</f>
        <v>39421559</v>
      </c>
      <c r="Q6" cm="1">
        <f t="array" ref="Q6">_xll.EQNXTDZ($A$1,$B6,Q$1)</f>
        <v>39421559</v>
      </c>
      <c r="R6" cm="1">
        <f t="array" ref="R6">_xll.EQNXTDZ($A$1,$B6,R$1)</f>
        <v>39421559</v>
      </c>
      <c r="S6" cm="1">
        <f t="array" ref="S6">_xll.EQNXTDZ($A$1,$B6,S$1)</f>
        <v>39421559</v>
      </c>
      <c r="T6" cm="1">
        <f t="array" ref="T6">_xll.EQNXTDZ($A$1,$B6,T$1)</f>
        <v>39421559</v>
      </c>
      <c r="U6" cm="1">
        <f t="array" ref="U6">_xll.EQNXTDZ($A$1,$B6,U$1)</f>
        <v>39421559</v>
      </c>
      <c r="V6" cm="1">
        <f t="array" ref="V6">_xll.EQNXTDZ($A$1,$B6,V$1)</f>
        <v>39421559</v>
      </c>
      <c r="W6" cm="1">
        <f t="array" ref="W6">_xll.EQNXTDZ($A$1,$B6,W$1)</f>
        <v>39421559</v>
      </c>
      <c r="X6" cm="1">
        <f t="array" ref="X6">_xll.EQNXTDZ($A$1,$B6,X$1)</f>
        <v>39421559</v>
      </c>
      <c r="Y6" cm="1">
        <f t="array" ref="Y6">_xll.EQNXTDZ($A$1,$B6,Y$1)</f>
        <v>39421559</v>
      </c>
      <c r="Z6" cm="1">
        <f t="array" ref="Z6">_xll.EQNXTDZ($A$1,$B6,Z$1)</f>
        <v>39421559</v>
      </c>
      <c r="AA6" cm="1">
        <f t="array" ref="AA6">_xll.EQNXTDZ($A$1,$B6,AA$1)</f>
        <v>39421559</v>
      </c>
      <c r="AB6" cm="1">
        <f t="array" ref="AB6">_xll.EQNXTDZ($A$1,$B6,AB$1)</f>
        <v>39421559</v>
      </c>
      <c r="AC6" cm="1">
        <f t="array" ref="AC6">_xll.EQNXTDZ($A$1,$B6,AC$1)</f>
        <v>39421559</v>
      </c>
      <c r="AD6" cm="1">
        <f t="array" ref="AD6">_xll.EQNXTDZ($A$1,$B6,AD$1)</f>
        <v>39421559</v>
      </c>
      <c r="AE6" cm="1">
        <f t="array" ref="AE6">_xll.EQNXTDZ($A$1,$B6,AE$1)</f>
        <v>39421559</v>
      </c>
      <c r="AF6" cm="1">
        <f t="array" ref="AF6">_xll.EQNXTDZ($A$1,$B6,AF$1)</f>
        <v>39421559</v>
      </c>
      <c r="AG6" cm="1">
        <f t="array" ref="AG6">_xll.EQNXTDZ($A$1,$B6,AG$1)</f>
        <v>39421559</v>
      </c>
      <c r="AH6" cm="1">
        <f t="array" ref="AH6">_xll.EQNXTDZ($A$1,$B6,AH$1)</f>
        <v>39421559</v>
      </c>
      <c r="AI6" cm="1">
        <f t="array" ref="AI6">_xll.EQNXTDZ($A$1,$B6,AI$1)</f>
        <v>39421559</v>
      </c>
      <c r="AJ6" cm="1">
        <f t="array" ref="AJ6">_xll.EQNXTDZ($A$1,$B6,AJ$1)</f>
        <v>39421559</v>
      </c>
      <c r="AK6" cm="1">
        <f t="array" ref="AK6">_xll.EQNXTDZ($A$1,$B6,AK$1)</f>
        <v>43421559</v>
      </c>
      <c r="AL6" cm="1">
        <f t="array" ref="AL6">_xll.EQNXTDZ($A$1,$B6,AL$1)</f>
        <v>43421559</v>
      </c>
      <c r="AM6" cm="1">
        <f t="array" ref="AM6">_xll.EQNXTDZ($A$1,$B6,AM$1)</f>
        <v>43421559</v>
      </c>
      <c r="AN6" cm="1">
        <f t="array" ref="AN6">_xll.EQNXTDZ($A$1,$B6,AN$1)</f>
        <v>43421559</v>
      </c>
      <c r="AO6" cm="1">
        <f t="array" ref="AO6">_xll.EQNXTDZ($A$1,$B6,AO$1)</f>
        <v>43421559</v>
      </c>
      <c r="AP6" cm="1">
        <f t="array" ref="AP6">_xll.EQNXTDZ($A$1,$B6,AP$1)</f>
        <v>43421559</v>
      </c>
      <c r="AQ6" cm="1">
        <f t="array" ref="AQ6">_xll.EQNXTDZ($A$1,$B6,AQ$1)</f>
        <v>43421559</v>
      </c>
      <c r="AR6" cm="1">
        <f t="array" ref="AR6">_xll.EQNXTDZ($A$1,$B6,AR$1)</f>
        <v>45046559</v>
      </c>
      <c r="AS6" cm="1">
        <f t="array" ref="AS6">_xll.EQNXTDZ($A$1,$B6,AS$1)</f>
        <v>45046559</v>
      </c>
      <c r="AT6" cm="1">
        <f t="array" ref="AT6">_xll.EQNXTDZ($A$1,$B6,AT$1)</f>
        <v>45046559</v>
      </c>
      <c r="AU6" cm="1">
        <f t="array" ref="AU6">_xll.EQNXTDZ($A$1,$B6,AU$1)</f>
        <v>50246559</v>
      </c>
      <c r="AV6" cm="1">
        <f t="array" ref="AV6">_xll.EQNXTDZ($A$1,$B6,AV$1)</f>
        <v>50246559</v>
      </c>
      <c r="AW6" cm="1">
        <f t="array" ref="AW6">_xll.EQNXTDZ($A$1,$B6,AW$1)</f>
        <v>50246559</v>
      </c>
      <c r="AX6" cm="1">
        <f t="array" ref="AX6">_xll.EQNXTDZ($A$1,$B6,AX$1)</f>
        <v>50246559</v>
      </c>
      <c r="AY6" cm="1">
        <f t="array" ref="AY6">_xll.EQNXTDZ($A$1,$B6,AY$1)</f>
        <v>50246559</v>
      </c>
    </row>
    <row r="7" spans="1:51" x14ac:dyDescent="0.25">
      <c r="B7" t="s">
        <v>428</v>
      </c>
      <c r="C7" s="100">
        <f>+C6/10^7</f>
        <v>3.9421558999999999</v>
      </c>
      <c r="D7" s="100">
        <f t="shared" ref="D7:X7" si="0">+D6/10^7</f>
        <v>3.9421558999999999</v>
      </c>
      <c r="E7" s="100">
        <f t="shared" si="0"/>
        <v>3.9421558999999999</v>
      </c>
      <c r="F7" s="100">
        <f t="shared" si="0"/>
        <v>3.9421558999999999</v>
      </c>
      <c r="G7" s="100">
        <f t="shared" si="0"/>
        <v>3.9421558999999999</v>
      </c>
      <c r="H7" s="100">
        <f t="shared" si="0"/>
        <v>3.9421558999999999</v>
      </c>
      <c r="I7" s="100">
        <f t="shared" si="0"/>
        <v>3.9421558999999999</v>
      </c>
      <c r="J7" s="100">
        <f t="shared" si="0"/>
        <v>3.9421558999999999</v>
      </c>
      <c r="K7" s="100">
        <f t="shared" si="0"/>
        <v>3.9421558999999999</v>
      </c>
      <c r="L7" s="100">
        <f t="shared" si="0"/>
        <v>3.9421558999999999</v>
      </c>
      <c r="M7" s="100">
        <f t="shared" si="0"/>
        <v>3.9421558999999999</v>
      </c>
      <c r="N7" s="100">
        <f t="shared" si="0"/>
        <v>3.9421558999999999</v>
      </c>
      <c r="O7" s="100">
        <f t="shared" si="0"/>
        <v>3.9421558999999999</v>
      </c>
      <c r="P7" s="100">
        <f t="shared" si="0"/>
        <v>3.9421558999999999</v>
      </c>
      <c r="Q7" s="100">
        <f t="shared" si="0"/>
        <v>3.9421558999999999</v>
      </c>
      <c r="R7" s="100">
        <f t="shared" si="0"/>
        <v>3.9421558999999999</v>
      </c>
      <c r="S7" s="100">
        <f t="shared" si="0"/>
        <v>3.9421558999999999</v>
      </c>
      <c r="T7" s="100">
        <f t="shared" si="0"/>
        <v>3.9421558999999999</v>
      </c>
      <c r="U7" s="100">
        <f t="shared" si="0"/>
        <v>3.9421558999999999</v>
      </c>
      <c r="V7" s="100">
        <f t="shared" si="0"/>
        <v>3.9421558999999999</v>
      </c>
      <c r="W7" s="100">
        <f t="shared" si="0"/>
        <v>3.9421558999999999</v>
      </c>
      <c r="X7" s="100">
        <f t="shared" si="0"/>
        <v>3.9421558999999999</v>
      </c>
      <c r="Y7" s="100">
        <f t="shared" ref="Y7:AS7" si="1">+Y6/10^7</f>
        <v>3.9421558999999999</v>
      </c>
      <c r="Z7" s="100">
        <f t="shared" si="1"/>
        <v>3.9421558999999999</v>
      </c>
      <c r="AA7" s="100">
        <f t="shared" si="1"/>
        <v>3.9421558999999999</v>
      </c>
      <c r="AB7" s="100">
        <f t="shared" si="1"/>
        <v>3.9421558999999999</v>
      </c>
      <c r="AC7" s="100">
        <f t="shared" si="1"/>
        <v>3.9421558999999999</v>
      </c>
      <c r="AD7" s="100">
        <f t="shared" si="1"/>
        <v>3.9421558999999999</v>
      </c>
      <c r="AE7" s="100">
        <f t="shared" si="1"/>
        <v>3.9421558999999999</v>
      </c>
      <c r="AF7" s="100">
        <f t="shared" si="1"/>
        <v>3.9421558999999999</v>
      </c>
      <c r="AG7" s="100">
        <f t="shared" si="1"/>
        <v>3.9421558999999999</v>
      </c>
      <c r="AH7" s="100">
        <f t="shared" si="1"/>
        <v>3.9421558999999999</v>
      </c>
      <c r="AI7" s="100">
        <f t="shared" si="1"/>
        <v>3.9421558999999999</v>
      </c>
      <c r="AJ7" s="100">
        <f t="shared" si="1"/>
        <v>3.9421558999999999</v>
      </c>
      <c r="AK7" s="100">
        <f t="shared" si="1"/>
        <v>4.3421558999999998</v>
      </c>
      <c r="AL7" s="100">
        <f t="shared" si="1"/>
        <v>4.3421558999999998</v>
      </c>
      <c r="AM7" s="100">
        <f t="shared" si="1"/>
        <v>4.3421558999999998</v>
      </c>
      <c r="AN7" s="100">
        <f t="shared" si="1"/>
        <v>4.3421558999999998</v>
      </c>
      <c r="AO7" s="100">
        <f t="shared" si="1"/>
        <v>4.3421558999999998</v>
      </c>
      <c r="AP7" s="100">
        <f t="shared" si="1"/>
        <v>4.3421558999999998</v>
      </c>
      <c r="AQ7" s="100">
        <f t="shared" si="1"/>
        <v>4.3421558999999998</v>
      </c>
      <c r="AR7" s="100">
        <f t="shared" si="1"/>
        <v>4.5046559000000004</v>
      </c>
      <c r="AS7" s="100">
        <f t="shared" si="1"/>
        <v>4.5046559000000004</v>
      </c>
      <c r="AT7" s="100">
        <f t="shared" ref="AT7:AY7" si="2">+AT6/10^7</f>
        <v>4.5046559000000004</v>
      </c>
      <c r="AU7" s="100">
        <f t="shared" si="2"/>
        <v>5.0246559</v>
      </c>
      <c r="AV7" s="100">
        <f t="shared" si="2"/>
        <v>5.0246559</v>
      </c>
      <c r="AW7" s="100">
        <f t="shared" si="2"/>
        <v>5.0246559</v>
      </c>
      <c r="AX7" s="100">
        <f t="shared" si="2"/>
        <v>5.0246559</v>
      </c>
      <c r="AY7" s="100">
        <f t="shared" si="2"/>
        <v>5.0246559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114234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514</v>
      </c>
      <c r="L2" s="169" t="s">
        <v>514</v>
      </c>
    </row>
    <row r="3" spans="1:18" x14ac:dyDescent="0.25">
      <c r="A3" s="170" t="s">
        <v>515</v>
      </c>
      <c r="B3" s="171" t="s">
        <v>517</v>
      </c>
      <c r="C3" s="171" t="s">
        <v>516</v>
      </c>
      <c r="D3" s="171" t="s">
        <v>518</v>
      </c>
      <c r="E3" s="171" t="s">
        <v>519</v>
      </c>
      <c r="F3" s="171" t="s">
        <v>520</v>
      </c>
      <c r="G3" s="171" t="s">
        <v>521</v>
      </c>
      <c r="H3" s="171"/>
      <c r="I3" s="171"/>
      <c r="J3" s="171"/>
      <c r="K3" s="171"/>
      <c r="L3" s="170" t="s">
        <v>515</v>
      </c>
      <c r="M3" s="172" t="s">
        <v>516</v>
      </c>
      <c r="N3" s="172" t="s">
        <v>517</v>
      </c>
      <c r="O3" s="172" t="s">
        <v>518</v>
      </c>
      <c r="P3" s="172" t="s">
        <v>519</v>
      </c>
      <c r="Q3" s="172" t="s">
        <v>520</v>
      </c>
      <c r="R3" s="171" t="s">
        <v>521</v>
      </c>
    </row>
    <row r="4" spans="1:18" x14ac:dyDescent="0.25">
      <c r="A4" s="169">
        <v>42005</v>
      </c>
      <c r="B4" s="116">
        <v>79.599999999999994</v>
      </c>
      <c r="C4" s="116">
        <v>78.099999999999994</v>
      </c>
      <c r="D4" s="116">
        <v>77.5</v>
      </c>
      <c r="E4" s="116">
        <v>78.5</v>
      </c>
      <c r="F4" s="116">
        <v>78.099999999999994</v>
      </c>
      <c r="G4">
        <v>1649</v>
      </c>
      <c r="H4" s="116"/>
      <c r="I4" s="116"/>
      <c r="L4" s="169">
        <v>42005</v>
      </c>
      <c r="M4" s="116">
        <v>78.05</v>
      </c>
      <c r="N4" s="116">
        <v>79</v>
      </c>
      <c r="O4" s="116">
        <v>77.099999999999994</v>
      </c>
      <c r="P4" s="116">
        <v>78</v>
      </c>
      <c r="Q4" s="116">
        <v>78.05</v>
      </c>
      <c r="R4">
        <v>4424</v>
      </c>
    </row>
    <row r="5" spans="1:18" x14ac:dyDescent="0.25">
      <c r="A5" s="169">
        <v>42006</v>
      </c>
      <c r="B5" s="116">
        <v>81.5</v>
      </c>
      <c r="C5" s="116">
        <v>80.5</v>
      </c>
      <c r="D5" s="116">
        <v>78</v>
      </c>
      <c r="E5" s="116">
        <v>79.3</v>
      </c>
      <c r="F5" s="116">
        <v>80.5</v>
      </c>
      <c r="G5">
        <v>4470</v>
      </c>
      <c r="H5" s="116"/>
      <c r="I5" s="116"/>
      <c r="L5" s="169">
        <v>42006</v>
      </c>
      <c r="M5" s="116">
        <v>80.900000000000006</v>
      </c>
      <c r="N5" s="116">
        <v>81.55</v>
      </c>
      <c r="O5" s="116">
        <v>77.099999999999994</v>
      </c>
      <c r="P5" s="116">
        <v>78</v>
      </c>
      <c r="Q5" s="116">
        <v>80.900000000000006</v>
      </c>
      <c r="R5">
        <v>10261</v>
      </c>
    </row>
    <row r="6" spans="1:18" x14ac:dyDescent="0.25">
      <c r="A6" s="169">
        <v>42009</v>
      </c>
      <c r="B6" s="116">
        <v>81</v>
      </c>
      <c r="C6" s="116">
        <v>79.099999999999994</v>
      </c>
      <c r="D6" s="116">
        <v>78.8</v>
      </c>
      <c r="E6" s="116">
        <v>80</v>
      </c>
      <c r="F6" s="116">
        <v>79.099999999999994</v>
      </c>
      <c r="G6">
        <v>615</v>
      </c>
      <c r="H6" s="116"/>
      <c r="I6" s="116"/>
      <c r="L6" s="169">
        <v>42009</v>
      </c>
      <c r="M6" s="116">
        <v>79.400000000000006</v>
      </c>
      <c r="N6" s="116">
        <v>80.900000000000006</v>
      </c>
      <c r="O6" s="116">
        <v>78</v>
      </c>
      <c r="P6" s="116">
        <v>78</v>
      </c>
      <c r="Q6" s="116">
        <v>79.400000000000006</v>
      </c>
      <c r="R6">
        <v>3664</v>
      </c>
    </row>
    <row r="7" spans="1:18" x14ac:dyDescent="0.25">
      <c r="A7" s="169">
        <v>42010</v>
      </c>
      <c r="B7" s="116">
        <v>77.5</v>
      </c>
      <c r="C7" s="116">
        <v>76.25</v>
      </c>
      <c r="D7" s="116">
        <v>75.8</v>
      </c>
      <c r="E7" s="116">
        <v>77.05</v>
      </c>
      <c r="F7" s="116">
        <v>76.25</v>
      </c>
      <c r="G7">
        <v>11723</v>
      </c>
      <c r="H7" s="116"/>
      <c r="I7" s="116"/>
      <c r="L7" s="169">
        <v>42010</v>
      </c>
      <c r="M7" s="116">
        <v>76.099999999999994</v>
      </c>
      <c r="N7" s="116">
        <v>78.7</v>
      </c>
      <c r="O7" s="116">
        <v>75.349999999999994</v>
      </c>
      <c r="P7" s="116">
        <v>78.7</v>
      </c>
      <c r="Q7" s="116">
        <v>76.099999999999994</v>
      </c>
      <c r="R7">
        <v>4980</v>
      </c>
    </row>
    <row r="8" spans="1:18" x14ac:dyDescent="0.25">
      <c r="A8" s="169">
        <v>42011</v>
      </c>
      <c r="B8" s="116">
        <v>77.7</v>
      </c>
      <c r="C8" s="116">
        <v>74.45</v>
      </c>
      <c r="D8" s="116">
        <v>74</v>
      </c>
      <c r="E8" s="116">
        <v>77.7</v>
      </c>
      <c r="F8" s="116">
        <v>74.45</v>
      </c>
      <c r="G8">
        <v>1450</v>
      </c>
      <c r="H8" s="116"/>
      <c r="I8" s="116"/>
      <c r="L8" s="169">
        <v>42011</v>
      </c>
      <c r="M8" s="116">
        <v>74.45</v>
      </c>
      <c r="N8" s="116">
        <v>77.95</v>
      </c>
      <c r="O8" s="116">
        <v>73.95</v>
      </c>
      <c r="P8" s="116">
        <v>77.95</v>
      </c>
      <c r="Q8" s="116">
        <v>74.45</v>
      </c>
      <c r="R8">
        <v>5013</v>
      </c>
    </row>
    <row r="9" spans="1:18" x14ac:dyDescent="0.25">
      <c r="A9" s="169">
        <v>42012</v>
      </c>
      <c r="B9" s="116">
        <v>80</v>
      </c>
      <c r="C9" s="116">
        <v>78.650000000000006</v>
      </c>
      <c r="D9" s="116">
        <v>76</v>
      </c>
      <c r="E9" s="116">
        <v>76</v>
      </c>
      <c r="F9" s="116">
        <v>78.650000000000006</v>
      </c>
      <c r="G9">
        <v>2890</v>
      </c>
      <c r="H9" s="116"/>
      <c r="I9" s="116"/>
      <c r="L9" s="169">
        <v>42012</v>
      </c>
      <c r="M9" s="116">
        <v>78.5</v>
      </c>
      <c r="N9" s="116">
        <v>80</v>
      </c>
      <c r="O9" s="116">
        <v>73.8</v>
      </c>
      <c r="P9" s="116">
        <v>73.8</v>
      </c>
      <c r="Q9" s="116">
        <v>78.5</v>
      </c>
      <c r="R9">
        <v>10798</v>
      </c>
    </row>
    <row r="10" spans="1:18" x14ac:dyDescent="0.25">
      <c r="A10" s="169">
        <v>42013</v>
      </c>
      <c r="B10" s="116">
        <v>80.349999999999994</v>
      </c>
      <c r="C10" s="116">
        <v>77.7</v>
      </c>
      <c r="D10" s="116">
        <v>77.3</v>
      </c>
      <c r="E10" s="116">
        <v>79</v>
      </c>
      <c r="F10" s="116">
        <v>77.7</v>
      </c>
      <c r="G10">
        <v>1181</v>
      </c>
      <c r="H10" s="116"/>
      <c r="I10" s="116"/>
      <c r="L10" s="169">
        <v>42013</v>
      </c>
      <c r="M10" s="116">
        <v>77.3</v>
      </c>
      <c r="N10" s="116">
        <v>80.7</v>
      </c>
      <c r="O10" s="116">
        <v>77.099999999999994</v>
      </c>
      <c r="P10" s="116">
        <v>78</v>
      </c>
      <c r="Q10" s="116">
        <v>77.3</v>
      </c>
      <c r="R10">
        <v>5956</v>
      </c>
    </row>
    <row r="11" spans="1:18" x14ac:dyDescent="0.25">
      <c r="A11" s="169">
        <v>42016</v>
      </c>
      <c r="B11" s="116">
        <v>76.7</v>
      </c>
      <c r="C11" s="116">
        <v>76.05</v>
      </c>
      <c r="D11" s="116">
        <v>75.2</v>
      </c>
      <c r="E11" s="116">
        <v>76.599999999999994</v>
      </c>
      <c r="F11" s="116">
        <v>76.05</v>
      </c>
      <c r="G11">
        <v>4192</v>
      </c>
      <c r="H11" s="116"/>
      <c r="I11" s="116"/>
      <c r="L11" s="169">
        <v>42016</v>
      </c>
      <c r="M11" s="116">
        <v>76.150000000000006</v>
      </c>
      <c r="N11" s="116">
        <v>78.3</v>
      </c>
      <c r="O11" s="116">
        <v>75.150000000000006</v>
      </c>
      <c r="P11" s="116">
        <v>78.3</v>
      </c>
      <c r="Q11" s="116">
        <v>76.150000000000006</v>
      </c>
      <c r="R11">
        <v>6384</v>
      </c>
    </row>
    <row r="12" spans="1:18" x14ac:dyDescent="0.25">
      <c r="A12" s="169">
        <v>42017</v>
      </c>
      <c r="B12" s="116">
        <v>77.400000000000006</v>
      </c>
      <c r="C12" s="116">
        <v>76.45</v>
      </c>
      <c r="D12" s="116">
        <v>76</v>
      </c>
      <c r="E12" s="116">
        <v>77</v>
      </c>
      <c r="F12" s="116">
        <v>76.45</v>
      </c>
      <c r="G12">
        <v>1102</v>
      </c>
      <c r="H12" s="116"/>
      <c r="I12" s="116"/>
      <c r="L12" s="169">
        <v>42017</v>
      </c>
      <c r="M12" s="116">
        <v>77.05</v>
      </c>
      <c r="N12" s="116">
        <v>80</v>
      </c>
      <c r="O12" s="116">
        <v>76</v>
      </c>
      <c r="P12" s="116">
        <v>76.099999999999994</v>
      </c>
      <c r="Q12" s="116">
        <v>77.05</v>
      </c>
      <c r="R12">
        <v>2659</v>
      </c>
    </row>
    <row r="13" spans="1:18" x14ac:dyDescent="0.25">
      <c r="A13" s="169">
        <v>42018</v>
      </c>
      <c r="B13" s="116">
        <v>77.2</v>
      </c>
      <c r="C13" s="116">
        <v>74.8</v>
      </c>
      <c r="D13" s="116">
        <v>74</v>
      </c>
      <c r="E13" s="116">
        <v>77.2</v>
      </c>
      <c r="F13" s="116">
        <v>74.8</v>
      </c>
      <c r="G13">
        <v>3150</v>
      </c>
      <c r="H13" s="116"/>
      <c r="I13" s="116"/>
      <c r="L13" s="169">
        <v>42018</v>
      </c>
      <c r="M13" s="116">
        <v>74.2</v>
      </c>
      <c r="N13" s="116">
        <v>78.2</v>
      </c>
      <c r="O13" s="116">
        <v>73.05</v>
      </c>
      <c r="P13" s="116">
        <v>76.5</v>
      </c>
      <c r="Q13" s="116">
        <v>74.2</v>
      </c>
      <c r="R13">
        <v>4433</v>
      </c>
    </row>
    <row r="14" spans="1:18" x14ac:dyDescent="0.25">
      <c r="A14" s="169">
        <v>42019</v>
      </c>
      <c r="B14" s="116">
        <v>76</v>
      </c>
      <c r="C14" s="116">
        <v>74.7</v>
      </c>
      <c r="D14" s="116">
        <v>74.05</v>
      </c>
      <c r="E14" s="116">
        <v>74.650000000000006</v>
      </c>
      <c r="F14" s="116">
        <v>74.7</v>
      </c>
      <c r="G14">
        <v>1701</v>
      </c>
      <c r="H14" s="116"/>
      <c r="I14" s="116"/>
      <c r="L14" s="169">
        <v>42019</v>
      </c>
      <c r="M14" s="116">
        <v>74.400000000000006</v>
      </c>
      <c r="N14" s="116">
        <v>76.400000000000006</v>
      </c>
      <c r="O14" s="116">
        <v>74</v>
      </c>
      <c r="P14" s="116">
        <v>74.599999999999994</v>
      </c>
      <c r="Q14" s="116">
        <v>74.400000000000006</v>
      </c>
      <c r="R14">
        <v>9523</v>
      </c>
    </row>
    <row r="15" spans="1:18" x14ac:dyDescent="0.25">
      <c r="A15" s="169">
        <v>42020</v>
      </c>
      <c r="B15" s="116">
        <v>74.900000000000006</v>
      </c>
      <c r="C15" s="116">
        <v>72.05</v>
      </c>
      <c r="D15" s="116">
        <v>70</v>
      </c>
      <c r="E15" s="116">
        <v>74.900000000000006</v>
      </c>
      <c r="F15" s="116">
        <v>72.05</v>
      </c>
      <c r="G15">
        <v>21358</v>
      </c>
      <c r="H15" s="116"/>
      <c r="I15" s="116"/>
      <c r="L15" s="169">
        <v>42020</v>
      </c>
      <c r="M15" s="116">
        <v>70.849999999999994</v>
      </c>
      <c r="N15" s="116">
        <v>75.8</v>
      </c>
      <c r="O15" s="116">
        <v>68.7</v>
      </c>
      <c r="P15" s="116">
        <v>74.05</v>
      </c>
      <c r="Q15" s="116">
        <v>70.849999999999994</v>
      </c>
      <c r="R15">
        <v>32551</v>
      </c>
    </row>
    <row r="16" spans="1:18" x14ac:dyDescent="0.25">
      <c r="A16" s="169">
        <v>42023</v>
      </c>
      <c r="B16" s="116">
        <v>73</v>
      </c>
      <c r="C16" s="116">
        <v>71.3</v>
      </c>
      <c r="D16" s="116">
        <v>71</v>
      </c>
      <c r="E16" s="116">
        <v>73</v>
      </c>
      <c r="F16" s="116">
        <v>71.3</v>
      </c>
      <c r="G16">
        <v>3382</v>
      </c>
      <c r="H16" s="116"/>
      <c r="I16" s="116"/>
      <c r="L16" s="169">
        <v>42023</v>
      </c>
      <c r="M16" s="116">
        <v>71.349999999999994</v>
      </c>
      <c r="N16" s="116">
        <v>73.2</v>
      </c>
      <c r="O16" s="116">
        <v>71</v>
      </c>
      <c r="P16" s="116">
        <v>72.5</v>
      </c>
      <c r="Q16" s="116">
        <v>71.349999999999994</v>
      </c>
      <c r="R16">
        <v>10127</v>
      </c>
    </row>
    <row r="17" spans="1:18" x14ac:dyDescent="0.25">
      <c r="A17" s="169">
        <v>42024</v>
      </c>
      <c r="B17" s="116">
        <v>74.349999999999994</v>
      </c>
      <c r="C17" s="116">
        <v>70.849999999999994</v>
      </c>
      <c r="D17" s="116">
        <v>68</v>
      </c>
      <c r="E17" s="116">
        <v>72.099999999999994</v>
      </c>
      <c r="F17" s="116">
        <v>70.849999999999994</v>
      </c>
      <c r="G17">
        <v>14219</v>
      </c>
      <c r="H17" s="116"/>
      <c r="I17" s="116"/>
      <c r="L17" s="169">
        <v>42024</v>
      </c>
      <c r="M17" s="116">
        <v>71.05</v>
      </c>
      <c r="N17" s="116">
        <v>74.7</v>
      </c>
      <c r="O17" s="116">
        <v>68.150000000000006</v>
      </c>
      <c r="P17" s="116">
        <v>74.7</v>
      </c>
      <c r="Q17" s="116">
        <v>71.05</v>
      </c>
      <c r="R17">
        <v>39126</v>
      </c>
    </row>
    <row r="18" spans="1:18" x14ac:dyDescent="0.25">
      <c r="A18" s="169">
        <v>42025</v>
      </c>
      <c r="B18" s="116">
        <v>72.55</v>
      </c>
      <c r="C18" s="116">
        <v>71.099999999999994</v>
      </c>
      <c r="D18" s="116">
        <v>69.650000000000006</v>
      </c>
      <c r="E18" s="116">
        <v>72.5</v>
      </c>
      <c r="F18" s="116">
        <v>71.099999999999994</v>
      </c>
      <c r="G18">
        <v>6326</v>
      </c>
      <c r="H18" s="116"/>
      <c r="I18" s="116"/>
      <c r="L18" s="169">
        <v>42025</v>
      </c>
      <c r="M18" s="116">
        <v>71</v>
      </c>
      <c r="N18" s="116">
        <v>73.45</v>
      </c>
      <c r="O18" s="116">
        <v>69.55</v>
      </c>
      <c r="P18" s="116">
        <v>73</v>
      </c>
      <c r="Q18" s="116">
        <v>71</v>
      </c>
      <c r="R18">
        <v>8109</v>
      </c>
    </row>
    <row r="19" spans="1:18" x14ac:dyDescent="0.25">
      <c r="A19" s="169">
        <v>42026</v>
      </c>
      <c r="B19" s="116">
        <v>72</v>
      </c>
      <c r="C19" s="116">
        <v>70.75</v>
      </c>
      <c r="D19" s="116">
        <v>70</v>
      </c>
      <c r="E19" s="116">
        <v>70</v>
      </c>
      <c r="F19" s="116">
        <v>70.75</v>
      </c>
      <c r="G19">
        <v>3657</v>
      </c>
      <c r="H19" s="116"/>
      <c r="I19" s="116"/>
      <c r="L19" s="169">
        <v>42026</v>
      </c>
      <c r="M19" s="116">
        <v>70.150000000000006</v>
      </c>
      <c r="N19" s="116">
        <v>71.7</v>
      </c>
      <c r="O19" s="116">
        <v>69.8</v>
      </c>
      <c r="P19" s="116">
        <v>70</v>
      </c>
      <c r="Q19" s="116">
        <v>70.150000000000006</v>
      </c>
      <c r="R19">
        <v>7534</v>
      </c>
    </row>
    <row r="20" spans="1:18" x14ac:dyDescent="0.25">
      <c r="A20" s="169">
        <v>42027</v>
      </c>
      <c r="B20" s="116">
        <v>72.7</v>
      </c>
      <c r="C20" s="116">
        <v>70.25</v>
      </c>
      <c r="D20" s="116">
        <v>70</v>
      </c>
      <c r="E20" s="116">
        <v>71.8</v>
      </c>
      <c r="F20" s="116">
        <v>70.25</v>
      </c>
      <c r="G20">
        <v>5784</v>
      </c>
      <c r="H20" s="116"/>
      <c r="I20" s="116"/>
      <c r="L20" s="169">
        <v>42027</v>
      </c>
      <c r="M20" s="116">
        <v>70.3</v>
      </c>
      <c r="N20" s="116">
        <v>72.7</v>
      </c>
      <c r="O20" s="116">
        <v>69.95</v>
      </c>
      <c r="P20" s="116">
        <v>71</v>
      </c>
      <c r="Q20" s="116">
        <v>70.3</v>
      </c>
      <c r="R20">
        <v>14660</v>
      </c>
    </row>
    <row r="21" spans="1:18" x14ac:dyDescent="0.25">
      <c r="A21" s="169">
        <v>42031</v>
      </c>
      <c r="B21" s="116">
        <v>71.95</v>
      </c>
      <c r="C21" s="116">
        <v>70.95</v>
      </c>
      <c r="D21" s="116">
        <v>69</v>
      </c>
      <c r="E21" s="116">
        <v>71</v>
      </c>
      <c r="F21" s="116">
        <v>70.95</v>
      </c>
      <c r="G21">
        <v>5727</v>
      </c>
      <c r="H21" s="116"/>
      <c r="I21" s="116"/>
      <c r="L21" s="169">
        <v>42031</v>
      </c>
      <c r="M21" s="116">
        <v>70.8</v>
      </c>
      <c r="N21" s="116">
        <v>71.5</v>
      </c>
      <c r="O21" s="116">
        <v>68.05</v>
      </c>
      <c r="P21" s="116">
        <v>69.8</v>
      </c>
      <c r="Q21" s="116">
        <v>70.8</v>
      </c>
      <c r="R21">
        <v>10065</v>
      </c>
    </row>
    <row r="22" spans="1:18" x14ac:dyDescent="0.25">
      <c r="A22" s="169">
        <v>42032</v>
      </c>
      <c r="B22" s="116">
        <v>74.900000000000006</v>
      </c>
      <c r="C22" s="116">
        <v>73.900000000000006</v>
      </c>
      <c r="D22" s="116">
        <v>70.2</v>
      </c>
      <c r="E22" s="116">
        <v>70.8</v>
      </c>
      <c r="F22" s="116">
        <v>73.900000000000006</v>
      </c>
      <c r="G22">
        <v>5305</v>
      </c>
      <c r="H22" s="116"/>
      <c r="I22" s="116"/>
      <c r="L22" s="169">
        <v>42032</v>
      </c>
      <c r="M22" s="116">
        <v>73.95</v>
      </c>
      <c r="N22" s="116">
        <v>74.8</v>
      </c>
      <c r="O22" s="116">
        <v>69.599999999999994</v>
      </c>
      <c r="P22" s="116">
        <v>70.5</v>
      </c>
      <c r="Q22" s="116">
        <v>73.95</v>
      </c>
      <c r="R22">
        <v>14367</v>
      </c>
    </row>
    <row r="23" spans="1:18" x14ac:dyDescent="0.25">
      <c r="A23" s="169">
        <v>42033</v>
      </c>
      <c r="B23" s="116">
        <v>81.7</v>
      </c>
      <c r="C23" s="116">
        <v>80.150000000000006</v>
      </c>
      <c r="D23" s="116">
        <v>72.75</v>
      </c>
      <c r="E23" s="116">
        <v>72.75</v>
      </c>
      <c r="F23" s="116">
        <v>80.150000000000006</v>
      </c>
      <c r="G23">
        <v>21937</v>
      </c>
      <c r="H23" s="116"/>
      <c r="I23" s="116"/>
      <c r="L23" s="169">
        <v>42033</v>
      </c>
      <c r="M23" s="116">
        <v>80.099999999999994</v>
      </c>
      <c r="N23" s="116">
        <v>81.849999999999994</v>
      </c>
      <c r="O23" s="116">
        <v>71.75</v>
      </c>
      <c r="P23" s="116">
        <v>71.75</v>
      </c>
      <c r="Q23" s="116">
        <v>80.099999999999994</v>
      </c>
      <c r="R23">
        <v>43541</v>
      </c>
    </row>
    <row r="24" spans="1:18" x14ac:dyDescent="0.25">
      <c r="A24" s="169">
        <v>42034</v>
      </c>
      <c r="B24" s="116">
        <v>82.2</v>
      </c>
      <c r="C24" s="116">
        <v>80.7</v>
      </c>
      <c r="D24" s="116">
        <v>77.599999999999994</v>
      </c>
      <c r="E24" s="116">
        <v>78.05</v>
      </c>
      <c r="F24" s="116">
        <v>80.7</v>
      </c>
      <c r="G24">
        <v>14067</v>
      </c>
      <c r="H24" s="116"/>
      <c r="I24" s="116"/>
      <c r="L24" s="169">
        <v>42034</v>
      </c>
      <c r="M24" s="116">
        <v>81.2</v>
      </c>
      <c r="N24" s="116">
        <v>82</v>
      </c>
      <c r="O24" s="116">
        <v>77.650000000000006</v>
      </c>
      <c r="P24" s="116">
        <v>80</v>
      </c>
      <c r="Q24" s="116">
        <v>81.2</v>
      </c>
      <c r="R24">
        <v>23572</v>
      </c>
    </row>
    <row r="25" spans="1:18" x14ac:dyDescent="0.25">
      <c r="A25" s="169">
        <v>42037</v>
      </c>
      <c r="B25" s="116">
        <v>82</v>
      </c>
      <c r="C25" s="116">
        <v>81.55</v>
      </c>
      <c r="D25" s="116">
        <v>80.099999999999994</v>
      </c>
      <c r="E25" s="116">
        <v>81</v>
      </c>
      <c r="F25" s="116">
        <v>81.55</v>
      </c>
      <c r="G25">
        <v>4746</v>
      </c>
      <c r="H25" s="116"/>
      <c r="I25" s="116"/>
      <c r="L25" s="169">
        <v>42037</v>
      </c>
      <c r="M25" s="116">
        <v>81.25</v>
      </c>
      <c r="N25" s="116">
        <v>82</v>
      </c>
      <c r="O25" s="116">
        <v>80.5</v>
      </c>
      <c r="P25" s="116">
        <v>80.5</v>
      </c>
      <c r="Q25" s="116">
        <v>81.25</v>
      </c>
      <c r="R25">
        <v>5453</v>
      </c>
    </row>
    <row r="26" spans="1:18" x14ac:dyDescent="0.25">
      <c r="A26" s="169">
        <v>42038</v>
      </c>
      <c r="B26" s="116">
        <v>81.75</v>
      </c>
      <c r="C26" s="116">
        <v>78.3</v>
      </c>
      <c r="D26" s="116">
        <v>77.8</v>
      </c>
      <c r="E26" s="116">
        <v>81.75</v>
      </c>
      <c r="F26" s="116">
        <v>78.3</v>
      </c>
      <c r="G26">
        <v>7063</v>
      </c>
      <c r="H26" s="116"/>
      <c r="I26" s="116"/>
      <c r="L26" s="169">
        <v>42038</v>
      </c>
      <c r="M26" s="116">
        <v>78.2</v>
      </c>
      <c r="N26" s="116">
        <v>82.5</v>
      </c>
      <c r="O26" s="116">
        <v>77</v>
      </c>
      <c r="P26" s="116">
        <v>80.5</v>
      </c>
      <c r="Q26" s="116">
        <v>78.2</v>
      </c>
      <c r="R26">
        <v>10866</v>
      </c>
    </row>
    <row r="27" spans="1:18" x14ac:dyDescent="0.25">
      <c r="A27" s="169">
        <v>42039</v>
      </c>
      <c r="B27" s="116">
        <v>80.099999999999994</v>
      </c>
      <c r="C27" s="116">
        <v>80</v>
      </c>
      <c r="D27" s="116">
        <v>78</v>
      </c>
      <c r="E27" s="116">
        <v>78</v>
      </c>
      <c r="F27" s="116">
        <v>80</v>
      </c>
      <c r="G27">
        <v>1728</v>
      </c>
      <c r="H27" s="116"/>
      <c r="I27" s="116"/>
      <c r="L27" s="169">
        <v>42039</v>
      </c>
      <c r="M27" s="116">
        <v>79.55</v>
      </c>
      <c r="N27" s="116">
        <v>80.45</v>
      </c>
      <c r="O27" s="116">
        <v>76.75</v>
      </c>
      <c r="P27" s="116">
        <v>78</v>
      </c>
      <c r="Q27" s="116">
        <v>79.55</v>
      </c>
      <c r="R27">
        <v>2812</v>
      </c>
    </row>
    <row r="28" spans="1:18" x14ac:dyDescent="0.25">
      <c r="A28" s="169">
        <v>42040</v>
      </c>
      <c r="B28" s="116">
        <v>80.95</v>
      </c>
      <c r="C28" s="116">
        <v>79.400000000000006</v>
      </c>
      <c r="D28" s="116">
        <v>79.150000000000006</v>
      </c>
      <c r="E28" s="116">
        <v>79.400000000000006</v>
      </c>
      <c r="F28" s="116">
        <v>79.400000000000006</v>
      </c>
      <c r="G28">
        <v>9893</v>
      </c>
      <c r="H28" s="116"/>
      <c r="I28" s="116"/>
      <c r="L28" s="169">
        <v>42040</v>
      </c>
      <c r="M28" s="116">
        <v>79.3</v>
      </c>
      <c r="N28" s="116">
        <v>80.900000000000006</v>
      </c>
      <c r="O28" s="116">
        <v>78.75</v>
      </c>
      <c r="P28" s="116">
        <v>79</v>
      </c>
      <c r="Q28" s="116">
        <v>79.3</v>
      </c>
      <c r="R28">
        <v>15841</v>
      </c>
    </row>
    <row r="29" spans="1:18" x14ac:dyDescent="0.25">
      <c r="A29" s="169">
        <v>42041</v>
      </c>
      <c r="B29" s="116">
        <v>79.5</v>
      </c>
      <c r="C29" s="116">
        <v>77.2</v>
      </c>
      <c r="D29" s="116">
        <v>76.599999999999994</v>
      </c>
      <c r="E29" s="116">
        <v>78.55</v>
      </c>
      <c r="F29" s="116">
        <v>77.2</v>
      </c>
      <c r="G29">
        <v>3270</v>
      </c>
      <c r="H29" s="116"/>
      <c r="I29" s="116"/>
      <c r="L29" s="169">
        <v>42041</v>
      </c>
      <c r="M29" s="116">
        <v>77.349999999999994</v>
      </c>
      <c r="N29" s="116">
        <v>79.349999999999994</v>
      </c>
      <c r="O29" s="116">
        <v>75.8</v>
      </c>
      <c r="P29" s="116">
        <v>79</v>
      </c>
      <c r="Q29" s="116">
        <v>77.349999999999994</v>
      </c>
      <c r="R29">
        <v>9394</v>
      </c>
    </row>
    <row r="30" spans="1:18" x14ac:dyDescent="0.25">
      <c r="A30" s="169">
        <v>42044</v>
      </c>
      <c r="B30" s="116">
        <v>78.25</v>
      </c>
      <c r="C30" s="116">
        <v>77</v>
      </c>
      <c r="D30" s="116">
        <v>76.400000000000006</v>
      </c>
      <c r="E30" s="116">
        <v>78</v>
      </c>
      <c r="F30" s="116">
        <v>77</v>
      </c>
      <c r="G30">
        <v>2917</v>
      </c>
      <c r="H30" s="116"/>
      <c r="I30" s="116"/>
      <c r="L30" s="169">
        <v>42044</v>
      </c>
      <c r="M30" s="116">
        <v>77.099999999999994</v>
      </c>
      <c r="N30" s="116">
        <v>78</v>
      </c>
      <c r="O30" s="116">
        <v>75.099999999999994</v>
      </c>
      <c r="P30" s="116">
        <v>77</v>
      </c>
      <c r="Q30" s="116">
        <v>77.099999999999994</v>
      </c>
      <c r="R30">
        <v>4122</v>
      </c>
    </row>
    <row r="31" spans="1:18" x14ac:dyDescent="0.25">
      <c r="A31" s="169">
        <v>42045</v>
      </c>
      <c r="B31" s="116">
        <v>77.3</v>
      </c>
      <c r="C31" s="116">
        <v>76</v>
      </c>
      <c r="D31" s="116">
        <v>75</v>
      </c>
      <c r="E31" s="116">
        <v>76.7</v>
      </c>
      <c r="F31" s="116">
        <v>76</v>
      </c>
      <c r="G31">
        <v>4193</v>
      </c>
      <c r="H31" s="116"/>
      <c r="I31" s="116"/>
      <c r="L31" s="169">
        <v>42045</v>
      </c>
      <c r="M31" s="116">
        <v>76.05</v>
      </c>
      <c r="N31" s="116">
        <v>78</v>
      </c>
      <c r="O31" s="116">
        <v>75.650000000000006</v>
      </c>
      <c r="P31" s="116">
        <v>78</v>
      </c>
      <c r="Q31" s="116">
        <v>76.05</v>
      </c>
      <c r="R31">
        <v>2425</v>
      </c>
    </row>
    <row r="32" spans="1:18" x14ac:dyDescent="0.25">
      <c r="A32" s="169">
        <v>42046</v>
      </c>
      <c r="B32" s="116">
        <v>77.849999999999994</v>
      </c>
      <c r="C32" s="116">
        <v>75.349999999999994</v>
      </c>
      <c r="D32" s="116">
        <v>75.099999999999994</v>
      </c>
      <c r="E32" s="116">
        <v>77.849999999999994</v>
      </c>
      <c r="F32" s="116">
        <v>75.349999999999994</v>
      </c>
      <c r="G32">
        <v>2702</v>
      </c>
      <c r="H32" s="116"/>
      <c r="I32" s="116"/>
      <c r="L32" s="169">
        <v>42046</v>
      </c>
      <c r="M32" s="116">
        <v>75.650000000000006</v>
      </c>
      <c r="N32" s="116">
        <v>77.95</v>
      </c>
      <c r="O32" s="116">
        <v>74.7</v>
      </c>
      <c r="P32" s="116">
        <v>76.5</v>
      </c>
      <c r="Q32" s="116">
        <v>75.650000000000006</v>
      </c>
      <c r="R32">
        <v>7161</v>
      </c>
    </row>
    <row r="33" spans="1:18" x14ac:dyDescent="0.25">
      <c r="A33" s="169">
        <v>42047</v>
      </c>
      <c r="B33" s="116">
        <v>76.75</v>
      </c>
      <c r="C33" s="116">
        <v>75.95</v>
      </c>
      <c r="D33" s="116">
        <v>75.099999999999994</v>
      </c>
      <c r="E33" s="116">
        <v>76.099999999999994</v>
      </c>
      <c r="F33" s="116">
        <v>75.95</v>
      </c>
      <c r="G33">
        <v>789</v>
      </c>
      <c r="H33" s="116"/>
      <c r="I33" s="116"/>
      <c r="L33" s="169">
        <v>42047</v>
      </c>
      <c r="M33" s="116">
        <v>75.5</v>
      </c>
      <c r="N33" s="116">
        <v>77</v>
      </c>
      <c r="O33" s="116">
        <v>74.3</v>
      </c>
      <c r="P33" s="116">
        <v>75.55</v>
      </c>
      <c r="Q33" s="116">
        <v>75.5</v>
      </c>
      <c r="R33">
        <v>3366</v>
      </c>
    </row>
    <row r="34" spans="1:18" x14ac:dyDescent="0.25">
      <c r="A34" s="169">
        <v>42048</v>
      </c>
      <c r="B34" s="116">
        <v>76.75</v>
      </c>
      <c r="C34" s="116">
        <v>76.400000000000006</v>
      </c>
      <c r="D34" s="116">
        <v>75</v>
      </c>
      <c r="E34" s="116">
        <v>76</v>
      </c>
      <c r="F34" s="116">
        <v>76.400000000000006</v>
      </c>
      <c r="G34">
        <v>1183</v>
      </c>
      <c r="H34" s="116"/>
      <c r="I34" s="116"/>
      <c r="L34" s="169">
        <v>42048</v>
      </c>
      <c r="M34" s="116">
        <v>76.3</v>
      </c>
      <c r="N34" s="116">
        <v>77.75</v>
      </c>
      <c r="O34" s="116">
        <v>75</v>
      </c>
      <c r="P34" s="116">
        <v>76.400000000000006</v>
      </c>
      <c r="Q34" s="116">
        <v>76.3</v>
      </c>
      <c r="R34">
        <v>1890</v>
      </c>
    </row>
    <row r="35" spans="1:18" x14ac:dyDescent="0.25">
      <c r="A35" s="169">
        <v>42051</v>
      </c>
      <c r="B35" s="116">
        <v>77.599999999999994</v>
      </c>
      <c r="C35" s="116">
        <v>75.650000000000006</v>
      </c>
      <c r="D35" s="116">
        <v>74.900000000000006</v>
      </c>
      <c r="E35" s="116">
        <v>75.3</v>
      </c>
      <c r="F35" s="116">
        <v>75.650000000000006</v>
      </c>
      <c r="G35">
        <v>103</v>
      </c>
      <c r="H35" s="116"/>
      <c r="I35" s="116"/>
      <c r="L35" s="169">
        <v>42051</v>
      </c>
      <c r="M35" s="116">
        <v>76.05</v>
      </c>
      <c r="N35" s="116">
        <v>78.55</v>
      </c>
      <c r="O35" s="116">
        <v>75</v>
      </c>
      <c r="P35" s="116">
        <v>75.7</v>
      </c>
      <c r="Q35" s="116">
        <v>76.05</v>
      </c>
      <c r="R35">
        <v>2245</v>
      </c>
    </row>
    <row r="36" spans="1:18" x14ac:dyDescent="0.25">
      <c r="A36" s="169">
        <v>42053</v>
      </c>
      <c r="B36" s="116">
        <v>78.099999999999994</v>
      </c>
      <c r="C36" s="116">
        <v>77.25</v>
      </c>
      <c r="D36" s="116">
        <v>75.5</v>
      </c>
      <c r="E36" s="116">
        <v>75.5</v>
      </c>
      <c r="F36" s="116">
        <v>77.25</v>
      </c>
      <c r="G36">
        <v>1490</v>
      </c>
      <c r="H36" s="116"/>
      <c r="I36" s="116"/>
      <c r="L36" s="169">
        <v>42053</v>
      </c>
      <c r="M36" s="116">
        <v>77.5</v>
      </c>
      <c r="N36" s="116">
        <v>79</v>
      </c>
      <c r="O36" s="116">
        <v>75.2</v>
      </c>
      <c r="P36" s="116">
        <v>75.7</v>
      </c>
      <c r="Q36" s="116">
        <v>77.5</v>
      </c>
      <c r="R36">
        <v>2765</v>
      </c>
    </row>
    <row r="37" spans="1:18" x14ac:dyDescent="0.25">
      <c r="A37" s="169">
        <v>42054</v>
      </c>
      <c r="B37" s="116">
        <v>77.8</v>
      </c>
      <c r="C37" s="116">
        <v>75.400000000000006</v>
      </c>
      <c r="D37" s="116">
        <v>74.900000000000006</v>
      </c>
      <c r="E37" s="116">
        <v>77.3</v>
      </c>
      <c r="F37" s="116">
        <v>75.400000000000006</v>
      </c>
      <c r="G37">
        <v>1505</v>
      </c>
      <c r="H37" s="116"/>
      <c r="I37" s="116"/>
      <c r="L37" s="169">
        <v>42054</v>
      </c>
      <c r="M37" s="116">
        <v>75.2</v>
      </c>
      <c r="N37" s="116">
        <v>81.3</v>
      </c>
      <c r="O37" s="116">
        <v>75</v>
      </c>
      <c r="P37" s="116">
        <v>77</v>
      </c>
      <c r="Q37" s="116">
        <v>75.2</v>
      </c>
      <c r="R37">
        <v>4504</v>
      </c>
    </row>
    <row r="38" spans="1:18" x14ac:dyDescent="0.25">
      <c r="A38" s="169">
        <v>42055</v>
      </c>
      <c r="B38" s="116">
        <v>78.900000000000006</v>
      </c>
      <c r="C38" s="116">
        <v>77.75</v>
      </c>
      <c r="D38" s="116">
        <v>74.8</v>
      </c>
      <c r="E38" s="116">
        <v>74.8</v>
      </c>
      <c r="F38" s="116">
        <v>77.75</v>
      </c>
      <c r="G38">
        <v>1542</v>
      </c>
      <c r="H38" s="116"/>
      <c r="I38" s="116"/>
      <c r="L38" s="169">
        <v>42055</v>
      </c>
      <c r="M38" s="116">
        <v>77.95</v>
      </c>
      <c r="N38" s="116">
        <v>78.650000000000006</v>
      </c>
      <c r="O38" s="116">
        <v>74.2</v>
      </c>
      <c r="P38" s="116">
        <v>75</v>
      </c>
      <c r="Q38" s="116">
        <v>77.95</v>
      </c>
      <c r="R38">
        <v>1517</v>
      </c>
    </row>
    <row r="39" spans="1:18" x14ac:dyDescent="0.25">
      <c r="A39" s="169">
        <v>42058</v>
      </c>
      <c r="B39" s="116">
        <v>78.25</v>
      </c>
      <c r="C39" s="116">
        <v>78.05</v>
      </c>
      <c r="D39" s="116">
        <v>77.5</v>
      </c>
      <c r="E39" s="116">
        <v>77.5</v>
      </c>
      <c r="F39" s="116">
        <v>78.05</v>
      </c>
      <c r="G39">
        <v>724</v>
      </c>
      <c r="H39" s="116"/>
      <c r="I39" s="116"/>
      <c r="L39" s="169">
        <v>42058</v>
      </c>
      <c r="M39" s="116">
        <v>78</v>
      </c>
      <c r="N39" s="116">
        <v>78.400000000000006</v>
      </c>
      <c r="O39" s="116">
        <v>77.05</v>
      </c>
      <c r="P39" s="116">
        <v>77.95</v>
      </c>
      <c r="Q39" s="116">
        <v>78</v>
      </c>
      <c r="R39">
        <v>2934</v>
      </c>
    </row>
    <row r="40" spans="1:18" x14ac:dyDescent="0.25">
      <c r="A40" s="169">
        <v>42059</v>
      </c>
      <c r="B40" s="116">
        <v>80</v>
      </c>
      <c r="C40" s="116">
        <v>77.599999999999994</v>
      </c>
      <c r="D40" s="116">
        <v>76.099999999999994</v>
      </c>
      <c r="E40" s="116">
        <v>76.400000000000006</v>
      </c>
      <c r="F40" s="116">
        <v>77.599999999999994</v>
      </c>
      <c r="G40">
        <v>3988</v>
      </c>
      <c r="H40" s="116"/>
      <c r="I40" s="116"/>
      <c r="L40" s="169">
        <v>42059</v>
      </c>
      <c r="M40" s="116">
        <v>78.05</v>
      </c>
      <c r="N40" s="116">
        <v>79.5</v>
      </c>
      <c r="O40" s="116">
        <v>75.5</v>
      </c>
      <c r="P40" s="116">
        <v>77.5</v>
      </c>
      <c r="Q40" s="116">
        <v>78.05</v>
      </c>
      <c r="R40">
        <v>1584</v>
      </c>
    </row>
    <row r="41" spans="1:18" x14ac:dyDescent="0.25">
      <c r="A41" s="169">
        <v>42060</v>
      </c>
      <c r="B41" s="116">
        <v>78.650000000000006</v>
      </c>
      <c r="C41" s="116">
        <v>75.099999999999994</v>
      </c>
      <c r="D41" s="116">
        <v>74.650000000000006</v>
      </c>
      <c r="E41" s="116">
        <v>77.45</v>
      </c>
      <c r="F41" s="116">
        <v>75.099999999999994</v>
      </c>
      <c r="G41">
        <v>1741</v>
      </c>
      <c r="H41" s="116"/>
      <c r="I41" s="116"/>
      <c r="L41" s="169">
        <v>42060</v>
      </c>
      <c r="M41" s="116">
        <v>75.099999999999994</v>
      </c>
      <c r="N41" s="116">
        <v>78.8</v>
      </c>
      <c r="O41" s="116">
        <v>75.05</v>
      </c>
      <c r="P41" s="116">
        <v>78</v>
      </c>
      <c r="Q41" s="116">
        <v>75.099999999999994</v>
      </c>
      <c r="R41">
        <v>6270</v>
      </c>
    </row>
    <row r="42" spans="1:18" x14ac:dyDescent="0.25">
      <c r="A42" s="169">
        <v>42061</v>
      </c>
      <c r="B42" s="116">
        <v>75</v>
      </c>
      <c r="C42" s="116">
        <v>74.5</v>
      </c>
      <c r="D42" s="116">
        <v>73.05</v>
      </c>
      <c r="E42" s="116">
        <v>75</v>
      </c>
      <c r="F42" s="116">
        <v>74.5</v>
      </c>
      <c r="G42">
        <v>3932</v>
      </c>
      <c r="H42" s="116"/>
      <c r="I42" s="116"/>
      <c r="L42" s="169">
        <v>42061</v>
      </c>
      <c r="M42" s="116">
        <v>74.5</v>
      </c>
      <c r="N42" s="116">
        <v>77.900000000000006</v>
      </c>
      <c r="O42" s="116">
        <v>72.5</v>
      </c>
      <c r="P42" s="116">
        <v>74.5</v>
      </c>
      <c r="Q42" s="116">
        <v>74.5</v>
      </c>
      <c r="R42">
        <v>4430</v>
      </c>
    </row>
    <row r="43" spans="1:18" x14ac:dyDescent="0.25">
      <c r="A43" s="169">
        <v>42062</v>
      </c>
      <c r="B43" s="116">
        <v>75.099999999999994</v>
      </c>
      <c r="C43" s="116">
        <v>74.849999999999994</v>
      </c>
      <c r="D43" s="116">
        <v>74.5</v>
      </c>
      <c r="E43" s="116">
        <v>74.7</v>
      </c>
      <c r="F43" s="116">
        <v>74.849999999999994</v>
      </c>
      <c r="G43">
        <v>210</v>
      </c>
      <c r="H43" s="116"/>
      <c r="I43" s="116"/>
      <c r="L43" s="169">
        <v>42062</v>
      </c>
      <c r="M43" s="116">
        <v>74.2</v>
      </c>
      <c r="N43" s="116">
        <v>76.7</v>
      </c>
      <c r="O43" s="116">
        <v>73.2</v>
      </c>
      <c r="P43" s="116">
        <v>74</v>
      </c>
      <c r="Q43" s="116">
        <v>74.2</v>
      </c>
      <c r="R43">
        <v>2713</v>
      </c>
    </row>
    <row r="44" spans="1:18" x14ac:dyDescent="0.25">
      <c r="A44" s="169">
        <v>42063</v>
      </c>
      <c r="B44" s="116">
        <v>76.3</v>
      </c>
      <c r="C44" s="116">
        <v>74.7</v>
      </c>
      <c r="D44" s="116">
        <v>74.2</v>
      </c>
      <c r="E44" s="116">
        <v>74.2</v>
      </c>
      <c r="F44" s="116">
        <v>74.7</v>
      </c>
      <c r="G44">
        <v>708</v>
      </c>
      <c r="H44" s="116"/>
      <c r="I44" s="116"/>
      <c r="L44" s="169">
        <v>42063</v>
      </c>
      <c r="M44" s="116">
        <v>75</v>
      </c>
      <c r="N44" s="116">
        <v>76.45</v>
      </c>
      <c r="O44" s="116">
        <v>71.05</v>
      </c>
      <c r="P44" s="116">
        <v>73.3</v>
      </c>
      <c r="Q44" s="116">
        <v>75</v>
      </c>
      <c r="R44">
        <v>1708</v>
      </c>
    </row>
    <row r="45" spans="1:18" x14ac:dyDescent="0.25">
      <c r="A45" s="169">
        <v>42065</v>
      </c>
      <c r="B45" s="116">
        <v>89.6</v>
      </c>
      <c r="C45" s="116">
        <v>89.6</v>
      </c>
      <c r="D45" s="116">
        <v>74.150000000000006</v>
      </c>
      <c r="E45" s="116">
        <v>75</v>
      </c>
      <c r="F45" s="116">
        <v>89.6</v>
      </c>
      <c r="G45">
        <v>89135</v>
      </c>
      <c r="H45" s="116"/>
      <c r="I45" s="116"/>
      <c r="L45" s="169">
        <v>42065</v>
      </c>
      <c r="M45" s="116">
        <v>90</v>
      </c>
      <c r="N45" s="116">
        <v>90</v>
      </c>
      <c r="O45" s="116">
        <v>74.05</v>
      </c>
      <c r="P45" s="116">
        <v>75.599999999999994</v>
      </c>
      <c r="Q45" s="116">
        <v>90</v>
      </c>
      <c r="R45">
        <v>135661</v>
      </c>
    </row>
    <row r="46" spans="1:18" x14ac:dyDescent="0.25">
      <c r="A46" s="169">
        <v>42066</v>
      </c>
      <c r="B46" s="116">
        <v>107.5</v>
      </c>
      <c r="C46" s="116">
        <v>102.1</v>
      </c>
      <c r="D46" s="116">
        <v>90</v>
      </c>
      <c r="E46" s="116">
        <v>91</v>
      </c>
      <c r="F46" s="116">
        <v>102.1</v>
      </c>
      <c r="G46">
        <v>277400</v>
      </c>
      <c r="H46" s="116"/>
      <c r="I46" s="116"/>
      <c r="L46" s="169">
        <v>42066</v>
      </c>
      <c r="M46" s="116">
        <v>101.9</v>
      </c>
      <c r="N46" s="116">
        <v>107.95</v>
      </c>
      <c r="O46" s="116">
        <v>89.1</v>
      </c>
      <c r="P46" s="116">
        <v>91.8</v>
      </c>
      <c r="Q46" s="116">
        <v>101.9</v>
      </c>
      <c r="R46">
        <v>472814</v>
      </c>
    </row>
    <row r="47" spans="1:18" x14ac:dyDescent="0.25">
      <c r="A47" s="169">
        <v>42067</v>
      </c>
      <c r="B47" s="116">
        <v>103.8</v>
      </c>
      <c r="C47" s="116">
        <v>95.85</v>
      </c>
      <c r="D47" s="116">
        <v>94</v>
      </c>
      <c r="E47" s="116">
        <v>100</v>
      </c>
      <c r="F47" s="116">
        <v>95.85</v>
      </c>
      <c r="G47">
        <v>44058</v>
      </c>
      <c r="H47" s="116"/>
      <c r="I47" s="116"/>
      <c r="L47" s="169">
        <v>42067</v>
      </c>
      <c r="M47" s="116">
        <v>95.6</v>
      </c>
      <c r="N47" s="116">
        <v>103.75</v>
      </c>
      <c r="O47" s="116">
        <v>94.25</v>
      </c>
      <c r="P47" s="116">
        <v>103.75</v>
      </c>
      <c r="Q47" s="116">
        <v>95.6</v>
      </c>
      <c r="R47">
        <v>85668</v>
      </c>
    </row>
    <row r="48" spans="1:18" x14ac:dyDescent="0.25">
      <c r="A48" s="169">
        <v>42068</v>
      </c>
      <c r="B48" s="116">
        <v>99.5</v>
      </c>
      <c r="C48" s="116">
        <v>96.65</v>
      </c>
      <c r="D48" s="116">
        <v>96</v>
      </c>
      <c r="E48" s="116">
        <v>97.5</v>
      </c>
      <c r="F48" s="116">
        <v>96.65</v>
      </c>
      <c r="G48">
        <v>97156</v>
      </c>
      <c r="H48" s="116"/>
      <c r="I48" s="116"/>
      <c r="L48" s="169">
        <v>42068</v>
      </c>
      <c r="M48" s="116">
        <v>96.85</v>
      </c>
      <c r="N48" s="116">
        <v>100</v>
      </c>
      <c r="O48" s="116">
        <v>92.5</v>
      </c>
      <c r="P48" s="116">
        <v>92.5</v>
      </c>
      <c r="Q48" s="116">
        <v>96.85</v>
      </c>
      <c r="R48">
        <v>178888</v>
      </c>
    </row>
    <row r="49" spans="1:18" x14ac:dyDescent="0.25">
      <c r="A49" s="169">
        <v>42072</v>
      </c>
      <c r="B49" s="116">
        <v>99.3</v>
      </c>
      <c r="C49" s="116">
        <v>95</v>
      </c>
      <c r="D49" s="116">
        <v>94</v>
      </c>
      <c r="E49" s="116">
        <v>98.1</v>
      </c>
      <c r="F49" s="116">
        <v>95</v>
      </c>
      <c r="G49">
        <v>7575</v>
      </c>
      <c r="H49" s="116"/>
      <c r="I49" s="116"/>
      <c r="L49" s="169">
        <v>42072</v>
      </c>
      <c r="M49" s="116">
        <v>94.7</v>
      </c>
      <c r="N49" s="116">
        <v>99.75</v>
      </c>
      <c r="O49" s="116">
        <v>92.5</v>
      </c>
      <c r="P49" s="116">
        <v>97.95</v>
      </c>
      <c r="Q49" s="116">
        <v>94.7</v>
      </c>
      <c r="R49">
        <v>13756</v>
      </c>
    </row>
    <row r="50" spans="1:18" x14ac:dyDescent="0.25">
      <c r="A50" s="169">
        <v>42073</v>
      </c>
      <c r="B50" s="116">
        <v>95</v>
      </c>
      <c r="C50" s="116">
        <v>92.35</v>
      </c>
      <c r="D50" s="116">
        <v>91.25</v>
      </c>
      <c r="E50" s="116">
        <v>95</v>
      </c>
      <c r="F50" s="116">
        <v>92.35</v>
      </c>
      <c r="G50">
        <v>2954</v>
      </c>
      <c r="H50" s="116"/>
      <c r="I50" s="116"/>
      <c r="L50" s="169">
        <v>42073</v>
      </c>
      <c r="M50" s="116">
        <v>92.05</v>
      </c>
      <c r="N50" s="116">
        <v>95.5</v>
      </c>
      <c r="O50" s="116">
        <v>91.5</v>
      </c>
      <c r="P50" s="116">
        <v>94</v>
      </c>
      <c r="Q50" s="116">
        <v>92.05</v>
      </c>
      <c r="R50">
        <v>5619</v>
      </c>
    </row>
    <row r="51" spans="1:18" x14ac:dyDescent="0.25">
      <c r="A51" s="169">
        <v>42074</v>
      </c>
      <c r="B51" s="116">
        <v>90.05</v>
      </c>
      <c r="C51" s="116">
        <v>87.6</v>
      </c>
      <c r="D51" s="116">
        <v>86.1</v>
      </c>
      <c r="E51" s="116">
        <v>90</v>
      </c>
      <c r="F51" s="116">
        <v>87.6</v>
      </c>
      <c r="G51">
        <v>9507</v>
      </c>
      <c r="H51" s="116"/>
      <c r="I51" s="116"/>
      <c r="L51" s="169">
        <v>42074</v>
      </c>
      <c r="M51" s="116">
        <v>87.3</v>
      </c>
      <c r="N51" s="116">
        <v>92.95</v>
      </c>
      <c r="O51" s="116">
        <v>85.65</v>
      </c>
      <c r="P51" s="116">
        <v>90.1</v>
      </c>
      <c r="Q51" s="116">
        <v>87.3</v>
      </c>
      <c r="R51">
        <v>19841</v>
      </c>
    </row>
    <row r="52" spans="1:18" x14ac:dyDescent="0.25">
      <c r="A52" s="169">
        <v>42075</v>
      </c>
      <c r="B52" s="116">
        <v>88.7</v>
      </c>
      <c r="C52" s="116">
        <v>87.9</v>
      </c>
      <c r="D52" s="116">
        <v>86.4</v>
      </c>
      <c r="E52" s="116">
        <v>88</v>
      </c>
      <c r="F52" s="116">
        <v>87.9</v>
      </c>
      <c r="G52">
        <v>2866</v>
      </c>
      <c r="H52" s="116"/>
      <c r="I52" s="116"/>
      <c r="L52" s="169">
        <v>42075</v>
      </c>
      <c r="M52" s="116">
        <v>88.25</v>
      </c>
      <c r="N52" s="116">
        <v>89</v>
      </c>
      <c r="O52" s="116">
        <v>86.5</v>
      </c>
      <c r="P52" s="116">
        <v>88</v>
      </c>
      <c r="Q52" s="116">
        <v>88.25</v>
      </c>
      <c r="R52">
        <v>9621</v>
      </c>
    </row>
    <row r="53" spans="1:18" x14ac:dyDescent="0.25">
      <c r="A53" s="169">
        <v>42076</v>
      </c>
      <c r="B53" s="116">
        <v>89</v>
      </c>
      <c r="C53" s="116">
        <v>86.65</v>
      </c>
      <c r="D53" s="116">
        <v>82.15</v>
      </c>
      <c r="E53" s="116">
        <v>88.25</v>
      </c>
      <c r="F53" s="116">
        <v>86.65</v>
      </c>
      <c r="G53">
        <v>4662</v>
      </c>
      <c r="H53" s="116"/>
      <c r="I53" s="116"/>
      <c r="L53" s="169">
        <v>42076</v>
      </c>
      <c r="M53" s="116">
        <v>86.45</v>
      </c>
      <c r="N53" s="116">
        <v>89.85</v>
      </c>
      <c r="O53" s="116">
        <v>84.6</v>
      </c>
      <c r="P53" s="116">
        <v>87.5</v>
      </c>
      <c r="Q53" s="116">
        <v>86.45</v>
      </c>
      <c r="R53">
        <v>10121</v>
      </c>
    </row>
    <row r="54" spans="1:18" x14ac:dyDescent="0.25">
      <c r="A54" s="169">
        <v>42079</v>
      </c>
      <c r="B54" s="116">
        <v>86.15</v>
      </c>
      <c r="C54" s="116">
        <v>85.6</v>
      </c>
      <c r="D54" s="116">
        <v>83</v>
      </c>
      <c r="E54" s="116">
        <v>86.15</v>
      </c>
      <c r="F54" s="116">
        <v>85.6</v>
      </c>
      <c r="G54">
        <v>2104</v>
      </c>
      <c r="H54" s="116"/>
      <c r="I54" s="116"/>
      <c r="L54" s="169">
        <v>42079</v>
      </c>
      <c r="M54" s="116">
        <v>84.55</v>
      </c>
      <c r="N54" s="116">
        <v>86.95</v>
      </c>
      <c r="O54" s="116">
        <v>83.05</v>
      </c>
      <c r="P54" s="116">
        <v>86.5</v>
      </c>
      <c r="Q54" s="116">
        <v>84.55</v>
      </c>
      <c r="R54">
        <v>4600</v>
      </c>
    </row>
    <row r="55" spans="1:18" x14ac:dyDescent="0.25">
      <c r="A55" s="169">
        <v>42080</v>
      </c>
      <c r="B55" s="116">
        <v>87.05</v>
      </c>
      <c r="C55" s="116">
        <v>86.65</v>
      </c>
      <c r="D55" s="116">
        <v>83.7</v>
      </c>
      <c r="E55" s="116">
        <v>86.3</v>
      </c>
      <c r="F55" s="116">
        <v>86.65</v>
      </c>
      <c r="G55">
        <v>9543</v>
      </c>
      <c r="H55" s="116"/>
      <c r="I55" s="116"/>
      <c r="L55" s="169">
        <v>42080</v>
      </c>
      <c r="M55" s="116">
        <v>84.95</v>
      </c>
      <c r="N55" s="116">
        <v>87</v>
      </c>
      <c r="O55" s="116">
        <v>84</v>
      </c>
      <c r="P55" s="116">
        <v>84.55</v>
      </c>
      <c r="Q55" s="116">
        <v>84.95</v>
      </c>
      <c r="R55">
        <v>10000</v>
      </c>
    </row>
    <row r="56" spans="1:18" x14ac:dyDescent="0.25">
      <c r="A56" s="169">
        <v>42081</v>
      </c>
      <c r="B56" s="116">
        <v>85.25</v>
      </c>
      <c r="C56" s="116">
        <v>84.05</v>
      </c>
      <c r="D56" s="116">
        <v>83.2</v>
      </c>
      <c r="E56" s="116">
        <v>84.9</v>
      </c>
      <c r="F56" s="116">
        <v>84.05</v>
      </c>
      <c r="G56">
        <v>2174</v>
      </c>
      <c r="H56" s="116"/>
      <c r="I56" s="116"/>
      <c r="L56" s="169">
        <v>42081</v>
      </c>
      <c r="M56" s="116">
        <v>84.15</v>
      </c>
      <c r="N56" s="116">
        <v>87</v>
      </c>
      <c r="O56" s="116">
        <v>83</v>
      </c>
      <c r="P56" s="116">
        <v>85</v>
      </c>
      <c r="Q56" s="116">
        <v>84.15</v>
      </c>
      <c r="R56">
        <v>44652</v>
      </c>
    </row>
    <row r="57" spans="1:18" x14ac:dyDescent="0.25">
      <c r="A57" s="169">
        <v>42082</v>
      </c>
      <c r="B57" s="116">
        <v>85.75</v>
      </c>
      <c r="C57" s="116">
        <v>84.6</v>
      </c>
      <c r="D57" s="116">
        <v>82.8</v>
      </c>
      <c r="E57" s="116">
        <v>83</v>
      </c>
      <c r="F57" s="116">
        <v>84.6</v>
      </c>
      <c r="G57">
        <v>1447</v>
      </c>
      <c r="H57" s="116"/>
      <c r="I57" s="116"/>
      <c r="L57" s="169">
        <v>42082</v>
      </c>
      <c r="M57" s="116">
        <v>83.6</v>
      </c>
      <c r="N57" s="116">
        <v>86</v>
      </c>
      <c r="O57" s="116">
        <v>81.7</v>
      </c>
      <c r="P57" s="116">
        <v>84</v>
      </c>
      <c r="Q57" s="116">
        <v>83.6</v>
      </c>
      <c r="R57">
        <v>7380</v>
      </c>
    </row>
    <row r="58" spans="1:18" x14ac:dyDescent="0.25">
      <c r="A58" s="169">
        <v>42083</v>
      </c>
      <c r="B58" s="116">
        <v>81.45</v>
      </c>
      <c r="C58" s="116">
        <v>78.900000000000006</v>
      </c>
      <c r="D58" s="116">
        <v>78.599999999999994</v>
      </c>
      <c r="E58" s="116">
        <v>81.45</v>
      </c>
      <c r="F58" s="116">
        <v>78.900000000000006</v>
      </c>
      <c r="G58">
        <v>3081</v>
      </c>
      <c r="H58" s="116"/>
      <c r="I58" s="116"/>
      <c r="L58" s="169">
        <v>42083</v>
      </c>
      <c r="M58" s="116">
        <v>79.45</v>
      </c>
      <c r="N58" s="116">
        <v>83.55</v>
      </c>
      <c r="O58" s="116">
        <v>78.2</v>
      </c>
      <c r="P58" s="116">
        <v>83.55</v>
      </c>
      <c r="Q58" s="116">
        <v>79.45</v>
      </c>
      <c r="R58">
        <v>10250</v>
      </c>
    </row>
    <row r="59" spans="1:18" x14ac:dyDescent="0.25">
      <c r="A59" s="169">
        <v>42086</v>
      </c>
      <c r="B59" s="116">
        <v>79.5</v>
      </c>
      <c r="C59" s="116">
        <v>75.25</v>
      </c>
      <c r="D59" s="116">
        <v>75.2</v>
      </c>
      <c r="E59" s="116">
        <v>78.8</v>
      </c>
      <c r="F59" s="116">
        <v>75.25</v>
      </c>
      <c r="G59">
        <v>2007</v>
      </c>
      <c r="H59" s="116"/>
      <c r="I59" s="116"/>
      <c r="L59" s="169">
        <v>42086</v>
      </c>
      <c r="M59" s="116">
        <v>75.849999999999994</v>
      </c>
      <c r="N59" s="116">
        <v>79.45</v>
      </c>
      <c r="O59" s="116">
        <v>75.349999999999994</v>
      </c>
      <c r="P59" s="116">
        <v>79.45</v>
      </c>
      <c r="Q59" s="116">
        <v>75.849999999999994</v>
      </c>
      <c r="R59">
        <v>10647</v>
      </c>
    </row>
    <row r="60" spans="1:18" x14ac:dyDescent="0.25">
      <c r="A60" s="169">
        <v>42087</v>
      </c>
      <c r="B60" s="116">
        <v>76</v>
      </c>
      <c r="C60" s="116">
        <v>75.349999999999994</v>
      </c>
      <c r="D60" s="116">
        <v>75.349999999999994</v>
      </c>
      <c r="E60" s="116">
        <v>76</v>
      </c>
      <c r="F60" s="116">
        <v>75.349999999999994</v>
      </c>
      <c r="G60">
        <v>252</v>
      </c>
      <c r="H60" s="116"/>
      <c r="I60" s="116"/>
      <c r="L60" s="169">
        <v>42087</v>
      </c>
      <c r="M60" s="116">
        <v>75.55</v>
      </c>
      <c r="N60" s="116">
        <v>77.7</v>
      </c>
      <c r="O60" s="116">
        <v>75.5</v>
      </c>
      <c r="P60" s="116">
        <v>77.45</v>
      </c>
      <c r="Q60" s="116">
        <v>75.55</v>
      </c>
      <c r="R60">
        <v>3909</v>
      </c>
    </row>
    <row r="61" spans="1:18" x14ac:dyDescent="0.25">
      <c r="A61" s="169">
        <v>42088</v>
      </c>
      <c r="B61" s="116">
        <v>76.900000000000006</v>
      </c>
      <c r="C61" s="116">
        <v>75</v>
      </c>
      <c r="D61" s="116">
        <v>74</v>
      </c>
      <c r="E61" s="116">
        <v>75.349999999999994</v>
      </c>
      <c r="F61" s="116">
        <v>75</v>
      </c>
      <c r="G61">
        <v>1274</v>
      </c>
      <c r="H61" s="116"/>
      <c r="I61" s="116"/>
      <c r="L61" s="169">
        <v>42088</v>
      </c>
      <c r="M61" s="116">
        <v>74.099999999999994</v>
      </c>
      <c r="N61" s="116">
        <v>77.599999999999994</v>
      </c>
      <c r="O61" s="116">
        <v>72.650000000000006</v>
      </c>
      <c r="P61" s="116">
        <v>75.349999999999994</v>
      </c>
      <c r="Q61" s="116">
        <v>74.099999999999994</v>
      </c>
      <c r="R61">
        <v>9285</v>
      </c>
    </row>
    <row r="62" spans="1:18" x14ac:dyDescent="0.25">
      <c r="A62" s="169">
        <v>42089</v>
      </c>
      <c r="B62" s="116">
        <v>76.25</v>
      </c>
      <c r="C62" s="116">
        <v>74.8</v>
      </c>
      <c r="D62" s="116">
        <v>74.5</v>
      </c>
      <c r="E62" s="116">
        <v>76.2</v>
      </c>
      <c r="F62" s="116">
        <v>74.8</v>
      </c>
      <c r="G62">
        <v>7010</v>
      </c>
      <c r="H62" s="116"/>
      <c r="I62" s="116"/>
      <c r="L62" s="169">
        <v>42089</v>
      </c>
      <c r="M62" s="116">
        <v>74.599999999999994</v>
      </c>
      <c r="N62" s="116">
        <v>76</v>
      </c>
      <c r="O62" s="116">
        <v>74</v>
      </c>
      <c r="P62" s="116">
        <v>74</v>
      </c>
      <c r="Q62" s="116">
        <v>74.599999999999994</v>
      </c>
      <c r="R62">
        <v>3615</v>
      </c>
    </row>
    <row r="63" spans="1:18" x14ac:dyDescent="0.25">
      <c r="A63" s="169">
        <v>42090</v>
      </c>
      <c r="B63" s="116">
        <v>75.8</v>
      </c>
      <c r="C63" s="116">
        <v>72.900000000000006</v>
      </c>
      <c r="D63" s="116">
        <v>72.5</v>
      </c>
      <c r="E63" s="116">
        <v>75.8</v>
      </c>
      <c r="F63" s="116">
        <v>72.900000000000006</v>
      </c>
      <c r="G63">
        <v>9870</v>
      </c>
      <c r="H63" s="116"/>
      <c r="I63" s="116"/>
      <c r="L63" s="169">
        <v>42090</v>
      </c>
      <c r="M63" s="116">
        <v>73.400000000000006</v>
      </c>
      <c r="N63" s="116">
        <v>76</v>
      </c>
      <c r="O63" s="116">
        <v>71.900000000000006</v>
      </c>
      <c r="P63" s="116">
        <v>74.099999999999994</v>
      </c>
      <c r="Q63" s="116">
        <v>73.400000000000006</v>
      </c>
      <c r="R63">
        <v>68653</v>
      </c>
    </row>
    <row r="64" spans="1:18" x14ac:dyDescent="0.25">
      <c r="A64" s="169">
        <v>42093</v>
      </c>
      <c r="B64" s="116">
        <v>75</v>
      </c>
      <c r="C64" s="116">
        <v>72.349999999999994</v>
      </c>
      <c r="D64" s="116">
        <v>71.150000000000006</v>
      </c>
      <c r="E64" s="116">
        <v>75</v>
      </c>
      <c r="F64" s="116">
        <v>72.349999999999994</v>
      </c>
      <c r="G64">
        <v>3405</v>
      </c>
      <c r="H64" s="116"/>
      <c r="I64" s="116"/>
      <c r="L64" s="169">
        <v>42093</v>
      </c>
      <c r="M64" s="116">
        <v>72.3</v>
      </c>
      <c r="N64" s="116">
        <v>75</v>
      </c>
      <c r="O64" s="116">
        <v>71.349999999999994</v>
      </c>
      <c r="P64" s="116">
        <v>73.099999999999994</v>
      </c>
      <c r="Q64" s="116">
        <v>72.3</v>
      </c>
      <c r="R64">
        <v>6395</v>
      </c>
    </row>
    <row r="65" spans="1:18" x14ac:dyDescent="0.25">
      <c r="A65" s="169">
        <v>42094</v>
      </c>
      <c r="B65" s="116">
        <v>81.7</v>
      </c>
      <c r="C65" s="116">
        <v>78.150000000000006</v>
      </c>
      <c r="D65" s="116">
        <v>72.3</v>
      </c>
      <c r="E65" s="116">
        <v>72.55</v>
      </c>
      <c r="F65" s="116">
        <v>78.150000000000006</v>
      </c>
      <c r="G65">
        <v>8895</v>
      </c>
      <c r="H65" s="116"/>
      <c r="I65" s="116"/>
      <c r="L65" s="169">
        <v>42094</v>
      </c>
      <c r="M65" s="116">
        <v>78.2</v>
      </c>
      <c r="N65" s="116">
        <v>79.349999999999994</v>
      </c>
      <c r="O65" s="116">
        <v>72.7</v>
      </c>
      <c r="P65" s="116">
        <v>72.95</v>
      </c>
      <c r="Q65" s="116">
        <v>78.2</v>
      </c>
      <c r="R65">
        <v>24515</v>
      </c>
    </row>
    <row r="66" spans="1:18" x14ac:dyDescent="0.25">
      <c r="A66" s="169">
        <v>42095</v>
      </c>
      <c r="B66" s="116">
        <v>79.599999999999994</v>
      </c>
      <c r="C66" s="116">
        <v>78.2</v>
      </c>
      <c r="D66" s="116">
        <v>75</v>
      </c>
      <c r="E66" s="116">
        <v>76.900000000000006</v>
      </c>
      <c r="F66" s="116">
        <v>78.2</v>
      </c>
      <c r="G66">
        <v>1344</v>
      </c>
      <c r="H66" s="116"/>
      <c r="I66" s="116"/>
      <c r="L66" s="169">
        <v>42095</v>
      </c>
      <c r="M66" s="116">
        <v>78.2</v>
      </c>
      <c r="N66" s="116">
        <v>78.95</v>
      </c>
      <c r="O66" s="116">
        <v>75</v>
      </c>
      <c r="P66" s="116">
        <v>78.849999999999994</v>
      </c>
      <c r="Q66" s="116">
        <v>78.2</v>
      </c>
      <c r="R66">
        <v>26521</v>
      </c>
    </row>
    <row r="67" spans="1:18" x14ac:dyDescent="0.25">
      <c r="A67" s="169">
        <v>42100</v>
      </c>
      <c r="B67" s="116">
        <v>85</v>
      </c>
      <c r="C67" s="116">
        <v>80.900000000000006</v>
      </c>
      <c r="D67" s="116">
        <v>75.3</v>
      </c>
      <c r="E67" s="116">
        <v>78</v>
      </c>
      <c r="F67" s="116">
        <v>80.900000000000006</v>
      </c>
      <c r="G67">
        <v>5913</v>
      </c>
      <c r="H67" s="116"/>
      <c r="I67" s="116"/>
      <c r="L67" s="169">
        <v>42100</v>
      </c>
      <c r="M67" s="116">
        <v>80.8</v>
      </c>
      <c r="N67" s="116">
        <v>85.05</v>
      </c>
      <c r="O67" s="116">
        <v>74.5</v>
      </c>
      <c r="P67" s="116">
        <v>77.75</v>
      </c>
      <c r="Q67" s="116">
        <v>80.8</v>
      </c>
      <c r="R67">
        <v>66488</v>
      </c>
    </row>
    <row r="68" spans="1:18" x14ac:dyDescent="0.25">
      <c r="A68" s="169">
        <v>42101</v>
      </c>
      <c r="B68" s="116">
        <v>83</v>
      </c>
      <c r="C68" s="116">
        <v>77.95</v>
      </c>
      <c r="D68" s="116">
        <v>77</v>
      </c>
      <c r="E68" s="116">
        <v>82</v>
      </c>
      <c r="F68" s="116">
        <v>77.95</v>
      </c>
      <c r="G68">
        <v>5022</v>
      </c>
      <c r="H68" s="116"/>
      <c r="I68" s="116"/>
      <c r="L68" s="169">
        <v>42101</v>
      </c>
      <c r="M68" s="116">
        <v>78.55</v>
      </c>
      <c r="N68" s="116">
        <v>84</v>
      </c>
      <c r="O68" s="116">
        <v>77.2</v>
      </c>
      <c r="P68" s="116">
        <v>83.5</v>
      </c>
      <c r="Q68" s="116">
        <v>78.55</v>
      </c>
      <c r="R68">
        <v>27823</v>
      </c>
    </row>
    <row r="69" spans="1:18" x14ac:dyDescent="0.25">
      <c r="A69" s="169">
        <v>42102</v>
      </c>
      <c r="B69" s="116">
        <v>82</v>
      </c>
      <c r="C69" s="116">
        <v>80.900000000000006</v>
      </c>
      <c r="D69" s="116">
        <v>80.7</v>
      </c>
      <c r="E69" s="116">
        <v>81</v>
      </c>
      <c r="F69" s="116">
        <v>80.900000000000006</v>
      </c>
      <c r="G69">
        <v>2048</v>
      </c>
      <c r="H69" s="116"/>
      <c r="I69" s="116"/>
      <c r="L69" s="169">
        <v>42102</v>
      </c>
      <c r="M69" s="116">
        <v>80.900000000000006</v>
      </c>
      <c r="N69" s="116">
        <v>82</v>
      </c>
      <c r="O69" s="116">
        <v>79.099999999999994</v>
      </c>
      <c r="P69" s="116">
        <v>80.900000000000006</v>
      </c>
      <c r="Q69" s="116">
        <v>80.900000000000006</v>
      </c>
      <c r="R69">
        <v>7193</v>
      </c>
    </row>
    <row r="70" spans="1:18" x14ac:dyDescent="0.25">
      <c r="A70" s="169">
        <v>42103</v>
      </c>
      <c r="B70" s="116">
        <v>81.400000000000006</v>
      </c>
      <c r="C70" s="116">
        <v>81.400000000000006</v>
      </c>
      <c r="D70" s="116">
        <v>79.8</v>
      </c>
      <c r="E70" s="116">
        <v>79.8</v>
      </c>
      <c r="F70" s="116">
        <v>81.400000000000006</v>
      </c>
      <c r="G70">
        <v>609</v>
      </c>
      <c r="H70" s="116"/>
      <c r="I70" s="116"/>
      <c r="L70" s="169">
        <v>42103</v>
      </c>
      <c r="M70" s="116">
        <v>80.650000000000006</v>
      </c>
      <c r="N70" s="116">
        <v>81.8</v>
      </c>
      <c r="O70" s="116">
        <v>80</v>
      </c>
      <c r="P70" s="116">
        <v>80</v>
      </c>
      <c r="Q70" s="116">
        <v>80.650000000000006</v>
      </c>
      <c r="R70">
        <v>5288</v>
      </c>
    </row>
    <row r="71" spans="1:18" x14ac:dyDescent="0.25">
      <c r="A71" s="169">
        <v>42104</v>
      </c>
      <c r="B71" s="116">
        <v>82.95</v>
      </c>
      <c r="C71" s="116">
        <v>82.2</v>
      </c>
      <c r="D71" s="116">
        <v>79.150000000000006</v>
      </c>
      <c r="E71" s="116">
        <v>80.05</v>
      </c>
      <c r="F71" s="116">
        <v>82.2</v>
      </c>
      <c r="G71">
        <v>3721</v>
      </c>
      <c r="H71" s="116"/>
      <c r="I71" s="116"/>
      <c r="L71" s="169">
        <v>42104</v>
      </c>
      <c r="M71" s="116">
        <v>82.4</v>
      </c>
      <c r="N71" s="116">
        <v>83.9</v>
      </c>
      <c r="O71" s="116">
        <v>79</v>
      </c>
      <c r="P71" s="116">
        <v>79</v>
      </c>
      <c r="Q71" s="116">
        <v>82.4</v>
      </c>
      <c r="R71">
        <v>9655</v>
      </c>
    </row>
    <row r="72" spans="1:18" x14ac:dyDescent="0.25">
      <c r="A72" s="169">
        <v>42107</v>
      </c>
      <c r="B72" s="116">
        <v>86.75</v>
      </c>
      <c r="C72" s="116">
        <v>85.05</v>
      </c>
      <c r="D72" s="116">
        <v>75.400000000000006</v>
      </c>
      <c r="E72" s="116">
        <v>75.400000000000006</v>
      </c>
      <c r="F72" s="116">
        <v>85.05</v>
      </c>
      <c r="G72">
        <v>5573</v>
      </c>
      <c r="H72" s="116"/>
      <c r="I72" s="116"/>
      <c r="L72" s="169">
        <v>42107</v>
      </c>
      <c r="M72" s="116">
        <v>84.9</v>
      </c>
      <c r="N72" s="116">
        <v>87</v>
      </c>
      <c r="O72" s="116">
        <v>82</v>
      </c>
      <c r="P72" s="116">
        <v>82</v>
      </c>
      <c r="Q72" s="116">
        <v>84.9</v>
      </c>
      <c r="R72">
        <v>12358</v>
      </c>
    </row>
    <row r="73" spans="1:18" x14ac:dyDescent="0.25">
      <c r="A73" s="169">
        <v>42109</v>
      </c>
      <c r="B73" s="116">
        <v>89.35</v>
      </c>
      <c r="C73" s="116">
        <v>88.65</v>
      </c>
      <c r="D73" s="116">
        <v>86.4</v>
      </c>
      <c r="E73" s="116">
        <v>86.5</v>
      </c>
      <c r="F73" s="116">
        <v>88.65</v>
      </c>
      <c r="G73">
        <v>8092</v>
      </c>
      <c r="H73" s="116"/>
      <c r="I73" s="116"/>
      <c r="L73" s="169">
        <v>42109</v>
      </c>
      <c r="M73" s="116">
        <v>88.4</v>
      </c>
      <c r="N73" s="116">
        <v>89.45</v>
      </c>
      <c r="O73" s="116">
        <v>85.2</v>
      </c>
      <c r="P73" s="116">
        <v>85.2</v>
      </c>
      <c r="Q73" s="116">
        <v>88.4</v>
      </c>
      <c r="R73">
        <v>18345</v>
      </c>
    </row>
    <row r="74" spans="1:18" x14ac:dyDescent="0.25">
      <c r="A74" s="169">
        <v>42110</v>
      </c>
      <c r="B74" s="116">
        <v>87.5</v>
      </c>
      <c r="C74" s="116">
        <v>85.2</v>
      </c>
      <c r="D74" s="116">
        <v>85.1</v>
      </c>
      <c r="E74" s="116">
        <v>87.5</v>
      </c>
      <c r="F74" s="116">
        <v>85.2</v>
      </c>
      <c r="G74">
        <v>1477</v>
      </c>
      <c r="H74" s="116"/>
      <c r="I74" s="116"/>
      <c r="L74" s="169">
        <v>42110</v>
      </c>
      <c r="M74" s="116">
        <v>86</v>
      </c>
      <c r="N74" s="116">
        <v>88.95</v>
      </c>
      <c r="O74" s="116">
        <v>85.2</v>
      </c>
      <c r="P74" s="116">
        <v>86.7</v>
      </c>
      <c r="Q74" s="116">
        <v>86</v>
      </c>
      <c r="R74">
        <v>2770</v>
      </c>
    </row>
    <row r="75" spans="1:18" x14ac:dyDescent="0.25">
      <c r="A75" s="169">
        <v>42111</v>
      </c>
      <c r="B75" s="116">
        <v>88.05</v>
      </c>
      <c r="C75" s="116">
        <v>87</v>
      </c>
      <c r="D75" s="116">
        <v>84.75</v>
      </c>
      <c r="E75" s="116">
        <v>85</v>
      </c>
      <c r="F75" s="116">
        <v>87</v>
      </c>
      <c r="G75">
        <v>4123</v>
      </c>
      <c r="H75" s="116"/>
      <c r="I75" s="116"/>
      <c r="L75" s="169">
        <v>42111</v>
      </c>
      <c r="M75" s="116">
        <v>85.2</v>
      </c>
      <c r="N75" s="116">
        <v>88</v>
      </c>
      <c r="O75" s="116">
        <v>83.65</v>
      </c>
      <c r="P75" s="116">
        <v>84.15</v>
      </c>
      <c r="Q75" s="116">
        <v>85.2</v>
      </c>
      <c r="R75">
        <v>5315</v>
      </c>
    </row>
    <row r="76" spans="1:18" x14ac:dyDescent="0.25">
      <c r="A76" s="169">
        <v>42114</v>
      </c>
      <c r="B76" s="116">
        <v>84.85</v>
      </c>
      <c r="C76" s="116">
        <v>84.8</v>
      </c>
      <c r="D76" s="116">
        <v>84</v>
      </c>
      <c r="E76" s="116">
        <v>84.85</v>
      </c>
      <c r="F76" s="116">
        <v>84.8</v>
      </c>
      <c r="G76">
        <v>409</v>
      </c>
      <c r="H76" s="116"/>
      <c r="I76" s="116"/>
      <c r="L76" s="169">
        <v>42114</v>
      </c>
      <c r="M76" s="116">
        <v>84.35</v>
      </c>
      <c r="N76" s="116">
        <v>86.2</v>
      </c>
      <c r="O76" s="116">
        <v>83.4</v>
      </c>
      <c r="P76" s="116">
        <v>83.4</v>
      </c>
      <c r="Q76" s="116">
        <v>84.35</v>
      </c>
      <c r="R76">
        <v>7055</v>
      </c>
    </row>
    <row r="77" spans="1:18" x14ac:dyDescent="0.25">
      <c r="A77" s="169">
        <v>42115</v>
      </c>
      <c r="B77" s="116">
        <v>88</v>
      </c>
      <c r="C77" s="116">
        <v>86.7</v>
      </c>
      <c r="D77" s="116">
        <v>85.7</v>
      </c>
      <c r="E77" s="116">
        <v>86</v>
      </c>
      <c r="F77" s="116">
        <v>86.7</v>
      </c>
      <c r="G77">
        <v>1453</v>
      </c>
      <c r="H77" s="116"/>
      <c r="I77" s="116"/>
      <c r="L77" s="169">
        <v>42115</v>
      </c>
      <c r="M77" s="116">
        <v>85.8</v>
      </c>
      <c r="N77" s="116">
        <v>89.05</v>
      </c>
      <c r="O77" s="116">
        <v>83.1</v>
      </c>
      <c r="P77" s="116">
        <v>83.8</v>
      </c>
      <c r="Q77" s="116">
        <v>85.8</v>
      </c>
      <c r="R77">
        <v>7115</v>
      </c>
    </row>
    <row r="78" spans="1:18" x14ac:dyDescent="0.25">
      <c r="A78" s="169">
        <v>42116</v>
      </c>
      <c r="B78" s="116">
        <v>85.85</v>
      </c>
      <c r="C78" s="116">
        <v>85.5</v>
      </c>
      <c r="D78" s="116">
        <v>84.9</v>
      </c>
      <c r="E78" s="116">
        <v>85.85</v>
      </c>
      <c r="F78" s="116">
        <v>85.5</v>
      </c>
      <c r="G78">
        <v>425</v>
      </c>
      <c r="H78" s="116"/>
      <c r="I78" s="116"/>
      <c r="L78" s="169">
        <v>42116</v>
      </c>
      <c r="M78" s="116">
        <v>85.25</v>
      </c>
      <c r="N78" s="116">
        <v>86.45</v>
      </c>
      <c r="O78" s="116">
        <v>84.1</v>
      </c>
      <c r="P78" s="116">
        <v>85.2</v>
      </c>
      <c r="Q78" s="116">
        <v>85.25</v>
      </c>
      <c r="R78">
        <v>6491</v>
      </c>
    </row>
    <row r="79" spans="1:18" x14ac:dyDescent="0.25">
      <c r="A79" s="169">
        <v>42117</v>
      </c>
      <c r="B79" s="116">
        <v>87.05</v>
      </c>
      <c r="C79" s="116">
        <v>86.65</v>
      </c>
      <c r="D79" s="116">
        <v>86.2</v>
      </c>
      <c r="E79" s="116">
        <v>86.2</v>
      </c>
      <c r="F79" s="116">
        <v>86.65</v>
      </c>
      <c r="G79">
        <v>463</v>
      </c>
      <c r="H79" s="116"/>
      <c r="I79" s="116"/>
      <c r="L79" s="169">
        <v>42117</v>
      </c>
      <c r="M79" s="116">
        <v>86.8</v>
      </c>
      <c r="N79" s="116">
        <v>87.5</v>
      </c>
      <c r="O79" s="116">
        <v>84.5</v>
      </c>
      <c r="P79" s="116">
        <v>84.5</v>
      </c>
      <c r="Q79" s="116">
        <v>86.8</v>
      </c>
      <c r="R79">
        <v>2258</v>
      </c>
    </row>
    <row r="80" spans="1:18" x14ac:dyDescent="0.25">
      <c r="A80" s="169">
        <v>42118</v>
      </c>
      <c r="B80" s="116">
        <v>85.45</v>
      </c>
      <c r="C80" s="116">
        <v>83.7</v>
      </c>
      <c r="D80" s="116">
        <v>83.6</v>
      </c>
      <c r="E80" s="116">
        <v>85.45</v>
      </c>
      <c r="F80" s="116">
        <v>83.7</v>
      </c>
      <c r="G80">
        <v>2720</v>
      </c>
      <c r="H80" s="116"/>
      <c r="I80" s="116"/>
      <c r="L80" s="169">
        <v>42118</v>
      </c>
      <c r="M80" s="116">
        <v>83.85</v>
      </c>
      <c r="N80" s="116">
        <v>86.95</v>
      </c>
      <c r="O80" s="116">
        <v>83.5</v>
      </c>
      <c r="P80" s="116">
        <v>86</v>
      </c>
      <c r="Q80" s="116">
        <v>83.85</v>
      </c>
      <c r="R80">
        <v>5237</v>
      </c>
    </row>
    <row r="81" spans="1:18" x14ac:dyDescent="0.25">
      <c r="A81" s="169">
        <v>42121</v>
      </c>
      <c r="B81" s="116">
        <v>86.2</v>
      </c>
      <c r="C81" s="116">
        <v>82</v>
      </c>
      <c r="D81" s="116">
        <v>82</v>
      </c>
      <c r="E81" s="116">
        <v>86.2</v>
      </c>
      <c r="F81" s="116">
        <v>82</v>
      </c>
      <c r="G81">
        <v>1603</v>
      </c>
      <c r="H81" s="116"/>
      <c r="I81" s="116"/>
      <c r="L81" s="169">
        <v>42121</v>
      </c>
      <c r="M81" s="116">
        <v>82.15</v>
      </c>
      <c r="N81" s="116">
        <v>88.9</v>
      </c>
      <c r="O81" s="116">
        <v>82.1</v>
      </c>
      <c r="P81" s="116">
        <v>83.2</v>
      </c>
      <c r="Q81" s="116">
        <v>82.15</v>
      </c>
      <c r="R81">
        <v>10068</v>
      </c>
    </row>
    <row r="82" spans="1:18" x14ac:dyDescent="0.25">
      <c r="A82" s="169">
        <v>42122</v>
      </c>
      <c r="B82" s="116">
        <v>88.5</v>
      </c>
      <c r="C82" s="116">
        <v>85.2</v>
      </c>
      <c r="D82" s="116">
        <v>82.15</v>
      </c>
      <c r="E82" s="116">
        <v>82.15</v>
      </c>
      <c r="F82" s="116">
        <v>85.2</v>
      </c>
      <c r="G82">
        <v>3725</v>
      </c>
      <c r="H82" s="116"/>
      <c r="I82" s="116"/>
      <c r="L82" s="169">
        <v>42122</v>
      </c>
      <c r="M82" s="116">
        <v>85.3</v>
      </c>
      <c r="N82" s="116">
        <v>89.05</v>
      </c>
      <c r="O82" s="116">
        <v>82</v>
      </c>
      <c r="P82" s="116">
        <v>83.45</v>
      </c>
      <c r="Q82" s="116">
        <v>85.3</v>
      </c>
      <c r="R82">
        <v>7712</v>
      </c>
    </row>
    <row r="83" spans="1:18" x14ac:dyDescent="0.25">
      <c r="A83" s="169">
        <v>42123</v>
      </c>
      <c r="B83" s="116">
        <v>84.15</v>
      </c>
      <c r="C83" s="116">
        <v>83.7</v>
      </c>
      <c r="D83" s="116">
        <v>83</v>
      </c>
      <c r="E83" s="116">
        <v>84.15</v>
      </c>
      <c r="F83" s="116">
        <v>83.7</v>
      </c>
      <c r="G83">
        <v>4273</v>
      </c>
      <c r="H83" s="116"/>
      <c r="I83" s="116"/>
      <c r="L83" s="169">
        <v>42123</v>
      </c>
      <c r="M83" s="116">
        <v>84.25</v>
      </c>
      <c r="N83" s="116">
        <v>85</v>
      </c>
      <c r="O83" s="116">
        <v>83.1</v>
      </c>
      <c r="P83" s="116">
        <v>84.2</v>
      </c>
      <c r="Q83" s="116">
        <v>84.25</v>
      </c>
      <c r="R83">
        <v>2743</v>
      </c>
    </row>
    <row r="84" spans="1:18" x14ac:dyDescent="0.25">
      <c r="A84" s="169">
        <v>42124</v>
      </c>
      <c r="B84" s="116">
        <v>88.1</v>
      </c>
      <c r="C84" s="116">
        <v>84.8</v>
      </c>
      <c r="D84" s="116">
        <v>84</v>
      </c>
      <c r="E84" s="116">
        <v>85.9</v>
      </c>
      <c r="F84" s="116">
        <v>84.8</v>
      </c>
      <c r="G84">
        <v>4606</v>
      </c>
      <c r="H84" s="116"/>
      <c r="I84" s="116"/>
      <c r="L84" s="169">
        <v>42124</v>
      </c>
      <c r="M84" s="116">
        <v>84.4</v>
      </c>
      <c r="N84" s="116">
        <v>88.5</v>
      </c>
      <c r="O84" s="116">
        <v>83.35</v>
      </c>
      <c r="P84" s="116">
        <v>84</v>
      </c>
      <c r="Q84" s="116">
        <v>84.4</v>
      </c>
      <c r="R84">
        <v>10950</v>
      </c>
    </row>
    <row r="85" spans="1:18" x14ac:dyDescent="0.25">
      <c r="A85" s="169">
        <v>42128</v>
      </c>
      <c r="B85" s="116">
        <v>86.7</v>
      </c>
      <c r="C85" s="116">
        <v>85.6</v>
      </c>
      <c r="D85" s="116">
        <v>85.15</v>
      </c>
      <c r="E85" s="116">
        <v>86.7</v>
      </c>
      <c r="F85" s="116">
        <v>85.6</v>
      </c>
      <c r="G85">
        <v>1608</v>
      </c>
      <c r="H85" s="116"/>
      <c r="I85" s="116"/>
      <c r="L85" s="169">
        <v>42128</v>
      </c>
      <c r="M85" s="116">
        <v>85.45</v>
      </c>
      <c r="N85" s="116">
        <v>87.8</v>
      </c>
      <c r="O85" s="116">
        <v>84.6</v>
      </c>
      <c r="P85" s="116">
        <v>86</v>
      </c>
      <c r="Q85" s="116">
        <v>85.45</v>
      </c>
      <c r="R85">
        <v>8438</v>
      </c>
    </row>
    <row r="86" spans="1:18" x14ac:dyDescent="0.25">
      <c r="A86" s="169">
        <v>42129</v>
      </c>
      <c r="B86" s="116">
        <v>86.3</v>
      </c>
      <c r="C86" s="116">
        <v>85.7</v>
      </c>
      <c r="D86" s="116">
        <v>85</v>
      </c>
      <c r="E86" s="116">
        <v>86.3</v>
      </c>
      <c r="F86" s="116">
        <v>85.7</v>
      </c>
      <c r="G86">
        <v>1721</v>
      </c>
      <c r="H86" s="116"/>
      <c r="I86" s="116"/>
      <c r="L86" s="169">
        <v>42129</v>
      </c>
      <c r="M86" s="116">
        <v>85.2</v>
      </c>
      <c r="N86" s="116">
        <v>86.55</v>
      </c>
      <c r="O86" s="116">
        <v>84.5</v>
      </c>
      <c r="P86" s="116">
        <v>85</v>
      </c>
      <c r="Q86" s="116">
        <v>85.2</v>
      </c>
      <c r="R86">
        <v>2629</v>
      </c>
    </row>
    <row r="87" spans="1:18" x14ac:dyDescent="0.25">
      <c r="A87" s="169">
        <v>42130</v>
      </c>
      <c r="B87" s="116">
        <v>84.4</v>
      </c>
      <c r="C87" s="116">
        <v>82.1</v>
      </c>
      <c r="D87" s="116">
        <v>81.849999999999994</v>
      </c>
      <c r="E87" s="116">
        <v>84.4</v>
      </c>
      <c r="F87" s="116">
        <v>82.1</v>
      </c>
      <c r="G87">
        <v>3409</v>
      </c>
      <c r="H87" s="116"/>
      <c r="I87" s="116"/>
      <c r="L87" s="169">
        <v>42130</v>
      </c>
      <c r="M87" s="116">
        <v>82.45</v>
      </c>
      <c r="N87" s="116">
        <v>84.9</v>
      </c>
      <c r="O87" s="116">
        <v>82.05</v>
      </c>
      <c r="P87" s="116">
        <v>84.5</v>
      </c>
      <c r="Q87" s="116">
        <v>82.45</v>
      </c>
      <c r="R87">
        <v>7606</v>
      </c>
    </row>
    <row r="88" spans="1:18" x14ac:dyDescent="0.25">
      <c r="A88" s="169">
        <v>42131</v>
      </c>
      <c r="B88" s="116">
        <v>83.2</v>
      </c>
      <c r="C88" s="116">
        <v>77.8</v>
      </c>
      <c r="D88" s="116">
        <v>76</v>
      </c>
      <c r="E88" s="116">
        <v>82.5</v>
      </c>
      <c r="F88" s="116">
        <v>77.8</v>
      </c>
      <c r="G88">
        <v>3741</v>
      </c>
      <c r="H88" s="116"/>
      <c r="I88" s="116"/>
      <c r="L88" s="169">
        <v>42131</v>
      </c>
      <c r="M88" s="116">
        <v>77.95</v>
      </c>
      <c r="N88" s="116">
        <v>82.9</v>
      </c>
      <c r="O88" s="116">
        <v>76.099999999999994</v>
      </c>
      <c r="P88" s="116">
        <v>82.05</v>
      </c>
      <c r="Q88" s="116">
        <v>77.95</v>
      </c>
      <c r="R88">
        <v>8197</v>
      </c>
    </row>
    <row r="89" spans="1:18" x14ac:dyDescent="0.25">
      <c r="A89" s="169">
        <v>42132</v>
      </c>
      <c r="B89" s="116">
        <v>80.3</v>
      </c>
      <c r="C89" s="116">
        <v>78.2</v>
      </c>
      <c r="D89" s="116">
        <v>78.2</v>
      </c>
      <c r="E89" s="116">
        <v>79.75</v>
      </c>
      <c r="F89" s="116">
        <v>78.2</v>
      </c>
      <c r="G89">
        <v>1657</v>
      </c>
      <c r="H89" s="116"/>
      <c r="I89" s="116"/>
      <c r="L89" s="169">
        <v>42132</v>
      </c>
      <c r="M89" s="116">
        <v>78</v>
      </c>
      <c r="N89" s="116">
        <v>80</v>
      </c>
      <c r="O89" s="116">
        <v>77.099999999999994</v>
      </c>
      <c r="P89" s="116">
        <v>78.099999999999994</v>
      </c>
      <c r="Q89" s="116">
        <v>78</v>
      </c>
      <c r="R89">
        <v>5673</v>
      </c>
    </row>
    <row r="90" spans="1:18" x14ac:dyDescent="0.25">
      <c r="A90" s="169">
        <v>42135</v>
      </c>
      <c r="B90" s="116">
        <v>80.8</v>
      </c>
      <c r="C90" s="116">
        <v>77.900000000000006</v>
      </c>
      <c r="D90" s="116">
        <v>77.3</v>
      </c>
      <c r="E90" s="116">
        <v>79.7</v>
      </c>
      <c r="F90" s="116">
        <v>77.900000000000006</v>
      </c>
      <c r="G90">
        <v>4917</v>
      </c>
      <c r="H90" s="116"/>
      <c r="I90" s="116"/>
      <c r="L90" s="169">
        <v>42135</v>
      </c>
      <c r="M90" s="116">
        <v>77.900000000000006</v>
      </c>
      <c r="N90" s="116">
        <v>80.95</v>
      </c>
      <c r="O90" s="116">
        <v>77.099999999999994</v>
      </c>
      <c r="P90" s="116">
        <v>78.25</v>
      </c>
      <c r="Q90" s="116">
        <v>77.900000000000006</v>
      </c>
      <c r="R90">
        <v>22951</v>
      </c>
    </row>
    <row r="91" spans="1:18" x14ac:dyDescent="0.25">
      <c r="A91" s="169">
        <v>42136</v>
      </c>
      <c r="B91" s="116">
        <v>77.3</v>
      </c>
      <c r="C91" s="116">
        <v>72.3</v>
      </c>
      <c r="D91" s="116">
        <v>71.5</v>
      </c>
      <c r="E91" s="116">
        <v>77</v>
      </c>
      <c r="F91" s="116">
        <v>72.3</v>
      </c>
      <c r="G91">
        <v>6639</v>
      </c>
      <c r="H91" s="116"/>
      <c r="I91" s="116"/>
      <c r="L91" s="169">
        <v>42136</v>
      </c>
      <c r="M91" s="116">
        <v>72.95</v>
      </c>
      <c r="N91" s="116">
        <v>77.2</v>
      </c>
      <c r="O91" s="116">
        <v>72</v>
      </c>
      <c r="P91" s="116">
        <v>77.099999999999994</v>
      </c>
      <c r="Q91" s="116">
        <v>72.95</v>
      </c>
      <c r="R91">
        <v>9872</v>
      </c>
    </row>
    <row r="92" spans="1:18" x14ac:dyDescent="0.25">
      <c r="A92" s="169">
        <v>42137</v>
      </c>
      <c r="B92" s="116">
        <v>75.8</v>
      </c>
      <c r="C92" s="116">
        <v>75.650000000000006</v>
      </c>
      <c r="D92" s="116">
        <v>72.55</v>
      </c>
      <c r="E92" s="116">
        <v>72.7</v>
      </c>
      <c r="F92" s="116">
        <v>75.650000000000006</v>
      </c>
      <c r="G92">
        <v>5217</v>
      </c>
      <c r="H92" s="116"/>
      <c r="I92" s="116"/>
      <c r="L92" s="169">
        <v>42137</v>
      </c>
      <c r="M92" s="116">
        <v>76.2</v>
      </c>
      <c r="N92" s="116">
        <v>77</v>
      </c>
      <c r="O92" s="116">
        <v>72</v>
      </c>
      <c r="P92" s="116">
        <v>72.400000000000006</v>
      </c>
      <c r="Q92" s="116">
        <v>76.2</v>
      </c>
      <c r="R92">
        <v>9104</v>
      </c>
    </row>
    <row r="93" spans="1:18" x14ac:dyDescent="0.25">
      <c r="A93" s="169">
        <v>42138</v>
      </c>
      <c r="B93" s="116">
        <v>78.45</v>
      </c>
      <c r="C93" s="116">
        <v>77.650000000000006</v>
      </c>
      <c r="D93" s="116">
        <v>74.75</v>
      </c>
      <c r="E93" s="116">
        <v>75.900000000000006</v>
      </c>
      <c r="F93" s="116">
        <v>77.650000000000006</v>
      </c>
      <c r="G93">
        <v>2679</v>
      </c>
      <c r="H93" s="116"/>
      <c r="I93" s="116"/>
      <c r="L93" s="169">
        <v>42138</v>
      </c>
      <c r="M93" s="116">
        <v>78.400000000000006</v>
      </c>
      <c r="N93" s="116">
        <v>79.45</v>
      </c>
      <c r="O93" s="116">
        <v>74.099999999999994</v>
      </c>
      <c r="P93" s="116">
        <v>75.5</v>
      </c>
      <c r="Q93" s="116">
        <v>78.400000000000006</v>
      </c>
      <c r="R93">
        <v>5098</v>
      </c>
    </row>
    <row r="94" spans="1:18" x14ac:dyDescent="0.25">
      <c r="A94" s="169">
        <v>42139</v>
      </c>
      <c r="B94" s="116">
        <v>79.7</v>
      </c>
      <c r="C94" s="116">
        <v>76</v>
      </c>
      <c r="D94" s="116">
        <v>76</v>
      </c>
      <c r="E94" s="116">
        <v>79.5</v>
      </c>
      <c r="F94" s="116">
        <v>76</v>
      </c>
      <c r="G94">
        <v>406425</v>
      </c>
      <c r="H94" s="116"/>
      <c r="I94" s="116"/>
      <c r="L94" s="169">
        <v>42139</v>
      </c>
      <c r="M94" s="116">
        <v>78.599999999999994</v>
      </c>
      <c r="N94" s="116">
        <v>80.95</v>
      </c>
      <c r="O94" s="116">
        <v>76.7</v>
      </c>
      <c r="P94" s="116">
        <v>78.400000000000006</v>
      </c>
      <c r="Q94" s="116">
        <v>78.599999999999994</v>
      </c>
      <c r="R94">
        <v>6703</v>
      </c>
    </row>
    <row r="95" spans="1:18" x14ac:dyDescent="0.25">
      <c r="A95" s="169">
        <v>42142</v>
      </c>
      <c r="B95" s="116">
        <v>82.7</v>
      </c>
      <c r="C95" s="116">
        <v>81</v>
      </c>
      <c r="D95" s="116">
        <v>79.349999999999994</v>
      </c>
      <c r="E95" s="116">
        <v>80</v>
      </c>
      <c r="F95" s="116">
        <v>81</v>
      </c>
      <c r="G95">
        <v>8428</v>
      </c>
      <c r="H95" s="116"/>
      <c r="I95" s="116"/>
      <c r="L95" s="169">
        <v>42142</v>
      </c>
      <c r="M95" s="116">
        <v>80.650000000000006</v>
      </c>
      <c r="N95" s="116">
        <v>84</v>
      </c>
      <c r="O95" s="116">
        <v>75.75</v>
      </c>
      <c r="P95" s="116">
        <v>75.75</v>
      </c>
      <c r="Q95" s="116">
        <v>80.650000000000006</v>
      </c>
      <c r="R95">
        <v>70787</v>
      </c>
    </row>
    <row r="96" spans="1:18" x14ac:dyDescent="0.25">
      <c r="A96" s="169">
        <v>42143</v>
      </c>
      <c r="B96" s="116">
        <v>97.2</v>
      </c>
      <c r="C96" s="116">
        <v>97.2</v>
      </c>
      <c r="D96" s="116">
        <v>75</v>
      </c>
      <c r="E96" s="116">
        <v>75</v>
      </c>
      <c r="F96" s="116">
        <v>97.2</v>
      </c>
      <c r="G96">
        <v>2032572</v>
      </c>
      <c r="H96" s="116"/>
      <c r="I96" s="116"/>
      <c r="L96" s="169">
        <v>42143</v>
      </c>
      <c r="M96" s="116">
        <v>96.75</v>
      </c>
      <c r="N96" s="116">
        <v>96.75</v>
      </c>
      <c r="O96" s="116">
        <v>78</v>
      </c>
      <c r="P96" s="116">
        <v>80.849999999999994</v>
      </c>
      <c r="Q96" s="116">
        <v>96.75</v>
      </c>
      <c r="R96">
        <v>438994</v>
      </c>
    </row>
    <row r="97" spans="1:18" x14ac:dyDescent="0.25">
      <c r="A97" s="169">
        <v>42144</v>
      </c>
      <c r="B97" s="116">
        <v>106.45</v>
      </c>
      <c r="C97" s="116">
        <v>103.95</v>
      </c>
      <c r="D97" s="116">
        <v>98.7</v>
      </c>
      <c r="E97" s="116">
        <v>102.4</v>
      </c>
      <c r="F97" s="116">
        <v>103.95</v>
      </c>
      <c r="G97">
        <v>319291</v>
      </c>
      <c r="H97" s="116"/>
      <c r="I97" s="116"/>
      <c r="L97" s="169">
        <v>42144</v>
      </c>
      <c r="M97" s="116">
        <v>103.75</v>
      </c>
      <c r="N97" s="116">
        <v>106.6</v>
      </c>
      <c r="O97" s="116">
        <v>98.75</v>
      </c>
      <c r="P97" s="116">
        <v>102.9</v>
      </c>
      <c r="Q97" s="116">
        <v>103.75</v>
      </c>
      <c r="R97">
        <v>754301</v>
      </c>
    </row>
    <row r="98" spans="1:18" x14ac:dyDescent="0.25">
      <c r="A98" s="169">
        <v>42145</v>
      </c>
      <c r="B98" s="116">
        <v>105.95</v>
      </c>
      <c r="C98" s="116">
        <v>104.4</v>
      </c>
      <c r="D98" s="116">
        <v>99</v>
      </c>
      <c r="E98" s="116">
        <v>104</v>
      </c>
      <c r="F98" s="116">
        <v>104.4</v>
      </c>
      <c r="G98">
        <v>64013</v>
      </c>
      <c r="H98" s="116"/>
      <c r="I98" s="116"/>
      <c r="L98" s="169">
        <v>42145</v>
      </c>
      <c r="M98" s="116">
        <v>104.45</v>
      </c>
      <c r="N98" s="116">
        <v>106</v>
      </c>
      <c r="O98" s="116">
        <v>99.05</v>
      </c>
      <c r="P98" s="116">
        <v>101</v>
      </c>
      <c r="Q98" s="116">
        <v>104.45</v>
      </c>
      <c r="R98">
        <v>194964</v>
      </c>
    </row>
    <row r="99" spans="1:18" x14ac:dyDescent="0.25">
      <c r="A99" s="169">
        <v>42146</v>
      </c>
      <c r="B99" s="116">
        <v>125.25</v>
      </c>
      <c r="C99" s="116">
        <v>125.25</v>
      </c>
      <c r="D99" s="116">
        <v>104</v>
      </c>
      <c r="E99" s="116">
        <v>106.8</v>
      </c>
      <c r="F99" s="116">
        <v>125.25</v>
      </c>
      <c r="G99">
        <v>406400</v>
      </c>
      <c r="H99" s="116"/>
      <c r="I99" s="116"/>
      <c r="L99" s="169">
        <v>42146</v>
      </c>
      <c r="M99" s="116">
        <v>125.3</v>
      </c>
      <c r="N99" s="116">
        <v>125.3</v>
      </c>
      <c r="O99" s="116">
        <v>103</v>
      </c>
      <c r="P99" s="116">
        <v>103</v>
      </c>
      <c r="Q99" s="116">
        <v>125.3</v>
      </c>
      <c r="R99">
        <v>1354040</v>
      </c>
    </row>
    <row r="100" spans="1:18" x14ac:dyDescent="0.25">
      <c r="A100" s="169">
        <v>42149</v>
      </c>
      <c r="B100" s="116">
        <v>126</v>
      </c>
      <c r="C100" s="116">
        <v>118.2</v>
      </c>
      <c r="D100" s="116">
        <v>116.8</v>
      </c>
      <c r="E100" s="116">
        <v>123.8</v>
      </c>
      <c r="F100" s="116">
        <v>118.2</v>
      </c>
      <c r="G100">
        <v>156876</v>
      </c>
      <c r="H100" s="116"/>
      <c r="I100" s="116"/>
      <c r="L100" s="169">
        <v>42149</v>
      </c>
      <c r="M100" s="116">
        <v>118.4</v>
      </c>
      <c r="N100" s="116">
        <v>125.95</v>
      </c>
      <c r="O100" s="116">
        <v>116.7</v>
      </c>
      <c r="P100" s="116">
        <v>124</v>
      </c>
      <c r="Q100" s="116">
        <v>118.4</v>
      </c>
      <c r="R100">
        <v>390718</v>
      </c>
    </row>
    <row r="101" spans="1:18" x14ac:dyDescent="0.25">
      <c r="A101" s="169">
        <v>42150</v>
      </c>
      <c r="B101" s="116">
        <v>125.4</v>
      </c>
      <c r="C101" s="116">
        <v>122.7</v>
      </c>
      <c r="D101" s="116">
        <v>118</v>
      </c>
      <c r="E101" s="116">
        <v>120.9</v>
      </c>
      <c r="F101" s="116">
        <v>122.7</v>
      </c>
      <c r="G101">
        <v>123211</v>
      </c>
      <c r="H101" s="116"/>
      <c r="I101" s="116"/>
      <c r="L101" s="169">
        <v>42150</v>
      </c>
      <c r="M101" s="116">
        <v>122.9</v>
      </c>
      <c r="N101" s="116">
        <v>125.5</v>
      </c>
      <c r="O101" s="116">
        <v>118.4</v>
      </c>
      <c r="P101" s="116">
        <v>118.4</v>
      </c>
      <c r="Q101" s="116">
        <v>122.9</v>
      </c>
      <c r="R101">
        <v>453012</v>
      </c>
    </row>
    <row r="102" spans="1:18" x14ac:dyDescent="0.25">
      <c r="A102" s="169">
        <v>42151</v>
      </c>
      <c r="B102" s="116">
        <v>126.4</v>
      </c>
      <c r="C102" s="116">
        <v>124.05</v>
      </c>
      <c r="D102" s="116">
        <v>118.8</v>
      </c>
      <c r="E102" s="116">
        <v>120</v>
      </c>
      <c r="F102" s="116">
        <v>124.05</v>
      </c>
      <c r="G102">
        <v>50252</v>
      </c>
      <c r="H102" s="116"/>
      <c r="I102" s="116"/>
      <c r="L102" s="169">
        <v>42151</v>
      </c>
      <c r="M102" s="116">
        <v>124.35</v>
      </c>
      <c r="N102" s="116">
        <v>127</v>
      </c>
      <c r="O102" s="116">
        <v>119</v>
      </c>
      <c r="P102" s="116">
        <v>124.4</v>
      </c>
      <c r="Q102" s="116">
        <v>124.35</v>
      </c>
      <c r="R102">
        <v>130319</v>
      </c>
    </row>
    <row r="103" spans="1:18" x14ac:dyDescent="0.25">
      <c r="A103" s="169">
        <v>42152</v>
      </c>
      <c r="B103" s="116">
        <v>131.44999999999999</v>
      </c>
      <c r="C103" s="116">
        <v>125.1</v>
      </c>
      <c r="D103" s="116">
        <v>122.15</v>
      </c>
      <c r="E103" s="116">
        <v>124</v>
      </c>
      <c r="F103" s="116">
        <v>125.1</v>
      </c>
      <c r="G103">
        <v>131030</v>
      </c>
      <c r="H103" s="116"/>
      <c r="I103" s="116"/>
      <c r="L103" s="169">
        <v>42152</v>
      </c>
      <c r="M103" s="116">
        <v>124.9</v>
      </c>
      <c r="N103" s="116">
        <v>131</v>
      </c>
      <c r="O103" s="116">
        <v>120</v>
      </c>
      <c r="P103" s="116">
        <v>123</v>
      </c>
      <c r="Q103" s="116">
        <v>124.9</v>
      </c>
      <c r="R103">
        <v>312336</v>
      </c>
    </row>
    <row r="104" spans="1:18" x14ac:dyDescent="0.25">
      <c r="A104" s="169">
        <v>42153</v>
      </c>
      <c r="B104" s="116">
        <v>127.4</v>
      </c>
      <c r="C104" s="116">
        <v>122.8</v>
      </c>
      <c r="D104" s="116">
        <v>119</v>
      </c>
      <c r="E104" s="116">
        <v>124</v>
      </c>
      <c r="F104" s="116">
        <v>122.8</v>
      </c>
      <c r="G104">
        <v>55137</v>
      </c>
      <c r="H104" s="116"/>
      <c r="I104" s="116"/>
      <c r="L104" s="169">
        <v>42153</v>
      </c>
      <c r="M104" s="116">
        <v>122.9</v>
      </c>
      <c r="N104" s="116">
        <v>127.5</v>
      </c>
      <c r="O104" s="116">
        <v>120.2</v>
      </c>
      <c r="P104" s="116">
        <v>124</v>
      </c>
      <c r="Q104" s="116">
        <v>122.9</v>
      </c>
      <c r="R104">
        <v>90321</v>
      </c>
    </row>
    <row r="105" spans="1:18" x14ac:dyDescent="0.25">
      <c r="A105" s="169">
        <v>42156</v>
      </c>
      <c r="B105" s="116">
        <v>133.9</v>
      </c>
      <c r="C105" s="116">
        <v>127.3</v>
      </c>
      <c r="D105" s="116">
        <v>123.8</v>
      </c>
      <c r="E105" s="116">
        <v>123.8</v>
      </c>
      <c r="F105" s="116">
        <v>127.3</v>
      </c>
      <c r="G105">
        <v>58549</v>
      </c>
      <c r="H105" s="116"/>
      <c r="I105" s="116"/>
      <c r="L105" s="169">
        <v>42156</v>
      </c>
      <c r="M105" s="116">
        <v>127.65</v>
      </c>
      <c r="N105" s="116">
        <v>134.15</v>
      </c>
      <c r="O105" s="116">
        <v>122</v>
      </c>
      <c r="P105" s="116">
        <v>122</v>
      </c>
      <c r="Q105" s="116">
        <v>127.65</v>
      </c>
      <c r="R105">
        <v>269147</v>
      </c>
    </row>
    <row r="106" spans="1:18" x14ac:dyDescent="0.25">
      <c r="A106" s="169">
        <v>42157</v>
      </c>
      <c r="B106" s="116">
        <v>132.80000000000001</v>
      </c>
      <c r="C106" s="116">
        <v>124.7</v>
      </c>
      <c r="D106" s="116">
        <v>123.1</v>
      </c>
      <c r="E106" s="116">
        <v>128.19999999999999</v>
      </c>
      <c r="F106" s="116">
        <v>124.7</v>
      </c>
      <c r="G106">
        <v>33239</v>
      </c>
      <c r="H106" s="116"/>
      <c r="I106" s="116"/>
      <c r="L106" s="169">
        <v>42157</v>
      </c>
      <c r="M106" s="116">
        <v>124.75</v>
      </c>
      <c r="N106" s="116">
        <v>132.80000000000001</v>
      </c>
      <c r="O106" s="116">
        <v>123.2</v>
      </c>
      <c r="P106" s="116">
        <v>127</v>
      </c>
      <c r="Q106" s="116">
        <v>124.75</v>
      </c>
      <c r="R106">
        <v>113299</v>
      </c>
    </row>
    <row r="107" spans="1:18" x14ac:dyDescent="0.25">
      <c r="A107" s="169">
        <v>42158</v>
      </c>
      <c r="B107" s="116">
        <v>126.4</v>
      </c>
      <c r="C107" s="116">
        <v>114.6</v>
      </c>
      <c r="D107" s="116">
        <v>112.3</v>
      </c>
      <c r="E107" s="116">
        <v>124</v>
      </c>
      <c r="F107" s="116">
        <v>114.6</v>
      </c>
      <c r="G107">
        <v>34404</v>
      </c>
      <c r="H107" s="116"/>
      <c r="I107" s="116"/>
      <c r="L107" s="169">
        <v>42158</v>
      </c>
      <c r="M107" s="116">
        <v>114.9</v>
      </c>
      <c r="N107" s="116">
        <v>127</v>
      </c>
      <c r="O107" s="116">
        <v>112.3</v>
      </c>
      <c r="P107" s="116">
        <v>123</v>
      </c>
      <c r="Q107" s="116">
        <v>114.9</v>
      </c>
      <c r="R107">
        <v>122294</v>
      </c>
    </row>
    <row r="108" spans="1:18" x14ac:dyDescent="0.25">
      <c r="A108" s="169">
        <v>42159</v>
      </c>
      <c r="B108" s="116">
        <v>123.7</v>
      </c>
      <c r="C108" s="116">
        <v>119.5</v>
      </c>
      <c r="D108" s="116">
        <v>115.2</v>
      </c>
      <c r="E108" s="116">
        <v>117</v>
      </c>
      <c r="F108" s="116">
        <v>119.5</v>
      </c>
      <c r="G108">
        <v>30586</v>
      </c>
      <c r="H108" s="116"/>
      <c r="I108" s="116"/>
      <c r="L108" s="169">
        <v>42159</v>
      </c>
      <c r="M108" s="116">
        <v>119.65</v>
      </c>
      <c r="N108" s="116">
        <v>124</v>
      </c>
      <c r="O108" s="116">
        <v>115.3</v>
      </c>
      <c r="P108" s="116">
        <v>116.55</v>
      </c>
      <c r="Q108" s="116">
        <v>119.65</v>
      </c>
      <c r="R108">
        <v>100721</v>
      </c>
    </row>
    <row r="109" spans="1:18" x14ac:dyDescent="0.25">
      <c r="A109" s="169">
        <v>42160</v>
      </c>
      <c r="B109" s="116">
        <v>127.1</v>
      </c>
      <c r="C109" s="116">
        <v>123.8</v>
      </c>
      <c r="D109" s="116">
        <v>121.1</v>
      </c>
      <c r="E109" s="116">
        <v>121.1</v>
      </c>
      <c r="F109" s="116">
        <v>123.8</v>
      </c>
      <c r="G109">
        <v>257068</v>
      </c>
      <c r="H109" s="116"/>
      <c r="I109" s="116"/>
      <c r="L109" s="169">
        <v>42160</v>
      </c>
      <c r="M109" s="116">
        <v>124.4</v>
      </c>
      <c r="N109" s="116">
        <v>127.5</v>
      </c>
      <c r="O109" s="116">
        <v>117.5</v>
      </c>
      <c r="P109" s="116">
        <v>120</v>
      </c>
      <c r="Q109" s="116">
        <v>124.4</v>
      </c>
      <c r="R109">
        <v>334782</v>
      </c>
    </row>
    <row r="110" spans="1:18" x14ac:dyDescent="0.25">
      <c r="A110" s="169">
        <v>42163</v>
      </c>
      <c r="B110" s="116">
        <v>133.9</v>
      </c>
      <c r="C110" s="116">
        <v>127.5</v>
      </c>
      <c r="D110" s="116">
        <v>125.4</v>
      </c>
      <c r="E110" s="116">
        <v>126</v>
      </c>
      <c r="F110" s="116">
        <v>127.5</v>
      </c>
      <c r="G110">
        <v>132820</v>
      </c>
      <c r="H110" s="116"/>
      <c r="I110" s="116"/>
      <c r="L110" s="169">
        <v>42163</v>
      </c>
      <c r="M110" s="116">
        <v>127.65</v>
      </c>
      <c r="N110" s="116">
        <v>134.9</v>
      </c>
      <c r="O110" s="116">
        <v>125.05</v>
      </c>
      <c r="P110" s="116">
        <v>126</v>
      </c>
      <c r="Q110" s="116">
        <v>127.65</v>
      </c>
      <c r="R110">
        <v>175656</v>
      </c>
    </row>
    <row r="111" spans="1:18" x14ac:dyDescent="0.25">
      <c r="A111" s="169">
        <v>42164</v>
      </c>
      <c r="B111" s="116">
        <v>133.19999999999999</v>
      </c>
      <c r="C111" s="116">
        <v>129.19999999999999</v>
      </c>
      <c r="D111" s="116">
        <v>127.2</v>
      </c>
      <c r="E111" s="116">
        <v>129.5</v>
      </c>
      <c r="F111" s="116">
        <v>129.19999999999999</v>
      </c>
      <c r="G111">
        <v>233271</v>
      </c>
      <c r="H111" s="116"/>
      <c r="I111" s="116"/>
      <c r="L111" s="169">
        <v>42164</v>
      </c>
      <c r="M111" s="116">
        <v>129.55000000000001</v>
      </c>
      <c r="N111" s="116">
        <v>134</v>
      </c>
      <c r="O111" s="116">
        <v>127.1</v>
      </c>
      <c r="P111" s="116">
        <v>128.44999999999999</v>
      </c>
      <c r="Q111" s="116">
        <v>129.55000000000001</v>
      </c>
      <c r="R111">
        <v>433051</v>
      </c>
    </row>
    <row r="112" spans="1:18" x14ac:dyDescent="0.25">
      <c r="A112" s="169">
        <v>42165</v>
      </c>
      <c r="B112" s="116">
        <v>132.6</v>
      </c>
      <c r="C112" s="116">
        <v>125.5</v>
      </c>
      <c r="D112" s="116">
        <v>123.9</v>
      </c>
      <c r="E112" s="116">
        <v>131.5</v>
      </c>
      <c r="F112" s="116">
        <v>125.5</v>
      </c>
      <c r="G112">
        <v>106457</v>
      </c>
      <c r="H112" s="116"/>
      <c r="I112" s="116"/>
      <c r="L112" s="169">
        <v>42165</v>
      </c>
      <c r="M112" s="116">
        <v>125.1</v>
      </c>
      <c r="N112" s="116">
        <v>133</v>
      </c>
      <c r="O112" s="116">
        <v>123.55</v>
      </c>
      <c r="P112" s="116">
        <v>129.85</v>
      </c>
      <c r="Q112" s="116">
        <v>125.1</v>
      </c>
      <c r="R112">
        <v>224818</v>
      </c>
    </row>
    <row r="113" spans="1:18" x14ac:dyDescent="0.25">
      <c r="A113" s="169">
        <v>42166</v>
      </c>
      <c r="B113" s="116">
        <v>127.4</v>
      </c>
      <c r="C113" s="116">
        <v>116.3</v>
      </c>
      <c r="D113" s="116">
        <v>115</v>
      </c>
      <c r="E113" s="116">
        <v>127.4</v>
      </c>
      <c r="F113" s="116">
        <v>116.3</v>
      </c>
      <c r="G113">
        <v>11775</v>
      </c>
      <c r="H113" s="116"/>
      <c r="I113" s="116"/>
      <c r="L113" s="169">
        <v>42166</v>
      </c>
      <c r="M113" s="116">
        <v>116.75</v>
      </c>
      <c r="N113" s="116">
        <v>128</v>
      </c>
      <c r="O113" s="116">
        <v>115.35</v>
      </c>
      <c r="P113" s="116">
        <v>128</v>
      </c>
      <c r="Q113" s="116">
        <v>116.75</v>
      </c>
      <c r="R113">
        <v>52118</v>
      </c>
    </row>
    <row r="114" spans="1:18" x14ac:dyDescent="0.25">
      <c r="A114" s="169">
        <v>42167</v>
      </c>
      <c r="B114" s="116">
        <v>120.6</v>
      </c>
      <c r="C114" s="116">
        <v>114.8</v>
      </c>
      <c r="D114" s="116">
        <v>114.3</v>
      </c>
      <c r="E114" s="116">
        <v>115.7</v>
      </c>
      <c r="F114" s="116">
        <v>114.8</v>
      </c>
      <c r="G114">
        <v>15533</v>
      </c>
      <c r="H114" s="116"/>
      <c r="I114" s="116"/>
      <c r="L114" s="169">
        <v>42167</v>
      </c>
      <c r="M114" s="116">
        <v>114.6</v>
      </c>
      <c r="N114" s="116">
        <v>120.95</v>
      </c>
      <c r="O114" s="116">
        <v>114</v>
      </c>
      <c r="P114" s="116">
        <v>115.35</v>
      </c>
      <c r="Q114" s="116">
        <v>114.6</v>
      </c>
      <c r="R114">
        <v>71249</v>
      </c>
    </row>
    <row r="115" spans="1:18" x14ac:dyDescent="0.25">
      <c r="A115" s="169">
        <v>42170</v>
      </c>
      <c r="B115" s="116">
        <v>123.7</v>
      </c>
      <c r="C115" s="116">
        <v>121.5</v>
      </c>
      <c r="D115" s="116">
        <v>114.5</v>
      </c>
      <c r="E115" s="116">
        <v>117</v>
      </c>
      <c r="F115" s="116">
        <v>121.5</v>
      </c>
      <c r="G115">
        <v>25636</v>
      </c>
      <c r="H115" s="116"/>
      <c r="I115" s="116"/>
      <c r="L115" s="169">
        <v>42170</v>
      </c>
      <c r="M115" s="116">
        <v>121.55</v>
      </c>
      <c r="N115" s="116">
        <v>124</v>
      </c>
      <c r="O115" s="116">
        <v>111.2</v>
      </c>
      <c r="P115" s="116">
        <v>111.2</v>
      </c>
      <c r="Q115" s="116">
        <v>121.55</v>
      </c>
      <c r="R115">
        <v>86230</v>
      </c>
    </row>
    <row r="116" spans="1:18" x14ac:dyDescent="0.25">
      <c r="A116" s="169">
        <v>42171</v>
      </c>
      <c r="B116" s="116">
        <v>124.9</v>
      </c>
      <c r="C116" s="116">
        <v>121.1</v>
      </c>
      <c r="D116" s="116">
        <v>119.7</v>
      </c>
      <c r="E116" s="116">
        <v>123.3</v>
      </c>
      <c r="F116" s="116">
        <v>121.1</v>
      </c>
      <c r="G116">
        <v>19882</v>
      </c>
      <c r="H116" s="116"/>
      <c r="I116" s="116"/>
      <c r="L116" s="169">
        <v>42171</v>
      </c>
      <c r="M116" s="116">
        <v>120.95</v>
      </c>
      <c r="N116" s="116">
        <v>124.7</v>
      </c>
      <c r="O116" s="116">
        <v>118.6</v>
      </c>
      <c r="P116" s="116">
        <v>122</v>
      </c>
      <c r="Q116" s="116">
        <v>120.95</v>
      </c>
      <c r="R116">
        <v>64378</v>
      </c>
    </row>
    <row r="117" spans="1:18" x14ac:dyDescent="0.25">
      <c r="A117" s="169">
        <v>42172</v>
      </c>
      <c r="B117" s="116">
        <v>132.80000000000001</v>
      </c>
      <c r="C117" s="116">
        <v>127.7</v>
      </c>
      <c r="D117" s="116">
        <v>122.2</v>
      </c>
      <c r="E117" s="116">
        <v>122.5</v>
      </c>
      <c r="F117" s="116">
        <v>127.7</v>
      </c>
      <c r="G117">
        <v>49084</v>
      </c>
      <c r="H117" s="116"/>
      <c r="I117" s="116"/>
      <c r="L117" s="169">
        <v>42172</v>
      </c>
      <c r="M117" s="116">
        <v>128.75</v>
      </c>
      <c r="N117" s="116">
        <v>133</v>
      </c>
      <c r="O117" s="116">
        <v>121.65</v>
      </c>
      <c r="P117" s="116">
        <v>122.15</v>
      </c>
      <c r="Q117" s="116">
        <v>128.75</v>
      </c>
      <c r="R117">
        <v>381229</v>
      </c>
    </row>
    <row r="118" spans="1:18" x14ac:dyDescent="0.25">
      <c r="A118" s="169">
        <v>42173</v>
      </c>
      <c r="B118" s="116">
        <v>135.9</v>
      </c>
      <c r="C118" s="116">
        <v>129.30000000000001</v>
      </c>
      <c r="D118" s="116">
        <v>128.1</v>
      </c>
      <c r="E118" s="116">
        <v>130</v>
      </c>
      <c r="F118" s="116">
        <v>129.30000000000001</v>
      </c>
      <c r="G118">
        <v>33845</v>
      </c>
      <c r="H118" s="116"/>
      <c r="I118" s="116"/>
      <c r="L118" s="169">
        <v>42173</v>
      </c>
      <c r="M118" s="116">
        <v>128.9</v>
      </c>
      <c r="N118" s="116">
        <v>137.9</v>
      </c>
      <c r="O118" s="116">
        <v>128.5</v>
      </c>
      <c r="P118" s="116">
        <v>128.75</v>
      </c>
      <c r="Q118" s="116">
        <v>128.9</v>
      </c>
      <c r="R118">
        <v>136177</v>
      </c>
    </row>
    <row r="119" spans="1:18" x14ac:dyDescent="0.25">
      <c r="A119" s="169">
        <v>42174</v>
      </c>
      <c r="B119" s="116">
        <v>131.4</v>
      </c>
      <c r="C119" s="116">
        <v>128</v>
      </c>
      <c r="D119" s="116">
        <v>125.1</v>
      </c>
      <c r="E119" s="116">
        <v>130.6</v>
      </c>
      <c r="F119" s="116">
        <v>128</v>
      </c>
      <c r="G119">
        <v>18494</v>
      </c>
      <c r="H119" s="116"/>
      <c r="I119" s="116"/>
      <c r="L119" s="169">
        <v>42174</v>
      </c>
      <c r="M119" s="116">
        <v>128.5</v>
      </c>
      <c r="N119" s="116">
        <v>130.94999999999999</v>
      </c>
      <c r="O119" s="116">
        <v>125</v>
      </c>
      <c r="P119" s="116">
        <v>130</v>
      </c>
      <c r="Q119" s="116">
        <v>128.5</v>
      </c>
      <c r="R119">
        <v>106231</v>
      </c>
    </row>
    <row r="120" spans="1:18" x14ac:dyDescent="0.25">
      <c r="A120" s="169">
        <v>42177</v>
      </c>
      <c r="B120" s="116">
        <v>132.9</v>
      </c>
      <c r="C120" s="116">
        <v>130.69999999999999</v>
      </c>
      <c r="D120" s="116">
        <v>123.3</v>
      </c>
      <c r="E120" s="116">
        <v>132</v>
      </c>
      <c r="F120" s="116">
        <v>130.69999999999999</v>
      </c>
      <c r="G120">
        <v>20344</v>
      </c>
      <c r="H120" s="116"/>
      <c r="I120" s="116"/>
      <c r="L120" s="169">
        <v>42177</v>
      </c>
      <c r="M120" s="116">
        <v>131.25</v>
      </c>
      <c r="N120" s="116">
        <v>133.19999999999999</v>
      </c>
      <c r="O120" s="116">
        <v>123.45</v>
      </c>
      <c r="P120" s="116">
        <v>129.5</v>
      </c>
      <c r="Q120" s="116">
        <v>131.25</v>
      </c>
      <c r="R120">
        <v>315887</v>
      </c>
    </row>
    <row r="121" spans="1:18" x14ac:dyDescent="0.25">
      <c r="A121" s="169">
        <v>42178</v>
      </c>
      <c r="B121" s="116">
        <v>132.30000000000001</v>
      </c>
      <c r="C121" s="116">
        <v>128.4</v>
      </c>
      <c r="D121" s="116">
        <v>127.2</v>
      </c>
      <c r="E121" s="116">
        <v>131.6</v>
      </c>
      <c r="F121" s="116">
        <v>128.4</v>
      </c>
      <c r="G121">
        <v>10108</v>
      </c>
      <c r="H121" s="116"/>
      <c r="I121" s="116"/>
      <c r="L121" s="169">
        <v>42178</v>
      </c>
      <c r="M121" s="116">
        <v>128.25</v>
      </c>
      <c r="N121" s="116">
        <v>132.55000000000001</v>
      </c>
      <c r="O121" s="116">
        <v>127.05</v>
      </c>
      <c r="P121" s="116">
        <v>131</v>
      </c>
      <c r="Q121" s="116">
        <v>128.25</v>
      </c>
      <c r="R121">
        <v>159109</v>
      </c>
    </row>
    <row r="122" spans="1:18" x14ac:dyDescent="0.25">
      <c r="A122" s="169">
        <v>42179</v>
      </c>
      <c r="B122" s="116">
        <v>135</v>
      </c>
      <c r="C122" s="116">
        <v>131</v>
      </c>
      <c r="D122" s="116">
        <v>125.5</v>
      </c>
      <c r="E122" s="116">
        <v>130</v>
      </c>
      <c r="F122" s="116">
        <v>131</v>
      </c>
      <c r="G122">
        <v>29075</v>
      </c>
      <c r="H122" s="116"/>
      <c r="I122" s="116"/>
      <c r="L122" s="169">
        <v>42179</v>
      </c>
      <c r="M122" s="116">
        <v>131.75</v>
      </c>
      <c r="N122" s="116">
        <v>135.55000000000001</v>
      </c>
      <c r="O122" s="116">
        <v>125.5</v>
      </c>
      <c r="P122" s="116">
        <v>129.55000000000001</v>
      </c>
      <c r="Q122" s="116">
        <v>131.75</v>
      </c>
      <c r="R122">
        <v>146244</v>
      </c>
    </row>
    <row r="123" spans="1:18" x14ac:dyDescent="0.25">
      <c r="A123" s="169">
        <v>42180</v>
      </c>
      <c r="B123" s="116">
        <v>131.69999999999999</v>
      </c>
      <c r="C123" s="116">
        <v>130</v>
      </c>
      <c r="D123" s="116">
        <v>128.5</v>
      </c>
      <c r="E123" s="116">
        <v>129.19999999999999</v>
      </c>
      <c r="F123" s="116">
        <v>130</v>
      </c>
      <c r="G123">
        <v>8088</v>
      </c>
      <c r="H123" s="116"/>
      <c r="I123" s="116"/>
      <c r="L123" s="169">
        <v>42180</v>
      </c>
      <c r="M123" s="116">
        <v>129.55000000000001</v>
      </c>
      <c r="N123" s="116">
        <v>131.5</v>
      </c>
      <c r="O123" s="116">
        <v>127.95</v>
      </c>
      <c r="P123" s="116">
        <v>128</v>
      </c>
      <c r="Q123" s="116">
        <v>129.55000000000001</v>
      </c>
      <c r="R123">
        <v>53512</v>
      </c>
    </row>
    <row r="124" spans="1:18" x14ac:dyDescent="0.25">
      <c r="A124" s="169">
        <v>42181</v>
      </c>
      <c r="B124" s="116">
        <v>143</v>
      </c>
      <c r="C124" s="116">
        <v>143</v>
      </c>
      <c r="D124" s="116">
        <v>128.69999999999999</v>
      </c>
      <c r="E124" s="116">
        <v>128.69999999999999</v>
      </c>
      <c r="F124" s="116">
        <v>143</v>
      </c>
      <c r="G124">
        <v>102798</v>
      </c>
      <c r="H124" s="116"/>
      <c r="I124" s="116"/>
      <c r="L124" s="169">
        <v>42181</v>
      </c>
      <c r="M124" s="116">
        <v>142.5</v>
      </c>
      <c r="N124" s="116">
        <v>142.5</v>
      </c>
      <c r="O124" s="116">
        <v>128.4</v>
      </c>
      <c r="P124" s="116">
        <v>129</v>
      </c>
      <c r="Q124" s="116">
        <v>142.5</v>
      </c>
      <c r="R124">
        <v>307635</v>
      </c>
    </row>
    <row r="125" spans="1:18" x14ac:dyDescent="0.25">
      <c r="A125" s="169">
        <v>42184</v>
      </c>
      <c r="B125" s="116">
        <v>148.9</v>
      </c>
      <c r="C125" s="116">
        <v>140</v>
      </c>
      <c r="D125" s="116">
        <v>129.69999999999999</v>
      </c>
      <c r="E125" s="116">
        <v>142.5</v>
      </c>
      <c r="F125" s="116">
        <v>140</v>
      </c>
      <c r="G125">
        <v>83660</v>
      </c>
      <c r="H125" s="116"/>
      <c r="I125" s="116"/>
      <c r="L125" s="169">
        <v>42184</v>
      </c>
      <c r="M125" s="116">
        <v>139.4</v>
      </c>
      <c r="N125" s="116">
        <v>148.85</v>
      </c>
      <c r="O125" s="116">
        <v>129</v>
      </c>
      <c r="P125" s="116">
        <v>139.80000000000001</v>
      </c>
      <c r="Q125" s="116">
        <v>139.4</v>
      </c>
      <c r="R125">
        <v>286381</v>
      </c>
    </row>
    <row r="126" spans="1:18" x14ac:dyDescent="0.25">
      <c r="A126" s="169">
        <v>42185</v>
      </c>
      <c r="B126" s="116">
        <v>152.4</v>
      </c>
      <c r="C126" s="116">
        <v>149.6</v>
      </c>
      <c r="D126" s="116">
        <v>139</v>
      </c>
      <c r="E126" s="116">
        <v>141</v>
      </c>
      <c r="F126" s="116">
        <v>149.6</v>
      </c>
      <c r="G126">
        <v>83063</v>
      </c>
      <c r="H126" s="116"/>
      <c r="I126" s="116"/>
      <c r="L126" s="169">
        <v>42185</v>
      </c>
      <c r="M126" s="116">
        <v>150</v>
      </c>
      <c r="N126" s="116">
        <v>152.1</v>
      </c>
      <c r="O126" s="116">
        <v>140</v>
      </c>
      <c r="P126" s="116">
        <v>142.5</v>
      </c>
      <c r="Q126" s="116">
        <v>150</v>
      </c>
      <c r="R126">
        <v>240136</v>
      </c>
    </row>
    <row r="127" spans="1:18" x14ac:dyDescent="0.25">
      <c r="A127" s="169">
        <v>42186</v>
      </c>
      <c r="B127" s="116">
        <v>164.5</v>
      </c>
      <c r="C127" s="116">
        <v>164.2</v>
      </c>
      <c r="D127" s="116">
        <v>150</v>
      </c>
      <c r="E127" s="116">
        <v>150</v>
      </c>
      <c r="F127" s="116">
        <v>164.2</v>
      </c>
      <c r="G127">
        <v>122934</v>
      </c>
      <c r="H127" s="116"/>
      <c r="I127" s="116"/>
      <c r="L127" s="169">
        <v>42186</v>
      </c>
      <c r="M127" s="116">
        <v>164.5</v>
      </c>
      <c r="N127" s="116">
        <v>165</v>
      </c>
      <c r="O127" s="116">
        <v>146.5</v>
      </c>
      <c r="P127" s="116">
        <v>151.80000000000001</v>
      </c>
      <c r="Q127" s="116">
        <v>164.5</v>
      </c>
      <c r="R127">
        <v>328522</v>
      </c>
    </row>
    <row r="128" spans="1:18" x14ac:dyDescent="0.25">
      <c r="A128" s="169">
        <v>42187</v>
      </c>
      <c r="B128" s="116">
        <v>174.7</v>
      </c>
      <c r="C128" s="116">
        <v>170.2</v>
      </c>
      <c r="D128" s="116">
        <v>166</v>
      </c>
      <c r="E128" s="116">
        <v>168</v>
      </c>
      <c r="F128" s="116">
        <v>170.2</v>
      </c>
      <c r="G128">
        <v>88797</v>
      </c>
      <c r="H128" s="116"/>
      <c r="I128" s="116"/>
      <c r="L128" s="169">
        <v>42187</v>
      </c>
      <c r="M128" s="116">
        <v>170.4</v>
      </c>
      <c r="N128" s="116">
        <v>174.7</v>
      </c>
      <c r="O128" s="116">
        <v>166</v>
      </c>
      <c r="P128" s="116">
        <v>169.6</v>
      </c>
      <c r="Q128" s="116">
        <v>170.4</v>
      </c>
      <c r="R128">
        <v>304813</v>
      </c>
    </row>
    <row r="129" spans="1:18" x14ac:dyDescent="0.25">
      <c r="A129" s="169">
        <v>42188</v>
      </c>
      <c r="B129" s="116">
        <v>178.7</v>
      </c>
      <c r="C129" s="116">
        <v>170.6</v>
      </c>
      <c r="D129" s="116">
        <v>169.1</v>
      </c>
      <c r="E129" s="116">
        <v>171.5</v>
      </c>
      <c r="F129" s="116">
        <v>170.6</v>
      </c>
      <c r="G129">
        <v>96483</v>
      </c>
      <c r="H129" s="116"/>
      <c r="I129" s="116"/>
      <c r="L129" s="169">
        <v>42188</v>
      </c>
      <c r="M129" s="116">
        <v>170.4</v>
      </c>
      <c r="N129" s="116">
        <v>178.9</v>
      </c>
      <c r="O129" s="116">
        <v>169.3</v>
      </c>
      <c r="P129" s="116">
        <v>174.7</v>
      </c>
      <c r="Q129" s="116">
        <v>170.4</v>
      </c>
      <c r="R129">
        <v>389139</v>
      </c>
    </row>
    <row r="130" spans="1:18" x14ac:dyDescent="0.25">
      <c r="A130" s="169">
        <v>42191</v>
      </c>
      <c r="B130" s="116">
        <v>175</v>
      </c>
      <c r="C130" s="116">
        <v>172.4</v>
      </c>
      <c r="D130" s="116">
        <v>163.6</v>
      </c>
      <c r="E130" s="116">
        <v>165.2</v>
      </c>
      <c r="F130" s="116">
        <v>172.4</v>
      </c>
      <c r="G130">
        <v>27095</v>
      </c>
      <c r="H130" s="116"/>
      <c r="I130" s="116"/>
      <c r="L130" s="169">
        <v>42191</v>
      </c>
      <c r="M130" s="116">
        <v>172.2</v>
      </c>
      <c r="N130" s="116">
        <v>175</v>
      </c>
      <c r="O130" s="116">
        <v>162.69999999999999</v>
      </c>
      <c r="P130" s="116">
        <v>169</v>
      </c>
      <c r="Q130" s="116">
        <v>172.2</v>
      </c>
      <c r="R130">
        <v>118666</v>
      </c>
    </row>
    <row r="131" spans="1:18" x14ac:dyDescent="0.25">
      <c r="A131" s="169">
        <v>42192</v>
      </c>
      <c r="B131" s="116">
        <v>180.3</v>
      </c>
      <c r="C131" s="116">
        <v>179.4</v>
      </c>
      <c r="D131" s="116">
        <v>172.7</v>
      </c>
      <c r="E131" s="116">
        <v>175</v>
      </c>
      <c r="F131" s="116">
        <v>179.4</v>
      </c>
      <c r="G131">
        <v>40216</v>
      </c>
      <c r="H131" s="116"/>
      <c r="I131" s="116"/>
      <c r="L131" s="169">
        <v>42192</v>
      </c>
      <c r="M131" s="116">
        <v>179.35</v>
      </c>
      <c r="N131" s="116">
        <v>180.5</v>
      </c>
      <c r="O131" s="116">
        <v>172.95</v>
      </c>
      <c r="P131" s="116">
        <v>176</v>
      </c>
      <c r="Q131" s="116">
        <v>179.35</v>
      </c>
      <c r="R131">
        <v>240079</v>
      </c>
    </row>
    <row r="132" spans="1:18" x14ac:dyDescent="0.25">
      <c r="A132" s="169">
        <v>42193</v>
      </c>
      <c r="B132" s="116">
        <v>180.1</v>
      </c>
      <c r="C132" s="116">
        <v>178.2</v>
      </c>
      <c r="D132" s="116">
        <v>173.3</v>
      </c>
      <c r="E132" s="116">
        <v>175</v>
      </c>
      <c r="F132" s="116">
        <v>178.2</v>
      </c>
      <c r="G132">
        <v>16884</v>
      </c>
      <c r="H132" s="116"/>
      <c r="I132" s="116"/>
      <c r="L132" s="169">
        <v>42193</v>
      </c>
      <c r="M132" s="116">
        <v>178.6</v>
      </c>
      <c r="N132" s="116">
        <v>180.5</v>
      </c>
      <c r="O132" s="116">
        <v>173</v>
      </c>
      <c r="P132" s="116">
        <v>179</v>
      </c>
      <c r="Q132" s="116">
        <v>178.6</v>
      </c>
      <c r="R132">
        <v>87168</v>
      </c>
    </row>
    <row r="133" spans="1:18" x14ac:dyDescent="0.25">
      <c r="A133" s="169">
        <v>42194</v>
      </c>
      <c r="B133" s="116">
        <v>187.1</v>
      </c>
      <c r="C133" s="116">
        <v>187.1</v>
      </c>
      <c r="D133" s="116">
        <v>182</v>
      </c>
      <c r="E133" s="116">
        <v>182</v>
      </c>
      <c r="F133" s="116">
        <v>187.1</v>
      </c>
      <c r="G133">
        <v>36941</v>
      </c>
      <c r="H133" s="116"/>
      <c r="I133" s="116"/>
      <c r="L133" s="169">
        <v>42194</v>
      </c>
      <c r="M133" s="116">
        <v>187.5</v>
      </c>
      <c r="N133" s="116">
        <v>187.5</v>
      </c>
      <c r="O133" s="116">
        <v>179</v>
      </c>
      <c r="P133" s="116">
        <v>179.9</v>
      </c>
      <c r="Q133" s="116">
        <v>187.5</v>
      </c>
      <c r="R133">
        <v>151634</v>
      </c>
    </row>
    <row r="134" spans="1:18" x14ac:dyDescent="0.25">
      <c r="A134" s="169">
        <v>42195</v>
      </c>
      <c r="B134" s="116">
        <v>196.4</v>
      </c>
      <c r="C134" s="116">
        <v>191.8</v>
      </c>
      <c r="D134" s="116">
        <v>188.5</v>
      </c>
      <c r="E134" s="116">
        <v>196.4</v>
      </c>
      <c r="F134" s="116">
        <v>191.8</v>
      </c>
      <c r="G134">
        <v>42154</v>
      </c>
      <c r="H134" s="116"/>
      <c r="I134" s="116"/>
      <c r="L134" s="169">
        <v>42195</v>
      </c>
      <c r="M134" s="116">
        <v>192.1</v>
      </c>
      <c r="N134" s="116">
        <v>195.1</v>
      </c>
      <c r="O134" s="116">
        <v>185.1</v>
      </c>
      <c r="P134" s="116">
        <v>185.1</v>
      </c>
      <c r="Q134" s="116">
        <v>192.1</v>
      </c>
      <c r="R134">
        <v>136050</v>
      </c>
    </row>
    <row r="135" spans="1:18" x14ac:dyDescent="0.25">
      <c r="A135" s="169">
        <v>42198</v>
      </c>
      <c r="B135" s="116">
        <v>198.8</v>
      </c>
      <c r="C135" s="116">
        <v>195.2</v>
      </c>
      <c r="D135" s="116">
        <v>190.4</v>
      </c>
      <c r="E135" s="116">
        <v>190.4</v>
      </c>
      <c r="F135" s="116">
        <v>195.2</v>
      </c>
      <c r="G135">
        <v>20769</v>
      </c>
      <c r="H135" s="116"/>
      <c r="I135" s="116"/>
      <c r="L135" s="169">
        <v>42198</v>
      </c>
      <c r="M135" s="116">
        <v>195.25</v>
      </c>
      <c r="N135" s="116">
        <v>198.9</v>
      </c>
      <c r="O135" s="116">
        <v>189.95</v>
      </c>
      <c r="P135" s="116">
        <v>190</v>
      </c>
      <c r="Q135" s="116">
        <v>195.25</v>
      </c>
      <c r="R135">
        <v>90499</v>
      </c>
    </row>
    <row r="136" spans="1:18" x14ac:dyDescent="0.25">
      <c r="A136" s="169">
        <v>42199</v>
      </c>
      <c r="B136" s="116">
        <v>196.8</v>
      </c>
      <c r="C136" s="116">
        <v>190.5</v>
      </c>
      <c r="D136" s="116">
        <v>188.7</v>
      </c>
      <c r="E136" s="116">
        <v>190</v>
      </c>
      <c r="F136" s="116">
        <v>190.5</v>
      </c>
      <c r="G136">
        <v>23477</v>
      </c>
      <c r="H136" s="116"/>
      <c r="I136" s="116"/>
      <c r="L136" s="169">
        <v>42199</v>
      </c>
      <c r="M136" s="116">
        <v>190.75</v>
      </c>
      <c r="N136" s="116">
        <v>197</v>
      </c>
      <c r="O136" s="116">
        <v>189</v>
      </c>
      <c r="P136" s="116">
        <v>195.25</v>
      </c>
      <c r="Q136" s="116">
        <v>190.75</v>
      </c>
      <c r="R136">
        <v>102709</v>
      </c>
    </row>
    <row r="137" spans="1:18" x14ac:dyDescent="0.25">
      <c r="A137" s="169">
        <v>42200</v>
      </c>
      <c r="B137" s="116">
        <v>193.2</v>
      </c>
      <c r="C137" s="116">
        <v>182.1</v>
      </c>
      <c r="D137" s="116">
        <v>181</v>
      </c>
      <c r="E137" s="116">
        <v>193.2</v>
      </c>
      <c r="F137" s="116">
        <v>182.1</v>
      </c>
      <c r="G137">
        <v>28365</v>
      </c>
      <c r="H137" s="116"/>
      <c r="I137" s="116"/>
      <c r="L137" s="169">
        <v>42200</v>
      </c>
      <c r="M137" s="116">
        <v>182.2</v>
      </c>
      <c r="N137" s="116">
        <v>192.95</v>
      </c>
      <c r="O137" s="116">
        <v>181.25</v>
      </c>
      <c r="P137" s="116">
        <v>192.95</v>
      </c>
      <c r="Q137" s="116">
        <v>182.2</v>
      </c>
      <c r="R137">
        <v>152314</v>
      </c>
    </row>
    <row r="138" spans="1:18" x14ac:dyDescent="0.25">
      <c r="A138" s="169">
        <v>42201</v>
      </c>
      <c r="B138" s="116">
        <v>188.9</v>
      </c>
      <c r="C138" s="116">
        <v>186.4</v>
      </c>
      <c r="D138" s="116">
        <v>179</v>
      </c>
      <c r="E138" s="116">
        <v>180.9</v>
      </c>
      <c r="F138" s="116">
        <v>186.4</v>
      </c>
      <c r="G138">
        <v>13968</v>
      </c>
      <c r="H138" s="116"/>
      <c r="I138" s="116"/>
      <c r="L138" s="169">
        <v>42201</v>
      </c>
      <c r="M138" s="116">
        <v>186.95</v>
      </c>
      <c r="N138" s="116">
        <v>189.3</v>
      </c>
      <c r="O138" s="116">
        <v>176.45</v>
      </c>
      <c r="P138" s="116">
        <v>183.55</v>
      </c>
      <c r="Q138" s="116">
        <v>186.95</v>
      </c>
      <c r="R138">
        <v>64080</v>
      </c>
    </row>
    <row r="139" spans="1:18" x14ac:dyDescent="0.25">
      <c r="A139" s="169">
        <v>42202</v>
      </c>
      <c r="B139" s="116">
        <v>192</v>
      </c>
      <c r="C139" s="116">
        <v>188.7</v>
      </c>
      <c r="D139" s="116">
        <v>185.5</v>
      </c>
      <c r="E139" s="116">
        <v>188.1</v>
      </c>
      <c r="F139" s="116">
        <v>188.7</v>
      </c>
      <c r="G139">
        <v>6586</v>
      </c>
      <c r="H139" s="116"/>
      <c r="I139" s="116"/>
      <c r="L139" s="169">
        <v>42202</v>
      </c>
      <c r="M139" s="116">
        <v>189.5</v>
      </c>
      <c r="N139" s="116">
        <v>191.65</v>
      </c>
      <c r="O139" s="116">
        <v>185.45</v>
      </c>
      <c r="P139" s="116">
        <v>189.65</v>
      </c>
      <c r="Q139" s="116">
        <v>189.5</v>
      </c>
      <c r="R139">
        <v>42309</v>
      </c>
    </row>
    <row r="140" spans="1:18" x14ac:dyDescent="0.25">
      <c r="A140" s="169">
        <v>42205</v>
      </c>
      <c r="B140" s="116">
        <v>196.5</v>
      </c>
      <c r="C140" s="116">
        <v>191.8</v>
      </c>
      <c r="D140" s="116">
        <v>188</v>
      </c>
      <c r="E140" s="116">
        <v>189</v>
      </c>
      <c r="F140" s="116">
        <v>191.8</v>
      </c>
      <c r="G140">
        <v>21745</v>
      </c>
      <c r="H140" s="116"/>
      <c r="I140" s="116"/>
      <c r="L140" s="169">
        <v>42205</v>
      </c>
      <c r="M140" s="116">
        <v>192.1</v>
      </c>
      <c r="N140" s="116">
        <v>196.85</v>
      </c>
      <c r="O140" s="116">
        <v>185.2</v>
      </c>
      <c r="P140" s="116">
        <v>185.2</v>
      </c>
      <c r="Q140" s="116">
        <v>192.1</v>
      </c>
      <c r="R140">
        <v>82743</v>
      </c>
    </row>
    <row r="141" spans="1:18" x14ac:dyDescent="0.25">
      <c r="A141" s="169">
        <v>42206</v>
      </c>
      <c r="B141" s="116">
        <v>197</v>
      </c>
      <c r="C141" s="116">
        <v>193</v>
      </c>
      <c r="D141" s="116">
        <v>191</v>
      </c>
      <c r="E141" s="116">
        <v>192.6</v>
      </c>
      <c r="F141" s="116">
        <v>193</v>
      </c>
      <c r="G141">
        <v>15873</v>
      </c>
      <c r="H141" s="116"/>
      <c r="I141" s="116"/>
      <c r="L141" s="169">
        <v>42206</v>
      </c>
      <c r="M141" s="116">
        <v>193.8</v>
      </c>
      <c r="N141" s="116">
        <v>197.8</v>
      </c>
      <c r="O141" s="116">
        <v>187.05</v>
      </c>
      <c r="P141" s="116">
        <v>187.05</v>
      </c>
      <c r="Q141" s="116">
        <v>193.8</v>
      </c>
      <c r="R141">
        <v>70053</v>
      </c>
    </row>
    <row r="142" spans="1:18" x14ac:dyDescent="0.25">
      <c r="A142" s="169">
        <v>42207</v>
      </c>
      <c r="B142" s="116">
        <v>195</v>
      </c>
      <c r="C142" s="116">
        <v>192.1</v>
      </c>
      <c r="D142" s="116">
        <v>191</v>
      </c>
      <c r="E142" s="116">
        <v>195</v>
      </c>
      <c r="F142" s="116">
        <v>192.1</v>
      </c>
      <c r="G142">
        <v>5382</v>
      </c>
      <c r="H142" s="116"/>
      <c r="I142" s="116"/>
      <c r="L142" s="169">
        <v>42207</v>
      </c>
      <c r="M142" s="116">
        <v>192.85</v>
      </c>
      <c r="N142" s="116">
        <v>195</v>
      </c>
      <c r="O142" s="116">
        <v>190.55</v>
      </c>
      <c r="P142" s="116">
        <v>194</v>
      </c>
      <c r="Q142" s="116">
        <v>192.85</v>
      </c>
      <c r="R142">
        <v>23459</v>
      </c>
    </row>
    <row r="143" spans="1:18" x14ac:dyDescent="0.25">
      <c r="A143" s="169">
        <v>42208</v>
      </c>
      <c r="B143" s="116">
        <v>195.2</v>
      </c>
      <c r="C143" s="116">
        <v>193.9</v>
      </c>
      <c r="D143" s="116">
        <v>189.5</v>
      </c>
      <c r="E143" s="116">
        <v>194.4</v>
      </c>
      <c r="F143" s="116">
        <v>193.9</v>
      </c>
      <c r="G143">
        <v>4417</v>
      </c>
      <c r="H143" s="116"/>
      <c r="I143" s="116"/>
      <c r="L143" s="169">
        <v>42208</v>
      </c>
      <c r="M143" s="116">
        <v>193.65</v>
      </c>
      <c r="N143" s="116">
        <v>194.95</v>
      </c>
      <c r="O143" s="116">
        <v>186.3</v>
      </c>
      <c r="P143" s="116">
        <v>186.3</v>
      </c>
      <c r="Q143" s="116">
        <v>193.65</v>
      </c>
      <c r="R143">
        <v>24061</v>
      </c>
    </row>
    <row r="144" spans="1:18" x14ac:dyDescent="0.25">
      <c r="A144" s="169">
        <v>42209</v>
      </c>
      <c r="B144" s="116">
        <v>198</v>
      </c>
      <c r="C144" s="116">
        <v>194.1</v>
      </c>
      <c r="D144" s="116">
        <v>191.2</v>
      </c>
      <c r="E144" s="116">
        <v>193.8</v>
      </c>
      <c r="F144" s="116">
        <v>194.1</v>
      </c>
      <c r="G144">
        <v>16872</v>
      </c>
      <c r="H144" s="116"/>
      <c r="I144" s="116"/>
      <c r="L144" s="169">
        <v>42209</v>
      </c>
      <c r="M144" s="116">
        <v>194.35</v>
      </c>
      <c r="N144" s="116">
        <v>198</v>
      </c>
      <c r="O144" s="116">
        <v>190.15</v>
      </c>
      <c r="P144" s="116">
        <v>192.5</v>
      </c>
      <c r="Q144" s="116">
        <v>194.35</v>
      </c>
      <c r="R144">
        <v>48411</v>
      </c>
    </row>
    <row r="145" spans="1:18" x14ac:dyDescent="0.25">
      <c r="A145" s="169">
        <v>42212</v>
      </c>
      <c r="B145" s="116">
        <v>197</v>
      </c>
      <c r="C145" s="116">
        <v>193.8</v>
      </c>
      <c r="D145" s="116">
        <v>192.1</v>
      </c>
      <c r="E145" s="116">
        <v>195</v>
      </c>
      <c r="F145" s="116">
        <v>193.8</v>
      </c>
      <c r="G145">
        <v>9541</v>
      </c>
      <c r="H145" s="116"/>
      <c r="I145" s="116"/>
      <c r="L145" s="169">
        <v>42212</v>
      </c>
      <c r="M145" s="116">
        <v>194.2</v>
      </c>
      <c r="N145" s="116">
        <v>196.9</v>
      </c>
      <c r="O145" s="116">
        <v>192</v>
      </c>
      <c r="P145" s="116">
        <v>192</v>
      </c>
      <c r="Q145" s="116">
        <v>194.2</v>
      </c>
      <c r="R145">
        <v>51631</v>
      </c>
    </row>
    <row r="146" spans="1:18" x14ac:dyDescent="0.25">
      <c r="A146" s="169">
        <v>42213</v>
      </c>
      <c r="B146" s="116">
        <v>203.4</v>
      </c>
      <c r="C146" s="116">
        <v>202.9</v>
      </c>
      <c r="D146" s="116">
        <v>195</v>
      </c>
      <c r="E146" s="116">
        <v>197.5</v>
      </c>
      <c r="F146" s="116">
        <v>202.9</v>
      </c>
      <c r="G146">
        <v>55461</v>
      </c>
      <c r="H146" s="116"/>
      <c r="I146" s="116"/>
      <c r="L146" s="169">
        <v>42213</v>
      </c>
      <c r="M146" s="116">
        <v>203.45</v>
      </c>
      <c r="N146" s="116">
        <v>203.9</v>
      </c>
      <c r="O146" s="116">
        <v>194.1</v>
      </c>
      <c r="P146" s="116">
        <v>200</v>
      </c>
      <c r="Q146" s="116">
        <v>203.45</v>
      </c>
      <c r="R146">
        <v>289943</v>
      </c>
    </row>
    <row r="147" spans="1:18" x14ac:dyDescent="0.25">
      <c r="A147" s="169">
        <v>42214</v>
      </c>
      <c r="B147" s="116">
        <v>213</v>
      </c>
      <c r="C147" s="116">
        <v>211.7</v>
      </c>
      <c r="D147" s="116">
        <v>202.9</v>
      </c>
      <c r="E147" s="116">
        <v>202.9</v>
      </c>
      <c r="F147" s="116">
        <v>211.7</v>
      </c>
      <c r="G147">
        <v>40774</v>
      </c>
      <c r="H147" s="116"/>
      <c r="I147" s="116"/>
      <c r="L147" s="169">
        <v>42214</v>
      </c>
      <c r="M147" s="116">
        <v>211.4</v>
      </c>
      <c r="N147" s="116">
        <v>213.6</v>
      </c>
      <c r="O147" s="116">
        <v>205.2</v>
      </c>
      <c r="P147" s="116">
        <v>205.2</v>
      </c>
      <c r="Q147" s="116">
        <v>211.4</v>
      </c>
      <c r="R147">
        <v>132949</v>
      </c>
    </row>
    <row r="148" spans="1:18" x14ac:dyDescent="0.25">
      <c r="A148" s="169">
        <v>42215</v>
      </c>
      <c r="B148" s="116">
        <v>219</v>
      </c>
      <c r="C148" s="116">
        <v>210.5</v>
      </c>
      <c r="D148" s="116">
        <v>208</v>
      </c>
      <c r="E148" s="116">
        <v>214.3</v>
      </c>
      <c r="F148" s="116">
        <v>210.5</v>
      </c>
      <c r="G148">
        <v>131181</v>
      </c>
      <c r="H148" s="116"/>
      <c r="I148" s="116"/>
      <c r="L148" s="169">
        <v>42215</v>
      </c>
      <c r="M148" s="116">
        <v>210.85</v>
      </c>
      <c r="N148" s="116">
        <v>218.95</v>
      </c>
      <c r="O148" s="116">
        <v>208</v>
      </c>
      <c r="P148" s="116">
        <v>213</v>
      </c>
      <c r="Q148" s="116">
        <v>210.85</v>
      </c>
      <c r="R148">
        <v>105273</v>
      </c>
    </row>
    <row r="149" spans="1:18" x14ac:dyDescent="0.25">
      <c r="A149" s="169">
        <v>42216</v>
      </c>
      <c r="B149" s="116">
        <v>215</v>
      </c>
      <c r="C149" s="116">
        <v>211.9</v>
      </c>
      <c r="D149" s="116">
        <v>208.1</v>
      </c>
      <c r="E149" s="116">
        <v>212</v>
      </c>
      <c r="F149" s="116">
        <v>211.9</v>
      </c>
      <c r="G149">
        <v>8088</v>
      </c>
      <c r="H149" s="116"/>
      <c r="I149" s="116"/>
      <c r="L149" s="169">
        <v>42216</v>
      </c>
      <c r="M149" s="116">
        <v>212.95</v>
      </c>
      <c r="N149" s="116">
        <v>215</v>
      </c>
      <c r="O149" s="116">
        <v>210.4</v>
      </c>
      <c r="P149" s="116">
        <v>211.1</v>
      </c>
      <c r="Q149" s="116">
        <v>212.95</v>
      </c>
      <c r="R149">
        <v>42158</v>
      </c>
    </row>
    <row r="150" spans="1:18" x14ac:dyDescent="0.25">
      <c r="A150" s="169">
        <v>42219</v>
      </c>
      <c r="B150" s="116">
        <v>221</v>
      </c>
      <c r="C150" s="116">
        <v>217</v>
      </c>
      <c r="D150" s="116">
        <v>211</v>
      </c>
      <c r="E150" s="116">
        <v>211</v>
      </c>
      <c r="F150" s="116">
        <v>217</v>
      </c>
      <c r="G150">
        <v>26448</v>
      </c>
      <c r="H150" s="116"/>
      <c r="I150" s="116"/>
      <c r="L150" s="169">
        <v>42219</v>
      </c>
      <c r="M150" s="116">
        <v>217.65</v>
      </c>
      <c r="N150" s="116">
        <v>222.4</v>
      </c>
      <c r="O150" s="116">
        <v>211.2</v>
      </c>
      <c r="P150" s="116">
        <v>214.9</v>
      </c>
      <c r="Q150" s="116">
        <v>217.65</v>
      </c>
      <c r="R150">
        <v>85389</v>
      </c>
    </row>
    <row r="151" spans="1:18" x14ac:dyDescent="0.25">
      <c r="A151" s="169">
        <v>42220</v>
      </c>
      <c r="B151" s="116">
        <v>225.8</v>
      </c>
      <c r="C151" s="116">
        <v>215.3</v>
      </c>
      <c r="D151" s="116">
        <v>211.9</v>
      </c>
      <c r="E151" s="116">
        <v>217.8</v>
      </c>
      <c r="F151" s="116">
        <v>215.3</v>
      </c>
      <c r="G151">
        <v>67464</v>
      </c>
      <c r="H151" s="116"/>
      <c r="I151" s="116"/>
      <c r="L151" s="169">
        <v>42220</v>
      </c>
      <c r="M151" s="116">
        <v>215.1</v>
      </c>
      <c r="N151" s="116">
        <v>226</v>
      </c>
      <c r="O151" s="116">
        <v>212.3</v>
      </c>
      <c r="P151" s="116">
        <v>219.9</v>
      </c>
      <c r="Q151" s="116">
        <v>215.1</v>
      </c>
      <c r="R151">
        <v>316393</v>
      </c>
    </row>
    <row r="152" spans="1:18" x14ac:dyDescent="0.25">
      <c r="A152" s="169">
        <v>42221</v>
      </c>
      <c r="B152" s="116">
        <v>226</v>
      </c>
      <c r="C152" s="116">
        <v>225.9</v>
      </c>
      <c r="D152" s="116">
        <v>218</v>
      </c>
      <c r="E152" s="116">
        <v>218</v>
      </c>
      <c r="F152" s="116">
        <v>225.9</v>
      </c>
      <c r="G152">
        <v>69639</v>
      </c>
      <c r="H152" s="116"/>
      <c r="I152" s="116"/>
      <c r="L152" s="169">
        <v>42221</v>
      </c>
      <c r="M152" s="116">
        <v>225.85</v>
      </c>
      <c r="N152" s="116">
        <v>225.85</v>
      </c>
      <c r="O152" s="116">
        <v>218.05</v>
      </c>
      <c r="P152" s="116">
        <v>219.55</v>
      </c>
      <c r="Q152" s="116">
        <v>225.85</v>
      </c>
      <c r="R152">
        <v>157825</v>
      </c>
    </row>
    <row r="153" spans="1:18" x14ac:dyDescent="0.25">
      <c r="A153" s="169">
        <v>42222</v>
      </c>
      <c r="B153" s="116">
        <v>237.1</v>
      </c>
      <c r="C153" s="116">
        <v>236.4</v>
      </c>
      <c r="D153" s="116">
        <v>215</v>
      </c>
      <c r="E153" s="116">
        <v>229.2</v>
      </c>
      <c r="F153" s="116">
        <v>236.4</v>
      </c>
      <c r="G153">
        <v>269568</v>
      </c>
      <c r="H153" s="116"/>
      <c r="I153" s="116"/>
      <c r="L153" s="169">
        <v>42222</v>
      </c>
      <c r="M153" s="116">
        <v>236.15</v>
      </c>
      <c r="N153" s="116">
        <v>237.1</v>
      </c>
      <c r="O153" s="116">
        <v>230</v>
      </c>
      <c r="P153" s="116">
        <v>230</v>
      </c>
      <c r="Q153" s="116">
        <v>236.15</v>
      </c>
      <c r="R153">
        <v>297931</v>
      </c>
    </row>
    <row r="154" spans="1:18" x14ac:dyDescent="0.25">
      <c r="A154" s="169">
        <v>42223</v>
      </c>
      <c r="B154" s="116">
        <v>245</v>
      </c>
      <c r="C154" s="116">
        <v>231.5</v>
      </c>
      <c r="D154" s="116">
        <v>224</v>
      </c>
      <c r="E154" s="116">
        <v>244.9</v>
      </c>
      <c r="F154" s="116">
        <v>231.5</v>
      </c>
      <c r="G154">
        <v>74235</v>
      </c>
      <c r="H154" s="116"/>
      <c r="I154" s="116"/>
      <c r="L154" s="169">
        <v>42223</v>
      </c>
      <c r="M154" s="116">
        <v>231.45</v>
      </c>
      <c r="N154" s="116">
        <v>244</v>
      </c>
      <c r="O154" s="116">
        <v>224</v>
      </c>
      <c r="P154" s="116">
        <v>238.8</v>
      </c>
      <c r="Q154" s="116">
        <v>231.45</v>
      </c>
      <c r="R154">
        <v>345131</v>
      </c>
    </row>
    <row r="155" spans="1:18" x14ac:dyDescent="0.25">
      <c r="A155" s="169">
        <v>42226</v>
      </c>
      <c r="B155" s="116">
        <v>241.8</v>
      </c>
      <c r="C155" s="116">
        <v>233.8</v>
      </c>
      <c r="D155" s="116">
        <v>227.3</v>
      </c>
      <c r="E155" s="116">
        <v>232.5</v>
      </c>
      <c r="F155" s="116">
        <v>233.8</v>
      </c>
      <c r="G155">
        <v>16232</v>
      </c>
      <c r="H155" s="116"/>
      <c r="I155" s="116"/>
      <c r="L155" s="169">
        <v>42226</v>
      </c>
      <c r="M155" s="116">
        <v>234.3</v>
      </c>
      <c r="N155" s="116">
        <v>241.8</v>
      </c>
      <c r="O155" s="116">
        <v>226.95</v>
      </c>
      <c r="P155" s="116">
        <v>230.05</v>
      </c>
      <c r="Q155" s="116">
        <v>234.3</v>
      </c>
      <c r="R155">
        <v>104784</v>
      </c>
    </row>
    <row r="156" spans="1:18" x14ac:dyDescent="0.25">
      <c r="A156" s="169">
        <v>42227</v>
      </c>
      <c r="B156" s="116">
        <v>245.7</v>
      </c>
      <c r="C156" s="116">
        <v>231.7</v>
      </c>
      <c r="D156" s="116">
        <v>229.9</v>
      </c>
      <c r="E156" s="116">
        <v>234</v>
      </c>
      <c r="F156" s="116">
        <v>231.7</v>
      </c>
      <c r="G156">
        <v>34814</v>
      </c>
      <c r="H156" s="116"/>
      <c r="I156" s="116"/>
      <c r="L156" s="169">
        <v>42227</v>
      </c>
      <c r="M156" s="116">
        <v>232.65</v>
      </c>
      <c r="N156" s="116">
        <v>244.8</v>
      </c>
      <c r="O156" s="116">
        <v>230.6</v>
      </c>
      <c r="P156" s="116">
        <v>236.85</v>
      </c>
      <c r="Q156" s="116">
        <v>232.65</v>
      </c>
      <c r="R156">
        <v>172683</v>
      </c>
    </row>
    <row r="157" spans="1:18" x14ac:dyDescent="0.25">
      <c r="A157" s="169">
        <v>42228</v>
      </c>
      <c r="B157" s="116">
        <v>232</v>
      </c>
      <c r="C157" s="116">
        <v>215.5</v>
      </c>
      <c r="D157" s="116">
        <v>210</v>
      </c>
      <c r="E157" s="116">
        <v>230</v>
      </c>
      <c r="F157" s="116">
        <v>215.5</v>
      </c>
      <c r="G157">
        <v>19054</v>
      </c>
      <c r="H157" s="116"/>
      <c r="I157" s="116"/>
      <c r="L157" s="169">
        <v>42228</v>
      </c>
      <c r="M157" s="116">
        <v>215.05</v>
      </c>
      <c r="N157" s="116">
        <v>232.5</v>
      </c>
      <c r="O157" s="116">
        <v>210</v>
      </c>
      <c r="P157" s="116">
        <v>230.1</v>
      </c>
      <c r="Q157" s="116">
        <v>215.05</v>
      </c>
      <c r="R157">
        <v>101512</v>
      </c>
    </row>
    <row r="158" spans="1:18" x14ac:dyDescent="0.25">
      <c r="A158" s="169">
        <v>42229</v>
      </c>
      <c r="B158" s="116">
        <v>229</v>
      </c>
      <c r="C158" s="116">
        <v>211.6</v>
      </c>
      <c r="D158" s="116">
        <v>208.6</v>
      </c>
      <c r="E158" s="116">
        <v>218</v>
      </c>
      <c r="F158" s="116">
        <v>211.6</v>
      </c>
      <c r="G158">
        <v>13329</v>
      </c>
      <c r="H158" s="116"/>
      <c r="I158" s="116"/>
      <c r="L158" s="169">
        <v>42229</v>
      </c>
      <c r="M158" s="116">
        <v>212.45</v>
      </c>
      <c r="N158" s="116">
        <v>235</v>
      </c>
      <c r="O158" s="116">
        <v>208.5</v>
      </c>
      <c r="P158" s="116">
        <v>215</v>
      </c>
      <c r="Q158" s="116">
        <v>212.45</v>
      </c>
      <c r="R158">
        <v>69211</v>
      </c>
    </row>
    <row r="159" spans="1:18" x14ac:dyDescent="0.25">
      <c r="A159" s="169">
        <v>42230</v>
      </c>
      <c r="B159" s="116">
        <v>224</v>
      </c>
      <c r="C159" s="116">
        <v>222</v>
      </c>
      <c r="D159" s="116">
        <v>207.6</v>
      </c>
      <c r="E159" s="116">
        <v>216.5</v>
      </c>
      <c r="F159" s="116">
        <v>222</v>
      </c>
      <c r="G159">
        <v>23621</v>
      </c>
      <c r="H159" s="116"/>
      <c r="I159" s="116"/>
      <c r="L159" s="169">
        <v>42230</v>
      </c>
      <c r="M159" s="116">
        <v>221.9</v>
      </c>
      <c r="N159" s="116">
        <v>224</v>
      </c>
      <c r="O159" s="116">
        <v>208</v>
      </c>
      <c r="P159" s="116">
        <v>216.6</v>
      </c>
      <c r="Q159" s="116">
        <v>221.9</v>
      </c>
      <c r="R159">
        <v>248925</v>
      </c>
    </row>
    <row r="160" spans="1:18" x14ac:dyDescent="0.25">
      <c r="A160" s="169">
        <v>42233</v>
      </c>
      <c r="B160" s="116">
        <v>224</v>
      </c>
      <c r="C160" s="116">
        <v>220.9</v>
      </c>
      <c r="D160" s="116">
        <v>216.3</v>
      </c>
      <c r="E160" s="116">
        <v>221.8</v>
      </c>
      <c r="F160" s="116">
        <v>220.9</v>
      </c>
      <c r="G160">
        <v>8338</v>
      </c>
      <c r="H160" s="116"/>
      <c r="I160" s="116"/>
      <c r="L160" s="169">
        <v>42233</v>
      </c>
      <c r="M160" s="116">
        <v>220.9</v>
      </c>
      <c r="N160" s="116">
        <v>225</v>
      </c>
      <c r="O160" s="116">
        <v>208</v>
      </c>
      <c r="P160" s="116">
        <v>208</v>
      </c>
      <c r="Q160" s="116">
        <v>220.9</v>
      </c>
      <c r="R160">
        <v>26591</v>
      </c>
    </row>
    <row r="161" spans="1:18" x14ac:dyDescent="0.25">
      <c r="A161" s="169">
        <v>42234</v>
      </c>
      <c r="B161" s="116">
        <v>235</v>
      </c>
      <c r="C161" s="116">
        <v>231.8</v>
      </c>
      <c r="D161" s="116">
        <v>220.1</v>
      </c>
      <c r="E161" s="116">
        <v>220.1</v>
      </c>
      <c r="F161" s="116">
        <v>231.8</v>
      </c>
      <c r="G161">
        <v>17440</v>
      </c>
      <c r="H161" s="116"/>
      <c r="I161" s="116"/>
      <c r="L161" s="169">
        <v>42234</v>
      </c>
      <c r="M161" s="116">
        <v>233.45</v>
      </c>
      <c r="N161" s="116">
        <v>236.1</v>
      </c>
      <c r="O161" s="116">
        <v>219</v>
      </c>
      <c r="P161" s="116">
        <v>219</v>
      </c>
      <c r="Q161" s="116">
        <v>233.45</v>
      </c>
      <c r="R161">
        <v>130391</v>
      </c>
    </row>
    <row r="162" spans="1:18" x14ac:dyDescent="0.25">
      <c r="A162" s="169">
        <v>42235</v>
      </c>
      <c r="B162" s="116">
        <v>249</v>
      </c>
      <c r="C162" s="116">
        <v>239</v>
      </c>
      <c r="D162" s="116">
        <v>231.8</v>
      </c>
      <c r="E162" s="116">
        <v>233.6</v>
      </c>
      <c r="F162" s="116">
        <v>239</v>
      </c>
      <c r="G162">
        <v>29959</v>
      </c>
      <c r="H162" s="116"/>
      <c r="I162" s="116"/>
      <c r="L162" s="169">
        <v>42235</v>
      </c>
      <c r="M162" s="116">
        <v>239.75</v>
      </c>
      <c r="N162" s="116">
        <v>249</v>
      </c>
      <c r="O162" s="116">
        <v>231</v>
      </c>
      <c r="P162" s="116">
        <v>234</v>
      </c>
      <c r="Q162" s="116">
        <v>239.75</v>
      </c>
      <c r="R162">
        <v>141980</v>
      </c>
    </row>
    <row r="163" spans="1:18" x14ac:dyDescent="0.25">
      <c r="A163" s="169">
        <v>42236</v>
      </c>
      <c r="B163" s="116">
        <v>248.5</v>
      </c>
      <c r="C163" s="116">
        <v>233.5</v>
      </c>
      <c r="D163" s="116">
        <v>232.4</v>
      </c>
      <c r="E163" s="116">
        <v>240</v>
      </c>
      <c r="F163" s="116">
        <v>233.5</v>
      </c>
      <c r="G163">
        <v>19972</v>
      </c>
      <c r="H163" s="116"/>
      <c r="I163" s="116"/>
      <c r="L163" s="169">
        <v>42236</v>
      </c>
      <c r="M163" s="116">
        <v>233.15</v>
      </c>
      <c r="N163" s="116">
        <v>248.75</v>
      </c>
      <c r="O163" s="116">
        <v>230</v>
      </c>
      <c r="P163" s="116">
        <v>238.95</v>
      </c>
      <c r="Q163" s="116">
        <v>233.15</v>
      </c>
      <c r="R163">
        <v>113259</v>
      </c>
    </row>
    <row r="164" spans="1:18" x14ac:dyDescent="0.25">
      <c r="A164" s="169">
        <v>42237</v>
      </c>
      <c r="B164" s="116">
        <v>235</v>
      </c>
      <c r="C164" s="116">
        <v>233</v>
      </c>
      <c r="D164" s="116">
        <v>221</v>
      </c>
      <c r="E164" s="116">
        <v>224.1</v>
      </c>
      <c r="F164" s="116">
        <v>233</v>
      </c>
      <c r="G164">
        <v>7995</v>
      </c>
      <c r="H164" s="116"/>
      <c r="I164" s="116"/>
      <c r="L164" s="169">
        <v>42237</v>
      </c>
      <c r="M164" s="116">
        <v>232.65</v>
      </c>
      <c r="N164" s="116">
        <v>234.9</v>
      </c>
      <c r="O164" s="116">
        <v>220.8</v>
      </c>
      <c r="P164" s="116">
        <v>226</v>
      </c>
      <c r="Q164" s="116">
        <v>232.65</v>
      </c>
      <c r="R164">
        <v>63961</v>
      </c>
    </row>
    <row r="165" spans="1:18" x14ac:dyDescent="0.25">
      <c r="A165" s="169">
        <v>42240</v>
      </c>
      <c r="B165" s="116">
        <v>223.9</v>
      </c>
      <c r="C165" s="116">
        <v>200</v>
      </c>
      <c r="D165" s="116">
        <v>186.4</v>
      </c>
      <c r="E165" s="116">
        <v>212.1</v>
      </c>
      <c r="F165" s="116">
        <v>200</v>
      </c>
      <c r="G165">
        <v>29060</v>
      </c>
      <c r="H165" s="116"/>
      <c r="I165" s="116"/>
      <c r="L165" s="169">
        <v>42240</v>
      </c>
      <c r="M165" s="116">
        <v>202.5</v>
      </c>
      <c r="N165" s="116">
        <v>242.5</v>
      </c>
      <c r="O165" s="116">
        <v>186.15</v>
      </c>
      <c r="P165" s="116">
        <v>226</v>
      </c>
      <c r="Q165" s="116">
        <v>202.5</v>
      </c>
      <c r="R165">
        <v>136085</v>
      </c>
    </row>
    <row r="166" spans="1:18" x14ac:dyDescent="0.25">
      <c r="A166" s="169">
        <v>42241</v>
      </c>
      <c r="B166" s="116">
        <v>210.5</v>
      </c>
      <c r="C166" s="116">
        <v>203.3</v>
      </c>
      <c r="D166" s="116">
        <v>187.5</v>
      </c>
      <c r="E166" s="116">
        <v>209.3</v>
      </c>
      <c r="F166" s="116">
        <v>203.3</v>
      </c>
      <c r="G166">
        <v>17684</v>
      </c>
      <c r="H166" s="116"/>
      <c r="I166" s="116"/>
      <c r="L166" s="169">
        <v>42241</v>
      </c>
      <c r="M166" s="116">
        <v>203.75</v>
      </c>
      <c r="N166" s="116">
        <v>218</v>
      </c>
      <c r="O166" s="116">
        <v>187.65</v>
      </c>
      <c r="P166" s="116">
        <v>201.1</v>
      </c>
      <c r="Q166" s="116">
        <v>203.75</v>
      </c>
      <c r="R166">
        <v>94598</v>
      </c>
    </row>
    <row r="167" spans="1:18" x14ac:dyDescent="0.25">
      <c r="A167" s="169">
        <v>42242</v>
      </c>
      <c r="B167" s="116">
        <v>214</v>
      </c>
      <c r="C167" s="116">
        <v>205.3</v>
      </c>
      <c r="D167" s="116">
        <v>198.4</v>
      </c>
      <c r="E167" s="116">
        <v>200.3</v>
      </c>
      <c r="F167" s="116">
        <v>205.3</v>
      </c>
      <c r="G167">
        <v>7054</v>
      </c>
      <c r="H167" s="116"/>
      <c r="I167" s="116"/>
      <c r="L167" s="169">
        <v>42242</v>
      </c>
      <c r="M167" s="116">
        <v>203.55</v>
      </c>
      <c r="N167" s="116">
        <v>214</v>
      </c>
      <c r="O167" s="116">
        <v>198.6</v>
      </c>
      <c r="P167" s="116">
        <v>201</v>
      </c>
      <c r="Q167" s="116">
        <v>203.55</v>
      </c>
      <c r="R167">
        <v>111981</v>
      </c>
    </row>
    <row r="168" spans="1:18" x14ac:dyDescent="0.25">
      <c r="A168" s="169">
        <v>42243</v>
      </c>
      <c r="B168" s="116">
        <v>231.6</v>
      </c>
      <c r="C168" s="116">
        <v>227.6</v>
      </c>
      <c r="D168" s="116">
        <v>207.3</v>
      </c>
      <c r="E168" s="116">
        <v>207.3</v>
      </c>
      <c r="F168" s="116">
        <v>227.6</v>
      </c>
      <c r="G168">
        <v>25575</v>
      </c>
      <c r="H168" s="116"/>
      <c r="I168" s="116"/>
      <c r="L168" s="169">
        <v>42243</v>
      </c>
      <c r="M168" s="116">
        <v>227</v>
      </c>
      <c r="N168" s="116">
        <v>231</v>
      </c>
      <c r="O168" s="116">
        <v>204</v>
      </c>
      <c r="P168" s="116">
        <v>204</v>
      </c>
      <c r="Q168" s="116">
        <v>227</v>
      </c>
      <c r="R168">
        <v>111877</v>
      </c>
    </row>
    <row r="169" spans="1:18" x14ac:dyDescent="0.25">
      <c r="A169" s="169">
        <v>42244</v>
      </c>
      <c r="B169" s="116">
        <v>237.9</v>
      </c>
      <c r="C169" s="116">
        <v>227.5</v>
      </c>
      <c r="D169" s="116">
        <v>224.2</v>
      </c>
      <c r="E169" s="116">
        <v>229.8</v>
      </c>
      <c r="F169" s="116">
        <v>227.5</v>
      </c>
      <c r="G169">
        <v>14724</v>
      </c>
      <c r="H169" s="116"/>
      <c r="I169" s="116"/>
      <c r="L169" s="169">
        <v>42244</v>
      </c>
      <c r="M169" s="116">
        <v>226.55</v>
      </c>
      <c r="N169" s="116">
        <v>238</v>
      </c>
      <c r="O169" s="116">
        <v>224.25</v>
      </c>
      <c r="P169" s="116">
        <v>230</v>
      </c>
      <c r="Q169" s="116">
        <v>226.55</v>
      </c>
      <c r="R169">
        <v>58863</v>
      </c>
    </row>
    <row r="170" spans="1:18" x14ac:dyDescent="0.25">
      <c r="A170" s="169">
        <v>42247</v>
      </c>
      <c r="B170" s="116">
        <v>233.4</v>
      </c>
      <c r="C170" s="116">
        <v>226.6</v>
      </c>
      <c r="D170" s="116">
        <v>224.9</v>
      </c>
      <c r="E170" s="116">
        <v>225.5</v>
      </c>
      <c r="F170" s="116">
        <v>226.6</v>
      </c>
      <c r="G170">
        <v>5945</v>
      </c>
      <c r="H170" s="116"/>
      <c r="I170" s="116"/>
      <c r="L170" s="169">
        <v>42247</v>
      </c>
      <c r="M170" s="116">
        <v>226.15</v>
      </c>
      <c r="N170" s="116">
        <v>234</v>
      </c>
      <c r="O170" s="116">
        <v>222</v>
      </c>
      <c r="P170" s="116">
        <v>224</v>
      </c>
      <c r="Q170" s="116">
        <v>226.15</v>
      </c>
      <c r="R170">
        <v>47745</v>
      </c>
    </row>
    <row r="171" spans="1:18" x14ac:dyDescent="0.25">
      <c r="A171" s="169">
        <v>42248</v>
      </c>
      <c r="B171" s="116">
        <v>229</v>
      </c>
      <c r="C171" s="116">
        <v>219.6</v>
      </c>
      <c r="D171" s="116">
        <v>215.1</v>
      </c>
      <c r="E171" s="116">
        <v>226</v>
      </c>
      <c r="F171" s="116">
        <v>219.6</v>
      </c>
      <c r="G171">
        <v>6067</v>
      </c>
      <c r="H171" s="116"/>
      <c r="I171" s="116"/>
      <c r="L171" s="169">
        <v>42248</v>
      </c>
      <c r="M171" s="116">
        <v>220.25</v>
      </c>
      <c r="N171" s="116">
        <v>229.95</v>
      </c>
      <c r="O171" s="116">
        <v>215.5</v>
      </c>
      <c r="P171" s="116">
        <v>224.5</v>
      </c>
      <c r="Q171" s="116">
        <v>220.25</v>
      </c>
      <c r="R171">
        <v>75089</v>
      </c>
    </row>
    <row r="172" spans="1:18" x14ac:dyDescent="0.25">
      <c r="A172" s="169">
        <v>42249</v>
      </c>
      <c r="B172" s="116">
        <v>224.6</v>
      </c>
      <c r="C172" s="116">
        <v>219.4</v>
      </c>
      <c r="D172" s="116">
        <v>214</v>
      </c>
      <c r="E172" s="116">
        <v>224.6</v>
      </c>
      <c r="F172" s="116">
        <v>219.4</v>
      </c>
      <c r="G172">
        <v>4885</v>
      </c>
      <c r="H172" s="116"/>
      <c r="I172" s="116"/>
      <c r="L172" s="169">
        <v>42249</v>
      </c>
      <c r="M172" s="116">
        <v>219.85</v>
      </c>
      <c r="N172" s="116">
        <v>225.5</v>
      </c>
      <c r="O172" s="116">
        <v>214</v>
      </c>
      <c r="P172" s="116">
        <v>222.2</v>
      </c>
      <c r="Q172" s="116">
        <v>219.85</v>
      </c>
      <c r="R172">
        <v>146864</v>
      </c>
    </row>
    <row r="173" spans="1:18" x14ac:dyDescent="0.25">
      <c r="A173" s="169">
        <v>42250</v>
      </c>
      <c r="B173" s="116">
        <v>232</v>
      </c>
      <c r="C173" s="116">
        <v>229.7</v>
      </c>
      <c r="D173" s="116">
        <v>221.1</v>
      </c>
      <c r="E173" s="116">
        <v>226</v>
      </c>
      <c r="F173" s="116">
        <v>229.7</v>
      </c>
      <c r="G173">
        <v>14115</v>
      </c>
      <c r="H173" s="116"/>
      <c r="I173" s="116"/>
      <c r="L173" s="169">
        <v>42250</v>
      </c>
      <c r="M173" s="116">
        <v>230.75</v>
      </c>
      <c r="N173" s="116">
        <v>232.5</v>
      </c>
      <c r="O173" s="116">
        <v>221.55</v>
      </c>
      <c r="P173" s="116">
        <v>224</v>
      </c>
      <c r="Q173" s="116">
        <v>230.75</v>
      </c>
      <c r="R173">
        <v>53040</v>
      </c>
    </row>
    <row r="174" spans="1:18" x14ac:dyDescent="0.25">
      <c r="A174" s="169">
        <v>42251</v>
      </c>
      <c r="B174" s="116">
        <v>230.4</v>
      </c>
      <c r="C174" s="116">
        <v>223.3</v>
      </c>
      <c r="D174" s="116">
        <v>220.4</v>
      </c>
      <c r="E174" s="116">
        <v>227.3</v>
      </c>
      <c r="F174" s="116">
        <v>223.3</v>
      </c>
      <c r="G174">
        <v>11286</v>
      </c>
      <c r="H174" s="116"/>
      <c r="I174" s="116"/>
      <c r="L174" s="169">
        <v>42251</v>
      </c>
      <c r="M174" s="116">
        <v>223.5</v>
      </c>
      <c r="N174" s="116">
        <v>234.9</v>
      </c>
      <c r="O174" s="116">
        <v>218</v>
      </c>
      <c r="P174" s="116">
        <v>228.15</v>
      </c>
      <c r="Q174" s="116">
        <v>223.5</v>
      </c>
      <c r="R174">
        <v>98220</v>
      </c>
    </row>
    <row r="175" spans="1:18" x14ac:dyDescent="0.25">
      <c r="A175" s="169">
        <v>42254</v>
      </c>
      <c r="B175" s="116">
        <v>224.9</v>
      </c>
      <c r="C175" s="116">
        <v>221.6</v>
      </c>
      <c r="D175" s="116">
        <v>218.2</v>
      </c>
      <c r="E175" s="116">
        <v>222</v>
      </c>
      <c r="F175" s="116">
        <v>221.6</v>
      </c>
      <c r="G175">
        <v>5047</v>
      </c>
      <c r="H175" s="116"/>
      <c r="I175" s="116"/>
      <c r="L175" s="169">
        <v>42254</v>
      </c>
      <c r="M175" s="116">
        <v>222</v>
      </c>
      <c r="N175" s="116">
        <v>227</v>
      </c>
      <c r="O175" s="116">
        <v>217.05</v>
      </c>
      <c r="P175" s="116">
        <v>225.8</v>
      </c>
      <c r="Q175" s="116">
        <v>222</v>
      </c>
      <c r="R175">
        <v>59281</v>
      </c>
    </row>
    <row r="176" spans="1:18" x14ac:dyDescent="0.25">
      <c r="A176" s="169">
        <v>42255</v>
      </c>
      <c r="B176" s="116">
        <v>226.6</v>
      </c>
      <c r="C176" s="116">
        <v>224.3</v>
      </c>
      <c r="D176" s="116">
        <v>216.5</v>
      </c>
      <c r="E176" s="116">
        <v>223.1</v>
      </c>
      <c r="F176" s="116">
        <v>224.3</v>
      </c>
      <c r="G176">
        <v>3969</v>
      </c>
      <c r="H176" s="116"/>
      <c r="I176" s="116"/>
      <c r="L176" s="169">
        <v>42255</v>
      </c>
      <c r="M176" s="116">
        <v>223.7</v>
      </c>
      <c r="N176" s="116">
        <v>225.25</v>
      </c>
      <c r="O176" s="116">
        <v>216.1</v>
      </c>
      <c r="P176" s="116">
        <v>220.05</v>
      </c>
      <c r="Q176" s="116">
        <v>223.7</v>
      </c>
      <c r="R176">
        <v>50500</v>
      </c>
    </row>
    <row r="177" spans="1:18" x14ac:dyDescent="0.25">
      <c r="A177" s="169">
        <v>42256</v>
      </c>
      <c r="B177" s="116">
        <v>240</v>
      </c>
      <c r="C177" s="116">
        <v>237.6</v>
      </c>
      <c r="D177" s="116">
        <v>225.3</v>
      </c>
      <c r="E177" s="116">
        <v>225.8</v>
      </c>
      <c r="F177" s="116">
        <v>237.6</v>
      </c>
      <c r="G177">
        <v>10431</v>
      </c>
      <c r="H177" s="116"/>
      <c r="I177" s="116"/>
      <c r="L177" s="169">
        <v>42256</v>
      </c>
      <c r="M177" s="116">
        <v>238.25</v>
      </c>
      <c r="N177" s="116">
        <v>241.5</v>
      </c>
      <c r="O177" s="116">
        <v>224</v>
      </c>
      <c r="P177" s="116">
        <v>226</v>
      </c>
      <c r="Q177" s="116">
        <v>238.25</v>
      </c>
      <c r="R177">
        <v>123169</v>
      </c>
    </row>
    <row r="178" spans="1:18" x14ac:dyDescent="0.25">
      <c r="A178" s="169">
        <v>42257</v>
      </c>
      <c r="B178" s="116">
        <v>234</v>
      </c>
      <c r="C178" s="116">
        <v>232.7</v>
      </c>
      <c r="D178" s="116">
        <v>227.9</v>
      </c>
      <c r="E178" s="116">
        <v>231.3</v>
      </c>
      <c r="F178" s="116">
        <v>232.7</v>
      </c>
      <c r="G178">
        <v>2400</v>
      </c>
      <c r="H178" s="116"/>
      <c r="I178" s="116"/>
      <c r="L178" s="169">
        <v>42257</v>
      </c>
      <c r="M178" s="116">
        <v>232.5</v>
      </c>
      <c r="N178" s="116">
        <v>235.5</v>
      </c>
      <c r="O178" s="116">
        <v>228</v>
      </c>
      <c r="P178" s="116">
        <v>234</v>
      </c>
      <c r="Q178" s="116">
        <v>232.5</v>
      </c>
      <c r="R178">
        <v>34848</v>
      </c>
    </row>
    <row r="179" spans="1:18" x14ac:dyDescent="0.25">
      <c r="A179" s="169">
        <v>42258</v>
      </c>
      <c r="B179" s="116">
        <v>249.8</v>
      </c>
      <c r="C179" s="116">
        <v>245.9</v>
      </c>
      <c r="D179" s="116">
        <v>232</v>
      </c>
      <c r="E179" s="116">
        <v>238.7</v>
      </c>
      <c r="F179" s="116">
        <v>245.9</v>
      </c>
      <c r="G179">
        <v>26170</v>
      </c>
      <c r="H179" s="116"/>
      <c r="I179" s="116"/>
      <c r="L179" s="169">
        <v>42258</v>
      </c>
      <c r="M179" s="116">
        <v>245.7</v>
      </c>
      <c r="N179" s="116">
        <v>251.9</v>
      </c>
      <c r="O179" s="116">
        <v>232.4</v>
      </c>
      <c r="P179" s="116">
        <v>234.9</v>
      </c>
      <c r="Q179" s="116">
        <v>245.7</v>
      </c>
      <c r="R179">
        <v>97231</v>
      </c>
    </row>
    <row r="180" spans="1:18" x14ac:dyDescent="0.25">
      <c r="A180" s="169">
        <v>42261</v>
      </c>
      <c r="B180" s="116">
        <v>271.89999999999998</v>
      </c>
      <c r="C180" s="116">
        <v>258.8</v>
      </c>
      <c r="D180" s="116">
        <v>247</v>
      </c>
      <c r="E180" s="116">
        <v>247</v>
      </c>
      <c r="F180" s="116">
        <v>258.8</v>
      </c>
      <c r="G180">
        <v>59750</v>
      </c>
      <c r="H180" s="116"/>
      <c r="I180" s="116"/>
      <c r="L180" s="169">
        <v>42261</v>
      </c>
      <c r="M180" s="116">
        <v>258.8</v>
      </c>
      <c r="N180" s="116">
        <v>271</v>
      </c>
      <c r="O180" s="116">
        <v>247.9</v>
      </c>
      <c r="P180" s="116">
        <v>249.85</v>
      </c>
      <c r="Q180" s="116">
        <v>258.8</v>
      </c>
      <c r="R180">
        <v>317982</v>
      </c>
    </row>
    <row r="181" spans="1:18" x14ac:dyDescent="0.25">
      <c r="A181" s="169">
        <v>42262</v>
      </c>
      <c r="B181" s="116">
        <v>270</v>
      </c>
      <c r="C181" s="116">
        <v>261.60000000000002</v>
      </c>
      <c r="D181" s="116">
        <v>259</v>
      </c>
      <c r="E181" s="116">
        <v>261.89999999999998</v>
      </c>
      <c r="F181" s="116">
        <v>261.60000000000002</v>
      </c>
      <c r="G181">
        <v>34018</v>
      </c>
      <c r="H181" s="116"/>
      <c r="I181" s="116"/>
      <c r="L181" s="169">
        <v>42262</v>
      </c>
      <c r="M181" s="116">
        <v>262.25</v>
      </c>
      <c r="N181" s="116">
        <v>270.75</v>
      </c>
      <c r="O181" s="116">
        <v>260</v>
      </c>
      <c r="P181" s="116">
        <v>260</v>
      </c>
      <c r="Q181" s="116">
        <v>262.25</v>
      </c>
      <c r="R181">
        <v>122095</v>
      </c>
    </row>
    <row r="182" spans="1:18" x14ac:dyDescent="0.25">
      <c r="A182" s="169">
        <v>42263</v>
      </c>
      <c r="B182" s="116">
        <v>266.2</v>
      </c>
      <c r="C182" s="116">
        <v>262.39999999999998</v>
      </c>
      <c r="D182" s="116">
        <v>255</v>
      </c>
      <c r="E182" s="116">
        <v>264.8</v>
      </c>
      <c r="F182" s="116">
        <v>262.39999999999998</v>
      </c>
      <c r="G182">
        <v>5673</v>
      </c>
      <c r="H182" s="116"/>
      <c r="I182" s="116"/>
      <c r="L182" s="169">
        <v>42263</v>
      </c>
      <c r="M182" s="116">
        <v>263.95</v>
      </c>
      <c r="N182" s="116">
        <v>267</v>
      </c>
      <c r="O182" s="116">
        <v>254.35</v>
      </c>
      <c r="P182" s="116">
        <v>265</v>
      </c>
      <c r="Q182" s="116">
        <v>263.95</v>
      </c>
      <c r="R182">
        <v>82228</v>
      </c>
    </row>
    <row r="183" spans="1:18" x14ac:dyDescent="0.25">
      <c r="A183" s="169">
        <v>42265</v>
      </c>
      <c r="B183" s="116">
        <v>278</v>
      </c>
      <c r="C183" s="116">
        <v>271.3</v>
      </c>
      <c r="D183" s="116">
        <v>264.10000000000002</v>
      </c>
      <c r="E183" s="116">
        <v>264.89999999999998</v>
      </c>
      <c r="F183" s="116">
        <v>271.3</v>
      </c>
      <c r="G183">
        <v>22353</v>
      </c>
      <c r="H183" s="116"/>
      <c r="I183" s="116"/>
      <c r="L183" s="169">
        <v>42265</v>
      </c>
      <c r="M183" s="116">
        <v>271.3</v>
      </c>
      <c r="N183" s="116">
        <v>277</v>
      </c>
      <c r="O183" s="116">
        <v>263</v>
      </c>
      <c r="P183" s="116">
        <v>265.8</v>
      </c>
      <c r="Q183" s="116">
        <v>271.3</v>
      </c>
      <c r="R183">
        <v>163063</v>
      </c>
    </row>
    <row r="184" spans="1:18" x14ac:dyDescent="0.25">
      <c r="A184" s="169">
        <v>42268</v>
      </c>
      <c r="B184" s="116">
        <v>275.60000000000002</v>
      </c>
      <c r="C184" s="116">
        <v>266.89999999999998</v>
      </c>
      <c r="D184" s="116">
        <v>264.89999999999998</v>
      </c>
      <c r="E184" s="116">
        <v>266.5</v>
      </c>
      <c r="F184" s="116">
        <v>266.89999999999998</v>
      </c>
      <c r="G184">
        <v>13715</v>
      </c>
      <c r="H184" s="116"/>
      <c r="I184" s="116"/>
      <c r="L184" s="169">
        <v>42268</v>
      </c>
      <c r="M184" s="116">
        <v>267.89999999999998</v>
      </c>
      <c r="N184" s="116">
        <v>276.8</v>
      </c>
      <c r="O184" s="116">
        <v>265</v>
      </c>
      <c r="P184" s="116">
        <v>269.3</v>
      </c>
      <c r="Q184" s="116">
        <v>267.89999999999998</v>
      </c>
      <c r="R184">
        <v>79381</v>
      </c>
    </row>
    <row r="185" spans="1:18" x14ac:dyDescent="0.25">
      <c r="A185" s="169">
        <v>42269</v>
      </c>
      <c r="B185" s="116">
        <v>275.10000000000002</v>
      </c>
      <c r="C185" s="116">
        <v>259.39999999999998</v>
      </c>
      <c r="D185" s="116">
        <v>257.10000000000002</v>
      </c>
      <c r="E185" s="116">
        <v>268.3</v>
      </c>
      <c r="F185" s="116">
        <v>259.39999999999998</v>
      </c>
      <c r="G185">
        <v>14856</v>
      </c>
      <c r="H185" s="116"/>
      <c r="I185" s="116"/>
      <c r="L185" s="169">
        <v>42269</v>
      </c>
      <c r="M185" s="116">
        <v>260.2</v>
      </c>
      <c r="N185" s="116">
        <v>276</v>
      </c>
      <c r="O185" s="116">
        <v>257.25</v>
      </c>
      <c r="P185" s="116">
        <v>265</v>
      </c>
      <c r="Q185" s="116">
        <v>260.2</v>
      </c>
      <c r="R185">
        <v>79091</v>
      </c>
    </row>
    <row r="186" spans="1:18" x14ac:dyDescent="0.25">
      <c r="A186" s="169">
        <v>42270</v>
      </c>
      <c r="B186" s="116">
        <v>265</v>
      </c>
      <c r="C186" s="116">
        <v>262</v>
      </c>
      <c r="D186" s="116">
        <v>260</v>
      </c>
      <c r="E186" s="116">
        <v>260.89999999999998</v>
      </c>
      <c r="F186" s="116">
        <v>262</v>
      </c>
      <c r="G186">
        <v>3691</v>
      </c>
      <c r="H186" s="116"/>
      <c r="I186" s="116"/>
      <c r="L186" s="169">
        <v>42270</v>
      </c>
      <c r="M186" s="116">
        <v>260.10000000000002</v>
      </c>
      <c r="N186" s="116">
        <v>265</v>
      </c>
      <c r="O186" s="116">
        <v>256.8</v>
      </c>
      <c r="P186" s="116">
        <v>257.14999999999998</v>
      </c>
      <c r="Q186" s="116">
        <v>260.10000000000002</v>
      </c>
      <c r="R186">
        <v>12936</v>
      </c>
    </row>
    <row r="187" spans="1:18" x14ac:dyDescent="0.25">
      <c r="A187" s="169">
        <v>42271</v>
      </c>
      <c r="B187" s="116">
        <v>270</v>
      </c>
      <c r="C187" s="116">
        <v>264.39999999999998</v>
      </c>
      <c r="D187" s="116">
        <v>258</v>
      </c>
      <c r="E187" s="116">
        <v>261</v>
      </c>
      <c r="F187" s="116">
        <v>264.39999999999998</v>
      </c>
      <c r="G187">
        <v>5637</v>
      </c>
      <c r="H187" s="116"/>
      <c r="I187" s="116"/>
      <c r="L187" s="169">
        <v>42271</v>
      </c>
      <c r="M187" s="116">
        <v>264.85000000000002</v>
      </c>
      <c r="N187" s="116">
        <v>271</v>
      </c>
      <c r="O187" s="116">
        <v>258</v>
      </c>
      <c r="P187" s="116">
        <v>260.64999999999998</v>
      </c>
      <c r="Q187" s="116">
        <v>264.85000000000002</v>
      </c>
      <c r="R187">
        <v>45612</v>
      </c>
    </row>
    <row r="188" spans="1:18" x14ac:dyDescent="0.25">
      <c r="A188" s="169">
        <v>42275</v>
      </c>
      <c r="B188" s="116">
        <v>271</v>
      </c>
      <c r="C188" s="116">
        <v>264.89999999999998</v>
      </c>
      <c r="D188" s="116">
        <v>263.10000000000002</v>
      </c>
      <c r="E188" s="116">
        <v>268.60000000000002</v>
      </c>
      <c r="F188" s="116">
        <v>264.89999999999998</v>
      </c>
      <c r="G188">
        <v>4282</v>
      </c>
      <c r="H188" s="116"/>
      <c r="I188" s="116"/>
      <c r="L188" s="169">
        <v>42275</v>
      </c>
      <c r="M188" s="116">
        <v>265.14999999999998</v>
      </c>
      <c r="N188" s="116">
        <v>271.45</v>
      </c>
      <c r="O188" s="116">
        <v>262.85000000000002</v>
      </c>
      <c r="P188" s="116">
        <v>270</v>
      </c>
      <c r="Q188" s="116">
        <v>265.14999999999998</v>
      </c>
      <c r="R188">
        <v>44440</v>
      </c>
    </row>
    <row r="189" spans="1:18" x14ac:dyDescent="0.25">
      <c r="A189" s="169">
        <v>42276</v>
      </c>
      <c r="B189" s="116">
        <v>267</v>
      </c>
      <c r="C189" s="116">
        <v>265.10000000000002</v>
      </c>
      <c r="D189" s="116">
        <v>260.3</v>
      </c>
      <c r="E189" s="116">
        <v>261</v>
      </c>
      <c r="F189" s="116">
        <v>265.10000000000002</v>
      </c>
      <c r="G189">
        <v>6627</v>
      </c>
      <c r="H189" s="116"/>
      <c r="I189" s="116"/>
      <c r="L189" s="169">
        <v>42276</v>
      </c>
      <c r="M189" s="116">
        <v>265.85000000000002</v>
      </c>
      <c r="N189" s="116">
        <v>267.5</v>
      </c>
      <c r="O189" s="116">
        <v>259.55</v>
      </c>
      <c r="P189" s="116">
        <v>263</v>
      </c>
      <c r="Q189" s="116">
        <v>265.85000000000002</v>
      </c>
      <c r="R189">
        <v>33423</v>
      </c>
    </row>
    <row r="190" spans="1:18" x14ac:dyDescent="0.25">
      <c r="A190" s="169">
        <v>42277</v>
      </c>
      <c r="B190" s="116">
        <v>270</v>
      </c>
      <c r="C190" s="116">
        <v>263.2</v>
      </c>
      <c r="D190" s="116">
        <v>260</v>
      </c>
      <c r="E190" s="116">
        <v>267.89999999999998</v>
      </c>
      <c r="F190" s="116">
        <v>263.2</v>
      </c>
      <c r="G190">
        <v>3278</v>
      </c>
      <c r="H190" s="116"/>
      <c r="I190" s="116"/>
      <c r="L190" s="169">
        <v>42277</v>
      </c>
      <c r="M190" s="116">
        <v>261.95</v>
      </c>
      <c r="N190" s="116">
        <v>270</v>
      </c>
      <c r="O190" s="116">
        <v>259.05</v>
      </c>
      <c r="P190" s="116">
        <v>269</v>
      </c>
      <c r="Q190" s="116">
        <v>261.95</v>
      </c>
      <c r="R190">
        <v>29658</v>
      </c>
    </row>
    <row r="191" spans="1:18" x14ac:dyDescent="0.25">
      <c r="A191" s="169">
        <v>42278</v>
      </c>
      <c r="B191" s="116">
        <v>278.39999999999998</v>
      </c>
      <c r="C191" s="116">
        <v>270.8</v>
      </c>
      <c r="D191" s="116">
        <v>265.5</v>
      </c>
      <c r="E191" s="116">
        <v>265.5</v>
      </c>
      <c r="F191" s="116">
        <v>270.8</v>
      </c>
      <c r="G191">
        <v>29081</v>
      </c>
      <c r="H191" s="116"/>
      <c r="I191" s="116"/>
      <c r="L191" s="169">
        <v>42278</v>
      </c>
      <c r="M191" s="116">
        <v>272.7</v>
      </c>
      <c r="N191" s="116">
        <v>277</v>
      </c>
      <c r="O191" s="116">
        <v>263.05</v>
      </c>
      <c r="P191" s="116">
        <v>263.05</v>
      </c>
      <c r="Q191" s="116">
        <v>272.7</v>
      </c>
      <c r="R191">
        <v>63533</v>
      </c>
    </row>
    <row r="192" spans="1:18" x14ac:dyDescent="0.25">
      <c r="A192" s="169">
        <v>42282</v>
      </c>
      <c r="B192" s="116">
        <v>280</v>
      </c>
      <c r="C192" s="116">
        <v>272.10000000000002</v>
      </c>
      <c r="D192" s="116">
        <v>270</v>
      </c>
      <c r="E192" s="116">
        <v>270</v>
      </c>
      <c r="F192" s="116">
        <v>272.10000000000002</v>
      </c>
      <c r="G192">
        <v>5238</v>
      </c>
      <c r="H192" s="116"/>
      <c r="I192" s="116"/>
      <c r="L192" s="169">
        <v>42282</v>
      </c>
      <c r="M192" s="116">
        <v>273.14999999999998</v>
      </c>
      <c r="N192" s="116">
        <v>279.45</v>
      </c>
      <c r="O192" s="116">
        <v>270.14999999999998</v>
      </c>
      <c r="P192" s="116">
        <v>271.5</v>
      </c>
      <c r="Q192" s="116">
        <v>273.14999999999998</v>
      </c>
      <c r="R192">
        <v>32265</v>
      </c>
    </row>
    <row r="193" spans="1:18" x14ac:dyDescent="0.25">
      <c r="A193" s="169">
        <v>42283</v>
      </c>
      <c r="B193" s="116">
        <v>279.2</v>
      </c>
      <c r="C193" s="116">
        <v>272</v>
      </c>
      <c r="D193" s="116">
        <v>271.10000000000002</v>
      </c>
      <c r="E193" s="116">
        <v>279.2</v>
      </c>
      <c r="F193" s="116">
        <v>272</v>
      </c>
      <c r="G193">
        <v>3027</v>
      </c>
      <c r="H193" s="116"/>
      <c r="I193" s="116"/>
      <c r="L193" s="169">
        <v>42283</v>
      </c>
      <c r="M193" s="116">
        <v>271.64999999999998</v>
      </c>
      <c r="N193" s="116">
        <v>278.39999999999998</v>
      </c>
      <c r="O193" s="116">
        <v>270.25</v>
      </c>
      <c r="P193" s="116">
        <v>276.95</v>
      </c>
      <c r="Q193" s="116">
        <v>271.64999999999998</v>
      </c>
      <c r="R193">
        <v>39149</v>
      </c>
    </row>
    <row r="194" spans="1:18" x14ac:dyDescent="0.25">
      <c r="A194" s="169">
        <v>42284</v>
      </c>
      <c r="B194" s="116">
        <v>276.89999999999998</v>
      </c>
      <c r="C194" s="116">
        <v>272</v>
      </c>
      <c r="D194" s="116">
        <v>268</v>
      </c>
      <c r="E194" s="116">
        <v>273</v>
      </c>
      <c r="F194" s="116">
        <v>272</v>
      </c>
      <c r="G194">
        <v>4845</v>
      </c>
      <c r="H194" s="116"/>
      <c r="I194" s="116"/>
      <c r="L194" s="169">
        <v>42284</v>
      </c>
      <c r="M194" s="116">
        <v>272.89999999999998</v>
      </c>
      <c r="N194" s="116">
        <v>276</v>
      </c>
      <c r="O194" s="116">
        <v>265</v>
      </c>
      <c r="P194" s="116">
        <v>265</v>
      </c>
      <c r="Q194" s="116">
        <v>272.89999999999998</v>
      </c>
      <c r="R194">
        <v>27509</v>
      </c>
    </row>
    <row r="195" spans="1:18" x14ac:dyDescent="0.25">
      <c r="A195" s="169">
        <v>42285</v>
      </c>
      <c r="B195" s="116">
        <v>284</v>
      </c>
      <c r="C195" s="116">
        <v>282</v>
      </c>
      <c r="D195" s="116">
        <v>270.89999999999998</v>
      </c>
      <c r="E195" s="116">
        <v>277.89999999999998</v>
      </c>
      <c r="F195" s="116">
        <v>282</v>
      </c>
      <c r="G195">
        <v>9706</v>
      </c>
      <c r="H195" s="116"/>
      <c r="I195" s="116"/>
      <c r="L195" s="169">
        <v>42285</v>
      </c>
      <c r="M195" s="116">
        <v>282.25</v>
      </c>
      <c r="N195" s="116">
        <v>285</v>
      </c>
      <c r="O195" s="116">
        <v>268</v>
      </c>
      <c r="P195" s="116">
        <v>268</v>
      </c>
      <c r="Q195" s="116">
        <v>282.25</v>
      </c>
      <c r="R195">
        <v>93419</v>
      </c>
    </row>
    <row r="196" spans="1:18" x14ac:dyDescent="0.25">
      <c r="A196" s="169">
        <v>42286</v>
      </c>
      <c r="B196" s="116">
        <v>286.8</v>
      </c>
      <c r="C196" s="116">
        <v>282.60000000000002</v>
      </c>
      <c r="D196" s="116">
        <v>282</v>
      </c>
      <c r="E196" s="116">
        <v>285</v>
      </c>
      <c r="F196" s="116">
        <v>282.60000000000002</v>
      </c>
      <c r="G196">
        <v>4894</v>
      </c>
      <c r="H196" s="116"/>
      <c r="I196" s="116"/>
      <c r="L196" s="169">
        <v>42286</v>
      </c>
      <c r="M196" s="116">
        <v>283.2</v>
      </c>
      <c r="N196" s="116">
        <v>289</v>
      </c>
      <c r="O196" s="116">
        <v>281</v>
      </c>
      <c r="P196" s="116">
        <v>288.75</v>
      </c>
      <c r="Q196" s="116">
        <v>283.2</v>
      </c>
      <c r="R196">
        <v>43435</v>
      </c>
    </row>
    <row r="197" spans="1:18" x14ac:dyDescent="0.25">
      <c r="A197" s="169">
        <v>42289</v>
      </c>
      <c r="B197" s="116">
        <v>287</v>
      </c>
      <c r="C197" s="116">
        <v>277.8</v>
      </c>
      <c r="D197" s="116">
        <v>270</v>
      </c>
      <c r="E197" s="116">
        <v>287</v>
      </c>
      <c r="F197" s="116">
        <v>277.8</v>
      </c>
      <c r="G197">
        <v>5362</v>
      </c>
      <c r="H197" s="116"/>
      <c r="I197" s="116"/>
      <c r="L197" s="169">
        <v>42289</v>
      </c>
      <c r="M197" s="116">
        <v>279.3</v>
      </c>
      <c r="N197" s="116">
        <v>286.05</v>
      </c>
      <c r="O197" s="116">
        <v>268</v>
      </c>
      <c r="P197" s="116">
        <v>282.25</v>
      </c>
      <c r="Q197" s="116">
        <v>279.3</v>
      </c>
      <c r="R197">
        <v>53910</v>
      </c>
    </row>
    <row r="198" spans="1:18" x14ac:dyDescent="0.25">
      <c r="A198" s="169">
        <v>42290</v>
      </c>
      <c r="B198" s="116">
        <v>276</v>
      </c>
      <c r="C198" s="116">
        <v>266.89999999999998</v>
      </c>
      <c r="D198" s="116">
        <v>264</v>
      </c>
      <c r="E198" s="116">
        <v>275.8</v>
      </c>
      <c r="F198" s="116">
        <v>266.89999999999998</v>
      </c>
      <c r="G198">
        <v>7558</v>
      </c>
      <c r="H198" s="116"/>
      <c r="I198" s="116"/>
      <c r="L198" s="169">
        <v>42290</v>
      </c>
      <c r="M198" s="116">
        <v>268.05</v>
      </c>
      <c r="N198" s="116">
        <v>278.5</v>
      </c>
      <c r="O198" s="116">
        <v>263.95</v>
      </c>
      <c r="P198" s="116">
        <v>278.5</v>
      </c>
      <c r="Q198" s="116">
        <v>268.05</v>
      </c>
      <c r="R198">
        <v>77005</v>
      </c>
    </row>
    <row r="199" spans="1:18" x14ac:dyDescent="0.25">
      <c r="A199" s="169">
        <v>42291</v>
      </c>
      <c r="B199" s="116">
        <v>290</v>
      </c>
      <c r="C199" s="116">
        <v>284.10000000000002</v>
      </c>
      <c r="D199" s="116">
        <v>259.60000000000002</v>
      </c>
      <c r="E199" s="116">
        <v>261</v>
      </c>
      <c r="F199" s="116">
        <v>284.10000000000002</v>
      </c>
      <c r="G199">
        <v>8977</v>
      </c>
      <c r="H199" s="116"/>
      <c r="I199" s="116"/>
      <c r="L199" s="169">
        <v>42291</v>
      </c>
      <c r="M199" s="116">
        <v>284.10000000000002</v>
      </c>
      <c r="N199" s="116">
        <v>290</v>
      </c>
      <c r="O199" s="116">
        <v>257.5</v>
      </c>
      <c r="P199" s="116">
        <v>263.95</v>
      </c>
      <c r="Q199" s="116">
        <v>284.10000000000002</v>
      </c>
      <c r="R199">
        <v>76251</v>
      </c>
    </row>
    <row r="200" spans="1:18" x14ac:dyDescent="0.25">
      <c r="A200" s="169">
        <v>42292</v>
      </c>
      <c r="B200" s="116">
        <v>288.8</v>
      </c>
      <c r="C200" s="116">
        <v>278.5</v>
      </c>
      <c r="D200" s="116">
        <v>275.7</v>
      </c>
      <c r="E200" s="116">
        <v>280.2</v>
      </c>
      <c r="F200" s="116">
        <v>278.5</v>
      </c>
      <c r="G200">
        <v>104829</v>
      </c>
      <c r="H200" s="116"/>
      <c r="I200" s="116"/>
      <c r="L200" s="169">
        <v>42292</v>
      </c>
      <c r="M200" s="116">
        <v>279.14999999999998</v>
      </c>
      <c r="N200" s="116">
        <v>289</v>
      </c>
      <c r="O200" s="116">
        <v>275.2</v>
      </c>
      <c r="P200" s="116">
        <v>284</v>
      </c>
      <c r="Q200" s="116">
        <v>279.14999999999998</v>
      </c>
      <c r="R200">
        <v>42018</v>
      </c>
    </row>
    <row r="201" spans="1:18" x14ac:dyDescent="0.25">
      <c r="A201" s="169">
        <v>42293</v>
      </c>
      <c r="B201" s="116">
        <v>286.2</v>
      </c>
      <c r="C201" s="116">
        <v>277.10000000000002</v>
      </c>
      <c r="D201" s="116">
        <v>275.2</v>
      </c>
      <c r="E201" s="116">
        <v>280</v>
      </c>
      <c r="F201" s="116">
        <v>277.10000000000002</v>
      </c>
      <c r="G201">
        <v>3595</v>
      </c>
      <c r="H201" s="116"/>
      <c r="I201" s="116"/>
      <c r="L201" s="169">
        <v>42293</v>
      </c>
      <c r="M201" s="116">
        <v>277.75</v>
      </c>
      <c r="N201" s="116">
        <v>286</v>
      </c>
      <c r="O201" s="116">
        <v>275.25</v>
      </c>
      <c r="P201" s="116">
        <v>285.39999999999998</v>
      </c>
      <c r="Q201" s="116">
        <v>277.75</v>
      </c>
      <c r="R201">
        <v>18893</v>
      </c>
    </row>
    <row r="202" spans="1:18" x14ac:dyDescent="0.25">
      <c r="A202" s="169">
        <v>42296</v>
      </c>
      <c r="B202" s="116">
        <v>281.2</v>
      </c>
      <c r="C202" s="116">
        <v>276.89999999999998</v>
      </c>
      <c r="D202" s="116">
        <v>275.60000000000002</v>
      </c>
      <c r="E202" s="116">
        <v>280.89999999999998</v>
      </c>
      <c r="F202" s="116">
        <v>276.89999999999998</v>
      </c>
      <c r="G202">
        <v>4637</v>
      </c>
      <c r="H202" s="116"/>
      <c r="I202" s="116"/>
      <c r="L202" s="169">
        <v>42296</v>
      </c>
      <c r="M202" s="116">
        <v>277.25</v>
      </c>
      <c r="N202" s="116">
        <v>285.89999999999998</v>
      </c>
      <c r="O202" s="116">
        <v>276.10000000000002</v>
      </c>
      <c r="P202" s="116">
        <v>285.89999999999998</v>
      </c>
      <c r="Q202" s="116">
        <v>277.25</v>
      </c>
      <c r="R202">
        <v>20081</v>
      </c>
    </row>
    <row r="203" spans="1:18" x14ac:dyDescent="0.25">
      <c r="A203" s="169">
        <v>42297</v>
      </c>
      <c r="B203" s="116">
        <v>279.7</v>
      </c>
      <c r="C203" s="116">
        <v>272.39999999999998</v>
      </c>
      <c r="D203" s="116">
        <v>268.5</v>
      </c>
      <c r="E203" s="116">
        <v>273.3</v>
      </c>
      <c r="F203" s="116">
        <v>272.39999999999998</v>
      </c>
      <c r="G203">
        <v>3312</v>
      </c>
      <c r="H203" s="116"/>
      <c r="I203" s="116"/>
      <c r="L203" s="169">
        <v>42297</v>
      </c>
      <c r="M203" s="116">
        <v>271.55</v>
      </c>
      <c r="N203" s="116">
        <v>280</v>
      </c>
      <c r="O203" s="116">
        <v>265.25</v>
      </c>
      <c r="P203" s="116">
        <v>275.10000000000002</v>
      </c>
      <c r="Q203" s="116">
        <v>271.55</v>
      </c>
      <c r="R203">
        <v>22355</v>
      </c>
    </row>
    <row r="204" spans="1:18" x14ac:dyDescent="0.25">
      <c r="A204" s="169">
        <v>42298</v>
      </c>
      <c r="B204" s="116">
        <v>272.60000000000002</v>
      </c>
      <c r="C204" s="116">
        <v>263.2</v>
      </c>
      <c r="D204" s="116">
        <v>261</v>
      </c>
      <c r="E204" s="116">
        <v>268.10000000000002</v>
      </c>
      <c r="F204" s="116">
        <v>263.2</v>
      </c>
      <c r="G204">
        <v>7701</v>
      </c>
      <c r="H204" s="116"/>
      <c r="I204" s="116"/>
      <c r="L204" s="169">
        <v>42298</v>
      </c>
      <c r="M204" s="116">
        <v>264.7</v>
      </c>
      <c r="N204" s="116">
        <v>273.60000000000002</v>
      </c>
      <c r="O204" s="116">
        <v>261.05</v>
      </c>
      <c r="P204" s="116">
        <v>267</v>
      </c>
      <c r="Q204" s="116">
        <v>264.7</v>
      </c>
      <c r="R204">
        <v>31941</v>
      </c>
    </row>
    <row r="205" spans="1:18" x14ac:dyDescent="0.25">
      <c r="A205" s="169">
        <v>42300</v>
      </c>
      <c r="B205" s="116">
        <v>270.5</v>
      </c>
      <c r="C205" s="116">
        <v>260.3</v>
      </c>
      <c r="D205" s="116">
        <v>258.60000000000002</v>
      </c>
      <c r="E205" s="116">
        <v>267.5</v>
      </c>
      <c r="F205" s="116">
        <v>260.3</v>
      </c>
      <c r="G205">
        <v>17110</v>
      </c>
      <c r="H205" s="116"/>
      <c r="I205" s="116"/>
      <c r="L205" s="169">
        <v>42300</v>
      </c>
      <c r="M205" s="116">
        <v>260.14999999999998</v>
      </c>
      <c r="N205" s="116">
        <v>273</v>
      </c>
      <c r="O205" s="116">
        <v>258.5</v>
      </c>
      <c r="P205" s="116">
        <v>264</v>
      </c>
      <c r="Q205" s="116">
        <v>260.14999999999998</v>
      </c>
      <c r="R205">
        <v>22354</v>
      </c>
    </row>
    <row r="206" spans="1:18" x14ac:dyDescent="0.25">
      <c r="A206" s="169">
        <v>42303</v>
      </c>
      <c r="B206" s="116">
        <v>259</v>
      </c>
      <c r="C206" s="116">
        <v>251.8</v>
      </c>
      <c r="D206" s="116">
        <v>242.6</v>
      </c>
      <c r="E206" s="116">
        <v>257.3</v>
      </c>
      <c r="F206" s="116">
        <v>251.8</v>
      </c>
      <c r="G206">
        <v>18103</v>
      </c>
      <c r="H206" s="116"/>
      <c r="I206" s="116"/>
      <c r="L206" s="169">
        <v>42303</v>
      </c>
      <c r="M206" s="116">
        <v>252.3</v>
      </c>
      <c r="N206" s="116">
        <v>259.89999999999998</v>
      </c>
      <c r="O206" s="116">
        <v>238.85</v>
      </c>
      <c r="P206" s="116">
        <v>258.10000000000002</v>
      </c>
      <c r="Q206" s="116">
        <v>252.3</v>
      </c>
      <c r="R206">
        <v>47919</v>
      </c>
    </row>
    <row r="207" spans="1:18" x14ac:dyDescent="0.25">
      <c r="A207" s="169">
        <v>42304</v>
      </c>
      <c r="B207" s="116">
        <v>250.4</v>
      </c>
      <c r="C207" s="116">
        <v>246.1</v>
      </c>
      <c r="D207" s="116">
        <v>239.3</v>
      </c>
      <c r="E207" s="116">
        <v>248.7</v>
      </c>
      <c r="F207" s="116">
        <v>246.1</v>
      </c>
      <c r="G207">
        <v>19637</v>
      </c>
      <c r="H207" s="116"/>
      <c r="I207" s="116"/>
      <c r="L207" s="169">
        <v>42304</v>
      </c>
      <c r="M207" s="116">
        <v>246.3</v>
      </c>
      <c r="N207" s="116">
        <v>253</v>
      </c>
      <c r="O207" s="116">
        <v>240</v>
      </c>
      <c r="P207" s="116">
        <v>243</v>
      </c>
      <c r="Q207" s="116">
        <v>246.3</v>
      </c>
      <c r="R207">
        <v>65142</v>
      </c>
    </row>
    <row r="208" spans="1:18" x14ac:dyDescent="0.25">
      <c r="A208" s="169">
        <v>42305</v>
      </c>
      <c r="B208" s="116">
        <v>256</v>
      </c>
      <c r="C208" s="116">
        <v>251.6</v>
      </c>
      <c r="D208" s="116">
        <v>246</v>
      </c>
      <c r="E208" s="116">
        <v>246.1</v>
      </c>
      <c r="F208" s="116">
        <v>251.6</v>
      </c>
      <c r="G208">
        <v>15592</v>
      </c>
      <c r="H208" s="116"/>
      <c r="I208" s="116"/>
      <c r="L208" s="169">
        <v>42305</v>
      </c>
      <c r="M208" s="116">
        <v>251</v>
      </c>
      <c r="N208" s="116">
        <v>257</v>
      </c>
      <c r="O208" s="116">
        <v>246</v>
      </c>
      <c r="P208" s="116">
        <v>249</v>
      </c>
      <c r="Q208" s="116">
        <v>251</v>
      </c>
      <c r="R208">
        <v>28361</v>
      </c>
    </row>
    <row r="209" spans="1:18" x14ac:dyDescent="0.25">
      <c r="A209" s="169">
        <v>42306</v>
      </c>
      <c r="B209" s="116">
        <v>256</v>
      </c>
      <c r="C209" s="116">
        <v>250.3</v>
      </c>
      <c r="D209" s="116">
        <v>248.8</v>
      </c>
      <c r="E209" s="116">
        <v>251.2</v>
      </c>
      <c r="F209" s="116">
        <v>250.3</v>
      </c>
      <c r="G209">
        <v>5142</v>
      </c>
      <c r="H209" s="116"/>
      <c r="I209" s="116"/>
      <c r="L209" s="169">
        <v>42306</v>
      </c>
      <c r="M209" s="116">
        <v>250</v>
      </c>
      <c r="N209" s="116">
        <v>256.8</v>
      </c>
      <c r="O209" s="116">
        <v>247.5</v>
      </c>
      <c r="P209" s="116">
        <v>251.9</v>
      </c>
      <c r="Q209" s="116">
        <v>250</v>
      </c>
      <c r="R209">
        <v>26710</v>
      </c>
    </row>
    <row r="210" spans="1:18" x14ac:dyDescent="0.25">
      <c r="A210" s="169">
        <v>42307</v>
      </c>
      <c r="B210" s="116">
        <v>253.3</v>
      </c>
      <c r="C210" s="116">
        <v>249.9</v>
      </c>
      <c r="D210" s="116">
        <v>243.2</v>
      </c>
      <c r="E210" s="116">
        <v>251.2</v>
      </c>
      <c r="F210" s="116">
        <v>249.9</v>
      </c>
      <c r="G210">
        <v>34595</v>
      </c>
      <c r="H210" s="116"/>
      <c r="I210" s="116"/>
      <c r="L210" s="169">
        <v>42307</v>
      </c>
      <c r="M210" s="116">
        <v>249.9</v>
      </c>
      <c r="N210" s="116">
        <v>254.8</v>
      </c>
      <c r="O210" s="116">
        <v>242</v>
      </c>
      <c r="P210" s="116">
        <v>247.25</v>
      </c>
      <c r="Q210" s="116">
        <v>249.9</v>
      </c>
      <c r="R210">
        <v>52173</v>
      </c>
    </row>
    <row r="211" spans="1:18" x14ac:dyDescent="0.25">
      <c r="A211" s="169">
        <v>42310</v>
      </c>
      <c r="B211" s="116">
        <v>253.9</v>
      </c>
      <c r="C211" s="116">
        <v>249.8</v>
      </c>
      <c r="D211" s="116">
        <v>245.6</v>
      </c>
      <c r="E211" s="116">
        <v>248.8</v>
      </c>
      <c r="F211" s="116">
        <v>249.8</v>
      </c>
      <c r="G211">
        <v>15968</v>
      </c>
      <c r="H211" s="116"/>
      <c r="I211" s="116"/>
      <c r="L211" s="169">
        <v>42310</v>
      </c>
      <c r="M211" s="116">
        <v>249.65</v>
      </c>
      <c r="N211" s="116">
        <v>253.95</v>
      </c>
      <c r="O211" s="116">
        <v>246</v>
      </c>
      <c r="P211" s="116">
        <v>247.95</v>
      </c>
      <c r="Q211" s="116">
        <v>249.65</v>
      </c>
      <c r="R211">
        <v>18992</v>
      </c>
    </row>
    <row r="212" spans="1:18" x14ac:dyDescent="0.25">
      <c r="A212" s="169">
        <v>42311</v>
      </c>
      <c r="B212" s="116">
        <v>271.89999999999998</v>
      </c>
      <c r="C212" s="116">
        <v>264.8</v>
      </c>
      <c r="D212" s="116">
        <v>252.8</v>
      </c>
      <c r="E212" s="116">
        <v>252.8</v>
      </c>
      <c r="F212" s="116">
        <v>264.8</v>
      </c>
      <c r="G212">
        <v>17728</v>
      </c>
      <c r="H212" s="116"/>
      <c r="I212" s="116"/>
      <c r="L212" s="169">
        <v>42311</v>
      </c>
      <c r="M212" s="116">
        <v>264</v>
      </c>
      <c r="N212" s="116">
        <v>271.89999999999998</v>
      </c>
      <c r="O212" s="116">
        <v>251</v>
      </c>
      <c r="P212" s="116">
        <v>251</v>
      </c>
      <c r="Q212" s="116">
        <v>264</v>
      </c>
      <c r="R212">
        <v>105692</v>
      </c>
    </row>
    <row r="213" spans="1:18" x14ac:dyDescent="0.25">
      <c r="A213" s="169">
        <v>42312</v>
      </c>
      <c r="B213" s="116">
        <v>270</v>
      </c>
      <c r="C213" s="116">
        <v>266</v>
      </c>
      <c r="D213" s="116">
        <v>264</v>
      </c>
      <c r="E213" s="116">
        <v>269.10000000000002</v>
      </c>
      <c r="F213" s="116">
        <v>266</v>
      </c>
      <c r="G213">
        <v>7497</v>
      </c>
      <c r="H213" s="116"/>
      <c r="I213" s="116"/>
      <c r="L213" s="169">
        <v>42312</v>
      </c>
      <c r="M213" s="116">
        <v>265.39999999999998</v>
      </c>
      <c r="N213" s="116">
        <v>269.89999999999998</v>
      </c>
      <c r="O213" s="116">
        <v>264</v>
      </c>
      <c r="P213" s="116">
        <v>266.39999999999998</v>
      </c>
      <c r="Q213" s="116">
        <v>265.39999999999998</v>
      </c>
      <c r="R213">
        <v>30987</v>
      </c>
    </row>
    <row r="214" spans="1:18" x14ac:dyDescent="0.25">
      <c r="A214" s="169">
        <v>42313</v>
      </c>
      <c r="B214" s="116">
        <v>269.5</v>
      </c>
      <c r="C214" s="116">
        <v>256.7</v>
      </c>
      <c r="D214" s="116">
        <v>255</v>
      </c>
      <c r="E214" s="116">
        <v>266.60000000000002</v>
      </c>
      <c r="F214" s="116">
        <v>256.7</v>
      </c>
      <c r="G214">
        <v>20190</v>
      </c>
      <c r="H214" s="116"/>
      <c r="I214" s="116"/>
      <c r="L214" s="169">
        <v>42313</v>
      </c>
      <c r="M214" s="116">
        <v>257.89999999999998</v>
      </c>
      <c r="N214" s="116">
        <v>270</v>
      </c>
      <c r="O214" s="116">
        <v>255.9</v>
      </c>
      <c r="P214" s="116">
        <v>266.55</v>
      </c>
      <c r="Q214" s="116">
        <v>257.89999999999998</v>
      </c>
      <c r="R214">
        <v>111784</v>
      </c>
    </row>
    <row r="215" spans="1:18" x14ac:dyDescent="0.25">
      <c r="A215" s="169">
        <v>42314</v>
      </c>
      <c r="B215" s="116">
        <v>263.5</v>
      </c>
      <c r="C215" s="116">
        <v>258.5</v>
      </c>
      <c r="D215" s="116">
        <v>250.9</v>
      </c>
      <c r="E215" s="116">
        <v>261.60000000000002</v>
      </c>
      <c r="F215" s="116">
        <v>258.5</v>
      </c>
      <c r="G215">
        <v>4446</v>
      </c>
      <c r="H215" s="116"/>
      <c r="I215" s="116"/>
      <c r="L215" s="169">
        <v>42314</v>
      </c>
      <c r="M215" s="116">
        <v>259.75</v>
      </c>
      <c r="N215" s="116">
        <v>267</v>
      </c>
      <c r="O215" s="116">
        <v>247.5</v>
      </c>
      <c r="P215" s="116">
        <v>263.39999999999998</v>
      </c>
      <c r="Q215" s="116">
        <v>259.75</v>
      </c>
      <c r="R215">
        <v>30264</v>
      </c>
    </row>
    <row r="216" spans="1:18" x14ac:dyDescent="0.25">
      <c r="A216" s="169">
        <v>42317</v>
      </c>
      <c r="B216" s="116">
        <v>265</v>
      </c>
      <c r="C216" s="116">
        <v>250.9</v>
      </c>
      <c r="D216" s="116">
        <v>248.7</v>
      </c>
      <c r="E216" s="116">
        <v>265</v>
      </c>
      <c r="F216" s="116">
        <v>250.9</v>
      </c>
      <c r="G216">
        <v>15239</v>
      </c>
      <c r="H216" s="116"/>
      <c r="I216" s="116"/>
      <c r="L216" s="169">
        <v>42317</v>
      </c>
      <c r="M216" s="116">
        <v>251.7</v>
      </c>
      <c r="N216" s="116">
        <v>265</v>
      </c>
      <c r="O216" s="116">
        <v>248.8</v>
      </c>
      <c r="P216" s="116">
        <v>264</v>
      </c>
      <c r="Q216" s="116">
        <v>251.7</v>
      </c>
      <c r="R216">
        <v>68346</v>
      </c>
    </row>
    <row r="217" spans="1:18" x14ac:dyDescent="0.25">
      <c r="A217" s="169">
        <v>42318</v>
      </c>
      <c r="B217" s="116">
        <v>263</v>
      </c>
      <c r="C217" s="116">
        <v>247.7</v>
      </c>
      <c r="D217" s="116">
        <v>244.8</v>
      </c>
      <c r="E217" s="116">
        <v>250.8</v>
      </c>
      <c r="F217" s="116">
        <v>247.7</v>
      </c>
      <c r="G217">
        <v>13105</v>
      </c>
      <c r="H217" s="116"/>
      <c r="I217" s="116"/>
      <c r="L217" s="169">
        <v>42318</v>
      </c>
      <c r="M217" s="116">
        <v>248.6</v>
      </c>
      <c r="N217" s="116">
        <v>263.85000000000002</v>
      </c>
      <c r="O217" s="116">
        <v>245.1</v>
      </c>
      <c r="P217" s="116">
        <v>250.85</v>
      </c>
      <c r="Q217" s="116">
        <v>248.6</v>
      </c>
      <c r="R217">
        <v>36440</v>
      </c>
    </row>
    <row r="218" spans="1:18" x14ac:dyDescent="0.25">
      <c r="A218" s="169">
        <v>42319</v>
      </c>
      <c r="B218" s="116">
        <v>262</v>
      </c>
      <c r="C218" s="116">
        <v>255.6</v>
      </c>
      <c r="D218" s="116">
        <v>250</v>
      </c>
      <c r="E218" s="116">
        <v>250</v>
      </c>
      <c r="F218" s="116">
        <v>255.6</v>
      </c>
      <c r="G218">
        <v>3028</v>
      </c>
      <c r="H218" s="116"/>
      <c r="I218" s="116"/>
      <c r="L218" s="169">
        <v>42319</v>
      </c>
      <c r="M218" s="116">
        <v>255.45</v>
      </c>
      <c r="N218" s="116">
        <v>261.8</v>
      </c>
      <c r="O218" s="116">
        <v>248.6</v>
      </c>
      <c r="P218" s="116">
        <v>248.6</v>
      </c>
      <c r="Q218" s="116">
        <v>255.45</v>
      </c>
      <c r="R218">
        <v>10997</v>
      </c>
    </row>
    <row r="219" spans="1:18" x14ac:dyDescent="0.25">
      <c r="A219" s="169">
        <v>42321</v>
      </c>
      <c r="B219" s="116">
        <v>260.89999999999998</v>
      </c>
      <c r="C219" s="116">
        <v>256.39999999999998</v>
      </c>
      <c r="D219" s="116">
        <v>252.3</v>
      </c>
      <c r="E219" s="116">
        <v>255.6</v>
      </c>
      <c r="F219" s="116">
        <v>256.39999999999998</v>
      </c>
      <c r="G219">
        <v>5239</v>
      </c>
      <c r="H219" s="116"/>
      <c r="I219" s="116"/>
      <c r="L219" s="169">
        <v>42321</v>
      </c>
      <c r="M219" s="116">
        <v>255.45</v>
      </c>
      <c r="N219" s="116">
        <v>263</v>
      </c>
      <c r="O219" s="116">
        <v>251.2</v>
      </c>
      <c r="P219" s="116">
        <v>256.05</v>
      </c>
      <c r="Q219" s="116">
        <v>255.45</v>
      </c>
      <c r="R219">
        <v>32263</v>
      </c>
    </row>
    <row r="220" spans="1:18" x14ac:dyDescent="0.25">
      <c r="A220" s="169">
        <v>42324</v>
      </c>
      <c r="B220" s="116">
        <v>258</v>
      </c>
      <c r="C220" s="116">
        <v>255.5</v>
      </c>
      <c r="D220" s="116">
        <v>253.1</v>
      </c>
      <c r="E220" s="116">
        <v>253.1</v>
      </c>
      <c r="F220" s="116">
        <v>255.5</v>
      </c>
      <c r="G220">
        <v>1431</v>
      </c>
      <c r="H220" s="116"/>
      <c r="I220" s="116"/>
      <c r="L220" s="169">
        <v>42324</v>
      </c>
      <c r="M220" s="116">
        <v>253.65</v>
      </c>
      <c r="N220" s="116">
        <v>259.7</v>
      </c>
      <c r="O220" s="116">
        <v>251</v>
      </c>
      <c r="P220" s="116">
        <v>259.7</v>
      </c>
      <c r="Q220" s="116">
        <v>253.65</v>
      </c>
      <c r="R220">
        <v>21587</v>
      </c>
    </row>
    <row r="221" spans="1:18" x14ac:dyDescent="0.25">
      <c r="A221" s="169">
        <v>42325</v>
      </c>
      <c r="B221" s="116">
        <v>256</v>
      </c>
      <c r="C221" s="116">
        <v>249.7</v>
      </c>
      <c r="D221" s="116">
        <v>247.9</v>
      </c>
      <c r="E221" s="116">
        <v>253.7</v>
      </c>
      <c r="F221" s="116">
        <v>249.7</v>
      </c>
      <c r="G221">
        <v>2639</v>
      </c>
      <c r="H221" s="116"/>
      <c r="I221" s="116"/>
      <c r="L221" s="169">
        <v>42325</v>
      </c>
      <c r="M221" s="116">
        <v>251.95</v>
      </c>
      <c r="N221" s="116">
        <v>258.35000000000002</v>
      </c>
      <c r="O221" s="116">
        <v>247.25</v>
      </c>
      <c r="P221" s="116">
        <v>255.6</v>
      </c>
      <c r="Q221" s="116">
        <v>251.95</v>
      </c>
      <c r="R221">
        <v>20439</v>
      </c>
    </row>
    <row r="222" spans="1:18" x14ac:dyDescent="0.25">
      <c r="A222" s="169">
        <v>42326</v>
      </c>
      <c r="B222" s="116">
        <v>255.6</v>
      </c>
      <c r="C222" s="116">
        <v>246.9</v>
      </c>
      <c r="D222" s="116">
        <v>245.9</v>
      </c>
      <c r="E222" s="116">
        <v>250.3</v>
      </c>
      <c r="F222" s="116">
        <v>246.9</v>
      </c>
      <c r="G222">
        <v>4143</v>
      </c>
      <c r="H222" s="116"/>
      <c r="I222" s="116"/>
      <c r="L222" s="169">
        <v>42326</v>
      </c>
      <c r="M222" s="116">
        <v>248.85</v>
      </c>
      <c r="N222" s="116">
        <v>255</v>
      </c>
      <c r="O222" s="116">
        <v>247.1</v>
      </c>
      <c r="P222" s="116">
        <v>250.15</v>
      </c>
      <c r="Q222" s="116">
        <v>248.85</v>
      </c>
      <c r="R222">
        <v>7920</v>
      </c>
    </row>
    <row r="223" spans="1:18" x14ac:dyDescent="0.25">
      <c r="A223" s="169">
        <v>42327</v>
      </c>
      <c r="B223" s="116">
        <v>256</v>
      </c>
      <c r="C223" s="116">
        <v>250</v>
      </c>
      <c r="D223" s="116">
        <v>247.5</v>
      </c>
      <c r="E223" s="116">
        <v>249.7</v>
      </c>
      <c r="F223" s="116">
        <v>250</v>
      </c>
      <c r="G223">
        <v>7531</v>
      </c>
      <c r="H223" s="116"/>
      <c r="I223" s="116"/>
      <c r="L223" s="169">
        <v>42327</v>
      </c>
      <c r="M223" s="116">
        <v>250.35</v>
      </c>
      <c r="N223" s="116">
        <v>257</v>
      </c>
      <c r="O223" s="116">
        <v>246.45</v>
      </c>
      <c r="P223" s="116">
        <v>246.45</v>
      </c>
      <c r="Q223" s="116">
        <v>250.35</v>
      </c>
      <c r="R223">
        <v>26105</v>
      </c>
    </row>
    <row r="224" spans="1:18" x14ac:dyDescent="0.25">
      <c r="A224" s="169">
        <v>42328</v>
      </c>
      <c r="B224" s="116">
        <v>271.10000000000002</v>
      </c>
      <c r="C224" s="116">
        <v>257.60000000000002</v>
      </c>
      <c r="D224" s="116">
        <v>250</v>
      </c>
      <c r="E224" s="116">
        <v>250</v>
      </c>
      <c r="F224" s="116">
        <v>257.60000000000002</v>
      </c>
      <c r="G224">
        <v>17662</v>
      </c>
      <c r="H224" s="116"/>
      <c r="I224" s="116"/>
      <c r="L224" s="169">
        <v>42328</v>
      </c>
      <c r="M224" s="116">
        <v>259.60000000000002</v>
      </c>
      <c r="N224" s="116">
        <v>273.10000000000002</v>
      </c>
      <c r="O224" s="116">
        <v>248.5</v>
      </c>
      <c r="P224" s="116">
        <v>248.6</v>
      </c>
      <c r="Q224" s="116">
        <v>259.60000000000002</v>
      </c>
      <c r="R224">
        <v>178253</v>
      </c>
    </row>
    <row r="225" spans="1:18" x14ac:dyDescent="0.25">
      <c r="A225" s="169">
        <v>42331</v>
      </c>
      <c r="B225" s="116">
        <v>279.89999999999998</v>
      </c>
      <c r="C225" s="116">
        <v>269.5</v>
      </c>
      <c r="D225" s="116">
        <v>255.1</v>
      </c>
      <c r="E225" s="116">
        <v>260</v>
      </c>
      <c r="F225" s="116">
        <v>269.5</v>
      </c>
      <c r="G225">
        <v>22175</v>
      </c>
      <c r="H225" s="116"/>
      <c r="I225" s="116"/>
      <c r="L225" s="169">
        <v>42331</v>
      </c>
      <c r="M225" s="116">
        <v>269</v>
      </c>
      <c r="N225" s="116">
        <v>279.89999999999998</v>
      </c>
      <c r="O225" s="116">
        <v>254.35</v>
      </c>
      <c r="P225" s="116">
        <v>259.89999999999998</v>
      </c>
      <c r="Q225" s="116">
        <v>269</v>
      </c>
      <c r="R225">
        <v>117431</v>
      </c>
    </row>
    <row r="226" spans="1:18" x14ac:dyDescent="0.25">
      <c r="A226" s="169">
        <v>42332</v>
      </c>
      <c r="B226" s="116">
        <v>280</v>
      </c>
      <c r="C226" s="116">
        <v>276.39999999999998</v>
      </c>
      <c r="D226" s="116">
        <v>270</v>
      </c>
      <c r="E226" s="116">
        <v>273</v>
      </c>
      <c r="F226" s="116">
        <v>276.39999999999998</v>
      </c>
      <c r="G226">
        <v>19383</v>
      </c>
      <c r="H226" s="116"/>
      <c r="I226" s="116"/>
      <c r="L226" s="169">
        <v>42332</v>
      </c>
      <c r="M226" s="116">
        <v>276.35000000000002</v>
      </c>
      <c r="N226" s="116">
        <v>280</v>
      </c>
      <c r="O226" s="116">
        <v>269.60000000000002</v>
      </c>
      <c r="P226" s="116">
        <v>269.60000000000002</v>
      </c>
      <c r="Q226" s="116">
        <v>276.35000000000002</v>
      </c>
      <c r="R226">
        <v>106394</v>
      </c>
    </row>
    <row r="227" spans="1:18" x14ac:dyDescent="0.25">
      <c r="A227" s="169">
        <v>42334</v>
      </c>
      <c r="B227" s="116">
        <v>285</v>
      </c>
      <c r="C227" s="116">
        <v>276.60000000000002</v>
      </c>
      <c r="D227" s="116">
        <v>275.5</v>
      </c>
      <c r="E227" s="116">
        <v>281.60000000000002</v>
      </c>
      <c r="F227" s="116">
        <v>276.60000000000002</v>
      </c>
      <c r="G227">
        <v>4712</v>
      </c>
      <c r="H227" s="116"/>
      <c r="I227" s="116"/>
      <c r="L227" s="169">
        <v>42334</v>
      </c>
      <c r="M227" s="116">
        <v>275.95</v>
      </c>
      <c r="N227" s="116">
        <v>286</v>
      </c>
      <c r="O227" s="116">
        <v>274.25</v>
      </c>
      <c r="P227" s="116">
        <v>276.89999999999998</v>
      </c>
      <c r="Q227" s="116">
        <v>275.95</v>
      </c>
      <c r="R227">
        <v>94559</v>
      </c>
    </row>
    <row r="228" spans="1:18" x14ac:dyDescent="0.25">
      <c r="A228" s="169">
        <v>42335</v>
      </c>
      <c r="B228" s="116">
        <v>297</v>
      </c>
      <c r="C228" s="116">
        <v>283.39999999999998</v>
      </c>
      <c r="D228" s="116">
        <v>277.2</v>
      </c>
      <c r="E228" s="116">
        <v>277.2</v>
      </c>
      <c r="F228" s="116">
        <v>283.39999999999998</v>
      </c>
      <c r="G228">
        <v>28073</v>
      </c>
      <c r="H228" s="116"/>
      <c r="I228" s="116"/>
      <c r="L228" s="169">
        <v>42335</v>
      </c>
      <c r="M228" s="116">
        <v>283.85000000000002</v>
      </c>
      <c r="N228" s="116">
        <v>297.89999999999998</v>
      </c>
      <c r="O228" s="116">
        <v>274.5</v>
      </c>
      <c r="P228" s="116">
        <v>274.5</v>
      </c>
      <c r="Q228" s="116">
        <v>283.85000000000002</v>
      </c>
      <c r="R228">
        <v>373088</v>
      </c>
    </row>
    <row r="229" spans="1:18" x14ac:dyDescent="0.25">
      <c r="A229" s="169">
        <v>42338</v>
      </c>
      <c r="B229" s="116">
        <v>296.10000000000002</v>
      </c>
      <c r="C229" s="116">
        <v>287.3</v>
      </c>
      <c r="D229" s="116">
        <v>284</v>
      </c>
      <c r="E229" s="116">
        <v>285.39999999999998</v>
      </c>
      <c r="F229" s="116">
        <v>287.3</v>
      </c>
      <c r="G229">
        <v>23534</v>
      </c>
      <c r="H229" s="116"/>
      <c r="I229" s="116"/>
      <c r="L229" s="169">
        <v>42338</v>
      </c>
      <c r="M229" s="116">
        <v>287.89999999999998</v>
      </c>
      <c r="N229" s="116">
        <v>297</v>
      </c>
      <c r="O229" s="116">
        <v>283.05</v>
      </c>
      <c r="P229" s="116">
        <v>284.7</v>
      </c>
      <c r="Q229" s="116">
        <v>287.89999999999998</v>
      </c>
      <c r="R229">
        <v>187329</v>
      </c>
    </row>
    <row r="230" spans="1:18" x14ac:dyDescent="0.25">
      <c r="A230" s="169">
        <v>42339</v>
      </c>
      <c r="B230" s="116">
        <v>295</v>
      </c>
      <c r="C230" s="116">
        <v>287.39999999999998</v>
      </c>
      <c r="D230" s="116">
        <v>285</v>
      </c>
      <c r="E230" s="116">
        <v>295</v>
      </c>
      <c r="F230" s="116">
        <v>287.39999999999998</v>
      </c>
      <c r="G230">
        <v>16783</v>
      </c>
      <c r="H230" s="116"/>
      <c r="I230" s="116"/>
      <c r="L230" s="169">
        <v>42339</v>
      </c>
      <c r="M230" s="116">
        <v>286.64999999999998</v>
      </c>
      <c r="N230" s="116">
        <v>294.5</v>
      </c>
      <c r="O230" s="116">
        <v>284.95</v>
      </c>
      <c r="P230" s="116">
        <v>289.85000000000002</v>
      </c>
      <c r="Q230" s="116">
        <v>286.64999999999998</v>
      </c>
      <c r="R230">
        <v>79866</v>
      </c>
    </row>
    <row r="231" spans="1:18" x14ac:dyDescent="0.25">
      <c r="A231" s="169">
        <v>42340</v>
      </c>
      <c r="B231" s="116">
        <v>299.89999999999998</v>
      </c>
      <c r="C231" s="116">
        <v>292.2</v>
      </c>
      <c r="D231" s="116">
        <v>286</v>
      </c>
      <c r="E231" s="116">
        <v>289.3</v>
      </c>
      <c r="F231" s="116">
        <v>292.2</v>
      </c>
      <c r="G231">
        <v>16005</v>
      </c>
      <c r="H231" s="116"/>
      <c r="I231" s="116"/>
      <c r="L231" s="169">
        <v>42340</v>
      </c>
      <c r="M231" s="116">
        <v>293.05</v>
      </c>
      <c r="N231" s="116">
        <v>298.85000000000002</v>
      </c>
      <c r="O231" s="116">
        <v>285.5</v>
      </c>
      <c r="P231" s="116">
        <v>288.85000000000002</v>
      </c>
      <c r="Q231" s="116">
        <v>293.05</v>
      </c>
      <c r="R231">
        <v>94583</v>
      </c>
    </row>
    <row r="232" spans="1:18" x14ac:dyDescent="0.25">
      <c r="A232" s="169">
        <v>42341</v>
      </c>
      <c r="B232" s="116">
        <v>295</v>
      </c>
      <c r="C232" s="116">
        <v>289.5</v>
      </c>
      <c r="D232" s="116">
        <v>286</v>
      </c>
      <c r="E232" s="116">
        <v>294.8</v>
      </c>
      <c r="F232" s="116">
        <v>289.5</v>
      </c>
      <c r="G232">
        <v>10231</v>
      </c>
      <c r="H232" s="116"/>
      <c r="I232" s="116"/>
      <c r="L232" s="169">
        <v>42341</v>
      </c>
      <c r="M232" s="116">
        <v>290.60000000000002</v>
      </c>
      <c r="N232" s="116">
        <v>296.5</v>
      </c>
      <c r="O232" s="116">
        <v>285</v>
      </c>
      <c r="P232" s="116">
        <v>294</v>
      </c>
      <c r="Q232" s="116">
        <v>290.60000000000002</v>
      </c>
      <c r="R232">
        <v>35290</v>
      </c>
    </row>
    <row r="233" spans="1:18" x14ac:dyDescent="0.25">
      <c r="A233" s="169">
        <v>42342</v>
      </c>
      <c r="B233" s="116">
        <v>297</v>
      </c>
      <c r="C233" s="116">
        <v>285.7</v>
      </c>
      <c r="D233" s="116">
        <v>284.60000000000002</v>
      </c>
      <c r="E233" s="116">
        <v>288.89999999999998</v>
      </c>
      <c r="F233" s="116">
        <v>285.7</v>
      </c>
      <c r="G233">
        <v>29704</v>
      </c>
      <c r="H233" s="116"/>
      <c r="I233" s="116"/>
      <c r="L233" s="169">
        <v>42342</v>
      </c>
      <c r="M233" s="116">
        <v>287</v>
      </c>
      <c r="N233" s="116">
        <v>296</v>
      </c>
      <c r="O233" s="116">
        <v>285.8</v>
      </c>
      <c r="P233" s="116">
        <v>289.3</v>
      </c>
      <c r="Q233" s="116">
        <v>287</v>
      </c>
      <c r="R233">
        <v>72655</v>
      </c>
    </row>
    <row r="234" spans="1:18" x14ac:dyDescent="0.25">
      <c r="A234" s="169">
        <v>42345</v>
      </c>
      <c r="B234" s="116">
        <v>291.8</v>
      </c>
      <c r="C234" s="116">
        <v>288.10000000000002</v>
      </c>
      <c r="D234" s="116">
        <v>284.10000000000002</v>
      </c>
      <c r="E234" s="116">
        <v>289.5</v>
      </c>
      <c r="F234" s="116">
        <v>288.10000000000002</v>
      </c>
      <c r="G234">
        <v>7358</v>
      </c>
      <c r="H234" s="116"/>
      <c r="I234" s="116"/>
      <c r="L234" s="169">
        <v>42345</v>
      </c>
      <c r="M234" s="116">
        <v>288.5</v>
      </c>
      <c r="N234" s="116">
        <v>293.89999999999998</v>
      </c>
      <c r="O234" s="116">
        <v>285</v>
      </c>
      <c r="P234" s="116">
        <v>288</v>
      </c>
      <c r="Q234" s="116">
        <v>288.5</v>
      </c>
      <c r="R234">
        <v>55517</v>
      </c>
    </row>
    <row r="235" spans="1:18" x14ac:dyDescent="0.25">
      <c r="A235" s="169">
        <v>42346</v>
      </c>
      <c r="B235" s="116">
        <v>289.89999999999998</v>
      </c>
      <c r="C235" s="116">
        <v>283.7</v>
      </c>
      <c r="D235" s="116">
        <v>281</v>
      </c>
      <c r="E235" s="116">
        <v>288</v>
      </c>
      <c r="F235" s="116">
        <v>283.7</v>
      </c>
      <c r="G235">
        <v>5373</v>
      </c>
      <c r="H235" s="116"/>
      <c r="I235" s="116"/>
      <c r="L235" s="169">
        <v>42346</v>
      </c>
      <c r="M235" s="116">
        <v>284.5</v>
      </c>
      <c r="N235" s="116">
        <v>289.89999999999998</v>
      </c>
      <c r="O235" s="116">
        <v>280.10000000000002</v>
      </c>
      <c r="P235" s="116">
        <v>288</v>
      </c>
      <c r="Q235" s="116">
        <v>284.5</v>
      </c>
      <c r="R235">
        <v>61061</v>
      </c>
    </row>
    <row r="236" spans="1:18" x14ac:dyDescent="0.25">
      <c r="A236" s="169">
        <v>42347</v>
      </c>
      <c r="B236" s="116">
        <v>287.39999999999998</v>
      </c>
      <c r="C236" s="116">
        <v>276.39999999999998</v>
      </c>
      <c r="D236" s="116">
        <v>272</v>
      </c>
      <c r="E236" s="116">
        <v>283.89999999999998</v>
      </c>
      <c r="F236" s="116">
        <v>276.39999999999998</v>
      </c>
      <c r="G236">
        <v>9115</v>
      </c>
      <c r="H236" s="116"/>
      <c r="I236" s="116"/>
      <c r="L236" s="169">
        <v>42347</v>
      </c>
      <c r="M236" s="116">
        <v>277.10000000000002</v>
      </c>
      <c r="N236" s="116">
        <v>286</v>
      </c>
      <c r="O236" s="116">
        <v>271</v>
      </c>
      <c r="P236" s="116">
        <v>283.35000000000002</v>
      </c>
      <c r="Q236" s="116">
        <v>277.10000000000002</v>
      </c>
      <c r="R236">
        <v>160099</v>
      </c>
    </row>
    <row r="237" spans="1:18" x14ac:dyDescent="0.25">
      <c r="A237" s="169">
        <v>42348</v>
      </c>
      <c r="B237" s="116">
        <v>279.2</v>
      </c>
      <c r="C237" s="116">
        <v>271.7</v>
      </c>
      <c r="D237" s="116">
        <v>270</v>
      </c>
      <c r="E237" s="116">
        <v>279.2</v>
      </c>
      <c r="F237" s="116">
        <v>271.7</v>
      </c>
      <c r="G237">
        <v>3787</v>
      </c>
      <c r="H237" s="116"/>
      <c r="I237" s="116"/>
      <c r="L237" s="169">
        <v>42348</v>
      </c>
      <c r="M237" s="116">
        <v>273.60000000000002</v>
      </c>
      <c r="N237" s="116">
        <v>277</v>
      </c>
      <c r="O237" s="116">
        <v>269.45</v>
      </c>
      <c r="P237" s="116">
        <v>276.95</v>
      </c>
      <c r="Q237" s="116">
        <v>273.60000000000002</v>
      </c>
      <c r="R237">
        <v>27034</v>
      </c>
    </row>
    <row r="238" spans="1:18" x14ac:dyDescent="0.25">
      <c r="A238" s="169">
        <v>42349</v>
      </c>
      <c r="B238" s="116">
        <v>283.3</v>
      </c>
      <c r="C238" s="116">
        <v>270.2</v>
      </c>
      <c r="D238" s="116">
        <v>269</v>
      </c>
      <c r="E238" s="116">
        <v>273.89999999999998</v>
      </c>
      <c r="F238" s="116">
        <v>270.2</v>
      </c>
      <c r="G238">
        <v>7346</v>
      </c>
      <c r="H238" s="116"/>
      <c r="I238" s="116"/>
      <c r="L238" s="169">
        <v>42349</v>
      </c>
      <c r="M238" s="116">
        <v>273.45</v>
      </c>
      <c r="N238" s="116">
        <v>284.75</v>
      </c>
      <c r="O238" s="116">
        <v>268.5</v>
      </c>
      <c r="P238" s="116">
        <v>271.55</v>
      </c>
      <c r="Q238" s="116">
        <v>273.45</v>
      </c>
      <c r="R238">
        <v>63990</v>
      </c>
    </row>
    <row r="239" spans="1:18" x14ac:dyDescent="0.25">
      <c r="A239" s="169">
        <v>42352</v>
      </c>
      <c r="B239" s="116">
        <v>275.39999999999998</v>
      </c>
      <c r="C239" s="116">
        <v>271.10000000000002</v>
      </c>
      <c r="D239" s="116">
        <v>263.3</v>
      </c>
      <c r="E239" s="116">
        <v>268.8</v>
      </c>
      <c r="F239" s="116">
        <v>271.10000000000002</v>
      </c>
      <c r="G239">
        <v>8892</v>
      </c>
      <c r="H239" s="116"/>
      <c r="I239" s="116"/>
      <c r="L239" s="169">
        <v>42352</v>
      </c>
      <c r="M239" s="116">
        <v>270.64999999999998</v>
      </c>
      <c r="N239" s="116">
        <v>276</v>
      </c>
      <c r="O239" s="116">
        <v>261.95</v>
      </c>
      <c r="P239" s="116">
        <v>270</v>
      </c>
      <c r="Q239" s="116">
        <v>270.64999999999998</v>
      </c>
      <c r="R239">
        <v>63392</v>
      </c>
    </row>
    <row r="240" spans="1:18" x14ac:dyDescent="0.25">
      <c r="A240" s="169">
        <v>42353</v>
      </c>
      <c r="B240" s="116">
        <v>288.39999999999998</v>
      </c>
      <c r="C240" s="116">
        <v>280.39999999999998</v>
      </c>
      <c r="D240" s="116">
        <v>267</v>
      </c>
      <c r="E240" s="116">
        <v>270</v>
      </c>
      <c r="F240" s="116">
        <v>280.39999999999998</v>
      </c>
      <c r="G240">
        <v>8706</v>
      </c>
      <c r="H240" s="116"/>
      <c r="I240" s="116"/>
      <c r="L240" s="169">
        <v>42353</v>
      </c>
      <c r="M240" s="116">
        <v>281.2</v>
      </c>
      <c r="N240" s="116">
        <v>288.5</v>
      </c>
      <c r="O240" s="116">
        <v>265</v>
      </c>
      <c r="P240" s="116">
        <v>269</v>
      </c>
      <c r="Q240" s="116">
        <v>281.2</v>
      </c>
      <c r="R240">
        <v>64400</v>
      </c>
    </row>
    <row r="241" spans="1:18" x14ac:dyDescent="0.25">
      <c r="A241" s="169">
        <v>42354</v>
      </c>
      <c r="B241" s="116">
        <v>289.3</v>
      </c>
      <c r="C241" s="116">
        <v>285.3</v>
      </c>
      <c r="D241" s="116">
        <v>276.2</v>
      </c>
      <c r="E241" s="116">
        <v>284.8</v>
      </c>
      <c r="F241" s="116">
        <v>285.3</v>
      </c>
      <c r="G241">
        <v>5667</v>
      </c>
      <c r="H241" s="116"/>
      <c r="I241" s="116"/>
      <c r="L241" s="169">
        <v>42354</v>
      </c>
      <c r="M241" s="116">
        <v>287.55</v>
      </c>
      <c r="N241" s="116">
        <v>289.89999999999998</v>
      </c>
      <c r="O241" s="116">
        <v>274.10000000000002</v>
      </c>
      <c r="P241" s="116">
        <v>283.35000000000002</v>
      </c>
      <c r="Q241" s="116">
        <v>287.55</v>
      </c>
      <c r="R241">
        <v>169485</v>
      </c>
    </row>
    <row r="242" spans="1:18" x14ac:dyDescent="0.25">
      <c r="A242" s="169">
        <v>42355</v>
      </c>
      <c r="B242" s="116">
        <v>295.5</v>
      </c>
      <c r="C242" s="116">
        <v>290.7</v>
      </c>
      <c r="D242" s="116">
        <v>284</v>
      </c>
      <c r="E242" s="116">
        <v>286</v>
      </c>
      <c r="F242" s="116">
        <v>290.7</v>
      </c>
      <c r="G242">
        <v>33983</v>
      </c>
      <c r="H242" s="116"/>
      <c r="I242" s="116"/>
      <c r="L242" s="169">
        <v>42355</v>
      </c>
      <c r="M242" s="116">
        <v>291.25</v>
      </c>
      <c r="N242" s="116">
        <v>296</v>
      </c>
      <c r="O242" s="116">
        <v>281.45</v>
      </c>
      <c r="P242" s="116">
        <v>285.60000000000002</v>
      </c>
      <c r="Q242" s="116">
        <v>291.25</v>
      </c>
      <c r="R242">
        <v>143838</v>
      </c>
    </row>
    <row r="243" spans="1:18" x14ac:dyDescent="0.25">
      <c r="A243" s="169">
        <v>42356</v>
      </c>
      <c r="B243" s="116">
        <v>305</v>
      </c>
      <c r="C243" s="116">
        <v>293.3</v>
      </c>
      <c r="D243" s="116">
        <v>290</v>
      </c>
      <c r="E243" s="116">
        <v>295</v>
      </c>
      <c r="F243" s="116">
        <v>293.3</v>
      </c>
      <c r="G243">
        <v>33675</v>
      </c>
      <c r="H243" s="116"/>
      <c r="I243" s="116"/>
      <c r="L243" s="169">
        <v>42356</v>
      </c>
      <c r="M243" s="116">
        <v>291.45</v>
      </c>
      <c r="N243" s="116">
        <v>304.85000000000002</v>
      </c>
      <c r="O243" s="116">
        <v>286.35000000000002</v>
      </c>
      <c r="P243" s="116">
        <v>291</v>
      </c>
      <c r="Q243" s="116">
        <v>291.45</v>
      </c>
      <c r="R243">
        <v>96390</v>
      </c>
    </row>
    <row r="244" spans="1:18" x14ac:dyDescent="0.25">
      <c r="A244" s="169">
        <v>42359</v>
      </c>
      <c r="B244" s="116">
        <v>302.39999999999998</v>
      </c>
      <c r="C244" s="116">
        <v>300.3</v>
      </c>
      <c r="D244" s="116">
        <v>290</v>
      </c>
      <c r="E244" s="116">
        <v>290</v>
      </c>
      <c r="F244" s="116">
        <v>300.3</v>
      </c>
      <c r="G244">
        <v>85234</v>
      </c>
      <c r="H244" s="116"/>
      <c r="I244" s="116"/>
      <c r="L244" s="169">
        <v>42359</v>
      </c>
      <c r="M244" s="116">
        <v>300.05</v>
      </c>
      <c r="N244" s="116">
        <v>302.60000000000002</v>
      </c>
      <c r="O244" s="116">
        <v>286.95</v>
      </c>
      <c r="P244" s="116">
        <v>289</v>
      </c>
      <c r="Q244" s="116">
        <v>300.05</v>
      </c>
      <c r="R244">
        <v>285971</v>
      </c>
    </row>
    <row r="245" spans="1:18" x14ac:dyDescent="0.25">
      <c r="A245" s="169">
        <v>42360</v>
      </c>
      <c r="B245" s="116">
        <v>315.60000000000002</v>
      </c>
      <c r="C245" s="116">
        <v>305.39999999999998</v>
      </c>
      <c r="D245" s="116">
        <v>300.10000000000002</v>
      </c>
      <c r="E245" s="116">
        <v>304</v>
      </c>
      <c r="F245" s="116">
        <v>305.39999999999998</v>
      </c>
      <c r="G245">
        <v>155809</v>
      </c>
      <c r="H245" s="116"/>
      <c r="I245" s="116"/>
      <c r="L245" s="169">
        <v>42360</v>
      </c>
      <c r="M245" s="116">
        <v>303.85000000000002</v>
      </c>
      <c r="N245" s="116">
        <v>314.14999999999998</v>
      </c>
      <c r="O245" s="116">
        <v>300</v>
      </c>
      <c r="P245" s="116">
        <v>300</v>
      </c>
      <c r="Q245" s="116">
        <v>303.85000000000002</v>
      </c>
      <c r="R245">
        <v>597022</v>
      </c>
    </row>
    <row r="246" spans="1:18" x14ac:dyDescent="0.25">
      <c r="A246" s="169">
        <v>42361</v>
      </c>
      <c r="B246" s="116">
        <v>313.7</v>
      </c>
      <c r="C246" s="116">
        <v>307.39999999999998</v>
      </c>
      <c r="D246" s="116">
        <v>306</v>
      </c>
      <c r="E246" s="116">
        <v>308.8</v>
      </c>
      <c r="F246" s="116">
        <v>307.39999999999998</v>
      </c>
      <c r="G246">
        <v>129578</v>
      </c>
      <c r="H246" s="116"/>
      <c r="I246" s="116"/>
      <c r="L246" s="169">
        <v>42361</v>
      </c>
      <c r="M246" s="116">
        <v>308.64999999999998</v>
      </c>
      <c r="N246" s="116">
        <v>314</v>
      </c>
      <c r="O246" s="116">
        <v>305.05</v>
      </c>
      <c r="P246" s="116">
        <v>306.89999999999998</v>
      </c>
      <c r="Q246" s="116">
        <v>308.64999999999998</v>
      </c>
      <c r="R246">
        <v>410089</v>
      </c>
    </row>
    <row r="247" spans="1:18" x14ac:dyDescent="0.25">
      <c r="A247" s="169">
        <v>42362</v>
      </c>
      <c r="B247" s="116">
        <v>313.89999999999998</v>
      </c>
      <c r="C247" s="116">
        <v>310.10000000000002</v>
      </c>
      <c r="D247" s="116">
        <v>307</v>
      </c>
      <c r="E247" s="116">
        <v>312</v>
      </c>
      <c r="F247" s="116">
        <v>310.10000000000002</v>
      </c>
      <c r="G247">
        <v>13005</v>
      </c>
      <c r="H247" s="116"/>
      <c r="I247" s="116"/>
      <c r="L247" s="169">
        <v>42362</v>
      </c>
      <c r="M247" s="116">
        <v>308.60000000000002</v>
      </c>
      <c r="N247" s="116">
        <v>314</v>
      </c>
      <c r="O247" s="116">
        <v>307</v>
      </c>
      <c r="P247" s="116">
        <v>311</v>
      </c>
      <c r="Q247" s="116">
        <v>308.60000000000002</v>
      </c>
      <c r="R247">
        <v>45204</v>
      </c>
    </row>
    <row r="248" spans="1:18" x14ac:dyDescent="0.25">
      <c r="A248" s="169">
        <v>42366</v>
      </c>
      <c r="B248" s="116">
        <v>313.89999999999998</v>
      </c>
      <c r="C248" s="116">
        <v>308.39999999999998</v>
      </c>
      <c r="D248" s="116">
        <v>305.10000000000002</v>
      </c>
      <c r="E248" s="116">
        <v>311.5</v>
      </c>
      <c r="F248" s="116">
        <v>308.39999999999998</v>
      </c>
      <c r="G248">
        <v>22816</v>
      </c>
      <c r="H248" s="116"/>
      <c r="I248" s="116"/>
      <c r="L248" s="169">
        <v>42366</v>
      </c>
      <c r="M248" s="116">
        <v>308</v>
      </c>
      <c r="N248" s="116">
        <v>314</v>
      </c>
      <c r="O248" s="116">
        <v>304.39999999999998</v>
      </c>
      <c r="P248" s="116">
        <v>312.3</v>
      </c>
      <c r="Q248" s="116">
        <v>308</v>
      </c>
      <c r="R248">
        <v>195733</v>
      </c>
    </row>
    <row r="249" spans="1:18" x14ac:dyDescent="0.25">
      <c r="A249" s="169">
        <v>42367</v>
      </c>
      <c r="B249" s="116">
        <v>324</v>
      </c>
      <c r="C249" s="116">
        <v>313</v>
      </c>
      <c r="D249" s="116">
        <v>305.5</v>
      </c>
      <c r="E249" s="116">
        <v>309.8</v>
      </c>
      <c r="F249" s="116">
        <v>313</v>
      </c>
      <c r="G249">
        <v>76177</v>
      </c>
      <c r="H249" s="116"/>
      <c r="I249" s="116"/>
      <c r="L249" s="169">
        <v>42367</v>
      </c>
      <c r="M249" s="116">
        <v>312.2</v>
      </c>
      <c r="N249" s="116">
        <v>324.89999999999998</v>
      </c>
      <c r="O249" s="116">
        <v>305</v>
      </c>
      <c r="P249" s="116">
        <v>305</v>
      </c>
      <c r="Q249" s="116">
        <v>312.2</v>
      </c>
      <c r="R249">
        <v>848092</v>
      </c>
    </row>
    <row r="250" spans="1:18" x14ac:dyDescent="0.25">
      <c r="A250" s="169">
        <v>42368</v>
      </c>
      <c r="B250" s="116">
        <v>316.7</v>
      </c>
      <c r="C250" s="116">
        <v>308.89999999999998</v>
      </c>
      <c r="D250" s="116">
        <v>307</v>
      </c>
      <c r="E250" s="116">
        <v>315</v>
      </c>
      <c r="F250" s="116">
        <v>308.89999999999998</v>
      </c>
      <c r="G250">
        <v>13643</v>
      </c>
      <c r="H250" s="116"/>
      <c r="I250" s="116"/>
      <c r="L250" s="169">
        <v>42368</v>
      </c>
      <c r="M250" s="116">
        <v>307.89999999999998</v>
      </c>
      <c r="N250" s="116">
        <v>316</v>
      </c>
      <c r="O250" s="116">
        <v>307</v>
      </c>
      <c r="P250" s="116">
        <v>313.45</v>
      </c>
      <c r="Q250" s="116">
        <v>307.89999999999998</v>
      </c>
      <c r="R250">
        <v>69103</v>
      </c>
    </row>
    <row r="251" spans="1:18" x14ac:dyDescent="0.25">
      <c r="A251" s="169">
        <v>42369</v>
      </c>
      <c r="B251" s="116">
        <v>312.39999999999998</v>
      </c>
      <c r="C251" s="116">
        <v>306</v>
      </c>
      <c r="D251" s="116">
        <v>305.2</v>
      </c>
      <c r="E251" s="116">
        <v>309.60000000000002</v>
      </c>
      <c r="F251" s="116">
        <v>306</v>
      </c>
      <c r="G251">
        <v>7218</v>
      </c>
      <c r="H251" s="116"/>
      <c r="I251" s="116"/>
      <c r="L251" s="169">
        <v>42369</v>
      </c>
      <c r="M251" s="116">
        <v>306.5</v>
      </c>
      <c r="N251" s="116">
        <v>313</v>
      </c>
      <c r="O251" s="116">
        <v>305.14999999999998</v>
      </c>
      <c r="P251" s="116">
        <v>310.05</v>
      </c>
      <c r="Q251" s="116">
        <v>306.5</v>
      </c>
      <c r="R251">
        <v>62010</v>
      </c>
    </row>
    <row r="252" spans="1:18" x14ac:dyDescent="0.25">
      <c r="A252" s="169">
        <v>42370</v>
      </c>
      <c r="B252" s="116">
        <v>319.8</v>
      </c>
      <c r="C252" s="116">
        <v>312.2</v>
      </c>
      <c r="D252" s="116">
        <v>307</v>
      </c>
      <c r="E252" s="116">
        <v>308.5</v>
      </c>
      <c r="F252" s="116">
        <v>312.2</v>
      </c>
      <c r="G252">
        <v>20072</v>
      </c>
      <c r="H252" s="116"/>
      <c r="I252" s="116"/>
      <c r="L252" s="169">
        <v>42370</v>
      </c>
      <c r="M252" s="116">
        <v>312.2</v>
      </c>
      <c r="N252" s="116">
        <v>319.89999999999998</v>
      </c>
      <c r="O252" s="116">
        <v>307.5</v>
      </c>
      <c r="P252" s="116">
        <v>308.35000000000002</v>
      </c>
      <c r="Q252" s="116">
        <v>312.2</v>
      </c>
      <c r="R252">
        <v>193425</v>
      </c>
    </row>
    <row r="253" spans="1:18" x14ac:dyDescent="0.25">
      <c r="A253" s="169">
        <v>42373</v>
      </c>
      <c r="B253" s="116">
        <v>312.3</v>
      </c>
      <c r="C253" s="116">
        <v>307.39999999999998</v>
      </c>
      <c r="D253" s="116">
        <v>305</v>
      </c>
      <c r="E253" s="116">
        <v>310</v>
      </c>
      <c r="F253" s="116">
        <v>307.39999999999998</v>
      </c>
      <c r="G253">
        <v>9526</v>
      </c>
      <c r="H253" s="116"/>
      <c r="I253" s="116"/>
      <c r="L253" s="169">
        <v>42373</v>
      </c>
      <c r="M253" s="116">
        <v>307.75</v>
      </c>
      <c r="N253" s="116">
        <v>312.39999999999998</v>
      </c>
      <c r="O253" s="116">
        <v>304</v>
      </c>
      <c r="P253" s="116">
        <v>310.05</v>
      </c>
      <c r="Q253" s="116">
        <v>307.75</v>
      </c>
      <c r="R253">
        <v>62136</v>
      </c>
    </row>
    <row r="254" spans="1:18" x14ac:dyDescent="0.25">
      <c r="A254" s="169">
        <v>42374</v>
      </c>
      <c r="B254" s="116">
        <v>314</v>
      </c>
      <c r="C254" s="116">
        <v>311.60000000000002</v>
      </c>
      <c r="D254" s="116">
        <v>307.2</v>
      </c>
      <c r="E254" s="116">
        <v>308.7</v>
      </c>
      <c r="F254" s="116">
        <v>311.60000000000002</v>
      </c>
      <c r="G254">
        <v>5938</v>
      </c>
      <c r="H254" s="116"/>
      <c r="I254" s="116"/>
      <c r="L254" s="169">
        <v>42374</v>
      </c>
      <c r="M254" s="116">
        <v>311.64999999999998</v>
      </c>
      <c r="N254" s="116">
        <v>314.8</v>
      </c>
      <c r="O254" s="116">
        <v>307</v>
      </c>
      <c r="P254" s="116">
        <v>307.05</v>
      </c>
      <c r="Q254" s="116">
        <v>311.64999999999998</v>
      </c>
      <c r="R254">
        <v>46547</v>
      </c>
    </row>
    <row r="255" spans="1:18" x14ac:dyDescent="0.25">
      <c r="A255" s="169">
        <v>42375</v>
      </c>
      <c r="B255" s="116">
        <v>320</v>
      </c>
      <c r="C255" s="116">
        <v>308.8</v>
      </c>
      <c r="D255" s="116">
        <v>307</v>
      </c>
      <c r="E255" s="116">
        <v>311</v>
      </c>
      <c r="F255" s="116">
        <v>308.8</v>
      </c>
      <c r="G255">
        <v>26083</v>
      </c>
      <c r="H255" s="116"/>
      <c r="I255" s="116"/>
      <c r="L255" s="169">
        <v>42375</v>
      </c>
      <c r="M255" s="116">
        <v>309.2</v>
      </c>
      <c r="N255" s="116">
        <v>319.95</v>
      </c>
      <c r="O255" s="116">
        <v>307</v>
      </c>
      <c r="P255" s="116">
        <v>311.64999999999998</v>
      </c>
      <c r="Q255" s="116">
        <v>309.2</v>
      </c>
      <c r="R255">
        <v>92658</v>
      </c>
    </row>
    <row r="256" spans="1:18" x14ac:dyDescent="0.25">
      <c r="A256" s="169">
        <v>42376</v>
      </c>
      <c r="B256" s="116">
        <v>305.5</v>
      </c>
      <c r="C256" s="116">
        <v>298.7</v>
      </c>
      <c r="D256" s="116">
        <v>295.7</v>
      </c>
      <c r="E256" s="116">
        <v>305</v>
      </c>
      <c r="F256" s="116">
        <v>298.7</v>
      </c>
      <c r="G256">
        <v>11601</v>
      </c>
      <c r="H256" s="116"/>
      <c r="I256" s="116"/>
      <c r="L256" s="169">
        <v>42376</v>
      </c>
      <c r="M256" s="116">
        <v>298.95</v>
      </c>
      <c r="N256" s="116">
        <v>304</v>
      </c>
      <c r="O256" s="116">
        <v>295.05</v>
      </c>
      <c r="P256" s="116">
        <v>304</v>
      </c>
      <c r="Q256" s="116">
        <v>298.95</v>
      </c>
      <c r="R256">
        <v>61451</v>
      </c>
    </row>
    <row r="257" spans="1:18" x14ac:dyDescent="0.25">
      <c r="A257" s="169">
        <v>42377</v>
      </c>
      <c r="B257" s="116">
        <v>305</v>
      </c>
      <c r="C257" s="116">
        <v>298.10000000000002</v>
      </c>
      <c r="D257" s="116">
        <v>295</v>
      </c>
      <c r="E257" s="116">
        <v>302.2</v>
      </c>
      <c r="F257" s="116">
        <v>298.10000000000002</v>
      </c>
      <c r="G257">
        <v>18862</v>
      </c>
      <c r="H257" s="116"/>
      <c r="I257" s="116"/>
      <c r="L257" s="169">
        <v>42377</v>
      </c>
      <c r="M257" s="116">
        <v>299.14999999999998</v>
      </c>
      <c r="N257" s="116">
        <v>303.8</v>
      </c>
      <c r="O257" s="116">
        <v>294</v>
      </c>
      <c r="P257" s="116">
        <v>302.89999999999998</v>
      </c>
      <c r="Q257" s="116">
        <v>299.14999999999998</v>
      </c>
      <c r="R257">
        <v>86535</v>
      </c>
    </row>
    <row r="258" spans="1:18" x14ac:dyDescent="0.25">
      <c r="A258" s="169">
        <v>42380</v>
      </c>
      <c r="B258" s="116">
        <v>303.8</v>
      </c>
      <c r="C258" s="116">
        <v>298</v>
      </c>
      <c r="D258" s="116">
        <v>293</v>
      </c>
      <c r="E258" s="116">
        <v>295</v>
      </c>
      <c r="F258" s="116">
        <v>298</v>
      </c>
      <c r="G258">
        <v>10253</v>
      </c>
      <c r="H258" s="116"/>
      <c r="I258" s="116"/>
      <c r="L258" s="169">
        <v>42380</v>
      </c>
      <c r="M258" s="116">
        <v>299.14999999999998</v>
      </c>
      <c r="N258" s="116">
        <v>302.95</v>
      </c>
      <c r="O258" s="116">
        <v>293</v>
      </c>
      <c r="P258" s="116">
        <v>295</v>
      </c>
      <c r="Q258" s="116">
        <v>299.14999999999998</v>
      </c>
      <c r="R258">
        <v>34308</v>
      </c>
    </row>
    <row r="259" spans="1:18" x14ac:dyDescent="0.25">
      <c r="A259" s="169">
        <v>42381</v>
      </c>
      <c r="B259" s="116">
        <v>308.8</v>
      </c>
      <c r="C259" s="116">
        <v>296.89999999999998</v>
      </c>
      <c r="D259" s="116">
        <v>294.2</v>
      </c>
      <c r="E259" s="116">
        <v>297.7</v>
      </c>
      <c r="F259" s="116">
        <v>296.89999999999998</v>
      </c>
      <c r="G259">
        <v>4621</v>
      </c>
      <c r="H259" s="116"/>
      <c r="I259" s="116"/>
      <c r="L259" s="169">
        <v>42381</v>
      </c>
      <c r="M259" s="116">
        <v>297.25</v>
      </c>
      <c r="N259" s="116">
        <v>304.89999999999998</v>
      </c>
      <c r="O259" s="116">
        <v>294.5</v>
      </c>
      <c r="P259" s="116">
        <v>295</v>
      </c>
      <c r="Q259" s="116">
        <v>297.25</v>
      </c>
      <c r="R259">
        <v>32413</v>
      </c>
    </row>
    <row r="260" spans="1:18" x14ac:dyDescent="0.25">
      <c r="A260" s="169">
        <v>42382</v>
      </c>
      <c r="B260" s="116">
        <v>304.89999999999998</v>
      </c>
      <c r="C260" s="116">
        <v>291.89999999999998</v>
      </c>
      <c r="D260" s="116">
        <v>278.3</v>
      </c>
      <c r="E260" s="116">
        <v>302.89999999999998</v>
      </c>
      <c r="F260" s="116">
        <v>291.89999999999998</v>
      </c>
      <c r="G260">
        <v>21584</v>
      </c>
      <c r="H260" s="116"/>
      <c r="I260" s="116"/>
      <c r="L260" s="169">
        <v>42382</v>
      </c>
      <c r="M260" s="116">
        <v>292.14999999999998</v>
      </c>
      <c r="N260" s="116">
        <v>304.39999999999998</v>
      </c>
      <c r="O260" s="116">
        <v>279.05</v>
      </c>
      <c r="P260" s="116">
        <v>300</v>
      </c>
      <c r="Q260" s="116">
        <v>292.14999999999998</v>
      </c>
      <c r="R260">
        <v>144878</v>
      </c>
    </row>
    <row r="261" spans="1:18" x14ac:dyDescent="0.25">
      <c r="A261" s="169">
        <v>42383</v>
      </c>
      <c r="B261" s="116">
        <v>292.89999999999998</v>
      </c>
      <c r="C261" s="116">
        <v>291.3</v>
      </c>
      <c r="D261" s="116">
        <v>281</v>
      </c>
      <c r="E261" s="116">
        <v>285</v>
      </c>
      <c r="F261" s="116">
        <v>291.3</v>
      </c>
      <c r="G261">
        <v>12759</v>
      </c>
      <c r="H261" s="116"/>
      <c r="I261" s="116"/>
      <c r="L261" s="169">
        <v>42383</v>
      </c>
      <c r="M261" s="116">
        <v>291.45</v>
      </c>
      <c r="N261" s="116">
        <v>293</v>
      </c>
      <c r="O261" s="116">
        <v>280.95</v>
      </c>
      <c r="P261" s="116">
        <v>284</v>
      </c>
      <c r="Q261" s="116">
        <v>291.45</v>
      </c>
      <c r="R261">
        <v>40645</v>
      </c>
    </row>
    <row r="262" spans="1:18" x14ac:dyDescent="0.25">
      <c r="A262" s="169">
        <v>42384</v>
      </c>
      <c r="B262" s="116">
        <v>295</v>
      </c>
      <c r="C262" s="116">
        <v>284</v>
      </c>
      <c r="D262" s="116">
        <v>281</v>
      </c>
      <c r="E262" s="116">
        <v>294.89999999999998</v>
      </c>
      <c r="F262" s="116">
        <v>284</v>
      </c>
      <c r="G262">
        <v>7279</v>
      </c>
      <c r="H262" s="116"/>
      <c r="I262" s="116"/>
      <c r="L262" s="169">
        <v>42384</v>
      </c>
      <c r="M262" s="116">
        <v>284.2</v>
      </c>
      <c r="N262" s="116">
        <v>295</v>
      </c>
      <c r="O262" s="116">
        <v>282.2</v>
      </c>
      <c r="P262" s="116">
        <v>291.10000000000002</v>
      </c>
      <c r="Q262" s="116">
        <v>284.2</v>
      </c>
      <c r="R262">
        <v>40677</v>
      </c>
    </row>
    <row r="263" spans="1:18" x14ac:dyDescent="0.25">
      <c r="A263" s="169">
        <v>42387</v>
      </c>
      <c r="B263" s="116">
        <v>280</v>
      </c>
      <c r="C263" s="116">
        <v>270.8</v>
      </c>
      <c r="D263" s="116">
        <v>266</v>
      </c>
      <c r="E263" s="116">
        <v>280</v>
      </c>
      <c r="F263" s="116">
        <v>270.8</v>
      </c>
      <c r="G263">
        <v>9425</v>
      </c>
      <c r="H263" s="116"/>
      <c r="I263" s="116"/>
      <c r="L263" s="169">
        <v>42387</v>
      </c>
      <c r="M263" s="116">
        <v>273.75</v>
      </c>
      <c r="N263" s="116">
        <v>283.95</v>
      </c>
      <c r="O263" s="116">
        <v>266</v>
      </c>
      <c r="P263" s="116">
        <v>281</v>
      </c>
      <c r="Q263" s="116">
        <v>273.75</v>
      </c>
      <c r="R263">
        <v>122775</v>
      </c>
    </row>
    <row r="264" spans="1:18" x14ac:dyDescent="0.25">
      <c r="A264" s="169">
        <v>42388</v>
      </c>
      <c r="B264" s="116">
        <v>290</v>
      </c>
      <c r="C264" s="116">
        <v>285.7</v>
      </c>
      <c r="D264" s="116">
        <v>266</v>
      </c>
      <c r="E264" s="116">
        <v>274</v>
      </c>
      <c r="F264" s="116">
        <v>285.7</v>
      </c>
      <c r="G264">
        <v>36252</v>
      </c>
      <c r="H264" s="116"/>
      <c r="I264" s="116"/>
      <c r="L264" s="169">
        <v>42388</v>
      </c>
      <c r="M264" s="116">
        <v>285.25</v>
      </c>
      <c r="N264" s="116">
        <v>289.89999999999998</v>
      </c>
      <c r="O264" s="116">
        <v>264.35000000000002</v>
      </c>
      <c r="P264" s="116">
        <v>271</v>
      </c>
      <c r="Q264" s="116">
        <v>285.25</v>
      </c>
      <c r="R264">
        <v>70042</v>
      </c>
    </row>
    <row r="265" spans="1:18" x14ac:dyDescent="0.25">
      <c r="A265" s="169">
        <v>42389</v>
      </c>
      <c r="B265" s="116">
        <v>280.60000000000002</v>
      </c>
      <c r="C265" s="116">
        <v>279.60000000000002</v>
      </c>
      <c r="D265" s="116">
        <v>274</v>
      </c>
      <c r="E265" s="116">
        <v>278</v>
      </c>
      <c r="F265" s="116">
        <v>279.60000000000002</v>
      </c>
      <c r="G265">
        <v>3867</v>
      </c>
      <c r="H265" s="116"/>
      <c r="I265" s="116"/>
      <c r="L265" s="169">
        <v>42389</v>
      </c>
      <c r="M265" s="116">
        <v>280.14999999999998</v>
      </c>
      <c r="N265" s="116">
        <v>284</v>
      </c>
      <c r="O265" s="116">
        <v>274</v>
      </c>
      <c r="P265" s="116">
        <v>282</v>
      </c>
      <c r="Q265" s="116">
        <v>280.14999999999998</v>
      </c>
      <c r="R265">
        <v>88099</v>
      </c>
    </row>
    <row r="266" spans="1:18" x14ac:dyDescent="0.25">
      <c r="A266" s="169">
        <v>42390</v>
      </c>
      <c r="B266" s="116">
        <v>285.3</v>
      </c>
      <c r="C266" s="116">
        <v>278.89999999999998</v>
      </c>
      <c r="D266" s="116">
        <v>275</v>
      </c>
      <c r="E266" s="116">
        <v>275</v>
      </c>
      <c r="F266" s="116">
        <v>278.89999999999998</v>
      </c>
      <c r="G266">
        <v>3790</v>
      </c>
      <c r="H266" s="116"/>
      <c r="I266" s="116"/>
      <c r="L266" s="169">
        <v>42390</v>
      </c>
      <c r="M266" s="116">
        <v>283.35000000000002</v>
      </c>
      <c r="N266" s="116">
        <v>287</v>
      </c>
      <c r="O266" s="116">
        <v>275.60000000000002</v>
      </c>
      <c r="P266" s="116">
        <v>278</v>
      </c>
      <c r="Q266" s="116">
        <v>283.35000000000002</v>
      </c>
      <c r="R266">
        <v>56245</v>
      </c>
    </row>
    <row r="267" spans="1:18" x14ac:dyDescent="0.25">
      <c r="A267" s="169">
        <v>42391</v>
      </c>
      <c r="B267" s="116">
        <v>297.89999999999998</v>
      </c>
      <c r="C267" s="116">
        <v>292.8</v>
      </c>
      <c r="D267" s="116">
        <v>279.3</v>
      </c>
      <c r="E267" s="116">
        <v>284.89999999999998</v>
      </c>
      <c r="F267" s="116">
        <v>292.8</v>
      </c>
      <c r="G267">
        <v>15602</v>
      </c>
      <c r="H267" s="116"/>
      <c r="I267" s="116"/>
      <c r="L267" s="169">
        <v>42391</v>
      </c>
      <c r="M267" s="116">
        <v>296.95</v>
      </c>
      <c r="N267" s="116">
        <v>298.5</v>
      </c>
      <c r="O267" s="116">
        <v>280</v>
      </c>
      <c r="P267" s="116">
        <v>281.64999999999998</v>
      </c>
      <c r="Q267" s="116">
        <v>296.95</v>
      </c>
      <c r="R267">
        <v>301479</v>
      </c>
    </row>
    <row r="268" spans="1:18" x14ac:dyDescent="0.25">
      <c r="A268" s="169">
        <v>42394</v>
      </c>
      <c r="B268" s="116">
        <v>303.10000000000002</v>
      </c>
      <c r="C268" s="116">
        <v>292.60000000000002</v>
      </c>
      <c r="D268" s="116">
        <v>291</v>
      </c>
      <c r="E268" s="116">
        <v>298.10000000000002</v>
      </c>
      <c r="F268" s="116">
        <v>292.60000000000002</v>
      </c>
      <c r="G268">
        <v>5794</v>
      </c>
      <c r="H268" s="116"/>
      <c r="I268" s="116"/>
      <c r="L268" s="169">
        <v>42394</v>
      </c>
      <c r="M268" s="116">
        <v>293.2</v>
      </c>
      <c r="N268" s="116">
        <v>304</v>
      </c>
      <c r="O268" s="116">
        <v>291</v>
      </c>
      <c r="P268" s="116">
        <v>298.85000000000002</v>
      </c>
      <c r="Q268" s="116">
        <v>293.2</v>
      </c>
      <c r="R268">
        <v>30820</v>
      </c>
    </row>
    <row r="269" spans="1:18" x14ac:dyDescent="0.25">
      <c r="A269" s="169">
        <v>42396</v>
      </c>
      <c r="B269" s="116">
        <v>294.89999999999998</v>
      </c>
      <c r="C269" s="116">
        <v>279.3</v>
      </c>
      <c r="D269" s="116">
        <v>265.3</v>
      </c>
      <c r="E269" s="116">
        <v>292.5</v>
      </c>
      <c r="F269" s="116">
        <v>279.3</v>
      </c>
      <c r="G269">
        <v>220038</v>
      </c>
      <c r="H269" s="116"/>
      <c r="I269" s="116"/>
      <c r="L269" s="169">
        <v>42396</v>
      </c>
      <c r="M269" s="116">
        <v>278.2</v>
      </c>
      <c r="N269" s="116">
        <v>297.39999999999998</v>
      </c>
      <c r="O269" s="116">
        <v>260.5</v>
      </c>
      <c r="P269" s="116">
        <v>291</v>
      </c>
      <c r="Q269" s="116">
        <v>278.2</v>
      </c>
      <c r="R269">
        <v>4448191</v>
      </c>
    </row>
    <row r="270" spans="1:18" x14ac:dyDescent="0.25">
      <c r="A270" s="169">
        <v>42397</v>
      </c>
      <c r="B270" s="116">
        <v>284</v>
      </c>
      <c r="C270" s="116">
        <v>274</v>
      </c>
      <c r="D270" s="116">
        <v>272</v>
      </c>
      <c r="E270" s="116">
        <v>282.89999999999998</v>
      </c>
      <c r="F270" s="116">
        <v>274</v>
      </c>
      <c r="G270">
        <v>12360</v>
      </c>
      <c r="H270" s="116"/>
      <c r="I270" s="116"/>
      <c r="L270" s="169">
        <v>42397</v>
      </c>
      <c r="M270" s="116">
        <v>275.10000000000002</v>
      </c>
      <c r="N270" s="116">
        <v>284</v>
      </c>
      <c r="O270" s="116">
        <v>271</v>
      </c>
      <c r="P270" s="116">
        <v>281</v>
      </c>
      <c r="Q270" s="116">
        <v>275.10000000000002</v>
      </c>
      <c r="R270">
        <v>208093</v>
      </c>
    </row>
    <row r="271" spans="1:18" x14ac:dyDescent="0.25">
      <c r="A271" s="169">
        <v>42398</v>
      </c>
      <c r="B271" s="116">
        <v>282.39999999999998</v>
      </c>
      <c r="C271" s="116">
        <v>280.7</v>
      </c>
      <c r="D271" s="116">
        <v>274.10000000000002</v>
      </c>
      <c r="E271" s="116">
        <v>274.2</v>
      </c>
      <c r="F271" s="116">
        <v>280.7</v>
      </c>
      <c r="G271">
        <v>7086</v>
      </c>
      <c r="H271" s="116"/>
      <c r="I271" s="116"/>
      <c r="L271" s="169">
        <v>42398</v>
      </c>
      <c r="M271" s="116">
        <v>281.64999999999998</v>
      </c>
      <c r="N271" s="116">
        <v>283.89999999999998</v>
      </c>
      <c r="O271" s="116">
        <v>272.35000000000002</v>
      </c>
      <c r="P271" s="116">
        <v>275</v>
      </c>
      <c r="Q271" s="116">
        <v>281.64999999999998</v>
      </c>
      <c r="R271">
        <v>68201</v>
      </c>
    </row>
    <row r="272" spans="1:18" x14ac:dyDescent="0.25">
      <c r="A272" s="169">
        <v>42401</v>
      </c>
      <c r="B272" s="116">
        <v>285.2</v>
      </c>
      <c r="C272" s="116">
        <v>280.10000000000002</v>
      </c>
      <c r="D272" s="116">
        <v>280</v>
      </c>
      <c r="E272" s="116">
        <v>284.89999999999998</v>
      </c>
      <c r="F272" s="116">
        <v>280.10000000000002</v>
      </c>
      <c r="G272">
        <v>3123</v>
      </c>
      <c r="H272" s="116"/>
      <c r="I272" s="116"/>
      <c r="L272" s="169">
        <v>42401</v>
      </c>
      <c r="M272" s="116">
        <v>280.2</v>
      </c>
      <c r="N272" s="116">
        <v>286.89999999999998</v>
      </c>
      <c r="O272" s="116">
        <v>279.10000000000002</v>
      </c>
      <c r="P272" s="116">
        <v>283</v>
      </c>
      <c r="Q272" s="116">
        <v>280.2</v>
      </c>
      <c r="R272">
        <v>34508</v>
      </c>
    </row>
    <row r="273" spans="1:18" x14ac:dyDescent="0.25">
      <c r="A273" s="169">
        <v>42402</v>
      </c>
      <c r="B273" s="116">
        <v>282.7</v>
      </c>
      <c r="C273" s="116">
        <v>275.5</v>
      </c>
      <c r="D273" s="116">
        <v>272.2</v>
      </c>
      <c r="E273" s="116">
        <v>281.8</v>
      </c>
      <c r="F273" s="116">
        <v>275.5</v>
      </c>
      <c r="G273">
        <v>1818</v>
      </c>
      <c r="H273" s="116"/>
      <c r="I273" s="116"/>
      <c r="L273" s="169">
        <v>42402</v>
      </c>
      <c r="M273" s="116">
        <v>277.3</v>
      </c>
      <c r="N273" s="116">
        <v>283.8</v>
      </c>
      <c r="O273" s="116">
        <v>271.5</v>
      </c>
      <c r="P273" s="116">
        <v>277.05</v>
      </c>
      <c r="Q273" s="116">
        <v>277.3</v>
      </c>
      <c r="R273">
        <v>84073</v>
      </c>
    </row>
    <row r="274" spans="1:18" x14ac:dyDescent="0.25">
      <c r="A274" s="169">
        <v>42403</v>
      </c>
      <c r="B274" s="116">
        <v>275</v>
      </c>
      <c r="C274" s="116">
        <v>273.7</v>
      </c>
      <c r="D274" s="116">
        <v>267.8</v>
      </c>
      <c r="E274" s="116">
        <v>271.60000000000002</v>
      </c>
      <c r="F274" s="116">
        <v>273.7</v>
      </c>
      <c r="G274">
        <v>9300</v>
      </c>
      <c r="H274" s="116"/>
      <c r="I274" s="116"/>
      <c r="L274" s="169">
        <v>42403</v>
      </c>
      <c r="M274" s="116">
        <v>274.3</v>
      </c>
      <c r="N274" s="116">
        <v>277</v>
      </c>
      <c r="O274" s="116">
        <v>266.14999999999998</v>
      </c>
      <c r="P274" s="116">
        <v>275</v>
      </c>
      <c r="Q274" s="116">
        <v>274.3</v>
      </c>
      <c r="R274">
        <v>119195</v>
      </c>
    </row>
    <row r="275" spans="1:18" x14ac:dyDescent="0.25">
      <c r="A275" s="169">
        <v>42404</v>
      </c>
      <c r="B275" s="116">
        <v>277</v>
      </c>
      <c r="C275" s="116">
        <v>271.89999999999998</v>
      </c>
      <c r="D275" s="116">
        <v>267.10000000000002</v>
      </c>
      <c r="E275" s="116">
        <v>276</v>
      </c>
      <c r="F275" s="116">
        <v>271.89999999999998</v>
      </c>
      <c r="G275">
        <v>14696</v>
      </c>
      <c r="H275" s="116"/>
      <c r="I275" s="116"/>
      <c r="L275" s="169">
        <v>42404</v>
      </c>
      <c r="M275" s="116">
        <v>271.75</v>
      </c>
      <c r="N275" s="116">
        <v>279</v>
      </c>
      <c r="O275" s="116">
        <v>266.95</v>
      </c>
      <c r="P275" s="116">
        <v>279</v>
      </c>
      <c r="Q275" s="116">
        <v>271.75</v>
      </c>
      <c r="R275">
        <v>62061</v>
      </c>
    </row>
    <row r="276" spans="1:18" x14ac:dyDescent="0.25">
      <c r="A276" s="169">
        <v>42405</v>
      </c>
      <c r="B276" s="116">
        <v>274.89999999999998</v>
      </c>
      <c r="C276" s="116">
        <v>272.7</v>
      </c>
      <c r="D276" s="116">
        <v>269</v>
      </c>
      <c r="E276" s="116">
        <v>272</v>
      </c>
      <c r="F276" s="116">
        <v>272.7</v>
      </c>
      <c r="G276">
        <v>2102</v>
      </c>
      <c r="H276" s="116"/>
      <c r="I276" s="116"/>
      <c r="L276" s="169">
        <v>42405</v>
      </c>
      <c r="M276" s="116">
        <v>274.10000000000002</v>
      </c>
      <c r="N276" s="116">
        <v>275.7</v>
      </c>
      <c r="O276" s="116">
        <v>267.3</v>
      </c>
      <c r="P276" s="116">
        <v>271</v>
      </c>
      <c r="Q276" s="116">
        <v>274.10000000000002</v>
      </c>
      <c r="R276">
        <v>150007</v>
      </c>
    </row>
    <row r="277" spans="1:18" x14ac:dyDescent="0.25">
      <c r="A277" s="169">
        <v>42408</v>
      </c>
      <c r="B277" s="116">
        <v>279</v>
      </c>
      <c r="C277" s="116">
        <v>269.3</v>
      </c>
      <c r="D277" s="116">
        <v>268</v>
      </c>
      <c r="E277" s="116">
        <v>269.60000000000002</v>
      </c>
      <c r="F277" s="116">
        <v>269.3</v>
      </c>
      <c r="G277">
        <v>3388</v>
      </c>
      <c r="H277" s="116"/>
      <c r="I277" s="116"/>
      <c r="L277" s="169">
        <v>42408</v>
      </c>
      <c r="M277" s="116">
        <v>269.60000000000002</v>
      </c>
      <c r="N277" s="116">
        <v>279.45</v>
      </c>
      <c r="O277" s="116">
        <v>267.35000000000002</v>
      </c>
      <c r="P277" s="116">
        <v>272.95</v>
      </c>
      <c r="Q277" s="116">
        <v>269.60000000000002</v>
      </c>
      <c r="R277">
        <v>44914</v>
      </c>
    </row>
    <row r="278" spans="1:18" x14ac:dyDescent="0.25">
      <c r="A278" s="169">
        <v>42409</v>
      </c>
      <c r="B278" s="116">
        <v>272</v>
      </c>
      <c r="C278" s="116">
        <v>270.3</v>
      </c>
      <c r="D278" s="116">
        <v>267.2</v>
      </c>
      <c r="E278" s="116">
        <v>269</v>
      </c>
      <c r="F278" s="116">
        <v>270.3</v>
      </c>
      <c r="G278">
        <v>3688</v>
      </c>
      <c r="H278" s="116"/>
      <c r="I278" s="116"/>
      <c r="L278" s="169">
        <v>42409</v>
      </c>
      <c r="M278" s="116">
        <v>270.39999999999998</v>
      </c>
      <c r="N278" s="116">
        <v>272.85000000000002</v>
      </c>
      <c r="O278" s="116">
        <v>267</v>
      </c>
      <c r="P278" s="116">
        <v>268</v>
      </c>
      <c r="Q278" s="116">
        <v>270.39999999999998</v>
      </c>
      <c r="R278">
        <v>13133</v>
      </c>
    </row>
    <row r="279" spans="1:18" x14ac:dyDescent="0.25">
      <c r="A279" s="169">
        <v>42410</v>
      </c>
      <c r="B279" s="116">
        <v>270.60000000000002</v>
      </c>
      <c r="C279" s="116">
        <v>267.3</v>
      </c>
      <c r="D279" s="116">
        <v>260.2</v>
      </c>
      <c r="E279" s="116">
        <v>270</v>
      </c>
      <c r="F279" s="116">
        <v>267.3</v>
      </c>
      <c r="G279">
        <v>4261</v>
      </c>
      <c r="H279" s="116"/>
      <c r="I279" s="116"/>
      <c r="L279" s="169">
        <v>42410</v>
      </c>
      <c r="M279" s="116">
        <v>267.35000000000002</v>
      </c>
      <c r="N279" s="116">
        <v>271.05</v>
      </c>
      <c r="O279" s="116">
        <v>261</v>
      </c>
      <c r="P279" s="116">
        <v>270.39999999999998</v>
      </c>
      <c r="Q279" s="116">
        <v>267.35000000000002</v>
      </c>
      <c r="R279">
        <v>36692</v>
      </c>
    </row>
    <row r="280" spans="1:18" x14ac:dyDescent="0.25">
      <c r="A280" s="169">
        <v>42411</v>
      </c>
      <c r="B280" s="116">
        <v>267</v>
      </c>
      <c r="C280" s="116">
        <v>250.6</v>
      </c>
      <c r="D280" s="116">
        <v>240</v>
      </c>
      <c r="E280" s="116">
        <v>267</v>
      </c>
      <c r="F280" s="116">
        <v>250.6</v>
      </c>
      <c r="G280">
        <v>3609</v>
      </c>
      <c r="H280" s="116"/>
      <c r="I280" s="116"/>
      <c r="L280" s="169">
        <v>42411</v>
      </c>
      <c r="M280" s="116">
        <v>251.85</v>
      </c>
      <c r="N280" s="116">
        <v>267.05</v>
      </c>
      <c r="O280" s="116">
        <v>250</v>
      </c>
      <c r="P280" s="116">
        <v>267.05</v>
      </c>
      <c r="Q280" s="116">
        <v>251.85</v>
      </c>
      <c r="R280">
        <v>50682</v>
      </c>
    </row>
    <row r="281" spans="1:18" x14ac:dyDescent="0.25">
      <c r="A281" s="169">
        <v>42412</v>
      </c>
      <c r="B281" s="116">
        <v>255.1</v>
      </c>
      <c r="C281" s="116">
        <v>248.4</v>
      </c>
      <c r="D281" s="116">
        <v>238.5</v>
      </c>
      <c r="E281" s="116">
        <v>251</v>
      </c>
      <c r="F281" s="116">
        <v>248.4</v>
      </c>
      <c r="G281">
        <v>5156</v>
      </c>
      <c r="H281" s="116"/>
      <c r="I281" s="116"/>
      <c r="L281" s="169">
        <v>42412</v>
      </c>
      <c r="M281" s="116">
        <v>250.7</v>
      </c>
      <c r="N281" s="116">
        <v>259.8</v>
      </c>
      <c r="O281" s="116">
        <v>239.1</v>
      </c>
      <c r="P281" s="116">
        <v>251</v>
      </c>
      <c r="Q281" s="116">
        <v>250.7</v>
      </c>
      <c r="R281">
        <v>92235</v>
      </c>
    </row>
    <row r="282" spans="1:18" x14ac:dyDescent="0.25">
      <c r="A282" s="169">
        <v>42415</v>
      </c>
      <c r="B282" s="116">
        <v>257.60000000000002</v>
      </c>
      <c r="C282" s="116">
        <v>253.9</v>
      </c>
      <c r="D282" s="116">
        <v>248.4</v>
      </c>
      <c r="E282" s="116">
        <v>250.9</v>
      </c>
      <c r="F282" s="116">
        <v>253.9</v>
      </c>
      <c r="G282">
        <v>6249</v>
      </c>
      <c r="H282" s="116"/>
      <c r="I282" s="116"/>
      <c r="L282" s="169">
        <v>42415</v>
      </c>
      <c r="M282" s="116">
        <v>253.1</v>
      </c>
      <c r="N282" s="116">
        <v>257.39999999999998</v>
      </c>
      <c r="O282" s="116">
        <v>250.2</v>
      </c>
      <c r="P282" s="116">
        <v>250.3</v>
      </c>
      <c r="Q282" s="116">
        <v>253.1</v>
      </c>
      <c r="R282">
        <v>22949</v>
      </c>
    </row>
    <row r="283" spans="1:18" x14ac:dyDescent="0.25">
      <c r="A283" s="169">
        <v>42416</v>
      </c>
      <c r="B283" s="116">
        <v>260</v>
      </c>
      <c r="C283" s="116">
        <v>245.4</v>
      </c>
      <c r="D283" s="116">
        <v>238.8</v>
      </c>
      <c r="E283" s="116">
        <v>252.7</v>
      </c>
      <c r="F283" s="116">
        <v>245.4</v>
      </c>
      <c r="G283">
        <v>3617</v>
      </c>
      <c r="H283" s="116"/>
      <c r="I283" s="116"/>
      <c r="L283" s="169">
        <v>42416</v>
      </c>
      <c r="M283" s="116">
        <v>247.5</v>
      </c>
      <c r="N283" s="116">
        <v>260</v>
      </c>
      <c r="O283" s="116">
        <v>241.1</v>
      </c>
      <c r="P283" s="116">
        <v>253.05</v>
      </c>
      <c r="Q283" s="116">
        <v>247.5</v>
      </c>
      <c r="R283">
        <v>13943</v>
      </c>
    </row>
    <row r="284" spans="1:18" x14ac:dyDescent="0.25">
      <c r="A284" s="169">
        <v>42417</v>
      </c>
      <c r="B284" s="116">
        <v>256.39999999999998</v>
      </c>
      <c r="C284" s="116">
        <v>250.2</v>
      </c>
      <c r="D284" s="116">
        <v>240</v>
      </c>
      <c r="E284" s="116">
        <v>245</v>
      </c>
      <c r="F284" s="116">
        <v>250.2</v>
      </c>
      <c r="G284">
        <v>1631</v>
      </c>
      <c r="H284" s="116"/>
      <c r="I284" s="116"/>
      <c r="L284" s="169">
        <v>42417</v>
      </c>
      <c r="M284" s="116">
        <v>252.45</v>
      </c>
      <c r="N284" s="116">
        <v>259.95</v>
      </c>
      <c r="O284" s="116">
        <v>235.1</v>
      </c>
      <c r="P284" s="116">
        <v>247.5</v>
      </c>
      <c r="Q284" s="116">
        <v>252.45</v>
      </c>
      <c r="R284">
        <v>29469</v>
      </c>
    </row>
    <row r="285" spans="1:18" x14ac:dyDescent="0.25">
      <c r="A285" s="169">
        <v>42418</v>
      </c>
      <c r="B285" s="116">
        <v>266</v>
      </c>
      <c r="C285" s="116">
        <v>260.7</v>
      </c>
      <c r="D285" s="116">
        <v>255</v>
      </c>
      <c r="E285" s="116">
        <v>257.5</v>
      </c>
      <c r="F285" s="116">
        <v>260.7</v>
      </c>
      <c r="G285">
        <v>3231</v>
      </c>
      <c r="H285" s="116"/>
      <c r="I285" s="116"/>
      <c r="L285" s="169">
        <v>42418</v>
      </c>
      <c r="M285" s="116">
        <v>264.39999999999998</v>
      </c>
      <c r="N285" s="116">
        <v>267</v>
      </c>
      <c r="O285" s="116">
        <v>253</v>
      </c>
      <c r="P285" s="116">
        <v>253.1</v>
      </c>
      <c r="Q285" s="116">
        <v>264.39999999999998</v>
      </c>
      <c r="R285">
        <v>39254</v>
      </c>
    </row>
    <row r="286" spans="1:18" x14ac:dyDescent="0.25">
      <c r="A286" s="169">
        <v>42419</v>
      </c>
      <c r="B286" s="116">
        <v>274</v>
      </c>
      <c r="C286" s="116">
        <v>268.39999999999998</v>
      </c>
      <c r="D286" s="116">
        <v>255.6</v>
      </c>
      <c r="E286" s="116">
        <v>259.89999999999998</v>
      </c>
      <c r="F286" s="116">
        <v>268.39999999999998</v>
      </c>
      <c r="G286">
        <v>3737</v>
      </c>
      <c r="H286" s="116"/>
      <c r="I286" s="116"/>
      <c r="L286" s="169">
        <v>42419</v>
      </c>
      <c r="M286" s="116">
        <v>269.89999999999998</v>
      </c>
      <c r="N286" s="116">
        <v>275</v>
      </c>
      <c r="O286" s="116">
        <v>254.7</v>
      </c>
      <c r="P286" s="116">
        <v>261.5</v>
      </c>
      <c r="Q286" s="116">
        <v>269.89999999999998</v>
      </c>
      <c r="R286">
        <v>42167</v>
      </c>
    </row>
    <row r="287" spans="1:18" x14ac:dyDescent="0.25">
      <c r="A287" s="169">
        <v>42422</v>
      </c>
      <c r="B287" s="116">
        <v>273.5</v>
      </c>
      <c r="C287" s="116">
        <v>267.60000000000002</v>
      </c>
      <c r="D287" s="116">
        <v>263</v>
      </c>
      <c r="E287" s="116">
        <v>268</v>
      </c>
      <c r="F287" s="116">
        <v>267.60000000000002</v>
      </c>
      <c r="G287">
        <v>5077</v>
      </c>
      <c r="H287" s="116"/>
      <c r="I287" s="116"/>
      <c r="L287" s="169">
        <v>42422</v>
      </c>
      <c r="M287" s="116">
        <v>268.14999999999998</v>
      </c>
      <c r="N287" s="116">
        <v>273</v>
      </c>
      <c r="O287" s="116">
        <v>262.05</v>
      </c>
      <c r="P287" s="116">
        <v>269</v>
      </c>
      <c r="Q287" s="116">
        <v>268.14999999999998</v>
      </c>
      <c r="R287">
        <v>36368</v>
      </c>
    </row>
    <row r="288" spans="1:18" x14ac:dyDescent="0.25">
      <c r="A288" s="169">
        <v>42423</v>
      </c>
      <c r="B288" s="116">
        <v>268</v>
      </c>
      <c r="C288" s="116">
        <v>261.7</v>
      </c>
      <c r="D288" s="116">
        <v>260.5</v>
      </c>
      <c r="E288" s="116">
        <v>268</v>
      </c>
      <c r="F288" s="116">
        <v>261.7</v>
      </c>
      <c r="G288">
        <v>617</v>
      </c>
      <c r="H288" s="116"/>
      <c r="I288" s="116"/>
      <c r="L288" s="169">
        <v>42423</v>
      </c>
      <c r="M288" s="116">
        <v>263.55</v>
      </c>
      <c r="N288" s="116">
        <v>268</v>
      </c>
      <c r="O288" s="116">
        <v>261</v>
      </c>
      <c r="P288" s="116">
        <v>268</v>
      </c>
      <c r="Q288" s="116">
        <v>263.55</v>
      </c>
      <c r="R288">
        <v>27813</v>
      </c>
    </row>
    <row r="289" spans="1:18" x14ac:dyDescent="0.25">
      <c r="A289" s="169">
        <v>42424</v>
      </c>
      <c r="B289" s="116">
        <v>265</v>
      </c>
      <c r="C289" s="116">
        <v>258.2</v>
      </c>
      <c r="D289" s="116">
        <v>256.10000000000002</v>
      </c>
      <c r="E289" s="116">
        <v>262</v>
      </c>
      <c r="F289" s="116">
        <v>258.2</v>
      </c>
      <c r="G289">
        <v>2230</v>
      </c>
      <c r="H289" s="116"/>
      <c r="I289" s="116"/>
      <c r="L289" s="169">
        <v>42424</v>
      </c>
      <c r="M289" s="116">
        <v>259.14999999999998</v>
      </c>
      <c r="N289" s="116">
        <v>264.39999999999998</v>
      </c>
      <c r="O289" s="116">
        <v>255.05</v>
      </c>
      <c r="P289" s="116">
        <v>261</v>
      </c>
      <c r="Q289" s="116">
        <v>259.14999999999998</v>
      </c>
      <c r="R289">
        <v>18844</v>
      </c>
    </row>
    <row r="290" spans="1:18" x14ac:dyDescent="0.25">
      <c r="A290" s="169">
        <v>42425</v>
      </c>
      <c r="B290" s="116">
        <v>258</v>
      </c>
      <c r="C290" s="116">
        <v>252.6</v>
      </c>
      <c r="D290" s="116">
        <v>250</v>
      </c>
      <c r="E290" s="116">
        <v>255</v>
      </c>
      <c r="F290" s="116">
        <v>252.6</v>
      </c>
      <c r="G290">
        <v>352</v>
      </c>
      <c r="H290" s="116"/>
      <c r="I290" s="116"/>
      <c r="L290" s="169">
        <v>42425</v>
      </c>
      <c r="M290" s="116">
        <v>253.75</v>
      </c>
      <c r="N290" s="116">
        <v>257.3</v>
      </c>
      <c r="O290" s="116">
        <v>251.35</v>
      </c>
      <c r="P290" s="116">
        <v>257</v>
      </c>
      <c r="Q290" s="116">
        <v>253.75</v>
      </c>
      <c r="R290">
        <v>6006</v>
      </c>
    </row>
    <row r="291" spans="1:18" x14ac:dyDescent="0.25">
      <c r="A291" s="169">
        <v>42426</v>
      </c>
      <c r="B291" s="116">
        <v>257</v>
      </c>
      <c r="C291" s="116">
        <v>250.5</v>
      </c>
      <c r="D291" s="116">
        <v>245.6</v>
      </c>
      <c r="E291" s="116">
        <v>255</v>
      </c>
      <c r="F291" s="116">
        <v>250.5</v>
      </c>
      <c r="G291">
        <v>1448</v>
      </c>
      <c r="H291" s="116"/>
      <c r="I291" s="116"/>
      <c r="L291" s="169">
        <v>42426</v>
      </c>
      <c r="M291" s="116">
        <v>251</v>
      </c>
      <c r="N291" s="116">
        <v>257.2</v>
      </c>
      <c r="O291" s="116">
        <v>247.2</v>
      </c>
      <c r="P291" s="116">
        <v>253.5</v>
      </c>
      <c r="Q291" s="116">
        <v>251</v>
      </c>
      <c r="R291">
        <v>25886</v>
      </c>
    </row>
    <row r="292" spans="1:18" x14ac:dyDescent="0.25">
      <c r="A292" s="169">
        <v>42429</v>
      </c>
      <c r="B292" s="116">
        <v>251</v>
      </c>
      <c r="C292" s="116">
        <v>247.1</v>
      </c>
      <c r="D292" s="116">
        <v>243.6</v>
      </c>
      <c r="E292" s="116">
        <v>251</v>
      </c>
      <c r="F292" s="116">
        <v>247.1</v>
      </c>
      <c r="G292">
        <v>779</v>
      </c>
      <c r="H292" s="116"/>
      <c r="I292" s="116"/>
      <c r="L292" s="169">
        <v>42429</v>
      </c>
      <c r="M292" s="116">
        <v>248.4</v>
      </c>
      <c r="N292" s="116">
        <v>253</v>
      </c>
      <c r="O292" s="116">
        <v>244.65</v>
      </c>
      <c r="P292" s="116">
        <v>248</v>
      </c>
      <c r="Q292" s="116">
        <v>248.4</v>
      </c>
      <c r="R292">
        <v>11503</v>
      </c>
    </row>
    <row r="293" spans="1:18" x14ac:dyDescent="0.25">
      <c r="A293" s="169">
        <v>42430</v>
      </c>
      <c r="B293" s="116">
        <v>261.10000000000002</v>
      </c>
      <c r="C293" s="116">
        <v>259.5</v>
      </c>
      <c r="D293" s="116">
        <v>247</v>
      </c>
      <c r="E293" s="116">
        <v>247</v>
      </c>
      <c r="F293" s="116">
        <v>259.5</v>
      </c>
      <c r="G293">
        <v>4251</v>
      </c>
      <c r="H293" s="116"/>
      <c r="I293" s="116"/>
      <c r="L293" s="169">
        <v>42430</v>
      </c>
      <c r="M293" s="116">
        <v>259.7</v>
      </c>
      <c r="N293" s="116">
        <v>261.5</v>
      </c>
      <c r="O293" s="116">
        <v>245.05</v>
      </c>
      <c r="P293" s="116">
        <v>245.05</v>
      </c>
      <c r="Q293" s="116">
        <v>259.7</v>
      </c>
      <c r="R293">
        <v>32107</v>
      </c>
    </row>
    <row r="294" spans="1:18" x14ac:dyDescent="0.25">
      <c r="A294" s="169">
        <v>42431</v>
      </c>
      <c r="B294" s="116">
        <v>268</v>
      </c>
      <c r="C294" s="116">
        <v>262.10000000000002</v>
      </c>
      <c r="D294" s="116">
        <v>259.8</v>
      </c>
      <c r="E294" s="116">
        <v>260.10000000000002</v>
      </c>
      <c r="F294" s="116">
        <v>262.10000000000002</v>
      </c>
      <c r="G294">
        <v>1587</v>
      </c>
      <c r="H294" s="116"/>
      <c r="I294" s="116"/>
      <c r="L294" s="169">
        <v>42431</v>
      </c>
      <c r="M294" s="116">
        <v>263.64999999999998</v>
      </c>
      <c r="N294" s="116">
        <v>269</v>
      </c>
      <c r="O294" s="116">
        <v>257.10000000000002</v>
      </c>
      <c r="P294" s="116">
        <v>267.95</v>
      </c>
      <c r="Q294" s="116">
        <v>263.64999999999998</v>
      </c>
      <c r="R294">
        <v>16556</v>
      </c>
    </row>
    <row r="295" spans="1:18" x14ac:dyDescent="0.25">
      <c r="A295" s="169">
        <v>42432</v>
      </c>
      <c r="B295" s="116">
        <v>269.5</v>
      </c>
      <c r="C295" s="116">
        <v>264.89999999999998</v>
      </c>
      <c r="D295" s="116">
        <v>261</v>
      </c>
      <c r="E295" s="116">
        <v>262</v>
      </c>
      <c r="F295" s="116">
        <v>264.89999999999998</v>
      </c>
      <c r="G295">
        <v>488</v>
      </c>
      <c r="H295" s="116"/>
      <c r="I295" s="116"/>
      <c r="L295" s="169">
        <v>42432</v>
      </c>
      <c r="M295" s="116">
        <v>264.3</v>
      </c>
      <c r="N295" s="116">
        <v>272</v>
      </c>
      <c r="O295" s="116">
        <v>260.10000000000002</v>
      </c>
      <c r="P295" s="116">
        <v>261</v>
      </c>
      <c r="Q295" s="116">
        <v>264.3</v>
      </c>
      <c r="R295">
        <v>12505</v>
      </c>
    </row>
    <row r="296" spans="1:18" x14ac:dyDescent="0.25">
      <c r="A296" s="169">
        <v>42433</v>
      </c>
      <c r="B296" s="116">
        <v>269</v>
      </c>
      <c r="C296" s="116">
        <v>263.39999999999998</v>
      </c>
      <c r="D296" s="116">
        <v>259</v>
      </c>
      <c r="E296" s="116">
        <v>265</v>
      </c>
      <c r="F296" s="116">
        <v>263.39999999999998</v>
      </c>
      <c r="G296">
        <v>4241</v>
      </c>
      <c r="H296" s="116"/>
      <c r="I296" s="116"/>
      <c r="L296" s="169">
        <v>42433</v>
      </c>
      <c r="M296" s="116">
        <v>265.3</v>
      </c>
      <c r="N296" s="116">
        <v>269.75</v>
      </c>
      <c r="O296" s="116">
        <v>256.39999999999998</v>
      </c>
      <c r="P296" s="116">
        <v>262.95</v>
      </c>
      <c r="Q296" s="116">
        <v>265.3</v>
      </c>
      <c r="R296">
        <v>40252</v>
      </c>
    </row>
    <row r="297" spans="1:18" x14ac:dyDescent="0.25">
      <c r="A297" s="169">
        <v>42437</v>
      </c>
      <c r="B297" s="116">
        <v>265.5</v>
      </c>
      <c r="C297" s="116">
        <v>258.89999999999998</v>
      </c>
      <c r="D297" s="116">
        <v>254</v>
      </c>
      <c r="E297" s="116">
        <v>265</v>
      </c>
      <c r="F297" s="116">
        <v>258.89999999999998</v>
      </c>
      <c r="G297">
        <v>704</v>
      </c>
      <c r="H297" s="116"/>
      <c r="I297" s="116"/>
      <c r="L297" s="169">
        <v>42437</v>
      </c>
      <c r="M297" s="116">
        <v>262.35000000000002</v>
      </c>
      <c r="N297" s="116">
        <v>268</v>
      </c>
      <c r="O297" s="116">
        <v>252.5</v>
      </c>
      <c r="P297" s="116">
        <v>257</v>
      </c>
      <c r="Q297" s="116">
        <v>262.35000000000002</v>
      </c>
      <c r="R297">
        <v>15692</v>
      </c>
    </row>
    <row r="298" spans="1:18" x14ac:dyDescent="0.25">
      <c r="A298" s="169">
        <v>42438</v>
      </c>
      <c r="B298" s="116">
        <v>269</v>
      </c>
      <c r="C298" s="116">
        <v>265</v>
      </c>
      <c r="D298" s="116">
        <v>256.89999999999998</v>
      </c>
      <c r="E298" s="116">
        <v>259</v>
      </c>
      <c r="F298" s="116">
        <v>265</v>
      </c>
      <c r="G298">
        <v>2228</v>
      </c>
      <c r="H298" s="116"/>
      <c r="I298" s="116"/>
      <c r="L298" s="169">
        <v>42438</v>
      </c>
      <c r="M298" s="116">
        <v>266.95</v>
      </c>
      <c r="N298" s="116">
        <v>270</v>
      </c>
      <c r="O298" s="116">
        <v>255.15</v>
      </c>
      <c r="P298" s="116">
        <v>260.10000000000002</v>
      </c>
      <c r="Q298" s="116">
        <v>266.95</v>
      </c>
      <c r="R298">
        <v>7479</v>
      </c>
    </row>
    <row r="299" spans="1:18" x14ac:dyDescent="0.25">
      <c r="A299" s="169">
        <v>42439</v>
      </c>
      <c r="B299" s="116">
        <v>270.3</v>
      </c>
      <c r="C299" s="116">
        <v>265.39999999999998</v>
      </c>
      <c r="D299" s="116">
        <v>263.8</v>
      </c>
      <c r="E299" s="116">
        <v>266</v>
      </c>
      <c r="F299" s="116">
        <v>265.39999999999998</v>
      </c>
      <c r="G299">
        <v>1362</v>
      </c>
      <c r="H299" s="116"/>
      <c r="I299" s="116"/>
      <c r="L299" s="169">
        <v>42439</v>
      </c>
      <c r="M299" s="116">
        <v>265.39999999999998</v>
      </c>
      <c r="N299" s="116">
        <v>271.45</v>
      </c>
      <c r="O299" s="116">
        <v>260.25</v>
      </c>
      <c r="P299" s="116">
        <v>265</v>
      </c>
      <c r="Q299" s="116">
        <v>265.39999999999998</v>
      </c>
      <c r="R299">
        <v>48240</v>
      </c>
    </row>
    <row r="300" spans="1:18" x14ac:dyDescent="0.25">
      <c r="A300" s="169">
        <v>42440</v>
      </c>
      <c r="B300" s="116">
        <v>265</v>
      </c>
      <c r="C300" s="116">
        <v>261.2</v>
      </c>
      <c r="D300" s="116">
        <v>257.10000000000002</v>
      </c>
      <c r="E300" s="116">
        <v>262.5</v>
      </c>
      <c r="F300" s="116">
        <v>261.2</v>
      </c>
      <c r="G300">
        <v>1836</v>
      </c>
      <c r="H300" s="116"/>
      <c r="I300" s="116"/>
      <c r="L300" s="169">
        <v>42440</v>
      </c>
      <c r="M300" s="116">
        <v>260.45</v>
      </c>
      <c r="N300" s="116">
        <v>266</v>
      </c>
      <c r="O300" s="116">
        <v>253.6</v>
      </c>
      <c r="P300" s="116">
        <v>262.05</v>
      </c>
      <c r="Q300" s="116">
        <v>260.45</v>
      </c>
      <c r="R300">
        <v>24340</v>
      </c>
    </row>
    <row r="301" spans="1:18" x14ac:dyDescent="0.25">
      <c r="A301" s="169">
        <v>42443</v>
      </c>
      <c r="B301" s="116">
        <v>267</v>
      </c>
      <c r="C301" s="116">
        <v>259.7</v>
      </c>
      <c r="D301" s="116">
        <v>257</v>
      </c>
      <c r="E301" s="116">
        <v>267</v>
      </c>
      <c r="F301" s="116">
        <v>259.7</v>
      </c>
      <c r="G301">
        <v>37930</v>
      </c>
      <c r="H301" s="116"/>
      <c r="I301" s="116"/>
      <c r="L301" s="169">
        <v>42443</v>
      </c>
      <c r="M301" s="116">
        <v>262.89999999999998</v>
      </c>
      <c r="N301" s="116">
        <v>265.60000000000002</v>
      </c>
      <c r="O301" s="116">
        <v>256.14999999999998</v>
      </c>
      <c r="P301" s="116">
        <v>261</v>
      </c>
      <c r="Q301" s="116">
        <v>262.89999999999998</v>
      </c>
      <c r="R301">
        <v>5330</v>
      </c>
    </row>
    <row r="302" spans="1:18" x14ac:dyDescent="0.25">
      <c r="A302" s="169">
        <v>42444</v>
      </c>
      <c r="B302" s="116">
        <v>259.5</v>
      </c>
      <c r="C302" s="116">
        <v>257.7</v>
      </c>
      <c r="D302" s="116">
        <v>253.8</v>
      </c>
      <c r="E302" s="116">
        <v>259.5</v>
      </c>
      <c r="F302" s="116">
        <v>257.7</v>
      </c>
      <c r="G302">
        <v>586</v>
      </c>
      <c r="H302" s="116"/>
      <c r="I302" s="116"/>
      <c r="L302" s="169">
        <v>42444</v>
      </c>
      <c r="M302" s="116">
        <v>257.5</v>
      </c>
      <c r="N302" s="116">
        <v>263.5</v>
      </c>
      <c r="O302" s="116">
        <v>254</v>
      </c>
      <c r="P302" s="116">
        <v>263.5</v>
      </c>
      <c r="Q302" s="116">
        <v>257.5</v>
      </c>
      <c r="R302">
        <v>8112</v>
      </c>
    </row>
    <row r="303" spans="1:18" x14ac:dyDescent="0.25">
      <c r="A303" s="169">
        <v>42445</v>
      </c>
      <c r="B303" s="116">
        <v>261.5</v>
      </c>
      <c r="C303" s="116">
        <v>261.10000000000002</v>
      </c>
      <c r="D303" s="116">
        <v>257.39999999999998</v>
      </c>
      <c r="E303" s="116">
        <v>258</v>
      </c>
      <c r="F303" s="116">
        <v>261.10000000000002</v>
      </c>
      <c r="G303">
        <v>338</v>
      </c>
      <c r="H303" s="116"/>
      <c r="I303" s="116"/>
      <c r="L303" s="169">
        <v>42445</v>
      </c>
      <c r="M303" s="116">
        <v>260.14999999999998</v>
      </c>
      <c r="N303" s="116">
        <v>262.5</v>
      </c>
      <c r="O303" s="116">
        <v>256</v>
      </c>
      <c r="P303" s="116">
        <v>257.25</v>
      </c>
      <c r="Q303" s="116">
        <v>260.14999999999998</v>
      </c>
      <c r="R303">
        <v>5051</v>
      </c>
    </row>
    <row r="304" spans="1:18" x14ac:dyDescent="0.25">
      <c r="A304" s="169">
        <v>42446</v>
      </c>
      <c r="B304" s="116">
        <v>265.5</v>
      </c>
      <c r="C304" s="116">
        <v>260.10000000000002</v>
      </c>
      <c r="D304" s="116">
        <v>255.2</v>
      </c>
      <c r="E304" s="116">
        <v>255.2</v>
      </c>
      <c r="F304" s="116">
        <v>260.10000000000002</v>
      </c>
      <c r="G304">
        <v>12546</v>
      </c>
      <c r="H304" s="116"/>
      <c r="I304" s="116"/>
      <c r="L304" s="169">
        <v>42446</v>
      </c>
      <c r="M304" s="116">
        <v>260.89999999999998</v>
      </c>
      <c r="N304" s="116">
        <v>265</v>
      </c>
      <c r="O304" s="116">
        <v>258.05</v>
      </c>
      <c r="P304" s="116">
        <v>258.14999999999998</v>
      </c>
      <c r="Q304" s="116">
        <v>260.89999999999998</v>
      </c>
      <c r="R304">
        <v>18020</v>
      </c>
    </row>
    <row r="305" spans="1:18" x14ac:dyDescent="0.25">
      <c r="A305" s="169">
        <v>42447</v>
      </c>
      <c r="B305" s="116">
        <v>263.60000000000002</v>
      </c>
      <c r="C305" s="116">
        <v>260.7</v>
      </c>
      <c r="D305" s="116">
        <v>255.5</v>
      </c>
      <c r="E305" s="116">
        <v>263</v>
      </c>
      <c r="F305" s="116">
        <v>260.7</v>
      </c>
      <c r="G305">
        <v>3529</v>
      </c>
      <c r="H305" s="116"/>
      <c r="I305" s="116"/>
      <c r="L305" s="169">
        <v>42447</v>
      </c>
      <c r="M305" s="116">
        <v>259.35000000000002</v>
      </c>
      <c r="N305" s="116">
        <v>265.45</v>
      </c>
      <c r="O305" s="116">
        <v>255.05</v>
      </c>
      <c r="P305" s="116">
        <v>258.25</v>
      </c>
      <c r="Q305" s="116">
        <v>259.35000000000002</v>
      </c>
      <c r="R305">
        <v>20161</v>
      </c>
    </row>
    <row r="306" spans="1:18" x14ac:dyDescent="0.25">
      <c r="A306" s="169">
        <v>42450</v>
      </c>
      <c r="B306" s="116">
        <v>260</v>
      </c>
      <c r="C306" s="116">
        <v>258.7</v>
      </c>
      <c r="D306" s="116">
        <v>256.7</v>
      </c>
      <c r="E306" s="116">
        <v>258.7</v>
      </c>
      <c r="F306" s="116">
        <v>258.7</v>
      </c>
      <c r="G306">
        <v>1578</v>
      </c>
      <c r="H306" s="116"/>
      <c r="I306" s="116"/>
      <c r="L306" s="169">
        <v>42450</v>
      </c>
      <c r="M306" s="116">
        <v>258.75</v>
      </c>
      <c r="N306" s="116">
        <v>260</v>
      </c>
      <c r="O306" s="116">
        <v>256.7</v>
      </c>
      <c r="P306" s="116">
        <v>258.14999999999998</v>
      </c>
      <c r="Q306" s="116">
        <v>258.75</v>
      </c>
      <c r="R306">
        <v>11638</v>
      </c>
    </row>
    <row r="307" spans="1:18" x14ac:dyDescent="0.25">
      <c r="A307" s="169">
        <v>42451</v>
      </c>
      <c r="B307" s="116">
        <v>260</v>
      </c>
      <c r="C307" s="116">
        <v>255.9</v>
      </c>
      <c r="D307" s="116">
        <v>253.1</v>
      </c>
      <c r="E307" s="116">
        <v>260</v>
      </c>
      <c r="F307" s="116">
        <v>255.9</v>
      </c>
      <c r="G307">
        <v>27119</v>
      </c>
      <c r="H307" s="116"/>
      <c r="I307" s="116"/>
      <c r="L307" s="169">
        <v>42451</v>
      </c>
      <c r="M307" s="116">
        <v>258.89999999999998</v>
      </c>
      <c r="N307" s="116">
        <v>261.5</v>
      </c>
      <c r="O307" s="116">
        <v>256.10000000000002</v>
      </c>
      <c r="P307" s="116">
        <v>256.2</v>
      </c>
      <c r="Q307" s="116">
        <v>258.89999999999998</v>
      </c>
      <c r="R307">
        <v>30961</v>
      </c>
    </row>
    <row r="308" spans="1:18" x14ac:dyDescent="0.25">
      <c r="A308" s="169">
        <v>42452</v>
      </c>
      <c r="B308" s="116">
        <v>272.60000000000002</v>
      </c>
      <c r="C308" s="116">
        <v>267.7</v>
      </c>
      <c r="D308" s="116">
        <v>256.89999999999998</v>
      </c>
      <c r="E308" s="116">
        <v>257.60000000000002</v>
      </c>
      <c r="F308" s="116">
        <v>267.7</v>
      </c>
      <c r="G308">
        <v>25600</v>
      </c>
      <c r="H308" s="116"/>
      <c r="I308" s="116"/>
      <c r="L308" s="169">
        <v>42452</v>
      </c>
      <c r="M308" s="116">
        <v>268.95</v>
      </c>
      <c r="N308" s="116">
        <v>273.89999999999998</v>
      </c>
      <c r="O308" s="116">
        <v>256.95</v>
      </c>
      <c r="P308" s="116">
        <v>258.35000000000002</v>
      </c>
      <c r="Q308" s="116">
        <v>268.95</v>
      </c>
      <c r="R308">
        <v>43269</v>
      </c>
    </row>
    <row r="309" spans="1:18" x14ac:dyDescent="0.25">
      <c r="A309" s="169">
        <v>42457</v>
      </c>
      <c r="B309" s="116">
        <v>268.39999999999998</v>
      </c>
      <c r="C309" s="116">
        <v>256.10000000000002</v>
      </c>
      <c r="D309" s="116">
        <v>255.7</v>
      </c>
      <c r="E309" s="116">
        <v>268.39999999999998</v>
      </c>
      <c r="F309" s="116">
        <v>256.10000000000002</v>
      </c>
      <c r="G309">
        <v>17444</v>
      </c>
      <c r="H309" s="116"/>
      <c r="I309" s="116"/>
      <c r="L309" s="169">
        <v>42457</v>
      </c>
      <c r="M309" s="116">
        <v>258.10000000000002</v>
      </c>
      <c r="N309" s="116">
        <v>269.05</v>
      </c>
      <c r="O309" s="116">
        <v>257</v>
      </c>
      <c r="P309" s="116">
        <v>269</v>
      </c>
      <c r="Q309" s="116">
        <v>258.10000000000002</v>
      </c>
      <c r="R309">
        <v>28789</v>
      </c>
    </row>
    <row r="310" spans="1:18" x14ac:dyDescent="0.25">
      <c r="A310" s="169">
        <v>42458</v>
      </c>
      <c r="B310" s="116">
        <v>256</v>
      </c>
      <c r="C310" s="116">
        <v>252.6</v>
      </c>
      <c r="D310" s="116">
        <v>247.1</v>
      </c>
      <c r="E310" s="116">
        <v>255.2</v>
      </c>
      <c r="F310" s="116">
        <v>252.6</v>
      </c>
      <c r="G310">
        <v>25655</v>
      </c>
      <c r="H310" s="116"/>
      <c r="I310" s="116"/>
      <c r="L310" s="169">
        <v>42458</v>
      </c>
      <c r="M310" s="116">
        <v>252.95</v>
      </c>
      <c r="N310" s="116">
        <v>259.60000000000002</v>
      </c>
      <c r="O310" s="116">
        <v>246</v>
      </c>
      <c r="P310" s="116">
        <v>259.60000000000002</v>
      </c>
      <c r="Q310" s="116">
        <v>252.95</v>
      </c>
      <c r="R310">
        <v>91104</v>
      </c>
    </row>
    <row r="311" spans="1:18" x14ac:dyDescent="0.25">
      <c r="A311" s="169">
        <v>42459</v>
      </c>
      <c r="B311" s="116">
        <v>259.5</v>
      </c>
      <c r="C311" s="116">
        <v>251.4</v>
      </c>
      <c r="D311" s="116">
        <v>251.1</v>
      </c>
      <c r="E311" s="116">
        <v>255.6</v>
      </c>
      <c r="F311" s="116">
        <v>251.4</v>
      </c>
      <c r="G311">
        <v>988</v>
      </c>
      <c r="H311" s="116"/>
      <c r="I311" s="116"/>
      <c r="L311" s="169">
        <v>42459</v>
      </c>
      <c r="M311" s="116">
        <v>252.9</v>
      </c>
      <c r="N311" s="116">
        <v>261.95</v>
      </c>
      <c r="O311" s="116">
        <v>251</v>
      </c>
      <c r="P311" s="116">
        <v>252.75</v>
      </c>
      <c r="Q311" s="116">
        <v>252.9</v>
      </c>
      <c r="R311">
        <v>11845</v>
      </c>
    </row>
    <row r="312" spans="1:18" x14ac:dyDescent="0.25">
      <c r="A312" s="169">
        <v>42460</v>
      </c>
      <c r="B312" s="116">
        <v>254.1</v>
      </c>
      <c r="C312" s="116">
        <v>249.1</v>
      </c>
      <c r="D312" s="116">
        <v>247.4</v>
      </c>
      <c r="E312" s="116">
        <v>254.1</v>
      </c>
      <c r="F312" s="116">
        <v>249.1</v>
      </c>
      <c r="G312">
        <v>1255</v>
      </c>
      <c r="H312" s="116"/>
      <c r="I312" s="116"/>
      <c r="L312" s="169">
        <v>42460</v>
      </c>
      <c r="M312" s="116">
        <v>250.6</v>
      </c>
      <c r="N312" s="116">
        <v>258.05</v>
      </c>
      <c r="O312" s="116">
        <v>248</v>
      </c>
      <c r="P312" s="116">
        <v>252.5</v>
      </c>
      <c r="Q312" s="116">
        <v>250.6</v>
      </c>
      <c r="R312">
        <v>22595</v>
      </c>
    </row>
    <row r="313" spans="1:18" x14ac:dyDescent="0.25">
      <c r="A313" s="169">
        <v>42461</v>
      </c>
      <c r="B313" s="116">
        <v>254.6</v>
      </c>
      <c r="C313" s="116">
        <v>252.3</v>
      </c>
      <c r="D313" s="116">
        <v>246.3</v>
      </c>
      <c r="E313" s="116">
        <v>251.5</v>
      </c>
      <c r="F313" s="116">
        <v>252.3</v>
      </c>
      <c r="G313">
        <v>594</v>
      </c>
      <c r="H313" s="116"/>
      <c r="I313" s="116"/>
      <c r="L313" s="169">
        <v>42461</v>
      </c>
      <c r="M313" s="116">
        <v>253.85</v>
      </c>
      <c r="N313" s="116">
        <v>255</v>
      </c>
      <c r="O313" s="116">
        <v>248.05</v>
      </c>
      <c r="P313" s="116">
        <v>250</v>
      </c>
      <c r="Q313" s="116">
        <v>253.85</v>
      </c>
      <c r="R313">
        <v>6635</v>
      </c>
    </row>
    <row r="314" spans="1:18" x14ac:dyDescent="0.25">
      <c r="A314" s="169">
        <v>42464</v>
      </c>
      <c r="B314" s="116">
        <v>260</v>
      </c>
      <c r="C314" s="116">
        <v>253.6</v>
      </c>
      <c r="D314" s="116">
        <v>253.3</v>
      </c>
      <c r="E314" s="116">
        <v>260</v>
      </c>
      <c r="F314" s="116">
        <v>253.6</v>
      </c>
      <c r="G314">
        <v>423</v>
      </c>
      <c r="H314" s="116"/>
      <c r="I314" s="116"/>
      <c r="L314" s="169">
        <v>42464</v>
      </c>
      <c r="M314" s="116">
        <v>255.15</v>
      </c>
      <c r="N314" s="116">
        <v>261.55</v>
      </c>
      <c r="O314" s="116">
        <v>246.6</v>
      </c>
      <c r="P314" s="116">
        <v>250</v>
      </c>
      <c r="Q314" s="116">
        <v>255.15</v>
      </c>
      <c r="R314">
        <v>3438</v>
      </c>
    </row>
    <row r="315" spans="1:18" x14ac:dyDescent="0.25">
      <c r="A315" s="169">
        <v>42465</v>
      </c>
      <c r="B315" s="116">
        <v>263.60000000000002</v>
      </c>
      <c r="C315" s="116">
        <v>257.39999999999998</v>
      </c>
      <c r="D315" s="116">
        <v>248.1</v>
      </c>
      <c r="E315" s="116">
        <v>254</v>
      </c>
      <c r="F315" s="116">
        <v>257.39999999999998</v>
      </c>
      <c r="G315">
        <v>4976</v>
      </c>
      <c r="H315" s="116"/>
      <c r="I315" s="116"/>
      <c r="L315" s="169">
        <v>42465</v>
      </c>
      <c r="M315" s="116">
        <v>259.75</v>
      </c>
      <c r="N315" s="116">
        <v>264.2</v>
      </c>
      <c r="O315" s="116">
        <v>249</v>
      </c>
      <c r="P315" s="116">
        <v>253</v>
      </c>
      <c r="Q315" s="116">
        <v>259.75</v>
      </c>
      <c r="R315">
        <v>16446</v>
      </c>
    </row>
    <row r="316" spans="1:18" x14ac:dyDescent="0.25">
      <c r="A316" s="169">
        <v>42466</v>
      </c>
      <c r="B316" s="116">
        <v>263</v>
      </c>
      <c r="C316" s="116">
        <v>260.39999999999998</v>
      </c>
      <c r="D316" s="116">
        <v>254.1</v>
      </c>
      <c r="E316" s="116">
        <v>259</v>
      </c>
      <c r="F316" s="116">
        <v>260.39999999999998</v>
      </c>
      <c r="G316">
        <v>990</v>
      </c>
      <c r="H316" s="116"/>
      <c r="I316" s="116"/>
      <c r="L316" s="169">
        <v>42466</v>
      </c>
      <c r="M316" s="116">
        <v>262.64999999999998</v>
      </c>
      <c r="N316" s="116">
        <v>264.89999999999998</v>
      </c>
      <c r="O316" s="116">
        <v>253.55</v>
      </c>
      <c r="P316" s="116">
        <v>263.60000000000002</v>
      </c>
      <c r="Q316" s="116">
        <v>262.64999999999998</v>
      </c>
      <c r="R316">
        <v>12566</v>
      </c>
    </row>
    <row r="317" spans="1:18" x14ac:dyDescent="0.25">
      <c r="A317" s="169">
        <v>42467</v>
      </c>
      <c r="B317" s="116">
        <v>262</v>
      </c>
      <c r="C317" s="116">
        <v>258</v>
      </c>
      <c r="D317" s="116">
        <v>253</v>
      </c>
      <c r="E317" s="116">
        <v>262</v>
      </c>
      <c r="F317" s="116">
        <v>258</v>
      </c>
      <c r="G317">
        <v>579</v>
      </c>
      <c r="H317" s="116"/>
      <c r="I317" s="116"/>
      <c r="L317" s="169">
        <v>42467</v>
      </c>
      <c r="M317" s="116">
        <v>258.89999999999998</v>
      </c>
      <c r="N317" s="116">
        <v>264.5</v>
      </c>
      <c r="O317" s="116">
        <v>251.25</v>
      </c>
      <c r="P317" s="116">
        <v>261</v>
      </c>
      <c r="Q317" s="116">
        <v>258.89999999999998</v>
      </c>
      <c r="R317">
        <v>81285</v>
      </c>
    </row>
    <row r="318" spans="1:18" x14ac:dyDescent="0.25">
      <c r="A318" s="169">
        <v>42468</v>
      </c>
      <c r="B318" s="116">
        <v>269.89999999999998</v>
      </c>
      <c r="C318" s="116">
        <v>266.39999999999998</v>
      </c>
      <c r="D318" s="116">
        <v>258</v>
      </c>
      <c r="E318" s="116">
        <v>258</v>
      </c>
      <c r="F318" s="116">
        <v>266.39999999999998</v>
      </c>
      <c r="G318">
        <v>4696</v>
      </c>
      <c r="H318" s="116"/>
      <c r="I318" s="116"/>
      <c r="L318" s="169">
        <v>42468</v>
      </c>
      <c r="M318" s="116">
        <v>268.7</v>
      </c>
      <c r="N318" s="116">
        <v>271</v>
      </c>
      <c r="O318" s="116">
        <v>255</v>
      </c>
      <c r="P318" s="116">
        <v>255</v>
      </c>
      <c r="Q318" s="116">
        <v>268.7</v>
      </c>
      <c r="R318">
        <v>26447</v>
      </c>
    </row>
    <row r="319" spans="1:18" x14ac:dyDescent="0.25">
      <c r="A319" s="169">
        <v>42471</v>
      </c>
      <c r="B319" s="116">
        <v>271</v>
      </c>
      <c r="C319" s="116">
        <v>265.89999999999998</v>
      </c>
      <c r="D319" s="116">
        <v>261.5</v>
      </c>
      <c r="E319" s="116">
        <v>267.7</v>
      </c>
      <c r="F319" s="116">
        <v>265.89999999999998</v>
      </c>
      <c r="G319">
        <v>4104</v>
      </c>
      <c r="H319" s="116"/>
      <c r="I319" s="116"/>
      <c r="L319" s="169">
        <v>42471</v>
      </c>
      <c r="M319" s="116">
        <v>264.60000000000002</v>
      </c>
      <c r="N319" s="116">
        <v>271</v>
      </c>
      <c r="O319" s="116">
        <v>261</v>
      </c>
      <c r="P319" s="116">
        <v>271</v>
      </c>
      <c r="Q319" s="116">
        <v>264.60000000000002</v>
      </c>
      <c r="R319">
        <v>33345</v>
      </c>
    </row>
    <row r="320" spans="1:18" x14ac:dyDescent="0.25">
      <c r="A320" s="169">
        <v>42472</v>
      </c>
      <c r="B320" s="116">
        <v>269.5</v>
      </c>
      <c r="C320" s="116">
        <v>264.60000000000002</v>
      </c>
      <c r="D320" s="116">
        <v>259</v>
      </c>
      <c r="E320" s="116">
        <v>266</v>
      </c>
      <c r="F320" s="116">
        <v>264.60000000000002</v>
      </c>
      <c r="G320">
        <v>1921</v>
      </c>
      <c r="H320" s="116"/>
      <c r="I320" s="116"/>
      <c r="L320" s="169">
        <v>42472</v>
      </c>
      <c r="M320" s="116">
        <v>266.05</v>
      </c>
      <c r="N320" s="116">
        <v>270</v>
      </c>
      <c r="O320" s="116">
        <v>258</v>
      </c>
      <c r="P320" s="116">
        <v>263</v>
      </c>
      <c r="Q320" s="116">
        <v>266.05</v>
      </c>
      <c r="R320">
        <v>14215</v>
      </c>
    </row>
    <row r="321" spans="1:18" x14ac:dyDescent="0.25">
      <c r="A321" s="169">
        <v>42473</v>
      </c>
      <c r="B321" s="116">
        <v>272</v>
      </c>
      <c r="C321" s="116">
        <v>264.3</v>
      </c>
      <c r="D321" s="116">
        <v>261.39999999999998</v>
      </c>
      <c r="E321" s="116">
        <v>271.39999999999998</v>
      </c>
      <c r="F321" s="116">
        <v>264.3</v>
      </c>
      <c r="G321">
        <v>1886</v>
      </c>
      <c r="H321" s="116"/>
      <c r="I321" s="116"/>
      <c r="L321" s="169">
        <v>42473</v>
      </c>
      <c r="M321" s="116">
        <v>265.45</v>
      </c>
      <c r="N321" s="116">
        <v>275</v>
      </c>
      <c r="O321" s="116">
        <v>263</v>
      </c>
      <c r="P321" s="116">
        <v>263</v>
      </c>
      <c r="Q321" s="116">
        <v>265.45</v>
      </c>
      <c r="R321">
        <v>42587</v>
      </c>
    </row>
    <row r="322" spans="1:18" x14ac:dyDescent="0.25">
      <c r="A322" s="169">
        <v>42478</v>
      </c>
      <c r="B322" s="116">
        <v>266.39999999999998</v>
      </c>
      <c r="C322" s="116">
        <v>260.7</v>
      </c>
      <c r="D322" s="116">
        <v>259.5</v>
      </c>
      <c r="E322" s="116">
        <v>263.2</v>
      </c>
      <c r="F322" s="116">
        <v>260.7</v>
      </c>
      <c r="G322">
        <v>2152</v>
      </c>
      <c r="H322" s="116"/>
      <c r="I322" s="116"/>
      <c r="L322" s="169">
        <v>42478</v>
      </c>
      <c r="M322" s="116">
        <v>264.35000000000002</v>
      </c>
      <c r="N322" s="116">
        <v>268</v>
      </c>
      <c r="O322" s="116">
        <v>257</v>
      </c>
      <c r="P322" s="116">
        <v>260.10000000000002</v>
      </c>
      <c r="Q322" s="116">
        <v>264.35000000000002</v>
      </c>
      <c r="R322">
        <v>15160</v>
      </c>
    </row>
    <row r="323" spans="1:18" x14ac:dyDescent="0.25">
      <c r="A323" s="169">
        <v>42480</v>
      </c>
      <c r="B323" s="116">
        <v>265</v>
      </c>
      <c r="C323" s="116">
        <v>263.8</v>
      </c>
      <c r="D323" s="116">
        <v>261.10000000000002</v>
      </c>
      <c r="E323" s="116">
        <v>265</v>
      </c>
      <c r="F323" s="116">
        <v>263.8</v>
      </c>
      <c r="G323">
        <v>2659</v>
      </c>
      <c r="H323" s="116"/>
      <c r="I323" s="116"/>
      <c r="L323" s="169">
        <v>42480</v>
      </c>
      <c r="M323" s="116">
        <v>262.7</v>
      </c>
      <c r="N323" s="116">
        <v>270</v>
      </c>
      <c r="O323" s="116">
        <v>260</v>
      </c>
      <c r="P323" s="116">
        <v>264</v>
      </c>
      <c r="Q323" s="116">
        <v>262.7</v>
      </c>
      <c r="R323">
        <v>101442</v>
      </c>
    </row>
    <row r="324" spans="1:18" x14ac:dyDescent="0.25">
      <c r="A324" s="169">
        <v>42481</v>
      </c>
      <c r="B324" s="116">
        <v>272.2</v>
      </c>
      <c r="C324" s="116">
        <v>261.10000000000002</v>
      </c>
      <c r="D324" s="116">
        <v>258.8</v>
      </c>
      <c r="E324" s="116">
        <v>264.2</v>
      </c>
      <c r="F324" s="116">
        <v>261.10000000000002</v>
      </c>
      <c r="G324">
        <v>10723</v>
      </c>
      <c r="H324" s="116"/>
      <c r="I324" s="116"/>
      <c r="L324" s="169">
        <v>42481</v>
      </c>
      <c r="M324" s="116">
        <v>262.89999999999998</v>
      </c>
      <c r="N324" s="116">
        <v>273.8</v>
      </c>
      <c r="O324" s="116">
        <v>259</v>
      </c>
      <c r="P324" s="116">
        <v>261</v>
      </c>
      <c r="Q324" s="116">
        <v>262.89999999999998</v>
      </c>
      <c r="R324">
        <v>108096</v>
      </c>
    </row>
    <row r="325" spans="1:18" x14ac:dyDescent="0.25">
      <c r="A325" s="169">
        <v>42482</v>
      </c>
      <c r="B325" s="116">
        <v>261</v>
      </c>
      <c r="C325" s="116">
        <v>257.39999999999998</v>
      </c>
      <c r="D325" s="116">
        <v>257.3</v>
      </c>
      <c r="E325" s="116">
        <v>261</v>
      </c>
      <c r="F325" s="116">
        <v>257.39999999999998</v>
      </c>
      <c r="G325">
        <v>10127</v>
      </c>
      <c r="H325" s="116"/>
      <c r="I325" s="116"/>
      <c r="L325" s="169">
        <v>42482</v>
      </c>
      <c r="M325" s="116">
        <v>258.7</v>
      </c>
      <c r="N325" s="116">
        <v>261.75</v>
      </c>
      <c r="O325" s="116">
        <v>257</v>
      </c>
      <c r="P325" s="116">
        <v>261</v>
      </c>
      <c r="Q325" s="116">
        <v>258.7</v>
      </c>
      <c r="R325">
        <v>24871</v>
      </c>
    </row>
    <row r="326" spans="1:18" x14ac:dyDescent="0.25">
      <c r="A326" s="169">
        <v>42485</v>
      </c>
      <c r="B326" s="116">
        <v>279</v>
      </c>
      <c r="C326" s="116">
        <v>261.8</v>
      </c>
      <c r="D326" s="116">
        <v>260</v>
      </c>
      <c r="E326" s="116">
        <v>260.10000000000002</v>
      </c>
      <c r="F326" s="116">
        <v>261.8</v>
      </c>
      <c r="G326">
        <v>17451</v>
      </c>
      <c r="H326" s="116"/>
      <c r="I326" s="116"/>
      <c r="L326" s="169">
        <v>42485</v>
      </c>
      <c r="M326" s="116">
        <v>261.95</v>
      </c>
      <c r="N326" s="116">
        <v>283.39999999999998</v>
      </c>
      <c r="O326" s="116">
        <v>260.05</v>
      </c>
      <c r="P326" s="116">
        <v>260.64999999999998</v>
      </c>
      <c r="Q326" s="116">
        <v>261.95</v>
      </c>
      <c r="R326">
        <v>104772</v>
      </c>
    </row>
    <row r="327" spans="1:18" x14ac:dyDescent="0.25">
      <c r="A327" s="169">
        <v>42486</v>
      </c>
      <c r="B327" s="116">
        <v>270.3</v>
      </c>
      <c r="C327" s="116">
        <v>265.10000000000002</v>
      </c>
      <c r="D327" s="116">
        <v>262.5</v>
      </c>
      <c r="E327" s="116">
        <v>263.39999999999998</v>
      </c>
      <c r="F327" s="116">
        <v>265.10000000000002</v>
      </c>
      <c r="G327">
        <v>15530</v>
      </c>
      <c r="H327" s="116"/>
      <c r="I327" s="116"/>
      <c r="L327" s="169">
        <v>42486</v>
      </c>
      <c r="M327" s="116">
        <v>265</v>
      </c>
      <c r="N327" s="116">
        <v>270.95</v>
      </c>
      <c r="O327" s="116">
        <v>260.89999999999998</v>
      </c>
      <c r="P327" s="116">
        <v>260.89999999999998</v>
      </c>
      <c r="Q327" s="116">
        <v>265</v>
      </c>
      <c r="R327">
        <v>105738</v>
      </c>
    </row>
    <row r="328" spans="1:18" x14ac:dyDescent="0.25">
      <c r="A328" s="169">
        <v>42487</v>
      </c>
      <c r="B328" s="116">
        <v>283.7</v>
      </c>
      <c r="C328" s="116">
        <v>280.10000000000002</v>
      </c>
      <c r="D328" s="116">
        <v>261.5</v>
      </c>
      <c r="E328" s="116">
        <v>266</v>
      </c>
      <c r="F328" s="116">
        <v>280.10000000000002</v>
      </c>
      <c r="G328">
        <v>33114</v>
      </c>
      <c r="H328" s="116"/>
      <c r="I328" s="116"/>
      <c r="L328" s="169">
        <v>42487</v>
      </c>
      <c r="M328" s="116">
        <v>280.7</v>
      </c>
      <c r="N328" s="116">
        <v>284.5</v>
      </c>
      <c r="O328" s="116">
        <v>262.10000000000002</v>
      </c>
      <c r="P328" s="116">
        <v>265</v>
      </c>
      <c r="Q328" s="116">
        <v>280.7</v>
      </c>
      <c r="R328">
        <v>203054</v>
      </c>
    </row>
    <row r="329" spans="1:18" x14ac:dyDescent="0.25">
      <c r="A329" s="169">
        <v>42488</v>
      </c>
      <c r="B329" s="116">
        <v>286</v>
      </c>
      <c r="C329" s="116">
        <v>280</v>
      </c>
      <c r="D329" s="116">
        <v>277.2</v>
      </c>
      <c r="E329" s="116">
        <v>280.39999999999998</v>
      </c>
      <c r="F329" s="116">
        <v>280</v>
      </c>
      <c r="G329">
        <v>3999</v>
      </c>
      <c r="H329" s="116"/>
      <c r="I329" s="116"/>
      <c r="L329" s="169">
        <v>42488</v>
      </c>
      <c r="M329" s="116">
        <v>280.14999999999998</v>
      </c>
      <c r="N329" s="116">
        <v>286.7</v>
      </c>
      <c r="O329" s="116">
        <v>275.10000000000002</v>
      </c>
      <c r="P329" s="116">
        <v>278</v>
      </c>
      <c r="Q329" s="116">
        <v>280.14999999999998</v>
      </c>
      <c r="R329">
        <v>50447</v>
      </c>
    </row>
    <row r="330" spans="1:18" x14ac:dyDescent="0.25">
      <c r="A330" s="169">
        <v>42489</v>
      </c>
      <c r="B330" s="116">
        <v>283.89999999999998</v>
      </c>
      <c r="C330" s="116">
        <v>278.3</v>
      </c>
      <c r="D330" s="116">
        <v>277.7</v>
      </c>
      <c r="E330" s="116">
        <v>280.7</v>
      </c>
      <c r="F330" s="116">
        <v>278.3</v>
      </c>
      <c r="G330">
        <v>1020</v>
      </c>
      <c r="H330" s="116"/>
      <c r="I330" s="116"/>
      <c r="L330" s="169">
        <v>42489</v>
      </c>
      <c r="M330" s="116">
        <v>279.75</v>
      </c>
      <c r="N330" s="116">
        <v>283</v>
      </c>
      <c r="O330" s="116">
        <v>278.14999999999998</v>
      </c>
      <c r="P330" s="116">
        <v>279</v>
      </c>
      <c r="Q330" s="116">
        <v>279.75</v>
      </c>
      <c r="R330">
        <v>39579</v>
      </c>
    </row>
    <row r="331" spans="1:18" x14ac:dyDescent="0.25">
      <c r="A331" s="169">
        <v>42492</v>
      </c>
      <c r="B331" s="116">
        <v>283.5</v>
      </c>
      <c r="C331" s="116">
        <v>281.10000000000002</v>
      </c>
      <c r="D331" s="116">
        <v>277.2</v>
      </c>
      <c r="E331" s="116">
        <v>279.5</v>
      </c>
      <c r="F331" s="116">
        <v>281.10000000000002</v>
      </c>
      <c r="G331">
        <v>605</v>
      </c>
      <c r="H331" s="116"/>
      <c r="I331" s="116"/>
      <c r="L331" s="169">
        <v>42492</v>
      </c>
      <c r="M331" s="116">
        <v>281.3</v>
      </c>
      <c r="N331" s="116">
        <v>282.60000000000002</v>
      </c>
      <c r="O331" s="116">
        <v>277</v>
      </c>
      <c r="P331" s="116">
        <v>279</v>
      </c>
      <c r="Q331" s="116">
        <v>281.3</v>
      </c>
      <c r="R331">
        <v>10193</v>
      </c>
    </row>
    <row r="332" spans="1:18" x14ac:dyDescent="0.25">
      <c r="A332" s="169">
        <v>42493</v>
      </c>
      <c r="B332" s="116">
        <v>286.5</v>
      </c>
      <c r="C332" s="116">
        <v>278.7</v>
      </c>
      <c r="D332" s="116">
        <v>276.39999999999998</v>
      </c>
      <c r="E332" s="116">
        <v>280.2</v>
      </c>
      <c r="F332" s="116">
        <v>278.7</v>
      </c>
      <c r="G332">
        <v>7514</v>
      </c>
      <c r="H332" s="116"/>
      <c r="I332" s="116"/>
      <c r="L332" s="169">
        <v>42493</v>
      </c>
      <c r="M332" s="116">
        <v>279.39999999999998</v>
      </c>
      <c r="N332" s="116">
        <v>288.75</v>
      </c>
      <c r="O332" s="116">
        <v>275.10000000000002</v>
      </c>
      <c r="P332" s="116">
        <v>279</v>
      </c>
      <c r="Q332" s="116">
        <v>279.39999999999998</v>
      </c>
      <c r="R332">
        <v>36261</v>
      </c>
    </row>
    <row r="333" spans="1:18" x14ac:dyDescent="0.25">
      <c r="A333" s="169">
        <v>42494</v>
      </c>
      <c r="B333" s="116">
        <v>282</v>
      </c>
      <c r="C333" s="116">
        <v>278.3</v>
      </c>
      <c r="D333" s="116">
        <v>275.5</v>
      </c>
      <c r="E333" s="116">
        <v>277</v>
      </c>
      <c r="F333" s="116">
        <v>278.3</v>
      </c>
      <c r="G333">
        <v>2754</v>
      </c>
      <c r="H333" s="116"/>
      <c r="I333" s="116"/>
      <c r="L333" s="169">
        <v>42494</v>
      </c>
      <c r="M333" s="116">
        <v>277.64999999999998</v>
      </c>
      <c r="N333" s="116">
        <v>280.89999999999998</v>
      </c>
      <c r="O333" s="116">
        <v>275.05</v>
      </c>
      <c r="P333" s="116">
        <v>279.39999999999998</v>
      </c>
      <c r="Q333" s="116">
        <v>277.64999999999998</v>
      </c>
      <c r="R333">
        <v>22629</v>
      </c>
    </row>
    <row r="334" spans="1:18" x14ac:dyDescent="0.25">
      <c r="A334" s="169">
        <v>42495</v>
      </c>
      <c r="B334" s="116">
        <v>279.60000000000002</v>
      </c>
      <c r="C334" s="116">
        <v>279.10000000000002</v>
      </c>
      <c r="D334" s="116">
        <v>275.89999999999998</v>
      </c>
      <c r="E334" s="116">
        <v>279</v>
      </c>
      <c r="F334" s="116">
        <v>279.10000000000002</v>
      </c>
      <c r="G334">
        <v>1913</v>
      </c>
      <c r="H334" s="116"/>
      <c r="I334" s="116"/>
      <c r="L334" s="169">
        <v>42495</v>
      </c>
      <c r="M334" s="116">
        <v>277.25</v>
      </c>
      <c r="N334" s="116">
        <v>281.14999999999998</v>
      </c>
      <c r="O334" s="116">
        <v>276</v>
      </c>
      <c r="P334" s="116">
        <v>276</v>
      </c>
      <c r="Q334" s="116">
        <v>277.25</v>
      </c>
      <c r="R334">
        <v>8159</v>
      </c>
    </row>
    <row r="335" spans="1:18" x14ac:dyDescent="0.25">
      <c r="A335" s="169">
        <v>42496</v>
      </c>
      <c r="B335" s="116">
        <v>281</v>
      </c>
      <c r="C335" s="116">
        <v>280</v>
      </c>
      <c r="D335" s="116">
        <v>274.3</v>
      </c>
      <c r="E335" s="116">
        <v>275</v>
      </c>
      <c r="F335" s="116">
        <v>280</v>
      </c>
      <c r="G335">
        <v>2214</v>
      </c>
      <c r="H335" s="116"/>
      <c r="I335" s="116"/>
      <c r="L335" s="169">
        <v>42496</v>
      </c>
      <c r="M335" s="116">
        <v>280</v>
      </c>
      <c r="N335" s="116">
        <v>281</v>
      </c>
      <c r="O335" s="116">
        <v>270</v>
      </c>
      <c r="P335" s="116">
        <v>276</v>
      </c>
      <c r="Q335" s="116">
        <v>280</v>
      </c>
      <c r="R335">
        <v>8593</v>
      </c>
    </row>
    <row r="336" spans="1:18" x14ac:dyDescent="0.25">
      <c r="A336" s="169">
        <v>42499</v>
      </c>
      <c r="B336" s="116">
        <v>289</v>
      </c>
      <c r="C336" s="116">
        <v>281.2</v>
      </c>
      <c r="D336" s="116">
        <v>276</v>
      </c>
      <c r="E336" s="116">
        <v>284</v>
      </c>
      <c r="F336" s="116">
        <v>281.2</v>
      </c>
      <c r="G336">
        <v>28420</v>
      </c>
      <c r="H336" s="116"/>
      <c r="I336" s="116"/>
      <c r="L336" s="169">
        <v>42499</v>
      </c>
      <c r="M336" s="116">
        <v>282.14999999999998</v>
      </c>
      <c r="N336" s="116">
        <v>289.89999999999998</v>
      </c>
      <c r="O336" s="116">
        <v>276.5</v>
      </c>
      <c r="P336" s="116">
        <v>281.55</v>
      </c>
      <c r="Q336" s="116">
        <v>282.14999999999998</v>
      </c>
      <c r="R336">
        <v>200956</v>
      </c>
    </row>
    <row r="337" spans="1:18" x14ac:dyDescent="0.25">
      <c r="A337" s="169">
        <v>42500</v>
      </c>
      <c r="B337" s="116">
        <v>284.2</v>
      </c>
      <c r="C337" s="116">
        <v>275.60000000000002</v>
      </c>
      <c r="D337" s="116">
        <v>273.2</v>
      </c>
      <c r="E337" s="116">
        <v>282.10000000000002</v>
      </c>
      <c r="F337" s="116">
        <v>275.60000000000002</v>
      </c>
      <c r="G337">
        <v>1843</v>
      </c>
      <c r="H337" s="116"/>
      <c r="I337" s="116"/>
      <c r="L337" s="169">
        <v>42500</v>
      </c>
      <c r="M337" s="116">
        <v>277.05</v>
      </c>
      <c r="N337" s="116">
        <v>284</v>
      </c>
      <c r="O337" s="116">
        <v>273.95</v>
      </c>
      <c r="P337" s="116">
        <v>280.10000000000002</v>
      </c>
      <c r="Q337" s="116">
        <v>277.05</v>
      </c>
      <c r="R337">
        <v>36113</v>
      </c>
    </row>
    <row r="338" spans="1:18" x14ac:dyDescent="0.25">
      <c r="A338" s="169">
        <v>42501</v>
      </c>
      <c r="B338" s="116">
        <v>284</v>
      </c>
      <c r="C338" s="116">
        <v>280</v>
      </c>
      <c r="D338" s="116">
        <v>269.8</v>
      </c>
      <c r="E338" s="116">
        <v>274</v>
      </c>
      <c r="F338" s="116">
        <v>280</v>
      </c>
      <c r="G338">
        <v>630</v>
      </c>
      <c r="H338" s="116"/>
      <c r="I338" s="116"/>
      <c r="L338" s="169">
        <v>42501</v>
      </c>
      <c r="M338" s="116">
        <v>279.85000000000002</v>
      </c>
      <c r="N338" s="116">
        <v>285</v>
      </c>
      <c r="O338" s="116">
        <v>268</v>
      </c>
      <c r="P338" s="116">
        <v>275</v>
      </c>
      <c r="Q338" s="116">
        <v>279.85000000000002</v>
      </c>
      <c r="R338">
        <v>40574</v>
      </c>
    </row>
    <row r="339" spans="1:18" x14ac:dyDescent="0.25">
      <c r="A339" s="169">
        <v>42502</v>
      </c>
      <c r="B339" s="116">
        <v>290</v>
      </c>
      <c r="C339" s="116">
        <v>286.7</v>
      </c>
      <c r="D339" s="116">
        <v>276</v>
      </c>
      <c r="E339" s="116">
        <v>282.5</v>
      </c>
      <c r="F339" s="116">
        <v>286.7</v>
      </c>
      <c r="G339">
        <v>3987</v>
      </c>
      <c r="H339" s="116"/>
      <c r="I339" s="116"/>
      <c r="L339" s="169">
        <v>42502</v>
      </c>
      <c r="M339" s="116">
        <v>287.85000000000002</v>
      </c>
      <c r="N339" s="116">
        <v>289.89999999999998</v>
      </c>
      <c r="O339" s="116">
        <v>280</v>
      </c>
      <c r="P339" s="116">
        <v>280</v>
      </c>
      <c r="Q339" s="116">
        <v>287.85000000000002</v>
      </c>
      <c r="R339">
        <v>32383</v>
      </c>
    </row>
    <row r="340" spans="1:18" x14ac:dyDescent="0.25">
      <c r="A340" s="169">
        <v>42503</v>
      </c>
      <c r="B340" s="116">
        <v>285</v>
      </c>
      <c r="C340" s="116">
        <v>284.89999999999998</v>
      </c>
      <c r="D340" s="116">
        <v>280</v>
      </c>
      <c r="E340" s="116">
        <v>283.2</v>
      </c>
      <c r="F340" s="116">
        <v>284.89999999999998</v>
      </c>
      <c r="G340">
        <v>7930</v>
      </c>
      <c r="H340" s="116"/>
      <c r="I340" s="116"/>
      <c r="L340" s="169">
        <v>42503</v>
      </c>
      <c r="M340" s="116">
        <v>283.60000000000002</v>
      </c>
      <c r="N340" s="116">
        <v>287.05</v>
      </c>
      <c r="O340" s="116">
        <v>280.35000000000002</v>
      </c>
      <c r="P340" s="116">
        <v>285</v>
      </c>
      <c r="Q340" s="116">
        <v>283.60000000000002</v>
      </c>
      <c r="R340">
        <v>11404</v>
      </c>
    </row>
    <row r="341" spans="1:18" x14ac:dyDescent="0.25">
      <c r="A341" s="169">
        <v>42506</v>
      </c>
      <c r="B341" s="116">
        <v>281.60000000000002</v>
      </c>
      <c r="C341" s="116">
        <v>277.8</v>
      </c>
      <c r="D341" s="116">
        <v>276.3</v>
      </c>
      <c r="E341" s="116">
        <v>278.60000000000002</v>
      </c>
      <c r="F341" s="116">
        <v>277.8</v>
      </c>
      <c r="G341">
        <v>501</v>
      </c>
      <c r="H341" s="116"/>
      <c r="I341" s="116"/>
      <c r="L341" s="169">
        <v>42506</v>
      </c>
      <c r="M341" s="116">
        <v>278.55</v>
      </c>
      <c r="N341" s="116">
        <v>283.60000000000002</v>
      </c>
      <c r="O341" s="116">
        <v>276.3</v>
      </c>
      <c r="P341" s="116">
        <v>280.2</v>
      </c>
      <c r="Q341" s="116">
        <v>278.55</v>
      </c>
      <c r="R341">
        <v>12780</v>
      </c>
    </row>
    <row r="342" spans="1:18" x14ac:dyDescent="0.25">
      <c r="A342" s="169">
        <v>42507</v>
      </c>
      <c r="B342" s="116">
        <v>279.39999999999998</v>
      </c>
      <c r="C342" s="116">
        <v>276.2</v>
      </c>
      <c r="D342" s="116">
        <v>275</v>
      </c>
      <c r="E342" s="116">
        <v>279.10000000000002</v>
      </c>
      <c r="F342" s="116">
        <v>276.2</v>
      </c>
      <c r="G342">
        <v>2440</v>
      </c>
      <c r="H342" s="116"/>
      <c r="I342" s="116"/>
      <c r="L342" s="169">
        <v>42507</v>
      </c>
      <c r="M342" s="116">
        <v>276.8</v>
      </c>
      <c r="N342" s="116">
        <v>282.60000000000002</v>
      </c>
      <c r="O342" s="116">
        <v>275</v>
      </c>
      <c r="P342" s="116">
        <v>278.25</v>
      </c>
      <c r="Q342" s="116">
        <v>276.8</v>
      </c>
      <c r="R342">
        <v>11841</v>
      </c>
    </row>
    <row r="343" spans="1:18" x14ac:dyDescent="0.25">
      <c r="A343" s="169">
        <v>42508</v>
      </c>
      <c r="B343" s="116">
        <v>279.2</v>
      </c>
      <c r="C343" s="116">
        <v>276.7</v>
      </c>
      <c r="D343" s="116">
        <v>274.7</v>
      </c>
      <c r="E343" s="116">
        <v>276.7</v>
      </c>
      <c r="F343" s="116">
        <v>276.7</v>
      </c>
      <c r="G343">
        <v>2551</v>
      </c>
      <c r="H343" s="116"/>
      <c r="I343" s="116"/>
      <c r="L343" s="169">
        <v>42508</v>
      </c>
      <c r="M343" s="116">
        <v>278.10000000000002</v>
      </c>
      <c r="N343" s="116">
        <v>280.89999999999998</v>
      </c>
      <c r="O343" s="116">
        <v>273.05</v>
      </c>
      <c r="P343" s="116">
        <v>275.60000000000002</v>
      </c>
      <c r="Q343" s="116">
        <v>278.10000000000002</v>
      </c>
      <c r="R343">
        <v>14170</v>
      </c>
    </row>
    <row r="344" spans="1:18" x14ac:dyDescent="0.25">
      <c r="A344" s="169">
        <v>42509</v>
      </c>
      <c r="B344" s="116">
        <v>305</v>
      </c>
      <c r="C344" s="116">
        <v>283.39999999999998</v>
      </c>
      <c r="D344" s="116">
        <v>278.39999999999998</v>
      </c>
      <c r="E344" s="116">
        <v>278.39999999999998</v>
      </c>
      <c r="F344" s="116">
        <v>283.39999999999998</v>
      </c>
      <c r="G344">
        <v>179169</v>
      </c>
      <c r="H344" s="116"/>
      <c r="I344" s="116"/>
      <c r="L344" s="169">
        <v>42509</v>
      </c>
      <c r="M344" s="116">
        <v>284.5</v>
      </c>
      <c r="N344" s="116">
        <v>292.2</v>
      </c>
      <c r="O344" s="116">
        <v>273.2</v>
      </c>
      <c r="P344" s="116">
        <v>273.2</v>
      </c>
      <c r="Q344" s="116">
        <v>284.5</v>
      </c>
      <c r="R344">
        <v>106987</v>
      </c>
    </row>
    <row r="345" spans="1:18" x14ac:dyDescent="0.25">
      <c r="A345" s="169">
        <v>42510</v>
      </c>
      <c r="B345" s="116">
        <v>286</v>
      </c>
      <c r="C345" s="116">
        <v>278.10000000000002</v>
      </c>
      <c r="D345" s="116">
        <v>277.10000000000002</v>
      </c>
      <c r="E345" s="116">
        <v>284</v>
      </c>
      <c r="F345" s="116">
        <v>278.10000000000002</v>
      </c>
      <c r="G345">
        <v>1242</v>
      </c>
      <c r="H345" s="116"/>
      <c r="I345" s="116"/>
      <c r="L345" s="169">
        <v>42510</v>
      </c>
      <c r="M345" s="116">
        <v>277.7</v>
      </c>
      <c r="N345" s="116">
        <v>287.10000000000002</v>
      </c>
      <c r="O345" s="116">
        <v>275.55</v>
      </c>
      <c r="P345" s="116">
        <v>283.14999999999998</v>
      </c>
      <c r="Q345" s="116">
        <v>277.7</v>
      </c>
      <c r="R345">
        <v>18837</v>
      </c>
    </row>
    <row r="346" spans="1:18" x14ac:dyDescent="0.25">
      <c r="A346" s="169">
        <v>42513</v>
      </c>
      <c r="B346" s="116">
        <v>280</v>
      </c>
      <c r="C346" s="116">
        <v>270.60000000000002</v>
      </c>
      <c r="D346" s="116">
        <v>261.5</v>
      </c>
      <c r="E346" s="116">
        <v>276.5</v>
      </c>
      <c r="F346" s="116">
        <v>270.60000000000002</v>
      </c>
      <c r="G346">
        <v>56077</v>
      </c>
      <c r="H346" s="116"/>
      <c r="I346" s="116"/>
      <c r="L346" s="169">
        <v>42513</v>
      </c>
      <c r="M346" s="116">
        <v>270.89999999999998</v>
      </c>
      <c r="N346" s="116">
        <v>278.60000000000002</v>
      </c>
      <c r="O346" s="116">
        <v>269</v>
      </c>
      <c r="P346" s="116">
        <v>278.45</v>
      </c>
      <c r="Q346" s="116">
        <v>270.89999999999998</v>
      </c>
      <c r="R346">
        <v>25477</v>
      </c>
    </row>
    <row r="347" spans="1:18" x14ac:dyDescent="0.25">
      <c r="A347" s="169">
        <v>42514</v>
      </c>
      <c r="B347" s="116">
        <v>269</v>
      </c>
      <c r="C347" s="116">
        <v>266.60000000000002</v>
      </c>
      <c r="D347" s="116">
        <v>261.35000000000002</v>
      </c>
      <c r="E347" s="116">
        <v>269</v>
      </c>
      <c r="F347" s="116">
        <v>266.60000000000002</v>
      </c>
      <c r="G347">
        <v>324</v>
      </c>
      <c r="H347" s="116"/>
      <c r="I347" s="116"/>
      <c r="L347" s="169">
        <v>42514</v>
      </c>
      <c r="M347" s="116">
        <v>266.95</v>
      </c>
      <c r="N347" s="116">
        <v>271.89999999999998</v>
      </c>
      <c r="O347" s="116">
        <v>263</v>
      </c>
      <c r="P347" s="116">
        <v>270</v>
      </c>
      <c r="Q347" s="116">
        <v>266.95</v>
      </c>
      <c r="R347">
        <v>13038</v>
      </c>
    </row>
    <row r="348" spans="1:18" x14ac:dyDescent="0.25">
      <c r="A348" s="169">
        <v>42515</v>
      </c>
      <c r="B348" s="116">
        <v>267.5</v>
      </c>
      <c r="C348" s="116">
        <v>266</v>
      </c>
      <c r="D348" s="116">
        <v>262.35000000000002</v>
      </c>
      <c r="E348" s="116">
        <v>265.75</v>
      </c>
      <c r="F348" s="116">
        <v>266</v>
      </c>
      <c r="G348">
        <v>6257</v>
      </c>
      <c r="H348" s="116"/>
      <c r="I348" s="116"/>
      <c r="L348" s="169">
        <v>42515</v>
      </c>
      <c r="M348" s="116">
        <v>266.5</v>
      </c>
      <c r="N348" s="116">
        <v>271</v>
      </c>
      <c r="O348" s="116">
        <v>262.05</v>
      </c>
      <c r="P348" s="116">
        <v>270.05</v>
      </c>
      <c r="Q348" s="116">
        <v>266.5</v>
      </c>
      <c r="R348">
        <v>9687</v>
      </c>
    </row>
    <row r="349" spans="1:18" x14ac:dyDescent="0.25">
      <c r="A349" s="169">
        <v>42516</v>
      </c>
      <c r="B349" s="116">
        <v>272.89999999999998</v>
      </c>
      <c r="C349" s="116">
        <v>270.05</v>
      </c>
      <c r="D349" s="116">
        <v>264.5</v>
      </c>
      <c r="E349" s="116">
        <v>265</v>
      </c>
      <c r="F349" s="116">
        <v>270.05</v>
      </c>
      <c r="G349">
        <v>9498</v>
      </c>
      <c r="H349" s="116"/>
      <c r="I349" s="116"/>
      <c r="L349" s="169">
        <v>42516</v>
      </c>
      <c r="M349" s="116">
        <v>270.10000000000002</v>
      </c>
      <c r="N349" s="116">
        <v>271.89999999999998</v>
      </c>
      <c r="O349" s="116">
        <v>264</v>
      </c>
      <c r="P349" s="116">
        <v>265</v>
      </c>
      <c r="Q349" s="116">
        <v>270.10000000000002</v>
      </c>
      <c r="R349">
        <v>17553</v>
      </c>
    </row>
    <row r="350" spans="1:18" x14ac:dyDescent="0.25">
      <c r="A350" s="169">
        <v>42517</v>
      </c>
      <c r="B350" s="116">
        <v>273.35000000000002</v>
      </c>
      <c r="C350" s="116">
        <v>269.05</v>
      </c>
      <c r="D350" s="116">
        <v>265</v>
      </c>
      <c r="E350" s="116">
        <v>273.3</v>
      </c>
      <c r="F350" s="116">
        <v>269.05</v>
      </c>
      <c r="G350">
        <v>1320</v>
      </c>
      <c r="H350" s="116"/>
      <c r="I350" s="116"/>
      <c r="L350" s="169">
        <v>42517</v>
      </c>
      <c r="M350" s="116">
        <v>268.8</v>
      </c>
      <c r="N350" s="116">
        <v>272.64999999999998</v>
      </c>
      <c r="O350" s="116">
        <v>263.05</v>
      </c>
      <c r="P350" s="116">
        <v>269.05</v>
      </c>
      <c r="Q350" s="116">
        <v>268.8</v>
      </c>
      <c r="R350">
        <v>28800</v>
      </c>
    </row>
    <row r="351" spans="1:18" x14ac:dyDescent="0.25">
      <c r="A351" s="169">
        <v>42520</v>
      </c>
      <c r="B351" s="116">
        <v>280</v>
      </c>
      <c r="C351" s="116">
        <v>277.25</v>
      </c>
      <c r="D351" s="116">
        <v>272</v>
      </c>
      <c r="E351" s="116">
        <v>272</v>
      </c>
      <c r="F351" s="116">
        <v>277.25</v>
      </c>
      <c r="G351">
        <v>4740</v>
      </c>
      <c r="H351" s="116"/>
      <c r="I351" s="116"/>
      <c r="L351" s="169">
        <v>42520</v>
      </c>
      <c r="M351" s="116">
        <v>278.05</v>
      </c>
      <c r="N351" s="116">
        <v>281</v>
      </c>
      <c r="O351" s="116">
        <v>271.55</v>
      </c>
      <c r="P351" s="116">
        <v>271.55</v>
      </c>
      <c r="Q351" s="116">
        <v>278.05</v>
      </c>
      <c r="R351">
        <v>240300</v>
      </c>
    </row>
    <row r="352" spans="1:18" x14ac:dyDescent="0.25">
      <c r="A352" s="169">
        <v>42521</v>
      </c>
      <c r="B352" s="116">
        <v>285</v>
      </c>
      <c r="C352" s="116">
        <v>276.35000000000002</v>
      </c>
      <c r="D352" s="116">
        <v>275.8</v>
      </c>
      <c r="E352" s="116">
        <v>281</v>
      </c>
      <c r="F352" s="116">
        <v>276.35000000000002</v>
      </c>
      <c r="G352">
        <v>1187</v>
      </c>
      <c r="H352" s="116"/>
      <c r="I352" s="116"/>
      <c r="L352" s="169">
        <v>42521</v>
      </c>
      <c r="M352" s="116">
        <v>276.89999999999998</v>
      </c>
      <c r="N352" s="116">
        <v>287</v>
      </c>
      <c r="O352" s="116">
        <v>275.5</v>
      </c>
      <c r="P352" s="116">
        <v>280</v>
      </c>
      <c r="Q352" s="116">
        <v>276.89999999999998</v>
      </c>
      <c r="R352">
        <v>55839</v>
      </c>
    </row>
    <row r="353" spans="1:18" x14ac:dyDescent="0.25">
      <c r="A353" s="169">
        <v>42522</v>
      </c>
      <c r="B353" s="116">
        <v>281.64999999999998</v>
      </c>
      <c r="C353" s="116">
        <v>276.45</v>
      </c>
      <c r="D353" s="116">
        <v>274.60000000000002</v>
      </c>
      <c r="E353" s="116">
        <v>276.35000000000002</v>
      </c>
      <c r="F353" s="116">
        <v>276.45</v>
      </c>
      <c r="G353">
        <v>2030</v>
      </c>
      <c r="H353" s="116"/>
      <c r="I353" s="116"/>
      <c r="L353" s="169">
        <v>42522</v>
      </c>
      <c r="M353" s="116">
        <v>275.95</v>
      </c>
      <c r="N353" s="116">
        <v>280</v>
      </c>
      <c r="O353" s="116">
        <v>273.10000000000002</v>
      </c>
      <c r="P353" s="116">
        <v>278.45</v>
      </c>
      <c r="Q353" s="116">
        <v>275.95</v>
      </c>
      <c r="R353">
        <v>77562</v>
      </c>
    </row>
    <row r="354" spans="1:18" x14ac:dyDescent="0.25">
      <c r="A354" s="169">
        <v>42523</v>
      </c>
      <c r="B354" s="116">
        <v>279</v>
      </c>
      <c r="C354" s="116">
        <v>276.89999999999998</v>
      </c>
      <c r="D354" s="116">
        <v>273.45</v>
      </c>
      <c r="E354" s="116">
        <v>274</v>
      </c>
      <c r="F354" s="116">
        <v>276.89999999999998</v>
      </c>
      <c r="G354">
        <v>1799</v>
      </c>
      <c r="H354" s="116"/>
      <c r="I354" s="116"/>
      <c r="L354" s="169">
        <v>42523</v>
      </c>
      <c r="M354" s="116">
        <v>278.3</v>
      </c>
      <c r="N354" s="116">
        <v>280</v>
      </c>
      <c r="O354" s="116">
        <v>272.10000000000002</v>
      </c>
      <c r="P354" s="116">
        <v>274</v>
      </c>
      <c r="Q354" s="116">
        <v>278.3</v>
      </c>
      <c r="R354">
        <v>9244</v>
      </c>
    </row>
    <row r="355" spans="1:18" x14ac:dyDescent="0.25">
      <c r="A355" s="169">
        <v>42524</v>
      </c>
      <c r="B355" s="116">
        <v>280.85000000000002</v>
      </c>
      <c r="C355" s="116">
        <v>274.2</v>
      </c>
      <c r="D355" s="116">
        <v>265</v>
      </c>
      <c r="E355" s="116">
        <v>280.85000000000002</v>
      </c>
      <c r="F355" s="116">
        <v>274.2</v>
      </c>
      <c r="G355">
        <v>2931</v>
      </c>
      <c r="H355" s="116"/>
      <c r="I355" s="116"/>
      <c r="L355" s="169">
        <v>42524</v>
      </c>
      <c r="M355" s="116">
        <v>275.05</v>
      </c>
      <c r="N355" s="116">
        <v>279.8</v>
      </c>
      <c r="O355" s="116">
        <v>273.25</v>
      </c>
      <c r="P355" s="116">
        <v>276.35000000000002</v>
      </c>
      <c r="Q355" s="116">
        <v>275.05</v>
      </c>
      <c r="R355">
        <v>5617</v>
      </c>
    </row>
    <row r="356" spans="1:18" x14ac:dyDescent="0.25">
      <c r="A356" s="169">
        <v>42527</v>
      </c>
      <c r="B356" s="116">
        <v>274</v>
      </c>
      <c r="C356" s="116">
        <v>271</v>
      </c>
      <c r="D356" s="116">
        <v>270.14999999999998</v>
      </c>
      <c r="E356" s="116">
        <v>273.3</v>
      </c>
      <c r="F356" s="116">
        <v>271</v>
      </c>
      <c r="G356">
        <v>2193</v>
      </c>
      <c r="H356" s="116"/>
      <c r="I356" s="116"/>
      <c r="L356" s="169">
        <v>42527</v>
      </c>
      <c r="M356" s="116">
        <v>272</v>
      </c>
      <c r="N356" s="116">
        <v>275.05</v>
      </c>
      <c r="O356" s="116">
        <v>270.25</v>
      </c>
      <c r="P356" s="116">
        <v>274</v>
      </c>
      <c r="Q356" s="116">
        <v>272</v>
      </c>
      <c r="R356">
        <v>7192</v>
      </c>
    </row>
    <row r="357" spans="1:18" x14ac:dyDescent="0.25">
      <c r="A357" s="169">
        <v>42528</v>
      </c>
      <c r="B357" s="116">
        <v>278</v>
      </c>
      <c r="C357" s="116">
        <v>272.85000000000002</v>
      </c>
      <c r="D357" s="116">
        <v>267.14999999999998</v>
      </c>
      <c r="E357" s="116">
        <v>274.55</v>
      </c>
      <c r="F357" s="116">
        <v>272.85000000000002</v>
      </c>
      <c r="G357">
        <v>541</v>
      </c>
      <c r="H357" s="116"/>
      <c r="I357" s="116"/>
      <c r="L357" s="169">
        <v>42528</v>
      </c>
      <c r="M357" s="116">
        <v>273.60000000000002</v>
      </c>
      <c r="N357" s="116">
        <v>278.89999999999998</v>
      </c>
      <c r="O357" s="116">
        <v>269.25</v>
      </c>
      <c r="P357" s="116">
        <v>272.55</v>
      </c>
      <c r="Q357" s="116">
        <v>273.60000000000002</v>
      </c>
      <c r="R357">
        <v>20171</v>
      </c>
    </row>
    <row r="358" spans="1:18" x14ac:dyDescent="0.25">
      <c r="A358" s="169">
        <v>42529</v>
      </c>
      <c r="B358" s="116">
        <v>275</v>
      </c>
      <c r="C358" s="116">
        <v>271.2</v>
      </c>
      <c r="D358" s="116">
        <v>271</v>
      </c>
      <c r="E358" s="116">
        <v>275</v>
      </c>
      <c r="F358" s="116">
        <v>271.2</v>
      </c>
      <c r="G358">
        <v>540</v>
      </c>
      <c r="H358" s="116"/>
      <c r="I358" s="116"/>
      <c r="L358" s="169">
        <v>42529</v>
      </c>
      <c r="M358" s="116">
        <v>271.39999999999998</v>
      </c>
      <c r="N358" s="116">
        <v>276</v>
      </c>
      <c r="O358" s="116">
        <v>270.10000000000002</v>
      </c>
      <c r="P358" s="116">
        <v>272.05</v>
      </c>
      <c r="Q358" s="116">
        <v>271.39999999999998</v>
      </c>
      <c r="R358">
        <v>5525</v>
      </c>
    </row>
    <row r="359" spans="1:18" x14ac:dyDescent="0.25">
      <c r="A359" s="169">
        <v>42530</v>
      </c>
      <c r="B359" s="116">
        <v>276.35000000000002</v>
      </c>
      <c r="C359" s="116">
        <v>271.25</v>
      </c>
      <c r="D359" s="116">
        <v>268.64999999999998</v>
      </c>
      <c r="E359" s="116">
        <v>270.7</v>
      </c>
      <c r="F359" s="116">
        <v>271.25</v>
      </c>
      <c r="G359">
        <v>1580</v>
      </c>
      <c r="H359" s="116"/>
      <c r="I359" s="116"/>
      <c r="L359" s="169">
        <v>42530</v>
      </c>
      <c r="M359" s="116">
        <v>271.39999999999998</v>
      </c>
      <c r="N359" s="116">
        <v>275.05</v>
      </c>
      <c r="O359" s="116">
        <v>269</v>
      </c>
      <c r="P359" s="116">
        <v>270.14999999999998</v>
      </c>
      <c r="Q359" s="116">
        <v>271.39999999999998</v>
      </c>
      <c r="R359">
        <v>14430</v>
      </c>
    </row>
    <row r="360" spans="1:18" x14ac:dyDescent="0.25">
      <c r="A360" s="169">
        <v>42531</v>
      </c>
      <c r="B360" s="116">
        <v>272.89999999999998</v>
      </c>
      <c r="C360" s="116">
        <v>268.35000000000002</v>
      </c>
      <c r="D360" s="116">
        <v>265.05</v>
      </c>
      <c r="E360" s="116">
        <v>272.3</v>
      </c>
      <c r="F360" s="116">
        <v>268.35000000000002</v>
      </c>
      <c r="G360">
        <v>1130</v>
      </c>
      <c r="H360" s="116"/>
      <c r="I360" s="116"/>
      <c r="L360" s="169">
        <v>42531</v>
      </c>
      <c r="M360" s="116">
        <v>269.8</v>
      </c>
      <c r="N360" s="116">
        <v>272.05</v>
      </c>
      <c r="O360" s="116">
        <v>265</v>
      </c>
      <c r="P360" s="116">
        <v>269</v>
      </c>
      <c r="Q360" s="116">
        <v>269.8</v>
      </c>
      <c r="R360">
        <v>8792</v>
      </c>
    </row>
    <row r="361" spans="1:18" x14ac:dyDescent="0.25">
      <c r="A361" s="169">
        <v>42534</v>
      </c>
      <c r="B361" s="116">
        <v>274.95</v>
      </c>
      <c r="C361" s="116">
        <v>271.7</v>
      </c>
      <c r="D361" s="116">
        <v>264.39999999999998</v>
      </c>
      <c r="E361" s="116">
        <v>269.89999999999998</v>
      </c>
      <c r="F361" s="116">
        <v>271.7</v>
      </c>
      <c r="G361">
        <v>4695</v>
      </c>
      <c r="H361" s="116"/>
      <c r="I361" s="116"/>
      <c r="L361" s="169">
        <v>42534</v>
      </c>
      <c r="M361" s="116">
        <v>270.7</v>
      </c>
      <c r="N361" s="116">
        <v>274.89999999999998</v>
      </c>
      <c r="O361" s="116">
        <v>264.5</v>
      </c>
      <c r="P361" s="116">
        <v>269</v>
      </c>
      <c r="Q361" s="116">
        <v>270.7</v>
      </c>
      <c r="R361">
        <v>27886</v>
      </c>
    </row>
    <row r="362" spans="1:18" x14ac:dyDescent="0.25">
      <c r="A362" s="169">
        <v>42535</v>
      </c>
      <c r="B362" s="116">
        <v>276.45</v>
      </c>
      <c r="C362" s="116">
        <v>272.75</v>
      </c>
      <c r="D362" s="116">
        <v>269.60000000000002</v>
      </c>
      <c r="E362" s="116">
        <v>270.55</v>
      </c>
      <c r="F362" s="116">
        <v>272.75</v>
      </c>
      <c r="G362">
        <v>9014</v>
      </c>
      <c r="H362" s="116"/>
      <c r="I362" s="116"/>
      <c r="L362" s="169">
        <v>42535</v>
      </c>
      <c r="M362" s="116">
        <v>274.35000000000002</v>
      </c>
      <c r="N362" s="116">
        <v>278.25</v>
      </c>
      <c r="O362" s="116">
        <v>270</v>
      </c>
      <c r="P362" s="116">
        <v>270</v>
      </c>
      <c r="Q362" s="116">
        <v>274.35000000000002</v>
      </c>
      <c r="R362">
        <v>24849</v>
      </c>
    </row>
    <row r="363" spans="1:18" x14ac:dyDescent="0.25">
      <c r="A363" s="169">
        <v>42536</v>
      </c>
      <c r="B363" s="116">
        <v>281.45</v>
      </c>
      <c r="C363" s="116">
        <v>278.2</v>
      </c>
      <c r="D363" s="116">
        <v>263</v>
      </c>
      <c r="E363" s="116">
        <v>263</v>
      </c>
      <c r="F363" s="116">
        <v>278.2</v>
      </c>
      <c r="G363">
        <v>5969</v>
      </c>
      <c r="H363" s="116"/>
      <c r="I363" s="116"/>
      <c r="L363" s="169">
        <v>42536</v>
      </c>
      <c r="M363" s="116">
        <v>278.39999999999998</v>
      </c>
      <c r="N363" s="116">
        <v>281.64999999999998</v>
      </c>
      <c r="O363" s="116">
        <v>269</v>
      </c>
      <c r="P363" s="116">
        <v>269</v>
      </c>
      <c r="Q363" s="116">
        <v>278.39999999999998</v>
      </c>
      <c r="R363">
        <v>67096</v>
      </c>
    </row>
    <row r="364" spans="1:18" x14ac:dyDescent="0.25">
      <c r="A364" s="169">
        <v>42537</v>
      </c>
      <c r="B364" s="116">
        <v>277.7</v>
      </c>
      <c r="C364" s="116">
        <v>275.10000000000002</v>
      </c>
      <c r="D364" s="116">
        <v>273.2</v>
      </c>
      <c r="E364" s="116">
        <v>277.7</v>
      </c>
      <c r="F364" s="116">
        <v>275.10000000000002</v>
      </c>
      <c r="G364">
        <v>2306</v>
      </c>
      <c r="H364" s="116"/>
      <c r="I364" s="116"/>
      <c r="L364" s="169">
        <v>42537</v>
      </c>
      <c r="M364" s="116">
        <v>273.7</v>
      </c>
      <c r="N364" s="116">
        <v>279</v>
      </c>
      <c r="O364" s="116">
        <v>272.5</v>
      </c>
      <c r="P364" s="116">
        <v>277</v>
      </c>
      <c r="Q364" s="116">
        <v>273.7</v>
      </c>
      <c r="R364">
        <v>8317</v>
      </c>
    </row>
    <row r="365" spans="1:18" x14ac:dyDescent="0.25">
      <c r="A365" s="169">
        <v>42538</v>
      </c>
      <c r="B365" s="116">
        <v>278.7</v>
      </c>
      <c r="C365" s="116">
        <v>271.55</v>
      </c>
      <c r="D365" s="116">
        <v>270.10000000000002</v>
      </c>
      <c r="E365" s="116">
        <v>274.39999999999998</v>
      </c>
      <c r="F365" s="116">
        <v>271.55</v>
      </c>
      <c r="G365">
        <v>3941</v>
      </c>
      <c r="H365" s="116"/>
      <c r="I365" s="116"/>
      <c r="L365" s="169">
        <v>42538</v>
      </c>
      <c r="M365" s="116">
        <v>274.95</v>
      </c>
      <c r="N365" s="116">
        <v>278</v>
      </c>
      <c r="O365" s="116">
        <v>270.10000000000002</v>
      </c>
      <c r="P365" s="116">
        <v>271.14999999999998</v>
      </c>
      <c r="Q365" s="116">
        <v>274.95</v>
      </c>
      <c r="R365">
        <v>60989</v>
      </c>
    </row>
    <row r="366" spans="1:18" x14ac:dyDescent="0.25">
      <c r="A366" s="169">
        <v>42541</v>
      </c>
      <c r="B366" s="116">
        <v>281.8</v>
      </c>
      <c r="C366" s="116">
        <v>278.45</v>
      </c>
      <c r="D366" s="116">
        <v>270</v>
      </c>
      <c r="E366" s="116">
        <v>270</v>
      </c>
      <c r="F366" s="116">
        <v>278.45</v>
      </c>
      <c r="G366">
        <v>6082</v>
      </c>
      <c r="H366" s="116"/>
      <c r="I366" s="116"/>
      <c r="L366" s="169">
        <v>42541</v>
      </c>
      <c r="M366" s="116">
        <v>279.95</v>
      </c>
      <c r="N366" s="116">
        <v>283</v>
      </c>
      <c r="O366" s="116">
        <v>268.2</v>
      </c>
      <c r="P366" s="116">
        <v>268.2</v>
      </c>
      <c r="Q366" s="116">
        <v>279.95</v>
      </c>
      <c r="R366">
        <v>61577</v>
      </c>
    </row>
    <row r="367" spans="1:18" x14ac:dyDescent="0.25">
      <c r="A367" s="169">
        <v>42542</v>
      </c>
      <c r="B367" s="116">
        <v>289</v>
      </c>
      <c r="C367" s="116">
        <v>283.3</v>
      </c>
      <c r="D367" s="116">
        <v>274.55</v>
      </c>
      <c r="E367" s="116">
        <v>277.60000000000002</v>
      </c>
      <c r="F367" s="116">
        <v>283.3</v>
      </c>
      <c r="G367">
        <v>8279</v>
      </c>
      <c r="H367" s="116"/>
      <c r="I367" s="116"/>
      <c r="L367" s="169">
        <v>42542</v>
      </c>
      <c r="M367" s="116">
        <v>281.95</v>
      </c>
      <c r="N367" s="116">
        <v>284.5</v>
      </c>
      <c r="O367" s="116">
        <v>275</v>
      </c>
      <c r="P367" s="116">
        <v>277.05</v>
      </c>
      <c r="Q367" s="116">
        <v>281.95</v>
      </c>
      <c r="R367">
        <v>20867</v>
      </c>
    </row>
    <row r="368" spans="1:18" x14ac:dyDescent="0.25">
      <c r="A368" s="169">
        <v>42543</v>
      </c>
      <c r="B368" s="116">
        <v>293.85000000000002</v>
      </c>
      <c r="C368" s="116">
        <v>279.35000000000002</v>
      </c>
      <c r="D368" s="116">
        <v>278.14999999999998</v>
      </c>
      <c r="E368" s="116">
        <v>284.75</v>
      </c>
      <c r="F368" s="116">
        <v>279.35000000000002</v>
      </c>
      <c r="G368">
        <v>14045</v>
      </c>
      <c r="H368" s="116"/>
      <c r="I368" s="116"/>
      <c r="L368" s="169">
        <v>42543</v>
      </c>
      <c r="M368" s="116">
        <v>279.89999999999998</v>
      </c>
      <c r="N368" s="116">
        <v>294</v>
      </c>
      <c r="O368" s="116">
        <v>278</v>
      </c>
      <c r="P368" s="116">
        <v>280</v>
      </c>
      <c r="Q368" s="116">
        <v>279.89999999999998</v>
      </c>
      <c r="R368">
        <v>95113</v>
      </c>
    </row>
    <row r="369" spans="1:18" x14ac:dyDescent="0.25">
      <c r="A369" s="169">
        <v>42544</v>
      </c>
      <c r="B369" s="116">
        <v>280</v>
      </c>
      <c r="C369" s="116">
        <v>278.25</v>
      </c>
      <c r="D369" s="116">
        <v>275.05</v>
      </c>
      <c r="E369" s="116">
        <v>279.35000000000002</v>
      </c>
      <c r="F369" s="116">
        <v>278.25</v>
      </c>
      <c r="G369">
        <v>1076</v>
      </c>
      <c r="H369" s="116"/>
      <c r="I369" s="116"/>
      <c r="L369" s="169">
        <v>42544</v>
      </c>
      <c r="M369" s="116">
        <v>279.14999999999998</v>
      </c>
      <c r="N369" s="116">
        <v>280.5</v>
      </c>
      <c r="O369" s="116">
        <v>277</v>
      </c>
      <c r="P369" s="116">
        <v>278.5</v>
      </c>
      <c r="Q369" s="116">
        <v>279.14999999999998</v>
      </c>
      <c r="R369">
        <v>6797</v>
      </c>
    </row>
    <row r="370" spans="1:18" x14ac:dyDescent="0.25">
      <c r="A370" s="169">
        <v>42545</v>
      </c>
      <c r="B370" s="116">
        <v>286.39999999999998</v>
      </c>
      <c r="C370" s="116">
        <v>271.7</v>
      </c>
      <c r="D370" s="116">
        <v>265.95</v>
      </c>
      <c r="E370" s="116">
        <v>270.10000000000002</v>
      </c>
      <c r="F370" s="116">
        <v>271.7</v>
      </c>
      <c r="G370">
        <v>20643</v>
      </c>
      <c r="H370" s="116"/>
      <c r="I370" s="116"/>
      <c r="L370" s="169">
        <v>42545</v>
      </c>
      <c r="M370" s="116">
        <v>271.10000000000002</v>
      </c>
      <c r="N370" s="116">
        <v>285.39999999999998</v>
      </c>
      <c r="O370" s="116">
        <v>264.95</v>
      </c>
      <c r="P370" s="116">
        <v>277</v>
      </c>
      <c r="Q370" s="116">
        <v>271.10000000000002</v>
      </c>
      <c r="R370">
        <v>39691</v>
      </c>
    </row>
    <row r="371" spans="1:18" x14ac:dyDescent="0.25">
      <c r="A371" s="169">
        <v>42548</v>
      </c>
      <c r="B371" s="116">
        <v>280</v>
      </c>
      <c r="C371" s="116">
        <v>278.39999999999998</v>
      </c>
      <c r="D371" s="116">
        <v>269.39999999999998</v>
      </c>
      <c r="E371" s="116">
        <v>270.7</v>
      </c>
      <c r="F371" s="116">
        <v>278.39999999999998</v>
      </c>
      <c r="G371">
        <v>1224</v>
      </c>
      <c r="H371" s="116"/>
      <c r="I371" s="116"/>
      <c r="L371" s="169">
        <v>42548</v>
      </c>
      <c r="M371" s="116">
        <v>279.3</v>
      </c>
      <c r="N371" s="116">
        <v>280.25</v>
      </c>
      <c r="O371" s="116">
        <v>269.89999999999998</v>
      </c>
      <c r="P371" s="116">
        <v>269.89999999999998</v>
      </c>
      <c r="Q371" s="116">
        <v>279.3</v>
      </c>
      <c r="R371">
        <v>44297</v>
      </c>
    </row>
    <row r="372" spans="1:18" x14ac:dyDescent="0.25">
      <c r="A372" s="169">
        <v>42549</v>
      </c>
      <c r="B372" s="116">
        <v>279.55</v>
      </c>
      <c r="C372" s="116">
        <v>277.89999999999998</v>
      </c>
      <c r="D372" s="116">
        <v>276.85000000000002</v>
      </c>
      <c r="E372" s="116">
        <v>278.45</v>
      </c>
      <c r="F372" s="116">
        <v>277.89999999999998</v>
      </c>
      <c r="G372">
        <v>770</v>
      </c>
      <c r="H372" s="116"/>
      <c r="I372" s="116"/>
      <c r="L372" s="169">
        <v>42549</v>
      </c>
      <c r="M372" s="116">
        <v>278.75</v>
      </c>
      <c r="N372" s="116">
        <v>280</v>
      </c>
      <c r="O372" s="116">
        <v>276</v>
      </c>
      <c r="P372" s="116">
        <v>277</v>
      </c>
      <c r="Q372" s="116">
        <v>278.75</v>
      </c>
      <c r="R372">
        <v>6394</v>
      </c>
    </row>
    <row r="373" spans="1:18" x14ac:dyDescent="0.25">
      <c r="A373" s="169">
        <v>42550</v>
      </c>
      <c r="B373" s="116">
        <v>280</v>
      </c>
      <c r="C373" s="116">
        <v>275.14999999999998</v>
      </c>
      <c r="D373" s="116">
        <v>275</v>
      </c>
      <c r="E373" s="116">
        <v>280</v>
      </c>
      <c r="F373" s="116">
        <v>275.14999999999998</v>
      </c>
      <c r="G373">
        <v>1579</v>
      </c>
      <c r="H373" s="116"/>
      <c r="I373" s="116"/>
      <c r="L373" s="169">
        <v>42550</v>
      </c>
      <c r="M373" s="116">
        <v>275.55</v>
      </c>
      <c r="N373" s="116">
        <v>280.89999999999998</v>
      </c>
      <c r="O373" s="116">
        <v>274.14999999999998</v>
      </c>
      <c r="P373" s="116">
        <v>277</v>
      </c>
      <c r="Q373" s="116">
        <v>275.55</v>
      </c>
      <c r="R373">
        <v>7635</v>
      </c>
    </row>
    <row r="374" spans="1:18" x14ac:dyDescent="0.25">
      <c r="A374" s="169">
        <v>42551</v>
      </c>
      <c r="B374" s="116">
        <v>279.3</v>
      </c>
      <c r="C374" s="116">
        <v>274.14999999999998</v>
      </c>
      <c r="D374" s="116">
        <v>271.2</v>
      </c>
      <c r="E374" s="116">
        <v>276.39999999999998</v>
      </c>
      <c r="F374" s="116">
        <v>274.14999999999998</v>
      </c>
      <c r="G374">
        <v>2577</v>
      </c>
      <c r="H374" s="116"/>
      <c r="I374" s="116"/>
      <c r="L374" s="169">
        <v>42551</v>
      </c>
      <c r="M374" s="116">
        <v>275.85000000000002</v>
      </c>
      <c r="N374" s="116">
        <v>279.7</v>
      </c>
      <c r="O374" s="116">
        <v>271.2</v>
      </c>
      <c r="P374" s="116">
        <v>277</v>
      </c>
      <c r="Q374" s="116">
        <v>275.85000000000002</v>
      </c>
      <c r="R374">
        <v>14500</v>
      </c>
    </row>
    <row r="375" spans="1:18" x14ac:dyDescent="0.25">
      <c r="A375" s="169">
        <v>42552</v>
      </c>
      <c r="B375" s="116">
        <v>277.89999999999998</v>
      </c>
      <c r="C375" s="116">
        <v>274.25</v>
      </c>
      <c r="D375" s="116">
        <v>273.64999999999998</v>
      </c>
      <c r="E375" s="116">
        <v>274.5</v>
      </c>
      <c r="F375" s="116">
        <v>274.25</v>
      </c>
      <c r="G375">
        <v>2058</v>
      </c>
      <c r="H375" s="116"/>
      <c r="I375" s="116"/>
      <c r="L375" s="169">
        <v>42552</v>
      </c>
      <c r="M375" s="116">
        <v>274.39999999999998</v>
      </c>
      <c r="N375" s="116">
        <v>278.8</v>
      </c>
      <c r="O375" s="116">
        <v>273.5</v>
      </c>
      <c r="P375" s="116">
        <v>274</v>
      </c>
      <c r="Q375" s="116">
        <v>274.39999999999998</v>
      </c>
      <c r="R375">
        <v>3389</v>
      </c>
    </row>
    <row r="376" spans="1:18" x14ac:dyDescent="0.25">
      <c r="A376" s="169">
        <v>42555</v>
      </c>
      <c r="B376" s="116">
        <v>281</v>
      </c>
      <c r="C376" s="116">
        <v>276.3</v>
      </c>
      <c r="D376" s="116">
        <v>273.7</v>
      </c>
      <c r="E376" s="116">
        <v>277</v>
      </c>
      <c r="F376" s="116">
        <v>276.3</v>
      </c>
      <c r="G376">
        <v>3988</v>
      </c>
      <c r="H376" s="116"/>
      <c r="I376" s="116"/>
      <c r="L376" s="169">
        <v>42555</v>
      </c>
      <c r="M376" s="116">
        <v>276.89999999999998</v>
      </c>
      <c r="N376" s="116">
        <v>281.45</v>
      </c>
      <c r="O376" s="116">
        <v>275</v>
      </c>
      <c r="P376" s="116">
        <v>275</v>
      </c>
      <c r="Q376" s="116">
        <v>276.89999999999998</v>
      </c>
      <c r="R376">
        <v>25996</v>
      </c>
    </row>
    <row r="377" spans="1:18" x14ac:dyDescent="0.25">
      <c r="A377" s="169">
        <v>42556</v>
      </c>
      <c r="B377" s="116">
        <v>277.64999999999998</v>
      </c>
      <c r="C377" s="116">
        <v>276.25</v>
      </c>
      <c r="D377" s="116">
        <v>275</v>
      </c>
      <c r="E377" s="116">
        <v>277</v>
      </c>
      <c r="F377" s="116">
        <v>276.25</v>
      </c>
      <c r="G377">
        <v>1485</v>
      </c>
      <c r="H377" s="116"/>
      <c r="I377" s="116"/>
      <c r="L377" s="169">
        <v>42556</v>
      </c>
      <c r="M377" s="116">
        <v>275.39999999999998</v>
      </c>
      <c r="N377" s="116">
        <v>278.2</v>
      </c>
      <c r="O377" s="116">
        <v>274.5</v>
      </c>
      <c r="P377" s="116">
        <v>275</v>
      </c>
      <c r="Q377" s="116">
        <v>275.39999999999998</v>
      </c>
      <c r="R377">
        <v>4112</v>
      </c>
    </row>
    <row r="378" spans="1:18" x14ac:dyDescent="0.25">
      <c r="A378" s="169">
        <v>42558</v>
      </c>
      <c r="B378" s="116">
        <v>279.55</v>
      </c>
      <c r="C378" s="116">
        <v>274.2</v>
      </c>
      <c r="D378" s="116">
        <v>272.05</v>
      </c>
      <c r="E378" s="116">
        <v>278.8</v>
      </c>
      <c r="F378" s="116">
        <v>274.2</v>
      </c>
      <c r="G378">
        <v>577</v>
      </c>
      <c r="H378" s="116"/>
      <c r="I378" s="116"/>
      <c r="L378" s="169">
        <v>42558</v>
      </c>
      <c r="M378" s="116">
        <v>274.35000000000002</v>
      </c>
      <c r="N378" s="116">
        <v>278.3</v>
      </c>
      <c r="O378" s="116">
        <v>272.5</v>
      </c>
      <c r="P378" s="116">
        <v>274</v>
      </c>
      <c r="Q378" s="116">
        <v>274.35000000000002</v>
      </c>
      <c r="R378">
        <v>12863</v>
      </c>
    </row>
    <row r="379" spans="1:18" x14ac:dyDescent="0.25">
      <c r="A379" s="169">
        <v>42559</v>
      </c>
      <c r="B379" s="116">
        <v>279.75</v>
      </c>
      <c r="C379" s="116">
        <v>278.10000000000002</v>
      </c>
      <c r="D379" s="116">
        <v>268.10000000000002</v>
      </c>
      <c r="E379" s="116">
        <v>273.2</v>
      </c>
      <c r="F379" s="116">
        <v>278.10000000000002</v>
      </c>
      <c r="G379">
        <v>3480</v>
      </c>
      <c r="H379" s="116"/>
      <c r="I379" s="116"/>
      <c r="L379" s="169">
        <v>42559</v>
      </c>
      <c r="M379" s="116">
        <v>278.10000000000002</v>
      </c>
      <c r="N379" s="116">
        <v>280.5</v>
      </c>
      <c r="O379" s="116">
        <v>268</v>
      </c>
      <c r="P379" s="116">
        <v>274.14999999999998</v>
      </c>
      <c r="Q379" s="116">
        <v>278.10000000000002</v>
      </c>
      <c r="R379">
        <v>26240</v>
      </c>
    </row>
    <row r="380" spans="1:18" x14ac:dyDescent="0.25">
      <c r="A380" s="169">
        <v>42562</v>
      </c>
      <c r="B380" s="116">
        <v>279</v>
      </c>
      <c r="C380" s="116">
        <v>275.3</v>
      </c>
      <c r="D380" s="116">
        <v>273.5</v>
      </c>
      <c r="E380" s="116">
        <v>273.55</v>
      </c>
      <c r="F380" s="116">
        <v>275.3</v>
      </c>
      <c r="G380">
        <v>3047</v>
      </c>
      <c r="H380" s="116"/>
      <c r="I380" s="116"/>
      <c r="L380" s="169">
        <v>42562</v>
      </c>
      <c r="M380" s="116">
        <v>277.10000000000002</v>
      </c>
      <c r="N380" s="116">
        <v>280</v>
      </c>
      <c r="O380" s="116">
        <v>272</v>
      </c>
      <c r="P380" s="116">
        <v>275</v>
      </c>
      <c r="Q380" s="116">
        <v>277.10000000000002</v>
      </c>
      <c r="R380">
        <v>8160</v>
      </c>
    </row>
    <row r="381" spans="1:18" x14ac:dyDescent="0.25">
      <c r="A381" s="169">
        <v>42563</v>
      </c>
      <c r="B381" s="116">
        <v>278</v>
      </c>
      <c r="C381" s="116">
        <v>273.85000000000002</v>
      </c>
      <c r="D381" s="116">
        <v>272.10000000000002</v>
      </c>
      <c r="E381" s="116">
        <v>275.2</v>
      </c>
      <c r="F381" s="116">
        <v>273.85000000000002</v>
      </c>
      <c r="G381">
        <v>2483</v>
      </c>
      <c r="H381" s="116"/>
      <c r="I381" s="116"/>
      <c r="L381" s="169">
        <v>42563</v>
      </c>
      <c r="M381" s="116">
        <v>275.45</v>
      </c>
      <c r="N381" s="116">
        <v>278.89999999999998</v>
      </c>
      <c r="O381" s="116">
        <v>272.95</v>
      </c>
      <c r="P381" s="116">
        <v>275</v>
      </c>
      <c r="Q381" s="116">
        <v>275.45</v>
      </c>
      <c r="R381">
        <v>11100</v>
      </c>
    </row>
    <row r="382" spans="1:18" x14ac:dyDescent="0.25">
      <c r="A382" s="169">
        <v>42564</v>
      </c>
      <c r="B382" s="116">
        <v>280</v>
      </c>
      <c r="C382" s="116">
        <v>275</v>
      </c>
      <c r="D382" s="116">
        <v>273</v>
      </c>
      <c r="E382" s="116">
        <v>273</v>
      </c>
      <c r="F382" s="116">
        <v>275</v>
      </c>
      <c r="G382">
        <v>2167</v>
      </c>
      <c r="H382" s="116"/>
      <c r="I382" s="116"/>
      <c r="L382" s="169">
        <v>42564</v>
      </c>
      <c r="M382" s="116">
        <v>276.39999999999998</v>
      </c>
      <c r="N382" s="116">
        <v>280.5</v>
      </c>
      <c r="O382" s="116">
        <v>272.10000000000002</v>
      </c>
      <c r="P382" s="116">
        <v>274</v>
      </c>
      <c r="Q382" s="116">
        <v>276.39999999999998</v>
      </c>
      <c r="R382">
        <v>10101</v>
      </c>
    </row>
    <row r="383" spans="1:18" x14ac:dyDescent="0.25">
      <c r="A383" s="169">
        <v>42565</v>
      </c>
      <c r="B383" s="116">
        <v>280.5</v>
      </c>
      <c r="C383" s="116">
        <v>279.7</v>
      </c>
      <c r="D383" s="116">
        <v>275</v>
      </c>
      <c r="E383" s="116">
        <v>275.10000000000002</v>
      </c>
      <c r="F383" s="116">
        <v>279.7</v>
      </c>
      <c r="G383">
        <v>4614</v>
      </c>
      <c r="H383" s="116"/>
      <c r="I383" s="116"/>
      <c r="L383" s="169">
        <v>42565</v>
      </c>
      <c r="M383" s="116">
        <v>280.05</v>
      </c>
      <c r="N383" s="116">
        <v>281.25</v>
      </c>
      <c r="O383" s="116">
        <v>274</v>
      </c>
      <c r="P383" s="116">
        <v>274</v>
      </c>
      <c r="Q383" s="116">
        <v>280.05</v>
      </c>
      <c r="R383">
        <v>28552</v>
      </c>
    </row>
    <row r="384" spans="1:18" x14ac:dyDescent="0.25">
      <c r="A384" s="169">
        <v>42566</v>
      </c>
      <c r="B384" s="116">
        <v>281.89999999999998</v>
      </c>
      <c r="C384" s="116">
        <v>273.3</v>
      </c>
      <c r="D384" s="116">
        <v>272.85000000000002</v>
      </c>
      <c r="E384" s="116">
        <v>280</v>
      </c>
      <c r="F384" s="116">
        <v>273.3</v>
      </c>
      <c r="G384">
        <v>1332</v>
      </c>
      <c r="H384" s="116"/>
      <c r="I384" s="116"/>
      <c r="L384" s="169">
        <v>42566</v>
      </c>
      <c r="M384" s="116">
        <v>274.7</v>
      </c>
      <c r="N384" s="116">
        <v>281.5</v>
      </c>
      <c r="O384" s="116">
        <v>273.5</v>
      </c>
      <c r="P384" s="116">
        <v>279</v>
      </c>
      <c r="Q384" s="116">
        <v>274.7</v>
      </c>
      <c r="R384">
        <v>16767</v>
      </c>
    </row>
    <row r="385" spans="1:18" x14ac:dyDescent="0.25">
      <c r="A385" s="169">
        <v>42569</v>
      </c>
      <c r="B385" s="116">
        <v>275.89999999999998</v>
      </c>
      <c r="C385" s="116">
        <v>273.55</v>
      </c>
      <c r="D385" s="116">
        <v>271.3</v>
      </c>
      <c r="E385" s="116">
        <v>275.55</v>
      </c>
      <c r="F385" s="116">
        <v>273.55</v>
      </c>
      <c r="G385">
        <v>3229</v>
      </c>
      <c r="H385" s="116"/>
      <c r="I385" s="116"/>
      <c r="L385" s="169">
        <v>42569</v>
      </c>
      <c r="M385" s="116">
        <v>273</v>
      </c>
      <c r="N385" s="116">
        <v>276.95</v>
      </c>
      <c r="O385" s="116">
        <v>270</v>
      </c>
      <c r="P385" s="116">
        <v>273</v>
      </c>
      <c r="Q385" s="116">
        <v>273</v>
      </c>
      <c r="R385">
        <v>6329</v>
      </c>
    </row>
    <row r="386" spans="1:18" x14ac:dyDescent="0.25">
      <c r="A386" s="169">
        <v>42570</v>
      </c>
      <c r="B386" s="116">
        <v>273</v>
      </c>
      <c r="C386" s="116">
        <v>271.14999999999998</v>
      </c>
      <c r="D386" s="116">
        <v>269</v>
      </c>
      <c r="E386" s="116">
        <v>272.55</v>
      </c>
      <c r="F386" s="116">
        <v>271.14999999999998</v>
      </c>
      <c r="G386">
        <v>3020</v>
      </c>
      <c r="H386" s="116"/>
      <c r="I386" s="116"/>
      <c r="L386" s="169">
        <v>42570</v>
      </c>
      <c r="M386" s="116">
        <v>271.55</v>
      </c>
      <c r="N386" s="116">
        <v>276</v>
      </c>
      <c r="O386" s="116">
        <v>268.8</v>
      </c>
      <c r="P386" s="116">
        <v>271.05</v>
      </c>
      <c r="Q386" s="116">
        <v>271.55</v>
      </c>
      <c r="R386">
        <v>9047</v>
      </c>
    </row>
    <row r="387" spans="1:18" x14ac:dyDescent="0.25">
      <c r="A387" s="169">
        <v>42571</v>
      </c>
      <c r="B387" s="116">
        <v>274.7</v>
      </c>
      <c r="C387" s="116">
        <v>272.35000000000002</v>
      </c>
      <c r="D387" s="116">
        <v>269</v>
      </c>
      <c r="E387" s="116">
        <v>272.14999999999998</v>
      </c>
      <c r="F387" s="116">
        <v>272.35000000000002</v>
      </c>
      <c r="G387">
        <v>2800</v>
      </c>
      <c r="H387" s="116"/>
      <c r="I387" s="116"/>
      <c r="L387" s="169">
        <v>42571</v>
      </c>
      <c r="M387" s="116">
        <v>271.95</v>
      </c>
      <c r="N387" s="116">
        <v>274.25</v>
      </c>
      <c r="O387" s="116">
        <v>268.5</v>
      </c>
      <c r="P387" s="116">
        <v>271</v>
      </c>
      <c r="Q387" s="116">
        <v>271.95</v>
      </c>
      <c r="R387">
        <v>27226</v>
      </c>
    </row>
    <row r="388" spans="1:18" x14ac:dyDescent="0.25">
      <c r="A388" s="169">
        <v>42572</v>
      </c>
      <c r="B388" s="116">
        <v>270.25</v>
      </c>
      <c r="C388" s="116">
        <v>269</v>
      </c>
      <c r="D388" s="116">
        <v>265.60000000000002</v>
      </c>
      <c r="E388" s="116">
        <v>270</v>
      </c>
      <c r="F388" s="116">
        <v>269</v>
      </c>
      <c r="G388">
        <v>2205</v>
      </c>
      <c r="H388" s="116"/>
      <c r="I388" s="116"/>
      <c r="L388" s="169">
        <v>42572</v>
      </c>
      <c r="M388" s="116">
        <v>269.75</v>
      </c>
      <c r="N388" s="116">
        <v>271</v>
      </c>
      <c r="O388" s="116">
        <v>266</v>
      </c>
      <c r="P388" s="116">
        <v>271</v>
      </c>
      <c r="Q388" s="116">
        <v>269.75</v>
      </c>
      <c r="R388">
        <v>50469</v>
      </c>
    </row>
    <row r="389" spans="1:18" x14ac:dyDescent="0.25">
      <c r="A389" s="169">
        <v>42573</v>
      </c>
      <c r="B389" s="116">
        <v>269.95</v>
      </c>
      <c r="C389" s="116">
        <v>267.7</v>
      </c>
      <c r="D389" s="116">
        <v>264.55</v>
      </c>
      <c r="E389" s="116">
        <v>269.85000000000002</v>
      </c>
      <c r="F389" s="116">
        <v>267.7</v>
      </c>
      <c r="G389">
        <v>1639</v>
      </c>
      <c r="H389" s="116"/>
      <c r="I389" s="116"/>
      <c r="L389" s="169">
        <v>42573</v>
      </c>
      <c r="M389" s="116">
        <v>269.55</v>
      </c>
      <c r="N389" s="116">
        <v>271</v>
      </c>
      <c r="O389" s="116">
        <v>263.7</v>
      </c>
      <c r="P389" s="116">
        <v>268</v>
      </c>
      <c r="Q389" s="116">
        <v>269.55</v>
      </c>
      <c r="R389">
        <v>29821</v>
      </c>
    </row>
    <row r="390" spans="1:18" x14ac:dyDescent="0.25">
      <c r="A390" s="169">
        <v>42576</v>
      </c>
      <c r="B390" s="116">
        <v>270.25</v>
      </c>
      <c r="C390" s="116">
        <v>265.5</v>
      </c>
      <c r="D390" s="116">
        <v>265</v>
      </c>
      <c r="E390" s="116">
        <v>270</v>
      </c>
      <c r="F390" s="116">
        <v>265.5</v>
      </c>
      <c r="G390">
        <v>2243</v>
      </c>
      <c r="H390" s="116"/>
      <c r="I390" s="116"/>
      <c r="L390" s="169">
        <v>42576</v>
      </c>
      <c r="M390" s="116">
        <v>268</v>
      </c>
      <c r="N390" s="116">
        <v>270.5</v>
      </c>
      <c r="O390" s="116">
        <v>265</v>
      </c>
      <c r="P390" s="116">
        <v>268</v>
      </c>
      <c r="Q390" s="116">
        <v>268</v>
      </c>
      <c r="R390">
        <v>111498</v>
      </c>
    </row>
    <row r="391" spans="1:18" x14ac:dyDescent="0.25">
      <c r="A391" s="169">
        <v>42577</v>
      </c>
      <c r="B391" s="116">
        <v>269</v>
      </c>
      <c r="C391" s="116">
        <v>268.05</v>
      </c>
      <c r="D391" s="116">
        <v>266.39999999999998</v>
      </c>
      <c r="E391" s="116">
        <v>269</v>
      </c>
      <c r="F391" s="116">
        <v>268.05</v>
      </c>
      <c r="G391">
        <v>3331</v>
      </c>
      <c r="H391" s="116"/>
      <c r="I391" s="116"/>
      <c r="L391" s="169">
        <v>42577</v>
      </c>
      <c r="M391" s="116">
        <v>268.5</v>
      </c>
      <c r="N391" s="116">
        <v>270</v>
      </c>
      <c r="O391" s="116">
        <v>265</v>
      </c>
      <c r="P391" s="116">
        <v>269.95</v>
      </c>
      <c r="Q391" s="116">
        <v>268.5</v>
      </c>
      <c r="R391">
        <v>22633</v>
      </c>
    </row>
    <row r="392" spans="1:18" x14ac:dyDescent="0.25">
      <c r="A392" s="169">
        <v>42578</v>
      </c>
      <c r="B392" s="116">
        <v>280.45</v>
      </c>
      <c r="C392" s="116">
        <v>277.7</v>
      </c>
      <c r="D392" s="116">
        <v>267.95</v>
      </c>
      <c r="E392" s="116">
        <v>269.5</v>
      </c>
      <c r="F392" s="116">
        <v>277.7</v>
      </c>
      <c r="G392">
        <v>8528</v>
      </c>
      <c r="H392" s="116"/>
      <c r="I392" s="116"/>
      <c r="L392" s="169">
        <v>42578</v>
      </c>
      <c r="M392" s="116">
        <v>278.7</v>
      </c>
      <c r="N392" s="116">
        <v>281.5</v>
      </c>
      <c r="O392" s="116">
        <v>266</v>
      </c>
      <c r="P392" s="116">
        <v>266</v>
      </c>
      <c r="Q392" s="116">
        <v>278.7</v>
      </c>
      <c r="R392">
        <v>109436</v>
      </c>
    </row>
    <row r="393" spans="1:18" x14ac:dyDescent="0.25">
      <c r="A393" s="169">
        <v>42579</v>
      </c>
      <c r="B393" s="116">
        <v>281.5</v>
      </c>
      <c r="C393" s="116">
        <v>275.60000000000002</v>
      </c>
      <c r="D393" s="116">
        <v>273.35000000000002</v>
      </c>
      <c r="E393" s="116">
        <v>277.5</v>
      </c>
      <c r="F393" s="116">
        <v>275.60000000000002</v>
      </c>
      <c r="G393">
        <v>3919</v>
      </c>
      <c r="H393" s="116"/>
      <c r="I393" s="116"/>
      <c r="L393" s="169">
        <v>42579</v>
      </c>
      <c r="M393" s="116">
        <v>276.25</v>
      </c>
      <c r="N393" s="116">
        <v>282</v>
      </c>
      <c r="O393" s="116">
        <v>274.55</v>
      </c>
      <c r="P393" s="116">
        <v>275</v>
      </c>
      <c r="Q393" s="116">
        <v>276.25</v>
      </c>
      <c r="R393">
        <v>11754</v>
      </c>
    </row>
    <row r="394" spans="1:18" x14ac:dyDescent="0.25">
      <c r="A394" s="169">
        <v>42580</v>
      </c>
      <c r="B394" s="116">
        <v>276.60000000000002</v>
      </c>
      <c r="C394" s="116">
        <v>269.95</v>
      </c>
      <c r="D394" s="116">
        <v>266.55</v>
      </c>
      <c r="E394" s="116">
        <v>272.5</v>
      </c>
      <c r="F394" s="116">
        <v>269.95</v>
      </c>
      <c r="G394">
        <v>3177</v>
      </c>
      <c r="H394" s="116"/>
      <c r="I394" s="116"/>
      <c r="L394" s="169">
        <v>42580</v>
      </c>
      <c r="M394" s="116">
        <v>271.10000000000002</v>
      </c>
      <c r="N394" s="116">
        <v>275</v>
      </c>
      <c r="O394" s="116">
        <v>266.60000000000002</v>
      </c>
      <c r="P394" s="116">
        <v>275</v>
      </c>
      <c r="Q394" s="116">
        <v>271.10000000000002</v>
      </c>
      <c r="R394">
        <v>26592</v>
      </c>
    </row>
    <row r="395" spans="1:18" x14ac:dyDescent="0.25">
      <c r="A395" s="169">
        <v>42583</v>
      </c>
      <c r="B395" s="116">
        <v>271.64999999999998</v>
      </c>
      <c r="C395" s="116">
        <v>268.45</v>
      </c>
      <c r="D395" s="116">
        <v>265.05</v>
      </c>
      <c r="E395" s="116">
        <v>270.89999999999998</v>
      </c>
      <c r="F395" s="116">
        <v>268.45</v>
      </c>
      <c r="G395">
        <v>1062</v>
      </c>
      <c r="H395" s="116"/>
      <c r="I395" s="116"/>
      <c r="L395" s="169">
        <v>42583</v>
      </c>
      <c r="M395" s="116">
        <v>269.3</v>
      </c>
      <c r="N395" s="116">
        <v>277.89999999999998</v>
      </c>
      <c r="O395" s="116">
        <v>264.60000000000002</v>
      </c>
      <c r="P395" s="116">
        <v>272</v>
      </c>
      <c r="Q395" s="116">
        <v>269.3</v>
      </c>
      <c r="R395">
        <v>19372</v>
      </c>
    </row>
    <row r="396" spans="1:18" x14ac:dyDescent="0.25">
      <c r="A396" s="169">
        <v>42584</v>
      </c>
      <c r="B396" s="116">
        <v>274.5</v>
      </c>
      <c r="C396" s="116">
        <v>267.3</v>
      </c>
      <c r="D396" s="116">
        <v>266.45</v>
      </c>
      <c r="E396" s="116">
        <v>268.5</v>
      </c>
      <c r="F396" s="116">
        <v>267.3</v>
      </c>
      <c r="G396">
        <v>2803</v>
      </c>
      <c r="H396" s="116"/>
      <c r="I396" s="116"/>
      <c r="L396" s="169">
        <v>42584</v>
      </c>
      <c r="M396" s="116">
        <v>266.85000000000002</v>
      </c>
      <c r="N396" s="116">
        <v>274.89999999999998</v>
      </c>
      <c r="O396" s="116">
        <v>265.89999999999998</v>
      </c>
      <c r="P396" s="116">
        <v>268</v>
      </c>
      <c r="Q396" s="116">
        <v>266.85000000000002</v>
      </c>
      <c r="R396">
        <v>24982</v>
      </c>
    </row>
    <row r="397" spans="1:18" x14ac:dyDescent="0.25">
      <c r="A397" s="169">
        <v>42585</v>
      </c>
      <c r="B397" s="116">
        <v>265.10000000000002</v>
      </c>
      <c r="C397" s="116">
        <v>259.05</v>
      </c>
      <c r="D397" s="116">
        <v>255.7</v>
      </c>
      <c r="E397" s="116">
        <v>265.10000000000002</v>
      </c>
      <c r="F397" s="116">
        <v>259.05</v>
      </c>
      <c r="G397">
        <v>8778</v>
      </c>
      <c r="H397" s="116"/>
      <c r="I397" s="116"/>
      <c r="L397" s="169">
        <v>42585</v>
      </c>
      <c r="M397" s="116">
        <v>261.39999999999998</v>
      </c>
      <c r="N397" s="116">
        <v>267.3</v>
      </c>
      <c r="O397" s="116">
        <v>255.45</v>
      </c>
      <c r="P397" s="116">
        <v>267</v>
      </c>
      <c r="Q397" s="116">
        <v>261.39999999999998</v>
      </c>
      <c r="R397">
        <v>47131</v>
      </c>
    </row>
    <row r="398" spans="1:18" x14ac:dyDescent="0.25">
      <c r="A398" s="169">
        <v>42586</v>
      </c>
      <c r="B398" s="116">
        <v>262.7</v>
      </c>
      <c r="C398" s="116">
        <v>258.3</v>
      </c>
      <c r="D398" s="116">
        <v>256</v>
      </c>
      <c r="E398" s="116">
        <v>261.05</v>
      </c>
      <c r="F398" s="116">
        <v>258.3</v>
      </c>
      <c r="G398">
        <v>1689</v>
      </c>
      <c r="H398" s="116"/>
      <c r="I398" s="116"/>
      <c r="L398" s="169">
        <v>42586</v>
      </c>
      <c r="M398" s="116">
        <v>258.35000000000002</v>
      </c>
      <c r="N398" s="116">
        <v>263</v>
      </c>
      <c r="O398" s="116">
        <v>256</v>
      </c>
      <c r="P398" s="116">
        <v>259</v>
      </c>
      <c r="Q398" s="116">
        <v>258.35000000000002</v>
      </c>
      <c r="R398">
        <v>17477</v>
      </c>
    </row>
    <row r="399" spans="1:18" x14ac:dyDescent="0.25">
      <c r="A399" s="169">
        <v>42587</v>
      </c>
      <c r="B399" s="116">
        <v>262</v>
      </c>
      <c r="C399" s="116">
        <v>257.3</v>
      </c>
      <c r="D399" s="116">
        <v>257</v>
      </c>
      <c r="E399" s="116">
        <v>260.60000000000002</v>
      </c>
      <c r="F399" s="116">
        <v>257.3</v>
      </c>
      <c r="G399">
        <v>792</v>
      </c>
      <c r="H399" s="116"/>
      <c r="I399" s="116"/>
      <c r="L399" s="169">
        <v>42587</v>
      </c>
      <c r="M399" s="116">
        <v>257.7</v>
      </c>
      <c r="N399" s="116">
        <v>262.8</v>
      </c>
      <c r="O399" s="116">
        <v>257</v>
      </c>
      <c r="P399" s="116">
        <v>257</v>
      </c>
      <c r="Q399" s="116">
        <v>257.7</v>
      </c>
      <c r="R399">
        <v>13959</v>
      </c>
    </row>
    <row r="400" spans="1:18" x14ac:dyDescent="0.25">
      <c r="A400" s="169">
        <v>42590</v>
      </c>
      <c r="B400" s="116">
        <v>259</v>
      </c>
      <c r="C400" s="116">
        <v>255.85</v>
      </c>
      <c r="D400" s="116">
        <v>254</v>
      </c>
      <c r="E400" s="116">
        <v>255</v>
      </c>
      <c r="F400" s="116">
        <v>255.85</v>
      </c>
      <c r="G400">
        <v>1294</v>
      </c>
      <c r="H400" s="116"/>
      <c r="I400" s="116"/>
      <c r="L400" s="169">
        <v>42590</v>
      </c>
      <c r="M400" s="116">
        <v>255.25</v>
      </c>
      <c r="N400" s="116">
        <v>259.45</v>
      </c>
      <c r="O400" s="116">
        <v>251.5</v>
      </c>
      <c r="P400" s="116">
        <v>257</v>
      </c>
      <c r="Q400" s="116">
        <v>255.25</v>
      </c>
      <c r="R400">
        <v>9638</v>
      </c>
    </row>
    <row r="401" spans="1:18" x14ac:dyDescent="0.25">
      <c r="A401" s="169">
        <v>42591</v>
      </c>
      <c r="B401" s="116">
        <v>256</v>
      </c>
      <c r="C401" s="116">
        <v>253.6</v>
      </c>
      <c r="D401" s="116">
        <v>252</v>
      </c>
      <c r="E401" s="116">
        <v>255</v>
      </c>
      <c r="F401" s="116">
        <v>253.6</v>
      </c>
      <c r="G401">
        <v>390</v>
      </c>
      <c r="H401" s="116"/>
      <c r="I401" s="116"/>
      <c r="L401" s="169">
        <v>42591</v>
      </c>
      <c r="M401" s="116">
        <v>254.75</v>
      </c>
      <c r="N401" s="116">
        <v>256.64999999999998</v>
      </c>
      <c r="O401" s="116">
        <v>252.35</v>
      </c>
      <c r="P401" s="116">
        <v>254.25</v>
      </c>
      <c r="Q401" s="116">
        <v>254.75</v>
      </c>
      <c r="R401">
        <v>5856</v>
      </c>
    </row>
    <row r="402" spans="1:18" x14ac:dyDescent="0.25">
      <c r="A402" s="169">
        <v>42592</v>
      </c>
      <c r="B402" s="116">
        <v>257</v>
      </c>
      <c r="C402" s="116">
        <v>254.75</v>
      </c>
      <c r="D402" s="116">
        <v>252.1</v>
      </c>
      <c r="E402" s="116">
        <v>252.1</v>
      </c>
      <c r="F402" s="116">
        <v>254.75</v>
      </c>
      <c r="G402">
        <v>505</v>
      </c>
      <c r="H402" s="116"/>
      <c r="I402" s="116"/>
      <c r="L402" s="169">
        <v>42592</v>
      </c>
      <c r="M402" s="116">
        <v>254.85</v>
      </c>
      <c r="N402" s="116">
        <v>257.5</v>
      </c>
      <c r="O402" s="116">
        <v>251.25</v>
      </c>
      <c r="P402" s="116">
        <v>255</v>
      </c>
      <c r="Q402" s="116">
        <v>254.85</v>
      </c>
      <c r="R402">
        <v>10231</v>
      </c>
    </row>
    <row r="403" spans="1:18" x14ac:dyDescent="0.25">
      <c r="A403" s="169">
        <v>42593</v>
      </c>
      <c r="B403" s="116">
        <v>257.5</v>
      </c>
      <c r="C403" s="116">
        <v>253.1</v>
      </c>
      <c r="D403" s="116">
        <v>250.1</v>
      </c>
      <c r="E403" s="116">
        <v>253</v>
      </c>
      <c r="F403" s="116">
        <v>253.1</v>
      </c>
      <c r="G403">
        <v>2347</v>
      </c>
      <c r="H403" s="116"/>
      <c r="I403" s="116"/>
      <c r="L403" s="169">
        <v>42593</v>
      </c>
      <c r="M403" s="116">
        <v>254.2</v>
      </c>
      <c r="N403" s="116">
        <v>257.45</v>
      </c>
      <c r="O403" s="116">
        <v>248.7</v>
      </c>
      <c r="P403" s="116">
        <v>253</v>
      </c>
      <c r="Q403" s="116">
        <v>254.2</v>
      </c>
      <c r="R403">
        <v>19958</v>
      </c>
    </row>
    <row r="404" spans="1:18" x14ac:dyDescent="0.25">
      <c r="A404" s="169">
        <v>42594</v>
      </c>
      <c r="B404" s="116">
        <v>260.5</v>
      </c>
      <c r="C404" s="116">
        <v>255.55</v>
      </c>
      <c r="D404" s="116">
        <v>252.5</v>
      </c>
      <c r="E404" s="116">
        <v>252.5</v>
      </c>
      <c r="F404" s="116">
        <v>255.55</v>
      </c>
      <c r="G404">
        <v>1781</v>
      </c>
      <c r="H404" s="116"/>
      <c r="I404" s="116"/>
      <c r="L404" s="169">
        <v>42594</v>
      </c>
      <c r="M404" s="116">
        <v>256.60000000000002</v>
      </c>
      <c r="N404" s="116">
        <v>260</v>
      </c>
      <c r="O404" s="116">
        <v>251.2</v>
      </c>
      <c r="P404" s="116">
        <v>253</v>
      </c>
      <c r="Q404" s="116">
        <v>256.60000000000002</v>
      </c>
      <c r="R404">
        <v>3156</v>
      </c>
    </row>
    <row r="405" spans="1:18" x14ac:dyDescent="0.25">
      <c r="A405" s="169">
        <v>42598</v>
      </c>
      <c r="B405" s="116">
        <v>257.95</v>
      </c>
      <c r="C405" s="116">
        <v>256.55</v>
      </c>
      <c r="D405" s="116">
        <v>250.45</v>
      </c>
      <c r="E405" s="116">
        <v>252</v>
      </c>
      <c r="F405" s="116">
        <v>256.55</v>
      </c>
      <c r="G405">
        <v>202872</v>
      </c>
      <c r="H405" s="116"/>
      <c r="I405" s="116"/>
      <c r="L405" s="169">
        <v>42598</v>
      </c>
      <c r="M405" s="116">
        <v>257.89999999999998</v>
      </c>
      <c r="N405" s="116">
        <v>262.89999999999998</v>
      </c>
      <c r="O405" s="116">
        <v>250.35</v>
      </c>
      <c r="P405" s="116">
        <v>253</v>
      </c>
      <c r="Q405" s="116">
        <v>257.89999999999998</v>
      </c>
      <c r="R405">
        <v>11058</v>
      </c>
    </row>
    <row r="406" spans="1:18" x14ac:dyDescent="0.25">
      <c r="A406" s="169">
        <v>42599</v>
      </c>
      <c r="B406" s="116">
        <v>261.75</v>
      </c>
      <c r="C406" s="116">
        <v>256.64999999999998</v>
      </c>
      <c r="D406" s="116">
        <v>253.5</v>
      </c>
      <c r="E406" s="116">
        <v>253.55</v>
      </c>
      <c r="F406" s="116">
        <v>256.64999999999998</v>
      </c>
      <c r="G406">
        <v>12993</v>
      </c>
      <c r="H406" s="116"/>
      <c r="I406" s="116"/>
      <c r="L406" s="169">
        <v>42599</v>
      </c>
      <c r="M406" s="116">
        <v>258.8</v>
      </c>
      <c r="N406" s="116">
        <v>261.25</v>
      </c>
      <c r="O406" s="116">
        <v>253.35</v>
      </c>
      <c r="P406" s="116">
        <v>256</v>
      </c>
      <c r="Q406" s="116">
        <v>258.8</v>
      </c>
      <c r="R406">
        <v>15400</v>
      </c>
    </row>
    <row r="407" spans="1:18" x14ac:dyDescent="0.25">
      <c r="A407" s="169">
        <v>42600</v>
      </c>
      <c r="B407" s="116">
        <v>269.85000000000002</v>
      </c>
      <c r="C407" s="116">
        <v>263.8</v>
      </c>
      <c r="D407" s="116">
        <v>253.8</v>
      </c>
      <c r="E407" s="116">
        <v>253.8</v>
      </c>
      <c r="F407" s="116">
        <v>263.8</v>
      </c>
      <c r="G407">
        <v>4897</v>
      </c>
      <c r="H407" s="116"/>
      <c r="I407" s="116"/>
      <c r="L407" s="169">
        <v>42600</v>
      </c>
      <c r="M407" s="116">
        <v>267.25</v>
      </c>
      <c r="N407" s="116">
        <v>269.95</v>
      </c>
      <c r="O407" s="116">
        <v>252</v>
      </c>
      <c r="P407" s="116">
        <v>256</v>
      </c>
      <c r="Q407" s="116">
        <v>267.25</v>
      </c>
      <c r="R407">
        <v>52447</v>
      </c>
    </row>
    <row r="408" spans="1:18" x14ac:dyDescent="0.25">
      <c r="A408" s="169">
        <v>42601</v>
      </c>
      <c r="B408" s="116">
        <v>271</v>
      </c>
      <c r="C408" s="116">
        <v>269.95</v>
      </c>
      <c r="D408" s="116">
        <v>263.8</v>
      </c>
      <c r="E408" s="116">
        <v>264.14999999999998</v>
      </c>
      <c r="F408" s="116">
        <v>269.95</v>
      </c>
      <c r="G408">
        <v>44068</v>
      </c>
      <c r="H408" s="116"/>
      <c r="I408" s="116"/>
      <c r="L408" s="169">
        <v>42601</v>
      </c>
      <c r="M408" s="116">
        <v>268.14999999999998</v>
      </c>
      <c r="N408" s="116">
        <v>269</v>
      </c>
      <c r="O408" s="116">
        <v>263.35000000000002</v>
      </c>
      <c r="P408" s="116">
        <v>266</v>
      </c>
      <c r="Q408" s="116">
        <v>268.14999999999998</v>
      </c>
      <c r="R408">
        <v>19304</v>
      </c>
    </row>
    <row r="409" spans="1:18" x14ac:dyDescent="0.25">
      <c r="A409" s="169">
        <v>42604</v>
      </c>
      <c r="B409" s="116">
        <v>270</v>
      </c>
      <c r="C409" s="116">
        <v>266.85000000000002</v>
      </c>
      <c r="D409" s="116">
        <v>264</v>
      </c>
      <c r="E409" s="116">
        <v>270</v>
      </c>
      <c r="F409" s="116">
        <v>266.85000000000002</v>
      </c>
      <c r="G409">
        <v>617</v>
      </c>
      <c r="H409" s="116"/>
      <c r="I409" s="116"/>
      <c r="L409" s="169">
        <v>42604</v>
      </c>
      <c r="M409" s="116">
        <v>266.95</v>
      </c>
      <c r="N409" s="116">
        <v>269.95</v>
      </c>
      <c r="O409" s="116">
        <v>262.5</v>
      </c>
      <c r="P409" s="116">
        <v>266</v>
      </c>
      <c r="Q409" s="116">
        <v>266.95</v>
      </c>
      <c r="R409">
        <v>8188</v>
      </c>
    </row>
    <row r="410" spans="1:18" x14ac:dyDescent="0.25">
      <c r="A410" s="169">
        <v>42605</v>
      </c>
      <c r="B410" s="116">
        <v>282</v>
      </c>
      <c r="C410" s="116">
        <v>278.5</v>
      </c>
      <c r="D410" s="116">
        <v>262.14999999999998</v>
      </c>
      <c r="E410" s="116">
        <v>265.2</v>
      </c>
      <c r="F410" s="116">
        <v>278.5</v>
      </c>
      <c r="G410">
        <v>16696</v>
      </c>
      <c r="H410" s="116"/>
      <c r="I410" s="116"/>
      <c r="L410" s="169">
        <v>42605</v>
      </c>
      <c r="M410" s="116">
        <v>272.85000000000002</v>
      </c>
      <c r="N410" s="116">
        <v>278</v>
      </c>
      <c r="O410" s="116">
        <v>262.2</v>
      </c>
      <c r="P410" s="116">
        <v>266</v>
      </c>
      <c r="Q410" s="116">
        <v>272.85000000000002</v>
      </c>
      <c r="R410">
        <v>44906</v>
      </c>
    </row>
    <row r="411" spans="1:18" x14ac:dyDescent="0.25">
      <c r="A411" s="169">
        <v>42606</v>
      </c>
      <c r="B411" s="116">
        <v>276.89999999999998</v>
      </c>
      <c r="C411" s="116">
        <v>273.25</v>
      </c>
      <c r="D411" s="116">
        <v>270</v>
      </c>
      <c r="E411" s="116">
        <v>270.7</v>
      </c>
      <c r="F411" s="116">
        <v>273.25</v>
      </c>
      <c r="G411">
        <v>4085</v>
      </c>
      <c r="H411" s="116"/>
      <c r="I411" s="116"/>
      <c r="L411" s="169">
        <v>42606</v>
      </c>
      <c r="M411" s="116">
        <v>276.14999999999998</v>
      </c>
      <c r="N411" s="116">
        <v>278</v>
      </c>
      <c r="O411" s="116">
        <v>270.14999999999998</v>
      </c>
      <c r="P411" s="116">
        <v>271.05</v>
      </c>
      <c r="Q411" s="116">
        <v>276.14999999999998</v>
      </c>
      <c r="R411">
        <v>46145</v>
      </c>
    </row>
    <row r="412" spans="1:18" x14ac:dyDescent="0.25">
      <c r="A412" s="169">
        <v>42607</v>
      </c>
      <c r="B412" s="116">
        <v>272.60000000000002</v>
      </c>
      <c r="C412" s="116">
        <v>269.95</v>
      </c>
      <c r="D412" s="116">
        <v>268.05</v>
      </c>
      <c r="E412" s="116">
        <v>272.60000000000002</v>
      </c>
      <c r="F412" s="116">
        <v>269.95</v>
      </c>
      <c r="G412">
        <v>1117</v>
      </c>
      <c r="H412" s="116"/>
      <c r="I412" s="116"/>
      <c r="L412" s="169">
        <v>42607</v>
      </c>
      <c r="M412" s="116">
        <v>270.85000000000002</v>
      </c>
      <c r="N412" s="116">
        <v>276.89999999999998</v>
      </c>
      <c r="O412" s="116">
        <v>269</v>
      </c>
      <c r="P412" s="116">
        <v>274</v>
      </c>
      <c r="Q412" s="116">
        <v>270.85000000000002</v>
      </c>
      <c r="R412">
        <v>12065</v>
      </c>
    </row>
    <row r="413" spans="1:18" x14ac:dyDescent="0.25">
      <c r="A413" s="169">
        <v>42608</v>
      </c>
      <c r="B413" s="116">
        <v>273</v>
      </c>
      <c r="C413" s="116">
        <v>268.10000000000002</v>
      </c>
      <c r="D413" s="116">
        <v>264.5</v>
      </c>
      <c r="E413" s="116">
        <v>270</v>
      </c>
      <c r="F413" s="116">
        <v>268.10000000000002</v>
      </c>
      <c r="G413">
        <v>4537</v>
      </c>
      <c r="H413" s="116"/>
      <c r="I413" s="116"/>
      <c r="L413" s="169">
        <v>42608</v>
      </c>
      <c r="M413" s="116">
        <v>266</v>
      </c>
      <c r="N413" s="116">
        <v>273.89999999999998</v>
      </c>
      <c r="O413" s="116">
        <v>263.3</v>
      </c>
      <c r="P413" s="116">
        <v>270.10000000000002</v>
      </c>
      <c r="Q413" s="116">
        <v>266</v>
      </c>
      <c r="R413">
        <v>112017</v>
      </c>
    </row>
    <row r="414" spans="1:18" x14ac:dyDescent="0.25">
      <c r="A414" s="169">
        <v>42611</v>
      </c>
      <c r="B414" s="116">
        <v>270.10000000000002</v>
      </c>
      <c r="C414" s="116">
        <v>266.55</v>
      </c>
      <c r="D414" s="116">
        <v>266.10000000000002</v>
      </c>
      <c r="E414" s="116">
        <v>268.35000000000002</v>
      </c>
      <c r="F414" s="116">
        <v>266.55</v>
      </c>
      <c r="G414">
        <v>969</v>
      </c>
      <c r="H414" s="116"/>
      <c r="I414" s="116"/>
      <c r="L414" s="169">
        <v>42611</v>
      </c>
      <c r="M414" s="116">
        <v>269.5</v>
      </c>
      <c r="N414" s="116">
        <v>270.95</v>
      </c>
      <c r="O414" s="116">
        <v>261.35000000000002</v>
      </c>
      <c r="P414" s="116">
        <v>265</v>
      </c>
      <c r="Q414" s="116">
        <v>269.5</v>
      </c>
      <c r="R414">
        <v>136434</v>
      </c>
    </row>
    <row r="415" spans="1:18" x14ac:dyDescent="0.25">
      <c r="A415" s="169">
        <v>42612</v>
      </c>
      <c r="B415" s="116">
        <v>274.5</v>
      </c>
      <c r="C415" s="116">
        <v>269.14999999999998</v>
      </c>
      <c r="D415" s="116">
        <v>267.14999999999998</v>
      </c>
      <c r="E415" s="116">
        <v>267.5</v>
      </c>
      <c r="F415" s="116">
        <v>269.14999999999998</v>
      </c>
      <c r="G415">
        <v>4299</v>
      </c>
      <c r="H415" s="116"/>
      <c r="I415" s="116"/>
      <c r="L415" s="169">
        <v>42612</v>
      </c>
      <c r="M415" s="116">
        <v>270.7</v>
      </c>
      <c r="N415" s="116">
        <v>274.3</v>
      </c>
      <c r="O415" s="116">
        <v>266.60000000000002</v>
      </c>
      <c r="P415" s="116">
        <v>268</v>
      </c>
      <c r="Q415" s="116">
        <v>270.7</v>
      </c>
      <c r="R415">
        <v>17144</v>
      </c>
    </row>
    <row r="416" spans="1:18" x14ac:dyDescent="0.25">
      <c r="A416" s="169">
        <v>42613</v>
      </c>
      <c r="B416" s="116">
        <v>269</v>
      </c>
      <c r="C416" s="116">
        <v>265.5</v>
      </c>
      <c r="D416" s="116">
        <v>264.05</v>
      </c>
      <c r="E416" s="116">
        <v>267</v>
      </c>
      <c r="F416" s="116">
        <v>265.5</v>
      </c>
      <c r="G416">
        <v>6224</v>
      </c>
      <c r="H416" s="116"/>
      <c r="I416" s="116"/>
      <c r="L416" s="169">
        <v>42613</v>
      </c>
      <c r="M416" s="116">
        <v>269</v>
      </c>
      <c r="N416" s="116">
        <v>270.8</v>
      </c>
      <c r="O416" s="116">
        <v>265.10000000000002</v>
      </c>
      <c r="P416" s="116">
        <v>269.8</v>
      </c>
      <c r="Q416" s="116">
        <v>269</v>
      </c>
      <c r="R416">
        <v>19640</v>
      </c>
    </row>
    <row r="417" spans="1:18" x14ac:dyDescent="0.25">
      <c r="A417" s="169">
        <v>42614</v>
      </c>
      <c r="B417" s="116">
        <v>270</v>
      </c>
      <c r="C417" s="116">
        <v>267.14999999999998</v>
      </c>
      <c r="D417" s="116">
        <v>264.25</v>
      </c>
      <c r="E417" s="116">
        <v>268</v>
      </c>
      <c r="F417" s="116">
        <v>267.14999999999998</v>
      </c>
      <c r="G417">
        <v>16680</v>
      </c>
      <c r="H417" s="116"/>
      <c r="I417" s="116"/>
      <c r="L417" s="169">
        <v>42614</v>
      </c>
      <c r="M417" s="116">
        <v>266.10000000000002</v>
      </c>
      <c r="N417" s="116">
        <v>270</v>
      </c>
      <c r="O417" s="116">
        <v>264.10000000000002</v>
      </c>
      <c r="P417" s="116">
        <v>268</v>
      </c>
      <c r="Q417" s="116">
        <v>266.10000000000002</v>
      </c>
      <c r="R417">
        <v>16430</v>
      </c>
    </row>
    <row r="418" spans="1:18" x14ac:dyDescent="0.25">
      <c r="A418" s="169">
        <v>42615</v>
      </c>
      <c r="B418" s="116">
        <v>267.5</v>
      </c>
      <c r="C418" s="116">
        <v>265.55</v>
      </c>
      <c r="D418" s="116">
        <v>264.10000000000002</v>
      </c>
      <c r="E418" s="116">
        <v>265.55</v>
      </c>
      <c r="F418" s="116">
        <v>265.55</v>
      </c>
      <c r="G418">
        <v>3622</v>
      </c>
      <c r="H418" s="116"/>
      <c r="I418" s="116"/>
      <c r="L418" s="169">
        <v>42615</v>
      </c>
      <c r="M418" s="116">
        <v>263.60000000000002</v>
      </c>
      <c r="N418" s="116">
        <v>267.75</v>
      </c>
      <c r="O418" s="116">
        <v>262.5</v>
      </c>
      <c r="P418" s="116">
        <v>265</v>
      </c>
      <c r="Q418" s="116">
        <v>263.60000000000002</v>
      </c>
      <c r="R418">
        <v>99370</v>
      </c>
    </row>
    <row r="419" spans="1:18" x14ac:dyDescent="0.25">
      <c r="A419" s="169">
        <v>42619</v>
      </c>
      <c r="B419" s="116">
        <v>264.5</v>
      </c>
      <c r="C419" s="116">
        <v>259.55</v>
      </c>
      <c r="D419" s="116">
        <v>258.60000000000002</v>
      </c>
      <c r="E419" s="116">
        <v>262.5</v>
      </c>
      <c r="F419" s="116">
        <v>259.55</v>
      </c>
      <c r="G419">
        <v>8186</v>
      </c>
      <c r="H419" s="116"/>
      <c r="I419" s="116"/>
      <c r="L419" s="169">
        <v>42619</v>
      </c>
      <c r="M419" s="116">
        <v>260.14999999999998</v>
      </c>
      <c r="N419" s="116">
        <v>264.45</v>
      </c>
      <c r="O419" s="116">
        <v>256.35000000000002</v>
      </c>
      <c r="P419" s="116">
        <v>262</v>
      </c>
      <c r="Q419" s="116">
        <v>260.14999999999998</v>
      </c>
      <c r="R419">
        <v>11782</v>
      </c>
    </row>
    <row r="420" spans="1:18" x14ac:dyDescent="0.25">
      <c r="A420" s="169">
        <v>42620</v>
      </c>
      <c r="B420" s="116">
        <v>262</v>
      </c>
      <c r="C420" s="116">
        <v>255.1</v>
      </c>
      <c r="D420" s="116">
        <v>253</v>
      </c>
      <c r="E420" s="116">
        <v>262</v>
      </c>
      <c r="F420" s="116">
        <v>255.1</v>
      </c>
      <c r="G420">
        <v>2585</v>
      </c>
      <c r="H420" s="116"/>
      <c r="I420" s="116"/>
      <c r="L420" s="169">
        <v>42620</v>
      </c>
      <c r="M420" s="116">
        <v>255.45</v>
      </c>
      <c r="N420" s="116">
        <v>263.25</v>
      </c>
      <c r="O420" s="116">
        <v>252.2</v>
      </c>
      <c r="P420" s="116">
        <v>259</v>
      </c>
      <c r="Q420" s="116">
        <v>255.45</v>
      </c>
      <c r="R420">
        <v>24314</v>
      </c>
    </row>
    <row r="421" spans="1:18" x14ac:dyDescent="0.25">
      <c r="A421" s="169">
        <v>42621</v>
      </c>
      <c r="B421" s="116">
        <v>264</v>
      </c>
      <c r="C421" s="116">
        <v>260.95</v>
      </c>
      <c r="D421" s="116">
        <v>251.2</v>
      </c>
      <c r="E421" s="116">
        <v>256</v>
      </c>
      <c r="F421" s="116">
        <v>260.95</v>
      </c>
      <c r="G421">
        <v>2095</v>
      </c>
      <c r="H421" s="116"/>
      <c r="I421" s="116"/>
      <c r="L421" s="169">
        <v>42621</v>
      </c>
      <c r="M421" s="116">
        <v>260</v>
      </c>
      <c r="N421" s="116">
        <v>265</v>
      </c>
      <c r="O421" s="116">
        <v>251.6</v>
      </c>
      <c r="P421" s="116">
        <v>254</v>
      </c>
      <c r="Q421" s="116">
        <v>260</v>
      </c>
      <c r="R421">
        <v>27847</v>
      </c>
    </row>
    <row r="422" spans="1:18" x14ac:dyDescent="0.25">
      <c r="A422" s="169">
        <v>42622</v>
      </c>
      <c r="B422" s="116">
        <v>259.8</v>
      </c>
      <c r="C422" s="116">
        <v>249.6</v>
      </c>
      <c r="D422" s="116">
        <v>248.45</v>
      </c>
      <c r="E422" s="116">
        <v>255</v>
      </c>
      <c r="F422" s="116">
        <v>249.6</v>
      </c>
      <c r="G422">
        <v>5107</v>
      </c>
      <c r="H422" s="116"/>
      <c r="I422" s="116"/>
      <c r="L422" s="169">
        <v>42622</v>
      </c>
      <c r="M422" s="116">
        <v>250.55</v>
      </c>
      <c r="N422" s="116">
        <v>260</v>
      </c>
      <c r="O422" s="116">
        <v>248.55</v>
      </c>
      <c r="P422" s="116">
        <v>258</v>
      </c>
      <c r="Q422" s="116">
        <v>250.55</v>
      </c>
      <c r="R422">
        <v>27275</v>
      </c>
    </row>
    <row r="423" spans="1:18" x14ac:dyDescent="0.25">
      <c r="A423" s="169">
        <v>42625</v>
      </c>
      <c r="B423" s="116">
        <v>249</v>
      </c>
      <c r="C423" s="116">
        <v>246.3</v>
      </c>
      <c r="D423" s="116">
        <v>244.05</v>
      </c>
      <c r="E423" s="116">
        <v>247</v>
      </c>
      <c r="F423" s="116">
        <v>246.3</v>
      </c>
      <c r="G423">
        <v>1181</v>
      </c>
      <c r="H423" s="116"/>
      <c r="I423" s="116"/>
      <c r="L423" s="169">
        <v>42625</v>
      </c>
      <c r="M423" s="116">
        <v>246.3</v>
      </c>
      <c r="N423" s="116">
        <v>249</v>
      </c>
      <c r="O423" s="116">
        <v>242.6</v>
      </c>
      <c r="P423" s="116">
        <v>248.8</v>
      </c>
      <c r="Q423" s="116">
        <v>246.3</v>
      </c>
      <c r="R423">
        <v>9757</v>
      </c>
    </row>
    <row r="424" spans="1:18" x14ac:dyDescent="0.25">
      <c r="A424" s="169">
        <v>42627</v>
      </c>
      <c r="B424" s="116">
        <v>251</v>
      </c>
      <c r="C424" s="116">
        <v>249.15</v>
      </c>
      <c r="D424" s="116">
        <v>246.4</v>
      </c>
      <c r="E424" s="116">
        <v>250</v>
      </c>
      <c r="F424" s="116">
        <v>249.15</v>
      </c>
      <c r="G424">
        <v>378</v>
      </c>
      <c r="H424" s="116"/>
      <c r="I424" s="116"/>
      <c r="L424" s="169">
        <v>42627</v>
      </c>
      <c r="M424" s="116">
        <v>249.3</v>
      </c>
      <c r="N424" s="116">
        <v>252.95</v>
      </c>
      <c r="O424" s="116">
        <v>245</v>
      </c>
      <c r="P424" s="116">
        <v>245</v>
      </c>
      <c r="Q424" s="116">
        <v>249.3</v>
      </c>
      <c r="R424">
        <v>7737</v>
      </c>
    </row>
    <row r="425" spans="1:18" x14ac:dyDescent="0.25">
      <c r="A425" s="169">
        <v>42628</v>
      </c>
      <c r="B425" s="116">
        <v>250.2</v>
      </c>
      <c r="C425" s="116">
        <v>248.65</v>
      </c>
      <c r="D425" s="116">
        <v>248</v>
      </c>
      <c r="E425" s="116">
        <v>249</v>
      </c>
      <c r="F425" s="116">
        <v>248.65</v>
      </c>
      <c r="G425">
        <v>926</v>
      </c>
      <c r="H425" s="116"/>
      <c r="I425" s="116"/>
      <c r="L425" s="169">
        <v>42628</v>
      </c>
      <c r="M425" s="116">
        <v>249.05</v>
      </c>
      <c r="N425" s="116">
        <v>250.5</v>
      </c>
      <c r="O425" s="116">
        <v>248</v>
      </c>
      <c r="P425" s="116">
        <v>249.25</v>
      </c>
      <c r="Q425" s="116">
        <v>249.05</v>
      </c>
      <c r="R425">
        <v>11738</v>
      </c>
    </row>
    <row r="426" spans="1:18" x14ac:dyDescent="0.25">
      <c r="A426" s="169">
        <v>42629</v>
      </c>
      <c r="B426" s="116">
        <v>261.85000000000002</v>
      </c>
      <c r="C426" s="116">
        <v>260.14999999999998</v>
      </c>
      <c r="D426" s="116">
        <v>248.65</v>
      </c>
      <c r="E426" s="116">
        <v>250.9</v>
      </c>
      <c r="F426" s="116">
        <v>260.14999999999998</v>
      </c>
      <c r="G426">
        <v>4052</v>
      </c>
      <c r="H426" s="116"/>
      <c r="I426" s="116"/>
      <c r="L426" s="169">
        <v>42629</v>
      </c>
      <c r="M426" s="116">
        <v>260.55</v>
      </c>
      <c r="N426" s="116">
        <v>262</v>
      </c>
      <c r="O426" s="116">
        <v>249</v>
      </c>
      <c r="P426" s="116">
        <v>249</v>
      </c>
      <c r="Q426" s="116">
        <v>260.55</v>
      </c>
      <c r="R426">
        <v>131352</v>
      </c>
    </row>
    <row r="427" spans="1:18" x14ac:dyDescent="0.25">
      <c r="A427" s="169">
        <v>42632</v>
      </c>
      <c r="B427" s="116">
        <v>268.3</v>
      </c>
      <c r="C427" s="116">
        <v>264</v>
      </c>
      <c r="D427" s="116">
        <v>260.55</v>
      </c>
      <c r="E427" s="116">
        <v>265</v>
      </c>
      <c r="F427" s="116">
        <v>264</v>
      </c>
      <c r="G427">
        <v>5221</v>
      </c>
      <c r="H427" s="116"/>
      <c r="I427" s="116"/>
      <c r="L427" s="169">
        <v>42632</v>
      </c>
      <c r="M427" s="116">
        <v>265</v>
      </c>
      <c r="N427" s="116">
        <v>269.39999999999998</v>
      </c>
      <c r="O427" s="116">
        <v>257.8</v>
      </c>
      <c r="P427" s="116">
        <v>257.8</v>
      </c>
      <c r="Q427" s="116">
        <v>265</v>
      </c>
      <c r="R427">
        <v>39764</v>
      </c>
    </row>
    <row r="428" spans="1:18" x14ac:dyDescent="0.25">
      <c r="A428" s="169">
        <v>42633</v>
      </c>
      <c r="B428" s="116">
        <v>263.14999999999998</v>
      </c>
      <c r="C428" s="116">
        <v>262.8</v>
      </c>
      <c r="D428" s="116">
        <v>260.14999999999998</v>
      </c>
      <c r="E428" s="116">
        <v>262.7</v>
      </c>
      <c r="F428" s="116">
        <v>262.8</v>
      </c>
      <c r="G428">
        <v>857</v>
      </c>
      <c r="H428" s="116"/>
      <c r="I428" s="116"/>
      <c r="L428" s="169">
        <v>42633</v>
      </c>
      <c r="M428" s="116">
        <v>262.95</v>
      </c>
      <c r="N428" s="116">
        <v>264.89999999999998</v>
      </c>
      <c r="O428" s="116">
        <v>259.5</v>
      </c>
      <c r="P428" s="116">
        <v>263</v>
      </c>
      <c r="Q428" s="116">
        <v>262.95</v>
      </c>
      <c r="R428">
        <v>10799</v>
      </c>
    </row>
    <row r="429" spans="1:18" x14ac:dyDescent="0.25">
      <c r="A429" s="169">
        <v>42634</v>
      </c>
      <c r="B429" s="116">
        <v>263.75</v>
      </c>
      <c r="C429" s="116">
        <v>262.2</v>
      </c>
      <c r="D429" s="116">
        <v>261</v>
      </c>
      <c r="E429" s="116">
        <v>261</v>
      </c>
      <c r="F429" s="116">
        <v>262.2</v>
      </c>
      <c r="G429">
        <v>986</v>
      </c>
      <c r="H429" s="116"/>
      <c r="I429" s="116"/>
      <c r="L429" s="169">
        <v>42634</v>
      </c>
      <c r="M429" s="116">
        <v>263.64999999999998</v>
      </c>
      <c r="N429" s="116">
        <v>265</v>
      </c>
      <c r="O429" s="116">
        <v>260.10000000000002</v>
      </c>
      <c r="P429" s="116">
        <v>261.5</v>
      </c>
      <c r="Q429" s="116">
        <v>263.64999999999998</v>
      </c>
      <c r="R429">
        <v>4067</v>
      </c>
    </row>
    <row r="430" spans="1:18" x14ac:dyDescent="0.25">
      <c r="A430" s="169">
        <v>42635</v>
      </c>
      <c r="B430" s="116">
        <v>268.10000000000002</v>
      </c>
      <c r="C430" s="116">
        <v>263.89999999999998</v>
      </c>
      <c r="D430" s="116">
        <v>259.55</v>
      </c>
      <c r="E430" s="116">
        <v>264.14999999999998</v>
      </c>
      <c r="F430" s="116">
        <v>263.89999999999998</v>
      </c>
      <c r="G430">
        <v>984</v>
      </c>
      <c r="H430" s="116"/>
      <c r="I430" s="116"/>
      <c r="L430" s="169">
        <v>42635</v>
      </c>
      <c r="M430" s="116">
        <v>261.7</v>
      </c>
      <c r="N430" s="116">
        <v>268</v>
      </c>
      <c r="O430" s="116">
        <v>259</v>
      </c>
      <c r="P430" s="116">
        <v>261.95</v>
      </c>
      <c r="Q430" s="116">
        <v>261.7</v>
      </c>
      <c r="R430">
        <v>25877</v>
      </c>
    </row>
    <row r="431" spans="1:18" x14ac:dyDescent="0.25">
      <c r="A431" s="169">
        <v>42636</v>
      </c>
      <c r="B431" s="116">
        <v>268</v>
      </c>
      <c r="C431" s="116">
        <v>266.3</v>
      </c>
      <c r="D431" s="116">
        <v>261.3</v>
      </c>
      <c r="E431" s="116">
        <v>263</v>
      </c>
      <c r="F431" s="116">
        <v>266.3</v>
      </c>
      <c r="G431">
        <v>1353</v>
      </c>
      <c r="H431" s="116"/>
      <c r="I431" s="116"/>
      <c r="L431" s="169">
        <v>42636</v>
      </c>
      <c r="M431" s="116">
        <v>267.35000000000002</v>
      </c>
      <c r="N431" s="116">
        <v>268.5</v>
      </c>
      <c r="O431" s="116">
        <v>260.35000000000002</v>
      </c>
      <c r="P431" s="116">
        <v>261.5</v>
      </c>
      <c r="Q431" s="116">
        <v>267.35000000000002</v>
      </c>
      <c r="R431">
        <v>11862</v>
      </c>
    </row>
    <row r="432" spans="1:18" x14ac:dyDescent="0.25">
      <c r="A432" s="169">
        <v>42639</v>
      </c>
      <c r="B432" s="116">
        <v>266</v>
      </c>
      <c r="C432" s="116">
        <v>264.8</v>
      </c>
      <c r="D432" s="116">
        <v>262</v>
      </c>
      <c r="E432" s="116">
        <v>263.39999999999998</v>
      </c>
      <c r="F432" s="116">
        <v>264.8</v>
      </c>
      <c r="G432">
        <v>966</v>
      </c>
      <c r="H432" s="116"/>
      <c r="I432" s="116"/>
      <c r="L432" s="169">
        <v>42639</v>
      </c>
      <c r="M432" s="116">
        <v>265.85000000000002</v>
      </c>
      <c r="N432" s="116">
        <v>270</v>
      </c>
      <c r="O432" s="116">
        <v>262</v>
      </c>
      <c r="P432" s="116">
        <v>266</v>
      </c>
      <c r="Q432" s="116">
        <v>265.85000000000002</v>
      </c>
      <c r="R432">
        <v>12799</v>
      </c>
    </row>
    <row r="433" spans="1:18" x14ac:dyDescent="0.25">
      <c r="A433" s="169">
        <v>42640</v>
      </c>
      <c r="B433" s="116">
        <v>266</v>
      </c>
      <c r="C433" s="116">
        <v>263</v>
      </c>
      <c r="D433" s="116">
        <v>258.75</v>
      </c>
      <c r="E433" s="116">
        <v>261.3</v>
      </c>
      <c r="F433" s="116">
        <v>263</v>
      </c>
      <c r="G433">
        <v>2309</v>
      </c>
      <c r="H433" s="116"/>
      <c r="I433" s="116"/>
      <c r="L433" s="169">
        <v>42640</v>
      </c>
      <c r="M433" s="116">
        <v>263.35000000000002</v>
      </c>
      <c r="N433" s="116">
        <v>266.95</v>
      </c>
      <c r="O433" s="116">
        <v>257.55</v>
      </c>
      <c r="P433" s="116">
        <v>265</v>
      </c>
      <c r="Q433" s="116">
        <v>263.35000000000002</v>
      </c>
      <c r="R433">
        <v>101247</v>
      </c>
    </row>
    <row r="434" spans="1:18" x14ac:dyDescent="0.25">
      <c r="A434" s="169">
        <v>42641</v>
      </c>
      <c r="B434" s="116">
        <v>263.89999999999998</v>
      </c>
      <c r="C434" s="116">
        <v>262.5</v>
      </c>
      <c r="D434" s="116">
        <v>261.7</v>
      </c>
      <c r="E434" s="116">
        <v>262.25</v>
      </c>
      <c r="F434" s="116">
        <v>262.5</v>
      </c>
      <c r="G434">
        <v>204</v>
      </c>
      <c r="H434" s="116"/>
      <c r="I434" s="116"/>
      <c r="L434" s="169">
        <v>42641</v>
      </c>
      <c r="M434" s="116">
        <v>262.2</v>
      </c>
      <c r="N434" s="116">
        <v>266.95</v>
      </c>
      <c r="O434" s="116">
        <v>260.5</v>
      </c>
      <c r="P434" s="116">
        <v>261.45</v>
      </c>
      <c r="Q434" s="116">
        <v>262.2</v>
      </c>
      <c r="R434">
        <v>14533</v>
      </c>
    </row>
    <row r="435" spans="1:18" x14ac:dyDescent="0.25">
      <c r="A435" s="169">
        <v>42642</v>
      </c>
      <c r="B435" s="116">
        <v>269</v>
      </c>
      <c r="C435" s="116">
        <v>252.8</v>
      </c>
      <c r="D435" s="116">
        <v>250</v>
      </c>
      <c r="E435" s="116">
        <v>264.39999999999998</v>
      </c>
      <c r="F435" s="116">
        <v>252.8</v>
      </c>
      <c r="G435">
        <v>3057</v>
      </c>
      <c r="H435" s="116"/>
      <c r="I435" s="116"/>
      <c r="L435" s="169">
        <v>42642</v>
      </c>
      <c r="M435" s="116">
        <v>252.3</v>
      </c>
      <c r="N435" s="116">
        <v>266.64999999999998</v>
      </c>
      <c r="O435" s="116">
        <v>248</v>
      </c>
      <c r="P435" s="116">
        <v>262</v>
      </c>
      <c r="Q435" s="116">
        <v>252.3</v>
      </c>
      <c r="R435">
        <v>23547</v>
      </c>
    </row>
    <row r="436" spans="1:18" x14ac:dyDescent="0.25">
      <c r="A436" s="169">
        <v>42643</v>
      </c>
      <c r="B436" s="116">
        <v>256.25</v>
      </c>
      <c r="C436" s="116">
        <v>252.05</v>
      </c>
      <c r="D436" s="116">
        <v>251.85</v>
      </c>
      <c r="E436" s="116">
        <v>256.25</v>
      </c>
      <c r="F436" s="116">
        <v>252.05</v>
      </c>
      <c r="G436">
        <v>785</v>
      </c>
      <c r="H436" s="116"/>
      <c r="I436" s="116"/>
      <c r="L436" s="169">
        <v>42643</v>
      </c>
      <c r="M436" s="116">
        <v>252.65</v>
      </c>
      <c r="N436" s="116">
        <v>256</v>
      </c>
      <c r="O436" s="116">
        <v>248.05</v>
      </c>
      <c r="P436" s="116">
        <v>248.05</v>
      </c>
      <c r="Q436" s="116">
        <v>252.65</v>
      </c>
      <c r="R436">
        <v>87810</v>
      </c>
    </row>
    <row r="437" spans="1:18" x14ac:dyDescent="0.25">
      <c r="A437" s="169">
        <v>42646</v>
      </c>
      <c r="B437" s="116">
        <v>258</v>
      </c>
      <c r="C437" s="116">
        <v>253.6</v>
      </c>
      <c r="D437" s="116">
        <v>250.8</v>
      </c>
      <c r="E437" s="116">
        <v>253.65</v>
      </c>
      <c r="F437" s="116">
        <v>253.6</v>
      </c>
      <c r="G437">
        <v>386</v>
      </c>
      <c r="H437" s="116"/>
      <c r="I437" s="116"/>
      <c r="L437" s="169">
        <v>42646</v>
      </c>
      <c r="M437" s="116">
        <v>255.05</v>
      </c>
      <c r="N437" s="116">
        <v>258.8</v>
      </c>
      <c r="O437" s="116">
        <v>248</v>
      </c>
      <c r="P437" s="116">
        <v>248</v>
      </c>
      <c r="Q437" s="116">
        <v>255.05</v>
      </c>
      <c r="R437">
        <v>9486</v>
      </c>
    </row>
    <row r="438" spans="1:18" x14ac:dyDescent="0.25">
      <c r="A438" s="169">
        <v>42647</v>
      </c>
      <c r="B438" s="116">
        <v>260</v>
      </c>
      <c r="C438" s="116">
        <v>254.05</v>
      </c>
      <c r="D438" s="116">
        <v>252.35</v>
      </c>
      <c r="E438" s="116">
        <v>257</v>
      </c>
      <c r="F438" s="116">
        <v>254.05</v>
      </c>
      <c r="G438">
        <v>1106</v>
      </c>
      <c r="H438" s="116"/>
      <c r="I438" s="116"/>
      <c r="L438" s="169">
        <v>42647</v>
      </c>
      <c r="M438" s="116">
        <v>254.75</v>
      </c>
      <c r="N438" s="116">
        <v>262.5</v>
      </c>
      <c r="O438" s="116">
        <v>252</v>
      </c>
      <c r="P438" s="116">
        <v>254.75</v>
      </c>
      <c r="Q438" s="116">
        <v>254.75</v>
      </c>
      <c r="R438">
        <v>8877</v>
      </c>
    </row>
    <row r="439" spans="1:18" x14ac:dyDescent="0.25">
      <c r="A439" s="169">
        <v>42648</v>
      </c>
      <c r="B439" s="116">
        <v>262.7</v>
      </c>
      <c r="C439" s="116">
        <v>260.05</v>
      </c>
      <c r="D439" s="116">
        <v>255.9</v>
      </c>
      <c r="E439" s="116">
        <v>258.60000000000002</v>
      </c>
      <c r="F439" s="116">
        <v>260.05</v>
      </c>
      <c r="G439">
        <v>1066</v>
      </c>
      <c r="H439" s="116"/>
      <c r="I439" s="116"/>
      <c r="L439" s="169">
        <v>42648</v>
      </c>
      <c r="M439" s="116">
        <v>262.10000000000002</v>
      </c>
      <c r="N439" s="116">
        <v>263.7</v>
      </c>
      <c r="O439" s="116">
        <v>253</v>
      </c>
      <c r="P439" s="116">
        <v>253</v>
      </c>
      <c r="Q439" s="116">
        <v>262.10000000000002</v>
      </c>
      <c r="R439">
        <v>10214</v>
      </c>
    </row>
    <row r="440" spans="1:18" x14ac:dyDescent="0.25">
      <c r="A440" s="169">
        <v>42649</v>
      </c>
      <c r="B440" s="116">
        <v>261</v>
      </c>
      <c r="C440" s="116">
        <v>260.75</v>
      </c>
      <c r="D440" s="116">
        <v>257.3</v>
      </c>
      <c r="E440" s="116">
        <v>258</v>
      </c>
      <c r="F440" s="116">
        <v>260.75</v>
      </c>
      <c r="G440">
        <v>794</v>
      </c>
      <c r="H440" s="116"/>
      <c r="I440" s="116"/>
      <c r="L440" s="169">
        <v>42649</v>
      </c>
      <c r="M440" s="116">
        <v>261.3</v>
      </c>
      <c r="N440" s="116">
        <v>262</v>
      </c>
      <c r="O440" s="116">
        <v>258.10000000000002</v>
      </c>
      <c r="P440" s="116">
        <v>262</v>
      </c>
      <c r="Q440" s="116">
        <v>261.3</v>
      </c>
      <c r="R440">
        <v>2117</v>
      </c>
    </row>
    <row r="441" spans="1:18" x14ac:dyDescent="0.25">
      <c r="A441" s="169">
        <v>42650</v>
      </c>
      <c r="B441" s="116">
        <v>267</v>
      </c>
      <c r="C441" s="116">
        <v>262.10000000000002</v>
      </c>
      <c r="D441" s="116">
        <v>255.05</v>
      </c>
      <c r="E441" s="116">
        <v>255.05</v>
      </c>
      <c r="F441" s="116">
        <v>262.10000000000002</v>
      </c>
      <c r="G441">
        <v>1608</v>
      </c>
      <c r="H441" s="116"/>
      <c r="I441" s="116"/>
      <c r="L441" s="169">
        <v>42650</v>
      </c>
      <c r="M441" s="116">
        <v>265.64999999999998</v>
      </c>
      <c r="N441" s="116">
        <v>268.5</v>
      </c>
      <c r="O441" s="116">
        <v>258.05</v>
      </c>
      <c r="P441" s="116">
        <v>260</v>
      </c>
      <c r="Q441" s="116">
        <v>265.64999999999998</v>
      </c>
      <c r="R441">
        <v>10082</v>
      </c>
    </row>
    <row r="442" spans="1:18" x14ac:dyDescent="0.25">
      <c r="A442" s="169">
        <v>42653</v>
      </c>
      <c r="B442" s="116">
        <v>293</v>
      </c>
      <c r="C442" s="116">
        <v>288.85000000000002</v>
      </c>
      <c r="D442" s="116">
        <v>268</v>
      </c>
      <c r="E442" s="116">
        <v>268</v>
      </c>
      <c r="F442" s="116">
        <v>288.85000000000002</v>
      </c>
      <c r="G442">
        <v>77332</v>
      </c>
      <c r="H442" s="116"/>
      <c r="I442" s="116"/>
      <c r="L442" s="169">
        <v>42653</v>
      </c>
      <c r="M442" s="116">
        <v>287.85000000000002</v>
      </c>
      <c r="N442" s="116">
        <v>292.5</v>
      </c>
      <c r="O442" s="116">
        <v>260</v>
      </c>
      <c r="P442" s="116">
        <v>260.39999999999998</v>
      </c>
      <c r="Q442" s="116">
        <v>287.85000000000002</v>
      </c>
      <c r="R442">
        <v>462171</v>
      </c>
    </row>
    <row r="443" spans="1:18" x14ac:dyDescent="0.25">
      <c r="A443" s="169">
        <v>42656</v>
      </c>
      <c r="B443" s="116">
        <v>304.85000000000002</v>
      </c>
      <c r="C443" s="116">
        <v>296.35000000000002</v>
      </c>
      <c r="D443" s="116">
        <v>285</v>
      </c>
      <c r="E443" s="116">
        <v>290</v>
      </c>
      <c r="F443" s="116">
        <v>296.35000000000002</v>
      </c>
      <c r="G443">
        <v>67588</v>
      </c>
      <c r="H443" s="116"/>
      <c r="I443" s="116"/>
      <c r="L443" s="169">
        <v>42656</v>
      </c>
      <c r="M443" s="116">
        <v>296.3</v>
      </c>
      <c r="N443" s="116">
        <v>304</v>
      </c>
      <c r="O443" s="116">
        <v>285</v>
      </c>
      <c r="P443" s="116">
        <v>288</v>
      </c>
      <c r="Q443" s="116">
        <v>296.3</v>
      </c>
      <c r="R443">
        <v>190358</v>
      </c>
    </row>
    <row r="444" spans="1:18" x14ac:dyDescent="0.25">
      <c r="A444" s="169">
        <v>42657</v>
      </c>
      <c r="B444" s="116">
        <v>314.89999999999998</v>
      </c>
      <c r="C444" s="116">
        <v>311.8</v>
      </c>
      <c r="D444" s="116">
        <v>296</v>
      </c>
      <c r="E444" s="116">
        <v>297</v>
      </c>
      <c r="F444" s="116">
        <v>311.8</v>
      </c>
      <c r="G444">
        <v>72261</v>
      </c>
      <c r="H444" s="116"/>
      <c r="I444" s="116"/>
      <c r="L444" s="169">
        <v>42657</v>
      </c>
      <c r="M444" s="116">
        <v>311.85000000000002</v>
      </c>
      <c r="N444" s="116">
        <v>314</v>
      </c>
      <c r="O444" s="116">
        <v>295</v>
      </c>
      <c r="P444" s="116">
        <v>295</v>
      </c>
      <c r="Q444" s="116">
        <v>311.85000000000002</v>
      </c>
      <c r="R444">
        <v>247121</v>
      </c>
    </row>
    <row r="445" spans="1:18" x14ac:dyDescent="0.25">
      <c r="A445" s="169">
        <v>42660</v>
      </c>
      <c r="B445" s="116">
        <v>316</v>
      </c>
      <c r="C445" s="116">
        <v>310</v>
      </c>
      <c r="D445" s="116">
        <v>306</v>
      </c>
      <c r="E445" s="116">
        <v>314</v>
      </c>
      <c r="F445" s="116">
        <v>310</v>
      </c>
      <c r="G445">
        <v>36732</v>
      </c>
      <c r="H445" s="116"/>
      <c r="I445" s="116"/>
      <c r="L445" s="169">
        <v>42660</v>
      </c>
      <c r="M445" s="116">
        <v>310.2</v>
      </c>
      <c r="N445" s="116">
        <v>315.95</v>
      </c>
      <c r="O445" s="116">
        <v>305.3</v>
      </c>
      <c r="P445" s="116">
        <v>314.35000000000002</v>
      </c>
      <c r="Q445" s="116">
        <v>310.2</v>
      </c>
      <c r="R445">
        <v>144281</v>
      </c>
    </row>
    <row r="446" spans="1:18" x14ac:dyDescent="0.25">
      <c r="A446" s="169">
        <v>42661</v>
      </c>
      <c r="B446" s="116">
        <v>325</v>
      </c>
      <c r="C446" s="116">
        <v>319.7</v>
      </c>
      <c r="D446" s="116">
        <v>310</v>
      </c>
      <c r="E446" s="116">
        <v>310</v>
      </c>
      <c r="F446" s="116">
        <v>319.7</v>
      </c>
      <c r="G446">
        <v>52655</v>
      </c>
      <c r="H446" s="116"/>
      <c r="I446" s="116"/>
      <c r="L446" s="169">
        <v>42661</v>
      </c>
      <c r="M446" s="116">
        <v>320.10000000000002</v>
      </c>
      <c r="N446" s="116">
        <v>325</v>
      </c>
      <c r="O446" s="116">
        <v>309.55</v>
      </c>
      <c r="P446" s="116">
        <v>310.64999999999998</v>
      </c>
      <c r="Q446" s="116">
        <v>320.10000000000002</v>
      </c>
      <c r="R446">
        <v>202431</v>
      </c>
    </row>
    <row r="447" spans="1:18" x14ac:dyDescent="0.25">
      <c r="A447" s="169">
        <v>42662</v>
      </c>
      <c r="B447" s="116">
        <v>325</v>
      </c>
      <c r="C447" s="116">
        <v>314.75</v>
      </c>
      <c r="D447" s="116">
        <v>314</v>
      </c>
      <c r="E447" s="116">
        <v>322</v>
      </c>
      <c r="F447" s="116">
        <v>314.75</v>
      </c>
      <c r="G447">
        <v>43438</v>
      </c>
      <c r="H447" s="116"/>
      <c r="I447" s="116"/>
      <c r="L447" s="169">
        <v>42662</v>
      </c>
      <c r="M447" s="116">
        <v>314.05</v>
      </c>
      <c r="N447" s="116">
        <v>324.89999999999998</v>
      </c>
      <c r="O447" s="116">
        <v>312.60000000000002</v>
      </c>
      <c r="P447" s="116">
        <v>323.14999999999998</v>
      </c>
      <c r="Q447" s="116">
        <v>314.05</v>
      </c>
      <c r="R447">
        <v>133496</v>
      </c>
    </row>
    <row r="448" spans="1:18" x14ac:dyDescent="0.25">
      <c r="A448" s="169">
        <v>42663</v>
      </c>
      <c r="B448" s="116">
        <v>321.3</v>
      </c>
      <c r="C448" s="116">
        <v>318.5</v>
      </c>
      <c r="D448" s="116">
        <v>313</v>
      </c>
      <c r="E448" s="116">
        <v>317</v>
      </c>
      <c r="F448" s="116">
        <v>318.5</v>
      </c>
      <c r="G448">
        <v>85950</v>
      </c>
      <c r="H448" s="116"/>
      <c r="I448" s="116"/>
      <c r="L448" s="169">
        <v>42663</v>
      </c>
      <c r="M448" s="116">
        <v>314.60000000000002</v>
      </c>
      <c r="N448" s="116">
        <v>321</v>
      </c>
      <c r="O448" s="116">
        <v>310.8</v>
      </c>
      <c r="P448" s="116">
        <v>310.8</v>
      </c>
      <c r="Q448" s="116">
        <v>314.60000000000002</v>
      </c>
      <c r="R448">
        <v>63311</v>
      </c>
    </row>
    <row r="449" spans="1:18" x14ac:dyDescent="0.25">
      <c r="A449" s="169">
        <v>42664</v>
      </c>
      <c r="B449" s="116">
        <v>318</v>
      </c>
      <c r="C449" s="116">
        <v>310</v>
      </c>
      <c r="D449" s="116">
        <v>308.25</v>
      </c>
      <c r="E449" s="116">
        <v>314.2</v>
      </c>
      <c r="F449" s="116">
        <v>310</v>
      </c>
      <c r="G449">
        <v>25981</v>
      </c>
      <c r="H449" s="116"/>
      <c r="I449" s="116"/>
      <c r="L449" s="169">
        <v>42664</v>
      </c>
      <c r="M449" s="116">
        <v>309.7</v>
      </c>
      <c r="N449" s="116">
        <v>317.45</v>
      </c>
      <c r="O449" s="116">
        <v>308.05</v>
      </c>
      <c r="P449" s="116">
        <v>314.7</v>
      </c>
      <c r="Q449" s="116">
        <v>309.7</v>
      </c>
      <c r="R449">
        <v>66672</v>
      </c>
    </row>
    <row r="450" spans="1:18" x14ac:dyDescent="0.25">
      <c r="A450" s="169">
        <v>42667</v>
      </c>
      <c r="B450" s="116">
        <v>321.10000000000002</v>
      </c>
      <c r="C450" s="116">
        <v>313.35000000000002</v>
      </c>
      <c r="D450" s="116">
        <v>310</v>
      </c>
      <c r="E450" s="116">
        <v>310</v>
      </c>
      <c r="F450" s="116">
        <v>313.35000000000002</v>
      </c>
      <c r="G450">
        <v>9480</v>
      </c>
      <c r="H450" s="116"/>
      <c r="I450" s="116"/>
      <c r="L450" s="169">
        <v>42667</v>
      </c>
      <c r="M450" s="116">
        <v>312.95</v>
      </c>
      <c r="N450" s="116">
        <v>320</v>
      </c>
      <c r="O450" s="116">
        <v>308.10000000000002</v>
      </c>
      <c r="P450" s="116">
        <v>308.10000000000002</v>
      </c>
      <c r="Q450" s="116">
        <v>312.95</v>
      </c>
      <c r="R450">
        <v>32449</v>
      </c>
    </row>
    <row r="451" spans="1:18" x14ac:dyDescent="0.25">
      <c r="A451" s="169">
        <v>42668</v>
      </c>
      <c r="B451" s="116">
        <v>314</v>
      </c>
      <c r="C451" s="116">
        <v>307.05</v>
      </c>
      <c r="D451" s="116">
        <v>306</v>
      </c>
      <c r="E451" s="116">
        <v>313.85000000000002</v>
      </c>
      <c r="F451" s="116">
        <v>307.05</v>
      </c>
      <c r="G451">
        <v>29057</v>
      </c>
      <c r="H451" s="116"/>
      <c r="I451" s="116"/>
      <c r="L451" s="169">
        <v>42668</v>
      </c>
      <c r="M451" s="116">
        <v>306.85000000000002</v>
      </c>
      <c r="N451" s="116">
        <v>314.95</v>
      </c>
      <c r="O451" s="116">
        <v>305</v>
      </c>
      <c r="P451" s="116">
        <v>314.95</v>
      </c>
      <c r="Q451" s="116">
        <v>306.85000000000002</v>
      </c>
      <c r="R451">
        <v>77001</v>
      </c>
    </row>
    <row r="452" spans="1:18" x14ac:dyDescent="0.25">
      <c r="A452" s="169">
        <v>42669</v>
      </c>
      <c r="B452" s="116">
        <v>314</v>
      </c>
      <c r="C452" s="116">
        <v>307.39999999999998</v>
      </c>
      <c r="D452" s="116">
        <v>304</v>
      </c>
      <c r="E452" s="116">
        <v>311.95</v>
      </c>
      <c r="F452" s="116">
        <v>307.39999999999998</v>
      </c>
      <c r="G452">
        <v>70999</v>
      </c>
      <c r="H452" s="116"/>
      <c r="I452" s="116"/>
      <c r="L452" s="169">
        <v>42669</v>
      </c>
      <c r="M452" s="116">
        <v>307.25</v>
      </c>
      <c r="N452" s="116">
        <v>314</v>
      </c>
      <c r="O452" s="116">
        <v>305</v>
      </c>
      <c r="P452" s="116">
        <v>305</v>
      </c>
      <c r="Q452" s="116">
        <v>307.25</v>
      </c>
      <c r="R452">
        <v>239421</v>
      </c>
    </row>
    <row r="453" spans="1:18" x14ac:dyDescent="0.25">
      <c r="A453" s="169">
        <v>42670</v>
      </c>
      <c r="B453" s="116">
        <v>310</v>
      </c>
      <c r="C453" s="116">
        <v>305.95</v>
      </c>
      <c r="D453" s="116">
        <v>302.89999999999998</v>
      </c>
      <c r="E453" s="116">
        <v>310</v>
      </c>
      <c r="F453" s="116">
        <v>305.95</v>
      </c>
      <c r="G453">
        <v>29090</v>
      </c>
      <c r="H453" s="116"/>
      <c r="I453" s="116"/>
      <c r="L453" s="169">
        <v>42670</v>
      </c>
      <c r="M453" s="116">
        <v>305.35000000000002</v>
      </c>
      <c r="N453" s="116">
        <v>308.7</v>
      </c>
      <c r="O453" s="116">
        <v>303.14999999999998</v>
      </c>
      <c r="P453" s="116">
        <v>307</v>
      </c>
      <c r="Q453" s="116">
        <v>305.35000000000002</v>
      </c>
      <c r="R453">
        <v>98626</v>
      </c>
    </row>
    <row r="454" spans="1:18" x14ac:dyDescent="0.25">
      <c r="A454" s="169">
        <v>42671</v>
      </c>
      <c r="B454" s="116">
        <v>319.5</v>
      </c>
      <c r="C454" s="116">
        <v>317.2</v>
      </c>
      <c r="D454" s="116">
        <v>305</v>
      </c>
      <c r="E454" s="116">
        <v>307</v>
      </c>
      <c r="F454" s="116">
        <v>317.2</v>
      </c>
      <c r="G454">
        <v>57650</v>
      </c>
      <c r="H454" s="116"/>
      <c r="I454" s="116"/>
      <c r="L454" s="169">
        <v>42671</v>
      </c>
      <c r="M454" s="116">
        <v>316.95</v>
      </c>
      <c r="N454" s="116">
        <v>320</v>
      </c>
      <c r="O454" s="116">
        <v>304.5</v>
      </c>
      <c r="P454" s="116">
        <v>306</v>
      </c>
      <c r="Q454" s="116">
        <v>316.95</v>
      </c>
      <c r="R454">
        <v>233576</v>
      </c>
    </row>
    <row r="455" spans="1:18" x14ac:dyDescent="0.25">
      <c r="A455" s="169">
        <v>42673</v>
      </c>
      <c r="B455" s="116">
        <v>324</v>
      </c>
      <c r="C455" s="116">
        <v>319.8</v>
      </c>
      <c r="D455" s="116">
        <v>307.10000000000002</v>
      </c>
      <c r="E455" s="116">
        <v>320</v>
      </c>
      <c r="F455" s="116">
        <v>319.8</v>
      </c>
      <c r="G455">
        <v>25363</v>
      </c>
      <c r="H455" s="116"/>
      <c r="I455" s="116"/>
      <c r="L455" s="169">
        <v>42673</v>
      </c>
      <c r="M455" s="116">
        <v>317.55</v>
      </c>
      <c r="N455" s="116">
        <v>323.8</v>
      </c>
      <c r="O455" s="116">
        <v>311.25</v>
      </c>
      <c r="P455" s="116">
        <v>319</v>
      </c>
      <c r="Q455" s="116">
        <v>317.55</v>
      </c>
      <c r="R455">
        <v>83985</v>
      </c>
    </row>
    <row r="456" spans="1:18" x14ac:dyDescent="0.25">
      <c r="A456" s="169">
        <v>42675</v>
      </c>
      <c r="B456" s="116">
        <v>325</v>
      </c>
      <c r="C456" s="116">
        <v>320.39999999999998</v>
      </c>
      <c r="D456" s="116">
        <v>317</v>
      </c>
      <c r="E456" s="116">
        <v>318.05</v>
      </c>
      <c r="F456" s="116">
        <v>320.39999999999998</v>
      </c>
      <c r="G456">
        <v>32610</v>
      </c>
      <c r="H456" s="116"/>
      <c r="I456" s="116"/>
      <c r="L456" s="169">
        <v>42675</v>
      </c>
      <c r="M456" s="116">
        <v>320.3</v>
      </c>
      <c r="N456" s="116">
        <v>325.8</v>
      </c>
      <c r="O456" s="116">
        <v>313.7</v>
      </c>
      <c r="P456" s="116">
        <v>314</v>
      </c>
      <c r="Q456" s="116">
        <v>320.3</v>
      </c>
      <c r="R456">
        <v>86851</v>
      </c>
    </row>
    <row r="457" spans="1:18" x14ac:dyDescent="0.25">
      <c r="A457" s="169">
        <v>42676</v>
      </c>
      <c r="B457" s="116">
        <v>319</v>
      </c>
      <c r="C457" s="116">
        <v>312</v>
      </c>
      <c r="D457" s="116">
        <v>306.3</v>
      </c>
      <c r="E457" s="116">
        <v>315</v>
      </c>
      <c r="F457" s="116">
        <v>312</v>
      </c>
      <c r="G457">
        <v>18158</v>
      </c>
      <c r="H457" s="116"/>
      <c r="I457" s="116"/>
      <c r="L457" s="169">
        <v>42676</v>
      </c>
      <c r="M457" s="116">
        <v>311.14999999999998</v>
      </c>
      <c r="N457" s="116">
        <v>319.8</v>
      </c>
      <c r="O457" s="116">
        <v>307</v>
      </c>
      <c r="P457" s="116">
        <v>311.10000000000002</v>
      </c>
      <c r="Q457" s="116">
        <v>311.14999999999998</v>
      </c>
      <c r="R457">
        <v>24947</v>
      </c>
    </row>
    <row r="458" spans="1:18" x14ac:dyDescent="0.25">
      <c r="A458" s="169">
        <v>42677</v>
      </c>
      <c r="B458" s="116">
        <v>323</v>
      </c>
      <c r="C458" s="116">
        <v>307.10000000000002</v>
      </c>
      <c r="D458" s="116">
        <v>306</v>
      </c>
      <c r="E458" s="116">
        <v>310</v>
      </c>
      <c r="F458" s="116">
        <v>307.10000000000002</v>
      </c>
      <c r="G458">
        <v>69543</v>
      </c>
      <c r="H458" s="116"/>
      <c r="I458" s="116"/>
      <c r="L458" s="169">
        <v>42677</v>
      </c>
      <c r="M458" s="116">
        <v>308.60000000000002</v>
      </c>
      <c r="N458" s="116">
        <v>324.45</v>
      </c>
      <c r="O458" s="116">
        <v>305</v>
      </c>
      <c r="P458" s="116">
        <v>315</v>
      </c>
      <c r="Q458" s="116">
        <v>308.60000000000002</v>
      </c>
      <c r="R458">
        <v>124744</v>
      </c>
    </row>
    <row r="459" spans="1:18" x14ac:dyDescent="0.25">
      <c r="A459" s="169">
        <v>42678</v>
      </c>
      <c r="B459" s="116">
        <v>308.10000000000002</v>
      </c>
      <c r="C459" s="116">
        <v>291.5</v>
      </c>
      <c r="D459" s="116">
        <v>290.10000000000002</v>
      </c>
      <c r="E459" s="116">
        <v>307.10000000000002</v>
      </c>
      <c r="F459" s="116">
        <v>291.5</v>
      </c>
      <c r="G459">
        <v>5417</v>
      </c>
      <c r="H459" s="116"/>
      <c r="I459" s="116"/>
      <c r="L459" s="169">
        <v>42678</v>
      </c>
      <c r="M459" s="116">
        <v>292.3</v>
      </c>
      <c r="N459" s="116">
        <v>309.89999999999998</v>
      </c>
      <c r="O459" s="116">
        <v>290.05</v>
      </c>
      <c r="P459" s="116">
        <v>308.25</v>
      </c>
      <c r="Q459" s="116">
        <v>292.3</v>
      </c>
      <c r="R459">
        <v>23592</v>
      </c>
    </row>
    <row r="460" spans="1:18" x14ac:dyDescent="0.25">
      <c r="A460" s="169">
        <v>42681</v>
      </c>
      <c r="B460" s="116">
        <v>307.35000000000002</v>
      </c>
      <c r="C460" s="116">
        <v>288.7</v>
      </c>
      <c r="D460" s="116">
        <v>286.10000000000002</v>
      </c>
      <c r="E460" s="116">
        <v>307.35000000000002</v>
      </c>
      <c r="F460" s="116">
        <v>288.7</v>
      </c>
      <c r="G460">
        <v>160408</v>
      </c>
      <c r="H460" s="116"/>
      <c r="I460" s="116"/>
      <c r="L460" s="169">
        <v>42681</v>
      </c>
      <c r="M460" s="116">
        <v>288.75</v>
      </c>
      <c r="N460" s="116">
        <v>305</v>
      </c>
      <c r="O460" s="116">
        <v>282.5</v>
      </c>
      <c r="P460" s="116">
        <v>304</v>
      </c>
      <c r="Q460" s="116">
        <v>288.75</v>
      </c>
      <c r="R460">
        <v>38883</v>
      </c>
    </row>
    <row r="461" spans="1:18" x14ac:dyDescent="0.25">
      <c r="A461" s="169">
        <v>42682</v>
      </c>
      <c r="B461" s="116">
        <v>289.95</v>
      </c>
      <c r="C461" s="116">
        <v>285.89999999999998</v>
      </c>
      <c r="D461" s="116">
        <v>283.5</v>
      </c>
      <c r="E461" s="116">
        <v>286</v>
      </c>
      <c r="F461" s="116">
        <v>285.89999999999998</v>
      </c>
      <c r="G461">
        <v>5111</v>
      </c>
      <c r="H461" s="116"/>
      <c r="I461" s="116"/>
      <c r="L461" s="169">
        <v>42682</v>
      </c>
      <c r="M461" s="116">
        <v>286.2</v>
      </c>
      <c r="N461" s="116">
        <v>294</v>
      </c>
      <c r="O461" s="116">
        <v>284</v>
      </c>
      <c r="P461" s="116">
        <v>287</v>
      </c>
      <c r="Q461" s="116">
        <v>286.2</v>
      </c>
      <c r="R461">
        <v>20600</v>
      </c>
    </row>
    <row r="462" spans="1:18" x14ac:dyDescent="0.25">
      <c r="A462" s="169">
        <v>42683</v>
      </c>
      <c r="B462" s="116">
        <v>274.55</v>
      </c>
      <c r="C462" s="116">
        <v>271.89999999999998</v>
      </c>
      <c r="D462" s="116">
        <v>247.9</v>
      </c>
      <c r="E462" s="116">
        <v>261.89999999999998</v>
      </c>
      <c r="F462" s="116">
        <v>271.89999999999998</v>
      </c>
      <c r="G462">
        <v>8555</v>
      </c>
      <c r="H462" s="116"/>
      <c r="I462" s="116"/>
      <c r="L462" s="169">
        <v>42683</v>
      </c>
      <c r="M462" s="116">
        <v>274.3</v>
      </c>
      <c r="N462" s="116">
        <v>277</v>
      </c>
      <c r="O462" s="116">
        <v>241.5</v>
      </c>
      <c r="P462" s="116">
        <v>265</v>
      </c>
      <c r="Q462" s="116">
        <v>274.3</v>
      </c>
      <c r="R462">
        <v>54732</v>
      </c>
    </row>
    <row r="463" spans="1:18" x14ac:dyDescent="0.25">
      <c r="A463" s="169">
        <v>42684</v>
      </c>
      <c r="B463" s="116">
        <v>288.95</v>
      </c>
      <c r="C463" s="116">
        <v>280.3</v>
      </c>
      <c r="D463" s="116">
        <v>269.95</v>
      </c>
      <c r="E463" s="116">
        <v>275.89999999999998</v>
      </c>
      <c r="F463" s="116">
        <v>280.3</v>
      </c>
      <c r="G463">
        <v>12075</v>
      </c>
      <c r="H463" s="116"/>
      <c r="I463" s="116"/>
      <c r="L463" s="169">
        <v>42684</v>
      </c>
      <c r="M463" s="116">
        <v>281.75</v>
      </c>
      <c r="N463" s="116">
        <v>297</v>
      </c>
      <c r="O463" s="116">
        <v>268</v>
      </c>
      <c r="P463" s="116">
        <v>278</v>
      </c>
      <c r="Q463" s="116">
        <v>281.75</v>
      </c>
      <c r="R463">
        <v>46920</v>
      </c>
    </row>
    <row r="464" spans="1:18" x14ac:dyDescent="0.25">
      <c r="A464" s="169">
        <v>42685</v>
      </c>
      <c r="B464" s="116">
        <v>282.25</v>
      </c>
      <c r="C464" s="116">
        <v>274.55</v>
      </c>
      <c r="D464" s="116">
        <v>266</v>
      </c>
      <c r="E464" s="116">
        <v>280</v>
      </c>
      <c r="F464" s="116">
        <v>274.55</v>
      </c>
      <c r="G464">
        <v>3747</v>
      </c>
      <c r="H464" s="116"/>
      <c r="I464" s="116"/>
      <c r="L464" s="169">
        <v>42685</v>
      </c>
      <c r="M464" s="116">
        <v>270.10000000000002</v>
      </c>
      <c r="N464" s="116">
        <v>281.2</v>
      </c>
      <c r="O464" s="116">
        <v>267</v>
      </c>
      <c r="P464" s="116">
        <v>281.2</v>
      </c>
      <c r="Q464" s="116">
        <v>270.10000000000002</v>
      </c>
      <c r="R464">
        <v>22707</v>
      </c>
    </row>
    <row r="465" spans="1:18" x14ac:dyDescent="0.25">
      <c r="A465" s="169">
        <v>42689</v>
      </c>
      <c r="B465" s="116">
        <v>271.45</v>
      </c>
      <c r="C465" s="116">
        <v>231.7</v>
      </c>
      <c r="D465" s="116">
        <v>227.1</v>
      </c>
      <c r="E465" s="116">
        <v>266</v>
      </c>
      <c r="F465" s="116">
        <v>231.7</v>
      </c>
      <c r="G465">
        <v>6270</v>
      </c>
      <c r="H465" s="116"/>
      <c r="I465" s="116"/>
      <c r="L465" s="169">
        <v>42689</v>
      </c>
      <c r="M465" s="116">
        <v>229.35</v>
      </c>
      <c r="N465" s="116">
        <v>268</v>
      </c>
      <c r="O465" s="116">
        <v>222.55</v>
      </c>
      <c r="P465" s="116">
        <v>268</v>
      </c>
      <c r="Q465" s="116">
        <v>229.35</v>
      </c>
      <c r="R465">
        <v>179376</v>
      </c>
    </row>
    <row r="466" spans="1:18" x14ac:dyDescent="0.25">
      <c r="A466" s="169">
        <v>42690</v>
      </c>
      <c r="B466" s="116">
        <v>249.5</v>
      </c>
      <c r="C466" s="116">
        <v>239.85</v>
      </c>
      <c r="D466" s="116">
        <v>228.2</v>
      </c>
      <c r="E466" s="116">
        <v>229.2</v>
      </c>
      <c r="F466" s="116">
        <v>239.85</v>
      </c>
      <c r="G466">
        <v>16215</v>
      </c>
      <c r="H466" s="116"/>
      <c r="I466" s="116"/>
      <c r="L466" s="169">
        <v>42690</v>
      </c>
      <c r="M466" s="116">
        <v>239.2</v>
      </c>
      <c r="N466" s="116">
        <v>248.8</v>
      </c>
      <c r="O466" s="116">
        <v>226.2</v>
      </c>
      <c r="P466" s="116">
        <v>228.35</v>
      </c>
      <c r="Q466" s="116">
        <v>239.2</v>
      </c>
      <c r="R466">
        <v>82024</v>
      </c>
    </row>
    <row r="467" spans="1:18" x14ac:dyDescent="0.25">
      <c r="A467" s="169">
        <v>42691</v>
      </c>
      <c r="B467" s="116">
        <v>251.4</v>
      </c>
      <c r="C467" s="116">
        <v>246.75</v>
      </c>
      <c r="D467" s="116">
        <v>240.5</v>
      </c>
      <c r="E467" s="116">
        <v>241.45</v>
      </c>
      <c r="F467" s="116">
        <v>246.75</v>
      </c>
      <c r="G467">
        <v>2740</v>
      </c>
      <c r="H467" s="116"/>
      <c r="I467" s="116"/>
      <c r="L467" s="169">
        <v>42691</v>
      </c>
      <c r="M467" s="116">
        <v>246.6</v>
      </c>
      <c r="N467" s="116">
        <v>251</v>
      </c>
      <c r="O467" s="116">
        <v>235</v>
      </c>
      <c r="P467" s="116">
        <v>240</v>
      </c>
      <c r="Q467" s="116">
        <v>246.6</v>
      </c>
      <c r="R467">
        <v>32344</v>
      </c>
    </row>
    <row r="468" spans="1:18" x14ac:dyDescent="0.25">
      <c r="A468" s="169">
        <v>42692</v>
      </c>
      <c r="B468" s="116">
        <v>248.35</v>
      </c>
      <c r="C468" s="116">
        <v>246.05</v>
      </c>
      <c r="D468" s="116">
        <v>240.5</v>
      </c>
      <c r="E468" s="116">
        <v>244.25</v>
      </c>
      <c r="F468" s="116">
        <v>246.05</v>
      </c>
      <c r="G468">
        <v>15755</v>
      </c>
      <c r="H468" s="116"/>
      <c r="I468" s="116"/>
      <c r="L468" s="169">
        <v>42692</v>
      </c>
      <c r="M468" s="116">
        <v>245.55</v>
      </c>
      <c r="N468" s="116">
        <v>248.45</v>
      </c>
      <c r="O468" s="116">
        <v>237</v>
      </c>
      <c r="P468" s="116">
        <v>243.05</v>
      </c>
      <c r="Q468" s="116">
        <v>245.55</v>
      </c>
      <c r="R468">
        <v>39034</v>
      </c>
    </row>
    <row r="469" spans="1:18" x14ac:dyDescent="0.25">
      <c r="A469" s="169">
        <v>42695</v>
      </c>
      <c r="B469" s="116">
        <v>242.45</v>
      </c>
      <c r="C469" s="116">
        <v>228.15</v>
      </c>
      <c r="D469" s="116">
        <v>225</v>
      </c>
      <c r="E469" s="116">
        <v>240</v>
      </c>
      <c r="F469" s="116">
        <v>228.15</v>
      </c>
      <c r="G469">
        <v>1224</v>
      </c>
      <c r="H469" s="116"/>
      <c r="I469" s="116"/>
      <c r="L469" s="169">
        <v>42695</v>
      </c>
      <c r="M469" s="116">
        <v>231.1</v>
      </c>
      <c r="N469" s="116">
        <v>241.95</v>
      </c>
      <c r="O469" s="116">
        <v>226.2</v>
      </c>
      <c r="P469" s="116">
        <v>241.05</v>
      </c>
      <c r="Q469" s="116">
        <v>231.1</v>
      </c>
      <c r="R469">
        <v>10447</v>
      </c>
    </row>
    <row r="470" spans="1:18" x14ac:dyDescent="0.25">
      <c r="A470" s="169">
        <v>42696</v>
      </c>
      <c r="B470" s="116">
        <v>248.9</v>
      </c>
      <c r="C470" s="116">
        <v>243.7</v>
      </c>
      <c r="D470" s="116">
        <v>226.7</v>
      </c>
      <c r="E470" s="116">
        <v>231.05</v>
      </c>
      <c r="F470" s="116">
        <v>243.7</v>
      </c>
      <c r="G470">
        <v>4079</v>
      </c>
      <c r="H470" s="116"/>
      <c r="I470" s="116"/>
      <c r="L470" s="169">
        <v>42696</v>
      </c>
      <c r="M470" s="116">
        <v>243.05</v>
      </c>
      <c r="N470" s="116">
        <v>245</v>
      </c>
      <c r="O470" s="116">
        <v>227</v>
      </c>
      <c r="P470" s="116">
        <v>231</v>
      </c>
      <c r="Q470" s="116">
        <v>243.05</v>
      </c>
      <c r="R470">
        <v>23658</v>
      </c>
    </row>
    <row r="471" spans="1:18" x14ac:dyDescent="0.25">
      <c r="A471" s="169">
        <v>42697</v>
      </c>
      <c r="B471" s="116">
        <v>257.8</v>
      </c>
      <c r="C471" s="116">
        <v>251.4</v>
      </c>
      <c r="D471" s="116">
        <v>239</v>
      </c>
      <c r="E471" s="116">
        <v>239.35</v>
      </c>
      <c r="F471" s="116">
        <v>251.4</v>
      </c>
      <c r="G471">
        <v>18095</v>
      </c>
      <c r="H471" s="116"/>
      <c r="I471" s="116"/>
      <c r="L471" s="169">
        <v>42697</v>
      </c>
      <c r="M471" s="116">
        <v>250.65</v>
      </c>
      <c r="N471" s="116">
        <v>257.85000000000002</v>
      </c>
      <c r="O471" s="116">
        <v>235.85</v>
      </c>
      <c r="P471" s="116">
        <v>241</v>
      </c>
      <c r="Q471" s="116">
        <v>250.65</v>
      </c>
      <c r="R471">
        <v>90324</v>
      </c>
    </row>
    <row r="472" spans="1:18" x14ac:dyDescent="0.25">
      <c r="A472" s="169">
        <v>42698</v>
      </c>
      <c r="B472" s="116">
        <v>256.39999999999998</v>
      </c>
      <c r="C472" s="116">
        <v>253.6</v>
      </c>
      <c r="D472" s="116">
        <v>249.95</v>
      </c>
      <c r="E472" s="116">
        <v>249.95</v>
      </c>
      <c r="F472" s="116">
        <v>253.6</v>
      </c>
      <c r="G472">
        <v>564</v>
      </c>
      <c r="H472" s="116"/>
      <c r="I472" s="116"/>
      <c r="L472" s="169">
        <v>42698</v>
      </c>
      <c r="M472" s="116">
        <v>255</v>
      </c>
      <c r="N472" s="116">
        <v>257.45</v>
      </c>
      <c r="O472" s="116">
        <v>247.05</v>
      </c>
      <c r="P472" s="116">
        <v>248</v>
      </c>
      <c r="Q472" s="116">
        <v>255</v>
      </c>
      <c r="R472">
        <v>11695</v>
      </c>
    </row>
    <row r="473" spans="1:18" x14ac:dyDescent="0.25">
      <c r="A473" s="169">
        <v>42699</v>
      </c>
      <c r="B473" s="116">
        <v>273</v>
      </c>
      <c r="C473" s="116">
        <v>270.8</v>
      </c>
      <c r="D473" s="116">
        <v>251.55</v>
      </c>
      <c r="E473" s="116">
        <v>255</v>
      </c>
      <c r="F473" s="116">
        <v>270.8</v>
      </c>
      <c r="G473">
        <v>3405</v>
      </c>
      <c r="H473" s="116"/>
      <c r="I473" s="116"/>
      <c r="L473" s="169">
        <v>42699</v>
      </c>
      <c r="M473" s="116">
        <v>269.8</v>
      </c>
      <c r="N473" s="116">
        <v>273</v>
      </c>
      <c r="O473" s="116">
        <v>247.15</v>
      </c>
      <c r="P473" s="116">
        <v>265.14999999999998</v>
      </c>
      <c r="Q473" s="116">
        <v>269.8</v>
      </c>
      <c r="R473">
        <v>21209</v>
      </c>
    </row>
    <row r="474" spans="1:18" x14ac:dyDescent="0.25">
      <c r="A474" s="169">
        <v>42702</v>
      </c>
      <c r="B474" s="116">
        <v>266.2</v>
      </c>
      <c r="C474" s="116">
        <v>264.14999999999998</v>
      </c>
      <c r="D474" s="116">
        <v>261.85000000000002</v>
      </c>
      <c r="E474" s="116">
        <v>263.60000000000002</v>
      </c>
      <c r="F474" s="116">
        <v>264.14999999999998</v>
      </c>
      <c r="G474">
        <v>712</v>
      </c>
      <c r="H474" s="116"/>
      <c r="I474" s="116"/>
      <c r="L474" s="169">
        <v>42702</v>
      </c>
      <c r="M474" s="116">
        <v>262.39999999999998</v>
      </c>
      <c r="N474" s="116">
        <v>268</v>
      </c>
      <c r="O474" s="116">
        <v>260</v>
      </c>
      <c r="P474" s="116">
        <v>268</v>
      </c>
      <c r="Q474" s="116">
        <v>262.39999999999998</v>
      </c>
      <c r="R474">
        <v>4059</v>
      </c>
    </row>
    <row r="475" spans="1:18" x14ac:dyDescent="0.25">
      <c r="A475" s="169">
        <v>42703</v>
      </c>
      <c r="B475" s="116">
        <v>268</v>
      </c>
      <c r="C475" s="116">
        <v>261.45</v>
      </c>
      <c r="D475" s="116">
        <v>257.2</v>
      </c>
      <c r="E475" s="116">
        <v>268</v>
      </c>
      <c r="F475" s="116">
        <v>261.45</v>
      </c>
      <c r="G475">
        <v>1339</v>
      </c>
      <c r="H475" s="116"/>
      <c r="I475" s="116"/>
      <c r="L475" s="169">
        <v>42703</v>
      </c>
      <c r="M475" s="116">
        <v>261.35000000000002</v>
      </c>
      <c r="N475" s="116">
        <v>272</v>
      </c>
      <c r="O475" s="116">
        <v>255.5</v>
      </c>
      <c r="P475" s="116">
        <v>272</v>
      </c>
      <c r="Q475" s="116">
        <v>261.35000000000002</v>
      </c>
      <c r="R475">
        <v>17292</v>
      </c>
    </row>
    <row r="476" spans="1:18" x14ac:dyDescent="0.25">
      <c r="A476" s="169">
        <v>42704</v>
      </c>
      <c r="B476" s="116">
        <v>263</v>
      </c>
      <c r="C476" s="116">
        <v>259.85000000000002</v>
      </c>
      <c r="D476" s="116">
        <v>258.10000000000002</v>
      </c>
      <c r="E476" s="116">
        <v>261.5</v>
      </c>
      <c r="F476" s="116">
        <v>259.85000000000002</v>
      </c>
      <c r="G476">
        <v>514</v>
      </c>
      <c r="H476" s="116"/>
      <c r="I476" s="116"/>
      <c r="L476" s="169">
        <v>42704</v>
      </c>
      <c r="M476" s="116">
        <v>259.8</v>
      </c>
      <c r="N476" s="116">
        <v>267.5</v>
      </c>
      <c r="O476" s="116">
        <v>256.35000000000002</v>
      </c>
      <c r="P476" s="116">
        <v>266.35000000000002</v>
      </c>
      <c r="Q476" s="116">
        <v>259.8</v>
      </c>
      <c r="R476">
        <v>53581</v>
      </c>
    </row>
    <row r="477" spans="1:18" x14ac:dyDescent="0.25">
      <c r="A477" s="169">
        <v>42705</v>
      </c>
      <c r="B477" s="116">
        <v>260</v>
      </c>
      <c r="C477" s="116">
        <v>258.55</v>
      </c>
      <c r="D477" s="116">
        <v>254.6</v>
      </c>
      <c r="E477" s="116">
        <v>259</v>
      </c>
      <c r="F477" s="116">
        <v>258.55</v>
      </c>
      <c r="G477">
        <v>4200</v>
      </c>
      <c r="H477" s="116"/>
      <c r="I477" s="116"/>
      <c r="L477" s="169">
        <v>42705</v>
      </c>
      <c r="M477" s="116">
        <v>258.55</v>
      </c>
      <c r="N477" s="116">
        <v>263</v>
      </c>
      <c r="O477" s="116">
        <v>255</v>
      </c>
      <c r="P477" s="116">
        <v>258</v>
      </c>
      <c r="Q477" s="116">
        <v>258.55</v>
      </c>
      <c r="R477">
        <v>11944</v>
      </c>
    </row>
    <row r="478" spans="1:18" x14ac:dyDescent="0.25">
      <c r="A478" s="169">
        <v>42706</v>
      </c>
      <c r="B478" s="116">
        <v>257.3</v>
      </c>
      <c r="C478" s="116">
        <v>253.45</v>
      </c>
      <c r="D478" s="116">
        <v>251</v>
      </c>
      <c r="E478" s="116">
        <v>255.6</v>
      </c>
      <c r="F478" s="116">
        <v>253.45</v>
      </c>
      <c r="G478">
        <v>1640</v>
      </c>
      <c r="H478" s="116"/>
      <c r="I478" s="116"/>
      <c r="L478" s="169">
        <v>42706</v>
      </c>
      <c r="M478" s="116">
        <v>251.1</v>
      </c>
      <c r="N478" s="116">
        <v>259.89999999999998</v>
      </c>
      <c r="O478" s="116">
        <v>250.05</v>
      </c>
      <c r="P478" s="116">
        <v>257.8</v>
      </c>
      <c r="Q478" s="116">
        <v>251.1</v>
      </c>
      <c r="R478">
        <v>124667</v>
      </c>
    </row>
    <row r="479" spans="1:18" x14ac:dyDescent="0.25">
      <c r="A479" s="169">
        <v>42709</v>
      </c>
      <c r="B479" s="116">
        <v>255</v>
      </c>
      <c r="C479" s="116">
        <v>253.65</v>
      </c>
      <c r="D479" s="116">
        <v>253.5</v>
      </c>
      <c r="E479" s="116">
        <v>255</v>
      </c>
      <c r="F479" s="116">
        <v>253.65</v>
      </c>
      <c r="G479">
        <v>492</v>
      </c>
      <c r="H479" s="116"/>
      <c r="I479" s="116"/>
      <c r="L479" s="169">
        <v>42709</v>
      </c>
      <c r="M479" s="116">
        <v>252.65</v>
      </c>
      <c r="N479" s="116">
        <v>258.89999999999998</v>
      </c>
      <c r="O479" s="116">
        <v>251</v>
      </c>
      <c r="P479" s="116">
        <v>251</v>
      </c>
      <c r="Q479" s="116">
        <v>252.65</v>
      </c>
      <c r="R479">
        <v>2837</v>
      </c>
    </row>
    <row r="480" spans="1:18" x14ac:dyDescent="0.25">
      <c r="A480" s="169">
        <v>42710</v>
      </c>
      <c r="B480" s="116">
        <v>258.89999999999998</v>
      </c>
      <c r="C480" s="116">
        <v>255.5</v>
      </c>
      <c r="D480" s="116">
        <v>252.4</v>
      </c>
      <c r="E480" s="116">
        <v>254.25</v>
      </c>
      <c r="F480" s="116">
        <v>255.5</v>
      </c>
      <c r="G480">
        <v>596</v>
      </c>
      <c r="H480" s="116"/>
      <c r="I480" s="116"/>
      <c r="L480" s="169">
        <v>42710</v>
      </c>
      <c r="M480" s="116">
        <v>255.15</v>
      </c>
      <c r="N480" s="116">
        <v>258</v>
      </c>
      <c r="O480" s="116">
        <v>250.05</v>
      </c>
      <c r="P480" s="116">
        <v>250.05</v>
      </c>
      <c r="Q480" s="116">
        <v>255.15</v>
      </c>
      <c r="R480">
        <v>58442</v>
      </c>
    </row>
    <row r="481" spans="1:18" x14ac:dyDescent="0.25">
      <c r="A481" s="169">
        <v>42711</v>
      </c>
      <c r="B481" s="116">
        <v>258.7</v>
      </c>
      <c r="C481" s="116">
        <v>255.4</v>
      </c>
      <c r="D481" s="116">
        <v>254.6</v>
      </c>
      <c r="E481" s="116">
        <v>257.7</v>
      </c>
      <c r="F481" s="116">
        <v>255.4</v>
      </c>
      <c r="G481">
        <v>495</v>
      </c>
      <c r="H481" s="116"/>
      <c r="I481" s="116"/>
      <c r="L481" s="169">
        <v>42711</v>
      </c>
      <c r="M481" s="116">
        <v>256.5</v>
      </c>
      <c r="N481" s="116">
        <v>257.95</v>
      </c>
      <c r="O481" s="116">
        <v>255</v>
      </c>
      <c r="P481" s="116">
        <v>255</v>
      </c>
      <c r="Q481" s="116">
        <v>256.5</v>
      </c>
      <c r="R481">
        <v>1228</v>
      </c>
    </row>
    <row r="482" spans="1:18" x14ac:dyDescent="0.25">
      <c r="A482" s="169">
        <v>42712</v>
      </c>
      <c r="B482" s="116">
        <v>265</v>
      </c>
      <c r="C482" s="116">
        <v>262.2</v>
      </c>
      <c r="D482" s="116">
        <v>256</v>
      </c>
      <c r="E482" s="116">
        <v>256</v>
      </c>
      <c r="F482" s="116">
        <v>262.2</v>
      </c>
      <c r="G482">
        <v>557</v>
      </c>
      <c r="H482" s="116"/>
      <c r="I482" s="116"/>
      <c r="L482" s="169">
        <v>42712</v>
      </c>
      <c r="M482" s="116">
        <v>262</v>
      </c>
      <c r="N482" s="116">
        <v>267</v>
      </c>
      <c r="O482" s="116">
        <v>255.35</v>
      </c>
      <c r="P482" s="116">
        <v>255.35</v>
      </c>
      <c r="Q482" s="116">
        <v>262</v>
      </c>
      <c r="R482">
        <v>21850</v>
      </c>
    </row>
    <row r="483" spans="1:18" x14ac:dyDescent="0.25">
      <c r="A483" s="169">
        <v>42713</v>
      </c>
      <c r="B483" s="116">
        <v>271.3</v>
      </c>
      <c r="C483" s="116">
        <v>262.75</v>
      </c>
      <c r="D483" s="116">
        <v>256</v>
      </c>
      <c r="E483" s="116">
        <v>265</v>
      </c>
      <c r="F483" s="116">
        <v>262.75</v>
      </c>
      <c r="G483">
        <v>127</v>
      </c>
      <c r="H483" s="116"/>
      <c r="I483" s="116"/>
      <c r="L483" s="169">
        <v>42713</v>
      </c>
      <c r="M483" s="116">
        <v>259.55</v>
      </c>
      <c r="N483" s="116">
        <v>269</v>
      </c>
      <c r="O483" s="116">
        <v>258</v>
      </c>
      <c r="P483" s="116">
        <v>258.05</v>
      </c>
      <c r="Q483" s="116">
        <v>259.55</v>
      </c>
      <c r="R483">
        <v>693</v>
      </c>
    </row>
    <row r="484" spans="1:18" x14ac:dyDescent="0.25">
      <c r="A484" s="169">
        <v>42716</v>
      </c>
      <c r="B484" s="116">
        <v>265</v>
      </c>
      <c r="C484" s="116">
        <v>252.65</v>
      </c>
      <c r="D484" s="116">
        <v>245.5</v>
      </c>
      <c r="E484" s="116">
        <v>265</v>
      </c>
      <c r="F484" s="116">
        <v>252.65</v>
      </c>
      <c r="G484">
        <v>823</v>
      </c>
      <c r="H484" s="116"/>
      <c r="I484" s="116"/>
      <c r="L484" s="169">
        <v>42716</v>
      </c>
      <c r="M484" s="116">
        <v>249.45</v>
      </c>
      <c r="N484" s="116">
        <v>267</v>
      </c>
      <c r="O484" s="116">
        <v>247.7</v>
      </c>
      <c r="P484" s="116">
        <v>258</v>
      </c>
      <c r="Q484" s="116">
        <v>249.45</v>
      </c>
      <c r="R484">
        <v>6596</v>
      </c>
    </row>
    <row r="485" spans="1:18" x14ac:dyDescent="0.25">
      <c r="A485" s="169">
        <v>42717</v>
      </c>
      <c r="B485" s="116">
        <v>254.95</v>
      </c>
      <c r="C485" s="116">
        <v>240.85</v>
      </c>
      <c r="D485" s="116">
        <v>239.05</v>
      </c>
      <c r="E485" s="116">
        <v>252.5</v>
      </c>
      <c r="F485" s="116">
        <v>240.85</v>
      </c>
      <c r="G485">
        <v>17180</v>
      </c>
      <c r="H485" s="116"/>
      <c r="I485" s="116"/>
      <c r="L485" s="169">
        <v>42717</v>
      </c>
      <c r="M485" s="116">
        <v>241.5</v>
      </c>
      <c r="N485" s="116">
        <v>253.65</v>
      </c>
      <c r="O485" s="116">
        <v>238.05</v>
      </c>
      <c r="P485" s="116">
        <v>247.05</v>
      </c>
      <c r="Q485" s="116">
        <v>241.5</v>
      </c>
      <c r="R485">
        <v>14183</v>
      </c>
    </row>
    <row r="486" spans="1:18" x14ac:dyDescent="0.25">
      <c r="A486" s="169">
        <v>42718</v>
      </c>
      <c r="B486" s="116">
        <v>244.9</v>
      </c>
      <c r="C486" s="116">
        <v>236.35</v>
      </c>
      <c r="D486" s="116">
        <v>235.1</v>
      </c>
      <c r="E486" s="116">
        <v>236.6</v>
      </c>
      <c r="F486" s="116">
        <v>236.35</v>
      </c>
      <c r="G486">
        <v>244</v>
      </c>
      <c r="H486" s="116"/>
      <c r="I486" s="116"/>
      <c r="L486" s="169">
        <v>42718</v>
      </c>
      <c r="M486" s="116">
        <v>240.25</v>
      </c>
      <c r="N486" s="116">
        <v>247.45</v>
      </c>
      <c r="O486" s="116">
        <v>235</v>
      </c>
      <c r="P486" s="116">
        <v>240</v>
      </c>
      <c r="Q486" s="116">
        <v>240.25</v>
      </c>
      <c r="R486">
        <v>2053</v>
      </c>
    </row>
    <row r="487" spans="1:18" x14ac:dyDescent="0.25">
      <c r="A487" s="169">
        <v>42719</v>
      </c>
      <c r="B487" s="116">
        <v>240</v>
      </c>
      <c r="C487" s="116">
        <v>238.2</v>
      </c>
      <c r="D487" s="116">
        <v>236</v>
      </c>
      <c r="E487" s="116">
        <v>236</v>
      </c>
      <c r="F487" s="116">
        <v>238.2</v>
      </c>
      <c r="G487">
        <v>398</v>
      </c>
      <c r="H487" s="116"/>
      <c r="I487" s="116"/>
      <c r="L487" s="169">
        <v>42719</v>
      </c>
      <c r="M487" s="116">
        <v>239.35</v>
      </c>
      <c r="N487" s="116">
        <v>241.45</v>
      </c>
      <c r="O487" s="116">
        <v>235.65</v>
      </c>
      <c r="P487" s="116">
        <v>238</v>
      </c>
      <c r="Q487" s="116">
        <v>239.35</v>
      </c>
      <c r="R487">
        <v>2765</v>
      </c>
    </row>
    <row r="488" spans="1:18" x14ac:dyDescent="0.25">
      <c r="A488" s="169">
        <v>42720</v>
      </c>
      <c r="B488" s="116">
        <v>243.9</v>
      </c>
      <c r="C488" s="116">
        <v>241.6</v>
      </c>
      <c r="D488" s="116">
        <v>237</v>
      </c>
      <c r="E488" s="116">
        <v>241.35</v>
      </c>
      <c r="F488" s="116">
        <v>241.6</v>
      </c>
      <c r="G488">
        <v>397</v>
      </c>
      <c r="H488" s="116"/>
      <c r="I488" s="116"/>
      <c r="L488" s="169">
        <v>42720</v>
      </c>
      <c r="M488" s="116">
        <v>241.25</v>
      </c>
      <c r="N488" s="116">
        <v>243</v>
      </c>
      <c r="O488" s="116">
        <v>236</v>
      </c>
      <c r="P488" s="116">
        <v>238</v>
      </c>
      <c r="Q488" s="116">
        <v>241.25</v>
      </c>
      <c r="R488">
        <v>2368</v>
      </c>
    </row>
    <row r="489" spans="1:18" x14ac:dyDescent="0.25">
      <c r="A489" s="169">
        <v>42723</v>
      </c>
      <c r="B489" s="116">
        <v>245</v>
      </c>
      <c r="C489" s="116">
        <v>242.35</v>
      </c>
      <c r="D489" s="116">
        <v>235</v>
      </c>
      <c r="E489" s="116">
        <v>235.3</v>
      </c>
      <c r="F489" s="116">
        <v>242.35</v>
      </c>
      <c r="G489">
        <v>77</v>
      </c>
      <c r="H489" s="116"/>
      <c r="I489" s="116"/>
      <c r="L489" s="169">
        <v>42723</v>
      </c>
      <c r="M489" s="116">
        <v>240</v>
      </c>
      <c r="N489" s="116">
        <v>245.8</v>
      </c>
      <c r="O489" s="116">
        <v>235.1</v>
      </c>
      <c r="P489" s="116">
        <v>239</v>
      </c>
      <c r="Q489" s="116">
        <v>240</v>
      </c>
      <c r="R489">
        <v>1282</v>
      </c>
    </row>
    <row r="490" spans="1:18" x14ac:dyDescent="0.25">
      <c r="A490" s="169">
        <v>42724</v>
      </c>
      <c r="B490" s="116">
        <v>248</v>
      </c>
      <c r="C490" s="116">
        <v>246.55</v>
      </c>
      <c r="D490" s="116">
        <v>238</v>
      </c>
      <c r="E490" s="116">
        <v>238</v>
      </c>
      <c r="F490" s="116">
        <v>246.55</v>
      </c>
      <c r="G490">
        <v>2661</v>
      </c>
      <c r="H490" s="116"/>
      <c r="I490" s="116"/>
      <c r="L490" s="169">
        <v>42724</v>
      </c>
      <c r="M490" s="116">
        <v>245.45</v>
      </c>
      <c r="N490" s="116">
        <v>248</v>
      </c>
      <c r="O490" s="116">
        <v>235</v>
      </c>
      <c r="P490" s="116">
        <v>239</v>
      </c>
      <c r="Q490" s="116">
        <v>245.45</v>
      </c>
      <c r="R490">
        <v>7621</v>
      </c>
    </row>
    <row r="491" spans="1:18" x14ac:dyDescent="0.25">
      <c r="A491" s="169">
        <v>42725</v>
      </c>
      <c r="B491" s="116">
        <v>252.35</v>
      </c>
      <c r="C491" s="116">
        <v>251.05</v>
      </c>
      <c r="D491" s="116">
        <v>247</v>
      </c>
      <c r="E491" s="116">
        <v>247</v>
      </c>
      <c r="F491" s="116">
        <v>251.05</v>
      </c>
      <c r="G491">
        <v>530</v>
      </c>
      <c r="H491" s="116"/>
      <c r="I491" s="116"/>
      <c r="L491" s="169">
        <v>42725</v>
      </c>
      <c r="M491" s="116">
        <v>249.05</v>
      </c>
      <c r="N491" s="116">
        <v>252.25</v>
      </c>
      <c r="O491" s="116">
        <v>238</v>
      </c>
      <c r="P491" s="116">
        <v>241</v>
      </c>
      <c r="Q491" s="116">
        <v>249.05</v>
      </c>
      <c r="R491">
        <v>2604</v>
      </c>
    </row>
    <row r="492" spans="1:18" x14ac:dyDescent="0.25">
      <c r="A492" s="169">
        <v>42726</v>
      </c>
      <c r="B492" s="116">
        <v>250.3</v>
      </c>
      <c r="C492" s="116">
        <v>249.65</v>
      </c>
      <c r="D492" s="116">
        <v>240</v>
      </c>
      <c r="E492" s="116">
        <v>246.1</v>
      </c>
      <c r="F492" s="116">
        <v>249.65</v>
      </c>
      <c r="G492">
        <v>336</v>
      </c>
      <c r="H492" s="116"/>
      <c r="I492" s="116"/>
      <c r="L492" s="169">
        <v>42726</v>
      </c>
      <c r="M492" s="116">
        <v>248.2</v>
      </c>
      <c r="N492" s="116">
        <v>251.8</v>
      </c>
      <c r="O492" s="116">
        <v>241</v>
      </c>
      <c r="P492" s="116">
        <v>245</v>
      </c>
      <c r="Q492" s="116">
        <v>248.2</v>
      </c>
      <c r="R492">
        <v>2260</v>
      </c>
    </row>
    <row r="493" spans="1:18" x14ac:dyDescent="0.25">
      <c r="A493" s="169">
        <v>42727</v>
      </c>
      <c r="B493" s="116">
        <v>253</v>
      </c>
      <c r="C493" s="116">
        <v>245.8</v>
      </c>
      <c r="D493" s="116">
        <v>245</v>
      </c>
      <c r="E493" s="116">
        <v>246</v>
      </c>
      <c r="F493" s="116">
        <v>245.8</v>
      </c>
      <c r="G493">
        <v>1859</v>
      </c>
      <c r="H493" s="116"/>
      <c r="I493" s="116"/>
      <c r="L493" s="169">
        <v>42727</v>
      </c>
      <c r="M493" s="116">
        <v>247.15</v>
      </c>
      <c r="N493" s="116">
        <v>250.85</v>
      </c>
      <c r="O493" s="116">
        <v>241.6</v>
      </c>
      <c r="P493" s="116">
        <v>241.6</v>
      </c>
      <c r="Q493" s="116">
        <v>247.15</v>
      </c>
      <c r="R493">
        <v>3159</v>
      </c>
    </row>
    <row r="494" spans="1:18" x14ac:dyDescent="0.25">
      <c r="A494" s="169">
        <v>42730</v>
      </c>
      <c r="B494" s="116">
        <v>258</v>
      </c>
      <c r="C494" s="116">
        <v>245.05</v>
      </c>
      <c r="D494" s="116">
        <v>240</v>
      </c>
      <c r="E494" s="116">
        <v>255</v>
      </c>
      <c r="F494" s="116">
        <v>245.05</v>
      </c>
      <c r="G494">
        <v>4333</v>
      </c>
      <c r="H494" s="116"/>
      <c r="I494" s="116"/>
      <c r="L494" s="169">
        <v>42730</v>
      </c>
      <c r="M494" s="116">
        <v>246.3</v>
      </c>
      <c r="N494" s="116">
        <v>249.95</v>
      </c>
      <c r="O494" s="116">
        <v>240</v>
      </c>
      <c r="P494" s="116">
        <v>249.95</v>
      </c>
      <c r="Q494" s="116">
        <v>246.3</v>
      </c>
      <c r="R494">
        <v>1865</v>
      </c>
    </row>
    <row r="495" spans="1:18" x14ac:dyDescent="0.25">
      <c r="A495" s="169">
        <v>42731</v>
      </c>
      <c r="B495" s="116">
        <v>246</v>
      </c>
      <c r="C495" s="116">
        <v>243.8</v>
      </c>
      <c r="D495" s="116">
        <v>242.25</v>
      </c>
      <c r="E495" s="116">
        <v>245</v>
      </c>
      <c r="F495" s="116">
        <v>243.8</v>
      </c>
      <c r="G495">
        <v>553</v>
      </c>
      <c r="H495" s="116"/>
      <c r="I495" s="116"/>
      <c r="L495" s="169">
        <v>42731</v>
      </c>
      <c r="M495" s="116">
        <v>245.65</v>
      </c>
      <c r="N495" s="116">
        <v>248.9</v>
      </c>
      <c r="O495" s="116">
        <v>240.4</v>
      </c>
      <c r="P495" s="116">
        <v>242</v>
      </c>
      <c r="Q495" s="116">
        <v>245.65</v>
      </c>
      <c r="R495">
        <v>3543</v>
      </c>
    </row>
    <row r="496" spans="1:18" x14ac:dyDescent="0.25">
      <c r="A496" s="169">
        <v>42732</v>
      </c>
      <c r="B496" s="116">
        <v>245</v>
      </c>
      <c r="C496" s="116">
        <v>244.7</v>
      </c>
      <c r="D496" s="116">
        <v>243.5</v>
      </c>
      <c r="E496" s="116">
        <v>244</v>
      </c>
      <c r="F496" s="116">
        <v>244.7</v>
      </c>
      <c r="G496">
        <v>4200</v>
      </c>
      <c r="H496" s="116"/>
      <c r="I496" s="116"/>
      <c r="L496" s="169">
        <v>42732</v>
      </c>
      <c r="M496" s="116">
        <v>241.95</v>
      </c>
      <c r="N496" s="116">
        <v>245</v>
      </c>
      <c r="O496" s="116">
        <v>241.1</v>
      </c>
      <c r="P496" s="116">
        <v>242</v>
      </c>
      <c r="Q496" s="116">
        <v>241.95</v>
      </c>
      <c r="R496">
        <v>2552</v>
      </c>
    </row>
    <row r="497" spans="1:18" x14ac:dyDescent="0.25">
      <c r="A497" s="169">
        <v>42733</v>
      </c>
      <c r="B497" s="116">
        <v>258.5</v>
      </c>
      <c r="C497" s="116">
        <v>249.05</v>
      </c>
      <c r="D497" s="116">
        <v>243</v>
      </c>
      <c r="E497" s="116">
        <v>245</v>
      </c>
      <c r="F497" s="116">
        <v>249.05</v>
      </c>
      <c r="G497">
        <v>106162</v>
      </c>
      <c r="H497" s="116"/>
      <c r="I497" s="116"/>
      <c r="L497" s="169">
        <v>42733</v>
      </c>
      <c r="M497" s="116">
        <v>249.1</v>
      </c>
      <c r="N497" s="116">
        <v>258.39999999999998</v>
      </c>
      <c r="O497" s="116">
        <v>240</v>
      </c>
      <c r="P497" s="116">
        <v>240</v>
      </c>
      <c r="Q497" s="116">
        <v>249.1</v>
      </c>
      <c r="R497">
        <v>146538</v>
      </c>
    </row>
    <row r="498" spans="1:18" x14ac:dyDescent="0.25">
      <c r="A498" s="169">
        <v>42734</v>
      </c>
      <c r="B498" s="116">
        <v>253</v>
      </c>
      <c r="C498" s="116">
        <v>246.5</v>
      </c>
      <c r="D498" s="116">
        <v>244.85</v>
      </c>
      <c r="E498" s="116">
        <v>249.8</v>
      </c>
      <c r="F498" s="116">
        <v>246.5</v>
      </c>
      <c r="G498">
        <v>29217</v>
      </c>
      <c r="H498" s="116"/>
      <c r="I498" s="116"/>
      <c r="L498" s="169">
        <v>42734</v>
      </c>
      <c r="M498" s="116">
        <v>246.6</v>
      </c>
      <c r="N498" s="116">
        <v>253</v>
      </c>
      <c r="O498" s="116">
        <v>243</v>
      </c>
      <c r="P498" s="116">
        <v>249.5</v>
      </c>
      <c r="Q498" s="116">
        <v>246.6</v>
      </c>
      <c r="R498">
        <v>45179</v>
      </c>
    </row>
    <row r="499" spans="1:18" x14ac:dyDescent="0.25">
      <c r="A499" s="169">
        <v>42737</v>
      </c>
      <c r="B499" s="116">
        <v>256</v>
      </c>
      <c r="C499" s="116">
        <v>250.5</v>
      </c>
      <c r="D499" s="116">
        <v>242</v>
      </c>
      <c r="E499" s="116">
        <v>249.35</v>
      </c>
      <c r="F499" s="116">
        <v>250.5</v>
      </c>
      <c r="G499">
        <v>3815</v>
      </c>
      <c r="H499" s="116"/>
      <c r="I499" s="116"/>
      <c r="L499" s="169">
        <v>42737</v>
      </c>
      <c r="M499" s="116">
        <v>247.5</v>
      </c>
      <c r="N499" s="116">
        <v>251.55</v>
      </c>
      <c r="O499" s="116">
        <v>242.15</v>
      </c>
      <c r="P499" s="116">
        <v>247.2</v>
      </c>
      <c r="Q499" s="116">
        <v>247.5</v>
      </c>
      <c r="R499">
        <v>10774</v>
      </c>
    </row>
    <row r="500" spans="1:18" x14ac:dyDescent="0.25">
      <c r="A500" s="169">
        <v>42738</v>
      </c>
      <c r="B500" s="116">
        <v>253</v>
      </c>
      <c r="C500" s="116">
        <v>241.3</v>
      </c>
      <c r="D500" s="116">
        <v>240</v>
      </c>
      <c r="E500" s="116">
        <v>251.5</v>
      </c>
      <c r="F500" s="116">
        <v>241.3</v>
      </c>
      <c r="G500">
        <v>2041</v>
      </c>
      <c r="H500" s="116"/>
      <c r="I500" s="116"/>
      <c r="L500" s="169">
        <v>42738</v>
      </c>
      <c r="M500" s="116">
        <v>242.65</v>
      </c>
      <c r="N500" s="116">
        <v>260</v>
      </c>
      <c r="O500" s="116">
        <v>241.1</v>
      </c>
      <c r="P500" s="116">
        <v>260</v>
      </c>
      <c r="Q500" s="116">
        <v>242.65</v>
      </c>
      <c r="R500">
        <v>8505</v>
      </c>
    </row>
    <row r="501" spans="1:18" x14ac:dyDescent="0.25">
      <c r="A501" s="169">
        <v>42739</v>
      </c>
      <c r="B501" s="116">
        <v>256</v>
      </c>
      <c r="C501" s="116">
        <v>254.55</v>
      </c>
      <c r="D501" s="116">
        <v>243.35</v>
      </c>
      <c r="E501" s="116">
        <v>247.95</v>
      </c>
      <c r="F501" s="116">
        <v>254.55</v>
      </c>
      <c r="G501">
        <v>33733</v>
      </c>
      <c r="H501" s="116"/>
      <c r="I501" s="116"/>
      <c r="L501" s="169">
        <v>42739</v>
      </c>
      <c r="M501" s="116">
        <v>254.35</v>
      </c>
      <c r="N501" s="116">
        <v>255.5</v>
      </c>
      <c r="O501" s="116">
        <v>242.5</v>
      </c>
      <c r="P501" s="116">
        <v>247</v>
      </c>
      <c r="Q501" s="116">
        <v>254.35</v>
      </c>
      <c r="R501">
        <v>73822</v>
      </c>
    </row>
    <row r="502" spans="1:18" x14ac:dyDescent="0.25">
      <c r="A502" s="169">
        <v>42740</v>
      </c>
      <c r="B502" s="116">
        <v>268</v>
      </c>
      <c r="C502" s="116">
        <v>264.3</v>
      </c>
      <c r="D502" s="116">
        <v>253.55</v>
      </c>
      <c r="E502" s="116">
        <v>254.9</v>
      </c>
      <c r="F502" s="116">
        <v>264.3</v>
      </c>
      <c r="G502">
        <v>22972</v>
      </c>
      <c r="H502" s="116"/>
      <c r="I502" s="116"/>
      <c r="L502" s="169">
        <v>42740</v>
      </c>
      <c r="M502" s="116">
        <v>265.35000000000002</v>
      </c>
      <c r="N502" s="116">
        <v>269</v>
      </c>
      <c r="O502" s="116">
        <v>246.35</v>
      </c>
      <c r="P502" s="116">
        <v>251</v>
      </c>
      <c r="Q502" s="116">
        <v>265.35000000000002</v>
      </c>
      <c r="R502">
        <v>113166</v>
      </c>
    </row>
    <row r="503" spans="1:18" x14ac:dyDescent="0.25">
      <c r="A503" s="169">
        <v>42741</v>
      </c>
      <c r="B503" s="116">
        <v>270</v>
      </c>
      <c r="C503" s="116">
        <v>263.55</v>
      </c>
      <c r="D503" s="116">
        <v>255.3</v>
      </c>
      <c r="E503" s="116">
        <v>262</v>
      </c>
      <c r="F503" s="116">
        <v>263.55</v>
      </c>
      <c r="G503">
        <v>1066</v>
      </c>
      <c r="H503" s="116"/>
      <c r="I503" s="116"/>
      <c r="L503" s="169">
        <v>42741</v>
      </c>
      <c r="M503" s="116">
        <v>264.35000000000002</v>
      </c>
      <c r="N503" s="116">
        <v>267</v>
      </c>
      <c r="O503" s="116">
        <v>254.5</v>
      </c>
      <c r="P503" s="116">
        <v>261.85000000000002</v>
      </c>
      <c r="Q503" s="116">
        <v>264.35000000000002</v>
      </c>
      <c r="R503">
        <v>18528</v>
      </c>
    </row>
    <row r="504" spans="1:18" x14ac:dyDescent="0.25">
      <c r="A504" s="169">
        <v>42744</v>
      </c>
      <c r="B504" s="116">
        <v>274</v>
      </c>
      <c r="C504" s="116">
        <v>254.35</v>
      </c>
      <c r="D504" s="116">
        <v>251.55</v>
      </c>
      <c r="E504" s="116">
        <v>266.25</v>
      </c>
      <c r="F504" s="116">
        <v>254.35</v>
      </c>
      <c r="G504">
        <v>6344</v>
      </c>
      <c r="H504" s="116"/>
      <c r="I504" s="116"/>
      <c r="L504" s="169">
        <v>42744</v>
      </c>
      <c r="M504" s="116">
        <v>252.75</v>
      </c>
      <c r="N504" s="116">
        <v>271</v>
      </c>
      <c r="O504" s="116">
        <v>250.5</v>
      </c>
      <c r="P504" s="116">
        <v>266</v>
      </c>
      <c r="Q504" s="116">
        <v>252.75</v>
      </c>
      <c r="R504">
        <v>37475</v>
      </c>
    </row>
    <row r="505" spans="1:18" x14ac:dyDescent="0.25">
      <c r="A505" s="169">
        <v>42745</v>
      </c>
      <c r="B505" s="116">
        <v>260</v>
      </c>
      <c r="C505" s="116">
        <v>245.85</v>
      </c>
      <c r="D505" s="116">
        <v>245</v>
      </c>
      <c r="E505" s="116">
        <v>255</v>
      </c>
      <c r="F505" s="116">
        <v>245.85</v>
      </c>
      <c r="G505">
        <v>26299</v>
      </c>
      <c r="H505" s="116"/>
      <c r="I505" s="116"/>
      <c r="L505" s="169">
        <v>42745</v>
      </c>
      <c r="M505" s="116">
        <v>246.15</v>
      </c>
      <c r="N505" s="116">
        <v>259</v>
      </c>
      <c r="O505" s="116">
        <v>243.5</v>
      </c>
      <c r="P505" s="116">
        <v>253</v>
      </c>
      <c r="Q505" s="116">
        <v>246.15</v>
      </c>
      <c r="R505">
        <v>59140</v>
      </c>
    </row>
    <row r="506" spans="1:18" x14ac:dyDescent="0.25">
      <c r="A506" s="169">
        <v>42746</v>
      </c>
      <c r="B506" s="116">
        <v>254.3</v>
      </c>
      <c r="C506" s="116">
        <v>250.55</v>
      </c>
      <c r="D506" s="116">
        <v>247.1</v>
      </c>
      <c r="E506" s="116">
        <v>249.4</v>
      </c>
      <c r="F506" s="116">
        <v>250.55</v>
      </c>
      <c r="G506">
        <v>28101</v>
      </c>
      <c r="H506" s="116"/>
      <c r="I506" s="116"/>
      <c r="L506" s="169">
        <v>42746</v>
      </c>
      <c r="M506" s="116">
        <v>249.9</v>
      </c>
      <c r="N506" s="116">
        <v>253.95</v>
      </c>
      <c r="O506" s="116">
        <v>245</v>
      </c>
      <c r="P506" s="116">
        <v>246</v>
      </c>
      <c r="Q506" s="116">
        <v>249.9</v>
      </c>
      <c r="R506">
        <v>71262</v>
      </c>
    </row>
    <row r="507" spans="1:18" x14ac:dyDescent="0.25">
      <c r="A507" s="169">
        <v>42747</v>
      </c>
      <c r="B507" s="116">
        <v>259</v>
      </c>
      <c r="C507" s="116">
        <v>253.8</v>
      </c>
      <c r="D507" s="116">
        <v>244.15</v>
      </c>
      <c r="E507" s="116">
        <v>250</v>
      </c>
      <c r="F507" s="116">
        <v>253.8</v>
      </c>
      <c r="G507">
        <v>39113</v>
      </c>
      <c r="H507" s="116"/>
      <c r="I507" s="116"/>
      <c r="L507" s="169">
        <v>42747</v>
      </c>
      <c r="M507" s="116">
        <v>250.05</v>
      </c>
      <c r="N507" s="116">
        <v>257.89999999999998</v>
      </c>
      <c r="O507" s="116">
        <v>243.55</v>
      </c>
      <c r="P507" s="116">
        <v>249.9</v>
      </c>
      <c r="Q507" s="116">
        <v>250.05</v>
      </c>
      <c r="R507">
        <v>74146</v>
      </c>
    </row>
    <row r="508" spans="1:18" x14ac:dyDescent="0.25">
      <c r="A508" s="169">
        <v>42748</v>
      </c>
      <c r="B508" s="116">
        <v>253</v>
      </c>
      <c r="C508" s="116">
        <v>245.05</v>
      </c>
      <c r="D508" s="116">
        <v>237.4</v>
      </c>
      <c r="E508" s="116">
        <v>253</v>
      </c>
      <c r="F508" s="116">
        <v>245.05</v>
      </c>
      <c r="G508">
        <v>20947</v>
      </c>
      <c r="H508" s="116"/>
      <c r="I508" s="116"/>
      <c r="L508" s="169">
        <v>42748</v>
      </c>
      <c r="M508" s="116">
        <v>243.95</v>
      </c>
      <c r="N508" s="116">
        <v>254.8</v>
      </c>
      <c r="O508" s="116">
        <v>242</v>
      </c>
      <c r="P508" s="116">
        <v>248</v>
      </c>
      <c r="Q508" s="116">
        <v>243.95</v>
      </c>
      <c r="R508">
        <v>57028</v>
      </c>
    </row>
    <row r="509" spans="1:18" x14ac:dyDescent="0.25">
      <c r="A509" s="169">
        <v>42751</v>
      </c>
      <c r="B509" s="116">
        <v>261</v>
      </c>
      <c r="C509" s="116">
        <v>257.85000000000002</v>
      </c>
      <c r="D509" s="116">
        <v>240.2</v>
      </c>
      <c r="E509" s="116">
        <v>248</v>
      </c>
      <c r="F509" s="116">
        <v>257.85000000000002</v>
      </c>
      <c r="G509">
        <v>35490</v>
      </c>
      <c r="H509" s="116"/>
      <c r="I509" s="116"/>
      <c r="L509" s="169">
        <v>42751</v>
      </c>
      <c r="M509" s="116">
        <v>258.55</v>
      </c>
      <c r="N509" s="116">
        <v>260.8</v>
      </c>
      <c r="O509" s="116">
        <v>244</v>
      </c>
      <c r="P509" s="116">
        <v>248.85</v>
      </c>
      <c r="Q509" s="116">
        <v>258.55</v>
      </c>
      <c r="R509">
        <v>57363</v>
      </c>
    </row>
    <row r="510" spans="1:18" x14ac:dyDescent="0.25">
      <c r="A510" s="169">
        <v>42752</v>
      </c>
      <c r="B510" s="116">
        <v>268.95</v>
      </c>
      <c r="C510" s="116">
        <v>266.2</v>
      </c>
      <c r="D510" s="116">
        <v>258.10000000000002</v>
      </c>
      <c r="E510" s="116">
        <v>260</v>
      </c>
      <c r="F510" s="116">
        <v>266.2</v>
      </c>
      <c r="G510">
        <v>10933</v>
      </c>
      <c r="H510" s="116"/>
      <c r="I510" s="116"/>
      <c r="L510" s="169">
        <v>42752</v>
      </c>
      <c r="M510" s="116">
        <v>266.8</v>
      </c>
      <c r="N510" s="116">
        <v>269</v>
      </c>
      <c r="O510" s="116">
        <v>257</v>
      </c>
      <c r="P510" s="116">
        <v>262.89999999999998</v>
      </c>
      <c r="Q510" s="116">
        <v>266.8</v>
      </c>
      <c r="R510">
        <v>118842</v>
      </c>
    </row>
    <row r="511" spans="1:18" x14ac:dyDescent="0.25">
      <c r="A511" s="169">
        <v>42753</v>
      </c>
      <c r="B511" s="116">
        <v>270.7</v>
      </c>
      <c r="C511" s="116">
        <v>268</v>
      </c>
      <c r="D511" s="116">
        <v>263.3</v>
      </c>
      <c r="E511" s="116">
        <v>266.35000000000002</v>
      </c>
      <c r="F511" s="116">
        <v>268</v>
      </c>
      <c r="G511">
        <v>4668</v>
      </c>
      <c r="H511" s="116"/>
      <c r="I511" s="116"/>
      <c r="L511" s="169">
        <v>42753</v>
      </c>
      <c r="M511" s="116">
        <v>267.55</v>
      </c>
      <c r="N511" s="116">
        <v>270</v>
      </c>
      <c r="O511" s="116">
        <v>263.39999999999998</v>
      </c>
      <c r="P511" s="116">
        <v>263.39999999999998</v>
      </c>
      <c r="Q511" s="116">
        <v>267.55</v>
      </c>
      <c r="R511">
        <v>148202</v>
      </c>
    </row>
    <row r="512" spans="1:18" x14ac:dyDescent="0.25">
      <c r="A512" s="169">
        <v>42754</v>
      </c>
      <c r="B512" s="116">
        <v>299.5</v>
      </c>
      <c r="C512" s="116">
        <v>292.85000000000002</v>
      </c>
      <c r="D512" s="116">
        <v>270</v>
      </c>
      <c r="E512" s="116">
        <v>270</v>
      </c>
      <c r="F512" s="116">
        <v>292.85000000000002</v>
      </c>
      <c r="G512">
        <v>48929</v>
      </c>
      <c r="H512" s="116"/>
      <c r="I512" s="116"/>
      <c r="L512" s="169">
        <v>42754</v>
      </c>
      <c r="M512" s="116">
        <v>292.64999999999998</v>
      </c>
      <c r="N512" s="116">
        <v>299.3</v>
      </c>
      <c r="O512" s="116">
        <v>272</v>
      </c>
      <c r="P512" s="116">
        <v>274.8</v>
      </c>
      <c r="Q512" s="116">
        <v>292.64999999999998</v>
      </c>
      <c r="R512">
        <v>228483</v>
      </c>
    </row>
    <row r="513" spans="1:18" x14ac:dyDescent="0.25">
      <c r="A513" s="169">
        <v>42755</v>
      </c>
      <c r="B513" s="116">
        <v>294</v>
      </c>
      <c r="C513" s="116">
        <v>287.10000000000002</v>
      </c>
      <c r="D513" s="116">
        <v>283</v>
      </c>
      <c r="E513" s="116">
        <v>290.8</v>
      </c>
      <c r="F513" s="116">
        <v>287.10000000000002</v>
      </c>
      <c r="G513">
        <v>25507</v>
      </c>
      <c r="H513" s="116"/>
      <c r="I513" s="116"/>
      <c r="L513" s="169">
        <v>42755</v>
      </c>
      <c r="M513" s="116">
        <v>284.89999999999998</v>
      </c>
      <c r="N513" s="116">
        <v>294.7</v>
      </c>
      <c r="O513" s="116">
        <v>283.05</v>
      </c>
      <c r="P513" s="116">
        <v>290.85000000000002</v>
      </c>
      <c r="Q513" s="116">
        <v>284.89999999999998</v>
      </c>
      <c r="R513">
        <v>35108</v>
      </c>
    </row>
    <row r="514" spans="1:18" x14ac:dyDescent="0.25">
      <c r="A514" s="169">
        <v>42758</v>
      </c>
      <c r="B514" s="116">
        <v>291</v>
      </c>
      <c r="C514" s="116">
        <v>287.64999999999998</v>
      </c>
      <c r="D514" s="116">
        <v>280</v>
      </c>
      <c r="E514" s="116">
        <v>286.39999999999998</v>
      </c>
      <c r="F514" s="116">
        <v>287.64999999999998</v>
      </c>
      <c r="G514">
        <v>17800</v>
      </c>
      <c r="H514" s="116"/>
      <c r="I514" s="116"/>
      <c r="L514" s="169">
        <v>42758</v>
      </c>
      <c r="M514" s="116">
        <v>288.2</v>
      </c>
      <c r="N514" s="116">
        <v>291</v>
      </c>
      <c r="O514" s="116">
        <v>277.35000000000002</v>
      </c>
      <c r="P514" s="116">
        <v>286.3</v>
      </c>
      <c r="Q514" s="116">
        <v>288.2</v>
      </c>
      <c r="R514">
        <v>56369</v>
      </c>
    </row>
    <row r="515" spans="1:18" x14ac:dyDescent="0.25">
      <c r="A515" s="169">
        <v>42759</v>
      </c>
      <c r="B515" s="116">
        <v>297</v>
      </c>
      <c r="C515" s="116">
        <v>287.3</v>
      </c>
      <c r="D515" s="116">
        <v>286.3</v>
      </c>
      <c r="E515" s="116">
        <v>290</v>
      </c>
      <c r="F515" s="116">
        <v>287.3</v>
      </c>
      <c r="G515">
        <v>43924</v>
      </c>
      <c r="H515" s="116"/>
      <c r="I515" s="116"/>
      <c r="L515" s="169">
        <v>42759</v>
      </c>
      <c r="M515" s="116">
        <v>288.64999999999998</v>
      </c>
      <c r="N515" s="116">
        <v>297.5</v>
      </c>
      <c r="O515" s="116">
        <v>285.35000000000002</v>
      </c>
      <c r="P515" s="116">
        <v>289</v>
      </c>
      <c r="Q515" s="116">
        <v>288.64999999999998</v>
      </c>
      <c r="R515">
        <v>145782</v>
      </c>
    </row>
    <row r="516" spans="1:18" x14ac:dyDescent="0.25">
      <c r="A516" s="169">
        <v>42760</v>
      </c>
      <c r="B516" s="116">
        <v>286.5</v>
      </c>
      <c r="C516" s="116">
        <v>274.10000000000002</v>
      </c>
      <c r="D516" s="116">
        <v>272.2</v>
      </c>
      <c r="E516" s="116">
        <v>286.5</v>
      </c>
      <c r="F516" s="116">
        <v>274.10000000000002</v>
      </c>
      <c r="G516">
        <v>44380</v>
      </c>
      <c r="H516" s="116"/>
      <c r="I516" s="116"/>
      <c r="L516" s="169">
        <v>42760</v>
      </c>
      <c r="M516" s="116">
        <v>274.05</v>
      </c>
      <c r="N516" s="116">
        <v>290</v>
      </c>
      <c r="O516" s="116">
        <v>271.60000000000002</v>
      </c>
      <c r="P516" s="116">
        <v>289.89999999999998</v>
      </c>
      <c r="Q516" s="116">
        <v>274.05</v>
      </c>
      <c r="R516">
        <v>103871</v>
      </c>
    </row>
    <row r="517" spans="1:18" x14ac:dyDescent="0.25">
      <c r="A517" s="169">
        <v>42762</v>
      </c>
      <c r="B517" s="116">
        <v>283</v>
      </c>
      <c r="C517" s="116">
        <v>280.95</v>
      </c>
      <c r="D517" s="116">
        <v>275.7</v>
      </c>
      <c r="E517" s="116">
        <v>282</v>
      </c>
      <c r="F517" s="116">
        <v>280.95</v>
      </c>
      <c r="G517">
        <v>28434</v>
      </c>
      <c r="H517" s="116"/>
      <c r="I517" s="116"/>
      <c r="L517" s="169">
        <v>42762</v>
      </c>
      <c r="M517" s="116">
        <v>282.89999999999998</v>
      </c>
      <c r="N517" s="116">
        <v>284</v>
      </c>
      <c r="O517" s="116">
        <v>272.5</v>
      </c>
      <c r="P517" s="116">
        <v>284</v>
      </c>
      <c r="Q517" s="116">
        <v>282.89999999999998</v>
      </c>
      <c r="R517">
        <v>140868</v>
      </c>
    </row>
    <row r="518" spans="1:18" x14ac:dyDescent="0.25">
      <c r="A518" s="169">
        <v>42765</v>
      </c>
      <c r="B518" s="116">
        <v>282.89999999999998</v>
      </c>
      <c r="C518" s="116">
        <v>276.45</v>
      </c>
      <c r="D518" s="116">
        <v>275.5</v>
      </c>
      <c r="E518" s="116">
        <v>282.89999999999998</v>
      </c>
      <c r="F518" s="116">
        <v>276.45</v>
      </c>
      <c r="G518">
        <v>1769</v>
      </c>
      <c r="H518" s="116"/>
      <c r="I518" s="116"/>
      <c r="L518" s="169">
        <v>42765</v>
      </c>
      <c r="M518" s="116">
        <v>277.75</v>
      </c>
      <c r="N518" s="116">
        <v>283.5</v>
      </c>
      <c r="O518" s="116">
        <v>276.85000000000002</v>
      </c>
      <c r="P518" s="116">
        <v>281.14999999999998</v>
      </c>
      <c r="Q518" s="116">
        <v>277.75</v>
      </c>
      <c r="R518">
        <v>10028</v>
      </c>
    </row>
    <row r="519" spans="1:18" x14ac:dyDescent="0.25">
      <c r="A519" s="169">
        <v>42766</v>
      </c>
      <c r="B519" s="116">
        <v>277.2</v>
      </c>
      <c r="C519" s="116">
        <v>274.89999999999998</v>
      </c>
      <c r="D519" s="116">
        <v>272.39999999999998</v>
      </c>
      <c r="E519" s="116">
        <v>277.2</v>
      </c>
      <c r="F519" s="116">
        <v>274.89999999999998</v>
      </c>
      <c r="G519">
        <v>2749</v>
      </c>
      <c r="H519" s="116"/>
      <c r="I519" s="116"/>
      <c r="L519" s="169">
        <v>42766</v>
      </c>
      <c r="M519" s="116">
        <v>275</v>
      </c>
      <c r="N519" s="116">
        <v>278.60000000000002</v>
      </c>
      <c r="O519" s="116">
        <v>273</v>
      </c>
      <c r="P519" s="116">
        <v>277.5</v>
      </c>
      <c r="Q519" s="116">
        <v>275</v>
      </c>
      <c r="R519">
        <v>23020</v>
      </c>
    </row>
    <row r="520" spans="1:18" x14ac:dyDescent="0.25">
      <c r="A520" s="169">
        <v>42767</v>
      </c>
      <c r="B520" s="116">
        <v>299.5</v>
      </c>
      <c r="C520" s="116">
        <v>294.3</v>
      </c>
      <c r="D520" s="116">
        <v>271</v>
      </c>
      <c r="E520" s="116">
        <v>278.5</v>
      </c>
      <c r="F520" s="116">
        <v>294.3</v>
      </c>
      <c r="G520">
        <v>38778</v>
      </c>
      <c r="H520" s="116"/>
      <c r="I520" s="116"/>
      <c r="L520" s="169">
        <v>42767</v>
      </c>
      <c r="M520" s="116">
        <v>294.3</v>
      </c>
      <c r="N520" s="116">
        <v>299</v>
      </c>
      <c r="O520" s="116">
        <v>271</v>
      </c>
      <c r="P520" s="116">
        <v>274.75</v>
      </c>
      <c r="Q520" s="116">
        <v>294.3</v>
      </c>
      <c r="R520">
        <v>103294</v>
      </c>
    </row>
    <row r="521" spans="1:18" x14ac:dyDescent="0.25">
      <c r="A521" s="169">
        <v>42768</v>
      </c>
      <c r="B521" s="116">
        <v>304.5</v>
      </c>
      <c r="C521" s="116">
        <v>295.3</v>
      </c>
      <c r="D521" s="116">
        <v>290</v>
      </c>
      <c r="E521" s="116">
        <v>291.7</v>
      </c>
      <c r="F521" s="116">
        <v>295.3</v>
      </c>
      <c r="G521">
        <v>11672</v>
      </c>
      <c r="H521" s="116"/>
      <c r="I521" s="116"/>
      <c r="L521" s="169">
        <v>42768</v>
      </c>
      <c r="M521" s="116">
        <v>296.8</v>
      </c>
      <c r="N521" s="116">
        <v>301</v>
      </c>
      <c r="O521" s="116">
        <v>289</v>
      </c>
      <c r="P521" s="116">
        <v>293</v>
      </c>
      <c r="Q521" s="116">
        <v>296.8</v>
      </c>
      <c r="R521">
        <v>55291</v>
      </c>
    </row>
    <row r="522" spans="1:18" x14ac:dyDescent="0.25">
      <c r="A522" s="169">
        <v>42769</v>
      </c>
      <c r="B522" s="116">
        <v>300.5</v>
      </c>
      <c r="C522" s="116">
        <v>293.7</v>
      </c>
      <c r="D522" s="116">
        <v>290.85000000000002</v>
      </c>
      <c r="E522" s="116">
        <v>294.7</v>
      </c>
      <c r="F522" s="116">
        <v>293.7</v>
      </c>
      <c r="G522">
        <v>3232</v>
      </c>
      <c r="H522" s="116"/>
      <c r="I522" s="116"/>
      <c r="L522" s="169">
        <v>42769</v>
      </c>
      <c r="M522" s="116">
        <v>294.45</v>
      </c>
      <c r="N522" s="116">
        <v>304.89999999999998</v>
      </c>
      <c r="O522" s="116">
        <v>290.14999999999998</v>
      </c>
      <c r="P522" s="116">
        <v>304.89999999999998</v>
      </c>
      <c r="Q522" s="116">
        <v>294.45</v>
      </c>
      <c r="R522">
        <v>60877</v>
      </c>
    </row>
    <row r="523" spans="1:18" x14ac:dyDescent="0.25">
      <c r="A523" s="169">
        <v>42772</v>
      </c>
      <c r="B523" s="116">
        <v>298.8</v>
      </c>
      <c r="C523" s="116">
        <v>289.95</v>
      </c>
      <c r="D523" s="116">
        <v>288.8</v>
      </c>
      <c r="E523" s="116">
        <v>293</v>
      </c>
      <c r="F523" s="116">
        <v>289.95</v>
      </c>
      <c r="G523">
        <v>11329</v>
      </c>
      <c r="H523" s="116"/>
      <c r="I523" s="116"/>
      <c r="L523" s="169">
        <v>42772</v>
      </c>
      <c r="M523" s="116">
        <v>289.10000000000002</v>
      </c>
      <c r="N523" s="116">
        <v>297</v>
      </c>
      <c r="O523" s="116">
        <v>288</v>
      </c>
      <c r="P523" s="116">
        <v>295.45</v>
      </c>
      <c r="Q523" s="116">
        <v>289.10000000000002</v>
      </c>
      <c r="R523">
        <v>20957</v>
      </c>
    </row>
    <row r="524" spans="1:18" x14ac:dyDescent="0.25">
      <c r="A524" s="169">
        <v>42773</v>
      </c>
      <c r="B524" s="116">
        <v>288.89999999999998</v>
      </c>
      <c r="C524" s="116">
        <v>282.95</v>
      </c>
      <c r="D524" s="116">
        <v>281.05</v>
      </c>
      <c r="E524" s="116">
        <v>288.8</v>
      </c>
      <c r="F524" s="116">
        <v>282.95</v>
      </c>
      <c r="G524">
        <v>11273</v>
      </c>
      <c r="H524" s="116"/>
      <c r="I524" s="116"/>
      <c r="L524" s="169">
        <v>42773</v>
      </c>
      <c r="M524" s="116">
        <v>283.39999999999998</v>
      </c>
      <c r="N524" s="116">
        <v>289.95</v>
      </c>
      <c r="O524" s="116">
        <v>280.5</v>
      </c>
      <c r="P524" s="116">
        <v>289.25</v>
      </c>
      <c r="Q524" s="116">
        <v>283.39999999999998</v>
      </c>
      <c r="R524">
        <v>3300</v>
      </c>
    </row>
    <row r="525" spans="1:18" x14ac:dyDescent="0.25">
      <c r="A525" s="169">
        <v>42774</v>
      </c>
      <c r="B525" s="116">
        <v>283.7</v>
      </c>
      <c r="C525" s="116">
        <v>278</v>
      </c>
      <c r="D525" s="116">
        <v>278</v>
      </c>
      <c r="E525" s="116">
        <v>282</v>
      </c>
      <c r="F525" s="116">
        <v>278</v>
      </c>
      <c r="G525">
        <v>2738</v>
      </c>
      <c r="H525" s="116"/>
      <c r="I525" s="116"/>
      <c r="L525" s="169">
        <v>42774</v>
      </c>
      <c r="M525" s="116">
        <v>279.64999999999998</v>
      </c>
      <c r="N525" s="116">
        <v>285.10000000000002</v>
      </c>
      <c r="O525" s="116">
        <v>277.3</v>
      </c>
      <c r="P525" s="116">
        <v>285</v>
      </c>
      <c r="Q525" s="116">
        <v>279.64999999999998</v>
      </c>
      <c r="R525">
        <v>6976</v>
      </c>
    </row>
    <row r="526" spans="1:18" x14ac:dyDescent="0.25">
      <c r="A526" s="169">
        <v>42775</v>
      </c>
      <c r="B526" s="116">
        <v>287.39999999999998</v>
      </c>
      <c r="C526" s="116">
        <v>284.45</v>
      </c>
      <c r="D526" s="116">
        <v>275.85000000000002</v>
      </c>
      <c r="E526" s="116">
        <v>278</v>
      </c>
      <c r="F526" s="116">
        <v>284.45</v>
      </c>
      <c r="G526">
        <v>95889</v>
      </c>
      <c r="H526" s="116"/>
      <c r="I526" s="116"/>
      <c r="L526" s="169">
        <v>42775</v>
      </c>
      <c r="M526" s="116">
        <v>284.5</v>
      </c>
      <c r="N526" s="116">
        <v>287.7</v>
      </c>
      <c r="O526" s="116">
        <v>275</v>
      </c>
      <c r="P526" s="116">
        <v>279.05</v>
      </c>
      <c r="Q526" s="116">
        <v>284.5</v>
      </c>
      <c r="R526">
        <v>145052</v>
      </c>
    </row>
    <row r="527" spans="1:18" x14ac:dyDescent="0.25">
      <c r="A527" s="169">
        <v>42776</v>
      </c>
      <c r="B527" s="116">
        <v>295.5</v>
      </c>
      <c r="C527" s="116">
        <v>287.39999999999998</v>
      </c>
      <c r="D527" s="116">
        <v>283.8</v>
      </c>
      <c r="E527" s="116">
        <v>289.45</v>
      </c>
      <c r="F527" s="116">
        <v>287.39999999999998</v>
      </c>
      <c r="G527">
        <v>2845</v>
      </c>
      <c r="H527" s="116"/>
      <c r="I527" s="116"/>
      <c r="L527" s="169">
        <v>42776</v>
      </c>
      <c r="M527" s="116">
        <v>287.10000000000002</v>
      </c>
      <c r="N527" s="116">
        <v>295.5</v>
      </c>
      <c r="O527" s="116">
        <v>283.35000000000002</v>
      </c>
      <c r="P527" s="116">
        <v>287.7</v>
      </c>
      <c r="Q527" s="116">
        <v>287.10000000000002</v>
      </c>
      <c r="R527">
        <v>13655</v>
      </c>
    </row>
    <row r="528" spans="1:18" x14ac:dyDescent="0.25">
      <c r="A528" s="169">
        <v>42779</v>
      </c>
      <c r="B528" s="116">
        <v>292.95</v>
      </c>
      <c r="C528" s="116">
        <v>280.05</v>
      </c>
      <c r="D528" s="116">
        <v>279.95</v>
      </c>
      <c r="E528" s="116">
        <v>284.7</v>
      </c>
      <c r="F528" s="116">
        <v>280.05</v>
      </c>
      <c r="G528">
        <v>3349</v>
      </c>
      <c r="H528" s="116"/>
      <c r="I528" s="116"/>
      <c r="L528" s="169">
        <v>42779</v>
      </c>
      <c r="M528" s="116">
        <v>279.95</v>
      </c>
      <c r="N528" s="116">
        <v>291</v>
      </c>
      <c r="O528" s="116">
        <v>277</v>
      </c>
      <c r="P528" s="116">
        <v>287</v>
      </c>
      <c r="Q528" s="116">
        <v>279.95</v>
      </c>
      <c r="R528">
        <v>7595</v>
      </c>
    </row>
    <row r="529" spans="1:18" x14ac:dyDescent="0.25">
      <c r="A529" s="169">
        <v>42780</v>
      </c>
      <c r="B529" s="116">
        <v>279.89999999999998</v>
      </c>
      <c r="C529" s="116">
        <v>277.10000000000002</v>
      </c>
      <c r="D529" s="116">
        <v>268</v>
      </c>
      <c r="E529" s="116">
        <v>275</v>
      </c>
      <c r="F529" s="116">
        <v>277.10000000000002</v>
      </c>
      <c r="G529">
        <v>9046</v>
      </c>
      <c r="H529" s="116"/>
      <c r="I529" s="116"/>
      <c r="L529" s="169">
        <v>42780</v>
      </c>
      <c r="M529" s="116">
        <v>277.39999999999998</v>
      </c>
      <c r="N529" s="116">
        <v>281.89999999999998</v>
      </c>
      <c r="O529" s="116">
        <v>267.75</v>
      </c>
      <c r="P529" s="116">
        <v>273.89999999999998</v>
      </c>
      <c r="Q529" s="116">
        <v>277.39999999999998</v>
      </c>
      <c r="R529">
        <v>38444</v>
      </c>
    </row>
    <row r="530" spans="1:18" x14ac:dyDescent="0.25">
      <c r="A530" s="169">
        <v>42781</v>
      </c>
      <c r="B530" s="116">
        <v>275</v>
      </c>
      <c r="C530" s="116">
        <v>264.14999999999998</v>
      </c>
      <c r="D530" s="116">
        <v>261.5</v>
      </c>
      <c r="E530" s="116">
        <v>274.5</v>
      </c>
      <c r="F530" s="116">
        <v>264.14999999999998</v>
      </c>
      <c r="G530">
        <v>5700</v>
      </c>
      <c r="H530" s="116"/>
      <c r="I530" s="116"/>
      <c r="L530" s="169">
        <v>42781</v>
      </c>
      <c r="M530" s="116">
        <v>265.35000000000002</v>
      </c>
      <c r="N530" s="116">
        <v>277</v>
      </c>
      <c r="O530" s="116">
        <v>262</v>
      </c>
      <c r="P530" s="116">
        <v>275.60000000000002</v>
      </c>
      <c r="Q530" s="116">
        <v>265.35000000000002</v>
      </c>
      <c r="R530">
        <v>17340</v>
      </c>
    </row>
    <row r="531" spans="1:18" x14ac:dyDescent="0.25">
      <c r="A531" s="169">
        <v>42782</v>
      </c>
      <c r="B531" s="116">
        <v>272</v>
      </c>
      <c r="C531" s="116">
        <v>265.05</v>
      </c>
      <c r="D531" s="116">
        <v>262.05</v>
      </c>
      <c r="E531" s="116">
        <v>270</v>
      </c>
      <c r="F531" s="116">
        <v>265.05</v>
      </c>
      <c r="G531">
        <v>966</v>
      </c>
      <c r="H531" s="116"/>
      <c r="I531" s="116"/>
      <c r="L531" s="169">
        <v>42782</v>
      </c>
      <c r="M531" s="116">
        <v>265.95</v>
      </c>
      <c r="N531" s="116">
        <v>275</v>
      </c>
      <c r="O531" s="116">
        <v>263</v>
      </c>
      <c r="P531" s="116">
        <v>275</v>
      </c>
      <c r="Q531" s="116">
        <v>265.95</v>
      </c>
      <c r="R531">
        <v>6372</v>
      </c>
    </row>
    <row r="532" spans="1:18" x14ac:dyDescent="0.25">
      <c r="A532" s="169">
        <v>42783</v>
      </c>
      <c r="B532" s="116">
        <v>268.75</v>
      </c>
      <c r="C532" s="116">
        <v>265.95</v>
      </c>
      <c r="D532" s="116">
        <v>262</v>
      </c>
      <c r="E532" s="116">
        <v>264.75</v>
      </c>
      <c r="F532" s="116">
        <v>265.95</v>
      </c>
      <c r="G532">
        <v>126</v>
      </c>
      <c r="H532" s="116"/>
      <c r="I532" s="116"/>
      <c r="L532" s="169">
        <v>42783</v>
      </c>
      <c r="M532" s="116">
        <v>267.35000000000002</v>
      </c>
      <c r="N532" s="116">
        <v>269.5</v>
      </c>
      <c r="O532" s="116">
        <v>261.64999999999998</v>
      </c>
      <c r="P532" s="116">
        <v>265.75</v>
      </c>
      <c r="Q532" s="116">
        <v>267.35000000000002</v>
      </c>
      <c r="R532">
        <v>14445</v>
      </c>
    </row>
    <row r="533" spans="1:18" x14ac:dyDescent="0.25">
      <c r="A533" s="169">
        <v>42786</v>
      </c>
      <c r="B533" s="116">
        <v>269.89999999999998</v>
      </c>
      <c r="C533" s="116">
        <v>260.14999999999998</v>
      </c>
      <c r="D533" s="116">
        <v>255</v>
      </c>
      <c r="E533" s="116">
        <v>255</v>
      </c>
      <c r="F533" s="116">
        <v>260.14999999999998</v>
      </c>
      <c r="G533">
        <v>2278</v>
      </c>
      <c r="H533" s="116"/>
      <c r="I533" s="116"/>
      <c r="L533" s="169">
        <v>42786</v>
      </c>
      <c r="M533" s="116">
        <v>264.05</v>
      </c>
      <c r="N533" s="116">
        <v>269</v>
      </c>
      <c r="O533" s="116">
        <v>261.2</v>
      </c>
      <c r="P533" s="116">
        <v>267.25</v>
      </c>
      <c r="Q533" s="116">
        <v>264.05</v>
      </c>
      <c r="R533">
        <v>12625</v>
      </c>
    </row>
    <row r="534" spans="1:18" x14ac:dyDescent="0.25">
      <c r="A534" s="169">
        <v>42787</v>
      </c>
      <c r="B534" s="116">
        <v>265</v>
      </c>
      <c r="C534" s="116">
        <v>262.14999999999998</v>
      </c>
      <c r="D534" s="116">
        <v>253</v>
      </c>
      <c r="E534" s="116">
        <v>260</v>
      </c>
      <c r="F534" s="116">
        <v>262.14999999999998</v>
      </c>
      <c r="G534">
        <v>2909</v>
      </c>
      <c r="H534" s="116"/>
      <c r="I534" s="116"/>
      <c r="L534" s="169">
        <v>42787</v>
      </c>
      <c r="M534" s="116">
        <v>262.35000000000002</v>
      </c>
      <c r="N534" s="116">
        <v>265</v>
      </c>
      <c r="O534" s="116">
        <v>257.5</v>
      </c>
      <c r="P534" s="116">
        <v>263</v>
      </c>
      <c r="Q534" s="116">
        <v>262.35000000000002</v>
      </c>
      <c r="R534">
        <v>16176</v>
      </c>
    </row>
    <row r="535" spans="1:18" x14ac:dyDescent="0.25">
      <c r="A535" s="169">
        <v>42788</v>
      </c>
      <c r="B535" s="116">
        <v>265</v>
      </c>
      <c r="C535" s="116">
        <v>261</v>
      </c>
      <c r="D535" s="116">
        <v>254.3</v>
      </c>
      <c r="E535" s="116">
        <v>261.64999999999998</v>
      </c>
      <c r="F535" s="116">
        <v>261</v>
      </c>
      <c r="G535">
        <v>233</v>
      </c>
      <c r="H535" s="116"/>
      <c r="I535" s="116"/>
      <c r="L535" s="169">
        <v>42788</v>
      </c>
      <c r="M535" s="116">
        <v>260.85000000000002</v>
      </c>
      <c r="N535" s="116">
        <v>267</v>
      </c>
      <c r="O535" s="116">
        <v>257.35000000000002</v>
      </c>
      <c r="P535" s="116">
        <v>262.25</v>
      </c>
      <c r="Q535" s="116">
        <v>260.85000000000002</v>
      </c>
      <c r="R535">
        <v>58425</v>
      </c>
    </row>
    <row r="536" spans="1:18" x14ac:dyDescent="0.25">
      <c r="A536" s="169">
        <v>42789</v>
      </c>
      <c r="B536" s="116">
        <v>268.8</v>
      </c>
      <c r="C536" s="116">
        <v>266.39999999999998</v>
      </c>
      <c r="D536" s="116">
        <v>263.7</v>
      </c>
      <c r="E536" s="116">
        <v>264.75</v>
      </c>
      <c r="F536" s="116">
        <v>266.39999999999998</v>
      </c>
      <c r="G536">
        <v>584</v>
      </c>
      <c r="H536" s="116"/>
      <c r="I536" s="116"/>
      <c r="L536" s="169">
        <v>42789</v>
      </c>
      <c r="M536" s="116">
        <v>266.60000000000002</v>
      </c>
      <c r="N536" s="116">
        <v>268.45</v>
      </c>
      <c r="O536" s="116">
        <v>260.75</v>
      </c>
      <c r="P536" s="116">
        <v>260.75</v>
      </c>
      <c r="Q536" s="116">
        <v>266.60000000000002</v>
      </c>
      <c r="R536">
        <v>3293</v>
      </c>
    </row>
    <row r="537" spans="1:18" x14ac:dyDescent="0.25">
      <c r="A537" s="169">
        <v>42793</v>
      </c>
      <c r="B537" s="116">
        <v>275</v>
      </c>
      <c r="C537" s="116">
        <v>271.14999999999998</v>
      </c>
      <c r="D537" s="116">
        <v>265</v>
      </c>
      <c r="E537" s="116">
        <v>265</v>
      </c>
      <c r="F537" s="116">
        <v>271.14999999999998</v>
      </c>
      <c r="G537">
        <v>1240</v>
      </c>
      <c r="H537" s="116"/>
      <c r="I537" s="116"/>
      <c r="L537" s="169">
        <v>42793</v>
      </c>
      <c r="M537" s="116">
        <v>267.85000000000002</v>
      </c>
      <c r="N537" s="116">
        <v>275</v>
      </c>
      <c r="O537" s="116">
        <v>261.5</v>
      </c>
      <c r="P537" s="116">
        <v>274.85000000000002</v>
      </c>
      <c r="Q537" s="116">
        <v>267.85000000000002</v>
      </c>
      <c r="R537">
        <v>11836</v>
      </c>
    </row>
    <row r="538" spans="1:18" x14ac:dyDescent="0.25">
      <c r="A538" s="169">
        <v>42794</v>
      </c>
      <c r="B538" s="116">
        <v>279.95</v>
      </c>
      <c r="C538" s="116">
        <v>270</v>
      </c>
      <c r="D538" s="116">
        <v>268</v>
      </c>
      <c r="E538" s="116">
        <v>278</v>
      </c>
      <c r="F538" s="116">
        <v>270</v>
      </c>
      <c r="G538">
        <v>7359</v>
      </c>
      <c r="H538" s="116"/>
      <c r="I538" s="116"/>
      <c r="L538" s="169">
        <v>42794</v>
      </c>
      <c r="M538" s="116">
        <v>269.95</v>
      </c>
      <c r="N538" s="116">
        <v>280</v>
      </c>
      <c r="O538" s="116">
        <v>266</v>
      </c>
      <c r="P538" s="116">
        <v>266</v>
      </c>
      <c r="Q538" s="116">
        <v>269.95</v>
      </c>
      <c r="R538">
        <v>32458</v>
      </c>
    </row>
    <row r="539" spans="1:18" x14ac:dyDescent="0.25">
      <c r="A539" s="169">
        <v>42795</v>
      </c>
      <c r="B539" s="116">
        <v>271.95</v>
      </c>
      <c r="C539" s="116">
        <v>269.10000000000002</v>
      </c>
      <c r="D539" s="116">
        <v>267.45</v>
      </c>
      <c r="E539" s="116">
        <v>271</v>
      </c>
      <c r="F539" s="116">
        <v>269.10000000000002</v>
      </c>
      <c r="G539">
        <v>118</v>
      </c>
      <c r="H539" s="116"/>
      <c r="I539" s="116"/>
      <c r="L539" s="169">
        <v>42795</v>
      </c>
      <c r="M539" s="116">
        <v>266.64999999999998</v>
      </c>
      <c r="N539" s="116">
        <v>273.7</v>
      </c>
      <c r="O539" s="116">
        <v>265</v>
      </c>
      <c r="P539" s="116">
        <v>268.5</v>
      </c>
      <c r="Q539" s="116">
        <v>266.64999999999998</v>
      </c>
      <c r="R539">
        <v>5497</v>
      </c>
    </row>
    <row r="540" spans="1:18" x14ac:dyDescent="0.25">
      <c r="A540" s="169">
        <v>42796</v>
      </c>
      <c r="B540" s="116">
        <v>270</v>
      </c>
      <c r="C540" s="116">
        <v>265.5</v>
      </c>
      <c r="D540" s="116">
        <v>260.10000000000002</v>
      </c>
      <c r="E540" s="116">
        <v>270</v>
      </c>
      <c r="F540" s="116">
        <v>265.5</v>
      </c>
      <c r="G540">
        <v>911</v>
      </c>
      <c r="H540" s="116"/>
      <c r="I540" s="116"/>
      <c r="L540" s="169">
        <v>42796</v>
      </c>
      <c r="M540" s="116">
        <v>266.2</v>
      </c>
      <c r="N540" s="116">
        <v>276.8</v>
      </c>
      <c r="O540" s="116">
        <v>262</v>
      </c>
      <c r="P540" s="116">
        <v>266.45</v>
      </c>
      <c r="Q540" s="116">
        <v>266.2</v>
      </c>
      <c r="R540">
        <v>57307</v>
      </c>
    </row>
    <row r="541" spans="1:18" x14ac:dyDescent="0.25">
      <c r="A541" s="169">
        <v>42797</v>
      </c>
      <c r="B541" s="116">
        <v>274</v>
      </c>
      <c r="C541" s="116">
        <v>264.75</v>
      </c>
      <c r="D541" s="116">
        <v>260.3</v>
      </c>
      <c r="E541" s="116">
        <v>265</v>
      </c>
      <c r="F541" s="116">
        <v>264.75</v>
      </c>
      <c r="G541">
        <v>6340</v>
      </c>
      <c r="H541" s="116"/>
      <c r="I541" s="116"/>
      <c r="L541" s="169">
        <v>42797</v>
      </c>
      <c r="M541" s="116">
        <v>266.14999999999998</v>
      </c>
      <c r="N541" s="116">
        <v>272</v>
      </c>
      <c r="O541" s="116">
        <v>261.55</v>
      </c>
      <c r="P541" s="116">
        <v>265</v>
      </c>
      <c r="Q541" s="116">
        <v>266.14999999999998</v>
      </c>
      <c r="R541">
        <v>3967</v>
      </c>
    </row>
    <row r="542" spans="1:18" x14ac:dyDescent="0.25">
      <c r="A542" s="169">
        <v>42800</v>
      </c>
      <c r="B542" s="116">
        <v>265.10000000000002</v>
      </c>
      <c r="C542" s="116">
        <v>262.39999999999998</v>
      </c>
      <c r="D542" s="116">
        <v>261</v>
      </c>
      <c r="E542" s="116">
        <v>264.64999999999998</v>
      </c>
      <c r="F542" s="116">
        <v>262.39999999999998</v>
      </c>
      <c r="G542">
        <v>623</v>
      </c>
      <c r="H542" s="116"/>
      <c r="I542" s="116"/>
      <c r="L542" s="169">
        <v>42800</v>
      </c>
      <c r="M542" s="116">
        <v>260.95</v>
      </c>
      <c r="N542" s="116">
        <v>269.25</v>
      </c>
      <c r="O542" s="116">
        <v>260</v>
      </c>
      <c r="P542" s="116">
        <v>268</v>
      </c>
      <c r="Q542" s="116">
        <v>260.95</v>
      </c>
      <c r="R542">
        <v>6929</v>
      </c>
    </row>
    <row r="543" spans="1:18" x14ac:dyDescent="0.25">
      <c r="A543" s="169">
        <v>42801</v>
      </c>
      <c r="B543" s="116">
        <v>265.95</v>
      </c>
      <c r="C543" s="116">
        <v>256.3</v>
      </c>
      <c r="D543" s="116">
        <v>254.2</v>
      </c>
      <c r="E543" s="116">
        <v>261</v>
      </c>
      <c r="F543" s="116">
        <v>256.3</v>
      </c>
      <c r="G543">
        <v>6126</v>
      </c>
      <c r="H543" s="116"/>
      <c r="I543" s="116"/>
      <c r="L543" s="169">
        <v>42801</v>
      </c>
      <c r="M543" s="116">
        <v>256.7</v>
      </c>
      <c r="N543" s="116">
        <v>266</v>
      </c>
      <c r="O543" s="116">
        <v>255.1</v>
      </c>
      <c r="P543" s="116">
        <v>260.60000000000002</v>
      </c>
      <c r="Q543" s="116">
        <v>256.7</v>
      </c>
      <c r="R543">
        <v>107114</v>
      </c>
    </row>
    <row r="544" spans="1:18" x14ac:dyDescent="0.25">
      <c r="A544" s="169">
        <v>42802</v>
      </c>
      <c r="B544" s="116">
        <v>257.05</v>
      </c>
      <c r="C544" s="116">
        <v>254.45</v>
      </c>
      <c r="D544" s="116">
        <v>254</v>
      </c>
      <c r="E544" s="116">
        <v>257.05</v>
      </c>
      <c r="F544" s="116">
        <v>254.45</v>
      </c>
      <c r="G544">
        <v>1135</v>
      </c>
      <c r="H544" s="116"/>
      <c r="I544" s="116"/>
      <c r="L544" s="169">
        <v>42802</v>
      </c>
      <c r="M544" s="116">
        <v>254.1</v>
      </c>
      <c r="N544" s="116">
        <v>260</v>
      </c>
      <c r="O544" s="116">
        <v>253</v>
      </c>
      <c r="P544" s="116">
        <v>260</v>
      </c>
      <c r="Q544" s="116">
        <v>254.1</v>
      </c>
      <c r="R544">
        <v>5857</v>
      </c>
    </row>
    <row r="545" spans="1:18" x14ac:dyDescent="0.25">
      <c r="A545" s="169">
        <v>42803</v>
      </c>
      <c r="B545" s="116">
        <v>257.3</v>
      </c>
      <c r="C545" s="116">
        <v>251</v>
      </c>
      <c r="D545" s="116">
        <v>250.05</v>
      </c>
      <c r="E545" s="116">
        <v>254</v>
      </c>
      <c r="F545" s="116">
        <v>251</v>
      </c>
      <c r="G545">
        <v>5608</v>
      </c>
      <c r="H545" s="116"/>
      <c r="I545" s="116"/>
      <c r="L545" s="169">
        <v>42803</v>
      </c>
      <c r="M545" s="116">
        <v>251.45</v>
      </c>
      <c r="N545" s="116">
        <v>258.3</v>
      </c>
      <c r="O545" s="116">
        <v>250</v>
      </c>
      <c r="P545" s="116">
        <v>253</v>
      </c>
      <c r="Q545" s="116">
        <v>251.45</v>
      </c>
      <c r="R545">
        <v>6773</v>
      </c>
    </row>
    <row r="546" spans="1:18" x14ac:dyDescent="0.25">
      <c r="A546" s="169">
        <v>42804</v>
      </c>
      <c r="B546" s="116">
        <v>266</v>
      </c>
      <c r="C546" s="116">
        <v>249.05</v>
      </c>
      <c r="D546" s="116">
        <v>248.95</v>
      </c>
      <c r="E546" s="116">
        <v>254.4</v>
      </c>
      <c r="F546" s="116">
        <v>249.05</v>
      </c>
      <c r="G546">
        <v>17080</v>
      </c>
      <c r="H546" s="116"/>
      <c r="I546" s="116"/>
      <c r="L546" s="169">
        <v>42804</v>
      </c>
      <c r="M546" s="116">
        <v>249.1</v>
      </c>
      <c r="N546" s="116">
        <v>256.95</v>
      </c>
      <c r="O546" s="116">
        <v>247</v>
      </c>
      <c r="P546" s="116">
        <v>256</v>
      </c>
      <c r="Q546" s="116">
        <v>249.1</v>
      </c>
      <c r="R546">
        <v>20588</v>
      </c>
    </row>
    <row r="547" spans="1:18" x14ac:dyDescent="0.25">
      <c r="A547" s="169">
        <v>42808</v>
      </c>
      <c r="B547" s="116">
        <v>256.95</v>
      </c>
      <c r="C547" s="116">
        <v>248.5</v>
      </c>
      <c r="D547" s="116">
        <v>248</v>
      </c>
      <c r="E547" s="116">
        <v>254.3</v>
      </c>
      <c r="F547" s="116">
        <v>248.5</v>
      </c>
      <c r="G547">
        <v>2679</v>
      </c>
      <c r="H547" s="116"/>
      <c r="I547" s="116"/>
      <c r="L547" s="169">
        <v>42808</v>
      </c>
      <c r="M547" s="116">
        <v>249.3</v>
      </c>
      <c r="N547" s="116">
        <v>257</v>
      </c>
      <c r="O547" s="116">
        <v>248</v>
      </c>
      <c r="P547" s="116">
        <v>250.5</v>
      </c>
      <c r="Q547" s="116">
        <v>249.3</v>
      </c>
      <c r="R547">
        <v>9155</v>
      </c>
    </row>
    <row r="548" spans="1:18" x14ac:dyDescent="0.25">
      <c r="A548" s="169">
        <v>42809</v>
      </c>
      <c r="B548" s="116">
        <v>265.45</v>
      </c>
      <c r="C548" s="116">
        <v>258.25</v>
      </c>
      <c r="D548" s="116">
        <v>236</v>
      </c>
      <c r="E548" s="116">
        <v>249</v>
      </c>
      <c r="F548" s="116">
        <v>258.25</v>
      </c>
      <c r="G548">
        <v>19425</v>
      </c>
      <c r="H548" s="116"/>
      <c r="I548" s="116"/>
      <c r="L548" s="169">
        <v>42809</v>
      </c>
      <c r="M548" s="116">
        <v>260.95</v>
      </c>
      <c r="N548" s="116">
        <v>265.64999999999998</v>
      </c>
      <c r="O548" s="116">
        <v>248.05</v>
      </c>
      <c r="P548" s="116">
        <v>258.5</v>
      </c>
      <c r="Q548" s="116">
        <v>260.95</v>
      </c>
      <c r="R548">
        <v>125970</v>
      </c>
    </row>
    <row r="549" spans="1:18" x14ac:dyDescent="0.25">
      <c r="A549" s="169">
        <v>42810</v>
      </c>
      <c r="B549" s="116">
        <v>263</v>
      </c>
      <c r="C549" s="116">
        <v>254.15</v>
      </c>
      <c r="D549" s="116">
        <v>251.1</v>
      </c>
      <c r="E549" s="116">
        <v>260</v>
      </c>
      <c r="F549" s="116">
        <v>254.15</v>
      </c>
      <c r="G549">
        <v>18277</v>
      </c>
      <c r="H549" s="116"/>
      <c r="I549" s="116"/>
      <c r="L549" s="169">
        <v>42810</v>
      </c>
      <c r="M549" s="116">
        <v>256.35000000000002</v>
      </c>
      <c r="N549" s="116">
        <v>263.5</v>
      </c>
      <c r="O549" s="116">
        <v>250.55</v>
      </c>
      <c r="P549" s="116">
        <v>258</v>
      </c>
      <c r="Q549" s="116">
        <v>256.35000000000002</v>
      </c>
      <c r="R549">
        <v>67750</v>
      </c>
    </row>
    <row r="550" spans="1:18" x14ac:dyDescent="0.25">
      <c r="A550" s="169">
        <v>42811</v>
      </c>
      <c r="B550" s="116">
        <v>263.89999999999998</v>
      </c>
      <c r="C550" s="116">
        <v>248.5</v>
      </c>
      <c r="D550" s="116">
        <v>248.05</v>
      </c>
      <c r="E550" s="116">
        <v>261.25</v>
      </c>
      <c r="F550" s="116">
        <v>248.5</v>
      </c>
      <c r="G550">
        <v>4259</v>
      </c>
      <c r="H550" s="116"/>
      <c r="I550" s="116"/>
      <c r="L550" s="169">
        <v>42811</v>
      </c>
      <c r="M550" s="116">
        <v>248.65</v>
      </c>
      <c r="N550" s="116">
        <v>259</v>
      </c>
      <c r="O550" s="116">
        <v>247</v>
      </c>
      <c r="P550" s="116">
        <v>259</v>
      </c>
      <c r="Q550" s="116">
        <v>248.65</v>
      </c>
      <c r="R550">
        <v>60164</v>
      </c>
    </row>
    <row r="551" spans="1:18" x14ac:dyDescent="0.25">
      <c r="A551" s="169">
        <v>42814</v>
      </c>
      <c r="B551" s="116">
        <v>252.55</v>
      </c>
      <c r="C551" s="116">
        <v>244</v>
      </c>
      <c r="D551" s="116">
        <v>240.55</v>
      </c>
      <c r="E551" s="116">
        <v>252.05</v>
      </c>
      <c r="F551" s="116">
        <v>244</v>
      </c>
      <c r="G551">
        <v>93391</v>
      </c>
      <c r="H551" s="116"/>
      <c r="I551" s="116"/>
      <c r="L551" s="169">
        <v>42814</v>
      </c>
      <c r="M551" s="116">
        <v>244.95</v>
      </c>
      <c r="N551" s="116">
        <v>251.2</v>
      </c>
      <c r="O551" s="116">
        <v>243</v>
      </c>
      <c r="P551" s="116">
        <v>250.7</v>
      </c>
      <c r="Q551" s="116">
        <v>244.95</v>
      </c>
      <c r="R551">
        <v>10651</v>
      </c>
    </row>
    <row r="552" spans="1:18" x14ac:dyDescent="0.25">
      <c r="A552" s="169">
        <v>42815</v>
      </c>
      <c r="B552" s="116">
        <v>260</v>
      </c>
      <c r="C552" s="116">
        <v>253.65</v>
      </c>
      <c r="D552" s="116">
        <v>243.75</v>
      </c>
      <c r="E552" s="116">
        <v>247.1</v>
      </c>
      <c r="F552" s="116">
        <v>253.65</v>
      </c>
      <c r="G552">
        <v>29251</v>
      </c>
      <c r="H552" s="116"/>
      <c r="I552" s="116"/>
      <c r="L552" s="169">
        <v>42815</v>
      </c>
      <c r="M552" s="116">
        <v>254.95</v>
      </c>
      <c r="N552" s="116">
        <v>261.7</v>
      </c>
      <c r="O552" s="116">
        <v>241.55</v>
      </c>
      <c r="P552" s="116">
        <v>247.25</v>
      </c>
      <c r="Q552" s="116">
        <v>254.95</v>
      </c>
      <c r="R552">
        <v>57660</v>
      </c>
    </row>
    <row r="553" spans="1:18" x14ac:dyDescent="0.25">
      <c r="A553" s="169">
        <v>42816</v>
      </c>
      <c r="B553" s="116">
        <v>260.7</v>
      </c>
      <c r="C553" s="116">
        <v>258.5</v>
      </c>
      <c r="D553" s="116">
        <v>252.1</v>
      </c>
      <c r="E553" s="116">
        <v>254.7</v>
      </c>
      <c r="F553" s="116">
        <v>258.5</v>
      </c>
      <c r="G553">
        <v>877</v>
      </c>
      <c r="H553" s="116"/>
      <c r="I553" s="116"/>
      <c r="L553" s="169">
        <v>42816</v>
      </c>
      <c r="M553" s="116">
        <v>257.89999999999998</v>
      </c>
      <c r="N553" s="116">
        <v>260.89999999999998</v>
      </c>
      <c r="O553" s="116">
        <v>252.55</v>
      </c>
      <c r="P553" s="116">
        <v>255</v>
      </c>
      <c r="Q553" s="116">
        <v>257.89999999999998</v>
      </c>
      <c r="R553">
        <v>39232</v>
      </c>
    </row>
    <row r="554" spans="1:18" x14ac:dyDescent="0.25">
      <c r="A554" s="169">
        <v>42817</v>
      </c>
      <c r="B554" s="116">
        <v>268.8</v>
      </c>
      <c r="C554" s="116">
        <v>263</v>
      </c>
      <c r="D554" s="116">
        <v>255</v>
      </c>
      <c r="E554" s="116">
        <v>257.45</v>
      </c>
      <c r="F554" s="116">
        <v>263</v>
      </c>
      <c r="G554">
        <v>4189</v>
      </c>
      <c r="H554" s="116"/>
      <c r="I554" s="116"/>
      <c r="L554" s="169">
        <v>42817</v>
      </c>
      <c r="M554" s="116">
        <v>260.25</v>
      </c>
      <c r="N554" s="116">
        <v>267.7</v>
      </c>
      <c r="O554" s="116">
        <v>254</v>
      </c>
      <c r="P554" s="116">
        <v>257</v>
      </c>
      <c r="Q554" s="116">
        <v>260.25</v>
      </c>
      <c r="R554">
        <v>66647</v>
      </c>
    </row>
    <row r="555" spans="1:18" x14ac:dyDescent="0.25">
      <c r="A555" s="169">
        <v>42818</v>
      </c>
      <c r="B555" s="116">
        <v>272</v>
      </c>
      <c r="C555" s="116">
        <v>267.60000000000002</v>
      </c>
      <c r="D555" s="116">
        <v>257.35000000000002</v>
      </c>
      <c r="E555" s="116">
        <v>257.45</v>
      </c>
      <c r="F555" s="116">
        <v>267.60000000000002</v>
      </c>
      <c r="G555">
        <v>2418</v>
      </c>
      <c r="H555" s="116"/>
      <c r="I555" s="116"/>
      <c r="L555" s="169">
        <v>42818</v>
      </c>
      <c r="M555" s="116">
        <v>269.14999999999998</v>
      </c>
      <c r="N555" s="116">
        <v>271</v>
      </c>
      <c r="O555" s="116">
        <v>255.55</v>
      </c>
      <c r="P555" s="116">
        <v>259</v>
      </c>
      <c r="Q555" s="116">
        <v>269.14999999999998</v>
      </c>
      <c r="R555">
        <v>171747</v>
      </c>
    </row>
    <row r="556" spans="1:18" x14ac:dyDescent="0.25">
      <c r="A556" s="169">
        <v>42821</v>
      </c>
      <c r="B556" s="116">
        <v>275.55</v>
      </c>
      <c r="C556" s="116">
        <v>272.75</v>
      </c>
      <c r="D556" s="116">
        <v>263</v>
      </c>
      <c r="E556" s="116">
        <v>267</v>
      </c>
      <c r="F556" s="116">
        <v>272.75</v>
      </c>
      <c r="G556">
        <v>3390</v>
      </c>
      <c r="H556" s="116"/>
      <c r="I556" s="116"/>
      <c r="L556" s="169">
        <v>42821</v>
      </c>
      <c r="M556" s="116">
        <v>273.14999999999998</v>
      </c>
      <c r="N556" s="116">
        <v>275</v>
      </c>
      <c r="O556" s="116">
        <v>265</v>
      </c>
      <c r="P556" s="116">
        <v>273.7</v>
      </c>
      <c r="Q556" s="116">
        <v>273.14999999999998</v>
      </c>
      <c r="R556">
        <v>19541</v>
      </c>
    </row>
    <row r="557" spans="1:18" x14ac:dyDescent="0.25">
      <c r="A557" s="169">
        <v>42822</v>
      </c>
      <c r="B557" s="116">
        <v>274.89999999999998</v>
      </c>
      <c r="C557" s="116">
        <v>271.60000000000002</v>
      </c>
      <c r="D557" s="116">
        <v>265.2</v>
      </c>
      <c r="E557" s="116">
        <v>272.5</v>
      </c>
      <c r="F557" s="116">
        <v>271.60000000000002</v>
      </c>
      <c r="G557">
        <v>3164</v>
      </c>
      <c r="H557" s="116"/>
      <c r="I557" s="116"/>
      <c r="L557" s="169">
        <v>42822</v>
      </c>
      <c r="M557" s="116">
        <v>273.7</v>
      </c>
      <c r="N557" s="116">
        <v>275</v>
      </c>
      <c r="O557" s="116">
        <v>264.89999999999998</v>
      </c>
      <c r="P557" s="116">
        <v>272</v>
      </c>
      <c r="Q557" s="116">
        <v>273.7</v>
      </c>
      <c r="R557">
        <v>57236</v>
      </c>
    </row>
    <row r="558" spans="1:18" x14ac:dyDescent="0.25">
      <c r="A558" s="169">
        <v>42823</v>
      </c>
      <c r="B558" s="116">
        <v>280</v>
      </c>
      <c r="C558" s="116">
        <v>260.39999999999998</v>
      </c>
      <c r="D558" s="116">
        <v>246.5</v>
      </c>
      <c r="E558" s="116">
        <v>273</v>
      </c>
      <c r="F558" s="116">
        <v>260.39999999999998</v>
      </c>
      <c r="G558">
        <v>22727</v>
      </c>
      <c r="H558" s="116"/>
      <c r="I558" s="116"/>
      <c r="L558" s="169">
        <v>42823</v>
      </c>
      <c r="M558" s="116">
        <v>262.45</v>
      </c>
      <c r="N558" s="116">
        <v>285</v>
      </c>
      <c r="O558" s="116">
        <v>256.55</v>
      </c>
      <c r="P558" s="116">
        <v>272.10000000000002</v>
      </c>
      <c r="Q558" s="116">
        <v>262.45</v>
      </c>
      <c r="R558">
        <v>212480</v>
      </c>
    </row>
    <row r="559" spans="1:18" x14ac:dyDescent="0.25">
      <c r="A559" s="169">
        <v>42824</v>
      </c>
      <c r="B559" s="116">
        <v>278.8</v>
      </c>
      <c r="C559" s="116">
        <v>274.95</v>
      </c>
      <c r="D559" s="116">
        <v>262</v>
      </c>
      <c r="E559" s="116">
        <v>262.89999999999998</v>
      </c>
      <c r="F559" s="116">
        <v>274.95</v>
      </c>
      <c r="G559">
        <v>92701</v>
      </c>
      <c r="H559" s="116"/>
      <c r="I559" s="116"/>
      <c r="L559" s="169">
        <v>42824</v>
      </c>
      <c r="M559" s="116">
        <v>275.85000000000002</v>
      </c>
      <c r="N559" s="116">
        <v>276</v>
      </c>
      <c r="O559" s="116">
        <v>261</v>
      </c>
      <c r="P559" s="116">
        <v>267.89999999999998</v>
      </c>
      <c r="Q559" s="116">
        <v>275.85000000000002</v>
      </c>
      <c r="R559">
        <v>118299</v>
      </c>
    </row>
    <row r="560" spans="1:18" x14ac:dyDescent="0.25">
      <c r="A560" s="169">
        <v>42825</v>
      </c>
      <c r="B560" s="116">
        <v>279</v>
      </c>
      <c r="C560" s="116">
        <v>276.05</v>
      </c>
      <c r="D560" s="116">
        <v>271.64999999999998</v>
      </c>
      <c r="E560" s="116">
        <v>277.75</v>
      </c>
      <c r="F560" s="116">
        <v>276.05</v>
      </c>
      <c r="G560">
        <v>2517</v>
      </c>
      <c r="H560" s="116"/>
      <c r="I560" s="116"/>
      <c r="L560" s="169">
        <v>42825</v>
      </c>
      <c r="M560" s="116">
        <v>277.7</v>
      </c>
      <c r="N560" s="116">
        <v>279.89999999999998</v>
      </c>
      <c r="O560" s="116">
        <v>271.55</v>
      </c>
      <c r="P560" s="116">
        <v>274.5</v>
      </c>
      <c r="Q560" s="116">
        <v>277.7</v>
      </c>
      <c r="R560">
        <v>23060</v>
      </c>
    </row>
    <row r="561" spans="1:18" x14ac:dyDescent="0.25">
      <c r="A561" s="169">
        <v>42828</v>
      </c>
      <c r="B561" s="116">
        <v>281.95</v>
      </c>
      <c r="C561" s="116">
        <v>280.95</v>
      </c>
      <c r="D561" s="116">
        <v>277</v>
      </c>
      <c r="E561" s="116">
        <v>279</v>
      </c>
      <c r="F561" s="116">
        <v>280.95</v>
      </c>
      <c r="G561">
        <v>2778</v>
      </c>
      <c r="H561" s="116"/>
      <c r="I561" s="116"/>
      <c r="L561" s="169">
        <v>42828</v>
      </c>
      <c r="M561" s="116">
        <v>279.95</v>
      </c>
      <c r="N561" s="116">
        <v>281.85000000000002</v>
      </c>
      <c r="O561" s="116">
        <v>274.8</v>
      </c>
      <c r="P561" s="116">
        <v>276.39999999999998</v>
      </c>
      <c r="Q561" s="116">
        <v>279.95</v>
      </c>
      <c r="R561">
        <v>15324</v>
      </c>
    </row>
    <row r="562" spans="1:18" x14ac:dyDescent="0.25">
      <c r="A562" s="169">
        <v>42830</v>
      </c>
      <c r="B562" s="116">
        <v>280.35000000000002</v>
      </c>
      <c r="C562" s="116">
        <v>277.89999999999998</v>
      </c>
      <c r="D562" s="116">
        <v>272.60000000000002</v>
      </c>
      <c r="E562" s="116">
        <v>280.35000000000002</v>
      </c>
      <c r="F562" s="116">
        <v>277.89999999999998</v>
      </c>
      <c r="G562">
        <v>10137</v>
      </c>
      <c r="H562" s="116"/>
      <c r="I562" s="116"/>
      <c r="L562" s="169">
        <v>42830</v>
      </c>
      <c r="M562" s="116">
        <v>279.25</v>
      </c>
      <c r="N562" s="116">
        <v>281.14999999999998</v>
      </c>
      <c r="O562" s="116">
        <v>276</v>
      </c>
      <c r="P562" s="116">
        <v>280.5</v>
      </c>
      <c r="Q562" s="116">
        <v>279.25</v>
      </c>
      <c r="R562">
        <v>14250</v>
      </c>
    </row>
    <row r="563" spans="1:18" x14ac:dyDescent="0.25">
      <c r="A563" s="169">
        <v>42831</v>
      </c>
      <c r="B563" s="116">
        <v>289.89999999999998</v>
      </c>
      <c r="C563" s="116">
        <v>283.89999999999998</v>
      </c>
      <c r="D563" s="116">
        <v>271.10000000000002</v>
      </c>
      <c r="E563" s="116">
        <v>276</v>
      </c>
      <c r="F563" s="116">
        <v>283.89999999999998</v>
      </c>
      <c r="G563">
        <v>39327</v>
      </c>
      <c r="H563" s="116"/>
      <c r="I563" s="116"/>
      <c r="L563" s="169">
        <v>42831</v>
      </c>
      <c r="M563" s="116">
        <v>284.10000000000002</v>
      </c>
      <c r="N563" s="116">
        <v>285.60000000000002</v>
      </c>
      <c r="O563" s="116">
        <v>274.05</v>
      </c>
      <c r="P563" s="116">
        <v>278.7</v>
      </c>
      <c r="Q563" s="116">
        <v>284.10000000000002</v>
      </c>
      <c r="R563">
        <v>258154</v>
      </c>
    </row>
    <row r="564" spans="1:18" x14ac:dyDescent="0.25">
      <c r="A564" s="169">
        <v>42832</v>
      </c>
      <c r="B564" s="116">
        <v>287.45</v>
      </c>
      <c r="C564" s="116">
        <v>282.8</v>
      </c>
      <c r="D564" s="116">
        <v>280.3</v>
      </c>
      <c r="E564" s="116">
        <v>287.45</v>
      </c>
      <c r="F564" s="116">
        <v>282.8</v>
      </c>
      <c r="G564">
        <v>699</v>
      </c>
      <c r="H564" s="116"/>
      <c r="I564" s="116"/>
      <c r="L564" s="169">
        <v>42832</v>
      </c>
      <c r="M564" s="116">
        <v>284.2</v>
      </c>
      <c r="N564" s="116">
        <v>290</v>
      </c>
      <c r="O564" s="116">
        <v>278</v>
      </c>
      <c r="P564" s="116">
        <v>283</v>
      </c>
      <c r="Q564" s="116">
        <v>284.2</v>
      </c>
      <c r="R564">
        <v>28186</v>
      </c>
    </row>
    <row r="565" spans="1:18" x14ac:dyDescent="0.25">
      <c r="A565" s="169">
        <v>42835</v>
      </c>
      <c r="B565" s="116">
        <v>283</v>
      </c>
      <c r="C565" s="116">
        <v>281</v>
      </c>
      <c r="D565" s="116">
        <v>277.5</v>
      </c>
      <c r="E565" s="116">
        <v>281.25</v>
      </c>
      <c r="F565" s="116">
        <v>281</v>
      </c>
      <c r="G565">
        <v>1120</v>
      </c>
      <c r="H565" s="116"/>
      <c r="I565" s="116"/>
      <c r="L565" s="169">
        <v>42835</v>
      </c>
      <c r="M565" s="116">
        <v>279.8</v>
      </c>
      <c r="N565" s="116">
        <v>286</v>
      </c>
      <c r="O565" s="116">
        <v>278</v>
      </c>
      <c r="P565" s="116">
        <v>282</v>
      </c>
      <c r="Q565" s="116">
        <v>279.8</v>
      </c>
      <c r="R565">
        <v>8187</v>
      </c>
    </row>
    <row r="566" spans="1:18" x14ac:dyDescent="0.25">
      <c r="A566" s="169">
        <v>42836</v>
      </c>
      <c r="B566" s="116">
        <v>283.05</v>
      </c>
      <c r="C566" s="116">
        <v>281.35000000000002</v>
      </c>
      <c r="D566" s="116">
        <v>278.95</v>
      </c>
      <c r="E566" s="116">
        <v>278.95</v>
      </c>
      <c r="F566" s="116">
        <v>281.35000000000002</v>
      </c>
      <c r="G566">
        <v>114</v>
      </c>
      <c r="H566" s="116"/>
      <c r="I566" s="116"/>
      <c r="L566" s="169">
        <v>42836</v>
      </c>
      <c r="M566" s="116">
        <v>279.55</v>
      </c>
      <c r="N566" s="116">
        <v>284.5</v>
      </c>
      <c r="O566" s="116">
        <v>273.64999999999998</v>
      </c>
      <c r="P566" s="116">
        <v>278</v>
      </c>
      <c r="Q566" s="116">
        <v>279.55</v>
      </c>
      <c r="R566">
        <v>6023</v>
      </c>
    </row>
    <row r="567" spans="1:18" x14ac:dyDescent="0.25">
      <c r="A567" s="169">
        <v>42837</v>
      </c>
      <c r="B567" s="116">
        <v>278.55</v>
      </c>
      <c r="C567" s="116">
        <v>277.45</v>
      </c>
      <c r="D567" s="116">
        <v>276.5</v>
      </c>
      <c r="E567" s="116">
        <v>278.55</v>
      </c>
      <c r="F567" s="116">
        <v>277.45</v>
      </c>
      <c r="G567">
        <v>20</v>
      </c>
      <c r="H567" s="116"/>
      <c r="I567" s="116"/>
      <c r="L567" s="169">
        <v>42837</v>
      </c>
      <c r="M567" s="116">
        <v>278.89999999999998</v>
      </c>
      <c r="N567" s="116">
        <v>282</v>
      </c>
      <c r="O567" s="116">
        <v>276.64999999999998</v>
      </c>
      <c r="P567" s="116">
        <v>280.25</v>
      </c>
      <c r="Q567" s="116">
        <v>278.89999999999998</v>
      </c>
      <c r="R567">
        <v>8054</v>
      </c>
    </row>
    <row r="568" spans="1:18" x14ac:dyDescent="0.25">
      <c r="A568" s="169">
        <v>42838</v>
      </c>
      <c r="B568" s="116">
        <v>279</v>
      </c>
      <c r="C568" s="116">
        <v>276.95</v>
      </c>
      <c r="D568" s="116">
        <v>276.7</v>
      </c>
      <c r="E568" s="116">
        <v>278.39999999999998</v>
      </c>
      <c r="F568" s="116">
        <v>276.95</v>
      </c>
      <c r="G568">
        <v>491</v>
      </c>
      <c r="H568" s="116"/>
      <c r="I568" s="116"/>
      <c r="L568" s="169">
        <v>42838</v>
      </c>
      <c r="M568" s="116">
        <v>274</v>
      </c>
      <c r="N568" s="116">
        <v>280</v>
      </c>
      <c r="O568" s="116">
        <v>271.60000000000002</v>
      </c>
      <c r="P568" s="116">
        <v>279.05</v>
      </c>
      <c r="Q568" s="116">
        <v>274</v>
      </c>
      <c r="R568">
        <v>2239</v>
      </c>
    </row>
    <row r="569" spans="1:18" x14ac:dyDescent="0.25">
      <c r="A569" s="169">
        <v>42842</v>
      </c>
      <c r="B569" s="116">
        <v>278.8</v>
      </c>
      <c r="C569" s="116">
        <v>275</v>
      </c>
      <c r="D569" s="116">
        <v>272.60000000000002</v>
      </c>
      <c r="E569" s="116">
        <v>275</v>
      </c>
      <c r="F569" s="116">
        <v>275</v>
      </c>
      <c r="G569">
        <v>256</v>
      </c>
      <c r="H569" s="116"/>
      <c r="I569" s="116"/>
      <c r="L569" s="169">
        <v>42842</v>
      </c>
      <c r="M569" s="116">
        <v>276.39999999999998</v>
      </c>
      <c r="N569" s="116">
        <v>280</v>
      </c>
      <c r="O569" s="116">
        <v>273</v>
      </c>
      <c r="P569" s="116">
        <v>273</v>
      </c>
      <c r="Q569" s="116">
        <v>276.39999999999998</v>
      </c>
      <c r="R569">
        <v>24198</v>
      </c>
    </row>
    <row r="570" spans="1:18" x14ac:dyDescent="0.25">
      <c r="A570" s="169">
        <v>42843</v>
      </c>
      <c r="B570" s="116">
        <v>281.45</v>
      </c>
      <c r="C570" s="116">
        <v>273.05</v>
      </c>
      <c r="D570" s="116">
        <v>272.25</v>
      </c>
      <c r="E570" s="116">
        <v>277.35000000000002</v>
      </c>
      <c r="F570" s="116">
        <v>273.05</v>
      </c>
      <c r="G570">
        <v>11762</v>
      </c>
      <c r="H570" s="116"/>
      <c r="I570" s="116"/>
      <c r="L570" s="169">
        <v>42843</v>
      </c>
      <c r="M570" s="116">
        <v>273.7</v>
      </c>
      <c r="N570" s="116">
        <v>280.2</v>
      </c>
      <c r="O570" s="116">
        <v>272.10000000000002</v>
      </c>
      <c r="P570" s="116">
        <v>279.10000000000002</v>
      </c>
      <c r="Q570" s="116">
        <v>273.7</v>
      </c>
      <c r="R570">
        <v>25843</v>
      </c>
    </row>
    <row r="571" spans="1:18" x14ac:dyDescent="0.25">
      <c r="A571" s="169">
        <v>42844</v>
      </c>
      <c r="B571" s="116">
        <v>276.14999999999998</v>
      </c>
      <c r="C571" s="116">
        <v>275.35000000000002</v>
      </c>
      <c r="D571" s="116">
        <v>274.5</v>
      </c>
      <c r="E571" s="116">
        <v>274.5</v>
      </c>
      <c r="F571" s="116">
        <v>275.35000000000002</v>
      </c>
      <c r="G571">
        <v>20</v>
      </c>
      <c r="H571" s="116"/>
      <c r="I571" s="116"/>
      <c r="L571" s="169">
        <v>42844</v>
      </c>
      <c r="M571" s="116">
        <v>274.14999999999998</v>
      </c>
      <c r="N571" s="116">
        <v>277</v>
      </c>
      <c r="O571" s="116">
        <v>273.64999999999998</v>
      </c>
      <c r="P571" s="116">
        <v>275.64999999999998</v>
      </c>
      <c r="Q571" s="116">
        <v>274.14999999999998</v>
      </c>
      <c r="R571">
        <v>82394</v>
      </c>
    </row>
    <row r="572" spans="1:18" x14ac:dyDescent="0.25">
      <c r="A572" s="169">
        <v>42845</v>
      </c>
      <c r="B572" s="116">
        <v>303.25</v>
      </c>
      <c r="C572" s="116">
        <v>299</v>
      </c>
      <c r="D572" s="116">
        <v>271.64999999999998</v>
      </c>
      <c r="E572" s="116">
        <v>271.64999999999998</v>
      </c>
      <c r="F572" s="116">
        <v>299</v>
      </c>
      <c r="G572">
        <v>83907</v>
      </c>
      <c r="H572" s="116"/>
      <c r="I572" s="116"/>
      <c r="L572" s="169">
        <v>42845</v>
      </c>
      <c r="M572" s="116">
        <v>298.95</v>
      </c>
      <c r="N572" s="116">
        <v>302.5</v>
      </c>
      <c r="O572" s="116">
        <v>273.3</v>
      </c>
      <c r="P572" s="116">
        <v>276</v>
      </c>
      <c r="Q572" s="116">
        <v>298.95</v>
      </c>
      <c r="R572">
        <v>530169</v>
      </c>
    </row>
    <row r="573" spans="1:18" x14ac:dyDescent="0.25">
      <c r="A573" s="169">
        <v>42846</v>
      </c>
      <c r="B573" s="116">
        <v>312.39999999999998</v>
      </c>
      <c r="C573" s="116">
        <v>305.5</v>
      </c>
      <c r="D573" s="116">
        <v>295</v>
      </c>
      <c r="E573" s="116">
        <v>301.7</v>
      </c>
      <c r="F573" s="116">
        <v>305.5</v>
      </c>
      <c r="G573">
        <v>56437</v>
      </c>
      <c r="H573" s="116"/>
      <c r="I573" s="116"/>
      <c r="L573" s="169">
        <v>42846</v>
      </c>
      <c r="M573" s="116">
        <v>307.89999999999998</v>
      </c>
      <c r="N573" s="116">
        <v>314.89999999999998</v>
      </c>
      <c r="O573" s="116">
        <v>293.55</v>
      </c>
      <c r="P573" s="116">
        <v>300.89999999999998</v>
      </c>
      <c r="Q573" s="116">
        <v>307.89999999999998</v>
      </c>
      <c r="R573">
        <v>214404</v>
      </c>
    </row>
    <row r="574" spans="1:18" x14ac:dyDescent="0.25">
      <c r="A574" s="169">
        <v>42849</v>
      </c>
      <c r="B574" s="116">
        <v>319.89999999999998</v>
      </c>
      <c r="C574" s="116">
        <v>315.75</v>
      </c>
      <c r="D574" s="116">
        <v>308.7</v>
      </c>
      <c r="E574" s="116">
        <v>311</v>
      </c>
      <c r="F574" s="116">
        <v>315.75</v>
      </c>
      <c r="G574">
        <v>4389</v>
      </c>
      <c r="H574" s="116"/>
      <c r="I574" s="116"/>
      <c r="L574" s="169">
        <v>42849</v>
      </c>
      <c r="M574" s="116">
        <v>316.55</v>
      </c>
      <c r="N574" s="116">
        <v>320.95</v>
      </c>
      <c r="O574" s="116">
        <v>304.89999999999998</v>
      </c>
      <c r="P574" s="116">
        <v>307.95</v>
      </c>
      <c r="Q574" s="116">
        <v>316.55</v>
      </c>
      <c r="R574">
        <v>143574</v>
      </c>
    </row>
    <row r="575" spans="1:18" x14ac:dyDescent="0.25">
      <c r="A575" s="169">
        <v>42850</v>
      </c>
      <c r="B575" s="116">
        <v>324</v>
      </c>
      <c r="C575" s="116">
        <v>320.39999999999998</v>
      </c>
      <c r="D575" s="116">
        <v>314.64999999999998</v>
      </c>
      <c r="E575" s="116">
        <v>314.64999999999998</v>
      </c>
      <c r="F575" s="116">
        <v>320.39999999999998</v>
      </c>
      <c r="G575">
        <v>6489</v>
      </c>
      <c r="H575" s="116"/>
      <c r="I575" s="116"/>
      <c r="L575" s="169">
        <v>42850</v>
      </c>
      <c r="M575" s="116">
        <v>322.95</v>
      </c>
      <c r="N575" s="116">
        <v>325.8</v>
      </c>
      <c r="O575" s="116">
        <v>311.55</v>
      </c>
      <c r="P575" s="116">
        <v>321.85000000000002</v>
      </c>
      <c r="Q575" s="116">
        <v>322.95</v>
      </c>
      <c r="R575">
        <v>111583</v>
      </c>
    </row>
    <row r="576" spans="1:18" x14ac:dyDescent="0.25">
      <c r="A576" s="169">
        <v>42851</v>
      </c>
      <c r="B576" s="116">
        <v>318.8</v>
      </c>
      <c r="C576" s="116">
        <v>317.85000000000002</v>
      </c>
      <c r="D576" s="116">
        <v>311.10000000000002</v>
      </c>
      <c r="E576" s="116">
        <v>317.5</v>
      </c>
      <c r="F576" s="116">
        <v>317.85000000000002</v>
      </c>
      <c r="G576">
        <v>1682</v>
      </c>
      <c r="H576" s="116"/>
      <c r="I576" s="116"/>
      <c r="L576" s="169">
        <v>42851</v>
      </c>
      <c r="M576" s="116">
        <v>316.45</v>
      </c>
      <c r="N576" s="116">
        <v>325.7</v>
      </c>
      <c r="O576" s="116">
        <v>309.95</v>
      </c>
      <c r="P576" s="116">
        <v>322.95</v>
      </c>
      <c r="Q576" s="116">
        <v>316.45</v>
      </c>
      <c r="R576">
        <v>37350</v>
      </c>
    </row>
    <row r="577" spans="1:18" x14ac:dyDescent="0.25">
      <c r="A577" s="169">
        <v>42852</v>
      </c>
      <c r="B577" s="116">
        <v>313.45</v>
      </c>
      <c r="C577" s="116">
        <v>303.75</v>
      </c>
      <c r="D577" s="116">
        <v>299</v>
      </c>
      <c r="E577" s="116">
        <v>313.05</v>
      </c>
      <c r="F577" s="116">
        <v>303.75</v>
      </c>
      <c r="G577">
        <v>3920</v>
      </c>
      <c r="H577" s="116"/>
      <c r="I577" s="116"/>
      <c r="L577" s="169">
        <v>42852</v>
      </c>
      <c r="M577" s="116">
        <v>307.10000000000002</v>
      </c>
      <c r="N577" s="116">
        <v>315</v>
      </c>
      <c r="O577" s="116">
        <v>304.5</v>
      </c>
      <c r="P577" s="116">
        <v>314</v>
      </c>
      <c r="Q577" s="116">
        <v>307.10000000000002</v>
      </c>
      <c r="R577">
        <v>265596</v>
      </c>
    </row>
    <row r="578" spans="1:18" x14ac:dyDescent="0.25">
      <c r="A578" s="169">
        <v>42853</v>
      </c>
      <c r="B578" s="116">
        <v>310.39999999999998</v>
      </c>
      <c r="C578" s="116">
        <v>305.2</v>
      </c>
      <c r="D578" s="116">
        <v>301.55</v>
      </c>
      <c r="E578" s="116">
        <v>310.39999999999998</v>
      </c>
      <c r="F578" s="116">
        <v>305.2</v>
      </c>
      <c r="G578">
        <v>8031</v>
      </c>
      <c r="H578" s="116"/>
      <c r="I578" s="116"/>
      <c r="L578" s="169">
        <v>42853</v>
      </c>
      <c r="M578" s="116">
        <v>306.14999999999998</v>
      </c>
      <c r="N578" s="116">
        <v>311.35000000000002</v>
      </c>
      <c r="O578" s="116">
        <v>304</v>
      </c>
      <c r="P578" s="116">
        <v>309.64999999999998</v>
      </c>
      <c r="Q578" s="116">
        <v>306.14999999999998</v>
      </c>
      <c r="R578">
        <v>25026</v>
      </c>
    </row>
    <row r="579" spans="1:18" x14ac:dyDescent="0.25">
      <c r="A579" s="169">
        <v>42857</v>
      </c>
      <c r="B579" s="116">
        <v>305</v>
      </c>
      <c r="C579" s="116">
        <v>299.89999999999998</v>
      </c>
      <c r="D579" s="116">
        <v>288.25</v>
      </c>
      <c r="E579" s="116">
        <v>305</v>
      </c>
      <c r="F579" s="116">
        <v>299.89999999999998</v>
      </c>
      <c r="G579">
        <v>14483</v>
      </c>
      <c r="H579" s="116"/>
      <c r="I579" s="116"/>
      <c r="L579" s="169">
        <v>42857</v>
      </c>
      <c r="M579" s="116">
        <v>300.5</v>
      </c>
      <c r="N579" s="116">
        <v>307</v>
      </c>
      <c r="O579" s="116">
        <v>288</v>
      </c>
      <c r="P579" s="116">
        <v>306</v>
      </c>
      <c r="Q579" s="116">
        <v>300.5</v>
      </c>
      <c r="R579">
        <v>104808</v>
      </c>
    </row>
    <row r="580" spans="1:18" x14ac:dyDescent="0.25">
      <c r="A580" s="169">
        <v>42858</v>
      </c>
      <c r="B580" s="116">
        <v>314</v>
      </c>
      <c r="C580" s="116">
        <v>310.2</v>
      </c>
      <c r="D580" s="116">
        <v>300</v>
      </c>
      <c r="E580" s="116">
        <v>305</v>
      </c>
      <c r="F580" s="116">
        <v>310.2</v>
      </c>
      <c r="G580">
        <v>12227</v>
      </c>
      <c r="H580" s="116"/>
      <c r="I580" s="116"/>
      <c r="L580" s="169">
        <v>42858</v>
      </c>
      <c r="M580" s="116">
        <v>310.7</v>
      </c>
      <c r="N580" s="116">
        <v>315</v>
      </c>
      <c r="O580" s="116">
        <v>296.14999999999998</v>
      </c>
      <c r="P580" s="116">
        <v>298</v>
      </c>
      <c r="Q580" s="116">
        <v>310.7</v>
      </c>
      <c r="R580">
        <v>62831</v>
      </c>
    </row>
    <row r="581" spans="1:18" x14ac:dyDescent="0.25">
      <c r="A581" s="169">
        <v>42859</v>
      </c>
      <c r="B581" s="116">
        <v>314</v>
      </c>
      <c r="C581" s="116">
        <v>309.64999999999998</v>
      </c>
      <c r="D581" s="116">
        <v>297.39999999999998</v>
      </c>
      <c r="E581" s="116">
        <v>305.64999999999998</v>
      </c>
      <c r="F581" s="116">
        <v>309.64999999999998</v>
      </c>
      <c r="G581">
        <v>10123</v>
      </c>
      <c r="H581" s="116"/>
      <c r="I581" s="116"/>
      <c r="L581" s="169">
        <v>42859</v>
      </c>
      <c r="M581" s="116">
        <v>307.55</v>
      </c>
      <c r="N581" s="116">
        <v>315</v>
      </c>
      <c r="O581" s="116">
        <v>298.25</v>
      </c>
      <c r="P581" s="116">
        <v>309</v>
      </c>
      <c r="Q581" s="116">
        <v>307.55</v>
      </c>
      <c r="R581">
        <v>71058</v>
      </c>
    </row>
    <row r="582" spans="1:18" x14ac:dyDescent="0.25">
      <c r="A582" s="169">
        <v>42860</v>
      </c>
      <c r="B582" s="116">
        <v>315.39999999999998</v>
      </c>
      <c r="C582" s="116">
        <v>300.35000000000002</v>
      </c>
      <c r="D582" s="116">
        <v>298.95</v>
      </c>
      <c r="E582" s="116">
        <v>310</v>
      </c>
      <c r="F582" s="116">
        <v>300.35000000000002</v>
      </c>
      <c r="G582">
        <v>6696</v>
      </c>
      <c r="H582" s="116"/>
      <c r="I582" s="116"/>
      <c r="L582" s="169">
        <v>42860</v>
      </c>
      <c r="M582" s="116">
        <v>304.5</v>
      </c>
      <c r="N582" s="116">
        <v>316</v>
      </c>
      <c r="O582" s="116">
        <v>300.55</v>
      </c>
      <c r="P582" s="116">
        <v>306</v>
      </c>
      <c r="Q582" s="116">
        <v>304.5</v>
      </c>
      <c r="R582">
        <v>48307</v>
      </c>
    </row>
    <row r="583" spans="1:18" x14ac:dyDescent="0.25">
      <c r="A583" s="169">
        <v>42863</v>
      </c>
      <c r="B583" s="116">
        <v>314.25</v>
      </c>
      <c r="C583" s="116">
        <v>310.14999999999998</v>
      </c>
      <c r="D583" s="116">
        <v>305.05</v>
      </c>
      <c r="E583" s="116">
        <v>307.89999999999998</v>
      </c>
      <c r="F583" s="116">
        <v>310.14999999999998</v>
      </c>
      <c r="G583">
        <v>744</v>
      </c>
      <c r="H583" s="116"/>
      <c r="I583" s="116"/>
      <c r="L583" s="169">
        <v>42863</v>
      </c>
      <c r="M583" s="116">
        <v>311.64999999999998</v>
      </c>
      <c r="N583" s="116">
        <v>313.95</v>
      </c>
      <c r="O583" s="116">
        <v>304</v>
      </c>
      <c r="P583" s="116">
        <v>304</v>
      </c>
      <c r="Q583" s="116">
        <v>311.64999999999998</v>
      </c>
      <c r="R583">
        <v>40650</v>
      </c>
    </row>
    <row r="584" spans="1:18" x14ac:dyDescent="0.25">
      <c r="A584" s="169">
        <v>42864</v>
      </c>
      <c r="B584" s="116">
        <v>315.14999999999998</v>
      </c>
      <c r="C584" s="116">
        <v>305.25</v>
      </c>
      <c r="D584" s="116">
        <v>303.60000000000002</v>
      </c>
      <c r="E584" s="116">
        <v>315.14999999999998</v>
      </c>
      <c r="F584" s="116">
        <v>305.25</v>
      </c>
      <c r="G584">
        <v>1084</v>
      </c>
      <c r="H584" s="116"/>
      <c r="I584" s="116"/>
      <c r="L584" s="169">
        <v>42864</v>
      </c>
      <c r="M584" s="116">
        <v>304.95</v>
      </c>
      <c r="N584" s="116">
        <v>314.8</v>
      </c>
      <c r="O584" s="116">
        <v>303.25</v>
      </c>
      <c r="P584" s="116">
        <v>314.8</v>
      </c>
      <c r="Q584" s="116">
        <v>304.95</v>
      </c>
      <c r="R584">
        <v>51279</v>
      </c>
    </row>
    <row r="585" spans="1:18" x14ac:dyDescent="0.25">
      <c r="A585" s="169">
        <v>42865</v>
      </c>
      <c r="B585" s="116">
        <v>319</v>
      </c>
      <c r="C585" s="116">
        <v>312.35000000000002</v>
      </c>
      <c r="D585" s="116">
        <v>305.25</v>
      </c>
      <c r="E585" s="116">
        <v>305.25</v>
      </c>
      <c r="F585" s="116">
        <v>312.35000000000002</v>
      </c>
      <c r="G585">
        <v>65852</v>
      </c>
      <c r="H585" s="116"/>
      <c r="I585" s="116"/>
      <c r="L585" s="169">
        <v>42865</v>
      </c>
      <c r="M585" s="116">
        <v>311.3</v>
      </c>
      <c r="N585" s="116">
        <v>319.5</v>
      </c>
      <c r="O585" s="116">
        <v>304.89999999999998</v>
      </c>
      <c r="P585" s="116">
        <v>306</v>
      </c>
      <c r="Q585" s="116">
        <v>311.3</v>
      </c>
      <c r="R585">
        <v>128480</v>
      </c>
    </row>
    <row r="586" spans="1:18" x14ac:dyDescent="0.25">
      <c r="A586" s="169">
        <v>42866</v>
      </c>
      <c r="B586" s="116">
        <v>314.5</v>
      </c>
      <c r="C586" s="116">
        <v>306.60000000000002</v>
      </c>
      <c r="D586" s="116">
        <v>305.14999999999998</v>
      </c>
      <c r="E586" s="116">
        <v>314.2</v>
      </c>
      <c r="F586" s="116">
        <v>306.60000000000002</v>
      </c>
      <c r="G586">
        <v>12171</v>
      </c>
      <c r="H586" s="116"/>
      <c r="I586" s="116"/>
      <c r="L586" s="169">
        <v>42866</v>
      </c>
      <c r="M586" s="116">
        <v>308.8</v>
      </c>
      <c r="N586" s="116">
        <v>313.75</v>
      </c>
      <c r="O586" s="116">
        <v>306</v>
      </c>
      <c r="P586" s="116">
        <v>310.95</v>
      </c>
      <c r="Q586" s="116">
        <v>308.8</v>
      </c>
      <c r="R586">
        <v>52007</v>
      </c>
    </row>
    <row r="587" spans="1:18" x14ac:dyDescent="0.25">
      <c r="A587" s="169">
        <v>42867</v>
      </c>
      <c r="B587" s="116">
        <v>308</v>
      </c>
      <c r="C587" s="116">
        <v>286.05</v>
      </c>
      <c r="D587" s="116">
        <v>283</v>
      </c>
      <c r="E587" s="116">
        <v>308</v>
      </c>
      <c r="F587" s="116">
        <v>286.05</v>
      </c>
      <c r="G587">
        <v>3165</v>
      </c>
      <c r="H587" s="116"/>
      <c r="I587" s="116"/>
      <c r="L587" s="169">
        <v>42867</v>
      </c>
      <c r="M587" s="116">
        <v>286.60000000000002</v>
      </c>
      <c r="N587" s="116">
        <v>309</v>
      </c>
      <c r="O587" s="116">
        <v>283.35000000000002</v>
      </c>
      <c r="P587" s="116">
        <v>307</v>
      </c>
      <c r="Q587" s="116">
        <v>286.60000000000002</v>
      </c>
      <c r="R587">
        <v>73706</v>
      </c>
    </row>
    <row r="588" spans="1:18" x14ac:dyDescent="0.25">
      <c r="A588" s="169">
        <v>42870</v>
      </c>
      <c r="B588" s="116">
        <v>287</v>
      </c>
      <c r="C588" s="116">
        <v>266.89999999999998</v>
      </c>
      <c r="D588" s="116">
        <v>264.75</v>
      </c>
      <c r="E588" s="116">
        <v>286</v>
      </c>
      <c r="F588" s="116">
        <v>266.89999999999998</v>
      </c>
      <c r="G588">
        <v>6482</v>
      </c>
      <c r="H588" s="116"/>
      <c r="I588" s="116"/>
      <c r="L588" s="169">
        <v>42870</v>
      </c>
      <c r="M588" s="116">
        <v>268.7</v>
      </c>
      <c r="N588" s="116">
        <v>289.75</v>
      </c>
      <c r="O588" s="116">
        <v>263.55</v>
      </c>
      <c r="P588" s="116">
        <v>289.35000000000002</v>
      </c>
      <c r="Q588" s="116">
        <v>268.7</v>
      </c>
      <c r="R588">
        <v>120321</v>
      </c>
    </row>
    <row r="589" spans="1:18" x14ac:dyDescent="0.25">
      <c r="A589" s="169">
        <v>42871</v>
      </c>
      <c r="B589" s="116">
        <v>283.25</v>
      </c>
      <c r="C589" s="116">
        <v>270.2</v>
      </c>
      <c r="D589" s="116">
        <v>265.75</v>
      </c>
      <c r="E589" s="116">
        <v>273</v>
      </c>
      <c r="F589" s="116">
        <v>270.2</v>
      </c>
      <c r="G589">
        <v>182225</v>
      </c>
      <c r="H589" s="116"/>
      <c r="I589" s="116"/>
      <c r="L589" s="169">
        <v>42871</v>
      </c>
      <c r="M589" s="116">
        <v>269.89999999999998</v>
      </c>
      <c r="N589" s="116">
        <v>284</v>
      </c>
      <c r="O589" s="116">
        <v>261.85000000000002</v>
      </c>
      <c r="P589" s="116">
        <v>268.7</v>
      </c>
      <c r="Q589" s="116">
        <v>269.89999999999998</v>
      </c>
      <c r="R589">
        <v>447840</v>
      </c>
    </row>
    <row r="590" spans="1:18" x14ac:dyDescent="0.25">
      <c r="A590" s="169">
        <v>42872</v>
      </c>
      <c r="B590" s="116">
        <v>292.85000000000002</v>
      </c>
      <c r="C590" s="116">
        <v>283.10000000000002</v>
      </c>
      <c r="D590" s="116">
        <v>276.45</v>
      </c>
      <c r="E590" s="116">
        <v>277.89999999999998</v>
      </c>
      <c r="F590" s="116">
        <v>283.10000000000002</v>
      </c>
      <c r="G590">
        <v>7898</v>
      </c>
      <c r="H590" s="116"/>
      <c r="I590" s="116"/>
      <c r="L590" s="169">
        <v>42872</v>
      </c>
      <c r="M590" s="116">
        <v>282.7</v>
      </c>
      <c r="N590" s="116">
        <v>292</v>
      </c>
      <c r="O590" s="116">
        <v>271</v>
      </c>
      <c r="P590" s="116">
        <v>271</v>
      </c>
      <c r="Q590" s="116">
        <v>282.7</v>
      </c>
      <c r="R590">
        <v>356916</v>
      </c>
    </row>
    <row r="591" spans="1:18" x14ac:dyDescent="0.25">
      <c r="A591" s="169">
        <v>42873</v>
      </c>
      <c r="B591" s="116">
        <v>285</v>
      </c>
      <c r="C591" s="116">
        <v>276.7</v>
      </c>
      <c r="D591" s="116">
        <v>275</v>
      </c>
      <c r="E591" s="116">
        <v>285</v>
      </c>
      <c r="F591" s="116">
        <v>276.7</v>
      </c>
      <c r="G591">
        <v>153188</v>
      </c>
      <c r="H591" s="116"/>
      <c r="I591" s="116"/>
      <c r="L591" s="169">
        <v>42873</v>
      </c>
      <c r="M591" s="116">
        <v>276.14999999999998</v>
      </c>
      <c r="N591" s="116">
        <v>281.75</v>
      </c>
      <c r="O591" s="116">
        <v>273.14999999999998</v>
      </c>
      <c r="P591" s="116">
        <v>281.3</v>
      </c>
      <c r="Q591" s="116">
        <v>276.14999999999998</v>
      </c>
      <c r="R591">
        <v>176743</v>
      </c>
    </row>
    <row r="592" spans="1:18" x14ac:dyDescent="0.25">
      <c r="A592" s="169">
        <v>42874</v>
      </c>
      <c r="B592" s="116">
        <v>280.3</v>
      </c>
      <c r="C592" s="116">
        <v>266.89999999999998</v>
      </c>
      <c r="D592" s="116">
        <v>250</v>
      </c>
      <c r="E592" s="116">
        <v>278.75</v>
      </c>
      <c r="F592" s="116">
        <v>266.89999999999998</v>
      </c>
      <c r="G592">
        <v>774195</v>
      </c>
      <c r="H592" s="116"/>
      <c r="I592" s="116"/>
      <c r="L592" s="169">
        <v>42874</v>
      </c>
      <c r="M592" s="116">
        <v>267.89999999999998</v>
      </c>
      <c r="N592" s="116">
        <v>278.75</v>
      </c>
      <c r="O592" s="116">
        <v>250</v>
      </c>
      <c r="P592" s="116">
        <v>278</v>
      </c>
      <c r="Q592" s="116">
        <v>267.89999999999998</v>
      </c>
      <c r="R592">
        <v>1194347</v>
      </c>
    </row>
    <row r="593" spans="1:18" x14ac:dyDescent="0.25">
      <c r="A593" s="169">
        <v>42877</v>
      </c>
      <c r="B593" s="116">
        <v>271.89999999999998</v>
      </c>
      <c r="C593" s="116">
        <v>266.64999999999998</v>
      </c>
      <c r="D593" s="116">
        <v>264.10000000000002</v>
      </c>
      <c r="E593" s="116">
        <v>267.60000000000002</v>
      </c>
      <c r="F593" s="116">
        <v>266.64999999999998</v>
      </c>
      <c r="G593">
        <v>6487</v>
      </c>
      <c r="H593" s="116"/>
      <c r="I593" s="116"/>
      <c r="L593" s="169">
        <v>42877</v>
      </c>
      <c r="M593" s="116">
        <v>265.3</v>
      </c>
      <c r="N593" s="116">
        <v>274.7</v>
      </c>
      <c r="O593" s="116">
        <v>262.5</v>
      </c>
      <c r="P593" s="116">
        <v>267.05</v>
      </c>
      <c r="Q593" s="116">
        <v>265.3</v>
      </c>
      <c r="R593">
        <v>96301</v>
      </c>
    </row>
    <row r="594" spans="1:18" x14ac:dyDescent="0.25">
      <c r="A594" s="169">
        <v>42878</v>
      </c>
      <c r="B594" s="116">
        <v>284</v>
      </c>
      <c r="C594" s="116">
        <v>258.8</v>
      </c>
      <c r="D594" s="116">
        <v>254.45</v>
      </c>
      <c r="E594" s="116">
        <v>278.95</v>
      </c>
      <c r="F594" s="116">
        <v>258.8</v>
      </c>
      <c r="G594">
        <v>9782</v>
      </c>
      <c r="H594" s="116"/>
      <c r="I594" s="116"/>
      <c r="L594" s="169">
        <v>42878</v>
      </c>
      <c r="M594" s="116">
        <v>257.95</v>
      </c>
      <c r="N594" s="116">
        <v>269.89999999999998</v>
      </c>
      <c r="O594" s="116">
        <v>254</v>
      </c>
      <c r="P594" s="116">
        <v>269.89999999999998</v>
      </c>
      <c r="Q594" s="116">
        <v>257.95</v>
      </c>
      <c r="R594">
        <v>282985</v>
      </c>
    </row>
    <row r="595" spans="1:18" x14ac:dyDescent="0.25">
      <c r="A595" s="169">
        <v>42879</v>
      </c>
      <c r="B595" s="116">
        <v>273.3</v>
      </c>
      <c r="C595" s="116">
        <v>260</v>
      </c>
      <c r="D595" s="116">
        <v>256.5</v>
      </c>
      <c r="E595" s="116">
        <v>258.75</v>
      </c>
      <c r="F595" s="116">
        <v>260</v>
      </c>
      <c r="G595">
        <v>111828</v>
      </c>
      <c r="H595" s="116"/>
      <c r="I595" s="116"/>
      <c r="L595" s="169">
        <v>42879</v>
      </c>
      <c r="M595" s="116">
        <v>259.60000000000002</v>
      </c>
      <c r="N595" s="116">
        <v>272</v>
      </c>
      <c r="O595" s="116">
        <v>255</v>
      </c>
      <c r="P595" s="116">
        <v>264</v>
      </c>
      <c r="Q595" s="116">
        <v>259.60000000000002</v>
      </c>
      <c r="R595">
        <v>444067</v>
      </c>
    </row>
    <row r="596" spans="1:18" x14ac:dyDescent="0.25">
      <c r="A596" s="169">
        <v>42880</v>
      </c>
      <c r="B596" s="116">
        <v>281</v>
      </c>
      <c r="C596" s="116">
        <v>279.39999999999998</v>
      </c>
      <c r="D596" s="116">
        <v>259.2</v>
      </c>
      <c r="E596" s="116">
        <v>261</v>
      </c>
      <c r="F596" s="116">
        <v>279.39999999999998</v>
      </c>
      <c r="G596">
        <v>8137</v>
      </c>
      <c r="H596" s="116"/>
      <c r="I596" s="116"/>
      <c r="L596" s="169">
        <v>42880</v>
      </c>
      <c r="M596" s="116">
        <v>279.64999999999998</v>
      </c>
      <c r="N596" s="116">
        <v>281.45</v>
      </c>
      <c r="O596" s="116">
        <v>258.45</v>
      </c>
      <c r="P596" s="116">
        <v>262</v>
      </c>
      <c r="Q596" s="116">
        <v>279.64999999999998</v>
      </c>
      <c r="R596">
        <v>62612</v>
      </c>
    </row>
    <row r="597" spans="1:18" x14ac:dyDescent="0.25">
      <c r="A597" s="169">
        <v>42881</v>
      </c>
      <c r="B597" s="116">
        <v>290</v>
      </c>
      <c r="C597" s="116">
        <v>289.05</v>
      </c>
      <c r="D597" s="116">
        <v>276</v>
      </c>
      <c r="E597" s="116">
        <v>279.7</v>
      </c>
      <c r="F597" s="116">
        <v>289.05</v>
      </c>
      <c r="G597">
        <v>3435</v>
      </c>
      <c r="H597" s="116"/>
      <c r="I597" s="116"/>
      <c r="L597" s="169">
        <v>42881</v>
      </c>
      <c r="M597" s="116">
        <v>289.39999999999998</v>
      </c>
      <c r="N597" s="116">
        <v>291</v>
      </c>
      <c r="O597" s="116">
        <v>276</v>
      </c>
      <c r="P597" s="116">
        <v>281.89999999999998</v>
      </c>
      <c r="Q597" s="116">
        <v>289.39999999999998</v>
      </c>
      <c r="R597">
        <v>47664</v>
      </c>
    </row>
    <row r="598" spans="1:18" x14ac:dyDescent="0.25">
      <c r="A598" s="169">
        <v>42884</v>
      </c>
      <c r="B598" s="116">
        <v>283</v>
      </c>
      <c r="C598" s="116">
        <v>277</v>
      </c>
      <c r="D598" s="116">
        <v>274.60000000000002</v>
      </c>
      <c r="E598" s="116">
        <v>280</v>
      </c>
      <c r="F598" s="116">
        <v>277</v>
      </c>
      <c r="G598">
        <v>1066</v>
      </c>
      <c r="H598" s="116"/>
      <c r="I598" s="116"/>
      <c r="L598" s="169">
        <v>42884</v>
      </c>
      <c r="M598" s="116">
        <v>281.25</v>
      </c>
      <c r="N598" s="116">
        <v>289.8</v>
      </c>
      <c r="O598" s="116">
        <v>274</v>
      </c>
      <c r="P598" s="116">
        <v>286</v>
      </c>
      <c r="Q598" s="116">
        <v>281.25</v>
      </c>
      <c r="R598">
        <v>23746</v>
      </c>
    </row>
    <row r="599" spans="1:18" x14ac:dyDescent="0.25">
      <c r="A599" s="169">
        <v>42885</v>
      </c>
      <c r="B599" s="116">
        <v>283.85000000000002</v>
      </c>
      <c r="C599" s="116">
        <v>279.5</v>
      </c>
      <c r="D599" s="116">
        <v>273.85000000000002</v>
      </c>
      <c r="E599" s="116">
        <v>277.64999999999998</v>
      </c>
      <c r="F599" s="116">
        <v>279.5</v>
      </c>
      <c r="G599">
        <v>7210</v>
      </c>
      <c r="H599" s="116"/>
      <c r="I599" s="116"/>
      <c r="L599" s="169">
        <v>42885</v>
      </c>
      <c r="M599" s="116">
        <v>282.89999999999998</v>
      </c>
      <c r="N599" s="116">
        <v>285.39999999999998</v>
      </c>
      <c r="O599" s="116">
        <v>274.05</v>
      </c>
      <c r="P599" s="116">
        <v>279.05</v>
      </c>
      <c r="Q599" s="116">
        <v>282.89999999999998</v>
      </c>
      <c r="R599">
        <v>17678</v>
      </c>
    </row>
    <row r="600" spans="1:18" x14ac:dyDescent="0.25">
      <c r="A600" s="169">
        <v>42886</v>
      </c>
      <c r="B600" s="116">
        <v>276.5</v>
      </c>
      <c r="C600" s="116">
        <v>270.3</v>
      </c>
      <c r="D600" s="116">
        <v>268</v>
      </c>
      <c r="E600" s="116">
        <v>275.25</v>
      </c>
      <c r="F600" s="116">
        <v>270.3</v>
      </c>
      <c r="G600">
        <v>3984</v>
      </c>
      <c r="H600" s="116"/>
      <c r="I600" s="116"/>
      <c r="L600" s="169">
        <v>42886</v>
      </c>
      <c r="M600" s="116">
        <v>270.10000000000002</v>
      </c>
      <c r="N600" s="116">
        <v>279.05</v>
      </c>
      <c r="O600" s="116">
        <v>267.14999999999998</v>
      </c>
      <c r="P600" s="116">
        <v>275.35000000000002</v>
      </c>
      <c r="Q600" s="116">
        <v>270.10000000000002</v>
      </c>
      <c r="R600">
        <v>537024</v>
      </c>
    </row>
    <row r="601" spans="1:18" x14ac:dyDescent="0.25">
      <c r="A601" s="169">
        <v>42887</v>
      </c>
      <c r="B601" s="116">
        <v>272</v>
      </c>
      <c r="C601" s="116">
        <v>270</v>
      </c>
      <c r="D601" s="116">
        <v>267.05</v>
      </c>
      <c r="E601" s="116">
        <v>270</v>
      </c>
      <c r="F601" s="116">
        <v>270</v>
      </c>
      <c r="G601">
        <v>1872</v>
      </c>
      <c r="H601" s="116"/>
      <c r="I601" s="116"/>
      <c r="L601" s="169">
        <v>42887</v>
      </c>
      <c r="M601" s="116">
        <v>269.10000000000002</v>
      </c>
      <c r="N601" s="116">
        <v>272.5</v>
      </c>
      <c r="O601" s="116">
        <v>265.10000000000002</v>
      </c>
      <c r="P601" s="116">
        <v>271.89999999999998</v>
      </c>
      <c r="Q601" s="116">
        <v>269.10000000000002</v>
      </c>
      <c r="R601">
        <v>9044</v>
      </c>
    </row>
    <row r="602" spans="1:18" x14ac:dyDescent="0.25">
      <c r="A602" s="169">
        <v>42888</v>
      </c>
      <c r="B602" s="116">
        <v>273.35000000000002</v>
      </c>
      <c r="C602" s="116">
        <v>272.64999999999998</v>
      </c>
      <c r="D602" s="116">
        <v>272.05</v>
      </c>
      <c r="E602" s="116">
        <v>273.35000000000002</v>
      </c>
      <c r="F602" s="116">
        <v>272.64999999999998</v>
      </c>
      <c r="G602">
        <v>732</v>
      </c>
      <c r="H602" s="116"/>
      <c r="I602" s="116"/>
      <c r="L602" s="169">
        <v>42888</v>
      </c>
      <c r="M602" s="116">
        <v>269.8</v>
      </c>
      <c r="N602" s="116">
        <v>274.7</v>
      </c>
      <c r="O602" s="116">
        <v>267.3</v>
      </c>
      <c r="P602" s="116">
        <v>273.95</v>
      </c>
      <c r="Q602" s="116">
        <v>269.8</v>
      </c>
      <c r="R602">
        <v>13245</v>
      </c>
    </row>
    <row r="603" spans="1:18" x14ac:dyDescent="0.25">
      <c r="A603" s="169">
        <v>42891</v>
      </c>
      <c r="B603" s="116">
        <v>284.05</v>
      </c>
      <c r="C603" s="116">
        <v>278.85000000000002</v>
      </c>
      <c r="D603" s="116">
        <v>270.60000000000002</v>
      </c>
      <c r="E603" s="116">
        <v>270.60000000000002</v>
      </c>
      <c r="F603" s="116">
        <v>278.85000000000002</v>
      </c>
      <c r="G603">
        <v>1504</v>
      </c>
      <c r="H603" s="116"/>
      <c r="I603" s="116"/>
      <c r="L603" s="169">
        <v>42891</v>
      </c>
      <c r="M603" s="116">
        <v>279.25</v>
      </c>
      <c r="N603" s="116">
        <v>285</v>
      </c>
      <c r="O603" s="116">
        <v>268.05</v>
      </c>
      <c r="P603" s="116">
        <v>276.85000000000002</v>
      </c>
      <c r="Q603" s="116">
        <v>279.25</v>
      </c>
      <c r="R603">
        <v>33021</v>
      </c>
    </row>
    <row r="604" spans="1:18" x14ac:dyDescent="0.25">
      <c r="A604" s="169">
        <v>42892</v>
      </c>
      <c r="B604" s="116">
        <v>282.14999999999998</v>
      </c>
      <c r="C604" s="116">
        <v>276.85000000000002</v>
      </c>
      <c r="D604" s="116">
        <v>270</v>
      </c>
      <c r="E604" s="116">
        <v>282</v>
      </c>
      <c r="F604" s="116">
        <v>276.85000000000002</v>
      </c>
      <c r="G604">
        <v>1639</v>
      </c>
      <c r="H604" s="116"/>
      <c r="I604" s="116"/>
      <c r="L604" s="169">
        <v>42892</v>
      </c>
      <c r="M604" s="116">
        <v>276.55</v>
      </c>
      <c r="N604" s="116">
        <v>282.5</v>
      </c>
      <c r="O604" s="116">
        <v>271</v>
      </c>
      <c r="P604" s="116">
        <v>279</v>
      </c>
      <c r="Q604" s="116">
        <v>276.55</v>
      </c>
      <c r="R604">
        <v>59379</v>
      </c>
    </row>
    <row r="605" spans="1:18" x14ac:dyDescent="0.25">
      <c r="A605" s="169">
        <v>42893</v>
      </c>
      <c r="B605" s="116">
        <v>285</v>
      </c>
      <c r="C605" s="116">
        <v>275.85000000000002</v>
      </c>
      <c r="D605" s="116">
        <v>273.85000000000002</v>
      </c>
      <c r="E605" s="116">
        <v>274.75</v>
      </c>
      <c r="F605" s="116">
        <v>275.85000000000002</v>
      </c>
      <c r="G605">
        <v>9633</v>
      </c>
      <c r="H605" s="116"/>
      <c r="I605" s="116"/>
      <c r="L605" s="169">
        <v>42893</v>
      </c>
      <c r="M605" s="116">
        <v>279.2</v>
      </c>
      <c r="N605" s="116">
        <v>287.60000000000002</v>
      </c>
      <c r="O605" s="116">
        <v>272</v>
      </c>
      <c r="P605" s="116">
        <v>276.25</v>
      </c>
      <c r="Q605" s="116">
        <v>279.2</v>
      </c>
      <c r="R605">
        <v>237148</v>
      </c>
    </row>
    <row r="606" spans="1:18" x14ac:dyDescent="0.25">
      <c r="A606" s="169">
        <v>42894</v>
      </c>
      <c r="B606" s="116">
        <v>280</v>
      </c>
      <c r="C606" s="116">
        <v>274.05</v>
      </c>
      <c r="D606" s="116">
        <v>271.10000000000002</v>
      </c>
      <c r="E606" s="116">
        <v>280</v>
      </c>
      <c r="F606" s="116">
        <v>274.05</v>
      </c>
      <c r="G606">
        <v>1206</v>
      </c>
      <c r="H606" s="116"/>
      <c r="I606" s="116"/>
      <c r="L606" s="169">
        <v>42894</v>
      </c>
      <c r="M606" s="116">
        <v>273.45</v>
      </c>
      <c r="N606" s="116">
        <v>282</v>
      </c>
      <c r="O606" s="116">
        <v>270.5</v>
      </c>
      <c r="P606" s="116">
        <v>274.05</v>
      </c>
      <c r="Q606" s="116">
        <v>273.45</v>
      </c>
      <c r="R606">
        <v>6744</v>
      </c>
    </row>
    <row r="607" spans="1:18" x14ac:dyDescent="0.25">
      <c r="A607" s="169">
        <v>42895</v>
      </c>
      <c r="B607" s="116">
        <v>277</v>
      </c>
      <c r="C607" s="116">
        <v>268.05</v>
      </c>
      <c r="D607" s="116">
        <v>265.5</v>
      </c>
      <c r="E607" s="116">
        <v>274</v>
      </c>
      <c r="F607" s="116">
        <v>268.05</v>
      </c>
      <c r="G607">
        <v>1743</v>
      </c>
      <c r="H607" s="116"/>
      <c r="I607" s="116"/>
      <c r="L607" s="169">
        <v>42895</v>
      </c>
      <c r="M607" s="116">
        <v>269.05</v>
      </c>
      <c r="N607" s="116">
        <v>277.3</v>
      </c>
      <c r="O607" s="116">
        <v>265</v>
      </c>
      <c r="P607" s="116">
        <v>273.39999999999998</v>
      </c>
      <c r="Q607" s="116">
        <v>269.05</v>
      </c>
      <c r="R607">
        <v>8066</v>
      </c>
    </row>
    <row r="608" spans="1:18" x14ac:dyDescent="0.25">
      <c r="A608" s="169">
        <v>42898</v>
      </c>
      <c r="B608" s="116">
        <v>270</v>
      </c>
      <c r="C608" s="116">
        <v>265.35000000000002</v>
      </c>
      <c r="D608" s="116">
        <v>264.5</v>
      </c>
      <c r="E608" s="116">
        <v>269.85000000000002</v>
      </c>
      <c r="F608" s="116">
        <v>265.35000000000002</v>
      </c>
      <c r="G608">
        <v>712</v>
      </c>
      <c r="H608" s="116"/>
      <c r="I608" s="116"/>
      <c r="L608" s="169">
        <v>42898</v>
      </c>
      <c r="M608" s="116">
        <v>264.8</v>
      </c>
      <c r="N608" s="116">
        <v>271.89999999999998</v>
      </c>
      <c r="O608" s="116">
        <v>264</v>
      </c>
      <c r="P608" s="116">
        <v>269</v>
      </c>
      <c r="Q608" s="116">
        <v>264.8</v>
      </c>
      <c r="R608">
        <v>11574</v>
      </c>
    </row>
    <row r="609" spans="1:18" x14ac:dyDescent="0.25">
      <c r="A609" s="169">
        <v>42899</v>
      </c>
      <c r="B609" s="116">
        <v>272.35000000000002</v>
      </c>
      <c r="C609" s="116">
        <v>262.2</v>
      </c>
      <c r="D609" s="116">
        <v>260.5</v>
      </c>
      <c r="E609" s="116">
        <v>270.85000000000002</v>
      </c>
      <c r="F609" s="116">
        <v>262.2</v>
      </c>
      <c r="G609">
        <v>864</v>
      </c>
      <c r="H609" s="116"/>
      <c r="I609" s="116"/>
      <c r="L609" s="169">
        <v>42899</v>
      </c>
      <c r="M609" s="116">
        <v>261.2</v>
      </c>
      <c r="N609" s="116">
        <v>275</v>
      </c>
      <c r="O609" s="116">
        <v>260</v>
      </c>
      <c r="P609" s="116">
        <v>268.39999999999998</v>
      </c>
      <c r="Q609" s="116">
        <v>261.2</v>
      </c>
      <c r="R609">
        <v>10400</v>
      </c>
    </row>
    <row r="610" spans="1:18" x14ac:dyDescent="0.25">
      <c r="A610" s="169">
        <v>42900</v>
      </c>
      <c r="B610" s="116">
        <v>269.95</v>
      </c>
      <c r="C610" s="116">
        <v>267.05</v>
      </c>
      <c r="D610" s="116">
        <v>260.10000000000002</v>
      </c>
      <c r="E610" s="116">
        <v>260.85000000000002</v>
      </c>
      <c r="F610" s="116">
        <v>267.05</v>
      </c>
      <c r="G610">
        <v>109532</v>
      </c>
      <c r="H610" s="116"/>
      <c r="I610" s="116"/>
      <c r="L610" s="169">
        <v>42900</v>
      </c>
      <c r="M610" s="116">
        <v>268.75</v>
      </c>
      <c r="N610" s="116">
        <v>270.95</v>
      </c>
      <c r="O610" s="116">
        <v>259.60000000000002</v>
      </c>
      <c r="P610" s="116">
        <v>263.45</v>
      </c>
      <c r="Q610" s="116">
        <v>268.75</v>
      </c>
      <c r="R610">
        <v>37885</v>
      </c>
    </row>
    <row r="611" spans="1:18" x14ac:dyDescent="0.25">
      <c r="A611" s="169">
        <v>42901</v>
      </c>
      <c r="B611" s="116">
        <v>278.7</v>
      </c>
      <c r="C611" s="116">
        <v>277</v>
      </c>
      <c r="D611" s="116">
        <v>267.05</v>
      </c>
      <c r="E611" s="116">
        <v>272</v>
      </c>
      <c r="F611" s="116">
        <v>277</v>
      </c>
      <c r="G611">
        <v>2936</v>
      </c>
      <c r="H611" s="116"/>
      <c r="I611" s="116"/>
      <c r="L611" s="169">
        <v>42901</v>
      </c>
      <c r="M611" s="116">
        <v>274.2</v>
      </c>
      <c r="N611" s="116">
        <v>280.89999999999998</v>
      </c>
      <c r="O611" s="116">
        <v>263.5</v>
      </c>
      <c r="P611" s="116">
        <v>266</v>
      </c>
      <c r="Q611" s="116">
        <v>274.2</v>
      </c>
      <c r="R611">
        <v>31180</v>
      </c>
    </row>
    <row r="612" spans="1:18" x14ac:dyDescent="0.25">
      <c r="A612" s="169">
        <v>42902</v>
      </c>
      <c r="B612" s="116">
        <v>279.95</v>
      </c>
      <c r="C612" s="116">
        <v>277.25</v>
      </c>
      <c r="D612" s="116">
        <v>273.45</v>
      </c>
      <c r="E612" s="116">
        <v>273.5</v>
      </c>
      <c r="F612" s="116">
        <v>277.25</v>
      </c>
      <c r="G612">
        <v>589</v>
      </c>
      <c r="H612" s="116"/>
      <c r="I612" s="116"/>
      <c r="L612" s="169">
        <v>42902</v>
      </c>
      <c r="M612" s="116">
        <v>277.2</v>
      </c>
      <c r="N612" s="116">
        <v>281.64999999999998</v>
      </c>
      <c r="O612" s="116">
        <v>274</v>
      </c>
      <c r="P612" s="116">
        <v>274.10000000000002</v>
      </c>
      <c r="Q612" s="116">
        <v>277.2</v>
      </c>
      <c r="R612">
        <v>20394</v>
      </c>
    </row>
    <row r="613" spans="1:18" x14ac:dyDescent="0.25">
      <c r="A613" s="169">
        <v>42905</v>
      </c>
      <c r="B613" s="116">
        <v>281</v>
      </c>
      <c r="C613" s="116">
        <v>278.35000000000002</v>
      </c>
      <c r="D613" s="116">
        <v>276.85000000000002</v>
      </c>
      <c r="E613" s="116">
        <v>277.35000000000002</v>
      </c>
      <c r="F613" s="116">
        <v>278.35000000000002</v>
      </c>
      <c r="G613">
        <v>1541</v>
      </c>
      <c r="H613" s="116"/>
      <c r="I613" s="116"/>
      <c r="L613" s="169">
        <v>42905</v>
      </c>
      <c r="M613" s="116">
        <v>275.85000000000002</v>
      </c>
      <c r="N613" s="116">
        <v>280</v>
      </c>
      <c r="O613" s="116">
        <v>274.10000000000002</v>
      </c>
      <c r="P613" s="116">
        <v>275.10000000000002</v>
      </c>
      <c r="Q613" s="116">
        <v>275.85000000000002</v>
      </c>
      <c r="R613">
        <v>2958</v>
      </c>
    </row>
    <row r="614" spans="1:18" x14ac:dyDescent="0.25">
      <c r="A614" s="169">
        <v>42906</v>
      </c>
      <c r="B614" s="116">
        <v>273.60000000000002</v>
      </c>
      <c r="C614" s="116">
        <v>270.64999999999998</v>
      </c>
      <c r="D614" s="116">
        <v>270.05</v>
      </c>
      <c r="E614" s="116">
        <v>273.60000000000002</v>
      </c>
      <c r="F614" s="116">
        <v>270.64999999999998</v>
      </c>
      <c r="G614">
        <v>70</v>
      </c>
      <c r="H614" s="116"/>
      <c r="I614" s="116"/>
      <c r="L614" s="169">
        <v>42906</v>
      </c>
      <c r="M614" s="116">
        <v>271</v>
      </c>
      <c r="N614" s="116">
        <v>277.75</v>
      </c>
      <c r="O614" s="116">
        <v>268.5</v>
      </c>
      <c r="P614" s="116">
        <v>275</v>
      </c>
      <c r="Q614" s="116">
        <v>271</v>
      </c>
      <c r="R614">
        <v>9639</v>
      </c>
    </row>
    <row r="615" spans="1:18" x14ac:dyDescent="0.25">
      <c r="A615" s="169">
        <v>42907</v>
      </c>
      <c r="B615" s="116">
        <v>270.45</v>
      </c>
      <c r="C615" s="116">
        <v>267.55</v>
      </c>
      <c r="D615" s="116">
        <v>264.35000000000002</v>
      </c>
      <c r="E615" s="116">
        <v>270</v>
      </c>
      <c r="F615" s="116">
        <v>267.55</v>
      </c>
      <c r="G615">
        <v>611</v>
      </c>
      <c r="H615" s="116"/>
      <c r="I615" s="116"/>
      <c r="L615" s="169">
        <v>42907</v>
      </c>
      <c r="M615" s="116">
        <v>264.89999999999998</v>
      </c>
      <c r="N615" s="116">
        <v>270.75</v>
      </c>
      <c r="O615" s="116">
        <v>263.5</v>
      </c>
      <c r="P615" s="116">
        <v>270.75</v>
      </c>
      <c r="Q615" s="116">
        <v>264.89999999999998</v>
      </c>
      <c r="R615">
        <v>58136</v>
      </c>
    </row>
    <row r="616" spans="1:18" x14ac:dyDescent="0.25">
      <c r="A616" s="169">
        <v>42908</v>
      </c>
      <c r="B616" s="116">
        <v>267</v>
      </c>
      <c r="C616" s="116">
        <v>264.89999999999998</v>
      </c>
      <c r="D616" s="116">
        <v>263.89999999999998</v>
      </c>
      <c r="E616" s="116">
        <v>267</v>
      </c>
      <c r="F616" s="116">
        <v>264.89999999999998</v>
      </c>
      <c r="G616">
        <v>315</v>
      </c>
      <c r="H616" s="116"/>
      <c r="I616" s="116"/>
      <c r="L616" s="169">
        <v>42908</v>
      </c>
      <c r="M616" s="116">
        <v>261.2</v>
      </c>
      <c r="N616" s="116">
        <v>270</v>
      </c>
      <c r="O616" s="116">
        <v>260.39999999999998</v>
      </c>
      <c r="P616" s="116">
        <v>270</v>
      </c>
      <c r="Q616" s="116">
        <v>261.2</v>
      </c>
      <c r="R616">
        <v>6725</v>
      </c>
    </row>
    <row r="617" spans="1:18" x14ac:dyDescent="0.25">
      <c r="A617" s="169">
        <v>42909</v>
      </c>
      <c r="B617" s="116">
        <v>266.3</v>
      </c>
      <c r="C617" s="116">
        <v>262.60000000000002</v>
      </c>
      <c r="D617" s="116">
        <v>256.10000000000002</v>
      </c>
      <c r="E617" s="116">
        <v>261.64999999999998</v>
      </c>
      <c r="F617" s="116">
        <v>262.60000000000002</v>
      </c>
      <c r="G617">
        <v>920</v>
      </c>
      <c r="H617" s="116"/>
      <c r="I617" s="116"/>
      <c r="L617" s="169">
        <v>42909</v>
      </c>
      <c r="M617" s="116">
        <v>264.5</v>
      </c>
      <c r="N617" s="116">
        <v>267.89999999999998</v>
      </c>
      <c r="O617" s="116">
        <v>257</v>
      </c>
      <c r="P617" s="116">
        <v>261</v>
      </c>
      <c r="Q617" s="116">
        <v>264.5</v>
      </c>
      <c r="R617">
        <v>5396</v>
      </c>
    </row>
    <row r="618" spans="1:18" x14ac:dyDescent="0.25">
      <c r="A618" s="169">
        <v>42913</v>
      </c>
      <c r="B618" s="116">
        <v>261.5</v>
      </c>
      <c r="C618" s="116">
        <v>260.25</v>
      </c>
      <c r="D618" s="116">
        <v>258.10000000000002</v>
      </c>
      <c r="E618" s="116">
        <v>259.64999999999998</v>
      </c>
      <c r="F618" s="116">
        <v>260.25</v>
      </c>
      <c r="G618">
        <v>609</v>
      </c>
      <c r="H618" s="116"/>
      <c r="I618" s="116"/>
      <c r="L618" s="169">
        <v>42913</v>
      </c>
      <c r="M618" s="116">
        <v>261.45</v>
      </c>
      <c r="N618" s="116">
        <v>265.14999999999998</v>
      </c>
      <c r="O618" s="116">
        <v>259.10000000000002</v>
      </c>
      <c r="P618" s="116">
        <v>264.45</v>
      </c>
      <c r="Q618" s="116">
        <v>261.45</v>
      </c>
      <c r="R618">
        <v>3513</v>
      </c>
    </row>
    <row r="619" spans="1:18" x14ac:dyDescent="0.25">
      <c r="A619" s="169">
        <v>42914</v>
      </c>
      <c r="B619" s="116">
        <v>264.2</v>
      </c>
      <c r="C619" s="116">
        <v>261.2</v>
      </c>
      <c r="D619" s="116">
        <v>256.3</v>
      </c>
      <c r="E619" s="116">
        <v>256.85000000000002</v>
      </c>
      <c r="F619" s="116">
        <v>261.2</v>
      </c>
      <c r="G619">
        <v>6243</v>
      </c>
      <c r="H619" s="116"/>
      <c r="I619" s="116"/>
      <c r="L619" s="169">
        <v>42914</v>
      </c>
      <c r="M619" s="116">
        <v>262.14999999999998</v>
      </c>
      <c r="N619" s="116">
        <v>265.89999999999998</v>
      </c>
      <c r="O619" s="116">
        <v>255.15</v>
      </c>
      <c r="P619" s="116">
        <v>260.5</v>
      </c>
      <c r="Q619" s="116">
        <v>262.14999999999998</v>
      </c>
      <c r="R619">
        <v>2823</v>
      </c>
    </row>
    <row r="620" spans="1:18" x14ac:dyDescent="0.25">
      <c r="A620" s="169">
        <v>42915</v>
      </c>
      <c r="B620" s="116">
        <v>271.95</v>
      </c>
      <c r="C620" s="116">
        <v>268.60000000000002</v>
      </c>
      <c r="D620" s="116">
        <v>262</v>
      </c>
      <c r="E620" s="116">
        <v>264.35000000000002</v>
      </c>
      <c r="F620" s="116">
        <v>268.60000000000002</v>
      </c>
      <c r="G620">
        <v>1306</v>
      </c>
      <c r="H620" s="116"/>
      <c r="I620" s="116"/>
      <c r="L620" s="169">
        <v>42915</v>
      </c>
      <c r="M620" s="116">
        <v>272.8</v>
      </c>
      <c r="N620" s="116">
        <v>275.5</v>
      </c>
      <c r="O620" s="116">
        <v>261.05</v>
      </c>
      <c r="P620" s="116">
        <v>262.10000000000002</v>
      </c>
      <c r="Q620" s="116">
        <v>272.8</v>
      </c>
      <c r="R620">
        <v>17379</v>
      </c>
    </row>
    <row r="621" spans="1:18" x14ac:dyDescent="0.25">
      <c r="A621" s="169">
        <v>42916</v>
      </c>
      <c r="B621" s="116">
        <v>270.3</v>
      </c>
      <c r="C621" s="116">
        <v>262.14999999999998</v>
      </c>
      <c r="D621" s="116">
        <v>260.25</v>
      </c>
      <c r="E621" s="116">
        <v>268.7</v>
      </c>
      <c r="F621" s="116">
        <v>262.14999999999998</v>
      </c>
      <c r="G621">
        <v>1683</v>
      </c>
      <c r="H621" s="116"/>
      <c r="I621" s="116"/>
      <c r="L621" s="169">
        <v>42916</v>
      </c>
      <c r="M621" s="116">
        <v>262.5</v>
      </c>
      <c r="N621" s="116">
        <v>274.5</v>
      </c>
      <c r="O621" s="116">
        <v>259.10000000000002</v>
      </c>
      <c r="P621" s="116">
        <v>271.5</v>
      </c>
      <c r="Q621" s="116">
        <v>262.5</v>
      </c>
      <c r="R621">
        <v>15740</v>
      </c>
    </row>
    <row r="622" spans="1:18" x14ac:dyDescent="0.25">
      <c r="A622" s="169">
        <v>42919</v>
      </c>
      <c r="B622" s="116">
        <v>268.85000000000002</v>
      </c>
      <c r="C622" s="116">
        <v>261.35000000000002</v>
      </c>
      <c r="D622" s="116">
        <v>260.05</v>
      </c>
      <c r="E622" s="116">
        <v>262.5</v>
      </c>
      <c r="F622" s="116">
        <v>261.35000000000002</v>
      </c>
      <c r="G622">
        <v>2171</v>
      </c>
      <c r="H622" s="116"/>
      <c r="I622" s="116"/>
      <c r="L622" s="169">
        <v>42919</v>
      </c>
      <c r="M622" s="116">
        <v>263.3</v>
      </c>
      <c r="N622" s="116">
        <v>269</v>
      </c>
      <c r="O622" s="116">
        <v>260.39999999999998</v>
      </c>
      <c r="P622" s="116">
        <v>262.45</v>
      </c>
      <c r="Q622" s="116">
        <v>263.3</v>
      </c>
      <c r="R622">
        <v>1978</v>
      </c>
    </row>
    <row r="623" spans="1:18" x14ac:dyDescent="0.25">
      <c r="A623" s="169">
        <v>42920</v>
      </c>
      <c r="B623" s="116">
        <v>263</v>
      </c>
      <c r="C623" s="116">
        <v>260.10000000000002</v>
      </c>
      <c r="D623" s="116">
        <v>257.7</v>
      </c>
      <c r="E623" s="116">
        <v>262.5</v>
      </c>
      <c r="F623" s="116">
        <v>260.10000000000002</v>
      </c>
      <c r="G623">
        <v>524</v>
      </c>
      <c r="H623" s="116"/>
      <c r="I623" s="116"/>
      <c r="L623" s="169">
        <v>42920</v>
      </c>
      <c r="M623" s="116">
        <v>261.85000000000002</v>
      </c>
      <c r="N623" s="116">
        <v>267.5</v>
      </c>
      <c r="O623" s="116">
        <v>261</v>
      </c>
      <c r="P623" s="116">
        <v>267.5</v>
      </c>
      <c r="Q623" s="116">
        <v>261.85000000000002</v>
      </c>
      <c r="R623">
        <v>2307</v>
      </c>
    </row>
    <row r="624" spans="1:18" x14ac:dyDescent="0.25">
      <c r="A624" s="169">
        <v>42921</v>
      </c>
      <c r="B624" s="116">
        <v>264.2</v>
      </c>
      <c r="C624" s="116">
        <v>256.85000000000002</v>
      </c>
      <c r="D624" s="116">
        <v>250.65</v>
      </c>
      <c r="E624" s="116">
        <v>264.2</v>
      </c>
      <c r="F624" s="116">
        <v>256.85000000000002</v>
      </c>
      <c r="G624">
        <v>9423</v>
      </c>
      <c r="H624" s="116"/>
      <c r="I624" s="116"/>
      <c r="L624" s="169">
        <v>42921</v>
      </c>
      <c r="M624" s="116">
        <v>259.25</v>
      </c>
      <c r="N624" s="116">
        <v>264.8</v>
      </c>
      <c r="O624" s="116">
        <v>256.60000000000002</v>
      </c>
      <c r="P624" s="116">
        <v>262.25</v>
      </c>
      <c r="Q624" s="116">
        <v>259.25</v>
      </c>
      <c r="R624">
        <v>8179</v>
      </c>
    </row>
    <row r="625" spans="1:18" x14ac:dyDescent="0.25">
      <c r="A625" s="169">
        <v>42922</v>
      </c>
      <c r="B625" s="116">
        <v>274.85000000000002</v>
      </c>
      <c r="C625" s="116">
        <v>270.3</v>
      </c>
      <c r="D625" s="116">
        <v>260.3</v>
      </c>
      <c r="E625" s="116">
        <v>260.35000000000002</v>
      </c>
      <c r="F625" s="116">
        <v>270.3</v>
      </c>
      <c r="G625">
        <v>5276</v>
      </c>
      <c r="H625" s="116"/>
      <c r="I625" s="116"/>
      <c r="L625" s="169">
        <v>42922</v>
      </c>
      <c r="M625" s="116">
        <v>273.45</v>
      </c>
      <c r="N625" s="116">
        <v>275</v>
      </c>
      <c r="O625" s="116">
        <v>259</v>
      </c>
      <c r="P625" s="116">
        <v>259</v>
      </c>
      <c r="Q625" s="116">
        <v>273.45</v>
      </c>
      <c r="R625">
        <v>85012</v>
      </c>
    </row>
    <row r="626" spans="1:18" x14ac:dyDescent="0.25">
      <c r="A626" s="169">
        <v>42923</v>
      </c>
      <c r="B626" s="116">
        <v>278</v>
      </c>
      <c r="C626" s="116">
        <v>269.14999999999998</v>
      </c>
      <c r="D626" s="116">
        <v>266.45</v>
      </c>
      <c r="E626" s="116">
        <v>269</v>
      </c>
      <c r="F626" s="116">
        <v>269.14999999999998</v>
      </c>
      <c r="G626">
        <v>100484</v>
      </c>
      <c r="H626" s="116"/>
      <c r="I626" s="116"/>
      <c r="L626" s="169">
        <v>42923</v>
      </c>
      <c r="M626" s="116">
        <v>268.64999999999998</v>
      </c>
      <c r="N626" s="116">
        <v>279.8</v>
      </c>
      <c r="O626" s="116">
        <v>266.25</v>
      </c>
      <c r="P626" s="116">
        <v>272</v>
      </c>
      <c r="Q626" s="116">
        <v>268.64999999999998</v>
      </c>
      <c r="R626">
        <v>127165</v>
      </c>
    </row>
    <row r="627" spans="1:18" x14ac:dyDescent="0.25">
      <c r="A627" s="169">
        <v>42926</v>
      </c>
      <c r="B627" s="116">
        <v>278.7</v>
      </c>
      <c r="C627" s="116">
        <v>269.10000000000002</v>
      </c>
      <c r="D627" s="116">
        <v>268</v>
      </c>
      <c r="E627" s="116">
        <v>270</v>
      </c>
      <c r="F627" s="116">
        <v>269.10000000000002</v>
      </c>
      <c r="G627">
        <v>896</v>
      </c>
      <c r="H627" s="116"/>
      <c r="I627" s="116"/>
      <c r="L627" s="169">
        <v>42926</v>
      </c>
      <c r="M627" s="116">
        <v>268.10000000000002</v>
      </c>
      <c r="N627" s="116">
        <v>277</v>
      </c>
      <c r="O627" s="116">
        <v>266.10000000000002</v>
      </c>
      <c r="P627" s="116">
        <v>277</v>
      </c>
      <c r="Q627" s="116">
        <v>268.10000000000002</v>
      </c>
      <c r="R627">
        <v>1368</v>
      </c>
    </row>
    <row r="628" spans="1:18" x14ac:dyDescent="0.25">
      <c r="A628" s="169">
        <v>42927</v>
      </c>
      <c r="B628" s="116">
        <v>278</v>
      </c>
      <c r="C628" s="116">
        <v>277.14999999999998</v>
      </c>
      <c r="D628" s="116">
        <v>267.5</v>
      </c>
      <c r="E628" s="116">
        <v>272.60000000000002</v>
      </c>
      <c r="F628" s="116">
        <v>277.14999999999998</v>
      </c>
      <c r="G628">
        <v>1225</v>
      </c>
      <c r="H628" s="116"/>
      <c r="I628" s="116"/>
      <c r="L628" s="169">
        <v>42927</v>
      </c>
      <c r="M628" s="116">
        <v>276.05</v>
      </c>
      <c r="N628" s="116">
        <v>279.89999999999998</v>
      </c>
      <c r="O628" s="116">
        <v>267</v>
      </c>
      <c r="P628" s="116">
        <v>274.8</v>
      </c>
      <c r="Q628" s="116">
        <v>276.05</v>
      </c>
      <c r="R628">
        <v>17281</v>
      </c>
    </row>
    <row r="629" spans="1:18" x14ac:dyDescent="0.25">
      <c r="A629" s="169">
        <v>42928</v>
      </c>
      <c r="B629" s="116">
        <v>285</v>
      </c>
      <c r="C629" s="116">
        <v>284.10000000000002</v>
      </c>
      <c r="D629" s="116">
        <v>273.39999999999998</v>
      </c>
      <c r="E629" s="116">
        <v>273.39999999999998</v>
      </c>
      <c r="F629" s="116">
        <v>284.10000000000002</v>
      </c>
      <c r="G629">
        <v>102319</v>
      </c>
      <c r="H629" s="116"/>
      <c r="I629" s="116"/>
      <c r="L629" s="169">
        <v>42928</v>
      </c>
      <c r="M629" s="116">
        <v>284.5</v>
      </c>
      <c r="N629" s="116">
        <v>287.64999999999998</v>
      </c>
      <c r="O629" s="116">
        <v>274.5</v>
      </c>
      <c r="P629" s="116">
        <v>277.5</v>
      </c>
      <c r="Q629" s="116">
        <v>284.5</v>
      </c>
      <c r="R629">
        <v>65458</v>
      </c>
    </row>
    <row r="630" spans="1:18" x14ac:dyDescent="0.25">
      <c r="A630" s="169">
        <v>42929</v>
      </c>
      <c r="B630" s="116">
        <v>295</v>
      </c>
      <c r="C630" s="116">
        <v>289.7</v>
      </c>
      <c r="D630" s="116">
        <v>281.7</v>
      </c>
      <c r="E630" s="116">
        <v>286</v>
      </c>
      <c r="F630" s="116">
        <v>289.7</v>
      </c>
      <c r="G630">
        <v>2368</v>
      </c>
      <c r="H630" s="116"/>
      <c r="I630" s="116"/>
      <c r="L630" s="169">
        <v>42929</v>
      </c>
      <c r="M630" s="116">
        <v>289.85000000000002</v>
      </c>
      <c r="N630" s="116">
        <v>296.5</v>
      </c>
      <c r="O630" s="116">
        <v>283.10000000000002</v>
      </c>
      <c r="P630" s="116">
        <v>283.95</v>
      </c>
      <c r="Q630" s="116">
        <v>289.85000000000002</v>
      </c>
      <c r="R630">
        <v>44758</v>
      </c>
    </row>
    <row r="631" spans="1:18" x14ac:dyDescent="0.25">
      <c r="A631" s="169">
        <v>42930</v>
      </c>
      <c r="B631" s="116">
        <v>289.89999999999998</v>
      </c>
      <c r="C631" s="116">
        <v>280.7</v>
      </c>
      <c r="D631" s="116">
        <v>276.85000000000002</v>
      </c>
      <c r="E631" s="116">
        <v>283.55</v>
      </c>
      <c r="F631" s="116">
        <v>280.7</v>
      </c>
      <c r="G631">
        <v>2072</v>
      </c>
      <c r="H631" s="116"/>
      <c r="I631" s="116"/>
      <c r="L631" s="169">
        <v>42930</v>
      </c>
      <c r="M631" s="116">
        <v>276.45</v>
      </c>
      <c r="N631" s="116">
        <v>288.89999999999998</v>
      </c>
      <c r="O631" s="116">
        <v>273.10000000000002</v>
      </c>
      <c r="P631" s="116">
        <v>287</v>
      </c>
      <c r="Q631" s="116">
        <v>276.45</v>
      </c>
      <c r="R631">
        <v>14323</v>
      </c>
    </row>
    <row r="632" spans="1:18" x14ac:dyDescent="0.25">
      <c r="A632" s="169">
        <v>42933</v>
      </c>
      <c r="B632" s="116">
        <v>280.7</v>
      </c>
      <c r="C632" s="116">
        <v>270.60000000000002</v>
      </c>
      <c r="D632" s="116">
        <v>270.5</v>
      </c>
      <c r="E632" s="116">
        <v>280.7</v>
      </c>
      <c r="F632" s="116">
        <v>270.60000000000002</v>
      </c>
      <c r="G632">
        <v>278</v>
      </c>
      <c r="H632" s="116"/>
      <c r="I632" s="116"/>
      <c r="L632" s="169">
        <v>42933</v>
      </c>
      <c r="M632" s="116">
        <v>271.10000000000002</v>
      </c>
      <c r="N632" s="116">
        <v>278.85000000000002</v>
      </c>
      <c r="O632" s="116">
        <v>270</v>
      </c>
      <c r="P632" s="116">
        <v>273.3</v>
      </c>
      <c r="Q632" s="116">
        <v>271.10000000000002</v>
      </c>
      <c r="R632">
        <v>5959</v>
      </c>
    </row>
    <row r="633" spans="1:18" x14ac:dyDescent="0.25">
      <c r="A633" s="169">
        <v>42934</v>
      </c>
      <c r="B633" s="116">
        <v>273.45</v>
      </c>
      <c r="C633" s="116">
        <v>271.95</v>
      </c>
      <c r="D633" s="116">
        <v>266.10000000000002</v>
      </c>
      <c r="E633" s="116">
        <v>270.55</v>
      </c>
      <c r="F633" s="116">
        <v>271.95</v>
      </c>
      <c r="G633">
        <v>467</v>
      </c>
      <c r="H633" s="116"/>
      <c r="I633" s="116"/>
      <c r="L633" s="169">
        <v>42934</v>
      </c>
      <c r="M633" s="116">
        <v>268.75</v>
      </c>
      <c r="N633" s="116">
        <v>274.8</v>
      </c>
      <c r="O633" s="116">
        <v>265.55</v>
      </c>
      <c r="P633" s="116">
        <v>270</v>
      </c>
      <c r="Q633" s="116">
        <v>268.75</v>
      </c>
      <c r="R633">
        <v>6292</v>
      </c>
    </row>
    <row r="634" spans="1:18" x14ac:dyDescent="0.25">
      <c r="A634" s="169">
        <v>42935</v>
      </c>
      <c r="B634" s="116">
        <v>276.5</v>
      </c>
      <c r="C634" s="116">
        <v>273.75</v>
      </c>
      <c r="D634" s="116">
        <v>268.60000000000002</v>
      </c>
      <c r="E634" s="116">
        <v>269.35000000000002</v>
      </c>
      <c r="F634" s="116">
        <v>273.75</v>
      </c>
      <c r="G634">
        <v>4547</v>
      </c>
      <c r="H634" s="116"/>
      <c r="I634" s="116"/>
      <c r="L634" s="169">
        <v>42935</v>
      </c>
      <c r="M634" s="116">
        <v>274.05</v>
      </c>
      <c r="N634" s="116">
        <v>275</v>
      </c>
      <c r="O634" s="116">
        <v>267</v>
      </c>
      <c r="P634" s="116">
        <v>267.55</v>
      </c>
      <c r="Q634" s="116">
        <v>274.05</v>
      </c>
      <c r="R634">
        <v>2277</v>
      </c>
    </row>
    <row r="635" spans="1:18" x14ac:dyDescent="0.25">
      <c r="A635" s="169">
        <v>42936</v>
      </c>
      <c r="B635" s="116">
        <v>295</v>
      </c>
      <c r="C635" s="116">
        <v>287.60000000000002</v>
      </c>
      <c r="D635" s="116">
        <v>273</v>
      </c>
      <c r="E635" s="116">
        <v>275</v>
      </c>
      <c r="F635" s="116">
        <v>287.60000000000002</v>
      </c>
      <c r="G635">
        <v>34023</v>
      </c>
      <c r="H635" s="116"/>
      <c r="I635" s="116"/>
      <c r="L635" s="169">
        <v>42936</v>
      </c>
      <c r="M635" s="116">
        <v>285.39999999999998</v>
      </c>
      <c r="N635" s="116">
        <v>293.25</v>
      </c>
      <c r="O635" s="116">
        <v>273.55</v>
      </c>
      <c r="P635" s="116">
        <v>276.85000000000002</v>
      </c>
      <c r="Q635" s="116">
        <v>285.39999999999998</v>
      </c>
      <c r="R635">
        <v>165092</v>
      </c>
    </row>
    <row r="636" spans="1:18" x14ac:dyDescent="0.25">
      <c r="A636" s="169">
        <v>42937</v>
      </c>
      <c r="B636" s="116">
        <v>285.45</v>
      </c>
      <c r="C636" s="116">
        <v>279.95</v>
      </c>
      <c r="D636" s="116">
        <v>278.05</v>
      </c>
      <c r="E636" s="116">
        <v>285.45</v>
      </c>
      <c r="F636" s="116">
        <v>279.95</v>
      </c>
      <c r="G636">
        <v>5157</v>
      </c>
      <c r="H636" s="116"/>
      <c r="I636" s="116"/>
      <c r="L636" s="169">
        <v>42937</v>
      </c>
      <c r="M636" s="116">
        <v>279.75</v>
      </c>
      <c r="N636" s="116">
        <v>292.8</v>
      </c>
      <c r="O636" s="116">
        <v>276.10000000000002</v>
      </c>
      <c r="P636" s="116">
        <v>288</v>
      </c>
      <c r="Q636" s="116">
        <v>279.75</v>
      </c>
      <c r="R636">
        <v>9126</v>
      </c>
    </row>
    <row r="637" spans="1:18" x14ac:dyDescent="0.25">
      <c r="A637" s="169">
        <v>42940</v>
      </c>
      <c r="B637" s="116">
        <v>283.3</v>
      </c>
      <c r="C637" s="116">
        <v>278.89999999999998</v>
      </c>
      <c r="D637" s="116">
        <v>278</v>
      </c>
      <c r="E637" s="116">
        <v>279.25</v>
      </c>
      <c r="F637" s="116">
        <v>278.89999999999998</v>
      </c>
      <c r="G637">
        <v>429</v>
      </c>
      <c r="H637" s="116"/>
      <c r="I637" s="116"/>
      <c r="L637" s="169">
        <v>42940</v>
      </c>
      <c r="M637" s="116">
        <v>278.2</v>
      </c>
      <c r="N637" s="116">
        <v>281.89999999999998</v>
      </c>
      <c r="O637" s="116">
        <v>276.2</v>
      </c>
      <c r="P637" s="116">
        <v>281.85000000000002</v>
      </c>
      <c r="Q637" s="116">
        <v>278.2</v>
      </c>
      <c r="R637">
        <v>1704</v>
      </c>
    </row>
    <row r="638" spans="1:18" x14ac:dyDescent="0.25">
      <c r="A638" s="169">
        <v>42941</v>
      </c>
      <c r="B638" s="116">
        <v>289.10000000000002</v>
      </c>
      <c r="C638" s="116">
        <v>280.14999999999998</v>
      </c>
      <c r="D638" s="116">
        <v>278.14999999999998</v>
      </c>
      <c r="E638" s="116">
        <v>282</v>
      </c>
      <c r="F638" s="116">
        <v>280.14999999999998</v>
      </c>
      <c r="G638">
        <v>1933</v>
      </c>
      <c r="H638" s="116"/>
      <c r="I638" s="116"/>
      <c r="L638" s="169">
        <v>42941</v>
      </c>
      <c r="M638" s="116">
        <v>280.5</v>
      </c>
      <c r="N638" s="116">
        <v>289.89999999999998</v>
      </c>
      <c r="O638" s="116">
        <v>277.35000000000002</v>
      </c>
      <c r="P638" s="116">
        <v>277.45</v>
      </c>
      <c r="Q638" s="116">
        <v>280.5</v>
      </c>
      <c r="R638">
        <v>9752</v>
      </c>
    </row>
    <row r="639" spans="1:18" x14ac:dyDescent="0.25">
      <c r="A639" s="169">
        <v>42942</v>
      </c>
      <c r="B639" s="116">
        <v>287.8</v>
      </c>
      <c r="C639" s="116">
        <v>271.64999999999998</v>
      </c>
      <c r="D639" s="116">
        <v>267</v>
      </c>
      <c r="E639" s="116">
        <v>279.7</v>
      </c>
      <c r="F639" s="116">
        <v>271.64999999999998</v>
      </c>
      <c r="G639">
        <v>10496</v>
      </c>
      <c r="H639" s="116"/>
      <c r="I639" s="116"/>
      <c r="L639" s="169">
        <v>42942</v>
      </c>
      <c r="M639" s="116">
        <v>274.05</v>
      </c>
      <c r="N639" s="116">
        <v>282</v>
      </c>
      <c r="O639" s="116">
        <v>272</v>
      </c>
      <c r="P639" s="116">
        <v>281.95</v>
      </c>
      <c r="Q639" s="116">
        <v>274.05</v>
      </c>
      <c r="R639">
        <v>7947</v>
      </c>
    </row>
    <row r="640" spans="1:18" x14ac:dyDescent="0.25">
      <c r="A640" s="169">
        <v>42943</v>
      </c>
      <c r="B640" s="116">
        <v>272.95</v>
      </c>
      <c r="C640" s="116">
        <v>270.5</v>
      </c>
      <c r="D640" s="116">
        <v>270.10000000000002</v>
      </c>
      <c r="E640" s="116">
        <v>272.95</v>
      </c>
      <c r="F640" s="116">
        <v>270.5</v>
      </c>
      <c r="G640">
        <v>462</v>
      </c>
      <c r="H640" s="116"/>
      <c r="I640" s="116"/>
      <c r="L640" s="169">
        <v>42943</v>
      </c>
      <c r="M640" s="116">
        <v>269.64999999999998</v>
      </c>
      <c r="N640" s="116">
        <v>276.5</v>
      </c>
      <c r="O640" s="116">
        <v>268.85000000000002</v>
      </c>
      <c r="P640" s="116">
        <v>273</v>
      </c>
      <c r="Q640" s="116">
        <v>269.64999999999998</v>
      </c>
      <c r="R640">
        <v>118104</v>
      </c>
    </row>
    <row r="641" spans="1:18" x14ac:dyDescent="0.25">
      <c r="A641" s="169">
        <v>42944</v>
      </c>
      <c r="B641" s="116">
        <v>271</v>
      </c>
      <c r="C641" s="116">
        <v>265.89999999999998</v>
      </c>
      <c r="D641" s="116">
        <v>263.85000000000002</v>
      </c>
      <c r="E641" s="116">
        <v>270.10000000000002</v>
      </c>
      <c r="F641" s="116">
        <v>265.89999999999998</v>
      </c>
      <c r="G641">
        <v>624</v>
      </c>
      <c r="H641" s="116"/>
      <c r="I641" s="116"/>
      <c r="L641" s="169">
        <v>42944</v>
      </c>
      <c r="M641" s="116">
        <v>266.85000000000002</v>
      </c>
      <c r="N641" s="116">
        <v>272.2</v>
      </c>
      <c r="O641" s="116">
        <v>262.60000000000002</v>
      </c>
      <c r="P641" s="116">
        <v>270</v>
      </c>
      <c r="Q641" s="116">
        <v>266.85000000000002</v>
      </c>
      <c r="R641">
        <v>9220</v>
      </c>
    </row>
    <row r="642" spans="1:18" x14ac:dyDescent="0.25">
      <c r="A642" s="169">
        <v>42947</v>
      </c>
      <c r="B642" s="116">
        <v>267.89999999999998</v>
      </c>
      <c r="C642" s="116">
        <v>265.64999999999998</v>
      </c>
      <c r="D642" s="116">
        <v>265.5</v>
      </c>
      <c r="E642" s="116">
        <v>265.5</v>
      </c>
      <c r="F642" s="116">
        <v>265.64999999999998</v>
      </c>
      <c r="G642">
        <v>324</v>
      </c>
      <c r="H642" s="116"/>
      <c r="I642" s="116"/>
      <c r="L642" s="169">
        <v>42947</v>
      </c>
      <c r="M642" s="116">
        <v>264.8</v>
      </c>
      <c r="N642" s="116">
        <v>269.55</v>
      </c>
      <c r="O642" s="116">
        <v>264.39999999999998</v>
      </c>
      <c r="P642" s="116">
        <v>269.55</v>
      </c>
      <c r="Q642" s="116">
        <v>264.8</v>
      </c>
      <c r="R642">
        <v>2296</v>
      </c>
    </row>
    <row r="643" spans="1:18" x14ac:dyDescent="0.25">
      <c r="A643" s="169">
        <v>42948</v>
      </c>
      <c r="B643" s="116">
        <v>275</v>
      </c>
      <c r="C643" s="116">
        <v>272</v>
      </c>
      <c r="D643" s="116">
        <v>265.2</v>
      </c>
      <c r="E643" s="116">
        <v>267.25</v>
      </c>
      <c r="F643" s="116">
        <v>272</v>
      </c>
      <c r="G643">
        <v>635</v>
      </c>
      <c r="H643" s="116"/>
      <c r="I643" s="116"/>
      <c r="L643" s="169">
        <v>42948</v>
      </c>
      <c r="M643" s="116">
        <v>272.95</v>
      </c>
      <c r="N643" s="116">
        <v>274.5</v>
      </c>
      <c r="O643" s="116">
        <v>265.75</v>
      </c>
      <c r="P643" s="116">
        <v>269.5</v>
      </c>
      <c r="Q643" s="116">
        <v>272.95</v>
      </c>
      <c r="R643">
        <v>349278</v>
      </c>
    </row>
    <row r="644" spans="1:18" x14ac:dyDescent="0.25">
      <c r="A644" s="169">
        <v>42949</v>
      </c>
      <c r="B644" s="116">
        <v>271.89999999999998</v>
      </c>
      <c r="C644" s="116">
        <v>261.10000000000002</v>
      </c>
      <c r="D644" s="116">
        <v>260</v>
      </c>
      <c r="E644" s="116">
        <v>271.3</v>
      </c>
      <c r="F644" s="116">
        <v>261.10000000000002</v>
      </c>
      <c r="G644">
        <v>11828</v>
      </c>
      <c r="H644" s="116"/>
      <c r="I644" s="116"/>
      <c r="L644" s="169">
        <v>42949</v>
      </c>
      <c r="M644" s="116">
        <v>265.3</v>
      </c>
      <c r="N644" s="116">
        <v>275.10000000000002</v>
      </c>
      <c r="O644" s="116">
        <v>265</v>
      </c>
      <c r="P644" s="116">
        <v>275.10000000000002</v>
      </c>
      <c r="Q644" s="116">
        <v>265.3</v>
      </c>
      <c r="R644">
        <v>5710</v>
      </c>
    </row>
    <row r="645" spans="1:18" x14ac:dyDescent="0.25">
      <c r="A645" s="169">
        <v>42950</v>
      </c>
      <c r="B645" s="116">
        <v>268.14999999999998</v>
      </c>
      <c r="C645" s="116">
        <v>264.3</v>
      </c>
      <c r="D645" s="116">
        <v>263.39999999999998</v>
      </c>
      <c r="E645" s="116">
        <v>266.3</v>
      </c>
      <c r="F645" s="116">
        <v>264.3</v>
      </c>
      <c r="G645">
        <v>150</v>
      </c>
      <c r="H645" s="116"/>
      <c r="I645" s="116"/>
      <c r="L645" s="169">
        <v>42950</v>
      </c>
      <c r="M645" s="116">
        <v>263.85000000000002</v>
      </c>
      <c r="N645" s="116">
        <v>269.60000000000002</v>
      </c>
      <c r="O645" s="116">
        <v>262.75</v>
      </c>
      <c r="P645" s="116">
        <v>265</v>
      </c>
      <c r="Q645" s="116">
        <v>263.85000000000002</v>
      </c>
      <c r="R645">
        <v>1885</v>
      </c>
    </row>
    <row r="646" spans="1:18" x14ac:dyDescent="0.25">
      <c r="A646" s="169">
        <v>42951</v>
      </c>
      <c r="B646" s="116">
        <v>267.10000000000002</v>
      </c>
      <c r="C646" s="116">
        <v>265.05</v>
      </c>
      <c r="D646" s="116">
        <v>259.60000000000002</v>
      </c>
      <c r="E646" s="116">
        <v>263.3</v>
      </c>
      <c r="F646" s="116">
        <v>265.05</v>
      </c>
      <c r="G646">
        <v>356</v>
      </c>
      <c r="H646" s="116"/>
      <c r="I646" s="116"/>
      <c r="L646" s="169">
        <v>42951</v>
      </c>
      <c r="M646" s="116">
        <v>264.39999999999998</v>
      </c>
      <c r="N646" s="116">
        <v>269.8</v>
      </c>
      <c r="O646" s="116">
        <v>259.25</v>
      </c>
      <c r="P646" s="116">
        <v>264</v>
      </c>
      <c r="Q646" s="116">
        <v>264.39999999999998</v>
      </c>
      <c r="R646">
        <v>2502</v>
      </c>
    </row>
    <row r="647" spans="1:18" x14ac:dyDescent="0.25">
      <c r="A647" s="169">
        <v>42954</v>
      </c>
      <c r="B647" s="116">
        <v>268.35000000000002</v>
      </c>
      <c r="C647" s="116">
        <v>268.35000000000002</v>
      </c>
      <c r="D647" s="116">
        <v>266</v>
      </c>
      <c r="E647" s="116">
        <v>266</v>
      </c>
      <c r="F647" s="116">
        <v>268.35000000000002</v>
      </c>
      <c r="G647">
        <v>85</v>
      </c>
      <c r="H647" s="116"/>
      <c r="I647" s="116"/>
      <c r="L647" s="169">
        <v>42954</v>
      </c>
      <c r="M647" s="116">
        <v>266.39999999999998</v>
      </c>
      <c r="N647" s="116">
        <v>269</v>
      </c>
      <c r="O647" s="116">
        <v>264.2</v>
      </c>
      <c r="P647" s="116">
        <v>269</v>
      </c>
      <c r="Q647" s="116">
        <v>266.39999999999998</v>
      </c>
      <c r="R647">
        <v>1031</v>
      </c>
    </row>
    <row r="648" spans="1:18" x14ac:dyDescent="0.25">
      <c r="A648" s="169">
        <v>42955</v>
      </c>
      <c r="B648" s="116">
        <v>263</v>
      </c>
      <c r="C648" s="116">
        <v>262</v>
      </c>
      <c r="D648" s="116">
        <v>262</v>
      </c>
      <c r="E648" s="116">
        <v>263</v>
      </c>
      <c r="F648" s="116">
        <v>262</v>
      </c>
      <c r="G648">
        <v>118</v>
      </c>
      <c r="H648" s="116"/>
      <c r="I648" s="116"/>
      <c r="L648" s="169">
        <v>42955</v>
      </c>
      <c r="M648" s="116">
        <v>260.25</v>
      </c>
      <c r="N648" s="116">
        <v>265.5</v>
      </c>
      <c r="O648" s="116">
        <v>260</v>
      </c>
      <c r="P648" s="116">
        <v>265.5</v>
      </c>
      <c r="Q648" s="116">
        <v>260.25</v>
      </c>
      <c r="R648">
        <v>2305</v>
      </c>
    </row>
    <row r="649" spans="1:18" x14ac:dyDescent="0.25">
      <c r="A649" s="169">
        <v>42956</v>
      </c>
      <c r="B649" s="116">
        <v>257.55</v>
      </c>
      <c r="C649" s="116">
        <v>257.55</v>
      </c>
      <c r="D649" s="116">
        <v>257.55</v>
      </c>
      <c r="E649" s="116">
        <v>257.55</v>
      </c>
      <c r="F649" s="116">
        <v>257.55</v>
      </c>
      <c r="G649">
        <v>2</v>
      </c>
      <c r="H649" s="116"/>
      <c r="I649" s="116"/>
      <c r="L649" s="169">
        <v>42956</v>
      </c>
      <c r="M649" s="116">
        <v>259.5</v>
      </c>
      <c r="N649" s="116">
        <v>261</v>
      </c>
      <c r="O649" s="116">
        <v>257</v>
      </c>
      <c r="P649" s="116">
        <v>261</v>
      </c>
      <c r="Q649" s="116">
        <v>259.5</v>
      </c>
      <c r="R649">
        <v>1691</v>
      </c>
    </row>
    <row r="650" spans="1:18" x14ac:dyDescent="0.25">
      <c r="A650" s="169">
        <v>42957</v>
      </c>
      <c r="B650" s="116">
        <v>262.05</v>
      </c>
      <c r="C650" s="116">
        <v>253.7</v>
      </c>
      <c r="D650" s="116">
        <v>240</v>
      </c>
      <c r="E650" s="116">
        <v>261.05</v>
      </c>
      <c r="F650" s="116">
        <v>253.7</v>
      </c>
      <c r="G650">
        <v>1103</v>
      </c>
      <c r="H650" s="116"/>
      <c r="I650" s="116"/>
      <c r="L650" s="169">
        <v>42957</v>
      </c>
      <c r="M650" s="116">
        <v>258.89999999999998</v>
      </c>
      <c r="N650" s="116">
        <v>263.14999999999998</v>
      </c>
      <c r="O650" s="116">
        <v>248</v>
      </c>
      <c r="P650" s="116">
        <v>258.05</v>
      </c>
      <c r="Q650" s="116">
        <v>258.89999999999998</v>
      </c>
      <c r="R650">
        <v>7232</v>
      </c>
    </row>
    <row r="651" spans="1:18" x14ac:dyDescent="0.25">
      <c r="A651" s="169">
        <v>42958</v>
      </c>
      <c r="B651" s="116">
        <v>257.85000000000002</v>
      </c>
      <c r="C651" s="116">
        <v>256.7</v>
      </c>
      <c r="D651" s="116">
        <v>245</v>
      </c>
      <c r="E651" s="116">
        <v>250.4</v>
      </c>
      <c r="F651" s="116">
        <v>256.7</v>
      </c>
      <c r="G651">
        <v>520</v>
      </c>
      <c r="H651" s="116"/>
      <c r="I651" s="116"/>
      <c r="L651" s="169">
        <v>42958</v>
      </c>
      <c r="M651" s="116">
        <v>257.60000000000002</v>
      </c>
      <c r="N651" s="116">
        <v>261.95</v>
      </c>
      <c r="O651" s="116">
        <v>246</v>
      </c>
      <c r="P651" s="116">
        <v>261.95</v>
      </c>
      <c r="Q651" s="116">
        <v>257.60000000000002</v>
      </c>
      <c r="R651">
        <v>7385</v>
      </c>
    </row>
    <row r="652" spans="1:18" x14ac:dyDescent="0.25">
      <c r="A652" s="169">
        <v>42961</v>
      </c>
      <c r="B652" s="116">
        <v>265</v>
      </c>
      <c r="C652" s="116">
        <v>260.2</v>
      </c>
      <c r="D652" s="116">
        <v>253.5</v>
      </c>
      <c r="E652" s="116">
        <v>257</v>
      </c>
      <c r="F652" s="116">
        <v>260.2</v>
      </c>
      <c r="G652">
        <v>7560</v>
      </c>
      <c r="H652" s="116"/>
      <c r="I652" s="116"/>
      <c r="L652" s="169">
        <v>42961</v>
      </c>
      <c r="M652" s="116">
        <v>262.75</v>
      </c>
      <c r="N652" s="116">
        <v>265.5</v>
      </c>
      <c r="O652" s="116">
        <v>253.05</v>
      </c>
      <c r="P652" s="116">
        <v>260</v>
      </c>
      <c r="Q652" s="116">
        <v>262.75</v>
      </c>
      <c r="R652">
        <v>4961</v>
      </c>
    </row>
    <row r="653" spans="1:18" x14ac:dyDescent="0.25">
      <c r="A653" s="169">
        <v>42963</v>
      </c>
      <c r="B653" s="116">
        <v>266.60000000000002</v>
      </c>
      <c r="C653" s="116">
        <v>260.35000000000002</v>
      </c>
      <c r="D653" s="116">
        <v>256.5</v>
      </c>
      <c r="E653" s="116">
        <v>259.89999999999998</v>
      </c>
      <c r="F653" s="116">
        <v>260.35000000000002</v>
      </c>
      <c r="G653">
        <v>10318</v>
      </c>
      <c r="H653" s="116"/>
      <c r="I653" s="116"/>
      <c r="L653" s="169">
        <v>42963</v>
      </c>
      <c r="M653" s="116">
        <v>258.7</v>
      </c>
      <c r="N653" s="116">
        <v>265</v>
      </c>
      <c r="O653" s="116">
        <v>257</v>
      </c>
      <c r="P653" s="116">
        <v>265</v>
      </c>
      <c r="Q653" s="116">
        <v>258.7</v>
      </c>
      <c r="R653">
        <v>2314</v>
      </c>
    </row>
    <row r="654" spans="1:18" x14ac:dyDescent="0.25">
      <c r="A654" s="169">
        <v>42964</v>
      </c>
      <c r="B654" s="116">
        <v>264.45</v>
      </c>
      <c r="C654" s="116">
        <v>258.25</v>
      </c>
      <c r="D654" s="116">
        <v>255.5</v>
      </c>
      <c r="E654" s="116">
        <v>257.8</v>
      </c>
      <c r="F654" s="116">
        <v>258.25</v>
      </c>
      <c r="G654">
        <v>2032</v>
      </c>
      <c r="H654" s="116"/>
      <c r="I654" s="116"/>
      <c r="L654" s="169">
        <v>42964</v>
      </c>
      <c r="M654" s="116">
        <v>256.89999999999998</v>
      </c>
      <c r="N654" s="116">
        <v>264.7</v>
      </c>
      <c r="O654" s="116">
        <v>255</v>
      </c>
      <c r="P654" s="116">
        <v>257.39999999999998</v>
      </c>
      <c r="Q654" s="116">
        <v>256.89999999999998</v>
      </c>
      <c r="R654">
        <v>3777</v>
      </c>
    </row>
    <row r="655" spans="1:18" x14ac:dyDescent="0.25">
      <c r="A655" s="169">
        <v>42965</v>
      </c>
      <c r="B655" s="116">
        <v>275</v>
      </c>
      <c r="C655" s="116">
        <v>259.95</v>
      </c>
      <c r="D655" s="116">
        <v>245</v>
      </c>
      <c r="E655" s="116">
        <v>259</v>
      </c>
      <c r="F655" s="116">
        <v>259.95</v>
      </c>
      <c r="G655">
        <v>16359</v>
      </c>
      <c r="H655" s="116"/>
      <c r="I655" s="116"/>
      <c r="L655" s="169">
        <v>42965</v>
      </c>
      <c r="M655" s="116">
        <v>253.7</v>
      </c>
      <c r="N655" s="116">
        <v>262</v>
      </c>
      <c r="O655" s="116">
        <v>252.5</v>
      </c>
      <c r="P655" s="116">
        <v>262</v>
      </c>
      <c r="Q655" s="116">
        <v>253.7</v>
      </c>
      <c r="R655">
        <v>4672</v>
      </c>
    </row>
    <row r="656" spans="1:18" x14ac:dyDescent="0.25">
      <c r="A656" s="169">
        <v>42968</v>
      </c>
      <c r="B656" s="116">
        <v>258.25</v>
      </c>
      <c r="C656" s="116">
        <v>255.5</v>
      </c>
      <c r="D656" s="116">
        <v>251.9</v>
      </c>
      <c r="E656" s="116">
        <v>253.45</v>
      </c>
      <c r="F656" s="116">
        <v>255.5</v>
      </c>
      <c r="G656">
        <v>834</v>
      </c>
      <c r="H656" s="116"/>
      <c r="I656" s="116"/>
      <c r="L656" s="169">
        <v>42968</v>
      </c>
      <c r="M656" s="116">
        <v>250.3</v>
      </c>
      <c r="N656" s="116">
        <v>255</v>
      </c>
      <c r="O656" s="116">
        <v>247.1</v>
      </c>
      <c r="P656" s="116">
        <v>255</v>
      </c>
      <c r="Q656" s="116">
        <v>250.3</v>
      </c>
      <c r="R656">
        <v>3038</v>
      </c>
    </row>
    <row r="657" spans="1:18" x14ac:dyDescent="0.25">
      <c r="A657" s="169">
        <v>42969</v>
      </c>
      <c r="B657" s="116">
        <v>256.89999999999998</v>
      </c>
      <c r="C657" s="116">
        <v>256.45</v>
      </c>
      <c r="D657" s="116">
        <v>245.1</v>
      </c>
      <c r="E657" s="116">
        <v>252</v>
      </c>
      <c r="F657" s="116">
        <v>256.45</v>
      </c>
      <c r="G657">
        <v>6209</v>
      </c>
      <c r="H657" s="116"/>
      <c r="I657" s="116"/>
      <c r="L657" s="169">
        <v>42969</v>
      </c>
      <c r="M657" s="116">
        <v>251.95</v>
      </c>
      <c r="N657" s="116">
        <v>257.7</v>
      </c>
      <c r="O657" s="116">
        <v>246.5</v>
      </c>
      <c r="P657" s="116">
        <v>251</v>
      </c>
      <c r="Q657" s="116">
        <v>251.95</v>
      </c>
      <c r="R657">
        <v>42382</v>
      </c>
    </row>
    <row r="658" spans="1:18" x14ac:dyDescent="0.25">
      <c r="A658" s="169">
        <v>42970</v>
      </c>
      <c r="B658" s="116">
        <v>253.9</v>
      </c>
      <c r="C658" s="116">
        <v>248.65</v>
      </c>
      <c r="D658" s="116">
        <v>247.4</v>
      </c>
      <c r="E658" s="116">
        <v>253.9</v>
      </c>
      <c r="F658" s="116">
        <v>248.65</v>
      </c>
      <c r="G658">
        <v>227</v>
      </c>
      <c r="H658" s="116"/>
      <c r="I658" s="116"/>
      <c r="L658" s="169">
        <v>42970</v>
      </c>
      <c r="M658" s="116">
        <v>248.75</v>
      </c>
      <c r="N658" s="116">
        <v>255.95</v>
      </c>
      <c r="O658" s="116">
        <v>247.35</v>
      </c>
      <c r="P658" s="116">
        <v>252.45</v>
      </c>
      <c r="Q658" s="116">
        <v>248.75</v>
      </c>
      <c r="R658">
        <v>4270</v>
      </c>
    </row>
    <row r="659" spans="1:18" x14ac:dyDescent="0.25">
      <c r="A659" s="169">
        <v>42971</v>
      </c>
      <c r="B659" s="116">
        <v>250</v>
      </c>
      <c r="C659" s="116">
        <v>249.05</v>
      </c>
      <c r="D659" s="116">
        <v>249</v>
      </c>
      <c r="E659" s="116">
        <v>250</v>
      </c>
      <c r="F659" s="116">
        <v>249.05</v>
      </c>
      <c r="G659">
        <v>88</v>
      </c>
      <c r="H659" s="116"/>
      <c r="I659" s="116"/>
      <c r="L659" s="169">
        <v>42971</v>
      </c>
      <c r="M659" s="116">
        <v>249.2</v>
      </c>
      <c r="N659" s="116">
        <v>252.15</v>
      </c>
      <c r="O659" s="116">
        <v>247.1</v>
      </c>
      <c r="P659" s="116">
        <v>250</v>
      </c>
      <c r="Q659" s="116">
        <v>249.2</v>
      </c>
      <c r="R659">
        <v>973</v>
      </c>
    </row>
    <row r="660" spans="1:18" x14ac:dyDescent="0.25">
      <c r="A660" s="169">
        <v>42975</v>
      </c>
      <c r="B660" s="116">
        <v>253.45</v>
      </c>
      <c r="C660" s="116">
        <v>249.5</v>
      </c>
      <c r="D660" s="116">
        <v>245.1</v>
      </c>
      <c r="E660" s="116">
        <v>251.6</v>
      </c>
      <c r="F660" s="116">
        <v>249.5</v>
      </c>
      <c r="G660">
        <v>11488</v>
      </c>
      <c r="H660" s="116"/>
      <c r="I660" s="116"/>
      <c r="L660" s="169">
        <v>42975</v>
      </c>
      <c r="M660" s="116">
        <v>247.4</v>
      </c>
      <c r="N660" s="116">
        <v>254</v>
      </c>
      <c r="O660" s="116">
        <v>246</v>
      </c>
      <c r="P660" s="116">
        <v>250.15</v>
      </c>
      <c r="Q660" s="116">
        <v>247.4</v>
      </c>
      <c r="R660">
        <v>4475</v>
      </c>
    </row>
    <row r="661" spans="1:18" x14ac:dyDescent="0.25">
      <c r="A661" s="169">
        <v>42976</v>
      </c>
      <c r="B661" s="116">
        <v>249.6</v>
      </c>
      <c r="C661" s="116">
        <v>244.9</v>
      </c>
      <c r="D661" s="116">
        <v>244</v>
      </c>
      <c r="E661" s="116">
        <v>247.2</v>
      </c>
      <c r="F661" s="116">
        <v>244.9</v>
      </c>
      <c r="G661">
        <v>1177</v>
      </c>
      <c r="H661" s="116"/>
      <c r="I661" s="116"/>
      <c r="L661" s="169">
        <v>42976</v>
      </c>
      <c r="M661" s="116">
        <v>244.75</v>
      </c>
      <c r="N661" s="116">
        <v>250.9</v>
      </c>
      <c r="O661" s="116">
        <v>241.5</v>
      </c>
      <c r="P661" s="116">
        <v>247</v>
      </c>
      <c r="Q661" s="116">
        <v>244.75</v>
      </c>
      <c r="R661">
        <v>2102</v>
      </c>
    </row>
    <row r="662" spans="1:18" x14ac:dyDescent="0.25">
      <c r="A662" s="169">
        <v>42977</v>
      </c>
      <c r="B662" s="116">
        <v>249.9</v>
      </c>
      <c r="C662" s="116">
        <v>249.85</v>
      </c>
      <c r="D662" s="116">
        <v>246</v>
      </c>
      <c r="E662" s="116">
        <v>247.65</v>
      </c>
      <c r="F662" s="116">
        <v>249.85</v>
      </c>
      <c r="G662">
        <v>102</v>
      </c>
      <c r="H662" s="116"/>
      <c r="I662" s="116"/>
      <c r="L662" s="169">
        <v>42977</v>
      </c>
      <c r="M662" s="116">
        <v>246.6</v>
      </c>
      <c r="N662" s="116">
        <v>248.4</v>
      </c>
      <c r="O662" s="116">
        <v>245.5</v>
      </c>
      <c r="P662" s="116">
        <v>246.05</v>
      </c>
      <c r="Q662" s="116">
        <v>246.6</v>
      </c>
      <c r="R662">
        <v>3293</v>
      </c>
    </row>
    <row r="663" spans="1:18" x14ac:dyDescent="0.25">
      <c r="A663" s="169">
        <v>42978</v>
      </c>
      <c r="B663" s="116">
        <v>249</v>
      </c>
      <c r="C663" s="116">
        <v>244.1</v>
      </c>
      <c r="D663" s="116">
        <v>244</v>
      </c>
      <c r="E663" s="116">
        <v>245.05</v>
      </c>
      <c r="F663" s="116">
        <v>244.1</v>
      </c>
      <c r="G663">
        <v>874</v>
      </c>
      <c r="H663" s="116"/>
      <c r="I663" s="116"/>
      <c r="L663" s="169">
        <v>42978</v>
      </c>
      <c r="M663" s="116">
        <v>243.25</v>
      </c>
      <c r="N663" s="116">
        <v>249</v>
      </c>
      <c r="O663" s="116">
        <v>242.25</v>
      </c>
      <c r="P663" s="116">
        <v>244.1</v>
      </c>
      <c r="Q663" s="116">
        <v>243.25</v>
      </c>
      <c r="R663">
        <v>1447</v>
      </c>
    </row>
    <row r="664" spans="1:18" x14ac:dyDescent="0.25">
      <c r="A664" s="169">
        <v>42979</v>
      </c>
      <c r="B664" s="116">
        <v>248.75</v>
      </c>
      <c r="C664" s="116">
        <v>244.45</v>
      </c>
      <c r="D664" s="116">
        <v>244</v>
      </c>
      <c r="E664" s="116">
        <v>244.65</v>
      </c>
      <c r="F664" s="116">
        <v>244.45</v>
      </c>
      <c r="G664">
        <v>1778</v>
      </c>
      <c r="H664" s="116"/>
      <c r="I664" s="116"/>
      <c r="L664" s="169">
        <v>42979</v>
      </c>
      <c r="M664" s="116">
        <v>244.95</v>
      </c>
      <c r="N664" s="116">
        <v>249.4</v>
      </c>
      <c r="O664" s="116">
        <v>243</v>
      </c>
      <c r="P664" s="116">
        <v>243</v>
      </c>
      <c r="Q664" s="116">
        <v>244.95</v>
      </c>
      <c r="R664">
        <v>3516</v>
      </c>
    </row>
    <row r="665" spans="1:18" x14ac:dyDescent="0.25">
      <c r="A665" s="169">
        <v>42982</v>
      </c>
      <c r="B665" s="116">
        <v>250.85</v>
      </c>
      <c r="C665" s="116">
        <v>246.8</v>
      </c>
      <c r="D665" s="116">
        <v>244.15</v>
      </c>
      <c r="E665" s="116">
        <v>244.15</v>
      </c>
      <c r="F665" s="116">
        <v>246.8</v>
      </c>
      <c r="G665">
        <v>1936</v>
      </c>
      <c r="H665" s="116"/>
      <c r="I665" s="116"/>
      <c r="L665" s="169">
        <v>42982</v>
      </c>
      <c r="M665" s="116">
        <v>244.95</v>
      </c>
      <c r="N665" s="116">
        <v>251.75</v>
      </c>
      <c r="O665" s="116">
        <v>244.05</v>
      </c>
      <c r="P665" s="116">
        <v>246.1</v>
      </c>
      <c r="Q665" s="116">
        <v>244.95</v>
      </c>
      <c r="R665">
        <v>3210</v>
      </c>
    </row>
    <row r="666" spans="1:18" x14ac:dyDescent="0.25">
      <c r="A666" s="169">
        <v>42983</v>
      </c>
      <c r="B666" s="116">
        <v>249.85</v>
      </c>
      <c r="C666" s="116">
        <v>243.2</v>
      </c>
      <c r="D666" s="116">
        <v>242</v>
      </c>
      <c r="E666" s="116">
        <v>244</v>
      </c>
      <c r="F666" s="116">
        <v>243.2</v>
      </c>
      <c r="G666">
        <v>11432</v>
      </c>
      <c r="H666" s="116"/>
      <c r="I666" s="116"/>
      <c r="L666" s="169">
        <v>42983</v>
      </c>
      <c r="M666" s="116">
        <v>244.2</v>
      </c>
      <c r="N666" s="116">
        <v>251</v>
      </c>
      <c r="O666" s="116">
        <v>243</v>
      </c>
      <c r="P666" s="116">
        <v>244.1</v>
      </c>
      <c r="Q666" s="116">
        <v>244.2</v>
      </c>
      <c r="R666">
        <v>3239</v>
      </c>
    </row>
    <row r="667" spans="1:18" x14ac:dyDescent="0.25">
      <c r="A667" s="169">
        <v>42984</v>
      </c>
      <c r="B667" s="116">
        <v>245</v>
      </c>
      <c r="C667" s="116">
        <v>240.45</v>
      </c>
      <c r="D667" s="116">
        <v>238</v>
      </c>
      <c r="E667" s="116">
        <v>241.8</v>
      </c>
      <c r="F667" s="116">
        <v>240.45</v>
      </c>
      <c r="G667">
        <v>1852</v>
      </c>
      <c r="H667" s="116"/>
      <c r="I667" s="116"/>
      <c r="L667" s="169">
        <v>42984</v>
      </c>
      <c r="M667" s="116">
        <v>241.85</v>
      </c>
      <c r="N667" s="116">
        <v>247.25</v>
      </c>
      <c r="O667" s="116">
        <v>240.65</v>
      </c>
      <c r="P667" s="116">
        <v>245</v>
      </c>
      <c r="Q667" s="116">
        <v>241.85</v>
      </c>
      <c r="R667">
        <v>3076</v>
      </c>
    </row>
    <row r="668" spans="1:18" x14ac:dyDescent="0.25">
      <c r="A668" s="169">
        <v>42985</v>
      </c>
      <c r="B668" s="116">
        <v>244.9</v>
      </c>
      <c r="C668" s="116">
        <v>241.7</v>
      </c>
      <c r="D668" s="116">
        <v>241.7</v>
      </c>
      <c r="E668" s="116">
        <v>244.25</v>
      </c>
      <c r="F668" s="116">
        <v>241.7</v>
      </c>
      <c r="G668">
        <v>272</v>
      </c>
      <c r="H668" s="116"/>
      <c r="I668" s="116"/>
      <c r="L668" s="169">
        <v>42985</v>
      </c>
      <c r="M668" s="116">
        <v>241.4</v>
      </c>
      <c r="N668" s="116">
        <v>247.8</v>
      </c>
      <c r="O668" s="116">
        <v>240</v>
      </c>
      <c r="P668" s="116">
        <v>245.5</v>
      </c>
      <c r="Q668" s="116">
        <v>241.4</v>
      </c>
      <c r="R668">
        <v>1545</v>
      </c>
    </row>
    <row r="669" spans="1:18" x14ac:dyDescent="0.25">
      <c r="A669" s="169">
        <v>42986</v>
      </c>
      <c r="B669" s="116">
        <v>243.5</v>
      </c>
      <c r="C669" s="116">
        <v>240.05</v>
      </c>
      <c r="D669" s="116">
        <v>234.55</v>
      </c>
      <c r="E669" s="116">
        <v>241.6</v>
      </c>
      <c r="F669" s="116">
        <v>240.05</v>
      </c>
      <c r="G669">
        <v>1054</v>
      </c>
      <c r="H669" s="116"/>
      <c r="I669" s="116"/>
      <c r="L669" s="169">
        <v>42986</v>
      </c>
      <c r="M669" s="116">
        <v>239.3</v>
      </c>
      <c r="N669" s="116">
        <v>244.15</v>
      </c>
      <c r="O669" s="116">
        <v>238.3</v>
      </c>
      <c r="P669" s="116">
        <v>240.55</v>
      </c>
      <c r="Q669" s="116">
        <v>239.3</v>
      </c>
      <c r="R669">
        <v>1733</v>
      </c>
    </row>
    <row r="670" spans="1:18" x14ac:dyDescent="0.25">
      <c r="A670" s="169">
        <v>42989</v>
      </c>
      <c r="B670" s="116">
        <v>244.8</v>
      </c>
      <c r="C670" s="116">
        <v>238</v>
      </c>
      <c r="D670" s="116">
        <v>237.5</v>
      </c>
      <c r="E670" s="116">
        <v>238.3</v>
      </c>
      <c r="F670" s="116">
        <v>238</v>
      </c>
      <c r="G670">
        <v>474</v>
      </c>
      <c r="H670" s="116"/>
      <c r="I670" s="116"/>
      <c r="L670" s="169">
        <v>42989</v>
      </c>
      <c r="M670" s="116">
        <v>237.9</v>
      </c>
      <c r="N670" s="116">
        <v>241.9</v>
      </c>
      <c r="O670" s="116">
        <v>236.35</v>
      </c>
      <c r="P670" s="116">
        <v>240</v>
      </c>
      <c r="Q670" s="116">
        <v>237.9</v>
      </c>
      <c r="R670">
        <v>4692</v>
      </c>
    </row>
    <row r="671" spans="1:18" x14ac:dyDescent="0.25">
      <c r="A671" s="169">
        <v>42990</v>
      </c>
      <c r="B671" s="116">
        <v>239.9</v>
      </c>
      <c r="C671" s="116">
        <v>233.8</v>
      </c>
      <c r="D671" s="116">
        <v>231.05</v>
      </c>
      <c r="E671" s="116">
        <v>238.65</v>
      </c>
      <c r="F671" s="116">
        <v>233.8</v>
      </c>
      <c r="G671">
        <v>2062</v>
      </c>
      <c r="H671" s="116"/>
      <c r="I671" s="116"/>
      <c r="L671" s="169">
        <v>42990</v>
      </c>
      <c r="M671" s="116">
        <v>235.35</v>
      </c>
      <c r="N671" s="116">
        <v>239</v>
      </c>
      <c r="O671" s="116">
        <v>230.25</v>
      </c>
      <c r="P671" s="116">
        <v>238</v>
      </c>
      <c r="Q671" s="116">
        <v>235.35</v>
      </c>
      <c r="R671">
        <v>28834</v>
      </c>
    </row>
    <row r="672" spans="1:18" x14ac:dyDescent="0.25">
      <c r="A672" s="169">
        <v>42991</v>
      </c>
      <c r="B672" s="116">
        <v>233.1</v>
      </c>
      <c r="C672" s="116">
        <v>228.7</v>
      </c>
      <c r="D672" s="116">
        <v>225.05</v>
      </c>
      <c r="E672" s="116">
        <v>233.1</v>
      </c>
      <c r="F672" s="116">
        <v>228.7</v>
      </c>
      <c r="G672">
        <v>1350</v>
      </c>
      <c r="H672" s="116"/>
      <c r="I672" s="116"/>
      <c r="L672" s="169">
        <v>42991</v>
      </c>
      <c r="M672" s="116">
        <v>228.35</v>
      </c>
      <c r="N672" s="116">
        <v>235.95</v>
      </c>
      <c r="O672" s="116">
        <v>228.05</v>
      </c>
      <c r="P672" s="116">
        <v>235.95</v>
      </c>
      <c r="Q672" s="116">
        <v>228.35</v>
      </c>
      <c r="R672">
        <v>4107</v>
      </c>
    </row>
    <row r="673" spans="1:18" x14ac:dyDescent="0.25">
      <c r="A673" s="169">
        <v>42992</v>
      </c>
      <c r="B673" s="116">
        <v>228.55</v>
      </c>
      <c r="C673" s="116">
        <v>222.8</v>
      </c>
      <c r="D673" s="116">
        <v>221</v>
      </c>
      <c r="E673" s="116">
        <v>224.85</v>
      </c>
      <c r="F673" s="116">
        <v>222.8</v>
      </c>
      <c r="G673">
        <v>3838</v>
      </c>
      <c r="H673" s="116"/>
      <c r="I673" s="116"/>
      <c r="L673" s="169">
        <v>42992</v>
      </c>
      <c r="M673" s="116">
        <v>223.9</v>
      </c>
      <c r="N673" s="116">
        <v>230.5</v>
      </c>
      <c r="O673" s="116">
        <v>221.55</v>
      </c>
      <c r="P673" s="116">
        <v>227</v>
      </c>
      <c r="Q673" s="116">
        <v>223.9</v>
      </c>
      <c r="R673">
        <v>13210</v>
      </c>
    </row>
    <row r="674" spans="1:18" x14ac:dyDescent="0.25">
      <c r="A674" s="169">
        <v>42993</v>
      </c>
      <c r="B674" s="116">
        <v>232.75</v>
      </c>
      <c r="C674" s="116">
        <v>219.6</v>
      </c>
      <c r="D674" s="116">
        <v>218.65</v>
      </c>
      <c r="E674" s="116">
        <v>223</v>
      </c>
      <c r="F674" s="116">
        <v>219.6</v>
      </c>
      <c r="G674">
        <v>2674</v>
      </c>
      <c r="H674" s="116"/>
      <c r="I674" s="116"/>
      <c r="L674" s="169">
        <v>42993</v>
      </c>
      <c r="M674" s="116">
        <v>220.3</v>
      </c>
      <c r="N674" s="116">
        <v>225</v>
      </c>
      <c r="O674" s="116">
        <v>219.1</v>
      </c>
      <c r="P674" s="116">
        <v>222</v>
      </c>
      <c r="Q674" s="116">
        <v>220.3</v>
      </c>
      <c r="R674">
        <v>7988</v>
      </c>
    </row>
    <row r="675" spans="1:18" x14ac:dyDescent="0.25">
      <c r="A675" s="169">
        <v>42996</v>
      </c>
      <c r="B675" s="116">
        <v>222.75</v>
      </c>
      <c r="C675" s="116">
        <v>213.2</v>
      </c>
      <c r="D675" s="116">
        <v>211.05</v>
      </c>
      <c r="E675" s="116">
        <v>222.75</v>
      </c>
      <c r="F675" s="116">
        <v>213.2</v>
      </c>
      <c r="G675">
        <v>3881</v>
      </c>
      <c r="H675" s="116"/>
      <c r="I675" s="116"/>
      <c r="L675" s="169">
        <v>42996</v>
      </c>
      <c r="M675" s="116">
        <v>212.95</v>
      </c>
      <c r="N675" s="116">
        <v>221.95</v>
      </c>
      <c r="O675" s="116">
        <v>210</v>
      </c>
      <c r="P675" s="116">
        <v>219</v>
      </c>
      <c r="Q675" s="116">
        <v>212.95</v>
      </c>
      <c r="R675">
        <v>20427</v>
      </c>
    </row>
    <row r="676" spans="1:18" x14ac:dyDescent="0.25">
      <c r="A676" s="169">
        <v>42997</v>
      </c>
      <c r="B676" s="116">
        <v>214.2</v>
      </c>
      <c r="C676" s="116">
        <v>209.05</v>
      </c>
      <c r="D676" s="116">
        <v>207.3</v>
      </c>
      <c r="E676" s="116">
        <v>213.05</v>
      </c>
      <c r="F676" s="116">
        <v>209.05</v>
      </c>
      <c r="G676">
        <v>15419</v>
      </c>
      <c r="H676" s="116"/>
      <c r="I676" s="116"/>
      <c r="L676" s="169">
        <v>42997</v>
      </c>
      <c r="M676" s="116">
        <v>209.8</v>
      </c>
      <c r="N676" s="116">
        <v>215</v>
      </c>
      <c r="O676" s="116">
        <v>206</v>
      </c>
      <c r="P676" s="116">
        <v>213</v>
      </c>
      <c r="Q676" s="116">
        <v>209.8</v>
      </c>
      <c r="R676">
        <v>26402</v>
      </c>
    </row>
    <row r="677" spans="1:18" x14ac:dyDescent="0.25">
      <c r="A677" s="169">
        <v>42998</v>
      </c>
      <c r="B677" s="116">
        <v>231</v>
      </c>
      <c r="C677" s="116">
        <v>220.75</v>
      </c>
      <c r="D677" s="116">
        <v>205.2</v>
      </c>
      <c r="E677" s="116">
        <v>206.1</v>
      </c>
      <c r="F677" s="116">
        <v>220.75</v>
      </c>
      <c r="G677">
        <v>26454</v>
      </c>
      <c r="H677" s="116"/>
      <c r="I677" s="116"/>
      <c r="L677" s="169">
        <v>42998</v>
      </c>
      <c r="M677" s="116">
        <v>221.2</v>
      </c>
      <c r="N677" s="116">
        <v>230</v>
      </c>
      <c r="O677" s="116">
        <v>206.15</v>
      </c>
      <c r="P677" s="116">
        <v>208</v>
      </c>
      <c r="Q677" s="116">
        <v>221.2</v>
      </c>
      <c r="R677">
        <v>991333</v>
      </c>
    </row>
    <row r="678" spans="1:18" x14ac:dyDescent="0.25">
      <c r="A678" s="169">
        <v>42999</v>
      </c>
      <c r="B678" s="116">
        <v>229.8</v>
      </c>
      <c r="C678" s="116">
        <v>215.45</v>
      </c>
      <c r="D678" s="116">
        <v>214.5</v>
      </c>
      <c r="E678" s="116">
        <v>224.5</v>
      </c>
      <c r="F678" s="116">
        <v>215.45</v>
      </c>
      <c r="G678">
        <v>12513</v>
      </c>
      <c r="H678" s="116"/>
      <c r="I678" s="116"/>
      <c r="L678" s="169">
        <v>42999</v>
      </c>
      <c r="M678" s="116">
        <v>215.5</v>
      </c>
      <c r="N678" s="116">
        <v>230</v>
      </c>
      <c r="O678" s="116">
        <v>214</v>
      </c>
      <c r="P678" s="116">
        <v>222.6</v>
      </c>
      <c r="Q678" s="116">
        <v>215.5</v>
      </c>
      <c r="R678">
        <v>158349</v>
      </c>
    </row>
    <row r="679" spans="1:18" x14ac:dyDescent="0.25">
      <c r="A679" s="169">
        <v>43000</v>
      </c>
      <c r="B679" s="116">
        <v>214.95</v>
      </c>
      <c r="C679" s="116">
        <v>204.3</v>
      </c>
      <c r="D679" s="116">
        <v>194.1</v>
      </c>
      <c r="E679" s="116">
        <v>214.5</v>
      </c>
      <c r="F679" s="116">
        <v>204.3</v>
      </c>
      <c r="G679">
        <v>7733</v>
      </c>
      <c r="H679" s="116"/>
      <c r="I679" s="116"/>
      <c r="L679" s="169">
        <v>43000</v>
      </c>
      <c r="M679" s="116">
        <v>201.8</v>
      </c>
      <c r="N679" s="116">
        <v>215.95</v>
      </c>
      <c r="O679" s="116">
        <v>194.5</v>
      </c>
      <c r="P679" s="116">
        <v>215.75</v>
      </c>
      <c r="Q679" s="116">
        <v>201.8</v>
      </c>
      <c r="R679">
        <v>90217</v>
      </c>
    </row>
    <row r="680" spans="1:18" x14ac:dyDescent="0.25">
      <c r="A680" s="169">
        <v>43003</v>
      </c>
      <c r="B680" s="116">
        <v>211.9</v>
      </c>
      <c r="C680" s="116">
        <v>201.55</v>
      </c>
      <c r="D680" s="116">
        <v>195</v>
      </c>
      <c r="E680" s="116">
        <v>202</v>
      </c>
      <c r="F680" s="116">
        <v>201.55</v>
      </c>
      <c r="G680">
        <v>18851</v>
      </c>
      <c r="H680" s="116"/>
      <c r="I680" s="116"/>
      <c r="L680" s="169">
        <v>43003</v>
      </c>
      <c r="M680" s="116">
        <v>201.1</v>
      </c>
      <c r="N680" s="116">
        <v>205</v>
      </c>
      <c r="O680" s="116">
        <v>195.25</v>
      </c>
      <c r="P680" s="116">
        <v>204.8</v>
      </c>
      <c r="Q680" s="116">
        <v>201.1</v>
      </c>
      <c r="R680">
        <v>7696</v>
      </c>
    </row>
    <row r="681" spans="1:18" x14ac:dyDescent="0.25">
      <c r="A681" s="169">
        <v>43004</v>
      </c>
      <c r="B681" s="116">
        <v>213.5</v>
      </c>
      <c r="C681" s="116">
        <v>209.8</v>
      </c>
      <c r="D681" s="116">
        <v>202</v>
      </c>
      <c r="E681" s="116">
        <v>202</v>
      </c>
      <c r="F681" s="116">
        <v>209.8</v>
      </c>
      <c r="G681">
        <v>1783</v>
      </c>
      <c r="H681" s="116"/>
      <c r="I681" s="116"/>
      <c r="L681" s="169">
        <v>43004</v>
      </c>
      <c r="M681" s="116">
        <v>212.65</v>
      </c>
      <c r="N681" s="116">
        <v>214.85</v>
      </c>
      <c r="O681" s="116">
        <v>201.05</v>
      </c>
      <c r="P681" s="116">
        <v>202</v>
      </c>
      <c r="Q681" s="116">
        <v>212.65</v>
      </c>
      <c r="R681">
        <v>44284</v>
      </c>
    </row>
    <row r="682" spans="1:18" x14ac:dyDescent="0.25">
      <c r="A682" s="169">
        <v>43005</v>
      </c>
      <c r="B682" s="116">
        <v>214.8</v>
      </c>
      <c r="C682" s="116">
        <v>198.15</v>
      </c>
      <c r="D682" s="116">
        <v>196.85</v>
      </c>
      <c r="E682" s="116">
        <v>214.8</v>
      </c>
      <c r="F682" s="116">
        <v>198.15</v>
      </c>
      <c r="G682">
        <v>5782</v>
      </c>
      <c r="H682" s="116"/>
      <c r="I682" s="116"/>
      <c r="L682" s="169">
        <v>43005</v>
      </c>
      <c r="M682" s="116">
        <v>198.95</v>
      </c>
      <c r="N682" s="116">
        <v>213.95</v>
      </c>
      <c r="O682" s="116">
        <v>196.3</v>
      </c>
      <c r="P682" s="116">
        <v>213.95</v>
      </c>
      <c r="Q682" s="116">
        <v>198.95</v>
      </c>
      <c r="R682">
        <v>23962</v>
      </c>
    </row>
    <row r="683" spans="1:18" x14ac:dyDescent="0.25">
      <c r="A683" s="169">
        <v>43006</v>
      </c>
      <c r="B683" s="116">
        <v>202.85</v>
      </c>
      <c r="C683" s="116">
        <v>193.8</v>
      </c>
      <c r="D683" s="116">
        <v>192.9</v>
      </c>
      <c r="E683" s="116">
        <v>202.85</v>
      </c>
      <c r="F683" s="116">
        <v>193.8</v>
      </c>
      <c r="G683">
        <v>1430</v>
      </c>
      <c r="H683" s="116"/>
      <c r="I683" s="116"/>
      <c r="L683" s="169">
        <v>43006</v>
      </c>
      <c r="M683" s="116">
        <v>193.55</v>
      </c>
      <c r="N683" s="116">
        <v>204.9</v>
      </c>
      <c r="O683" s="116">
        <v>192.4</v>
      </c>
      <c r="P683" s="116">
        <v>204.9</v>
      </c>
      <c r="Q683" s="116">
        <v>193.55</v>
      </c>
      <c r="R683">
        <v>33639</v>
      </c>
    </row>
    <row r="684" spans="1:18" x14ac:dyDescent="0.25">
      <c r="A684" s="169">
        <v>43007</v>
      </c>
      <c r="B684" s="116">
        <v>199.25</v>
      </c>
      <c r="C684" s="116">
        <v>197.2</v>
      </c>
      <c r="D684" s="116">
        <v>189.45</v>
      </c>
      <c r="E684" s="116">
        <v>199.25</v>
      </c>
      <c r="F684" s="116">
        <v>197.2</v>
      </c>
      <c r="G684">
        <v>12002</v>
      </c>
      <c r="H684" s="116"/>
      <c r="I684" s="116"/>
      <c r="L684" s="169">
        <v>43007</v>
      </c>
      <c r="M684" s="116">
        <v>193.1</v>
      </c>
      <c r="N684" s="116">
        <v>203</v>
      </c>
      <c r="O684" s="116">
        <v>188.6</v>
      </c>
      <c r="P684" s="116">
        <v>195.9</v>
      </c>
      <c r="Q684" s="116">
        <v>193.1</v>
      </c>
      <c r="R684">
        <v>36661</v>
      </c>
    </row>
    <row r="685" spans="1:18" x14ac:dyDescent="0.25">
      <c r="A685" s="169">
        <v>43011</v>
      </c>
      <c r="B685" s="116">
        <v>198.35</v>
      </c>
      <c r="C685" s="116">
        <v>193.4</v>
      </c>
      <c r="D685" s="116">
        <v>191.45</v>
      </c>
      <c r="E685" s="116">
        <v>197.85</v>
      </c>
      <c r="F685" s="116">
        <v>193.4</v>
      </c>
      <c r="G685">
        <v>677</v>
      </c>
      <c r="H685" s="116"/>
      <c r="I685" s="116"/>
      <c r="L685" s="169">
        <v>43011</v>
      </c>
      <c r="M685" s="116">
        <v>192.05</v>
      </c>
      <c r="N685" s="116">
        <v>199</v>
      </c>
      <c r="O685" s="116">
        <v>191.25</v>
      </c>
      <c r="P685" s="116">
        <v>199</v>
      </c>
      <c r="Q685" s="116">
        <v>192.05</v>
      </c>
      <c r="R685">
        <v>3816</v>
      </c>
    </row>
    <row r="686" spans="1:18" x14ac:dyDescent="0.25">
      <c r="A686" s="169">
        <v>43012</v>
      </c>
      <c r="B686" s="116">
        <v>192</v>
      </c>
      <c r="C686" s="116">
        <v>187</v>
      </c>
      <c r="D686" s="116">
        <v>186.15</v>
      </c>
      <c r="E686" s="116">
        <v>189.45</v>
      </c>
      <c r="F686" s="116">
        <v>187</v>
      </c>
      <c r="G686">
        <v>3097</v>
      </c>
      <c r="H686" s="116"/>
      <c r="I686" s="116"/>
      <c r="L686" s="169">
        <v>43012</v>
      </c>
      <c r="M686" s="116">
        <v>186.7</v>
      </c>
      <c r="N686" s="116">
        <v>191.9</v>
      </c>
      <c r="O686" s="116">
        <v>185.1</v>
      </c>
      <c r="P686" s="116">
        <v>191</v>
      </c>
      <c r="Q686" s="116">
        <v>186.7</v>
      </c>
      <c r="R686">
        <v>35691</v>
      </c>
    </row>
    <row r="687" spans="1:18" x14ac:dyDescent="0.25">
      <c r="A687" s="169">
        <v>43013</v>
      </c>
      <c r="B687" s="116">
        <v>189</v>
      </c>
      <c r="C687" s="116">
        <v>185.05</v>
      </c>
      <c r="D687" s="116">
        <v>184.35</v>
      </c>
      <c r="E687" s="116">
        <v>187.25</v>
      </c>
      <c r="F687" s="116">
        <v>185.05</v>
      </c>
      <c r="G687">
        <v>605</v>
      </c>
      <c r="H687" s="116"/>
      <c r="I687" s="116"/>
      <c r="L687" s="169">
        <v>43013</v>
      </c>
      <c r="M687" s="116">
        <v>185.75</v>
      </c>
      <c r="N687" s="116">
        <v>190</v>
      </c>
      <c r="O687" s="116">
        <v>184.25</v>
      </c>
      <c r="P687" s="116">
        <v>189.65</v>
      </c>
      <c r="Q687" s="116">
        <v>185.75</v>
      </c>
      <c r="R687">
        <v>9015</v>
      </c>
    </row>
    <row r="688" spans="1:18" x14ac:dyDescent="0.25">
      <c r="A688" s="169">
        <v>43014</v>
      </c>
      <c r="B688" s="116">
        <v>217</v>
      </c>
      <c r="C688" s="116">
        <v>201.15</v>
      </c>
      <c r="D688" s="116">
        <v>184</v>
      </c>
      <c r="E688" s="116">
        <v>184.55</v>
      </c>
      <c r="F688" s="116">
        <v>201.15</v>
      </c>
      <c r="G688">
        <v>23022</v>
      </c>
      <c r="H688" s="116"/>
      <c r="I688" s="116"/>
      <c r="L688" s="169">
        <v>43014</v>
      </c>
      <c r="M688" s="116">
        <v>200.25</v>
      </c>
      <c r="N688" s="116">
        <v>216.4</v>
      </c>
      <c r="O688" s="116">
        <v>185.1</v>
      </c>
      <c r="P688" s="116">
        <v>189.6</v>
      </c>
      <c r="Q688" s="116">
        <v>200.25</v>
      </c>
      <c r="R688">
        <v>330294</v>
      </c>
    </row>
    <row r="689" spans="1:18" x14ac:dyDescent="0.25">
      <c r="A689" s="169">
        <v>43017</v>
      </c>
      <c r="B689" s="116">
        <v>200.7</v>
      </c>
      <c r="C689" s="116">
        <v>193.5</v>
      </c>
      <c r="D689" s="116">
        <v>192.05</v>
      </c>
      <c r="E689" s="116">
        <v>199</v>
      </c>
      <c r="F689" s="116">
        <v>193.5</v>
      </c>
      <c r="G689">
        <v>11025</v>
      </c>
      <c r="H689" s="116"/>
      <c r="I689" s="116"/>
      <c r="L689" s="169">
        <v>43017</v>
      </c>
      <c r="M689" s="116">
        <v>192.65</v>
      </c>
      <c r="N689" s="116">
        <v>200</v>
      </c>
      <c r="O689" s="116">
        <v>191.25</v>
      </c>
      <c r="P689" s="116">
        <v>200</v>
      </c>
      <c r="Q689" s="116">
        <v>192.65</v>
      </c>
      <c r="R689">
        <v>34433</v>
      </c>
    </row>
    <row r="690" spans="1:18" x14ac:dyDescent="0.25">
      <c r="A690" s="169">
        <v>43018</v>
      </c>
      <c r="B690" s="116">
        <v>197.7</v>
      </c>
      <c r="C690" s="116">
        <v>192.05</v>
      </c>
      <c r="D690" s="116">
        <v>191.1</v>
      </c>
      <c r="E690" s="116">
        <v>194.6</v>
      </c>
      <c r="F690" s="116">
        <v>192.05</v>
      </c>
      <c r="G690">
        <v>2694</v>
      </c>
      <c r="H690" s="116"/>
      <c r="I690" s="116"/>
      <c r="L690" s="169">
        <v>43018</v>
      </c>
      <c r="M690" s="116">
        <v>192.7</v>
      </c>
      <c r="N690" s="116">
        <v>198.55</v>
      </c>
      <c r="O690" s="116">
        <v>191.25</v>
      </c>
      <c r="P690" s="116">
        <v>194.95</v>
      </c>
      <c r="Q690" s="116">
        <v>192.7</v>
      </c>
      <c r="R690">
        <v>11311</v>
      </c>
    </row>
    <row r="691" spans="1:18" x14ac:dyDescent="0.25">
      <c r="A691" s="169">
        <v>43019</v>
      </c>
      <c r="B691" s="116">
        <v>194.5</v>
      </c>
      <c r="C691" s="116">
        <v>191.8</v>
      </c>
      <c r="D691" s="116">
        <v>191.1</v>
      </c>
      <c r="E691" s="116">
        <v>193.45</v>
      </c>
      <c r="F691" s="116">
        <v>191.8</v>
      </c>
      <c r="G691">
        <v>2175</v>
      </c>
      <c r="H691" s="116"/>
      <c r="I691" s="116"/>
      <c r="L691" s="169">
        <v>43019</v>
      </c>
      <c r="M691" s="116">
        <v>192.9</v>
      </c>
      <c r="N691" s="116">
        <v>195.4</v>
      </c>
      <c r="O691" s="116">
        <v>192</v>
      </c>
      <c r="P691" s="116">
        <v>195.2</v>
      </c>
      <c r="Q691" s="116">
        <v>192.9</v>
      </c>
      <c r="R691">
        <v>17615</v>
      </c>
    </row>
    <row r="692" spans="1:18" x14ac:dyDescent="0.25">
      <c r="A692" s="169">
        <v>43020</v>
      </c>
      <c r="B692" s="116">
        <v>193.5</v>
      </c>
      <c r="C692" s="116">
        <v>191.1</v>
      </c>
      <c r="D692" s="116">
        <v>190.35</v>
      </c>
      <c r="E692" s="116">
        <v>193.5</v>
      </c>
      <c r="F692" s="116">
        <v>191.1</v>
      </c>
      <c r="G692">
        <v>367</v>
      </c>
      <c r="H692" s="116"/>
      <c r="I692" s="116"/>
      <c r="L692" s="169">
        <v>43020</v>
      </c>
      <c r="M692" s="116">
        <v>191.2</v>
      </c>
      <c r="N692" s="116">
        <v>194.8</v>
      </c>
      <c r="O692" s="116">
        <v>191</v>
      </c>
      <c r="P692" s="116">
        <v>194.8</v>
      </c>
      <c r="Q692" s="116">
        <v>191.2</v>
      </c>
      <c r="R692">
        <v>7632</v>
      </c>
    </row>
    <row r="693" spans="1:18" x14ac:dyDescent="0.25">
      <c r="A693" s="169">
        <v>43021</v>
      </c>
      <c r="B693" s="116">
        <v>192.6</v>
      </c>
      <c r="C693" s="116">
        <v>191.1</v>
      </c>
      <c r="D693" s="116">
        <v>189.4</v>
      </c>
      <c r="E693" s="116">
        <v>191.05</v>
      </c>
      <c r="F693" s="116">
        <v>191.1</v>
      </c>
      <c r="G693">
        <v>1201</v>
      </c>
      <c r="H693" s="116"/>
      <c r="I693" s="116"/>
      <c r="L693" s="169">
        <v>43021</v>
      </c>
      <c r="M693" s="116">
        <v>190.1</v>
      </c>
      <c r="N693" s="116">
        <v>194.85</v>
      </c>
      <c r="O693" s="116">
        <v>188</v>
      </c>
      <c r="P693" s="116">
        <v>194.1</v>
      </c>
      <c r="Q693" s="116">
        <v>190.1</v>
      </c>
      <c r="R693">
        <v>8153</v>
      </c>
    </row>
    <row r="694" spans="1:18" x14ac:dyDescent="0.25">
      <c r="A694" s="169">
        <v>43024</v>
      </c>
      <c r="B694" s="116">
        <v>194.05</v>
      </c>
      <c r="C694" s="116">
        <v>190.25</v>
      </c>
      <c r="D694" s="116">
        <v>188</v>
      </c>
      <c r="E694" s="116">
        <v>190.7</v>
      </c>
      <c r="F694" s="116">
        <v>190.25</v>
      </c>
      <c r="G694">
        <v>1619</v>
      </c>
      <c r="H694" s="116"/>
      <c r="I694" s="116"/>
      <c r="L694" s="169">
        <v>43024</v>
      </c>
      <c r="M694" s="116">
        <v>190.8</v>
      </c>
      <c r="N694" s="116">
        <v>194.95</v>
      </c>
      <c r="O694" s="116">
        <v>188</v>
      </c>
      <c r="P694" s="116">
        <v>189</v>
      </c>
      <c r="Q694" s="116">
        <v>190.8</v>
      </c>
      <c r="R694">
        <v>7125</v>
      </c>
    </row>
    <row r="695" spans="1:18" x14ac:dyDescent="0.25">
      <c r="A695" s="169">
        <v>43025</v>
      </c>
      <c r="B695" s="116">
        <v>196.7</v>
      </c>
      <c r="C695" s="116">
        <v>189.55</v>
      </c>
      <c r="D695" s="116">
        <v>188.05</v>
      </c>
      <c r="E695" s="116">
        <v>196.7</v>
      </c>
      <c r="F695" s="116">
        <v>189.55</v>
      </c>
      <c r="G695">
        <v>1370</v>
      </c>
      <c r="H695" s="116"/>
      <c r="I695" s="116"/>
      <c r="L695" s="169">
        <v>43025</v>
      </c>
      <c r="M695" s="116">
        <v>189</v>
      </c>
      <c r="N695" s="116">
        <v>193.8</v>
      </c>
      <c r="O695" s="116">
        <v>186.35</v>
      </c>
      <c r="P695" s="116">
        <v>193.7</v>
      </c>
      <c r="Q695" s="116">
        <v>189</v>
      </c>
      <c r="R695">
        <v>4086</v>
      </c>
    </row>
    <row r="696" spans="1:18" x14ac:dyDescent="0.25">
      <c r="A696" s="169">
        <v>43026</v>
      </c>
      <c r="B696" s="116">
        <v>212</v>
      </c>
      <c r="C696" s="116">
        <v>206.2</v>
      </c>
      <c r="D696" s="116">
        <v>187.55</v>
      </c>
      <c r="E696" s="116">
        <v>187.55</v>
      </c>
      <c r="F696" s="116">
        <v>206.2</v>
      </c>
      <c r="G696">
        <v>16907</v>
      </c>
      <c r="H696" s="116"/>
      <c r="I696" s="116"/>
      <c r="L696" s="169">
        <v>43026</v>
      </c>
      <c r="M696" s="116">
        <v>205.5</v>
      </c>
      <c r="N696" s="116">
        <v>212</v>
      </c>
      <c r="O696" s="116">
        <v>188.25</v>
      </c>
      <c r="P696" s="116">
        <v>188.25</v>
      </c>
      <c r="Q696" s="116">
        <v>205.5</v>
      </c>
      <c r="R696">
        <v>72847</v>
      </c>
    </row>
    <row r="697" spans="1:18" x14ac:dyDescent="0.25">
      <c r="A697" s="169">
        <v>43027</v>
      </c>
      <c r="B697" s="116">
        <v>210</v>
      </c>
      <c r="C697" s="116">
        <v>205.15</v>
      </c>
      <c r="D697" s="116">
        <v>200.55</v>
      </c>
      <c r="E697" s="116">
        <v>202.85</v>
      </c>
      <c r="F697" s="116">
        <v>205.15</v>
      </c>
      <c r="G697">
        <v>3725</v>
      </c>
      <c r="H697" s="116"/>
      <c r="I697" s="116"/>
      <c r="L697" s="169">
        <v>43027</v>
      </c>
      <c r="M697" s="116">
        <v>200.7</v>
      </c>
      <c r="N697" s="116">
        <v>205</v>
      </c>
      <c r="O697" s="116">
        <v>195.25</v>
      </c>
      <c r="P697" s="116">
        <v>202.8</v>
      </c>
      <c r="Q697" s="116">
        <v>200.7</v>
      </c>
      <c r="R697">
        <v>11376</v>
      </c>
    </row>
    <row r="698" spans="1:18" x14ac:dyDescent="0.25">
      <c r="A698" s="169">
        <v>43031</v>
      </c>
      <c r="B698" s="116">
        <v>203.1</v>
      </c>
      <c r="C698" s="116">
        <v>197.7</v>
      </c>
      <c r="D698" s="116">
        <v>195.55</v>
      </c>
      <c r="E698" s="116">
        <v>199.7</v>
      </c>
      <c r="F698" s="116">
        <v>197.7</v>
      </c>
      <c r="G698">
        <v>2750</v>
      </c>
      <c r="H698" s="116"/>
      <c r="I698" s="116"/>
      <c r="L698" s="169">
        <v>43031</v>
      </c>
      <c r="M698" s="116">
        <v>197.75</v>
      </c>
      <c r="N698" s="116">
        <v>204.9</v>
      </c>
      <c r="O698" s="116">
        <v>194.4</v>
      </c>
      <c r="P698" s="116">
        <v>202.9</v>
      </c>
      <c r="Q698" s="116">
        <v>197.75</v>
      </c>
      <c r="R698">
        <v>26671</v>
      </c>
    </row>
    <row r="699" spans="1:18" x14ac:dyDescent="0.25">
      <c r="A699" s="169">
        <v>43032</v>
      </c>
      <c r="B699" s="116">
        <v>201.4</v>
      </c>
      <c r="C699" s="116">
        <v>197.55</v>
      </c>
      <c r="D699" s="116">
        <v>195</v>
      </c>
      <c r="E699" s="116">
        <v>196.95</v>
      </c>
      <c r="F699" s="116">
        <v>197.55</v>
      </c>
      <c r="G699">
        <v>494</v>
      </c>
      <c r="H699" s="116"/>
      <c r="I699" s="116"/>
      <c r="L699" s="169">
        <v>43032</v>
      </c>
      <c r="M699" s="116">
        <v>198.3</v>
      </c>
      <c r="N699" s="116">
        <v>200.7</v>
      </c>
      <c r="O699" s="116">
        <v>194.65</v>
      </c>
      <c r="P699" s="116">
        <v>200.7</v>
      </c>
      <c r="Q699" s="116">
        <v>198.3</v>
      </c>
      <c r="R699">
        <v>5611</v>
      </c>
    </row>
    <row r="700" spans="1:18" x14ac:dyDescent="0.25">
      <c r="A700" s="169">
        <v>43033</v>
      </c>
      <c r="B700" s="116">
        <v>201.5</v>
      </c>
      <c r="C700" s="116">
        <v>198.2</v>
      </c>
      <c r="D700" s="116">
        <v>195</v>
      </c>
      <c r="E700" s="116">
        <v>201.5</v>
      </c>
      <c r="F700" s="116">
        <v>198.2</v>
      </c>
      <c r="G700">
        <v>1805</v>
      </c>
      <c r="H700" s="116"/>
      <c r="I700" s="116"/>
      <c r="L700" s="169">
        <v>43033</v>
      </c>
      <c r="M700" s="116">
        <v>197.15</v>
      </c>
      <c r="N700" s="116">
        <v>201.35</v>
      </c>
      <c r="O700" s="116">
        <v>194</v>
      </c>
      <c r="P700" s="116">
        <v>201.3</v>
      </c>
      <c r="Q700" s="116">
        <v>197.15</v>
      </c>
      <c r="R700">
        <v>6798</v>
      </c>
    </row>
    <row r="701" spans="1:18" x14ac:dyDescent="0.25">
      <c r="A701" s="169">
        <v>43034</v>
      </c>
      <c r="B701" s="116">
        <v>198.5</v>
      </c>
      <c r="C701" s="116">
        <v>196.1</v>
      </c>
      <c r="D701" s="116">
        <v>194.15</v>
      </c>
      <c r="E701" s="116">
        <v>198.5</v>
      </c>
      <c r="F701" s="116">
        <v>196.1</v>
      </c>
      <c r="G701">
        <v>785</v>
      </c>
      <c r="H701" s="116"/>
      <c r="I701" s="116"/>
      <c r="L701" s="169">
        <v>43034</v>
      </c>
      <c r="M701" s="116">
        <v>194.6</v>
      </c>
      <c r="N701" s="116">
        <v>198.4</v>
      </c>
      <c r="O701" s="116">
        <v>192.1</v>
      </c>
      <c r="P701" s="116">
        <v>197</v>
      </c>
      <c r="Q701" s="116">
        <v>194.6</v>
      </c>
      <c r="R701">
        <v>1553</v>
      </c>
    </row>
    <row r="702" spans="1:18" x14ac:dyDescent="0.25">
      <c r="A702" s="169">
        <v>43035</v>
      </c>
      <c r="B702" s="116">
        <v>195.75</v>
      </c>
      <c r="C702" s="116">
        <v>193.9</v>
      </c>
      <c r="D702" s="116">
        <v>192.95</v>
      </c>
      <c r="E702" s="116">
        <v>195.55</v>
      </c>
      <c r="F702" s="116">
        <v>193.9</v>
      </c>
      <c r="G702">
        <v>946</v>
      </c>
      <c r="H702" s="116"/>
      <c r="I702" s="116"/>
      <c r="L702" s="169">
        <v>43035</v>
      </c>
      <c r="M702" s="116">
        <v>192.75</v>
      </c>
      <c r="N702" s="116">
        <v>199.8</v>
      </c>
      <c r="O702" s="116">
        <v>192</v>
      </c>
      <c r="P702" s="116">
        <v>197.5</v>
      </c>
      <c r="Q702" s="116">
        <v>192.75</v>
      </c>
      <c r="R702">
        <v>5689</v>
      </c>
    </row>
    <row r="703" spans="1:18" x14ac:dyDescent="0.25">
      <c r="A703" s="169">
        <v>43038</v>
      </c>
      <c r="B703" s="116">
        <v>200.4</v>
      </c>
      <c r="C703" s="116">
        <v>198.3</v>
      </c>
      <c r="D703" s="116">
        <v>196.5</v>
      </c>
      <c r="E703" s="116">
        <v>200.4</v>
      </c>
      <c r="F703" s="116">
        <v>198.3</v>
      </c>
      <c r="G703">
        <v>681</v>
      </c>
      <c r="H703" s="116"/>
      <c r="I703" s="116"/>
      <c r="L703" s="169">
        <v>43038</v>
      </c>
      <c r="M703" s="116">
        <v>196.75</v>
      </c>
      <c r="N703" s="116">
        <v>199.9</v>
      </c>
      <c r="O703" s="116">
        <v>194.4</v>
      </c>
      <c r="P703" s="116">
        <v>196.15</v>
      </c>
      <c r="Q703" s="116">
        <v>196.75</v>
      </c>
      <c r="R703">
        <v>3213</v>
      </c>
    </row>
    <row r="704" spans="1:18" x14ac:dyDescent="0.25">
      <c r="A704" s="169">
        <v>43039</v>
      </c>
      <c r="B704" s="116">
        <v>198.4</v>
      </c>
      <c r="C704" s="116">
        <v>193.25</v>
      </c>
      <c r="D704" s="116">
        <v>193</v>
      </c>
      <c r="E704" s="116">
        <v>196.7</v>
      </c>
      <c r="F704" s="116">
        <v>193.25</v>
      </c>
      <c r="G704">
        <v>211092</v>
      </c>
      <c r="H704" s="116"/>
      <c r="I704" s="116"/>
      <c r="L704" s="169">
        <v>43039</v>
      </c>
      <c r="M704" s="116">
        <v>194</v>
      </c>
      <c r="N704" s="116">
        <v>204</v>
      </c>
      <c r="O704" s="116">
        <v>193</v>
      </c>
      <c r="P704" s="116">
        <v>204</v>
      </c>
      <c r="Q704" s="116">
        <v>194</v>
      </c>
      <c r="R704">
        <v>290811</v>
      </c>
    </row>
    <row r="705" spans="1:18" x14ac:dyDescent="0.25">
      <c r="A705" s="169">
        <v>43040</v>
      </c>
      <c r="B705" s="116">
        <v>198.75</v>
      </c>
      <c r="C705" s="116">
        <v>193.75</v>
      </c>
      <c r="D705" s="116">
        <v>193</v>
      </c>
      <c r="E705" s="116">
        <v>197.8</v>
      </c>
      <c r="F705" s="116">
        <v>193.75</v>
      </c>
      <c r="G705">
        <v>197100</v>
      </c>
      <c r="H705" s="116"/>
      <c r="I705" s="116"/>
      <c r="L705" s="169">
        <v>43040</v>
      </c>
      <c r="M705" s="116">
        <v>193.75</v>
      </c>
      <c r="N705" s="116">
        <v>199.5</v>
      </c>
      <c r="O705" s="116">
        <v>192.6</v>
      </c>
      <c r="P705" s="116">
        <v>197.4</v>
      </c>
      <c r="Q705" s="116">
        <v>193.75</v>
      </c>
      <c r="R705">
        <v>216525</v>
      </c>
    </row>
    <row r="706" spans="1:18" x14ac:dyDescent="0.25">
      <c r="A706" s="169">
        <v>43041</v>
      </c>
      <c r="B706" s="116">
        <v>202</v>
      </c>
      <c r="C706" s="116">
        <v>194.05</v>
      </c>
      <c r="D706" s="116">
        <v>193</v>
      </c>
      <c r="E706" s="116">
        <v>199</v>
      </c>
      <c r="F706" s="116">
        <v>194.05</v>
      </c>
      <c r="G706">
        <v>109886</v>
      </c>
      <c r="H706" s="116"/>
      <c r="I706" s="116"/>
      <c r="L706" s="169">
        <v>43041</v>
      </c>
      <c r="M706" s="116">
        <v>194.3</v>
      </c>
      <c r="N706" s="116">
        <v>210</v>
      </c>
      <c r="O706" s="116">
        <v>193</v>
      </c>
      <c r="P706" s="116">
        <v>196.7</v>
      </c>
      <c r="Q706" s="116">
        <v>194.3</v>
      </c>
      <c r="R706">
        <v>286296</v>
      </c>
    </row>
    <row r="707" spans="1:18" x14ac:dyDescent="0.25">
      <c r="A707" s="169">
        <v>43042</v>
      </c>
      <c r="B707" s="116">
        <v>197.15</v>
      </c>
      <c r="C707" s="116">
        <v>195.4</v>
      </c>
      <c r="D707" s="116">
        <v>193.15</v>
      </c>
      <c r="E707" s="116">
        <v>195.45</v>
      </c>
      <c r="F707" s="116">
        <v>195.4</v>
      </c>
      <c r="G707">
        <v>13364</v>
      </c>
      <c r="H707" s="116"/>
      <c r="I707" s="116"/>
      <c r="L707" s="169">
        <v>43042</v>
      </c>
      <c r="M707" s="116">
        <v>194.05</v>
      </c>
      <c r="N707" s="116">
        <v>198.05</v>
      </c>
      <c r="O707" s="116">
        <v>193</v>
      </c>
      <c r="P707" s="116">
        <v>197.2</v>
      </c>
      <c r="Q707" s="116">
        <v>194.05</v>
      </c>
      <c r="R707">
        <v>19806</v>
      </c>
    </row>
    <row r="708" spans="1:18" x14ac:dyDescent="0.25">
      <c r="A708" s="169">
        <v>43045</v>
      </c>
      <c r="B708" s="116">
        <v>195.4</v>
      </c>
      <c r="C708" s="116">
        <v>192.75</v>
      </c>
      <c r="D708" s="116">
        <v>190.05</v>
      </c>
      <c r="E708" s="116">
        <v>194.8</v>
      </c>
      <c r="F708" s="116">
        <v>192.75</v>
      </c>
      <c r="G708">
        <v>1846</v>
      </c>
      <c r="H708" s="116"/>
      <c r="I708" s="116"/>
      <c r="L708" s="169">
        <v>43045</v>
      </c>
      <c r="M708" s="116">
        <v>191.55</v>
      </c>
      <c r="N708" s="116">
        <v>197</v>
      </c>
      <c r="O708" s="116">
        <v>190.25</v>
      </c>
      <c r="P708" s="116">
        <v>192.1</v>
      </c>
      <c r="Q708" s="116">
        <v>191.55</v>
      </c>
      <c r="R708">
        <v>9520</v>
      </c>
    </row>
    <row r="709" spans="1:18" x14ac:dyDescent="0.25">
      <c r="A709" s="169">
        <v>43046</v>
      </c>
      <c r="B709" s="116">
        <v>195.9</v>
      </c>
      <c r="C709" s="116">
        <v>189.5</v>
      </c>
      <c r="D709" s="116">
        <v>188.85</v>
      </c>
      <c r="E709" s="116">
        <v>194.95</v>
      </c>
      <c r="F709" s="116">
        <v>189.5</v>
      </c>
      <c r="G709">
        <v>7263</v>
      </c>
      <c r="H709" s="116"/>
      <c r="I709" s="116"/>
      <c r="L709" s="169">
        <v>43046</v>
      </c>
      <c r="M709" s="116">
        <v>189.9</v>
      </c>
      <c r="N709" s="116">
        <v>196.2</v>
      </c>
      <c r="O709" s="116">
        <v>189</v>
      </c>
      <c r="P709" s="116">
        <v>192.4</v>
      </c>
      <c r="Q709" s="116">
        <v>189.9</v>
      </c>
      <c r="R709">
        <v>13094</v>
      </c>
    </row>
    <row r="710" spans="1:18" x14ac:dyDescent="0.25">
      <c r="A710" s="169">
        <v>43047</v>
      </c>
      <c r="B710" s="116">
        <v>190.85</v>
      </c>
      <c r="C710" s="116">
        <v>187.2</v>
      </c>
      <c r="D710" s="116">
        <v>187</v>
      </c>
      <c r="E710" s="116">
        <v>188</v>
      </c>
      <c r="F710" s="116">
        <v>187.2</v>
      </c>
      <c r="G710">
        <v>1450</v>
      </c>
      <c r="H710" s="116"/>
      <c r="I710" s="116"/>
      <c r="L710" s="169">
        <v>43047</v>
      </c>
      <c r="M710" s="116">
        <v>187.75</v>
      </c>
      <c r="N710" s="116">
        <v>190.6</v>
      </c>
      <c r="O710" s="116">
        <v>186.2</v>
      </c>
      <c r="P710" s="116">
        <v>190.6</v>
      </c>
      <c r="Q710" s="116">
        <v>187.75</v>
      </c>
      <c r="R710">
        <v>6989</v>
      </c>
    </row>
    <row r="711" spans="1:18" x14ac:dyDescent="0.25">
      <c r="A711" s="169">
        <v>43048</v>
      </c>
      <c r="B711" s="116">
        <v>190.8</v>
      </c>
      <c r="C711" s="116">
        <v>188.2</v>
      </c>
      <c r="D711" s="116">
        <v>177</v>
      </c>
      <c r="E711" s="116">
        <v>177</v>
      </c>
      <c r="F711" s="116">
        <v>188.2</v>
      </c>
      <c r="G711">
        <v>832</v>
      </c>
      <c r="H711" s="116"/>
      <c r="I711" s="116"/>
      <c r="L711" s="169">
        <v>43048</v>
      </c>
      <c r="M711" s="116">
        <v>186.85</v>
      </c>
      <c r="N711" s="116">
        <v>189.95</v>
      </c>
      <c r="O711" s="116">
        <v>186</v>
      </c>
      <c r="P711" s="116">
        <v>187</v>
      </c>
      <c r="Q711" s="116">
        <v>186.85</v>
      </c>
      <c r="R711">
        <v>5418</v>
      </c>
    </row>
    <row r="712" spans="1:18" x14ac:dyDescent="0.25">
      <c r="A712" s="169">
        <v>43049</v>
      </c>
      <c r="B712" s="116">
        <v>192.95</v>
      </c>
      <c r="C712" s="116">
        <v>190.85</v>
      </c>
      <c r="D712" s="116">
        <v>184.7</v>
      </c>
      <c r="E712" s="116">
        <v>184.7</v>
      </c>
      <c r="F712" s="116">
        <v>190.85</v>
      </c>
      <c r="G712">
        <v>285</v>
      </c>
      <c r="H712" s="116"/>
      <c r="I712" s="116"/>
      <c r="L712" s="169">
        <v>43049</v>
      </c>
      <c r="M712" s="116">
        <v>190.6</v>
      </c>
      <c r="N712" s="116">
        <v>195</v>
      </c>
      <c r="O712" s="116">
        <v>185.25</v>
      </c>
      <c r="P712" s="116">
        <v>189.3</v>
      </c>
      <c r="Q712" s="116">
        <v>190.6</v>
      </c>
      <c r="R712">
        <v>14452</v>
      </c>
    </row>
    <row r="713" spans="1:18" x14ac:dyDescent="0.25">
      <c r="A713" s="169">
        <v>43052</v>
      </c>
      <c r="B713" s="116">
        <v>196</v>
      </c>
      <c r="C713" s="116">
        <v>189.8</v>
      </c>
      <c r="D713" s="116">
        <v>186.5</v>
      </c>
      <c r="E713" s="116">
        <v>193.7</v>
      </c>
      <c r="F713" s="116">
        <v>189.8</v>
      </c>
      <c r="G713">
        <v>860</v>
      </c>
      <c r="H713" s="116"/>
      <c r="I713" s="116"/>
      <c r="L713" s="169">
        <v>43052</v>
      </c>
      <c r="M713" s="116">
        <v>189.9</v>
      </c>
      <c r="N713" s="116">
        <v>195.4</v>
      </c>
      <c r="O713" s="116">
        <v>187.05</v>
      </c>
      <c r="P713" s="116">
        <v>193.45</v>
      </c>
      <c r="Q713" s="116">
        <v>189.9</v>
      </c>
      <c r="R713">
        <v>7420</v>
      </c>
    </row>
    <row r="714" spans="1:18" x14ac:dyDescent="0.25">
      <c r="A714" s="169">
        <v>43053</v>
      </c>
      <c r="B714" s="116">
        <v>209</v>
      </c>
      <c r="C714" s="116">
        <v>207.7</v>
      </c>
      <c r="D714" s="116">
        <v>188.3</v>
      </c>
      <c r="E714" s="116">
        <v>188.3</v>
      </c>
      <c r="F714" s="116">
        <v>207.7</v>
      </c>
      <c r="G714">
        <v>6725</v>
      </c>
      <c r="H714" s="116"/>
      <c r="I714" s="116"/>
      <c r="L714" s="169">
        <v>43053</v>
      </c>
      <c r="M714" s="116">
        <v>208.85</v>
      </c>
      <c r="N714" s="116">
        <v>210</v>
      </c>
      <c r="O714" s="116">
        <v>189.1</v>
      </c>
      <c r="P714" s="116">
        <v>189.15</v>
      </c>
      <c r="Q714" s="116">
        <v>208.85</v>
      </c>
      <c r="R714">
        <v>110177</v>
      </c>
    </row>
    <row r="715" spans="1:18" x14ac:dyDescent="0.25">
      <c r="A715" s="169">
        <v>43054</v>
      </c>
      <c r="B715" s="116">
        <v>214</v>
      </c>
      <c r="C715" s="116">
        <v>204.15</v>
      </c>
      <c r="D715" s="116">
        <v>202.5</v>
      </c>
      <c r="E715" s="116">
        <v>209</v>
      </c>
      <c r="F715" s="116">
        <v>204.15</v>
      </c>
      <c r="G715">
        <v>71727</v>
      </c>
      <c r="H715" s="116"/>
      <c r="I715" s="116"/>
      <c r="L715" s="169">
        <v>43054</v>
      </c>
      <c r="M715" s="116">
        <v>204.65</v>
      </c>
      <c r="N715" s="116">
        <v>214</v>
      </c>
      <c r="O715" s="116">
        <v>201.5</v>
      </c>
      <c r="P715" s="116">
        <v>209</v>
      </c>
      <c r="Q715" s="116">
        <v>204.65</v>
      </c>
      <c r="R715">
        <v>142611</v>
      </c>
    </row>
    <row r="716" spans="1:18" x14ac:dyDescent="0.25">
      <c r="A716" s="169">
        <v>43055</v>
      </c>
      <c r="B716" s="116">
        <v>212.25</v>
      </c>
      <c r="C716" s="116">
        <v>203</v>
      </c>
      <c r="D716" s="116">
        <v>201.35</v>
      </c>
      <c r="E716" s="116">
        <v>212.25</v>
      </c>
      <c r="F716" s="116">
        <v>203</v>
      </c>
      <c r="G716">
        <v>3104</v>
      </c>
      <c r="H716" s="116"/>
      <c r="I716" s="116"/>
      <c r="L716" s="169">
        <v>43055</v>
      </c>
      <c r="M716" s="116">
        <v>203.45</v>
      </c>
      <c r="N716" s="116">
        <v>210</v>
      </c>
      <c r="O716" s="116">
        <v>201.35</v>
      </c>
      <c r="P716" s="116">
        <v>204.65</v>
      </c>
      <c r="Q716" s="116">
        <v>203.45</v>
      </c>
      <c r="R716">
        <v>9991</v>
      </c>
    </row>
    <row r="717" spans="1:18" x14ac:dyDescent="0.25">
      <c r="A717" s="169">
        <v>43056</v>
      </c>
      <c r="B717" s="116">
        <v>207.9</v>
      </c>
      <c r="C717" s="116">
        <v>203</v>
      </c>
      <c r="D717" s="116">
        <v>201.3</v>
      </c>
      <c r="E717" s="116">
        <v>204.8</v>
      </c>
      <c r="F717" s="116">
        <v>203</v>
      </c>
      <c r="G717">
        <v>38181</v>
      </c>
      <c r="H717" s="116"/>
      <c r="I717" s="116"/>
      <c r="L717" s="169">
        <v>43056</v>
      </c>
      <c r="M717" s="116">
        <v>202</v>
      </c>
      <c r="N717" s="116">
        <v>209.5</v>
      </c>
      <c r="O717" s="116">
        <v>200.05</v>
      </c>
      <c r="P717" s="116">
        <v>205</v>
      </c>
      <c r="Q717" s="116">
        <v>202</v>
      </c>
      <c r="R717">
        <v>7646</v>
      </c>
    </row>
    <row r="718" spans="1:18" x14ac:dyDescent="0.25">
      <c r="A718" s="169">
        <v>43059</v>
      </c>
      <c r="B718" s="116">
        <v>201</v>
      </c>
      <c r="C718" s="116">
        <v>199.4</v>
      </c>
      <c r="D718" s="116">
        <v>197.5</v>
      </c>
      <c r="E718" s="116">
        <v>200.1</v>
      </c>
      <c r="F718" s="116">
        <v>199.4</v>
      </c>
      <c r="G718">
        <v>35723</v>
      </c>
      <c r="H718" s="116"/>
      <c r="I718" s="116"/>
      <c r="L718" s="169">
        <v>43059</v>
      </c>
      <c r="M718" s="116">
        <v>198.5</v>
      </c>
      <c r="N718" s="116">
        <v>205</v>
      </c>
      <c r="O718" s="116">
        <v>197.15</v>
      </c>
      <c r="P718" s="116">
        <v>205</v>
      </c>
      <c r="Q718" s="116">
        <v>198.5</v>
      </c>
      <c r="R718">
        <v>6161</v>
      </c>
    </row>
    <row r="719" spans="1:18" x14ac:dyDescent="0.25">
      <c r="A719" s="169">
        <v>43060</v>
      </c>
      <c r="B719" s="116">
        <v>205</v>
      </c>
      <c r="C719" s="116">
        <v>197.45</v>
      </c>
      <c r="D719" s="116">
        <v>197</v>
      </c>
      <c r="E719" s="116">
        <v>198.5</v>
      </c>
      <c r="F719" s="116">
        <v>197.45</v>
      </c>
      <c r="G719">
        <v>6276</v>
      </c>
      <c r="H719" s="116"/>
      <c r="I719" s="116"/>
      <c r="L719" s="169">
        <v>43060</v>
      </c>
      <c r="M719" s="116">
        <v>196.95</v>
      </c>
      <c r="N719" s="116">
        <v>199.65</v>
      </c>
      <c r="O719" s="116">
        <v>196.85</v>
      </c>
      <c r="P719" s="116">
        <v>198.05</v>
      </c>
      <c r="Q719" s="116">
        <v>196.95</v>
      </c>
      <c r="R719">
        <v>4090</v>
      </c>
    </row>
    <row r="720" spans="1:18" x14ac:dyDescent="0.25">
      <c r="A720" s="169">
        <v>43061</v>
      </c>
      <c r="B720" s="116">
        <v>197</v>
      </c>
      <c r="C720" s="116">
        <v>194.3</v>
      </c>
      <c r="D720" s="116">
        <v>194</v>
      </c>
      <c r="E720" s="116">
        <v>196.2</v>
      </c>
      <c r="F720" s="116">
        <v>194.3</v>
      </c>
      <c r="G720">
        <v>595</v>
      </c>
      <c r="H720" s="116"/>
      <c r="I720" s="116"/>
      <c r="L720" s="169">
        <v>43061</v>
      </c>
      <c r="M720" s="116">
        <v>195.3</v>
      </c>
      <c r="N720" s="116">
        <v>199.5</v>
      </c>
      <c r="O720" s="116">
        <v>195</v>
      </c>
      <c r="P720" s="116">
        <v>199.5</v>
      </c>
      <c r="Q720" s="116">
        <v>195.3</v>
      </c>
      <c r="R720">
        <v>1274</v>
      </c>
    </row>
    <row r="721" spans="1:18" x14ac:dyDescent="0.25">
      <c r="A721" s="169">
        <v>43062</v>
      </c>
      <c r="B721" s="116">
        <v>194.75</v>
      </c>
      <c r="C721" s="116">
        <v>191.35</v>
      </c>
      <c r="D721" s="116">
        <v>190.1</v>
      </c>
      <c r="E721" s="116">
        <v>194.75</v>
      </c>
      <c r="F721" s="116">
        <v>191.35</v>
      </c>
      <c r="G721">
        <v>1157</v>
      </c>
      <c r="H721" s="116"/>
      <c r="I721" s="116"/>
      <c r="L721" s="169">
        <v>43062</v>
      </c>
      <c r="M721" s="116">
        <v>191</v>
      </c>
      <c r="N721" s="116">
        <v>197.5</v>
      </c>
      <c r="O721" s="116">
        <v>190.25</v>
      </c>
      <c r="P721" s="116">
        <v>194.3</v>
      </c>
      <c r="Q721" s="116">
        <v>191</v>
      </c>
      <c r="R721">
        <v>12340</v>
      </c>
    </row>
    <row r="722" spans="1:18" x14ac:dyDescent="0.25">
      <c r="A722" s="169">
        <v>43063</v>
      </c>
      <c r="B722" s="116">
        <v>223.6</v>
      </c>
      <c r="C722" s="116">
        <v>207.2</v>
      </c>
      <c r="D722" s="116">
        <v>198.5</v>
      </c>
      <c r="E722" s="116">
        <v>198.5</v>
      </c>
      <c r="F722" s="116">
        <v>207.2</v>
      </c>
      <c r="G722">
        <v>54502</v>
      </c>
      <c r="H722" s="116"/>
      <c r="I722" s="116"/>
      <c r="L722" s="169">
        <v>43063</v>
      </c>
      <c r="M722" s="116">
        <v>206.15</v>
      </c>
      <c r="N722" s="116">
        <v>224</v>
      </c>
      <c r="O722" s="116">
        <v>191.5</v>
      </c>
      <c r="P722" s="116">
        <v>191.5</v>
      </c>
      <c r="Q722" s="116">
        <v>206.15</v>
      </c>
      <c r="R722">
        <v>384414</v>
      </c>
    </row>
    <row r="723" spans="1:18" x14ac:dyDescent="0.25">
      <c r="A723" s="169">
        <v>43066</v>
      </c>
      <c r="B723" s="116">
        <v>214.8</v>
      </c>
      <c r="C723" s="116">
        <v>208.65</v>
      </c>
      <c r="D723" s="116">
        <v>207.75</v>
      </c>
      <c r="E723" s="116">
        <v>214.8</v>
      </c>
      <c r="F723" s="116">
        <v>208.65</v>
      </c>
      <c r="G723">
        <v>10316</v>
      </c>
      <c r="H723" s="116"/>
      <c r="I723" s="116"/>
      <c r="L723" s="169">
        <v>43066</v>
      </c>
      <c r="M723" s="116">
        <v>207.85</v>
      </c>
      <c r="N723" s="116">
        <v>211.9</v>
      </c>
      <c r="O723" s="116">
        <v>207.1</v>
      </c>
      <c r="P723" s="116">
        <v>207.4</v>
      </c>
      <c r="Q723" s="116">
        <v>207.85</v>
      </c>
      <c r="R723">
        <v>41488</v>
      </c>
    </row>
    <row r="724" spans="1:18" x14ac:dyDescent="0.25">
      <c r="A724" s="169">
        <v>43067</v>
      </c>
      <c r="B724" s="116">
        <v>212.05</v>
      </c>
      <c r="C724" s="116">
        <v>206.5</v>
      </c>
      <c r="D724" s="116">
        <v>204.4</v>
      </c>
      <c r="E724" s="116">
        <v>209.8</v>
      </c>
      <c r="F724" s="116">
        <v>206.5</v>
      </c>
      <c r="G724">
        <v>8630</v>
      </c>
      <c r="H724" s="116"/>
      <c r="I724" s="116"/>
      <c r="L724" s="169">
        <v>43067</v>
      </c>
      <c r="M724" s="116">
        <v>205.8</v>
      </c>
      <c r="N724" s="116">
        <v>211.95</v>
      </c>
      <c r="O724" s="116">
        <v>203.15</v>
      </c>
      <c r="P724" s="116">
        <v>208.95</v>
      </c>
      <c r="Q724" s="116">
        <v>205.8</v>
      </c>
      <c r="R724">
        <v>66675</v>
      </c>
    </row>
    <row r="725" spans="1:18" x14ac:dyDescent="0.25">
      <c r="A725" s="169">
        <v>43068</v>
      </c>
      <c r="B725" s="116">
        <v>213.9</v>
      </c>
      <c r="C725" s="116">
        <v>199.35</v>
      </c>
      <c r="D725" s="116">
        <v>198</v>
      </c>
      <c r="E725" s="116">
        <v>208.7</v>
      </c>
      <c r="F725" s="116">
        <v>199.35</v>
      </c>
      <c r="G725">
        <v>4903</v>
      </c>
      <c r="H725" s="116"/>
      <c r="I725" s="116"/>
      <c r="L725" s="169">
        <v>43068</v>
      </c>
      <c r="M725" s="116">
        <v>199.25</v>
      </c>
      <c r="N725" s="116">
        <v>207.5</v>
      </c>
      <c r="O725" s="116">
        <v>198</v>
      </c>
      <c r="P725" s="116">
        <v>207.5</v>
      </c>
      <c r="Q725" s="116">
        <v>199.25</v>
      </c>
      <c r="R725">
        <v>24542</v>
      </c>
    </row>
    <row r="726" spans="1:18" x14ac:dyDescent="0.25">
      <c r="A726" s="169">
        <v>43069</v>
      </c>
      <c r="B726" s="116">
        <v>209.5</v>
      </c>
      <c r="C726" s="116">
        <v>198.65</v>
      </c>
      <c r="D726" s="116">
        <v>196.4</v>
      </c>
      <c r="E726" s="116">
        <v>209.5</v>
      </c>
      <c r="F726" s="116">
        <v>198.65</v>
      </c>
      <c r="G726">
        <v>3931</v>
      </c>
      <c r="H726" s="116"/>
      <c r="I726" s="116"/>
      <c r="L726" s="169">
        <v>43069</v>
      </c>
      <c r="M726" s="116">
        <v>197.5</v>
      </c>
      <c r="N726" s="116">
        <v>202.2</v>
      </c>
      <c r="O726" s="116">
        <v>196.2</v>
      </c>
      <c r="P726" s="116">
        <v>200.35</v>
      </c>
      <c r="Q726" s="116">
        <v>197.5</v>
      </c>
      <c r="R726">
        <v>11698</v>
      </c>
    </row>
    <row r="727" spans="1:18" x14ac:dyDescent="0.25">
      <c r="A727" s="169">
        <v>43070</v>
      </c>
      <c r="B727" s="116">
        <v>209</v>
      </c>
      <c r="C727" s="116">
        <v>200.65</v>
      </c>
      <c r="D727" s="116">
        <v>187</v>
      </c>
      <c r="E727" s="116">
        <v>199.55</v>
      </c>
      <c r="F727" s="116">
        <v>200.65</v>
      </c>
      <c r="G727">
        <v>4495</v>
      </c>
      <c r="H727" s="116"/>
      <c r="I727" s="116"/>
      <c r="L727" s="169">
        <v>43070</v>
      </c>
      <c r="M727" s="116">
        <v>198.95</v>
      </c>
      <c r="N727" s="116">
        <v>209.9</v>
      </c>
      <c r="O727" s="116">
        <v>196.5</v>
      </c>
      <c r="P727" s="116">
        <v>197.05</v>
      </c>
      <c r="Q727" s="116">
        <v>198.95</v>
      </c>
      <c r="R727">
        <v>71173</v>
      </c>
    </row>
    <row r="728" spans="1:18" x14ac:dyDescent="0.25">
      <c r="A728" s="169">
        <v>43073</v>
      </c>
      <c r="B728" s="116">
        <v>201.55</v>
      </c>
      <c r="C728" s="116">
        <v>197.05</v>
      </c>
      <c r="D728" s="116">
        <v>195.35</v>
      </c>
      <c r="E728" s="116">
        <v>201.55</v>
      </c>
      <c r="F728" s="116">
        <v>197.05</v>
      </c>
      <c r="G728">
        <v>1069</v>
      </c>
      <c r="H728" s="116"/>
      <c r="I728" s="116"/>
      <c r="L728" s="169">
        <v>43073</v>
      </c>
      <c r="M728" s="116">
        <v>197.75</v>
      </c>
      <c r="N728" s="116">
        <v>202</v>
      </c>
      <c r="O728" s="116">
        <v>196</v>
      </c>
      <c r="P728" s="116">
        <v>201.9</v>
      </c>
      <c r="Q728" s="116">
        <v>197.75</v>
      </c>
      <c r="R728">
        <v>6063</v>
      </c>
    </row>
    <row r="729" spans="1:18" x14ac:dyDescent="0.25">
      <c r="A729" s="169">
        <v>43074</v>
      </c>
      <c r="B729" s="116">
        <v>195.5</v>
      </c>
      <c r="C729" s="116">
        <v>191.6</v>
      </c>
      <c r="D729" s="116">
        <v>188.05</v>
      </c>
      <c r="E729" s="116">
        <v>188.05</v>
      </c>
      <c r="F729" s="116">
        <v>191.6</v>
      </c>
      <c r="G729">
        <v>1221</v>
      </c>
      <c r="H729" s="116"/>
      <c r="I729" s="116"/>
      <c r="L729" s="169">
        <v>43074</v>
      </c>
      <c r="M729" s="116">
        <v>191.6</v>
      </c>
      <c r="N729" s="116">
        <v>196</v>
      </c>
      <c r="O729" s="116">
        <v>190.3</v>
      </c>
      <c r="P729" s="116">
        <v>196</v>
      </c>
      <c r="Q729" s="116">
        <v>191.6</v>
      </c>
      <c r="R729">
        <v>9539</v>
      </c>
    </row>
    <row r="730" spans="1:18" x14ac:dyDescent="0.25">
      <c r="A730" s="169">
        <v>43075</v>
      </c>
      <c r="B730" s="116">
        <v>200.7</v>
      </c>
      <c r="C730" s="116">
        <v>193.2</v>
      </c>
      <c r="D730" s="116">
        <v>192</v>
      </c>
      <c r="E730" s="116">
        <v>192</v>
      </c>
      <c r="F730" s="116">
        <v>193.2</v>
      </c>
      <c r="G730">
        <v>2289</v>
      </c>
      <c r="H730" s="116"/>
      <c r="I730" s="116"/>
      <c r="L730" s="169">
        <v>43075</v>
      </c>
      <c r="M730" s="116">
        <v>194.45</v>
      </c>
      <c r="N730" s="116">
        <v>196.55</v>
      </c>
      <c r="O730" s="116">
        <v>191.2</v>
      </c>
      <c r="P730" s="116">
        <v>194.2</v>
      </c>
      <c r="Q730" s="116">
        <v>194.45</v>
      </c>
      <c r="R730">
        <v>7839</v>
      </c>
    </row>
    <row r="731" spans="1:18" x14ac:dyDescent="0.25">
      <c r="A731" s="169">
        <v>43076</v>
      </c>
      <c r="B731" s="116">
        <v>197</v>
      </c>
      <c r="C731" s="116">
        <v>191.5</v>
      </c>
      <c r="D731" s="116">
        <v>191.45</v>
      </c>
      <c r="E731" s="116">
        <v>191.75</v>
      </c>
      <c r="F731" s="116">
        <v>191.5</v>
      </c>
      <c r="G731">
        <v>426</v>
      </c>
      <c r="H731" s="116"/>
      <c r="I731" s="116"/>
      <c r="L731" s="169">
        <v>43076</v>
      </c>
      <c r="M731" s="116">
        <v>192</v>
      </c>
      <c r="N731" s="116">
        <v>197</v>
      </c>
      <c r="O731" s="116">
        <v>191.15</v>
      </c>
      <c r="P731" s="116">
        <v>197</v>
      </c>
      <c r="Q731" s="116">
        <v>192</v>
      </c>
      <c r="R731">
        <v>4854</v>
      </c>
    </row>
    <row r="732" spans="1:18" x14ac:dyDescent="0.25">
      <c r="A732" s="169">
        <v>43077</v>
      </c>
      <c r="B732" s="116">
        <v>199.8</v>
      </c>
      <c r="C732" s="116">
        <v>193.3</v>
      </c>
      <c r="D732" s="116">
        <v>191.65</v>
      </c>
      <c r="E732" s="116">
        <v>199.8</v>
      </c>
      <c r="F732" s="116">
        <v>193.3</v>
      </c>
      <c r="G732">
        <v>1002</v>
      </c>
      <c r="H732" s="116"/>
      <c r="I732" s="116"/>
      <c r="L732" s="169">
        <v>43077</v>
      </c>
      <c r="M732" s="116">
        <v>192.85</v>
      </c>
      <c r="N732" s="116">
        <v>196.5</v>
      </c>
      <c r="O732" s="116">
        <v>192</v>
      </c>
      <c r="P732" s="116">
        <v>196.5</v>
      </c>
      <c r="Q732" s="116">
        <v>192.85</v>
      </c>
      <c r="R732">
        <v>8119</v>
      </c>
    </row>
    <row r="733" spans="1:18" x14ac:dyDescent="0.25">
      <c r="A733" s="169">
        <v>43080</v>
      </c>
      <c r="B733" s="116">
        <v>194.9</v>
      </c>
      <c r="C733" s="116">
        <v>192.75</v>
      </c>
      <c r="D733" s="116">
        <v>191</v>
      </c>
      <c r="E733" s="116">
        <v>191</v>
      </c>
      <c r="F733" s="116">
        <v>192.75</v>
      </c>
      <c r="G733">
        <v>2358</v>
      </c>
      <c r="H733" s="116"/>
      <c r="I733" s="116"/>
      <c r="L733" s="169">
        <v>43080</v>
      </c>
      <c r="M733" s="116">
        <v>193.55</v>
      </c>
      <c r="N733" s="116">
        <v>196.4</v>
      </c>
      <c r="O733" s="116">
        <v>191</v>
      </c>
      <c r="P733" s="116">
        <v>193.1</v>
      </c>
      <c r="Q733" s="116">
        <v>193.55</v>
      </c>
      <c r="R733">
        <v>12039</v>
      </c>
    </row>
    <row r="734" spans="1:18" x14ac:dyDescent="0.25">
      <c r="A734" s="169">
        <v>43081</v>
      </c>
      <c r="B734" s="116">
        <v>195</v>
      </c>
      <c r="C734" s="116">
        <v>191.95</v>
      </c>
      <c r="D734" s="116">
        <v>191</v>
      </c>
      <c r="E734" s="116">
        <v>191</v>
      </c>
      <c r="F734" s="116">
        <v>191.95</v>
      </c>
      <c r="G734">
        <v>525</v>
      </c>
      <c r="H734" s="116"/>
      <c r="I734" s="116"/>
      <c r="L734" s="169">
        <v>43081</v>
      </c>
      <c r="M734" s="116">
        <v>191</v>
      </c>
      <c r="N734" s="116">
        <v>195.85</v>
      </c>
      <c r="O734" s="116">
        <v>190.05</v>
      </c>
      <c r="P734" s="116">
        <v>193.25</v>
      </c>
      <c r="Q734" s="116">
        <v>191</v>
      </c>
      <c r="R734">
        <v>12475</v>
      </c>
    </row>
    <row r="735" spans="1:18" x14ac:dyDescent="0.25">
      <c r="A735" s="169">
        <v>43082</v>
      </c>
      <c r="B735" s="116">
        <v>194.25</v>
      </c>
      <c r="C735" s="116">
        <v>187.6</v>
      </c>
      <c r="D735" s="116">
        <v>186.85</v>
      </c>
      <c r="E735" s="116">
        <v>190.2</v>
      </c>
      <c r="F735" s="116">
        <v>187.6</v>
      </c>
      <c r="G735">
        <v>4008</v>
      </c>
      <c r="H735" s="116"/>
      <c r="I735" s="116"/>
      <c r="L735" s="169">
        <v>43082</v>
      </c>
      <c r="M735" s="116">
        <v>187.95</v>
      </c>
      <c r="N735" s="116">
        <v>194.8</v>
      </c>
      <c r="O735" s="116">
        <v>186.6</v>
      </c>
      <c r="P735" s="116">
        <v>193.8</v>
      </c>
      <c r="Q735" s="116">
        <v>187.95</v>
      </c>
      <c r="R735">
        <v>14128</v>
      </c>
    </row>
    <row r="736" spans="1:18" x14ac:dyDescent="0.25">
      <c r="A736" s="169">
        <v>43083</v>
      </c>
      <c r="B736" s="116">
        <v>192.05</v>
      </c>
      <c r="C736" s="116">
        <v>182.8</v>
      </c>
      <c r="D736" s="116">
        <v>180.1</v>
      </c>
      <c r="E736" s="116">
        <v>186.1</v>
      </c>
      <c r="F736" s="116">
        <v>182.8</v>
      </c>
      <c r="G736">
        <v>8414</v>
      </c>
      <c r="H736" s="116"/>
      <c r="I736" s="116"/>
      <c r="L736" s="169">
        <v>43083</v>
      </c>
      <c r="M736" s="116">
        <v>184.1</v>
      </c>
      <c r="N736" s="116">
        <v>193</v>
      </c>
      <c r="O736" s="116">
        <v>182.05</v>
      </c>
      <c r="P736" s="116">
        <v>187.25</v>
      </c>
      <c r="Q736" s="116">
        <v>184.1</v>
      </c>
      <c r="R736">
        <v>16897</v>
      </c>
    </row>
    <row r="737" spans="1:18" x14ac:dyDescent="0.25">
      <c r="A737" s="169">
        <v>43084</v>
      </c>
      <c r="B737" s="116">
        <v>215</v>
      </c>
      <c r="C737" s="116">
        <v>193.05</v>
      </c>
      <c r="D737" s="116">
        <v>181.05</v>
      </c>
      <c r="E737" s="116">
        <v>181.05</v>
      </c>
      <c r="F737" s="116">
        <v>193.05</v>
      </c>
      <c r="G737">
        <v>105876</v>
      </c>
      <c r="H737" s="116"/>
      <c r="I737" s="116"/>
      <c r="L737" s="169">
        <v>43084</v>
      </c>
      <c r="M737" s="116">
        <v>195.05</v>
      </c>
      <c r="N737" s="116">
        <v>212.8</v>
      </c>
      <c r="O737" s="116">
        <v>185.6</v>
      </c>
      <c r="P737" s="116">
        <v>185.6</v>
      </c>
      <c r="Q737" s="116">
        <v>195.05</v>
      </c>
      <c r="R737">
        <v>280230</v>
      </c>
    </row>
    <row r="738" spans="1:18" x14ac:dyDescent="0.25">
      <c r="A738" s="169">
        <v>43087</v>
      </c>
      <c r="B738" s="116">
        <v>202.5</v>
      </c>
      <c r="C738" s="116">
        <v>196.85</v>
      </c>
      <c r="D738" s="116">
        <v>186</v>
      </c>
      <c r="E738" s="116">
        <v>188</v>
      </c>
      <c r="F738" s="116">
        <v>196.85</v>
      </c>
      <c r="G738">
        <v>9286</v>
      </c>
      <c r="H738" s="116"/>
      <c r="I738" s="116"/>
      <c r="L738" s="169">
        <v>43087</v>
      </c>
      <c r="M738" s="116">
        <v>197.35</v>
      </c>
      <c r="N738" s="116">
        <v>202.95</v>
      </c>
      <c r="O738" s="116">
        <v>182</v>
      </c>
      <c r="P738" s="116">
        <v>195.05</v>
      </c>
      <c r="Q738" s="116">
        <v>197.35</v>
      </c>
      <c r="R738">
        <v>50801</v>
      </c>
    </row>
    <row r="739" spans="1:18" x14ac:dyDescent="0.25">
      <c r="A739" s="169">
        <v>43088</v>
      </c>
      <c r="B739" s="116">
        <v>199</v>
      </c>
      <c r="C739" s="116">
        <v>193.9</v>
      </c>
      <c r="D739" s="116">
        <v>191.9</v>
      </c>
      <c r="E739" s="116">
        <v>197</v>
      </c>
      <c r="F739" s="116">
        <v>193.9</v>
      </c>
      <c r="G739">
        <v>4406</v>
      </c>
      <c r="H739" s="116"/>
      <c r="I739" s="116"/>
      <c r="L739" s="169">
        <v>43088</v>
      </c>
      <c r="M739" s="116">
        <v>193.6</v>
      </c>
      <c r="N739" s="116">
        <v>200.7</v>
      </c>
      <c r="O739" s="116">
        <v>192.1</v>
      </c>
      <c r="P739" s="116">
        <v>200.7</v>
      </c>
      <c r="Q739" s="116">
        <v>193.6</v>
      </c>
      <c r="R739">
        <v>11109</v>
      </c>
    </row>
    <row r="740" spans="1:18" x14ac:dyDescent="0.25">
      <c r="A740" s="169">
        <v>43089</v>
      </c>
      <c r="B740" s="116">
        <v>195.7</v>
      </c>
      <c r="C740" s="116">
        <v>193.75</v>
      </c>
      <c r="D740" s="116">
        <v>193.65</v>
      </c>
      <c r="E740" s="116">
        <v>195.55</v>
      </c>
      <c r="F740" s="116">
        <v>193.75</v>
      </c>
      <c r="G740">
        <v>1527</v>
      </c>
      <c r="H740" s="116"/>
      <c r="I740" s="116"/>
      <c r="L740" s="169">
        <v>43089</v>
      </c>
      <c r="M740" s="116">
        <v>194</v>
      </c>
      <c r="N740" s="116">
        <v>199.75</v>
      </c>
      <c r="O740" s="116">
        <v>192</v>
      </c>
      <c r="P740" s="116">
        <v>192</v>
      </c>
      <c r="Q740" s="116">
        <v>194</v>
      </c>
      <c r="R740">
        <v>5349</v>
      </c>
    </row>
    <row r="741" spans="1:18" x14ac:dyDescent="0.25">
      <c r="A741" s="169">
        <v>43090</v>
      </c>
      <c r="B741" s="116">
        <v>201</v>
      </c>
      <c r="C741" s="116">
        <v>195.6</v>
      </c>
      <c r="D741" s="116">
        <v>194.6</v>
      </c>
      <c r="E741" s="116">
        <v>197.9</v>
      </c>
      <c r="F741" s="116">
        <v>195.6</v>
      </c>
      <c r="G741">
        <v>3547</v>
      </c>
      <c r="H741" s="116"/>
      <c r="I741" s="116"/>
      <c r="L741" s="169">
        <v>43090</v>
      </c>
      <c r="M741" s="116">
        <v>195.2</v>
      </c>
      <c r="N741" s="116">
        <v>201.8</v>
      </c>
      <c r="O741" s="116">
        <v>193.3</v>
      </c>
      <c r="P741" s="116">
        <v>195.95</v>
      </c>
      <c r="Q741" s="116">
        <v>195.2</v>
      </c>
      <c r="R741">
        <v>10534</v>
      </c>
    </row>
    <row r="742" spans="1:18" x14ac:dyDescent="0.25">
      <c r="A742" s="169">
        <v>43091</v>
      </c>
      <c r="B742" s="116">
        <v>197</v>
      </c>
      <c r="C742" s="116">
        <v>195.3</v>
      </c>
      <c r="D742" s="116">
        <v>194</v>
      </c>
      <c r="E742" s="116">
        <v>194.6</v>
      </c>
      <c r="F742" s="116">
        <v>195.3</v>
      </c>
      <c r="G742">
        <v>2009</v>
      </c>
      <c r="H742" s="116"/>
      <c r="I742" s="116"/>
      <c r="L742" s="169">
        <v>43091</v>
      </c>
      <c r="M742" s="116">
        <v>194.35</v>
      </c>
      <c r="N742" s="116">
        <v>197.8</v>
      </c>
      <c r="O742" s="116">
        <v>193.45</v>
      </c>
      <c r="P742" s="116">
        <v>195.2</v>
      </c>
      <c r="Q742" s="116">
        <v>194.35</v>
      </c>
      <c r="R742">
        <v>11535</v>
      </c>
    </row>
    <row r="743" spans="1:18" x14ac:dyDescent="0.25">
      <c r="A743" s="169">
        <v>43095</v>
      </c>
      <c r="B743" s="116">
        <v>205</v>
      </c>
      <c r="C743" s="116">
        <v>193.45</v>
      </c>
      <c r="D743" s="116">
        <v>193</v>
      </c>
      <c r="E743" s="116">
        <v>205</v>
      </c>
      <c r="F743" s="116">
        <v>193.45</v>
      </c>
      <c r="G743">
        <v>4649</v>
      </c>
      <c r="H743" s="116"/>
      <c r="I743" s="116"/>
      <c r="L743" s="169">
        <v>43095</v>
      </c>
      <c r="M743" s="116">
        <v>193.05</v>
      </c>
      <c r="N743" s="116">
        <v>197.25</v>
      </c>
      <c r="O743" s="116">
        <v>193</v>
      </c>
      <c r="P743" s="116">
        <v>196.75</v>
      </c>
      <c r="Q743" s="116">
        <v>193.05</v>
      </c>
      <c r="R743">
        <v>24248</v>
      </c>
    </row>
    <row r="744" spans="1:18" x14ac:dyDescent="0.25">
      <c r="A744" s="169">
        <v>43096</v>
      </c>
      <c r="B744" s="116">
        <v>202.8</v>
      </c>
      <c r="C744" s="116">
        <v>191</v>
      </c>
      <c r="D744" s="116">
        <v>189</v>
      </c>
      <c r="E744" s="116">
        <v>202.8</v>
      </c>
      <c r="F744" s="116">
        <v>191</v>
      </c>
      <c r="G744">
        <v>6768</v>
      </c>
      <c r="H744" s="116"/>
      <c r="I744" s="116"/>
      <c r="L744" s="169">
        <v>43096</v>
      </c>
      <c r="M744" s="116">
        <v>190.8</v>
      </c>
      <c r="N744" s="116">
        <v>195.75</v>
      </c>
      <c r="O744" s="116">
        <v>189</v>
      </c>
      <c r="P744" s="116">
        <v>193.1</v>
      </c>
      <c r="Q744" s="116">
        <v>190.8</v>
      </c>
      <c r="R744">
        <v>39089</v>
      </c>
    </row>
    <row r="745" spans="1:18" x14ac:dyDescent="0.25">
      <c r="A745" s="169">
        <v>43097</v>
      </c>
      <c r="B745" s="116">
        <v>201</v>
      </c>
      <c r="C745" s="116">
        <v>193.1</v>
      </c>
      <c r="D745" s="116">
        <v>190</v>
      </c>
      <c r="E745" s="116">
        <v>196.4</v>
      </c>
      <c r="F745" s="116">
        <v>193.1</v>
      </c>
      <c r="G745">
        <v>2517</v>
      </c>
      <c r="H745" s="116"/>
      <c r="I745" s="116"/>
      <c r="L745" s="169">
        <v>43097</v>
      </c>
      <c r="M745" s="116">
        <v>192.9</v>
      </c>
      <c r="N745" s="116">
        <v>193.8</v>
      </c>
      <c r="O745" s="116">
        <v>188</v>
      </c>
      <c r="P745" s="116">
        <v>188</v>
      </c>
      <c r="Q745" s="116">
        <v>192.9</v>
      </c>
      <c r="R745">
        <v>26542</v>
      </c>
    </row>
    <row r="746" spans="1:18" x14ac:dyDescent="0.25">
      <c r="A746" s="169">
        <v>43098</v>
      </c>
      <c r="B746" s="116">
        <v>197</v>
      </c>
      <c r="C746" s="116">
        <v>190.2</v>
      </c>
      <c r="D746" s="116">
        <v>188</v>
      </c>
      <c r="E746" s="116">
        <v>192.45</v>
      </c>
      <c r="F746" s="116">
        <v>190.2</v>
      </c>
      <c r="G746">
        <v>4034</v>
      </c>
      <c r="H746" s="116"/>
      <c r="I746" s="116"/>
      <c r="L746" s="169">
        <v>43098</v>
      </c>
      <c r="M746" s="116">
        <v>190.35</v>
      </c>
      <c r="N746" s="116">
        <v>194.7</v>
      </c>
      <c r="O746" s="116">
        <v>189.45</v>
      </c>
      <c r="P746" s="116">
        <v>192</v>
      </c>
      <c r="Q746" s="116">
        <v>190.35</v>
      </c>
      <c r="R746">
        <v>27486</v>
      </c>
    </row>
    <row r="747" spans="1:18" x14ac:dyDescent="0.25">
      <c r="A747" s="169">
        <v>43101</v>
      </c>
      <c r="B747" s="116">
        <v>193.95</v>
      </c>
      <c r="C747" s="116">
        <v>191.15</v>
      </c>
      <c r="D747" s="116">
        <v>190.05</v>
      </c>
      <c r="E747" s="116">
        <v>190.05</v>
      </c>
      <c r="F747" s="116">
        <v>191.15</v>
      </c>
      <c r="G747">
        <v>1024</v>
      </c>
      <c r="H747" s="116"/>
      <c r="I747" s="116"/>
      <c r="L747" s="169">
        <v>43101</v>
      </c>
      <c r="M747" s="116">
        <v>192.05</v>
      </c>
      <c r="N747" s="116">
        <v>194.2</v>
      </c>
      <c r="O747" s="116">
        <v>190.35</v>
      </c>
      <c r="P747" s="116">
        <v>190.35</v>
      </c>
      <c r="Q747" s="116">
        <v>192.05</v>
      </c>
      <c r="R747">
        <v>5023</v>
      </c>
    </row>
    <row r="748" spans="1:18" x14ac:dyDescent="0.25">
      <c r="A748" s="169">
        <v>43102</v>
      </c>
      <c r="B748" s="116">
        <v>195</v>
      </c>
      <c r="C748" s="116">
        <v>192.65</v>
      </c>
      <c r="D748" s="116">
        <v>191</v>
      </c>
      <c r="E748" s="116">
        <v>193</v>
      </c>
      <c r="F748" s="116">
        <v>192.65</v>
      </c>
      <c r="G748">
        <v>198075</v>
      </c>
      <c r="H748" s="116"/>
      <c r="I748" s="116"/>
      <c r="L748" s="169">
        <v>43102</v>
      </c>
      <c r="M748" s="116">
        <v>192.8</v>
      </c>
      <c r="N748" s="116">
        <v>195</v>
      </c>
      <c r="O748" s="116">
        <v>190.5</v>
      </c>
      <c r="P748" s="116">
        <v>190.5</v>
      </c>
      <c r="Q748" s="116">
        <v>192.8</v>
      </c>
      <c r="R748">
        <v>210134</v>
      </c>
    </row>
    <row r="749" spans="1:18" x14ac:dyDescent="0.25">
      <c r="A749" s="169">
        <v>43103</v>
      </c>
      <c r="B749" s="116">
        <v>200</v>
      </c>
      <c r="C749" s="116">
        <v>194.95</v>
      </c>
      <c r="D749" s="116">
        <v>192.1</v>
      </c>
      <c r="E749" s="116">
        <v>192.1</v>
      </c>
      <c r="F749" s="116">
        <v>194.95</v>
      </c>
      <c r="G749">
        <v>15212</v>
      </c>
      <c r="H749" s="116"/>
      <c r="I749" s="116"/>
      <c r="L749" s="169">
        <v>43103</v>
      </c>
      <c r="M749" s="116">
        <v>193.9</v>
      </c>
      <c r="N749" s="116">
        <v>198.6</v>
      </c>
      <c r="O749" s="116">
        <v>191.2</v>
      </c>
      <c r="P749" s="116">
        <v>194.8</v>
      </c>
      <c r="Q749" s="116">
        <v>193.9</v>
      </c>
      <c r="R749">
        <v>21982</v>
      </c>
    </row>
    <row r="750" spans="1:18" x14ac:dyDescent="0.25">
      <c r="A750" s="169">
        <v>43104</v>
      </c>
      <c r="B750" s="116">
        <v>196</v>
      </c>
      <c r="C750" s="116">
        <v>190</v>
      </c>
      <c r="D750" s="116">
        <v>189.35</v>
      </c>
      <c r="E750" s="116">
        <v>196</v>
      </c>
      <c r="F750" s="116">
        <v>190</v>
      </c>
      <c r="G750">
        <v>8668</v>
      </c>
      <c r="H750" s="116"/>
      <c r="I750" s="116"/>
      <c r="L750" s="169">
        <v>43104</v>
      </c>
      <c r="M750" s="116">
        <v>190.1</v>
      </c>
      <c r="N750" s="116">
        <v>195</v>
      </c>
      <c r="O750" s="116">
        <v>189.7</v>
      </c>
      <c r="P750" s="116">
        <v>193.45</v>
      </c>
      <c r="Q750" s="116">
        <v>190.1</v>
      </c>
      <c r="R750">
        <v>37874</v>
      </c>
    </row>
    <row r="751" spans="1:18" x14ac:dyDescent="0.25">
      <c r="A751" s="169">
        <v>43105</v>
      </c>
      <c r="B751" s="116">
        <v>193.4</v>
      </c>
      <c r="C751" s="116">
        <v>191.8</v>
      </c>
      <c r="D751" s="116">
        <v>191</v>
      </c>
      <c r="E751" s="116">
        <v>191.05</v>
      </c>
      <c r="F751" s="116">
        <v>191.8</v>
      </c>
      <c r="G751">
        <v>2523</v>
      </c>
      <c r="H751" s="116"/>
      <c r="I751" s="116"/>
      <c r="L751" s="169">
        <v>43105</v>
      </c>
      <c r="M751" s="116">
        <v>192</v>
      </c>
      <c r="N751" s="116">
        <v>193.95</v>
      </c>
      <c r="O751" s="116">
        <v>189.65</v>
      </c>
      <c r="P751" s="116">
        <v>190.1</v>
      </c>
      <c r="Q751" s="116">
        <v>192</v>
      </c>
      <c r="R751">
        <v>10830</v>
      </c>
    </row>
    <row r="752" spans="1:18" x14ac:dyDescent="0.25">
      <c r="A752" s="169">
        <v>43108</v>
      </c>
      <c r="B752" s="116">
        <v>204.8</v>
      </c>
      <c r="C752" s="116">
        <v>190.9</v>
      </c>
      <c r="D752" s="116">
        <v>189</v>
      </c>
      <c r="E752" s="116">
        <v>204.8</v>
      </c>
      <c r="F752" s="116">
        <v>190.9</v>
      </c>
      <c r="G752">
        <v>265956</v>
      </c>
      <c r="H752" s="116"/>
      <c r="I752" s="116"/>
      <c r="L752" s="169">
        <v>43108</v>
      </c>
      <c r="M752" s="116">
        <v>190.25</v>
      </c>
      <c r="N752" s="116">
        <v>196</v>
      </c>
      <c r="O752" s="116">
        <v>188.5</v>
      </c>
      <c r="P752" s="116">
        <v>193.8</v>
      </c>
      <c r="Q752" s="116">
        <v>190.25</v>
      </c>
      <c r="R752">
        <v>36866</v>
      </c>
    </row>
    <row r="753" spans="1:18" x14ac:dyDescent="0.25">
      <c r="A753" s="169">
        <v>43109</v>
      </c>
      <c r="B753" s="116">
        <v>194.85</v>
      </c>
      <c r="C753" s="116">
        <v>193</v>
      </c>
      <c r="D753" s="116">
        <v>189.45</v>
      </c>
      <c r="E753" s="116">
        <v>194.85</v>
      </c>
      <c r="F753" s="116">
        <v>193</v>
      </c>
      <c r="G753">
        <v>112460</v>
      </c>
      <c r="H753" s="116"/>
      <c r="I753" s="116"/>
      <c r="L753" s="169">
        <v>43109</v>
      </c>
      <c r="M753" s="116">
        <v>191.15</v>
      </c>
      <c r="N753" s="116">
        <v>195.7</v>
      </c>
      <c r="O753" s="116">
        <v>189</v>
      </c>
      <c r="P753" s="116">
        <v>193.05</v>
      </c>
      <c r="Q753" s="116">
        <v>191.15</v>
      </c>
      <c r="R753">
        <v>19704</v>
      </c>
    </row>
    <row r="754" spans="1:18" x14ac:dyDescent="0.25">
      <c r="A754" s="169">
        <v>43110</v>
      </c>
      <c r="B754" s="116">
        <v>194.15</v>
      </c>
      <c r="C754" s="116">
        <v>192.15</v>
      </c>
      <c r="D754" s="116">
        <v>191.05</v>
      </c>
      <c r="E754" s="116">
        <v>192.75</v>
      </c>
      <c r="F754" s="116">
        <v>192.15</v>
      </c>
      <c r="G754">
        <v>4027</v>
      </c>
      <c r="H754" s="116"/>
      <c r="I754" s="116"/>
      <c r="L754" s="169">
        <v>43110</v>
      </c>
      <c r="M754" s="116">
        <v>192.5</v>
      </c>
      <c r="N754" s="116">
        <v>194</v>
      </c>
      <c r="O754" s="116">
        <v>191.2</v>
      </c>
      <c r="P754" s="116">
        <v>193</v>
      </c>
      <c r="Q754" s="116">
        <v>192.5</v>
      </c>
      <c r="R754">
        <v>21196</v>
      </c>
    </row>
    <row r="755" spans="1:18" x14ac:dyDescent="0.25">
      <c r="A755" s="169">
        <v>43111</v>
      </c>
      <c r="B755" s="116">
        <v>210</v>
      </c>
      <c r="C755" s="116">
        <v>202.05</v>
      </c>
      <c r="D755" s="116">
        <v>192.6</v>
      </c>
      <c r="E755" s="116">
        <v>193.5</v>
      </c>
      <c r="F755" s="116">
        <v>202.05</v>
      </c>
      <c r="G755">
        <v>52462</v>
      </c>
      <c r="H755" s="116"/>
      <c r="I755" s="116"/>
      <c r="L755" s="169">
        <v>43111</v>
      </c>
      <c r="M755" s="116">
        <v>200.8</v>
      </c>
      <c r="N755" s="116">
        <v>210.7</v>
      </c>
      <c r="O755" s="116">
        <v>192</v>
      </c>
      <c r="P755" s="116">
        <v>192</v>
      </c>
      <c r="Q755" s="116">
        <v>200.8</v>
      </c>
      <c r="R755">
        <v>427445</v>
      </c>
    </row>
    <row r="756" spans="1:18" x14ac:dyDescent="0.25">
      <c r="A756" s="169">
        <v>43112</v>
      </c>
      <c r="B756" s="116">
        <v>205</v>
      </c>
      <c r="C756" s="116">
        <v>202.6</v>
      </c>
      <c r="D756" s="116">
        <v>198</v>
      </c>
      <c r="E756" s="116">
        <v>203.1</v>
      </c>
      <c r="F756" s="116">
        <v>202.6</v>
      </c>
      <c r="G756">
        <v>13966</v>
      </c>
      <c r="H756" s="116"/>
      <c r="I756" s="116"/>
      <c r="L756" s="169">
        <v>43112</v>
      </c>
      <c r="M756" s="116">
        <v>200.6</v>
      </c>
      <c r="N756" s="116">
        <v>205</v>
      </c>
      <c r="O756" s="116">
        <v>196.35</v>
      </c>
      <c r="P756" s="116">
        <v>202.75</v>
      </c>
      <c r="Q756" s="116">
        <v>200.6</v>
      </c>
      <c r="R756">
        <v>101848</v>
      </c>
    </row>
    <row r="757" spans="1:18" x14ac:dyDescent="0.25">
      <c r="A757" s="169">
        <v>43115</v>
      </c>
      <c r="B757" s="116">
        <v>203.5</v>
      </c>
      <c r="C757" s="116">
        <v>197.35</v>
      </c>
      <c r="D757" s="116">
        <v>196</v>
      </c>
      <c r="E757" s="116">
        <v>201.35</v>
      </c>
      <c r="F757" s="116">
        <v>197.35</v>
      </c>
      <c r="G757">
        <v>10933</v>
      </c>
      <c r="H757" s="116"/>
      <c r="I757" s="116"/>
      <c r="L757" s="169">
        <v>43115</v>
      </c>
      <c r="M757" s="116">
        <v>197.7</v>
      </c>
      <c r="N757" s="116">
        <v>204.55</v>
      </c>
      <c r="O757" s="116">
        <v>195</v>
      </c>
      <c r="P757" s="116">
        <v>204.55</v>
      </c>
      <c r="Q757" s="116">
        <v>197.7</v>
      </c>
      <c r="R757">
        <v>26095</v>
      </c>
    </row>
    <row r="758" spans="1:18" x14ac:dyDescent="0.25">
      <c r="A758" s="169">
        <v>43116</v>
      </c>
      <c r="B758" s="116">
        <v>196</v>
      </c>
      <c r="C758" s="116">
        <v>187.15</v>
      </c>
      <c r="D758" s="116">
        <v>185</v>
      </c>
      <c r="E758" s="116">
        <v>196</v>
      </c>
      <c r="F758" s="116">
        <v>187.15</v>
      </c>
      <c r="G758">
        <v>7410</v>
      </c>
      <c r="H758" s="116"/>
      <c r="I758" s="116"/>
      <c r="L758" s="169">
        <v>43116</v>
      </c>
      <c r="M758" s="116">
        <v>186.95</v>
      </c>
      <c r="N758" s="116">
        <v>197.3</v>
      </c>
      <c r="O758" s="116">
        <v>183.25</v>
      </c>
      <c r="P758" s="116">
        <v>197</v>
      </c>
      <c r="Q758" s="116">
        <v>186.95</v>
      </c>
      <c r="R758">
        <v>59353</v>
      </c>
    </row>
    <row r="759" spans="1:18" x14ac:dyDescent="0.25">
      <c r="A759" s="169">
        <v>43117</v>
      </c>
      <c r="B759" s="116">
        <v>191</v>
      </c>
      <c r="C759" s="116">
        <v>190.3</v>
      </c>
      <c r="D759" s="116">
        <v>184.2</v>
      </c>
      <c r="E759" s="116">
        <v>185</v>
      </c>
      <c r="F759" s="116">
        <v>190.3</v>
      </c>
      <c r="G759">
        <v>6483</v>
      </c>
      <c r="H759" s="116"/>
      <c r="I759" s="116"/>
      <c r="L759" s="169">
        <v>43117</v>
      </c>
      <c r="M759" s="116">
        <v>189</v>
      </c>
      <c r="N759" s="116">
        <v>194.5</v>
      </c>
      <c r="O759" s="116">
        <v>183</v>
      </c>
      <c r="P759" s="116">
        <v>187.5</v>
      </c>
      <c r="Q759" s="116">
        <v>189</v>
      </c>
      <c r="R759">
        <v>48575</v>
      </c>
    </row>
    <row r="760" spans="1:18" x14ac:dyDescent="0.25">
      <c r="A760" s="169">
        <v>43118</v>
      </c>
      <c r="B760" s="116">
        <v>192.15</v>
      </c>
      <c r="C760" s="116">
        <v>185.8</v>
      </c>
      <c r="D760" s="116">
        <v>185</v>
      </c>
      <c r="E760" s="116">
        <v>192</v>
      </c>
      <c r="F760" s="116">
        <v>185.8</v>
      </c>
      <c r="G760">
        <v>4392</v>
      </c>
      <c r="H760" s="116"/>
      <c r="I760" s="116"/>
      <c r="L760" s="169">
        <v>43118</v>
      </c>
      <c r="M760" s="116">
        <v>185.15</v>
      </c>
      <c r="N760" s="116">
        <v>192</v>
      </c>
      <c r="O760" s="116">
        <v>184</v>
      </c>
      <c r="P760" s="116">
        <v>191</v>
      </c>
      <c r="Q760" s="116">
        <v>185.15</v>
      </c>
      <c r="R760">
        <v>20429</v>
      </c>
    </row>
    <row r="761" spans="1:18" x14ac:dyDescent="0.25">
      <c r="A761" s="169">
        <v>43119</v>
      </c>
      <c r="B761" s="116">
        <v>187</v>
      </c>
      <c r="C761" s="116">
        <v>184.55</v>
      </c>
      <c r="D761" s="116">
        <v>181.65</v>
      </c>
      <c r="E761" s="116">
        <v>184.65</v>
      </c>
      <c r="F761" s="116">
        <v>184.55</v>
      </c>
      <c r="G761">
        <v>4664</v>
      </c>
      <c r="H761" s="116"/>
      <c r="I761" s="116"/>
      <c r="L761" s="169">
        <v>43119</v>
      </c>
      <c r="M761" s="116">
        <v>184.05</v>
      </c>
      <c r="N761" s="116">
        <v>188</v>
      </c>
      <c r="O761" s="116">
        <v>182.05</v>
      </c>
      <c r="P761" s="116">
        <v>185.9</v>
      </c>
      <c r="Q761" s="116">
        <v>184.05</v>
      </c>
      <c r="R761">
        <v>11959</v>
      </c>
    </row>
    <row r="762" spans="1:18" x14ac:dyDescent="0.25">
      <c r="A762" s="169">
        <v>43122</v>
      </c>
      <c r="B762" s="116">
        <v>184.75</v>
      </c>
      <c r="C762" s="116">
        <v>179.4</v>
      </c>
      <c r="D762" s="116">
        <v>179</v>
      </c>
      <c r="E762" s="116">
        <v>184.75</v>
      </c>
      <c r="F762" s="116">
        <v>179.4</v>
      </c>
      <c r="G762">
        <v>4156</v>
      </c>
      <c r="H762" s="116"/>
      <c r="I762" s="116"/>
      <c r="L762" s="169">
        <v>43122</v>
      </c>
      <c r="M762" s="116">
        <v>178.65</v>
      </c>
      <c r="N762" s="116">
        <v>186.95</v>
      </c>
      <c r="O762" s="116">
        <v>178.1</v>
      </c>
      <c r="P762" s="116">
        <v>184.15</v>
      </c>
      <c r="Q762" s="116">
        <v>178.65</v>
      </c>
      <c r="R762">
        <v>48452</v>
      </c>
    </row>
    <row r="763" spans="1:18" x14ac:dyDescent="0.25">
      <c r="A763" s="169">
        <v>43123</v>
      </c>
      <c r="B763" s="116">
        <v>181</v>
      </c>
      <c r="C763" s="116">
        <v>174.65</v>
      </c>
      <c r="D763" s="116">
        <v>174</v>
      </c>
      <c r="E763" s="116">
        <v>178.75</v>
      </c>
      <c r="F763" s="116">
        <v>174.65</v>
      </c>
      <c r="G763">
        <v>6224</v>
      </c>
      <c r="H763" s="116"/>
      <c r="I763" s="116"/>
      <c r="L763" s="169">
        <v>43123</v>
      </c>
      <c r="M763" s="116">
        <v>174.35</v>
      </c>
      <c r="N763" s="116">
        <v>181.65</v>
      </c>
      <c r="O763" s="116">
        <v>173.15</v>
      </c>
      <c r="P763" s="116">
        <v>179.2</v>
      </c>
      <c r="Q763" s="116">
        <v>174.35</v>
      </c>
      <c r="R763">
        <v>30525</v>
      </c>
    </row>
    <row r="764" spans="1:18" x14ac:dyDescent="0.25">
      <c r="A764" s="169">
        <v>43124</v>
      </c>
      <c r="B764" s="116">
        <v>184.5</v>
      </c>
      <c r="C764" s="116">
        <v>178.95</v>
      </c>
      <c r="D764" s="116">
        <v>173.75</v>
      </c>
      <c r="E764" s="116">
        <v>174.65</v>
      </c>
      <c r="F764" s="116">
        <v>178.95</v>
      </c>
      <c r="G764">
        <v>7830</v>
      </c>
      <c r="H764" s="116"/>
      <c r="I764" s="116"/>
      <c r="L764" s="169">
        <v>43124</v>
      </c>
      <c r="M764" s="116">
        <v>178.4</v>
      </c>
      <c r="N764" s="116">
        <v>184.45</v>
      </c>
      <c r="O764" s="116">
        <v>173</v>
      </c>
      <c r="P764" s="116">
        <v>177.95</v>
      </c>
      <c r="Q764" s="116">
        <v>178.4</v>
      </c>
      <c r="R764">
        <v>82821</v>
      </c>
    </row>
    <row r="765" spans="1:18" x14ac:dyDescent="0.25">
      <c r="A765" s="169">
        <v>43125</v>
      </c>
      <c r="B765" s="116">
        <v>179.2</v>
      </c>
      <c r="C765" s="116">
        <v>177.35</v>
      </c>
      <c r="D765" s="116">
        <v>175.55</v>
      </c>
      <c r="E765" s="116">
        <v>179.2</v>
      </c>
      <c r="F765" s="116">
        <v>177.35</v>
      </c>
      <c r="G765">
        <v>1779</v>
      </c>
      <c r="H765" s="116"/>
      <c r="I765" s="116"/>
      <c r="L765" s="169">
        <v>43125</v>
      </c>
      <c r="M765" s="116">
        <v>177.25</v>
      </c>
      <c r="N765" s="116">
        <v>180</v>
      </c>
      <c r="O765" s="116">
        <v>176.05</v>
      </c>
      <c r="P765" s="116">
        <v>179.15</v>
      </c>
      <c r="Q765" s="116">
        <v>177.25</v>
      </c>
      <c r="R765">
        <v>27833</v>
      </c>
    </row>
    <row r="766" spans="1:18" x14ac:dyDescent="0.25">
      <c r="A766" s="169">
        <v>43129</v>
      </c>
      <c r="B766" s="116">
        <v>181.15</v>
      </c>
      <c r="C766" s="116">
        <v>175.7</v>
      </c>
      <c r="D766" s="116">
        <v>173.5</v>
      </c>
      <c r="E766" s="116">
        <v>178.2</v>
      </c>
      <c r="F766" s="116">
        <v>175.7</v>
      </c>
      <c r="G766">
        <v>2433</v>
      </c>
      <c r="H766" s="116"/>
      <c r="I766" s="116"/>
      <c r="L766" s="169">
        <v>43129</v>
      </c>
      <c r="M766" s="116">
        <v>175.05</v>
      </c>
      <c r="N766" s="116">
        <v>180.7</v>
      </c>
      <c r="O766" s="116">
        <v>173.3</v>
      </c>
      <c r="P766" s="116">
        <v>177.25</v>
      </c>
      <c r="Q766" s="116">
        <v>175.05</v>
      </c>
      <c r="R766">
        <v>9952</v>
      </c>
    </row>
    <row r="767" spans="1:18" x14ac:dyDescent="0.25">
      <c r="A767" s="169">
        <v>43130</v>
      </c>
      <c r="B767" s="116">
        <v>179</v>
      </c>
      <c r="C767" s="116">
        <v>176.3</v>
      </c>
      <c r="D767" s="116">
        <v>171.65</v>
      </c>
      <c r="E767" s="116">
        <v>173</v>
      </c>
      <c r="F767" s="116">
        <v>176.3</v>
      </c>
      <c r="G767">
        <v>6122</v>
      </c>
      <c r="H767" s="116"/>
      <c r="I767" s="116"/>
      <c r="L767" s="169">
        <v>43130</v>
      </c>
      <c r="M767" s="116">
        <v>174.6</v>
      </c>
      <c r="N767" s="116">
        <v>178.9</v>
      </c>
      <c r="O767" s="116">
        <v>170.3</v>
      </c>
      <c r="P767" s="116">
        <v>178.7</v>
      </c>
      <c r="Q767" s="116">
        <v>174.6</v>
      </c>
      <c r="R767">
        <v>82097</v>
      </c>
    </row>
    <row r="768" spans="1:18" x14ac:dyDescent="0.25">
      <c r="A768" s="169">
        <v>43131</v>
      </c>
      <c r="B768" s="116">
        <v>175.5</v>
      </c>
      <c r="C768" s="116">
        <v>173.25</v>
      </c>
      <c r="D768" s="116">
        <v>172.75</v>
      </c>
      <c r="E768" s="116">
        <v>173.3</v>
      </c>
      <c r="F768" s="116">
        <v>173.25</v>
      </c>
      <c r="G768">
        <v>3077</v>
      </c>
      <c r="H768" s="116"/>
      <c r="I768" s="116"/>
      <c r="L768" s="169">
        <v>43131</v>
      </c>
      <c r="M768" s="116">
        <v>173.15</v>
      </c>
      <c r="N768" s="116">
        <v>178</v>
      </c>
      <c r="O768" s="116">
        <v>172.05</v>
      </c>
      <c r="P768" s="116">
        <v>178</v>
      </c>
      <c r="Q768" s="116">
        <v>173.15</v>
      </c>
      <c r="R768">
        <v>43316</v>
      </c>
    </row>
    <row r="769" spans="1:18" x14ac:dyDescent="0.25">
      <c r="A769" s="169">
        <v>43132</v>
      </c>
      <c r="B769" s="116">
        <v>175</v>
      </c>
      <c r="C769" s="116">
        <v>172.35</v>
      </c>
      <c r="D769" s="116">
        <v>171</v>
      </c>
      <c r="E769" s="116">
        <v>175</v>
      </c>
      <c r="F769" s="116">
        <v>172.35</v>
      </c>
      <c r="G769">
        <v>1564</v>
      </c>
      <c r="H769" s="116"/>
      <c r="I769" s="116"/>
      <c r="L769" s="169">
        <v>43132</v>
      </c>
      <c r="M769" s="116">
        <v>173.1</v>
      </c>
      <c r="N769" s="116">
        <v>174.75</v>
      </c>
      <c r="O769" s="116">
        <v>171.6</v>
      </c>
      <c r="P769" s="116">
        <v>173.05</v>
      </c>
      <c r="Q769" s="116">
        <v>173.1</v>
      </c>
      <c r="R769">
        <v>9789</v>
      </c>
    </row>
    <row r="770" spans="1:18" x14ac:dyDescent="0.25">
      <c r="A770" s="169">
        <v>43133</v>
      </c>
      <c r="B770" s="116">
        <v>168.95</v>
      </c>
      <c r="C770" s="116">
        <v>158.19999999999999</v>
      </c>
      <c r="D770" s="116">
        <v>156.94999999999999</v>
      </c>
      <c r="E770" s="116">
        <v>167</v>
      </c>
      <c r="F770" s="116">
        <v>158.19999999999999</v>
      </c>
      <c r="G770">
        <v>7435</v>
      </c>
      <c r="H770" s="116"/>
      <c r="I770" s="116"/>
      <c r="L770" s="169">
        <v>43133</v>
      </c>
      <c r="M770" s="116">
        <v>159.4</v>
      </c>
      <c r="N770" s="116">
        <v>172</v>
      </c>
      <c r="O770" s="116">
        <v>156.94999999999999</v>
      </c>
      <c r="P770" s="116">
        <v>172</v>
      </c>
      <c r="Q770" s="116">
        <v>159.4</v>
      </c>
      <c r="R770">
        <v>30300</v>
      </c>
    </row>
    <row r="771" spans="1:18" x14ac:dyDescent="0.25">
      <c r="A771" s="169">
        <v>43136</v>
      </c>
      <c r="B771" s="116">
        <v>166</v>
      </c>
      <c r="C771" s="116">
        <v>161.94999999999999</v>
      </c>
      <c r="D771" s="116">
        <v>145.30000000000001</v>
      </c>
      <c r="E771" s="116">
        <v>153</v>
      </c>
      <c r="F771" s="116">
        <v>161.94999999999999</v>
      </c>
      <c r="G771">
        <v>6498</v>
      </c>
      <c r="H771" s="116"/>
      <c r="I771" s="116"/>
      <c r="L771" s="169">
        <v>43136</v>
      </c>
      <c r="M771" s="116">
        <v>160.80000000000001</v>
      </c>
      <c r="N771" s="116">
        <v>166.4</v>
      </c>
      <c r="O771" s="116">
        <v>143.15</v>
      </c>
      <c r="P771" s="116">
        <v>157</v>
      </c>
      <c r="Q771" s="116">
        <v>160.80000000000001</v>
      </c>
      <c r="R771">
        <v>41119</v>
      </c>
    </row>
    <row r="772" spans="1:18" x14ac:dyDescent="0.25">
      <c r="A772" s="169">
        <v>43137</v>
      </c>
      <c r="B772" s="116">
        <v>154.5</v>
      </c>
      <c r="C772" s="116">
        <v>148.15</v>
      </c>
      <c r="D772" s="116">
        <v>145.30000000000001</v>
      </c>
      <c r="E772" s="116">
        <v>145.35</v>
      </c>
      <c r="F772" s="116">
        <v>148.15</v>
      </c>
      <c r="G772">
        <v>5684</v>
      </c>
      <c r="H772" s="116"/>
      <c r="I772" s="116"/>
      <c r="L772" s="169">
        <v>43137</v>
      </c>
      <c r="M772" s="116">
        <v>148</v>
      </c>
      <c r="N772" s="116">
        <v>162</v>
      </c>
      <c r="O772" s="116">
        <v>142.05000000000001</v>
      </c>
      <c r="P772" s="116">
        <v>157.05000000000001</v>
      </c>
      <c r="Q772" s="116">
        <v>148</v>
      </c>
      <c r="R772">
        <v>215445</v>
      </c>
    </row>
    <row r="773" spans="1:18" x14ac:dyDescent="0.25">
      <c r="A773" s="169">
        <v>43138</v>
      </c>
      <c r="B773" s="116">
        <v>164</v>
      </c>
      <c r="C773" s="116">
        <v>147.5</v>
      </c>
      <c r="D773" s="116">
        <v>145</v>
      </c>
      <c r="E773" s="116">
        <v>164</v>
      </c>
      <c r="F773" s="116">
        <v>147.5</v>
      </c>
      <c r="G773">
        <v>22954</v>
      </c>
      <c r="H773" s="116"/>
      <c r="I773" s="116"/>
      <c r="L773" s="169">
        <v>43138</v>
      </c>
      <c r="M773" s="116">
        <v>147</v>
      </c>
      <c r="N773" s="116">
        <v>153.9</v>
      </c>
      <c r="O773" s="116">
        <v>145</v>
      </c>
      <c r="P773" s="116">
        <v>152.05000000000001</v>
      </c>
      <c r="Q773" s="116">
        <v>147</v>
      </c>
      <c r="R773">
        <v>48607</v>
      </c>
    </row>
    <row r="774" spans="1:18" x14ac:dyDescent="0.25">
      <c r="A774" s="169">
        <v>43139</v>
      </c>
      <c r="B774" s="116">
        <v>150.5</v>
      </c>
      <c r="C774" s="116">
        <v>146.65</v>
      </c>
      <c r="D774" s="116">
        <v>146</v>
      </c>
      <c r="E774" s="116">
        <v>150</v>
      </c>
      <c r="F774" s="116">
        <v>146.65</v>
      </c>
      <c r="G774">
        <v>7943</v>
      </c>
      <c r="H774" s="116"/>
      <c r="I774" s="116"/>
      <c r="L774" s="169">
        <v>43139</v>
      </c>
      <c r="M774" s="116">
        <v>146.94999999999999</v>
      </c>
      <c r="N774" s="116">
        <v>151</v>
      </c>
      <c r="O774" s="116">
        <v>145.19999999999999</v>
      </c>
      <c r="P774" s="116">
        <v>149.15</v>
      </c>
      <c r="Q774" s="116">
        <v>146.94999999999999</v>
      </c>
      <c r="R774">
        <v>131103</v>
      </c>
    </row>
    <row r="775" spans="1:18" x14ac:dyDescent="0.25">
      <c r="A775" s="169">
        <v>43140</v>
      </c>
      <c r="B775" s="116">
        <v>147.4</v>
      </c>
      <c r="C775" s="116">
        <v>146</v>
      </c>
      <c r="D775" s="116">
        <v>142.85</v>
      </c>
      <c r="E775" s="116">
        <v>146.35</v>
      </c>
      <c r="F775" s="116">
        <v>146</v>
      </c>
      <c r="G775">
        <v>108396</v>
      </c>
      <c r="H775" s="116"/>
      <c r="I775" s="116"/>
      <c r="L775" s="169">
        <v>43140</v>
      </c>
      <c r="M775" s="116">
        <v>144.6</v>
      </c>
      <c r="N775" s="116">
        <v>147.6</v>
      </c>
      <c r="O775" s="116">
        <v>141.30000000000001</v>
      </c>
      <c r="P775" s="116">
        <v>144</v>
      </c>
      <c r="Q775" s="116">
        <v>144.6</v>
      </c>
      <c r="R775">
        <v>153293</v>
      </c>
    </row>
    <row r="776" spans="1:18" x14ac:dyDescent="0.25">
      <c r="A776" s="169">
        <v>43143</v>
      </c>
      <c r="B776" s="116">
        <v>152.1</v>
      </c>
      <c r="C776" s="116">
        <v>149</v>
      </c>
      <c r="D776" s="116">
        <v>146.05000000000001</v>
      </c>
      <c r="E776" s="116">
        <v>150.9</v>
      </c>
      <c r="F776" s="116">
        <v>149</v>
      </c>
      <c r="G776">
        <v>5061</v>
      </c>
      <c r="H776" s="116"/>
      <c r="I776" s="116"/>
      <c r="L776" s="169">
        <v>43143</v>
      </c>
      <c r="M776" s="116">
        <v>149.19999999999999</v>
      </c>
      <c r="N776" s="116">
        <v>153.9</v>
      </c>
      <c r="O776" s="116">
        <v>144.1</v>
      </c>
      <c r="P776" s="116">
        <v>150</v>
      </c>
      <c r="Q776" s="116">
        <v>149.19999999999999</v>
      </c>
      <c r="R776">
        <v>66027</v>
      </c>
    </row>
    <row r="777" spans="1:18" x14ac:dyDescent="0.25">
      <c r="A777" s="169">
        <v>43145</v>
      </c>
      <c r="B777" s="116">
        <v>171.8</v>
      </c>
      <c r="C777" s="116">
        <v>152.25</v>
      </c>
      <c r="D777" s="116">
        <v>145.55000000000001</v>
      </c>
      <c r="E777" s="116">
        <v>148.44999999999999</v>
      </c>
      <c r="F777" s="116">
        <v>152.25</v>
      </c>
      <c r="G777">
        <v>27240</v>
      </c>
      <c r="H777" s="116"/>
      <c r="I777" s="116"/>
      <c r="L777" s="169">
        <v>43145</v>
      </c>
      <c r="M777" s="116">
        <v>152.5</v>
      </c>
      <c r="N777" s="116">
        <v>173.85</v>
      </c>
      <c r="O777" s="116">
        <v>147.25</v>
      </c>
      <c r="P777" s="116">
        <v>153.19999999999999</v>
      </c>
      <c r="Q777" s="116">
        <v>152.5</v>
      </c>
      <c r="R777">
        <v>199101</v>
      </c>
    </row>
    <row r="778" spans="1:18" x14ac:dyDescent="0.25">
      <c r="A778" s="169">
        <v>43146</v>
      </c>
      <c r="B778" s="116">
        <v>157</v>
      </c>
      <c r="C778" s="116">
        <v>152.80000000000001</v>
      </c>
      <c r="D778" s="116">
        <v>151.19999999999999</v>
      </c>
      <c r="E778" s="116">
        <v>155.19999999999999</v>
      </c>
      <c r="F778" s="116">
        <v>152.80000000000001</v>
      </c>
      <c r="G778">
        <v>6502</v>
      </c>
      <c r="H778" s="116"/>
      <c r="I778" s="116"/>
      <c r="L778" s="169">
        <v>43146</v>
      </c>
      <c r="M778" s="116">
        <v>152.80000000000001</v>
      </c>
      <c r="N778" s="116">
        <v>161.94999999999999</v>
      </c>
      <c r="O778" s="116">
        <v>151.5</v>
      </c>
      <c r="P778" s="116">
        <v>154.19999999999999</v>
      </c>
      <c r="Q778" s="116">
        <v>152.80000000000001</v>
      </c>
      <c r="R778">
        <v>26653</v>
      </c>
    </row>
    <row r="779" spans="1:18" x14ac:dyDescent="0.25">
      <c r="A779" s="169">
        <v>43147</v>
      </c>
      <c r="B779" s="116">
        <v>152.05000000000001</v>
      </c>
      <c r="C779" s="116">
        <v>148.69999999999999</v>
      </c>
      <c r="D779" s="116">
        <v>147.05000000000001</v>
      </c>
      <c r="E779" s="116">
        <v>152.05000000000001</v>
      </c>
      <c r="F779" s="116">
        <v>148.69999999999999</v>
      </c>
      <c r="G779">
        <v>2170</v>
      </c>
      <c r="H779" s="116"/>
      <c r="I779" s="116"/>
      <c r="L779" s="169">
        <v>43147</v>
      </c>
      <c r="M779" s="116">
        <v>148.65</v>
      </c>
      <c r="N779" s="116">
        <v>155.05000000000001</v>
      </c>
      <c r="O779" s="116">
        <v>146.69999999999999</v>
      </c>
      <c r="P779" s="116">
        <v>155</v>
      </c>
      <c r="Q779" s="116">
        <v>148.65</v>
      </c>
      <c r="R779">
        <v>45272</v>
      </c>
    </row>
    <row r="780" spans="1:18" x14ac:dyDescent="0.25">
      <c r="A780" s="169">
        <v>43150</v>
      </c>
      <c r="B780" s="116">
        <v>150</v>
      </c>
      <c r="C780" s="116">
        <v>144.4</v>
      </c>
      <c r="D780" s="116">
        <v>139.69999999999999</v>
      </c>
      <c r="E780" s="116">
        <v>149</v>
      </c>
      <c r="F780" s="116">
        <v>144.4</v>
      </c>
      <c r="G780">
        <v>6859</v>
      </c>
      <c r="H780" s="116"/>
      <c r="I780" s="116"/>
      <c r="L780" s="169">
        <v>43150</v>
      </c>
      <c r="M780" s="116">
        <v>144.80000000000001</v>
      </c>
      <c r="N780" s="116">
        <v>150.80000000000001</v>
      </c>
      <c r="O780" s="116">
        <v>143.35</v>
      </c>
      <c r="P780" s="116">
        <v>147.15</v>
      </c>
      <c r="Q780" s="116">
        <v>144.80000000000001</v>
      </c>
      <c r="R780">
        <v>12089</v>
      </c>
    </row>
    <row r="781" spans="1:18" x14ac:dyDescent="0.25">
      <c r="A781" s="169">
        <v>43151</v>
      </c>
      <c r="B781" s="116">
        <v>147</v>
      </c>
      <c r="C781" s="116">
        <v>144.9</v>
      </c>
      <c r="D781" s="116">
        <v>144.69999999999999</v>
      </c>
      <c r="E781" s="116">
        <v>146</v>
      </c>
      <c r="F781" s="116">
        <v>144.9</v>
      </c>
      <c r="G781">
        <v>3315</v>
      </c>
      <c r="H781" s="116"/>
      <c r="I781" s="116"/>
      <c r="L781" s="169">
        <v>43151</v>
      </c>
      <c r="M781" s="116">
        <v>144.75</v>
      </c>
      <c r="N781" s="116">
        <v>147.19999999999999</v>
      </c>
      <c r="O781" s="116">
        <v>144.5</v>
      </c>
      <c r="P781" s="116">
        <v>146.94999999999999</v>
      </c>
      <c r="Q781" s="116">
        <v>144.75</v>
      </c>
      <c r="R781">
        <v>17897</v>
      </c>
    </row>
    <row r="782" spans="1:18" x14ac:dyDescent="0.25">
      <c r="A782" s="169">
        <v>43152</v>
      </c>
      <c r="B782" s="116">
        <v>146.35</v>
      </c>
      <c r="C782" s="116">
        <v>141.5</v>
      </c>
      <c r="D782" s="116">
        <v>140.9</v>
      </c>
      <c r="E782" s="116">
        <v>146.35</v>
      </c>
      <c r="F782" s="116">
        <v>141.5</v>
      </c>
      <c r="G782">
        <v>2406</v>
      </c>
      <c r="H782" s="116"/>
      <c r="I782" s="116"/>
      <c r="L782" s="169">
        <v>43152</v>
      </c>
      <c r="M782" s="116">
        <v>141.55000000000001</v>
      </c>
      <c r="N782" s="116">
        <v>148.65</v>
      </c>
      <c r="O782" s="116">
        <v>140.30000000000001</v>
      </c>
      <c r="P782" s="116">
        <v>148.65</v>
      </c>
      <c r="Q782" s="116">
        <v>141.55000000000001</v>
      </c>
      <c r="R782">
        <v>10329</v>
      </c>
    </row>
    <row r="783" spans="1:18" x14ac:dyDescent="0.25">
      <c r="A783" s="169">
        <v>43153</v>
      </c>
      <c r="B783" s="116">
        <v>141.6</v>
      </c>
      <c r="C783" s="116">
        <v>140.15</v>
      </c>
      <c r="D783" s="116">
        <v>138.19999999999999</v>
      </c>
      <c r="E783" s="116">
        <v>139.80000000000001</v>
      </c>
      <c r="F783" s="116">
        <v>140.15</v>
      </c>
      <c r="G783">
        <v>633</v>
      </c>
      <c r="H783" s="116"/>
      <c r="I783" s="116"/>
      <c r="L783" s="169">
        <v>43153</v>
      </c>
      <c r="M783" s="116">
        <v>139.15</v>
      </c>
      <c r="N783" s="116">
        <v>143.19999999999999</v>
      </c>
      <c r="O783" s="116">
        <v>138.25</v>
      </c>
      <c r="P783" s="116">
        <v>141.05000000000001</v>
      </c>
      <c r="Q783" s="116">
        <v>139.15</v>
      </c>
      <c r="R783">
        <v>15939</v>
      </c>
    </row>
    <row r="784" spans="1:18" x14ac:dyDescent="0.25">
      <c r="A784" s="169">
        <v>43154</v>
      </c>
      <c r="B784" s="116">
        <v>145</v>
      </c>
      <c r="C784" s="116">
        <v>142.55000000000001</v>
      </c>
      <c r="D784" s="116">
        <v>140.9</v>
      </c>
      <c r="E784" s="116">
        <v>140.9</v>
      </c>
      <c r="F784" s="116">
        <v>142.55000000000001</v>
      </c>
      <c r="G784">
        <v>5380</v>
      </c>
      <c r="H784" s="116"/>
      <c r="I784" s="116"/>
      <c r="L784" s="169">
        <v>43154</v>
      </c>
      <c r="M784" s="116">
        <v>142.44999999999999</v>
      </c>
      <c r="N784" s="116">
        <v>144.44999999999999</v>
      </c>
      <c r="O784" s="116">
        <v>139.30000000000001</v>
      </c>
      <c r="P784" s="116">
        <v>139.35</v>
      </c>
      <c r="Q784" s="116">
        <v>142.44999999999999</v>
      </c>
      <c r="R784">
        <v>9680</v>
      </c>
    </row>
    <row r="785" spans="1:18" x14ac:dyDescent="0.25">
      <c r="A785" s="169">
        <v>43157</v>
      </c>
      <c r="B785" s="116">
        <v>158</v>
      </c>
      <c r="C785" s="116">
        <v>149.69999999999999</v>
      </c>
      <c r="D785" s="116">
        <v>145.5</v>
      </c>
      <c r="E785" s="116">
        <v>145.9</v>
      </c>
      <c r="F785" s="116">
        <v>149.69999999999999</v>
      </c>
      <c r="G785">
        <v>366920</v>
      </c>
      <c r="H785" s="116"/>
      <c r="I785" s="116"/>
      <c r="L785" s="169">
        <v>43157</v>
      </c>
      <c r="M785" s="116">
        <v>148.4</v>
      </c>
      <c r="N785" s="116">
        <v>157.80000000000001</v>
      </c>
      <c r="O785" s="116">
        <v>142.69999999999999</v>
      </c>
      <c r="P785" s="116">
        <v>142.75</v>
      </c>
      <c r="Q785" s="116">
        <v>148.4</v>
      </c>
      <c r="R785">
        <v>506861</v>
      </c>
    </row>
    <row r="786" spans="1:18" x14ac:dyDescent="0.25">
      <c r="A786" s="169">
        <v>43158</v>
      </c>
      <c r="B786" s="116">
        <v>149.35</v>
      </c>
      <c r="C786" s="116">
        <v>146.35</v>
      </c>
      <c r="D786" s="116">
        <v>144.85</v>
      </c>
      <c r="E786" s="116">
        <v>148</v>
      </c>
      <c r="F786" s="116">
        <v>146.35</v>
      </c>
      <c r="G786">
        <v>2035</v>
      </c>
      <c r="H786" s="116"/>
      <c r="I786" s="116"/>
      <c r="L786" s="169">
        <v>43158</v>
      </c>
      <c r="M786" s="116">
        <v>146.4</v>
      </c>
      <c r="N786" s="116">
        <v>149.80000000000001</v>
      </c>
      <c r="O786" s="116">
        <v>145</v>
      </c>
      <c r="P786" s="116">
        <v>149.4</v>
      </c>
      <c r="Q786" s="116">
        <v>146.4</v>
      </c>
      <c r="R786">
        <v>15017</v>
      </c>
    </row>
    <row r="787" spans="1:18" x14ac:dyDescent="0.25">
      <c r="A787" s="169">
        <v>43159</v>
      </c>
      <c r="B787" s="116">
        <v>145</v>
      </c>
      <c r="C787" s="116">
        <v>144.9</v>
      </c>
      <c r="D787" s="116">
        <v>142</v>
      </c>
      <c r="E787" s="116">
        <v>142</v>
      </c>
      <c r="F787" s="116">
        <v>144.9</v>
      </c>
      <c r="G787">
        <v>892</v>
      </c>
      <c r="H787" s="116"/>
      <c r="I787" s="116"/>
      <c r="L787" s="169">
        <v>43159</v>
      </c>
      <c r="M787" s="116">
        <v>143.6</v>
      </c>
      <c r="N787" s="116">
        <v>145.94999999999999</v>
      </c>
      <c r="O787" s="116">
        <v>141.25</v>
      </c>
      <c r="P787" s="116">
        <v>145.94999999999999</v>
      </c>
      <c r="Q787" s="116">
        <v>143.6</v>
      </c>
      <c r="R787">
        <v>23603</v>
      </c>
    </row>
    <row r="788" spans="1:18" x14ac:dyDescent="0.25">
      <c r="A788" s="169">
        <v>43160</v>
      </c>
      <c r="B788" s="116">
        <v>146</v>
      </c>
      <c r="C788" s="116">
        <v>143.05000000000001</v>
      </c>
      <c r="D788" s="116">
        <v>143</v>
      </c>
      <c r="E788" s="116">
        <v>146</v>
      </c>
      <c r="F788" s="116">
        <v>143.05000000000001</v>
      </c>
      <c r="G788">
        <v>1978</v>
      </c>
      <c r="H788" s="116"/>
      <c r="I788" s="116"/>
      <c r="L788" s="169">
        <v>43160</v>
      </c>
      <c r="M788" s="116">
        <v>143.6</v>
      </c>
      <c r="N788" s="116">
        <v>147.05000000000001</v>
      </c>
      <c r="O788" s="116">
        <v>143.5</v>
      </c>
      <c r="P788" s="116">
        <v>143.6</v>
      </c>
      <c r="Q788" s="116">
        <v>143.6</v>
      </c>
      <c r="R788">
        <v>12122</v>
      </c>
    </row>
    <row r="789" spans="1:18" x14ac:dyDescent="0.25">
      <c r="A789" s="169">
        <v>43164</v>
      </c>
      <c r="B789" s="116">
        <v>145.5</v>
      </c>
      <c r="C789" s="116">
        <v>144.69999999999999</v>
      </c>
      <c r="D789" s="116">
        <v>140</v>
      </c>
      <c r="E789" s="116">
        <v>142.6</v>
      </c>
      <c r="F789" s="116">
        <v>144.69999999999999</v>
      </c>
      <c r="G789">
        <v>13278</v>
      </c>
      <c r="H789" s="116"/>
      <c r="I789" s="116"/>
      <c r="L789" s="169">
        <v>43164</v>
      </c>
      <c r="M789" s="116">
        <v>144.75</v>
      </c>
      <c r="N789" s="116">
        <v>145.9</v>
      </c>
      <c r="O789" s="116">
        <v>140</v>
      </c>
      <c r="P789" s="116">
        <v>143.05000000000001</v>
      </c>
      <c r="Q789" s="116">
        <v>144.75</v>
      </c>
      <c r="R789">
        <v>20131</v>
      </c>
    </row>
    <row r="790" spans="1:18" x14ac:dyDescent="0.25">
      <c r="A790" s="169">
        <v>43165</v>
      </c>
      <c r="B790" s="116">
        <v>149.25</v>
      </c>
      <c r="C790" s="116">
        <v>142</v>
      </c>
      <c r="D790" s="116">
        <v>141.35</v>
      </c>
      <c r="E790" s="116">
        <v>149.19999999999999</v>
      </c>
      <c r="F790" s="116">
        <v>142</v>
      </c>
      <c r="G790">
        <v>951</v>
      </c>
      <c r="H790" s="116"/>
      <c r="I790" s="116"/>
      <c r="L790" s="169">
        <v>43165</v>
      </c>
      <c r="M790" s="116">
        <v>142.25</v>
      </c>
      <c r="N790" s="116">
        <v>152</v>
      </c>
      <c r="O790" s="116">
        <v>141.75</v>
      </c>
      <c r="P790" s="116">
        <v>146.85</v>
      </c>
      <c r="Q790" s="116">
        <v>142.25</v>
      </c>
      <c r="R790">
        <v>10555</v>
      </c>
    </row>
    <row r="791" spans="1:18" x14ac:dyDescent="0.25">
      <c r="A791" s="169">
        <v>43166</v>
      </c>
      <c r="B791" s="116">
        <v>143.35</v>
      </c>
      <c r="C791" s="116">
        <v>138.44999999999999</v>
      </c>
      <c r="D791" s="116">
        <v>137.1</v>
      </c>
      <c r="E791" s="116">
        <v>141.1</v>
      </c>
      <c r="F791" s="116">
        <v>138.44999999999999</v>
      </c>
      <c r="G791">
        <v>2612</v>
      </c>
      <c r="H791" s="116"/>
      <c r="I791" s="116"/>
      <c r="L791" s="169">
        <v>43166</v>
      </c>
      <c r="M791" s="116">
        <v>138.25</v>
      </c>
      <c r="N791" s="116">
        <v>143.19999999999999</v>
      </c>
      <c r="O791" s="116">
        <v>136.35</v>
      </c>
      <c r="P791" s="116">
        <v>142</v>
      </c>
      <c r="Q791" s="116">
        <v>138.25</v>
      </c>
      <c r="R791">
        <v>12353</v>
      </c>
    </row>
    <row r="792" spans="1:18" x14ac:dyDescent="0.25">
      <c r="A792" s="169">
        <v>43167</v>
      </c>
      <c r="B792" s="116">
        <v>142</v>
      </c>
      <c r="C792" s="116">
        <v>138.6</v>
      </c>
      <c r="D792" s="116">
        <v>136</v>
      </c>
      <c r="E792" s="116">
        <v>142</v>
      </c>
      <c r="F792" s="116">
        <v>138.6</v>
      </c>
      <c r="G792">
        <v>774</v>
      </c>
      <c r="H792" s="116"/>
      <c r="I792" s="116"/>
      <c r="L792" s="169">
        <v>43167</v>
      </c>
      <c r="M792" s="116">
        <v>139.65</v>
      </c>
      <c r="N792" s="116">
        <v>142.4</v>
      </c>
      <c r="O792" s="116">
        <v>135.69999999999999</v>
      </c>
      <c r="P792" s="116">
        <v>139.1</v>
      </c>
      <c r="Q792" s="116">
        <v>139.65</v>
      </c>
      <c r="R792">
        <v>9083</v>
      </c>
    </row>
    <row r="793" spans="1:18" x14ac:dyDescent="0.25">
      <c r="A793" s="169">
        <v>43168</v>
      </c>
      <c r="B793" s="116">
        <v>140.05000000000001</v>
      </c>
      <c r="C793" s="116">
        <v>135.80000000000001</v>
      </c>
      <c r="D793" s="116">
        <v>133.25</v>
      </c>
      <c r="E793" s="116">
        <v>140.05000000000001</v>
      </c>
      <c r="F793" s="116">
        <v>135.80000000000001</v>
      </c>
      <c r="G793">
        <v>1611</v>
      </c>
      <c r="H793" s="116"/>
      <c r="I793" s="116"/>
      <c r="L793" s="169">
        <v>43168</v>
      </c>
      <c r="M793" s="116">
        <v>135.15</v>
      </c>
      <c r="N793" s="116">
        <v>140.9</v>
      </c>
      <c r="O793" s="116">
        <v>132.05000000000001</v>
      </c>
      <c r="P793" s="116">
        <v>139.9</v>
      </c>
      <c r="Q793" s="116">
        <v>135.15</v>
      </c>
      <c r="R793">
        <v>14445</v>
      </c>
    </row>
    <row r="794" spans="1:18" x14ac:dyDescent="0.25">
      <c r="A794" s="169">
        <v>43171</v>
      </c>
      <c r="B794" s="116">
        <v>140</v>
      </c>
      <c r="C794" s="116">
        <v>136.69999999999999</v>
      </c>
      <c r="D794" s="116">
        <v>134</v>
      </c>
      <c r="E794" s="116">
        <v>138.35</v>
      </c>
      <c r="F794" s="116">
        <v>136.69999999999999</v>
      </c>
      <c r="G794">
        <v>1218</v>
      </c>
      <c r="H794" s="116"/>
      <c r="I794" s="116"/>
      <c r="L794" s="169">
        <v>43171</v>
      </c>
      <c r="M794" s="116">
        <v>136.85</v>
      </c>
      <c r="N794" s="116">
        <v>141.05000000000001</v>
      </c>
      <c r="O794" s="116">
        <v>134</v>
      </c>
      <c r="P794" s="116">
        <v>137.15</v>
      </c>
      <c r="Q794" s="116">
        <v>136.85</v>
      </c>
      <c r="R794">
        <v>33113</v>
      </c>
    </row>
    <row r="795" spans="1:18" x14ac:dyDescent="0.25">
      <c r="A795" s="169">
        <v>43172</v>
      </c>
      <c r="B795" s="116">
        <v>136.85</v>
      </c>
      <c r="C795" s="116">
        <v>133.05000000000001</v>
      </c>
      <c r="D795" s="116">
        <v>132</v>
      </c>
      <c r="E795" s="116">
        <v>136.85</v>
      </c>
      <c r="F795" s="116">
        <v>133.05000000000001</v>
      </c>
      <c r="G795">
        <v>6187</v>
      </c>
      <c r="H795" s="116"/>
      <c r="I795" s="116"/>
      <c r="L795" s="169">
        <v>43172</v>
      </c>
      <c r="M795" s="116">
        <v>132.65</v>
      </c>
      <c r="N795" s="116">
        <v>136.65</v>
      </c>
      <c r="O795" s="116">
        <v>131.55000000000001</v>
      </c>
      <c r="P795" s="116">
        <v>136.65</v>
      </c>
      <c r="Q795" s="116">
        <v>132.65</v>
      </c>
      <c r="R795">
        <v>36272</v>
      </c>
    </row>
    <row r="796" spans="1:18" x14ac:dyDescent="0.25">
      <c r="A796" s="169">
        <v>43173</v>
      </c>
      <c r="B796" s="116">
        <v>133.9</v>
      </c>
      <c r="C796" s="116">
        <v>128.5</v>
      </c>
      <c r="D796" s="116">
        <v>127.05</v>
      </c>
      <c r="E796" s="116">
        <v>131.4</v>
      </c>
      <c r="F796" s="116">
        <v>128.5</v>
      </c>
      <c r="G796">
        <v>50081</v>
      </c>
      <c r="H796" s="116"/>
      <c r="I796" s="116"/>
      <c r="L796" s="169">
        <v>43173</v>
      </c>
      <c r="M796" s="116">
        <v>128.69999999999999</v>
      </c>
      <c r="N796" s="116">
        <v>134.94999999999999</v>
      </c>
      <c r="O796" s="116">
        <v>126.65</v>
      </c>
      <c r="P796" s="116">
        <v>132.75</v>
      </c>
      <c r="Q796" s="116">
        <v>128.69999999999999</v>
      </c>
      <c r="R796">
        <v>50578</v>
      </c>
    </row>
    <row r="797" spans="1:18" x14ac:dyDescent="0.25">
      <c r="A797" s="169">
        <v>43174</v>
      </c>
      <c r="B797" s="116">
        <v>145.6</v>
      </c>
      <c r="C797" s="116">
        <v>141.05000000000001</v>
      </c>
      <c r="D797" s="116">
        <v>129.05000000000001</v>
      </c>
      <c r="E797" s="116">
        <v>130.30000000000001</v>
      </c>
      <c r="F797" s="116">
        <v>141.05000000000001</v>
      </c>
      <c r="G797">
        <v>92058</v>
      </c>
      <c r="H797" s="116"/>
      <c r="I797" s="116"/>
      <c r="L797" s="169">
        <v>43174</v>
      </c>
      <c r="M797" s="116">
        <v>140.9</v>
      </c>
      <c r="N797" s="116">
        <v>145.80000000000001</v>
      </c>
      <c r="O797" s="116">
        <v>126.55</v>
      </c>
      <c r="P797" s="116">
        <v>126.55</v>
      </c>
      <c r="Q797" s="116">
        <v>140.9</v>
      </c>
      <c r="R797">
        <v>240196</v>
      </c>
    </row>
    <row r="798" spans="1:18" x14ac:dyDescent="0.25">
      <c r="A798" s="169">
        <v>43175</v>
      </c>
      <c r="B798" s="116">
        <v>150.85</v>
      </c>
      <c r="C798" s="116">
        <v>145.35</v>
      </c>
      <c r="D798" s="116">
        <v>140.30000000000001</v>
      </c>
      <c r="E798" s="116">
        <v>142.44999999999999</v>
      </c>
      <c r="F798" s="116">
        <v>145.35</v>
      </c>
      <c r="G798">
        <v>22383</v>
      </c>
      <c r="H798" s="116"/>
      <c r="I798" s="116"/>
      <c r="L798" s="169">
        <v>43175</v>
      </c>
      <c r="M798" s="116">
        <v>145.1</v>
      </c>
      <c r="N798" s="116">
        <v>150.80000000000001</v>
      </c>
      <c r="O798" s="116">
        <v>138.5</v>
      </c>
      <c r="P798" s="116">
        <v>142.9</v>
      </c>
      <c r="Q798" s="116">
        <v>145.1</v>
      </c>
      <c r="R798">
        <v>270381</v>
      </c>
    </row>
    <row r="799" spans="1:18" x14ac:dyDescent="0.25">
      <c r="A799" s="169">
        <v>43178</v>
      </c>
      <c r="B799" s="116">
        <v>147.25</v>
      </c>
      <c r="C799" s="116">
        <v>136.80000000000001</v>
      </c>
      <c r="D799" s="116">
        <v>136</v>
      </c>
      <c r="E799" s="116">
        <v>147</v>
      </c>
      <c r="F799" s="116">
        <v>136.80000000000001</v>
      </c>
      <c r="G799">
        <v>4207</v>
      </c>
      <c r="H799" s="116"/>
      <c r="I799" s="116"/>
      <c r="L799" s="169">
        <v>43178</v>
      </c>
      <c r="M799" s="116">
        <v>136.5</v>
      </c>
      <c r="N799" s="116">
        <v>148.9</v>
      </c>
      <c r="O799" s="116">
        <v>135.15</v>
      </c>
      <c r="P799" s="116">
        <v>143.1</v>
      </c>
      <c r="Q799" s="116">
        <v>136.5</v>
      </c>
      <c r="R799">
        <v>44255</v>
      </c>
    </row>
    <row r="800" spans="1:18" x14ac:dyDescent="0.25">
      <c r="A800" s="169">
        <v>43179</v>
      </c>
      <c r="B800" s="116">
        <v>140</v>
      </c>
      <c r="C800" s="116">
        <v>134.19999999999999</v>
      </c>
      <c r="D800" s="116">
        <v>133.4</v>
      </c>
      <c r="E800" s="116">
        <v>134.80000000000001</v>
      </c>
      <c r="F800" s="116">
        <v>134.19999999999999</v>
      </c>
      <c r="G800">
        <v>2763</v>
      </c>
      <c r="H800" s="116"/>
      <c r="I800" s="116"/>
      <c r="L800" s="169">
        <v>43179</v>
      </c>
      <c r="M800" s="116">
        <v>135.05000000000001</v>
      </c>
      <c r="N800" s="116">
        <v>138.19999999999999</v>
      </c>
      <c r="O800" s="116">
        <v>134.05000000000001</v>
      </c>
      <c r="P800" s="116">
        <v>138.19999999999999</v>
      </c>
      <c r="Q800" s="116">
        <v>135.05000000000001</v>
      </c>
      <c r="R800">
        <v>10680</v>
      </c>
    </row>
    <row r="801" spans="1:18" x14ac:dyDescent="0.25">
      <c r="A801" s="169">
        <v>43180</v>
      </c>
      <c r="B801" s="116">
        <v>143.15</v>
      </c>
      <c r="C801" s="116">
        <v>131.15</v>
      </c>
      <c r="D801" s="116">
        <v>129</v>
      </c>
      <c r="E801" s="116">
        <v>138</v>
      </c>
      <c r="F801" s="116">
        <v>131.15</v>
      </c>
      <c r="G801">
        <v>3579</v>
      </c>
      <c r="H801" s="116"/>
      <c r="I801" s="116"/>
      <c r="L801" s="169">
        <v>43180</v>
      </c>
      <c r="M801" s="116">
        <v>130.94999999999999</v>
      </c>
      <c r="N801" s="116">
        <v>145</v>
      </c>
      <c r="O801" s="116">
        <v>130.1</v>
      </c>
      <c r="P801" s="116">
        <v>137</v>
      </c>
      <c r="Q801" s="116">
        <v>130.94999999999999</v>
      </c>
      <c r="R801">
        <v>28500</v>
      </c>
    </row>
    <row r="802" spans="1:18" x14ac:dyDescent="0.25">
      <c r="A802" s="169">
        <v>43181</v>
      </c>
      <c r="B802" s="116">
        <v>134.69999999999999</v>
      </c>
      <c r="C802" s="116">
        <v>132.55000000000001</v>
      </c>
      <c r="D802" s="116">
        <v>132.05000000000001</v>
      </c>
      <c r="E802" s="116">
        <v>133.05000000000001</v>
      </c>
      <c r="F802" s="116">
        <v>132.55000000000001</v>
      </c>
      <c r="G802">
        <v>5207</v>
      </c>
      <c r="H802" s="116"/>
      <c r="I802" s="116"/>
      <c r="L802" s="169">
        <v>43181</v>
      </c>
      <c r="M802" s="116">
        <v>131.6</v>
      </c>
      <c r="N802" s="116">
        <v>135</v>
      </c>
      <c r="O802" s="116">
        <v>131</v>
      </c>
      <c r="P802" s="116">
        <v>132.80000000000001</v>
      </c>
      <c r="Q802" s="116">
        <v>131.6</v>
      </c>
      <c r="R802">
        <v>21503</v>
      </c>
    </row>
    <row r="803" spans="1:18" x14ac:dyDescent="0.25">
      <c r="A803" s="169">
        <v>43182</v>
      </c>
      <c r="B803" s="116">
        <v>129.19999999999999</v>
      </c>
      <c r="C803" s="116">
        <v>125.15</v>
      </c>
      <c r="D803" s="116">
        <v>124.1</v>
      </c>
      <c r="E803" s="116">
        <v>126.8</v>
      </c>
      <c r="F803" s="116">
        <v>125.15</v>
      </c>
      <c r="G803">
        <v>86634</v>
      </c>
      <c r="H803" s="116"/>
      <c r="I803" s="116"/>
      <c r="L803" s="169">
        <v>43182</v>
      </c>
      <c r="M803" s="116">
        <v>127.15</v>
      </c>
      <c r="N803" s="116">
        <v>131.80000000000001</v>
      </c>
      <c r="O803" s="116">
        <v>124.1</v>
      </c>
      <c r="P803" s="116">
        <v>129.5</v>
      </c>
      <c r="Q803" s="116">
        <v>127.15</v>
      </c>
      <c r="R803">
        <v>111112</v>
      </c>
    </row>
    <row r="804" spans="1:18" x14ac:dyDescent="0.25">
      <c r="A804" s="169">
        <v>43185</v>
      </c>
      <c r="B804" s="116">
        <v>127.9</v>
      </c>
      <c r="C804" s="116">
        <v>124.15</v>
      </c>
      <c r="D804" s="116">
        <v>120.6</v>
      </c>
      <c r="E804" s="116">
        <v>127.15</v>
      </c>
      <c r="F804" s="116">
        <v>124.15</v>
      </c>
      <c r="G804">
        <v>50882</v>
      </c>
      <c r="H804" s="116"/>
      <c r="I804" s="116"/>
      <c r="L804" s="169">
        <v>43185</v>
      </c>
      <c r="M804" s="116">
        <v>123.9</v>
      </c>
      <c r="N804" s="116">
        <v>128.25</v>
      </c>
      <c r="O804" s="116">
        <v>122.1</v>
      </c>
      <c r="P804" s="116">
        <v>124.55</v>
      </c>
      <c r="Q804" s="116">
        <v>123.9</v>
      </c>
      <c r="R804">
        <v>230830</v>
      </c>
    </row>
    <row r="805" spans="1:18" x14ac:dyDescent="0.25">
      <c r="A805" s="169">
        <v>43186</v>
      </c>
      <c r="B805" s="116">
        <v>132</v>
      </c>
      <c r="C805" s="116">
        <v>124.5</v>
      </c>
      <c r="D805" s="116">
        <v>120.9</v>
      </c>
      <c r="E805" s="116">
        <v>122.05</v>
      </c>
      <c r="F805" s="116">
        <v>124.5</v>
      </c>
      <c r="G805">
        <v>16203</v>
      </c>
      <c r="H805" s="116"/>
      <c r="I805" s="116"/>
      <c r="L805" s="169">
        <v>43186</v>
      </c>
      <c r="M805" s="116">
        <v>123.55</v>
      </c>
      <c r="N805" s="116">
        <v>132</v>
      </c>
      <c r="O805" s="116">
        <v>121.45</v>
      </c>
      <c r="P805" s="116">
        <v>124</v>
      </c>
      <c r="Q805" s="116">
        <v>123.55</v>
      </c>
      <c r="R805">
        <v>79143</v>
      </c>
    </row>
    <row r="806" spans="1:18" x14ac:dyDescent="0.25">
      <c r="A806" s="169">
        <v>43187</v>
      </c>
      <c r="B806" s="116">
        <v>123.25</v>
      </c>
      <c r="C806" s="116">
        <v>119.5</v>
      </c>
      <c r="D806" s="116">
        <v>118.2</v>
      </c>
      <c r="E806" s="116">
        <v>122</v>
      </c>
      <c r="F806" s="116">
        <v>119.5</v>
      </c>
      <c r="G806">
        <v>112353</v>
      </c>
      <c r="H806" s="116"/>
      <c r="I806" s="116"/>
      <c r="L806" s="169">
        <v>43187</v>
      </c>
      <c r="M806" s="116">
        <v>120.85</v>
      </c>
      <c r="N806" s="116">
        <v>125.5</v>
      </c>
      <c r="O806" s="116">
        <v>120.1</v>
      </c>
      <c r="P806" s="116">
        <v>123.95</v>
      </c>
      <c r="Q806" s="116">
        <v>120.85</v>
      </c>
      <c r="R806">
        <v>213079</v>
      </c>
    </row>
    <row r="807" spans="1:18" x14ac:dyDescent="0.25">
      <c r="A807" s="169">
        <v>43192</v>
      </c>
      <c r="B807" s="116">
        <v>127.05</v>
      </c>
      <c r="C807" s="116">
        <v>122.45</v>
      </c>
      <c r="D807" s="116">
        <v>120.9</v>
      </c>
      <c r="E807" s="116">
        <v>122.5</v>
      </c>
      <c r="F807" s="116">
        <v>122.45</v>
      </c>
      <c r="G807">
        <v>2540</v>
      </c>
      <c r="H807" s="116"/>
      <c r="I807" s="116"/>
      <c r="L807" s="169">
        <v>43192</v>
      </c>
      <c r="M807" s="116">
        <v>122.35</v>
      </c>
      <c r="N807" s="116">
        <v>126.9</v>
      </c>
      <c r="O807" s="116">
        <v>121.3</v>
      </c>
      <c r="P807" s="116">
        <v>124</v>
      </c>
      <c r="Q807" s="116">
        <v>122.35</v>
      </c>
      <c r="R807">
        <v>26550</v>
      </c>
    </row>
    <row r="808" spans="1:18" x14ac:dyDescent="0.25">
      <c r="A808" s="169">
        <v>43193</v>
      </c>
      <c r="B808" s="116">
        <v>125.6</v>
      </c>
      <c r="C808" s="116">
        <v>125.25</v>
      </c>
      <c r="D808" s="116">
        <v>122.25</v>
      </c>
      <c r="E808" s="116">
        <v>123.5</v>
      </c>
      <c r="F808" s="116">
        <v>125.25</v>
      </c>
      <c r="G808">
        <v>2974</v>
      </c>
      <c r="H808" s="116"/>
      <c r="I808" s="116"/>
      <c r="L808" s="169">
        <v>43193</v>
      </c>
      <c r="M808" s="116">
        <v>124.55</v>
      </c>
      <c r="N808" s="116">
        <v>127.15</v>
      </c>
      <c r="O808" s="116">
        <v>121.7</v>
      </c>
      <c r="P808" s="116">
        <v>123.85</v>
      </c>
      <c r="Q808" s="116">
        <v>124.55</v>
      </c>
      <c r="R808">
        <v>34058</v>
      </c>
    </row>
    <row r="809" spans="1:18" x14ac:dyDescent="0.25">
      <c r="A809" s="169">
        <v>43194</v>
      </c>
      <c r="B809" s="116">
        <v>129</v>
      </c>
      <c r="C809" s="116">
        <v>123.2</v>
      </c>
      <c r="D809" s="116">
        <v>122.4</v>
      </c>
      <c r="E809" s="116">
        <v>127</v>
      </c>
      <c r="F809" s="116">
        <v>123.2</v>
      </c>
      <c r="G809">
        <v>882</v>
      </c>
      <c r="H809" s="116"/>
      <c r="I809" s="116"/>
      <c r="L809" s="169">
        <v>43194</v>
      </c>
      <c r="M809" s="116">
        <v>123.2</v>
      </c>
      <c r="N809" s="116">
        <v>128.9</v>
      </c>
      <c r="O809" s="116">
        <v>122.2</v>
      </c>
      <c r="P809" s="116">
        <v>125.95</v>
      </c>
      <c r="Q809" s="116">
        <v>123.2</v>
      </c>
      <c r="R809">
        <v>11847</v>
      </c>
    </row>
    <row r="810" spans="1:18" x14ac:dyDescent="0.25">
      <c r="A810" s="169">
        <v>43195</v>
      </c>
      <c r="B810" s="116">
        <v>127.05</v>
      </c>
      <c r="C810" s="116">
        <v>125.55</v>
      </c>
      <c r="D810" s="116">
        <v>124.5</v>
      </c>
      <c r="E810" s="116">
        <v>125.2</v>
      </c>
      <c r="F810" s="116">
        <v>125.55</v>
      </c>
      <c r="G810">
        <v>775</v>
      </c>
      <c r="H810" s="116"/>
      <c r="I810" s="116"/>
      <c r="L810" s="169">
        <v>43195</v>
      </c>
      <c r="M810" s="116">
        <v>124.75</v>
      </c>
      <c r="N810" s="116">
        <v>125.55</v>
      </c>
      <c r="O810" s="116">
        <v>123.2</v>
      </c>
      <c r="P810" s="116">
        <v>123.2</v>
      </c>
      <c r="Q810" s="116">
        <v>124.75</v>
      </c>
      <c r="R810">
        <v>6215</v>
      </c>
    </row>
    <row r="811" spans="1:18" x14ac:dyDescent="0.25">
      <c r="A811" s="169">
        <v>43196</v>
      </c>
      <c r="B811" s="116">
        <v>128.05000000000001</v>
      </c>
      <c r="C811" s="116">
        <v>126.5</v>
      </c>
      <c r="D811" s="116">
        <v>124.5</v>
      </c>
      <c r="E811" s="116">
        <v>124.95</v>
      </c>
      <c r="F811" s="116">
        <v>126.5</v>
      </c>
      <c r="G811">
        <v>1548</v>
      </c>
      <c r="H811" s="116"/>
      <c r="I811" s="116"/>
      <c r="L811" s="169">
        <v>43196</v>
      </c>
      <c r="M811" s="116">
        <v>125.8</v>
      </c>
      <c r="N811" s="116">
        <v>128.4</v>
      </c>
      <c r="O811" s="116">
        <v>123.95</v>
      </c>
      <c r="P811" s="116">
        <v>124.05</v>
      </c>
      <c r="Q811" s="116">
        <v>125.8</v>
      </c>
      <c r="R811">
        <v>19303</v>
      </c>
    </row>
    <row r="812" spans="1:18" x14ac:dyDescent="0.25">
      <c r="A812" s="169">
        <v>43199</v>
      </c>
      <c r="B812" s="116">
        <v>126.5</v>
      </c>
      <c r="C812" s="116">
        <v>124.4</v>
      </c>
      <c r="D812" s="116">
        <v>123.5</v>
      </c>
      <c r="E812" s="116">
        <v>126.5</v>
      </c>
      <c r="F812" s="116">
        <v>124.4</v>
      </c>
      <c r="G812">
        <v>50085</v>
      </c>
      <c r="H812" s="116"/>
      <c r="I812" s="116"/>
      <c r="L812" s="169">
        <v>43199</v>
      </c>
      <c r="M812" s="116">
        <v>124.2</v>
      </c>
      <c r="N812" s="116">
        <v>126</v>
      </c>
      <c r="O812" s="116">
        <v>122.2</v>
      </c>
      <c r="P812" s="116">
        <v>125.85</v>
      </c>
      <c r="Q812" s="116">
        <v>124.2</v>
      </c>
      <c r="R812">
        <v>19804</v>
      </c>
    </row>
    <row r="813" spans="1:18" x14ac:dyDescent="0.25">
      <c r="A813" s="169">
        <v>43200</v>
      </c>
      <c r="B813" s="116">
        <v>129.75</v>
      </c>
      <c r="C813" s="116">
        <v>128.19999999999999</v>
      </c>
      <c r="D813" s="116">
        <v>123.1</v>
      </c>
      <c r="E813" s="116">
        <v>125.5</v>
      </c>
      <c r="F813" s="116">
        <v>128.19999999999999</v>
      </c>
      <c r="G813">
        <v>5707</v>
      </c>
      <c r="H813" s="116"/>
      <c r="I813" s="116"/>
      <c r="L813" s="169">
        <v>43200</v>
      </c>
      <c r="M813" s="116">
        <v>127.6</v>
      </c>
      <c r="N813" s="116">
        <v>130</v>
      </c>
      <c r="O813" s="116">
        <v>124.35</v>
      </c>
      <c r="P813" s="116">
        <v>128.85</v>
      </c>
      <c r="Q813" s="116">
        <v>127.6</v>
      </c>
      <c r="R813">
        <v>25141</v>
      </c>
    </row>
    <row r="814" spans="1:18" x14ac:dyDescent="0.25">
      <c r="A814" s="169">
        <v>43201</v>
      </c>
      <c r="B814" s="116">
        <v>128.44999999999999</v>
      </c>
      <c r="C814" s="116">
        <v>126.1</v>
      </c>
      <c r="D814" s="116">
        <v>125.55</v>
      </c>
      <c r="E814" s="116">
        <v>126.1</v>
      </c>
      <c r="F814" s="116">
        <v>126.1</v>
      </c>
      <c r="G814">
        <v>2396</v>
      </c>
      <c r="H814" s="116"/>
      <c r="I814" s="116"/>
      <c r="L814" s="169">
        <v>43201</v>
      </c>
      <c r="M814" s="116">
        <v>126</v>
      </c>
      <c r="N814" s="116">
        <v>128</v>
      </c>
      <c r="O814" s="116">
        <v>125.05</v>
      </c>
      <c r="P814" s="116">
        <v>128</v>
      </c>
      <c r="Q814" s="116">
        <v>126</v>
      </c>
      <c r="R814">
        <v>137469</v>
      </c>
    </row>
    <row r="815" spans="1:18" x14ac:dyDescent="0.25">
      <c r="A815" s="169">
        <v>43202</v>
      </c>
      <c r="B815" s="116">
        <v>125</v>
      </c>
      <c r="C815" s="116">
        <v>123.1</v>
      </c>
      <c r="D815" s="116">
        <v>122.6</v>
      </c>
      <c r="E815" s="116">
        <v>125</v>
      </c>
      <c r="F815" s="116">
        <v>123.1</v>
      </c>
      <c r="G815">
        <v>265</v>
      </c>
      <c r="H815" s="116"/>
      <c r="I815" s="116"/>
      <c r="L815" s="169">
        <v>43202</v>
      </c>
      <c r="M815" s="116">
        <v>123.3</v>
      </c>
      <c r="N815" s="116">
        <v>127.45</v>
      </c>
      <c r="O815" s="116">
        <v>122.5</v>
      </c>
      <c r="P815" s="116">
        <v>125</v>
      </c>
      <c r="Q815" s="116">
        <v>123.3</v>
      </c>
      <c r="R815">
        <v>7303</v>
      </c>
    </row>
    <row r="816" spans="1:18" x14ac:dyDescent="0.25">
      <c r="A816" s="169">
        <v>43203</v>
      </c>
      <c r="B816" s="116">
        <v>125</v>
      </c>
      <c r="C816" s="116">
        <v>123.7</v>
      </c>
      <c r="D816" s="116">
        <v>123</v>
      </c>
      <c r="E816" s="116">
        <v>123.05</v>
      </c>
      <c r="F816" s="116">
        <v>123.7</v>
      </c>
      <c r="G816">
        <v>1356</v>
      </c>
      <c r="H816" s="116"/>
      <c r="I816" s="116"/>
      <c r="L816" s="169">
        <v>43203</v>
      </c>
      <c r="M816" s="116">
        <v>123.35</v>
      </c>
      <c r="N816" s="116">
        <v>124.65</v>
      </c>
      <c r="O816" s="116">
        <v>122</v>
      </c>
      <c r="P816" s="116">
        <v>122</v>
      </c>
      <c r="Q816" s="116">
        <v>123.35</v>
      </c>
      <c r="R816">
        <v>5205</v>
      </c>
    </row>
    <row r="817" spans="1:18" x14ac:dyDescent="0.25">
      <c r="A817" s="169">
        <v>43206</v>
      </c>
      <c r="B817" s="116">
        <v>123.15</v>
      </c>
      <c r="C817" s="116">
        <v>122.65</v>
      </c>
      <c r="D817" s="116">
        <v>121.3</v>
      </c>
      <c r="E817" s="116">
        <v>123.15</v>
      </c>
      <c r="F817" s="116">
        <v>122.65</v>
      </c>
      <c r="G817">
        <v>13568</v>
      </c>
      <c r="H817" s="116"/>
      <c r="I817" s="116"/>
      <c r="L817" s="169">
        <v>43206</v>
      </c>
      <c r="M817" s="116">
        <v>122.7</v>
      </c>
      <c r="N817" s="116">
        <v>123.95</v>
      </c>
      <c r="O817" s="116">
        <v>122.05</v>
      </c>
      <c r="P817" s="116">
        <v>123.4</v>
      </c>
      <c r="Q817" s="116">
        <v>122.7</v>
      </c>
      <c r="R817">
        <v>29457</v>
      </c>
    </row>
    <row r="818" spans="1:18" x14ac:dyDescent="0.25">
      <c r="A818" s="169">
        <v>43207</v>
      </c>
      <c r="B818" s="116">
        <v>123.9</v>
      </c>
      <c r="C818" s="116">
        <v>123.6</v>
      </c>
      <c r="D818" s="116">
        <v>122.8</v>
      </c>
      <c r="E818" s="116">
        <v>123.25</v>
      </c>
      <c r="F818" s="116">
        <v>123.6</v>
      </c>
      <c r="G818">
        <v>709</v>
      </c>
      <c r="H818" s="116"/>
      <c r="I818" s="116"/>
      <c r="L818" s="169">
        <v>43207</v>
      </c>
      <c r="M818" s="116">
        <v>124.3</v>
      </c>
      <c r="N818" s="116">
        <v>125</v>
      </c>
      <c r="O818" s="116">
        <v>122.8</v>
      </c>
      <c r="P818" s="116">
        <v>122.8</v>
      </c>
      <c r="Q818" s="116">
        <v>124.3</v>
      </c>
      <c r="R818">
        <v>7527</v>
      </c>
    </row>
    <row r="819" spans="1:18" x14ac:dyDescent="0.25">
      <c r="A819" s="169">
        <v>43208</v>
      </c>
      <c r="B819" s="116">
        <v>125.85</v>
      </c>
      <c r="C819" s="116">
        <v>124.55</v>
      </c>
      <c r="D819" s="116">
        <v>123.25</v>
      </c>
      <c r="E819" s="116">
        <v>124.65</v>
      </c>
      <c r="F819" s="116">
        <v>124.55</v>
      </c>
      <c r="G819">
        <v>1519</v>
      </c>
      <c r="H819" s="116"/>
      <c r="I819" s="116"/>
      <c r="L819" s="169">
        <v>43208</v>
      </c>
      <c r="M819" s="116">
        <v>123.6</v>
      </c>
      <c r="N819" s="116">
        <v>125.55</v>
      </c>
      <c r="O819" s="116">
        <v>122.8</v>
      </c>
      <c r="P819" s="116">
        <v>124.85</v>
      </c>
      <c r="Q819" s="116">
        <v>123.6</v>
      </c>
      <c r="R819">
        <v>6213</v>
      </c>
    </row>
    <row r="820" spans="1:18" x14ac:dyDescent="0.25">
      <c r="A820" s="169">
        <v>43209</v>
      </c>
      <c r="B820" s="116">
        <v>125</v>
      </c>
      <c r="C820" s="116">
        <v>124.95</v>
      </c>
      <c r="D820" s="116">
        <v>123.5</v>
      </c>
      <c r="E820" s="116">
        <v>124.55</v>
      </c>
      <c r="F820" s="116">
        <v>124.95</v>
      </c>
      <c r="G820">
        <v>6564</v>
      </c>
      <c r="H820" s="116"/>
      <c r="I820" s="116"/>
      <c r="L820" s="169">
        <v>43209</v>
      </c>
      <c r="M820" s="116">
        <v>125.05</v>
      </c>
      <c r="N820" s="116">
        <v>126.45</v>
      </c>
      <c r="O820" s="116">
        <v>123.15</v>
      </c>
      <c r="P820" s="116">
        <v>124.65</v>
      </c>
      <c r="Q820" s="116">
        <v>125.05</v>
      </c>
      <c r="R820">
        <v>205134</v>
      </c>
    </row>
    <row r="821" spans="1:18" x14ac:dyDescent="0.25">
      <c r="A821" s="169">
        <v>43210</v>
      </c>
      <c r="B821" s="116">
        <v>128.80000000000001</v>
      </c>
      <c r="C821" s="116">
        <v>124.7</v>
      </c>
      <c r="D821" s="116">
        <v>123.35</v>
      </c>
      <c r="E821" s="116">
        <v>123.5</v>
      </c>
      <c r="F821" s="116">
        <v>124.7</v>
      </c>
      <c r="G821">
        <v>2544</v>
      </c>
      <c r="H821" s="116"/>
      <c r="I821" s="116"/>
      <c r="L821" s="169">
        <v>43210</v>
      </c>
      <c r="M821" s="116">
        <v>125</v>
      </c>
      <c r="N821" s="116">
        <v>128.25</v>
      </c>
      <c r="O821" s="116">
        <v>122.55</v>
      </c>
      <c r="P821" s="116">
        <v>125</v>
      </c>
      <c r="Q821" s="116">
        <v>125</v>
      </c>
      <c r="R821">
        <v>13223</v>
      </c>
    </row>
    <row r="822" spans="1:18" x14ac:dyDescent="0.25">
      <c r="A822" s="169">
        <v>43213</v>
      </c>
      <c r="B822" s="116">
        <v>126.75</v>
      </c>
      <c r="C822" s="116">
        <v>124.25</v>
      </c>
      <c r="D822" s="116">
        <v>123.8</v>
      </c>
      <c r="E822" s="116">
        <v>125.95</v>
      </c>
      <c r="F822" s="116">
        <v>124.25</v>
      </c>
      <c r="G822">
        <v>766</v>
      </c>
      <c r="H822" s="116"/>
      <c r="I822" s="116"/>
      <c r="L822" s="169">
        <v>43213</v>
      </c>
      <c r="M822" s="116">
        <v>123.75</v>
      </c>
      <c r="N822" s="116">
        <v>126.05</v>
      </c>
      <c r="O822" s="116">
        <v>123.1</v>
      </c>
      <c r="P822" s="116">
        <v>125</v>
      </c>
      <c r="Q822" s="116">
        <v>123.75</v>
      </c>
      <c r="R822">
        <v>21117</v>
      </c>
    </row>
    <row r="823" spans="1:18" x14ac:dyDescent="0.25">
      <c r="A823" s="169">
        <v>43214</v>
      </c>
      <c r="B823" s="116">
        <v>127.5</v>
      </c>
      <c r="C823" s="116">
        <v>123.7</v>
      </c>
      <c r="D823" s="116">
        <v>122.7</v>
      </c>
      <c r="E823" s="116">
        <v>125.3</v>
      </c>
      <c r="F823" s="116">
        <v>123.7</v>
      </c>
      <c r="G823">
        <v>2780</v>
      </c>
      <c r="H823" s="116"/>
      <c r="I823" s="116"/>
      <c r="L823" s="169">
        <v>43214</v>
      </c>
      <c r="M823" s="116">
        <v>123.05</v>
      </c>
      <c r="N823" s="116">
        <v>125.5</v>
      </c>
      <c r="O823" s="116">
        <v>122.6</v>
      </c>
      <c r="P823" s="116">
        <v>125.5</v>
      </c>
      <c r="Q823" s="116">
        <v>123.05</v>
      </c>
      <c r="R823">
        <v>6441</v>
      </c>
    </row>
    <row r="824" spans="1:18" x14ac:dyDescent="0.25">
      <c r="A824" s="169">
        <v>43215</v>
      </c>
      <c r="B824" s="116">
        <v>141.85</v>
      </c>
      <c r="C824" s="116">
        <v>129.05000000000001</v>
      </c>
      <c r="D824" s="116">
        <v>121.9</v>
      </c>
      <c r="E824" s="116">
        <v>121.95</v>
      </c>
      <c r="F824" s="116">
        <v>129.05000000000001</v>
      </c>
      <c r="G824">
        <v>40094</v>
      </c>
      <c r="H824" s="116"/>
      <c r="I824" s="116"/>
      <c r="L824" s="169">
        <v>43215</v>
      </c>
      <c r="M824" s="116">
        <v>128.5</v>
      </c>
      <c r="N824" s="116">
        <v>142</v>
      </c>
      <c r="O824" s="116">
        <v>122.3</v>
      </c>
      <c r="P824" s="116">
        <v>123.5</v>
      </c>
      <c r="Q824" s="116">
        <v>128.5</v>
      </c>
      <c r="R824">
        <v>620565</v>
      </c>
    </row>
    <row r="825" spans="1:18" x14ac:dyDescent="0.25">
      <c r="A825" s="169">
        <v>43216</v>
      </c>
      <c r="B825" s="116">
        <v>136.15</v>
      </c>
      <c r="C825" s="116">
        <v>126.55</v>
      </c>
      <c r="D825" s="116">
        <v>126</v>
      </c>
      <c r="E825" s="116">
        <v>129.69999999999999</v>
      </c>
      <c r="F825" s="116">
        <v>126.55</v>
      </c>
      <c r="G825">
        <v>15449</v>
      </c>
      <c r="H825" s="116"/>
      <c r="I825" s="116"/>
      <c r="L825" s="169">
        <v>43216</v>
      </c>
      <c r="M825" s="116">
        <v>126.05</v>
      </c>
      <c r="N825" s="116">
        <v>136.80000000000001</v>
      </c>
      <c r="O825" s="116">
        <v>125</v>
      </c>
      <c r="P825" s="116">
        <v>129</v>
      </c>
      <c r="Q825" s="116">
        <v>126.05</v>
      </c>
      <c r="R825">
        <v>248142</v>
      </c>
    </row>
    <row r="826" spans="1:18" x14ac:dyDescent="0.25">
      <c r="A826" s="169">
        <v>43217</v>
      </c>
      <c r="B826" s="116">
        <v>129.9</v>
      </c>
      <c r="C826" s="116">
        <v>128.05000000000001</v>
      </c>
      <c r="D826" s="116">
        <v>120.05</v>
      </c>
      <c r="E826" s="116">
        <v>120.05</v>
      </c>
      <c r="F826" s="116">
        <v>128.05000000000001</v>
      </c>
      <c r="G826">
        <v>2533</v>
      </c>
      <c r="H826" s="116"/>
      <c r="I826" s="116"/>
      <c r="L826" s="169">
        <v>43217</v>
      </c>
      <c r="M826" s="116">
        <v>128.55000000000001</v>
      </c>
      <c r="N826" s="116">
        <v>132</v>
      </c>
      <c r="O826" s="116">
        <v>125.5</v>
      </c>
      <c r="P826" s="116">
        <v>125.85</v>
      </c>
      <c r="Q826" s="116">
        <v>128.55000000000001</v>
      </c>
      <c r="R826">
        <v>59351</v>
      </c>
    </row>
    <row r="827" spans="1:18" x14ac:dyDescent="0.25">
      <c r="A827" s="169">
        <v>43220</v>
      </c>
      <c r="B827" s="116">
        <v>132.35</v>
      </c>
      <c r="C827" s="116">
        <v>129.1</v>
      </c>
      <c r="D827" s="116">
        <v>126.3</v>
      </c>
      <c r="E827" s="116">
        <v>127.95</v>
      </c>
      <c r="F827" s="116">
        <v>129.1</v>
      </c>
      <c r="G827">
        <v>4413</v>
      </c>
      <c r="H827" s="116"/>
      <c r="I827" s="116"/>
      <c r="L827" s="169">
        <v>43220</v>
      </c>
      <c r="M827" s="116">
        <v>128</v>
      </c>
      <c r="N827" s="116">
        <v>132</v>
      </c>
      <c r="O827" s="116">
        <v>126.1</v>
      </c>
      <c r="P827" s="116">
        <v>128.9</v>
      </c>
      <c r="Q827" s="116">
        <v>128</v>
      </c>
      <c r="R827">
        <v>569765</v>
      </c>
    </row>
    <row r="828" spans="1:18" x14ac:dyDescent="0.25">
      <c r="A828" s="169">
        <v>43222</v>
      </c>
      <c r="B828" s="116">
        <v>141.4</v>
      </c>
      <c r="C828" s="116">
        <v>132.19999999999999</v>
      </c>
      <c r="D828" s="116">
        <v>129.25</v>
      </c>
      <c r="E828" s="116">
        <v>130.85</v>
      </c>
      <c r="F828" s="116">
        <v>132.19999999999999</v>
      </c>
      <c r="G828">
        <v>10938</v>
      </c>
      <c r="H828" s="116"/>
      <c r="I828" s="116"/>
      <c r="L828" s="169">
        <v>43222</v>
      </c>
      <c r="M828" s="116">
        <v>133.30000000000001</v>
      </c>
      <c r="N828" s="116">
        <v>141.75</v>
      </c>
      <c r="O828" s="116">
        <v>125.15</v>
      </c>
      <c r="P828" s="116">
        <v>125.15</v>
      </c>
      <c r="Q828" s="116">
        <v>133.30000000000001</v>
      </c>
      <c r="R828">
        <v>429544</v>
      </c>
    </row>
    <row r="829" spans="1:18" x14ac:dyDescent="0.25">
      <c r="A829" s="169">
        <v>43223</v>
      </c>
      <c r="B829" s="116">
        <v>138.30000000000001</v>
      </c>
      <c r="C829" s="116">
        <v>132.1</v>
      </c>
      <c r="D829" s="116">
        <v>131</v>
      </c>
      <c r="E829" s="116">
        <v>132.35</v>
      </c>
      <c r="F829" s="116">
        <v>132.1</v>
      </c>
      <c r="G829">
        <v>3809</v>
      </c>
      <c r="H829" s="116"/>
      <c r="I829" s="116"/>
      <c r="L829" s="169">
        <v>43223</v>
      </c>
      <c r="M829" s="116">
        <v>134.44999999999999</v>
      </c>
      <c r="N829" s="116">
        <v>138.69999999999999</v>
      </c>
      <c r="O829" s="116">
        <v>130.6</v>
      </c>
      <c r="P829" s="116">
        <v>132.94999999999999</v>
      </c>
      <c r="Q829" s="116">
        <v>134.44999999999999</v>
      </c>
      <c r="R829">
        <v>128388</v>
      </c>
    </row>
    <row r="830" spans="1:18" x14ac:dyDescent="0.25">
      <c r="A830" s="169">
        <v>43224</v>
      </c>
      <c r="B830" s="116">
        <v>136</v>
      </c>
      <c r="C830" s="116">
        <v>133.55000000000001</v>
      </c>
      <c r="D830" s="116">
        <v>133</v>
      </c>
      <c r="E830" s="116">
        <v>134.75</v>
      </c>
      <c r="F830" s="116">
        <v>133.55000000000001</v>
      </c>
      <c r="G830">
        <v>102227</v>
      </c>
      <c r="H830" s="116"/>
      <c r="I830" s="116"/>
      <c r="L830" s="169">
        <v>43224</v>
      </c>
      <c r="M830" s="116">
        <v>134.1</v>
      </c>
      <c r="N830" s="116">
        <v>139.25</v>
      </c>
      <c r="O830" s="116">
        <v>132.65</v>
      </c>
      <c r="P830" s="116">
        <v>135.1</v>
      </c>
      <c r="Q830" s="116">
        <v>134.1</v>
      </c>
      <c r="R830">
        <v>123217</v>
      </c>
    </row>
    <row r="831" spans="1:18" x14ac:dyDescent="0.25">
      <c r="A831" s="169">
        <v>43227</v>
      </c>
      <c r="B831" s="116">
        <v>139.85</v>
      </c>
      <c r="C831" s="116">
        <v>135.69999999999999</v>
      </c>
      <c r="D831" s="116">
        <v>133.6</v>
      </c>
      <c r="E831" s="116">
        <v>133.6</v>
      </c>
      <c r="F831" s="116">
        <v>135.69999999999999</v>
      </c>
      <c r="G831">
        <v>3763</v>
      </c>
      <c r="H831" s="116"/>
      <c r="I831" s="116"/>
      <c r="L831" s="169">
        <v>43227</v>
      </c>
      <c r="M831" s="116">
        <v>135.94999999999999</v>
      </c>
      <c r="N831" s="116">
        <v>140</v>
      </c>
      <c r="O831" s="116">
        <v>132</v>
      </c>
      <c r="P831" s="116">
        <v>133.65</v>
      </c>
      <c r="Q831" s="116">
        <v>135.94999999999999</v>
      </c>
      <c r="R831">
        <v>67603</v>
      </c>
    </row>
    <row r="832" spans="1:18" x14ac:dyDescent="0.25">
      <c r="A832" s="169">
        <v>43228</v>
      </c>
      <c r="B832" s="116">
        <v>136</v>
      </c>
      <c r="C832" s="116">
        <v>135.65</v>
      </c>
      <c r="D832" s="116">
        <v>133.30000000000001</v>
      </c>
      <c r="E832" s="116">
        <v>133.6</v>
      </c>
      <c r="F832" s="116">
        <v>135.65</v>
      </c>
      <c r="G832">
        <v>1223</v>
      </c>
      <c r="H832" s="116"/>
      <c r="I832" s="116"/>
      <c r="L832" s="169">
        <v>43228</v>
      </c>
      <c r="M832" s="116">
        <v>134.5</v>
      </c>
      <c r="N832" s="116">
        <v>137.4</v>
      </c>
      <c r="O832" s="116">
        <v>132.4</v>
      </c>
      <c r="P832" s="116">
        <v>136.35</v>
      </c>
      <c r="Q832" s="116">
        <v>134.5</v>
      </c>
      <c r="R832">
        <v>13386</v>
      </c>
    </row>
    <row r="833" spans="1:18" x14ac:dyDescent="0.25">
      <c r="A833" s="169">
        <v>43229</v>
      </c>
      <c r="B833" s="116">
        <v>138</v>
      </c>
      <c r="C833" s="116">
        <v>133.1</v>
      </c>
      <c r="D833" s="116">
        <v>132.35</v>
      </c>
      <c r="E833" s="116">
        <v>133.44999999999999</v>
      </c>
      <c r="F833" s="116">
        <v>133.1</v>
      </c>
      <c r="G833">
        <v>212291</v>
      </c>
      <c r="H833" s="116"/>
      <c r="I833" s="116"/>
      <c r="L833" s="169">
        <v>43229</v>
      </c>
      <c r="M833" s="116">
        <v>134.30000000000001</v>
      </c>
      <c r="N833" s="116">
        <v>137</v>
      </c>
      <c r="O833" s="116">
        <v>132.80000000000001</v>
      </c>
      <c r="P833" s="116">
        <v>134.05000000000001</v>
      </c>
      <c r="Q833" s="116">
        <v>134.30000000000001</v>
      </c>
      <c r="R833">
        <v>229411</v>
      </c>
    </row>
    <row r="834" spans="1:18" x14ac:dyDescent="0.25">
      <c r="A834" s="169">
        <v>43230</v>
      </c>
      <c r="B834" s="116">
        <v>135.85</v>
      </c>
      <c r="C834" s="116">
        <v>131.4</v>
      </c>
      <c r="D834" s="116">
        <v>131</v>
      </c>
      <c r="E834" s="116">
        <v>134.05000000000001</v>
      </c>
      <c r="F834" s="116">
        <v>131.4</v>
      </c>
      <c r="G834">
        <v>2276</v>
      </c>
      <c r="H834" s="116"/>
      <c r="I834" s="116"/>
      <c r="L834" s="169">
        <v>43230</v>
      </c>
      <c r="M834" s="116">
        <v>132.25</v>
      </c>
      <c r="N834" s="116">
        <v>136.19999999999999</v>
      </c>
      <c r="O834" s="116">
        <v>130.6</v>
      </c>
      <c r="P834" s="116">
        <v>134.05000000000001</v>
      </c>
      <c r="Q834" s="116">
        <v>132.25</v>
      </c>
      <c r="R834">
        <v>37327</v>
      </c>
    </row>
    <row r="835" spans="1:18" x14ac:dyDescent="0.25">
      <c r="A835" s="169">
        <v>43231</v>
      </c>
      <c r="B835" s="116">
        <v>130.19999999999999</v>
      </c>
      <c r="C835" s="116">
        <v>124.65</v>
      </c>
      <c r="D835" s="116">
        <v>122.95</v>
      </c>
      <c r="E835" s="116">
        <v>129.55000000000001</v>
      </c>
      <c r="F835" s="116">
        <v>124.65</v>
      </c>
      <c r="G835">
        <v>5676</v>
      </c>
      <c r="H835" s="116"/>
      <c r="I835" s="116"/>
      <c r="L835" s="169">
        <v>43231</v>
      </c>
      <c r="M835" s="116">
        <v>124.6</v>
      </c>
      <c r="N835" s="116">
        <v>133.19999999999999</v>
      </c>
      <c r="O835" s="116">
        <v>124</v>
      </c>
      <c r="P835" s="116">
        <v>133.05000000000001</v>
      </c>
      <c r="Q835" s="116">
        <v>124.6</v>
      </c>
      <c r="R835">
        <v>76405</v>
      </c>
    </row>
    <row r="836" spans="1:18" x14ac:dyDescent="0.25">
      <c r="A836" s="169">
        <v>43234</v>
      </c>
      <c r="B836" s="116">
        <v>130.25</v>
      </c>
      <c r="C836" s="116">
        <v>126.2</v>
      </c>
      <c r="D836" s="116">
        <v>125</v>
      </c>
      <c r="E836" s="116">
        <v>125</v>
      </c>
      <c r="F836" s="116">
        <v>126.2</v>
      </c>
      <c r="G836">
        <v>5761</v>
      </c>
      <c r="H836" s="116"/>
      <c r="I836" s="116"/>
      <c r="L836" s="169">
        <v>43234</v>
      </c>
      <c r="M836" s="116">
        <v>127.7</v>
      </c>
      <c r="N836" s="116">
        <v>130.75</v>
      </c>
      <c r="O836" s="116">
        <v>124.7</v>
      </c>
      <c r="P836" s="116">
        <v>127.45</v>
      </c>
      <c r="Q836" s="116">
        <v>127.7</v>
      </c>
      <c r="R836">
        <v>170270</v>
      </c>
    </row>
    <row r="837" spans="1:18" x14ac:dyDescent="0.25">
      <c r="A837" s="169">
        <v>43235</v>
      </c>
      <c r="B837" s="116">
        <v>127.5</v>
      </c>
      <c r="C837" s="116">
        <v>122.25</v>
      </c>
      <c r="D837" s="116">
        <v>117.35</v>
      </c>
      <c r="E837" s="116">
        <v>127.5</v>
      </c>
      <c r="F837" s="116">
        <v>122.25</v>
      </c>
      <c r="G837">
        <v>2966</v>
      </c>
      <c r="H837" s="116"/>
      <c r="I837" s="116"/>
      <c r="L837" s="169">
        <v>43235</v>
      </c>
      <c r="M837" s="116">
        <v>122.15</v>
      </c>
      <c r="N837" s="116">
        <v>129.4</v>
      </c>
      <c r="O837" s="116">
        <v>117</v>
      </c>
      <c r="P837" s="116">
        <v>126.95</v>
      </c>
      <c r="Q837" s="116">
        <v>122.15</v>
      </c>
      <c r="R837">
        <v>36211</v>
      </c>
    </row>
    <row r="838" spans="1:18" x14ac:dyDescent="0.25">
      <c r="A838" s="169">
        <v>43236</v>
      </c>
      <c r="B838" s="116">
        <v>122</v>
      </c>
      <c r="C838" s="116">
        <v>120.05</v>
      </c>
      <c r="D838" s="116">
        <v>118.55</v>
      </c>
      <c r="E838" s="116">
        <v>118.55</v>
      </c>
      <c r="F838" s="116">
        <v>120.05</v>
      </c>
      <c r="G838">
        <v>2792</v>
      </c>
      <c r="H838" s="116"/>
      <c r="I838" s="116"/>
      <c r="L838" s="169">
        <v>43236</v>
      </c>
      <c r="M838" s="116">
        <v>119.75</v>
      </c>
      <c r="N838" s="116">
        <v>122.35</v>
      </c>
      <c r="O838" s="116">
        <v>118.15</v>
      </c>
      <c r="P838" s="116">
        <v>122.2</v>
      </c>
      <c r="Q838" s="116">
        <v>119.75</v>
      </c>
      <c r="R838">
        <v>240498</v>
      </c>
    </row>
    <row r="839" spans="1:18" x14ac:dyDescent="0.25">
      <c r="A839" s="169">
        <v>43237</v>
      </c>
      <c r="B839" s="116">
        <v>120.7</v>
      </c>
      <c r="C839" s="116">
        <v>119.25</v>
      </c>
      <c r="D839" s="116">
        <v>118.1</v>
      </c>
      <c r="E839" s="116">
        <v>120.35</v>
      </c>
      <c r="F839" s="116">
        <v>119.25</v>
      </c>
      <c r="G839">
        <v>1267</v>
      </c>
      <c r="H839" s="116"/>
      <c r="I839" s="116"/>
      <c r="L839" s="169">
        <v>43237</v>
      </c>
      <c r="M839" s="116">
        <v>118.95</v>
      </c>
      <c r="N839" s="116">
        <v>122</v>
      </c>
      <c r="O839" s="116">
        <v>117.75</v>
      </c>
      <c r="P839" s="116">
        <v>119.85</v>
      </c>
      <c r="Q839" s="116">
        <v>118.95</v>
      </c>
      <c r="R839">
        <v>19572</v>
      </c>
    </row>
    <row r="840" spans="1:18" x14ac:dyDescent="0.25">
      <c r="A840" s="169">
        <v>43238</v>
      </c>
      <c r="B840" s="116">
        <v>135.25</v>
      </c>
      <c r="C840" s="116">
        <v>119.35</v>
      </c>
      <c r="D840" s="116">
        <v>118.5</v>
      </c>
      <c r="E840" s="116">
        <v>122</v>
      </c>
      <c r="F840" s="116">
        <v>119.35</v>
      </c>
      <c r="G840">
        <v>75459</v>
      </c>
      <c r="H840" s="116"/>
      <c r="I840" s="116"/>
      <c r="L840" s="169">
        <v>43238</v>
      </c>
      <c r="M840" s="116">
        <v>118.25</v>
      </c>
      <c r="N840" s="116">
        <v>122.95</v>
      </c>
      <c r="O840" s="116">
        <v>117.7</v>
      </c>
      <c r="P840" s="116">
        <v>119.2</v>
      </c>
      <c r="Q840" s="116">
        <v>118.25</v>
      </c>
      <c r="R840">
        <v>32122</v>
      </c>
    </row>
    <row r="841" spans="1:18" x14ac:dyDescent="0.25">
      <c r="A841" s="169">
        <v>43241</v>
      </c>
      <c r="B841" s="116">
        <v>122.9</v>
      </c>
      <c r="C841" s="116">
        <v>106.65</v>
      </c>
      <c r="D841" s="116">
        <v>102</v>
      </c>
      <c r="E841" s="116">
        <v>122.75</v>
      </c>
      <c r="F841" s="116">
        <v>106.65</v>
      </c>
      <c r="G841">
        <v>142214</v>
      </c>
      <c r="H841" s="116"/>
      <c r="I841" s="116"/>
      <c r="L841" s="169">
        <v>43241</v>
      </c>
      <c r="M841" s="116">
        <v>107.35</v>
      </c>
      <c r="N841" s="116">
        <v>121.05</v>
      </c>
      <c r="O841" s="116">
        <v>102</v>
      </c>
      <c r="P841" s="116">
        <v>118.55</v>
      </c>
      <c r="Q841" s="116">
        <v>107.35</v>
      </c>
      <c r="R841">
        <v>46338</v>
      </c>
    </row>
    <row r="842" spans="1:18" x14ac:dyDescent="0.25">
      <c r="A842" s="169">
        <v>43242</v>
      </c>
      <c r="B842" s="116">
        <v>110</v>
      </c>
      <c r="C842" s="116">
        <v>106.15</v>
      </c>
      <c r="D842" s="116">
        <v>103.8</v>
      </c>
      <c r="E842" s="116">
        <v>106.4</v>
      </c>
      <c r="F842" s="116">
        <v>106.15</v>
      </c>
      <c r="G842">
        <v>84243</v>
      </c>
      <c r="H842" s="116"/>
      <c r="I842" s="116"/>
      <c r="L842" s="169">
        <v>43242</v>
      </c>
      <c r="M842" s="116">
        <v>106.45</v>
      </c>
      <c r="N842" s="116">
        <v>109.05</v>
      </c>
      <c r="O842" s="116">
        <v>103.1</v>
      </c>
      <c r="P842" s="116">
        <v>106.8</v>
      </c>
      <c r="Q842" s="116">
        <v>106.45</v>
      </c>
      <c r="R842">
        <v>33838</v>
      </c>
    </row>
    <row r="843" spans="1:18" x14ac:dyDescent="0.25">
      <c r="A843" s="169">
        <v>43243</v>
      </c>
      <c r="B843" s="116">
        <v>110.8</v>
      </c>
      <c r="C843" s="116">
        <v>104.7</v>
      </c>
      <c r="D843" s="116">
        <v>104.1</v>
      </c>
      <c r="E843" s="116">
        <v>105.55</v>
      </c>
      <c r="F843" s="116">
        <v>104.7</v>
      </c>
      <c r="G843">
        <v>1400</v>
      </c>
      <c r="H843" s="116"/>
      <c r="I843" s="116"/>
      <c r="L843" s="169">
        <v>43243</v>
      </c>
      <c r="M843" s="116">
        <v>105.45</v>
      </c>
      <c r="N843" s="116">
        <v>112.5</v>
      </c>
      <c r="O843" s="116">
        <v>104.1</v>
      </c>
      <c r="P843" s="116">
        <v>106.55</v>
      </c>
      <c r="Q843" s="116">
        <v>105.45</v>
      </c>
      <c r="R843">
        <v>30335</v>
      </c>
    </row>
    <row r="844" spans="1:18" x14ac:dyDescent="0.25">
      <c r="A844" s="169">
        <v>43244</v>
      </c>
      <c r="B844" s="116">
        <v>107.5</v>
      </c>
      <c r="C844" s="116">
        <v>104.7</v>
      </c>
      <c r="D844" s="116">
        <v>104.15</v>
      </c>
      <c r="E844" s="116">
        <v>106.45</v>
      </c>
      <c r="F844" s="116">
        <v>104.7</v>
      </c>
      <c r="G844">
        <v>1262</v>
      </c>
      <c r="H844" s="116"/>
      <c r="I844" s="116"/>
      <c r="L844" s="169">
        <v>43244</v>
      </c>
      <c r="M844" s="116">
        <v>103.35</v>
      </c>
      <c r="N844" s="116">
        <v>108.15</v>
      </c>
      <c r="O844" s="116">
        <v>103.1</v>
      </c>
      <c r="P844" s="116">
        <v>105.55</v>
      </c>
      <c r="Q844" s="116">
        <v>103.35</v>
      </c>
      <c r="R844">
        <v>55955</v>
      </c>
    </row>
    <row r="845" spans="1:18" x14ac:dyDescent="0.25">
      <c r="A845" s="169">
        <v>43245</v>
      </c>
      <c r="B845" s="116">
        <v>108.65</v>
      </c>
      <c r="C845" s="116">
        <v>106.55</v>
      </c>
      <c r="D845" s="116">
        <v>103.75</v>
      </c>
      <c r="E845" s="116">
        <v>103.75</v>
      </c>
      <c r="F845" s="116">
        <v>106.55</v>
      </c>
      <c r="G845">
        <v>176949</v>
      </c>
      <c r="H845" s="116"/>
      <c r="I845" s="116"/>
      <c r="L845" s="169">
        <v>43245</v>
      </c>
      <c r="M845" s="116">
        <v>106.7</v>
      </c>
      <c r="N845" s="116">
        <v>109.8</v>
      </c>
      <c r="O845" s="116">
        <v>103.45</v>
      </c>
      <c r="P845" s="116">
        <v>103.45</v>
      </c>
      <c r="Q845" s="116">
        <v>106.7</v>
      </c>
      <c r="R845">
        <v>203866</v>
      </c>
    </row>
    <row r="846" spans="1:18" x14ac:dyDescent="0.25">
      <c r="A846" s="169">
        <v>43248</v>
      </c>
      <c r="B846" s="116">
        <v>114.5</v>
      </c>
      <c r="C846" s="116">
        <v>111.65</v>
      </c>
      <c r="D846" s="116">
        <v>106.75</v>
      </c>
      <c r="E846" s="116">
        <v>107.7</v>
      </c>
      <c r="F846" s="116">
        <v>111.65</v>
      </c>
      <c r="G846">
        <v>448786</v>
      </c>
      <c r="H846" s="116"/>
      <c r="I846" s="116"/>
      <c r="L846" s="169">
        <v>43248</v>
      </c>
      <c r="M846" s="116">
        <v>111.2</v>
      </c>
      <c r="N846" s="116">
        <v>114.9</v>
      </c>
      <c r="O846" s="116">
        <v>106.5</v>
      </c>
      <c r="P846" s="116">
        <v>107.15</v>
      </c>
      <c r="Q846" s="116">
        <v>111.2</v>
      </c>
      <c r="R846">
        <v>395954</v>
      </c>
    </row>
    <row r="847" spans="1:18" x14ac:dyDescent="0.25">
      <c r="A847" s="169">
        <v>43249</v>
      </c>
      <c r="B847" s="116">
        <v>114</v>
      </c>
      <c r="C847" s="116">
        <v>113.55</v>
      </c>
      <c r="D847" s="116">
        <v>110.85</v>
      </c>
      <c r="E847" s="116">
        <v>112.1</v>
      </c>
      <c r="F847" s="116">
        <v>113.55</v>
      </c>
      <c r="G847">
        <v>4106</v>
      </c>
      <c r="H847" s="116"/>
      <c r="I847" s="116"/>
      <c r="L847" s="169">
        <v>43249</v>
      </c>
      <c r="M847" s="116">
        <v>113.25</v>
      </c>
      <c r="N847" s="116">
        <v>114</v>
      </c>
      <c r="O847" s="116">
        <v>110.15</v>
      </c>
      <c r="P847" s="116">
        <v>113.05</v>
      </c>
      <c r="Q847" s="116">
        <v>113.25</v>
      </c>
      <c r="R847">
        <v>9839</v>
      </c>
    </row>
    <row r="848" spans="1:18" x14ac:dyDescent="0.25">
      <c r="A848" s="169">
        <v>43250</v>
      </c>
      <c r="B848" s="116">
        <v>113.9</v>
      </c>
      <c r="C848" s="116">
        <v>113.55</v>
      </c>
      <c r="D848" s="116">
        <v>111</v>
      </c>
      <c r="E848" s="116">
        <v>112.5</v>
      </c>
      <c r="F848" s="116">
        <v>113.55</v>
      </c>
      <c r="G848">
        <v>1451</v>
      </c>
      <c r="H848" s="116"/>
      <c r="I848" s="116"/>
      <c r="L848" s="169">
        <v>43250</v>
      </c>
      <c r="M848" s="116">
        <v>112.6</v>
      </c>
      <c r="N848" s="116">
        <v>114.15</v>
      </c>
      <c r="O848" s="116">
        <v>108.3</v>
      </c>
      <c r="P848" s="116">
        <v>112.05</v>
      </c>
      <c r="Q848" s="116">
        <v>112.6</v>
      </c>
      <c r="R848">
        <v>3858</v>
      </c>
    </row>
    <row r="849" spans="1:18" x14ac:dyDescent="0.25">
      <c r="A849" s="169">
        <v>43251</v>
      </c>
      <c r="B849" s="116">
        <v>113.05</v>
      </c>
      <c r="C849" s="116">
        <v>110.8</v>
      </c>
      <c r="D849" s="116">
        <v>108.75</v>
      </c>
      <c r="E849" s="116">
        <v>113.05</v>
      </c>
      <c r="F849" s="116">
        <v>110.8</v>
      </c>
      <c r="G849">
        <v>1892</v>
      </c>
      <c r="H849" s="116"/>
      <c r="I849" s="116"/>
      <c r="L849" s="169">
        <v>43251</v>
      </c>
      <c r="M849" s="116">
        <v>111.2</v>
      </c>
      <c r="N849" s="116">
        <v>117</v>
      </c>
      <c r="O849" s="116">
        <v>110</v>
      </c>
      <c r="P849" s="116">
        <v>112.65</v>
      </c>
      <c r="Q849" s="116">
        <v>111.2</v>
      </c>
      <c r="R849">
        <v>11035</v>
      </c>
    </row>
    <row r="850" spans="1:18" x14ac:dyDescent="0.25">
      <c r="A850" s="169">
        <v>43252</v>
      </c>
      <c r="B850" s="116">
        <v>114.2</v>
      </c>
      <c r="C850" s="116">
        <v>108.15</v>
      </c>
      <c r="D850" s="116">
        <v>107.75</v>
      </c>
      <c r="E850" s="116">
        <v>113.1</v>
      </c>
      <c r="F850" s="116">
        <v>108.15</v>
      </c>
      <c r="G850">
        <v>1611</v>
      </c>
      <c r="H850" s="116"/>
      <c r="I850" s="116"/>
      <c r="L850" s="169">
        <v>43252</v>
      </c>
      <c r="M850" s="116">
        <v>108</v>
      </c>
      <c r="N850" s="116">
        <v>115</v>
      </c>
      <c r="O850" s="116">
        <v>107.1</v>
      </c>
      <c r="P850" s="116">
        <v>111.3</v>
      </c>
      <c r="Q850" s="116">
        <v>108</v>
      </c>
      <c r="R850">
        <v>15306</v>
      </c>
    </row>
    <row r="851" spans="1:18" x14ac:dyDescent="0.25">
      <c r="A851" s="169">
        <v>43255</v>
      </c>
      <c r="B851" s="116">
        <v>110</v>
      </c>
      <c r="C851" s="116">
        <v>99.6</v>
      </c>
      <c r="D851" s="116">
        <v>98</v>
      </c>
      <c r="E851" s="116">
        <v>110</v>
      </c>
      <c r="F851" s="116">
        <v>99.6</v>
      </c>
      <c r="G851">
        <v>4942</v>
      </c>
      <c r="H851" s="116"/>
      <c r="I851" s="116"/>
      <c r="L851" s="169">
        <v>43255</v>
      </c>
      <c r="M851" s="116">
        <v>101.15</v>
      </c>
      <c r="N851" s="116">
        <v>110</v>
      </c>
      <c r="O851" s="116">
        <v>97</v>
      </c>
      <c r="P851" s="116">
        <v>108.15</v>
      </c>
      <c r="Q851" s="116">
        <v>101.15</v>
      </c>
      <c r="R851">
        <v>66008</v>
      </c>
    </row>
    <row r="852" spans="1:18" x14ac:dyDescent="0.25">
      <c r="A852" s="169">
        <v>43256</v>
      </c>
      <c r="B852" s="116">
        <v>97.3</v>
      </c>
      <c r="C852" s="116">
        <v>83.35</v>
      </c>
      <c r="D852" s="116">
        <v>82</v>
      </c>
      <c r="E852" s="116">
        <v>97.3</v>
      </c>
      <c r="F852" s="116">
        <v>83.35</v>
      </c>
      <c r="G852">
        <v>11126</v>
      </c>
      <c r="H852" s="116"/>
      <c r="I852" s="116"/>
      <c r="L852" s="169">
        <v>43256</v>
      </c>
      <c r="M852" s="116">
        <v>82.6</v>
      </c>
      <c r="N852" s="116">
        <v>100.55</v>
      </c>
      <c r="O852" s="116">
        <v>81.45</v>
      </c>
      <c r="P852" s="116">
        <v>100</v>
      </c>
      <c r="Q852" s="116">
        <v>82.6</v>
      </c>
      <c r="R852">
        <v>141296</v>
      </c>
    </row>
    <row r="853" spans="1:18" x14ac:dyDescent="0.25">
      <c r="A853" s="169">
        <v>43257</v>
      </c>
      <c r="B853" s="116">
        <v>86.2</v>
      </c>
      <c r="C853" s="116">
        <v>84.35</v>
      </c>
      <c r="D853" s="116">
        <v>81</v>
      </c>
      <c r="E853" s="116">
        <v>83</v>
      </c>
      <c r="F853" s="116">
        <v>84.35</v>
      </c>
      <c r="G853">
        <v>3368</v>
      </c>
      <c r="H853" s="116"/>
      <c r="I853" s="116"/>
      <c r="L853" s="169">
        <v>43257</v>
      </c>
      <c r="M853" s="116">
        <v>85.15</v>
      </c>
      <c r="N853" s="116">
        <v>88.9</v>
      </c>
      <c r="O853" s="116">
        <v>81.05</v>
      </c>
      <c r="P853" s="116">
        <v>83.9</v>
      </c>
      <c r="Q853" s="116">
        <v>85.15</v>
      </c>
      <c r="R853">
        <v>60341</v>
      </c>
    </row>
    <row r="854" spans="1:18" x14ac:dyDescent="0.25">
      <c r="A854" s="169">
        <v>43258</v>
      </c>
      <c r="B854" s="116">
        <v>98.5</v>
      </c>
      <c r="C854" s="116">
        <v>94.05</v>
      </c>
      <c r="D854" s="116">
        <v>86.9</v>
      </c>
      <c r="E854" s="116">
        <v>87</v>
      </c>
      <c r="F854" s="116">
        <v>94.05</v>
      </c>
      <c r="G854">
        <v>13863</v>
      </c>
      <c r="H854" s="116"/>
      <c r="I854" s="116"/>
      <c r="L854" s="169">
        <v>43258</v>
      </c>
      <c r="M854" s="116">
        <v>94.95</v>
      </c>
      <c r="N854" s="116">
        <v>99.7</v>
      </c>
      <c r="O854" s="116">
        <v>85.25</v>
      </c>
      <c r="P854" s="116">
        <v>85.25</v>
      </c>
      <c r="Q854" s="116">
        <v>94.95</v>
      </c>
      <c r="R854">
        <v>440846</v>
      </c>
    </row>
    <row r="855" spans="1:18" x14ac:dyDescent="0.25">
      <c r="A855" s="169">
        <v>43259</v>
      </c>
      <c r="B855" s="116">
        <v>94.85</v>
      </c>
      <c r="C855" s="116">
        <v>92</v>
      </c>
      <c r="D855" s="116">
        <v>91.35</v>
      </c>
      <c r="E855" s="116">
        <v>94.85</v>
      </c>
      <c r="F855" s="116">
        <v>92</v>
      </c>
      <c r="G855">
        <v>2662</v>
      </c>
      <c r="H855" s="116"/>
      <c r="I855" s="116"/>
      <c r="L855" s="169">
        <v>43259</v>
      </c>
      <c r="M855" s="116">
        <v>91.8</v>
      </c>
      <c r="N855" s="116">
        <v>96.25</v>
      </c>
      <c r="O855" s="116">
        <v>90.4</v>
      </c>
      <c r="P855" s="116">
        <v>95</v>
      </c>
      <c r="Q855" s="116">
        <v>91.8</v>
      </c>
      <c r="R855">
        <v>20593</v>
      </c>
    </row>
    <row r="856" spans="1:18" x14ac:dyDescent="0.25">
      <c r="A856" s="169">
        <v>43262</v>
      </c>
      <c r="B856" s="116">
        <v>93.95</v>
      </c>
      <c r="C856" s="116">
        <v>92.05</v>
      </c>
      <c r="D856" s="116">
        <v>90.7</v>
      </c>
      <c r="E856" s="116">
        <v>93.1</v>
      </c>
      <c r="F856" s="116">
        <v>92.05</v>
      </c>
      <c r="G856">
        <v>3102</v>
      </c>
      <c r="H856" s="116"/>
      <c r="I856" s="116"/>
      <c r="L856" s="169">
        <v>43262</v>
      </c>
      <c r="M856" s="116">
        <v>91.45</v>
      </c>
      <c r="N856" s="116">
        <v>93.45</v>
      </c>
      <c r="O856" s="116">
        <v>90.05</v>
      </c>
      <c r="P856" s="116">
        <v>91.8</v>
      </c>
      <c r="Q856" s="116">
        <v>91.45</v>
      </c>
      <c r="R856">
        <v>49597</v>
      </c>
    </row>
    <row r="857" spans="1:18" x14ac:dyDescent="0.25">
      <c r="A857" s="169">
        <v>43263</v>
      </c>
      <c r="B857" s="116">
        <v>104.7</v>
      </c>
      <c r="C857" s="116">
        <v>96.75</v>
      </c>
      <c r="D857" s="116">
        <v>92.35</v>
      </c>
      <c r="E857" s="116">
        <v>95</v>
      </c>
      <c r="F857" s="116">
        <v>96.75</v>
      </c>
      <c r="G857">
        <v>12052</v>
      </c>
      <c r="H857" s="116"/>
      <c r="I857" s="116"/>
      <c r="L857" s="169">
        <v>43263</v>
      </c>
      <c r="M857" s="116">
        <v>97.4</v>
      </c>
      <c r="N857" s="116">
        <v>105.05</v>
      </c>
      <c r="O857" s="116">
        <v>91.2</v>
      </c>
      <c r="P857" s="116">
        <v>91.2</v>
      </c>
      <c r="Q857" s="116">
        <v>97.4</v>
      </c>
      <c r="R857">
        <v>442828</v>
      </c>
    </row>
    <row r="858" spans="1:18" x14ac:dyDescent="0.25">
      <c r="A858" s="169">
        <v>43264</v>
      </c>
      <c r="B858" s="116">
        <v>101.35</v>
      </c>
      <c r="C858" s="116">
        <v>97</v>
      </c>
      <c r="D858" s="116">
        <v>95.3</v>
      </c>
      <c r="E858" s="116">
        <v>96.05</v>
      </c>
      <c r="F858" s="116">
        <v>97</v>
      </c>
      <c r="G858">
        <v>7107</v>
      </c>
      <c r="H858" s="116"/>
      <c r="I858" s="116"/>
      <c r="L858" s="169">
        <v>43264</v>
      </c>
      <c r="M858" s="116">
        <v>96.7</v>
      </c>
      <c r="N858" s="116">
        <v>101</v>
      </c>
      <c r="O858" s="116">
        <v>94.6</v>
      </c>
      <c r="P858" s="116">
        <v>95.2</v>
      </c>
      <c r="Q858" s="116">
        <v>96.7</v>
      </c>
      <c r="R858">
        <v>103784</v>
      </c>
    </row>
    <row r="859" spans="1:18" x14ac:dyDescent="0.25">
      <c r="A859" s="169">
        <v>43265</v>
      </c>
      <c r="B859" s="116">
        <v>104</v>
      </c>
      <c r="C859" s="116">
        <v>96.75</v>
      </c>
      <c r="D859" s="116">
        <v>96.5</v>
      </c>
      <c r="E859" s="116">
        <v>104</v>
      </c>
      <c r="F859" s="116">
        <v>96.75</v>
      </c>
      <c r="G859">
        <v>1869</v>
      </c>
      <c r="H859" s="116"/>
      <c r="I859" s="116"/>
      <c r="L859" s="169">
        <v>43265</v>
      </c>
      <c r="M859" s="116">
        <v>96.15</v>
      </c>
      <c r="N859" s="116">
        <v>98.95</v>
      </c>
      <c r="O859" s="116">
        <v>96</v>
      </c>
      <c r="P859" s="116">
        <v>96.7</v>
      </c>
      <c r="Q859" s="116">
        <v>96.15</v>
      </c>
      <c r="R859">
        <v>13897</v>
      </c>
    </row>
    <row r="860" spans="1:18" x14ac:dyDescent="0.25">
      <c r="A860" s="169">
        <v>43266</v>
      </c>
      <c r="B860" s="116">
        <v>104.5</v>
      </c>
      <c r="C860" s="116">
        <v>95.4</v>
      </c>
      <c r="D860" s="116">
        <v>94.65</v>
      </c>
      <c r="E860" s="116">
        <v>98.7</v>
      </c>
      <c r="F860" s="116">
        <v>95.4</v>
      </c>
      <c r="G860">
        <v>15876</v>
      </c>
      <c r="H860" s="116"/>
      <c r="I860" s="116"/>
      <c r="L860" s="169">
        <v>43266</v>
      </c>
      <c r="M860" s="116">
        <v>95.05</v>
      </c>
      <c r="N860" s="116">
        <v>105</v>
      </c>
      <c r="O860" s="116">
        <v>94.2</v>
      </c>
      <c r="P860" s="116">
        <v>96.15</v>
      </c>
      <c r="Q860" s="116">
        <v>95.05</v>
      </c>
      <c r="R860">
        <v>272558</v>
      </c>
    </row>
    <row r="861" spans="1:18" x14ac:dyDescent="0.25">
      <c r="A861" s="169">
        <v>43269</v>
      </c>
      <c r="B861" s="116">
        <v>97.05</v>
      </c>
      <c r="C861" s="116">
        <v>94.05</v>
      </c>
      <c r="D861" s="116">
        <v>93.6</v>
      </c>
      <c r="E861" s="116">
        <v>97.05</v>
      </c>
      <c r="F861" s="116">
        <v>94.05</v>
      </c>
      <c r="G861">
        <v>1362</v>
      </c>
      <c r="H861" s="116"/>
      <c r="I861" s="116"/>
      <c r="L861" s="169">
        <v>43269</v>
      </c>
      <c r="M861" s="116">
        <v>93.7</v>
      </c>
      <c r="N861" s="116">
        <v>97</v>
      </c>
      <c r="O861" s="116">
        <v>93.1</v>
      </c>
      <c r="P861" s="116">
        <v>97</v>
      </c>
      <c r="Q861" s="116">
        <v>93.7</v>
      </c>
      <c r="R861">
        <v>19607</v>
      </c>
    </row>
    <row r="862" spans="1:18" x14ac:dyDescent="0.25">
      <c r="A862" s="169">
        <v>43270</v>
      </c>
      <c r="B862" s="116">
        <v>93</v>
      </c>
      <c r="C862" s="116">
        <v>90.1</v>
      </c>
      <c r="D862" s="116">
        <v>89.75</v>
      </c>
      <c r="E862" s="116">
        <v>93</v>
      </c>
      <c r="F862" s="116">
        <v>90.1</v>
      </c>
      <c r="G862">
        <v>19979</v>
      </c>
      <c r="H862" s="116"/>
      <c r="I862" s="116"/>
      <c r="L862" s="169">
        <v>43270</v>
      </c>
      <c r="M862" s="116">
        <v>90.85</v>
      </c>
      <c r="N862" s="116">
        <v>94.55</v>
      </c>
      <c r="O862" s="116">
        <v>90</v>
      </c>
      <c r="P862" s="116">
        <v>93.7</v>
      </c>
      <c r="Q862" s="116">
        <v>90.85</v>
      </c>
      <c r="R862">
        <v>25651</v>
      </c>
    </row>
    <row r="863" spans="1:18" x14ac:dyDescent="0.25">
      <c r="A863" s="169">
        <v>43271</v>
      </c>
      <c r="B863" s="116">
        <v>92.4</v>
      </c>
      <c r="C863" s="116">
        <v>88.9</v>
      </c>
      <c r="D863" s="116">
        <v>87.7</v>
      </c>
      <c r="E863" s="116">
        <v>92.4</v>
      </c>
      <c r="F863" s="116">
        <v>88.9</v>
      </c>
      <c r="G863">
        <v>881</v>
      </c>
      <c r="H863" s="116"/>
      <c r="I863" s="116"/>
      <c r="L863" s="169">
        <v>43271</v>
      </c>
      <c r="M863" s="116">
        <v>89.25</v>
      </c>
      <c r="N863" s="116">
        <v>93</v>
      </c>
      <c r="O863" s="116">
        <v>88.25</v>
      </c>
      <c r="P863" s="116">
        <v>90.85</v>
      </c>
      <c r="Q863" s="116">
        <v>89.25</v>
      </c>
      <c r="R863">
        <v>41408</v>
      </c>
    </row>
    <row r="864" spans="1:18" x14ac:dyDescent="0.25">
      <c r="A864" s="169">
        <v>43272</v>
      </c>
      <c r="B864" s="116">
        <v>90.5</v>
      </c>
      <c r="C864" s="116">
        <v>84.8</v>
      </c>
      <c r="D864" s="116">
        <v>84.2</v>
      </c>
      <c r="E864" s="116">
        <v>89.85</v>
      </c>
      <c r="F864" s="116">
        <v>84.8</v>
      </c>
      <c r="G864">
        <v>7226</v>
      </c>
      <c r="H864" s="116"/>
      <c r="I864" s="116"/>
      <c r="L864" s="169">
        <v>43272</v>
      </c>
      <c r="M864" s="116">
        <v>84.4</v>
      </c>
      <c r="N864" s="116">
        <v>90.65</v>
      </c>
      <c r="O864" s="116">
        <v>84</v>
      </c>
      <c r="P864" s="116">
        <v>89.4</v>
      </c>
      <c r="Q864" s="116">
        <v>84.4</v>
      </c>
      <c r="R864">
        <v>67722</v>
      </c>
    </row>
    <row r="865" spans="1:18" x14ac:dyDescent="0.25">
      <c r="A865" s="169">
        <v>43273</v>
      </c>
      <c r="B865" s="116">
        <v>87.25</v>
      </c>
      <c r="C865" s="116">
        <v>86.4</v>
      </c>
      <c r="D865" s="116">
        <v>83.2</v>
      </c>
      <c r="E865" s="116">
        <v>83.8</v>
      </c>
      <c r="F865" s="116">
        <v>86.4</v>
      </c>
      <c r="G865">
        <v>11985</v>
      </c>
      <c r="H865" s="116"/>
      <c r="I865" s="116"/>
      <c r="L865" s="169">
        <v>43273</v>
      </c>
      <c r="M865" s="116">
        <v>84.05</v>
      </c>
      <c r="N865" s="116">
        <v>87.4</v>
      </c>
      <c r="O865" s="116">
        <v>81.75</v>
      </c>
      <c r="P865" s="116">
        <v>84.4</v>
      </c>
      <c r="Q865" s="116">
        <v>84.05</v>
      </c>
      <c r="R865">
        <v>41589</v>
      </c>
    </row>
    <row r="866" spans="1:18" x14ac:dyDescent="0.25">
      <c r="A866" s="169">
        <v>43276</v>
      </c>
      <c r="B866" s="116">
        <v>88.45</v>
      </c>
      <c r="C866" s="116">
        <v>85</v>
      </c>
      <c r="D866" s="116">
        <v>84.35</v>
      </c>
      <c r="E866" s="116">
        <v>85</v>
      </c>
      <c r="F866" s="116">
        <v>85</v>
      </c>
      <c r="G866">
        <v>4944</v>
      </c>
      <c r="H866" s="116"/>
      <c r="I866" s="116"/>
      <c r="L866" s="169">
        <v>43276</v>
      </c>
      <c r="M866" s="116">
        <v>84.6</v>
      </c>
      <c r="N866" s="116">
        <v>89</v>
      </c>
      <c r="O866" s="116">
        <v>84.1</v>
      </c>
      <c r="P866" s="116">
        <v>85.9</v>
      </c>
      <c r="Q866" s="116">
        <v>84.6</v>
      </c>
      <c r="R866">
        <v>119160</v>
      </c>
    </row>
    <row r="867" spans="1:18" x14ac:dyDescent="0.25">
      <c r="A867" s="169">
        <v>43277</v>
      </c>
      <c r="B867" s="116">
        <v>85.95</v>
      </c>
      <c r="C867" s="116">
        <v>84.2</v>
      </c>
      <c r="D867" s="116">
        <v>83.1</v>
      </c>
      <c r="E867" s="116">
        <v>83.1</v>
      </c>
      <c r="F867" s="116">
        <v>84.2</v>
      </c>
      <c r="G867">
        <v>3255</v>
      </c>
      <c r="H867" s="116"/>
      <c r="I867" s="116"/>
      <c r="L867" s="169">
        <v>43277</v>
      </c>
      <c r="M867" s="116">
        <v>84.75</v>
      </c>
      <c r="N867" s="116">
        <v>86.45</v>
      </c>
      <c r="O867" s="116">
        <v>82.2</v>
      </c>
      <c r="P867" s="116">
        <v>85.05</v>
      </c>
      <c r="Q867" s="116">
        <v>84.75</v>
      </c>
      <c r="R867">
        <v>62465</v>
      </c>
    </row>
    <row r="868" spans="1:18" x14ac:dyDescent="0.25">
      <c r="A868" s="169">
        <v>43278</v>
      </c>
      <c r="B868" s="116">
        <v>86</v>
      </c>
      <c r="C868" s="116">
        <v>79.3</v>
      </c>
      <c r="D868" s="116">
        <v>77.8</v>
      </c>
      <c r="E868" s="116">
        <v>84.65</v>
      </c>
      <c r="F868" s="116">
        <v>79.3</v>
      </c>
      <c r="G868">
        <v>5778</v>
      </c>
      <c r="H868" s="116"/>
      <c r="I868" s="116"/>
      <c r="L868" s="169">
        <v>43278</v>
      </c>
      <c r="M868" s="116">
        <v>78.8</v>
      </c>
      <c r="N868" s="116">
        <v>85.5</v>
      </c>
      <c r="O868" s="116">
        <v>77.25</v>
      </c>
      <c r="P868" s="116">
        <v>84.9</v>
      </c>
      <c r="Q868" s="116">
        <v>78.8</v>
      </c>
      <c r="R868">
        <v>27081</v>
      </c>
    </row>
    <row r="869" spans="1:18" x14ac:dyDescent="0.25">
      <c r="A869" s="169">
        <v>43279</v>
      </c>
      <c r="B869" s="116">
        <v>80</v>
      </c>
      <c r="C869" s="116">
        <v>78.2</v>
      </c>
      <c r="D869" s="116">
        <v>77.95</v>
      </c>
      <c r="E869" s="116">
        <v>79</v>
      </c>
      <c r="F869" s="116">
        <v>78.2</v>
      </c>
      <c r="G869">
        <v>2953</v>
      </c>
      <c r="H869" s="116"/>
      <c r="I869" s="116"/>
      <c r="L869" s="169">
        <v>43279</v>
      </c>
      <c r="M869" s="116">
        <v>79.099999999999994</v>
      </c>
      <c r="N869" s="116">
        <v>80.8</v>
      </c>
      <c r="O869" s="116">
        <v>76.95</v>
      </c>
      <c r="P869" s="116">
        <v>79</v>
      </c>
      <c r="Q869" s="116">
        <v>79.099999999999994</v>
      </c>
      <c r="R869">
        <v>19098</v>
      </c>
    </row>
    <row r="870" spans="1:18" x14ac:dyDescent="0.25">
      <c r="A870" s="169">
        <v>43280</v>
      </c>
      <c r="B870" s="116">
        <v>82.8</v>
      </c>
      <c r="C870" s="116">
        <v>81.650000000000006</v>
      </c>
      <c r="D870" s="116">
        <v>79.3</v>
      </c>
      <c r="E870" s="116">
        <v>81.5</v>
      </c>
      <c r="F870" s="116">
        <v>81.650000000000006</v>
      </c>
      <c r="G870">
        <v>1522</v>
      </c>
      <c r="H870" s="116"/>
      <c r="I870" s="116"/>
      <c r="L870" s="169">
        <v>43280</v>
      </c>
      <c r="M870" s="116">
        <v>82.05</v>
      </c>
      <c r="N870" s="116">
        <v>83.1</v>
      </c>
      <c r="O870" s="116">
        <v>79.3</v>
      </c>
      <c r="P870" s="116">
        <v>79.3</v>
      </c>
      <c r="Q870" s="116">
        <v>82.05</v>
      </c>
      <c r="R870">
        <v>12886</v>
      </c>
    </row>
    <row r="871" spans="1:18" x14ac:dyDescent="0.25">
      <c r="A871" s="169">
        <v>43283</v>
      </c>
      <c r="B871" s="116">
        <v>82.25</v>
      </c>
      <c r="C871" s="116">
        <v>81.3</v>
      </c>
      <c r="D871" s="116">
        <v>80</v>
      </c>
      <c r="E871" s="116">
        <v>82.25</v>
      </c>
      <c r="F871" s="116">
        <v>81.3</v>
      </c>
      <c r="G871">
        <v>1914</v>
      </c>
      <c r="H871" s="116"/>
      <c r="I871" s="116"/>
      <c r="L871" s="169">
        <v>43283</v>
      </c>
      <c r="M871" s="116">
        <v>81.8</v>
      </c>
      <c r="N871" s="116">
        <v>82.55</v>
      </c>
      <c r="O871" s="116">
        <v>80.3</v>
      </c>
      <c r="P871" s="116">
        <v>82.2</v>
      </c>
      <c r="Q871" s="116">
        <v>81.8</v>
      </c>
      <c r="R871">
        <v>29253</v>
      </c>
    </row>
    <row r="872" spans="1:18" x14ac:dyDescent="0.25">
      <c r="A872" s="169">
        <v>43284</v>
      </c>
      <c r="B872" s="116">
        <v>82.1</v>
      </c>
      <c r="C872" s="116">
        <v>79.900000000000006</v>
      </c>
      <c r="D872" s="116">
        <v>74</v>
      </c>
      <c r="E872" s="116">
        <v>82.1</v>
      </c>
      <c r="F872" s="116">
        <v>79.900000000000006</v>
      </c>
      <c r="G872">
        <v>6335</v>
      </c>
      <c r="H872" s="116"/>
      <c r="I872" s="116"/>
      <c r="L872" s="169">
        <v>43284</v>
      </c>
      <c r="M872" s="116">
        <v>80</v>
      </c>
      <c r="N872" s="116">
        <v>82.35</v>
      </c>
      <c r="O872" s="116">
        <v>79.55</v>
      </c>
      <c r="P872" s="116">
        <v>81.5</v>
      </c>
      <c r="Q872" s="116">
        <v>80</v>
      </c>
      <c r="R872">
        <v>8762</v>
      </c>
    </row>
    <row r="873" spans="1:18" x14ac:dyDescent="0.25">
      <c r="A873" s="169">
        <v>43285</v>
      </c>
      <c r="B873" s="116">
        <v>80.3</v>
      </c>
      <c r="C873" s="116">
        <v>78.7</v>
      </c>
      <c r="D873" s="116">
        <v>78.099999999999994</v>
      </c>
      <c r="E873" s="116">
        <v>80.3</v>
      </c>
      <c r="F873" s="116">
        <v>78.7</v>
      </c>
      <c r="G873">
        <v>915</v>
      </c>
      <c r="H873" s="116"/>
      <c r="I873" s="116"/>
      <c r="L873" s="169">
        <v>43285</v>
      </c>
      <c r="M873" s="116">
        <v>78.45</v>
      </c>
      <c r="N873" s="116">
        <v>80</v>
      </c>
      <c r="O873" s="116">
        <v>77.900000000000006</v>
      </c>
      <c r="P873" s="116">
        <v>79.95</v>
      </c>
      <c r="Q873" s="116">
        <v>78.45</v>
      </c>
      <c r="R873">
        <v>9003</v>
      </c>
    </row>
    <row r="874" spans="1:18" x14ac:dyDescent="0.25">
      <c r="A874" s="169">
        <v>43286</v>
      </c>
      <c r="B874" s="116">
        <v>82.7</v>
      </c>
      <c r="C874" s="116">
        <v>79.599999999999994</v>
      </c>
      <c r="D874" s="116">
        <v>79.099999999999994</v>
      </c>
      <c r="E874" s="116">
        <v>79.400000000000006</v>
      </c>
      <c r="F874" s="116">
        <v>79.599999999999994</v>
      </c>
      <c r="G874">
        <v>1278</v>
      </c>
      <c r="H874" s="116"/>
      <c r="I874" s="116"/>
      <c r="L874" s="169">
        <v>43286</v>
      </c>
      <c r="M874" s="116">
        <v>79.25</v>
      </c>
      <c r="N874" s="116">
        <v>82.8</v>
      </c>
      <c r="O874" s="116">
        <v>78.099999999999994</v>
      </c>
      <c r="P874" s="116">
        <v>78.349999999999994</v>
      </c>
      <c r="Q874" s="116">
        <v>79.25</v>
      </c>
      <c r="R874">
        <v>25399</v>
      </c>
    </row>
    <row r="875" spans="1:18" x14ac:dyDescent="0.25">
      <c r="A875" s="169">
        <v>43287</v>
      </c>
      <c r="B875" s="116">
        <v>80.5</v>
      </c>
      <c r="C875" s="116">
        <v>79.25</v>
      </c>
      <c r="D875" s="116">
        <v>78.150000000000006</v>
      </c>
      <c r="E875" s="116">
        <v>78.55</v>
      </c>
      <c r="F875" s="116">
        <v>79.25</v>
      </c>
      <c r="G875">
        <v>2385</v>
      </c>
      <c r="H875" s="116"/>
      <c r="I875" s="116"/>
      <c r="L875" s="169">
        <v>43287</v>
      </c>
      <c r="M875" s="116">
        <v>79.5</v>
      </c>
      <c r="N875" s="116">
        <v>81.7</v>
      </c>
      <c r="O875" s="116">
        <v>78</v>
      </c>
      <c r="P875" s="116">
        <v>79.3</v>
      </c>
      <c r="Q875" s="116">
        <v>79.5</v>
      </c>
      <c r="R875">
        <v>30980</v>
      </c>
    </row>
    <row r="876" spans="1:18" x14ac:dyDescent="0.25">
      <c r="A876" s="169">
        <v>43290</v>
      </c>
      <c r="B876" s="116">
        <v>84</v>
      </c>
      <c r="C876" s="116">
        <v>80.55</v>
      </c>
      <c r="D876" s="116">
        <v>79.3</v>
      </c>
      <c r="E876" s="116">
        <v>80.400000000000006</v>
      </c>
      <c r="F876" s="116">
        <v>80.55</v>
      </c>
      <c r="G876">
        <v>754</v>
      </c>
      <c r="H876" s="116"/>
      <c r="I876" s="116"/>
      <c r="L876" s="169">
        <v>43290</v>
      </c>
      <c r="M876" s="116">
        <v>80.55</v>
      </c>
      <c r="N876" s="116">
        <v>81</v>
      </c>
      <c r="O876" s="116">
        <v>79.5</v>
      </c>
      <c r="P876" s="116">
        <v>79.5</v>
      </c>
      <c r="Q876" s="116">
        <v>80.55</v>
      </c>
      <c r="R876">
        <v>28988</v>
      </c>
    </row>
    <row r="877" spans="1:18" x14ac:dyDescent="0.25">
      <c r="A877" s="169">
        <v>43291</v>
      </c>
      <c r="B877" s="116">
        <v>87</v>
      </c>
      <c r="C877" s="116">
        <v>82.55</v>
      </c>
      <c r="D877" s="116">
        <v>80.8</v>
      </c>
      <c r="E877" s="116">
        <v>80.8</v>
      </c>
      <c r="F877" s="116">
        <v>82.55</v>
      </c>
      <c r="G877">
        <v>62372</v>
      </c>
      <c r="H877" s="116"/>
      <c r="I877" s="116"/>
      <c r="L877" s="169">
        <v>43291</v>
      </c>
      <c r="M877" s="116">
        <v>84.05</v>
      </c>
      <c r="N877" s="116">
        <v>87.6</v>
      </c>
      <c r="O877" s="116">
        <v>80.5</v>
      </c>
      <c r="P877" s="116">
        <v>82.5</v>
      </c>
      <c r="Q877" s="116">
        <v>84.05</v>
      </c>
      <c r="R877">
        <v>211225</v>
      </c>
    </row>
    <row r="878" spans="1:18" x14ac:dyDescent="0.25">
      <c r="A878" s="169">
        <v>43292</v>
      </c>
      <c r="B878" s="116">
        <v>89.5</v>
      </c>
      <c r="C878" s="116">
        <v>83.55</v>
      </c>
      <c r="D878" s="116">
        <v>83</v>
      </c>
      <c r="E878" s="116">
        <v>84.35</v>
      </c>
      <c r="F878" s="116">
        <v>83.55</v>
      </c>
      <c r="G878">
        <v>4791</v>
      </c>
      <c r="H878" s="116"/>
      <c r="I878" s="116"/>
      <c r="L878" s="169">
        <v>43292</v>
      </c>
      <c r="M878" s="116">
        <v>83</v>
      </c>
      <c r="N878" s="116">
        <v>89.9</v>
      </c>
      <c r="O878" s="116">
        <v>82</v>
      </c>
      <c r="P878" s="116">
        <v>85.95</v>
      </c>
      <c r="Q878" s="116">
        <v>83</v>
      </c>
      <c r="R878">
        <v>86632</v>
      </c>
    </row>
    <row r="879" spans="1:18" x14ac:dyDescent="0.25">
      <c r="A879" s="169">
        <v>43293</v>
      </c>
      <c r="B879" s="116">
        <v>83.8</v>
      </c>
      <c r="C879" s="116">
        <v>82.4</v>
      </c>
      <c r="D879" s="116">
        <v>82.2</v>
      </c>
      <c r="E879" s="116">
        <v>83.8</v>
      </c>
      <c r="F879" s="116">
        <v>82.4</v>
      </c>
      <c r="G879">
        <v>2284</v>
      </c>
      <c r="H879" s="116"/>
      <c r="I879" s="116"/>
      <c r="L879" s="169">
        <v>43293</v>
      </c>
      <c r="M879" s="116">
        <v>81.8</v>
      </c>
      <c r="N879" s="116">
        <v>84.4</v>
      </c>
      <c r="O879" s="116">
        <v>81.400000000000006</v>
      </c>
      <c r="P879" s="116">
        <v>83.05</v>
      </c>
      <c r="Q879" s="116">
        <v>81.8</v>
      </c>
      <c r="R879">
        <v>11768</v>
      </c>
    </row>
    <row r="880" spans="1:18" x14ac:dyDescent="0.25">
      <c r="A880" s="169">
        <v>43294</v>
      </c>
      <c r="B880" s="116">
        <v>82.25</v>
      </c>
      <c r="C880" s="116">
        <v>80.5</v>
      </c>
      <c r="D880" s="116">
        <v>80.05</v>
      </c>
      <c r="E880" s="116">
        <v>82.25</v>
      </c>
      <c r="F880" s="116">
        <v>80.5</v>
      </c>
      <c r="G880">
        <v>1459</v>
      </c>
      <c r="H880" s="116"/>
      <c r="I880" s="116"/>
      <c r="L880" s="169">
        <v>43294</v>
      </c>
      <c r="M880" s="116">
        <v>80.3</v>
      </c>
      <c r="N880" s="116">
        <v>82.25</v>
      </c>
      <c r="O880" s="116">
        <v>79.55</v>
      </c>
      <c r="P880" s="116">
        <v>81.599999999999994</v>
      </c>
      <c r="Q880" s="116">
        <v>80.3</v>
      </c>
      <c r="R880">
        <v>4730</v>
      </c>
    </row>
    <row r="881" spans="1:18" x14ac:dyDescent="0.25">
      <c r="A881" s="169">
        <v>43297</v>
      </c>
      <c r="B881" s="116">
        <v>80.45</v>
      </c>
      <c r="C881" s="116">
        <v>77.25</v>
      </c>
      <c r="D881" s="116">
        <v>76</v>
      </c>
      <c r="E881" s="116">
        <v>80.45</v>
      </c>
      <c r="F881" s="116">
        <v>77.25</v>
      </c>
      <c r="G881">
        <v>3819</v>
      </c>
      <c r="H881" s="116"/>
      <c r="I881" s="116"/>
      <c r="L881" s="169">
        <v>43297</v>
      </c>
      <c r="M881" s="116">
        <v>75.400000000000006</v>
      </c>
      <c r="N881" s="116">
        <v>80.7</v>
      </c>
      <c r="O881" s="116">
        <v>74.25</v>
      </c>
      <c r="P881" s="116">
        <v>80</v>
      </c>
      <c r="Q881" s="116">
        <v>75.400000000000006</v>
      </c>
      <c r="R881">
        <v>11273</v>
      </c>
    </row>
    <row r="882" spans="1:18" x14ac:dyDescent="0.25">
      <c r="A882" s="169">
        <v>43298</v>
      </c>
      <c r="B882" s="116">
        <v>80</v>
      </c>
      <c r="C882" s="116">
        <v>77.650000000000006</v>
      </c>
      <c r="D882" s="116">
        <v>76.55</v>
      </c>
      <c r="E882" s="116">
        <v>80</v>
      </c>
      <c r="F882" s="116">
        <v>77.650000000000006</v>
      </c>
      <c r="G882">
        <v>1666</v>
      </c>
      <c r="H882" s="116"/>
      <c r="I882" s="116"/>
      <c r="L882" s="169">
        <v>43298</v>
      </c>
      <c r="M882" s="116">
        <v>77.45</v>
      </c>
      <c r="N882" s="116">
        <v>79.650000000000006</v>
      </c>
      <c r="O882" s="116">
        <v>75.400000000000006</v>
      </c>
      <c r="P882" s="116">
        <v>75.400000000000006</v>
      </c>
      <c r="Q882" s="116">
        <v>77.45</v>
      </c>
      <c r="R882">
        <v>18778</v>
      </c>
    </row>
    <row r="883" spans="1:18" x14ac:dyDescent="0.25">
      <c r="A883" s="169">
        <v>43299</v>
      </c>
      <c r="B883" s="116">
        <v>78.45</v>
      </c>
      <c r="C883" s="116">
        <v>74.55</v>
      </c>
      <c r="D883" s="116">
        <v>73.45</v>
      </c>
      <c r="E883" s="116">
        <v>78</v>
      </c>
      <c r="F883" s="116">
        <v>74.55</v>
      </c>
      <c r="G883">
        <v>3048</v>
      </c>
      <c r="H883" s="116"/>
      <c r="I883" s="116"/>
      <c r="L883" s="169">
        <v>43299</v>
      </c>
      <c r="M883" s="116">
        <v>74.150000000000006</v>
      </c>
      <c r="N883" s="116">
        <v>78.900000000000006</v>
      </c>
      <c r="O883" s="116">
        <v>73.099999999999994</v>
      </c>
      <c r="P883" s="116">
        <v>77.45</v>
      </c>
      <c r="Q883" s="116">
        <v>74.150000000000006</v>
      </c>
      <c r="R883">
        <v>13446</v>
      </c>
    </row>
    <row r="884" spans="1:18" x14ac:dyDescent="0.25">
      <c r="A884" s="169">
        <v>43300</v>
      </c>
      <c r="B884" s="116">
        <v>74</v>
      </c>
      <c r="C884" s="116">
        <v>69.5</v>
      </c>
      <c r="D884" s="116">
        <v>67</v>
      </c>
      <c r="E884" s="116">
        <v>73.7</v>
      </c>
      <c r="F884" s="116">
        <v>69.5</v>
      </c>
      <c r="G884">
        <v>3302</v>
      </c>
      <c r="H884" s="116"/>
      <c r="I884" s="116"/>
      <c r="L884" s="169">
        <v>43300</v>
      </c>
      <c r="M884" s="116">
        <v>69.45</v>
      </c>
      <c r="N884" s="116">
        <v>74.599999999999994</v>
      </c>
      <c r="O884" s="116">
        <v>68.849999999999994</v>
      </c>
      <c r="P884" s="116">
        <v>74.400000000000006</v>
      </c>
      <c r="Q884" s="116">
        <v>69.45</v>
      </c>
      <c r="R884">
        <v>15480</v>
      </c>
    </row>
    <row r="885" spans="1:18" x14ac:dyDescent="0.25">
      <c r="A885" s="169">
        <v>43301</v>
      </c>
      <c r="B885" s="116">
        <v>83.4</v>
      </c>
      <c r="C885" s="116">
        <v>81.7</v>
      </c>
      <c r="D885" s="116">
        <v>68.900000000000006</v>
      </c>
      <c r="E885" s="116">
        <v>69.5</v>
      </c>
      <c r="F885" s="116">
        <v>81.7</v>
      </c>
      <c r="G885">
        <v>16637</v>
      </c>
      <c r="H885" s="116"/>
      <c r="I885" s="116"/>
      <c r="L885" s="169">
        <v>43301</v>
      </c>
      <c r="M885" s="116">
        <v>81.3</v>
      </c>
      <c r="N885" s="116">
        <v>83.3</v>
      </c>
      <c r="O885" s="116">
        <v>67</v>
      </c>
      <c r="P885" s="116">
        <v>67</v>
      </c>
      <c r="Q885" s="116">
        <v>81.3</v>
      </c>
      <c r="R885">
        <v>97485</v>
      </c>
    </row>
    <row r="886" spans="1:18" x14ac:dyDescent="0.25">
      <c r="A886" s="169">
        <v>43304</v>
      </c>
      <c r="B886" s="116">
        <v>84.7</v>
      </c>
      <c r="C886" s="116">
        <v>83.2</v>
      </c>
      <c r="D886" s="116">
        <v>79</v>
      </c>
      <c r="E886" s="116">
        <v>81.7</v>
      </c>
      <c r="F886" s="116">
        <v>83.2</v>
      </c>
      <c r="G886">
        <v>5805</v>
      </c>
      <c r="H886" s="116"/>
      <c r="I886" s="116"/>
      <c r="L886" s="169">
        <v>43304</v>
      </c>
      <c r="M886" s="116">
        <v>83.75</v>
      </c>
      <c r="N886" s="116">
        <v>85</v>
      </c>
      <c r="O886" s="116">
        <v>78.8</v>
      </c>
      <c r="P886" s="116">
        <v>81</v>
      </c>
      <c r="Q886" s="116">
        <v>83.75</v>
      </c>
      <c r="R886">
        <v>58324</v>
      </c>
    </row>
    <row r="887" spans="1:18" x14ac:dyDescent="0.25">
      <c r="A887" s="169">
        <v>43305</v>
      </c>
      <c r="B887" s="116">
        <v>99.8</v>
      </c>
      <c r="C887" s="116">
        <v>86.05</v>
      </c>
      <c r="D887" s="116">
        <v>82.95</v>
      </c>
      <c r="E887" s="116">
        <v>83.1</v>
      </c>
      <c r="F887" s="116">
        <v>86.05</v>
      </c>
      <c r="G887">
        <v>24247</v>
      </c>
      <c r="H887" s="116"/>
      <c r="I887" s="116"/>
      <c r="L887" s="169">
        <v>43305</v>
      </c>
      <c r="M887" s="116">
        <v>86.85</v>
      </c>
      <c r="N887" s="116">
        <v>100</v>
      </c>
      <c r="O887" s="116">
        <v>82</v>
      </c>
      <c r="P887" s="116">
        <v>82.85</v>
      </c>
      <c r="Q887" s="116">
        <v>86.85</v>
      </c>
      <c r="R887">
        <v>379751</v>
      </c>
    </row>
    <row r="888" spans="1:18" x14ac:dyDescent="0.25">
      <c r="A888" s="169">
        <v>43306</v>
      </c>
      <c r="B888" s="116">
        <v>85.3</v>
      </c>
      <c r="C888" s="116">
        <v>77.849999999999994</v>
      </c>
      <c r="D888" s="116">
        <v>77</v>
      </c>
      <c r="E888" s="116">
        <v>85.3</v>
      </c>
      <c r="F888" s="116">
        <v>77.849999999999994</v>
      </c>
      <c r="G888">
        <v>7954</v>
      </c>
      <c r="H888" s="116"/>
      <c r="I888" s="116"/>
      <c r="L888" s="169">
        <v>43306</v>
      </c>
      <c r="M888" s="116">
        <v>77.5</v>
      </c>
      <c r="N888" s="116">
        <v>86.8</v>
      </c>
      <c r="O888" s="116">
        <v>75.5</v>
      </c>
      <c r="P888" s="116">
        <v>86.8</v>
      </c>
      <c r="Q888" s="116">
        <v>77.5</v>
      </c>
      <c r="R888">
        <v>163148</v>
      </c>
    </row>
    <row r="889" spans="1:18" x14ac:dyDescent="0.25">
      <c r="A889" s="169">
        <v>43307</v>
      </c>
      <c r="B889" s="116">
        <v>80</v>
      </c>
      <c r="C889" s="116">
        <v>78.349999999999994</v>
      </c>
      <c r="D889" s="116">
        <v>75</v>
      </c>
      <c r="E889" s="116">
        <v>77.25</v>
      </c>
      <c r="F889" s="116">
        <v>78.349999999999994</v>
      </c>
      <c r="G889">
        <v>7502</v>
      </c>
      <c r="H889" s="116"/>
      <c r="I889" s="116"/>
      <c r="L889" s="169">
        <v>43307</v>
      </c>
      <c r="M889" s="116">
        <v>78.349999999999994</v>
      </c>
      <c r="N889" s="116">
        <v>79.75</v>
      </c>
      <c r="O889" s="116">
        <v>76.3</v>
      </c>
      <c r="P889" s="116">
        <v>76.3</v>
      </c>
      <c r="Q889" s="116">
        <v>78.349999999999994</v>
      </c>
      <c r="R889">
        <v>94748</v>
      </c>
    </row>
    <row r="890" spans="1:18" x14ac:dyDescent="0.25">
      <c r="A890" s="169">
        <v>43308</v>
      </c>
      <c r="B890" s="116">
        <v>83.5</v>
      </c>
      <c r="C890" s="116">
        <v>80.849999999999994</v>
      </c>
      <c r="D890" s="116">
        <v>78.099999999999994</v>
      </c>
      <c r="E890" s="116">
        <v>79.95</v>
      </c>
      <c r="F890" s="116">
        <v>80.849999999999994</v>
      </c>
      <c r="G890">
        <v>6667</v>
      </c>
      <c r="H890" s="116"/>
      <c r="I890" s="116"/>
      <c r="L890" s="169">
        <v>43308</v>
      </c>
      <c r="M890" s="116">
        <v>81</v>
      </c>
      <c r="N890" s="116">
        <v>84</v>
      </c>
      <c r="O890" s="116">
        <v>78</v>
      </c>
      <c r="P890" s="116">
        <v>78</v>
      </c>
      <c r="Q890" s="116">
        <v>81</v>
      </c>
      <c r="R890">
        <v>95846</v>
      </c>
    </row>
    <row r="891" spans="1:18" x14ac:dyDescent="0.25">
      <c r="A891" s="169">
        <v>43311</v>
      </c>
      <c r="B891" s="116">
        <v>83.2</v>
      </c>
      <c r="C891" s="116">
        <v>81.849999999999994</v>
      </c>
      <c r="D891" s="116">
        <v>81.05</v>
      </c>
      <c r="E891" s="116">
        <v>81.55</v>
      </c>
      <c r="F891" s="116">
        <v>81.849999999999994</v>
      </c>
      <c r="G891">
        <v>3720</v>
      </c>
      <c r="H891" s="116"/>
      <c r="I891" s="116"/>
      <c r="L891" s="169">
        <v>43311</v>
      </c>
      <c r="M891" s="116">
        <v>81.3</v>
      </c>
      <c r="N891" s="116">
        <v>83.05</v>
      </c>
      <c r="O891" s="116">
        <v>80.099999999999994</v>
      </c>
      <c r="P891" s="116">
        <v>81</v>
      </c>
      <c r="Q891" s="116">
        <v>81.3</v>
      </c>
      <c r="R891">
        <v>20375</v>
      </c>
    </row>
    <row r="892" spans="1:18" x14ac:dyDescent="0.25">
      <c r="A892" s="169">
        <v>43312</v>
      </c>
      <c r="B892" s="116">
        <v>85</v>
      </c>
      <c r="C892" s="116">
        <v>81.099999999999994</v>
      </c>
      <c r="D892" s="116">
        <v>77.2</v>
      </c>
      <c r="E892" s="116">
        <v>85</v>
      </c>
      <c r="F892" s="116">
        <v>81.099999999999994</v>
      </c>
      <c r="G892">
        <v>5093</v>
      </c>
      <c r="H892" s="116"/>
      <c r="I892" s="116"/>
      <c r="L892" s="169">
        <v>43312</v>
      </c>
      <c r="M892" s="116">
        <v>81.95</v>
      </c>
      <c r="N892" s="116">
        <v>82.95</v>
      </c>
      <c r="O892" s="116">
        <v>79.650000000000006</v>
      </c>
      <c r="P892" s="116">
        <v>82.4</v>
      </c>
      <c r="Q892" s="116">
        <v>81.95</v>
      </c>
      <c r="R892">
        <v>196470</v>
      </c>
    </row>
    <row r="893" spans="1:18" x14ac:dyDescent="0.25">
      <c r="A893" s="169">
        <v>43313</v>
      </c>
      <c r="B893" s="116">
        <v>84.75</v>
      </c>
      <c r="C893" s="116">
        <v>82.45</v>
      </c>
      <c r="D893" s="116">
        <v>81.900000000000006</v>
      </c>
      <c r="E893" s="116">
        <v>81.95</v>
      </c>
      <c r="F893" s="116">
        <v>82.45</v>
      </c>
      <c r="G893">
        <v>1728</v>
      </c>
      <c r="H893" s="116"/>
      <c r="I893" s="116"/>
      <c r="L893" s="169">
        <v>43313</v>
      </c>
      <c r="M893" s="116">
        <v>82.25</v>
      </c>
      <c r="N893" s="116">
        <v>85</v>
      </c>
      <c r="O893" s="116">
        <v>81.55</v>
      </c>
      <c r="P893" s="116">
        <v>81.55</v>
      </c>
      <c r="Q893" s="116">
        <v>82.25</v>
      </c>
      <c r="R893">
        <v>24185</v>
      </c>
    </row>
    <row r="894" spans="1:18" x14ac:dyDescent="0.25">
      <c r="A894" s="169">
        <v>43314</v>
      </c>
      <c r="B894" s="116">
        <v>84.35</v>
      </c>
      <c r="C894" s="116">
        <v>83.2</v>
      </c>
      <c r="D894" s="116">
        <v>81.5</v>
      </c>
      <c r="E894" s="116">
        <v>82</v>
      </c>
      <c r="F894" s="116">
        <v>83.2</v>
      </c>
      <c r="G894">
        <v>1313</v>
      </c>
      <c r="H894" s="116"/>
      <c r="I894" s="116"/>
      <c r="L894" s="169">
        <v>43314</v>
      </c>
      <c r="M894" s="116">
        <v>82.45</v>
      </c>
      <c r="N894" s="116">
        <v>84.9</v>
      </c>
      <c r="O894" s="116">
        <v>81</v>
      </c>
      <c r="P894" s="116">
        <v>82.45</v>
      </c>
      <c r="Q894" s="116">
        <v>82.45</v>
      </c>
      <c r="R894">
        <v>88861</v>
      </c>
    </row>
    <row r="895" spans="1:18" x14ac:dyDescent="0.25">
      <c r="A895" s="169">
        <v>43315</v>
      </c>
      <c r="B895" s="116">
        <v>84.5</v>
      </c>
      <c r="C895" s="116">
        <v>83.4</v>
      </c>
      <c r="D895" s="116">
        <v>82.65</v>
      </c>
      <c r="E895" s="116">
        <v>83.3</v>
      </c>
      <c r="F895" s="116">
        <v>83.4</v>
      </c>
      <c r="G895">
        <v>4129</v>
      </c>
      <c r="H895" s="116"/>
      <c r="I895" s="116"/>
      <c r="L895" s="169">
        <v>43315</v>
      </c>
      <c r="M895" s="116">
        <v>82.8</v>
      </c>
      <c r="N895" s="116">
        <v>84.45</v>
      </c>
      <c r="O895" s="116">
        <v>82</v>
      </c>
      <c r="P895" s="116">
        <v>84.2</v>
      </c>
      <c r="Q895" s="116">
        <v>82.8</v>
      </c>
      <c r="R895">
        <v>92807</v>
      </c>
    </row>
    <row r="896" spans="1:18" x14ac:dyDescent="0.25">
      <c r="A896" s="169">
        <v>43318</v>
      </c>
      <c r="B896" s="116">
        <v>93</v>
      </c>
      <c r="C896" s="116">
        <v>89.95</v>
      </c>
      <c r="D896" s="116">
        <v>85.3</v>
      </c>
      <c r="E896" s="116">
        <v>85.6</v>
      </c>
      <c r="F896" s="116">
        <v>89.95</v>
      </c>
      <c r="G896">
        <v>24947</v>
      </c>
      <c r="H896" s="116"/>
      <c r="I896" s="116"/>
      <c r="L896" s="169">
        <v>43318</v>
      </c>
      <c r="M896" s="116">
        <v>90.05</v>
      </c>
      <c r="N896" s="116">
        <v>90.65</v>
      </c>
      <c r="O896" s="116">
        <v>85</v>
      </c>
      <c r="P896" s="116">
        <v>85</v>
      </c>
      <c r="Q896" s="116">
        <v>90.05</v>
      </c>
      <c r="R896">
        <v>104077</v>
      </c>
    </row>
    <row r="897" spans="1:18" x14ac:dyDescent="0.25">
      <c r="A897" s="169">
        <v>43319</v>
      </c>
      <c r="B897" s="116">
        <v>94.9</v>
      </c>
      <c r="C897" s="116">
        <v>92</v>
      </c>
      <c r="D897" s="116">
        <v>90.8</v>
      </c>
      <c r="E897" s="116">
        <v>94.9</v>
      </c>
      <c r="F897" s="116">
        <v>92</v>
      </c>
      <c r="G897">
        <v>9798</v>
      </c>
      <c r="H897" s="116"/>
      <c r="I897" s="116"/>
      <c r="L897" s="169">
        <v>43319</v>
      </c>
      <c r="M897" s="116">
        <v>91.3</v>
      </c>
      <c r="N897" s="116">
        <v>94.9</v>
      </c>
      <c r="O897" s="116">
        <v>90.2</v>
      </c>
      <c r="P897" s="116">
        <v>91</v>
      </c>
      <c r="Q897" s="116">
        <v>91.3</v>
      </c>
      <c r="R897">
        <v>44037</v>
      </c>
    </row>
    <row r="898" spans="1:18" x14ac:dyDescent="0.25">
      <c r="A898" s="169">
        <v>43320</v>
      </c>
      <c r="B898" s="116">
        <v>92.4</v>
      </c>
      <c r="C898" s="116">
        <v>92.05</v>
      </c>
      <c r="D898" s="116">
        <v>90.8</v>
      </c>
      <c r="E898" s="116">
        <v>92.25</v>
      </c>
      <c r="F898" s="116">
        <v>92.05</v>
      </c>
      <c r="G898">
        <v>4313</v>
      </c>
      <c r="H898" s="116"/>
      <c r="I898" s="116"/>
      <c r="L898" s="169">
        <v>43320</v>
      </c>
      <c r="M898" s="116">
        <v>92.45</v>
      </c>
      <c r="N898" s="116">
        <v>93</v>
      </c>
      <c r="O898" s="116">
        <v>90.25</v>
      </c>
      <c r="P898" s="116">
        <v>92</v>
      </c>
      <c r="Q898" s="116">
        <v>92.45</v>
      </c>
      <c r="R898">
        <v>26405</v>
      </c>
    </row>
    <row r="899" spans="1:18" x14ac:dyDescent="0.25">
      <c r="A899" s="169">
        <v>43321</v>
      </c>
      <c r="B899" s="116">
        <v>94.05</v>
      </c>
      <c r="C899" s="116">
        <v>92.8</v>
      </c>
      <c r="D899" s="116">
        <v>90.8</v>
      </c>
      <c r="E899" s="116">
        <v>92.1</v>
      </c>
      <c r="F899" s="116">
        <v>92.8</v>
      </c>
      <c r="G899">
        <v>2276</v>
      </c>
      <c r="H899" s="116"/>
      <c r="I899" s="116"/>
      <c r="L899" s="169">
        <v>43321</v>
      </c>
      <c r="M899" s="116">
        <v>91.9</v>
      </c>
      <c r="N899" s="116">
        <v>93.9</v>
      </c>
      <c r="O899" s="116">
        <v>90.4</v>
      </c>
      <c r="P899" s="116">
        <v>93.9</v>
      </c>
      <c r="Q899" s="116">
        <v>91.9</v>
      </c>
      <c r="R899">
        <v>27502</v>
      </c>
    </row>
    <row r="900" spans="1:18" x14ac:dyDescent="0.25">
      <c r="A900" s="169">
        <v>43322</v>
      </c>
      <c r="B900" s="116">
        <v>96</v>
      </c>
      <c r="C900" s="116">
        <v>90.35</v>
      </c>
      <c r="D900" s="116">
        <v>89</v>
      </c>
      <c r="E900" s="116">
        <v>96</v>
      </c>
      <c r="F900" s="116">
        <v>90.35</v>
      </c>
      <c r="G900">
        <v>21638</v>
      </c>
      <c r="H900" s="116"/>
      <c r="I900" s="116"/>
      <c r="L900" s="169">
        <v>43322</v>
      </c>
      <c r="M900" s="116">
        <v>89.45</v>
      </c>
      <c r="N900" s="116">
        <v>96.45</v>
      </c>
      <c r="O900" s="116">
        <v>88</v>
      </c>
      <c r="P900" s="116">
        <v>95</v>
      </c>
      <c r="Q900" s="116">
        <v>89.45</v>
      </c>
      <c r="R900">
        <v>166544</v>
      </c>
    </row>
    <row r="901" spans="1:18" x14ac:dyDescent="0.25">
      <c r="A901" s="169">
        <v>43325</v>
      </c>
      <c r="B901" s="116">
        <v>89.2</v>
      </c>
      <c r="C901" s="116">
        <v>86.2</v>
      </c>
      <c r="D901" s="116">
        <v>85.65</v>
      </c>
      <c r="E901" s="116">
        <v>88.05</v>
      </c>
      <c r="F901" s="116">
        <v>86.2</v>
      </c>
      <c r="G901">
        <v>4923</v>
      </c>
      <c r="H901" s="116"/>
      <c r="I901" s="116"/>
      <c r="L901" s="169">
        <v>43325</v>
      </c>
      <c r="M901" s="116">
        <v>86.3</v>
      </c>
      <c r="N901" s="116">
        <v>91.95</v>
      </c>
      <c r="O901" s="116">
        <v>85.6</v>
      </c>
      <c r="P901" s="116">
        <v>91.95</v>
      </c>
      <c r="Q901" s="116">
        <v>86.3</v>
      </c>
      <c r="R901">
        <v>14744</v>
      </c>
    </row>
    <row r="902" spans="1:18" x14ac:dyDescent="0.25">
      <c r="A902" s="169">
        <v>43326</v>
      </c>
      <c r="B902" s="116">
        <v>88.7</v>
      </c>
      <c r="C902" s="116">
        <v>83.35</v>
      </c>
      <c r="D902" s="116">
        <v>82.7</v>
      </c>
      <c r="E902" s="116">
        <v>87.8</v>
      </c>
      <c r="F902" s="116">
        <v>83.35</v>
      </c>
      <c r="G902">
        <v>4398</v>
      </c>
      <c r="H902" s="116"/>
      <c r="I902" s="116"/>
      <c r="L902" s="169">
        <v>43326</v>
      </c>
      <c r="M902" s="116">
        <v>82.75</v>
      </c>
      <c r="N902" s="116">
        <v>88.65</v>
      </c>
      <c r="O902" s="116">
        <v>82.15</v>
      </c>
      <c r="P902" s="116">
        <v>88.25</v>
      </c>
      <c r="Q902" s="116">
        <v>82.75</v>
      </c>
      <c r="R902">
        <v>23421</v>
      </c>
    </row>
    <row r="903" spans="1:18" x14ac:dyDescent="0.25">
      <c r="A903" s="169">
        <v>43328</v>
      </c>
      <c r="B903" s="116">
        <v>84</v>
      </c>
      <c r="C903" s="116">
        <v>82.35</v>
      </c>
      <c r="D903" s="116">
        <v>82</v>
      </c>
      <c r="E903" s="116">
        <v>82.9</v>
      </c>
      <c r="F903" s="116">
        <v>82.35</v>
      </c>
      <c r="G903">
        <v>4806</v>
      </c>
      <c r="H903" s="116"/>
      <c r="I903" s="116"/>
      <c r="L903" s="169">
        <v>43328</v>
      </c>
      <c r="M903" s="116">
        <v>82.4</v>
      </c>
      <c r="N903" s="116">
        <v>84</v>
      </c>
      <c r="O903" s="116">
        <v>81.599999999999994</v>
      </c>
      <c r="P903" s="116">
        <v>82</v>
      </c>
      <c r="Q903" s="116">
        <v>82.4</v>
      </c>
      <c r="R903">
        <v>13642</v>
      </c>
    </row>
    <row r="904" spans="1:18" x14ac:dyDescent="0.25">
      <c r="A904" s="169">
        <v>43329</v>
      </c>
      <c r="B904" s="116">
        <v>85</v>
      </c>
      <c r="C904" s="116">
        <v>83.1</v>
      </c>
      <c r="D904" s="116">
        <v>80.099999999999994</v>
      </c>
      <c r="E904" s="116">
        <v>80.099999999999994</v>
      </c>
      <c r="F904" s="116">
        <v>83.1</v>
      </c>
      <c r="G904">
        <v>7419</v>
      </c>
      <c r="H904" s="116"/>
      <c r="I904" s="116"/>
      <c r="L904" s="169">
        <v>43329</v>
      </c>
      <c r="M904" s="116">
        <v>83.3</v>
      </c>
      <c r="N904" s="116">
        <v>85.5</v>
      </c>
      <c r="O904" s="116">
        <v>82.5</v>
      </c>
      <c r="P904" s="116">
        <v>82.75</v>
      </c>
      <c r="Q904" s="116">
        <v>83.3</v>
      </c>
      <c r="R904">
        <v>40262</v>
      </c>
    </row>
    <row r="905" spans="1:18" x14ac:dyDescent="0.25">
      <c r="A905" s="169">
        <v>43332</v>
      </c>
      <c r="B905" s="116">
        <v>84.35</v>
      </c>
      <c r="C905" s="116">
        <v>81.25</v>
      </c>
      <c r="D905" s="116">
        <v>81</v>
      </c>
      <c r="E905" s="116">
        <v>83.6</v>
      </c>
      <c r="F905" s="116">
        <v>81.25</v>
      </c>
      <c r="G905">
        <v>3621</v>
      </c>
      <c r="H905" s="116"/>
      <c r="I905" s="116"/>
      <c r="L905" s="169">
        <v>43332</v>
      </c>
      <c r="M905" s="116">
        <v>80.8</v>
      </c>
      <c r="N905" s="116">
        <v>84.45</v>
      </c>
      <c r="O905" s="116">
        <v>80.5</v>
      </c>
      <c r="P905" s="116">
        <v>83.5</v>
      </c>
      <c r="Q905" s="116">
        <v>80.8</v>
      </c>
      <c r="R905">
        <v>19413</v>
      </c>
    </row>
    <row r="906" spans="1:18" x14ac:dyDescent="0.25">
      <c r="A906" s="169">
        <v>43333</v>
      </c>
      <c r="B906" s="116">
        <v>81.8</v>
      </c>
      <c r="C906" s="116">
        <v>80.55</v>
      </c>
      <c r="D906" s="116">
        <v>80.099999999999994</v>
      </c>
      <c r="E906" s="116">
        <v>81</v>
      </c>
      <c r="F906" s="116">
        <v>80.55</v>
      </c>
      <c r="G906">
        <v>7171</v>
      </c>
      <c r="H906" s="116"/>
      <c r="I906" s="116"/>
      <c r="L906" s="169">
        <v>43333</v>
      </c>
      <c r="M906" s="116">
        <v>80.55</v>
      </c>
      <c r="N906" s="116">
        <v>81.75</v>
      </c>
      <c r="O906" s="116">
        <v>79.849999999999994</v>
      </c>
      <c r="P906" s="116">
        <v>80.5</v>
      </c>
      <c r="Q906" s="116">
        <v>80.55</v>
      </c>
      <c r="R906">
        <v>19820</v>
      </c>
    </row>
    <row r="907" spans="1:18" x14ac:dyDescent="0.25">
      <c r="A907" s="169">
        <v>43335</v>
      </c>
      <c r="B907" s="116">
        <v>82.2</v>
      </c>
      <c r="C907" s="116">
        <v>80.150000000000006</v>
      </c>
      <c r="D907" s="116">
        <v>79.25</v>
      </c>
      <c r="E907" s="116">
        <v>82.2</v>
      </c>
      <c r="F907" s="116">
        <v>80.150000000000006</v>
      </c>
      <c r="G907">
        <v>3957</v>
      </c>
      <c r="H907" s="116"/>
      <c r="I907" s="116"/>
      <c r="L907" s="169">
        <v>43335</v>
      </c>
      <c r="M907" s="116">
        <v>80</v>
      </c>
      <c r="N907" s="116">
        <v>81.900000000000006</v>
      </c>
      <c r="O907" s="116">
        <v>79.400000000000006</v>
      </c>
      <c r="P907" s="116">
        <v>80.099999999999994</v>
      </c>
      <c r="Q907" s="116">
        <v>80</v>
      </c>
      <c r="R907">
        <v>16481</v>
      </c>
    </row>
    <row r="908" spans="1:18" x14ac:dyDescent="0.25">
      <c r="A908" s="169">
        <v>43336</v>
      </c>
      <c r="B908" s="116">
        <v>80.349999999999994</v>
      </c>
      <c r="C908" s="116">
        <v>79.900000000000006</v>
      </c>
      <c r="D908" s="116">
        <v>79.5</v>
      </c>
      <c r="E908" s="116">
        <v>80.349999999999994</v>
      </c>
      <c r="F908" s="116">
        <v>79.900000000000006</v>
      </c>
      <c r="G908">
        <v>1316</v>
      </c>
      <c r="H908" s="116"/>
      <c r="I908" s="116"/>
      <c r="L908" s="169">
        <v>43336</v>
      </c>
      <c r="M908" s="116">
        <v>79.5</v>
      </c>
      <c r="N908" s="116">
        <v>80.150000000000006</v>
      </c>
      <c r="O908" s="116">
        <v>79.25</v>
      </c>
      <c r="P908" s="116">
        <v>80</v>
      </c>
      <c r="Q908" s="116">
        <v>79.5</v>
      </c>
      <c r="R908">
        <v>6742</v>
      </c>
    </row>
    <row r="909" spans="1:18" x14ac:dyDescent="0.25">
      <c r="A909" s="169">
        <v>43339</v>
      </c>
      <c r="B909" s="116">
        <v>88</v>
      </c>
      <c r="C909" s="116">
        <v>83.1</v>
      </c>
      <c r="D909" s="116">
        <v>81.5</v>
      </c>
      <c r="E909" s="116">
        <v>81.5</v>
      </c>
      <c r="F909" s="116">
        <v>83.1</v>
      </c>
      <c r="G909">
        <v>13781</v>
      </c>
      <c r="H909" s="116"/>
      <c r="I909" s="116"/>
      <c r="L909" s="169">
        <v>43339</v>
      </c>
      <c r="M909" s="116">
        <v>82.2</v>
      </c>
      <c r="N909" s="116">
        <v>88</v>
      </c>
      <c r="O909" s="116">
        <v>80.05</v>
      </c>
      <c r="P909" s="116">
        <v>80.05</v>
      </c>
      <c r="Q909" s="116">
        <v>82.2</v>
      </c>
      <c r="R909">
        <v>100272</v>
      </c>
    </row>
    <row r="910" spans="1:18" x14ac:dyDescent="0.25">
      <c r="A910" s="169">
        <v>43340</v>
      </c>
      <c r="B910" s="116">
        <v>83.3</v>
      </c>
      <c r="C910" s="116">
        <v>81.8</v>
      </c>
      <c r="D910" s="116">
        <v>81.2</v>
      </c>
      <c r="E910" s="116">
        <v>83.25</v>
      </c>
      <c r="F910" s="116">
        <v>81.8</v>
      </c>
      <c r="G910">
        <v>2851</v>
      </c>
      <c r="H910" s="116"/>
      <c r="I910" s="116"/>
      <c r="L910" s="169">
        <v>43340</v>
      </c>
      <c r="M910" s="116">
        <v>81.349999999999994</v>
      </c>
      <c r="N910" s="116">
        <v>83.7</v>
      </c>
      <c r="O910" s="116">
        <v>81.150000000000006</v>
      </c>
      <c r="P910" s="116">
        <v>83.45</v>
      </c>
      <c r="Q910" s="116">
        <v>81.349999999999994</v>
      </c>
      <c r="R910">
        <v>12220</v>
      </c>
    </row>
    <row r="911" spans="1:18" x14ac:dyDescent="0.25">
      <c r="A911" s="169">
        <v>43341</v>
      </c>
      <c r="B911" s="116">
        <v>83.8</v>
      </c>
      <c r="C911" s="116">
        <v>83.1</v>
      </c>
      <c r="D911" s="116">
        <v>81.400000000000006</v>
      </c>
      <c r="E911" s="116">
        <v>81.95</v>
      </c>
      <c r="F911" s="116">
        <v>83.1</v>
      </c>
      <c r="G911">
        <v>2956</v>
      </c>
      <c r="H911" s="116"/>
      <c r="I911" s="116"/>
      <c r="L911" s="169">
        <v>43341</v>
      </c>
      <c r="M911" s="116">
        <v>82.8</v>
      </c>
      <c r="N911" s="116">
        <v>83.55</v>
      </c>
      <c r="O911" s="116">
        <v>81</v>
      </c>
      <c r="P911" s="116">
        <v>81</v>
      </c>
      <c r="Q911" s="116">
        <v>82.8</v>
      </c>
      <c r="R911">
        <v>16258</v>
      </c>
    </row>
    <row r="912" spans="1:18" x14ac:dyDescent="0.25">
      <c r="A912" s="169">
        <v>43342</v>
      </c>
      <c r="B912" s="116">
        <v>85.3</v>
      </c>
      <c r="C912" s="116">
        <v>83.4</v>
      </c>
      <c r="D912" s="116">
        <v>82.6</v>
      </c>
      <c r="E912" s="116">
        <v>82.8</v>
      </c>
      <c r="F912" s="116">
        <v>83.4</v>
      </c>
      <c r="G912">
        <v>3636</v>
      </c>
      <c r="H912" s="116"/>
      <c r="I912" s="116"/>
      <c r="L912" s="169">
        <v>43342</v>
      </c>
      <c r="M912" s="116">
        <v>83.55</v>
      </c>
      <c r="N912" s="116">
        <v>86</v>
      </c>
      <c r="O912" s="116">
        <v>82.45</v>
      </c>
      <c r="P912" s="116">
        <v>82.45</v>
      </c>
      <c r="Q912" s="116">
        <v>83.55</v>
      </c>
      <c r="R912">
        <v>26267</v>
      </c>
    </row>
    <row r="913" spans="1:18" x14ac:dyDescent="0.25">
      <c r="A913" s="169">
        <v>43343</v>
      </c>
      <c r="B913" s="116">
        <v>84.05</v>
      </c>
      <c r="C913" s="116">
        <v>82.95</v>
      </c>
      <c r="D913" s="116">
        <v>82.7</v>
      </c>
      <c r="E913" s="116">
        <v>83.6</v>
      </c>
      <c r="F913" s="116">
        <v>82.95</v>
      </c>
      <c r="G913">
        <v>1625</v>
      </c>
      <c r="H913" s="116"/>
      <c r="I913" s="116"/>
      <c r="L913" s="169">
        <v>43343</v>
      </c>
      <c r="M913" s="116">
        <v>82.7</v>
      </c>
      <c r="N913" s="116">
        <v>84.2</v>
      </c>
      <c r="O913" s="116">
        <v>82.35</v>
      </c>
      <c r="P913" s="116">
        <v>83.25</v>
      </c>
      <c r="Q913" s="116">
        <v>82.7</v>
      </c>
      <c r="R913">
        <v>8239</v>
      </c>
    </row>
    <row r="914" spans="1:18" x14ac:dyDescent="0.25">
      <c r="A914" s="169">
        <v>43346</v>
      </c>
      <c r="B914" s="116">
        <v>85.95</v>
      </c>
      <c r="C914" s="116">
        <v>82.95</v>
      </c>
      <c r="D914" s="116">
        <v>82</v>
      </c>
      <c r="E914" s="116">
        <v>84.95</v>
      </c>
      <c r="F914" s="116">
        <v>82.95</v>
      </c>
      <c r="G914">
        <v>3875</v>
      </c>
      <c r="H914" s="116"/>
      <c r="I914" s="116"/>
      <c r="L914" s="169">
        <v>43346</v>
      </c>
      <c r="M914" s="116">
        <v>82.35</v>
      </c>
      <c r="N914" s="116">
        <v>85.5</v>
      </c>
      <c r="O914" s="116">
        <v>82</v>
      </c>
      <c r="P914" s="116">
        <v>82.7</v>
      </c>
      <c r="Q914" s="116">
        <v>82.35</v>
      </c>
      <c r="R914">
        <v>44072</v>
      </c>
    </row>
    <row r="915" spans="1:18" x14ac:dyDescent="0.25">
      <c r="A915" s="169">
        <v>43347</v>
      </c>
      <c r="B915" s="116">
        <v>83</v>
      </c>
      <c r="C915" s="116">
        <v>80.849999999999994</v>
      </c>
      <c r="D915" s="116">
        <v>79.2</v>
      </c>
      <c r="E915" s="116">
        <v>82.5</v>
      </c>
      <c r="F915" s="116">
        <v>80.849999999999994</v>
      </c>
      <c r="G915">
        <v>1801</v>
      </c>
      <c r="H915" s="116"/>
      <c r="I915" s="116"/>
      <c r="L915" s="169">
        <v>43347</v>
      </c>
      <c r="M915" s="116">
        <v>79.75</v>
      </c>
      <c r="N915" s="116">
        <v>83.35</v>
      </c>
      <c r="O915" s="116">
        <v>78.349999999999994</v>
      </c>
      <c r="P915" s="116">
        <v>82</v>
      </c>
      <c r="Q915" s="116">
        <v>79.75</v>
      </c>
      <c r="R915">
        <v>28545</v>
      </c>
    </row>
    <row r="916" spans="1:18" x14ac:dyDescent="0.25">
      <c r="A916" s="169">
        <v>43348</v>
      </c>
      <c r="B916" s="116">
        <v>81.8</v>
      </c>
      <c r="C916" s="116">
        <v>79.349999999999994</v>
      </c>
      <c r="D916" s="116">
        <v>78</v>
      </c>
      <c r="E916" s="116">
        <v>80.45</v>
      </c>
      <c r="F916" s="116">
        <v>79.349999999999994</v>
      </c>
      <c r="G916">
        <v>5440</v>
      </c>
      <c r="H916" s="116"/>
      <c r="I916" s="116"/>
      <c r="L916" s="169">
        <v>43348</v>
      </c>
      <c r="M916" s="116">
        <v>79.099999999999994</v>
      </c>
      <c r="N916" s="116">
        <v>80.599999999999994</v>
      </c>
      <c r="O916" s="116">
        <v>77.8</v>
      </c>
      <c r="P916" s="116">
        <v>79.7</v>
      </c>
      <c r="Q916" s="116">
        <v>79.099999999999994</v>
      </c>
      <c r="R916">
        <v>19828</v>
      </c>
    </row>
    <row r="917" spans="1:18" x14ac:dyDescent="0.25">
      <c r="A917" s="169">
        <v>43349</v>
      </c>
      <c r="B917" s="116">
        <v>82.3</v>
      </c>
      <c r="C917" s="116">
        <v>80.45</v>
      </c>
      <c r="D917" s="116">
        <v>79</v>
      </c>
      <c r="E917" s="116">
        <v>79.349999999999994</v>
      </c>
      <c r="F917" s="116">
        <v>80.45</v>
      </c>
      <c r="G917">
        <v>1526</v>
      </c>
      <c r="H917" s="116"/>
      <c r="I917" s="116"/>
      <c r="L917" s="169">
        <v>43349</v>
      </c>
      <c r="M917" s="116">
        <v>80.849999999999994</v>
      </c>
      <c r="N917" s="116">
        <v>82.4</v>
      </c>
      <c r="O917" s="116">
        <v>79.400000000000006</v>
      </c>
      <c r="P917" s="116">
        <v>79.400000000000006</v>
      </c>
      <c r="Q917" s="116">
        <v>80.849999999999994</v>
      </c>
      <c r="R917">
        <v>34590</v>
      </c>
    </row>
    <row r="918" spans="1:18" x14ac:dyDescent="0.25">
      <c r="A918" s="169">
        <v>43350</v>
      </c>
      <c r="B918" s="116">
        <v>81.900000000000006</v>
      </c>
      <c r="C918" s="116">
        <v>80.05</v>
      </c>
      <c r="D918" s="116">
        <v>79.3</v>
      </c>
      <c r="E918" s="116">
        <v>81</v>
      </c>
      <c r="F918" s="116">
        <v>80.05</v>
      </c>
      <c r="G918">
        <v>3051</v>
      </c>
      <c r="H918" s="116"/>
      <c r="I918" s="116"/>
      <c r="L918" s="169">
        <v>43350</v>
      </c>
      <c r="M918" s="116">
        <v>80.7</v>
      </c>
      <c r="N918" s="116">
        <v>81.7</v>
      </c>
      <c r="O918" s="116">
        <v>79</v>
      </c>
      <c r="P918" s="116">
        <v>80.95</v>
      </c>
      <c r="Q918" s="116">
        <v>80.7</v>
      </c>
      <c r="R918">
        <v>53739</v>
      </c>
    </row>
    <row r="919" spans="1:18" x14ac:dyDescent="0.25">
      <c r="A919" s="169">
        <v>43353</v>
      </c>
      <c r="B919" s="116">
        <v>81.2</v>
      </c>
      <c r="C919" s="116">
        <v>80.05</v>
      </c>
      <c r="D919" s="116">
        <v>79</v>
      </c>
      <c r="E919" s="116">
        <v>79.45</v>
      </c>
      <c r="F919" s="116">
        <v>80.05</v>
      </c>
      <c r="G919">
        <v>2735</v>
      </c>
      <c r="H919" s="116"/>
      <c r="I919" s="116"/>
      <c r="L919" s="169">
        <v>43353</v>
      </c>
      <c r="M919" s="116">
        <v>79.2</v>
      </c>
      <c r="N919" s="116">
        <v>80.95</v>
      </c>
      <c r="O919" s="116">
        <v>78.2</v>
      </c>
      <c r="P919" s="116">
        <v>79.2</v>
      </c>
      <c r="Q919" s="116">
        <v>79.2</v>
      </c>
      <c r="R919">
        <v>5825</v>
      </c>
    </row>
    <row r="920" spans="1:18" x14ac:dyDescent="0.25">
      <c r="A920" s="169">
        <v>43354</v>
      </c>
      <c r="B920" s="116">
        <v>79.349999999999994</v>
      </c>
      <c r="C920" s="116">
        <v>78.2</v>
      </c>
      <c r="D920" s="116">
        <v>77.5</v>
      </c>
      <c r="E920" s="116">
        <v>79.099999999999994</v>
      </c>
      <c r="F920" s="116">
        <v>78.2</v>
      </c>
      <c r="G920">
        <v>1367</v>
      </c>
      <c r="H920" s="116"/>
      <c r="I920" s="116"/>
      <c r="L920" s="169">
        <v>43354</v>
      </c>
      <c r="M920" s="116">
        <v>77.599999999999994</v>
      </c>
      <c r="N920" s="116">
        <v>79.900000000000006</v>
      </c>
      <c r="O920" s="116">
        <v>76.3</v>
      </c>
      <c r="P920" s="116">
        <v>79.25</v>
      </c>
      <c r="Q920" s="116">
        <v>77.599999999999994</v>
      </c>
      <c r="R920">
        <v>21026</v>
      </c>
    </row>
    <row r="921" spans="1:18" x14ac:dyDescent="0.25">
      <c r="A921" s="169">
        <v>43355</v>
      </c>
      <c r="B921" s="116">
        <v>77.599999999999994</v>
      </c>
      <c r="C921" s="116">
        <v>75.8</v>
      </c>
      <c r="D921" s="116">
        <v>75.3</v>
      </c>
      <c r="E921" s="116">
        <v>77.599999999999994</v>
      </c>
      <c r="F921" s="116">
        <v>75.8</v>
      </c>
      <c r="G921">
        <v>7428</v>
      </c>
      <c r="H921" s="116"/>
      <c r="I921" s="116"/>
      <c r="L921" s="169">
        <v>43355</v>
      </c>
      <c r="M921" s="116">
        <v>76.150000000000006</v>
      </c>
      <c r="N921" s="116">
        <v>78.400000000000006</v>
      </c>
      <c r="O921" s="116">
        <v>75.25</v>
      </c>
      <c r="P921" s="116">
        <v>77.650000000000006</v>
      </c>
      <c r="Q921" s="116">
        <v>76.150000000000006</v>
      </c>
      <c r="R921">
        <v>19106</v>
      </c>
    </row>
    <row r="922" spans="1:18" x14ac:dyDescent="0.25">
      <c r="A922" s="169">
        <v>43357</v>
      </c>
      <c r="B922" s="116">
        <v>79.25</v>
      </c>
      <c r="C922" s="116">
        <v>79</v>
      </c>
      <c r="D922" s="116">
        <v>77.75</v>
      </c>
      <c r="E922" s="116">
        <v>78.8</v>
      </c>
      <c r="F922" s="116">
        <v>79</v>
      </c>
      <c r="G922">
        <v>2520</v>
      </c>
      <c r="H922" s="116"/>
      <c r="I922" s="116"/>
      <c r="L922" s="169">
        <v>43357</v>
      </c>
      <c r="M922" s="116">
        <v>78.3</v>
      </c>
      <c r="N922" s="116">
        <v>79.5</v>
      </c>
      <c r="O922" s="116">
        <v>76.099999999999994</v>
      </c>
      <c r="P922" s="116">
        <v>76.099999999999994</v>
      </c>
      <c r="Q922" s="116">
        <v>78.3</v>
      </c>
      <c r="R922">
        <v>8290</v>
      </c>
    </row>
    <row r="923" spans="1:18" x14ac:dyDescent="0.25">
      <c r="A923" s="169">
        <v>43360</v>
      </c>
      <c r="B923" s="116">
        <v>82</v>
      </c>
      <c r="C923" s="116">
        <v>80.45</v>
      </c>
      <c r="D923" s="116">
        <v>77.05</v>
      </c>
      <c r="E923" s="116">
        <v>77.05</v>
      </c>
      <c r="F923" s="116">
        <v>80.45</v>
      </c>
      <c r="G923">
        <v>7297</v>
      </c>
      <c r="H923" s="116"/>
      <c r="I923" s="116"/>
      <c r="L923" s="169">
        <v>43360</v>
      </c>
      <c r="M923" s="116">
        <v>79.8</v>
      </c>
      <c r="N923" s="116">
        <v>81.900000000000006</v>
      </c>
      <c r="O923" s="116">
        <v>76.349999999999994</v>
      </c>
      <c r="P923" s="116">
        <v>76.349999999999994</v>
      </c>
      <c r="Q923" s="116">
        <v>79.8</v>
      </c>
      <c r="R923">
        <v>7934</v>
      </c>
    </row>
    <row r="924" spans="1:18" x14ac:dyDescent="0.25">
      <c r="A924" s="169">
        <v>43361</v>
      </c>
      <c r="B924" s="116">
        <v>81</v>
      </c>
      <c r="C924" s="116">
        <v>79.349999999999994</v>
      </c>
      <c r="D924" s="116">
        <v>79</v>
      </c>
      <c r="E924" s="116">
        <v>80.099999999999994</v>
      </c>
      <c r="F924" s="116">
        <v>79.349999999999994</v>
      </c>
      <c r="G924">
        <v>1934</v>
      </c>
      <c r="H924" s="116"/>
      <c r="I924" s="116"/>
      <c r="L924" s="169">
        <v>43361</v>
      </c>
      <c r="M924" s="116">
        <v>79.25</v>
      </c>
      <c r="N924" s="116">
        <v>80.900000000000006</v>
      </c>
      <c r="O924" s="116">
        <v>78.3</v>
      </c>
      <c r="P924" s="116">
        <v>78.3</v>
      </c>
      <c r="Q924" s="116">
        <v>79.25</v>
      </c>
      <c r="R924">
        <v>31090</v>
      </c>
    </row>
    <row r="925" spans="1:18" x14ac:dyDescent="0.25">
      <c r="A925" s="169">
        <v>43362</v>
      </c>
      <c r="B925" s="116">
        <v>79.900000000000006</v>
      </c>
      <c r="C925" s="116">
        <v>78.599999999999994</v>
      </c>
      <c r="D925" s="116">
        <v>78</v>
      </c>
      <c r="E925" s="116">
        <v>78</v>
      </c>
      <c r="F925" s="116">
        <v>78.599999999999994</v>
      </c>
      <c r="G925">
        <v>2020</v>
      </c>
      <c r="H925" s="116"/>
      <c r="I925" s="116"/>
      <c r="L925" s="169">
        <v>43362</v>
      </c>
      <c r="M925" s="116">
        <v>77.8</v>
      </c>
      <c r="N925" s="116">
        <v>80</v>
      </c>
      <c r="O925" s="116">
        <v>77.45</v>
      </c>
      <c r="P925" s="116">
        <v>78.7</v>
      </c>
      <c r="Q925" s="116">
        <v>77.8</v>
      </c>
      <c r="R925">
        <v>8915</v>
      </c>
    </row>
    <row r="926" spans="1:18" x14ac:dyDescent="0.25">
      <c r="A926" s="169">
        <v>43364</v>
      </c>
      <c r="B926" s="116">
        <v>78.05</v>
      </c>
      <c r="C926" s="116">
        <v>72.150000000000006</v>
      </c>
      <c r="D926" s="116">
        <v>71.05</v>
      </c>
      <c r="E926" s="116">
        <v>78</v>
      </c>
      <c r="F926" s="116">
        <v>72.150000000000006</v>
      </c>
      <c r="G926">
        <v>3659</v>
      </c>
      <c r="H926" s="116"/>
      <c r="I926" s="116"/>
      <c r="L926" s="169">
        <v>43364</v>
      </c>
      <c r="M926" s="116">
        <v>71.2</v>
      </c>
      <c r="N926" s="116">
        <v>77.8</v>
      </c>
      <c r="O926" s="116">
        <v>69.5</v>
      </c>
      <c r="P926" s="116">
        <v>77.3</v>
      </c>
      <c r="Q926" s="116">
        <v>71.2</v>
      </c>
      <c r="R926">
        <v>41948</v>
      </c>
    </row>
    <row r="927" spans="1:18" x14ac:dyDescent="0.25">
      <c r="A927" s="169">
        <v>43367</v>
      </c>
      <c r="B927" s="116">
        <v>72.349999999999994</v>
      </c>
      <c r="C927" s="116">
        <v>68.8</v>
      </c>
      <c r="D927" s="116">
        <v>68.099999999999994</v>
      </c>
      <c r="E927" s="116">
        <v>72</v>
      </c>
      <c r="F927" s="116">
        <v>68.8</v>
      </c>
      <c r="G927">
        <v>4876</v>
      </c>
      <c r="H927" s="116"/>
      <c r="I927" s="116"/>
      <c r="L927" s="169">
        <v>43367</v>
      </c>
      <c r="M927" s="116">
        <v>68.150000000000006</v>
      </c>
      <c r="N927" s="116">
        <v>74.8</v>
      </c>
      <c r="O927" s="116">
        <v>67.5</v>
      </c>
      <c r="P927" s="116">
        <v>71.2</v>
      </c>
      <c r="Q927" s="116">
        <v>68.150000000000006</v>
      </c>
      <c r="R927">
        <v>32861</v>
      </c>
    </row>
    <row r="928" spans="1:18" x14ac:dyDescent="0.25">
      <c r="A928" s="169">
        <v>43368</v>
      </c>
      <c r="B928" s="116">
        <v>68.849999999999994</v>
      </c>
      <c r="C928" s="116">
        <v>63.75</v>
      </c>
      <c r="D928" s="116">
        <v>63</v>
      </c>
      <c r="E928" s="116">
        <v>68</v>
      </c>
      <c r="F928" s="116">
        <v>63.75</v>
      </c>
      <c r="G928">
        <v>4122</v>
      </c>
      <c r="H928" s="116"/>
      <c r="I928" s="116"/>
      <c r="L928" s="169">
        <v>43368</v>
      </c>
      <c r="M928" s="116">
        <v>64.150000000000006</v>
      </c>
      <c r="N928" s="116">
        <v>68.8</v>
      </c>
      <c r="O928" s="116">
        <v>63.2</v>
      </c>
      <c r="P928" s="116">
        <v>68.25</v>
      </c>
      <c r="Q928" s="116">
        <v>64.150000000000006</v>
      </c>
      <c r="R928">
        <v>22029</v>
      </c>
    </row>
    <row r="929" spans="1:18" x14ac:dyDescent="0.25">
      <c r="A929" s="169">
        <v>43369</v>
      </c>
      <c r="B929" s="116">
        <v>66.400000000000006</v>
      </c>
      <c r="C929" s="116">
        <v>65.5</v>
      </c>
      <c r="D929" s="116">
        <v>64.2</v>
      </c>
      <c r="E929" s="116">
        <v>66.150000000000006</v>
      </c>
      <c r="F929" s="116">
        <v>65.5</v>
      </c>
      <c r="G929">
        <v>2212</v>
      </c>
      <c r="H929" s="116"/>
      <c r="I929" s="116"/>
      <c r="L929" s="169">
        <v>43369</v>
      </c>
      <c r="M929" s="116">
        <v>65.400000000000006</v>
      </c>
      <c r="N929" s="116">
        <v>66.900000000000006</v>
      </c>
      <c r="O929" s="116">
        <v>63.25</v>
      </c>
      <c r="P929" s="116">
        <v>63.25</v>
      </c>
      <c r="Q929" s="116">
        <v>65.400000000000006</v>
      </c>
      <c r="R929">
        <v>185787</v>
      </c>
    </row>
    <row r="930" spans="1:18" x14ac:dyDescent="0.25">
      <c r="A930" s="169">
        <v>43370</v>
      </c>
      <c r="B930" s="116">
        <v>66.349999999999994</v>
      </c>
      <c r="C930" s="116">
        <v>64</v>
      </c>
      <c r="D930" s="116">
        <v>63.5</v>
      </c>
      <c r="E930" s="116">
        <v>66</v>
      </c>
      <c r="F930" s="116">
        <v>64</v>
      </c>
      <c r="G930">
        <v>1609</v>
      </c>
      <c r="H930" s="116"/>
      <c r="I930" s="116"/>
      <c r="L930" s="169">
        <v>43370</v>
      </c>
      <c r="M930" s="116">
        <v>65.3</v>
      </c>
      <c r="N930" s="116">
        <v>67.25</v>
      </c>
      <c r="O930" s="116">
        <v>64</v>
      </c>
      <c r="P930" s="116">
        <v>64</v>
      </c>
      <c r="Q930" s="116">
        <v>65.3</v>
      </c>
      <c r="R930">
        <v>41923</v>
      </c>
    </row>
    <row r="931" spans="1:18" x14ac:dyDescent="0.25">
      <c r="A931" s="169">
        <v>43371</v>
      </c>
      <c r="B931" s="116">
        <v>66.95</v>
      </c>
      <c r="C931" s="116">
        <v>60.3</v>
      </c>
      <c r="D931" s="116">
        <v>60.2</v>
      </c>
      <c r="E931" s="116">
        <v>66</v>
      </c>
      <c r="F931" s="116">
        <v>60.3</v>
      </c>
      <c r="G931">
        <v>18651</v>
      </c>
      <c r="H931" s="116"/>
      <c r="I931" s="116"/>
      <c r="L931" s="169">
        <v>43371</v>
      </c>
      <c r="M931" s="116">
        <v>60.6</v>
      </c>
      <c r="N931" s="116">
        <v>67.599999999999994</v>
      </c>
      <c r="O931" s="116">
        <v>59.15</v>
      </c>
      <c r="P931" s="116">
        <v>65</v>
      </c>
      <c r="Q931" s="116">
        <v>60.6</v>
      </c>
      <c r="R931">
        <v>87978</v>
      </c>
    </row>
    <row r="932" spans="1:18" x14ac:dyDescent="0.25">
      <c r="A932" s="169">
        <v>43374</v>
      </c>
      <c r="B932" s="116">
        <v>61.5</v>
      </c>
      <c r="C932" s="116">
        <v>60.6</v>
      </c>
      <c r="D932" s="116">
        <v>58</v>
      </c>
      <c r="E932" s="116">
        <v>58</v>
      </c>
      <c r="F932" s="116">
        <v>60.6</v>
      </c>
      <c r="G932">
        <v>1693</v>
      </c>
      <c r="H932" s="116"/>
      <c r="I932" s="116"/>
      <c r="L932" s="169">
        <v>43374</v>
      </c>
      <c r="M932" s="116">
        <v>61.25</v>
      </c>
      <c r="N932" s="116">
        <v>61.8</v>
      </c>
      <c r="O932" s="116">
        <v>58</v>
      </c>
      <c r="P932" s="116">
        <v>60.6</v>
      </c>
      <c r="Q932" s="116">
        <v>61.25</v>
      </c>
      <c r="R932">
        <v>8193</v>
      </c>
    </row>
    <row r="933" spans="1:18" x14ac:dyDescent="0.25">
      <c r="A933" s="169">
        <v>43376</v>
      </c>
      <c r="B933" s="116">
        <v>63.6</v>
      </c>
      <c r="C933" s="116">
        <v>60.1</v>
      </c>
      <c r="D933" s="116">
        <v>58.2</v>
      </c>
      <c r="E933" s="116">
        <v>61.55</v>
      </c>
      <c r="F933" s="116">
        <v>60.1</v>
      </c>
      <c r="G933">
        <v>4581</v>
      </c>
      <c r="H933" s="116"/>
      <c r="I933" s="116"/>
      <c r="L933" s="169">
        <v>43376</v>
      </c>
      <c r="M933" s="116">
        <v>60.75</v>
      </c>
      <c r="N933" s="116">
        <v>63.45</v>
      </c>
      <c r="O933" s="116">
        <v>60</v>
      </c>
      <c r="P933" s="116">
        <v>62.25</v>
      </c>
      <c r="Q933" s="116">
        <v>60.75</v>
      </c>
      <c r="R933">
        <v>14614</v>
      </c>
    </row>
    <row r="934" spans="1:18" x14ac:dyDescent="0.25">
      <c r="A934" s="169">
        <v>43377</v>
      </c>
      <c r="B934" s="116">
        <v>61.25</v>
      </c>
      <c r="C934" s="116">
        <v>59.55</v>
      </c>
      <c r="D934" s="116">
        <v>58.95</v>
      </c>
      <c r="E934" s="116">
        <v>60.9</v>
      </c>
      <c r="F934" s="116">
        <v>59.55</v>
      </c>
      <c r="G934">
        <v>931</v>
      </c>
      <c r="H934" s="116"/>
      <c r="I934" s="116"/>
      <c r="L934" s="169">
        <v>43377</v>
      </c>
      <c r="M934" s="116">
        <v>59.05</v>
      </c>
      <c r="N934" s="116">
        <v>61.7</v>
      </c>
      <c r="O934" s="116">
        <v>57.1</v>
      </c>
      <c r="P934" s="116">
        <v>57.1</v>
      </c>
      <c r="Q934" s="116">
        <v>59.05</v>
      </c>
      <c r="R934">
        <v>6443</v>
      </c>
    </row>
    <row r="935" spans="1:18" x14ac:dyDescent="0.25">
      <c r="A935" s="169">
        <v>43378</v>
      </c>
      <c r="B935" s="116">
        <v>60</v>
      </c>
      <c r="C935" s="116">
        <v>58.45</v>
      </c>
      <c r="D935" s="116">
        <v>56</v>
      </c>
      <c r="E935" s="116">
        <v>60</v>
      </c>
      <c r="F935" s="116">
        <v>58.45</v>
      </c>
      <c r="G935">
        <v>1991</v>
      </c>
      <c r="H935" s="116"/>
      <c r="I935" s="116"/>
      <c r="L935" s="169">
        <v>43378</v>
      </c>
      <c r="M935" s="116">
        <v>58</v>
      </c>
      <c r="N935" s="116">
        <v>60.3</v>
      </c>
      <c r="O935" s="116">
        <v>56.3</v>
      </c>
      <c r="P935" s="116">
        <v>57.8</v>
      </c>
      <c r="Q935" s="116">
        <v>58</v>
      </c>
      <c r="R935">
        <v>9473</v>
      </c>
    </row>
    <row r="936" spans="1:18" x14ac:dyDescent="0.25">
      <c r="A936" s="169">
        <v>43381</v>
      </c>
      <c r="B936" s="116">
        <v>57.05</v>
      </c>
      <c r="C936" s="116">
        <v>55.05</v>
      </c>
      <c r="D936" s="116">
        <v>54</v>
      </c>
      <c r="E936" s="116">
        <v>57.05</v>
      </c>
      <c r="F936" s="116">
        <v>55.05</v>
      </c>
      <c r="G936">
        <v>4563</v>
      </c>
      <c r="H936" s="116"/>
      <c r="I936" s="116"/>
      <c r="L936" s="169">
        <v>43381</v>
      </c>
      <c r="M936" s="116">
        <v>54.85</v>
      </c>
      <c r="N936" s="116">
        <v>59.5</v>
      </c>
      <c r="O936" s="116">
        <v>53.4</v>
      </c>
      <c r="P936" s="116">
        <v>57.1</v>
      </c>
      <c r="Q936" s="116">
        <v>54.85</v>
      </c>
      <c r="R936">
        <v>10420</v>
      </c>
    </row>
    <row r="937" spans="1:18" x14ac:dyDescent="0.25">
      <c r="A937" s="169">
        <v>43382</v>
      </c>
      <c r="B937" s="116">
        <v>56.8</v>
      </c>
      <c r="C937" s="116">
        <v>55.3</v>
      </c>
      <c r="D937" s="116">
        <v>54.05</v>
      </c>
      <c r="E937" s="116">
        <v>55.2</v>
      </c>
      <c r="F937" s="116">
        <v>55.3</v>
      </c>
      <c r="G937">
        <v>3510</v>
      </c>
      <c r="H937" s="116"/>
      <c r="I937" s="116"/>
      <c r="L937" s="169">
        <v>43382</v>
      </c>
      <c r="M937" s="116">
        <v>54.35</v>
      </c>
      <c r="N937" s="116">
        <v>56.45</v>
      </c>
      <c r="O937" s="116">
        <v>54.05</v>
      </c>
      <c r="P937" s="116">
        <v>55.8</v>
      </c>
      <c r="Q937" s="116">
        <v>54.35</v>
      </c>
      <c r="R937">
        <v>19511</v>
      </c>
    </row>
    <row r="938" spans="1:18" x14ac:dyDescent="0.25">
      <c r="A938" s="169">
        <v>43383</v>
      </c>
      <c r="B938" s="116">
        <v>65.5</v>
      </c>
      <c r="C938" s="116">
        <v>63.85</v>
      </c>
      <c r="D938" s="116">
        <v>55.35</v>
      </c>
      <c r="E938" s="116">
        <v>59</v>
      </c>
      <c r="F938" s="116">
        <v>63.85</v>
      </c>
      <c r="G938">
        <v>6586</v>
      </c>
      <c r="H938" s="116"/>
      <c r="I938" s="116"/>
      <c r="L938" s="169">
        <v>43383</v>
      </c>
      <c r="M938" s="116">
        <v>63.35</v>
      </c>
      <c r="N938" s="116">
        <v>65.2</v>
      </c>
      <c r="O938" s="116">
        <v>53.5</v>
      </c>
      <c r="P938" s="116">
        <v>53.5</v>
      </c>
      <c r="Q938" s="116">
        <v>63.35</v>
      </c>
      <c r="R938">
        <v>117664</v>
      </c>
    </row>
    <row r="939" spans="1:18" x14ac:dyDescent="0.25">
      <c r="A939" s="169">
        <v>43384</v>
      </c>
      <c r="B939" s="116">
        <v>65.7</v>
      </c>
      <c r="C939" s="116">
        <v>60.85</v>
      </c>
      <c r="D939" s="116">
        <v>59.6</v>
      </c>
      <c r="E939" s="116">
        <v>59.75</v>
      </c>
      <c r="F939" s="116">
        <v>60.85</v>
      </c>
      <c r="G939">
        <v>3855</v>
      </c>
      <c r="H939" s="116"/>
      <c r="I939" s="116"/>
      <c r="L939" s="169">
        <v>43384</v>
      </c>
      <c r="M939" s="116">
        <v>60.9</v>
      </c>
      <c r="N939" s="116">
        <v>67</v>
      </c>
      <c r="O939" s="116">
        <v>58.3</v>
      </c>
      <c r="P939" s="116">
        <v>60.3</v>
      </c>
      <c r="Q939" s="116">
        <v>60.9</v>
      </c>
      <c r="R939">
        <v>27332</v>
      </c>
    </row>
    <row r="940" spans="1:18" x14ac:dyDescent="0.25">
      <c r="A940" s="169">
        <v>43385</v>
      </c>
      <c r="B940" s="116">
        <v>66.5</v>
      </c>
      <c r="C940" s="116">
        <v>64.95</v>
      </c>
      <c r="D940" s="116">
        <v>62</v>
      </c>
      <c r="E940" s="116">
        <v>62.55</v>
      </c>
      <c r="F940" s="116">
        <v>64.95</v>
      </c>
      <c r="G940">
        <v>3674</v>
      </c>
      <c r="H940" s="116"/>
      <c r="I940" s="116"/>
      <c r="L940" s="169">
        <v>43385</v>
      </c>
      <c r="M940" s="116">
        <v>64.599999999999994</v>
      </c>
      <c r="N940" s="116">
        <v>67</v>
      </c>
      <c r="O940" s="116">
        <v>61.05</v>
      </c>
      <c r="P940" s="116">
        <v>61.1</v>
      </c>
      <c r="Q940" s="116">
        <v>64.599999999999994</v>
      </c>
      <c r="R940">
        <v>36018</v>
      </c>
    </row>
    <row r="941" spans="1:18" x14ac:dyDescent="0.25">
      <c r="A941" s="169">
        <v>43388</v>
      </c>
      <c r="B941" s="116">
        <v>69.3</v>
      </c>
      <c r="C941" s="116">
        <v>67.7</v>
      </c>
      <c r="D941" s="116">
        <v>64.599999999999994</v>
      </c>
      <c r="E941" s="116">
        <v>64.599999999999994</v>
      </c>
      <c r="F941" s="116">
        <v>67.7</v>
      </c>
      <c r="G941">
        <v>5282</v>
      </c>
      <c r="H941" s="116"/>
      <c r="I941" s="116"/>
      <c r="L941" s="169">
        <v>43388</v>
      </c>
      <c r="M941" s="116">
        <v>67.5</v>
      </c>
      <c r="N941" s="116">
        <v>69.849999999999994</v>
      </c>
      <c r="O941" s="116">
        <v>63.55</v>
      </c>
      <c r="P941" s="116">
        <v>66.7</v>
      </c>
      <c r="Q941" s="116">
        <v>67.5</v>
      </c>
      <c r="R941">
        <v>25876</v>
      </c>
    </row>
    <row r="942" spans="1:18" x14ac:dyDescent="0.25">
      <c r="A942" s="169">
        <v>43389</v>
      </c>
      <c r="B942" s="116">
        <v>70.95</v>
      </c>
      <c r="C942" s="116">
        <v>68.849999999999994</v>
      </c>
      <c r="D942" s="116">
        <v>68.05</v>
      </c>
      <c r="E942" s="116">
        <v>69.25</v>
      </c>
      <c r="F942" s="116">
        <v>68.849999999999994</v>
      </c>
      <c r="G942">
        <v>6741</v>
      </c>
      <c r="H942" s="116"/>
      <c r="I942" s="116"/>
      <c r="L942" s="169">
        <v>43389</v>
      </c>
      <c r="M942" s="116">
        <v>69.05</v>
      </c>
      <c r="N942" s="116">
        <v>72</v>
      </c>
      <c r="O942" s="116">
        <v>67.25</v>
      </c>
      <c r="P942" s="116">
        <v>72</v>
      </c>
      <c r="Q942" s="116">
        <v>69.05</v>
      </c>
      <c r="R942">
        <v>22406</v>
      </c>
    </row>
    <row r="943" spans="1:18" x14ac:dyDescent="0.25">
      <c r="A943" s="169">
        <v>43390</v>
      </c>
      <c r="B943" s="116">
        <v>69.099999999999994</v>
      </c>
      <c r="C943" s="116">
        <v>67.55</v>
      </c>
      <c r="D943" s="116">
        <v>66.5</v>
      </c>
      <c r="E943" s="116">
        <v>69.099999999999994</v>
      </c>
      <c r="F943" s="116">
        <v>67.55</v>
      </c>
      <c r="G943">
        <v>733</v>
      </c>
      <c r="H943" s="116"/>
      <c r="I943" s="116"/>
      <c r="L943" s="169">
        <v>43390</v>
      </c>
      <c r="M943" s="116">
        <v>67.900000000000006</v>
      </c>
      <c r="N943" s="116">
        <v>71.05</v>
      </c>
      <c r="O943" s="116">
        <v>66</v>
      </c>
      <c r="P943" s="116">
        <v>68.45</v>
      </c>
      <c r="Q943" s="116">
        <v>67.900000000000006</v>
      </c>
      <c r="R943">
        <v>5322</v>
      </c>
    </row>
    <row r="944" spans="1:18" x14ac:dyDescent="0.25">
      <c r="A944" s="169">
        <v>43392</v>
      </c>
      <c r="B944" s="116">
        <v>68</v>
      </c>
      <c r="C944" s="116">
        <v>65.55</v>
      </c>
      <c r="D944" s="116">
        <v>64.75</v>
      </c>
      <c r="E944" s="116">
        <v>66.2</v>
      </c>
      <c r="F944" s="116">
        <v>65.55</v>
      </c>
      <c r="G944">
        <v>6359</v>
      </c>
      <c r="H944" s="116"/>
      <c r="I944" s="116"/>
      <c r="L944" s="169">
        <v>43392</v>
      </c>
      <c r="M944" s="116">
        <v>65.2</v>
      </c>
      <c r="N944" s="116">
        <v>67.650000000000006</v>
      </c>
      <c r="O944" s="116">
        <v>65</v>
      </c>
      <c r="P944" s="116">
        <v>67</v>
      </c>
      <c r="Q944" s="116">
        <v>65.2</v>
      </c>
      <c r="R944">
        <v>3326</v>
      </c>
    </row>
    <row r="945" spans="1:18" x14ac:dyDescent="0.25">
      <c r="A945" s="169">
        <v>43395</v>
      </c>
      <c r="B945" s="116">
        <v>66.5</v>
      </c>
      <c r="C945" s="116">
        <v>65.849999999999994</v>
      </c>
      <c r="D945" s="116">
        <v>64.599999999999994</v>
      </c>
      <c r="E945" s="116">
        <v>64.599999999999994</v>
      </c>
      <c r="F945" s="116">
        <v>65.849999999999994</v>
      </c>
      <c r="G945">
        <v>2136</v>
      </c>
      <c r="H945" s="116"/>
      <c r="I945" s="116"/>
      <c r="L945" s="169">
        <v>43395</v>
      </c>
      <c r="M945" s="116">
        <v>66.5</v>
      </c>
      <c r="N945" s="116">
        <v>68.5</v>
      </c>
      <c r="O945" s="116">
        <v>64.75</v>
      </c>
      <c r="P945" s="116">
        <v>64.75</v>
      </c>
      <c r="Q945" s="116">
        <v>66.5</v>
      </c>
      <c r="R945">
        <v>3091</v>
      </c>
    </row>
    <row r="946" spans="1:18" x14ac:dyDescent="0.25">
      <c r="A946" s="169">
        <v>43396</v>
      </c>
      <c r="B946" s="116">
        <v>66.2</v>
      </c>
      <c r="C946" s="116">
        <v>65.45</v>
      </c>
      <c r="D946" s="116">
        <v>65</v>
      </c>
      <c r="E946" s="116">
        <v>65</v>
      </c>
      <c r="F946" s="116">
        <v>65.45</v>
      </c>
      <c r="G946">
        <v>579</v>
      </c>
      <c r="H946" s="116"/>
      <c r="I946" s="116"/>
      <c r="L946" s="169">
        <v>43396</v>
      </c>
      <c r="M946" s="116">
        <v>65.05</v>
      </c>
      <c r="N946" s="116">
        <v>66.3</v>
      </c>
      <c r="O946" s="116">
        <v>64</v>
      </c>
      <c r="P946" s="116">
        <v>65.25</v>
      </c>
      <c r="Q946" s="116">
        <v>65.05</v>
      </c>
      <c r="R946">
        <v>2588</v>
      </c>
    </row>
    <row r="947" spans="1:18" x14ac:dyDescent="0.25">
      <c r="A947" s="169">
        <v>43397</v>
      </c>
      <c r="B947" s="116">
        <v>67.2</v>
      </c>
      <c r="C947" s="116">
        <v>65.95</v>
      </c>
      <c r="D947" s="116">
        <v>65.5</v>
      </c>
      <c r="E947" s="116">
        <v>65.95</v>
      </c>
      <c r="F947" s="116">
        <v>65.95</v>
      </c>
      <c r="G947">
        <v>718</v>
      </c>
      <c r="H947" s="116"/>
      <c r="I947" s="116"/>
      <c r="L947" s="169">
        <v>43397</v>
      </c>
      <c r="M947" s="116">
        <v>65.55</v>
      </c>
      <c r="N947" s="116">
        <v>67.25</v>
      </c>
      <c r="O947" s="116">
        <v>65.099999999999994</v>
      </c>
      <c r="P947" s="116">
        <v>65.650000000000006</v>
      </c>
      <c r="Q947" s="116">
        <v>65.55</v>
      </c>
      <c r="R947">
        <v>1487</v>
      </c>
    </row>
    <row r="948" spans="1:18" x14ac:dyDescent="0.25">
      <c r="A948" s="169">
        <v>43398</v>
      </c>
      <c r="B948" s="116">
        <v>64.75</v>
      </c>
      <c r="C948" s="116">
        <v>64</v>
      </c>
      <c r="D948" s="116">
        <v>63.6</v>
      </c>
      <c r="E948" s="116">
        <v>64.75</v>
      </c>
      <c r="F948" s="116">
        <v>64</v>
      </c>
      <c r="G948">
        <v>800</v>
      </c>
      <c r="H948" s="116"/>
      <c r="I948" s="116"/>
      <c r="L948" s="169">
        <v>43398</v>
      </c>
      <c r="M948" s="116">
        <v>63.8</v>
      </c>
      <c r="N948" s="116">
        <v>65.599999999999994</v>
      </c>
      <c r="O948" s="116">
        <v>62.4</v>
      </c>
      <c r="P948" s="116">
        <v>64.7</v>
      </c>
      <c r="Q948" s="116">
        <v>63.8</v>
      </c>
      <c r="R948">
        <v>1791</v>
      </c>
    </row>
    <row r="949" spans="1:18" x14ac:dyDescent="0.25">
      <c r="A949" s="169">
        <v>43399</v>
      </c>
      <c r="B949" s="116">
        <v>64</v>
      </c>
      <c r="C949" s="116">
        <v>63.15</v>
      </c>
      <c r="D949" s="116">
        <v>62.5</v>
      </c>
      <c r="E949" s="116">
        <v>64</v>
      </c>
      <c r="F949" s="116">
        <v>63.15</v>
      </c>
      <c r="G949">
        <v>2500</v>
      </c>
      <c r="H949" s="116"/>
      <c r="I949" s="116"/>
      <c r="L949" s="169">
        <v>43399</v>
      </c>
      <c r="M949" s="116">
        <v>62.55</v>
      </c>
      <c r="N949" s="116">
        <v>63.85</v>
      </c>
      <c r="O949" s="116">
        <v>62.2</v>
      </c>
      <c r="P949" s="116">
        <v>63.8</v>
      </c>
      <c r="Q949" s="116">
        <v>62.55</v>
      </c>
      <c r="R949">
        <v>4764</v>
      </c>
    </row>
    <row r="950" spans="1:18" x14ac:dyDescent="0.25">
      <c r="A950" s="169">
        <v>43402</v>
      </c>
      <c r="B950" s="116">
        <v>63.5</v>
      </c>
      <c r="C950" s="116">
        <v>62.2</v>
      </c>
      <c r="D950" s="116">
        <v>61.65</v>
      </c>
      <c r="E950" s="116">
        <v>62.35</v>
      </c>
      <c r="F950" s="116">
        <v>62.2</v>
      </c>
      <c r="G950">
        <v>25831</v>
      </c>
      <c r="H950" s="116"/>
      <c r="I950" s="116"/>
      <c r="L950" s="169">
        <v>43402</v>
      </c>
      <c r="M950" s="116">
        <v>62.4</v>
      </c>
      <c r="N950" s="116">
        <v>63.55</v>
      </c>
      <c r="O950" s="116">
        <v>61.4</v>
      </c>
      <c r="P950" s="116">
        <v>63.45</v>
      </c>
      <c r="Q950" s="116">
        <v>62.4</v>
      </c>
      <c r="R950">
        <v>32988</v>
      </c>
    </row>
    <row r="951" spans="1:18" x14ac:dyDescent="0.25">
      <c r="A951" s="169">
        <v>43403</v>
      </c>
      <c r="B951" s="116">
        <v>64.650000000000006</v>
      </c>
      <c r="C951" s="116">
        <v>63.9</v>
      </c>
      <c r="D951" s="116">
        <v>62.65</v>
      </c>
      <c r="E951" s="116">
        <v>63.1</v>
      </c>
      <c r="F951" s="116">
        <v>63.9</v>
      </c>
      <c r="G951">
        <v>5167</v>
      </c>
      <c r="H951" s="116"/>
      <c r="I951" s="116"/>
      <c r="L951" s="169">
        <v>43403</v>
      </c>
      <c r="M951" s="116">
        <v>64.650000000000006</v>
      </c>
      <c r="N951" s="116">
        <v>65.8</v>
      </c>
      <c r="O951" s="116">
        <v>62.1</v>
      </c>
      <c r="P951" s="116">
        <v>62.1</v>
      </c>
      <c r="Q951" s="116">
        <v>64.650000000000006</v>
      </c>
      <c r="R951">
        <v>3940</v>
      </c>
    </row>
    <row r="952" spans="1:18" x14ac:dyDescent="0.25">
      <c r="A952" s="169">
        <v>43404</v>
      </c>
      <c r="B952" s="116">
        <v>69.099999999999994</v>
      </c>
      <c r="C952" s="116">
        <v>68.05</v>
      </c>
      <c r="D952" s="116">
        <v>63.8</v>
      </c>
      <c r="E952" s="116">
        <v>63.8</v>
      </c>
      <c r="F952" s="116">
        <v>68.05</v>
      </c>
      <c r="G952">
        <v>6230</v>
      </c>
      <c r="H952" s="116"/>
      <c r="I952" s="116"/>
      <c r="L952" s="169">
        <v>43404</v>
      </c>
      <c r="M952" s="116">
        <v>67.3</v>
      </c>
      <c r="N952" s="116">
        <v>68.8</v>
      </c>
      <c r="O952" s="116">
        <v>63</v>
      </c>
      <c r="P952" s="116">
        <v>65.55</v>
      </c>
      <c r="Q952" s="116">
        <v>67.3</v>
      </c>
      <c r="R952">
        <v>4457</v>
      </c>
    </row>
    <row r="953" spans="1:18" x14ac:dyDescent="0.25">
      <c r="A953" s="169">
        <v>43405</v>
      </c>
      <c r="B953" s="116">
        <v>79.55</v>
      </c>
      <c r="C953" s="116">
        <v>78.150000000000006</v>
      </c>
      <c r="D953" s="116">
        <v>67</v>
      </c>
      <c r="E953" s="116">
        <v>67</v>
      </c>
      <c r="F953" s="116">
        <v>78.150000000000006</v>
      </c>
      <c r="G953">
        <v>7789</v>
      </c>
      <c r="H953" s="116"/>
      <c r="I953" s="116"/>
      <c r="L953" s="169">
        <v>43405</v>
      </c>
      <c r="M953" s="116">
        <v>78.45</v>
      </c>
      <c r="N953" s="116">
        <v>80.7</v>
      </c>
      <c r="O953" s="116">
        <v>66.2</v>
      </c>
      <c r="P953" s="116">
        <v>67.3</v>
      </c>
      <c r="Q953" s="116">
        <v>78.45</v>
      </c>
      <c r="R953">
        <v>68038</v>
      </c>
    </row>
    <row r="954" spans="1:18" x14ac:dyDescent="0.25">
      <c r="A954" s="169">
        <v>43406</v>
      </c>
      <c r="B954" s="116">
        <v>86.35</v>
      </c>
      <c r="C954" s="116">
        <v>78.650000000000006</v>
      </c>
      <c r="D954" s="116">
        <v>74.5</v>
      </c>
      <c r="E954" s="116">
        <v>78.05</v>
      </c>
      <c r="F954" s="116">
        <v>78.650000000000006</v>
      </c>
      <c r="G954">
        <v>8015</v>
      </c>
      <c r="H954" s="116"/>
      <c r="I954" s="116"/>
      <c r="L954" s="169">
        <v>43406</v>
      </c>
      <c r="M954" s="116">
        <v>78</v>
      </c>
      <c r="N954" s="116">
        <v>86.85</v>
      </c>
      <c r="O954" s="116">
        <v>76.099999999999994</v>
      </c>
      <c r="P954" s="116">
        <v>79</v>
      </c>
      <c r="Q954" s="116">
        <v>78</v>
      </c>
      <c r="R954">
        <v>43355</v>
      </c>
    </row>
    <row r="955" spans="1:18" x14ac:dyDescent="0.25">
      <c r="A955" s="169">
        <v>43409</v>
      </c>
      <c r="B955" s="116">
        <v>79.3</v>
      </c>
      <c r="C955" s="116">
        <v>78.45</v>
      </c>
      <c r="D955" s="116">
        <v>76.099999999999994</v>
      </c>
      <c r="E955" s="116">
        <v>79.25</v>
      </c>
      <c r="F955" s="116">
        <v>78.45</v>
      </c>
      <c r="G955">
        <v>1660</v>
      </c>
      <c r="H955" s="116"/>
      <c r="I955" s="116"/>
      <c r="L955" s="169">
        <v>43409</v>
      </c>
      <c r="M955" s="116">
        <v>76.900000000000006</v>
      </c>
      <c r="N955" s="116">
        <v>79.150000000000006</v>
      </c>
      <c r="O955" s="116">
        <v>75.45</v>
      </c>
      <c r="P955" s="116">
        <v>78</v>
      </c>
      <c r="Q955" s="116">
        <v>76.900000000000006</v>
      </c>
      <c r="R955">
        <v>5400</v>
      </c>
    </row>
    <row r="956" spans="1:18" x14ac:dyDescent="0.25">
      <c r="A956" s="169">
        <v>43410</v>
      </c>
      <c r="B956" s="116">
        <v>77.150000000000006</v>
      </c>
      <c r="C956" s="116">
        <v>76</v>
      </c>
      <c r="D956" s="116">
        <v>76</v>
      </c>
      <c r="E956" s="116">
        <v>76.099999999999994</v>
      </c>
      <c r="F956" s="116">
        <v>76</v>
      </c>
      <c r="G956">
        <v>383</v>
      </c>
      <c r="H956" s="116"/>
      <c r="I956" s="116"/>
      <c r="L956" s="169">
        <v>43410</v>
      </c>
      <c r="M956" s="116">
        <v>75.95</v>
      </c>
      <c r="N956" s="116">
        <v>78.05</v>
      </c>
      <c r="O956" s="116">
        <v>75.55</v>
      </c>
      <c r="P956" s="116">
        <v>76.5</v>
      </c>
      <c r="Q956" s="116">
        <v>75.95</v>
      </c>
      <c r="R956">
        <v>3137</v>
      </c>
    </row>
    <row r="957" spans="1:18" x14ac:dyDescent="0.25">
      <c r="A957" s="169">
        <v>43411</v>
      </c>
      <c r="B957" s="116">
        <v>78.95</v>
      </c>
      <c r="C957" s="116">
        <v>78.95</v>
      </c>
      <c r="D957" s="116">
        <v>78.95</v>
      </c>
      <c r="E957" s="116">
        <v>78.95</v>
      </c>
      <c r="F957" s="116">
        <v>78.95</v>
      </c>
      <c r="G957">
        <v>5</v>
      </c>
      <c r="H957" s="116"/>
      <c r="I957" s="116"/>
      <c r="L957" s="169">
        <v>43411</v>
      </c>
      <c r="M957" s="116">
        <v>77.95</v>
      </c>
      <c r="N957" s="116">
        <v>79.95</v>
      </c>
      <c r="O957" s="116">
        <v>76.25</v>
      </c>
      <c r="P957" s="116">
        <v>77.900000000000006</v>
      </c>
      <c r="Q957" s="116">
        <v>77.95</v>
      </c>
      <c r="R957">
        <v>1970</v>
      </c>
    </row>
    <row r="958" spans="1:18" x14ac:dyDescent="0.25">
      <c r="A958" s="169">
        <v>43413</v>
      </c>
      <c r="B958" s="116">
        <v>78</v>
      </c>
      <c r="C958" s="116">
        <v>75.900000000000006</v>
      </c>
      <c r="D958" s="116">
        <v>75</v>
      </c>
      <c r="E958" s="116">
        <v>75</v>
      </c>
      <c r="F958" s="116">
        <v>75.900000000000006</v>
      </c>
      <c r="G958">
        <v>2678</v>
      </c>
      <c r="H958" s="116"/>
      <c r="I958" s="116"/>
      <c r="L958" s="169">
        <v>43413</v>
      </c>
      <c r="M958" s="116">
        <v>75.45</v>
      </c>
      <c r="N958" s="116">
        <v>78.5</v>
      </c>
      <c r="O958" s="116">
        <v>75</v>
      </c>
      <c r="P958" s="116">
        <v>77</v>
      </c>
      <c r="Q958" s="116">
        <v>75.45</v>
      </c>
      <c r="R958">
        <v>4752</v>
      </c>
    </row>
    <row r="959" spans="1:18" x14ac:dyDescent="0.25">
      <c r="A959" s="169">
        <v>43416</v>
      </c>
      <c r="B959" s="116">
        <v>76.650000000000006</v>
      </c>
      <c r="C959" s="116">
        <v>75.05</v>
      </c>
      <c r="D959" s="116">
        <v>73.95</v>
      </c>
      <c r="E959" s="116">
        <v>76.650000000000006</v>
      </c>
      <c r="F959" s="116">
        <v>75.05</v>
      </c>
      <c r="G959">
        <v>2240</v>
      </c>
      <c r="H959" s="116"/>
      <c r="I959" s="116"/>
      <c r="L959" s="169">
        <v>43416</v>
      </c>
      <c r="M959" s="116">
        <v>74</v>
      </c>
      <c r="N959" s="116">
        <v>76.5</v>
      </c>
      <c r="O959" s="116">
        <v>73.3</v>
      </c>
      <c r="P959" s="116">
        <v>76.349999999999994</v>
      </c>
      <c r="Q959" s="116">
        <v>74</v>
      </c>
      <c r="R959">
        <v>4527</v>
      </c>
    </row>
    <row r="960" spans="1:18" x14ac:dyDescent="0.25">
      <c r="A960" s="169">
        <v>43417</v>
      </c>
      <c r="B960" s="116">
        <v>79</v>
      </c>
      <c r="C960" s="116">
        <v>78.05</v>
      </c>
      <c r="D960" s="116">
        <v>75.900000000000006</v>
      </c>
      <c r="E960" s="116">
        <v>75.900000000000006</v>
      </c>
      <c r="F960" s="116">
        <v>78.05</v>
      </c>
      <c r="G960">
        <v>1939</v>
      </c>
      <c r="H960" s="116"/>
      <c r="I960" s="116"/>
      <c r="L960" s="169">
        <v>43417</v>
      </c>
      <c r="M960" s="116">
        <v>77.8</v>
      </c>
      <c r="N960" s="116">
        <v>79.900000000000006</v>
      </c>
      <c r="O960" s="116">
        <v>74.650000000000006</v>
      </c>
      <c r="P960" s="116">
        <v>74.7</v>
      </c>
      <c r="Q960" s="116">
        <v>77.8</v>
      </c>
      <c r="R960">
        <v>9948</v>
      </c>
    </row>
    <row r="961" spans="1:18" x14ac:dyDescent="0.25">
      <c r="A961" s="169">
        <v>43418</v>
      </c>
      <c r="B961" s="116">
        <v>87.5</v>
      </c>
      <c r="C961" s="116">
        <v>84.5</v>
      </c>
      <c r="D961" s="116">
        <v>76.95</v>
      </c>
      <c r="E961" s="116">
        <v>78.25</v>
      </c>
      <c r="F961" s="116">
        <v>84.5</v>
      </c>
      <c r="G961">
        <v>27452</v>
      </c>
      <c r="H961" s="116"/>
      <c r="I961" s="116"/>
      <c r="L961" s="169">
        <v>43418</v>
      </c>
      <c r="M961" s="116">
        <v>83.4</v>
      </c>
      <c r="N961" s="116">
        <v>88.25</v>
      </c>
      <c r="O961" s="116">
        <v>76.25</v>
      </c>
      <c r="P961" s="116">
        <v>80</v>
      </c>
      <c r="Q961" s="116">
        <v>83.4</v>
      </c>
      <c r="R961">
        <v>75538</v>
      </c>
    </row>
    <row r="962" spans="1:18" x14ac:dyDescent="0.25">
      <c r="A962" s="169">
        <v>43419</v>
      </c>
      <c r="B962" s="116">
        <v>82.5</v>
      </c>
      <c r="C962" s="116">
        <v>81.2</v>
      </c>
      <c r="D962" s="116">
        <v>80</v>
      </c>
      <c r="E962" s="116">
        <v>81.75</v>
      </c>
      <c r="F962" s="116">
        <v>81.2</v>
      </c>
      <c r="G962">
        <v>5844</v>
      </c>
      <c r="H962" s="116"/>
      <c r="I962" s="116"/>
      <c r="L962" s="169">
        <v>43419</v>
      </c>
      <c r="M962" s="116">
        <v>80.099999999999994</v>
      </c>
      <c r="N962" s="116">
        <v>84.3</v>
      </c>
      <c r="O962" s="116">
        <v>79.400000000000006</v>
      </c>
      <c r="P962" s="116">
        <v>84.3</v>
      </c>
      <c r="Q962" s="116">
        <v>80.099999999999994</v>
      </c>
      <c r="R962">
        <v>23968</v>
      </c>
    </row>
    <row r="963" spans="1:18" x14ac:dyDescent="0.25">
      <c r="A963" s="169">
        <v>43420</v>
      </c>
      <c r="B963" s="116">
        <v>83.25</v>
      </c>
      <c r="C963" s="116">
        <v>80.5</v>
      </c>
      <c r="D963" s="116">
        <v>77.05</v>
      </c>
      <c r="E963" s="116">
        <v>77.05</v>
      </c>
      <c r="F963" s="116">
        <v>80.5</v>
      </c>
      <c r="G963">
        <v>2758</v>
      </c>
      <c r="H963" s="116"/>
      <c r="I963" s="116"/>
      <c r="L963" s="169">
        <v>43420</v>
      </c>
      <c r="M963" s="116">
        <v>79.25</v>
      </c>
      <c r="N963" s="116">
        <v>82.7</v>
      </c>
      <c r="O963" s="116">
        <v>79</v>
      </c>
      <c r="P963" s="116">
        <v>80.75</v>
      </c>
      <c r="Q963" s="116">
        <v>79.25</v>
      </c>
      <c r="R963">
        <v>24348</v>
      </c>
    </row>
    <row r="964" spans="1:18" x14ac:dyDescent="0.25">
      <c r="A964" s="169">
        <v>43423</v>
      </c>
      <c r="B964" s="116">
        <v>79.400000000000006</v>
      </c>
      <c r="C964" s="116">
        <v>77.25</v>
      </c>
      <c r="D964" s="116">
        <v>76.650000000000006</v>
      </c>
      <c r="E964" s="116">
        <v>78.05</v>
      </c>
      <c r="F964" s="116">
        <v>77.25</v>
      </c>
      <c r="G964">
        <v>3911</v>
      </c>
      <c r="H964" s="116"/>
      <c r="I964" s="116"/>
      <c r="L964" s="169">
        <v>43423</v>
      </c>
      <c r="M964" s="116">
        <v>77.5</v>
      </c>
      <c r="N964" s="116">
        <v>81</v>
      </c>
      <c r="O964" s="116">
        <v>77</v>
      </c>
      <c r="P964" s="116">
        <v>79.05</v>
      </c>
      <c r="Q964" s="116">
        <v>77.5</v>
      </c>
      <c r="R964">
        <v>10041</v>
      </c>
    </row>
    <row r="965" spans="1:18" x14ac:dyDescent="0.25">
      <c r="A965" s="169">
        <v>43424</v>
      </c>
      <c r="B965" s="116">
        <v>78</v>
      </c>
      <c r="C965" s="116">
        <v>76.5</v>
      </c>
      <c r="D965" s="116">
        <v>76</v>
      </c>
      <c r="E965" s="116">
        <v>76</v>
      </c>
      <c r="F965" s="116">
        <v>76.5</v>
      </c>
      <c r="G965">
        <v>2159</v>
      </c>
      <c r="H965" s="116"/>
      <c r="I965" s="116"/>
      <c r="L965" s="169">
        <v>43424</v>
      </c>
      <c r="M965" s="116">
        <v>76.650000000000006</v>
      </c>
      <c r="N965" s="116">
        <v>79.900000000000006</v>
      </c>
      <c r="O965" s="116">
        <v>75.55</v>
      </c>
      <c r="P965" s="116">
        <v>76.45</v>
      </c>
      <c r="Q965" s="116">
        <v>76.650000000000006</v>
      </c>
      <c r="R965">
        <v>3579</v>
      </c>
    </row>
    <row r="966" spans="1:18" x14ac:dyDescent="0.25">
      <c r="A966" s="169">
        <v>43425</v>
      </c>
      <c r="B966" s="116">
        <v>77.75</v>
      </c>
      <c r="C966" s="116">
        <v>75.849999999999994</v>
      </c>
      <c r="D966" s="116">
        <v>75</v>
      </c>
      <c r="E966" s="116">
        <v>76.099999999999994</v>
      </c>
      <c r="F966" s="116">
        <v>75.849999999999994</v>
      </c>
      <c r="G966">
        <v>1466</v>
      </c>
      <c r="H966" s="116"/>
      <c r="I966" s="116"/>
      <c r="L966" s="169">
        <v>43425</v>
      </c>
      <c r="M966" s="116">
        <v>74.900000000000006</v>
      </c>
      <c r="N966" s="116">
        <v>79.8</v>
      </c>
      <c r="O966" s="116">
        <v>74.3</v>
      </c>
      <c r="P966" s="116">
        <v>79.75</v>
      </c>
      <c r="Q966" s="116">
        <v>74.900000000000006</v>
      </c>
      <c r="R966">
        <v>8578</v>
      </c>
    </row>
    <row r="967" spans="1:18" x14ac:dyDescent="0.25">
      <c r="A967" s="169">
        <v>43426</v>
      </c>
      <c r="B967" s="116">
        <v>77.650000000000006</v>
      </c>
      <c r="C967" s="116">
        <v>74.8</v>
      </c>
      <c r="D967" s="116">
        <v>74.599999999999994</v>
      </c>
      <c r="E967" s="116">
        <v>74.650000000000006</v>
      </c>
      <c r="F967" s="116">
        <v>74.8</v>
      </c>
      <c r="G967">
        <v>1910</v>
      </c>
      <c r="H967" s="116"/>
      <c r="I967" s="116"/>
      <c r="L967" s="169">
        <v>43426</v>
      </c>
      <c r="M967" s="116">
        <v>74.900000000000006</v>
      </c>
      <c r="N967" s="116">
        <v>77</v>
      </c>
      <c r="O967" s="116">
        <v>74.5</v>
      </c>
      <c r="P967" s="116">
        <v>77</v>
      </c>
      <c r="Q967" s="116">
        <v>74.900000000000006</v>
      </c>
      <c r="R967">
        <v>5213</v>
      </c>
    </row>
    <row r="968" spans="1:18" x14ac:dyDescent="0.25">
      <c r="A968" s="169">
        <v>43430</v>
      </c>
      <c r="B968" s="116">
        <v>79.599999999999994</v>
      </c>
      <c r="C968" s="116">
        <v>75.75</v>
      </c>
      <c r="D968" s="116">
        <v>74.150000000000006</v>
      </c>
      <c r="E968" s="116">
        <v>75</v>
      </c>
      <c r="F968" s="116">
        <v>75.75</v>
      </c>
      <c r="G968">
        <v>3704</v>
      </c>
      <c r="H968" s="116"/>
      <c r="I968" s="116"/>
      <c r="L968" s="169">
        <v>43430</v>
      </c>
      <c r="M968" s="116">
        <v>74.599999999999994</v>
      </c>
      <c r="N968" s="116">
        <v>76.8</v>
      </c>
      <c r="O968" s="116">
        <v>73.349999999999994</v>
      </c>
      <c r="P968" s="116">
        <v>74.650000000000006</v>
      </c>
      <c r="Q968" s="116">
        <v>74.599999999999994</v>
      </c>
      <c r="R968">
        <v>6454</v>
      </c>
    </row>
    <row r="969" spans="1:18" x14ac:dyDescent="0.25">
      <c r="A969" s="169">
        <v>43431</v>
      </c>
      <c r="B969" s="116">
        <v>77.25</v>
      </c>
      <c r="C969" s="116">
        <v>75.3</v>
      </c>
      <c r="D969" s="116">
        <v>74.849999999999994</v>
      </c>
      <c r="E969" s="116">
        <v>75.5</v>
      </c>
      <c r="F969" s="116">
        <v>75.3</v>
      </c>
      <c r="G969">
        <v>2220</v>
      </c>
      <c r="H969" s="116"/>
      <c r="I969" s="116"/>
      <c r="L969" s="169">
        <v>43431</v>
      </c>
      <c r="M969" s="116">
        <v>75.400000000000006</v>
      </c>
      <c r="N969" s="116">
        <v>76.599999999999994</v>
      </c>
      <c r="O969" s="116">
        <v>74.45</v>
      </c>
      <c r="P969" s="116">
        <v>74.75</v>
      </c>
      <c r="Q969" s="116">
        <v>75.400000000000006</v>
      </c>
      <c r="R969">
        <v>4867</v>
      </c>
    </row>
    <row r="970" spans="1:18" x14ac:dyDescent="0.25">
      <c r="A970" s="169">
        <v>43432</v>
      </c>
      <c r="B970" s="116">
        <v>75.849999999999994</v>
      </c>
      <c r="C970" s="116">
        <v>74.650000000000006</v>
      </c>
      <c r="D970" s="116">
        <v>73.5</v>
      </c>
      <c r="E970" s="116">
        <v>75.150000000000006</v>
      </c>
      <c r="F970" s="116">
        <v>74.650000000000006</v>
      </c>
      <c r="G970">
        <v>1221</v>
      </c>
      <c r="H970" s="116"/>
      <c r="I970" s="116"/>
      <c r="L970" s="169">
        <v>43432</v>
      </c>
      <c r="M970" s="116">
        <v>74.150000000000006</v>
      </c>
      <c r="N970" s="116">
        <v>75.7</v>
      </c>
      <c r="O970" s="116">
        <v>73.099999999999994</v>
      </c>
      <c r="P970" s="116">
        <v>75.2</v>
      </c>
      <c r="Q970" s="116">
        <v>74.150000000000006</v>
      </c>
      <c r="R970">
        <v>106268</v>
      </c>
    </row>
    <row r="971" spans="1:18" x14ac:dyDescent="0.25">
      <c r="A971" s="169">
        <v>43433</v>
      </c>
      <c r="B971" s="116">
        <v>75.400000000000006</v>
      </c>
      <c r="C971" s="116">
        <v>71.900000000000006</v>
      </c>
      <c r="D971" s="116">
        <v>71.25</v>
      </c>
      <c r="E971" s="116">
        <v>74.5</v>
      </c>
      <c r="F971" s="116">
        <v>71.900000000000006</v>
      </c>
      <c r="G971">
        <v>3190</v>
      </c>
      <c r="H971" s="116"/>
      <c r="I971" s="116"/>
      <c r="L971" s="169">
        <v>43433</v>
      </c>
      <c r="M971" s="116">
        <v>71.95</v>
      </c>
      <c r="N971" s="116">
        <v>74</v>
      </c>
      <c r="O971" s="116">
        <v>71.3</v>
      </c>
      <c r="P971" s="116">
        <v>73.849999999999994</v>
      </c>
      <c r="Q971" s="116">
        <v>71.95</v>
      </c>
      <c r="R971">
        <v>15184</v>
      </c>
    </row>
    <row r="972" spans="1:18" x14ac:dyDescent="0.25">
      <c r="A972" s="169">
        <v>43434</v>
      </c>
      <c r="B972" s="116">
        <v>76.5</v>
      </c>
      <c r="C972" s="116">
        <v>75.849999999999994</v>
      </c>
      <c r="D972" s="116">
        <v>73.150000000000006</v>
      </c>
      <c r="E972" s="116">
        <v>73.150000000000006</v>
      </c>
      <c r="F972" s="116">
        <v>75.849999999999994</v>
      </c>
      <c r="G972">
        <v>1678</v>
      </c>
      <c r="H972" s="116"/>
      <c r="I972" s="116"/>
      <c r="L972" s="169">
        <v>43434</v>
      </c>
      <c r="M972" s="116">
        <v>76.3</v>
      </c>
      <c r="N972" s="116">
        <v>77.3</v>
      </c>
      <c r="O972" s="116">
        <v>71.900000000000006</v>
      </c>
      <c r="P972" s="116">
        <v>72</v>
      </c>
      <c r="Q972" s="116">
        <v>76.3</v>
      </c>
      <c r="R972">
        <v>58874</v>
      </c>
    </row>
    <row r="973" spans="1:18" x14ac:dyDescent="0.25">
      <c r="A973" s="169">
        <v>43437</v>
      </c>
      <c r="B973" s="116">
        <v>78</v>
      </c>
      <c r="C973" s="116">
        <v>75.599999999999994</v>
      </c>
      <c r="D973" s="116">
        <v>72.150000000000006</v>
      </c>
      <c r="E973" s="116">
        <v>73.25</v>
      </c>
      <c r="F973" s="116">
        <v>75.599999999999994</v>
      </c>
      <c r="G973">
        <v>3987</v>
      </c>
      <c r="H973" s="116"/>
      <c r="I973" s="116"/>
      <c r="L973" s="169">
        <v>43437</v>
      </c>
      <c r="M973" s="116">
        <v>76.25</v>
      </c>
      <c r="N973" s="116">
        <v>79.95</v>
      </c>
      <c r="O973" s="116">
        <v>72.5</v>
      </c>
      <c r="P973" s="116">
        <v>75.55</v>
      </c>
      <c r="Q973" s="116">
        <v>76.25</v>
      </c>
      <c r="R973">
        <v>26716</v>
      </c>
    </row>
    <row r="974" spans="1:18" x14ac:dyDescent="0.25">
      <c r="A974" s="169">
        <v>43438</v>
      </c>
      <c r="B974" s="116">
        <v>74.900000000000006</v>
      </c>
      <c r="C974" s="116">
        <v>72.95</v>
      </c>
      <c r="D974" s="116">
        <v>72</v>
      </c>
      <c r="E974" s="116">
        <v>74.900000000000006</v>
      </c>
      <c r="F974" s="116">
        <v>72.95</v>
      </c>
      <c r="G974">
        <v>3206</v>
      </c>
      <c r="H974" s="116"/>
      <c r="I974" s="116"/>
      <c r="L974" s="169">
        <v>43438</v>
      </c>
      <c r="M974" s="116">
        <v>72.349999999999994</v>
      </c>
      <c r="N974" s="116">
        <v>76.7</v>
      </c>
      <c r="O974" s="116">
        <v>71.75</v>
      </c>
      <c r="P974" s="116">
        <v>75.55</v>
      </c>
      <c r="Q974" s="116">
        <v>72.349999999999994</v>
      </c>
      <c r="R974">
        <v>14616</v>
      </c>
    </row>
    <row r="975" spans="1:18" x14ac:dyDescent="0.25">
      <c r="A975" s="169">
        <v>43439</v>
      </c>
      <c r="B975" s="116">
        <v>72.55</v>
      </c>
      <c r="C975" s="116">
        <v>70.05</v>
      </c>
      <c r="D975" s="116">
        <v>70</v>
      </c>
      <c r="E975" s="116">
        <v>72.099999999999994</v>
      </c>
      <c r="F975" s="116">
        <v>70.05</v>
      </c>
      <c r="G975">
        <v>2609</v>
      </c>
      <c r="H975" s="116"/>
      <c r="I975" s="116"/>
      <c r="L975" s="169">
        <v>43439</v>
      </c>
      <c r="M975" s="116">
        <v>70.150000000000006</v>
      </c>
      <c r="N975" s="116">
        <v>73.55</v>
      </c>
      <c r="O975" s="116">
        <v>69.349999999999994</v>
      </c>
      <c r="P975" s="116">
        <v>72</v>
      </c>
      <c r="Q975" s="116">
        <v>70.150000000000006</v>
      </c>
      <c r="R975">
        <v>8219</v>
      </c>
    </row>
    <row r="976" spans="1:18" x14ac:dyDescent="0.25">
      <c r="A976" s="169">
        <v>43440</v>
      </c>
      <c r="B976" s="116">
        <v>70.099999999999994</v>
      </c>
      <c r="C976" s="116">
        <v>68.45</v>
      </c>
      <c r="D976" s="116">
        <v>67.599999999999994</v>
      </c>
      <c r="E976" s="116">
        <v>70</v>
      </c>
      <c r="F976" s="116">
        <v>68.45</v>
      </c>
      <c r="G976">
        <v>1265</v>
      </c>
      <c r="H976" s="116"/>
      <c r="I976" s="116"/>
      <c r="L976" s="169">
        <v>43440</v>
      </c>
      <c r="M976" s="116">
        <v>69.349999999999994</v>
      </c>
      <c r="N976" s="116">
        <v>70.599999999999994</v>
      </c>
      <c r="O976" s="116">
        <v>68</v>
      </c>
      <c r="P976" s="116">
        <v>70.150000000000006</v>
      </c>
      <c r="Q976" s="116">
        <v>69.349999999999994</v>
      </c>
      <c r="R976">
        <v>3402</v>
      </c>
    </row>
    <row r="977" spans="1:18" x14ac:dyDescent="0.25">
      <c r="A977" s="169">
        <v>43441</v>
      </c>
      <c r="B977" s="116">
        <v>71.75</v>
      </c>
      <c r="C977" s="116">
        <v>68.150000000000006</v>
      </c>
      <c r="D977" s="116">
        <v>68.099999999999994</v>
      </c>
      <c r="E977" s="116">
        <v>69.55</v>
      </c>
      <c r="F977" s="116">
        <v>68.150000000000006</v>
      </c>
      <c r="G977">
        <v>711</v>
      </c>
      <c r="H977" s="116"/>
      <c r="I977" s="116"/>
      <c r="L977" s="169">
        <v>43441</v>
      </c>
      <c r="M977" s="116">
        <v>69.25</v>
      </c>
      <c r="N977" s="116">
        <v>70.849999999999994</v>
      </c>
      <c r="O977" s="116">
        <v>68.349999999999994</v>
      </c>
      <c r="P977" s="116">
        <v>69.3</v>
      </c>
      <c r="Q977" s="116">
        <v>69.25</v>
      </c>
      <c r="R977">
        <v>724</v>
      </c>
    </row>
    <row r="978" spans="1:18" x14ac:dyDescent="0.25">
      <c r="A978" s="169">
        <v>43444</v>
      </c>
      <c r="B978" s="116">
        <v>67.5</v>
      </c>
      <c r="C978" s="116">
        <v>66.599999999999994</v>
      </c>
      <c r="D978" s="116">
        <v>66.099999999999994</v>
      </c>
      <c r="E978" s="116">
        <v>67.5</v>
      </c>
      <c r="F978" s="116">
        <v>66.599999999999994</v>
      </c>
      <c r="G978">
        <v>651</v>
      </c>
      <c r="H978" s="116"/>
      <c r="I978" s="116"/>
      <c r="L978" s="169">
        <v>43444</v>
      </c>
      <c r="M978" s="116">
        <v>65.900000000000006</v>
      </c>
      <c r="N978" s="116">
        <v>72</v>
      </c>
      <c r="O978" s="116">
        <v>64.099999999999994</v>
      </c>
      <c r="P978" s="116">
        <v>72</v>
      </c>
      <c r="Q978" s="116">
        <v>65.900000000000006</v>
      </c>
      <c r="R978">
        <v>3514</v>
      </c>
    </row>
    <row r="979" spans="1:18" x14ac:dyDescent="0.25">
      <c r="A979" s="169">
        <v>43445</v>
      </c>
      <c r="B979" s="116">
        <v>69.45</v>
      </c>
      <c r="C979" s="116">
        <v>68.2</v>
      </c>
      <c r="D979" s="116">
        <v>67.099999999999994</v>
      </c>
      <c r="E979" s="116">
        <v>67.099999999999994</v>
      </c>
      <c r="F979" s="116">
        <v>68.2</v>
      </c>
      <c r="G979">
        <v>1034</v>
      </c>
      <c r="H979" s="116"/>
      <c r="I979" s="116"/>
      <c r="L979" s="169">
        <v>43445</v>
      </c>
      <c r="M979" s="116">
        <v>68.2</v>
      </c>
      <c r="N979" s="116">
        <v>69.650000000000006</v>
      </c>
      <c r="O979" s="116">
        <v>65.8</v>
      </c>
      <c r="P979" s="116">
        <v>67.45</v>
      </c>
      <c r="Q979" s="116">
        <v>68.2</v>
      </c>
      <c r="R979">
        <v>3338</v>
      </c>
    </row>
    <row r="980" spans="1:18" x14ac:dyDescent="0.25">
      <c r="A980" s="169">
        <v>43446</v>
      </c>
      <c r="B980" s="116">
        <v>71.45</v>
      </c>
      <c r="C980" s="116">
        <v>70.900000000000006</v>
      </c>
      <c r="D980" s="116">
        <v>69.150000000000006</v>
      </c>
      <c r="E980" s="116">
        <v>69.25</v>
      </c>
      <c r="F980" s="116">
        <v>70.900000000000006</v>
      </c>
      <c r="G980">
        <v>3126</v>
      </c>
      <c r="H980" s="116"/>
      <c r="I980" s="116"/>
      <c r="L980" s="169">
        <v>43446</v>
      </c>
      <c r="M980" s="116">
        <v>70.2</v>
      </c>
      <c r="N980" s="116">
        <v>70.900000000000006</v>
      </c>
      <c r="O980" s="116">
        <v>68.55</v>
      </c>
      <c r="P980" s="116">
        <v>68.599999999999994</v>
      </c>
      <c r="Q980" s="116">
        <v>70.2</v>
      </c>
      <c r="R980">
        <v>2773</v>
      </c>
    </row>
    <row r="981" spans="1:18" x14ac:dyDescent="0.25">
      <c r="A981" s="169">
        <v>43447</v>
      </c>
      <c r="B981" s="116">
        <v>72</v>
      </c>
      <c r="C981" s="116">
        <v>70.599999999999994</v>
      </c>
      <c r="D981" s="116">
        <v>70.5</v>
      </c>
      <c r="E981" s="116">
        <v>71.8</v>
      </c>
      <c r="F981" s="116">
        <v>70.599999999999994</v>
      </c>
      <c r="G981">
        <v>324</v>
      </c>
      <c r="H981" s="116"/>
      <c r="I981" s="116"/>
      <c r="L981" s="169">
        <v>43447</v>
      </c>
      <c r="M981" s="116">
        <v>70.55</v>
      </c>
      <c r="N981" s="116">
        <v>73.400000000000006</v>
      </c>
      <c r="O981" s="116">
        <v>69.849999999999994</v>
      </c>
      <c r="P981" s="116">
        <v>69.900000000000006</v>
      </c>
      <c r="Q981" s="116">
        <v>70.55</v>
      </c>
      <c r="R981">
        <v>6320</v>
      </c>
    </row>
    <row r="982" spans="1:18" x14ac:dyDescent="0.25">
      <c r="A982" s="169">
        <v>43448</v>
      </c>
      <c r="B982" s="116">
        <v>70.3</v>
      </c>
      <c r="C982" s="116">
        <v>70.150000000000006</v>
      </c>
      <c r="D982" s="116">
        <v>70.099999999999994</v>
      </c>
      <c r="E982" s="116">
        <v>70.3</v>
      </c>
      <c r="F982" s="116">
        <v>70.150000000000006</v>
      </c>
      <c r="G982">
        <v>125</v>
      </c>
      <c r="H982" s="116"/>
      <c r="I982" s="116"/>
      <c r="L982" s="169">
        <v>43448</v>
      </c>
      <c r="M982" s="116">
        <v>69.849999999999994</v>
      </c>
      <c r="N982" s="116">
        <v>71.3</v>
      </c>
      <c r="O982" s="116">
        <v>68.349999999999994</v>
      </c>
      <c r="P982" s="116">
        <v>70.25</v>
      </c>
      <c r="Q982" s="116">
        <v>69.849999999999994</v>
      </c>
      <c r="R982">
        <v>1679</v>
      </c>
    </row>
    <row r="983" spans="1:18" x14ac:dyDescent="0.25">
      <c r="A983" s="169">
        <v>43451</v>
      </c>
      <c r="B983" s="116">
        <v>73.400000000000006</v>
      </c>
      <c r="C983" s="116">
        <v>72.05</v>
      </c>
      <c r="D983" s="116">
        <v>69.75</v>
      </c>
      <c r="E983" s="116">
        <v>70</v>
      </c>
      <c r="F983" s="116">
        <v>72.05</v>
      </c>
      <c r="G983">
        <v>783</v>
      </c>
      <c r="H983" s="116"/>
      <c r="I983" s="116"/>
      <c r="L983" s="169">
        <v>43451</v>
      </c>
      <c r="M983" s="116">
        <v>72.7</v>
      </c>
      <c r="N983" s="116">
        <v>73.5</v>
      </c>
      <c r="O983" s="116">
        <v>68.5</v>
      </c>
      <c r="P983" s="116">
        <v>69.55</v>
      </c>
      <c r="Q983" s="116">
        <v>72.7</v>
      </c>
      <c r="R983">
        <v>57653</v>
      </c>
    </row>
    <row r="984" spans="1:18" x14ac:dyDescent="0.25">
      <c r="A984" s="169">
        <v>43452</v>
      </c>
      <c r="B984" s="116">
        <v>73.25</v>
      </c>
      <c r="C984" s="116">
        <v>71.95</v>
      </c>
      <c r="D984" s="116">
        <v>71.05</v>
      </c>
      <c r="E984" s="116">
        <v>73.150000000000006</v>
      </c>
      <c r="F984" s="116">
        <v>71.95</v>
      </c>
      <c r="G984">
        <v>1942</v>
      </c>
      <c r="H984" s="116"/>
      <c r="I984" s="116"/>
      <c r="L984" s="169">
        <v>43452</v>
      </c>
      <c r="M984" s="116">
        <v>72.349999999999994</v>
      </c>
      <c r="N984" s="116">
        <v>73.5</v>
      </c>
      <c r="O984" s="116">
        <v>71.400000000000006</v>
      </c>
      <c r="P984" s="116">
        <v>72.55</v>
      </c>
      <c r="Q984" s="116">
        <v>72.349999999999994</v>
      </c>
      <c r="R984">
        <v>2883</v>
      </c>
    </row>
    <row r="985" spans="1:18" x14ac:dyDescent="0.25">
      <c r="A985" s="169">
        <v>43453</v>
      </c>
      <c r="B985" s="116">
        <v>73</v>
      </c>
      <c r="C985" s="116">
        <v>72.95</v>
      </c>
      <c r="D985" s="116">
        <v>72.099999999999994</v>
      </c>
      <c r="E985" s="116">
        <v>72.25</v>
      </c>
      <c r="F985" s="116">
        <v>72.95</v>
      </c>
      <c r="G985">
        <v>795</v>
      </c>
      <c r="H985" s="116"/>
      <c r="I985" s="116"/>
      <c r="L985" s="169">
        <v>43453</v>
      </c>
      <c r="M985" s="116">
        <v>72.8</v>
      </c>
      <c r="N985" s="116">
        <v>73</v>
      </c>
      <c r="O985" s="116">
        <v>72</v>
      </c>
      <c r="P985" s="116">
        <v>72.3</v>
      </c>
      <c r="Q985" s="116">
        <v>72.8</v>
      </c>
      <c r="R985">
        <v>1069</v>
      </c>
    </row>
    <row r="986" spans="1:18" x14ac:dyDescent="0.25">
      <c r="A986" s="169">
        <v>43454</v>
      </c>
      <c r="B986" s="116">
        <v>73.5</v>
      </c>
      <c r="C986" s="116">
        <v>71.3</v>
      </c>
      <c r="D986" s="116">
        <v>71</v>
      </c>
      <c r="E986" s="116">
        <v>72.5</v>
      </c>
      <c r="F986" s="116">
        <v>71.3</v>
      </c>
      <c r="G986">
        <v>1218</v>
      </c>
      <c r="H986" s="116"/>
      <c r="I986" s="116"/>
      <c r="L986" s="169">
        <v>43454</v>
      </c>
      <c r="M986" s="116">
        <v>71.150000000000006</v>
      </c>
      <c r="N986" s="116">
        <v>73.95</v>
      </c>
      <c r="O986" s="116">
        <v>69.8</v>
      </c>
      <c r="P986" s="116">
        <v>73.95</v>
      </c>
      <c r="Q986" s="116">
        <v>71.150000000000006</v>
      </c>
      <c r="R986">
        <v>3208</v>
      </c>
    </row>
    <row r="987" spans="1:18" x14ac:dyDescent="0.25">
      <c r="A987" s="169">
        <v>43455</v>
      </c>
      <c r="B987" s="116">
        <v>73.900000000000006</v>
      </c>
      <c r="C987" s="116">
        <v>72.5</v>
      </c>
      <c r="D987" s="116">
        <v>70.25</v>
      </c>
      <c r="E987" s="116">
        <v>71.400000000000006</v>
      </c>
      <c r="F987" s="116">
        <v>72.5</v>
      </c>
      <c r="G987">
        <v>335</v>
      </c>
      <c r="H987" s="116"/>
      <c r="I987" s="116"/>
      <c r="L987" s="169">
        <v>43455</v>
      </c>
      <c r="M987" s="116">
        <v>71.8</v>
      </c>
      <c r="N987" s="116">
        <v>73.5</v>
      </c>
      <c r="O987" s="116">
        <v>70.55</v>
      </c>
      <c r="P987" s="116">
        <v>73.5</v>
      </c>
      <c r="Q987" s="116">
        <v>71.8</v>
      </c>
      <c r="R987">
        <v>1748</v>
      </c>
    </row>
    <row r="988" spans="1:18" x14ac:dyDescent="0.25">
      <c r="A988" s="169">
        <v>43458</v>
      </c>
      <c r="B988" s="116">
        <v>71.8</v>
      </c>
      <c r="C988" s="116">
        <v>70.900000000000006</v>
      </c>
      <c r="D988" s="116">
        <v>70</v>
      </c>
      <c r="E988" s="116">
        <v>70.849999999999994</v>
      </c>
      <c r="F988" s="116">
        <v>70.900000000000006</v>
      </c>
      <c r="G988">
        <v>558</v>
      </c>
      <c r="H988" s="116"/>
      <c r="I988" s="116"/>
      <c r="L988" s="169">
        <v>43458</v>
      </c>
      <c r="M988" s="116">
        <v>70.599999999999994</v>
      </c>
      <c r="N988" s="116">
        <v>74.400000000000006</v>
      </c>
      <c r="O988" s="116">
        <v>70.2</v>
      </c>
      <c r="P988" s="116">
        <v>74.400000000000006</v>
      </c>
      <c r="Q988" s="116">
        <v>70.599999999999994</v>
      </c>
      <c r="R988">
        <v>2023</v>
      </c>
    </row>
    <row r="989" spans="1:18" x14ac:dyDescent="0.25">
      <c r="A989" s="169">
        <v>43460</v>
      </c>
      <c r="B989" s="116">
        <v>71</v>
      </c>
      <c r="C989" s="116">
        <v>71</v>
      </c>
      <c r="D989" s="116">
        <v>68.900000000000006</v>
      </c>
      <c r="E989" s="116">
        <v>70.099999999999994</v>
      </c>
      <c r="F989" s="116">
        <v>71</v>
      </c>
      <c r="G989">
        <v>1053</v>
      </c>
      <c r="H989" s="116"/>
      <c r="I989" s="116"/>
      <c r="L989" s="169">
        <v>43460</v>
      </c>
      <c r="M989" s="116">
        <v>70</v>
      </c>
      <c r="N989" s="116">
        <v>71</v>
      </c>
      <c r="O989" s="116">
        <v>68.349999999999994</v>
      </c>
      <c r="P989" s="116">
        <v>70.150000000000006</v>
      </c>
      <c r="Q989" s="116">
        <v>70</v>
      </c>
      <c r="R989">
        <v>2270</v>
      </c>
    </row>
    <row r="990" spans="1:18" x14ac:dyDescent="0.25">
      <c r="A990" s="169">
        <v>43461</v>
      </c>
      <c r="B990" s="116">
        <v>72.25</v>
      </c>
      <c r="C990" s="116">
        <v>71.25</v>
      </c>
      <c r="D990" s="116">
        <v>70.5</v>
      </c>
      <c r="E990" s="116">
        <v>71.8</v>
      </c>
      <c r="F990" s="116">
        <v>71.25</v>
      </c>
      <c r="G990">
        <v>675</v>
      </c>
      <c r="H990" s="116"/>
      <c r="I990" s="116"/>
      <c r="L990" s="169">
        <v>43461</v>
      </c>
      <c r="M990" s="116">
        <v>70.599999999999994</v>
      </c>
      <c r="N990" s="116">
        <v>72.25</v>
      </c>
      <c r="O990" s="116">
        <v>70.5</v>
      </c>
      <c r="P990" s="116">
        <v>70.7</v>
      </c>
      <c r="Q990" s="116">
        <v>70.599999999999994</v>
      </c>
      <c r="R990">
        <v>1238</v>
      </c>
    </row>
    <row r="991" spans="1:18" x14ac:dyDescent="0.25">
      <c r="A991" s="169">
        <v>43462</v>
      </c>
      <c r="B991" s="116">
        <v>72.349999999999994</v>
      </c>
      <c r="C991" s="116">
        <v>71</v>
      </c>
      <c r="D991" s="116">
        <v>70.45</v>
      </c>
      <c r="E991" s="116">
        <v>70.5</v>
      </c>
      <c r="F991" s="116">
        <v>71</v>
      </c>
      <c r="G991">
        <v>247</v>
      </c>
      <c r="H991" s="116"/>
      <c r="I991" s="116"/>
      <c r="L991" s="169">
        <v>43462</v>
      </c>
      <c r="M991" s="116">
        <v>71.650000000000006</v>
      </c>
      <c r="N991" s="116">
        <v>72</v>
      </c>
      <c r="O991" s="116">
        <v>70.650000000000006</v>
      </c>
      <c r="P991" s="116">
        <v>70.7</v>
      </c>
      <c r="Q991" s="116">
        <v>71.650000000000006</v>
      </c>
      <c r="R991">
        <v>1949</v>
      </c>
    </row>
    <row r="992" spans="1:18" x14ac:dyDescent="0.25">
      <c r="A992" s="169">
        <v>43465</v>
      </c>
      <c r="B992" s="116">
        <v>71.05</v>
      </c>
      <c r="C992" s="116">
        <v>68.25</v>
      </c>
      <c r="D992" s="116">
        <v>68</v>
      </c>
      <c r="E992" s="116">
        <v>71.05</v>
      </c>
      <c r="F992" s="116">
        <v>68.25</v>
      </c>
      <c r="G992">
        <v>1000</v>
      </c>
      <c r="H992" s="116"/>
      <c r="I992" s="116"/>
      <c r="L992" s="169">
        <v>43465</v>
      </c>
      <c r="M992" s="116">
        <v>71.45</v>
      </c>
      <c r="N992" s="116">
        <v>72.05</v>
      </c>
      <c r="O992" s="116">
        <v>71.25</v>
      </c>
      <c r="P992" s="116">
        <v>72</v>
      </c>
      <c r="Q992" s="116">
        <v>71.45</v>
      </c>
      <c r="R992">
        <v>672</v>
      </c>
    </row>
    <row r="993" spans="1:18" x14ac:dyDescent="0.25">
      <c r="A993" s="169">
        <v>43466</v>
      </c>
      <c r="B993" s="116">
        <v>81.900000000000006</v>
      </c>
      <c r="C993" s="116">
        <v>81.849999999999994</v>
      </c>
      <c r="D993" s="116">
        <v>72.5</v>
      </c>
      <c r="E993" s="116">
        <v>72.5</v>
      </c>
      <c r="F993" s="116">
        <v>81.849999999999994</v>
      </c>
      <c r="G993">
        <v>4854658</v>
      </c>
      <c r="H993" s="116"/>
      <c r="I993" s="116"/>
      <c r="L993" s="169">
        <v>43466</v>
      </c>
      <c r="M993" s="116">
        <v>82.15</v>
      </c>
      <c r="N993" s="116">
        <v>84.6</v>
      </c>
      <c r="O993" s="116">
        <v>72.3</v>
      </c>
      <c r="P993" s="116">
        <v>72.849999999999994</v>
      </c>
      <c r="Q993" s="116">
        <v>82.15</v>
      </c>
      <c r="R993">
        <v>714318</v>
      </c>
    </row>
    <row r="994" spans="1:18" x14ac:dyDescent="0.25">
      <c r="A994" s="169">
        <v>43467</v>
      </c>
      <c r="B994" s="116">
        <v>82.9</v>
      </c>
      <c r="C994" s="116">
        <v>76.349999999999994</v>
      </c>
      <c r="D994" s="116">
        <v>75.849999999999994</v>
      </c>
      <c r="E994" s="116">
        <v>82</v>
      </c>
      <c r="F994" s="116">
        <v>76.349999999999994</v>
      </c>
      <c r="G994">
        <v>68010</v>
      </c>
      <c r="H994" s="116"/>
      <c r="I994" s="116"/>
      <c r="L994" s="169">
        <v>43467</v>
      </c>
      <c r="M994" s="116">
        <v>76.55</v>
      </c>
      <c r="N994" s="116">
        <v>81.900000000000006</v>
      </c>
      <c r="O994" s="116">
        <v>75.599999999999994</v>
      </c>
      <c r="P994" s="116">
        <v>81.900000000000006</v>
      </c>
      <c r="Q994" s="116">
        <v>76.55</v>
      </c>
      <c r="R994">
        <v>230433</v>
      </c>
    </row>
    <row r="995" spans="1:18" x14ac:dyDescent="0.25">
      <c r="A995" s="169">
        <v>43468</v>
      </c>
      <c r="B995" s="116">
        <v>78.150000000000006</v>
      </c>
      <c r="C995" s="116">
        <v>76.099999999999994</v>
      </c>
      <c r="D995" s="116">
        <v>75.5</v>
      </c>
      <c r="E995" s="116">
        <v>77.150000000000006</v>
      </c>
      <c r="F995" s="116">
        <v>76.099999999999994</v>
      </c>
      <c r="G995">
        <v>20165</v>
      </c>
      <c r="H995" s="116"/>
      <c r="I995" s="116"/>
      <c r="L995" s="169">
        <v>43468</v>
      </c>
      <c r="M995" s="116">
        <v>76.349999999999994</v>
      </c>
      <c r="N995" s="116">
        <v>78.8</v>
      </c>
      <c r="O995" s="116">
        <v>76</v>
      </c>
      <c r="P995" s="116">
        <v>78.75</v>
      </c>
      <c r="Q995" s="116">
        <v>76.349999999999994</v>
      </c>
      <c r="R995">
        <v>57349</v>
      </c>
    </row>
    <row r="996" spans="1:18" x14ac:dyDescent="0.25">
      <c r="A996" s="169">
        <v>43469</v>
      </c>
      <c r="B996" s="116">
        <v>76.8</v>
      </c>
      <c r="C996" s="116">
        <v>73.400000000000006</v>
      </c>
      <c r="D996" s="116">
        <v>72.05</v>
      </c>
      <c r="E996" s="116">
        <v>75.75</v>
      </c>
      <c r="F996" s="116">
        <v>73.400000000000006</v>
      </c>
      <c r="G996">
        <v>7746</v>
      </c>
      <c r="H996" s="116"/>
      <c r="I996" s="116"/>
      <c r="L996" s="169">
        <v>43469</v>
      </c>
      <c r="M996" s="116">
        <v>73.5</v>
      </c>
      <c r="N996" s="116">
        <v>76.95</v>
      </c>
      <c r="O996" s="116">
        <v>71.349999999999994</v>
      </c>
      <c r="P996" s="116">
        <v>75.900000000000006</v>
      </c>
      <c r="Q996" s="116">
        <v>73.5</v>
      </c>
      <c r="R996">
        <v>63666</v>
      </c>
    </row>
    <row r="997" spans="1:18" x14ac:dyDescent="0.25">
      <c r="A997" s="169">
        <v>43472</v>
      </c>
      <c r="B997" s="116">
        <v>74.95</v>
      </c>
      <c r="C997" s="116">
        <v>71.099999999999994</v>
      </c>
      <c r="D997" s="116">
        <v>70.55</v>
      </c>
      <c r="E997" s="116">
        <v>74.95</v>
      </c>
      <c r="F997" s="116">
        <v>71.099999999999994</v>
      </c>
      <c r="G997">
        <v>7810</v>
      </c>
      <c r="H997" s="116"/>
      <c r="I997" s="116"/>
      <c r="L997" s="169">
        <v>43472</v>
      </c>
      <c r="M997" s="116">
        <v>71.099999999999994</v>
      </c>
      <c r="N997" s="116">
        <v>75.5</v>
      </c>
      <c r="O997" s="116">
        <v>70.7</v>
      </c>
      <c r="P997" s="116">
        <v>74.55</v>
      </c>
      <c r="Q997" s="116">
        <v>71.099999999999994</v>
      </c>
      <c r="R997">
        <v>50488</v>
      </c>
    </row>
    <row r="998" spans="1:18" x14ac:dyDescent="0.25">
      <c r="A998" s="169">
        <v>43473</v>
      </c>
      <c r="B998" s="116">
        <v>71.650000000000006</v>
      </c>
      <c r="C998" s="116">
        <v>70.3</v>
      </c>
      <c r="D998" s="116">
        <v>68</v>
      </c>
      <c r="E998" s="116">
        <v>70.05</v>
      </c>
      <c r="F998" s="116">
        <v>70.3</v>
      </c>
      <c r="G998">
        <v>4658</v>
      </c>
      <c r="H998" s="116"/>
      <c r="I998" s="116"/>
      <c r="L998" s="169">
        <v>43473</v>
      </c>
      <c r="M998" s="116">
        <v>70.099999999999994</v>
      </c>
      <c r="N998" s="116">
        <v>71.650000000000006</v>
      </c>
      <c r="O998" s="116">
        <v>69.75</v>
      </c>
      <c r="P998" s="116">
        <v>70.55</v>
      </c>
      <c r="Q998" s="116">
        <v>70.099999999999994</v>
      </c>
      <c r="R998">
        <v>32011</v>
      </c>
    </row>
    <row r="999" spans="1:18" x14ac:dyDescent="0.25">
      <c r="A999" s="169">
        <v>43474</v>
      </c>
      <c r="B999" s="116">
        <v>72.900000000000006</v>
      </c>
      <c r="C999" s="116">
        <v>69.25</v>
      </c>
      <c r="D999" s="116">
        <v>67.25</v>
      </c>
      <c r="E999" s="116">
        <v>71.900000000000006</v>
      </c>
      <c r="F999" s="116">
        <v>69.25</v>
      </c>
      <c r="G999">
        <v>4354</v>
      </c>
      <c r="H999" s="116"/>
      <c r="I999" s="116"/>
      <c r="L999" s="169">
        <v>43474</v>
      </c>
      <c r="M999" s="116">
        <v>69.25</v>
      </c>
      <c r="N999" s="116">
        <v>73.900000000000006</v>
      </c>
      <c r="O999" s="116">
        <v>66.8</v>
      </c>
      <c r="P999" s="116">
        <v>71.05</v>
      </c>
      <c r="Q999" s="116">
        <v>69.25</v>
      </c>
      <c r="R999">
        <v>72499</v>
      </c>
    </row>
    <row r="1000" spans="1:18" x14ac:dyDescent="0.25">
      <c r="A1000" s="169">
        <v>43475</v>
      </c>
      <c r="B1000" s="116">
        <v>68.8</v>
      </c>
      <c r="C1000" s="116">
        <v>68.349999999999994</v>
      </c>
      <c r="D1000" s="116">
        <v>68.099999999999994</v>
      </c>
      <c r="E1000" s="116">
        <v>68.599999999999994</v>
      </c>
      <c r="F1000" s="116">
        <v>68.349999999999994</v>
      </c>
      <c r="G1000">
        <v>3724</v>
      </c>
      <c r="H1000" s="116"/>
      <c r="I1000" s="116"/>
      <c r="L1000" s="169">
        <v>43475</v>
      </c>
      <c r="M1000" s="116">
        <v>68.25</v>
      </c>
      <c r="N1000" s="116">
        <v>69.900000000000006</v>
      </c>
      <c r="O1000" s="116">
        <v>68</v>
      </c>
      <c r="P1000" s="116">
        <v>69.3</v>
      </c>
      <c r="Q1000" s="116">
        <v>68.25</v>
      </c>
      <c r="R1000">
        <v>31502</v>
      </c>
    </row>
    <row r="1001" spans="1:18" x14ac:dyDescent="0.25">
      <c r="A1001" s="169">
        <v>43476</v>
      </c>
      <c r="B1001" s="116">
        <v>68.400000000000006</v>
      </c>
      <c r="C1001" s="116">
        <v>67.150000000000006</v>
      </c>
      <c r="D1001" s="116">
        <v>66.400000000000006</v>
      </c>
      <c r="E1001" s="116">
        <v>68.2</v>
      </c>
      <c r="F1001" s="116">
        <v>67.150000000000006</v>
      </c>
      <c r="G1001">
        <v>3979</v>
      </c>
      <c r="H1001" s="116"/>
      <c r="I1001" s="116"/>
      <c r="L1001" s="169">
        <v>43476</v>
      </c>
      <c r="M1001" s="116">
        <v>66.849999999999994</v>
      </c>
      <c r="N1001" s="116">
        <v>70</v>
      </c>
      <c r="O1001" s="116">
        <v>66.099999999999994</v>
      </c>
      <c r="P1001" s="116">
        <v>69.05</v>
      </c>
      <c r="Q1001" s="116">
        <v>66.849999999999994</v>
      </c>
      <c r="R1001">
        <v>26970</v>
      </c>
    </row>
    <row r="1002" spans="1:18" x14ac:dyDescent="0.25">
      <c r="A1002" s="169">
        <v>43479</v>
      </c>
      <c r="B1002" s="116">
        <v>67.8</v>
      </c>
      <c r="C1002" s="116">
        <v>65.75</v>
      </c>
      <c r="D1002" s="116">
        <v>65.599999999999994</v>
      </c>
      <c r="E1002" s="116">
        <v>66.400000000000006</v>
      </c>
      <c r="F1002" s="116">
        <v>65.75</v>
      </c>
      <c r="G1002">
        <v>4734</v>
      </c>
      <c r="H1002" s="116"/>
      <c r="I1002" s="116"/>
      <c r="L1002" s="169">
        <v>43479</v>
      </c>
      <c r="M1002" s="116">
        <v>65.599999999999994</v>
      </c>
      <c r="N1002" s="116">
        <v>68</v>
      </c>
      <c r="O1002" s="116">
        <v>65.5</v>
      </c>
      <c r="P1002" s="116">
        <v>66.25</v>
      </c>
      <c r="Q1002" s="116">
        <v>65.599999999999994</v>
      </c>
      <c r="R1002">
        <v>16077</v>
      </c>
    </row>
    <row r="1003" spans="1:18" x14ac:dyDescent="0.25">
      <c r="A1003" s="169">
        <v>43480</v>
      </c>
      <c r="B1003" s="116">
        <v>67.2</v>
      </c>
      <c r="C1003" s="116">
        <v>66.55</v>
      </c>
      <c r="D1003" s="116">
        <v>65.7</v>
      </c>
      <c r="E1003" s="116">
        <v>65.7</v>
      </c>
      <c r="F1003" s="116">
        <v>66.55</v>
      </c>
      <c r="G1003">
        <v>2909</v>
      </c>
      <c r="H1003" s="116"/>
      <c r="I1003" s="116"/>
      <c r="L1003" s="169">
        <v>43480</v>
      </c>
      <c r="M1003" s="116">
        <v>66.099999999999994</v>
      </c>
      <c r="N1003" s="116">
        <v>67</v>
      </c>
      <c r="O1003" s="116">
        <v>64.2</v>
      </c>
      <c r="P1003" s="116">
        <v>66.95</v>
      </c>
      <c r="Q1003" s="116">
        <v>66.099999999999994</v>
      </c>
      <c r="R1003">
        <v>26258</v>
      </c>
    </row>
    <row r="1004" spans="1:18" x14ac:dyDescent="0.25">
      <c r="A1004" s="169">
        <v>43481</v>
      </c>
      <c r="B1004" s="116">
        <v>66.2</v>
      </c>
      <c r="C1004" s="116">
        <v>65.25</v>
      </c>
      <c r="D1004" s="116">
        <v>64.5</v>
      </c>
      <c r="E1004" s="116">
        <v>66.2</v>
      </c>
      <c r="F1004" s="116">
        <v>65.25</v>
      </c>
      <c r="G1004">
        <v>1299</v>
      </c>
      <c r="H1004" s="116"/>
      <c r="I1004" s="116"/>
      <c r="L1004" s="169">
        <v>43481</v>
      </c>
      <c r="M1004" s="116">
        <v>65.45</v>
      </c>
      <c r="N1004" s="116">
        <v>66.849999999999994</v>
      </c>
      <c r="O1004" s="116">
        <v>65.3</v>
      </c>
      <c r="P1004" s="116">
        <v>66.3</v>
      </c>
      <c r="Q1004" s="116">
        <v>65.45</v>
      </c>
      <c r="R1004">
        <v>18373</v>
      </c>
    </row>
    <row r="1005" spans="1:18" x14ac:dyDescent="0.25">
      <c r="A1005" s="169">
        <v>43482</v>
      </c>
      <c r="B1005" s="116">
        <v>66.05</v>
      </c>
      <c r="C1005" s="116">
        <v>65</v>
      </c>
      <c r="D1005" s="116">
        <v>64.5</v>
      </c>
      <c r="E1005" s="116">
        <v>65.5</v>
      </c>
      <c r="F1005" s="116">
        <v>65</v>
      </c>
      <c r="G1005">
        <v>2037</v>
      </c>
      <c r="H1005" s="116"/>
      <c r="I1005" s="116"/>
      <c r="L1005" s="169">
        <v>43482</v>
      </c>
      <c r="M1005" s="116">
        <v>65</v>
      </c>
      <c r="N1005" s="116">
        <v>65.900000000000006</v>
      </c>
      <c r="O1005" s="116">
        <v>64.150000000000006</v>
      </c>
      <c r="P1005" s="116">
        <v>65.849999999999994</v>
      </c>
      <c r="Q1005" s="116">
        <v>65</v>
      </c>
      <c r="R1005">
        <v>34089</v>
      </c>
    </row>
    <row r="1006" spans="1:18" x14ac:dyDescent="0.25">
      <c r="A1006" s="169">
        <v>43483</v>
      </c>
      <c r="B1006" s="116">
        <v>65.349999999999994</v>
      </c>
      <c r="C1006" s="116">
        <v>65</v>
      </c>
      <c r="D1006" s="116">
        <v>64.5</v>
      </c>
      <c r="E1006" s="116">
        <v>64.5</v>
      </c>
      <c r="F1006" s="116">
        <v>65</v>
      </c>
      <c r="G1006">
        <v>634</v>
      </c>
      <c r="H1006" s="116"/>
      <c r="I1006" s="116"/>
      <c r="L1006" s="169">
        <v>43483</v>
      </c>
      <c r="M1006" s="116">
        <v>65</v>
      </c>
      <c r="N1006" s="116">
        <v>65.400000000000006</v>
      </c>
      <c r="O1006" s="116">
        <v>64.2</v>
      </c>
      <c r="P1006" s="116">
        <v>65.2</v>
      </c>
      <c r="Q1006" s="116">
        <v>65</v>
      </c>
      <c r="R1006">
        <v>11186</v>
      </c>
    </row>
    <row r="1007" spans="1:18" x14ac:dyDescent="0.25">
      <c r="A1007" s="169">
        <v>43486</v>
      </c>
      <c r="B1007" s="116">
        <v>64.599999999999994</v>
      </c>
      <c r="C1007" s="116">
        <v>63.95</v>
      </c>
      <c r="D1007" s="116">
        <v>63.9</v>
      </c>
      <c r="E1007" s="116">
        <v>64.55</v>
      </c>
      <c r="F1007" s="116">
        <v>63.95</v>
      </c>
      <c r="G1007">
        <v>2822</v>
      </c>
      <c r="H1007" s="116"/>
      <c r="I1007" s="116"/>
      <c r="L1007" s="169">
        <v>43486</v>
      </c>
      <c r="M1007" s="116">
        <v>64</v>
      </c>
      <c r="N1007" s="116">
        <v>65.400000000000006</v>
      </c>
      <c r="O1007" s="116">
        <v>63.1</v>
      </c>
      <c r="P1007" s="116">
        <v>64.8</v>
      </c>
      <c r="Q1007" s="116">
        <v>64</v>
      </c>
      <c r="R1007">
        <v>26901</v>
      </c>
    </row>
    <row r="1008" spans="1:18" x14ac:dyDescent="0.25">
      <c r="A1008" s="169">
        <v>43487</v>
      </c>
      <c r="B1008" s="116">
        <v>64</v>
      </c>
      <c r="C1008" s="116">
        <v>62.55</v>
      </c>
      <c r="D1008" s="116">
        <v>61.8</v>
      </c>
      <c r="E1008" s="116">
        <v>63.05</v>
      </c>
      <c r="F1008" s="116">
        <v>62.55</v>
      </c>
      <c r="G1008">
        <v>553</v>
      </c>
      <c r="H1008" s="116"/>
      <c r="I1008" s="116"/>
      <c r="L1008" s="169">
        <v>43487</v>
      </c>
      <c r="M1008" s="116">
        <v>62.8</v>
      </c>
      <c r="N1008" s="116">
        <v>64.900000000000006</v>
      </c>
      <c r="O1008" s="116">
        <v>62.35</v>
      </c>
      <c r="P1008" s="116">
        <v>64.900000000000006</v>
      </c>
      <c r="Q1008" s="116">
        <v>62.8</v>
      </c>
      <c r="R1008">
        <v>11752</v>
      </c>
    </row>
    <row r="1009" spans="1:18" x14ac:dyDescent="0.25">
      <c r="A1009" s="169">
        <v>43488</v>
      </c>
      <c r="B1009" s="116">
        <v>63.75</v>
      </c>
      <c r="C1009" s="116">
        <v>63</v>
      </c>
      <c r="D1009" s="116">
        <v>62.85</v>
      </c>
      <c r="E1009" s="116">
        <v>63.45</v>
      </c>
      <c r="F1009" s="116">
        <v>63</v>
      </c>
      <c r="G1009">
        <v>507</v>
      </c>
      <c r="H1009" s="116"/>
      <c r="I1009" s="116"/>
      <c r="L1009" s="169">
        <v>43488</v>
      </c>
      <c r="M1009" s="116">
        <v>63.5</v>
      </c>
      <c r="N1009" s="116">
        <v>64.45</v>
      </c>
      <c r="O1009" s="116">
        <v>62.6</v>
      </c>
      <c r="P1009" s="116">
        <v>64.400000000000006</v>
      </c>
      <c r="Q1009" s="116">
        <v>63.5</v>
      </c>
      <c r="R1009">
        <v>13872</v>
      </c>
    </row>
    <row r="1010" spans="1:18" x14ac:dyDescent="0.25">
      <c r="A1010" s="169">
        <v>43489</v>
      </c>
      <c r="B1010" s="116">
        <v>63.85</v>
      </c>
      <c r="C1010" s="116">
        <v>62.7</v>
      </c>
      <c r="D1010" s="116">
        <v>62.65</v>
      </c>
      <c r="E1010" s="116">
        <v>63.2</v>
      </c>
      <c r="F1010" s="116">
        <v>62.7</v>
      </c>
      <c r="G1010">
        <v>825</v>
      </c>
      <c r="H1010" s="116"/>
      <c r="I1010" s="116"/>
      <c r="L1010" s="169">
        <v>43489</v>
      </c>
      <c r="M1010" s="116">
        <v>63</v>
      </c>
      <c r="N1010" s="116">
        <v>64.25</v>
      </c>
      <c r="O1010" s="116">
        <v>62.5</v>
      </c>
      <c r="P1010" s="116">
        <v>63.1</v>
      </c>
      <c r="Q1010" s="116">
        <v>63</v>
      </c>
      <c r="R1010">
        <v>5215</v>
      </c>
    </row>
    <row r="1011" spans="1:18" x14ac:dyDescent="0.25">
      <c r="A1011" s="169">
        <v>43490</v>
      </c>
      <c r="B1011" s="116">
        <v>67.900000000000006</v>
      </c>
      <c r="C1011" s="116">
        <v>62.2</v>
      </c>
      <c r="D1011" s="116">
        <v>61</v>
      </c>
      <c r="E1011" s="116">
        <v>63.55</v>
      </c>
      <c r="F1011" s="116">
        <v>62.2</v>
      </c>
      <c r="G1011">
        <v>2592</v>
      </c>
      <c r="H1011" s="116"/>
      <c r="I1011" s="116"/>
      <c r="L1011" s="169">
        <v>43490</v>
      </c>
      <c r="M1011" s="116">
        <v>63.15</v>
      </c>
      <c r="N1011" s="116">
        <v>63.9</v>
      </c>
      <c r="O1011" s="116">
        <v>62.7</v>
      </c>
      <c r="P1011" s="116">
        <v>62.75</v>
      </c>
      <c r="Q1011" s="116">
        <v>63.15</v>
      </c>
      <c r="R1011">
        <v>5987</v>
      </c>
    </row>
    <row r="1012" spans="1:18" x14ac:dyDescent="0.25">
      <c r="A1012" s="169">
        <v>43493</v>
      </c>
      <c r="B1012" s="116">
        <v>62.1</v>
      </c>
      <c r="C1012" s="116">
        <v>60.7</v>
      </c>
      <c r="D1012" s="116">
        <v>58.9</v>
      </c>
      <c r="E1012" s="116">
        <v>61.9</v>
      </c>
      <c r="F1012" s="116">
        <v>60.7</v>
      </c>
      <c r="G1012">
        <v>2633</v>
      </c>
      <c r="H1012" s="116"/>
      <c r="I1012" s="116"/>
      <c r="L1012" s="169">
        <v>43493</v>
      </c>
      <c r="M1012" s="116">
        <v>60.15</v>
      </c>
      <c r="N1012" s="116">
        <v>63.8</v>
      </c>
      <c r="O1012" s="116">
        <v>58.35</v>
      </c>
      <c r="P1012" s="116">
        <v>63.8</v>
      </c>
      <c r="Q1012" s="116">
        <v>60.15</v>
      </c>
      <c r="R1012">
        <v>20316</v>
      </c>
    </row>
    <row r="1013" spans="1:18" x14ac:dyDescent="0.25">
      <c r="A1013" s="169">
        <v>43494</v>
      </c>
      <c r="B1013" s="116">
        <v>60.05</v>
      </c>
      <c r="C1013" s="116">
        <v>59.65</v>
      </c>
      <c r="D1013" s="116">
        <v>58.35</v>
      </c>
      <c r="E1013" s="116">
        <v>60</v>
      </c>
      <c r="F1013" s="116">
        <v>59.65</v>
      </c>
      <c r="G1013">
        <v>864</v>
      </c>
      <c r="H1013" s="116"/>
      <c r="I1013" s="116"/>
      <c r="L1013" s="169">
        <v>43494</v>
      </c>
      <c r="M1013" s="116">
        <v>60</v>
      </c>
      <c r="N1013" s="116">
        <v>61.2</v>
      </c>
      <c r="O1013" s="116">
        <v>58.95</v>
      </c>
      <c r="P1013" s="116">
        <v>59.95</v>
      </c>
      <c r="Q1013" s="116">
        <v>60</v>
      </c>
      <c r="R1013">
        <v>6105</v>
      </c>
    </row>
    <row r="1014" spans="1:18" x14ac:dyDescent="0.25">
      <c r="A1014" s="169">
        <v>43495</v>
      </c>
      <c r="B1014" s="116">
        <v>60.1</v>
      </c>
      <c r="C1014" s="116">
        <v>60.1</v>
      </c>
      <c r="D1014" s="116">
        <v>59.9</v>
      </c>
      <c r="E1014" s="116">
        <v>59.9</v>
      </c>
      <c r="F1014" s="116">
        <v>60.1</v>
      </c>
      <c r="G1014">
        <v>6</v>
      </c>
      <c r="H1014" s="116"/>
      <c r="I1014" s="116"/>
      <c r="L1014" s="169">
        <v>43495</v>
      </c>
      <c r="M1014" s="116">
        <v>60.75</v>
      </c>
      <c r="N1014" s="116">
        <v>61.5</v>
      </c>
      <c r="O1014" s="116">
        <v>59.3</v>
      </c>
      <c r="P1014" s="116">
        <v>61.4</v>
      </c>
      <c r="Q1014" s="116">
        <v>60.75</v>
      </c>
      <c r="R1014">
        <v>7124</v>
      </c>
    </row>
    <row r="1015" spans="1:18" x14ac:dyDescent="0.25">
      <c r="A1015" s="169">
        <v>43496</v>
      </c>
      <c r="B1015" s="116">
        <v>60.85</v>
      </c>
      <c r="C1015" s="116">
        <v>59.85</v>
      </c>
      <c r="D1015" s="116">
        <v>59</v>
      </c>
      <c r="E1015" s="116">
        <v>60.05</v>
      </c>
      <c r="F1015" s="116">
        <v>59.85</v>
      </c>
      <c r="G1015">
        <v>499</v>
      </c>
      <c r="H1015" s="116"/>
      <c r="I1015" s="116"/>
      <c r="L1015" s="169">
        <v>43496</v>
      </c>
      <c r="M1015" s="116">
        <v>60.2</v>
      </c>
      <c r="N1015" s="116">
        <v>62.45</v>
      </c>
      <c r="O1015" s="116">
        <v>59.2</v>
      </c>
      <c r="P1015" s="116">
        <v>62.45</v>
      </c>
      <c r="Q1015" s="116">
        <v>60.2</v>
      </c>
      <c r="R1015">
        <v>46178</v>
      </c>
    </row>
    <row r="1016" spans="1:18" x14ac:dyDescent="0.25">
      <c r="A1016" s="169">
        <v>43497</v>
      </c>
      <c r="B1016" s="116">
        <v>61.7</v>
      </c>
      <c r="C1016" s="116">
        <v>60.95</v>
      </c>
      <c r="D1016" s="116">
        <v>59.35</v>
      </c>
      <c r="E1016" s="116">
        <v>61.7</v>
      </c>
      <c r="F1016" s="116">
        <v>60.95</v>
      </c>
      <c r="G1016">
        <v>504</v>
      </c>
      <c r="H1016" s="116"/>
      <c r="I1016" s="116"/>
      <c r="L1016" s="169">
        <v>43497</v>
      </c>
      <c r="M1016" s="116">
        <v>59.95</v>
      </c>
      <c r="N1016" s="116">
        <v>61.8</v>
      </c>
      <c r="O1016" s="116">
        <v>59</v>
      </c>
      <c r="P1016" s="116">
        <v>61.8</v>
      </c>
      <c r="Q1016" s="116">
        <v>59.95</v>
      </c>
      <c r="R1016">
        <v>7177</v>
      </c>
    </row>
    <row r="1017" spans="1:18" x14ac:dyDescent="0.25">
      <c r="A1017" s="169">
        <v>43500</v>
      </c>
      <c r="B1017" s="116">
        <v>60.95</v>
      </c>
      <c r="C1017" s="116">
        <v>60.1</v>
      </c>
      <c r="D1017" s="116">
        <v>59.05</v>
      </c>
      <c r="E1017" s="116">
        <v>59.1</v>
      </c>
      <c r="F1017" s="116">
        <v>60.1</v>
      </c>
      <c r="G1017">
        <v>3522</v>
      </c>
      <c r="H1017" s="116"/>
      <c r="I1017" s="116"/>
      <c r="L1017" s="169">
        <v>43500</v>
      </c>
      <c r="M1017" s="116">
        <v>59.65</v>
      </c>
      <c r="N1017" s="116">
        <v>60.65</v>
      </c>
      <c r="O1017" s="116">
        <v>59.1</v>
      </c>
      <c r="P1017" s="116">
        <v>60.15</v>
      </c>
      <c r="Q1017" s="116">
        <v>59.65</v>
      </c>
      <c r="R1017">
        <v>3908</v>
      </c>
    </row>
    <row r="1018" spans="1:18" x14ac:dyDescent="0.25">
      <c r="A1018" s="169">
        <v>43501</v>
      </c>
      <c r="B1018" s="116">
        <v>60.45</v>
      </c>
      <c r="C1018" s="116">
        <v>59.1</v>
      </c>
      <c r="D1018" s="116">
        <v>57.4</v>
      </c>
      <c r="E1018" s="116">
        <v>59.75</v>
      </c>
      <c r="F1018" s="116">
        <v>59.1</v>
      </c>
      <c r="G1018">
        <v>1851</v>
      </c>
      <c r="H1018" s="116"/>
      <c r="I1018" s="116"/>
      <c r="L1018" s="169">
        <v>43501</v>
      </c>
      <c r="M1018" s="116">
        <v>58.6</v>
      </c>
      <c r="N1018" s="116">
        <v>60</v>
      </c>
      <c r="O1018" s="116">
        <v>57.55</v>
      </c>
      <c r="P1018" s="116">
        <v>59.55</v>
      </c>
      <c r="Q1018" s="116">
        <v>58.6</v>
      </c>
      <c r="R1018">
        <v>7891</v>
      </c>
    </row>
    <row r="1019" spans="1:18" x14ac:dyDescent="0.25">
      <c r="A1019" s="169">
        <v>43502</v>
      </c>
      <c r="B1019" s="116">
        <v>59.65</v>
      </c>
      <c r="C1019" s="116">
        <v>58.55</v>
      </c>
      <c r="D1019" s="116">
        <v>56.3</v>
      </c>
      <c r="E1019" s="116">
        <v>58.1</v>
      </c>
      <c r="F1019" s="116">
        <v>58.55</v>
      </c>
      <c r="G1019">
        <v>1890</v>
      </c>
      <c r="H1019" s="116"/>
      <c r="I1019" s="116"/>
      <c r="L1019" s="169">
        <v>43502</v>
      </c>
      <c r="M1019" s="116">
        <v>58.3</v>
      </c>
      <c r="N1019" s="116">
        <v>59.55</v>
      </c>
      <c r="O1019" s="116">
        <v>56.2</v>
      </c>
      <c r="P1019" s="116">
        <v>58.65</v>
      </c>
      <c r="Q1019" s="116">
        <v>58.3</v>
      </c>
      <c r="R1019">
        <v>17986</v>
      </c>
    </row>
    <row r="1020" spans="1:18" x14ac:dyDescent="0.25">
      <c r="A1020" s="169">
        <v>43503</v>
      </c>
      <c r="B1020" s="116">
        <v>60.8</v>
      </c>
      <c r="C1020" s="116">
        <v>59.85</v>
      </c>
      <c r="D1020" s="116">
        <v>57.05</v>
      </c>
      <c r="E1020" s="116">
        <v>57.15</v>
      </c>
      <c r="F1020" s="116">
        <v>59.85</v>
      </c>
      <c r="G1020">
        <v>4810</v>
      </c>
      <c r="H1020" s="116"/>
      <c r="I1020" s="116"/>
      <c r="L1020" s="169">
        <v>43503</v>
      </c>
      <c r="M1020" s="116">
        <v>58.4</v>
      </c>
      <c r="N1020" s="116">
        <v>61</v>
      </c>
      <c r="O1020" s="116">
        <v>56.2</v>
      </c>
      <c r="P1020" s="116">
        <v>58.05</v>
      </c>
      <c r="Q1020" s="116">
        <v>58.4</v>
      </c>
      <c r="R1020">
        <v>14700</v>
      </c>
    </row>
    <row r="1021" spans="1:18" x14ac:dyDescent="0.25">
      <c r="A1021" s="169">
        <v>43504</v>
      </c>
      <c r="B1021" s="116">
        <v>59.5</v>
      </c>
      <c r="C1021" s="116">
        <v>57.5</v>
      </c>
      <c r="D1021" s="116">
        <v>57</v>
      </c>
      <c r="E1021" s="116">
        <v>57.9</v>
      </c>
      <c r="F1021" s="116">
        <v>57.5</v>
      </c>
      <c r="G1021">
        <v>641</v>
      </c>
      <c r="H1021" s="116"/>
      <c r="I1021" s="116"/>
      <c r="L1021" s="169">
        <v>43504</v>
      </c>
      <c r="M1021" s="116">
        <v>58.9</v>
      </c>
      <c r="N1021" s="116">
        <v>60</v>
      </c>
      <c r="O1021" s="116">
        <v>57.3</v>
      </c>
      <c r="P1021" s="116">
        <v>57.3</v>
      </c>
      <c r="Q1021" s="116">
        <v>58.9</v>
      </c>
      <c r="R1021">
        <v>4314</v>
      </c>
    </row>
    <row r="1022" spans="1:18" x14ac:dyDescent="0.25">
      <c r="A1022" s="169">
        <v>43507</v>
      </c>
      <c r="B1022" s="116">
        <v>58.95</v>
      </c>
      <c r="C1022" s="116">
        <v>57.4</v>
      </c>
      <c r="D1022" s="116">
        <v>56.5</v>
      </c>
      <c r="E1022" s="116">
        <v>58</v>
      </c>
      <c r="F1022" s="116">
        <v>57.4</v>
      </c>
      <c r="G1022">
        <v>512</v>
      </c>
      <c r="H1022" s="116"/>
      <c r="I1022" s="116"/>
      <c r="L1022" s="169">
        <v>43507</v>
      </c>
      <c r="M1022" s="116">
        <v>57.85</v>
      </c>
      <c r="N1022" s="116">
        <v>60.8</v>
      </c>
      <c r="O1022" s="116">
        <v>57.35</v>
      </c>
      <c r="P1022" s="116">
        <v>60.8</v>
      </c>
      <c r="Q1022" s="116">
        <v>57.85</v>
      </c>
      <c r="R1022">
        <v>2079</v>
      </c>
    </row>
    <row r="1023" spans="1:18" x14ac:dyDescent="0.25">
      <c r="A1023" s="169">
        <v>43508</v>
      </c>
      <c r="B1023" s="116">
        <v>58.95</v>
      </c>
      <c r="C1023" s="116">
        <v>58.95</v>
      </c>
      <c r="D1023" s="116">
        <v>57</v>
      </c>
      <c r="E1023" s="116">
        <v>57</v>
      </c>
      <c r="F1023" s="116">
        <v>58.95</v>
      </c>
      <c r="G1023">
        <v>2490</v>
      </c>
      <c r="H1023" s="116"/>
      <c r="I1023" s="116"/>
      <c r="L1023" s="169">
        <v>43508</v>
      </c>
      <c r="M1023" s="116">
        <v>58.05</v>
      </c>
      <c r="N1023" s="116">
        <v>59.5</v>
      </c>
      <c r="O1023" s="116">
        <v>57.6</v>
      </c>
      <c r="P1023" s="116">
        <v>57.65</v>
      </c>
      <c r="Q1023" s="116">
        <v>58.05</v>
      </c>
      <c r="R1023">
        <v>4253</v>
      </c>
    </row>
    <row r="1024" spans="1:18" x14ac:dyDescent="0.25">
      <c r="A1024" s="169">
        <v>43509</v>
      </c>
      <c r="B1024" s="116">
        <v>65.05</v>
      </c>
      <c r="C1024" s="116">
        <v>59.45</v>
      </c>
      <c r="D1024" s="116">
        <v>57.7</v>
      </c>
      <c r="E1024" s="116">
        <v>60.2</v>
      </c>
      <c r="F1024" s="116">
        <v>59.45</v>
      </c>
      <c r="G1024">
        <v>1520</v>
      </c>
      <c r="H1024" s="116"/>
      <c r="I1024" s="116"/>
      <c r="L1024" s="169">
        <v>43509</v>
      </c>
      <c r="M1024" s="116">
        <v>59</v>
      </c>
      <c r="N1024" s="116">
        <v>66</v>
      </c>
      <c r="O1024" s="116">
        <v>57.2</v>
      </c>
      <c r="P1024" s="116">
        <v>57.55</v>
      </c>
      <c r="Q1024" s="116">
        <v>59</v>
      </c>
      <c r="R1024">
        <v>37905</v>
      </c>
    </row>
    <row r="1025" spans="1:18" x14ac:dyDescent="0.25">
      <c r="A1025" s="169">
        <v>43510</v>
      </c>
      <c r="B1025" s="116">
        <v>57.5</v>
      </c>
      <c r="C1025" s="116">
        <v>56.4</v>
      </c>
      <c r="D1025" s="116">
        <v>55.4</v>
      </c>
      <c r="E1025" s="116">
        <v>55.4</v>
      </c>
      <c r="F1025" s="116">
        <v>56.4</v>
      </c>
      <c r="G1025">
        <v>500</v>
      </c>
      <c r="H1025" s="116"/>
      <c r="I1025" s="116"/>
      <c r="L1025" s="169">
        <v>43510</v>
      </c>
      <c r="M1025" s="116">
        <v>56.7</v>
      </c>
      <c r="N1025" s="116">
        <v>58.55</v>
      </c>
      <c r="O1025" s="116">
        <v>56</v>
      </c>
      <c r="P1025" s="116">
        <v>58.5</v>
      </c>
      <c r="Q1025" s="116">
        <v>56.7</v>
      </c>
      <c r="R1025">
        <v>11879</v>
      </c>
    </row>
    <row r="1026" spans="1:18" x14ac:dyDescent="0.25">
      <c r="A1026" s="169">
        <v>43511</v>
      </c>
      <c r="B1026" s="116">
        <v>57.95</v>
      </c>
      <c r="C1026" s="116">
        <v>55.85</v>
      </c>
      <c r="D1026" s="116">
        <v>55.6</v>
      </c>
      <c r="E1026" s="116">
        <v>55.7</v>
      </c>
      <c r="F1026" s="116">
        <v>55.85</v>
      </c>
      <c r="G1026">
        <v>149</v>
      </c>
      <c r="H1026" s="116"/>
      <c r="I1026" s="116"/>
      <c r="L1026" s="169">
        <v>43511</v>
      </c>
      <c r="M1026" s="116">
        <v>56</v>
      </c>
      <c r="N1026" s="116">
        <v>57.65</v>
      </c>
      <c r="O1026" s="116">
        <v>55.35</v>
      </c>
      <c r="P1026" s="116">
        <v>56.8</v>
      </c>
      <c r="Q1026" s="116">
        <v>56</v>
      </c>
      <c r="R1026">
        <v>5156</v>
      </c>
    </row>
    <row r="1027" spans="1:18" x14ac:dyDescent="0.25">
      <c r="A1027" s="169">
        <v>43514</v>
      </c>
      <c r="B1027" s="116">
        <v>59</v>
      </c>
      <c r="C1027" s="116">
        <v>55.65</v>
      </c>
      <c r="D1027" s="116">
        <v>54.25</v>
      </c>
      <c r="E1027" s="116">
        <v>58.75</v>
      </c>
      <c r="F1027" s="116">
        <v>55.65</v>
      </c>
      <c r="G1027">
        <v>1130</v>
      </c>
      <c r="H1027" s="116"/>
      <c r="I1027" s="116"/>
      <c r="L1027" s="169">
        <v>43514</v>
      </c>
      <c r="M1027" s="116">
        <v>54.15</v>
      </c>
      <c r="N1027" s="116">
        <v>56.95</v>
      </c>
      <c r="O1027" s="116">
        <v>54</v>
      </c>
      <c r="P1027" s="116">
        <v>55.55</v>
      </c>
      <c r="Q1027" s="116">
        <v>54.15</v>
      </c>
      <c r="R1027">
        <v>2349</v>
      </c>
    </row>
    <row r="1028" spans="1:18" x14ac:dyDescent="0.25">
      <c r="A1028" s="169">
        <v>43515</v>
      </c>
      <c r="B1028" s="116">
        <v>60</v>
      </c>
      <c r="C1028" s="116">
        <v>53.9</v>
      </c>
      <c r="D1028" s="116">
        <v>53.7</v>
      </c>
      <c r="E1028" s="116">
        <v>59.8</v>
      </c>
      <c r="F1028" s="116">
        <v>53.9</v>
      </c>
      <c r="G1028">
        <v>3212</v>
      </c>
      <c r="H1028" s="116"/>
      <c r="I1028" s="116"/>
      <c r="L1028" s="169">
        <v>43515</v>
      </c>
      <c r="M1028" s="116">
        <v>54</v>
      </c>
      <c r="N1028" s="116">
        <v>56.5</v>
      </c>
      <c r="O1028" s="116">
        <v>54</v>
      </c>
      <c r="P1028" s="116">
        <v>54.2</v>
      </c>
      <c r="Q1028" s="116">
        <v>54</v>
      </c>
      <c r="R1028">
        <v>3756</v>
      </c>
    </row>
    <row r="1029" spans="1:18" x14ac:dyDescent="0.25">
      <c r="A1029" s="169">
        <v>43516</v>
      </c>
      <c r="B1029" s="116">
        <v>56.95</v>
      </c>
      <c r="C1029" s="116">
        <v>54.35</v>
      </c>
      <c r="D1029" s="116">
        <v>54.15</v>
      </c>
      <c r="E1029" s="116">
        <v>54.2</v>
      </c>
      <c r="F1029" s="116">
        <v>54.35</v>
      </c>
      <c r="G1029">
        <v>653</v>
      </c>
      <c r="H1029" s="116"/>
      <c r="I1029" s="116"/>
      <c r="L1029" s="169">
        <v>43516</v>
      </c>
      <c r="M1029" s="116">
        <v>54.35</v>
      </c>
      <c r="N1029" s="116">
        <v>56.1</v>
      </c>
      <c r="O1029" s="116">
        <v>54.25</v>
      </c>
      <c r="P1029" s="116">
        <v>56.1</v>
      </c>
      <c r="Q1029" s="116">
        <v>54.35</v>
      </c>
      <c r="R1029">
        <v>1132</v>
      </c>
    </row>
    <row r="1030" spans="1:18" x14ac:dyDescent="0.25">
      <c r="A1030" s="169">
        <v>43517</v>
      </c>
      <c r="B1030" s="116">
        <v>55.85</v>
      </c>
      <c r="C1030" s="116">
        <v>55.05</v>
      </c>
      <c r="D1030" s="116">
        <v>54.55</v>
      </c>
      <c r="E1030" s="116">
        <v>55.55</v>
      </c>
      <c r="F1030" s="116">
        <v>55.05</v>
      </c>
      <c r="G1030">
        <v>3967</v>
      </c>
      <c r="H1030" s="116"/>
      <c r="I1030" s="116"/>
      <c r="L1030" s="169">
        <v>43517</v>
      </c>
      <c r="M1030" s="116">
        <v>54.05</v>
      </c>
      <c r="N1030" s="116">
        <v>55.25</v>
      </c>
      <c r="O1030" s="116">
        <v>53.4</v>
      </c>
      <c r="P1030" s="116">
        <v>55.2</v>
      </c>
      <c r="Q1030" s="116">
        <v>54.05</v>
      </c>
      <c r="R1030">
        <v>5292</v>
      </c>
    </row>
    <row r="1031" spans="1:18" x14ac:dyDescent="0.25">
      <c r="A1031" s="169">
        <v>43518</v>
      </c>
      <c r="B1031" s="116">
        <v>56.45</v>
      </c>
      <c r="C1031" s="116">
        <v>55.85</v>
      </c>
      <c r="D1031" s="116">
        <v>53.7</v>
      </c>
      <c r="E1031" s="116">
        <v>54.3</v>
      </c>
      <c r="F1031" s="116">
        <v>55.85</v>
      </c>
      <c r="G1031">
        <v>731</v>
      </c>
      <c r="H1031" s="116"/>
      <c r="I1031" s="116"/>
      <c r="L1031" s="169">
        <v>43518</v>
      </c>
      <c r="M1031" s="116">
        <v>55.7</v>
      </c>
      <c r="N1031" s="116">
        <v>57.8</v>
      </c>
      <c r="O1031" s="116">
        <v>54.6</v>
      </c>
      <c r="P1031" s="116">
        <v>54.8</v>
      </c>
      <c r="Q1031" s="116">
        <v>55.7</v>
      </c>
      <c r="R1031">
        <v>6464</v>
      </c>
    </row>
    <row r="1032" spans="1:18" x14ac:dyDescent="0.25">
      <c r="A1032" s="169">
        <v>43521</v>
      </c>
      <c r="B1032" s="116">
        <v>61.95</v>
      </c>
      <c r="C1032" s="116">
        <v>58.35</v>
      </c>
      <c r="D1032" s="116">
        <v>57.5</v>
      </c>
      <c r="E1032" s="116">
        <v>57.5</v>
      </c>
      <c r="F1032" s="116">
        <v>58.35</v>
      </c>
      <c r="G1032">
        <v>6133</v>
      </c>
      <c r="H1032" s="116"/>
      <c r="I1032" s="116"/>
      <c r="L1032" s="169">
        <v>43521</v>
      </c>
      <c r="M1032" s="116">
        <v>57.85</v>
      </c>
      <c r="N1032" s="116">
        <v>62</v>
      </c>
      <c r="O1032" s="116">
        <v>55</v>
      </c>
      <c r="P1032" s="116">
        <v>56</v>
      </c>
      <c r="Q1032" s="116">
        <v>57.85</v>
      </c>
      <c r="R1032">
        <v>58974</v>
      </c>
    </row>
    <row r="1033" spans="1:18" x14ac:dyDescent="0.25">
      <c r="A1033" s="169">
        <v>43522</v>
      </c>
      <c r="B1033" s="116">
        <v>58.4</v>
      </c>
      <c r="C1033" s="116">
        <v>58.4</v>
      </c>
      <c r="D1033" s="116">
        <v>58.4</v>
      </c>
      <c r="E1033" s="116">
        <v>58.4</v>
      </c>
      <c r="F1033" s="116">
        <v>58.4</v>
      </c>
      <c r="G1033">
        <v>25</v>
      </c>
      <c r="H1033" s="116"/>
      <c r="I1033" s="116"/>
      <c r="L1033" s="169">
        <v>43522</v>
      </c>
      <c r="M1033" s="116">
        <v>57.8</v>
      </c>
      <c r="N1033" s="116">
        <v>59.55</v>
      </c>
      <c r="O1033" s="116">
        <v>55.5</v>
      </c>
      <c r="P1033" s="116">
        <v>58.45</v>
      </c>
      <c r="Q1033" s="116">
        <v>57.8</v>
      </c>
      <c r="R1033">
        <v>10863</v>
      </c>
    </row>
    <row r="1034" spans="1:18" x14ac:dyDescent="0.25">
      <c r="A1034" s="169">
        <v>43523</v>
      </c>
      <c r="B1034" s="116">
        <v>60.3</v>
      </c>
      <c r="C1034" s="116">
        <v>55.95</v>
      </c>
      <c r="D1034" s="116">
        <v>55.4</v>
      </c>
      <c r="E1034" s="116">
        <v>60.3</v>
      </c>
      <c r="F1034" s="116">
        <v>55.95</v>
      </c>
      <c r="G1034">
        <v>4556</v>
      </c>
      <c r="H1034" s="116"/>
      <c r="I1034" s="116"/>
      <c r="L1034" s="169">
        <v>43523</v>
      </c>
      <c r="M1034" s="116">
        <v>55.5</v>
      </c>
      <c r="N1034" s="116">
        <v>58.35</v>
      </c>
      <c r="O1034" s="116">
        <v>55</v>
      </c>
      <c r="P1034" s="116">
        <v>58.35</v>
      </c>
      <c r="Q1034" s="116">
        <v>55.5</v>
      </c>
      <c r="R1034">
        <v>3605</v>
      </c>
    </row>
    <row r="1035" spans="1:18" x14ac:dyDescent="0.25">
      <c r="A1035" s="169">
        <v>43524</v>
      </c>
      <c r="B1035" s="116">
        <v>56.85</v>
      </c>
      <c r="C1035" s="116">
        <v>55.7</v>
      </c>
      <c r="D1035" s="116">
        <v>55.45</v>
      </c>
      <c r="E1035" s="116">
        <v>56.05</v>
      </c>
      <c r="F1035" s="116">
        <v>55.7</v>
      </c>
      <c r="G1035">
        <v>92</v>
      </c>
      <c r="H1035" s="116"/>
      <c r="I1035" s="116"/>
      <c r="L1035" s="169">
        <v>43524</v>
      </c>
      <c r="M1035" s="116">
        <v>56.25</v>
      </c>
      <c r="N1035" s="116">
        <v>58.5</v>
      </c>
      <c r="O1035" s="116">
        <v>56</v>
      </c>
      <c r="P1035" s="116">
        <v>58.3</v>
      </c>
      <c r="Q1035" s="116">
        <v>56.25</v>
      </c>
      <c r="R1035">
        <v>1571</v>
      </c>
    </row>
    <row r="1036" spans="1:18" x14ac:dyDescent="0.25">
      <c r="A1036" s="169">
        <v>43525</v>
      </c>
      <c r="B1036" s="116">
        <v>58.85</v>
      </c>
      <c r="C1036" s="116">
        <v>58.3</v>
      </c>
      <c r="D1036" s="116">
        <v>56.5</v>
      </c>
      <c r="E1036" s="116">
        <v>56.5</v>
      </c>
      <c r="F1036" s="116">
        <v>58.3</v>
      </c>
      <c r="G1036">
        <v>481</v>
      </c>
      <c r="H1036" s="116"/>
      <c r="I1036" s="116"/>
      <c r="L1036" s="169">
        <v>43525</v>
      </c>
      <c r="M1036" s="116">
        <v>58.2</v>
      </c>
      <c r="N1036" s="116">
        <v>58.8</v>
      </c>
      <c r="O1036" s="116">
        <v>56.45</v>
      </c>
      <c r="P1036" s="116">
        <v>56.95</v>
      </c>
      <c r="Q1036" s="116">
        <v>58.2</v>
      </c>
      <c r="R1036">
        <v>5848</v>
      </c>
    </row>
    <row r="1037" spans="1:18" x14ac:dyDescent="0.25">
      <c r="A1037" s="169">
        <v>43529</v>
      </c>
      <c r="B1037" s="116">
        <v>62.5</v>
      </c>
      <c r="C1037" s="116">
        <v>62.2</v>
      </c>
      <c r="D1037" s="116">
        <v>59.55</v>
      </c>
      <c r="E1037" s="116">
        <v>59.55</v>
      </c>
      <c r="F1037" s="116">
        <v>62.2</v>
      </c>
      <c r="G1037">
        <v>2065</v>
      </c>
      <c r="H1037" s="116"/>
      <c r="I1037" s="116"/>
      <c r="L1037" s="169">
        <v>43529</v>
      </c>
      <c r="M1037" s="116">
        <v>61.7</v>
      </c>
      <c r="N1037" s="116">
        <v>63.2</v>
      </c>
      <c r="O1037" s="116">
        <v>58</v>
      </c>
      <c r="P1037" s="116">
        <v>59</v>
      </c>
      <c r="Q1037" s="116">
        <v>61.7</v>
      </c>
      <c r="R1037">
        <v>20552</v>
      </c>
    </row>
    <row r="1038" spans="1:18" x14ac:dyDescent="0.25">
      <c r="A1038" s="169">
        <v>43530</v>
      </c>
      <c r="B1038" s="116">
        <v>64.5</v>
      </c>
      <c r="C1038" s="116">
        <v>64.150000000000006</v>
      </c>
      <c r="D1038" s="116">
        <v>61.2</v>
      </c>
      <c r="E1038" s="116">
        <v>62.05</v>
      </c>
      <c r="F1038" s="116">
        <v>64.150000000000006</v>
      </c>
      <c r="G1038">
        <v>12991</v>
      </c>
      <c r="H1038" s="116"/>
      <c r="I1038" s="116"/>
      <c r="L1038" s="169">
        <v>43530</v>
      </c>
      <c r="M1038" s="116">
        <v>63.35</v>
      </c>
      <c r="N1038" s="116">
        <v>64.099999999999994</v>
      </c>
      <c r="O1038" s="116">
        <v>61.7</v>
      </c>
      <c r="P1038" s="116">
        <v>61.7</v>
      </c>
      <c r="Q1038" s="116">
        <v>63.35</v>
      </c>
      <c r="R1038">
        <v>13756</v>
      </c>
    </row>
    <row r="1039" spans="1:18" x14ac:dyDescent="0.25">
      <c r="A1039" s="169">
        <v>43531</v>
      </c>
      <c r="B1039" s="116">
        <v>64.349999999999994</v>
      </c>
      <c r="C1039" s="116">
        <v>63.55</v>
      </c>
      <c r="D1039" s="116">
        <v>63</v>
      </c>
      <c r="E1039" s="116">
        <v>64</v>
      </c>
      <c r="F1039" s="116">
        <v>63.55</v>
      </c>
      <c r="G1039">
        <v>2835</v>
      </c>
      <c r="H1039" s="116"/>
      <c r="I1039" s="116"/>
      <c r="L1039" s="169">
        <v>43531</v>
      </c>
      <c r="M1039" s="116">
        <v>63.05</v>
      </c>
      <c r="N1039" s="116">
        <v>64.3</v>
      </c>
      <c r="O1039" s="116">
        <v>62.55</v>
      </c>
      <c r="P1039" s="116">
        <v>63.15</v>
      </c>
      <c r="Q1039" s="116">
        <v>63.05</v>
      </c>
      <c r="R1039">
        <v>8200</v>
      </c>
    </row>
    <row r="1040" spans="1:18" x14ac:dyDescent="0.25">
      <c r="A1040" s="169">
        <v>43532</v>
      </c>
      <c r="B1040" s="116">
        <v>72.150000000000006</v>
      </c>
      <c r="C1040" s="116">
        <v>67</v>
      </c>
      <c r="D1040" s="116">
        <v>62.85</v>
      </c>
      <c r="E1040" s="116">
        <v>63.1</v>
      </c>
      <c r="F1040" s="116">
        <v>67</v>
      </c>
      <c r="G1040">
        <v>11056</v>
      </c>
      <c r="H1040" s="116"/>
      <c r="I1040" s="116"/>
      <c r="L1040" s="169">
        <v>43532</v>
      </c>
      <c r="M1040" s="116">
        <v>66.650000000000006</v>
      </c>
      <c r="N1040" s="116">
        <v>72.5</v>
      </c>
      <c r="O1040" s="116">
        <v>63</v>
      </c>
      <c r="P1040" s="116">
        <v>64.25</v>
      </c>
      <c r="Q1040" s="116">
        <v>66.650000000000006</v>
      </c>
      <c r="R1040">
        <v>78651</v>
      </c>
    </row>
    <row r="1041" spans="1:18" x14ac:dyDescent="0.25">
      <c r="A1041" s="169">
        <v>43535</v>
      </c>
      <c r="B1041" s="116">
        <v>70.150000000000006</v>
      </c>
      <c r="C1041" s="116">
        <v>69.599999999999994</v>
      </c>
      <c r="D1041" s="116">
        <v>66.25</v>
      </c>
      <c r="E1041" s="116">
        <v>68</v>
      </c>
      <c r="F1041" s="116">
        <v>69.599999999999994</v>
      </c>
      <c r="G1041">
        <v>8028</v>
      </c>
      <c r="H1041" s="116"/>
      <c r="I1041" s="116"/>
      <c r="L1041" s="169">
        <v>43535</v>
      </c>
      <c r="M1041" s="116">
        <v>69.7</v>
      </c>
      <c r="N1041" s="116">
        <v>70.8</v>
      </c>
      <c r="O1041" s="116">
        <v>65.95</v>
      </c>
      <c r="P1041" s="116">
        <v>67.3</v>
      </c>
      <c r="Q1041" s="116">
        <v>69.7</v>
      </c>
      <c r="R1041">
        <v>27145</v>
      </c>
    </row>
    <row r="1042" spans="1:18" x14ac:dyDescent="0.25">
      <c r="A1042" s="169">
        <v>43536</v>
      </c>
      <c r="B1042" s="116">
        <v>71</v>
      </c>
      <c r="C1042" s="116">
        <v>70.099999999999994</v>
      </c>
      <c r="D1042" s="116">
        <v>68.5</v>
      </c>
      <c r="E1042" s="116">
        <v>69.650000000000006</v>
      </c>
      <c r="F1042" s="116">
        <v>70.099999999999994</v>
      </c>
      <c r="G1042">
        <v>3261</v>
      </c>
      <c r="H1042" s="116"/>
      <c r="I1042" s="116"/>
      <c r="L1042" s="169">
        <v>43536</v>
      </c>
      <c r="M1042" s="116">
        <v>69.900000000000006</v>
      </c>
      <c r="N1042" s="116">
        <v>71.7</v>
      </c>
      <c r="O1042" s="116">
        <v>68</v>
      </c>
      <c r="P1042" s="116">
        <v>71.7</v>
      </c>
      <c r="Q1042" s="116">
        <v>69.900000000000006</v>
      </c>
      <c r="R1042">
        <v>21059</v>
      </c>
    </row>
    <row r="1043" spans="1:18" x14ac:dyDescent="0.25">
      <c r="A1043" s="169">
        <v>43537</v>
      </c>
      <c r="B1043" s="116">
        <v>70.150000000000006</v>
      </c>
      <c r="C1043" s="116">
        <v>68.95</v>
      </c>
      <c r="D1043" s="116">
        <v>67</v>
      </c>
      <c r="E1043" s="116">
        <v>70</v>
      </c>
      <c r="F1043" s="116">
        <v>68.95</v>
      </c>
      <c r="G1043">
        <v>4256</v>
      </c>
      <c r="H1043" s="116"/>
      <c r="I1043" s="116"/>
      <c r="L1043" s="169">
        <v>43537</v>
      </c>
      <c r="M1043" s="116">
        <v>68.349999999999994</v>
      </c>
      <c r="N1043" s="116">
        <v>70.3</v>
      </c>
      <c r="O1043" s="116">
        <v>67.099999999999994</v>
      </c>
      <c r="P1043" s="116">
        <v>69.5</v>
      </c>
      <c r="Q1043" s="116">
        <v>68.349999999999994</v>
      </c>
      <c r="R1043">
        <v>13754</v>
      </c>
    </row>
    <row r="1044" spans="1:18" x14ac:dyDescent="0.25">
      <c r="A1044" s="169">
        <v>43538</v>
      </c>
      <c r="B1044" s="116">
        <v>69.150000000000006</v>
      </c>
      <c r="C1044" s="116">
        <v>68.3</v>
      </c>
      <c r="D1044" s="116">
        <v>66</v>
      </c>
      <c r="E1044" s="116">
        <v>66.25</v>
      </c>
      <c r="F1044" s="116">
        <v>68.3</v>
      </c>
      <c r="G1044">
        <v>1907</v>
      </c>
      <c r="H1044" s="116"/>
      <c r="I1044" s="116"/>
      <c r="L1044" s="169">
        <v>43538</v>
      </c>
      <c r="M1044" s="116">
        <v>67.8</v>
      </c>
      <c r="N1044" s="116">
        <v>70</v>
      </c>
      <c r="O1044" s="116">
        <v>65.099999999999994</v>
      </c>
      <c r="P1044" s="116">
        <v>68.05</v>
      </c>
      <c r="Q1044" s="116">
        <v>67.8</v>
      </c>
      <c r="R1044">
        <v>29003</v>
      </c>
    </row>
    <row r="1045" spans="1:18" x14ac:dyDescent="0.25">
      <c r="A1045" s="169">
        <v>43539</v>
      </c>
      <c r="B1045" s="116">
        <v>72.650000000000006</v>
      </c>
      <c r="C1045" s="116">
        <v>70.099999999999994</v>
      </c>
      <c r="D1045" s="116">
        <v>68.7</v>
      </c>
      <c r="E1045" s="116">
        <v>69</v>
      </c>
      <c r="F1045" s="116">
        <v>70.099999999999994</v>
      </c>
      <c r="G1045">
        <v>6094</v>
      </c>
      <c r="H1045" s="116"/>
      <c r="I1045" s="116"/>
      <c r="L1045" s="169">
        <v>43539</v>
      </c>
      <c r="M1045" s="116">
        <v>69.8</v>
      </c>
      <c r="N1045" s="116">
        <v>72.849999999999994</v>
      </c>
      <c r="O1045" s="116">
        <v>68</v>
      </c>
      <c r="P1045" s="116">
        <v>69</v>
      </c>
      <c r="Q1045" s="116">
        <v>69.8</v>
      </c>
      <c r="R1045">
        <v>1201467</v>
      </c>
    </row>
    <row r="1046" spans="1:18" x14ac:dyDescent="0.25">
      <c r="A1046" s="169">
        <v>43542</v>
      </c>
      <c r="B1046" s="116">
        <v>71</v>
      </c>
      <c r="C1046" s="116">
        <v>68.55</v>
      </c>
      <c r="D1046" s="116">
        <v>66.849999999999994</v>
      </c>
      <c r="E1046" s="116">
        <v>71</v>
      </c>
      <c r="F1046" s="116">
        <v>68.55</v>
      </c>
      <c r="G1046">
        <v>1866</v>
      </c>
      <c r="H1046" s="116"/>
      <c r="I1046" s="116"/>
      <c r="L1046" s="169">
        <v>43542</v>
      </c>
      <c r="M1046" s="116">
        <v>67.55</v>
      </c>
      <c r="N1046" s="116">
        <v>71.400000000000006</v>
      </c>
      <c r="O1046" s="116">
        <v>67.3</v>
      </c>
      <c r="P1046" s="116">
        <v>71.400000000000006</v>
      </c>
      <c r="Q1046" s="116">
        <v>67.55</v>
      </c>
      <c r="R1046">
        <v>24361</v>
      </c>
    </row>
    <row r="1047" spans="1:18" x14ac:dyDescent="0.25">
      <c r="A1047" s="169">
        <v>43543</v>
      </c>
      <c r="B1047" s="116">
        <v>68.7</v>
      </c>
      <c r="C1047" s="116">
        <v>66.599999999999994</v>
      </c>
      <c r="D1047" s="116">
        <v>66.05</v>
      </c>
      <c r="E1047" s="116">
        <v>68.7</v>
      </c>
      <c r="F1047" s="116">
        <v>66.599999999999994</v>
      </c>
      <c r="G1047">
        <v>1798</v>
      </c>
      <c r="H1047" s="116"/>
      <c r="I1047" s="116"/>
      <c r="L1047" s="169">
        <v>43543</v>
      </c>
      <c r="M1047" s="116">
        <v>66.849999999999994</v>
      </c>
      <c r="N1047" s="116">
        <v>69.05</v>
      </c>
      <c r="O1047" s="116">
        <v>66.099999999999994</v>
      </c>
      <c r="P1047" s="116">
        <v>69</v>
      </c>
      <c r="Q1047" s="116">
        <v>66.849999999999994</v>
      </c>
      <c r="R1047">
        <v>16541</v>
      </c>
    </row>
    <row r="1048" spans="1:18" x14ac:dyDescent="0.25">
      <c r="A1048" s="169">
        <v>43544</v>
      </c>
      <c r="B1048" s="116">
        <v>68.400000000000006</v>
      </c>
      <c r="C1048" s="116">
        <v>68.150000000000006</v>
      </c>
      <c r="D1048" s="116">
        <v>67</v>
      </c>
      <c r="E1048" s="116">
        <v>67</v>
      </c>
      <c r="F1048" s="116">
        <v>68.150000000000006</v>
      </c>
      <c r="G1048">
        <v>1715</v>
      </c>
      <c r="H1048" s="116"/>
      <c r="I1048" s="116"/>
      <c r="L1048" s="169">
        <v>43544</v>
      </c>
      <c r="M1048" s="116">
        <v>66.5</v>
      </c>
      <c r="N1048" s="116">
        <v>67</v>
      </c>
      <c r="O1048" s="116">
        <v>65.7</v>
      </c>
      <c r="P1048" s="116">
        <v>66.55</v>
      </c>
      <c r="Q1048" s="116">
        <v>66.5</v>
      </c>
      <c r="R1048">
        <v>3003</v>
      </c>
    </row>
    <row r="1049" spans="1:18" x14ac:dyDescent="0.25">
      <c r="A1049" s="169">
        <v>43546</v>
      </c>
      <c r="B1049" s="116">
        <v>68.45</v>
      </c>
      <c r="C1049" s="116">
        <v>66.349999999999994</v>
      </c>
      <c r="D1049" s="116">
        <v>65.8</v>
      </c>
      <c r="E1049" s="116">
        <v>68.45</v>
      </c>
      <c r="F1049" s="116">
        <v>66.349999999999994</v>
      </c>
      <c r="G1049">
        <v>266</v>
      </c>
      <c r="H1049" s="116"/>
      <c r="I1049" s="116"/>
      <c r="L1049" s="169">
        <v>43546</v>
      </c>
      <c r="M1049" s="116">
        <v>66.55</v>
      </c>
      <c r="N1049" s="116">
        <v>67</v>
      </c>
      <c r="O1049" s="116">
        <v>65.5</v>
      </c>
      <c r="P1049" s="116">
        <v>66.150000000000006</v>
      </c>
      <c r="Q1049" s="116">
        <v>66.55</v>
      </c>
      <c r="R1049">
        <v>2376</v>
      </c>
    </row>
    <row r="1050" spans="1:18" x14ac:dyDescent="0.25">
      <c r="A1050" s="169">
        <v>43549</v>
      </c>
      <c r="B1050" s="116">
        <v>66</v>
      </c>
      <c r="C1050" s="116">
        <v>65</v>
      </c>
      <c r="D1050" s="116">
        <v>64.55</v>
      </c>
      <c r="E1050" s="116">
        <v>64.599999999999994</v>
      </c>
      <c r="F1050" s="116">
        <v>65</v>
      </c>
      <c r="G1050">
        <v>3656</v>
      </c>
      <c r="H1050" s="116"/>
      <c r="I1050" s="116"/>
      <c r="L1050" s="169">
        <v>43549</v>
      </c>
      <c r="M1050" s="116">
        <v>65</v>
      </c>
      <c r="N1050" s="116">
        <v>66.3</v>
      </c>
      <c r="O1050" s="116">
        <v>64.400000000000006</v>
      </c>
      <c r="P1050" s="116">
        <v>66</v>
      </c>
      <c r="Q1050" s="116">
        <v>65</v>
      </c>
      <c r="R1050">
        <v>10665</v>
      </c>
    </row>
    <row r="1051" spans="1:18" x14ac:dyDescent="0.25">
      <c r="A1051" s="169">
        <v>43550</v>
      </c>
      <c r="B1051" s="116">
        <v>66.5</v>
      </c>
      <c r="C1051" s="116">
        <v>65.05</v>
      </c>
      <c r="D1051" s="116">
        <v>65.05</v>
      </c>
      <c r="E1051" s="116">
        <v>66.45</v>
      </c>
      <c r="F1051" s="116">
        <v>65.05</v>
      </c>
      <c r="G1051">
        <v>2653</v>
      </c>
      <c r="H1051" s="116"/>
      <c r="I1051" s="116"/>
      <c r="L1051" s="169">
        <v>43550</v>
      </c>
      <c r="M1051" s="116">
        <v>65.8</v>
      </c>
      <c r="N1051" s="116">
        <v>66.75</v>
      </c>
      <c r="O1051" s="116">
        <v>65.5</v>
      </c>
      <c r="P1051" s="116">
        <v>66.45</v>
      </c>
      <c r="Q1051" s="116">
        <v>65.8</v>
      </c>
      <c r="R1051">
        <v>3249</v>
      </c>
    </row>
    <row r="1052" spans="1:18" x14ac:dyDescent="0.25">
      <c r="A1052" s="169">
        <v>43551</v>
      </c>
      <c r="B1052" s="116">
        <v>67</v>
      </c>
      <c r="C1052" s="116">
        <v>65.400000000000006</v>
      </c>
      <c r="D1052" s="116">
        <v>65.3</v>
      </c>
      <c r="E1052" s="116">
        <v>65.75</v>
      </c>
      <c r="F1052" s="116">
        <v>65.400000000000006</v>
      </c>
      <c r="G1052">
        <v>402</v>
      </c>
      <c r="H1052" s="116"/>
      <c r="I1052" s="116"/>
      <c r="L1052" s="169">
        <v>43551</v>
      </c>
      <c r="M1052" s="116">
        <v>65.5</v>
      </c>
      <c r="N1052" s="116">
        <v>67.400000000000006</v>
      </c>
      <c r="O1052" s="116">
        <v>65.099999999999994</v>
      </c>
      <c r="P1052" s="116">
        <v>65.5</v>
      </c>
      <c r="Q1052" s="116">
        <v>65.5</v>
      </c>
      <c r="R1052">
        <v>99060</v>
      </c>
    </row>
    <row r="1053" spans="1:18" x14ac:dyDescent="0.25">
      <c r="A1053" s="169">
        <v>43552</v>
      </c>
      <c r="B1053" s="116">
        <v>66.599999999999994</v>
      </c>
      <c r="C1053" s="116">
        <v>66</v>
      </c>
      <c r="D1053" s="116">
        <v>65.05</v>
      </c>
      <c r="E1053" s="116">
        <v>65.05</v>
      </c>
      <c r="F1053" s="116">
        <v>66</v>
      </c>
      <c r="G1053">
        <v>405</v>
      </c>
      <c r="H1053" s="116"/>
      <c r="I1053" s="116"/>
      <c r="L1053" s="169">
        <v>43552</v>
      </c>
      <c r="M1053" s="116">
        <v>65.45</v>
      </c>
      <c r="N1053" s="116">
        <v>67</v>
      </c>
      <c r="O1053" s="116">
        <v>64.900000000000006</v>
      </c>
      <c r="P1053" s="116">
        <v>67</v>
      </c>
      <c r="Q1053" s="116">
        <v>65.45</v>
      </c>
      <c r="R1053">
        <v>1782</v>
      </c>
    </row>
    <row r="1054" spans="1:18" x14ac:dyDescent="0.25">
      <c r="A1054" s="169">
        <v>43553</v>
      </c>
      <c r="B1054" s="116">
        <v>65.7</v>
      </c>
      <c r="C1054" s="116">
        <v>65.55</v>
      </c>
      <c r="D1054" s="116">
        <v>65.3</v>
      </c>
      <c r="E1054" s="116">
        <v>65.3</v>
      </c>
      <c r="F1054" s="116">
        <v>65.55</v>
      </c>
      <c r="G1054">
        <v>900</v>
      </c>
      <c r="H1054" s="116"/>
      <c r="I1054" s="116"/>
      <c r="L1054" s="169">
        <v>43553</v>
      </c>
      <c r="M1054" s="116">
        <v>65.599999999999994</v>
      </c>
      <c r="N1054" s="116">
        <v>66.8</v>
      </c>
      <c r="O1054" s="116">
        <v>64.5</v>
      </c>
      <c r="P1054" s="116">
        <v>66.05</v>
      </c>
      <c r="Q1054" s="116">
        <v>65.599999999999994</v>
      </c>
      <c r="R1054">
        <v>6067</v>
      </c>
    </row>
    <row r="1055" spans="1:18" x14ac:dyDescent="0.25">
      <c r="A1055" s="169">
        <v>43556</v>
      </c>
      <c r="B1055" s="116">
        <v>67.05</v>
      </c>
      <c r="C1055" s="116">
        <v>66.650000000000006</v>
      </c>
      <c r="D1055" s="116">
        <v>66</v>
      </c>
      <c r="E1055" s="116">
        <v>66.55</v>
      </c>
      <c r="F1055" s="116">
        <v>66.650000000000006</v>
      </c>
      <c r="G1055">
        <v>2728</v>
      </c>
      <c r="H1055" s="116"/>
      <c r="I1055" s="116"/>
      <c r="L1055" s="169">
        <v>43556</v>
      </c>
      <c r="M1055" s="116">
        <v>66.099999999999994</v>
      </c>
      <c r="N1055" s="116">
        <v>68.3</v>
      </c>
      <c r="O1055" s="116">
        <v>64.099999999999994</v>
      </c>
      <c r="P1055" s="116">
        <v>65</v>
      </c>
      <c r="Q1055" s="116">
        <v>66.099999999999994</v>
      </c>
      <c r="R1055">
        <v>16836</v>
      </c>
    </row>
    <row r="1056" spans="1:18" x14ac:dyDescent="0.25">
      <c r="A1056" s="169">
        <v>43557</v>
      </c>
      <c r="B1056" s="116">
        <v>69.55</v>
      </c>
      <c r="C1056" s="116">
        <v>66.8</v>
      </c>
      <c r="D1056" s="116">
        <v>66.75</v>
      </c>
      <c r="E1056" s="116">
        <v>69.45</v>
      </c>
      <c r="F1056" s="116">
        <v>66.8</v>
      </c>
      <c r="G1056">
        <v>1624</v>
      </c>
      <c r="H1056" s="116"/>
      <c r="I1056" s="116"/>
      <c r="L1056" s="169">
        <v>43557</v>
      </c>
      <c r="M1056" s="116">
        <v>67.2</v>
      </c>
      <c r="N1056" s="116">
        <v>70</v>
      </c>
      <c r="O1056" s="116">
        <v>66.7</v>
      </c>
      <c r="P1056" s="116">
        <v>66.7</v>
      </c>
      <c r="Q1056" s="116">
        <v>67.2</v>
      </c>
      <c r="R1056">
        <v>12578</v>
      </c>
    </row>
    <row r="1057" spans="1:18" x14ac:dyDescent="0.25">
      <c r="A1057" s="169">
        <v>43558</v>
      </c>
      <c r="B1057" s="116">
        <v>68.5</v>
      </c>
      <c r="C1057" s="116">
        <v>66</v>
      </c>
      <c r="D1057" s="116">
        <v>66</v>
      </c>
      <c r="E1057" s="116">
        <v>66.05</v>
      </c>
      <c r="F1057" s="116">
        <v>66</v>
      </c>
      <c r="G1057">
        <v>1235</v>
      </c>
      <c r="H1057" s="116"/>
      <c r="I1057" s="116"/>
      <c r="L1057" s="169">
        <v>43558</v>
      </c>
      <c r="M1057" s="116">
        <v>66.05</v>
      </c>
      <c r="N1057" s="116">
        <v>68</v>
      </c>
      <c r="O1057" s="116">
        <v>66.05</v>
      </c>
      <c r="P1057" s="116">
        <v>67.650000000000006</v>
      </c>
      <c r="Q1057" s="116">
        <v>66.05</v>
      </c>
      <c r="R1057">
        <v>6609</v>
      </c>
    </row>
    <row r="1058" spans="1:18" x14ac:dyDescent="0.25">
      <c r="A1058" s="169">
        <v>43559</v>
      </c>
      <c r="B1058" s="116">
        <v>65.5</v>
      </c>
      <c r="C1058" s="116">
        <v>65.45</v>
      </c>
      <c r="D1058" s="116">
        <v>65</v>
      </c>
      <c r="E1058" s="116">
        <v>65</v>
      </c>
      <c r="F1058" s="116">
        <v>65.45</v>
      </c>
      <c r="G1058">
        <v>437</v>
      </c>
      <c r="H1058" s="116"/>
      <c r="I1058" s="116"/>
      <c r="L1058" s="169">
        <v>43559</v>
      </c>
      <c r="M1058" s="116">
        <v>65.25</v>
      </c>
      <c r="N1058" s="116">
        <v>66.900000000000006</v>
      </c>
      <c r="O1058" s="116">
        <v>64.400000000000006</v>
      </c>
      <c r="P1058" s="116">
        <v>66.900000000000006</v>
      </c>
      <c r="Q1058" s="116">
        <v>65.25</v>
      </c>
      <c r="R1058">
        <v>8591</v>
      </c>
    </row>
    <row r="1059" spans="1:18" x14ac:dyDescent="0.25">
      <c r="A1059" s="169">
        <v>43560</v>
      </c>
      <c r="B1059" s="116">
        <v>65</v>
      </c>
      <c r="C1059" s="116">
        <v>64.599999999999994</v>
      </c>
      <c r="D1059" s="116">
        <v>64.2</v>
      </c>
      <c r="E1059" s="116">
        <v>64.55</v>
      </c>
      <c r="F1059" s="116">
        <v>64.599999999999994</v>
      </c>
      <c r="G1059">
        <v>50</v>
      </c>
      <c r="H1059" s="116"/>
      <c r="I1059" s="116"/>
      <c r="L1059" s="169">
        <v>43560</v>
      </c>
      <c r="M1059" s="116">
        <v>64.8</v>
      </c>
      <c r="N1059" s="116">
        <v>65.849999999999994</v>
      </c>
      <c r="O1059" s="116">
        <v>64.5</v>
      </c>
      <c r="P1059" s="116">
        <v>65</v>
      </c>
      <c r="Q1059" s="116">
        <v>64.8</v>
      </c>
      <c r="R1059">
        <v>2993</v>
      </c>
    </row>
    <row r="1060" spans="1:18" x14ac:dyDescent="0.25">
      <c r="A1060" s="169">
        <v>43563</v>
      </c>
      <c r="B1060" s="116">
        <v>66.05</v>
      </c>
      <c r="C1060" s="116">
        <v>65.349999999999994</v>
      </c>
      <c r="D1060" s="116">
        <v>64.3</v>
      </c>
      <c r="E1060" s="116">
        <v>66.05</v>
      </c>
      <c r="F1060" s="116">
        <v>65.349999999999994</v>
      </c>
      <c r="G1060">
        <v>1872</v>
      </c>
      <c r="H1060" s="116"/>
      <c r="I1060" s="116"/>
      <c r="L1060" s="169">
        <v>43563</v>
      </c>
      <c r="M1060" s="116">
        <v>64.75</v>
      </c>
      <c r="N1060" s="116">
        <v>66</v>
      </c>
      <c r="O1060" s="116">
        <v>64.7</v>
      </c>
      <c r="P1060" s="116">
        <v>64.75</v>
      </c>
      <c r="Q1060" s="116">
        <v>64.75</v>
      </c>
      <c r="R1060">
        <v>694</v>
      </c>
    </row>
    <row r="1061" spans="1:18" x14ac:dyDescent="0.25">
      <c r="A1061" s="169">
        <v>43564</v>
      </c>
      <c r="B1061" s="116">
        <v>63.9</v>
      </c>
      <c r="C1061" s="116">
        <v>63.9</v>
      </c>
      <c r="D1061" s="116">
        <v>63.9</v>
      </c>
      <c r="E1061" s="116">
        <v>63.9</v>
      </c>
      <c r="F1061" s="116">
        <v>63.9</v>
      </c>
      <c r="G1061">
        <v>1</v>
      </c>
      <c r="H1061" s="116"/>
      <c r="I1061" s="116"/>
      <c r="L1061" s="169">
        <v>43564</v>
      </c>
      <c r="M1061" s="116">
        <v>64.5</v>
      </c>
      <c r="N1061" s="116">
        <v>65.7</v>
      </c>
      <c r="O1061" s="116">
        <v>63.6</v>
      </c>
      <c r="P1061" s="116">
        <v>65.7</v>
      </c>
      <c r="Q1061" s="116">
        <v>64.5</v>
      </c>
      <c r="R1061">
        <v>3334</v>
      </c>
    </row>
    <row r="1062" spans="1:18" x14ac:dyDescent="0.25">
      <c r="A1062" s="169">
        <v>43565</v>
      </c>
      <c r="B1062" s="116">
        <v>64.8</v>
      </c>
      <c r="C1062" s="116">
        <v>64.05</v>
      </c>
      <c r="D1062" s="116">
        <v>63.05</v>
      </c>
      <c r="E1062" s="116">
        <v>64.55</v>
      </c>
      <c r="F1062" s="116">
        <v>64.05</v>
      </c>
      <c r="G1062">
        <v>1627</v>
      </c>
      <c r="H1062" s="116"/>
      <c r="I1062" s="116"/>
      <c r="L1062" s="169">
        <v>43565</v>
      </c>
      <c r="M1062" s="116">
        <v>63.45</v>
      </c>
      <c r="N1062" s="116">
        <v>65.75</v>
      </c>
      <c r="O1062" s="116">
        <v>63.1</v>
      </c>
      <c r="P1062" s="116">
        <v>64.150000000000006</v>
      </c>
      <c r="Q1062" s="116">
        <v>63.45</v>
      </c>
      <c r="R1062">
        <v>5180</v>
      </c>
    </row>
    <row r="1063" spans="1:18" x14ac:dyDescent="0.25">
      <c r="A1063" s="169">
        <v>43566</v>
      </c>
      <c r="B1063" s="116">
        <v>62.95</v>
      </c>
      <c r="C1063" s="116">
        <v>62.8</v>
      </c>
      <c r="D1063" s="116">
        <v>61.85</v>
      </c>
      <c r="E1063" s="116">
        <v>62.05</v>
      </c>
      <c r="F1063" s="116">
        <v>62.8</v>
      </c>
      <c r="G1063">
        <v>1762</v>
      </c>
      <c r="H1063" s="116"/>
      <c r="I1063" s="116"/>
      <c r="L1063" s="169">
        <v>43566</v>
      </c>
      <c r="M1063" s="116">
        <v>62.05</v>
      </c>
      <c r="N1063" s="116">
        <v>63.5</v>
      </c>
      <c r="O1063" s="116">
        <v>60.65</v>
      </c>
      <c r="P1063" s="116">
        <v>63.5</v>
      </c>
      <c r="Q1063" s="116">
        <v>62.05</v>
      </c>
      <c r="R1063">
        <v>8268</v>
      </c>
    </row>
    <row r="1064" spans="1:18" x14ac:dyDescent="0.25">
      <c r="A1064" s="169">
        <v>43567</v>
      </c>
      <c r="B1064" s="116">
        <v>62.55</v>
      </c>
      <c r="C1064" s="116">
        <v>62.55</v>
      </c>
      <c r="D1064" s="116">
        <v>62.55</v>
      </c>
      <c r="E1064" s="116">
        <v>62.55</v>
      </c>
      <c r="F1064" s="116">
        <v>62.55</v>
      </c>
      <c r="G1064">
        <v>1</v>
      </c>
      <c r="H1064" s="116"/>
      <c r="I1064" s="116"/>
      <c r="L1064" s="169">
        <v>43567</v>
      </c>
      <c r="M1064" s="116">
        <v>64.05</v>
      </c>
      <c r="N1064" s="116">
        <v>64.849999999999994</v>
      </c>
      <c r="O1064" s="116">
        <v>61.7</v>
      </c>
      <c r="P1064" s="116">
        <v>62.1</v>
      </c>
      <c r="Q1064" s="116">
        <v>64.05</v>
      </c>
      <c r="R1064">
        <v>9548</v>
      </c>
    </row>
    <row r="1065" spans="1:18" x14ac:dyDescent="0.25">
      <c r="A1065" s="169">
        <v>43570</v>
      </c>
      <c r="B1065" s="116">
        <v>65.55</v>
      </c>
      <c r="C1065" s="116">
        <v>65.349999999999994</v>
      </c>
      <c r="D1065" s="116">
        <v>64.55</v>
      </c>
      <c r="E1065" s="116">
        <v>64.7</v>
      </c>
      <c r="F1065" s="116">
        <v>65.349999999999994</v>
      </c>
      <c r="G1065">
        <v>3600</v>
      </c>
      <c r="H1065" s="116"/>
      <c r="I1065" s="116"/>
      <c r="L1065" s="169">
        <v>43570</v>
      </c>
      <c r="M1065" s="116">
        <v>64.900000000000006</v>
      </c>
      <c r="N1065" s="116">
        <v>65.25</v>
      </c>
      <c r="O1065" s="116">
        <v>63.1</v>
      </c>
      <c r="P1065" s="116">
        <v>64.05</v>
      </c>
      <c r="Q1065" s="116">
        <v>64.900000000000006</v>
      </c>
      <c r="R1065">
        <v>8626</v>
      </c>
    </row>
    <row r="1066" spans="1:18" x14ac:dyDescent="0.25">
      <c r="A1066" s="169">
        <v>43571</v>
      </c>
      <c r="B1066" s="116">
        <v>65.849999999999994</v>
      </c>
      <c r="C1066" s="116">
        <v>65.25</v>
      </c>
      <c r="D1066" s="116">
        <v>63.5</v>
      </c>
      <c r="E1066" s="116">
        <v>65</v>
      </c>
      <c r="F1066" s="116">
        <v>65.25</v>
      </c>
      <c r="G1066">
        <v>1696</v>
      </c>
      <c r="H1066" s="116"/>
      <c r="I1066" s="116"/>
      <c r="L1066" s="169">
        <v>43571</v>
      </c>
      <c r="M1066" s="116">
        <v>63.85</v>
      </c>
      <c r="N1066" s="116">
        <v>65</v>
      </c>
      <c r="O1066" s="116">
        <v>63.75</v>
      </c>
      <c r="P1066" s="116">
        <v>64.5</v>
      </c>
      <c r="Q1066" s="116">
        <v>63.85</v>
      </c>
      <c r="R1066">
        <v>2421</v>
      </c>
    </row>
    <row r="1067" spans="1:18" x14ac:dyDescent="0.25">
      <c r="A1067" s="169">
        <v>43573</v>
      </c>
      <c r="B1067" s="116">
        <v>64.5</v>
      </c>
      <c r="C1067" s="116">
        <v>63.1</v>
      </c>
      <c r="D1067" s="116">
        <v>61.05</v>
      </c>
      <c r="E1067" s="116">
        <v>63</v>
      </c>
      <c r="F1067" s="116">
        <v>63.1</v>
      </c>
      <c r="G1067">
        <v>71</v>
      </c>
      <c r="H1067" s="116"/>
      <c r="I1067" s="116"/>
      <c r="L1067" s="169">
        <v>43573</v>
      </c>
      <c r="M1067" s="116">
        <v>63.25</v>
      </c>
      <c r="N1067" s="116">
        <v>64.400000000000006</v>
      </c>
      <c r="O1067" s="116">
        <v>61</v>
      </c>
      <c r="P1067" s="116">
        <v>63.15</v>
      </c>
      <c r="Q1067" s="116">
        <v>63.25</v>
      </c>
      <c r="R1067">
        <v>9880</v>
      </c>
    </row>
    <row r="1068" spans="1:18" x14ac:dyDescent="0.25">
      <c r="A1068" s="169">
        <v>43577</v>
      </c>
      <c r="B1068" s="116">
        <v>61.5</v>
      </c>
      <c r="C1068" s="116">
        <v>61.5</v>
      </c>
      <c r="D1068" s="116">
        <v>61.45</v>
      </c>
      <c r="E1068" s="116">
        <v>61.5</v>
      </c>
      <c r="F1068" s="116">
        <v>61.5</v>
      </c>
      <c r="G1068">
        <v>400</v>
      </c>
      <c r="H1068" s="116"/>
      <c r="I1068" s="116"/>
      <c r="L1068" s="169">
        <v>43577</v>
      </c>
      <c r="M1068" s="116">
        <v>61.15</v>
      </c>
      <c r="N1068" s="116">
        <v>63.75</v>
      </c>
      <c r="O1068" s="116">
        <v>61</v>
      </c>
      <c r="P1068" s="116">
        <v>63.3</v>
      </c>
      <c r="Q1068" s="116">
        <v>61.15</v>
      </c>
      <c r="R1068">
        <v>3202</v>
      </c>
    </row>
    <row r="1069" spans="1:18" x14ac:dyDescent="0.25">
      <c r="A1069" s="169">
        <v>43579</v>
      </c>
      <c r="B1069" s="116">
        <v>61.25</v>
      </c>
      <c r="C1069" s="116">
        <v>61</v>
      </c>
      <c r="D1069" s="116">
        <v>61</v>
      </c>
      <c r="E1069" s="116">
        <v>61.25</v>
      </c>
      <c r="F1069" s="116">
        <v>61</v>
      </c>
      <c r="G1069">
        <v>150</v>
      </c>
      <c r="H1069" s="116"/>
      <c r="I1069" s="116"/>
      <c r="L1069" s="169">
        <v>43578</v>
      </c>
      <c r="M1069" s="116">
        <v>61.35</v>
      </c>
      <c r="N1069" s="116">
        <v>62.1</v>
      </c>
      <c r="O1069" s="116">
        <v>60.7</v>
      </c>
      <c r="P1069" s="116">
        <v>60.7</v>
      </c>
      <c r="Q1069" s="116">
        <v>61.35</v>
      </c>
      <c r="R1069">
        <v>1211</v>
      </c>
    </row>
    <row r="1070" spans="1:18" x14ac:dyDescent="0.25">
      <c r="A1070" s="169">
        <v>43580</v>
      </c>
      <c r="B1070" s="116">
        <v>64.400000000000006</v>
      </c>
      <c r="C1070" s="116">
        <v>62.65</v>
      </c>
      <c r="D1070" s="116">
        <v>61</v>
      </c>
      <c r="E1070" s="116">
        <v>61</v>
      </c>
      <c r="F1070" s="116">
        <v>62.65</v>
      </c>
      <c r="G1070">
        <v>6586</v>
      </c>
      <c r="H1070" s="116"/>
      <c r="I1070" s="116"/>
      <c r="L1070" s="169">
        <v>43579</v>
      </c>
      <c r="M1070" s="116">
        <v>60.8</v>
      </c>
      <c r="N1070" s="116">
        <v>61.4</v>
      </c>
      <c r="O1070" s="116">
        <v>60.25</v>
      </c>
      <c r="P1070" s="116">
        <v>61.05</v>
      </c>
      <c r="Q1070" s="116">
        <v>60.8</v>
      </c>
      <c r="R1070">
        <v>1713</v>
      </c>
    </row>
    <row r="1071" spans="1:18" x14ac:dyDescent="0.25">
      <c r="A1071" s="169">
        <v>43581</v>
      </c>
      <c r="B1071" s="116">
        <v>63.15</v>
      </c>
      <c r="C1071" s="116">
        <v>61</v>
      </c>
      <c r="D1071" s="116">
        <v>60.95</v>
      </c>
      <c r="E1071" s="116">
        <v>61.05</v>
      </c>
      <c r="F1071" s="116">
        <v>61</v>
      </c>
      <c r="G1071">
        <v>2095</v>
      </c>
      <c r="H1071" s="116"/>
      <c r="I1071" s="116"/>
      <c r="L1071" s="169">
        <v>43580</v>
      </c>
      <c r="M1071" s="116">
        <v>62.55</v>
      </c>
      <c r="N1071" s="116">
        <v>65</v>
      </c>
      <c r="O1071" s="116">
        <v>60.3</v>
      </c>
      <c r="P1071" s="116">
        <v>60.6</v>
      </c>
      <c r="Q1071" s="116">
        <v>62.55</v>
      </c>
      <c r="R1071">
        <v>6897</v>
      </c>
    </row>
    <row r="1072" spans="1:18" x14ac:dyDescent="0.25">
      <c r="A1072" s="169">
        <v>43585</v>
      </c>
      <c r="B1072" s="116">
        <v>60.6</v>
      </c>
      <c r="C1072" s="116">
        <v>60.1</v>
      </c>
      <c r="D1072" s="116">
        <v>59.5</v>
      </c>
      <c r="E1072" s="116">
        <v>60.6</v>
      </c>
      <c r="F1072" s="116">
        <v>60.1</v>
      </c>
      <c r="G1072">
        <v>7558</v>
      </c>
      <c r="H1072" s="116"/>
      <c r="I1072" s="116"/>
      <c r="L1072" s="169">
        <v>43581</v>
      </c>
      <c r="M1072" s="116">
        <v>60.9</v>
      </c>
      <c r="N1072" s="116">
        <v>63.35</v>
      </c>
      <c r="O1072" s="116">
        <v>60.2</v>
      </c>
      <c r="P1072" s="116">
        <v>62.05</v>
      </c>
      <c r="Q1072" s="116">
        <v>60.9</v>
      </c>
      <c r="R1072">
        <v>4403</v>
      </c>
    </row>
    <row r="1073" spans="1:18" x14ac:dyDescent="0.25">
      <c r="A1073" s="169">
        <v>43587</v>
      </c>
      <c r="B1073" s="116">
        <v>61.5</v>
      </c>
      <c r="C1073" s="116">
        <v>59.15</v>
      </c>
      <c r="D1073" s="116">
        <v>58.1</v>
      </c>
      <c r="E1073" s="116">
        <v>59</v>
      </c>
      <c r="F1073" s="116">
        <v>59.15</v>
      </c>
      <c r="G1073">
        <v>1688</v>
      </c>
      <c r="H1073" s="116"/>
      <c r="I1073" s="116"/>
      <c r="L1073" s="169">
        <v>43585</v>
      </c>
      <c r="M1073" s="116">
        <v>59.85</v>
      </c>
      <c r="N1073" s="116">
        <v>61.7</v>
      </c>
      <c r="O1073" s="116">
        <v>59.5</v>
      </c>
      <c r="P1073" s="116">
        <v>60.2</v>
      </c>
      <c r="Q1073" s="116">
        <v>59.85</v>
      </c>
      <c r="R1073">
        <v>4579</v>
      </c>
    </row>
    <row r="1074" spans="1:18" x14ac:dyDescent="0.25">
      <c r="A1074" s="169">
        <v>43588</v>
      </c>
      <c r="B1074" s="116">
        <v>60.25</v>
      </c>
      <c r="C1074" s="116">
        <v>58.4</v>
      </c>
      <c r="D1074" s="116">
        <v>58.25</v>
      </c>
      <c r="E1074" s="116">
        <v>59.5</v>
      </c>
      <c r="F1074" s="116">
        <v>58.4</v>
      </c>
      <c r="G1074">
        <v>908</v>
      </c>
      <c r="H1074" s="116"/>
      <c r="I1074" s="116"/>
      <c r="L1074" s="169">
        <v>43587</v>
      </c>
      <c r="M1074" s="116">
        <v>59.1</v>
      </c>
      <c r="N1074" s="116">
        <v>61</v>
      </c>
      <c r="O1074" s="116">
        <v>58.65</v>
      </c>
      <c r="P1074" s="116">
        <v>60.45</v>
      </c>
      <c r="Q1074" s="116">
        <v>59.1</v>
      </c>
      <c r="R1074">
        <v>18551</v>
      </c>
    </row>
    <row r="1075" spans="1:18" x14ac:dyDescent="0.25">
      <c r="A1075" s="169">
        <v>43591</v>
      </c>
      <c r="B1075" s="116">
        <v>58.95</v>
      </c>
      <c r="C1075" s="116">
        <v>58.4</v>
      </c>
      <c r="D1075" s="116">
        <v>57</v>
      </c>
      <c r="E1075" s="116">
        <v>57.2</v>
      </c>
      <c r="F1075" s="116">
        <v>58.4</v>
      </c>
      <c r="G1075">
        <v>54</v>
      </c>
      <c r="H1075" s="116"/>
      <c r="I1075" s="116"/>
      <c r="L1075" s="169">
        <v>43588</v>
      </c>
      <c r="M1075" s="116">
        <v>58.85</v>
      </c>
      <c r="N1075" s="116">
        <v>59.75</v>
      </c>
      <c r="O1075" s="116">
        <v>58</v>
      </c>
      <c r="P1075" s="116">
        <v>59.3</v>
      </c>
      <c r="Q1075" s="116">
        <v>58.85</v>
      </c>
      <c r="R1075">
        <v>3024</v>
      </c>
    </row>
    <row r="1076" spans="1:18" x14ac:dyDescent="0.25">
      <c r="A1076" s="169">
        <v>43592</v>
      </c>
      <c r="B1076" s="116">
        <v>59</v>
      </c>
      <c r="C1076" s="116">
        <v>56.85</v>
      </c>
      <c r="D1076" s="116">
        <v>56.2</v>
      </c>
      <c r="E1076" s="116">
        <v>56.2</v>
      </c>
      <c r="F1076" s="116">
        <v>56.85</v>
      </c>
      <c r="G1076">
        <v>484</v>
      </c>
      <c r="H1076" s="116"/>
      <c r="I1076" s="116"/>
      <c r="L1076" s="169">
        <v>43591</v>
      </c>
      <c r="M1076" s="116">
        <v>57.9</v>
      </c>
      <c r="N1076" s="116">
        <v>58.5</v>
      </c>
      <c r="O1076" s="116">
        <v>57.85</v>
      </c>
      <c r="P1076" s="116">
        <v>58.5</v>
      </c>
      <c r="Q1076" s="116">
        <v>57.9</v>
      </c>
      <c r="R1076">
        <v>935</v>
      </c>
    </row>
    <row r="1077" spans="1:18" x14ac:dyDescent="0.25">
      <c r="A1077" s="169">
        <v>43593</v>
      </c>
      <c r="B1077" s="116">
        <v>57.95</v>
      </c>
      <c r="C1077" s="116">
        <v>55.35</v>
      </c>
      <c r="D1077" s="116">
        <v>53.2</v>
      </c>
      <c r="E1077" s="116">
        <v>53.2</v>
      </c>
      <c r="F1077" s="116">
        <v>55.35</v>
      </c>
      <c r="G1077">
        <v>2475</v>
      </c>
      <c r="H1077" s="116"/>
      <c r="I1077" s="116"/>
      <c r="L1077" s="169">
        <v>43592</v>
      </c>
      <c r="M1077" s="116">
        <v>56.6</v>
      </c>
      <c r="N1077" s="116">
        <v>58.2</v>
      </c>
      <c r="O1077" s="116">
        <v>56.15</v>
      </c>
      <c r="P1077" s="116">
        <v>57.4</v>
      </c>
      <c r="Q1077" s="116">
        <v>56.6</v>
      </c>
      <c r="R1077">
        <v>2652</v>
      </c>
    </row>
    <row r="1078" spans="1:18" x14ac:dyDescent="0.25">
      <c r="A1078" s="169">
        <v>43594</v>
      </c>
      <c r="B1078" s="116">
        <v>57</v>
      </c>
      <c r="C1078" s="116">
        <v>56.05</v>
      </c>
      <c r="D1078" s="116">
        <v>53</v>
      </c>
      <c r="E1078" s="116">
        <v>53</v>
      </c>
      <c r="F1078" s="116">
        <v>56.05</v>
      </c>
      <c r="G1078">
        <v>1444</v>
      </c>
      <c r="H1078" s="116"/>
      <c r="I1078" s="116"/>
      <c r="L1078" s="169">
        <v>43593</v>
      </c>
      <c r="M1078" s="116">
        <v>55.55</v>
      </c>
      <c r="N1078" s="116">
        <v>57.2</v>
      </c>
      <c r="O1078" s="116">
        <v>55.15</v>
      </c>
      <c r="P1078" s="116">
        <v>56.35</v>
      </c>
      <c r="Q1078" s="116">
        <v>55.55</v>
      </c>
      <c r="R1078">
        <v>5454</v>
      </c>
    </row>
    <row r="1079" spans="1:18" x14ac:dyDescent="0.25">
      <c r="A1079" s="169">
        <v>43595</v>
      </c>
      <c r="B1079" s="116">
        <v>57.1</v>
      </c>
      <c r="C1079" s="116">
        <v>56.15</v>
      </c>
      <c r="D1079" s="116">
        <v>55.25</v>
      </c>
      <c r="E1079" s="116">
        <v>57.1</v>
      </c>
      <c r="F1079" s="116">
        <v>56.15</v>
      </c>
      <c r="G1079">
        <v>180</v>
      </c>
      <c r="H1079" s="116"/>
      <c r="I1079" s="116"/>
      <c r="L1079" s="169">
        <v>43594</v>
      </c>
      <c r="M1079" s="116">
        <v>55.5</v>
      </c>
      <c r="N1079" s="116">
        <v>56.9</v>
      </c>
      <c r="O1079" s="116">
        <v>55.15</v>
      </c>
      <c r="P1079" s="116">
        <v>56.4</v>
      </c>
      <c r="Q1079" s="116">
        <v>55.5</v>
      </c>
      <c r="R1079">
        <v>4338</v>
      </c>
    </row>
    <row r="1080" spans="1:18" x14ac:dyDescent="0.25">
      <c r="A1080" s="169">
        <v>43598</v>
      </c>
      <c r="B1080" s="116">
        <v>57.4</v>
      </c>
      <c r="C1080" s="116">
        <v>55.05</v>
      </c>
      <c r="D1080" s="116">
        <v>55.05</v>
      </c>
      <c r="E1080" s="116">
        <v>55.05</v>
      </c>
      <c r="F1080" s="116">
        <v>55.05</v>
      </c>
      <c r="G1080">
        <v>349</v>
      </c>
      <c r="H1080" s="116"/>
      <c r="I1080" s="116"/>
      <c r="L1080" s="169">
        <v>43595</v>
      </c>
      <c r="M1080" s="116">
        <v>55.75</v>
      </c>
      <c r="N1080" s="116">
        <v>56.8</v>
      </c>
      <c r="O1080" s="116">
        <v>55.05</v>
      </c>
      <c r="P1080" s="116">
        <v>55.4</v>
      </c>
      <c r="Q1080" s="116">
        <v>55.75</v>
      </c>
      <c r="R1080">
        <v>1311</v>
      </c>
    </row>
    <row r="1081" spans="1:18" x14ac:dyDescent="0.25">
      <c r="A1081" s="169">
        <v>43599</v>
      </c>
      <c r="B1081" s="116">
        <v>56.1</v>
      </c>
      <c r="C1081" s="116">
        <v>54.65</v>
      </c>
      <c r="D1081" s="116">
        <v>54.05</v>
      </c>
      <c r="E1081" s="116">
        <v>56.1</v>
      </c>
      <c r="F1081" s="116">
        <v>54.65</v>
      </c>
      <c r="G1081">
        <v>436</v>
      </c>
      <c r="H1081" s="116"/>
      <c r="I1081" s="116"/>
      <c r="L1081" s="169">
        <v>43598</v>
      </c>
      <c r="M1081" s="116">
        <v>54.45</v>
      </c>
      <c r="N1081" s="116">
        <v>56.6</v>
      </c>
      <c r="O1081" s="116">
        <v>54.3</v>
      </c>
      <c r="P1081" s="116">
        <v>56.4</v>
      </c>
      <c r="Q1081" s="116">
        <v>54.45</v>
      </c>
      <c r="R1081">
        <v>1932</v>
      </c>
    </row>
    <row r="1082" spans="1:18" x14ac:dyDescent="0.25">
      <c r="A1082" s="169">
        <v>43600</v>
      </c>
      <c r="B1082" s="116">
        <v>58</v>
      </c>
      <c r="C1082" s="116">
        <v>54.45</v>
      </c>
      <c r="D1082" s="116">
        <v>52.85</v>
      </c>
      <c r="E1082" s="116">
        <v>58</v>
      </c>
      <c r="F1082" s="116">
        <v>54.45</v>
      </c>
      <c r="G1082">
        <v>4558</v>
      </c>
      <c r="H1082" s="116"/>
      <c r="I1082" s="116"/>
      <c r="L1082" s="169">
        <v>43599</v>
      </c>
      <c r="M1082" s="116">
        <v>53.5</v>
      </c>
      <c r="N1082" s="116">
        <v>55.3</v>
      </c>
      <c r="O1082" s="116">
        <v>53</v>
      </c>
      <c r="P1082" s="116">
        <v>54.05</v>
      </c>
      <c r="Q1082" s="116">
        <v>53.5</v>
      </c>
      <c r="R1082">
        <v>3248</v>
      </c>
    </row>
    <row r="1083" spans="1:18" x14ac:dyDescent="0.25">
      <c r="A1083" s="169">
        <v>43601</v>
      </c>
      <c r="B1083" s="116">
        <v>54</v>
      </c>
      <c r="C1083" s="116">
        <v>51.5</v>
      </c>
      <c r="D1083" s="116">
        <v>51.15</v>
      </c>
      <c r="E1083" s="116">
        <v>52.65</v>
      </c>
      <c r="F1083" s="116">
        <v>51.5</v>
      </c>
      <c r="G1083">
        <v>534</v>
      </c>
      <c r="H1083" s="116"/>
      <c r="I1083" s="116"/>
      <c r="L1083" s="169">
        <v>43600</v>
      </c>
      <c r="M1083" s="116">
        <v>53.45</v>
      </c>
      <c r="N1083" s="116">
        <v>55.8</v>
      </c>
      <c r="O1083" s="116">
        <v>52.8</v>
      </c>
      <c r="P1083" s="116">
        <v>54.25</v>
      </c>
      <c r="Q1083" s="116">
        <v>53.45</v>
      </c>
      <c r="R1083">
        <v>9252</v>
      </c>
    </row>
    <row r="1084" spans="1:18" x14ac:dyDescent="0.25">
      <c r="A1084" s="169">
        <v>43602</v>
      </c>
      <c r="B1084" s="116">
        <v>53</v>
      </c>
      <c r="C1084" s="116">
        <v>51.75</v>
      </c>
      <c r="D1084" s="116">
        <v>50.1</v>
      </c>
      <c r="E1084" s="116">
        <v>50.3</v>
      </c>
      <c r="F1084" s="116">
        <v>51.75</v>
      </c>
      <c r="G1084">
        <v>212</v>
      </c>
      <c r="H1084" s="116"/>
      <c r="I1084" s="116"/>
      <c r="L1084" s="169">
        <v>43601</v>
      </c>
      <c r="M1084" s="116">
        <v>51.15</v>
      </c>
      <c r="N1084" s="116">
        <v>54.3</v>
      </c>
      <c r="O1084" s="116">
        <v>50.1</v>
      </c>
      <c r="P1084" s="116">
        <v>53.15</v>
      </c>
      <c r="Q1084" s="116">
        <v>51.15</v>
      </c>
      <c r="R1084">
        <v>5884</v>
      </c>
    </row>
    <row r="1085" spans="1:18" x14ac:dyDescent="0.25">
      <c r="A1085" s="169">
        <v>43605</v>
      </c>
      <c r="B1085" s="116">
        <v>60.2</v>
      </c>
      <c r="C1085" s="116">
        <v>55</v>
      </c>
      <c r="D1085" s="116">
        <v>53.5</v>
      </c>
      <c r="E1085" s="116">
        <v>54.85</v>
      </c>
      <c r="F1085" s="116">
        <v>55</v>
      </c>
      <c r="G1085">
        <v>7198</v>
      </c>
      <c r="H1085" s="116"/>
      <c r="I1085" s="116"/>
      <c r="L1085" s="169">
        <v>43602</v>
      </c>
      <c r="M1085" s="116">
        <v>51</v>
      </c>
      <c r="N1085" s="116">
        <v>51.5</v>
      </c>
      <c r="O1085" s="116">
        <v>50.45</v>
      </c>
      <c r="P1085" s="116">
        <v>51.2</v>
      </c>
      <c r="Q1085" s="116">
        <v>51</v>
      </c>
      <c r="R1085">
        <v>2895</v>
      </c>
    </row>
    <row r="1086" spans="1:18" x14ac:dyDescent="0.25">
      <c r="A1086" s="169">
        <v>43606</v>
      </c>
      <c r="B1086" s="116">
        <v>56.05</v>
      </c>
      <c r="C1086" s="116">
        <v>54.8</v>
      </c>
      <c r="D1086" s="116">
        <v>53.75</v>
      </c>
      <c r="E1086" s="116">
        <v>54.8</v>
      </c>
      <c r="F1086" s="116">
        <v>54.8</v>
      </c>
      <c r="G1086">
        <v>4085</v>
      </c>
      <c r="H1086" s="116"/>
      <c r="I1086" s="116"/>
      <c r="L1086" s="169">
        <v>43605</v>
      </c>
      <c r="M1086" s="116">
        <v>54.65</v>
      </c>
      <c r="N1086" s="116">
        <v>58</v>
      </c>
      <c r="O1086" s="116">
        <v>51.35</v>
      </c>
      <c r="P1086" s="116">
        <v>54.8</v>
      </c>
      <c r="Q1086" s="116">
        <v>54.65</v>
      </c>
      <c r="R1086">
        <v>13807</v>
      </c>
    </row>
    <row r="1087" spans="1:18" x14ac:dyDescent="0.25">
      <c r="A1087" s="169">
        <v>43607</v>
      </c>
      <c r="B1087" s="116">
        <v>56.7</v>
      </c>
      <c r="C1087" s="116">
        <v>56.55</v>
      </c>
      <c r="D1087" s="116">
        <v>53</v>
      </c>
      <c r="E1087" s="116">
        <v>53.3</v>
      </c>
      <c r="F1087" s="116">
        <v>56.55</v>
      </c>
      <c r="G1087">
        <v>415</v>
      </c>
      <c r="H1087" s="116"/>
      <c r="I1087" s="116"/>
      <c r="L1087" s="169">
        <v>43606</v>
      </c>
      <c r="M1087" s="116">
        <v>54.6</v>
      </c>
      <c r="N1087" s="116">
        <v>57.8</v>
      </c>
      <c r="O1087" s="116">
        <v>54.25</v>
      </c>
      <c r="P1087" s="116">
        <v>57.8</v>
      </c>
      <c r="Q1087" s="116">
        <v>54.6</v>
      </c>
      <c r="R1087">
        <v>7234</v>
      </c>
    </row>
    <row r="1088" spans="1:18" x14ac:dyDescent="0.25">
      <c r="A1088" s="169">
        <v>43608</v>
      </c>
      <c r="B1088" s="116">
        <v>55.45</v>
      </c>
      <c r="C1088" s="116">
        <v>54.95</v>
      </c>
      <c r="D1088" s="116">
        <v>54.95</v>
      </c>
      <c r="E1088" s="116">
        <v>55.45</v>
      </c>
      <c r="F1088" s="116">
        <v>54.95</v>
      </c>
      <c r="G1088">
        <v>104</v>
      </c>
      <c r="H1088" s="116"/>
      <c r="I1088" s="116"/>
      <c r="L1088" s="169">
        <v>43607</v>
      </c>
      <c r="M1088" s="116">
        <v>56.15</v>
      </c>
      <c r="N1088" s="116">
        <v>57.45</v>
      </c>
      <c r="O1088" s="116">
        <v>53.3</v>
      </c>
      <c r="P1088" s="116">
        <v>55.4</v>
      </c>
      <c r="Q1088" s="116">
        <v>56.15</v>
      </c>
      <c r="R1088">
        <v>6001</v>
      </c>
    </row>
    <row r="1089" spans="1:18" x14ac:dyDescent="0.25">
      <c r="A1089" s="169">
        <v>43609</v>
      </c>
      <c r="B1089" s="116">
        <v>54.6</v>
      </c>
      <c r="C1089" s="116">
        <v>54.6</v>
      </c>
      <c r="D1089" s="116">
        <v>53.95</v>
      </c>
      <c r="E1089" s="116">
        <v>53.95</v>
      </c>
      <c r="F1089" s="116">
        <v>54.6</v>
      </c>
      <c r="G1089">
        <v>1400</v>
      </c>
      <c r="H1089" s="116"/>
      <c r="I1089" s="116"/>
      <c r="L1089" s="169">
        <v>43608</v>
      </c>
      <c r="M1089" s="116">
        <v>54.55</v>
      </c>
      <c r="N1089" s="116">
        <v>55.75</v>
      </c>
      <c r="O1089" s="116">
        <v>54.2</v>
      </c>
      <c r="P1089" s="116">
        <v>55</v>
      </c>
      <c r="Q1089" s="116">
        <v>54.55</v>
      </c>
      <c r="R1089">
        <v>3965</v>
      </c>
    </row>
    <row r="1090" spans="1:18" x14ac:dyDescent="0.25">
      <c r="A1090" s="169">
        <v>43612</v>
      </c>
      <c r="B1090" s="116">
        <v>56.3</v>
      </c>
      <c r="C1090" s="116">
        <v>55.3</v>
      </c>
      <c r="D1090" s="116">
        <v>55.05</v>
      </c>
      <c r="E1090" s="116">
        <v>55.05</v>
      </c>
      <c r="F1090" s="116">
        <v>55.3</v>
      </c>
      <c r="G1090">
        <v>1653</v>
      </c>
      <c r="H1090" s="116"/>
      <c r="I1090" s="116"/>
      <c r="L1090" s="169">
        <v>43609</v>
      </c>
      <c r="M1090" s="116">
        <v>56.85</v>
      </c>
      <c r="N1090" s="116">
        <v>57.2</v>
      </c>
      <c r="O1090" s="116">
        <v>54.15</v>
      </c>
      <c r="P1090" s="116">
        <v>54.25</v>
      </c>
      <c r="Q1090" s="116">
        <v>56.85</v>
      </c>
      <c r="R1090">
        <v>6753</v>
      </c>
    </row>
    <row r="1091" spans="1:18" x14ac:dyDescent="0.25">
      <c r="A1091" s="169">
        <v>43613</v>
      </c>
      <c r="B1091" s="116">
        <v>60.9</v>
      </c>
      <c r="C1091" s="116">
        <v>59.45</v>
      </c>
      <c r="D1091" s="116">
        <v>57</v>
      </c>
      <c r="E1091" s="116">
        <v>57</v>
      </c>
      <c r="F1091" s="116">
        <v>59.45</v>
      </c>
      <c r="G1091">
        <v>1302</v>
      </c>
      <c r="H1091" s="116"/>
      <c r="I1091" s="116"/>
      <c r="L1091" s="169">
        <v>43612</v>
      </c>
      <c r="M1091" s="116">
        <v>55.9</v>
      </c>
      <c r="N1091" s="116">
        <v>56.75</v>
      </c>
      <c r="O1091" s="116">
        <v>55.35</v>
      </c>
      <c r="P1091" s="116">
        <v>56.75</v>
      </c>
      <c r="Q1091" s="116">
        <v>55.9</v>
      </c>
      <c r="R1091">
        <v>6579</v>
      </c>
    </row>
    <row r="1092" spans="1:18" x14ac:dyDescent="0.25">
      <c r="A1092" s="169">
        <v>43614</v>
      </c>
      <c r="B1092" s="116">
        <v>63.5</v>
      </c>
      <c r="C1092" s="116">
        <v>60.45</v>
      </c>
      <c r="D1092" s="116">
        <v>58.25</v>
      </c>
      <c r="E1092" s="116">
        <v>60.2</v>
      </c>
      <c r="F1092" s="116">
        <v>60.45</v>
      </c>
      <c r="G1092">
        <v>2113</v>
      </c>
      <c r="H1092" s="116"/>
      <c r="I1092" s="116"/>
      <c r="L1092" s="169">
        <v>43613</v>
      </c>
      <c r="M1092" s="116">
        <v>59.75</v>
      </c>
      <c r="N1092" s="116">
        <v>61</v>
      </c>
      <c r="O1092" s="116">
        <v>56.5</v>
      </c>
      <c r="P1092" s="116">
        <v>58.4</v>
      </c>
      <c r="Q1092" s="116">
        <v>59.75</v>
      </c>
      <c r="R1092">
        <v>48835</v>
      </c>
    </row>
    <row r="1093" spans="1:18" x14ac:dyDescent="0.25">
      <c r="A1093" s="169">
        <v>43615</v>
      </c>
      <c r="B1093" s="116">
        <v>64.900000000000006</v>
      </c>
      <c r="C1093" s="116">
        <v>62.35</v>
      </c>
      <c r="D1093" s="116">
        <v>60.15</v>
      </c>
      <c r="E1093" s="116">
        <v>62</v>
      </c>
      <c r="F1093" s="116">
        <v>62.35</v>
      </c>
      <c r="G1093">
        <v>1084</v>
      </c>
      <c r="H1093" s="116"/>
      <c r="I1093" s="116"/>
      <c r="L1093" s="169">
        <v>43614</v>
      </c>
      <c r="M1093" s="116">
        <v>60.9</v>
      </c>
      <c r="N1093" s="116">
        <v>62.25</v>
      </c>
      <c r="O1093" s="116">
        <v>58.5</v>
      </c>
      <c r="P1093" s="116">
        <v>60.9</v>
      </c>
      <c r="Q1093" s="116">
        <v>60.9</v>
      </c>
      <c r="R1093">
        <v>36214</v>
      </c>
    </row>
    <row r="1094" spans="1:18" x14ac:dyDescent="0.25">
      <c r="A1094" s="169">
        <v>43616</v>
      </c>
      <c r="B1094" s="116">
        <v>64.900000000000006</v>
      </c>
      <c r="C1094" s="116">
        <v>63.7</v>
      </c>
      <c r="D1094" s="116">
        <v>60.6</v>
      </c>
      <c r="E1094" s="116">
        <v>60.65</v>
      </c>
      <c r="F1094" s="116">
        <v>63.7</v>
      </c>
      <c r="G1094">
        <v>1784</v>
      </c>
      <c r="H1094" s="116"/>
      <c r="I1094" s="116"/>
      <c r="L1094" s="169">
        <v>43615</v>
      </c>
      <c r="M1094" s="116">
        <v>62.3</v>
      </c>
      <c r="N1094" s="116">
        <v>62.7</v>
      </c>
      <c r="O1094" s="116">
        <v>59.2</v>
      </c>
      <c r="P1094" s="116">
        <v>59.25</v>
      </c>
      <c r="Q1094" s="116">
        <v>62.3</v>
      </c>
      <c r="R1094">
        <v>25913</v>
      </c>
    </row>
    <row r="1095" spans="1:18" x14ac:dyDescent="0.25">
      <c r="A1095" s="169">
        <v>43619</v>
      </c>
      <c r="B1095" s="116">
        <v>63.95</v>
      </c>
      <c r="C1095" s="116">
        <v>63.45</v>
      </c>
      <c r="D1095" s="116">
        <v>58.2</v>
      </c>
      <c r="E1095" s="116">
        <v>63</v>
      </c>
      <c r="F1095" s="116">
        <v>63.45</v>
      </c>
      <c r="G1095">
        <v>678</v>
      </c>
      <c r="H1095" s="116"/>
      <c r="I1095" s="116"/>
      <c r="L1095" s="169">
        <v>43616</v>
      </c>
      <c r="M1095" s="116">
        <v>63.3</v>
      </c>
      <c r="N1095" s="116">
        <v>64.2</v>
      </c>
      <c r="O1095" s="116">
        <v>61</v>
      </c>
      <c r="P1095" s="116">
        <v>64</v>
      </c>
      <c r="Q1095" s="116">
        <v>63.3</v>
      </c>
      <c r="R1095">
        <v>18782</v>
      </c>
    </row>
    <row r="1096" spans="1:18" x14ac:dyDescent="0.25">
      <c r="A1096" s="169">
        <v>43620</v>
      </c>
      <c r="B1096" s="116">
        <v>63.25</v>
      </c>
      <c r="C1096" s="116">
        <v>61.2</v>
      </c>
      <c r="D1096" s="116">
        <v>61</v>
      </c>
      <c r="E1096" s="116">
        <v>61.05</v>
      </c>
      <c r="F1096" s="116">
        <v>61.2</v>
      </c>
      <c r="G1096">
        <v>6102</v>
      </c>
      <c r="H1096" s="116"/>
      <c r="I1096" s="116"/>
      <c r="L1096" s="169">
        <v>43619</v>
      </c>
      <c r="M1096" s="116">
        <v>62.9</v>
      </c>
      <c r="N1096" s="116">
        <v>63.5</v>
      </c>
      <c r="O1096" s="116">
        <v>60.5</v>
      </c>
      <c r="P1096" s="116">
        <v>63.3</v>
      </c>
      <c r="Q1096" s="116">
        <v>62.9</v>
      </c>
      <c r="R1096">
        <v>3183</v>
      </c>
    </row>
    <row r="1097" spans="1:18" x14ac:dyDescent="0.25">
      <c r="A1097" s="169">
        <v>43623</v>
      </c>
      <c r="B1097" s="116">
        <v>59.55</v>
      </c>
      <c r="C1097" s="116">
        <v>59.5</v>
      </c>
      <c r="D1097" s="116">
        <v>59.5</v>
      </c>
      <c r="E1097" s="116">
        <v>59.55</v>
      </c>
      <c r="F1097" s="116">
        <v>59.5</v>
      </c>
      <c r="G1097">
        <v>36</v>
      </c>
      <c r="H1097" s="116"/>
      <c r="I1097" s="116"/>
      <c r="L1097" s="169">
        <v>43620</v>
      </c>
      <c r="M1097" s="116">
        <v>60.85</v>
      </c>
      <c r="N1097" s="116">
        <v>63.35</v>
      </c>
      <c r="O1097" s="116">
        <v>59.3</v>
      </c>
      <c r="P1097" s="116">
        <v>60.95</v>
      </c>
      <c r="Q1097" s="116">
        <v>60.85</v>
      </c>
      <c r="R1097">
        <v>53873</v>
      </c>
    </row>
    <row r="1098" spans="1:18" x14ac:dyDescent="0.25">
      <c r="A1098" s="169">
        <v>43626</v>
      </c>
      <c r="B1098" s="116">
        <v>58.9</v>
      </c>
      <c r="C1098" s="116">
        <v>57.05</v>
      </c>
      <c r="D1098" s="116">
        <v>56.1</v>
      </c>
      <c r="E1098" s="116">
        <v>57.6</v>
      </c>
      <c r="F1098" s="116">
        <v>57.05</v>
      </c>
      <c r="G1098">
        <v>1046</v>
      </c>
      <c r="H1098" s="116"/>
      <c r="I1098" s="116"/>
      <c r="L1098" s="169">
        <v>43622</v>
      </c>
      <c r="M1098" s="116">
        <v>60.35</v>
      </c>
      <c r="N1098" s="116">
        <v>62.1</v>
      </c>
      <c r="O1098" s="116">
        <v>60</v>
      </c>
      <c r="P1098" s="116">
        <v>62</v>
      </c>
      <c r="Q1098" s="116">
        <v>60.35</v>
      </c>
      <c r="R1098">
        <v>3716</v>
      </c>
    </row>
    <row r="1099" spans="1:18" x14ac:dyDescent="0.25">
      <c r="A1099" s="169">
        <v>43627</v>
      </c>
      <c r="B1099" s="116">
        <v>55.55</v>
      </c>
      <c r="C1099" s="116">
        <v>55.5</v>
      </c>
      <c r="D1099" s="116">
        <v>55.5</v>
      </c>
      <c r="E1099" s="116">
        <v>55.55</v>
      </c>
      <c r="F1099" s="116">
        <v>55.5</v>
      </c>
      <c r="G1099">
        <v>101</v>
      </c>
      <c r="H1099" s="116"/>
      <c r="I1099" s="116"/>
      <c r="L1099" s="169">
        <v>43623</v>
      </c>
      <c r="M1099" s="116">
        <v>57.9</v>
      </c>
      <c r="N1099" s="116">
        <v>64</v>
      </c>
      <c r="O1099" s="116">
        <v>57.6</v>
      </c>
      <c r="P1099" s="116">
        <v>64</v>
      </c>
      <c r="Q1099" s="116">
        <v>57.9</v>
      </c>
      <c r="R1099">
        <v>4192</v>
      </c>
    </row>
    <row r="1100" spans="1:18" x14ac:dyDescent="0.25">
      <c r="A1100" s="169">
        <v>43628</v>
      </c>
      <c r="B1100" s="116">
        <v>60.5</v>
      </c>
      <c r="C1100" s="116">
        <v>55.1</v>
      </c>
      <c r="D1100" s="116">
        <v>53.6</v>
      </c>
      <c r="E1100" s="116">
        <v>57</v>
      </c>
      <c r="F1100" s="116">
        <v>55.1</v>
      </c>
      <c r="G1100">
        <v>6604</v>
      </c>
      <c r="H1100" s="116"/>
      <c r="I1100" s="116"/>
      <c r="L1100" s="169">
        <v>43626</v>
      </c>
      <c r="M1100" s="116">
        <v>57</v>
      </c>
      <c r="N1100" s="116">
        <v>61</v>
      </c>
      <c r="O1100" s="116">
        <v>57</v>
      </c>
      <c r="P1100" s="116">
        <v>61</v>
      </c>
      <c r="Q1100" s="116">
        <v>57</v>
      </c>
      <c r="R1100">
        <v>3199</v>
      </c>
    </row>
    <row r="1101" spans="1:18" x14ac:dyDescent="0.25">
      <c r="A1101" s="169">
        <v>43629</v>
      </c>
      <c r="B1101" s="116">
        <v>55.45</v>
      </c>
      <c r="C1101" s="116">
        <v>54</v>
      </c>
      <c r="D1101" s="116">
        <v>54</v>
      </c>
      <c r="E1101" s="116">
        <v>54</v>
      </c>
      <c r="F1101" s="116">
        <v>54</v>
      </c>
      <c r="G1101">
        <v>1407</v>
      </c>
      <c r="H1101" s="116"/>
      <c r="I1101" s="116"/>
      <c r="L1101" s="169">
        <v>43627</v>
      </c>
      <c r="M1101" s="116">
        <v>55</v>
      </c>
      <c r="N1101" s="116">
        <v>58.7</v>
      </c>
      <c r="O1101" s="116">
        <v>54.15</v>
      </c>
      <c r="P1101" s="116">
        <v>58</v>
      </c>
      <c r="Q1101" s="116">
        <v>55</v>
      </c>
      <c r="R1101">
        <v>6345</v>
      </c>
    </row>
    <row r="1102" spans="1:18" x14ac:dyDescent="0.25">
      <c r="A1102" s="169">
        <v>43630</v>
      </c>
      <c r="B1102" s="116">
        <v>54.4</v>
      </c>
      <c r="C1102" s="116">
        <v>52.4</v>
      </c>
      <c r="D1102" s="116">
        <v>52.25</v>
      </c>
      <c r="E1102" s="116">
        <v>52.25</v>
      </c>
      <c r="F1102" s="116">
        <v>52.4</v>
      </c>
      <c r="G1102">
        <v>1172</v>
      </c>
      <c r="H1102" s="116"/>
      <c r="I1102" s="116"/>
      <c r="L1102" s="169">
        <v>43628</v>
      </c>
      <c r="M1102" s="116">
        <v>54.6</v>
      </c>
      <c r="N1102" s="116">
        <v>56.55</v>
      </c>
      <c r="O1102" s="116">
        <v>54.2</v>
      </c>
      <c r="P1102" s="116">
        <v>55</v>
      </c>
      <c r="Q1102" s="116">
        <v>54.6</v>
      </c>
      <c r="R1102">
        <v>10201</v>
      </c>
    </row>
    <row r="1103" spans="1:18" x14ac:dyDescent="0.25">
      <c r="A1103" s="169">
        <v>43633</v>
      </c>
      <c r="B1103" s="116">
        <v>54.9</v>
      </c>
      <c r="C1103" s="116">
        <v>52.75</v>
      </c>
      <c r="D1103" s="116">
        <v>51.5</v>
      </c>
      <c r="E1103" s="116">
        <v>52.1</v>
      </c>
      <c r="F1103" s="116">
        <v>52.75</v>
      </c>
      <c r="G1103">
        <v>1301</v>
      </c>
      <c r="H1103" s="116"/>
      <c r="I1103" s="116"/>
      <c r="L1103" s="169">
        <v>43629</v>
      </c>
      <c r="M1103" s="116">
        <v>53.5</v>
      </c>
      <c r="N1103" s="116">
        <v>54.75</v>
      </c>
      <c r="O1103" s="116">
        <v>53</v>
      </c>
      <c r="P1103" s="116">
        <v>54.25</v>
      </c>
      <c r="Q1103" s="116">
        <v>53.5</v>
      </c>
      <c r="R1103">
        <v>8940</v>
      </c>
    </row>
    <row r="1104" spans="1:18" x14ac:dyDescent="0.25">
      <c r="A1104" s="169">
        <v>43634</v>
      </c>
      <c r="B1104" s="116">
        <v>53</v>
      </c>
      <c r="C1104" s="116">
        <v>52.2</v>
      </c>
      <c r="D1104" s="116">
        <v>51</v>
      </c>
      <c r="E1104" s="116">
        <v>51</v>
      </c>
      <c r="F1104" s="116">
        <v>52.2</v>
      </c>
      <c r="G1104">
        <v>1246</v>
      </c>
      <c r="H1104" s="116"/>
      <c r="I1104" s="116"/>
      <c r="L1104" s="169">
        <v>43630</v>
      </c>
      <c r="M1104" s="116">
        <v>52.55</v>
      </c>
      <c r="N1104" s="116">
        <v>53.95</v>
      </c>
      <c r="O1104" s="116">
        <v>52.5</v>
      </c>
      <c r="P1104" s="116">
        <v>53.35</v>
      </c>
      <c r="Q1104" s="116">
        <v>52.55</v>
      </c>
      <c r="R1104">
        <v>1396</v>
      </c>
    </row>
    <row r="1105" spans="1:18" x14ac:dyDescent="0.25">
      <c r="A1105" s="169">
        <v>43635</v>
      </c>
      <c r="B1105" s="116">
        <v>54.8</v>
      </c>
      <c r="C1105" s="116">
        <v>51.4</v>
      </c>
      <c r="D1105" s="116">
        <v>50.25</v>
      </c>
      <c r="E1105" s="116">
        <v>50.3</v>
      </c>
      <c r="F1105" s="116">
        <v>51.4</v>
      </c>
      <c r="G1105">
        <v>4025</v>
      </c>
      <c r="H1105" s="116"/>
      <c r="I1105" s="116"/>
      <c r="L1105" s="169">
        <v>43633</v>
      </c>
      <c r="M1105" s="116">
        <v>52.6</v>
      </c>
      <c r="N1105" s="116">
        <v>53.5</v>
      </c>
      <c r="O1105" s="116">
        <v>51.1</v>
      </c>
      <c r="P1105" s="116">
        <v>52.35</v>
      </c>
      <c r="Q1105" s="116">
        <v>52.6</v>
      </c>
      <c r="R1105">
        <v>3027</v>
      </c>
    </row>
    <row r="1106" spans="1:18" x14ac:dyDescent="0.25">
      <c r="A1106" s="169">
        <v>43636</v>
      </c>
      <c r="B1106" s="116">
        <v>53.95</v>
      </c>
      <c r="C1106" s="116">
        <v>51.65</v>
      </c>
      <c r="D1106" s="116">
        <v>50.05</v>
      </c>
      <c r="E1106" s="116">
        <v>52</v>
      </c>
      <c r="F1106" s="116">
        <v>51.65</v>
      </c>
      <c r="G1106">
        <v>1011</v>
      </c>
      <c r="H1106" s="116"/>
      <c r="I1106" s="116"/>
      <c r="L1106" s="169">
        <v>43634</v>
      </c>
      <c r="M1106" s="116">
        <v>52.45</v>
      </c>
      <c r="N1106" s="116">
        <v>55.5</v>
      </c>
      <c r="O1106" s="116">
        <v>52</v>
      </c>
      <c r="P1106" s="116">
        <v>55.5</v>
      </c>
      <c r="Q1106" s="116">
        <v>52.45</v>
      </c>
      <c r="R1106">
        <v>2666</v>
      </c>
    </row>
    <row r="1107" spans="1:18" x14ac:dyDescent="0.25">
      <c r="A1107" s="169">
        <v>43637</v>
      </c>
      <c r="B1107" s="116">
        <v>53.75</v>
      </c>
      <c r="C1107" s="116">
        <v>52.5</v>
      </c>
      <c r="D1107" s="116">
        <v>51</v>
      </c>
      <c r="E1107" s="116">
        <v>52.25</v>
      </c>
      <c r="F1107" s="116">
        <v>52.5</v>
      </c>
      <c r="G1107">
        <v>443</v>
      </c>
      <c r="H1107" s="116"/>
      <c r="I1107" s="116"/>
      <c r="L1107" s="169">
        <v>43635</v>
      </c>
      <c r="M1107" s="116">
        <v>51.8</v>
      </c>
      <c r="N1107" s="116">
        <v>53.85</v>
      </c>
      <c r="O1107" s="116">
        <v>51</v>
      </c>
      <c r="P1107" s="116">
        <v>52.15</v>
      </c>
      <c r="Q1107" s="116">
        <v>51.8</v>
      </c>
      <c r="R1107">
        <v>4485</v>
      </c>
    </row>
    <row r="1108" spans="1:18" x14ac:dyDescent="0.25">
      <c r="A1108" s="169">
        <v>43640</v>
      </c>
      <c r="B1108" s="116">
        <v>53.5</v>
      </c>
      <c r="C1108" s="116">
        <v>51.05</v>
      </c>
      <c r="D1108" s="116">
        <v>50.15</v>
      </c>
      <c r="E1108" s="116">
        <v>53.5</v>
      </c>
      <c r="F1108" s="116">
        <v>51.05</v>
      </c>
      <c r="G1108">
        <v>1625</v>
      </c>
      <c r="H1108" s="116"/>
      <c r="I1108" s="116"/>
      <c r="L1108" s="169">
        <v>43636</v>
      </c>
      <c r="M1108" s="116">
        <v>50.8</v>
      </c>
      <c r="N1108" s="116">
        <v>51.95</v>
      </c>
      <c r="O1108" s="116">
        <v>50</v>
      </c>
      <c r="P1108" s="116">
        <v>50.1</v>
      </c>
      <c r="Q1108" s="116">
        <v>50.8</v>
      </c>
      <c r="R1108">
        <v>3269</v>
      </c>
    </row>
    <row r="1109" spans="1:18" x14ac:dyDescent="0.25">
      <c r="A1109" s="169">
        <v>43641</v>
      </c>
      <c r="B1109" s="116">
        <v>53.6</v>
      </c>
      <c r="C1109" s="116">
        <v>51.6</v>
      </c>
      <c r="D1109" s="116">
        <v>50.5</v>
      </c>
      <c r="E1109" s="116">
        <v>53</v>
      </c>
      <c r="F1109" s="116">
        <v>51.6</v>
      </c>
      <c r="G1109">
        <v>3020</v>
      </c>
      <c r="H1109" s="116"/>
      <c r="I1109" s="116"/>
      <c r="L1109" s="169">
        <v>43637</v>
      </c>
      <c r="M1109" s="116">
        <v>52.2</v>
      </c>
      <c r="N1109" s="116">
        <v>52.7</v>
      </c>
      <c r="O1109" s="116">
        <v>50</v>
      </c>
      <c r="P1109" s="116">
        <v>50</v>
      </c>
      <c r="Q1109" s="116">
        <v>52.2</v>
      </c>
      <c r="R1109">
        <v>5627</v>
      </c>
    </row>
    <row r="1110" spans="1:18" x14ac:dyDescent="0.25">
      <c r="A1110" s="169">
        <v>43643</v>
      </c>
      <c r="B1110" s="116">
        <v>54.35</v>
      </c>
      <c r="C1110" s="116">
        <v>52.45</v>
      </c>
      <c r="D1110" s="116">
        <v>51.1</v>
      </c>
      <c r="E1110" s="116">
        <v>52.4</v>
      </c>
      <c r="F1110" s="116">
        <v>52.45</v>
      </c>
      <c r="G1110">
        <v>1518</v>
      </c>
      <c r="H1110" s="116"/>
      <c r="I1110" s="116"/>
      <c r="L1110" s="169">
        <v>43640</v>
      </c>
      <c r="M1110" s="116">
        <v>51.55</v>
      </c>
      <c r="N1110" s="116">
        <v>54.5</v>
      </c>
      <c r="O1110" s="116">
        <v>50.5</v>
      </c>
      <c r="P1110" s="116">
        <v>50.5</v>
      </c>
      <c r="Q1110" s="116">
        <v>51.55</v>
      </c>
      <c r="R1110">
        <v>2448</v>
      </c>
    </row>
    <row r="1111" spans="1:18" x14ac:dyDescent="0.25">
      <c r="A1111" s="169">
        <v>43644</v>
      </c>
      <c r="B1111" s="116">
        <v>55.8</v>
      </c>
      <c r="C1111" s="116">
        <v>52.05</v>
      </c>
      <c r="D1111" s="116">
        <v>50.3</v>
      </c>
      <c r="E1111" s="116">
        <v>50.3</v>
      </c>
      <c r="F1111" s="116">
        <v>52.05</v>
      </c>
      <c r="G1111">
        <v>4554</v>
      </c>
      <c r="H1111" s="116"/>
      <c r="I1111" s="116"/>
      <c r="L1111" s="169">
        <v>43641</v>
      </c>
      <c r="M1111" s="116">
        <v>51.3</v>
      </c>
      <c r="N1111" s="116">
        <v>52.05</v>
      </c>
      <c r="O1111" s="116">
        <v>50.3</v>
      </c>
      <c r="P1111" s="116">
        <v>50.3</v>
      </c>
      <c r="Q1111" s="116">
        <v>51.3</v>
      </c>
      <c r="R1111">
        <v>761</v>
      </c>
    </row>
    <row r="1112" spans="1:18" x14ac:dyDescent="0.25">
      <c r="A1112" s="169">
        <v>43647</v>
      </c>
      <c r="B1112" s="116">
        <v>55.9</v>
      </c>
      <c r="C1112" s="116">
        <v>53</v>
      </c>
      <c r="D1112" s="116">
        <v>52.1</v>
      </c>
      <c r="E1112" s="116">
        <v>55.9</v>
      </c>
      <c r="F1112" s="116">
        <v>53</v>
      </c>
      <c r="G1112">
        <v>981</v>
      </c>
      <c r="H1112" s="116"/>
      <c r="I1112" s="116"/>
      <c r="L1112" s="169">
        <v>43642</v>
      </c>
      <c r="M1112" s="116">
        <v>51.05</v>
      </c>
      <c r="N1112" s="116">
        <v>52.35</v>
      </c>
      <c r="O1112" s="116">
        <v>50.3</v>
      </c>
      <c r="P1112" s="116">
        <v>50.3</v>
      </c>
      <c r="Q1112" s="116">
        <v>51.05</v>
      </c>
      <c r="R1112">
        <v>2012</v>
      </c>
    </row>
    <row r="1113" spans="1:18" x14ac:dyDescent="0.25">
      <c r="A1113" s="169">
        <v>43648</v>
      </c>
      <c r="B1113" s="116">
        <v>53.6</v>
      </c>
      <c r="C1113" s="116">
        <v>51.2</v>
      </c>
      <c r="D1113" s="116">
        <v>51.2</v>
      </c>
      <c r="E1113" s="116">
        <v>53.05</v>
      </c>
      <c r="F1113" s="116">
        <v>51.2</v>
      </c>
      <c r="G1113">
        <v>7345</v>
      </c>
      <c r="H1113" s="116"/>
      <c r="I1113" s="116"/>
      <c r="L1113" s="169">
        <v>43643</v>
      </c>
      <c r="M1113" s="116">
        <v>51.75</v>
      </c>
      <c r="N1113" s="116">
        <v>53.15</v>
      </c>
      <c r="O1113" s="116">
        <v>50.05</v>
      </c>
      <c r="P1113" s="116">
        <v>50.45</v>
      </c>
      <c r="Q1113" s="116">
        <v>51.75</v>
      </c>
      <c r="R1113">
        <v>8206</v>
      </c>
    </row>
    <row r="1114" spans="1:18" x14ac:dyDescent="0.25">
      <c r="A1114" s="169">
        <v>43649</v>
      </c>
      <c r="B1114" s="116">
        <v>56.5</v>
      </c>
      <c r="C1114" s="116">
        <v>52.7</v>
      </c>
      <c r="D1114" s="116">
        <v>51.4</v>
      </c>
      <c r="E1114" s="116">
        <v>56.5</v>
      </c>
      <c r="F1114" s="116">
        <v>52.7</v>
      </c>
      <c r="G1114">
        <v>3061</v>
      </c>
      <c r="H1114" s="116"/>
      <c r="I1114" s="116"/>
      <c r="L1114" s="169">
        <v>43644</v>
      </c>
      <c r="M1114" s="116">
        <v>52</v>
      </c>
      <c r="N1114" s="116">
        <v>54.5</v>
      </c>
      <c r="O1114" s="116">
        <v>50.3</v>
      </c>
      <c r="P1114" s="116">
        <v>50.3</v>
      </c>
      <c r="Q1114" s="116">
        <v>52</v>
      </c>
      <c r="R1114">
        <v>2605</v>
      </c>
    </row>
    <row r="1115" spans="1:18" x14ac:dyDescent="0.25">
      <c r="A1115" s="169">
        <v>43650</v>
      </c>
      <c r="B1115" s="116">
        <v>54.95</v>
      </c>
      <c r="C1115" s="116">
        <v>53.25</v>
      </c>
      <c r="D1115" s="116">
        <v>52.85</v>
      </c>
      <c r="E1115" s="116">
        <v>54.8</v>
      </c>
      <c r="F1115" s="116">
        <v>53.25</v>
      </c>
      <c r="G1115">
        <v>784</v>
      </c>
      <c r="H1115" s="116"/>
      <c r="I1115" s="116"/>
      <c r="L1115" s="169">
        <v>43647</v>
      </c>
      <c r="M1115" s="116">
        <v>52.8</v>
      </c>
      <c r="N1115" s="116">
        <v>53.05</v>
      </c>
      <c r="O1115" s="116">
        <v>50.25</v>
      </c>
      <c r="P1115" s="116">
        <v>50.25</v>
      </c>
      <c r="Q1115" s="116">
        <v>52.8</v>
      </c>
      <c r="R1115">
        <v>1333</v>
      </c>
    </row>
    <row r="1116" spans="1:18" x14ac:dyDescent="0.25">
      <c r="A1116" s="169">
        <v>43651</v>
      </c>
      <c r="B1116" s="116">
        <v>53.3</v>
      </c>
      <c r="C1116" s="116">
        <v>51.8</v>
      </c>
      <c r="D1116" s="116">
        <v>51.8</v>
      </c>
      <c r="E1116" s="116">
        <v>52</v>
      </c>
      <c r="F1116" s="116">
        <v>51.8</v>
      </c>
      <c r="G1116">
        <v>3992</v>
      </c>
      <c r="H1116" s="116"/>
      <c r="I1116" s="116"/>
      <c r="L1116" s="169">
        <v>43648</v>
      </c>
      <c r="M1116" s="116">
        <v>52.4</v>
      </c>
      <c r="N1116" s="116">
        <v>54.45</v>
      </c>
      <c r="O1116" s="116">
        <v>50.5</v>
      </c>
      <c r="P1116" s="116">
        <v>50.5</v>
      </c>
      <c r="Q1116" s="116">
        <v>52.4</v>
      </c>
      <c r="R1116">
        <v>1092</v>
      </c>
    </row>
    <row r="1117" spans="1:18" x14ac:dyDescent="0.25">
      <c r="A1117" s="169">
        <v>43654</v>
      </c>
      <c r="B1117" s="116">
        <v>53.5</v>
      </c>
      <c r="C1117" s="116">
        <v>51.6</v>
      </c>
      <c r="D1117" s="116">
        <v>51.3</v>
      </c>
      <c r="E1117" s="116">
        <v>53.5</v>
      </c>
      <c r="F1117" s="116">
        <v>51.6</v>
      </c>
      <c r="G1117">
        <v>4030</v>
      </c>
      <c r="H1117" s="116"/>
      <c r="I1117" s="116"/>
      <c r="L1117" s="169">
        <v>43649</v>
      </c>
      <c r="M1117" s="116">
        <v>53.1</v>
      </c>
      <c r="N1117" s="116">
        <v>54.95</v>
      </c>
      <c r="O1117" s="116">
        <v>50.05</v>
      </c>
      <c r="P1117" s="116">
        <v>50.05</v>
      </c>
      <c r="Q1117" s="116">
        <v>53.1</v>
      </c>
      <c r="R1117">
        <v>2763</v>
      </c>
    </row>
    <row r="1118" spans="1:18" x14ac:dyDescent="0.25">
      <c r="A1118" s="169">
        <v>43655</v>
      </c>
      <c r="B1118" s="116">
        <v>52.55</v>
      </c>
      <c r="C1118" s="116">
        <v>51.1</v>
      </c>
      <c r="D1118" s="116">
        <v>50.9</v>
      </c>
      <c r="E1118" s="116">
        <v>51.05</v>
      </c>
      <c r="F1118" s="116">
        <v>51.1</v>
      </c>
      <c r="G1118">
        <v>1444</v>
      </c>
      <c r="H1118" s="116"/>
      <c r="I1118" s="116"/>
      <c r="L1118" s="169">
        <v>43650</v>
      </c>
      <c r="M1118" s="116">
        <v>53.05</v>
      </c>
      <c r="N1118" s="116">
        <v>54.75</v>
      </c>
      <c r="O1118" s="116">
        <v>52.05</v>
      </c>
      <c r="P1118" s="116">
        <v>52.05</v>
      </c>
      <c r="Q1118" s="116">
        <v>53.05</v>
      </c>
      <c r="R1118">
        <v>1646</v>
      </c>
    </row>
    <row r="1119" spans="1:18" x14ac:dyDescent="0.25">
      <c r="A1119" s="169">
        <v>43656</v>
      </c>
      <c r="B1119" s="116">
        <v>52.5</v>
      </c>
      <c r="C1119" s="116">
        <v>51.65</v>
      </c>
      <c r="D1119" s="116">
        <v>51.65</v>
      </c>
      <c r="E1119" s="116">
        <v>52.5</v>
      </c>
      <c r="F1119" s="116">
        <v>51.65</v>
      </c>
      <c r="G1119">
        <v>115</v>
      </c>
      <c r="H1119" s="116"/>
      <c r="I1119" s="116"/>
      <c r="L1119" s="169">
        <v>43651</v>
      </c>
      <c r="M1119" s="116">
        <v>51.85</v>
      </c>
      <c r="N1119" s="116">
        <v>53.2</v>
      </c>
      <c r="O1119" s="116">
        <v>51.5</v>
      </c>
      <c r="P1119" s="116">
        <v>51.7</v>
      </c>
      <c r="Q1119" s="116">
        <v>51.85</v>
      </c>
      <c r="R1119">
        <v>1716</v>
      </c>
    </row>
    <row r="1120" spans="1:18" x14ac:dyDescent="0.25">
      <c r="A1120" s="169">
        <v>43657</v>
      </c>
      <c r="B1120" s="116">
        <v>51.5</v>
      </c>
      <c r="C1120" s="116">
        <v>50.55</v>
      </c>
      <c r="D1120" s="116">
        <v>50.2</v>
      </c>
      <c r="E1120" s="116">
        <v>51.1</v>
      </c>
      <c r="F1120" s="116">
        <v>50.55</v>
      </c>
      <c r="G1120">
        <v>504</v>
      </c>
      <c r="H1120" s="116"/>
      <c r="I1120" s="116"/>
      <c r="L1120" s="169">
        <v>43654</v>
      </c>
      <c r="M1120" s="116">
        <v>51.6</v>
      </c>
      <c r="N1120" s="116">
        <v>52</v>
      </c>
      <c r="O1120" s="116">
        <v>50.25</v>
      </c>
      <c r="P1120" s="116">
        <v>50.25</v>
      </c>
      <c r="Q1120" s="116">
        <v>51.6</v>
      </c>
      <c r="R1120">
        <v>2404</v>
      </c>
    </row>
    <row r="1121" spans="1:18" x14ac:dyDescent="0.25">
      <c r="A1121" s="169">
        <v>43658</v>
      </c>
      <c r="B1121" s="116">
        <v>54.05</v>
      </c>
      <c r="C1121" s="116">
        <v>50.9</v>
      </c>
      <c r="D1121" s="116">
        <v>50.9</v>
      </c>
      <c r="E1121" s="116">
        <v>53</v>
      </c>
      <c r="F1121" s="116">
        <v>50.9</v>
      </c>
      <c r="G1121">
        <v>4820</v>
      </c>
      <c r="H1121" s="116"/>
      <c r="I1121" s="116"/>
      <c r="L1121" s="169">
        <v>43655</v>
      </c>
      <c r="M1121" s="116">
        <v>51.35</v>
      </c>
      <c r="N1121" s="116">
        <v>52.75</v>
      </c>
      <c r="O1121" s="116">
        <v>50</v>
      </c>
      <c r="P1121" s="116">
        <v>51.1</v>
      </c>
      <c r="Q1121" s="116">
        <v>51.35</v>
      </c>
      <c r="R1121">
        <v>2279</v>
      </c>
    </row>
    <row r="1122" spans="1:18" x14ac:dyDescent="0.25">
      <c r="A1122" s="169">
        <v>43661</v>
      </c>
      <c r="B1122" s="116">
        <v>50.35</v>
      </c>
      <c r="C1122" s="116">
        <v>48.15</v>
      </c>
      <c r="D1122" s="116">
        <v>48</v>
      </c>
      <c r="E1122" s="116">
        <v>50.15</v>
      </c>
      <c r="F1122" s="116">
        <v>48.15</v>
      </c>
      <c r="G1122">
        <v>6008</v>
      </c>
      <c r="H1122" s="116"/>
      <c r="I1122" s="116"/>
      <c r="L1122" s="169">
        <v>43656</v>
      </c>
      <c r="M1122" s="116">
        <v>50.6</v>
      </c>
      <c r="N1122" s="116">
        <v>52.35</v>
      </c>
      <c r="O1122" s="116">
        <v>50.05</v>
      </c>
      <c r="P1122" s="116">
        <v>51.1</v>
      </c>
      <c r="Q1122" s="116">
        <v>50.6</v>
      </c>
      <c r="R1122">
        <v>2331</v>
      </c>
    </row>
    <row r="1123" spans="1:18" x14ac:dyDescent="0.25">
      <c r="A1123" s="169">
        <v>43662</v>
      </c>
      <c r="B1123" s="116">
        <v>49.5</v>
      </c>
      <c r="C1123" s="116">
        <v>47.1</v>
      </c>
      <c r="D1123" s="116">
        <v>46.85</v>
      </c>
      <c r="E1123" s="116">
        <v>48.2</v>
      </c>
      <c r="F1123" s="116">
        <v>47.1</v>
      </c>
      <c r="G1123">
        <v>2708</v>
      </c>
      <c r="H1123" s="116"/>
      <c r="I1123" s="116"/>
      <c r="L1123" s="169">
        <v>43657</v>
      </c>
      <c r="M1123" s="116">
        <v>50.35</v>
      </c>
      <c r="N1123" s="116">
        <v>52</v>
      </c>
      <c r="O1123" s="116">
        <v>50.05</v>
      </c>
      <c r="P1123" s="116">
        <v>50.2</v>
      </c>
      <c r="Q1123" s="116">
        <v>50.35</v>
      </c>
      <c r="R1123">
        <v>3028</v>
      </c>
    </row>
    <row r="1124" spans="1:18" x14ac:dyDescent="0.25">
      <c r="A1124" s="169">
        <v>43663</v>
      </c>
      <c r="B1124" s="116">
        <v>48.6</v>
      </c>
      <c r="C1124" s="116">
        <v>46.5</v>
      </c>
      <c r="D1124" s="116">
        <v>45.25</v>
      </c>
      <c r="E1124" s="116">
        <v>46.35</v>
      </c>
      <c r="F1124" s="116">
        <v>46.5</v>
      </c>
      <c r="G1124">
        <v>2542</v>
      </c>
      <c r="H1124" s="116"/>
      <c r="I1124" s="116"/>
      <c r="L1124" s="169">
        <v>43658</v>
      </c>
      <c r="M1124" s="116">
        <v>50.4</v>
      </c>
      <c r="N1124" s="116">
        <v>53.9</v>
      </c>
      <c r="O1124" s="116">
        <v>50</v>
      </c>
      <c r="P1124" s="116">
        <v>50.9</v>
      </c>
      <c r="Q1124" s="116">
        <v>50.4</v>
      </c>
      <c r="R1124">
        <v>16738</v>
      </c>
    </row>
    <row r="1125" spans="1:18" x14ac:dyDescent="0.25">
      <c r="A1125" s="169">
        <v>43664</v>
      </c>
      <c r="B1125" s="116">
        <v>46.8</v>
      </c>
      <c r="C1125" s="116">
        <v>44.95</v>
      </c>
      <c r="D1125" s="116">
        <v>44.8</v>
      </c>
      <c r="E1125" s="116">
        <v>46.8</v>
      </c>
      <c r="F1125" s="116">
        <v>44.95</v>
      </c>
      <c r="G1125">
        <v>5547</v>
      </c>
      <c r="H1125" s="116"/>
      <c r="I1125" s="116"/>
      <c r="L1125" s="169">
        <v>43661</v>
      </c>
      <c r="M1125" s="116">
        <v>48.8</v>
      </c>
      <c r="N1125" s="116">
        <v>50.9</v>
      </c>
      <c r="O1125" s="116">
        <v>47.05</v>
      </c>
      <c r="P1125" s="116">
        <v>50.4</v>
      </c>
      <c r="Q1125" s="116">
        <v>48.8</v>
      </c>
      <c r="R1125">
        <v>10102</v>
      </c>
    </row>
    <row r="1126" spans="1:18" x14ac:dyDescent="0.25">
      <c r="A1126" s="169">
        <v>43665</v>
      </c>
      <c r="B1126" s="116">
        <v>47.7</v>
      </c>
      <c r="C1126" s="116">
        <v>42.35</v>
      </c>
      <c r="D1126" s="116">
        <v>40.9</v>
      </c>
      <c r="E1126" s="116">
        <v>46.25</v>
      </c>
      <c r="F1126" s="116">
        <v>42.35</v>
      </c>
      <c r="G1126">
        <v>7226</v>
      </c>
      <c r="H1126" s="116"/>
      <c r="I1126" s="116"/>
      <c r="L1126" s="169">
        <v>43662</v>
      </c>
      <c r="M1126" s="116">
        <v>47.25</v>
      </c>
      <c r="N1126" s="116">
        <v>49.5</v>
      </c>
      <c r="O1126" s="116">
        <v>47</v>
      </c>
      <c r="P1126" s="116">
        <v>48.5</v>
      </c>
      <c r="Q1126" s="116">
        <v>47.25</v>
      </c>
      <c r="R1126">
        <v>5925</v>
      </c>
    </row>
    <row r="1127" spans="1:18" x14ac:dyDescent="0.25">
      <c r="A1127" s="169">
        <v>43668</v>
      </c>
      <c r="B1127" s="116">
        <v>45</v>
      </c>
      <c r="C1127" s="116">
        <v>44.6</v>
      </c>
      <c r="D1127" s="116">
        <v>41.5</v>
      </c>
      <c r="E1127" s="116">
        <v>41.9</v>
      </c>
      <c r="F1127" s="116">
        <v>44.6</v>
      </c>
      <c r="G1127">
        <v>2341</v>
      </c>
      <c r="H1127" s="116"/>
      <c r="I1127" s="116"/>
      <c r="L1127" s="169">
        <v>43663</v>
      </c>
      <c r="M1127" s="116">
        <v>46.5</v>
      </c>
      <c r="N1127" s="116">
        <v>48.5</v>
      </c>
      <c r="O1127" s="116">
        <v>44.7</v>
      </c>
      <c r="P1127" s="116">
        <v>47</v>
      </c>
      <c r="Q1127" s="116">
        <v>46.5</v>
      </c>
      <c r="R1127">
        <v>4127</v>
      </c>
    </row>
    <row r="1128" spans="1:18" x14ac:dyDescent="0.25">
      <c r="A1128" s="169">
        <v>43669</v>
      </c>
      <c r="B1128" s="116">
        <v>45.95</v>
      </c>
      <c r="C1128" s="116">
        <v>45.2</v>
      </c>
      <c r="D1128" s="116">
        <v>42.15</v>
      </c>
      <c r="E1128" s="116">
        <v>42.3</v>
      </c>
      <c r="F1128" s="116">
        <v>45.2</v>
      </c>
      <c r="G1128">
        <v>880</v>
      </c>
      <c r="H1128" s="116"/>
      <c r="I1128" s="116"/>
      <c r="L1128" s="169">
        <v>43664</v>
      </c>
      <c r="M1128" s="116">
        <v>45.05</v>
      </c>
      <c r="N1128" s="116">
        <v>47</v>
      </c>
      <c r="O1128" s="116">
        <v>44.2</v>
      </c>
      <c r="P1128" s="116">
        <v>46</v>
      </c>
      <c r="Q1128" s="116">
        <v>45.05</v>
      </c>
      <c r="R1128">
        <v>3527</v>
      </c>
    </row>
    <row r="1129" spans="1:18" x14ac:dyDescent="0.25">
      <c r="A1129" s="169">
        <v>43670</v>
      </c>
      <c r="B1129" s="116">
        <v>43.95</v>
      </c>
      <c r="C1129" s="116">
        <v>42.55</v>
      </c>
      <c r="D1129" s="116">
        <v>41.05</v>
      </c>
      <c r="E1129" s="116">
        <v>42.2</v>
      </c>
      <c r="F1129" s="116">
        <v>42.55</v>
      </c>
      <c r="G1129">
        <v>2403</v>
      </c>
      <c r="H1129" s="116"/>
      <c r="I1129" s="116"/>
      <c r="L1129" s="169">
        <v>43665</v>
      </c>
      <c r="M1129" s="116">
        <v>41.9</v>
      </c>
      <c r="N1129" s="116">
        <v>48</v>
      </c>
      <c r="O1129" s="116">
        <v>41.05</v>
      </c>
      <c r="P1129" s="116">
        <v>44.5</v>
      </c>
      <c r="Q1129" s="116">
        <v>41.9</v>
      </c>
      <c r="R1129">
        <v>1926267</v>
      </c>
    </row>
    <row r="1130" spans="1:18" x14ac:dyDescent="0.25">
      <c r="A1130" s="169">
        <v>43671</v>
      </c>
      <c r="B1130" s="116">
        <v>43.1</v>
      </c>
      <c r="C1130" s="116">
        <v>41</v>
      </c>
      <c r="D1130" s="116">
        <v>40.9</v>
      </c>
      <c r="E1130" s="116">
        <v>43.1</v>
      </c>
      <c r="F1130" s="116">
        <v>41</v>
      </c>
      <c r="G1130">
        <v>522</v>
      </c>
      <c r="H1130" s="116"/>
      <c r="I1130" s="116"/>
      <c r="L1130" s="169">
        <v>43668</v>
      </c>
      <c r="M1130" s="116">
        <v>44.2</v>
      </c>
      <c r="N1130" s="116">
        <v>45</v>
      </c>
      <c r="O1130" s="116">
        <v>41.85</v>
      </c>
      <c r="P1130" s="116">
        <v>41.9</v>
      </c>
      <c r="Q1130" s="116">
        <v>44.2</v>
      </c>
      <c r="R1130">
        <v>11091</v>
      </c>
    </row>
    <row r="1131" spans="1:18" x14ac:dyDescent="0.25">
      <c r="A1131" s="169">
        <v>43672</v>
      </c>
      <c r="B1131" s="116">
        <v>43.7</v>
      </c>
      <c r="C1131" s="116">
        <v>42.9</v>
      </c>
      <c r="D1131" s="116">
        <v>40</v>
      </c>
      <c r="E1131" s="116">
        <v>40.049999999999997</v>
      </c>
      <c r="F1131" s="116">
        <v>42.9</v>
      </c>
      <c r="G1131">
        <v>794</v>
      </c>
      <c r="H1131" s="116"/>
      <c r="I1131" s="116"/>
      <c r="L1131" s="169">
        <v>43669</v>
      </c>
      <c r="M1131" s="116">
        <v>42.5</v>
      </c>
      <c r="N1131" s="116">
        <v>43.9</v>
      </c>
      <c r="O1131" s="116">
        <v>42.1</v>
      </c>
      <c r="P1131" s="116">
        <v>42.1</v>
      </c>
      <c r="Q1131" s="116">
        <v>42.5</v>
      </c>
      <c r="R1131">
        <v>182315</v>
      </c>
    </row>
    <row r="1132" spans="1:18" x14ac:dyDescent="0.25">
      <c r="A1132" s="169">
        <v>43675</v>
      </c>
      <c r="B1132" s="116">
        <v>44.8</v>
      </c>
      <c r="C1132" s="116">
        <v>43.85</v>
      </c>
      <c r="D1132" s="116">
        <v>43</v>
      </c>
      <c r="E1132" s="116">
        <v>44.8</v>
      </c>
      <c r="F1132" s="116">
        <v>43.85</v>
      </c>
      <c r="G1132">
        <v>499</v>
      </c>
      <c r="H1132" s="116"/>
      <c r="I1132" s="116"/>
      <c r="L1132" s="169">
        <v>43670</v>
      </c>
      <c r="M1132" s="116">
        <v>42.25</v>
      </c>
      <c r="N1132" s="116">
        <v>44.25</v>
      </c>
      <c r="O1132" s="116">
        <v>40.799999999999997</v>
      </c>
      <c r="P1132" s="116">
        <v>42.1</v>
      </c>
      <c r="Q1132" s="116">
        <v>42.25</v>
      </c>
      <c r="R1132">
        <v>37208</v>
      </c>
    </row>
    <row r="1133" spans="1:18" x14ac:dyDescent="0.25">
      <c r="A1133" s="169">
        <v>43676</v>
      </c>
      <c r="B1133" s="116">
        <v>46.7</v>
      </c>
      <c r="C1133" s="116">
        <v>42.7</v>
      </c>
      <c r="D1133" s="116">
        <v>40.5</v>
      </c>
      <c r="E1133" s="116">
        <v>46.7</v>
      </c>
      <c r="F1133" s="116">
        <v>42.7</v>
      </c>
      <c r="G1133">
        <v>3527</v>
      </c>
      <c r="H1133" s="116"/>
      <c r="I1133" s="116"/>
      <c r="L1133" s="169">
        <v>43671</v>
      </c>
      <c r="M1133" s="116">
        <v>41.05</v>
      </c>
      <c r="N1133" s="116">
        <v>43.8</v>
      </c>
      <c r="O1133" s="116">
        <v>40.950000000000003</v>
      </c>
      <c r="P1133" s="116">
        <v>40.950000000000003</v>
      </c>
      <c r="Q1133" s="116">
        <v>41.05</v>
      </c>
      <c r="R1133">
        <v>4169</v>
      </c>
    </row>
    <row r="1134" spans="1:18" x14ac:dyDescent="0.25">
      <c r="A1134" s="169">
        <v>43677</v>
      </c>
      <c r="B1134" s="116">
        <v>42.5</v>
      </c>
      <c r="C1134" s="116">
        <v>40.049999999999997</v>
      </c>
      <c r="D1134" s="116">
        <v>39.85</v>
      </c>
      <c r="E1134" s="116">
        <v>41</v>
      </c>
      <c r="F1134" s="116">
        <v>40.049999999999997</v>
      </c>
      <c r="G1134">
        <v>2928</v>
      </c>
      <c r="H1134" s="116"/>
      <c r="I1134" s="116"/>
      <c r="L1134" s="169">
        <v>43672</v>
      </c>
      <c r="M1134" s="116">
        <v>42.7</v>
      </c>
      <c r="N1134" s="116">
        <v>43</v>
      </c>
      <c r="O1134" s="116">
        <v>40</v>
      </c>
      <c r="P1134" s="116">
        <v>40</v>
      </c>
      <c r="Q1134" s="116">
        <v>42.7</v>
      </c>
      <c r="R1134">
        <v>2670</v>
      </c>
    </row>
    <row r="1135" spans="1:18" x14ac:dyDescent="0.25">
      <c r="A1135" s="169">
        <v>43678</v>
      </c>
      <c r="B1135" s="116">
        <v>40.6</v>
      </c>
      <c r="C1135" s="116">
        <v>38.049999999999997</v>
      </c>
      <c r="D1135" s="116">
        <v>36.1</v>
      </c>
      <c r="E1135" s="116">
        <v>40</v>
      </c>
      <c r="F1135" s="116">
        <v>38.049999999999997</v>
      </c>
      <c r="G1135">
        <v>3191</v>
      </c>
      <c r="H1135" s="116"/>
      <c r="I1135" s="116"/>
      <c r="L1135" s="169">
        <v>43675</v>
      </c>
      <c r="M1135" s="116">
        <v>43.55</v>
      </c>
      <c r="N1135" s="116">
        <v>46.4</v>
      </c>
      <c r="O1135" s="116">
        <v>42.1</v>
      </c>
      <c r="P1135" s="116">
        <v>46.4</v>
      </c>
      <c r="Q1135" s="116">
        <v>43.55</v>
      </c>
      <c r="R1135">
        <v>7555</v>
      </c>
    </row>
    <row r="1136" spans="1:18" x14ac:dyDescent="0.25">
      <c r="A1136" s="169">
        <v>43679</v>
      </c>
      <c r="B1136" s="116">
        <v>38.700000000000003</v>
      </c>
      <c r="C1136" s="116">
        <v>37</v>
      </c>
      <c r="D1136" s="116">
        <v>36.5</v>
      </c>
      <c r="E1136" s="116">
        <v>38</v>
      </c>
      <c r="F1136" s="116">
        <v>37</v>
      </c>
      <c r="G1136">
        <v>592</v>
      </c>
      <c r="H1136" s="116"/>
      <c r="I1136" s="116"/>
      <c r="L1136" s="169">
        <v>43676</v>
      </c>
      <c r="M1136" s="116">
        <v>40.75</v>
      </c>
      <c r="N1136" s="116">
        <v>44.95</v>
      </c>
      <c r="O1136" s="116">
        <v>40.1</v>
      </c>
      <c r="P1136" s="116">
        <v>41.65</v>
      </c>
      <c r="Q1136" s="116">
        <v>40.75</v>
      </c>
      <c r="R1136">
        <v>5400</v>
      </c>
    </row>
    <row r="1137" spans="1:18" x14ac:dyDescent="0.25">
      <c r="A1137" s="169">
        <v>43682</v>
      </c>
      <c r="B1137" s="116">
        <v>39.950000000000003</v>
      </c>
      <c r="C1137" s="116">
        <v>36.799999999999997</v>
      </c>
      <c r="D1137" s="116">
        <v>36.299999999999997</v>
      </c>
      <c r="E1137" s="116">
        <v>39.950000000000003</v>
      </c>
      <c r="F1137" s="116">
        <v>36.799999999999997</v>
      </c>
      <c r="G1137">
        <v>120</v>
      </c>
      <c r="H1137" s="116"/>
      <c r="I1137" s="116"/>
      <c r="L1137" s="169">
        <v>43677</v>
      </c>
      <c r="M1137" s="116">
        <v>40.6</v>
      </c>
      <c r="N1137" s="116">
        <v>41.5</v>
      </c>
      <c r="O1137" s="116">
        <v>39.75</v>
      </c>
      <c r="P1137" s="116">
        <v>40</v>
      </c>
      <c r="Q1137" s="116">
        <v>40.6</v>
      </c>
      <c r="R1137">
        <v>19497</v>
      </c>
    </row>
    <row r="1138" spans="1:18" x14ac:dyDescent="0.25">
      <c r="A1138" s="169">
        <v>43683</v>
      </c>
      <c r="B1138" s="116">
        <v>39.950000000000003</v>
      </c>
      <c r="C1138" s="116">
        <v>38.25</v>
      </c>
      <c r="D1138" s="116">
        <v>36.799999999999997</v>
      </c>
      <c r="E1138" s="116">
        <v>38.049999999999997</v>
      </c>
      <c r="F1138" s="116">
        <v>38.25</v>
      </c>
      <c r="G1138">
        <v>396</v>
      </c>
      <c r="H1138" s="116"/>
      <c r="I1138" s="116"/>
      <c r="L1138" s="169">
        <v>43678</v>
      </c>
      <c r="M1138" s="116">
        <v>37.950000000000003</v>
      </c>
      <c r="N1138" s="116">
        <v>41.15</v>
      </c>
      <c r="O1138" s="116">
        <v>37.1</v>
      </c>
      <c r="P1138" s="116">
        <v>38.200000000000003</v>
      </c>
      <c r="Q1138" s="116">
        <v>37.950000000000003</v>
      </c>
      <c r="R1138">
        <v>17074</v>
      </c>
    </row>
    <row r="1139" spans="1:18" x14ac:dyDescent="0.25">
      <c r="A1139" s="169">
        <v>43684</v>
      </c>
      <c r="B1139" s="116">
        <v>39.1</v>
      </c>
      <c r="C1139" s="116">
        <v>38.35</v>
      </c>
      <c r="D1139" s="116">
        <v>38</v>
      </c>
      <c r="E1139" s="116">
        <v>38.950000000000003</v>
      </c>
      <c r="F1139" s="116">
        <v>38.35</v>
      </c>
      <c r="G1139">
        <v>1452</v>
      </c>
      <c r="H1139" s="116"/>
      <c r="I1139" s="116"/>
      <c r="L1139" s="169">
        <v>43679</v>
      </c>
      <c r="M1139" s="116">
        <v>37.200000000000003</v>
      </c>
      <c r="N1139" s="116">
        <v>37.9</v>
      </c>
      <c r="O1139" s="116">
        <v>35.4</v>
      </c>
      <c r="P1139" s="116">
        <v>35.4</v>
      </c>
      <c r="Q1139" s="116">
        <v>37.200000000000003</v>
      </c>
      <c r="R1139">
        <v>2881</v>
      </c>
    </row>
    <row r="1140" spans="1:18" x14ac:dyDescent="0.25">
      <c r="A1140" s="169">
        <v>43685</v>
      </c>
      <c r="B1140" s="116">
        <v>41.8</v>
      </c>
      <c r="C1140" s="116">
        <v>39.450000000000003</v>
      </c>
      <c r="D1140" s="116">
        <v>38.75</v>
      </c>
      <c r="E1140" s="116">
        <v>41.8</v>
      </c>
      <c r="F1140" s="116">
        <v>39.450000000000003</v>
      </c>
      <c r="G1140">
        <v>1455</v>
      </c>
      <c r="H1140" s="116"/>
      <c r="I1140" s="116"/>
      <c r="L1140" s="169">
        <v>43682</v>
      </c>
      <c r="M1140" s="116">
        <v>37.299999999999997</v>
      </c>
      <c r="N1140" s="116">
        <v>38.549999999999997</v>
      </c>
      <c r="O1140" s="116">
        <v>36</v>
      </c>
      <c r="P1140" s="116">
        <v>36</v>
      </c>
      <c r="Q1140" s="116">
        <v>37.299999999999997</v>
      </c>
      <c r="R1140">
        <v>3565</v>
      </c>
    </row>
    <row r="1141" spans="1:18" x14ac:dyDescent="0.25">
      <c r="A1141" s="169">
        <v>43686</v>
      </c>
      <c r="B1141" s="116">
        <v>41.95</v>
      </c>
      <c r="C1141" s="116">
        <v>40.700000000000003</v>
      </c>
      <c r="D1141" s="116">
        <v>39.65</v>
      </c>
      <c r="E1141" s="116">
        <v>39.950000000000003</v>
      </c>
      <c r="F1141" s="116">
        <v>40.700000000000003</v>
      </c>
      <c r="G1141">
        <v>854</v>
      </c>
      <c r="H1141" s="116"/>
      <c r="I1141" s="116"/>
      <c r="L1141" s="169">
        <v>43683</v>
      </c>
      <c r="M1141" s="116">
        <v>37.549999999999997</v>
      </c>
      <c r="N1141" s="116">
        <v>38.799999999999997</v>
      </c>
      <c r="O1141" s="116">
        <v>35.6</v>
      </c>
      <c r="P1141" s="116">
        <v>35.6</v>
      </c>
      <c r="Q1141" s="116">
        <v>37.549999999999997</v>
      </c>
      <c r="R1141">
        <v>3419</v>
      </c>
    </row>
    <row r="1142" spans="1:18" x14ac:dyDescent="0.25">
      <c r="A1142" s="169">
        <v>43690</v>
      </c>
      <c r="B1142" s="116">
        <v>41.85</v>
      </c>
      <c r="C1142" s="116">
        <v>39.549999999999997</v>
      </c>
      <c r="D1142" s="116">
        <v>37.950000000000003</v>
      </c>
      <c r="E1142" s="116">
        <v>41.85</v>
      </c>
      <c r="F1142" s="116">
        <v>39.549999999999997</v>
      </c>
      <c r="G1142">
        <v>293</v>
      </c>
      <c r="H1142" s="116"/>
      <c r="I1142" s="116"/>
      <c r="L1142" s="169">
        <v>43684</v>
      </c>
      <c r="M1142" s="116">
        <v>38.5</v>
      </c>
      <c r="N1142" s="116">
        <v>40</v>
      </c>
      <c r="O1142" s="116">
        <v>37.549999999999997</v>
      </c>
      <c r="P1142" s="116">
        <v>40</v>
      </c>
      <c r="Q1142" s="116">
        <v>38.5</v>
      </c>
      <c r="R1142">
        <v>3420</v>
      </c>
    </row>
    <row r="1143" spans="1:18" x14ac:dyDescent="0.25">
      <c r="A1143" s="169">
        <v>43691</v>
      </c>
      <c r="B1143" s="116">
        <v>42</v>
      </c>
      <c r="C1143" s="116">
        <v>41.8</v>
      </c>
      <c r="D1143" s="116">
        <v>38.549999999999997</v>
      </c>
      <c r="E1143" s="116">
        <v>41.15</v>
      </c>
      <c r="F1143" s="116">
        <v>41.8</v>
      </c>
      <c r="G1143">
        <v>1751</v>
      </c>
      <c r="H1143" s="116"/>
      <c r="I1143" s="116"/>
      <c r="L1143" s="169">
        <v>43685</v>
      </c>
      <c r="M1143" s="116">
        <v>38.200000000000003</v>
      </c>
      <c r="N1143" s="116">
        <v>39.9</v>
      </c>
      <c r="O1143" s="116">
        <v>38</v>
      </c>
      <c r="P1143" s="116">
        <v>38</v>
      </c>
      <c r="Q1143" s="116">
        <v>38.200000000000003</v>
      </c>
      <c r="R1143">
        <v>787</v>
      </c>
    </row>
    <row r="1144" spans="1:18" x14ac:dyDescent="0.25">
      <c r="A1144" s="169">
        <v>43697</v>
      </c>
      <c r="B1144" s="116">
        <v>50.15</v>
      </c>
      <c r="C1144" s="116">
        <v>48.95</v>
      </c>
      <c r="D1144" s="116">
        <v>41</v>
      </c>
      <c r="E1144" s="116">
        <v>42.3</v>
      </c>
      <c r="F1144" s="116">
        <v>48.95</v>
      </c>
      <c r="G1144">
        <v>40075</v>
      </c>
      <c r="H1144" s="116"/>
      <c r="I1144" s="116"/>
      <c r="L1144" s="169">
        <v>43686</v>
      </c>
      <c r="M1144" s="116">
        <v>40.4</v>
      </c>
      <c r="N1144" s="116">
        <v>41.9</v>
      </c>
      <c r="O1144" s="116">
        <v>38.4</v>
      </c>
      <c r="P1144" s="116">
        <v>39.75</v>
      </c>
      <c r="Q1144" s="116">
        <v>40.4</v>
      </c>
      <c r="R1144">
        <v>3224</v>
      </c>
    </row>
    <row r="1145" spans="1:18" x14ac:dyDescent="0.25">
      <c r="A1145" s="169">
        <v>43698</v>
      </c>
      <c r="B1145" s="116">
        <v>52.85</v>
      </c>
      <c r="C1145" s="116">
        <v>40.700000000000003</v>
      </c>
      <c r="D1145" s="116">
        <v>40</v>
      </c>
      <c r="E1145" s="116">
        <v>52.4</v>
      </c>
      <c r="F1145" s="116">
        <v>40.700000000000003</v>
      </c>
      <c r="G1145">
        <v>35698</v>
      </c>
      <c r="H1145" s="116"/>
      <c r="I1145" s="116"/>
      <c r="L1145" s="169">
        <v>43690</v>
      </c>
      <c r="M1145" s="116">
        <v>40.15</v>
      </c>
      <c r="N1145" s="116">
        <v>41.7</v>
      </c>
      <c r="O1145" s="116">
        <v>38</v>
      </c>
      <c r="P1145" s="116">
        <v>40.15</v>
      </c>
      <c r="Q1145" s="116">
        <v>40.15</v>
      </c>
      <c r="R1145">
        <v>2806</v>
      </c>
    </row>
    <row r="1146" spans="1:18" x14ac:dyDescent="0.25">
      <c r="A1146" s="169">
        <v>43699</v>
      </c>
      <c r="B1146" s="116">
        <v>40.950000000000003</v>
      </c>
      <c r="C1146" s="116">
        <v>36.15</v>
      </c>
      <c r="D1146" s="116">
        <v>35.4</v>
      </c>
      <c r="E1146" s="116">
        <v>39.200000000000003</v>
      </c>
      <c r="F1146" s="116">
        <v>36.15</v>
      </c>
      <c r="G1146">
        <v>3352</v>
      </c>
      <c r="H1146" s="116"/>
      <c r="I1146" s="116"/>
      <c r="L1146" s="169">
        <v>43691</v>
      </c>
      <c r="M1146" s="116">
        <v>40.700000000000003</v>
      </c>
      <c r="N1146" s="116">
        <v>40.950000000000003</v>
      </c>
      <c r="O1146" s="116">
        <v>38.700000000000003</v>
      </c>
      <c r="P1146" s="116">
        <v>40.049999999999997</v>
      </c>
      <c r="Q1146" s="116">
        <v>40.700000000000003</v>
      </c>
      <c r="R1146">
        <v>1634</v>
      </c>
    </row>
    <row r="1147" spans="1:18" x14ac:dyDescent="0.25">
      <c r="A1147" s="169">
        <v>43700</v>
      </c>
      <c r="B1147" s="116">
        <v>36.5</v>
      </c>
      <c r="C1147" s="116">
        <v>35.1</v>
      </c>
      <c r="D1147" s="116">
        <v>34.15</v>
      </c>
      <c r="E1147" s="116">
        <v>35.200000000000003</v>
      </c>
      <c r="F1147" s="116">
        <v>35.1</v>
      </c>
      <c r="G1147">
        <v>4465</v>
      </c>
      <c r="H1147" s="116"/>
      <c r="I1147" s="116"/>
      <c r="L1147" s="169">
        <v>43693</v>
      </c>
      <c r="M1147" s="116">
        <v>40.299999999999997</v>
      </c>
      <c r="N1147" s="116">
        <v>40.799999999999997</v>
      </c>
      <c r="O1147" s="116">
        <v>39.549999999999997</v>
      </c>
      <c r="P1147" s="116">
        <v>40.65</v>
      </c>
      <c r="Q1147" s="116">
        <v>40.299999999999997</v>
      </c>
      <c r="R1147">
        <v>533</v>
      </c>
    </row>
    <row r="1148" spans="1:18" x14ac:dyDescent="0.25">
      <c r="A1148" s="169">
        <v>43703</v>
      </c>
      <c r="B1148" s="116">
        <v>39.700000000000003</v>
      </c>
      <c r="C1148" s="116">
        <v>37.299999999999997</v>
      </c>
      <c r="D1148" s="116">
        <v>34.5</v>
      </c>
      <c r="E1148" s="116">
        <v>37</v>
      </c>
      <c r="F1148" s="116">
        <v>37.299999999999997</v>
      </c>
      <c r="G1148">
        <v>3012</v>
      </c>
      <c r="H1148" s="116"/>
      <c r="I1148" s="116"/>
      <c r="L1148" s="169">
        <v>43696</v>
      </c>
      <c r="M1148" s="116">
        <v>40</v>
      </c>
      <c r="N1148" s="116">
        <v>41.6</v>
      </c>
      <c r="O1148" s="116">
        <v>39.950000000000003</v>
      </c>
      <c r="P1148" s="116">
        <v>40.049999999999997</v>
      </c>
      <c r="Q1148" s="116">
        <v>40</v>
      </c>
      <c r="R1148">
        <v>934</v>
      </c>
    </row>
    <row r="1149" spans="1:18" x14ac:dyDescent="0.25">
      <c r="A1149" s="169">
        <v>43704</v>
      </c>
      <c r="B1149" s="116">
        <v>40.5</v>
      </c>
      <c r="C1149" s="116">
        <v>37.6</v>
      </c>
      <c r="D1149" s="116">
        <v>37.1</v>
      </c>
      <c r="E1149" s="116">
        <v>39.5</v>
      </c>
      <c r="F1149" s="116">
        <v>37.6</v>
      </c>
      <c r="G1149">
        <v>2609</v>
      </c>
      <c r="H1149" s="116"/>
      <c r="I1149" s="116"/>
      <c r="L1149" s="169">
        <v>43697</v>
      </c>
      <c r="M1149" s="116">
        <v>48</v>
      </c>
      <c r="N1149" s="116">
        <v>48</v>
      </c>
      <c r="O1149" s="116">
        <v>39.700000000000003</v>
      </c>
      <c r="P1149" s="116">
        <v>40.299999999999997</v>
      </c>
      <c r="Q1149" s="116">
        <v>48</v>
      </c>
      <c r="R1149">
        <v>4845000</v>
      </c>
    </row>
    <row r="1150" spans="1:18" x14ac:dyDescent="0.25">
      <c r="A1150" s="169">
        <v>43705</v>
      </c>
      <c r="B1150" s="116">
        <v>40</v>
      </c>
      <c r="C1150" s="116">
        <v>37.450000000000003</v>
      </c>
      <c r="D1150" s="116">
        <v>36.9</v>
      </c>
      <c r="E1150" s="116">
        <v>39</v>
      </c>
      <c r="F1150" s="116">
        <v>37.450000000000003</v>
      </c>
      <c r="G1150">
        <v>1208</v>
      </c>
      <c r="H1150" s="116"/>
      <c r="I1150" s="116"/>
      <c r="L1150" s="169">
        <v>43698</v>
      </c>
      <c r="M1150" s="116">
        <v>41.55</v>
      </c>
      <c r="N1150" s="116">
        <v>53.9</v>
      </c>
      <c r="O1150" s="116">
        <v>39.549999999999997</v>
      </c>
      <c r="P1150" s="116">
        <v>51.9</v>
      </c>
      <c r="Q1150" s="116">
        <v>41.55</v>
      </c>
      <c r="R1150">
        <v>168350</v>
      </c>
    </row>
    <row r="1151" spans="1:18" x14ac:dyDescent="0.25">
      <c r="A1151" s="169">
        <v>43706</v>
      </c>
      <c r="B1151" s="116">
        <v>37.85</v>
      </c>
      <c r="C1151" s="116">
        <v>34.15</v>
      </c>
      <c r="D1151" s="116">
        <v>32.15</v>
      </c>
      <c r="E1151" s="116">
        <v>37.85</v>
      </c>
      <c r="F1151" s="116">
        <v>34.15</v>
      </c>
      <c r="G1151">
        <v>10204</v>
      </c>
      <c r="H1151" s="116"/>
      <c r="I1151" s="116"/>
      <c r="L1151" s="169">
        <v>43699</v>
      </c>
      <c r="M1151" s="116">
        <v>35.9</v>
      </c>
      <c r="N1151" s="116">
        <v>39.799999999999997</v>
      </c>
      <c r="O1151" s="116">
        <v>35.4</v>
      </c>
      <c r="P1151" s="116">
        <v>39.1</v>
      </c>
      <c r="Q1151" s="116">
        <v>35.9</v>
      </c>
      <c r="R1151">
        <v>23055</v>
      </c>
    </row>
    <row r="1152" spans="1:18" x14ac:dyDescent="0.25">
      <c r="A1152" s="169">
        <v>43707</v>
      </c>
      <c r="B1152" s="116">
        <v>35.85</v>
      </c>
      <c r="C1152" s="116">
        <v>34.049999999999997</v>
      </c>
      <c r="D1152" s="116">
        <v>33.25</v>
      </c>
      <c r="E1152" s="116">
        <v>34.299999999999997</v>
      </c>
      <c r="F1152" s="116">
        <v>34.049999999999997</v>
      </c>
      <c r="G1152">
        <v>4450</v>
      </c>
      <c r="H1152" s="116"/>
      <c r="I1152" s="116"/>
      <c r="L1152" s="169">
        <v>43700</v>
      </c>
      <c r="M1152" s="116">
        <v>35.200000000000003</v>
      </c>
      <c r="N1152" s="116">
        <v>36.950000000000003</v>
      </c>
      <c r="O1152" s="116">
        <v>34</v>
      </c>
      <c r="P1152" s="116">
        <v>35.049999999999997</v>
      </c>
      <c r="Q1152" s="116">
        <v>35.200000000000003</v>
      </c>
      <c r="R1152">
        <v>18308</v>
      </c>
    </row>
    <row r="1153" spans="1:18" x14ac:dyDescent="0.25">
      <c r="A1153" s="169">
        <v>43711</v>
      </c>
      <c r="B1153" s="116">
        <v>35</v>
      </c>
      <c r="C1153" s="116">
        <v>34.549999999999997</v>
      </c>
      <c r="D1153" s="116">
        <v>34.1</v>
      </c>
      <c r="E1153" s="116">
        <v>34.450000000000003</v>
      </c>
      <c r="F1153" s="116">
        <v>34.549999999999997</v>
      </c>
      <c r="G1153">
        <v>207</v>
      </c>
      <c r="H1153" s="116"/>
      <c r="I1153" s="116"/>
      <c r="L1153" s="169">
        <v>43703</v>
      </c>
      <c r="M1153" s="116">
        <v>37.450000000000003</v>
      </c>
      <c r="N1153" s="116">
        <v>39.6</v>
      </c>
      <c r="O1153" s="116">
        <v>34.200000000000003</v>
      </c>
      <c r="P1153" s="116">
        <v>36.799999999999997</v>
      </c>
      <c r="Q1153" s="116">
        <v>37.450000000000003</v>
      </c>
      <c r="R1153">
        <v>1196443</v>
      </c>
    </row>
    <row r="1154" spans="1:18" x14ac:dyDescent="0.25">
      <c r="A1154" s="169">
        <v>43712</v>
      </c>
      <c r="B1154" s="116">
        <v>35</v>
      </c>
      <c r="C1154" s="116">
        <v>34.200000000000003</v>
      </c>
      <c r="D1154" s="116">
        <v>33.799999999999997</v>
      </c>
      <c r="E1154" s="116">
        <v>35</v>
      </c>
      <c r="F1154" s="116">
        <v>34.200000000000003</v>
      </c>
      <c r="G1154">
        <v>422</v>
      </c>
      <c r="H1154" s="116"/>
      <c r="I1154" s="116"/>
      <c r="L1154" s="169">
        <v>43704</v>
      </c>
      <c r="M1154" s="116">
        <v>37.549999999999997</v>
      </c>
      <c r="N1154" s="116">
        <v>39.4</v>
      </c>
      <c r="O1154" s="116">
        <v>35.700000000000003</v>
      </c>
      <c r="P1154" s="116">
        <v>36.799999999999997</v>
      </c>
      <c r="Q1154" s="116">
        <v>37.549999999999997</v>
      </c>
      <c r="R1154">
        <v>21928</v>
      </c>
    </row>
    <row r="1155" spans="1:18" x14ac:dyDescent="0.25">
      <c r="A1155" s="169">
        <v>43713</v>
      </c>
      <c r="B1155" s="116">
        <v>39</v>
      </c>
      <c r="C1155" s="116">
        <v>35.799999999999997</v>
      </c>
      <c r="D1155" s="116">
        <v>34.65</v>
      </c>
      <c r="E1155" s="116">
        <v>34.950000000000003</v>
      </c>
      <c r="F1155" s="116">
        <v>35.799999999999997</v>
      </c>
      <c r="G1155">
        <v>4703</v>
      </c>
      <c r="H1155" s="116"/>
      <c r="I1155" s="116"/>
      <c r="L1155" s="169">
        <v>43705</v>
      </c>
      <c r="M1155" s="116">
        <v>37.25</v>
      </c>
      <c r="N1155" s="116">
        <v>40.9</v>
      </c>
      <c r="O1155" s="116">
        <v>37</v>
      </c>
      <c r="P1155" s="116">
        <v>38.85</v>
      </c>
      <c r="Q1155" s="116">
        <v>37.25</v>
      </c>
      <c r="R1155">
        <v>71681</v>
      </c>
    </row>
    <row r="1156" spans="1:18" x14ac:dyDescent="0.25">
      <c r="A1156" s="169">
        <v>43714</v>
      </c>
      <c r="B1156" s="116">
        <v>39</v>
      </c>
      <c r="C1156" s="116">
        <v>37.299999999999997</v>
      </c>
      <c r="D1156" s="116">
        <v>36.700000000000003</v>
      </c>
      <c r="E1156" s="116">
        <v>37.950000000000003</v>
      </c>
      <c r="F1156" s="116">
        <v>37.299999999999997</v>
      </c>
      <c r="G1156">
        <v>3635</v>
      </c>
      <c r="H1156" s="116"/>
      <c r="I1156" s="116"/>
      <c r="L1156" s="169">
        <v>43706</v>
      </c>
      <c r="M1156" s="116">
        <v>33.6</v>
      </c>
      <c r="N1156" s="116">
        <v>37.700000000000003</v>
      </c>
      <c r="O1156" s="116">
        <v>32.4</v>
      </c>
      <c r="P1156" s="116">
        <v>37.65</v>
      </c>
      <c r="Q1156" s="116">
        <v>33.6</v>
      </c>
      <c r="R1156">
        <v>33361</v>
      </c>
    </row>
    <row r="1157" spans="1:18" x14ac:dyDescent="0.25">
      <c r="A1157" s="169">
        <v>43717</v>
      </c>
      <c r="B1157" s="116">
        <v>39.5</v>
      </c>
      <c r="C1157" s="116">
        <v>38.700000000000003</v>
      </c>
      <c r="D1157" s="116">
        <v>37.25</v>
      </c>
      <c r="E1157" s="116">
        <v>39.25</v>
      </c>
      <c r="F1157" s="116">
        <v>38.700000000000003</v>
      </c>
      <c r="G1157">
        <v>2440</v>
      </c>
      <c r="H1157" s="116"/>
      <c r="I1157" s="116"/>
      <c r="L1157" s="169">
        <v>43707</v>
      </c>
      <c r="M1157" s="116">
        <v>34.049999999999997</v>
      </c>
      <c r="N1157" s="116">
        <v>35.75</v>
      </c>
      <c r="O1157" s="116">
        <v>33.200000000000003</v>
      </c>
      <c r="P1157" s="116">
        <v>33.6</v>
      </c>
      <c r="Q1157" s="116">
        <v>34.049999999999997</v>
      </c>
      <c r="R1157">
        <v>43142</v>
      </c>
    </row>
    <row r="1158" spans="1:18" x14ac:dyDescent="0.25">
      <c r="A1158" s="169">
        <v>43719</v>
      </c>
      <c r="B1158" s="116">
        <v>42.4</v>
      </c>
      <c r="C1158" s="116">
        <v>40.450000000000003</v>
      </c>
      <c r="D1158" s="116">
        <v>40</v>
      </c>
      <c r="E1158" s="116">
        <v>40</v>
      </c>
      <c r="F1158" s="116">
        <v>40.450000000000003</v>
      </c>
      <c r="G1158">
        <v>1921</v>
      </c>
      <c r="H1158" s="116"/>
      <c r="I1158" s="116"/>
      <c r="L1158" s="169">
        <v>43711</v>
      </c>
      <c r="M1158" s="116">
        <v>34.35</v>
      </c>
      <c r="N1158" s="116">
        <v>35</v>
      </c>
      <c r="O1158" s="116">
        <v>33.6</v>
      </c>
      <c r="P1158" s="116">
        <v>33.6</v>
      </c>
      <c r="Q1158" s="116">
        <v>34.35</v>
      </c>
      <c r="R1158">
        <v>5248</v>
      </c>
    </row>
    <row r="1159" spans="1:18" x14ac:dyDescent="0.25">
      <c r="A1159" s="169">
        <v>43720</v>
      </c>
      <c r="B1159" s="116">
        <v>42</v>
      </c>
      <c r="C1159" s="116">
        <v>40.950000000000003</v>
      </c>
      <c r="D1159" s="116">
        <v>40.1</v>
      </c>
      <c r="E1159" s="116">
        <v>42</v>
      </c>
      <c r="F1159" s="116">
        <v>40.950000000000003</v>
      </c>
      <c r="G1159">
        <v>1960</v>
      </c>
      <c r="H1159" s="116"/>
      <c r="I1159" s="116"/>
      <c r="L1159" s="169">
        <v>43712</v>
      </c>
      <c r="M1159" s="116">
        <v>34.35</v>
      </c>
      <c r="N1159" s="116">
        <v>35.299999999999997</v>
      </c>
      <c r="O1159" s="116">
        <v>33.700000000000003</v>
      </c>
      <c r="P1159" s="116">
        <v>34.25</v>
      </c>
      <c r="Q1159" s="116">
        <v>34.35</v>
      </c>
      <c r="R1159">
        <v>13476</v>
      </c>
    </row>
    <row r="1160" spans="1:18" x14ac:dyDescent="0.25">
      <c r="A1160" s="169">
        <v>43721</v>
      </c>
      <c r="B1160" s="116">
        <v>44.85</v>
      </c>
      <c r="C1160" s="116">
        <v>43.5</v>
      </c>
      <c r="D1160" s="116">
        <v>39.4</v>
      </c>
      <c r="E1160" s="116">
        <v>41.45</v>
      </c>
      <c r="F1160" s="116">
        <v>43.5</v>
      </c>
      <c r="G1160">
        <v>7454</v>
      </c>
      <c r="H1160" s="116"/>
      <c r="I1160" s="116"/>
      <c r="L1160" s="169">
        <v>43713</v>
      </c>
      <c r="M1160" s="116">
        <v>35.799999999999997</v>
      </c>
      <c r="N1160" s="116">
        <v>36.75</v>
      </c>
      <c r="O1160" s="116">
        <v>34.200000000000003</v>
      </c>
      <c r="P1160" s="116">
        <v>36.75</v>
      </c>
      <c r="Q1160" s="116">
        <v>35.799999999999997</v>
      </c>
      <c r="R1160">
        <v>11129</v>
      </c>
    </row>
    <row r="1161" spans="1:18" x14ac:dyDescent="0.25">
      <c r="A1161" s="169">
        <v>43724</v>
      </c>
      <c r="B1161" s="116">
        <v>45.5</v>
      </c>
      <c r="C1161" s="116">
        <v>43.65</v>
      </c>
      <c r="D1161" s="116">
        <v>43</v>
      </c>
      <c r="E1161" s="116">
        <v>43.15</v>
      </c>
      <c r="F1161" s="116">
        <v>43.65</v>
      </c>
      <c r="G1161">
        <v>2598</v>
      </c>
      <c r="H1161" s="116"/>
      <c r="I1161" s="116"/>
      <c r="L1161" s="169">
        <v>43714</v>
      </c>
      <c r="M1161" s="116">
        <v>37.35</v>
      </c>
      <c r="N1161" s="116">
        <v>38.799999999999997</v>
      </c>
      <c r="O1161" s="116">
        <v>36</v>
      </c>
      <c r="P1161" s="116">
        <v>38</v>
      </c>
      <c r="Q1161" s="116">
        <v>37.35</v>
      </c>
      <c r="R1161">
        <v>43005</v>
      </c>
    </row>
    <row r="1162" spans="1:18" x14ac:dyDescent="0.25">
      <c r="A1162" s="169">
        <v>43725</v>
      </c>
      <c r="B1162" s="116">
        <v>46.9</v>
      </c>
      <c r="C1162" s="116">
        <v>43.8</v>
      </c>
      <c r="D1162" s="116">
        <v>42.65</v>
      </c>
      <c r="E1162" s="116">
        <v>46.9</v>
      </c>
      <c r="F1162" s="116">
        <v>43.8</v>
      </c>
      <c r="G1162">
        <v>5574</v>
      </c>
      <c r="H1162" s="116"/>
      <c r="I1162" s="116"/>
      <c r="L1162" s="169">
        <v>43717</v>
      </c>
      <c r="M1162" s="116">
        <v>38.700000000000003</v>
      </c>
      <c r="N1162" s="116">
        <v>39.5</v>
      </c>
      <c r="O1162" s="116">
        <v>36.549999999999997</v>
      </c>
      <c r="P1162" s="116">
        <v>37.35</v>
      </c>
      <c r="Q1162" s="116">
        <v>38.700000000000003</v>
      </c>
      <c r="R1162">
        <v>11465</v>
      </c>
    </row>
    <row r="1163" spans="1:18" x14ac:dyDescent="0.25">
      <c r="A1163" s="169">
        <v>43726</v>
      </c>
      <c r="B1163" s="116">
        <v>43.7</v>
      </c>
      <c r="C1163" s="116">
        <v>42.4</v>
      </c>
      <c r="D1163" s="116">
        <v>42</v>
      </c>
      <c r="E1163" s="116">
        <v>42.7</v>
      </c>
      <c r="F1163" s="116">
        <v>42.4</v>
      </c>
      <c r="G1163">
        <v>1370</v>
      </c>
      <c r="H1163" s="116"/>
      <c r="I1163" s="116"/>
      <c r="L1163" s="169">
        <v>43719</v>
      </c>
      <c r="M1163" s="116">
        <v>40.450000000000003</v>
      </c>
      <c r="N1163" s="116">
        <v>41.8</v>
      </c>
      <c r="O1163" s="116">
        <v>38</v>
      </c>
      <c r="P1163" s="116">
        <v>38</v>
      </c>
      <c r="Q1163" s="116">
        <v>40.450000000000003</v>
      </c>
      <c r="R1163">
        <v>19602</v>
      </c>
    </row>
    <row r="1164" spans="1:18" x14ac:dyDescent="0.25">
      <c r="A1164" s="169">
        <v>43727</v>
      </c>
      <c r="B1164" s="116">
        <v>43.8</v>
      </c>
      <c r="C1164" s="116">
        <v>40.15</v>
      </c>
      <c r="D1164" s="116">
        <v>38.950000000000003</v>
      </c>
      <c r="E1164" s="116">
        <v>42.75</v>
      </c>
      <c r="F1164" s="116">
        <v>40.15</v>
      </c>
      <c r="G1164">
        <v>4584</v>
      </c>
      <c r="H1164" s="116"/>
      <c r="I1164" s="116"/>
      <c r="L1164" s="169">
        <v>43720</v>
      </c>
      <c r="M1164" s="116">
        <v>40.5</v>
      </c>
      <c r="N1164" s="116">
        <v>41.9</v>
      </c>
      <c r="O1164" s="116">
        <v>40</v>
      </c>
      <c r="P1164" s="116">
        <v>40.6</v>
      </c>
      <c r="Q1164" s="116">
        <v>40.5</v>
      </c>
      <c r="R1164">
        <v>6677</v>
      </c>
    </row>
    <row r="1165" spans="1:18" x14ac:dyDescent="0.25">
      <c r="A1165" s="169">
        <v>43728</v>
      </c>
      <c r="B1165" s="116">
        <v>47.5</v>
      </c>
      <c r="C1165" s="116">
        <v>43</v>
      </c>
      <c r="D1165" s="116">
        <v>40.6</v>
      </c>
      <c r="E1165" s="116">
        <v>41</v>
      </c>
      <c r="F1165" s="116">
        <v>43</v>
      </c>
      <c r="G1165">
        <v>12390</v>
      </c>
      <c r="H1165" s="116"/>
      <c r="I1165" s="116"/>
      <c r="L1165" s="169">
        <v>43721</v>
      </c>
      <c r="M1165" s="116">
        <v>43.95</v>
      </c>
      <c r="N1165" s="116">
        <v>45</v>
      </c>
      <c r="O1165" s="116">
        <v>38.5</v>
      </c>
      <c r="P1165" s="116">
        <v>40.049999999999997</v>
      </c>
      <c r="Q1165" s="116">
        <v>43.95</v>
      </c>
      <c r="R1165">
        <v>32191</v>
      </c>
    </row>
    <row r="1166" spans="1:18" x14ac:dyDescent="0.25">
      <c r="A1166" s="169">
        <v>43731</v>
      </c>
      <c r="B1166" s="116">
        <v>46.05</v>
      </c>
      <c r="C1166" s="116">
        <v>44.35</v>
      </c>
      <c r="D1166" s="116">
        <v>43</v>
      </c>
      <c r="E1166" s="116">
        <v>45</v>
      </c>
      <c r="F1166" s="116">
        <v>44.35</v>
      </c>
      <c r="G1166">
        <v>7213</v>
      </c>
      <c r="H1166" s="116"/>
      <c r="I1166" s="116"/>
      <c r="L1166" s="169">
        <v>43724</v>
      </c>
      <c r="M1166" s="116">
        <v>43.55</v>
      </c>
      <c r="N1166" s="116">
        <v>45.8</v>
      </c>
      <c r="O1166" s="116">
        <v>42.5</v>
      </c>
      <c r="P1166" s="116">
        <v>43.95</v>
      </c>
      <c r="Q1166" s="116">
        <v>43.55</v>
      </c>
      <c r="R1166">
        <v>5632</v>
      </c>
    </row>
    <row r="1167" spans="1:18" x14ac:dyDescent="0.25">
      <c r="A1167" s="169">
        <v>43732</v>
      </c>
      <c r="B1167" s="116">
        <v>46.5</v>
      </c>
      <c r="C1167" s="116">
        <v>43.5</v>
      </c>
      <c r="D1167" s="116">
        <v>41.5</v>
      </c>
      <c r="E1167" s="116">
        <v>46.5</v>
      </c>
      <c r="F1167" s="116">
        <v>43.5</v>
      </c>
      <c r="G1167">
        <v>3713</v>
      </c>
      <c r="H1167" s="116"/>
      <c r="I1167" s="116"/>
      <c r="L1167" s="169">
        <v>43725</v>
      </c>
      <c r="M1167" s="116">
        <v>43.75</v>
      </c>
      <c r="N1167" s="116">
        <v>44.95</v>
      </c>
      <c r="O1167" s="116">
        <v>42</v>
      </c>
      <c r="P1167" s="116">
        <v>43.55</v>
      </c>
      <c r="Q1167" s="116">
        <v>43.75</v>
      </c>
      <c r="R1167">
        <v>2036</v>
      </c>
    </row>
    <row r="1168" spans="1:18" x14ac:dyDescent="0.25">
      <c r="A1168" s="169">
        <v>43733</v>
      </c>
      <c r="B1168" s="116">
        <v>42.2</v>
      </c>
      <c r="C1168" s="116">
        <v>41.9</v>
      </c>
      <c r="D1168" s="116">
        <v>41.9</v>
      </c>
      <c r="E1168" s="116">
        <v>42.2</v>
      </c>
      <c r="F1168" s="116">
        <v>41.9</v>
      </c>
      <c r="G1168">
        <v>947</v>
      </c>
      <c r="H1168" s="116"/>
      <c r="I1168" s="116"/>
      <c r="L1168" s="169">
        <v>43726</v>
      </c>
      <c r="M1168" s="116">
        <v>42.35</v>
      </c>
      <c r="N1168" s="116">
        <v>45</v>
      </c>
      <c r="O1168" s="116">
        <v>41.05</v>
      </c>
      <c r="P1168" s="116">
        <v>45</v>
      </c>
      <c r="Q1168" s="116">
        <v>42.35</v>
      </c>
      <c r="R1168">
        <v>4020</v>
      </c>
    </row>
    <row r="1169" spans="1:18" x14ac:dyDescent="0.25">
      <c r="A1169" s="169">
        <v>43734</v>
      </c>
      <c r="B1169" s="116">
        <v>43.5</v>
      </c>
      <c r="C1169" s="116">
        <v>42.45</v>
      </c>
      <c r="D1169" s="116">
        <v>41</v>
      </c>
      <c r="E1169" s="116">
        <v>41</v>
      </c>
      <c r="F1169" s="116">
        <v>42.45</v>
      </c>
      <c r="G1169">
        <v>4459</v>
      </c>
      <c r="H1169" s="116"/>
      <c r="I1169" s="116"/>
      <c r="L1169" s="169">
        <v>43727</v>
      </c>
      <c r="M1169" s="116">
        <v>40.15</v>
      </c>
      <c r="N1169" s="116">
        <v>43.8</v>
      </c>
      <c r="O1169" s="116">
        <v>38.65</v>
      </c>
      <c r="P1169" s="116">
        <v>42.35</v>
      </c>
      <c r="Q1169" s="116">
        <v>40.15</v>
      </c>
      <c r="R1169">
        <v>18612</v>
      </c>
    </row>
    <row r="1170" spans="1:18" x14ac:dyDescent="0.25">
      <c r="A1170" s="169">
        <v>43735</v>
      </c>
      <c r="B1170" s="116">
        <v>42.45</v>
      </c>
      <c r="C1170" s="116">
        <v>40.950000000000003</v>
      </c>
      <c r="D1170" s="116">
        <v>40.200000000000003</v>
      </c>
      <c r="E1170" s="116">
        <v>42.35</v>
      </c>
      <c r="F1170" s="116">
        <v>40.950000000000003</v>
      </c>
      <c r="G1170">
        <v>5944</v>
      </c>
      <c r="H1170" s="116"/>
      <c r="I1170" s="116"/>
      <c r="L1170" s="169">
        <v>43728</v>
      </c>
      <c r="M1170" s="116">
        <v>42.9</v>
      </c>
      <c r="N1170" s="116">
        <v>47.4</v>
      </c>
      <c r="O1170" s="116">
        <v>38.6</v>
      </c>
      <c r="P1170" s="116">
        <v>39.65</v>
      </c>
      <c r="Q1170" s="116">
        <v>42.9</v>
      </c>
      <c r="R1170">
        <v>58364</v>
      </c>
    </row>
    <row r="1171" spans="1:18" x14ac:dyDescent="0.25">
      <c r="A1171" s="169">
        <v>43738</v>
      </c>
      <c r="B1171" s="116">
        <v>40</v>
      </c>
      <c r="C1171" s="116">
        <v>38.450000000000003</v>
      </c>
      <c r="D1171" s="116">
        <v>38.200000000000003</v>
      </c>
      <c r="E1171" s="116">
        <v>40</v>
      </c>
      <c r="F1171" s="116">
        <v>38.450000000000003</v>
      </c>
      <c r="G1171">
        <v>1076</v>
      </c>
      <c r="H1171" s="116"/>
      <c r="I1171" s="116"/>
      <c r="L1171" s="169">
        <v>43731</v>
      </c>
      <c r="M1171" s="116">
        <v>43.9</v>
      </c>
      <c r="N1171" s="116">
        <v>46</v>
      </c>
      <c r="O1171" s="116">
        <v>43</v>
      </c>
      <c r="P1171" s="116">
        <v>46</v>
      </c>
      <c r="Q1171" s="116">
        <v>43.9</v>
      </c>
      <c r="R1171">
        <v>15858</v>
      </c>
    </row>
    <row r="1172" spans="1:18" x14ac:dyDescent="0.25">
      <c r="A1172" s="169">
        <v>43739</v>
      </c>
      <c r="B1172" s="116">
        <v>42</v>
      </c>
      <c r="C1172" s="116">
        <v>38.200000000000003</v>
      </c>
      <c r="D1172" s="116">
        <v>38</v>
      </c>
      <c r="E1172" s="116">
        <v>40</v>
      </c>
      <c r="F1172" s="116">
        <v>38.200000000000003</v>
      </c>
      <c r="G1172">
        <v>140</v>
      </c>
      <c r="H1172" s="116"/>
      <c r="I1172" s="116"/>
      <c r="L1172" s="169">
        <v>43732</v>
      </c>
      <c r="M1172" s="116">
        <v>43.55</v>
      </c>
      <c r="N1172" s="116">
        <v>45.95</v>
      </c>
      <c r="O1172" s="116">
        <v>42.1</v>
      </c>
      <c r="P1172" s="116">
        <v>43</v>
      </c>
      <c r="Q1172" s="116">
        <v>43.55</v>
      </c>
      <c r="R1172">
        <v>6750</v>
      </c>
    </row>
    <row r="1173" spans="1:18" x14ac:dyDescent="0.25">
      <c r="A1173" s="169">
        <v>43741</v>
      </c>
      <c r="B1173" s="116">
        <v>39.799999999999997</v>
      </c>
      <c r="C1173" s="116">
        <v>36.25</v>
      </c>
      <c r="D1173" s="116">
        <v>36.25</v>
      </c>
      <c r="E1173" s="116">
        <v>37.25</v>
      </c>
      <c r="F1173" s="116">
        <v>36.25</v>
      </c>
      <c r="G1173">
        <v>3339</v>
      </c>
      <c r="H1173" s="116"/>
      <c r="I1173" s="116"/>
      <c r="L1173" s="169">
        <v>43733</v>
      </c>
      <c r="M1173" s="116">
        <v>41.5</v>
      </c>
      <c r="N1173" s="116">
        <v>43.15</v>
      </c>
      <c r="O1173" s="116">
        <v>41.25</v>
      </c>
      <c r="P1173" s="116">
        <v>43.15</v>
      </c>
      <c r="Q1173" s="116">
        <v>41.5</v>
      </c>
      <c r="R1173">
        <v>2024</v>
      </c>
    </row>
    <row r="1174" spans="1:18" x14ac:dyDescent="0.25">
      <c r="A1174" s="169">
        <v>43742</v>
      </c>
      <c r="B1174" s="116">
        <v>37.9</v>
      </c>
      <c r="C1174" s="116">
        <v>36.549999999999997</v>
      </c>
      <c r="D1174" s="116">
        <v>35.799999999999997</v>
      </c>
      <c r="E1174" s="116">
        <v>37.9</v>
      </c>
      <c r="F1174" s="116">
        <v>36.549999999999997</v>
      </c>
      <c r="G1174">
        <v>580</v>
      </c>
      <c r="H1174" s="116"/>
      <c r="I1174" s="116"/>
      <c r="L1174" s="169">
        <v>43734</v>
      </c>
      <c r="M1174" s="116">
        <v>42.3</v>
      </c>
      <c r="N1174" s="116">
        <v>43.8</v>
      </c>
      <c r="O1174" s="116">
        <v>41</v>
      </c>
      <c r="P1174" s="116">
        <v>42.85</v>
      </c>
      <c r="Q1174" s="116">
        <v>42.3</v>
      </c>
      <c r="R1174">
        <v>3164</v>
      </c>
    </row>
    <row r="1175" spans="1:18" x14ac:dyDescent="0.25">
      <c r="A1175" s="169">
        <v>43745</v>
      </c>
      <c r="B1175" s="116">
        <v>40.25</v>
      </c>
      <c r="C1175" s="116">
        <v>37</v>
      </c>
      <c r="D1175" s="116">
        <v>36.1</v>
      </c>
      <c r="E1175" s="116">
        <v>40</v>
      </c>
      <c r="F1175" s="116">
        <v>37</v>
      </c>
      <c r="G1175">
        <v>3040</v>
      </c>
      <c r="H1175" s="116"/>
      <c r="I1175" s="116"/>
      <c r="L1175" s="169">
        <v>43735</v>
      </c>
      <c r="M1175" s="116">
        <v>41.15</v>
      </c>
      <c r="N1175" s="116">
        <v>42.25</v>
      </c>
      <c r="O1175" s="116">
        <v>40</v>
      </c>
      <c r="P1175" s="116">
        <v>41.25</v>
      </c>
      <c r="Q1175" s="116">
        <v>41.15</v>
      </c>
      <c r="R1175">
        <v>5671</v>
      </c>
    </row>
    <row r="1176" spans="1:18" x14ac:dyDescent="0.25">
      <c r="A1176" s="169">
        <v>43747</v>
      </c>
      <c r="B1176" s="116">
        <v>38</v>
      </c>
      <c r="C1176" s="116">
        <v>37.65</v>
      </c>
      <c r="D1176" s="116">
        <v>36.700000000000003</v>
      </c>
      <c r="E1176" s="116">
        <v>37.9</v>
      </c>
      <c r="F1176" s="116">
        <v>37.65</v>
      </c>
      <c r="G1176">
        <v>1045</v>
      </c>
      <c r="H1176" s="116"/>
      <c r="I1176" s="116"/>
      <c r="L1176" s="169">
        <v>43738</v>
      </c>
      <c r="M1176" s="116">
        <v>38.5</v>
      </c>
      <c r="N1176" s="116">
        <v>40.549999999999997</v>
      </c>
      <c r="O1176" s="116">
        <v>38.200000000000003</v>
      </c>
      <c r="P1176" s="116">
        <v>40.549999999999997</v>
      </c>
      <c r="Q1176" s="116">
        <v>38.5</v>
      </c>
      <c r="R1176">
        <v>5640</v>
      </c>
    </row>
    <row r="1177" spans="1:18" x14ac:dyDescent="0.25">
      <c r="A1177" s="169">
        <v>43748</v>
      </c>
      <c r="B1177" s="116">
        <v>37.6</v>
      </c>
      <c r="C1177" s="116">
        <v>37.15</v>
      </c>
      <c r="D1177" s="116">
        <v>36.6</v>
      </c>
      <c r="E1177" s="116">
        <v>37.6</v>
      </c>
      <c r="F1177" s="116">
        <v>37.15</v>
      </c>
      <c r="G1177">
        <v>1624</v>
      </c>
      <c r="H1177" s="116"/>
      <c r="I1177" s="116"/>
      <c r="L1177" s="169">
        <v>43739</v>
      </c>
      <c r="M1177" s="116">
        <v>38.450000000000003</v>
      </c>
      <c r="N1177" s="116">
        <v>40.950000000000003</v>
      </c>
      <c r="O1177" s="116">
        <v>37.049999999999997</v>
      </c>
      <c r="P1177" s="116">
        <v>38.450000000000003</v>
      </c>
      <c r="Q1177" s="116">
        <v>38.450000000000003</v>
      </c>
      <c r="R1177">
        <v>4104</v>
      </c>
    </row>
    <row r="1178" spans="1:18" x14ac:dyDescent="0.25">
      <c r="A1178" s="169">
        <v>43749</v>
      </c>
      <c r="B1178" s="116">
        <v>37.5</v>
      </c>
      <c r="C1178" s="116">
        <v>36.1</v>
      </c>
      <c r="D1178" s="116">
        <v>36.1</v>
      </c>
      <c r="E1178" s="116">
        <v>36.450000000000003</v>
      </c>
      <c r="F1178" s="116">
        <v>36.1</v>
      </c>
      <c r="G1178">
        <v>123</v>
      </c>
      <c r="H1178" s="116"/>
      <c r="I1178" s="116"/>
      <c r="L1178" s="169">
        <v>43741</v>
      </c>
      <c r="M1178" s="116">
        <v>36.35</v>
      </c>
      <c r="N1178" s="116">
        <v>39.6</v>
      </c>
      <c r="O1178" s="116">
        <v>36.200000000000003</v>
      </c>
      <c r="P1178" s="116">
        <v>38.049999999999997</v>
      </c>
      <c r="Q1178" s="116">
        <v>36.35</v>
      </c>
      <c r="R1178">
        <v>8192</v>
      </c>
    </row>
    <row r="1179" spans="1:18" x14ac:dyDescent="0.25">
      <c r="A1179" s="169">
        <v>43752</v>
      </c>
      <c r="B1179" s="116">
        <v>38.200000000000003</v>
      </c>
      <c r="C1179" s="116">
        <v>38</v>
      </c>
      <c r="D1179" s="116">
        <v>36.6</v>
      </c>
      <c r="E1179" s="116">
        <v>37</v>
      </c>
      <c r="F1179" s="116">
        <v>38</v>
      </c>
      <c r="G1179">
        <v>3482</v>
      </c>
      <c r="H1179" s="116"/>
      <c r="I1179" s="116"/>
      <c r="L1179" s="169">
        <v>43742</v>
      </c>
      <c r="M1179" s="116">
        <v>36.450000000000003</v>
      </c>
      <c r="N1179" s="116">
        <v>38</v>
      </c>
      <c r="O1179" s="116">
        <v>35.5</v>
      </c>
      <c r="P1179" s="116">
        <v>36.4</v>
      </c>
      <c r="Q1179" s="116">
        <v>36.450000000000003</v>
      </c>
      <c r="R1179">
        <v>5578</v>
      </c>
    </row>
    <row r="1180" spans="1:18" x14ac:dyDescent="0.25">
      <c r="A1180" s="169">
        <v>43753</v>
      </c>
      <c r="B1180" s="116">
        <v>38.299999999999997</v>
      </c>
      <c r="C1180" s="116">
        <v>37.25</v>
      </c>
      <c r="D1180" s="116">
        <v>36.299999999999997</v>
      </c>
      <c r="E1180" s="116">
        <v>38.299999999999997</v>
      </c>
      <c r="F1180" s="116">
        <v>37.25</v>
      </c>
      <c r="G1180">
        <v>3294</v>
      </c>
      <c r="H1180" s="116"/>
      <c r="I1180" s="116"/>
      <c r="L1180" s="169">
        <v>43745</v>
      </c>
      <c r="M1180" s="116">
        <v>35.75</v>
      </c>
      <c r="N1180" s="116">
        <v>38</v>
      </c>
      <c r="O1180" s="116">
        <v>35.25</v>
      </c>
      <c r="P1180" s="116">
        <v>38</v>
      </c>
      <c r="Q1180" s="116">
        <v>35.75</v>
      </c>
      <c r="R1180">
        <v>4529</v>
      </c>
    </row>
    <row r="1181" spans="1:18" x14ac:dyDescent="0.25">
      <c r="A1181" s="169">
        <v>43754</v>
      </c>
      <c r="B1181" s="116">
        <v>37.65</v>
      </c>
      <c r="C1181" s="116">
        <v>36.15</v>
      </c>
      <c r="D1181" s="116">
        <v>36.15</v>
      </c>
      <c r="E1181" s="116">
        <v>36.200000000000003</v>
      </c>
      <c r="F1181" s="116">
        <v>36.15</v>
      </c>
      <c r="G1181">
        <v>3196</v>
      </c>
      <c r="H1181" s="116"/>
      <c r="I1181" s="116"/>
      <c r="L1181" s="169">
        <v>43747</v>
      </c>
      <c r="M1181" s="116">
        <v>37.799999999999997</v>
      </c>
      <c r="N1181" s="116">
        <v>38.9</v>
      </c>
      <c r="O1181" s="116">
        <v>35.25</v>
      </c>
      <c r="P1181" s="116">
        <v>37.950000000000003</v>
      </c>
      <c r="Q1181" s="116">
        <v>37.799999999999997</v>
      </c>
      <c r="R1181">
        <v>9378</v>
      </c>
    </row>
    <row r="1182" spans="1:18" x14ac:dyDescent="0.25">
      <c r="A1182" s="169">
        <v>43755</v>
      </c>
      <c r="B1182" s="116">
        <v>36.5</v>
      </c>
      <c r="C1182" s="116">
        <v>36.5</v>
      </c>
      <c r="D1182" s="116">
        <v>36.5</v>
      </c>
      <c r="E1182" s="116">
        <v>36.5</v>
      </c>
      <c r="F1182" s="116">
        <v>36.5</v>
      </c>
      <c r="G1182">
        <v>106</v>
      </c>
      <c r="H1182" s="116"/>
      <c r="I1182" s="116"/>
      <c r="L1182" s="169">
        <v>43748</v>
      </c>
      <c r="M1182" s="116">
        <v>37.5</v>
      </c>
      <c r="N1182" s="116">
        <v>38</v>
      </c>
      <c r="O1182" s="116">
        <v>35.700000000000003</v>
      </c>
      <c r="P1182" s="116">
        <v>37</v>
      </c>
      <c r="Q1182" s="116">
        <v>37.5</v>
      </c>
      <c r="R1182">
        <v>4917</v>
      </c>
    </row>
    <row r="1183" spans="1:18" x14ac:dyDescent="0.25">
      <c r="A1183" s="169">
        <v>43756</v>
      </c>
      <c r="B1183" s="116">
        <v>37.6</v>
      </c>
      <c r="C1183" s="116">
        <v>37.6</v>
      </c>
      <c r="D1183" s="116">
        <v>37.6</v>
      </c>
      <c r="E1183" s="116">
        <v>37.6</v>
      </c>
      <c r="F1183" s="116">
        <v>37.6</v>
      </c>
      <c r="G1183">
        <v>1</v>
      </c>
      <c r="H1183" s="116"/>
      <c r="I1183" s="116"/>
      <c r="L1183" s="169">
        <v>43749</v>
      </c>
      <c r="M1183" s="116">
        <v>36.65</v>
      </c>
      <c r="N1183" s="116">
        <v>37.9</v>
      </c>
      <c r="O1183" s="116">
        <v>36.049999999999997</v>
      </c>
      <c r="P1183" s="116">
        <v>37.450000000000003</v>
      </c>
      <c r="Q1183" s="116">
        <v>36.65</v>
      </c>
      <c r="R1183">
        <v>2510</v>
      </c>
    </row>
    <row r="1184" spans="1:18" x14ac:dyDescent="0.25">
      <c r="A1184" s="169">
        <v>43760</v>
      </c>
      <c r="B1184" s="116">
        <v>38.25</v>
      </c>
      <c r="C1184" s="116">
        <v>38.25</v>
      </c>
      <c r="D1184" s="116">
        <v>37.450000000000003</v>
      </c>
      <c r="E1184" s="116">
        <v>37.450000000000003</v>
      </c>
      <c r="F1184" s="116">
        <v>38.25</v>
      </c>
      <c r="G1184">
        <v>905</v>
      </c>
      <c r="H1184" s="116"/>
      <c r="I1184" s="116"/>
      <c r="L1184" s="169">
        <v>43752</v>
      </c>
      <c r="M1184" s="116">
        <v>37.1</v>
      </c>
      <c r="N1184" s="116">
        <v>38.799999999999997</v>
      </c>
      <c r="O1184" s="116">
        <v>37</v>
      </c>
      <c r="P1184" s="116">
        <v>38.75</v>
      </c>
      <c r="Q1184" s="116">
        <v>37.1</v>
      </c>
      <c r="R1184">
        <v>1450</v>
      </c>
    </row>
    <row r="1185" spans="1:18" x14ac:dyDescent="0.25">
      <c r="A1185" s="169">
        <v>43761</v>
      </c>
      <c r="B1185" s="116">
        <v>38.1</v>
      </c>
      <c r="C1185" s="116">
        <v>37.9</v>
      </c>
      <c r="D1185" s="116">
        <v>36.5</v>
      </c>
      <c r="E1185" s="116">
        <v>38.1</v>
      </c>
      <c r="F1185" s="116">
        <v>37.9</v>
      </c>
      <c r="G1185">
        <v>2474</v>
      </c>
      <c r="H1185" s="116"/>
      <c r="I1185" s="116"/>
      <c r="L1185" s="169">
        <v>43753</v>
      </c>
      <c r="M1185" s="116">
        <v>36.65</v>
      </c>
      <c r="N1185" s="116">
        <v>38.9</v>
      </c>
      <c r="O1185" s="116">
        <v>35.299999999999997</v>
      </c>
      <c r="P1185" s="116">
        <v>37.15</v>
      </c>
      <c r="Q1185" s="116">
        <v>36.65</v>
      </c>
      <c r="R1185">
        <v>5574</v>
      </c>
    </row>
    <row r="1186" spans="1:18" x14ac:dyDescent="0.25">
      <c r="A1186" s="169">
        <v>43762</v>
      </c>
      <c r="B1186" s="116">
        <v>38.6</v>
      </c>
      <c r="C1186" s="116">
        <v>37.9</v>
      </c>
      <c r="D1186" s="116">
        <v>37.5</v>
      </c>
      <c r="E1186" s="116">
        <v>38.6</v>
      </c>
      <c r="F1186" s="116">
        <v>37.9</v>
      </c>
      <c r="G1186">
        <v>1598</v>
      </c>
      <c r="H1186" s="116"/>
      <c r="I1186" s="116"/>
      <c r="L1186" s="169">
        <v>43754</v>
      </c>
      <c r="M1186" s="116">
        <v>36.75</v>
      </c>
      <c r="N1186" s="116">
        <v>37.9</v>
      </c>
      <c r="O1186" s="116">
        <v>35.200000000000003</v>
      </c>
      <c r="P1186" s="116">
        <v>35.200000000000003</v>
      </c>
      <c r="Q1186" s="116">
        <v>36.75</v>
      </c>
      <c r="R1186">
        <v>5826</v>
      </c>
    </row>
    <row r="1187" spans="1:18" x14ac:dyDescent="0.25">
      <c r="A1187" s="169">
        <v>43765</v>
      </c>
      <c r="B1187" s="116">
        <v>38</v>
      </c>
      <c r="C1187" s="116">
        <v>38</v>
      </c>
      <c r="D1187" s="116">
        <v>38</v>
      </c>
      <c r="E1187" s="116">
        <v>38</v>
      </c>
      <c r="F1187" s="116">
        <v>38</v>
      </c>
      <c r="G1187">
        <v>68</v>
      </c>
      <c r="H1187" s="116"/>
      <c r="I1187" s="116"/>
      <c r="L1187" s="169">
        <v>43755</v>
      </c>
      <c r="M1187" s="116">
        <v>37.15</v>
      </c>
      <c r="N1187" s="116">
        <v>37.799999999999997</v>
      </c>
      <c r="O1187" s="116">
        <v>36.200000000000003</v>
      </c>
      <c r="P1187" s="116">
        <v>37.6</v>
      </c>
      <c r="Q1187" s="116">
        <v>37.15</v>
      </c>
      <c r="R1187">
        <v>2385</v>
      </c>
    </row>
    <row r="1188" spans="1:18" x14ac:dyDescent="0.25">
      <c r="A1188" s="169">
        <v>43767</v>
      </c>
      <c r="B1188" s="116">
        <v>45.5</v>
      </c>
      <c r="C1188" s="116">
        <v>42.2</v>
      </c>
      <c r="D1188" s="116">
        <v>38.75</v>
      </c>
      <c r="E1188" s="116">
        <v>39</v>
      </c>
      <c r="F1188" s="116">
        <v>42.2</v>
      </c>
      <c r="G1188">
        <v>8539</v>
      </c>
      <c r="H1188" s="116"/>
      <c r="I1188" s="116"/>
      <c r="L1188" s="169">
        <v>43756</v>
      </c>
      <c r="M1188" s="116">
        <v>37.200000000000003</v>
      </c>
      <c r="N1188" s="116">
        <v>37.85</v>
      </c>
      <c r="O1188" s="116">
        <v>36.5</v>
      </c>
      <c r="P1188" s="116">
        <v>36.549999999999997</v>
      </c>
      <c r="Q1188" s="116">
        <v>37.200000000000003</v>
      </c>
      <c r="R1188">
        <v>2948</v>
      </c>
    </row>
    <row r="1189" spans="1:18" x14ac:dyDescent="0.25">
      <c r="A1189" s="169">
        <v>43768</v>
      </c>
      <c r="B1189" s="116">
        <v>41.7</v>
      </c>
      <c r="C1189" s="116">
        <v>41.7</v>
      </c>
      <c r="D1189" s="116">
        <v>41</v>
      </c>
      <c r="E1189" s="116">
        <v>41</v>
      </c>
      <c r="F1189" s="116">
        <v>41.7</v>
      </c>
      <c r="G1189">
        <v>150</v>
      </c>
      <c r="H1189" s="116"/>
      <c r="I1189" s="116"/>
      <c r="L1189" s="169">
        <v>43760</v>
      </c>
      <c r="M1189" s="116">
        <v>36.9</v>
      </c>
      <c r="N1189" s="116">
        <v>38</v>
      </c>
      <c r="O1189" s="116">
        <v>36.5</v>
      </c>
      <c r="P1189" s="116">
        <v>37.700000000000003</v>
      </c>
      <c r="Q1189" s="116">
        <v>36.9</v>
      </c>
      <c r="R1189">
        <v>6197</v>
      </c>
    </row>
    <row r="1190" spans="1:18" x14ac:dyDescent="0.25">
      <c r="A1190" s="169">
        <v>43769</v>
      </c>
      <c r="B1190" s="116">
        <v>43.9</v>
      </c>
      <c r="C1190" s="116">
        <v>39.9</v>
      </c>
      <c r="D1190" s="116">
        <v>39</v>
      </c>
      <c r="E1190" s="116">
        <v>42</v>
      </c>
      <c r="F1190" s="116">
        <v>39.9</v>
      </c>
      <c r="G1190">
        <v>8847</v>
      </c>
      <c r="H1190" s="116"/>
      <c r="I1190" s="116"/>
      <c r="L1190" s="169">
        <v>43761</v>
      </c>
      <c r="M1190" s="116">
        <v>37.5</v>
      </c>
      <c r="N1190" s="116">
        <v>37.85</v>
      </c>
      <c r="O1190" s="116">
        <v>36.25</v>
      </c>
      <c r="P1190" s="116">
        <v>36.25</v>
      </c>
      <c r="Q1190" s="116">
        <v>37.5</v>
      </c>
      <c r="R1190">
        <v>6138</v>
      </c>
    </row>
    <row r="1191" spans="1:18" x14ac:dyDescent="0.25">
      <c r="A1191" s="169">
        <v>43770</v>
      </c>
      <c r="B1191" s="116">
        <v>42.25</v>
      </c>
      <c r="C1191" s="116">
        <v>41.45</v>
      </c>
      <c r="D1191" s="116">
        <v>40.85</v>
      </c>
      <c r="E1191" s="116">
        <v>42</v>
      </c>
      <c r="F1191" s="116">
        <v>41.45</v>
      </c>
      <c r="G1191">
        <v>8</v>
      </c>
      <c r="H1191" s="116"/>
      <c r="I1191" s="116"/>
      <c r="L1191" s="169">
        <v>43762</v>
      </c>
      <c r="M1191" s="116">
        <v>38.1</v>
      </c>
      <c r="N1191" s="116">
        <v>39</v>
      </c>
      <c r="O1191" s="116">
        <v>37.450000000000003</v>
      </c>
      <c r="P1191" s="116">
        <v>38.75</v>
      </c>
      <c r="Q1191" s="116">
        <v>38.1</v>
      </c>
      <c r="R1191">
        <v>4610</v>
      </c>
    </row>
    <row r="1192" spans="1:18" x14ac:dyDescent="0.25">
      <c r="A1192" s="169">
        <v>43773</v>
      </c>
      <c r="B1192" s="116">
        <v>42.45</v>
      </c>
      <c r="C1192" s="116">
        <v>42</v>
      </c>
      <c r="D1192" s="116">
        <v>40.049999999999997</v>
      </c>
      <c r="E1192" s="116">
        <v>41.3</v>
      </c>
      <c r="F1192" s="116">
        <v>42</v>
      </c>
      <c r="G1192">
        <v>913</v>
      </c>
      <c r="H1192" s="116"/>
      <c r="I1192" s="116"/>
      <c r="L1192" s="169">
        <v>43763</v>
      </c>
      <c r="M1192" s="116">
        <v>37.450000000000003</v>
      </c>
      <c r="N1192" s="116">
        <v>38.6</v>
      </c>
      <c r="O1192" s="116">
        <v>36.35</v>
      </c>
      <c r="P1192" s="116">
        <v>38.450000000000003</v>
      </c>
      <c r="Q1192" s="116">
        <v>37.450000000000003</v>
      </c>
      <c r="R1192">
        <v>2720</v>
      </c>
    </row>
    <row r="1193" spans="1:18" x14ac:dyDescent="0.25">
      <c r="A1193" s="169">
        <v>43774</v>
      </c>
      <c r="B1193" s="116">
        <v>46.9</v>
      </c>
      <c r="C1193" s="116">
        <v>44.2</v>
      </c>
      <c r="D1193" s="116">
        <v>40.450000000000003</v>
      </c>
      <c r="E1193" s="116">
        <v>40.450000000000003</v>
      </c>
      <c r="F1193" s="116">
        <v>44.2</v>
      </c>
      <c r="G1193">
        <v>7896</v>
      </c>
      <c r="H1193" s="116"/>
      <c r="I1193" s="116"/>
      <c r="L1193" s="169">
        <v>43765</v>
      </c>
      <c r="M1193" s="116">
        <v>37.9</v>
      </c>
      <c r="N1193" s="116">
        <v>38.950000000000003</v>
      </c>
      <c r="O1193" s="116">
        <v>36.6</v>
      </c>
      <c r="P1193" s="116">
        <v>38.950000000000003</v>
      </c>
      <c r="Q1193" s="116">
        <v>37.9</v>
      </c>
      <c r="R1193">
        <v>575</v>
      </c>
    </row>
    <row r="1194" spans="1:18" x14ac:dyDescent="0.25">
      <c r="A1194" s="169">
        <v>43775</v>
      </c>
      <c r="B1194" s="116">
        <v>53</v>
      </c>
      <c r="C1194" s="116">
        <v>51.15</v>
      </c>
      <c r="D1194" s="116">
        <v>44</v>
      </c>
      <c r="E1194" s="116">
        <v>44.25</v>
      </c>
      <c r="F1194" s="116">
        <v>51.15</v>
      </c>
      <c r="G1194">
        <v>16518</v>
      </c>
      <c r="H1194" s="116"/>
      <c r="I1194" s="116"/>
      <c r="L1194" s="169">
        <v>43767</v>
      </c>
      <c r="M1194" s="116">
        <v>40.200000000000003</v>
      </c>
      <c r="N1194" s="116">
        <v>41.95</v>
      </c>
      <c r="O1194" s="116">
        <v>38.200000000000003</v>
      </c>
      <c r="P1194" s="116">
        <v>38.5</v>
      </c>
      <c r="Q1194" s="116">
        <v>40.200000000000003</v>
      </c>
      <c r="R1194">
        <v>7474</v>
      </c>
    </row>
    <row r="1195" spans="1:18" x14ac:dyDescent="0.25">
      <c r="A1195" s="169">
        <v>43776</v>
      </c>
      <c r="B1195" s="116">
        <v>54.8</v>
      </c>
      <c r="C1195" s="116">
        <v>52.15</v>
      </c>
      <c r="D1195" s="116">
        <v>50</v>
      </c>
      <c r="E1195" s="116">
        <v>52</v>
      </c>
      <c r="F1195" s="116">
        <v>52.15</v>
      </c>
      <c r="G1195">
        <v>29165</v>
      </c>
      <c r="H1195" s="116"/>
      <c r="I1195" s="116"/>
      <c r="L1195" s="169">
        <v>43768</v>
      </c>
      <c r="M1195" s="116">
        <v>40.65</v>
      </c>
      <c r="N1195" s="116">
        <v>42.95</v>
      </c>
      <c r="O1195" s="116">
        <v>39.5</v>
      </c>
      <c r="P1195" s="116">
        <v>42.95</v>
      </c>
      <c r="Q1195" s="116">
        <v>40.65</v>
      </c>
      <c r="R1195">
        <v>1145</v>
      </c>
    </row>
    <row r="1196" spans="1:18" x14ac:dyDescent="0.25">
      <c r="A1196" s="169">
        <v>43777</v>
      </c>
      <c r="B1196" s="116">
        <v>56.15</v>
      </c>
      <c r="C1196" s="116">
        <v>53.3</v>
      </c>
      <c r="D1196" s="116">
        <v>51.45</v>
      </c>
      <c r="E1196" s="116">
        <v>52.05</v>
      </c>
      <c r="F1196" s="116">
        <v>53.3</v>
      </c>
      <c r="G1196">
        <v>6764</v>
      </c>
      <c r="H1196" s="116"/>
      <c r="I1196" s="116"/>
      <c r="L1196" s="169">
        <v>43769</v>
      </c>
      <c r="M1196" s="116">
        <v>40.4</v>
      </c>
      <c r="N1196" s="116">
        <v>42.95</v>
      </c>
      <c r="O1196" s="116">
        <v>38.549999999999997</v>
      </c>
      <c r="P1196" s="116">
        <v>40.049999999999997</v>
      </c>
      <c r="Q1196" s="116">
        <v>40.4</v>
      </c>
      <c r="R1196">
        <v>9816</v>
      </c>
    </row>
    <row r="1197" spans="1:18" x14ac:dyDescent="0.25">
      <c r="A1197" s="169">
        <v>43780</v>
      </c>
      <c r="B1197" s="116">
        <v>53.55</v>
      </c>
      <c r="C1197" s="116">
        <v>52.55</v>
      </c>
      <c r="D1197" s="116">
        <v>51.05</v>
      </c>
      <c r="E1197" s="116">
        <v>52</v>
      </c>
      <c r="F1197" s="116">
        <v>52.55</v>
      </c>
      <c r="G1197">
        <v>159</v>
      </c>
      <c r="H1197" s="116"/>
      <c r="I1197" s="116"/>
      <c r="L1197" s="169">
        <v>43770</v>
      </c>
      <c r="M1197" s="116">
        <v>41.35</v>
      </c>
      <c r="N1197" s="116">
        <v>41.75</v>
      </c>
      <c r="O1197" s="116">
        <v>39.299999999999997</v>
      </c>
      <c r="P1197" s="116">
        <v>40.049999999999997</v>
      </c>
      <c r="Q1197" s="116">
        <v>41.35</v>
      </c>
      <c r="R1197">
        <v>6928</v>
      </c>
    </row>
    <row r="1198" spans="1:18" x14ac:dyDescent="0.25">
      <c r="A1198" s="169">
        <v>43782</v>
      </c>
      <c r="B1198" s="116">
        <v>53.4</v>
      </c>
      <c r="C1198" s="116">
        <v>50.2</v>
      </c>
      <c r="D1198" s="116">
        <v>50.1</v>
      </c>
      <c r="E1198" s="116">
        <v>52.2</v>
      </c>
      <c r="F1198" s="116">
        <v>50.2</v>
      </c>
      <c r="G1198">
        <v>1644</v>
      </c>
      <c r="H1198" s="116"/>
      <c r="I1198" s="116"/>
      <c r="L1198" s="169">
        <v>43773</v>
      </c>
      <c r="M1198" s="116">
        <v>41.25</v>
      </c>
      <c r="N1198" s="116">
        <v>42</v>
      </c>
      <c r="O1198" s="116">
        <v>39.200000000000003</v>
      </c>
      <c r="P1198" s="116">
        <v>41.4</v>
      </c>
      <c r="Q1198" s="116">
        <v>41.25</v>
      </c>
      <c r="R1198">
        <v>5640</v>
      </c>
    </row>
    <row r="1199" spans="1:18" x14ac:dyDescent="0.25">
      <c r="A1199" s="169">
        <v>43783</v>
      </c>
      <c r="B1199" s="116">
        <v>51.2</v>
      </c>
      <c r="C1199" s="116">
        <v>50.25</v>
      </c>
      <c r="D1199" s="116">
        <v>46.3</v>
      </c>
      <c r="E1199" s="116">
        <v>48</v>
      </c>
      <c r="F1199" s="116">
        <v>50.25</v>
      </c>
      <c r="G1199">
        <v>1238</v>
      </c>
      <c r="H1199" s="116"/>
      <c r="I1199" s="116"/>
      <c r="L1199" s="169">
        <v>43774</v>
      </c>
      <c r="M1199" s="116">
        <v>44.05</v>
      </c>
      <c r="N1199" s="116">
        <v>46.35</v>
      </c>
      <c r="O1199" s="116">
        <v>40.25</v>
      </c>
      <c r="P1199" s="116">
        <v>41</v>
      </c>
      <c r="Q1199" s="116">
        <v>44.05</v>
      </c>
      <c r="R1199">
        <v>35502</v>
      </c>
    </row>
    <row r="1200" spans="1:18" x14ac:dyDescent="0.25">
      <c r="A1200" s="169">
        <v>43784</v>
      </c>
      <c r="B1200" s="116">
        <v>52</v>
      </c>
      <c r="C1200" s="116">
        <v>48</v>
      </c>
      <c r="D1200" s="116">
        <v>47.3</v>
      </c>
      <c r="E1200" s="116">
        <v>49</v>
      </c>
      <c r="F1200" s="116">
        <v>48</v>
      </c>
      <c r="G1200">
        <v>1231</v>
      </c>
      <c r="H1200" s="116"/>
      <c r="I1200" s="116"/>
      <c r="L1200" s="169">
        <v>43775</v>
      </c>
      <c r="M1200" s="116">
        <v>50.35</v>
      </c>
      <c r="N1200" s="116">
        <v>52.85</v>
      </c>
      <c r="O1200" s="116">
        <v>44.1</v>
      </c>
      <c r="P1200" s="116">
        <v>44.5</v>
      </c>
      <c r="Q1200" s="116">
        <v>50.35</v>
      </c>
      <c r="R1200">
        <v>60151</v>
      </c>
    </row>
    <row r="1201" spans="1:18" x14ac:dyDescent="0.25">
      <c r="A1201" s="169">
        <v>43787</v>
      </c>
      <c r="B1201" s="116">
        <v>51</v>
      </c>
      <c r="C1201" s="116">
        <v>48.6</v>
      </c>
      <c r="D1201" s="116">
        <v>47.65</v>
      </c>
      <c r="E1201" s="116">
        <v>50</v>
      </c>
      <c r="F1201" s="116">
        <v>48.6</v>
      </c>
      <c r="G1201">
        <v>1854</v>
      </c>
      <c r="H1201" s="116"/>
      <c r="I1201" s="116"/>
      <c r="L1201" s="169">
        <v>43776</v>
      </c>
      <c r="M1201" s="116">
        <v>52.15</v>
      </c>
      <c r="N1201" s="116">
        <v>54.5</v>
      </c>
      <c r="O1201" s="116">
        <v>50.2</v>
      </c>
      <c r="P1201" s="116">
        <v>52</v>
      </c>
      <c r="Q1201" s="116">
        <v>52.15</v>
      </c>
      <c r="R1201">
        <v>62658</v>
      </c>
    </row>
    <row r="1202" spans="1:18" x14ac:dyDescent="0.25">
      <c r="A1202" s="169">
        <v>43788</v>
      </c>
      <c r="B1202" s="116">
        <v>49.8</v>
      </c>
      <c r="C1202" s="116">
        <v>48.7</v>
      </c>
      <c r="D1202" s="116">
        <v>48</v>
      </c>
      <c r="E1202" s="116">
        <v>48.6</v>
      </c>
      <c r="F1202" s="116">
        <v>48.7</v>
      </c>
      <c r="G1202">
        <v>1248</v>
      </c>
      <c r="H1202" s="116"/>
      <c r="I1202" s="116"/>
      <c r="L1202" s="169">
        <v>43777</v>
      </c>
      <c r="M1202" s="116">
        <v>53.55</v>
      </c>
      <c r="N1202" s="116">
        <v>56</v>
      </c>
      <c r="O1202" s="116">
        <v>51.1</v>
      </c>
      <c r="P1202" s="116">
        <v>52.1</v>
      </c>
      <c r="Q1202" s="116">
        <v>53.55</v>
      </c>
      <c r="R1202">
        <v>42530</v>
      </c>
    </row>
    <row r="1203" spans="1:18" x14ac:dyDescent="0.25">
      <c r="A1203" s="169">
        <v>43789</v>
      </c>
      <c r="B1203" s="116">
        <v>50.1</v>
      </c>
      <c r="C1203" s="116">
        <v>47.05</v>
      </c>
      <c r="D1203" s="116">
        <v>46.95</v>
      </c>
      <c r="E1203" s="116">
        <v>49</v>
      </c>
      <c r="F1203" s="116">
        <v>47.05</v>
      </c>
      <c r="G1203">
        <v>3048</v>
      </c>
      <c r="H1203" s="116"/>
      <c r="I1203" s="116"/>
      <c r="L1203" s="169">
        <v>43780</v>
      </c>
      <c r="M1203" s="116">
        <v>52.2</v>
      </c>
      <c r="N1203" s="116">
        <v>55.6</v>
      </c>
      <c r="O1203" s="116">
        <v>50.3</v>
      </c>
      <c r="P1203" s="116">
        <v>55.6</v>
      </c>
      <c r="Q1203" s="116">
        <v>52.2</v>
      </c>
      <c r="R1203">
        <v>16761</v>
      </c>
    </row>
    <row r="1204" spans="1:18" x14ac:dyDescent="0.25">
      <c r="A1204" s="169">
        <v>43790</v>
      </c>
      <c r="B1204" s="116">
        <v>48</v>
      </c>
      <c r="C1204" s="116">
        <v>47.15</v>
      </c>
      <c r="D1204" s="116">
        <v>47</v>
      </c>
      <c r="E1204" s="116">
        <v>47.8</v>
      </c>
      <c r="F1204" s="116">
        <v>47.15</v>
      </c>
      <c r="G1204">
        <v>152</v>
      </c>
      <c r="H1204" s="116"/>
      <c r="I1204" s="116"/>
      <c r="L1204" s="169">
        <v>43782</v>
      </c>
      <c r="M1204" s="116">
        <v>50.15</v>
      </c>
      <c r="N1204" s="116">
        <v>53.85</v>
      </c>
      <c r="O1204" s="116">
        <v>49.3</v>
      </c>
      <c r="P1204" s="116">
        <v>51.2</v>
      </c>
      <c r="Q1204" s="116">
        <v>50.15</v>
      </c>
      <c r="R1204">
        <v>4165</v>
      </c>
    </row>
    <row r="1205" spans="1:18" x14ac:dyDescent="0.25">
      <c r="A1205" s="169">
        <v>43791</v>
      </c>
      <c r="B1205" s="116">
        <v>53.5</v>
      </c>
      <c r="C1205" s="116">
        <v>51.45</v>
      </c>
      <c r="D1205" s="116">
        <v>46.1</v>
      </c>
      <c r="E1205" s="116">
        <v>49</v>
      </c>
      <c r="F1205" s="116">
        <v>51.45</v>
      </c>
      <c r="G1205">
        <v>3583</v>
      </c>
      <c r="H1205" s="116"/>
      <c r="I1205" s="116"/>
      <c r="L1205" s="169">
        <v>43783</v>
      </c>
      <c r="M1205" s="116">
        <v>50.65</v>
      </c>
      <c r="N1205" s="116">
        <v>51.5</v>
      </c>
      <c r="O1205" s="116">
        <v>47.35</v>
      </c>
      <c r="P1205" s="116">
        <v>49</v>
      </c>
      <c r="Q1205" s="116">
        <v>50.65</v>
      </c>
      <c r="R1205">
        <v>4113</v>
      </c>
    </row>
    <row r="1206" spans="1:18" x14ac:dyDescent="0.25">
      <c r="A1206" s="169">
        <v>43794</v>
      </c>
      <c r="B1206" s="116">
        <v>54.8</v>
      </c>
      <c r="C1206" s="116">
        <v>48.95</v>
      </c>
      <c r="D1206" s="116">
        <v>48</v>
      </c>
      <c r="E1206" s="116">
        <v>52.9</v>
      </c>
      <c r="F1206" s="116">
        <v>48.95</v>
      </c>
      <c r="G1206">
        <v>398</v>
      </c>
      <c r="H1206" s="116"/>
      <c r="I1206" s="116"/>
      <c r="L1206" s="169">
        <v>43784</v>
      </c>
      <c r="M1206" s="116">
        <v>48.5</v>
      </c>
      <c r="N1206" s="116">
        <v>51.05</v>
      </c>
      <c r="O1206" s="116">
        <v>48.3</v>
      </c>
      <c r="P1206" s="116">
        <v>49</v>
      </c>
      <c r="Q1206" s="116">
        <v>48.5</v>
      </c>
      <c r="R1206">
        <v>6800</v>
      </c>
    </row>
    <row r="1207" spans="1:18" x14ac:dyDescent="0.25">
      <c r="A1207" s="169">
        <v>43795</v>
      </c>
      <c r="B1207" s="116">
        <v>48.5</v>
      </c>
      <c r="C1207" s="116">
        <v>48.5</v>
      </c>
      <c r="D1207" s="116">
        <v>48.5</v>
      </c>
      <c r="E1207" s="116">
        <v>48.5</v>
      </c>
      <c r="F1207" s="116">
        <v>48.5</v>
      </c>
      <c r="G1207">
        <v>100</v>
      </c>
      <c r="H1207" s="116"/>
      <c r="I1207" s="116"/>
      <c r="L1207" s="169">
        <v>43787</v>
      </c>
      <c r="M1207" s="116">
        <v>48.4</v>
      </c>
      <c r="N1207" s="116">
        <v>50.8</v>
      </c>
      <c r="O1207" s="116">
        <v>48.15</v>
      </c>
      <c r="P1207" s="116">
        <v>49</v>
      </c>
      <c r="Q1207" s="116">
        <v>48.4</v>
      </c>
      <c r="R1207">
        <v>1645</v>
      </c>
    </row>
    <row r="1208" spans="1:18" x14ac:dyDescent="0.25">
      <c r="A1208" s="169">
        <v>43796</v>
      </c>
      <c r="B1208" s="116">
        <v>51</v>
      </c>
      <c r="C1208" s="116">
        <v>49.15</v>
      </c>
      <c r="D1208" s="116">
        <v>49.15</v>
      </c>
      <c r="E1208" s="116">
        <v>51</v>
      </c>
      <c r="F1208" s="116">
        <v>49.15</v>
      </c>
      <c r="G1208">
        <v>46</v>
      </c>
      <c r="H1208" s="116"/>
      <c r="I1208" s="116"/>
      <c r="L1208" s="169">
        <v>43788</v>
      </c>
      <c r="M1208" s="116">
        <v>48.55</v>
      </c>
      <c r="N1208" s="116">
        <v>50.8</v>
      </c>
      <c r="O1208" s="116">
        <v>48.5</v>
      </c>
      <c r="P1208" s="116">
        <v>50.2</v>
      </c>
      <c r="Q1208" s="116">
        <v>48.55</v>
      </c>
      <c r="R1208">
        <v>1908</v>
      </c>
    </row>
    <row r="1209" spans="1:18" x14ac:dyDescent="0.25">
      <c r="A1209" s="169">
        <v>43797</v>
      </c>
      <c r="B1209" s="116">
        <v>52.5</v>
      </c>
      <c r="C1209" s="116">
        <v>50.75</v>
      </c>
      <c r="D1209" s="116">
        <v>49.7</v>
      </c>
      <c r="E1209" s="116">
        <v>51</v>
      </c>
      <c r="F1209" s="116">
        <v>50.75</v>
      </c>
      <c r="G1209">
        <v>58</v>
      </c>
      <c r="H1209" s="116"/>
      <c r="I1209" s="116"/>
      <c r="L1209" s="169">
        <v>43789</v>
      </c>
      <c r="M1209" s="116">
        <v>47.2</v>
      </c>
      <c r="N1209" s="116">
        <v>50</v>
      </c>
      <c r="O1209" s="116">
        <v>46.8</v>
      </c>
      <c r="P1209" s="116">
        <v>48.05</v>
      </c>
      <c r="Q1209" s="116">
        <v>47.2</v>
      </c>
      <c r="R1209">
        <v>4547</v>
      </c>
    </row>
    <row r="1210" spans="1:18" x14ac:dyDescent="0.25">
      <c r="A1210" s="169">
        <v>43798</v>
      </c>
      <c r="B1210" s="116">
        <v>56.85</v>
      </c>
      <c r="C1210" s="116">
        <v>54.05</v>
      </c>
      <c r="D1210" s="116">
        <v>49.5</v>
      </c>
      <c r="E1210" s="116">
        <v>51.3</v>
      </c>
      <c r="F1210" s="116">
        <v>54.05</v>
      </c>
      <c r="G1210">
        <v>8320</v>
      </c>
      <c r="H1210" s="116"/>
      <c r="I1210" s="116"/>
      <c r="L1210" s="169">
        <v>43790</v>
      </c>
      <c r="M1210" s="116">
        <v>47.3</v>
      </c>
      <c r="N1210" s="116">
        <v>50</v>
      </c>
      <c r="O1210" s="116">
        <v>46.1</v>
      </c>
      <c r="P1210" s="116">
        <v>47.25</v>
      </c>
      <c r="Q1210" s="116">
        <v>47.3</v>
      </c>
      <c r="R1210">
        <v>8604</v>
      </c>
    </row>
    <row r="1211" spans="1:18" x14ac:dyDescent="0.25">
      <c r="A1211" s="169">
        <v>43801</v>
      </c>
      <c r="B1211" s="116">
        <v>63.05</v>
      </c>
      <c r="C1211" s="116">
        <v>61.15</v>
      </c>
      <c r="D1211" s="116">
        <v>55</v>
      </c>
      <c r="E1211" s="116">
        <v>55</v>
      </c>
      <c r="F1211" s="116">
        <v>61.15</v>
      </c>
      <c r="G1211">
        <v>21270</v>
      </c>
      <c r="H1211" s="116"/>
      <c r="I1211" s="116"/>
      <c r="L1211" s="169">
        <v>43791</v>
      </c>
      <c r="M1211" s="116">
        <v>51.4</v>
      </c>
      <c r="N1211" s="116">
        <v>53.65</v>
      </c>
      <c r="O1211" s="116">
        <v>45.55</v>
      </c>
      <c r="P1211" s="116">
        <v>49.2</v>
      </c>
      <c r="Q1211" s="116">
        <v>51.4</v>
      </c>
      <c r="R1211">
        <v>26599</v>
      </c>
    </row>
    <row r="1212" spans="1:18" x14ac:dyDescent="0.25">
      <c r="A1212" s="169">
        <v>43802</v>
      </c>
      <c r="B1212" s="116">
        <v>64.900000000000006</v>
      </c>
      <c r="C1212" s="116">
        <v>57.8</v>
      </c>
      <c r="D1212" s="116">
        <v>56.55</v>
      </c>
      <c r="E1212" s="116">
        <v>63</v>
      </c>
      <c r="F1212" s="116">
        <v>57.8</v>
      </c>
      <c r="G1212">
        <v>8130</v>
      </c>
      <c r="H1212" s="116"/>
      <c r="I1212" s="116"/>
      <c r="L1212" s="169">
        <v>43794</v>
      </c>
      <c r="M1212" s="116">
        <v>49.8</v>
      </c>
      <c r="N1212" s="116">
        <v>55.5</v>
      </c>
      <c r="O1212" s="116">
        <v>48.75</v>
      </c>
      <c r="P1212" s="116">
        <v>48.75</v>
      </c>
      <c r="Q1212" s="116">
        <v>49.8</v>
      </c>
      <c r="R1212">
        <v>7156</v>
      </c>
    </row>
    <row r="1213" spans="1:18" x14ac:dyDescent="0.25">
      <c r="A1213" s="169">
        <v>43803</v>
      </c>
      <c r="B1213" s="116">
        <v>68.5</v>
      </c>
      <c r="C1213" s="116">
        <v>60.15</v>
      </c>
      <c r="D1213" s="116">
        <v>56.95</v>
      </c>
      <c r="E1213" s="116">
        <v>57.2</v>
      </c>
      <c r="F1213" s="116">
        <v>60.15</v>
      </c>
      <c r="G1213">
        <v>13763</v>
      </c>
      <c r="H1213" s="116"/>
      <c r="I1213" s="116"/>
      <c r="L1213" s="169">
        <v>43795</v>
      </c>
      <c r="M1213" s="116">
        <v>48.6</v>
      </c>
      <c r="N1213" s="116">
        <v>51.35</v>
      </c>
      <c r="O1213" s="116">
        <v>48.5</v>
      </c>
      <c r="P1213" s="116">
        <v>49.2</v>
      </c>
      <c r="Q1213" s="116">
        <v>48.6</v>
      </c>
      <c r="R1213">
        <v>5463</v>
      </c>
    </row>
    <row r="1214" spans="1:18" x14ac:dyDescent="0.25">
      <c r="A1214" s="169">
        <v>43804</v>
      </c>
      <c r="B1214" s="116">
        <v>66</v>
      </c>
      <c r="C1214" s="116">
        <v>64.349999999999994</v>
      </c>
      <c r="D1214" s="116">
        <v>61</v>
      </c>
      <c r="E1214" s="116">
        <v>61.5</v>
      </c>
      <c r="F1214" s="116">
        <v>64.349999999999994</v>
      </c>
      <c r="G1214">
        <v>10486</v>
      </c>
      <c r="H1214" s="116"/>
      <c r="I1214" s="116"/>
      <c r="L1214" s="169">
        <v>43796</v>
      </c>
      <c r="M1214" s="116">
        <v>49</v>
      </c>
      <c r="N1214" s="116">
        <v>51.9</v>
      </c>
      <c r="O1214" s="116">
        <v>46.4</v>
      </c>
      <c r="P1214" s="116">
        <v>50.45</v>
      </c>
      <c r="Q1214" s="116">
        <v>49</v>
      </c>
      <c r="R1214">
        <v>5747</v>
      </c>
    </row>
    <row r="1215" spans="1:18" x14ac:dyDescent="0.25">
      <c r="A1215" s="169">
        <v>43805</v>
      </c>
      <c r="B1215" s="116">
        <v>69</v>
      </c>
      <c r="C1215" s="116">
        <v>66.849999999999994</v>
      </c>
      <c r="D1215" s="116">
        <v>62.6</v>
      </c>
      <c r="E1215" s="116">
        <v>66.5</v>
      </c>
      <c r="F1215" s="116">
        <v>66.849999999999994</v>
      </c>
      <c r="G1215">
        <v>7116</v>
      </c>
      <c r="H1215" s="116"/>
      <c r="I1215" s="116"/>
      <c r="L1215" s="169">
        <v>43797</v>
      </c>
      <c r="M1215" s="116">
        <v>49.75</v>
      </c>
      <c r="N1215" s="116">
        <v>51.6</v>
      </c>
      <c r="O1215" s="116">
        <v>48.35</v>
      </c>
      <c r="P1215" s="116">
        <v>48.35</v>
      </c>
      <c r="Q1215" s="116">
        <v>49.75</v>
      </c>
      <c r="R1215">
        <v>4957</v>
      </c>
    </row>
    <row r="1216" spans="1:18" x14ac:dyDescent="0.25">
      <c r="A1216" s="169">
        <v>43808</v>
      </c>
      <c r="B1216" s="116">
        <v>70.5</v>
      </c>
      <c r="C1216" s="116">
        <v>68.900000000000006</v>
      </c>
      <c r="D1216" s="116">
        <v>66.099999999999994</v>
      </c>
      <c r="E1216" s="116">
        <v>66.849999999999994</v>
      </c>
      <c r="F1216" s="116">
        <v>68.900000000000006</v>
      </c>
      <c r="G1216">
        <v>7598</v>
      </c>
      <c r="H1216" s="116"/>
      <c r="I1216" s="116"/>
      <c r="L1216" s="169">
        <v>43798</v>
      </c>
      <c r="M1216" s="116">
        <v>54.25</v>
      </c>
      <c r="N1216" s="116">
        <v>58</v>
      </c>
      <c r="O1216" s="116">
        <v>49.5</v>
      </c>
      <c r="P1216" s="116">
        <v>49.55</v>
      </c>
      <c r="Q1216" s="116">
        <v>54.25</v>
      </c>
      <c r="R1216">
        <v>102749</v>
      </c>
    </row>
    <row r="1217" spans="1:18" x14ac:dyDescent="0.25">
      <c r="A1217" s="169">
        <v>43809</v>
      </c>
      <c r="B1217" s="116">
        <v>67</v>
      </c>
      <c r="C1217" s="116">
        <v>67</v>
      </c>
      <c r="D1217" s="116">
        <v>65.5</v>
      </c>
      <c r="E1217" s="116">
        <v>65.5</v>
      </c>
      <c r="F1217" s="116">
        <v>67</v>
      </c>
      <c r="G1217">
        <v>4695</v>
      </c>
      <c r="H1217" s="116"/>
      <c r="I1217" s="116"/>
      <c r="L1217" s="169">
        <v>43801</v>
      </c>
      <c r="M1217" s="116">
        <v>60.95</v>
      </c>
      <c r="N1217" s="116">
        <v>63</v>
      </c>
      <c r="O1217" s="116">
        <v>53.05</v>
      </c>
      <c r="P1217" s="116">
        <v>58</v>
      </c>
      <c r="Q1217" s="116">
        <v>60.95</v>
      </c>
      <c r="R1217">
        <v>244394</v>
      </c>
    </row>
    <row r="1218" spans="1:18" x14ac:dyDescent="0.25">
      <c r="A1218" s="169">
        <v>43810</v>
      </c>
      <c r="B1218" s="116">
        <v>63.65</v>
      </c>
      <c r="C1218" s="116">
        <v>63.65</v>
      </c>
      <c r="D1218" s="116">
        <v>63.65</v>
      </c>
      <c r="E1218" s="116">
        <v>63.65</v>
      </c>
      <c r="F1218" s="116">
        <v>63.65</v>
      </c>
      <c r="G1218">
        <v>633</v>
      </c>
      <c r="H1218" s="116"/>
      <c r="I1218" s="116"/>
      <c r="L1218" s="169">
        <v>43802</v>
      </c>
      <c r="M1218" s="116">
        <v>57.9</v>
      </c>
      <c r="N1218" s="116">
        <v>63</v>
      </c>
      <c r="O1218" s="116">
        <v>56</v>
      </c>
      <c r="P1218" s="116">
        <v>62</v>
      </c>
      <c r="Q1218" s="116">
        <v>57.9</v>
      </c>
      <c r="R1218">
        <v>73681</v>
      </c>
    </row>
    <row r="1219" spans="1:18" x14ac:dyDescent="0.25">
      <c r="A1219" s="169">
        <v>43811</v>
      </c>
      <c r="B1219" s="116">
        <v>63.9</v>
      </c>
      <c r="C1219" s="116">
        <v>62.85</v>
      </c>
      <c r="D1219" s="116">
        <v>60.5</v>
      </c>
      <c r="E1219" s="116">
        <v>60.55</v>
      </c>
      <c r="F1219" s="116">
        <v>62.85</v>
      </c>
      <c r="G1219">
        <v>4215</v>
      </c>
      <c r="H1219" s="116"/>
      <c r="I1219" s="116"/>
      <c r="L1219" s="169">
        <v>43803</v>
      </c>
      <c r="M1219" s="116">
        <v>59.9</v>
      </c>
      <c r="N1219" s="116">
        <v>68.5</v>
      </c>
      <c r="O1219" s="116">
        <v>56.5</v>
      </c>
      <c r="P1219" s="116">
        <v>57</v>
      </c>
      <c r="Q1219" s="116">
        <v>59.9</v>
      </c>
      <c r="R1219">
        <v>195138</v>
      </c>
    </row>
    <row r="1220" spans="1:18" x14ac:dyDescent="0.25">
      <c r="A1220" s="169">
        <v>43812</v>
      </c>
      <c r="B1220" s="116">
        <v>62.95</v>
      </c>
      <c r="C1220" s="116">
        <v>61.5</v>
      </c>
      <c r="D1220" s="116">
        <v>59.75</v>
      </c>
      <c r="E1220" s="116">
        <v>60.2</v>
      </c>
      <c r="F1220" s="116">
        <v>61.5</v>
      </c>
      <c r="G1220">
        <v>1418</v>
      </c>
      <c r="H1220" s="116"/>
      <c r="I1220" s="116"/>
      <c r="L1220" s="169">
        <v>43804</v>
      </c>
      <c r="M1220" s="116">
        <v>64.75</v>
      </c>
      <c r="N1220" s="116">
        <v>65.95</v>
      </c>
      <c r="O1220" s="116">
        <v>60</v>
      </c>
      <c r="P1220" s="116">
        <v>60.05</v>
      </c>
      <c r="Q1220" s="116">
        <v>64.75</v>
      </c>
      <c r="R1220">
        <v>61267</v>
      </c>
    </row>
    <row r="1221" spans="1:18" x14ac:dyDescent="0.25">
      <c r="A1221" s="169">
        <v>43815</v>
      </c>
      <c r="B1221" s="116">
        <v>63</v>
      </c>
      <c r="C1221" s="116">
        <v>59.85</v>
      </c>
      <c r="D1221" s="116">
        <v>59.8</v>
      </c>
      <c r="E1221" s="116">
        <v>61.5</v>
      </c>
      <c r="F1221" s="116">
        <v>59.85</v>
      </c>
      <c r="G1221">
        <v>973</v>
      </c>
      <c r="H1221" s="116"/>
      <c r="I1221" s="116"/>
      <c r="L1221" s="169">
        <v>43805</v>
      </c>
      <c r="M1221" s="116">
        <v>66.95</v>
      </c>
      <c r="N1221" s="116">
        <v>69</v>
      </c>
      <c r="O1221" s="116">
        <v>63.1</v>
      </c>
      <c r="P1221" s="116">
        <v>64.150000000000006</v>
      </c>
      <c r="Q1221" s="116">
        <v>66.95</v>
      </c>
      <c r="R1221">
        <v>181249</v>
      </c>
    </row>
    <row r="1222" spans="1:18" x14ac:dyDescent="0.25">
      <c r="A1222" s="169">
        <v>43816</v>
      </c>
      <c r="B1222" s="116">
        <v>62.35</v>
      </c>
      <c r="C1222" s="116">
        <v>60.8</v>
      </c>
      <c r="D1222" s="116">
        <v>58.1</v>
      </c>
      <c r="E1222" s="116">
        <v>61.65</v>
      </c>
      <c r="F1222" s="116">
        <v>60.8</v>
      </c>
      <c r="G1222">
        <v>251</v>
      </c>
      <c r="H1222" s="116"/>
      <c r="I1222" s="116"/>
      <c r="L1222" s="169">
        <v>43808</v>
      </c>
      <c r="M1222" s="116">
        <v>69.25</v>
      </c>
      <c r="N1222" s="116">
        <v>70.5</v>
      </c>
      <c r="O1222" s="116">
        <v>64.599999999999994</v>
      </c>
      <c r="P1222" s="116">
        <v>66.95</v>
      </c>
      <c r="Q1222" s="116">
        <v>69.25</v>
      </c>
      <c r="R1222">
        <v>144181</v>
      </c>
    </row>
    <row r="1223" spans="1:18" x14ac:dyDescent="0.25">
      <c r="A1223" s="169">
        <v>43817</v>
      </c>
      <c r="B1223" s="116">
        <v>61.3</v>
      </c>
      <c r="C1223" s="116">
        <v>59.05</v>
      </c>
      <c r="D1223" s="116">
        <v>57.8</v>
      </c>
      <c r="E1223" s="116">
        <v>58</v>
      </c>
      <c r="F1223" s="116">
        <v>59.05</v>
      </c>
      <c r="G1223">
        <v>769</v>
      </c>
      <c r="H1223" s="116"/>
      <c r="I1223" s="116"/>
      <c r="L1223" s="169">
        <v>43809</v>
      </c>
      <c r="M1223" s="116">
        <v>65.900000000000006</v>
      </c>
      <c r="N1223" s="116">
        <v>69.8</v>
      </c>
      <c r="O1223" s="116">
        <v>65.8</v>
      </c>
      <c r="P1223" s="116">
        <v>65.8</v>
      </c>
      <c r="Q1223" s="116">
        <v>65.900000000000006</v>
      </c>
      <c r="R1223">
        <v>11948</v>
      </c>
    </row>
    <row r="1224" spans="1:18" x14ac:dyDescent="0.25">
      <c r="A1224" s="169">
        <v>43818</v>
      </c>
      <c r="B1224" s="116">
        <v>61.85</v>
      </c>
      <c r="C1224" s="116">
        <v>60.7</v>
      </c>
      <c r="D1224" s="116">
        <v>59.05</v>
      </c>
      <c r="E1224" s="116">
        <v>59.05</v>
      </c>
      <c r="F1224" s="116">
        <v>60.7</v>
      </c>
      <c r="G1224">
        <v>304</v>
      </c>
      <c r="H1224" s="116"/>
      <c r="I1224" s="116"/>
      <c r="L1224" s="169">
        <v>43810</v>
      </c>
      <c r="M1224" s="116">
        <v>63.75</v>
      </c>
      <c r="N1224" s="116">
        <v>64</v>
      </c>
      <c r="O1224" s="116">
        <v>62.65</v>
      </c>
      <c r="P1224" s="116">
        <v>63.15</v>
      </c>
      <c r="Q1224" s="116">
        <v>63.75</v>
      </c>
      <c r="R1224">
        <v>11768</v>
      </c>
    </row>
    <row r="1225" spans="1:18" x14ac:dyDescent="0.25">
      <c r="A1225" s="169">
        <v>43819</v>
      </c>
      <c r="B1225" s="116">
        <v>61.9</v>
      </c>
      <c r="C1225" s="116">
        <v>59</v>
      </c>
      <c r="D1225" s="116">
        <v>59</v>
      </c>
      <c r="E1225" s="116">
        <v>61.9</v>
      </c>
      <c r="F1225" s="116">
        <v>59</v>
      </c>
      <c r="G1225">
        <v>1215</v>
      </c>
      <c r="H1225" s="116"/>
      <c r="I1225" s="116"/>
      <c r="L1225" s="169">
        <v>43811</v>
      </c>
      <c r="M1225" s="116">
        <v>62.25</v>
      </c>
      <c r="N1225" s="116">
        <v>65.849999999999994</v>
      </c>
      <c r="O1225" s="116">
        <v>60.6</v>
      </c>
      <c r="P1225" s="116">
        <v>60.7</v>
      </c>
      <c r="Q1225" s="116">
        <v>62.25</v>
      </c>
      <c r="R1225">
        <v>5513</v>
      </c>
    </row>
    <row r="1226" spans="1:18" x14ac:dyDescent="0.25">
      <c r="A1226" s="169">
        <v>43822</v>
      </c>
      <c r="B1226" s="116">
        <v>61.8</v>
      </c>
      <c r="C1226" s="116">
        <v>60.5</v>
      </c>
      <c r="D1226" s="116">
        <v>59.3</v>
      </c>
      <c r="E1226" s="116">
        <v>61.8</v>
      </c>
      <c r="F1226" s="116">
        <v>60.5</v>
      </c>
      <c r="G1226">
        <v>313</v>
      </c>
      <c r="H1226" s="116"/>
      <c r="I1226" s="116"/>
      <c r="L1226" s="169">
        <v>43812</v>
      </c>
      <c r="M1226" s="116">
        <v>61.15</v>
      </c>
      <c r="N1226" s="116">
        <v>64.400000000000006</v>
      </c>
      <c r="O1226" s="116">
        <v>60</v>
      </c>
      <c r="P1226" s="116">
        <v>64.400000000000006</v>
      </c>
      <c r="Q1226" s="116">
        <v>61.15</v>
      </c>
      <c r="R1226">
        <v>2519</v>
      </c>
    </row>
    <row r="1227" spans="1:18" x14ac:dyDescent="0.25">
      <c r="A1227" s="169">
        <v>43823</v>
      </c>
      <c r="B1227" s="116">
        <v>60.6</v>
      </c>
      <c r="C1227" s="116">
        <v>60.5</v>
      </c>
      <c r="D1227" s="116">
        <v>60.5</v>
      </c>
      <c r="E1227" s="116">
        <v>60.6</v>
      </c>
      <c r="F1227" s="116">
        <v>60.5</v>
      </c>
      <c r="G1227">
        <v>549</v>
      </c>
      <c r="H1227" s="116"/>
      <c r="I1227" s="116"/>
      <c r="L1227" s="169">
        <v>43815</v>
      </c>
      <c r="M1227" s="116">
        <v>61.15</v>
      </c>
      <c r="N1227" s="116">
        <v>61.5</v>
      </c>
      <c r="O1227" s="116">
        <v>59.05</v>
      </c>
      <c r="P1227" s="116">
        <v>59.3</v>
      </c>
      <c r="Q1227" s="116">
        <v>61.15</v>
      </c>
      <c r="R1227">
        <v>3838</v>
      </c>
    </row>
    <row r="1228" spans="1:18" x14ac:dyDescent="0.25">
      <c r="A1228" s="169">
        <v>43825</v>
      </c>
      <c r="B1228" s="116">
        <v>63</v>
      </c>
      <c r="C1228" s="116">
        <v>62.8</v>
      </c>
      <c r="D1228" s="116">
        <v>58.1</v>
      </c>
      <c r="E1228" s="116">
        <v>58.1</v>
      </c>
      <c r="F1228" s="116">
        <v>62.8</v>
      </c>
      <c r="G1228">
        <v>203</v>
      </c>
      <c r="H1228" s="116"/>
      <c r="I1228" s="116"/>
      <c r="L1228" s="169">
        <v>43816</v>
      </c>
      <c r="M1228" s="116">
        <v>58.7</v>
      </c>
      <c r="N1228" s="116">
        <v>61.45</v>
      </c>
      <c r="O1228" s="116">
        <v>58.4</v>
      </c>
      <c r="P1228" s="116">
        <v>59.45</v>
      </c>
      <c r="Q1228" s="116">
        <v>58.7</v>
      </c>
      <c r="R1228">
        <v>2729</v>
      </c>
    </row>
    <row r="1229" spans="1:18" x14ac:dyDescent="0.25">
      <c r="A1229" s="169">
        <v>43826</v>
      </c>
      <c r="B1229" s="116">
        <v>61.95</v>
      </c>
      <c r="C1229" s="116">
        <v>59.7</v>
      </c>
      <c r="D1229" s="116">
        <v>59.7</v>
      </c>
      <c r="E1229" s="116">
        <v>59.7</v>
      </c>
      <c r="F1229" s="116">
        <v>59.7</v>
      </c>
      <c r="G1229">
        <v>101</v>
      </c>
      <c r="H1229" s="116"/>
      <c r="I1229" s="116"/>
      <c r="L1229" s="169">
        <v>43817</v>
      </c>
      <c r="M1229" s="116">
        <v>59.4</v>
      </c>
      <c r="N1229" s="116">
        <v>61</v>
      </c>
      <c r="O1229" s="116">
        <v>56.55</v>
      </c>
      <c r="P1229" s="116">
        <v>56.55</v>
      </c>
      <c r="Q1229" s="116">
        <v>59.4</v>
      </c>
      <c r="R1229">
        <v>2102</v>
      </c>
    </row>
    <row r="1230" spans="1:18" x14ac:dyDescent="0.25">
      <c r="A1230" s="169">
        <v>43829</v>
      </c>
      <c r="B1230" s="116">
        <v>59.55</v>
      </c>
      <c r="C1230" s="116">
        <v>59.5</v>
      </c>
      <c r="D1230" s="116">
        <v>59</v>
      </c>
      <c r="E1230" s="116">
        <v>59</v>
      </c>
      <c r="F1230" s="116">
        <v>59.5</v>
      </c>
      <c r="G1230">
        <v>129</v>
      </c>
      <c r="H1230" s="116"/>
      <c r="I1230" s="116"/>
      <c r="L1230" s="169">
        <v>43818</v>
      </c>
      <c r="M1230" s="116">
        <v>59.55</v>
      </c>
      <c r="N1230" s="116">
        <v>60.95</v>
      </c>
      <c r="O1230" s="116">
        <v>59.1</v>
      </c>
      <c r="P1230" s="116">
        <v>60.95</v>
      </c>
      <c r="Q1230" s="116">
        <v>59.55</v>
      </c>
      <c r="R1230">
        <v>2541</v>
      </c>
    </row>
    <row r="1231" spans="1:18" x14ac:dyDescent="0.25">
      <c r="A1231" s="169">
        <v>43830</v>
      </c>
      <c r="B1231" s="116">
        <v>61</v>
      </c>
      <c r="C1231" s="116">
        <v>61</v>
      </c>
      <c r="D1231" s="116">
        <v>61</v>
      </c>
      <c r="E1231" s="116">
        <v>61</v>
      </c>
      <c r="F1231" s="116">
        <v>61</v>
      </c>
      <c r="G1231">
        <v>5</v>
      </c>
      <c r="H1231" s="116"/>
      <c r="I1231" s="116"/>
      <c r="L1231" s="169">
        <v>43819</v>
      </c>
      <c r="M1231" s="116">
        <v>59.1</v>
      </c>
      <c r="N1231" s="116">
        <v>62.25</v>
      </c>
      <c r="O1231" s="116">
        <v>59</v>
      </c>
      <c r="P1231" s="116">
        <v>62.25</v>
      </c>
      <c r="Q1231" s="116">
        <v>59.1</v>
      </c>
      <c r="R1231">
        <v>903</v>
      </c>
    </row>
    <row r="1232" spans="1:18" x14ac:dyDescent="0.25">
      <c r="A1232" s="169">
        <v>43831</v>
      </c>
      <c r="B1232" s="116">
        <v>62.35</v>
      </c>
      <c r="C1232" s="116">
        <v>62.35</v>
      </c>
      <c r="D1232" s="116">
        <v>60.05</v>
      </c>
      <c r="E1232" s="116">
        <v>60.05</v>
      </c>
      <c r="F1232" s="116">
        <v>62.35</v>
      </c>
      <c r="G1232">
        <v>755</v>
      </c>
      <c r="H1232" s="116"/>
      <c r="I1232" s="116"/>
      <c r="L1232" s="169">
        <v>43822</v>
      </c>
      <c r="M1232" s="116">
        <v>60.5</v>
      </c>
      <c r="N1232" s="116">
        <v>61</v>
      </c>
      <c r="O1232" s="116">
        <v>59.1</v>
      </c>
      <c r="P1232" s="116">
        <v>60.5</v>
      </c>
      <c r="Q1232" s="116">
        <v>60.5</v>
      </c>
      <c r="R1232">
        <v>713</v>
      </c>
    </row>
    <row r="1233" spans="1:18" x14ac:dyDescent="0.25">
      <c r="A1233" s="169">
        <v>43832</v>
      </c>
      <c r="B1233" s="116">
        <v>65.45</v>
      </c>
      <c r="C1233" s="116">
        <v>64.349999999999994</v>
      </c>
      <c r="D1233" s="116">
        <v>62.15</v>
      </c>
      <c r="E1233" s="116">
        <v>65.400000000000006</v>
      </c>
      <c r="F1233" s="116">
        <v>64.349999999999994</v>
      </c>
      <c r="G1233">
        <v>4708241</v>
      </c>
      <c r="H1233" s="116"/>
      <c r="I1233" s="116"/>
      <c r="L1233" s="169">
        <v>43823</v>
      </c>
      <c r="M1233" s="116">
        <v>60.5</v>
      </c>
      <c r="N1233" s="116">
        <v>63.4</v>
      </c>
      <c r="O1233" s="116">
        <v>59.1</v>
      </c>
      <c r="P1233" s="116">
        <v>60</v>
      </c>
      <c r="Q1233" s="116">
        <v>60.5</v>
      </c>
      <c r="R1233">
        <v>8121</v>
      </c>
    </row>
    <row r="1234" spans="1:18" x14ac:dyDescent="0.25">
      <c r="A1234" s="169">
        <v>43833</v>
      </c>
      <c r="B1234" s="116">
        <v>62.9</v>
      </c>
      <c r="C1234" s="116">
        <v>62</v>
      </c>
      <c r="D1234" s="116">
        <v>62</v>
      </c>
      <c r="E1234" s="116">
        <v>62.15</v>
      </c>
      <c r="F1234" s="116">
        <v>62</v>
      </c>
      <c r="G1234">
        <v>1920</v>
      </c>
      <c r="H1234" s="116"/>
      <c r="I1234" s="116"/>
      <c r="L1234" s="169">
        <v>43825</v>
      </c>
      <c r="M1234" s="116">
        <v>60.2</v>
      </c>
      <c r="N1234" s="116">
        <v>61</v>
      </c>
      <c r="O1234" s="116">
        <v>58.05</v>
      </c>
      <c r="P1234" s="116">
        <v>58.05</v>
      </c>
      <c r="Q1234" s="116">
        <v>60.2</v>
      </c>
      <c r="R1234">
        <v>5474</v>
      </c>
    </row>
    <row r="1235" spans="1:18" x14ac:dyDescent="0.25">
      <c r="A1235" s="169">
        <v>43836</v>
      </c>
      <c r="B1235" s="116">
        <v>63</v>
      </c>
      <c r="C1235" s="116">
        <v>62.65</v>
      </c>
      <c r="D1235" s="116">
        <v>60.05</v>
      </c>
      <c r="E1235" s="116">
        <v>60.05</v>
      </c>
      <c r="F1235" s="116">
        <v>62.65</v>
      </c>
      <c r="G1235">
        <v>187</v>
      </c>
      <c r="H1235" s="116"/>
      <c r="I1235" s="116"/>
      <c r="L1235" s="169">
        <v>43826</v>
      </c>
      <c r="M1235" s="116">
        <v>60.95</v>
      </c>
      <c r="N1235" s="116">
        <v>63.2</v>
      </c>
      <c r="O1235" s="116">
        <v>59</v>
      </c>
      <c r="P1235" s="116">
        <v>63</v>
      </c>
      <c r="Q1235" s="116">
        <v>60.95</v>
      </c>
      <c r="R1235">
        <v>1758</v>
      </c>
    </row>
    <row r="1236" spans="1:18" x14ac:dyDescent="0.25">
      <c r="A1236" s="169">
        <v>43837</v>
      </c>
      <c r="B1236" s="116">
        <v>62.8</v>
      </c>
      <c r="C1236" s="116">
        <v>61.55</v>
      </c>
      <c r="D1236" s="116">
        <v>60.05</v>
      </c>
      <c r="E1236" s="116">
        <v>60.05</v>
      </c>
      <c r="F1236" s="116">
        <v>61.55</v>
      </c>
      <c r="G1236">
        <v>150129</v>
      </c>
      <c r="H1236" s="116"/>
      <c r="I1236" s="116"/>
      <c r="L1236" s="169">
        <v>43829</v>
      </c>
      <c r="M1236" s="116">
        <v>60.45</v>
      </c>
      <c r="N1236" s="116">
        <v>62.55</v>
      </c>
      <c r="O1236" s="116">
        <v>58</v>
      </c>
      <c r="P1236" s="116">
        <v>60.1</v>
      </c>
      <c r="Q1236" s="116">
        <v>60.45</v>
      </c>
      <c r="R1236">
        <v>1912</v>
      </c>
    </row>
    <row r="1237" spans="1:18" x14ac:dyDescent="0.25">
      <c r="A1237" s="169">
        <v>43838</v>
      </c>
      <c r="B1237" s="116">
        <v>62.9</v>
      </c>
      <c r="C1237" s="116">
        <v>62.9</v>
      </c>
      <c r="D1237" s="116">
        <v>62.9</v>
      </c>
      <c r="E1237" s="116">
        <v>62.9</v>
      </c>
      <c r="F1237" s="116">
        <v>62.9</v>
      </c>
      <c r="G1237">
        <v>10</v>
      </c>
      <c r="H1237" s="116"/>
      <c r="I1237" s="116"/>
      <c r="L1237" s="169">
        <v>43830</v>
      </c>
      <c r="M1237" s="116">
        <v>61.35</v>
      </c>
      <c r="N1237" s="116">
        <v>61.35</v>
      </c>
      <c r="O1237" s="116">
        <v>58.1</v>
      </c>
      <c r="P1237" s="116">
        <v>59</v>
      </c>
      <c r="Q1237" s="116">
        <v>61.35</v>
      </c>
      <c r="R1237">
        <v>358</v>
      </c>
    </row>
    <row r="1238" spans="1:18" x14ac:dyDescent="0.25">
      <c r="A1238" s="169">
        <v>43839</v>
      </c>
      <c r="B1238" s="116">
        <v>63.25</v>
      </c>
      <c r="C1238" s="116">
        <v>63.25</v>
      </c>
      <c r="D1238" s="116">
        <v>60</v>
      </c>
      <c r="E1238" s="116">
        <v>60</v>
      </c>
      <c r="F1238" s="116">
        <v>63.25</v>
      </c>
      <c r="G1238">
        <v>283</v>
      </c>
      <c r="H1238" s="116"/>
      <c r="I1238" s="116"/>
      <c r="L1238" s="169">
        <v>43831</v>
      </c>
      <c r="M1238" s="116">
        <v>63.85</v>
      </c>
      <c r="N1238" s="116">
        <v>63.95</v>
      </c>
      <c r="O1238" s="116">
        <v>58.9</v>
      </c>
      <c r="P1238" s="116">
        <v>58.9</v>
      </c>
      <c r="Q1238" s="116">
        <v>63.85</v>
      </c>
      <c r="R1238">
        <v>29850</v>
      </c>
    </row>
    <row r="1239" spans="1:18" x14ac:dyDescent="0.25">
      <c r="A1239" s="169">
        <v>43843</v>
      </c>
      <c r="B1239" s="116">
        <v>61</v>
      </c>
      <c r="C1239" s="116">
        <v>60.1</v>
      </c>
      <c r="D1239" s="116">
        <v>60.1</v>
      </c>
      <c r="E1239" s="116">
        <v>61</v>
      </c>
      <c r="F1239" s="116">
        <v>60.1</v>
      </c>
      <c r="G1239">
        <v>235</v>
      </c>
      <c r="H1239" s="116"/>
      <c r="I1239" s="116"/>
      <c r="L1239" s="169">
        <v>43832</v>
      </c>
      <c r="M1239" s="116">
        <v>64.5</v>
      </c>
      <c r="N1239" s="116">
        <v>66.7</v>
      </c>
      <c r="O1239" s="116">
        <v>62</v>
      </c>
      <c r="P1239" s="116">
        <v>63.2</v>
      </c>
      <c r="Q1239" s="116">
        <v>64.5</v>
      </c>
      <c r="R1239">
        <v>3702</v>
      </c>
    </row>
    <row r="1240" spans="1:18" x14ac:dyDescent="0.25">
      <c r="A1240" s="169">
        <v>43844</v>
      </c>
      <c r="B1240" s="116">
        <v>59.9</v>
      </c>
      <c r="C1240" s="116">
        <v>59.45</v>
      </c>
      <c r="D1240" s="116">
        <v>57.1</v>
      </c>
      <c r="E1240" s="116">
        <v>58.05</v>
      </c>
      <c r="F1240" s="116">
        <v>59.45</v>
      </c>
      <c r="G1240">
        <v>1326</v>
      </c>
      <c r="H1240" s="116"/>
      <c r="I1240" s="116"/>
      <c r="L1240" s="169">
        <v>43833</v>
      </c>
      <c r="M1240" s="116">
        <v>63.65</v>
      </c>
      <c r="N1240" s="116">
        <v>67.599999999999994</v>
      </c>
      <c r="O1240" s="116">
        <v>61.65</v>
      </c>
      <c r="P1240" s="116">
        <v>67.599999999999994</v>
      </c>
      <c r="Q1240" s="116">
        <v>63.65</v>
      </c>
      <c r="R1240">
        <v>1412</v>
      </c>
    </row>
    <row r="1241" spans="1:18" x14ac:dyDescent="0.25">
      <c r="A1241" s="169">
        <v>43845</v>
      </c>
      <c r="B1241" s="116">
        <v>60.6</v>
      </c>
      <c r="C1241" s="116">
        <v>60.6</v>
      </c>
      <c r="D1241" s="116">
        <v>56.65</v>
      </c>
      <c r="E1241" s="116">
        <v>56.7</v>
      </c>
      <c r="F1241" s="116">
        <v>60.6</v>
      </c>
      <c r="G1241">
        <v>301</v>
      </c>
      <c r="H1241" s="116"/>
      <c r="I1241" s="116"/>
      <c r="L1241" s="169">
        <v>43836</v>
      </c>
      <c r="M1241" s="116">
        <v>60.55</v>
      </c>
      <c r="N1241" s="116">
        <v>62.8</v>
      </c>
      <c r="O1241" s="116">
        <v>60.5</v>
      </c>
      <c r="P1241" s="116">
        <v>62.4</v>
      </c>
      <c r="Q1241" s="116">
        <v>60.55</v>
      </c>
      <c r="R1241">
        <v>1252</v>
      </c>
    </row>
    <row r="1242" spans="1:18" x14ac:dyDescent="0.25">
      <c r="A1242" s="169">
        <v>43846</v>
      </c>
      <c r="B1242" s="116">
        <v>60.45</v>
      </c>
      <c r="C1242" s="116">
        <v>60.15</v>
      </c>
      <c r="D1242" s="116">
        <v>58</v>
      </c>
      <c r="E1242" s="116">
        <v>58.4</v>
      </c>
      <c r="F1242" s="116">
        <v>60.15</v>
      </c>
      <c r="G1242">
        <v>2286</v>
      </c>
      <c r="H1242" s="116"/>
      <c r="I1242" s="116"/>
      <c r="L1242" s="169">
        <v>43837</v>
      </c>
      <c r="M1242" s="116">
        <v>61.75</v>
      </c>
      <c r="N1242" s="116">
        <v>62.75</v>
      </c>
      <c r="O1242" s="116">
        <v>59.45</v>
      </c>
      <c r="P1242" s="116">
        <v>62.75</v>
      </c>
      <c r="Q1242" s="116">
        <v>61.75</v>
      </c>
      <c r="R1242">
        <v>104860</v>
      </c>
    </row>
    <row r="1243" spans="1:18" x14ac:dyDescent="0.25">
      <c r="A1243" s="169">
        <v>43847</v>
      </c>
      <c r="B1243" s="116">
        <v>60.5</v>
      </c>
      <c r="C1243" s="116">
        <v>60.5</v>
      </c>
      <c r="D1243" s="116">
        <v>57.3</v>
      </c>
      <c r="E1243" s="116">
        <v>60</v>
      </c>
      <c r="F1243" s="116">
        <v>60.5</v>
      </c>
      <c r="G1243">
        <v>651</v>
      </c>
      <c r="H1243" s="116"/>
      <c r="I1243" s="116"/>
      <c r="L1243" s="169">
        <v>43838</v>
      </c>
      <c r="M1243" s="116">
        <v>62.35</v>
      </c>
      <c r="N1243" s="116">
        <v>64.5</v>
      </c>
      <c r="O1243" s="116">
        <v>58.7</v>
      </c>
      <c r="P1243" s="116">
        <v>58.7</v>
      </c>
      <c r="Q1243" s="116">
        <v>62.35</v>
      </c>
      <c r="R1243">
        <v>2359</v>
      </c>
    </row>
    <row r="1244" spans="1:18" x14ac:dyDescent="0.25">
      <c r="A1244" s="169">
        <v>43850</v>
      </c>
      <c r="B1244" s="116">
        <v>60.9</v>
      </c>
      <c r="C1244" s="116">
        <v>59.15</v>
      </c>
      <c r="D1244" s="116">
        <v>59</v>
      </c>
      <c r="E1244" s="116">
        <v>59</v>
      </c>
      <c r="F1244" s="116">
        <v>59.15</v>
      </c>
      <c r="G1244">
        <v>218</v>
      </c>
      <c r="H1244" s="116"/>
      <c r="I1244" s="116"/>
      <c r="L1244" s="169">
        <v>43839</v>
      </c>
      <c r="M1244" s="116">
        <v>62.45</v>
      </c>
      <c r="N1244" s="116">
        <v>62.9</v>
      </c>
      <c r="O1244" s="116">
        <v>59.3</v>
      </c>
      <c r="P1244" s="116">
        <v>62.9</v>
      </c>
      <c r="Q1244" s="116">
        <v>62.45</v>
      </c>
      <c r="R1244">
        <v>2520</v>
      </c>
    </row>
    <row r="1245" spans="1:18" x14ac:dyDescent="0.25">
      <c r="A1245" s="169">
        <v>43851</v>
      </c>
      <c r="B1245" s="116">
        <v>61.25</v>
      </c>
      <c r="C1245" s="116">
        <v>60.5</v>
      </c>
      <c r="D1245" s="116">
        <v>60</v>
      </c>
      <c r="E1245" s="116">
        <v>61.25</v>
      </c>
      <c r="F1245" s="116">
        <v>60.5</v>
      </c>
      <c r="G1245">
        <v>310</v>
      </c>
      <c r="H1245" s="116"/>
      <c r="I1245" s="116"/>
      <c r="L1245" s="169">
        <v>43840</v>
      </c>
      <c r="M1245" s="116">
        <v>60.45</v>
      </c>
      <c r="N1245" s="116">
        <v>64.900000000000006</v>
      </c>
      <c r="O1245" s="116">
        <v>59.65</v>
      </c>
      <c r="P1245" s="116">
        <v>59.65</v>
      </c>
      <c r="Q1245" s="116">
        <v>60.45</v>
      </c>
      <c r="R1245">
        <v>3308</v>
      </c>
    </row>
    <row r="1246" spans="1:18" x14ac:dyDescent="0.25">
      <c r="A1246" s="169">
        <v>43852</v>
      </c>
      <c r="B1246" s="116">
        <v>59.9</v>
      </c>
      <c r="C1246" s="116">
        <v>59.25</v>
      </c>
      <c r="D1246" s="116">
        <v>59</v>
      </c>
      <c r="E1246" s="116">
        <v>59</v>
      </c>
      <c r="F1246" s="116">
        <v>59.25</v>
      </c>
      <c r="G1246">
        <v>1501</v>
      </c>
      <c r="H1246" s="116"/>
      <c r="I1246" s="116"/>
      <c r="L1246" s="169">
        <v>43843</v>
      </c>
      <c r="M1246" s="116">
        <v>58.1</v>
      </c>
      <c r="N1246" s="116">
        <v>60.5</v>
      </c>
      <c r="O1246" s="116">
        <v>57.45</v>
      </c>
      <c r="P1246" s="116">
        <v>60.5</v>
      </c>
      <c r="Q1246" s="116">
        <v>58.1</v>
      </c>
      <c r="R1246">
        <v>8226</v>
      </c>
    </row>
    <row r="1247" spans="1:18" x14ac:dyDescent="0.25">
      <c r="A1247" s="169">
        <v>43853</v>
      </c>
      <c r="B1247" s="116">
        <v>60.8</v>
      </c>
      <c r="C1247" s="116">
        <v>60.8</v>
      </c>
      <c r="D1247" s="116">
        <v>57.9</v>
      </c>
      <c r="E1247" s="116">
        <v>57.9</v>
      </c>
      <c r="F1247" s="116">
        <v>60.8</v>
      </c>
      <c r="G1247">
        <v>26</v>
      </c>
      <c r="H1247" s="116"/>
      <c r="I1247" s="116"/>
      <c r="L1247" s="169">
        <v>43844</v>
      </c>
      <c r="M1247" s="116">
        <v>58.9</v>
      </c>
      <c r="N1247" s="116">
        <v>60.9</v>
      </c>
      <c r="O1247" s="116">
        <v>57.35</v>
      </c>
      <c r="P1247" s="116">
        <v>60.9</v>
      </c>
      <c r="Q1247" s="116">
        <v>58.9</v>
      </c>
      <c r="R1247">
        <v>2316</v>
      </c>
    </row>
    <row r="1248" spans="1:18" x14ac:dyDescent="0.25">
      <c r="A1248" s="169">
        <v>43854</v>
      </c>
      <c r="B1248" s="116">
        <v>60.2</v>
      </c>
      <c r="C1248" s="116">
        <v>60.2</v>
      </c>
      <c r="D1248" s="116">
        <v>59</v>
      </c>
      <c r="E1248" s="116">
        <v>59</v>
      </c>
      <c r="F1248" s="116">
        <v>60.2</v>
      </c>
      <c r="G1248">
        <v>189</v>
      </c>
      <c r="H1248" s="116"/>
      <c r="I1248" s="116"/>
      <c r="L1248" s="169">
        <v>43845</v>
      </c>
      <c r="M1248" s="116">
        <v>58.5</v>
      </c>
      <c r="N1248" s="116">
        <v>60.55</v>
      </c>
      <c r="O1248" s="116">
        <v>56.25</v>
      </c>
      <c r="P1248" s="116">
        <v>58</v>
      </c>
      <c r="Q1248" s="116">
        <v>58.5</v>
      </c>
      <c r="R1248">
        <v>5409</v>
      </c>
    </row>
    <row r="1249" spans="1:18" x14ac:dyDescent="0.25">
      <c r="A1249" s="169">
        <v>43857</v>
      </c>
      <c r="B1249" s="116">
        <v>59</v>
      </c>
      <c r="C1249" s="116">
        <v>59</v>
      </c>
      <c r="D1249" s="116">
        <v>59</v>
      </c>
      <c r="E1249" s="116">
        <v>59</v>
      </c>
      <c r="F1249" s="116">
        <v>59</v>
      </c>
      <c r="G1249">
        <v>700</v>
      </c>
      <c r="H1249" s="116"/>
      <c r="I1249" s="116"/>
      <c r="L1249" s="169">
        <v>43846</v>
      </c>
      <c r="M1249" s="116">
        <v>58.7</v>
      </c>
      <c r="N1249" s="116">
        <v>60.3</v>
      </c>
      <c r="O1249" s="116">
        <v>57</v>
      </c>
      <c r="P1249" s="116">
        <v>60.3</v>
      </c>
      <c r="Q1249" s="116">
        <v>58.7</v>
      </c>
      <c r="R1249">
        <v>1957</v>
      </c>
    </row>
    <row r="1250" spans="1:18" x14ac:dyDescent="0.25">
      <c r="A1250" s="169">
        <v>43858</v>
      </c>
      <c r="B1250" s="116">
        <v>59</v>
      </c>
      <c r="C1250" s="116">
        <v>58.35</v>
      </c>
      <c r="D1250" s="116">
        <v>58</v>
      </c>
      <c r="E1250" s="116">
        <v>59</v>
      </c>
      <c r="F1250" s="116">
        <v>58.35</v>
      </c>
      <c r="G1250">
        <v>4225</v>
      </c>
      <c r="H1250" s="116"/>
      <c r="I1250" s="116"/>
      <c r="L1250" s="169">
        <v>43847</v>
      </c>
      <c r="M1250" s="116">
        <v>59.5</v>
      </c>
      <c r="N1250" s="116">
        <v>60.7</v>
      </c>
      <c r="O1250" s="116">
        <v>58</v>
      </c>
      <c r="P1250" s="116">
        <v>58</v>
      </c>
      <c r="Q1250" s="116">
        <v>59.5</v>
      </c>
      <c r="R1250">
        <v>5347</v>
      </c>
    </row>
    <row r="1251" spans="1:18" x14ac:dyDescent="0.25">
      <c r="A1251" s="169">
        <v>43859</v>
      </c>
      <c r="B1251" s="116">
        <v>60</v>
      </c>
      <c r="C1251" s="116">
        <v>60</v>
      </c>
      <c r="D1251" s="116">
        <v>59</v>
      </c>
      <c r="E1251" s="116">
        <v>59</v>
      </c>
      <c r="F1251" s="116">
        <v>60</v>
      </c>
      <c r="G1251">
        <v>361</v>
      </c>
      <c r="H1251" s="116"/>
      <c r="I1251" s="116"/>
      <c r="L1251" s="169">
        <v>43850</v>
      </c>
      <c r="M1251" s="116">
        <v>60.25</v>
      </c>
      <c r="N1251" s="116">
        <v>60.25</v>
      </c>
      <c r="O1251" s="116">
        <v>59</v>
      </c>
      <c r="P1251" s="116">
        <v>59.6</v>
      </c>
      <c r="Q1251" s="116">
        <v>60.25</v>
      </c>
      <c r="R1251">
        <v>1912</v>
      </c>
    </row>
    <row r="1252" spans="1:18" x14ac:dyDescent="0.25">
      <c r="A1252" s="169">
        <v>43860</v>
      </c>
      <c r="B1252" s="116">
        <v>61.8</v>
      </c>
      <c r="C1252" s="116">
        <v>59.65</v>
      </c>
      <c r="D1252" s="116">
        <v>59.6</v>
      </c>
      <c r="E1252" s="116">
        <v>60</v>
      </c>
      <c r="F1252" s="116">
        <v>59.65</v>
      </c>
      <c r="G1252">
        <v>4153</v>
      </c>
      <c r="H1252" s="116"/>
      <c r="I1252" s="116"/>
      <c r="L1252" s="169">
        <v>43851</v>
      </c>
      <c r="M1252" s="116">
        <v>59.75</v>
      </c>
      <c r="N1252" s="116">
        <v>61.45</v>
      </c>
      <c r="O1252" s="116">
        <v>58.1</v>
      </c>
      <c r="P1252" s="116">
        <v>61.45</v>
      </c>
      <c r="Q1252" s="116">
        <v>59.75</v>
      </c>
      <c r="R1252">
        <v>1830</v>
      </c>
    </row>
    <row r="1253" spans="1:18" x14ac:dyDescent="0.25">
      <c r="A1253" s="169">
        <v>43861</v>
      </c>
      <c r="B1253" s="116">
        <v>59.9</v>
      </c>
      <c r="C1253" s="116">
        <v>57.15</v>
      </c>
      <c r="D1253" s="116">
        <v>57.1</v>
      </c>
      <c r="E1253" s="116">
        <v>57.1</v>
      </c>
      <c r="F1253" s="116">
        <v>57.15</v>
      </c>
      <c r="G1253">
        <v>578</v>
      </c>
      <c r="H1253" s="116"/>
      <c r="I1253" s="116"/>
      <c r="L1253" s="169">
        <v>43852</v>
      </c>
      <c r="M1253" s="116">
        <v>59.5</v>
      </c>
      <c r="N1253" s="116">
        <v>61</v>
      </c>
      <c r="O1253" s="116">
        <v>57.1</v>
      </c>
      <c r="P1253" s="116">
        <v>57.1</v>
      </c>
      <c r="Q1253" s="116">
        <v>59.5</v>
      </c>
      <c r="R1253">
        <v>867</v>
      </c>
    </row>
    <row r="1254" spans="1:18" x14ac:dyDescent="0.25">
      <c r="A1254" s="169">
        <v>43862</v>
      </c>
      <c r="B1254" s="116">
        <v>59</v>
      </c>
      <c r="C1254" s="116">
        <v>59</v>
      </c>
      <c r="D1254" s="116">
        <v>55.4</v>
      </c>
      <c r="E1254" s="116">
        <v>55.45</v>
      </c>
      <c r="F1254" s="116">
        <v>59</v>
      </c>
      <c r="G1254">
        <v>850</v>
      </c>
      <c r="H1254" s="116"/>
      <c r="I1254" s="116"/>
      <c r="L1254" s="169">
        <v>43853</v>
      </c>
      <c r="M1254" s="116">
        <v>60.55</v>
      </c>
      <c r="N1254" s="116">
        <v>62</v>
      </c>
      <c r="O1254" s="116">
        <v>58</v>
      </c>
      <c r="P1254" s="116">
        <v>60.8</v>
      </c>
      <c r="Q1254" s="116">
        <v>60.55</v>
      </c>
      <c r="R1254">
        <v>1905</v>
      </c>
    </row>
    <row r="1255" spans="1:18" x14ac:dyDescent="0.25">
      <c r="A1255" s="169">
        <v>43864</v>
      </c>
      <c r="B1255" s="116">
        <v>59.5</v>
      </c>
      <c r="C1255" s="116">
        <v>59.3</v>
      </c>
      <c r="D1255" s="116">
        <v>57</v>
      </c>
      <c r="E1255" s="116">
        <v>59.5</v>
      </c>
      <c r="F1255" s="116">
        <v>59.3</v>
      </c>
      <c r="G1255">
        <v>401</v>
      </c>
      <c r="H1255" s="116"/>
      <c r="I1255" s="116"/>
      <c r="L1255" s="169">
        <v>43854</v>
      </c>
      <c r="M1255" s="116">
        <v>59.05</v>
      </c>
      <c r="N1255" s="116">
        <v>60</v>
      </c>
      <c r="O1255" s="116">
        <v>58.25</v>
      </c>
      <c r="P1255" s="116">
        <v>58.25</v>
      </c>
      <c r="Q1255" s="116">
        <v>59.05</v>
      </c>
      <c r="R1255">
        <v>578</v>
      </c>
    </row>
    <row r="1256" spans="1:18" x14ac:dyDescent="0.25">
      <c r="A1256" s="169">
        <v>43865</v>
      </c>
      <c r="B1256" s="116">
        <v>57.7</v>
      </c>
      <c r="C1256" s="116">
        <v>57.7</v>
      </c>
      <c r="D1256" s="116">
        <v>56.35</v>
      </c>
      <c r="E1256" s="116">
        <v>56.4</v>
      </c>
      <c r="F1256" s="116">
        <v>57.7</v>
      </c>
      <c r="G1256">
        <v>300</v>
      </c>
      <c r="H1256" s="116"/>
      <c r="I1256" s="116"/>
      <c r="L1256" s="169">
        <v>43857</v>
      </c>
      <c r="M1256" s="116">
        <v>59.05</v>
      </c>
      <c r="N1256" s="116">
        <v>60</v>
      </c>
      <c r="O1256" s="116">
        <v>58</v>
      </c>
      <c r="P1256" s="116">
        <v>58.7</v>
      </c>
      <c r="Q1256" s="116">
        <v>59.05</v>
      </c>
      <c r="R1256">
        <v>2041</v>
      </c>
    </row>
    <row r="1257" spans="1:18" x14ac:dyDescent="0.25">
      <c r="A1257" s="169">
        <v>43866</v>
      </c>
      <c r="B1257" s="116">
        <v>58.95</v>
      </c>
      <c r="C1257" s="116">
        <v>58.95</v>
      </c>
      <c r="D1257" s="116">
        <v>58.95</v>
      </c>
      <c r="E1257" s="116">
        <v>58.95</v>
      </c>
      <c r="F1257" s="116">
        <v>58.95</v>
      </c>
      <c r="G1257">
        <v>2</v>
      </c>
      <c r="H1257" s="116"/>
      <c r="I1257" s="116"/>
      <c r="L1257" s="169">
        <v>43858</v>
      </c>
      <c r="M1257" s="116">
        <v>59</v>
      </c>
      <c r="N1257" s="116">
        <v>59.05</v>
      </c>
      <c r="O1257" s="116">
        <v>59</v>
      </c>
      <c r="P1257" s="116">
        <v>59</v>
      </c>
      <c r="Q1257" s="116">
        <v>59</v>
      </c>
      <c r="R1257">
        <v>1440</v>
      </c>
    </row>
    <row r="1258" spans="1:18" x14ac:dyDescent="0.25">
      <c r="A1258" s="169">
        <v>43868</v>
      </c>
      <c r="B1258" s="116">
        <v>59.9</v>
      </c>
      <c r="C1258" s="116">
        <v>59.75</v>
      </c>
      <c r="D1258" s="116">
        <v>57</v>
      </c>
      <c r="E1258" s="116">
        <v>57</v>
      </c>
      <c r="F1258" s="116">
        <v>59.75</v>
      </c>
      <c r="G1258">
        <v>5828</v>
      </c>
      <c r="H1258" s="116"/>
      <c r="I1258" s="116"/>
      <c r="L1258" s="169">
        <v>43859</v>
      </c>
      <c r="M1258" s="116">
        <v>60.9</v>
      </c>
      <c r="N1258" s="116">
        <v>61.45</v>
      </c>
      <c r="O1258" s="116">
        <v>58</v>
      </c>
      <c r="P1258" s="116">
        <v>58</v>
      </c>
      <c r="Q1258" s="116">
        <v>60.9</v>
      </c>
      <c r="R1258">
        <v>1322</v>
      </c>
    </row>
    <row r="1259" spans="1:18" x14ac:dyDescent="0.25">
      <c r="A1259" s="169">
        <v>43872</v>
      </c>
      <c r="B1259" s="116">
        <v>56.8</v>
      </c>
      <c r="C1259" s="116">
        <v>56.8</v>
      </c>
      <c r="D1259" s="116">
        <v>56.8</v>
      </c>
      <c r="E1259" s="116">
        <v>56.8</v>
      </c>
      <c r="F1259" s="116">
        <v>56.8</v>
      </c>
      <c r="G1259">
        <v>200</v>
      </c>
      <c r="H1259" s="116"/>
      <c r="I1259" s="116"/>
      <c r="L1259" s="169">
        <v>43860</v>
      </c>
      <c r="M1259" s="116">
        <v>59</v>
      </c>
      <c r="N1259" s="116">
        <v>61</v>
      </c>
      <c r="O1259" s="116">
        <v>58.25</v>
      </c>
      <c r="P1259" s="116">
        <v>61</v>
      </c>
      <c r="Q1259" s="116">
        <v>59</v>
      </c>
      <c r="R1259">
        <v>1928</v>
      </c>
    </row>
    <row r="1260" spans="1:18" x14ac:dyDescent="0.25">
      <c r="A1260" s="169">
        <v>43873</v>
      </c>
      <c r="B1260" s="116">
        <v>54.2</v>
      </c>
      <c r="C1260" s="116">
        <v>54</v>
      </c>
      <c r="D1260" s="116">
        <v>54</v>
      </c>
      <c r="E1260" s="116">
        <v>54.2</v>
      </c>
      <c r="F1260" s="116">
        <v>54</v>
      </c>
      <c r="G1260">
        <v>55</v>
      </c>
      <c r="H1260" s="116"/>
      <c r="I1260" s="116"/>
      <c r="L1260" s="169">
        <v>43861</v>
      </c>
      <c r="M1260" s="116">
        <v>59.95</v>
      </c>
      <c r="N1260" s="116">
        <v>60.45</v>
      </c>
      <c r="O1260" s="116">
        <v>57</v>
      </c>
      <c r="P1260" s="116">
        <v>58.75</v>
      </c>
      <c r="Q1260" s="116">
        <v>59.95</v>
      </c>
      <c r="R1260">
        <v>1090</v>
      </c>
    </row>
    <row r="1261" spans="1:18" x14ac:dyDescent="0.25">
      <c r="A1261" s="169">
        <v>43875</v>
      </c>
      <c r="B1261" s="116">
        <v>54.3</v>
      </c>
      <c r="C1261" s="116">
        <v>52.9</v>
      </c>
      <c r="D1261" s="116">
        <v>51.35</v>
      </c>
      <c r="E1261" s="116">
        <v>54.3</v>
      </c>
      <c r="F1261" s="116">
        <v>52.9</v>
      </c>
      <c r="G1261">
        <v>1627</v>
      </c>
      <c r="H1261" s="116"/>
      <c r="I1261" s="116"/>
      <c r="L1261" s="169">
        <v>43862</v>
      </c>
      <c r="M1261" s="116">
        <v>59.55</v>
      </c>
      <c r="N1261" s="116">
        <v>60.9</v>
      </c>
      <c r="O1261" s="116">
        <v>57</v>
      </c>
      <c r="P1261" s="116">
        <v>57</v>
      </c>
      <c r="Q1261" s="116">
        <v>59.55</v>
      </c>
      <c r="R1261">
        <v>4713</v>
      </c>
    </row>
    <row r="1262" spans="1:18" x14ac:dyDescent="0.25">
      <c r="A1262" s="169">
        <v>43878</v>
      </c>
      <c r="B1262" s="116">
        <v>54.75</v>
      </c>
      <c r="C1262" s="116">
        <v>51.7</v>
      </c>
      <c r="D1262" s="116">
        <v>50.3</v>
      </c>
      <c r="E1262" s="116">
        <v>50.3</v>
      </c>
      <c r="F1262" s="116">
        <v>51.7</v>
      </c>
      <c r="G1262">
        <v>325</v>
      </c>
      <c r="H1262" s="116"/>
      <c r="I1262" s="116"/>
      <c r="L1262" s="169">
        <v>43864</v>
      </c>
      <c r="M1262" s="116">
        <v>57.1</v>
      </c>
      <c r="N1262" s="116">
        <v>58.95</v>
      </c>
      <c r="O1262" s="116">
        <v>57</v>
      </c>
      <c r="P1262" s="116">
        <v>58.95</v>
      </c>
      <c r="Q1262" s="116">
        <v>57.1</v>
      </c>
      <c r="R1262">
        <v>4328</v>
      </c>
    </row>
    <row r="1263" spans="1:18" x14ac:dyDescent="0.25">
      <c r="A1263" s="169">
        <v>43879</v>
      </c>
      <c r="B1263" s="116">
        <v>52.6</v>
      </c>
      <c r="C1263" s="116">
        <v>52.6</v>
      </c>
      <c r="D1263" s="116">
        <v>49.7</v>
      </c>
      <c r="E1263" s="116">
        <v>52</v>
      </c>
      <c r="F1263" s="116">
        <v>52.6</v>
      </c>
      <c r="G1263">
        <v>255</v>
      </c>
      <c r="H1263" s="116"/>
      <c r="I1263" s="116"/>
      <c r="L1263" s="169">
        <v>43865</v>
      </c>
      <c r="M1263" s="116">
        <v>58.7</v>
      </c>
      <c r="N1263" s="116">
        <v>59.05</v>
      </c>
      <c r="O1263" s="116">
        <v>57.15</v>
      </c>
      <c r="P1263" s="116">
        <v>57.15</v>
      </c>
      <c r="Q1263" s="116">
        <v>58.7</v>
      </c>
      <c r="R1263">
        <v>3809</v>
      </c>
    </row>
    <row r="1264" spans="1:18" x14ac:dyDescent="0.25">
      <c r="A1264" s="169">
        <v>43880</v>
      </c>
      <c r="B1264" s="116">
        <v>53.95</v>
      </c>
      <c r="C1264" s="116">
        <v>53.9</v>
      </c>
      <c r="D1264" s="116">
        <v>51.05</v>
      </c>
      <c r="E1264" s="116">
        <v>51.05</v>
      </c>
      <c r="F1264" s="116">
        <v>53.9</v>
      </c>
      <c r="G1264">
        <v>500</v>
      </c>
      <c r="H1264" s="116"/>
      <c r="I1264" s="116"/>
      <c r="L1264" s="169">
        <v>43866</v>
      </c>
      <c r="M1264" s="116">
        <v>58.4</v>
      </c>
      <c r="N1264" s="116">
        <v>61.4</v>
      </c>
      <c r="O1264" s="116">
        <v>56.6</v>
      </c>
      <c r="P1264" s="116">
        <v>61.4</v>
      </c>
      <c r="Q1264" s="116">
        <v>58.4</v>
      </c>
      <c r="R1264">
        <v>1943</v>
      </c>
    </row>
    <row r="1265" spans="1:18" x14ac:dyDescent="0.25">
      <c r="A1265" s="169">
        <v>43881</v>
      </c>
      <c r="B1265" s="116">
        <v>52.05</v>
      </c>
      <c r="C1265" s="116">
        <v>52.05</v>
      </c>
      <c r="D1265" s="116">
        <v>52.05</v>
      </c>
      <c r="E1265" s="116">
        <v>52.05</v>
      </c>
      <c r="F1265" s="116">
        <v>52.05</v>
      </c>
      <c r="G1265">
        <v>242</v>
      </c>
      <c r="H1265" s="116"/>
      <c r="I1265" s="116"/>
      <c r="L1265" s="169">
        <v>43867</v>
      </c>
      <c r="M1265" s="116">
        <v>57.45</v>
      </c>
      <c r="N1265" s="116">
        <v>58</v>
      </c>
      <c r="O1265" s="116">
        <v>56.3</v>
      </c>
      <c r="P1265" s="116">
        <v>56.3</v>
      </c>
      <c r="Q1265" s="116">
        <v>57.45</v>
      </c>
      <c r="R1265">
        <v>1001</v>
      </c>
    </row>
    <row r="1266" spans="1:18" x14ac:dyDescent="0.25">
      <c r="A1266" s="169">
        <v>43886</v>
      </c>
      <c r="B1266" s="116">
        <v>54.65</v>
      </c>
      <c r="C1266" s="116">
        <v>53.25</v>
      </c>
      <c r="D1266" s="116">
        <v>53.25</v>
      </c>
      <c r="E1266" s="116">
        <v>54.65</v>
      </c>
      <c r="F1266" s="116">
        <v>53.25</v>
      </c>
      <c r="G1266">
        <v>1081</v>
      </c>
      <c r="H1266" s="116"/>
      <c r="I1266" s="116"/>
      <c r="L1266" s="169">
        <v>43868</v>
      </c>
      <c r="M1266" s="116">
        <v>57.1</v>
      </c>
      <c r="N1266" s="116">
        <v>59</v>
      </c>
      <c r="O1266" s="116">
        <v>56.1</v>
      </c>
      <c r="P1266" s="116">
        <v>57.25</v>
      </c>
      <c r="Q1266" s="116">
        <v>57.1</v>
      </c>
      <c r="R1266">
        <v>2214</v>
      </c>
    </row>
    <row r="1267" spans="1:18" x14ac:dyDescent="0.25">
      <c r="A1267" s="169">
        <v>43887</v>
      </c>
      <c r="B1267" s="116">
        <v>55.7</v>
      </c>
      <c r="C1267" s="116">
        <v>55.7</v>
      </c>
      <c r="D1267" s="116">
        <v>52.55</v>
      </c>
      <c r="E1267" s="116">
        <v>52.55</v>
      </c>
      <c r="F1267" s="116">
        <v>55.7</v>
      </c>
      <c r="G1267">
        <v>400</v>
      </c>
      <c r="H1267" s="116"/>
      <c r="I1267" s="116"/>
      <c r="L1267" s="169">
        <v>43871</v>
      </c>
      <c r="M1267" s="116">
        <v>56.75</v>
      </c>
      <c r="N1267" s="116">
        <v>58</v>
      </c>
      <c r="O1267" s="116">
        <v>55.05</v>
      </c>
      <c r="P1267" s="116">
        <v>55.05</v>
      </c>
      <c r="Q1267" s="116">
        <v>56.75</v>
      </c>
      <c r="R1267">
        <v>2143</v>
      </c>
    </row>
    <row r="1268" spans="1:18" x14ac:dyDescent="0.25">
      <c r="A1268" s="169">
        <v>43888</v>
      </c>
      <c r="B1268" s="116">
        <v>52.95</v>
      </c>
      <c r="C1268" s="116">
        <v>52.95</v>
      </c>
      <c r="D1268" s="116">
        <v>52.95</v>
      </c>
      <c r="E1268" s="116">
        <v>52.95</v>
      </c>
      <c r="F1268" s="116">
        <v>52.95</v>
      </c>
      <c r="G1268">
        <v>201</v>
      </c>
      <c r="H1268" s="116"/>
      <c r="I1268" s="116"/>
      <c r="L1268" s="169">
        <v>43872</v>
      </c>
      <c r="M1268" s="116">
        <v>55.05</v>
      </c>
      <c r="N1268" s="116">
        <v>56.8</v>
      </c>
      <c r="O1268" s="116">
        <v>54.1</v>
      </c>
      <c r="P1268" s="116">
        <v>54.6</v>
      </c>
      <c r="Q1268" s="116">
        <v>55.05</v>
      </c>
      <c r="R1268">
        <v>3434</v>
      </c>
    </row>
    <row r="1269" spans="1:18" x14ac:dyDescent="0.25">
      <c r="A1269" s="169">
        <v>43889</v>
      </c>
      <c r="B1269" s="116">
        <v>51</v>
      </c>
      <c r="C1269" s="116">
        <v>50.4</v>
      </c>
      <c r="D1269" s="116">
        <v>50.4</v>
      </c>
      <c r="E1269" s="116">
        <v>51</v>
      </c>
      <c r="F1269" s="116">
        <v>50.4</v>
      </c>
      <c r="G1269">
        <v>300</v>
      </c>
      <c r="H1269" s="116"/>
      <c r="I1269" s="116"/>
      <c r="L1269" s="169">
        <v>43873</v>
      </c>
      <c r="M1269" s="116">
        <v>53.1</v>
      </c>
      <c r="N1269" s="116">
        <v>57.5</v>
      </c>
      <c r="O1269" s="116">
        <v>52.5</v>
      </c>
      <c r="P1269" s="116">
        <v>57.5</v>
      </c>
      <c r="Q1269" s="116">
        <v>53.1</v>
      </c>
      <c r="R1269">
        <v>3368</v>
      </c>
    </row>
    <row r="1270" spans="1:18" x14ac:dyDescent="0.25">
      <c r="A1270" s="169">
        <v>43892</v>
      </c>
      <c r="B1270" s="116">
        <v>50.5</v>
      </c>
      <c r="C1270" s="116">
        <v>50.5</v>
      </c>
      <c r="D1270" s="116">
        <v>50.2</v>
      </c>
      <c r="E1270" s="116">
        <v>50.2</v>
      </c>
      <c r="F1270" s="116">
        <v>50.5</v>
      </c>
      <c r="G1270">
        <v>347</v>
      </c>
      <c r="H1270" s="116"/>
      <c r="I1270" s="116"/>
      <c r="L1270" s="169">
        <v>43874</v>
      </c>
      <c r="M1270" s="116">
        <v>53</v>
      </c>
      <c r="N1270" s="116">
        <v>53.5</v>
      </c>
      <c r="O1270" s="116">
        <v>52</v>
      </c>
      <c r="P1270" s="116">
        <v>52.4</v>
      </c>
      <c r="Q1270" s="116">
        <v>53</v>
      </c>
      <c r="R1270">
        <v>2449</v>
      </c>
    </row>
    <row r="1271" spans="1:18" x14ac:dyDescent="0.25">
      <c r="A1271" s="169">
        <v>43893</v>
      </c>
      <c r="B1271" s="116">
        <v>51.4</v>
      </c>
      <c r="C1271" s="116">
        <v>51.3</v>
      </c>
      <c r="D1271" s="116">
        <v>48.05</v>
      </c>
      <c r="E1271" s="116">
        <v>48.05</v>
      </c>
      <c r="F1271" s="116">
        <v>51.3</v>
      </c>
      <c r="G1271">
        <v>1453</v>
      </c>
      <c r="H1271" s="116"/>
      <c r="I1271" s="116"/>
      <c r="L1271" s="169">
        <v>43875</v>
      </c>
      <c r="M1271" s="116">
        <v>52</v>
      </c>
      <c r="N1271" s="116">
        <v>53.8</v>
      </c>
      <c r="O1271" s="116">
        <v>51.05</v>
      </c>
      <c r="P1271" s="116">
        <v>52</v>
      </c>
      <c r="Q1271" s="116">
        <v>52</v>
      </c>
      <c r="R1271">
        <v>1879</v>
      </c>
    </row>
    <row r="1272" spans="1:18" x14ac:dyDescent="0.25">
      <c r="A1272" s="169">
        <v>43894</v>
      </c>
      <c r="B1272" s="116">
        <v>52</v>
      </c>
      <c r="C1272" s="116">
        <v>51.95</v>
      </c>
      <c r="D1272" s="116">
        <v>49.25</v>
      </c>
      <c r="E1272" s="116">
        <v>50.1</v>
      </c>
      <c r="F1272" s="116">
        <v>51.95</v>
      </c>
      <c r="G1272">
        <v>1884</v>
      </c>
      <c r="H1272" s="116"/>
      <c r="I1272" s="116"/>
      <c r="L1272" s="169">
        <v>43878</v>
      </c>
      <c r="M1272" s="116">
        <v>51.3</v>
      </c>
      <c r="N1272" s="116">
        <v>52.95</v>
      </c>
      <c r="O1272" s="116">
        <v>50.05</v>
      </c>
      <c r="P1272" s="116">
        <v>50.05</v>
      </c>
      <c r="Q1272" s="116">
        <v>51.3</v>
      </c>
      <c r="R1272">
        <v>722</v>
      </c>
    </row>
    <row r="1273" spans="1:18" x14ac:dyDescent="0.25">
      <c r="A1273" s="169">
        <v>43895</v>
      </c>
      <c r="B1273" s="116">
        <v>52.9</v>
      </c>
      <c r="C1273" s="116">
        <v>52.45</v>
      </c>
      <c r="D1273" s="116">
        <v>49.4</v>
      </c>
      <c r="E1273" s="116">
        <v>49.4</v>
      </c>
      <c r="F1273" s="116">
        <v>52.45</v>
      </c>
      <c r="G1273">
        <v>210</v>
      </c>
      <c r="H1273" s="116"/>
      <c r="I1273" s="116"/>
      <c r="L1273" s="169">
        <v>43879</v>
      </c>
      <c r="M1273" s="116">
        <v>51.85</v>
      </c>
      <c r="N1273" s="116">
        <v>51.95</v>
      </c>
      <c r="O1273" s="116">
        <v>50</v>
      </c>
      <c r="P1273" s="116">
        <v>50.1</v>
      </c>
      <c r="Q1273" s="116">
        <v>51.85</v>
      </c>
      <c r="R1273">
        <v>5220</v>
      </c>
    </row>
    <row r="1274" spans="1:18" x14ac:dyDescent="0.25">
      <c r="A1274" s="169">
        <v>43896</v>
      </c>
      <c r="B1274" s="116">
        <v>50</v>
      </c>
      <c r="C1274" s="116">
        <v>50</v>
      </c>
      <c r="D1274" s="116">
        <v>50</v>
      </c>
      <c r="E1274" s="116">
        <v>50</v>
      </c>
      <c r="F1274" s="116">
        <v>50</v>
      </c>
      <c r="G1274">
        <v>100</v>
      </c>
      <c r="H1274" s="116"/>
      <c r="I1274" s="116"/>
      <c r="L1274" s="169">
        <v>43880</v>
      </c>
      <c r="M1274" s="116">
        <v>53.6</v>
      </c>
      <c r="N1274" s="116">
        <v>54</v>
      </c>
      <c r="O1274" s="116">
        <v>52.1</v>
      </c>
      <c r="P1274" s="116">
        <v>52.7</v>
      </c>
      <c r="Q1274" s="116">
        <v>53.6</v>
      </c>
      <c r="R1274">
        <v>2120</v>
      </c>
    </row>
    <row r="1275" spans="1:18" x14ac:dyDescent="0.25">
      <c r="A1275" s="169">
        <v>43899</v>
      </c>
      <c r="B1275" s="116">
        <v>50.2</v>
      </c>
      <c r="C1275" s="116">
        <v>48</v>
      </c>
      <c r="D1275" s="116">
        <v>48</v>
      </c>
      <c r="E1275" s="116">
        <v>50.2</v>
      </c>
      <c r="F1275" s="116">
        <v>48</v>
      </c>
      <c r="G1275">
        <v>200</v>
      </c>
      <c r="H1275" s="116"/>
      <c r="I1275" s="116"/>
      <c r="L1275" s="169">
        <v>43881</v>
      </c>
      <c r="M1275" s="116">
        <v>53</v>
      </c>
      <c r="N1275" s="116">
        <v>56.25</v>
      </c>
      <c r="O1275" s="116">
        <v>51.55</v>
      </c>
      <c r="P1275" s="116">
        <v>53.65</v>
      </c>
      <c r="Q1275" s="116">
        <v>53</v>
      </c>
      <c r="R1275">
        <v>2794</v>
      </c>
    </row>
    <row r="1276" spans="1:18" x14ac:dyDescent="0.25">
      <c r="A1276" s="169">
        <v>43902</v>
      </c>
      <c r="B1276" s="116">
        <v>47.85</v>
      </c>
      <c r="C1276" s="116">
        <v>45.6</v>
      </c>
      <c r="D1276" s="116">
        <v>45.6</v>
      </c>
      <c r="E1276" s="116">
        <v>47.85</v>
      </c>
      <c r="F1276" s="116">
        <v>45.6</v>
      </c>
      <c r="G1276">
        <v>1959</v>
      </c>
      <c r="H1276" s="116"/>
      <c r="I1276" s="116"/>
      <c r="L1276" s="169">
        <v>43885</v>
      </c>
      <c r="M1276" s="116">
        <v>53</v>
      </c>
      <c r="N1276" s="116">
        <v>54.45</v>
      </c>
      <c r="O1276" s="116">
        <v>51</v>
      </c>
      <c r="P1276" s="116">
        <v>51.2</v>
      </c>
      <c r="Q1276" s="116">
        <v>53</v>
      </c>
      <c r="R1276">
        <v>1319</v>
      </c>
    </row>
    <row r="1277" spans="1:18" x14ac:dyDescent="0.25">
      <c r="A1277" s="169">
        <v>43903</v>
      </c>
      <c r="B1277" s="116">
        <v>45</v>
      </c>
      <c r="C1277" s="116">
        <v>44.9</v>
      </c>
      <c r="D1277" s="116">
        <v>43.35</v>
      </c>
      <c r="E1277" s="116">
        <v>45</v>
      </c>
      <c r="F1277" s="116">
        <v>44.9</v>
      </c>
      <c r="G1277">
        <v>1080</v>
      </c>
      <c r="H1277" s="116"/>
      <c r="I1277" s="116"/>
      <c r="L1277" s="169">
        <v>43886</v>
      </c>
      <c r="M1277" s="116">
        <v>53.55</v>
      </c>
      <c r="N1277" s="116">
        <v>54.7</v>
      </c>
      <c r="O1277" s="116">
        <v>53.55</v>
      </c>
      <c r="P1277" s="116">
        <v>54</v>
      </c>
      <c r="Q1277" s="116">
        <v>53.55</v>
      </c>
      <c r="R1277">
        <v>2278</v>
      </c>
    </row>
    <row r="1278" spans="1:18" x14ac:dyDescent="0.25">
      <c r="A1278" s="169">
        <v>43906</v>
      </c>
      <c r="B1278" s="116">
        <v>43.5</v>
      </c>
      <c r="C1278" s="116">
        <v>43.5</v>
      </c>
      <c r="D1278" s="116">
        <v>43.5</v>
      </c>
      <c r="E1278" s="116">
        <v>43.5</v>
      </c>
      <c r="F1278" s="116">
        <v>43.5</v>
      </c>
      <c r="G1278">
        <v>249</v>
      </c>
      <c r="H1278" s="116"/>
      <c r="I1278" s="116"/>
      <c r="L1278" s="169">
        <v>43887</v>
      </c>
      <c r="M1278" s="116">
        <v>52.75</v>
      </c>
      <c r="N1278" s="116">
        <v>52.75</v>
      </c>
      <c r="O1278" s="116">
        <v>52.75</v>
      </c>
      <c r="P1278" s="116">
        <v>52.75</v>
      </c>
      <c r="Q1278" s="116">
        <v>52.75</v>
      </c>
      <c r="R1278">
        <v>131</v>
      </c>
    </row>
    <row r="1279" spans="1:18" x14ac:dyDescent="0.25">
      <c r="A1279" s="169">
        <v>43907</v>
      </c>
      <c r="B1279" s="116">
        <v>41.65</v>
      </c>
      <c r="C1279" s="116">
        <v>41.6</v>
      </c>
      <c r="D1279" s="116">
        <v>41.4</v>
      </c>
      <c r="E1279" s="116">
        <v>41.65</v>
      </c>
      <c r="F1279" s="116">
        <v>41.6</v>
      </c>
      <c r="G1279">
        <v>1260</v>
      </c>
      <c r="H1279" s="116"/>
      <c r="I1279" s="116"/>
      <c r="L1279" s="169">
        <v>43888</v>
      </c>
      <c r="M1279" s="116">
        <v>52.8</v>
      </c>
      <c r="N1279" s="116">
        <v>53.8</v>
      </c>
      <c r="O1279" s="116">
        <v>50.5</v>
      </c>
      <c r="P1279" s="116">
        <v>52.8</v>
      </c>
      <c r="Q1279" s="116">
        <v>52.8</v>
      </c>
      <c r="R1279">
        <v>6141</v>
      </c>
    </row>
    <row r="1280" spans="1:18" x14ac:dyDescent="0.25">
      <c r="A1280" s="169">
        <v>43908</v>
      </c>
      <c r="B1280" s="116">
        <v>42.05</v>
      </c>
      <c r="C1280" s="116">
        <v>42</v>
      </c>
      <c r="D1280" s="116">
        <v>42</v>
      </c>
      <c r="E1280" s="116">
        <v>42</v>
      </c>
      <c r="F1280" s="116">
        <v>42</v>
      </c>
      <c r="G1280">
        <v>1014</v>
      </c>
      <c r="H1280" s="116"/>
      <c r="I1280" s="116"/>
      <c r="L1280" s="169">
        <v>43889</v>
      </c>
      <c r="M1280" s="116">
        <v>51</v>
      </c>
      <c r="N1280" s="116">
        <v>51</v>
      </c>
      <c r="O1280" s="116">
        <v>50.2</v>
      </c>
      <c r="P1280" s="116">
        <v>50.2</v>
      </c>
      <c r="Q1280" s="116">
        <v>51</v>
      </c>
      <c r="R1280">
        <v>3201</v>
      </c>
    </row>
    <row r="1281" spans="1:18" x14ac:dyDescent="0.25">
      <c r="A1281" s="169">
        <v>43909</v>
      </c>
      <c r="B1281" s="116">
        <v>39.9</v>
      </c>
      <c r="C1281" s="116">
        <v>39.9</v>
      </c>
      <c r="D1281" s="116">
        <v>39.9</v>
      </c>
      <c r="E1281" s="116">
        <v>39.9</v>
      </c>
      <c r="F1281" s="116">
        <v>39.9</v>
      </c>
      <c r="G1281">
        <v>124</v>
      </c>
      <c r="H1281" s="116"/>
      <c r="I1281" s="116"/>
      <c r="L1281" s="169">
        <v>43892</v>
      </c>
      <c r="M1281" s="116">
        <v>49.4</v>
      </c>
      <c r="N1281" s="116">
        <v>51.95</v>
      </c>
      <c r="O1281" s="116">
        <v>48.85</v>
      </c>
      <c r="P1281" s="116">
        <v>50</v>
      </c>
      <c r="Q1281" s="116">
        <v>49.4</v>
      </c>
      <c r="R1281">
        <v>31460</v>
      </c>
    </row>
    <row r="1282" spans="1:18" x14ac:dyDescent="0.25">
      <c r="A1282" s="169">
        <v>43910</v>
      </c>
      <c r="B1282" s="116">
        <v>41.2</v>
      </c>
      <c r="C1282" s="116">
        <v>41.2</v>
      </c>
      <c r="D1282" s="116">
        <v>38</v>
      </c>
      <c r="E1282" s="116">
        <v>38</v>
      </c>
      <c r="F1282" s="116">
        <v>41.2</v>
      </c>
      <c r="G1282">
        <v>1930</v>
      </c>
      <c r="H1282" s="116"/>
      <c r="I1282" s="116"/>
      <c r="L1282" s="169">
        <v>43893</v>
      </c>
      <c r="M1282" s="116">
        <v>51.35</v>
      </c>
      <c r="N1282" s="116">
        <v>51.35</v>
      </c>
      <c r="O1282" s="116">
        <v>48.95</v>
      </c>
      <c r="P1282" s="116">
        <v>50</v>
      </c>
      <c r="Q1282" s="116">
        <v>51.35</v>
      </c>
      <c r="R1282">
        <v>9947</v>
      </c>
    </row>
    <row r="1283" spans="1:18" x14ac:dyDescent="0.25">
      <c r="A1283" s="169">
        <v>43913</v>
      </c>
      <c r="B1283" s="116">
        <v>41</v>
      </c>
      <c r="C1283" s="116">
        <v>39.15</v>
      </c>
      <c r="D1283" s="116">
        <v>39.15</v>
      </c>
      <c r="E1283" s="116">
        <v>41</v>
      </c>
      <c r="F1283" s="116">
        <v>39.15</v>
      </c>
      <c r="G1283">
        <v>218</v>
      </c>
      <c r="H1283" s="116"/>
      <c r="I1283" s="116"/>
      <c r="L1283" s="169">
        <v>43894</v>
      </c>
      <c r="M1283" s="116">
        <v>50.05</v>
      </c>
      <c r="N1283" s="116">
        <v>50.25</v>
      </c>
      <c r="O1283" s="116">
        <v>49.95</v>
      </c>
      <c r="P1283" s="116">
        <v>50.15</v>
      </c>
      <c r="Q1283" s="116">
        <v>50.05</v>
      </c>
      <c r="R1283">
        <v>5785</v>
      </c>
    </row>
    <row r="1284" spans="1:18" x14ac:dyDescent="0.25">
      <c r="A1284" s="169">
        <v>43914</v>
      </c>
      <c r="B1284" s="116">
        <v>37.200000000000003</v>
      </c>
      <c r="C1284" s="116">
        <v>37.200000000000003</v>
      </c>
      <c r="D1284" s="116">
        <v>37.200000000000003</v>
      </c>
      <c r="E1284" s="116">
        <v>37.200000000000003</v>
      </c>
      <c r="F1284" s="116">
        <v>37.200000000000003</v>
      </c>
      <c r="G1284">
        <v>1010</v>
      </c>
      <c r="H1284" s="116"/>
      <c r="I1284" s="116"/>
      <c r="L1284" s="169">
        <v>43895</v>
      </c>
      <c r="M1284" s="116">
        <v>51.1</v>
      </c>
      <c r="N1284" s="116">
        <v>51.2</v>
      </c>
      <c r="O1284" s="116">
        <v>48.1</v>
      </c>
      <c r="P1284" s="116">
        <v>48.1</v>
      </c>
      <c r="Q1284" s="116">
        <v>51.1</v>
      </c>
      <c r="R1284">
        <v>6248</v>
      </c>
    </row>
    <row r="1285" spans="1:18" x14ac:dyDescent="0.25">
      <c r="A1285" s="169">
        <v>43916</v>
      </c>
      <c r="B1285" s="116">
        <v>35.35</v>
      </c>
      <c r="C1285" s="116">
        <v>35.35</v>
      </c>
      <c r="D1285" s="116">
        <v>35.35</v>
      </c>
      <c r="E1285" s="116">
        <v>35.35</v>
      </c>
      <c r="F1285" s="116">
        <v>35.35</v>
      </c>
      <c r="G1285">
        <v>1315</v>
      </c>
      <c r="H1285" s="116"/>
      <c r="I1285" s="116"/>
      <c r="L1285" s="169">
        <v>43896</v>
      </c>
      <c r="M1285" s="116">
        <v>49</v>
      </c>
      <c r="N1285" s="116">
        <v>53</v>
      </c>
      <c r="O1285" s="116">
        <v>48.55</v>
      </c>
      <c r="P1285" s="116">
        <v>53</v>
      </c>
      <c r="Q1285" s="116">
        <v>49</v>
      </c>
      <c r="R1285">
        <v>2572</v>
      </c>
    </row>
    <row r="1286" spans="1:18" x14ac:dyDescent="0.25">
      <c r="A1286" s="169">
        <v>43917</v>
      </c>
      <c r="B1286" s="116">
        <v>36.799999999999997</v>
      </c>
      <c r="C1286" s="116">
        <v>33.65</v>
      </c>
      <c r="D1286" s="116">
        <v>33.6</v>
      </c>
      <c r="E1286" s="116">
        <v>33.6</v>
      </c>
      <c r="F1286" s="116">
        <v>33.65</v>
      </c>
      <c r="G1286">
        <v>1045</v>
      </c>
      <c r="H1286" s="116"/>
      <c r="I1286" s="116"/>
      <c r="L1286" s="169">
        <v>43899</v>
      </c>
      <c r="M1286" s="116">
        <v>47</v>
      </c>
      <c r="N1286" s="116">
        <v>48.75</v>
      </c>
      <c r="O1286" s="116">
        <v>46.6</v>
      </c>
      <c r="P1286" s="116">
        <v>47.55</v>
      </c>
      <c r="Q1286" s="116">
        <v>47</v>
      </c>
      <c r="R1286">
        <v>861</v>
      </c>
    </row>
    <row r="1287" spans="1:18" x14ac:dyDescent="0.25">
      <c r="A1287" s="169">
        <v>43920</v>
      </c>
      <c r="B1287" s="116">
        <v>35.299999999999997</v>
      </c>
      <c r="C1287" s="116">
        <v>35.299999999999997</v>
      </c>
      <c r="D1287" s="116">
        <v>33.65</v>
      </c>
      <c r="E1287" s="116">
        <v>33.65</v>
      </c>
      <c r="F1287" s="116">
        <v>35.299999999999997</v>
      </c>
      <c r="G1287">
        <v>106</v>
      </c>
      <c r="H1287" s="116"/>
      <c r="I1287" s="116"/>
      <c r="L1287" s="169">
        <v>43901</v>
      </c>
      <c r="M1287" s="116">
        <v>47.5</v>
      </c>
      <c r="N1287" s="116">
        <v>47.5</v>
      </c>
      <c r="O1287" s="116">
        <v>44.65</v>
      </c>
      <c r="P1287" s="116">
        <v>44.7</v>
      </c>
      <c r="Q1287" s="116">
        <v>47.5</v>
      </c>
      <c r="R1287">
        <v>3484</v>
      </c>
    </row>
    <row r="1288" spans="1:18" x14ac:dyDescent="0.25">
      <c r="A1288" s="169">
        <v>43922</v>
      </c>
      <c r="B1288" s="116">
        <v>37</v>
      </c>
      <c r="C1288" s="116">
        <v>36.65</v>
      </c>
      <c r="D1288" s="116">
        <v>34.549999999999997</v>
      </c>
      <c r="E1288" s="116">
        <v>34.549999999999997</v>
      </c>
      <c r="F1288" s="116">
        <v>36.65</v>
      </c>
      <c r="G1288">
        <v>7</v>
      </c>
      <c r="H1288" s="116"/>
      <c r="I1288" s="116"/>
      <c r="L1288" s="169">
        <v>43902</v>
      </c>
      <c r="M1288" s="116">
        <v>45.15</v>
      </c>
      <c r="N1288" s="116">
        <v>45.15</v>
      </c>
      <c r="O1288" s="116">
        <v>45.15</v>
      </c>
      <c r="P1288" s="116">
        <v>45.15</v>
      </c>
      <c r="Q1288" s="116">
        <v>45.15</v>
      </c>
      <c r="R1288">
        <v>4220</v>
      </c>
    </row>
    <row r="1289" spans="1:18" x14ac:dyDescent="0.25">
      <c r="A1289" s="169">
        <v>43924</v>
      </c>
      <c r="B1289" s="116">
        <v>37.65</v>
      </c>
      <c r="C1289" s="116">
        <v>37.65</v>
      </c>
      <c r="D1289" s="116">
        <v>35.1</v>
      </c>
      <c r="E1289" s="116">
        <v>37.65</v>
      </c>
      <c r="F1289" s="116">
        <v>37.65</v>
      </c>
      <c r="G1289">
        <v>1225</v>
      </c>
      <c r="H1289" s="116"/>
      <c r="I1289" s="116"/>
      <c r="L1289" s="169">
        <v>43903</v>
      </c>
      <c r="M1289" s="116">
        <v>46.5</v>
      </c>
      <c r="N1289" s="116">
        <v>47.4</v>
      </c>
      <c r="O1289" s="116">
        <v>42.9</v>
      </c>
      <c r="P1289" s="116">
        <v>44.65</v>
      </c>
      <c r="Q1289" s="116">
        <v>46.5</v>
      </c>
      <c r="R1289">
        <v>12918</v>
      </c>
    </row>
    <row r="1290" spans="1:18" x14ac:dyDescent="0.25">
      <c r="A1290" s="169">
        <v>43928</v>
      </c>
      <c r="B1290" s="116">
        <v>39.25</v>
      </c>
      <c r="C1290" s="116">
        <v>37.950000000000003</v>
      </c>
      <c r="D1290" s="116">
        <v>37.950000000000003</v>
      </c>
      <c r="E1290" s="116">
        <v>39.25</v>
      </c>
      <c r="F1290" s="116">
        <v>37.950000000000003</v>
      </c>
      <c r="G1290">
        <v>3</v>
      </c>
      <c r="H1290" s="116"/>
      <c r="I1290" s="116"/>
      <c r="L1290" s="169">
        <v>43906</v>
      </c>
      <c r="M1290" s="116">
        <v>45.5</v>
      </c>
      <c r="N1290" s="116">
        <v>45.6</v>
      </c>
      <c r="O1290" s="116">
        <v>44.2</v>
      </c>
      <c r="P1290" s="116">
        <v>44.2</v>
      </c>
      <c r="Q1290" s="116">
        <v>45.5</v>
      </c>
      <c r="R1290">
        <v>790</v>
      </c>
    </row>
    <row r="1291" spans="1:18" x14ac:dyDescent="0.25">
      <c r="A1291" s="169">
        <v>43930</v>
      </c>
      <c r="B1291" s="116">
        <v>41.2</v>
      </c>
      <c r="C1291" s="116">
        <v>39.549999999999997</v>
      </c>
      <c r="D1291" s="116">
        <v>37.4</v>
      </c>
      <c r="E1291" s="116">
        <v>39.85</v>
      </c>
      <c r="F1291" s="116">
        <v>39.549999999999997</v>
      </c>
      <c r="G1291">
        <v>589</v>
      </c>
      <c r="H1291" s="116"/>
      <c r="I1291" s="116"/>
      <c r="L1291" s="169">
        <v>43907</v>
      </c>
      <c r="M1291" s="116">
        <v>43.25</v>
      </c>
      <c r="N1291" s="116">
        <v>43.8</v>
      </c>
      <c r="O1291" s="116">
        <v>43.25</v>
      </c>
      <c r="P1291" s="116">
        <v>43.3</v>
      </c>
      <c r="Q1291" s="116">
        <v>43.25</v>
      </c>
      <c r="R1291">
        <v>4264</v>
      </c>
    </row>
    <row r="1292" spans="1:18" x14ac:dyDescent="0.25">
      <c r="A1292" s="169">
        <v>43934</v>
      </c>
      <c r="B1292" s="116">
        <v>40.6</v>
      </c>
      <c r="C1292" s="116">
        <v>37.950000000000003</v>
      </c>
      <c r="D1292" s="116">
        <v>37.950000000000003</v>
      </c>
      <c r="E1292" s="116">
        <v>40.6</v>
      </c>
      <c r="F1292" s="116">
        <v>37.950000000000003</v>
      </c>
      <c r="G1292">
        <v>13</v>
      </c>
      <c r="H1292" s="116"/>
      <c r="I1292" s="116"/>
      <c r="L1292" s="169">
        <v>43908</v>
      </c>
      <c r="M1292" s="116">
        <v>41.25</v>
      </c>
      <c r="N1292" s="116">
        <v>43.95</v>
      </c>
      <c r="O1292" s="116">
        <v>41.1</v>
      </c>
      <c r="P1292" s="116">
        <v>43.25</v>
      </c>
      <c r="Q1292" s="116">
        <v>41.25</v>
      </c>
      <c r="R1292">
        <v>936</v>
      </c>
    </row>
    <row r="1293" spans="1:18" x14ac:dyDescent="0.25">
      <c r="A1293" s="169">
        <v>43936</v>
      </c>
      <c r="B1293" s="116">
        <v>39.700000000000003</v>
      </c>
      <c r="C1293" s="116">
        <v>38.75</v>
      </c>
      <c r="D1293" s="116">
        <v>37.1</v>
      </c>
      <c r="E1293" s="116">
        <v>37.5</v>
      </c>
      <c r="F1293" s="116">
        <v>38.75</v>
      </c>
      <c r="G1293">
        <v>761</v>
      </c>
      <c r="H1293" s="116"/>
      <c r="I1293" s="116"/>
      <c r="L1293" s="169">
        <v>43909</v>
      </c>
      <c r="M1293" s="116">
        <v>39.200000000000003</v>
      </c>
      <c r="N1293" s="116">
        <v>40.049999999999997</v>
      </c>
      <c r="O1293" s="116">
        <v>39.200000000000003</v>
      </c>
      <c r="P1293" s="116">
        <v>40.049999999999997</v>
      </c>
      <c r="Q1293" s="116">
        <v>39.200000000000003</v>
      </c>
      <c r="R1293">
        <v>26463</v>
      </c>
    </row>
    <row r="1294" spans="1:18" x14ac:dyDescent="0.25">
      <c r="A1294" s="169">
        <v>43937</v>
      </c>
      <c r="B1294" s="116">
        <v>41.25</v>
      </c>
      <c r="C1294" s="116">
        <v>41.2</v>
      </c>
      <c r="D1294" s="116">
        <v>38.35</v>
      </c>
      <c r="E1294" s="116">
        <v>39.950000000000003</v>
      </c>
      <c r="F1294" s="116">
        <v>41.2</v>
      </c>
      <c r="G1294">
        <v>279</v>
      </c>
      <c r="H1294" s="116"/>
      <c r="I1294" s="116"/>
      <c r="L1294" s="169">
        <v>43910</v>
      </c>
      <c r="M1294" s="116">
        <v>39.549999999999997</v>
      </c>
      <c r="N1294" s="116">
        <v>39.85</v>
      </c>
      <c r="O1294" s="116">
        <v>37.25</v>
      </c>
      <c r="P1294" s="116">
        <v>37.6</v>
      </c>
      <c r="Q1294" s="116">
        <v>39.549999999999997</v>
      </c>
      <c r="R1294">
        <v>30687</v>
      </c>
    </row>
    <row r="1295" spans="1:18" x14ac:dyDescent="0.25">
      <c r="A1295" s="169">
        <v>43938</v>
      </c>
      <c r="B1295" s="116">
        <v>43.3</v>
      </c>
      <c r="C1295" s="116">
        <v>41.6</v>
      </c>
      <c r="D1295" s="116">
        <v>38.799999999999997</v>
      </c>
      <c r="E1295" s="116">
        <v>43.3</v>
      </c>
      <c r="F1295" s="116">
        <v>41.6</v>
      </c>
      <c r="G1295">
        <v>1938</v>
      </c>
      <c r="H1295" s="116"/>
      <c r="I1295" s="116"/>
      <c r="L1295" s="169">
        <v>43913</v>
      </c>
      <c r="M1295" s="116">
        <v>37.6</v>
      </c>
      <c r="N1295" s="116">
        <v>41.15</v>
      </c>
      <c r="O1295" s="116">
        <v>37.6</v>
      </c>
      <c r="P1295" s="116">
        <v>39</v>
      </c>
      <c r="Q1295" s="116">
        <v>37.6</v>
      </c>
      <c r="R1295">
        <v>2863</v>
      </c>
    </row>
    <row r="1296" spans="1:18" x14ac:dyDescent="0.25">
      <c r="A1296" s="169">
        <v>43941</v>
      </c>
      <c r="B1296" s="116">
        <v>42.55</v>
      </c>
      <c r="C1296" s="116">
        <v>40.85</v>
      </c>
      <c r="D1296" s="116">
        <v>40</v>
      </c>
      <c r="E1296" s="116">
        <v>41.1</v>
      </c>
      <c r="F1296" s="116">
        <v>40.85</v>
      </c>
      <c r="G1296">
        <v>2141</v>
      </c>
      <c r="H1296" s="116"/>
      <c r="I1296" s="116"/>
      <c r="L1296" s="169">
        <v>43914</v>
      </c>
      <c r="M1296" s="116">
        <v>35.799999999999997</v>
      </c>
      <c r="N1296" s="116">
        <v>37.6</v>
      </c>
      <c r="O1296" s="116">
        <v>35.75</v>
      </c>
      <c r="P1296" s="116">
        <v>37.6</v>
      </c>
      <c r="Q1296" s="116">
        <v>35.799999999999997</v>
      </c>
      <c r="R1296">
        <v>2836</v>
      </c>
    </row>
    <row r="1297" spans="1:18" x14ac:dyDescent="0.25">
      <c r="A1297" s="169">
        <v>43942</v>
      </c>
      <c r="B1297" s="116">
        <v>43.35</v>
      </c>
      <c r="C1297" s="116">
        <v>39.5</v>
      </c>
      <c r="D1297" s="116">
        <v>38.4</v>
      </c>
      <c r="E1297" s="116">
        <v>40.200000000000003</v>
      </c>
      <c r="F1297" s="116">
        <v>39.5</v>
      </c>
      <c r="G1297">
        <v>139</v>
      </c>
      <c r="H1297" s="116"/>
      <c r="I1297" s="116"/>
      <c r="L1297" s="169">
        <v>43915</v>
      </c>
      <c r="M1297" s="116">
        <v>34.049999999999997</v>
      </c>
      <c r="N1297" s="116">
        <v>35.5</v>
      </c>
      <c r="O1297" s="116">
        <v>34.049999999999997</v>
      </c>
      <c r="P1297" s="116">
        <v>34.1</v>
      </c>
      <c r="Q1297" s="116">
        <v>34.049999999999997</v>
      </c>
      <c r="R1297">
        <v>1904</v>
      </c>
    </row>
    <row r="1298" spans="1:18" x14ac:dyDescent="0.25">
      <c r="A1298" s="169">
        <v>43944</v>
      </c>
      <c r="B1298" s="116">
        <v>40</v>
      </c>
      <c r="C1298" s="116">
        <v>40</v>
      </c>
      <c r="D1298" s="116">
        <v>40</v>
      </c>
      <c r="E1298" s="116">
        <v>40</v>
      </c>
      <c r="F1298" s="116">
        <v>40</v>
      </c>
      <c r="G1298">
        <v>100</v>
      </c>
      <c r="H1298" s="116"/>
      <c r="I1298" s="116"/>
      <c r="L1298" s="169">
        <v>43916</v>
      </c>
      <c r="M1298" s="116">
        <v>34.9</v>
      </c>
      <c r="N1298" s="116">
        <v>35.75</v>
      </c>
      <c r="O1298" s="116">
        <v>32.35</v>
      </c>
      <c r="P1298" s="116">
        <v>32.35</v>
      </c>
      <c r="Q1298" s="116">
        <v>34.9</v>
      </c>
      <c r="R1298">
        <v>10497</v>
      </c>
    </row>
    <row r="1299" spans="1:18" x14ac:dyDescent="0.25">
      <c r="A1299" s="169">
        <v>43945</v>
      </c>
      <c r="B1299" s="116">
        <v>40.65</v>
      </c>
      <c r="C1299" s="116">
        <v>39.950000000000003</v>
      </c>
      <c r="D1299" s="116">
        <v>37</v>
      </c>
      <c r="E1299" s="116">
        <v>40.65</v>
      </c>
      <c r="F1299" s="116">
        <v>39.950000000000003</v>
      </c>
      <c r="G1299">
        <v>601</v>
      </c>
      <c r="H1299" s="116"/>
      <c r="I1299" s="116"/>
      <c r="L1299" s="169">
        <v>43917</v>
      </c>
      <c r="M1299" s="116">
        <v>35.6</v>
      </c>
      <c r="N1299" s="116">
        <v>36.6</v>
      </c>
      <c r="O1299" s="116">
        <v>33.299999999999997</v>
      </c>
      <c r="P1299" s="116">
        <v>33.299999999999997</v>
      </c>
      <c r="Q1299" s="116">
        <v>35.6</v>
      </c>
      <c r="R1299">
        <v>4828</v>
      </c>
    </row>
    <row r="1300" spans="1:18" x14ac:dyDescent="0.25">
      <c r="A1300" s="169">
        <v>43950</v>
      </c>
      <c r="B1300" s="116">
        <v>43.9</v>
      </c>
      <c r="C1300" s="116">
        <v>42.65</v>
      </c>
      <c r="D1300" s="116">
        <v>42</v>
      </c>
      <c r="E1300" s="116">
        <v>43.9</v>
      </c>
      <c r="F1300" s="116">
        <v>42.65</v>
      </c>
      <c r="G1300">
        <v>4967</v>
      </c>
      <c r="H1300" s="116"/>
      <c r="I1300" s="116"/>
      <c r="L1300" s="169">
        <v>43920</v>
      </c>
      <c r="M1300" s="116">
        <v>36.549999999999997</v>
      </c>
      <c r="N1300" s="116">
        <v>37.299999999999997</v>
      </c>
      <c r="O1300" s="116">
        <v>35</v>
      </c>
      <c r="P1300" s="116">
        <v>36.799999999999997</v>
      </c>
      <c r="Q1300" s="116">
        <v>36.549999999999997</v>
      </c>
      <c r="R1300">
        <v>1121</v>
      </c>
    </row>
    <row r="1301" spans="1:18" x14ac:dyDescent="0.25">
      <c r="A1301" s="169">
        <v>43951</v>
      </c>
      <c r="B1301" s="116">
        <v>41.8</v>
      </c>
      <c r="C1301" s="116">
        <v>41.65</v>
      </c>
      <c r="D1301" s="116">
        <v>40.549999999999997</v>
      </c>
      <c r="E1301" s="116">
        <v>41.4</v>
      </c>
      <c r="F1301" s="116">
        <v>41.65</v>
      </c>
      <c r="G1301">
        <v>503</v>
      </c>
      <c r="H1301" s="116"/>
      <c r="I1301" s="116"/>
      <c r="L1301" s="169">
        <v>43921</v>
      </c>
      <c r="M1301" s="116">
        <v>36.5</v>
      </c>
      <c r="N1301" s="116">
        <v>38.35</v>
      </c>
      <c r="O1301" s="116">
        <v>36</v>
      </c>
      <c r="P1301" s="116">
        <v>37</v>
      </c>
      <c r="Q1301" s="116">
        <v>36.5</v>
      </c>
      <c r="R1301">
        <v>1389</v>
      </c>
    </row>
    <row r="1302" spans="1:18" x14ac:dyDescent="0.25">
      <c r="A1302" s="169">
        <v>43955</v>
      </c>
      <c r="B1302" s="116">
        <v>40</v>
      </c>
      <c r="C1302" s="116">
        <v>39.35</v>
      </c>
      <c r="D1302" s="116">
        <v>38.450000000000003</v>
      </c>
      <c r="E1302" s="116">
        <v>38.5</v>
      </c>
      <c r="F1302" s="116">
        <v>39.35</v>
      </c>
      <c r="G1302">
        <v>5396</v>
      </c>
      <c r="H1302" s="116"/>
      <c r="I1302" s="116"/>
      <c r="L1302" s="169">
        <v>43922</v>
      </c>
      <c r="M1302" s="116">
        <v>37.75</v>
      </c>
      <c r="N1302" s="116">
        <v>37.9</v>
      </c>
      <c r="O1302" s="116">
        <v>35</v>
      </c>
      <c r="P1302" s="116">
        <v>37.5</v>
      </c>
      <c r="Q1302" s="116">
        <v>37.75</v>
      </c>
      <c r="R1302">
        <v>650</v>
      </c>
    </row>
    <row r="1303" spans="1:18" x14ac:dyDescent="0.25">
      <c r="A1303" s="169">
        <v>43956</v>
      </c>
      <c r="B1303" s="116">
        <v>39.35</v>
      </c>
      <c r="C1303" s="116">
        <v>39.299999999999997</v>
      </c>
      <c r="D1303" s="116">
        <v>38.65</v>
      </c>
      <c r="E1303" s="116">
        <v>39.1</v>
      </c>
      <c r="F1303" s="116">
        <v>39.299999999999997</v>
      </c>
      <c r="G1303">
        <v>2860</v>
      </c>
      <c r="H1303" s="116"/>
      <c r="I1303" s="116"/>
      <c r="L1303" s="169">
        <v>43924</v>
      </c>
      <c r="M1303" s="116">
        <v>37.549999999999997</v>
      </c>
      <c r="N1303" s="116">
        <v>39.6</v>
      </c>
      <c r="O1303" s="116">
        <v>35.950000000000003</v>
      </c>
      <c r="P1303" s="116">
        <v>39.6</v>
      </c>
      <c r="Q1303" s="116">
        <v>37.549999999999997</v>
      </c>
      <c r="R1303">
        <v>1288</v>
      </c>
    </row>
    <row r="1304" spans="1:18" x14ac:dyDescent="0.25">
      <c r="A1304" s="169">
        <v>43957</v>
      </c>
      <c r="B1304" s="116">
        <v>39.5</v>
      </c>
      <c r="C1304" s="116">
        <v>38.4</v>
      </c>
      <c r="D1304" s="116">
        <v>38</v>
      </c>
      <c r="E1304" s="116">
        <v>38</v>
      </c>
      <c r="F1304" s="116">
        <v>38.4</v>
      </c>
      <c r="G1304">
        <v>347</v>
      </c>
      <c r="H1304" s="116"/>
      <c r="I1304" s="116"/>
      <c r="L1304" s="169">
        <v>43928</v>
      </c>
      <c r="M1304" s="116">
        <v>39.049999999999997</v>
      </c>
      <c r="N1304" s="116">
        <v>39.4</v>
      </c>
      <c r="O1304" s="116">
        <v>36.450000000000003</v>
      </c>
      <c r="P1304" s="116">
        <v>37.4</v>
      </c>
      <c r="Q1304" s="116">
        <v>39.049999999999997</v>
      </c>
      <c r="R1304">
        <v>1062</v>
      </c>
    </row>
    <row r="1305" spans="1:18" x14ac:dyDescent="0.25">
      <c r="A1305" s="169">
        <v>43958</v>
      </c>
      <c r="B1305" s="116">
        <v>40.200000000000003</v>
      </c>
      <c r="C1305" s="116">
        <v>39.15</v>
      </c>
      <c r="D1305" s="116">
        <v>38</v>
      </c>
      <c r="E1305" s="116">
        <v>38</v>
      </c>
      <c r="F1305" s="116">
        <v>39.15</v>
      </c>
      <c r="G1305">
        <v>302</v>
      </c>
      <c r="H1305" s="116"/>
      <c r="I1305" s="116"/>
      <c r="L1305" s="169">
        <v>43929</v>
      </c>
      <c r="M1305" s="116">
        <v>40.700000000000003</v>
      </c>
      <c r="N1305" s="116">
        <v>41</v>
      </c>
      <c r="O1305" s="116">
        <v>39.200000000000003</v>
      </c>
      <c r="P1305" s="116">
        <v>39.5</v>
      </c>
      <c r="Q1305" s="116">
        <v>40.700000000000003</v>
      </c>
      <c r="R1305">
        <v>1173</v>
      </c>
    </row>
    <row r="1306" spans="1:18" x14ac:dyDescent="0.25">
      <c r="A1306" s="169">
        <v>43959</v>
      </c>
      <c r="B1306" s="116">
        <v>39.4</v>
      </c>
      <c r="C1306" s="116">
        <v>38.85</v>
      </c>
      <c r="D1306" s="116">
        <v>38.85</v>
      </c>
      <c r="E1306" s="116">
        <v>39</v>
      </c>
      <c r="F1306" s="116">
        <v>38.85</v>
      </c>
      <c r="G1306">
        <v>3968</v>
      </c>
      <c r="H1306" s="116"/>
      <c r="I1306" s="116"/>
      <c r="L1306" s="169">
        <v>43930</v>
      </c>
      <c r="M1306" s="116">
        <v>40.5</v>
      </c>
      <c r="N1306" s="116">
        <v>42.7</v>
      </c>
      <c r="O1306" s="116">
        <v>39</v>
      </c>
      <c r="P1306" s="116">
        <v>40.049999999999997</v>
      </c>
      <c r="Q1306" s="116">
        <v>40.5</v>
      </c>
      <c r="R1306">
        <v>1213</v>
      </c>
    </row>
    <row r="1307" spans="1:18" x14ac:dyDescent="0.25">
      <c r="A1307" s="169">
        <v>43962</v>
      </c>
      <c r="B1307" s="116">
        <v>39</v>
      </c>
      <c r="C1307" s="116">
        <v>38.6</v>
      </c>
      <c r="D1307" s="116">
        <v>37.049999999999997</v>
      </c>
      <c r="E1307" s="116">
        <v>38.200000000000003</v>
      </c>
      <c r="F1307" s="116">
        <v>38.6</v>
      </c>
      <c r="G1307">
        <v>3877</v>
      </c>
      <c r="H1307" s="116"/>
      <c r="I1307" s="116"/>
      <c r="L1307" s="169">
        <v>43934</v>
      </c>
      <c r="M1307" s="116">
        <v>37.65</v>
      </c>
      <c r="N1307" s="116">
        <v>42</v>
      </c>
      <c r="O1307" s="116">
        <v>36.5</v>
      </c>
      <c r="P1307" s="116">
        <v>42</v>
      </c>
      <c r="Q1307" s="116">
        <v>37.65</v>
      </c>
      <c r="R1307">
        <v>6436</v>
      </c>
    </row>
    <row r="1308" spans="1:18" x14ac:dyDescent="0.25">
      <c r="A1308" s="169">
        <v>43963</v>
      </c>
      <c r="B1308" s="116">
        <v>38.5</v>
      </c>
      <c r="C1308" s="116">
        <v>37.15</v>
      </c>
      <c r="D1308" s="116">
        <v>37</v>
      </c>
      <c r="E1308" s="116">
        <v>38</v>
      </c>
      <c r="F1308" s="116">
        <v>37.15</v>
      </c>
      <c r="G1308">
        <v>619</v>
      </c>
      <c r="H1308" s="116"/>
      <c r="I1308" s="116"/>
      <c r="L1308" s="169">
        <v>43936</v>
      </c>
      <c r="M1308" s="116">
        <v>38.6</v>
      </c>
      <c r="N1308" s="116">
        <v>39.75</v>
      </c>
      <c r="O1308" s="116">
        <v>35.049999999999997</v>
      </c>
      <c r="P1308" s="116">
        <v>37.049999999999997</v>
      </c>
      <c r="Q1308" s="116">
        <v>38.6</v>
      </c>
      <c r="R1308">
        <v>8742</v>
      </c>
    </row>
    <row r="1309" spans="1:18" x14ac:dyDescent="0.25">
      <c r="A1309" s="169">
        <v>43964</v>
      </c>
      <c r="B1309" s="116">
        <v>38.6</v>
      </c>
      <c r="C1309" s="116">
        <v>37.5</v>
      </c>
      <c r="D1309" s="116">
        <v>37</v>
      </c>
      <c r="E1309" s="116">
        <v>37</v>
      </c>
      <c r="F1309" s="116">
        <v>37.5</v>
      </c>
      <c r="G1309">
        <v>283</v>
      </c>
      <c r="H1309" s="116"/>
      <c r="I1309" s="116"/>
      <c r="L1309" s="169">
        <v>43937</v>
      </c>
      <c r="M1309" s="116">
        <v>41.65</v>
      </c>
      <c r="N1309" s="116">
        <v>42</v>
      </c>
      <c r="O1309" s="116">
        <v>36.5</v>
      </c>
      <c r="P1309" s="116">
        <v>39.5</v>
      </c>
      <c r="Q1309" s="116">
        <v>41.65</v>
      </c>
      <c r="R1309">
        <v>2781</v>
      </c>
    </row>
    <row r="1310" spans="1:18" x14ac:dyDescent="0.25">
      <c r="A1310" s="169">
        <v>43965</v>
      </c>
      <c r="B1310" s="116">
        <v>38.299999999999997</v>
      </c>
      <c r="C1310" s="116">
        <v>38.299999999999997</v>
      </c>
      <c r="D1310" s="116">
        <v>38.299999999999997</v>
      </c>
      <c r="E1310" s="116">
        <v>38.299999999999997</v>
      </c>
      <c r="F1310" s="116">
        <v>38.299999999999997</v>
      </c>
      <c r="G1310">
        <v>250</v>
      </c>
      <c r="H1310" s="116"/>
      <c r="I1310" s="116"/>
      <c r="L1310" s="169">
        <v>43938</v>
      </c>
      <c r="M1310" s="116">
        <v>41.55</v>
      </c>
      <c r="N1310" s="116">
        <v>44.95</v>
      </c>
      <c r="O1310" s="116">
        <v>38.549999999999997</v>
      </c>
      <c r="P1310" s="116">
        <v>42</v>
      </c>
      <c r="Q1310" s="116">
        <v>41.55</v>
      </c>
      <c r="R1310">
        <v>7997</v>
      </c>
    </row>
    <row r="1311" spans="1:18" x14ac:dyDescent="0.25">
      <c r="A1311" s="169">
        <v>43966</v>
      </c>
      <c r="B1311" s="116">
        <v>38.1</v>
      </c>
      <c r="C1311" s="116">
        <v>37</v>
      </c>
      <c r="D1311" s="116">
        <v>37</v>
      </c>
      <c r="E1311" s="116">
        <v>38.1</v>
      </c>
      <c r="F1311" s="116">
        <v>37</v>
      </c>
      <c r="G1311">
        <v>1300</v>
      </c>
      <c r="H1311" s="116"/>
      <c r="I1311" s="116"/>
      <c r="L1311" s="169">
        <v>43941</v>
      </c>
      <c r="M1311" s="116">
        <v>40.799999999999997</v>
      </c>
      <c r="N1311" s="116">
        <v>43.95</v>
      </c>
      <c r="O1311" s="116">
        <v>39.4</v>
      </c>
      <c r="P1311" s="116">
        <v>41.55</v>
      </c>
      <c r="Q1311" s="116">
        <v>40.799999999999997</v>
      </c>
      <c r="R1311">
        <v>4414</v>
      </c>
    </row>
    <row r="1312" spans="1:18" x14ac:dyDescent="0.25">
      <c r="A1312" s="169">
        <v>43969</v>
      </c>
      <c r="B1312" s="116">
        <v>37</v>
      </c>
      <c r="C1312" s="116">
        <v>37</v>
      </c>
      <c r="D1312" s="116">
        <v>37</v>
      </c>
      <c r="E1312" s="116">
        <v>37</v>
      </c>
      <c r="F1312" s="116">
        <v>37</v>
      </c>
      <c r="G1312">
        <v>240</v>
      </c>
      <c r="H1312" s="116"/>
      <c r="I1312" s="116"/>
      <c r="L1312" s="169">
        <v>43942</v>
      </c>
      <c r="M1312" s="116">
        <v>38.9</v>
      </c>
      <c r="N1312" s="116">
        <v>41</v>
      </c>
      <c r="O1312" s="116">
        <v>37.65</v>
      </c>
      <c r="P1312" s="116">
        <v>40.049999999999997</v>
      </c>
      <c r="Q1312" s="116">
        <v>38.9</v>
      </c>
      <c r="R1312">
        <v>2151</v>
      </c>
    </row>
    <row r="1313" spans="1:18" x14ac:dyDescent="0.25">
      <c r="A1313" s="169">
        <v>43970</v>
      </c>
      <c r="B1313" s="116">
        <v>37</v>
      </c>
      <c r="C1313" s="116">
        <v>37</v>
      </c>
      <c r="D1313" s="116">
        <v>37</v>
      </c>
      <c r="E1313" s="116">
        <v>37</v>
      </c>
      <c r="F1313" s="116">
        <v>37</v>
      </c>
      <c r="G1313">
        <v>27</v>
      </c>
      <c r="H1313" s="116"/>
      <c r="I1313" s="116"/>
      <c r="L1313" s="169">
        <v>43943</v>
      </c>
      <c r="M1313" s="116">
        <v>38.799999999999997</v>
      </c>
      <c r="N1313" s="116">
        <v>39.450000000000003</v>
      </c>
      <c r="O1313" s="116">
        <v>38.65</v>
      </c>
      <c r="P1313" s="116">
        <v>38.65</v>
      </c>
      <c r="Q1313" s="116">
        <v>38.799999999999997</v>
      </c>
      <c r="R1313">
        <v>1008</v>
      </c>
    </row>
    <row r="1314" spans="1:18" x14ac:dyDescent="0.25">
      <c r="A1314" s="169">
        <v>43978</v>
      </c>
      <c r="B1314" s="116">
        <v>37.049999999999997</v>
      </c>
      <c r="C1314" s="116">
        <v>37.049999999999997</v>
      </c>
      <c r="D1314" s="116">
        <v>36.9</v>
      </c>
      <c r="E1314" s="116">
        <v>36.9</v>
      </c>
      <c r="F1314" s="116">
        <v>37.049999999999997</v>
      </c>
      <c r="G1314">
        <v>212</v>
      </c>
      <c r="H1314" s="116"/>
      <c r="I1314" s="116"/>
      <c r="L1314" s="169">
        <v>43944</v>
      </c>
      <c r="M1314" s="116">
        <v>40</v>
      </c>
      <c r="N1314" s="116">
        <v>40.799999999999997</v>
      </c>
      <c r="O1314" s="116">
        <v>39.049999999999997</v>
      </c>
      <c r="P1314" s="116">
        <v>40.700000000000003</v>
      </c>
      <c r="Q1314" s="116">
        <v>40</v>
      </c>
      <c r="R1314">
        <v>3914</v>
      </c>
    </row>
    <row r="1315" spans="1:18" x14ac:dyDescent="0.25">
      <c r="A1315" s="169">
        <v>43979</v>
      </c>
      <c r="B1315" s="116">
        <v>38.25</v>
      </c>
      <c r="C1315" s="116">
        <v>37.75</v>
      </c>
      <c r="D1315" s="116">
        <v>37.549999999999997</v>
      </c>
      <c r="E1315" s="116">
        <v>37.6</v>
      </c>
      <c r="F1315" s="116">
        <v>37.75</v>
      </c>
      <c r="G1315">
        <v>514</v>
      </c>
      <c r="H1315" s="116"/>
      <c r="I1315" s="116"/>
      <c r="L1315" s="169">
        <v>43945</v>
      </c>
      <c r="M1315" s="116">
        <v>39.15</v>
      </c>
      <c r="N1315" s="116">
        <v>40.6</v>
      </c>
      <c r="O1315" s="116">
        <v>37.549999999999997</v>
      </c>
      <c r="P1315" s="116">
        <v>40.5</v>
      </c>
      <c r="Q1315" s="116">
        <v>39.15</v>
      </c>
      <c r="R1315">
        <v>3021</v>
      </c>
    </row>
    <row r="1316" spans="1:18" x14ac:dyDescent="0.25">
      <c r="A1316" s="169">
        <v>43980</v>
      </c>
      <c r="B1316" s="116">
        <v>39</v>
      </c>
      <c r="C1316" s="116">
        <v>38.4</v>
      </c>
      <c r="D1316" s="116">
        <v>38.4</v>
      </c>
      <c r="E1316" s="116">
        <v>38.6</v>
      </c>
      <c r="F1316" s="116">
        <v>38.4</v>
      </c>
      <c r="G1316">
        <v>1018</v>
      </c>
      <c r="H1316" s="116"/>
      <c r="I1316" s="116"/>
      <c r="L1316" s="169">
        <v>43948</v>
      </c>
      <c r="M1316" s="116">
        <v>40</v>
      </c>
      <c r="N1316" s="116">
        <v>40.5</v>
      </c>
      <c r="O1316" s="116">
        <v>38</v>
      </c>
      <c r="P1316" s="116">
        <v>39.15</v>
      </c>
      <c r="Q1316" s="116">
        <v>40</v>
      </c>
      <c r="R1316">
        <v>2098</v>
      </c>
    </row>
    <row r="1317" spans="1:18" x14ac:dyDescent="0.25">
      <c r="A1317" s="169">
        <v>43983</v>
      </c>
      <c r="B1317" s="116">
        <v>39.25</v>
      </c>
      <c r="C1317" s="116">
        <v>38.25</v>
      </c>
      <c r="D1317" s="116">
        <v>37.450000000000003</v>
      </c>
      <c r="E1317" s="116">
        <v>39.200000000000003</v>
      </c>
      <c r="F1317" s="116">
        <v>38.25</v>
      </c>
      <c r="G1317">
        <v>5415</v>
      </c>
      <c r="H1317" s="116"/>
      <c r="I1317" s="116"/>
      <c r="L1317" s="169">
        <v>43949</v>
      </c>
      <c r="M1317" s="116">
        <v>40.700000000000003</v>
      </c>
      <c r="N1317" s="116">
        <v>41</v>
      </c>
      <c r="O1317" s="116">
        <v>37.799999999999997</v>
      </c>
      <c r="P1317" s="116">
        <v>37.799999999999997</v>
      </c>
      <c r="Q1317" s="116">
        <v>40.700000000000003</v>
      </c>
      <c r="R1317">
        <v>510</v>
      </c>
    </row>
    <row r="1318" spans="1:18" x14ac:dyDescent="0.25">
      <c r="A1318" s="169">
        <v>43984</v>
      </c>
      <c r="B1318" s="116">
        <v>39.700000000000003</v>
      </c>
      <c r="C1318" s="116">
        <v>39.700000000000003</v>
      </c>
      <c r="D1318" s="116">
        <v>38</v>
      </c>
      <c r="E1318" s="116">
        <v>39</v>
      </c>
      <c r="F1318" s="116">
        <v>39.700000000000003</v>
      </c>
      <c r="G1318">
        <v>1243</v>
      </c>
      <c r="H1318" s="116"/>
      <c r="I1318" s="116"/>
      <c r="L1318" s="169">
        <v>43950</v>
      </c>
      <c r="M1318" s="116">
        <v>42.35</v>
      </c>
      <c r="N1318" s="116">
        <v>44.75</v>
      </c>
      <c r="O1318" s="116">
        <v>42.15</v>
      </c>
      <c r="P1318" s="116">
        <v>42.2</v>
      </c>
      <c r="Q1318" s="116">
        <v>42.35</v>
      </c>
      <c r="R1318">
        <v>43152</v>
      </c>
    </row>
    <row r="1319" spans="1:18" x14ac:dyDescent="0.25">
      <c r="A1319" s="169">
        <v>43985</v>
      </c>
      <c r="B1319" s="116">
        <v>43.35</v>
      </c>
      <c r="C1319" s="116">
        <v>43.2</v>
      </c>
      <c r="D1319" s="116">
        <v>39.549999999999997</v>
      </c>
      <c r="E1319" s="116">
        <v>40.5</v>
      </c>
      <c r="F1319" s="116">
        <v>43.2</v>
      </c>
      <c r="G1319">
        <v>11905</v>
      </c>
      <c r="H1319" s="116"/>
      <c r="I1319" s="116"/>
      <c r="L1319" s="169">
        <v>43951</v>
      </c>
      <c r="M1319" s="116">
        <v>41.75</v>
      </c>
      <c r="N1319" s="116">
        <v>43.1</v>
      </c>
      <c r="O1319" s="116">
        <v>40.700000000000003</v>
      </c>
      <c r="P1319" s="116">
        <v>42.35</v>
      </c>
      <c r="Q1319" s="116">
        <v>41.75</v>
      </c>
      <c r="R1319">
        <v>9059</v>
      </c>
    </row>
    <row r="1320" spans="1:18" x14ac:dyDescent="0.25">
      <c r="A1320" s="169">
        <v>43986</v>
      </c>
      <c r="B1320" s="116">
        <v>44.6</v>
      </c>
      <c r="C1320" s="116">
        <v>44.45</v>
      </c>
      <c r="D1320" s="116">
        <v>42.3</v>
      </c>
      <c r="E1320" s="116">
        <v>44</v>
      </c>
      <c r="F1320" s="116">
        <v>44.45</v>
      </c>
      <c r="G1320">
        <v>7158</v>
      </c>
      <c r="H1320" s="116"/>
      <c r="I1320" s="116"/>
      <c r="L1320" s="169">
        <v>43955</v>
      </c>
      <c r="M1320" s="116">
        <v>40.25</v>
      </c>
      <c r="N1320" s="116">
        <v>42.75</v>
      </c>
      <c r="O1320" s="116">
        <v>38.1</v>
      </c>
      <c r="P1320" s="116">
        <v>38.15</v>
      </c>
      <c r="Q1320" s="116">
        <v>40.25</v>
      </c>
      <c r="R1320">
        <v>7489</v>
      </c>
    </row>
    <row r="1321" spans="1:18" x14ac:dyDescent="0.25">
      <c r="A1321" s="169">
        <v>43987</v>
      </c>
      <c r="B1321" s="116">
        <v>47.95</v>
      </c>
      <c r="C1321" s="116">
        <v>45.9</v>
      </c>
      <c r="D1321" s="116">
        <v>45.05</v>
      </c>
      <c r="E1321" s="116">
        <v>45.8</v>
      </c>
      <c r="F1321" s="116">
        <v>45.9</v>
      </c>
      <c r="G1321">
        <v>4425</v>
      </c>
      <c r="H1321" s="116"/>
      <c r="I1321" s="116"/>
      <c r="L1321" s="169">
        <v>43956</v>
      </c>
      <c r="M1321" s="116">
        <v>38.950000000000003</v>
      </c>
      <c r="N1321" s="116">
        <v>40.35</v>
      </c>
      <c r="O1321" s="116">
        <v>38.549999999999997</v>
      </c>
      <c r="P1321" s="116">
        <v>38.700000000000003</v>
      </c>
      <c r="Q1321" s="116">
        <v>38.950000000000003</v>
      </c>
      <c r="R1321">
        <v>4720</v>
      </c>
    </row>
    <row r="1322" spans="1:18" x14ac:dyDescent="0.25">
      <c r="A1322" s="169">
        <v>43990</v>
      </c>
      <c r="B1322" s="116">
        <v>50</v>
      </c>
      <c r="C1322" s="116">
        <v>48</v>
      </c>
      <c r="D1322" s="116">
        <v>47.7</v>
      </c>
      <c r="E1322" s="116">
        <v>47.7</v>
      </c>
      <c r="F1322" s="116">
        <v>48</v>
      </c>
      <c r="G1322">
        <v>8765</v>
      </c>
      <c r="H1322" s="116"/>
      <c r="I1322" s="116"/>
      <c r="L1322" s="169">
        <v>43957</v>
      </c>
      <c r="M1322" s="116">
        <v>38.6</v>
      </c>
      <c r="N1322" s="116">
        <v>39.5</v>
      </c>
      <c r="O1322" s="116">
        <v>37.799999999999997</v>
      </c>
      <c r="P1322" s="116">
        <v>38.15</v>
      </c>
      <c r="Q1322" s="116">
        <v>38.6</v>
      </c>
      <c r="R1322">
        <v>2504</v>
      </c>
    </row>
    <row r="1323" spans="1:18" x14ac:dyDescent="0.25">
      <c r="A1323" s="169">
        <v>43991</v>
      </c>
      <c r="B1323" s="116">
        <v>47.65</v>
      </c>
      <c r="C1323" s="116">
        <v>45</v>
      </c>
      <c r="D1323" s="116">
        <v>45</v>
      </c>
      <c r="E1323" s="116">
        <v>47</v>
      </c>
      <c r="F1323" s="116">
        <v>45</v>
      </c>
      <c r="G1323">
        <v>1322</v>
      </c>
      <c r="H1323" s="116"/>
      <c r="I1323" s="116"/>
      <c r="L1323" s="169">
        <v>43958</v>
      </c>
      <c r="M1323" s="116">
        <v>38.950000000000003</v>
      </c>
      <c r="N1323" s="116">
        <v>40.450000000000003</v>
      </c>
      <c r="O1323" s="116">
        <v>38.35</v>
      </c>
      <c r="P1323" s="116">
        <v>39</v>
      </c>
      <c r="Q1323" s="116">
        <v>38.950000000000003</v>
      </c>
      <c r="R1323">
        <v>433</v>
      </c>
    </row>
    <row r="1324" spans="1:18" x14ac:dyDescent="0.25">
      <c r="A1324" s="169">
        <v>43992</v>
      </c>
      <c r="B1324" s="116">
        <v>47.1</v>
      </c>
      <c r="C1324" s="116">
        <v>45.15</v>
      </c>
      <c r="D1324" s="116">
        <v>45.05</v>
      </c>
      <c r="E1324" s="116">
        <v>46.65</v>
      </c>
      <c r="F1324" s="116">
        <v>45.15</v>
      </c>
      <c r="G1324">
        <v>1797</v>
      </c>
      <c r="H1324" s="116"/>
      <c r="I1324" s="116"/>
      <c r="L1324" s="169">
        <v>43959</v>
      </c>
      <c r="M1324" s="116">
        <v>39</v>
      </c>
      <c r="N1324" s="116">
        <v>40.65</v>
      </c>
      <c r="O1324" s="116">
        <v>37.75</v>
      </c>
      <c r="P1324" s="116">
        <v>38.6</v>
      </c>
      <c r="Q1324" s="116">
        <v>39</v>
      </c>
      <c r="R1324">
        <v>2321</v>
      </c>
    </row>
    <row r="1325" spans="1:18" x14ac:dyDescent="0.25">
      <c r="A1325" s="169">
        <v>43993</v>
      </c>
      <c r="B1325" s="116">
        <v>44.9</v>
      </c>
      <c r="C1325" s="116">
        <v>43.85</v>
      </c>
      <c r="D1325" s="116">
        <v>43</v>
      </c>
      <c r="E1325" s="116">
        <v>44</v>
      </c>
      <c r="F1325" s="116">
        <v>43.85</v>
      </c>
      <c r="G1325">
        <v>2387</v>
      </c>
      <c r="H1325" s="116"/>
      <c r="I1325" s="116"/>
      <c r="L1325" s="169">
        <v>43962</v>
      </c>
      <c r="M1325" s="116">
        <v>38.25</v>
      </c>
      <c r="N1325" s="116">
        <v>39.700000000000003</v>
      </c>
      <c r="O1325" s="116">
        <v>37.700000000000003</v>
      </c>
      <c r="P1325" s="116">
        <v>37.700000000000003</v>
      </c>
      <c r="Q1325" s="116">
        <v>38.25</v>
      </c>
      <c r="R1325">
        <v>6668</v>
      </c>
    </row>
    <row r="1326" spans="1:18" x14ac:dyDescent="0.25">
      <c r="A1326" s="169">
        <v>43994</v>
      </c>
      <c r="B1326" s="116">
        <v>46.5</v>
      </c>
      <c r="C1326" s="116">
        <v>46</v>
      </c>
      <c r="D1326" s="116">
        <v>44.6</v>
      </c>
      <c r="E1326" s="116">
        <v>45.5</v>
      </c>
      <c r="F1326" s="116">
        <v>46</v>
      </c>
      <c r="G1326">
        <v>4474</v>
      </c>
      <c r="H1326" s="116"/>
      <c r="I1326" s="116"/>
      <c r="L1326" s="169">
        <v>43963</v>
      </c>
      <c r="M1326" s="116">
        <v>37.4</v>
      </c>
      <c r="N1326" s="116">
        <v>38.6</v>
      </c>
      <c r="O1326" s="116">
        <v>36.5</v>
      </c>
      <c r="P1326" s="116">
        <v>37.549999999999997</v>
      </c>
      <c r="Q1326" s="116">
        <v>37.4</v>
      </c>
      <c r="R1326">
        <v>3916</v>
      </c>
    </row>
    <row r="1327" spans="1:18" x14ac:dyDescent="0.25">
      <c r="A1327" s="169">
        <v>43997</v>
      </c>
      <c r="B1327" s="116">
        <v>46.5</v>
      </c>
      <c r="C1327" s="116">
        <v>45</v>
      </c>
      <c r="D1327" s="116">
        <v>44.55</v>
      </c>
      <c r="E1327" s="116">
        <v>46</v>
      </c>
      <c r="F1327" s="116">
        <v>45</v>
      </c>
      <c r="G1327">
        <v>4591</v>
      </c>
      <c r="H1327" s="116"/>
      <c r="I1327" s="116"/>
      <c r="L1327" s="169">
        <v>43964</v>
      </c>
      <c r="M1327" s="116">
        <v>37.65</v>
      </c>
      <c r="N1327" s="116">
        <v>40.5</v>
      </c>
      <c r="O1327" s="116">
        <v>36.549999999999997</v>
      </c>
      <c r="P1327" s="116">
        <v>40.5</v>
      </c>
      <c r="Q1327" s="116">
        <v>37.65</v>
      </c>
      <c r="R1327">
        <v>4099</v>
      </c>
    </row>
    <row r="1328" spans="1:18" x14ac:dyDescent="0.25">
      <c r="A1328" s="169">
        <v>43998</v>
      </c>
      <c r="B1328" s="116">
        <v>46.7</v>
      </c>
      <c r="C1328" s="116">
        <v>42</v>
      </c>
      <c r="D1328" s="116">
        <v>41.55</v>
      </c>
      <c r="E1328" s="116">
        <v>45</v>
      </c>
      <c r="F1328" s="116">
        <v>42</v>
      </c>
      <c r="G1328">
        <v>5228</v>
      </c>
      <c r="H1328" s="116"/>
      <c r="I1328" s="116"/>
      <c r="L1328" s="169">
        <v>43965</v>
      </c>
      <c r="M1328" s="116">
        <v>38.1</v>
      </c>
      <c r="N1328" s="116">
        <v>38.85</v>
      </c>
      <c r="O1328" s="116">
        <v>37.700000000000003</v>
      </c>
      <c r="P1328" s="116">
        <v>38.799999999999997</v>
      </c>
      <c r="Q1328" s="116">
        <v>38.1</v>
      </c>
      <c r="R1328">
        <v>1382</v>
      </c>
    </row>
    <row r="1329" spans="1:18" x14ac:dyDescent="0.25">
      <c r="A1329" s="169">
        <v>43999</v>
      </c>
      <c r="B1329" s="116">
        <v>44.8</v>
      </c>
      <c r="C1329" s="116">
        <v>44</v>
      </c>
      <c r="D1329" s="116">
        <v>43.5</v>
      </c>
      <c r="E1329" s="116">
        <v>43.95</v>
      </c>
      <c r="F1329" s="116">
        <v>44</v>
      </c>
      <c r="G1329">
        <v>4104</v>
      </c>
      <c r="H1329" s="116"/>
      <c r="I1329" s="116"/>
      <c r="L1329" s="169">
        <v>43966</v>
      </c>
      <c r="M1329" s="116">
        <v>37.5</v>
      </c>
      <c r="N1329" s="116">
        <v>39.35</v>
      </c>
      <c r="O1329" s="116">
        <v>37.1</v>
      </c>
      <c r="P1329" s="116">
        <v>38.1</v>
      </c>
      <c r="Q1329" s="116">
        <v>37.5</v>
      </c>
      <c r="R1329">
        <v>4420</v>
      </c>
    </row>
    <row r="1330" spans="1:18" x14ac:dyDescent="0.25">
      <c r="A1330" s="169">
        <v>44000</v>
      </c>
      <c r="B1330" s="116">
        <v>49.8</v>
      </c>
      <c r="C1330" s="116">
        <v>47.5</v>
      </c>
      <c r="D1330" s="116">
        <v>44.5</v>
      </c>
      <c r="E1330" s="116">
        <v>45.3</v>
      </c>
      <c r="F1330" s="116">
        <v>47.5</v>
      </c>
      <c r="G1330">
        <v>11739</v>
      </c>
      <c r="H1330" s="116"/>
      <c r="I1330" s="116"/>
      <c r="L1330" s="169">
        <v>43969</v>
      </c>
      <c r="M1330" s="116">
        <v>37.4</v>
      </c>
      <c r="N1330" s="116">
        <v>37.700000000000003</v>
      </c>
      <c r="O1330" s="116">
        <v>36.700000000000003</v>
      </c>
      <c r="P1330" s="116">
        <v>37.200000000000003</v>
      </c>
      <c r="Q1330" s="116">
        <v>37.4</v>
      </c>
      <c r="R1330">
        <v>1231</v>
      </c>
    </row>
    <row r="1331" spans="1:18" x14ac:dyDescent="0.25">
      <c r="A1331" s="169">
        <v>44001</v>
      </c>
      <c r="B1331" s="116">
        <v>48.8</v>
      </c>
      <c r="C1331" s="116">
        <v>47.25</v>
      </c>
      <c r="D1331" s="116">
        <v>46</v>
      </c>
      <c r="E1331" s="116">
        <v>46.15</v>
      </c>
      <c r="F1331" s="116">
        <v>47.25</v>
      </c>
      <c r="G1331">
        <v>16096</v>
      </c>
      <c r="H1331" s="116"/>
      <c r="I1331" s="116"/>
      <c r="L1331" s="169">
        <v>43970</v>
      </c>
      <c r="M1331" s="116">
        <v>37.6</v>
      </c>
      <c r="N1331" s="116">
        <v>38.15</v>
      </c>
      <c r="O1331" s="116">
        <v>36.5</v>
      </c>
      <c r="P1331" s="116">
        <v>36.549999999999997</v>
      </c>
      <c r="Q1331" s="116">
        <v>37.6</v>
      </c>
      <c r="R1331">
        <v>421</v>
      </c>
    </row>
    <row r="1332" spans="1:18" x14ac:dyDescent="0.25">
      <c r="A1332" s="169">
        <v>44004</v>
      </c>
      <c r="B1332" s="116">
        <v>53.75</v>
      </c>
      <c r="C1332" s="116">
        <v>51.2</v>
      </c>
      <c r="D1332" s="116">
        <v>45</v>
      </c>
      <c r="E1332" s="116">
        <v>47.4</v>
      </c>
      <c r="F1332" s="116">
        <v>51.2</v>
      </c>
      <c r="G1332">
        <v>15498</v>
      </c>
      <c r="H1332" s="116"/>
      <c r="I1332" s="116"/>
      <c r="L1332" s="169">
        <v>43971</v>
      </c>
      <c r="M1332" s="116">
        <v>37.799999999999997</v>
      </c>
      <c r="N1332" s="116">
        <v>38.4</v>
      </c>
      <c r="O1332" s="116">
        <v>36.15</v>
      </c>
      <c r="P1332" s="116">
        <v>36.15</v>
      </c>
      <c r="Q1332" s="116">
        <v>37.799999999999997</v>
      </c>
      <c r="R1332">
        <v>141</v>
      </c>
    </row>
    <row r="1333" spans="1:18" x14ac:dyDescent="0.25">
      <c r="A1333" s="169">
        <v>44005</v>
      </c>
      <c r="B1333" s="116">
        <v>55</v>
      </c>
      <c r="C1333" s="116">
        <v>53.95</v>
      </c>
      <c r="D1333" s="116">
        <v>51.1</v>
      </c>
      <c r="E1333" s="116">
        <v>53.65</v>
      </c>
      <c r="F1333" s="116">
        <v>53.95</v>
      </c>
      <c r="G1333">
        <v>13457</v>
      </c>
      <c r="H1333" s="116"/>
      <c r="I1333" s="116"/>
      <c r="L1333" s="169">
        <v>43972</v>
      </c>
      <c r="M1333" s="116">
        <v>37.299999999999997</v>
      </c>
      <c r="N1333" s="116">
        <v>39.299999999999997</v>
      </c>
      <c r="O1333" s="116">
        <v>36.549999999999997</v>
      </c>
      <c r="P1333" s="116">
        <v>36.549999999999997</v>
      </c>
      <c r="Q1333" s="116">
        <v>37.299999999999997</v>
      </c>
      <c r="R1333">
        <v>2485</v>
      </c>
    </row>
    <row r="1334" spans="1:18" x14ac:dyDescent="0.25">
      <c r="A1334" s="169">
        <v>44006</v>
      </c>
      <c r="B1334" s="116">
        <v>54.65</v>
      </c>
      <c r="C1334" s="116">
        <v>52.85</v>
      </c>
      <c r="D1334" s="116">
        <v>52.5</v>
      </c>
      <c r="E1334" s="116">
        <v>54</v>
      </c>
      <c r="F1334" s="116">
        <v>52.85</v>
      </c>
      <c r="G1334">
        <v>4782</v>
      </c>
      <c r="H1334" s="116"/>
      <c r="I1334" s="116"/>
      <c r="L1334" s="169">
        <v>43973</v>
      </c>
      <c r="M1334" s="116">
        <v>38.200000000000003</v>
      </c>
      <c r="N1334" s="116">
        <v>38.9</v>
      </c>
      <c r="O1334" s="116">
        <v>37.1</v>
      </c>
      <c r="P1334" s="116">
        <v>37.1</v>
      </c>
      <c r="Q1334" s="116">
        <v>38.200000000000003</v>
      </c>
      <c r="R1334">
        <v>2058</v>
      </c>
    </row>
    <row r="1335" spans="1:18" x14ac:dyDescent="0.25">
      <c r="A1335" s="169">
        <v>44007</v>
      </c>
      <c r="B1335" s="116">
        <v>54</v>
      </c>
      <c r="C1335" s="116">
        <v>51.85</v>
      </c>
      <c r="D1335" s="116">
        <v>51.5</v>
      </c>
      <c r="E1335" s="116">
        <v>54</v>
      </c>
      <c r="F1335" s="116">
        <v>51.85</v>
      </c>
      <c r="G1335">
        <v>7079</v>
      </c>
      <c r="H1335" s="116"/>
      <c r="I1335" s="116"/>
      <c r="L1335" s="169">
        <v>43977</v>
      </c>
      <c r="M1335" s="116">
        <v>38.5</v>
      </c>
      <c r="N1335" s="116">
        <v>38.85</v>
      </c>
      <c r="O1335" s="116">
        <v>36.799999999999997</v>
      </c>
      <c r="P1335" s="116">
        <v>36.799999999999997</v>
      </c>
      <c r="Q1335" s="116">
        <v>38.5</v>
      </c>
      <c r="R1335">
        <v>10601</v>
      </c>
    </row>
    <row r="1336" spans="1:18" x14ac:dyDescent="0.25">
      <c r="A1336" s="169">
        <v>44008</v>
      </c>
      <c r="B1336" s="116">
        <v>54</v>
      </c>
      <c r="C1336" s="116">
        <v>53.35</v>
      </c>
      <c r="D1336" s="116">
        <v>51.15</v>
      </c>
      <c r="E1336" s="116">
        <v>52.95</v>
      </c>
      <c r="F1336" s="116">
        <v>53.35</v>
      </c>
      <c r="G1336">
        <v>10520</v>
      </c>
      <c r="H1336" s="116"/>
      <c r="I1336" s="116"/>
      <c r="L1336" s="169">
        <v>43978</v>
      </c>
      <c r="M1336" s="116">
        <v>38.299999999999997</v>
      </c>
      <c r="N1336" s="116">
        <v>38.549999999999997</v>
      </c>
      <c r="O1336" s="116">
        <v>36.25</v>
      </c>
      <c r="P1336" s="116">
        <v>37.049999999999997</v>
      </c>
      <c r="Q1336" s="116">
        <v>38.299999999999997</v>
      </c>
      <c r="R1336">
        <v>4301</v>
      </c>
    </row>
    <row r="1337" spans="1:18" x14ac:dyDescent="0.25">
      <c r="A1337" s="169">
        <v>44011</v>
      </c>
      <c r="B1337" s="116">
        <v>52.5</v>
      </c>
      <c r="C1337" s="116">
        <v>51</v>
      </c>
      <c r="D1337" s="116">
        <v>50.8</v>
      </c>
      <c r="E1337" s="116">
        <v>52.5</v>
      </c>
      <c r="F1337" s="116">
        <v>51</v>
      </c>
      <c r="G1337">
        <v>3022</v>
      </c>
      <c r="H1337" s="116"/>
      <c r="I1337" s="116"/>
      <c r="L1337" s="169">
        <v>43979</v>
      </c>
      <c r="M1337" s="116">
        <v>37.549999999999997</v>
      </c>
      <c r="N1337" s="116">
        <v>38.4</v>
      </c>
      <c r="O1337" s="116">
        <v>37.299999999999997</v>
      </c>
      <c r="P1337" s="116">
        <v>38.049999999999997</v>
      </c>
      <c r="Q1337" s="116">
        <v>37.549999999999997</v>
      </c>
      <c r="R1337">
        <v>2148</v>
      </c>
    </row>
    <row r="1338" spans="1:18" x14ac:dyDescent="0.25">
      <c r="A1338" s="169">
        <v>44012</v>
      </c>
      <c r="B1338" s="116">
        <v>50.85</v>
      </c>
      <c r="C1338" s="116">
        <v>48.8</v>
      </c>
      <c r="D1338" s="116">
        <v>48.7</v>
      </c>
      <c r="E1338" s="116">
        <v>50.2</v>
      </c>
      <c r="F1338" s="116">
        <v>48.8</v>
      </c>
      <c r="G1338">
        <v>4864</v>
      </c>
      <c r="H1338" s="116"/>
      <c r="I1338" s="116"/>
      <c r="L1338" s="169">
        <v>43980</v>
      </c>
      <c r="M1338" s="116">
        <v>38.4</v>
      </c>
      <c r="N1338" s="116">
        <v>39.75</v>
      </c>
      <c r="O1338" s="116">
        <v>37.299999999999997</v>
      </c>
      <c r="P1338" s="116">
        <v>37.700000000000003</v>
      </c>
      <c r="Q1338" s="116">
        <v>38.4</v>
      </c>
      <c r="R1338">
        <v>6590</v>
      </c>
    </row>
    <row r="1339" spans="1:18" x14ac:dyDescent="0.25">
      <c r="A1339" s="169">
        <v>44013</v>
      </c>
      <c r="B1339" s="116">
        <v>50</v>
      </c>
      <c r="C1339" s="116">
        <v>49</v>
      </c>
      <c r="D1339" s="116">
        <v>47.65</v>
      </c>
      <c r="E1339" s="116">
        <v>48</v>
      </c>
      <c r="F1339" s="116">
        <v>49</v>
      </c>
      <c r="G1339">
        <v>8587</v>
      </c>
      <c r="H1339" s="116"/>
      <c r="I1339" s="116"/>
      <c r="L1339" s="169">
        <v>43983</v>
      </c>
      <c r="M1339" s="116">
        <v>38.25</v>
      </c>
      <c r="N1339" s="116">
        <v>40</v>
      </c>
      <c r="O1339" s="116">
        <v>37.65</v>
      </c>
      <c r="P1339" s="116">
        <v>39.5</v>
      </c>
      <c r="Q1339" s="116">
        <v>38.25</v>
      </c>
      <c r="R1339">
        <v>4681</v>
      </c>
    </row>
    <row r="1340" spans="1:18" x14ac:dyDescent="0.25">
      <c r="A1340" s="169">
        <v>44014</v>
      </c>
      <c r="B1340" s="116">
        <v>49.2</v>
      </c>
      <c r="C1340" s="116">
        <v>48.5</v>
      </c>
      <c r="D1340" s="116">
        <v>48</v>
      </c>
      <c r="E1340" s="116">
        <v>48.2</v>
      </c>
      <c r="F1340" s="116">
        <v>48.5</v>
      </c>
      <c r="G1340">
        <v>4486</v>
      </c>
      <c r="H1340" s="116"/>
      <c r="I1340" s="116"/>
      <c r="L1340" s="169">
        <v>43984</v>
      </c>
      <c r="M1340" s="116">
        <v>39.5</v>
      </c>
      <c r="N1340" s="116">
        <v>40</v>
      </c>
      <c r="O1340" s="116">
        <v>38.6</v>
      </c>
      <c r="P1340" s="116">
        <v>39.4</v>
      </c>
      <c r="Q1340" s="116">
        <v>39.5</v>
      </c>
      <c r="R1340">
        <v>4329</v>
      </c>
    </row>
    <row r="1341" spans="1:18" x14ac:dyDescent="0.25">
      <c r="A1341" s="169">
        <v>44015</v>
      </c>
      <c r="B1341" s="116">
        <v>50</v>
      </c>
      <c r="C1341" s="116">
        <v>48.45</v>
      </c>
      <c r="D1341" s="116">
        <v>47.35</v>
      </c>
      <c r="E1341" s="116">
        <v>49.8</v>
      </c>
      <c r="F1341" s="116">
        <v>48.45</v>
      </c>
      <c r="G1341">
        <v>5910</v>
      </c>
      <c r="H1341" s="116"/>
      <c r="I1341" s="116"/>
      <c r="L1341" s="169">
        <v>43985</v>
      </c>
      <c r="M1341" s="116">
        <v>43.2</v>
      </c>
      <c r="N1341" s="116">
        <v>43.45</v>
      </c>
      <c r="O1341" s="116">
        <v>39.549999999999997</v>
      </c>
      <c r="P1341" s="116">
        <v>41.7</v>
      </c>
      <c r="Q1341" s="116">
        <v>43.2</v>
      </c>
      <c r="R1341">
        <v>24707</v>
      </c>
    </row>
    <row r="1342" spans="1:18" x14ac:dyDescent="0.25">
      <c r="A1342" s="169">
        <v>44018</v>
      </c>
      <c r="B1342" s="116">
        <v>48</v>
      </c>
      <c r="C1342" s="116">
        <v>48</v>
      </c>
      <c r="D1342" s="116">
        <v>46.2</v>
      </c>
      <c r="E1342" s="116">
        <v>47.8</v>
      </c>
      <c r="F1342" s="116">
        <v>48</v>
      </c>
      <c r="G1342">
        <v>1373</v>
      </c>
      <c r="H1342" s="116"/>
      <c r="I1342" s="116"/>
      <c r="L1342" s="169">
        <v>43986</v>
      </c>
      <c r="M1342" s="116">
        <v>43.7</v>
      </c>
      <c r="N1342" s="116">
        <v>44.9</v>
      </c>
      <c r="O1342" s="116">
        <v>40.25</v>
      </c>
      <c r="P1342" s="116">
        <v>40.299999999999997</v>
      </c>
      <c r="Q1342" s="116">
        <v>43.7</v>
      </c>
      <c r="R1342">
        <v>13104</v>
      </c>
    </row>
    <row r="1343" spans="1:18" x14ac:dyDescent="0.25">
      <c r="A1343" s="169">
        <v>44019</v>
      </c>
      <c r="B1343" s="116">
        <v>50</v>
      </c>
      <c r="C1343" s="116">
        <v>48</v>
      </c>
      <c r="D1343" s="116">
        <v>47.75</v>
      </c>
      <c r="E1343" s="116">
        <v>50</v>
      </c>
      <c r="F1343" s="116">
        <v>48</v>
      </c>
      <c r="G1343">
        <v>5121</v>
      </c>
      <c r="H1343" s="116"/>
      <c r="I1343" s="116"/>
      <c r="L1343" s="169">
        <v>43987</v>
      </c>
      <c r="M1343" s="116">
        <v>45.55</v>
      </c>
      <c r="N1343" s="116">
        <v>47.85</v>
      </c>
      <c r="O1343" s="116">
        <v>44.95</v>
      </c>
      <c r="P1343" s="116">
        <v>44.95</v>
      </c>
      <c r="Q1343" s="116">
        <v>45.55</v>
      </c>
      <c r="R1343">
        <v>31435</v>
      </c>
    </row>
    <row r="1344" spans="1:18" x14ac:dyDescent="0.25">
      <c r="A1344" s="169">
        <v>44020</v>
      </c>
      <c r="B1344" s="116">
        <v>48.75</v>
      </c>
      <c r="C1344" s="116">
        <v>47</v>
      </c>
      <c r="D1344" s="116">
        <v>47</v>
      </c>
      <c r="E1344" s="116">
        <v>48.4</v>
      </c>
      <c r="F1344" s="116">
        <v>47</v>
      </c>
      <c r="G1344">
        <v>3274</v>
      </c>
      <c r="H1344" s="116"/>
      <c r="I1344" s="116"/>
      <c r="L1344" s="169">
        <v>43990</v>
      </c>
      <c r="M1344" s="116">
        <v>47.7</v>
      </c>
      <c r="N1344" s="116">
        <v>50.6</v>
      </c>
      <c r="O1344" s="116">
        <v>47</v>
      </c>
      <c r="P1344" s="116">
        <v>50.45</v>
      </c>
      <c r="Q1344" s="116">
        <v>47.7</v>
      </c>
      <c r="R1344">
        <v>24568</v>
      </c>
    </row>
    <row r="1345" spans="1:18" x14ac:dyDescent="0.25">
      <c r="A1345" s="169">
        <v>44021</v>
      </c>
      <c r="B1345" s="116">
        <v>47.3</v>
      </c>
      <c r="C1345" s="116">
        <v>46.45</v>
      </c>
      <c r="D1345" s="116">
        <v>45</v>
      </c>
      <c r="E1345" s="116">
        <v>47</v>
      </c>
      <c r="F1345" s="116">
        <v>46.45</v>
      </c>
      <c r="G1345">
        <v>254</v>
      </c>
      <c r="H1345" s="116"/>
      <c r="I1345" s="116"/>
      <c r="L1345" s="169">
        <v>43991</v>
      </c>
      <c r="M1345" s="116">
        <v>44.55</v>
      </c>
      <c r="N1345" s="116">
        <v>47.7</v>
      </c>
      <c r="O1345" s="116">
        <v>44</v>
      </c>
      <c r="P1345" s="116">
        <v>47</v>
      </c>
      <c r="Q1345" s="116">
        <v>44.55</v>
      </c>
      <c r="R1345">
        <v>5088</v>
      </c>
    </row>
    <row r="1346" spans="1:18" x14ac:dyDescent="0.25">
      <c r="A1346" s="169">
        <v>44022</v>
      </c>
      <c r="B1346" s="116">
        <v>46.15</v>
      </c>
      <c r="C1346" s="116">
        <v>46.15</v>
      </c>
      <c r="D1346" s="116">
        <v>45.1</v>
      </c>
      <c r="E1346" s="116">
        <v>45.1</v>
      </c>
      <c r="F1346" s="116">
        <v>46.15</v>
      </c>
      <c r="G1346">
        <v>215</v>
      </c>
      <c r="H1346" s="116"/>
      <c r="I1346" s="116"/>
      <c r="L1346" s="169">
        <v>43992</v>
      </c>
      <c r="M1346" s="116">
        <v>44.95</v>
      </c>
      <c r="N1346" s="116">
        <v>47.85</v>
      </c>
      <c r="O1346" s="116">
        <v>44.4</v>
      </c>
      <c r="P1346" s="116">
        <v>46</v>
      </c>
      <c r="Q1346" s="116">
        <v>44.95</v>
      </c>
      <c r="R1346">
        <v>4476</v>
      </c>
    </row>
    <row r="1347" spans="1:18" x14ac:dyDescent="0.25">
      <c r="A1347" s="169">
        <v>44025</v>
      </c>
      <c r="B1347" s="116">
        <v>47</v>
      </c>
      <c r="C1347" s="116">
        <v>45.9</v>
      </c>
      <c r="D1347" s="116">
        <v>45.8</v>
      </c>
      <c r="E1347" s="116">
        <v>47</v>
      </c>
      <c r="F1347" s="116">
        <v>45.9</v>
      </c>
      <c r="G1347">
        <v>108</v>
      </c>
      <c r="H1347" s="116"/>
      <c r="I1347" s="116"/>
      <c r="L1347" s="169">
        <v>43993</v>
      </c>
      <c r="M1347" s="116">
        <v>43.95</v>
      </c>
      <c r="N1347" s="116">
        <v>45.15</v>
      </c>
      <c r="O1347" s="116">
        <v>43.25</v>
      </c>
      <c r="P1347" s="116">
        <v>45.15</v>
      </c>
      <c r="Q1347" s="116">
        <v>43.95</v>
      </c>
      <c r="R1347">
        <v>3077</v>
      </c>
    </row>
    <row r="1348" spans="1:18" x14ac:dyDescent="0.25">
      <c r="A1348" s="169">
        <v>44026</v>
      </c>
      <c r="B1348" s="116">
        <v>46.6</v>
      </c>
      <c r="C1348" s="116">
        <v>46</v>
      </c>
      <c r="D1348" s="116">
        <v>45.3</v>
      </c>
      <c r="E1348" s="116">
        <v>46.6</v>
      </c>
      <c r="F1348" s="116">
        <v>46</v>
      </c>
      <c r="G1348">
        <v>4980</v>
      </c>
      <c r="H1348" s="116"/>
      <c r="I1348" s="116"/>
      <c r="L1348" s="169">
        <v>43994</v>
      </c>
      <c r="M1348" s="116">
        <v>47.2</v>
      </c>
      <c r="N1348" s="116">
        <v>47.55</v>
      </c>
      <c r="O1348" s="116">
        <v>41.4</v>
      </c>
      <c r="P1348" s="116">
        <v>43.05</v>
      </c>
      <c r="Q1348" s="116">
        <v>47.2</v>
      </c>
      <c r="R1348">
        <v>23813</v>
      </c>
    </row>
    <row r="1349" spans="1:18" x14ac:dyDescent="0.25">
      <c r="A1349" s="169">
        <v>44027</v>
      </c>
      <c r="B1349" s="116">
        <v>55.2</v>
      </c>
      <c r="C1349" s="116">
        <v>55.2</v>
      </c>
      <c r="D1349" s="116">
        <v>47</v>
      </c>
      <c r="E1349" s="116">
        <v>47.3</v>
      </c>
      <c r="F1349" s="116">
        <v>55.2</v>
      </c>
      <c r="G1349">
        <v>163864</v>
      </c>
      <c r="H1349" s="116"/>
      <c r="I1349" s="116"/>
      <c r="L1349" s="169">
        <v>43997</v>
      </c>
      <c r="M1349" s="116">
        <v>44.7</v>
      </c>
      <c r="N1349" s="116">
        <v>48.25</v>
      </c>
      <c r="O1349" s="116">
        <v>44.5</v>
      </c>
      <c r="P1349" s="116">
        <v>46.5</v>
      </c>
      <c r="Q1349" s="116">
        <v>44.7</v>
      </c>
      <c r="R1349">
        <v>5783</v>
      </c>
    </row>
    <row r="1350" spans="1:18" x14ac:dyDescent="0.25">
      <c r="A1350" s="169">
        <v>44028</v>
      </c>
      <c r="B1350" s="116">
        <v>66.2</v>
      </c>
      <c r="C1350" s="116">
        <v>65.95</v>
      </c>
      <c r="D1350" s="116">
        <v>55.45</v>
      </c>
      <c r="E1350" s="116">
        <v>58</v>
      </c>
      <c r="F1350" s="116">
        <v>65.95</v>
      </c>
      <c r="G1350">
        <v>97863</v>
      </c>
      <c r="H1350" s="116"/>
      <c r="I1350" s="116"/>
      <c r="L1350" s="169">
        <v>43998</v>
      </c>
      <c r="M1350" s="116">
        <v>42.45</v>
      </c>
      <c r="N1350" s="116">
        <v>46.9</v>
      </c>
      <c r="O1350" s="116">
        <v>41.6</v>
      </c>
      <c r="P1350" s="116">
        <v>45.95</v>
      </c>
      <c r="Q1350" s="116">
        <v>42.45</v>
      </c>
      <c r="R1350">
        <v>22588</v>
      </c>
    </row>
    <row r="1351" spans="1:18" x14ac:dyDescent="0.25">
      <c r="A1351" s="169">
        <v>44029</v>
      </c>
      <c r="B1351" s="116">
        <v>64.3</v>
      </c>
      <c r="C1351" s="116">
        <v>59.4</v>
      </c>
      <c r="D1351" s="116">
        <v>59.4</v>
      </c>
      <c r="E1351" s="116">
        <v>63.5</v>
      </c>
      <c r="F1351" s="116">
        <v>59.4</v>
      </c>
      <c r="G1351">
        <v>80651</v>
      </c>
      <c r="H1351" s="116"/>
      <c r="I1351" s="116"/>
      <c r="L1351" s="169">
        <v>43999</v>
      </c>
      <c r="M1351" s="116">
        <v>44.05</v>
      </c>
      <c r="N1351" s="116">
        <v>45.4</v>
      </c>
      <c r="O1351" s="116">
        <v>43.45</v>
      </c>
      <c r="P1351" s="116">
        <v>44.35</v>
      </c>
      <c r="Q1351" s="116">
        <v>44.05</v>
      </c>
      <c r="R1351">
        <v>20503</v>
      </c>
    </row>
    <row r="1352" spans="1:18" x14ac:dyDescent="0.25">
      <c r="A1352" s="169">
        <v>44032</v>
      </c>
      <c r="B1352" s="116">
        <v>60.85</v>
      </c>
      <c r="C1352" s="116">
        <v>56.8</v>
      </c>
      <c r="D1352" s="116">
        <v>54.05</v>
      </c>
      <c r="E1352" s="116">
        <v>54.05</v>
      </c>
      <c r="F1352" s="116">
        <v>56.8</v>
      </c>
      <c r="G1352">
        <v>17750</v>
      </c>
      <c r="H1352" s="116"/>
      <c r="I1352" s="116"/>
      <c r="L1352" s="169">
        <v>44000</v>
      </c>
      <c r="M1352" s="116">
        <v>47.15</v>
      </c>
      <c r="N1352" s="116">
        <v>48.55</v>
      </c>
      <c r="O1352" s="116">
        <v>44</v>
      </c>
      <c r="P1352" s="116">
        <v>46.35</v>
      </c>
      <c r="Q1352" s="116">
        <v>47.15</v>
      </c>
      <c r="R1352">
        <v>45449</v>
      </c>
    </row>
    <row r="1353" spans="1:18" x14ac:dyDescent="0.25">
      <c r="A1353" s="169">
        <v>44033</v>
      </c>
      <c r="B1353" s="116">
        <v>57.8</v>
      </c>
      <c r="C1353" s="116">
        <v>55.95</v>
      </c>
      <c r="D1353" s="116">
        <v>54.75</v>
      </c>
      <c r="E1353" s="116">
        <v>56.15</v>
      </c>
      <c r="F1353" s="116">
        <v>55.95</v>
      </c>
      <c r="G1353">
        <v>6645</v>
      </c>
      <c r="H1353" s="116"/>
      <c r="I1353" s="116"/>
      <c r="L1353" s="169">
        <v>44001</v>
      </c>
      <c r="M1353" s="116">
        <v>47.2</v>
      </c>
      <c r="N1353" s="116">
        <v>48.55</v>
      </c>
      <c r="O1353" s="116">
        <v>46.2</v>
      </c>
      <c r="P1353" s="116">
        <v>46.55</v>
      </c>
      <c r="Q1353" s="116">
        <v>47.2</v>
      </c>
      <c r="R1353">
        <v>36584</v>
      </c>
    </row>
    <row r="1354" spans="1:18" x14ac:dyDescent="0.25">
      <c r="A1354" s="169">
        <v>44034</v>
      </c>
      <c r="B1354" s="116">
        <v>57.4</v>
      </c>
      <c r="C1354" s="116">
        <v>56.1</v>
      </c>
      <c r="D1354" s="116">
        <v>54.2</v>
      </c>
      <c r="E1354" s="116">
        <v>56.65</v>
      </c>
      <c r="F1354" s="116">
        <v>56.1</v>
      </c>
      <c r="G1354">
        <v>4818</v>
      </c>
      <c r="H1354" s="116"/>
      <c r="I1354" s="116"/>
      <c r="L1354" s="169">
        <v>44004</v>
      </c>
      <c r="M1354" s="116">
        <v>51.2</v>
      </c>
      <c r="N1354" s="116">
        <v>53.7</v>
      </c>
      <c r="O1354" s="116">
        <v>45</v>
      </c>
      <c r="P1354" s="116">
        <v>48.8</v>
      </c>
      <c r="Q1354" s="116">
        <v>51.2</v>
      </c>
      <c r="R1354">
        <v>82027</v>
      </c>
    </row>
    <row r="1355" spans="1:18" x14ac:dyDescent="0.25">
      <c r="A1355" s="169">
        <v>44035</v>
      </c>
      <c r="B1355" s="116">
        <v>56.5</v>
      </c>
      <c r="C1355" s="116">
        <v>54.75</v>
      </c>
      <c r="D1355" s="116">
        <v>54.5</v>
      </c>
      <c r="E1355" s="116">
        <v>55</v>
      </c>
      <c r="F1355" s="116">
        <v>54.75</v>
      </c>
      <c r="G1355">
        <v>6003</v>
      </c>
      <c r="H1355" s="116"/>
      <c r="I1355" s="116"/>
      <c r="L1355" s="169">
        <v>44005</v>
      </c>
      <c r="M1355" s="116">
        <v>53.55</v>
      </c>
      <c r="N1355" s="116">
        <v>54.95</v>
      </c>
      <c r="O1355" s="116">
        <v>50.1</v>
      </c>
      <c r="P1355" s="116">
        <v>53.35</v>
      </c>
      <c r="Q1355" s="116">
        <v>53.55</v>
      </c>
      <c r="R1355">
        <v>59018</v>
      </c>
    </row>
    <row r="1356" spans="1:18" x14ac:dyDescent="0.25">
      <c r="A1356" s="169">
        <v>44036</v>
      </c>
      <c r="B1356" s="116">
        <v>55</v>
      </c>
      <c r="C1356" s="116">
        <v>52.2</v>
      </c>
      <c r="D1356" s="116">
        <v>51.85</v>
      </c>
      <c r="E1356" s="116">
        <v>54</v>
      </c>
      <c r="F1356" s="116">
        <v>52.2</v>
      </c>
      <c r="G1356">
        <v>11272</v>
      </c>
      <c r="H1356" s="116"/>
      <c r="I1356" s="116"/>
      <c r="L1356" s="169">
        <v>44006</v>
      </c>
      <c r="M1356" s="116">
        <v>53</v>
      </c>
      <c r="N1356" s="116">
        <v>55.85</v>
      </c>
      <c r="O1356" s="116">
        <v>52.45</v>
      </c>
      <c r="P1356" s="116">
        <v>55.85</v>
      </c>
      <c r="Q1356" s="116">
        <v>53</v>
      </c>
      <c r="R1356">
        <v>42241</v>
      </c>
    </row>
    <row r="1357" spans="1:18" x14ac:dyDescent="0.25">
      <c r="A1357" s="169">
        <v>44039</v>
      </c>
      <c r="B1357" s="116">
        <v>51.9</v>
      </c>
      <c r="C1357" s="116">
        <v>49.15</v>
      </c>
      <c r="D1357" s="116">
        <v>48.65</v>
      </c>
      <c r="E1357" s="116">
        <v>51.1</v>
      </c>
      <c r="F1357" s="116">
        <v>49.15</v>
      </c>
      <c r="G1357">
        <v>4229</v>
      </c>
      <c r="H1357" s="116"/>
      <c r="I1357" s="116"/>
      <c r="L1357" s="169">
        <v>44007</v>
      </c>
      <c r="M1357" s="116">
        <v>51.25</v>
      </c>
      <c r="N1357" s="116">
        <v>54.85</v>
      </c>
      <c r="O1357" s="116">
        <v>50.05</v>
      </c>
      <c r="P1357" s="116">
        <v>53</v>
      </c>
      <c r="Q1357" s="116">
        <v>51.25</v>
      </c>
      <c r="R1357">
        <v>26531</v>
      </c>
    </row>
    <row r="1358" spans="1:18" x14ac:dyDescent="0.25">
      <c r="A1358" s="169">
        <v>44040</v>
      </c>
      <c r="B1358" s="116">
        <v>52</v>
      </c>
      <c r="C1358" s="116">
        <v>49.1</v>
      </c>
      <c r="D1358" s="116">
        <v>48.15</v>
      </c>
      <c r="E1358" s="116">
        <v>48.65</v>
      </c>
      <c r="F1358" s="116">
        <v>49.1</v>
      </c>
      <c r="G1358">
        <v>10451</v>
      </c>
      <c r="H1358" s="116"/>
      <c r="I1358" s="116"/>
      <c r="L1358" s="169">
        <v>44008</v>
      </c>
      <c r="M1358" s="116">
        <v>53.65</v>
      </c>
      <c r="N1358" s="116">
        <v>54.3</v>
      </c>
      <c r="O1358" s="116">
        <v>50.65</v>
      </c>
      <c r="P1358" s="116">
        <v>52.25</v>
      </c>
      <c r="Q1358" s="116">
        <v>53.65</v>
      </c>
      <c r="R1358">
        <v>41122</v>
      </c>
    </row>
    <row r="1359" spans="1:18" x14ac:dyDescent="0.25">
      <c r="A1359" s="169">
        <v>44041</v>
      </c>
      <c r="B1359" s="116">
        <v>50.6</v>
      </c>
      <c r="C1359" s="116">
        <v>49.15</v>
      </c>
      <c r="D1359" s="116">
        <v>49</v>
      </c>
      <c r="E1359" s="116">
        <v>49.85</v>
      </c>
      <c r="F1359" s="116">
        <v>49.15</v>
      </c>
      <c r="G1359">
        <v>6626</v>
      </c>
      <c r="H1359" s="116"/>
      <c r="I1359" s="116"/>
      <c r="L1359" s="169">
        <v>44011</v>
      </c>
      <c r="M1359" s="116">
        <v>51.25</v>
      </c>
      <c r="N1359" s="116">
        <v>53.7</v>
      </c>
      <c r="O1359" s="116">
        <v>51</v>
      </c>
      <c r="P1359" s="116">
        <v>53.7</v>
      </c>
      <c r="Q1359" s="116">
        <v>51.25</v>
      </c>
      <c r="R1359">
        <v>6063</v>
      </c>
    </row>
    <row r="1360" spans="1:18" x14ac:dyDescent="0.25">
      <c r="A1360" s="169">
        <v>44042</v>
      </c>
      <c r="B1360" s="116">
        <v>49.65</v>
      </c>
      <c r="C1360" s="116">
        <v>48.15</v>
      </c>
      <c r="D1360" s="116">
        <v>48.15</v>
      </c>
      <c r="E1360" s="116">
        <v>49.65</v>
      </c>
      <c r="F1360" s="116">
        <v>48.15</v>
      </c>
      <c r="G1360">
        <v>7206</v>
      </c>
      <c r="H1360" s="116"/>
      <c r="I1360" s="116"/>
      <c r="L1360" s="169">
        <v>44012</v>
      </c>
      <c r="M1360" s="116">
        <v>48.45</v>
      </c>
      <c r="N1360" s="116">
        <v>51.25</v>
      </c>
      <c r="O1360" s="116">
        <v>47.15</v>
      </c>
      <c r="P1360" s="116">
        <v>51.25</v>
      </c>
      <c r="Q1360" s="116">
        <v>48.45</v>
      </c>
      <c r="R1360">
        <v>16093</v>
      </c>
    </row>
    <row r="1361" spans="1:18" x14ac:dyDescent="0.25">
      <c r="A1361" s="169">
        <v>44043</v>
      </c>
      <c r="B1361" s="116">
        <v>50.15</v>
      </c>
      <c r="C1361" s="116">
        <v>48.95</v>
      </c>
      <c r="D1361" s="116">
        <v>47.75</v>
      </c>
      <c r="E1361" s="116">
        <v>48.5</v>
      </c>
      <c r="F1361" s="116">
        <v>48.95</v>
      </c>
      <c r="G1361">
        <v>2028</v>
      </c>
      <c r="H1361" s="116"/>
      <c r="I1361" s="116"/>
      <c r="L1361" s="169">
        <v>44013</v>
      </c>
      <c r="M1361" s="116">
        <v>48.95</v>
      </c>
      <c r="N1361" s="116">
        <v>49.7</v>
      </c>
      <c r="O1361" s="116">
        <v>46.25</v>
      </c>
      <c r="P1361" s="116">
        <v>48.05</v>
      </c>
      <c r="Q1361" s="116">
        <v>48.95</v>
      </c>
      <c r="R1361">
        <v>11059</v>
      </c>
    </row>
    <row r="1362" spans="1:18" x14ac:dyDescent="0.25">
      <c r="A1362" s="169">
        <v>44046</v>
      </c>
      <c r="B1362" s="116">
        <v>49.65</v>
      </c>
      <c r="C1362" s="116">
        <v>48.9</v>
      </c>
      <c r="D1362" s="116">
        <v>48.4</v>
      </c>
      <c r="E1362" s="116">
        <v>48.9</v>
      </c>
      <c r="F1362" s="116">
        <v>48.9</v>
      </c>
      <c r="G1362">
        <v>2446</v>
      </c>
      <c r="H1362" s="116"/>
      <c r="I1362" s="116"/>
      <c r="L1362" s="169">
        <v>44014</v>
      </c>
      <c r="M1362" s="116">
        <v>48.45</v>
      </c>
      <c r="N1362" s="116">
        <v>49.2</v>
      </c>
      <c r="O1362" s="116">
        <v>47.6</v>
      </c>
      <c r="P1362" s="116">
        <v>48</v>
      </c>
      <c r="Q1362" s="116">
        <v>48.45</v>
      </c>
      <c r="R1362">
        <v>9245</v>
      </c>
    </row>
    <row r="1363" spans="1:18" x14ac:dyDescent="0.25">
      <c r="A1363" s="169">
        <v>44047</v>
      </c>
      <c r="B1363" s="116">
        <v>49.65</v>
      </c>
      <c r="C1363" s="116">
        <v>49</v>
      </c>
      <c r="D1363" s="116">
        <v>47.75</v>
      </c>
      <c r="E1363" s="116">
        <v>48.8</v>
      </c>
      <c r="F1363" s="116">
        <v>49</v>
      </c>
      <c r="G1363">
        <v>4624</v>
      </c>
      <c r="H1363" s="116"/>
      <c r="I1363" s="116"/>
      <c r="L1363" s="169">
        <v>44015</v>
      </c>
      <c r="M1363" s="116">
        <v>47.6</v>
      </c>
      <c r="N1363" s="116">
        <v>50.85</v>
      </c>
      <c r="O1363" s="116">
        <v>47.45</v>
      </c>
      <c r="P1363" s="116">
        <v>50.85</v>
      </c>
      <c r="Q1363" s="116">
        <v>47.6</v>
      </c>
      <c r="R1363">
        <v>14382</v>
      </c>
    </row>
    <row r="1364" spans="1:18" x14ac:dyDescent="0.25">
      <c r="A1364" s="169">
        <v>44048</v>
      </c>
      <c r="B1364" s="116">
        <v>50.3</v>
      </c>
      <c r="C1364" s="116">
        <v>48.3</v>
      </c>
      <c r="D1364" s="116">
        <v>47.95</v>
      </c>
      <c r="E1364" s="116">
        <v>48.8</v>
      </c>
      <c r="F1364" s="116">
        <v>48.3</v>
      </c>
      <c r="G1364">
        <v>3756</v>
      </c>
      <c r="H1364" s="116"/>
      <c r="I1364" s="116"/>
      <c r="L1364" s="169">
        <v>44018</v>
      </c>
      <c r="M1364" s="116">
        <v>47.55</v>
      </c>
      <c r="N1364" s="116">
        <v>48.05</v>
      </c>
      <c r="O1364" s="116">
        <v>46.35</v>
      </c>
      <c r="P1364" s="116">
        <v>48.05</v>
      </c>
      <c r="Q1364" s="116">
        <v>47.55</v>
      </c>
      <c r="R1364">
        <v>12039</v>
      </c>
    </row>
    <row r="1365" spans="1:18" x14ac:dyDescent="0.25">
      <c r="A1365" s="169">
        <v>44049</v>
      </c>
      <c r="B1365" s="116">
        <v>50.3</v>
      </c>
      <c r="C1365" s="116">
        <v>48.25</v>
      </c>
      <c r="D1365" s="116">
        <v>48.05</v>
      </c>
      <c r="E1365" s="116">
        <v>50.3</v>
      </c>
      <c r="F1365" s="116">
        <v>48.25</v>
      </c>
      <c r="G1365">
        <v>2465</v>
      </c>
      <c r="H1365" s="116"/>
      <c r="I1365" s="116"/>
      <c r="L1365" s="169">
        <v>44019</v>
      </c>
      <c r="M1365" s="116">
        <v>48.2</v>
      </c>
      <c r="N1365" s="116">
        <v>50.7</v>
      </c>
      <c r="O1365" s="116">
        <v>45.55</v>
      </c>
      <c r="P1365" s="116">
        <v>49</v>
      </c>
      <c r="Q1365" s="116">
        <v>48.2</v>
      </c>
      <c r="R1365">
        <v>40724</v>
      </c>
    </row>
    <row r="1366" spans="1:18" x14ac:dyDescent="0.25">
      <c r="A1366" s="169">
        <v>44050</v>
      </c>
      <c r="B1366" s="116">
        <v>48.7</v>
      </c>
      <c r="C1366" s="116">
        <v>48</v>
      </c>
      <c r="D1366" s="116">
        <v>47.65</v>
      </c>
      <c r="E1366" s="116">
        <v>48.7</v>
      </c>
      <c r="F1366" s="116">
        <v>48</v>
      </c>
      <c r="G1366">
        <v>970</v>
      </c>
      <c r="H1366" s="116"/>
      <c r="I1366" s="116"/>
      <c r="L1366" s="169">
        <v>44020</v>
      </c>
      <c r="M1366" s="116">
        <v>47.25</v>
      </c>
      <c r="N1366" s="116">
        <v>49</v>
      </c>
      <c r="O1366" s="116">
        <v>46.3</v>
      </c>
      <c r="P1366" s="116">
        <v>47.5</v>
      </c>
      <c r="Q1366" s="116">
        <v>47.25</v>
      </c>
      <c r="R1366">
        <v>6264</v>
      </c>
    </row>
    <row r="1367" spans="1:18" x14ac:dyDescent="0.25">
      <c r="A1367" s="169">
        <v>44053</v>
      </c>
      <c r="B1367" s="116">
        <v>49.05</v>
      </c>
      <c r="C1367" s="116">
        <v>48.35</v>
      </c>
      <c r="D1367" s="116">
        <v>47.65</v>
      </c>
      <c r="E1367" s="116">
        <v>48.2</v>
      </c>
      <c r="F1367" s="116">
        <v>48.35</v>
      </c>
      <c r="G1367">
        <v>980</v>
      </c>
      <c r="H1367" s="116"/>
      <c r="I1367" s="116"/>
      <c r="L1367" s="169">
        <v>44021</v>
      </c>
      <c r="M1367" s="116">
        <v>46.2</v>
      </c>
      <c r="N1367" s="116">
        <v>48.95</v>
      </c>
      <c r="O1367" s="116">
        <v>45.1</v>
      </c>
      <c r="P1367" s="116">
        <v>47.05</v>
      </c>
      <c r="Q1367" s="116">
        <v>46.2</v>
      </c>
      <c r="R1367">
        <v>9923</v>
      </c>
    </row>
    <row r="1368" spans="1:18" x14ac:dyDescent="0.25">
      <c r="A1368" s="169">
        <v>44054</v>
      </c>
      <c r="B1368" s="116">
        <v>48.65</v>
      </c>
      <c r="C1368" s="116">
        <v>46.85</v>
      </c>
      <c r="D1368" s="116">
        <v>46.5</v>
      </c>
      <c r="E1368" s="116">
        <v>48.65</v>
      </c>
      <c r="F1368" s="116">
        <v>46.85</v>
      </c>
      <c r="G1368">
        <v>4199</v>
      </c>
      <c r="H1368" s="116"/>
      <c r="I1368" s="116"/>
      <c r="L1368" s="169">
        <v>44022</v>
      </c>
      <c r="M1368" s="116">
        <v>45.9</v>
      </c>
      <c r="N1368" s="116">
        <v>46.5</v>
      </c>
      <c r="O1368" s="116">
        <v>44.6</v>
      </c>
      <c r="P1368" s="116">
        <v>46.05</v>
      </c>
      <c r="Q1368" s="116">
        <v>45.9</v>
      </c>
      <c r="R1368">
        <v>1940</v>
      </c>
    </row>
    <row r="1369" spans="1:18" x14ac:dyDescent="0.25">
      <c r="A1369" s="169">
        <v>44055</v>
      </c>
      <c r="B1369" s="116">
        <v>51.1</v>
      </c>
      <c r="C1369" s="116">
        <v>48.55</v>
      </c>
      <c r="D1369" s="116">
        <v>46</v>
      </c>
      <c r="E1369" s="116">
        <v>46</v>
      </c>
      <c r="F1369" s="116">
        <v>48.55</v>
      </c>
      <c r="G1369">
        <v>3631</v>
      </c>
      <c r="H1369" s="116"/>
      <c r="I1369" s="116"/>
      <c r="L1369" s="169">
        <v>44025</v>
      </c>
      <c r="M1369" s="116">
        <v>46.05</v>
      </c>
      <c r="N1369" s="116">
        <v>46.95</v>
      </c>
      <c r="O1369" s="116">
        <v>45.15</v>
      </c>
      <c r="P1369" s="116">
        <v>45.85</v>
      </c>
      <c r="Q1369" s="116">
        <v>46.05</v>
      </c>
      <c r="R1369">
        <v>6175</v>
      </c>
    </row>
    <row r="1370" spans="1:18" x14ac:dyDescent="0.25">
      <c r="A1370" s="169">
        <v>44056</v>
      </c>
      <c r="B1370" s="116">
        <v>50</v>
      </c>
      <c r="C1370" s="116">
        <v>49.25</v>
      </c>
      <c r="D1370" s="116">
        <v>48.15</v>
      </c>
      <c r="E1370" s="116">
        <v>48.4</v>
      </c>
      <c r="F1370" s="116">
        <v>49.25</v>
      </c>
      <c r="G1370">
        <v>10842</v>
      </c>
      <c r="H1370" s="116"/>
      <c r="I1370" s="116"/>
      <c r="L1370" s="169">
        <v>44026</v>
      </c>
      <c r="M1370" s="116">
        <v>45.3</v>
      </c>
      <c r="N1370" s="116">
        <v>47.4</v>
      </c>
      <c r="O1370" s="116">
        <v>45</v>
      </c>
      <c r="P1370" s="116">
        <v>45.25</v>
      </c>
      <c r="Q1370" s="116">
        <v>45.3</v>
      </c>
      <c r="R1370">
        <v>12559</v>
      </c>
    </row>
    <row r="1371" spans="1:18" x14ac:dyDescent="0.25">
      <c r="A1371" s="169">
        <v>44057</v>
      </c>
      <c r="B1371" s="116">
        <v>50.8</v>
      </c>
      <c r="C1371" s="116">
        <v>49.35</v>
      </c>
      <c r="D1371" s="116">
        <v>47.75</v>
      </c>
      <c r="E1371" s="116">
        <v>49</v>
      </c>
      <c r="F1371" s="116">
        <v>49.35</v>
      </c>
      <c r="G1371">
        <v>15569</v>
      </c>
      <c r="H1371" s="116"/>
      <c r="I1371" s="116"/>
      <c r="L1371" s="169">
        <v>44027</v>
      </c>
      <c r="M1371" s="116">
        <v>54.35</v>
      </c>
      <c r="N1371" s="116">
        <v>54.35</v>
      </c>
      <c r="O1371" s="116">
        <v>43.3</v>
      </c>
      <c r="P1371" s="116">
        <v>43.3</v>
      </c>
      <c r="Q1371" s="116">
        <v>54.35</v>
      </c>
      <c r="R1371">
        <v>375161</v>
      </c>
    </row>
    <row r="1372" spans="1:18" x14ac:dyDescent="0.25">
      <c r="A1372" s="169">
        <v>44060</v>
      </c>
      <c r="B1372" s="116">
        <v>50.25</v>
      </c>
      <c r="C1372" s="116">
        <v>48.85</v>
      </c>
      <c r="D1372" s="116">
        <v>46.1</v>
      </c>
      <c r="E1372" s="116">
        <v>48.6</v>
      </c>
      <c r="F1372" s="116">
        <v>48.85</v>
      </c>
      <c r="G1372">
        <v>2525</v>
      </c>
      <c r="H1372" s="116"/>
      <c r="I1372" s="116"/>
      <c r="L1372" s="169">
        <v>44028</v>
      </c>
      <c r="M1372" s="116">
        <v>64.75</v>
      </c>
      <c r="N1372" s="116">
        <v>65.2</v>
      </c>
      <c r="O1372" s="116">
        <v>55.4</v>
      </c>
      <c r="P1372" s="116">
        <v>57.8</v>
      </c>
      <c r="Q1372" s="116">
        <v>64.75</v>
      </c>
      <c r="R1372">
        <v>789709</v>
      </c>
    </row>
    <row r="1373" spans="1:18" x14ac:dyDescent="0.25">
      <c r="A1373" s="169">
        <v>44061</v>
      </c>
      <c r="B1373" s="116">
        <v>49.2</v>
      </c>
      <c r="C1373" s="116">
        <v>48.3</v>
      </c>
      <c r="D1373" s="116">
        <v>48.3</v>
      </c>
      <c r="E1373" s="116">
        <v>48.95</v>
      </c>
      <c r="F1373" s="116">
        <v>48.3</v>
      </c>
      <c r="G1373">
        <v>1781</v>
      </c>
      <c r="H1373" s="116"/>
      <c r="I1373" s="116"/>
      <c r="L1373" s="169">
        <v>44029</v>
      </c>
      <c r="M1373" s="116">
        <v>58.7</v>
      </c>
      <c r="N1373" s="116">
        <v>64.5</v>
      </c>
      <c r="O1373" s="116">
        <v>58.3</v>
      </c>
      <c r="P1373" s="116">
        <v>64.5</v>
      </c>
      <c r="Q1373" s="116">
        <v>58.7</v>
      </c>
      <c r="R1373">
        <v>470589</v>
      </c>
    </row>
    <row r="1374" spans="1:18" x14ac:dyDescent="0.25">
      <c r="A1374" s="169">
        <v>44062</v>
      </c>
      <c r="B1374" s="116">
        <v>52.55</v>
      </c>
      <c r="C1374" s="116">
        <v>51.9</v>
      </c>
      <c r="D1374" s="116">
        <v>48.85</v>
      </c>
      <c r="E1374" s="116">
        <v>48.85</v>
      </c>
      <c r="F1374" s="116">
        <v>51.9</v>
      </c>
      <c r="G1374">
        <v>5063</v>
      </c>
      <c r="H1374" s="116"/>
      <c r="I1374" s="116"/>
      <c r="L1374" s="169">
        <v>44032</v>
      </c>
      <c r="M1374" s="116">
        <v>57.15</v>
      </c>
      <c r="N1374" s="116">
        <v>60.85</v>
      </c>
      <c r="O1374" s="116">
        <v>55.35</v>
      </c>
      <c r="P1374" s="116">
        <v>56.95</v>
      </c>
      <c r="Q1374" s="116">
        <v>57.15</v>
      </c>
      <c r="R1374">
        <v>83106</v>
      </c>
    </row>
    <row r="1375" spans="1:18" x14ac:dyDescent="0.25">
      <c r="A1375" s="169">
        <v>44063</v>
      </c>
      <c r="B1375" s="116">
        <v>57</v>
      </c>
      <c r="C1375" s="116">
        <v>56.4</v>
      </c>
      <c r="D1375" s="116">
        <v>51</v>
      </c>
      <c r="E1375" s="116">
        <v>53.2</v>
      </c>
      <c r="F1375" s="116">
        <v>56.4</v>
      </c>
      <c r="G1375">
        <v>15537</v>
      </c>
      <c r="H1375" s="116"/>
      <c r="I1375" s="116"/>
      <c r="L1375" s="169">
        <v>44033</v>
      </c>
      <c r="M1375" s="116">
        <v>55.75</v>
      </c>
      <c r="N1375" s="116">
        <v>58</v>
      </c>
      <c r="O1375" s="116">
        <v>54.5</v>
      </c>
      <c r="P1375" s="116">
        <v>54.5</v>
      </c>
      <c r="Q1375" s="116">
        <v>55.75</v>
      </c>
      <c r="R1375">
        <v>72991</v>
      </c>
    </row>
    <row r="1376" spans="1:18" x14ac:dyDescent="0.25">
      <c r="A1376" s="169">
        <v>44064</v>
      </c>
      <c r="B1376" s="116">
        <v>57.55</v>
      </c>
      <c r="C1376" s="116">
        <v>57.05</v>
      </c>
      <c r="D1376" s="116">
        <v>54.05</v>
      </c>
      <c r="E1376" s="116">
        <v>57</v>
      </c>
      <c r="F1376" s="116">
        <v>57.05</v>
      </c>
      <c r="G1376">
        <v>21381</v>
      </c>
      <c r="H1376" s="116"/>
      <c r="I1376" s="116"/>
      <c r="L1376" s="169">
        <v>44034</v>
      </c>
      <c r="M1376" s="116">
        <v>55.85</v>
      </c>
      <c r="N1376" s="116">
        <v>57.35</v>
      </c>
      <c r="O1376" s="116">
        <v>54</v>
      </c>
      <c r="P1376" s="116">
        <v>56.45</v>
      </c>
      <c r="Q1376" s="116">
        <v>55.85</v>
      </c>
      <c r="R1376">
        <v>92794</v>
      </c>
    </row>
    <row r="1377" spans="1:18" x14ac:dyDescent="0.25">
      <c r="A1377" s="169">
        <v>44067</v>
      </c>
      <c r="B1377" s="116">
        <v>58.05</v>
      </c>
      <c r="C1377" s="116">
        <v>55.7</v>
      </c>
      <c r="D1377" s="116">
        <v>55.5</v>
      </c>
      <c r="E1377" s="116">
        <v>56.55</v>
      </c>
      <c r="F1377" s="116">
        <v>55.7</v>
      </c>
      <c r="G1377">
        <v>6981</v>
      </c>
      <c r="H1377" s="116"/>
      <c r="I1377" s="116"/>
      <c r="L1377" s="169">
        <v>44035</v>
      </c>
      <c r="M1377" s="116">
        <v>54.85</v>
      </c>
      <c r="N1377" s="116">
        <v>56.95</v>
      </c>
      <c r="O1377" s="116">
        <v>54.3</v>
      </c>
      <c r="P1377" s="116">
        <v>55</v>
      </c>
      <c r="Q1377" s="116">
        <v>54.85</v>
      </c>
      <c r="R1377">
        <v>19531</v>
      </c>
    </row>
    <row r="1378" spans="1:18" x14ac:dyDescent="0.25">
      <c r="A1378" s="169">
        <v>44068</v>
      </c>
      <c r="B1378" s="116">
        <v>56.25</v>
      </c>
      <c r="C1378" s="116">
        <v>54.1</v>
      </c>
      <c r="D1378" s="116">
        <v>53.55</v>
      </c>
      <c r="E1378" s="116">
        <v>55.9</v>
      </c>
      <c r="F1378" s="116">
        <v>54.1</v>
      </c>
      <c r="G1378">
        <v>9703</v>
      </c>
      <c r="H1378" s="116"/>
      <c r="I1378" s="116"/>
      <c r="L1378" s="169">
        <v>44036</v>
      </c>
      <c r="M1378" s="116">
        <v>52.15</v>
      </c>
      <c r="N1378" s="116">
        <v>55.85</v>
      </c>
      <c r="O1378" s="116">
        <v>51.15</v>
      </c>
      <c r="P1378" s="116">
        <v>53.5</v>
      </c>
      <c r="Q1378" s="116">
        <v>52.15</v>
      </c>
      <c r="R1378">
        <v>53562</v>
      </c>
    </row>
    <row r="1379" spans="1:18" x14ac:dyDescent="0.25">
      <c r="A1379" s="169">
        <v>44069</v>
      </c>
      <c r="B1379" s="116">
        <v>55.9</v>
      </c>
      <c r="C1379" s="116">
        <v>53.15</v>
      </c>
      <c r="D1379" s="116">
        <v>53</v>
      </c>
      <c r="E1379" s="116">
        <v>54.05</v>
      </c>
      <c r="F1379" s="116">
        <v>53.15</v>
      </c>
      <c r="G1379">
        <v>1802</v>
      </c>
      <c r="H1379" s="116"/>
      <c r="I1379" s="116"/>
      <c r="L1379" s="169">
        <v>44039</v>
      </c>
      <c r="M1379" s="116">
        <v>49.1</v>
      </c>
      <c r="N1379" s="116">
        <v>53.85</v>
      </c>
      <c r="O1379" s="116">
        <v>48.55</v>
      </c>
      <c r="P1379" s="116">
        <v>52.15</v>
      </c>
      <c r="Q1379" s="116">
        <v>49.1</v>
      </c>
      <c r="R1379">
        <v>53772</v>
      </c>
    </row>
    <row r="1380" spans="1:18" x14ac:dyDescent="0.25">
      <c r="A1380" s="169">
        <v>44070</v>
      </c>
      <c r="B1380" s="116">
        <v>58.45</v>
      </c>
      <c r="C1380" s="116">
        <v>58.3</v>
      </c>
      <c r="D1380" s="116">
        <v>54.35</v>
      </c>
      <c r="E1380" s="116">
        <v>54.7</v>
      </c>
      <c r="F1380" s="116">
        <v>58.3</v>
      </c>
      <c r="G1380">
        <v>13829</v>
      </c>
      <c r="H1380" s="116"/>
      <c r="I1380" s="116"/>
      <c r="L1380" s="169">
        <v>44040</v>
      </c>
      <c r="M1380" s="116">
        <v>48.7</v>
      </c>
      <c r="N1380" s="116">
        <v>51.8</v>
      </c>
      <c r="O1380" s="116">
        <v>47.4</v>
      </c>
      <c r="P1380" s="116">
        <v>49.5</v>
      </c>
      <c r="Q1380" s="116">
        <v>48.7</v>
      </c>
      <c r="R1380">
        <v>71177</v>
      </c>
    </row>
    <row r="1381" spans="1:18" x14ac:dyDescent="0.25">
      <c r="A1381" s="169">
        <v>44071</v>
      </c>
      <c r="B1381" s="116">
        <v>57.65</v>
      </c>
      <c r="C1381" s="116">
        <v>56.3</v>
      </c>
      <c r="D1381" s="116">
        <v>55.9</v>
      </c>
      <c r="E1381" s="116">
        <v>57.65</v>
      </c>
      <c r="F1381" s="116">
        <v>56.3</v>
      </c>
      <c r="G1381">
        <v>2301</v>
      </c>
      <c r="H1381" s="116"/>
      <c r="I1381" s="116"/>
      <c r="L1381" s="169">
        <v>44041</v>
      </c>
      <c r="M1381" s="116">
        <v>49.25</v>
      </c>
      <c r="N1381" s="116">
        <v>51</v>
      </c>
      <c r="O1381" s="116">
        <v>48.7</v>
      </c>
      <c r="P1381" s="116">
        <v>51</v>
      </c>
      <c r="Q1381" s="116">
        <v>49.25</v>
      </c>
      <c r="R1381">
        <v>29702</v>
      </c>
    </row>
    <row r="1382" spans="1:18" x14ac:dyDescent="0.25">
      <c r="A1382" s="169">
        <v>44074</v>
      </c>
      <c r="B1382" s="116">
        <v>58.4</v>
      </c>
      <c r="C1382" s="116">
        <v>52</v>
      </c>
      <c r="D1382" s="116">
        <v>51.6</v>
      </c>
      <c r="E1382" s="116">
        <v>51.6</v>
      </c>
      <c r="F1382" s="116">
        <v>52</v>
      </c>
      <c r="G1382">
        <v>9797</v>
      </c>
      <c r="H1382" s="116"/>
      <c r="I1382" s="116"/>
      <c r="L1382" s="169">
        <v>44042</v>
      </c>
      <c r="M1382" s="116">
        <v>48.6</v>
      </c>
      <c r="N1382" s="116">
        <v>50</v>
      </c>
      <c r="O1382" s="116">
        <v>48.1</v>
      </c>
      <c r="P1382" s="116">
        <v>48.45</v>
      </c>
      <c r="Q1382" s="116">
        <v>48.6</v>
      </c>
      <c r="R1382">
        <v>16330</v>
      </c>
    </row>
    <row r="1383" spans="1:18" x14ac:dyDescent="0.25">
      <c r="A1383" s="169">
        <v>44075</v>
      </c>
      <c r="B1383" s="116">
        <v>52</v>
      </c>
      <c r="C1383" s="116">
        <v>51.6</v>
      </c>
      <c r="D1383" s="116">
        <v>50</v>
      </c>
      <c r="E1383" s="116">
        <v>51.3</v>
      </c>
      <c r="F1383" s="116">
        <v>51.6</v>
      </c>
      <c r="G1383">
        <v>1507</v>
      </c>
      <c r="H1383" s="116"/>
      <c r="I1383" s="116"/>
      <c r="L1383" s="169">
        <v>44043</v>
      </c>
      <c r="M1383" s="116">
        <v>49.9</v>
      </c>
      <c r="N1383" s="116">
        <v>51</v>
      </c>
      <c r="O1383" s="116">
        <v>47.05</v>
      </c>
      <c r="P1383" s="116">
        <v>49.9</v>
      </c>
      <c r="Q1383" s="116">
        <v>49.9</v>
      </c>
      <c r="R1383">
        <v>18407</v>
      </c>
    </row>
    <row r="1384" spans="1:18" x14ac:dyDescent="0.25">
      <c r="A1384" s="169">
        <v>44076</v>
      </c>
      <c r="B1384" s="116">
        <v>55.95</v>
      </c>
      <c r="C1384" s="116">
        <v>52.5</v>
      </c>
      <c r="D1384" s="116">
        <v>51</v>
      </c>
      <c r="E1384" s="116">
        <v>55.95</v>
      </c>
      <c r="F1384" s="116">
        <v>52.5</v>
      </c>
      <c r="G1384">
        <v>5161</v>
      </c>
      <c r="H1384" s="116"/>
      <c r="I1384" s="116"/>
      <c r="L1384" s="169">
        <v>44046</v>
      </c>
      <c r="M1384" s="116">
        <v>48.8</v>
      </c>
      <c r="N1384" s="116">
        <v>50.5</v>
      </c>
      <c r="O1384" s="116">
        <v>48.15</v>
      </c>
      <c r="P1384" s="116">
        <v>49.9</v>
      </c>
      <c r="Q1384" s="116">
        <v>48.8</v>
      </c>
      <c r="R1384">
        <v>6680</v>
      </c>
    </row>
    <row r="1385" spans="1:18" x14ac:dyDescent="0.25">
      <c r="A1385" s="169">
        <v>44077</v>
      </c>
      <c r="B1385" s="116">
        <v>53</v>
      </c>
      <c r="C1385" s="116">
        <v>52</v>
      </c>
      <c r="D1385" s="116">
        <v>50.1</v>
      </c>
      <c r="E1385" s="116">
        <v>51.3</v>
      </c>
      <c r="F1385" s="116">
        <v>52</v>
      </c>
      <c r="G1385">
        <v>1122</v>
      </c>
      <c r="H1385" s="116"/>
      <c r="I1385" s="116"/>
      <c r="L1385" s="169">
        <v>44047</v>
      </c>
      <c r="M1385" s="116">
        <v>48.55</v>
      </c>
      <c r="N1385" s="116">
        <v>50</v>
      </c>
      <c r="O1385" s="116">
        <v>48.3</v>
      </c>
      <c r="P1385" s="116">
        <v>48.45</v>
      </c>
      <c r="Q1385" s="116">
        <v>48.55</v>
      </c>
      <c r="R1385">
        <v>12993</v>
      </c>
    </row>
    <row r="1386" spans="1:18" x14ac:dyDescent="0.25">
      <c r="A1386" s="169">
        <v>44078</v>
      </c>
      <c r="B1386" s="116">
        <v>52.15</v>
      </c>
      <c r="C1386" s="116">
        <v>50.55</v>
      </c>
      <c r="D1386" s="116">
        <v>49.1</v>
      </c>
      <c r="E1386" s="116">
        <v>50</v>
      </c>
      <c r="F1386" s="116">
        <v>50.55</v>
      </c>
      <c r="G1386">
        <v>717</v>
      </c>
      <c r="H1386" s="116"/>
      <c r="I1386" s="116"/>
      <c r="L1386" s="169">
        <v>44048</v>
      </c>
      <c r="M1386" s="116">
        <v>48.8</v>
      </c>
      <c r="N1386" s="116">
        <v>49.95</v>
      </c>
      <c r="O1386" s="116">
        <v>47.7</v>
      </c>
      <c r="P1386" s="116">
        <v>47.7</v>
      </c>
      <c r="Q1386" s="116">
        <v>48.8</v>
      </c>
      <c r="R1386">
        <v>14221</v>
      </c>
    </row>
    <row r="1387" spans="1:18" x14ac:dyDescent="0.25">
      <c r="A1387" s="169">
        <v>44081</v>
      </c>
      <c r="B1387" s="116">
        <v>49.4</v>
      </c>
      <c r="C1387" s="116">
        <v>49.4</v>
      </c>
      <c r="D1387" s="116">
        <v>49.2</v>
      </c>
      <c r="E1387" s="116">
        <v>49.2</v>
      </c>
      <c r="F1387" s="116">
        <v>49.4</v>
      </c>
      <c r="G1387">
        <v>71</v>
      </c>
      <c r="H1387" s="116"/>
      <c r="I1387" s="116"/>
      <c r="L1387" s="169">
        <v>44049</v>
      </c>
      <c r="M1387" s="116">
        <v>48.55</v>
      </c>
      <c r="N1387" s="116">
        <v>49.4</v>
      </c>
      <c r="O1387" s="116">
        <v>48</v>
      </c>
      <c r="P1387" s="116">
        <v>48.55</v>
      </c>
      <c r="Q1387" s="116">
        <v>48.55</v>
      </c>
      <c r="R1387">
        <v>6211</v>
      </c>
    </row>
    <row r="1388" spans="1:18" x14ac:dyDescent="0.25">
      <c r="A1388" s="169">
        <v>44082</v>
      </c>
      <c r="B1388" s="116">
        <v>50.05</v>
      </c>
      <c r="C1388" s="116">
        <v>47.8</v>
      </c>
      <c r="D1388" s="116">
        <v>47.8</v>
      </c>
      <c r="E1388" s="116">
        <v>50.05</v>
      </c>
      <c r="F1388" s="116">
        <v>47.8</v>
      </c>
      <c r="G1388">
        <v>8784</v>
      </c>
      <c r="H1388" s="116"/>
      <c r="I1388" s="116"/>
      <c r="L1388" s="169">
        <v>44050</v>
      </c>
      <c r="M1388" s="116">
        <v>48.1</v>
      </c>
      <c r="N1388" s="116">
        <v>49.15</v>
      </c>
      <c r="O1388" s="116">
        <v>47.2</v>
      </c>
      <c r="P1388" s="116">
        <v>47.2</v>
      </c>
      <c r="Q1388" s="116">
        <v>48.1</v>
      </c>
      <c r="R1388">
        <v>5241</v>
      </c>
    </row>
    <row r="1389" spans="1:18" x14ac:dyDescent="0.25">
      <c r="A1389" s="169">
        <v>44083</v>
      </c>
      <c r="B1389" s="116">
        <v>48</v>
      </c>
      <c r="C1389" s="116">
        <v>47.9</v>
      </c>
      <c r="D1389" s="116">
        <v>47.3</v>
      </c>
      <c r="E1389" s="116">
        <v>47.8</v>
      </c>
      <c r="F1389" s="116">
        <v>47.9</v>
      </c>
      <c r="G1389">
        <v>4141</v>
      </c>
      <c r="H1389" s="116"/>
      <c r="I1389" s="116"/>
      <c r="L1389" s="169">
        <v>44053</v>
      </c>
      <c r="M1389" s="116">
        <v>48.3</v>
      </c>
      <c r="N1389" s="116">
        <v>50</v>
      </c>
      <c r="O1389" s="116">
        <v>47.3</v>
      </c>
      <c r="P1389" s="116">
        <v>49.75</v>
      </c>
      <c r="Q1389" s="116">
        <v>48.3</v>
      </c>
      <c r="R1389">
        <v>18510</v>
      </c>
    </row>
    <row r="1390" spans="1:18" x14ac:dyDescent="0.25">
      <c r="A1390" s="169">
        <v>44084</v>
      </c>
      <c r="B1390" s="116">
        <v>49.2</v>
      </c>
      <c r="C1390" s="116">
        <v>48.2</v>
      </c>
      <c r="D1390" s="116">
        <v>47.5</v>
      </c>
      <c r="E1390" s="116">
        <v>48.2</v>
      </c>
      <c r="F1390" s="116">
        <v>48.2</v>
      </c>
      <c r="G1390">
        <v>361</v>
      </c>
      <c r="H1390" s="116"/>
      <c r="I1390" s="116"/>
      <c r="L1390" s="169">
        <v>44054</v>
      </c>
      <c r="M1390" s="116">
        <v>46.6</v>
      </c>
      <c r="N1390" s="116">
        <v>48.7</v>
      </c>
      <c r="O1390" s="116">
        <v>46.25</v>
      </c>
      <c r="P1390" s="116">
        <v>48.65</v>
      </c>
      <c r="Q1390" s="116">
        <v>46.6</v>
      </c>
      <c r="R1390">
        <v>35082</v>
      </c>
    </row>
    <row r="1391" spans="1:18" x14ac:dyDescent="0.25">
      <c r="A1391" s="169">
        <v>44085</v>
      </c>
      <c r="B1391" s="116">
        <v>49.1</v>
      </c>
      <c r="C1391" s="116">
        <v>49</v>
      </c>
      <c r="D1391" s="116">
        <v>48.2</v>
      </c>
      <c r="E1391" s="116">
        <v>49.1</v>
      </c>
      <c r="F1391" s="116">
        <v>49</v>
      </c>
      <c r="G1391">
        <v>465</v>
      </c>
      <c r="H1391" s="116"/>
      <c r="I1391" s="116"/>
      <c r="L1391" s="169">
        <v>44055</v>
      </c>
      <c r="M1391" s="116">
        <v>48.5</v>
      </c>
      <c r="N1391" s="116">
        <v>51</v>
      </c>
      <c r="O1391" s="116">
        <v>46.35</v>
      </c>
      <c r="P1391" s="116">
        <v>47</v>
      </c>
      <c r="Q1391" s="116">
        <v>48.5</v>
      </c>
      <c r="R1391">
        <v>38365</v>
      </c>
    </row>
    <row r="1392" spans="1:18" x14ac:dyDescent="0.25">
      <c r="A1392" s="169">
        <v>44088</v>
      </c>
      <c r="B1392" s="116">
        <v>51.65</v>
      </c>
      <c r="C1392" s="116">
        <v>51.3</v>
      </c>
      <c r="D1392" s="116">
        <v>50</v>
      </c>
      <c r="E1392" s="116">
        <v>50</v>
      </c>
      <c r="F1392" s="116">
        <v>51.3</v>
      </c>
      <c r="G1392">
        <v>1648</v>
      </c>
      <c r="H1392" s="116"/>
      <c r="I1392" s="116"/>
      <c r="L1392" s="169">
        <v>44056</v>
      </c>
      <c r="M1392" s="116">
        <v>49.95</v>
      </c>
      <c r="N1392" s="116">
        <v>50.5</v>
      </c>
      <c r="O1392" s="116">
        <v>48.3</v>
      </c>
      <c r="P1392" s="116">
        <v>48.3</v>
      </c>
      <c r="Q1392" s="116">
        <v>49.95</v>
      </c>
      <c r="R1392">
        <v>51642</v>
      </c>
    </row>
    <row r="1393" spans="1:18" x14ac:dyDescent="0.25">
      <c r="A1393" s="169">
        <v>44089</v>
      </c>
      <c r="B1393" s="116">
        <v>51.2</v>
      </c>
      <c r="C1393" s="116">
        <v>50.75</v>
      </c>
      <c r="D1393" s="116">
        <v>47.6</v>
      </c>
      <c r="E1393" s="116">
        <v>48.35</v>
      </c>
      <c r="F1393" s="116">
        <v>50.75</v>
      </c>
      <c r="G1393">
        <v>6742</v>
      </c>
      <c r="H1393" s="116"/>
      <c r="I1393" s="116"/>
      <c r="L1393" s="169">
        <v>44057</v>
      </c>
      <c r="M1393" s="116">
        <v>49.35</v>
      </c>
      <c r="N1393" s="116">
        <v>50.65</v>
      </c>
      <c r="O1393" s="116">
        <v>47.55</v>
      </c>
      <c r="P1393" s="116">
        <v>49.95</v>
      </c>
      <c r="Q1393" s="116">
        <v>49.35</v>
      </c>
      <c r="R1393">
        <v>50322</v>
      </c>
    </row>
    <row r="1394" spans="1:18" x14ac:dyDescent="0.25">
      <c r="A1394" s="169">
        <v>44090</v>
      </c>
      <c r="B1394" s="116">
        <v>52.8</v>
      </c>
      <c r="C1394" s="116">
        <v>51</v>
      </c>
      <c r="D1394" s="116">
        <v>49.8</v>
      </c>
      <c r="E1394" s="116">
        <v>52.8</v>
      </c>
      <c r="F1394" s="116">
        <v>51</v>
      </c>
      <c r="G1394">
        <v>1541</v>
      </c>
      <c r="H1394" s="116"/>
      <c r="I1394" s="116"/>
      <c r="L1394" s="169">
        <v>44060</v>
      </c>
      <c r="M1394" s="116">
        <v>48.45</v>
      </c>
      <c r="N1394" s="116">
        <v>50.3</v>
      </c>
      <c r="O1394" s="116">
        <v>48</v>
      </c>
      <c r="P1394" s="116">
        <v>49.85</v>
      </c>
      <c r="Q1394" s="116">
        <v>48.45</v>
      </c>
      <c r="R1394">
        <v>8349</v>
      </c>
    </row>
    <row r="1395" spans="1:18" x14ac:dyDescent="0.25">
      <c r="A1395" s="169">
        <v>44091</v>
      </c>
      <c r="B1395" s="116">
        <v>50.7</v>
      </c>
      <c r="C1395" s="116">
        <v>49.6</v>
      </c>
      <c r="D1395" s="116">
        <v>49.4</v>
      </c>
      <c r="E1395" s="116">
        <v>49.5</v>
      </c>
      <c r="F1395" s="116">
        <v>49.6</v>
      </c>
      <c r="G1395">
        <v>324</v>
      </c>
      <c r="H1395" s="116"/>
      <c r="I1395" s="116"/>
      <c r="L1395" s="169">
        <v>44061</v>
      </c>
      <c r="M1395" s="116">
        <v>48.35</v>
      </c>
      <c r="N1395" s="116">
        <v>49</v>
      </c>
      <c r="O1395" s="116">
        <v>48.15</v>
      </c>
      <c r="P1395" s="116">
        <v>48.5</v>
      </c>
      <c r="Q1395" s="116">
        <v>48.35</v>
      </c>
      <c r="R1395">
        <v>10010</v>
      </c>
    </row>
    <row r="1396" spans="1:18" x14ac:dyDescent="0.25">
      <c r="A1396" s="169">
        <v>44092</v>
      </c>
      <c r="B1396" s="116">
        <v>54</v>
      </c>
      <c r="C1396" s="116">
        <v>49.5</v>
      </c>
      <c r="D1396" s="116">
        <v>49.25</v>
      </c>
      <c r="E1396" s="116">
        <v>50.1</v>
      </c>
      <c r="F1396" s="116">
        <v>49.5</v>
      </c>
      <c r="G1396">
        <v>2905</v>
      </c>
      <c r="H1396" s="116"/>
      <c r="I1396" s="116"/>
      <c r="L1396" s="169">
        <v>44062</v>
      </c>
      <c r="M1396" s="116">
        <v>52.1</v>
      </c>
      <c r="N1396" s="116">
        <v>52.9</v>
      </c>
      <c r="O1396" s="116">
        <v>48.3</v>
      </c>
      <c r="P1396" s="116">
        <v>48.35</v>
      </c>
      <c r="Q1396" s="116">
        <v>52.1</v>
      </c>
      <c r="R1396">
        <v>59840</v>
      </c>
    </row>
    <row r="1397" spans="1:18" x14ac:dyDescent="0.25">
      <c r="A1397" s="169">
        <v>44095</v>
      </c>
      <c r="B1397" s="116">
        <v>50.6</v>
      </c>
      <c r="C1397" s="116">
        <v>48.2</v>
      </c>
      <c r="D1397" s="116">
        <v>48</v>
      </c>
      <c r="E1397" s="116">
        <v>48.3</v>
      </c>
      <c r="F1397" s="116">
        <v>48.2</v>
      </c>
      <c r="G1397">
        <v>7833</v>
      </c>
      <c r="H1397" s="116"/>
      <c r="I1397" s="116"/>
      <c r="L1397" s="169">
        <v>44063</v>
      </c>
      <c r="M1397" s="116">
        <v>56.35</v>
      </c>
      <c r="N1397" s="116">
        <v>57.3</v>
      </c>
      <c r="O1397" s="116">
        <v>50.4</v>
      </c>
      <c r="P1397" s="116">
        <v>52.1</v>
      </c>
      <c r="Q1397" s="116">
        <v>56.35</v>
      </c>
      <c r="R1397">
        <v>166773</v>
      </c>
    </row>
    <row r="1398" spans="1:18" x14ac:dyDescent="0.25">
      <c r="A1398" s="169">
        <v>44096</v>
      </c>
      <c r="B1398" s="116">
        <v>49</v>
      </c>
      <c r="C1398" s="116">
        <v>47.05</v>
      </c>
      <c r="D1398" s="116">
        <v>46.7</v>
      </c>
      <c r="E1398" s="116">
        <v>47.65</v>
      </c>
      <c r="F1398" s="116">
        <v>47.05</v>
      </c>
      <c r="G1398">
        <v>745</v>
      </c>
      <c r="H1398" s="116"/>
      <c r="I1398" s="116"/>
      <c r="L1398" s="169">
        <v>44064</v>
      </c>
      <c r="M1398" s="116">
        <v>57.2</v>
      </c>
      <c r="N1398" s="116">
        <v>58</v>
      </c>
      <c r="O1398" s="116">
        <v>54.1</v>
      </c>
      <c r="P1398" s="116">
        <v>57.5</v>
      </c>
      <c r="Q1398" s="116">
        <v>57.2</v>
      </c>
      <c r="R1398">
        <v>82584</v>
      </c>
    </row>
    <row r="1399" spans="1:18" x14ac:dyDescent="0.25">
      <c r="A1399" s="169">
        <v>44097</v>
      </c>
      <c r="B1399" s="116">
        <v>49.8</v>
      </c>
      <c r="C1399" s="116">
        <v>48</v>
      </c>
      <c r="D1399" s="116">
        <v>47.05</v>
      </c>
      <c r="E1399" s="116">
        <v>49.8</v>
      </c>
      <c r="F1399" s="116">
        <v>48</v>
      </c>
      <c r="G1399">
        <v>5015</v>
      </c>
      <c r="H1399" s="116"/>
      <c r="I1399" s="116"/>
      <c r="L1399" s="169">
        <v>44067</v>
      </c>
      <c r="M1399" s="116">
        <v>55.8</v>
      </c>
      <c r="N1399" s="116">
        <v>58.25</v>
      </c>
      <c r="O1399" s="116">
        <v>55.35</v>
      </c>
      <c r="P1399" s="116">
        <v>55.4</v>
      </c>
      <c r="Q1399" s="116">
        <v>55.8</v>
      </c>
      <c r="R1399">
        <v>40681</v>
      </c>
    </row>
    <row r="1400" spans="1:18" x14ac:dyDescent="0.25">
      <c r="A1400" s="169">
        <v>44098</v>
      </c>
      <c r="B1400" s="116">
        <v>48.4</v>
      </c>
      <c r="C1400" s="116">
        <v>46.1</v>
      </c>
      <c r="D1400" s="116">
        <v>45.9</v>
      </c>
      <c r="E1400" s="116">
        <v>46.55</v>
      </c>
      <c r="F1400" s="116">
        <v>46.1</v>
      </c>
      <c r="G1400">
        <v>5749</v>
      </c>
      <c r="H1400" s="116"/>
      <c r="I1400" s="116"/>
      <c r="L1400" s="169">
        <v>44068</v>
      </c>
      <c r="M1400" s="116">
        <v>54.6</v>
      </c>
      <c r="N1400" s="116">
        <v>57.45</v>
      </c>
      <c r="O1400" s="116">
        <v>53.35</v>
      </c>
      <c r="P1400" s="116">
        <v>55.8</v>
      </c>
      <c r="Q1400" s="116">
        <v>54.6</v>
      </c>
      <c r="R1400">
        <v>30153</v>
      </c>
    </row>
    <row r="1401" spans="1:18" x14ac:dyDescent="0.25">
      <c r="A1401" s="169">
        <v>44099</v>
      </c>
      <c r="B1401" s="116">
        <v>48.25</v>
      </c>
      <c r="C1401" s="116">
        <v>47.55</v>
      </c>
      <c r="D1401" s="116">
        <v>45.1</v>
      </c>
      <c r="E1401" s="116">
        <v>48</v>
      </c>
      <c r="F1401" s="116">
        <v>47.55</v>
      </c>
      <c r="G1401">
        <v>4736</v>
      </c>
      <c r="H1401" s="116"/>
      <c r="I1401" s="116"/>
      <c r="L1401" s="169">
        <v>44069</v>
      </c>
      <c r="M1401" s="116">
        <v>53.7</v>
      </c>
      <c r="N1401" s="116">
        <v>57.6</v>
      </c>
      <c r="O1401" s="116">
        <v>52.8</v>
      </c>
      <c r="P1401" s="116">
        <v>54.1</v>
      </c>
      <c r="Q1401" s="116">
        <v>53.7</v>
      </c>
      <c r="R1401">
        <v>36346</v>
      </c>
    </row>
    <row r="1402" spans="1:18" x14ac:dyDescent="0.25">
      <c r="A1402" s="169">
        <v>44102</v>
      </c>
      <c r="B1402" s="116">
        <v>48.55</v>
      </c>
      <c r="C1402" s="116">
        <v>47.9</v>
      </c>
      <c r="D1402" s="116">
        <v>47.15</v>
      </c>
      <c r="E1402" s="116">
        <v>48.35</v>
      </c>
      <c r="F1402" s="116">
        <v>47.9</v>
      </c>
      <c r="G1402">
        <v>4515</v>
      </c>
      <c r="H1402" s="116"/>
      <c r="I1402" s="116"/>
      <c r="L1402" s="169">
        <v>44070</v>
      </c>
      <c r="M1402" s="116">
        <v>58.75</v>
      </c>
      <c r="N1402" s="116">
        <v>59.05</v>
      </c>
      <c r="O1402" s="116">
        <v>53.7</v>
      </c>
      <c r="P1402" s="116">
        <v>53.7</v>
      </c>
      <c r="Q1402" s="116">
        <v>58.75</v>
      </c>
      <c r="R1402">
        <v>113865</v>
      </c>
    </row>
    <row r="1403" spans="1:18" x14ac:dyDescent="0.25">
      <c r="A1403" s="169">
        <v>44103</v>
      </c>
      <c r="B1403" s="116">
        <v>48.25</v>
      </c>
      <c r="C1403" s="116">
        <v>46.9</v>
      </c>
      <c r="D1403" s="116">
        <v>46.75</v>
      </c>
      <c r="E1403" s="116">
        <v>47.4</v>
      </c>
      <c r="F1403" s="116">
        <v>46.9</v>
      </c>
      <c r="G1403">
        <v>663</v>
      </c>
      <c r="H1403" s="116"/>
      <c r="I1403" s="116"/>
      <c r="L1403" s="169">
        <v>44071</v>
      </c>
      <c r="M1403" s="116">
        <v>56.15</v>
      </c>
      <c r="N1403" s="116">
        <v>58.9</v>
      </c>
      <c r="O1403" s="116">
        <v>55.65</v>
      </c>
      <c r="P1403" s="116">
        <v>58.6</v>
      </c>
      <c r="Q1403" s="116">
        <v>56.15</v>
      </c>
      <c r="R1403">
        <v>20570</v>
      </c>
    </row>
    <row r="1404" spans="1:18" x14ac:dyDescent="0.25">
      <c r="A1404" s="169">
        <v>44104</v>
      </c>
      <c r="B1404" s="116">
        <v>47.5</v>
      </c>
      <c r="C1404" s="116">
        <v>46.9</v>
      </c>
      <c r="D1404" s="116">
        <v>46.9</v>
      </c>
      <c r="E1404" s="116">
        <v>47.5</v>
      </c>
      <c r="F1404" s="116">
        <v>46.9</v>
      </c>
      <c r="G1404">
        <v>12</v>
      </c>
      <c r="H1404" s="116"/>
      <c r="I1404" s="116"/>
      <c r="L1404" s="169">
        <v>44074</v>
      </c>
      <c r="M1404" s="116">
        <v>51.9</v>
      </c>
      <c r="N1404" s="116">
        <v>56.8</v>
      </c>
      <c r="O1404" s="116">
        <v>51.4</v>
      </c>
      <c r="P1404" s="116">
        <v>56.15</v>
      </c>
      <c r="Q1404" s="116">
        <v>51.9</v>
      </c>
      <c r="R1404">
        <v>51965</v>
      </c>
    </row>
    <row r="1405" spans="1:18" x14ac:dyDescent="0.25">
      <c r="A1405" s="169">
        <v>44105</v>
      </c>
      <c r="B1405" s="116">
        <v>48.75</v>
      </c>
      <c r="C1405" s="116">
        <v>48.65</v>
      </c>
      <c r="D1405" s="116">
        <v>46.75</v>
      </c>
      <c r="E1405" s="116">
        <v>48.15</v>
      </c>
      <c r="F1405" s="116">
        <v>48.65</v>
      </c>
      <c r="G1405">
        <v>7509</v>
      </c>
      <c r="H1405" s="116"/>
      <c r="I1405" s="116"/>
      <c r="L1405" s="169">
        <v>44075</v>
      </c>
      <c r="M1405" s="116">
        <v>51.8</v>
      </c>
      <c r="N1405" s="116">
        <v>54.9</v>
      </c>
      <c r="O1405" s="116">
        <v>50</v>
      </c>
      <c r="P1405" s="116">
        <v>52.3</v>
      </c>
      <c r="Q1405" s="116">
        <v>51.8</v>
      </c>
      <c r="R1405">
        <v>14181</v>
      </c>
    </row>
    <row r="1406" spans="1:18" x14ac:dyDescent="0.25">
      <c r="A1406" s="169">
        <v>44109</v>
      </c>
      <c r="B1406" s="116">
        <v>49</v>
      </c>
      <c r="C1406" s="116">
        <v>49</v>
      </c>
      <c r="D1406" s="116">
        <v>48.05</v>
      </c>
      <c r="E1406" s="116">
        <v>48.6</v>
      </c>
      <c r="F1406" s="116">
        <v>49</v>
      </c>
      <c r="G1406">
        <v>533</v>
      </c>
      <c r="H1406" s="116"/>
      <c r="I1406" s="116"/>
      <c r="L1406" s="169">
        <v>44076</v>
      </c>
      <c r="M1406" s="116">
        <v>52.25</v>
      </c>
      <c r="N1406" s="116">
        <v>54</v>
      </c>
      <c r="O1406" s="116">
        <v>51</v>
      </c>
      <c r="P1406" s="116">
        <v>53.2</v>
      </c>
      <c r="Q1406" s="116">
        <v>52.25</v>
      </c>
      <c r="R1406">
        <v>12326</v>
      </c>
    </row>
    <row r="1407" spans="1:18" x14ac:dyDescent="0.25">
      <c r="A1407" s="169">
        <v>44110</v>
      </c>
      <c r="B1407" s="116">
        <v>52.35</v>
      </c>
      <c r="C1407" s="116">
        <v>51.65</v>
      </c>
      <c r="D1407" s="116">
        <v>49.6</v>
      </c>
      <c r="E1407" s="116">
        <v>49.6</v>
      </c>
      <c r="F1407" s="116">
        <v>51.65</v>
      </c>
      <c r="G1407">
        <v>6061</v>
      </c>
      <c r="H1407" s="116"/>
      <c r="I1407" s="116"/>
      <c r="L1407" s="169">
        <v>44077</v>
      </c>
      <c r="M1407" s="116">
        <v>51.85</v>
      </c>
      <c r="N1407" s="116">
        <v>53.45</v>
      </c>
      <c r="O1407" s="116">
        <v>51.2</v>
      </c>
      <c r="P1407" s="116">
        <v>51.2</v>
      </c>
      <c r="Q1407" s="116">
        <v>51.85</v>
      </c>
      <c r="R1407">
        <v>3398</v>
      </c>
    </row>
    <row r="1408" spans="1:18" x14ac:dyDescent="0.25">
      <c r="A1408" s="169">
        <v>44111</v>
      </c>
      <c r="B1408" s="116">
        <v>51.5</v>
      </c>
      <c r="C1408" s="116">
        <v>50.95</v>
      </c>
      <c r="D1408" s="116">
        <v>50.8</v>
      </c>
      <c r="E1408" s="116">
        <v>51.3</v>
      </c>
      <c r="F1408" s="116">
        <v>50.95</v>
      </c>
      <c r="G1408">
        <v>6635</v>
      </c>
      <c r="H1408" s="116"/>
      <c r="I1408" s="116"/>
      <c r="L1408" s="169">
        <v>44078</v>
      </c>
      <c r="M1408" s="116">
        <v>50.55</v>
      </c>
      <c r="N1408" s="116">
        <v>54.4</v>
      </c>
      <c r="O1408" s="116">
        <v>48.3</v>
      </c>
      <c r="P1408" s="116">
        <v>48.3</v>
      </c>
      <c r="Q1408" s="116">
        <v>50.55</v>
      </c>
      <c r="R1408">
        <v>7368</v>
      </c>
    </row>
    <row r="1409" spans="1:18" x14ac:dyDescent="0.25">
      <c r="A1409" s="169">
        <v>44112</v>
      </c>
      <c r="B1409" s="116">
        <v>52</v>
      </c>
      <c r="C1409" s="116">
        <v>51.35</v>
      </c>
      <c r="D1409" s="116">
        <v>51</v>
      </c>
      <c r="E1409" s="116">
        <v>52</v>
      </c>
      <c r="F1409" s="116">
        <v>51.35</v>
      </c>
      <c r="G1409">
        <v>415</v>
      </c>
      <c r="H1409" s="116"/>
      <c r="I1409" s="116"/>
      <c r="L1409" s="169">
        <v>44081</v>
      </c>
      <c r="M1409" s="116">
        <v>49.35</v>
      </c>
      <c r="N1409" s="116">
        <v>52.25</v>
      </c>
      <c r="O1409" s="116">
        <v>48.6</v>
      </c>
      <c r="P1409" s="116">
        <v>49.1</v>
      </c>
      <c r="Q1409" s="116">
        <v>49.35</v>
      </c>
      <c r="R1409">
        <v>4361</v>
      </c>
    </row>
    <row r="1410" spans="1:18" x14ac:dyDescent="0.25">
      <c r="A1410" s="169">
        <v>44113</v>
      </c>
      <c r="B1410" s="116">
        <v>50.4</v>
      </c>
      <c r="C1410" s="116">
        <v>48.55</v>
      </c>
      <c r="D1410" s="116">
        <v>48.55</v>
      </c>
      <c r="E1410" s="116">
        <v>50.3</v>
      </c>
      <c r="F1410" s="116">
        <v>48.55</v>
      </c>
      <c r="G1410">
        <v>415</v>
      </c>
      <c r="H1410" s="116"/>
      <c r="I1410" s="116"/>
      <c r="L1410" s="169">
        <v>44082</v>
      </c>
      <c r="M1410" s="116">
        <v>48.25</v>
      </c>
      <c r="N1410" s="116">
        <v>49.7</v>
      </c>
      <c r="O1410" s="116">
        <v>47.3</v>
      </c>
      <c r="P1410" s="116">
        <v>49.7</v>
      </c>
      <c r="Q1410" s="116">
        <v>48.25</v>
      </c>
      <c r="R1410">
        <v>12653</v>
      </c>
    </row>
    <row r="1411" spans="1:18" x14ac:dyDescent="0.25">
      <c r="A1411" s="169">
        <v>44116</v>
      </c>
      <c r="B1411" s="116">
        <v>51.75</v>
      </c>
      <c r="C1411" s="116">
        <v>50.85</v>
      </c>
      <c r="D1411" s="116">
        <v>50</v>
      </c>
      <c r="E1411" s="116">
        <v>50</v>
      </c>
      <c r="F1411" s="116">
        <v>50.85</v>
      </c>
      <c r="G1411">
        <v>3903</v>
      </c>
      <c r="H1411" s="116"/>
      <c r="I1411" s="116"/>
      <c r="L1411" s="169">
        <v>44083</v>
      </c>
      <c r="M1411" s="116">
        <v>48.15</v>
      </c>
      <c r="N1411" s="116">
        <v>48.85</v>
      </c>
      <c r="O1411" s="116">
        <v>46.1</v>
      </c>
      <c r="P1411" s="116">
        <v>47.15</v>
      </c>
      <c r="Q1411" s="116">
        <v>48.15</v>
      </c>
      <c r="R1411">
        <v>9800</v>
      </c>
    </row>
    <row r="1412" spans="1:18" x14ac:dyDescent="0.25">
      <c r="A1412" s="169">
        <v>44117</v>
      </c>
      <c r="B1412" s="116">
        <v>50.85</v>
      </c>
      <c r="C1412" s="116">
        <v>50.85</v>
      </c>
      <c r="D1412" s="116">
        <v>50.85</v>
      </c>
      <c r="E1412" s="116">
        <v>50.85</v>
      </c>
      <c r="F1412" s="116">
        <v>50.85</v>
      </c>
      <c r="G1412">
        <v>10</v>
      </c>
      <c r="H1412" s="116"/>
      <c r="I1412" s="116"/>
      <c r="L1412" s="169">
        <v>44084</v>
      </c>
      <c r="M1412" s="116">
        <v>48.35</v>
      </c>
      <c r="N1412" s="116">
        <v>49.1</v>
      </c>
      <c r="O1412" s="116">
        <v>47.2</v>
      </c>
      <c r="P1412" s="116">
        <v>47.7</v>
      </c>
      <c r="Q1412" s="116">
        <v>48.35</v>
      </c>
      <c r="R1412">
        <v>6819</v>
      </c>
    </row>
    <row r="1413" spans="1:18" x14ac:dyDescent="0.25">
      <c r="A1413" s="169">
        <v>44118</v>
      </c>
      <c r="B1413" s="116">
        <v>50.85</v>
      </c>
      <c r="C1413" s="116">
        <v>46.6</v>
      </c>
      <c r="D1413" s="116">
        <v>46.5</v>
      </c>
      <c r="E1413" s="116">
        <v>50.85</v>
      </c>
      <c r="F1413" s="116">
        <v>46.6</v>
      </c>
      <c r="G1413">
        <v>10138</v>
      </c>
      <c r="H1413" s="116"/>
      <c r="I1413" s="116"/>
      <c r="L1413" s="169">
        <v>44085</v>
      </c>
      <c r="M1413" s="116">
        <v>49.35</v>
      </c>
      <c r="N1413" s="116">
        <v>49.55</v>
      </c>
      <c r="O1413" s="116">
        <v>48</v>
      </c>
      <c r="P1413" s="116">
        <v>49.55</v>
      </c>
      <c r="Q1413" s="116">
        <v>49.35</v>
      </c>
      <c r="R1413">
        <v>4010</v>
      </c>
    </row>
    <row r="1414" spans="1:18" x14ac:dyDescent="0.25">
      <c r="A1414" s="169">
        <v>44119</v>
      </c>
      <c r="B1414" s="116">
        <v>48.5</v>
      </c>
      <c r="C1414" s="116">
        <v>47.05</v>
      </c>
      <c r="D1414" s="116">
        <v>45.95</v>
      </c>
      <c r="E1414" s="116">
        <v>47</v>
      </c>
      <c r="F1414" s="116">
        <v>47.05</v>
      </c>
      <c r="G1414">
        <v>14003</v>
      </c>
      <c r="H1414" s="116"/>
      <c r="I1414" s="116"/>
      <c r="L1414" s="169">
        <v>44088</v>
      </c>
      <c r="M1414" s="116">
        <v>50.4</v>
      </c>
      <c r="N1414" s="116">
        <v>51.65</v>
      </c>
      <c r="O1414" s="116">
        <v>49.05</v>
      </c>
      <c r="P1414" s="116">
        <v>49.05</v>
      </c>
      <c r="Q1414" s="116">
        <v>50.4</v>
      </c>
      <c r="R1414">
        <v>4874</v>
      </c>
    </row>
    <row r="1415" spans="1:18" x14ac:dyDescent="0.25">
      <c r="A1415" s="169">
        <v>44123</v>
      </c>
      <c r="B1415" s="116">
        <v>49</v>
      </c>
      <c r="C1415" s="116">
        <v>49</v>
      </c>
      <c r="D1415" s="116">
        <v>49</v>
      </c>
      <c r="E1415" s="116">
        <v>49</v>
      </c>
      <c r="F1415" s="116">
        <v>49</v>
      </c>
      <c r="G1415">
        <v>300</v>
      </c>
      <c r="H1415" s="116"/>
      <c r="I1415" s="116"/>
      <c r="L1415" s="169">
        <v>44089</v>
      </c>
      <c r="M1415" s="116">
        <v>50.55</v>
      </c>
      <c r="N1415" s="116">
        <v>54.8</v>
      </c>
      <c r="O1415" s="116">
        <v>48.35</v>
      </c>
      <c r="P1415" s="116">
        <v>48.35</v>
      </c>
      <c r="Q1415" s="116">
        <v>50.55</v>
      </c>
      <c r="R1415">
        <v>12132</v>
      </c>
    </row>
    <row r="1416" spans="1:18" x14ac:dyDescent="0.25">
      <c r="A1416" s="169">
        <v>44124</v>
      </c>
      <c r="B1416" s="116">
        <v>52.2</v>
      </c>
      <c r="C1416" s="116">
        <v>51.85</v>
      </c>
      <c r="D1416" s="116">
        <v>47.5</v>
      </c>
      <c r="E1416" s="116">
        <v>47.5</v>
      </c>
      <c r="F1416" s="116">
        <v>51.85</v>
      </c>
      <c r="G1416">
        <v>3609</v>
      </c>
      <c r="H1416" s="116"/>
      <c r="I1416" s="116"/>
      <c r="L1416" s="169">
        <v>44090</v>
      </c>
      <c r="M1416" s="116">
        <v>51.4</v>
      </c>
      <c r="N1416" s="116">
        <v>52.35</v>
      </c>
      <c r="O1416" s="116">
        <v>48.6</v>
      </c>
      <c r="P1416" s="116">
        <v>50</v>
      </c>
      <c r="Q1416" s="116">
        <v>51.4</v>
      </c>
      <c r="R1416">
        <v>4080</v>
      </c>
    </row>
    <row r="1417" spans="1:18" x14ac:dyDescent="0.25">
      <c r="A1417" s="169">
        <v>44125</v>
      </c>
      <c r="B1417" s="116">
        <v>50.45</v>
      </c>
      <c r="C1417" s="116">
        <v>48.9</v>
      </c>
      <c r="D1417" s="116">
        <v>48.9</v>
      </c>
      <c r="E1417" s="116">
        <v>50.45</v>
      </c>
      <c r="F1417" s="116">
        <v>48.9</v>
      </c>
      <c r="G1417">
        <v>674</v>
      </c>
      <c r="H1417" s="116"/>
      <c r="I1417" s="116"/>
      <c r="L1417" s="169">
        <v>44091</v>
      </c>
      <c r="M1417" s="116">
        <v>50.9</v>
      </c>
      <c r="N1417" s="116">
        <v>52</v>
      </c>
      <c r="O1417" s="116">
        <v>48.05</v>
      </c>
      <c r="P1417" s="116">
        <v>49.2</v>
      </c>
      <c r="Q1417" s="116">
        <v>50.9</v>
      </c>
      <c r="R1417">
        <v>6396</v>
      </c>
    </row>
    <row r="1418" spans="1:18" x14ac:dyDescent="0.25">
      <c r="A1418" s="169">
        <v>44126</v>
      </c>
      <c r="B1418" s="116">
        <v>51.95</v>
      </c>
      <c r="C1418" s="116">
        <v>51.35</v>
      </c>
      <c r="D1418" s="116">
        <v>49.6</v>
      </c>
      <c r="E1418" s="116">
        <v>49.6</v>
      </c>
      <c r="F1418" s="116">
        <v>51.35</v>
      </c>
      <c r="G1418">
        <v>2512</v>
      </c>
      <c r="H1418" s="116"/>
      <c r="I1418" s="116"/>
      <c r="L1418" s="169">
        <v>44092</v>
      </c>
      <c r="M1418" s="116">
        <v>49.3</v>
      </c>
      <c r="N1418" s="116">
        <v>51.9</v>
      </c>
      <c r="O1418" s="116">
        <v>48.8</v>
      </c>
      <c r="P1418" s="116">
        <v>50.05</v>
      </c>
      <c r="Q1418" s="116">
        <v>49.3</v>
      </c>
      <c r="R1418">
        <v>9638</v>
      </c>
    </row>
    <row r="1419" spans="1:18" x14ac:dyDescent="0.25">
      <c r="A1419" s="169">
        <v>44127</v>
      </c>
      <c r="B1419" s="116">
        <v>55</v>
      </c>
      <c r="C1419" s="116">
        <v>52.55</v>
      </c>
      <c r="D1419" s="116">
        <v>50</v>
      </c>
      <c r="E1419" s="116">
        <v>51.75</v>
      </c>
      <c r="F1419" s="116">
        <v>52.55</v>
      </c>
      <c r="G1419">
        <v>6032</v>
      </c>
      <c r="H1419" s="116"/>
      <c r="I1419" s="116"/>
      <c r="L1419" s="169">
        <v>44095</v>
      </c>
      <c r="M1419" s="116">
        <v>47.8</v>
      </c>
      <c r="N1419" s="116">
        <v>50.7</v>
      </c>
      <c r="O1419" s="116">
        <v>47.55</v>
      </c>
      <c r="P1419" s="116">
        <v>48.85</v>
      </c>
      <c r="Q1419" s="116">
        <v>47.8</v>
      </c>
      <c r="R1419">
        <v>12222</v>
      </c>
    </row>
    <row r="1420" spans="1:18" x14ac:dyDescent="0.25">
      <c r="A1420" s="169">
        <v>44130</v>
      </c>
      <c r="B1420" s="116">
        <v>53.7</v>
      </c>
      <c r="C1420" s="116">
        <v>50</v>
      </c>
      <c r="D1420" s="116">
        <v>49.1</v>
      </c>
      <c r="E1420" s="116">
        <v>53.7</v>
      </c>
      <c r="F1420" s="116">
        <v>50</v>
      </c>
      <c r="G1420">
        <v>6955</v>
      </c>
      <c r="H1420" s="116"/>
      <c r="I1420" s="116"/>
      <c r="L1420" s="169">
        <v>44096</v>
      </c>
      <c r="M1420" s="116">
        <v>47.2</v>
      </c>
      <c r="N1420" s="116">
        <v>48.85</v>
      </c>
      <c r="O1420" s="116">
        <v>46.5</v>
      </c>
      <c r="P1420" s="116">
        <v>47.8</v>
      </c>
      <c r="Q1420" s="116">
        <v>47.2</v>
      </c>
      <c r="R1420">
        <v>1345</v>
      </c>
    </row>
    <row r="1421" spans="1:18" x14ac:dyDescent="0.25">
      <c r="A1421" s="169">
        <v>44131</v>
      </c>
      <c r="B1421" s="116">
        <v>50.75</v>
      </c>
      <c r="C1421" s="116">
        <v>49.2</v>
      </c>
      <c r="D1421" s="116">
        <v>49.1</v>
      </c>
      <c r="E1421" s="116">
        <v>50.75</v>
      </c>
      <c r="F1421" s="116">
        <v>49.2</v>
      </c>
      <c r="G1421">
        <v>3636</v>
      </c>
      <c r="H1421" s="116"/>
      <c r="I1421" s="116"/>
      <c r="L1421" s="169">
        <v>44097</v>
      </c>
      <c r="M1421" s="116">
        <v>48</v>
      </c>
      <c r="N1421" s="116">
        <v>51.9</v>
      </c>
      <c r="O1421" s="116">
        <v>47.1</v>
      </c>
      <c r="P1421" s="116">
        <v>50.65</v>
      </c>
      <c r="Q1421" s="116">
        <v>48</v>
      </c>
      <c r="R1421">
        <v>10696</v>
      </c>
    </row>
    <row r="1422" spans="1:18" x14ac:dyDescent="0.25">
      <c r="A1422" s="169">
        <v>44132</v>
      </c>
      <c r="B1422" s="116">
        <v>50.75</v>
      </c>
      <c r="C1422" s="116">
        <v>50</v>
      </c>
      <c r="D1422" s="116">
        <v>48.95</v>
      </c>
      <c r="E1422" s="116">
        <v>49</v>
      </c>
      <c r="F1422" s="116">
        <v>50</v>
      </c>
      <c r="G1422">
        <v>794</v>
      </c>
      <c r="H1422" s="116"/>
      <c r="I1422" s="116"/>
      <c r="L1422" s="169">
        <v>44098</v>
      </c>
      <c r="M1422" s="116">
        <v>46.15</v>
      </c>
      <c r="N1422" s="116">
        <v>49.35</v>
      </c>
      <c r="O1422" s="116">
        <v>45.95</v>
      </c>
      <c r="P1422" s="116">
        <v>47.15</v>
      </c>
      <c r="Q1422" s="116">
        <v>46.15</v>
      </c>
      <c r="R1422">
        <v>9121</v>
      </c>
    </row>
    <row r="1423" spans="1:18" x14ac:dyDescent="0.25">
      <c r="A1423" s="169">
        <v>44133</v>
      </c>
      <c r="B1423" s="116">
        <v>50.1</v>
      </c>
      <c r="C1423" s="116">
        <v>48.85</v>
      </c>
      <c r="D1423" s="116">
        <v>47.85</v>
      </c>
      <c r="E1423" s="116">
        <v>48.9</v>
      </c>
      <c r="F1423" s="116">
        <v>48.85</v>
      </c>
      <c r="G1423">
        <v>1735</v>
      </c>
      <c r="H1423" s="116"/>
      <c r="I1423" s="116"/>
      <c r="L1423" s="169">
        <v>44099</v>
      </c>
      <c r="M1423" s="116">
        <v>46.95</v>
      </c>
      <c r="N1423" s="116">
        <v>48.5</v>
      </c>
      <c r="O1423" s="116">
        <v>44.65</v>
      </c>
      <c r="P1423" s="116">
        <v>46.6</v>
      </c>
      <c r="Q1423" s="116">
        <v>46.95</v>
      </c>
      <c r="R1423">
        <v>25408</v>
      </c>
    </row>
    <row r="1424" spans="1:18" x14ac:dyDescent="0.25">
      <c r="A1424" s="169">
        <v>44134</v>
      </c>
      <c r="B1424" s="116">
        <v>51.35</v>
      </c>
      <c r="C1424" s="116">
        <v>49.05</v>
      </c>
      <c r="D1424" s="116">
        <v>48.4</v>
      </c>
      <c r="E1424" s="116">
        <v>50</v>
      </c>
      <c r="F1424" s="116">
        <v>49.05</v>
      </c>
      <c r="G1424">
        <v>12521</v>
      </c>
      <c r="H1424" s="116"/>
      <c r="I1424" s="116"/>
      <c r="L1424" s="169">
        <v>44102</v>
      </c>
      <c r="M1424" s="116">
        <v>47.45</v>
      </c>
      <c r="N1424" s="116">
        <v>48.7</v>
      </c>
      <c r="O1424" s="116">
        <v>47</v>
      </c>
      <c r="P1424" s="116">
        <v>47.55</v>
      </c>
      <c r="Q1424" s="116">
        <v>47.45</v>
      </c>
      <c r="R1424">
        <v>6972</v>
      </c>
    </row>
    <row r="1425" spans="1:18" x14ac:dyDescent="0.25">
      <c r="A1425" s="169">
        <v>44137</v>
      </c>
      <c r="B1425" s="116">
        <v>50.3</v>
      </c>
      <c r="C1425" s="116">
        <v>48.15</v>
      </c>
      <c r="D1425" s="116">
        <v>47.85</v>
      </c>
      <c r="E1425" s="116">
        <v>49.95</v>
      </c>
      <c r="F1425" s="116">
        <v>48.15</v>
      </c>
      <c r="G1425">
        <v>998</v>
      </c>
      <c r="H1425" s="116"/>
      <c r="I1425" s="116"/>
      <c r="L1425" s="169">
        <v>44103</v>
      </c>
      <c r="M1425" s="116">
        <v>47.7</v>
      </c>
      <c r="N1425" s="116">
        <v>48.35</v>
      </c>
      <c r="O1425" s="116">
        <v>47.1</v>
      </c>
      <c r="P1425" s="116">
        <v>47.1</v>
      </c>
      <c r="Q1425" s="116">
        <v>47.7</v>
      </c>
      <c r="R1425">
        <v>836</v>
      </c>
    </row>
    <row r="1426" spans="1:18" x14ac:dyDescent="0.25">
      <c r="A1426" s="169">
        <v>44138</v>
      </c>
      <c r="B1426" s="116">
        <v>49</v>
      </c>
      <c r="C1426" s="116">
        <v>49</v>
      </c>
      <c r="D1426" s="116">
        <v>48.15</v>
      </c>
      <c r="E1426" s="116">
        <v>48.7</v>
      </c>
      <c r="F1426" s="116">
        <v>49</v>
      </c>
      <c r="G1426">
        <v>181</v>
      </c>
      <c r="H1426" s="116"/>
      <c r="I1426" s="116"/>
      <c r="L1426" s="169">
        <v>44104</v>
      </c>
      <c r="M1426" s="116">
        <v>47.75</v>
      </c>
      <c r="N1426" s="116">
        <v>48.15</v>
      </c>
      <c r="O1426" s="116">
        <v>47</v>
      </c>
      <c r="P1426" s="116">
        <v>47</v>
      </c>
      <c r="Q1426" s="116">
        <v>47.75</v>
      </c>
      <c r="R1426">
        <v>355</v>
      </c>
    </row>
    <row r="1427" spans="1:18" x14ac:dyDescent="0.25">
      <c r="A1427" s="169">
        <v>44139</v>
      </c>
      <c r="B1427" s="116">
        <v>49</v>
      </c>
      <c r="C1427" s="116">
        <v>49</v>
      </c>
      <c r="D1427" s="116">
        <v>47.05</v>
      </c>
      <c r="E1427" s="116">
        <v>48.15</v>
      </c>
      <c r="F1427" s="116">
        <v>49</v>
      </c>
      <c r="G1427">
        <v>7</v>
      </c>
      <c r="H1427" s="116"/>
      <c r="I1427" s="116"/>
      <c r="L1427" s="169">
        <v>44105</v>
      </c>
      <c r="M1427" s="116">
        <v>48.15</v>
      </c>
      <c r="N1427" s="116">
        <v>48.85</v>
      </c>
      <c r="O1427" s="116">
        <v>46.5</v>
      </c>
      <c r="P1427" s="116">
        <v>47.4</v>
      </c>
      <c r="Q1427" s="116">
        <v>48.15</v>
      </c>
      <c r="R1427">
        <v>11339</v>
      </c>
    </row>
    <row r="1428" spans="1:18" x14ac:dyDescent="0.25">
      <c r="A1428" s="169">
        <v>44140</v>
      </c>
      <c r="B1428" s="116">
        <v>50.1</v>
      </c>
      <c r="C1428" s="116">
        <v>48.2</v>
      </c>
      <c r="D1428" s="116">
        <v>48.1</v>
      </c>
      <c r="E1428" s="116">
        <v>49</v>
      </c>
      <c r="F1428" s="116">
        <v>48.2</v>
      </c>
      <c r="G1428">
        <v>3154</v>
      </c>
      <c r="H1428" s="116"/>
      <c r="I1428" s="116"/>
      <c r="L1428" s="169">
        <v>44109</v>
      </c>
      <c r="M1428" s="116">
        <v>49.15</v>
      </c>
      <c r="N1428" s="116">
        <v>49.7</v>
      </c>
      <c r="O1428" s="116">
        <v>48</v>
      </c>
      <c r="P1428" s="116">
        <v>49</v>
      </c>
      <c r="Q1428" s="116">
        <v>49.15</v>
      </c>
      <c r="R1428">
        <v>11363</v>
      </c>
    </row>
    <row r="1429" spans="1:18" x14ac:dyDescent="0.25">
      <c r="A1429" s="169">
        <v>44141</v>
      </c>
      <c r="B1429" s="116">
        <v>49.5</v>
      </c>
      <c r="C1429" s="116">
        <v>48.9</v>
      </c>
      <c r="D1429" s="116">
        <v>48.1</v>
      </c>
      <c r="E1429" s="116">
        <v>49.05</v>
      </c>
      <c r="F1429" s="116">
        <v>48.9</v>
      </c>
      <c r="G1429">
        <v>537</v>
      </c>
      <c r="H1429" s="116"/>
      <c r="I1429" s="116"/>
      <c r="L1429" s="169">
        <v>44110</v>
      </c>
      <c r="M1429" s="116">
        <v>51.7</v>
      </c>
      <c r="N1429" s="116">
        <v>52.7</v>
      </c>
      <c r="O1429" s="116">
        <v>49.05</v>
      </c>
      <c r="P1429" s="116">
        <v>49.85</v>
      </c>
      <c r="Q1429" s="116">
        <v>51.7</v>
      </c>
      <c r="R1429">
        <v>32545</v>
      </c>
    </row>
    <row r="1430" spans="1:18" x14ac:dyDescent="0.25">
      <c r="A1430" s="169">
        <v>44144</v>
      </c>
      <c r="B1430" s="116">
        <v>49.1</v>
      </c>
      <c r="C1430" s="116">
        <v>48.7</v>
      </c>
      <c r="D1430" s="116">
        <v>48.55</v>
      </c>
      <c r="E1430" s="116">
        <v>48.55</v>
      </c>
      <c r="F1430" s="116">
        <v>48.7</v>
      </c>
      <c r="G1430">
        <v>424</v>
      </c>
      <c r="H1430" s="116"/>
      <c r="I1430" s="116"/>
      <c r="L1430" s="169">
        <v>44111</v>
      </c>
      <c r="M1430" s="116">
        <v>50.7</v>
      </c>
      <c r="N1430" s="116">
        <v>52.5</v>
      </c>
      <c r="O1430" s="116">
        <v>50.55</v>
      </c>
      <c r="P1430" s="116">
        <v>52</v>
      </c>
      <c r="Q1430" s="116">
        <v>50.7</v>
      </c>
      <c r="R1430">
        <v>12234</v>
      </c>
    </row>
    <row r="1431" spans="1:18" x14ac:dyDescent="0.25">
      <c r="A1431" s="169">
        <v>44145</v>
      </c>
      <c r="B1431" s="116">
        <v>48.7</v>
      </c>
      <c r="C1431" s="116">
        <v>48</v>
      </c>
      <c r="D1431" s="116">
        <v>48</v>
      </c>
      <c r="E1431" s="116">
        <v>48.7</v>
      </c>
      <c r="F1431" s="116">
        <v>48</v>
      </c>
      <c r="G1431">
        <v>763</v>
      </c>
      <c r="H1431" s="116"/>
      <c r="I1431" s="116"/>
      <c r="L1431" s="169">
        <v>44112</v>
      </c>
      <c r="M1431" s="116">
        <v>51.05</v>
      </c>
      <c r="N1431" s="116">
        <v>52</v>
      </c>
      <c r="O1431" s="116">
        <v>50.7</v>
      </c>
      <c r="P1431" s="116">
        <v>51.65</v>
      </c>
      <c r="Q1431" s="116">
        <v>51.05</v>
      </c>
      <c r="R1431">
        <v>2108</v>
      </c>
    </row>
    <row r="1432" spans="1:18" x14ac:dyDescent="0.25">
      <c r="A1432" s="169">
        <v>44146</v>
      </c>
      <c r="B1432" s="116">
        <v>49.9</v>
      </c>
      <c r="C1432" s="116">
        <v>49.45</v>
      </c>
      <c r="D1432" s="116">
        <v>48.45</v>
      </c>
      <c r="E1432" s="116">
        <v>48.55</v>
      </c>
      <c r="F1432" s="116">
        <v>49.45</v>
      </c>
      <c r="G1432">
        <v>5977</v>
      </c>
      <c r="H1432" s="116"/>
      <c r="I1432" s="116"/>
      <c r="L1432" s="169">
        <v>44113</v>
      </c>
      <c r="M1432" s="116">
        <v>49.55</v>
      </c>
      <c r="N1432" s="116">
        <v>50.8</v>
      </c>
      <c r="O1432" s="116">
        <v>49.35</v>
      </c>
      <c r="P1432" s="116">
        <v>50.4</v>
      </c>
      <c r="Q1432" s="116">
        <v>49.55</v>
      </c>
      <c r="R1432">
        <v>5677</v>
      </c>
    </row>
    <row r="1433" spans="1:18" x14ac:dyDescent="0.25">
      <c r="A1433" s="169">
        <v>44147</v>
      </c>
      <c r="B1433" s="116">
        <v>50.8</v>
      </c>
      <c r="C1433" s="116">
        <v>50.5</v>
      </c>
      <c r="D1433" s="116">
        <v>49</v>
      </c>
      <c r="E1433" s="116">
        <v>50</v>
      </c>
      <c r="F1433" s="116">
        <v>50.5</v>
      </c>
      <c r="G1433">
        <v>3911</v>
      </c>
      <c r="H1433" s="116"/>
      <c r="I1433" s="116"/>
      <c r="L1433" s="169">
        <v>44116</v>
      </c>
      <c r="M1433" s="116">
        <v>48.75</v>
      </c>
      <c r="N1433" s="116">
        <v>52.2</v>
      </c>
      <c r="O1433" s="116">
        <v>48.15</v>
      </c>
      <c r="P1433" s="116">
        <v>50</v>
      </c>
      <c r="Q1433" s="116">
        <v>48.75</v>
      </c>
      <c r="R1433">
        <v>5557</v>
      </c>
    </row>
    <row r="1434" spans="1:18" x14ac:dyDescent="0.25">
      <c r="A1434" s="169">
        <v>44148</v>
      </c>
      <c r="B1434" s="116">
        <v>50.4</v>
      </c>
      <c r="C1434" s="116">
        <v>50.05</v>
      </c>
      <c r="D1434" s="116">
        <v>48.5</v>
      </c>
      <c r="E1434" s="116">
        <v>49.2</v>
      </c>
      <c r="F1434" s="116">
        <v>50.05</v>
      </c>
      <c r="G1434">
        <v>1725</v>
      </c>
      <c r="H1434" s="116"/>
      <c r="I1434" s="116"/>
      <c r="L1434" s="169">
        <v>44117</v>
      </c>
      <c r="M1434" s="116">
        <v>48.25</v>
      </c>
      <c r="N1434" s="116">
        <v>49.95</v>
      </c>
      <c r="O1434" s="116">
        <v>48.1</v>
      </c>
      <c r="P1434" s="116">
        <v>49.95</v>
      </c>
      <c r="Q1434" s="116">
        <v>48.25</v>
      </c>
      <c r="R1434">
        <v>2499</v>
      </c>
    </row>
    <row r="1435" spans="1:18" x14ac:dyDescent="0.25">
      <c r="A1435" s="169">
        <v>44149</v>
      </c>
      <c r="B1435" s="116">
        <v>52.1</v>
      </c>
      <c r="C1435" s="116">
        <v>50.65</v>
      </c>
      <c r="D1435" s="116">
        <v>50.65</v>
      </c>
      <c r="E1435" s="116">
        <v>52.1</v>
      </c>
      <c r="F1435" s="116">
        <v>50.65</v>
      </c>
      <c r="G1435">
        <v>4</v>
      </c>
      <c r="H1435" s="116"/>
      <c r="I1435" s="116"/>
      <c r="L1435" s="169">
        <v>44118</v>
      </c>
      <c r="M1435" s="116">
        <v>46.7</v>
      </c>
      <c r="N1435" s="116">
        <v>48.35</v>
      </c>
      <c r="O1435" s="116">
        <v>46.1</v>
      </c>
      <c r="P1435" s="116">
        <v>48.3</v>
      </c>
      <c r="Q1435" s="116">
        <v>46.7</v>
      </c>
      <c r="R1435">
        <v>15875</v>
      </c>
    </row>
    <row r="1436" spans="1:18" x14ac:dyDescent="0.25">
      <c r="A1436" s="169">
        <v>44152</v>
      </c>
      <c r="B1436" s="116">
        <v>51</v>
      </c>
      <c r="C1436" s="116">
        <v>50.15</v>
      </c>
      <c r="D1436" s="116">
        <v>48.6</v>
      </c>
      <c r="E1436" s="116">
        <v>50.5</v>
      </c>
      <c r="F1436" s="116">
        <v>50.15</v>
      </c>
      <c r="G1436">
        <v>2720</v>
      </c>
      <c r="H1436" s="116"/>
      <c r="I1436" s="116"/>
      <c r="L1436" s="169">
        <v>44119</v>
      </c>
      <c r="M1436" s="116">
        <v>46.7</v>
      </c>
      <c r="N1436" s="116">
        <v>50</v>
      </c>
      <c r="O1436" s="116">
        <v>46.35</v>
      </c>
      <c r="P1436" s="116">
        <v>47.6</v>
      </c>
      <c r="Q1436" s="116">
        <v>46.7</v>
      </c>
      <c r="R1436">
        <v>28528</v>
      </c>
    </row>
    <row r="1437" spans="1:18" x14ac:dyDescent="0.25">
      <c r="A1437" s="169">
        <v>44153</v>
      </c>
      <c r="B1437" s="116">
        <v>51.5</v>
      </c>
      <c r="C1437" s="116">
        <v>51.4</v>
      </c>
      <c r="D1437" s="116">
        <v>50.45</v>
      </c>
      <c r="E1437" s="116">
        <v>51.4</v>
      </c>
      <c r="F1437" s="116">
        <v>51.4</v>
      </c>
      <c r="G1437">
        <v>456</v>
      </c>
      <c r="H1437" s="116"/>
      <c r="I1437" s="116"/>
      <c r="L1437" s="169">
        <v>44120</v>
      </c>
      <c r="M1437" s="116">
        <v>47</v>
      </c>
      <c r="N1437" s="116">
        <v>47.75</v>
      </c>
      <c r="O1437" s="116">
        <v>46.85</v>
      </c>
      <c r="P1437" s="116">
        <v>47.35</v>
      </c>
      <c r="Q1437" s="116">
        <v>47</v>
      </c>
      <c r="R1437">
        <v>10253</v>
      </c>
    </row>
    <row r="1438" spans="1:18" x14ac:dyDescent="0.25">
      <c r="A1438" s="169">
        <v>44154</v>
      </c>
      <c r="B1438" s="116">
        <v>53.7</v>
      </c>
      <c r="C1438" s="116">
        <v>51.25</v>
      </c>
      <c r="D1438" s="116">
        <v>50.1</v>
      </c>
      <c r="E1438" s="116">
        <v>53.7</v>
      </c>
      <c r="F1438" s="116">
        <v>51.25</v>
      </c>
      <c r="G1438">
        <v>12333</v>
      </c>
      <c r="H1438" s="116"/>
      <c r="I1438" s="116"/>
      <c r="L1438" s="169">
        <v>44123</v>
      </c>
      <c r="M1438" s="116">
        <v>47</v>
      </c>
      <c r="N1438" s="116">
        <v>48.45</v>
      </c>
      <c r="O1438" s="116">
        <v>46.75</v>
      </c>
      <c r="P1438" s="116">
        <v>48.45</v>
      </c>
      <c r="Q1438" s="116">
        <v>47</v>
      </c>
      <c r="R1438">
        <v>3743</v>
      </c>
    </row>
    <row r="1439" spans="1:18" x14ac:dyDescent="0.25">
      <c r="A1439" s="169">
        <v>44155</v>
      </c>
      <c r="B1439" s="116">
        <v>52.4</v>
      </c>
      <c r="C1439" s="116">
        <v>50</v>
      </c>
      <c r="D1439" s="116">
        <v>49.5</v>
      </c>
      <c r="E1439" s="116">
        <v>49.85</v>
      </c>
      <c r="F1439" s="116">
        <v>50</v>
      </c>
      <c r="G1439">
        <v>3298</v>
      </c>
      <c r="H1439" s="116"/>
      <c r="I1439" s="116"/>
      <c r="L1439" s="169">
        <v>44124</v>
      </c>
      <c r="M1439" s="116">
        <v>51.5</v>
      </c>
      <c r="N1439" s="116">
        <v>53</v>
      </c>
      <c r="O1439" s="116">
        <v>47.15</v>
      </c>
      <c r="P1439" s="116">
        <v>47.95</v>
      </c>
      <c r="Q1439" s="116">
        <v>51.5</v>
      </c>
      <c r="R1439">
        <v>54191</v>
      </c>
    </row>
    <row r="1440" spans="1:18" x14ac:dyDescent="0.25">
      <c r="A1440" s="169">
        <v>44158</v>
      </c>
      <c r="B1440" s="116">
        <v>53.9</v>
      </c>
      <c r="C1440" s="116">
        <v>51.75</v>
      </c>
      <c r="D1440" s="116">
        <v>50.5</v>
      </c>
      <c r="E1440" s="116">
        <v>50.75</v>
      </c>
      <c r="F1440" s="116">
        <v>51.75</v>
      </c>
      <c r="G1440">
        <v>9834</v>
      </c>
      <c r="H1440" s="116"/>
      <c r="I1440" s="116"/>
      <c r="L1440" s="169">
        <v>44125</v>
      </c>
      <c r="M1440" s="116">
        <v>49.3</v>
      </c>
      <c r="N1440" s="116">
        <v>53.7</v>
      </c>
      <c r="O1440" s="116">
        <v>48.55</v>
      </c>
      <c r="P1440" s="116">
        <v>53.7</v>
      </c>
      <c r="Q1440" s="116">
        <v>49.3</v>
      </c>
      <c r="R1440">
        <v>7676</v>
      </c>
    </row>
    <row r="1441" spans="1:18" x14ac:dyDescent="0.25">
      <c r="A1441" s="169">
        <v>44159</v>
      </c>
      <c r="B1441" s="116">
        <v>53.05</v>
      </c>
      <c r="C1441" s="116">
        <v>50.95</v>
      </c>
      <c r="D1441" s="116">
        <v>49.6</v>
      </c>
      <c r="E1441" s="116">
        <v>53.05</v>
      </c>
      <c r="F1441" s="116">
        <v>50.95</v>
      </c>
      <c r="G1441">
        <v>3377</v>
      </c>
      <c r="H1441" s="116"/>
      <c r="I1441" s="116"/>
      <c r="L1441" s="169">
        <v>44126</v>
      </c>
      <c r="M1441" s="116">
        <v>50.4</v>
      </c>
      <c r="N1441" s="116">
        <v>52.15</v>
      </c>
      <c r="O1441" s="116">
        <v>49.05</v>
      </c>
      <c r="P1441" s="116">
        <v>50.7</v>
      </c>
      <c r="Q1441" s="116">
        <v>50.4</v>
      </c>
      <c r="R1441">
        <v>22500</v>
      </c>
    </row>
    <row r="1442" spans="1:18" x14ac:dyDescent="0.25">
      <c r="A1442" s="169">
        <v>44160</v>
      </c>
      <c r="B1442" s="116">
        <v>56.7</v>
      </c>
      <c r="C1442" s="116">
        <v>55.3</v>
      </c>
      <c r="D1442" s="116">
        <v>49.75</v>
      </c>
      <c r="E1442" s="116">
        <v>49.8</v>
      </c>
      <c r="F1442" s="116">
        <v>55.3</v>
      </c>
      <c r="G1442">
        <v>20977</v>
      </c>
      <c r="H1442" s="116"/>
      <c r="I1442" s="116"/>
      <c r="L1442" s="169">
        <v>44127</v>
      </c>
      <c r="M1442" s="116">
        <v>52.8</v>
      </c>
      <c r="N1442" s="116">
        <v>55.05</v>
      </c>
      <c r="O1442" s="116">
        <v>51.05</v>
      </c>
      <c r="P1442" s="116">
        <v>51.8</v>
      </c>
      <c r="Q1442" s="116">
        <v>52.8</v>
      </c>
      <c r="R1442">
        <v>61721</v>
      </c>
    </row>
    <row r="1443" spans="1:18" x14ac:dyDescent="0.25">
      <c r="A1443" s="169">
        <v>44161</v>
      </c>
      <c r="B1443" s="116">
        <v>57.7</v>
      </c>
      <c r="C1443" s="116">
        <v>56.65</v>
      </c>
      <c r="D1443" s="116">
        <v>55</v>
      </c>
      <c r="E1443" s="116">
        <v>56</v>
      </c>
      <c r="F1443" s="116">
        <v>56.65</v>
      </c>
      <c r="G1443">
        <v>27811</v>
      </c>
      <c r="H1443" s="116"/>
      <c r="I1443" s="116"/>
      <c r="L1443" s="169">
        <v>44130</v>
      </c>
      <c r="M1443" s="116">
        <v>49.95</v>
      </c>
      <c r="N1443" s="116">
        <v>52.95</v>
      </c>
      <c r="O1443" s="116">
        <v>49</v>
      </c>
      <c r="P1443" s="116">
        <v>52.95</v>
      </c>
      <c r="Q1443" s="116">
        <v>49.95</v>
      </c>
      <c r="R1443">
        <v>25837</v>
      </c>
    </row>
    <row r="1444" spans="1:18" x14ac:dyDescent="0.25">
      <c r="A1444" s="169">
        <v>44162</v>
      </c>
      <c r="B1444" s="116">
        <v>57.5</v>
      </c>
      <c r="C1444" s="116">
        <v>56.5</v>
      </c>
      <c r="D1444" s="116">
        <v>56.05</v>
      </c>
      <c r="E1444" s="116">
        <v>56.5</v>
      </c>
      <c r="F1444" s="116">
        <v>56.5</v>
      </c>
      <c r="G1444">
        <v>6208</v>
      </c>
      <c r="H1444" s="116"/>
      <c r="I1444" s="116"/>
      <c r="L1444" s="169">
        <v>44131</v>
      </c>
      <c r="M1444" s="116">
        <v>48.9</v>
      </c>
      <c r="N1444" s="116">
        <v>51.5</v>
      </c>
      <c r="O1444" s="116">
        <v>47.7</v>
      </c>
      <c r="P1444" s="116">
        <v>50</v>
      </c>
      <c r="Q1444" s="116">
        <v>48.9</v>
      </c>
      <c r="R1444">
        <v>12074</v>
      </c>
    </row>
    <row r="1445" spans="1:18" x14ac:dyDescent="0.25">
      <c r="A1445" s="169">
        <v>44166</v>
      </c>
      <c r="B1445" s="116">
        <v>56.5</v>
      </c>
      <c r="C1445" s="116">
        <v>55.8</v>
      </c>
      <c r="D1445" s="116">
        <v>55.3</v>
      </c>
      <c r="E1445" s="116">
        <v>56.05</v>
      </c>
      <c r="F1445" s="116">
        <v>55.8</v>
      </c>
      <c r="G1445">
        <v>1157</v>
      </c>
      <c r="H1445" s="116"/>
      <c r="I1445" s="116"/>
      <c r="L1445" s="169">
        <v>44132</v>
      </c>
      <c r="M1445" s="116">
        <v>50.05</v>
      </c>
      <c r="N1445" s="116">
        <v>50.7</v>
      </c>
      <c r="O1445" s="116">
        <v>49</v>
      </c>
      <c r="P1445" s="116">
        <v>50.05</v>
      </c>
      <c r="Q1445" s="116">
        <v>50.05</v>
      </c>
      <c r="R1445">
        <v>2962</v>
      </c>
    </row>
    <row r="1446" spans="1:18" x14ac:dyDescent="0.25">
      <c r="A1446" s="169">
        <v>44167</v>
      </c>
      <c r="B1446" s="116">
        <v>56.85</v>
      </c>
      <c r="C1446" s="116">
        <v>55.5</v>
      </c>
      <c r="D1446" s="116">
        <v>55.15</v>
      </c>
      <c r="E1446" s="116">
        <v>56.7</v>
      </c>
      <c r="F1446" s="116">
        <v>55.5</v>
      </c>
      <c r="G1446">
        <v>4100</v>
      </c>
      <c r="H1446" s="116"/>
      <c r="I1446" s="116"/>
      <c r="L1446" s="169">
        <v>44133</v>
      </c>
      <c r="M1446" s="116">
        <v>49.25</v>
      </c>
      <c r="N1446" s="116">
        <v>50.4</v>
      </c>
      <c r="O1446" s="116">
        <v>48.55</v>
      </c>
      <c r="P1446" s="116">
        <v>48.55</v>
      </c>
      <c r="Q1446" s="116">
        <v>49.25</v>
      </c>
      <c r="R1446">
        <v>1643</v>
      </c>
    </row>
    <row r="1447" spans="1:18" x14ac:dyDescent="0.25">
      <c r="A1447" s="169">
        <v>44168</v>
      </c>
      <c r="B1447" s="116">
        <v>56.85</v>
      </c>
      <c r="C1447" s="116">
        <v>54.35</v>
      </c>
      <c r="D1447" s="116">
        <v>54.1</v>
      </c>
      <c r="E1447" s="116">
        <v>55.5</v>
      </c>
      <c r="F1447" s="116">
        <v>54.35</v>
      </c>
      <c r="G1447">
        <v>514</v>
      </c>
      <c r="H1447" s="116"/>
      <c r="I1447" s="116"/>
      <c r="L1447" s="169">
        <v>44134</v>
      </c>
      <c r="M1447" s="116">
        <v>48.95</v>
      </c>
      <c r="N1447" s="116">
        <v>50.9</v>
      </c>
      <c r="O1447" s="116">
        <v>48.5</v>
      </c>
      <c r="P1447" s="116">
        <v>49.2</v>
      </c>
      <c r="Q1447" s="116">
        <v>48.95</v>
      </c>
      <c r="R1447">
        <v>5395</v>
      </c>
    </row>
    <row r="1448" spans="1:18" x14ac:dyDescent="0.25">
      <c r="A1448" s="169">
        <v>44169</v>
      </c>
      <c r="B1448" s="116">
        <v>57.25</v>
      </c>
      <c r="C1448" s="116">
        <v>54.85</v>
      </c>
      <c r="D1448" s="116">
        <v>54.5</v>
      </c>
      <c r="E1448" s="116">
        <v>55.8</v>
      </c>
      <c r="F1448" s="116">
        <v>54.85</v>
      </c>
      <c r="G1448">
        <v>8992</v>
      </c>
      <c r="H1448" s="116"/>
      <c r="I1448" s="116"/>
      <c r="L1448" s="169">
        <v>44137</v>
      </c>
      <c r="M1448" s="116">
        <v>47.95</v>
      </c>
      <c r="N1448" s="116">
        <v>50.25</v>
      </c>
      <c r="O1448" s="116">
        <v>47.4</v>
      </c>
      <c r="P1448" s="116">
        <v>50.25</v>
      </c>
      <c r="Q1448" s="116">
        <v>47.95</v>
      </c>
      <c r="R1448">
        <v>2718</v>
      </c>
    </row>
    <row r="1449" spans="1:18" x14ac:dyDescent="0.25">
      <c r="A1449" s="169">
        <v>44172</v>
      </c>
      <c r="B1449" s="116">
        <v>63</v>
      </c>
      <c r="C1449" s="116">
        <v>61.15</v>
      </c>
      <c r="D1449" s="116">
        <v>56.1</v>
      </c>
      <c r="E1449" s="116">
        <v>56.1</v>
      </c>
      <c r="F1449" s="116">
        <v>61.15</v>
      </c>
      <c r="G1449">
        <v>15928</v>
      </c>
      <c r="H1449" s="116"/>
      <c r="I1449" s="116"/>
      <c r="L1449" s="169">
        <v>44138</v>
      </c>
      <c r="M1449" s="116">
        <v>49.3</v>
      </c>
      <c r="N1449" s="116">
        <v>49.8</v>
      </c>
      <c r="O1449" s="116">
        <v>48.05</v>
      </c>
      <c r="P1449" s="116">
        <v>48.95</v>
      </c>
      <c r="Q1449" s="116">
        <v>49.3</v>
      </c>
      <c r="R1449">
        <v>5833</v>
      </c>
    </row>
    <row r="1450" spans="1:18" x14ac:dyDescent="0.25">
      <c r="A1450" s="169">
        <v>44173</v>
      </c>
      <c r="B1450" s="116">
        <v>65.7</v>
      </c>
      <c r="C1450" s="116">
        <v>63</v>
      </c>
      <c r="D1450" s="116">
        <v>60.35</v>
      </c>
      <c r="E1450" s="116">
        <v>62.8</v>
      </c>
      <c r="F1450" s="116">
        <v>63</v>
      </c>
      <c r="G1450">
        <v>9917</v>
      </c>
      <c r="H1450" s="116"/>
      <c r="I1450" s="116"/>
      <c r="L1450" s="169">
        <v>44139</v>
      </c>
      <c r="M1450" s="116">
        <v>47.75</v>
      </c>
      <c r="N1450" s="116">
        <v>49.3</v>
      </c>
      <c r="O1450" s="116">
        <v>47.6</v>
      </c>
      <c r="P1450" s="116">
        <v>49</v>
      </c>
      <c r="Q1450" s="116">
        <v>47.75</v>
      </c>
      <c r="R1450">
        <v>1353</v>
      </c>
    </row>
    <row r="1451" spans="1:18" x14ac:dyDescent="0.25">
      <c r="A1451" s="169">
        <v>44174</v>
      </c>
      <c r="B1451" s="116">
        <v>63.45</v>
      </c>
      <c r="C1451" s="116">
        <v>62.6</v>
      </c>
      <c r="D1451" s="116">
        <v>60.95</v>
      </c>
      <c r="E1451" s="116">
        <v>61.95</v>
      </c>
      <c r="F1451" s="116">
        <v>62.6</v>
      </c>
      <c r="G1451">
        <v>3223</v>
      </c>
      <c r="H1451" s="116"/>
      <c r="I1451" s="116"/>
      <c r="L1451" s="169">
        <v>44140</v>
      </c>
      <c r="M1451" s="116">
        <v>49.3</v>
      </c>
      <c r="N1451" s="116">
        <v>49.85</v>
      </c>
      <c r="O1451" s="116">
        <v>47.8</v>
      </c>
      <c r="P1451" s="116">
        <v>48.5</v>
      </c>
      <c r="Q1451" s="116">
        <v>49.3</v>
      </c>
      <c r="R1451">
        <v>3516</v>
      </c>
    </row>
    <row r="1452" spans="1:18" x14ac:dyDescent="0.25">
      <c r="A1452" s="169">
        <v>44175</v>
      </c>
      <c r="B1452" s="116">
        <v>60</v>
      </c>
      <c r="C1452" s="116">
        <v>60</v>
      </c>
      <c r="D1452" s="116">
        <v>57.65</v>
      </c>
      <c r="E1452" s="116">
        <v>59.5</v>
      </c>
      <c r="F1452" s="116">
        <v>60</v>
      </c>
      <c r="G1452">
        <v>3756</v>
      </c>
      <c r="H1452" s="116"/>
      <c r="I1452" s="116"/>
      <c r="L1452" s="169">
        <v>44141</v>
      </c>
      <c r="M1452" s="116">
        <v>48.65</v>
      </c>
      <c r="N1452" s="116">
        <v>50.75</v>
      </c>
      <c r="O1452" s="116">
        <v>47.25</v>
      </c>
      <c r="P1452" s="116">
        <v>49</v>
      </c>
      <c r="Q1452" s="116">
        <v>48.65</v>
      </c>
      <c r="R1452">
        <v>5919</v>
      </c>
    </row>
    <row r="1453" spans="1:18" x14ac:dyDescent="0.25">
      <c r="A1453" s="169">
        <v>44176</v>
      </c>
      <c r="B1453" s="116">
        <v>63.35</v>
      </c>
      <c r="C1453" s="116">
        <v>61.95</v>
      </c>
      <c r="D1453" s="116">
        <v>60.55</v>
      </c>
      <c r="E1453" s="116">
        <v>60.55</v>
      </c>
      <c r="F1453" s="116">
        <v>61.95</v>
      </c>
      <c r="G1453">
        <v>1561</v>
      </c>
      <c r="H1453" s="116"/>
      <c r="I1453" s="116"/>
      <c r="L1453" s="169">
        <v>44144</v>
      </c>
      <c r="M1453" s="116">
        <v>48.6</v>
      </c>
      <c r="N1453" s="116">
        <v>49.5</v>
      </c>
      <c r="O1453" s="116">
        <v>48.2</v>
      </c>
      <c r="P1453" s="116">
        <v>49</v>
      </c>
      <c r="Q1453" s="116">
        <v>48.6</v>
      </c>
      <c r="R1453">
        <v>2383</v>
      </c>
    </row>
    <row r="1454" spans="1:18" x14ac:dyDescent="0.25">
      <c r="A1454" s="169">
        <v>44179</v>
      </c>
      <c r="B1454" s="116">
        <v>63.95</v>
      </c>
      <c r="C1454" s="116">
        <v>63.1</v>
      </c>
      <c r="D1454" s="116">
        <v>61</v>
      </c>
      <c r="E1454" s="116">
        <v>61</v>
      </c>
      <c r="F1454" s="116">
        <v>63.1</v>
      </c>
      <c r="G1454">
        <v>2891</v>
      </c>
      <c r="H1454" s="116"/>
      <c r="I1454" s="116"/>
      <c r="L1454" s="169">
        <v>44145</v>
      </c>
      <c r="M1454" s="116">
        <v>48.1</v>
      </c>
      <c r="N1454" s="116">
        <v>49.25</v>
      </c>
      <c r="O1454" s="116">
        <v>47.45</v>
      </c>
      <c r="P1454" s="116">
        <v>48.55</v>
      </c>
      <c r="Q1454" s="116">
        <v>48.1</v>
      </c>
      <c r="R1454">
        <v>5482</v>
      </c>
    </row>
    <row r="1455" spans="1:18" x14ac:dyDescent="0.25">
      <c r="A1455" s="169">
        <v>44180</v>
      </c>
      <c r="B1455" s="116">
        <v>69.400000000000006</v>
      </c>
      <c r="C1455" s="116">
        <v>68.95</v>
      </c>
      <c r="D1455" s="116">
        <v>62.25</v>
      </c>
      <c r="E1455" s="116">
        <v>62.25</v>
      </c>
      <c r="F1455" s="116">
        <v>68.95</v>
      </c>
      <c r="G1455">
        <v>13321</v>
      </c>
      <c r="H1455" s="116"/>
      <c r="I1455" s="116"/>
      <c r="L1455" s="169">
        <v>44146</v>
      </c>
      <c r="M1455" s="116">
        <v>49.55</v>
      </c>
      <c r="N1455" s="116">
        <v>49.95</v>
      </c>
      <c r="O1455" s="116">
        <v>47.75</v>
      </c>
      <c r="P1455" s="116">
        <v>48.45</v>
      </c>
      <c r="Q1455" s="116">
        <v>49.55</v>
      </c>
      <c r="R1455">
        <v>6478</v>
      </c>
    </row>
    <row r="1456" spans="1:18" x14ac:dyDescent="0.25">
      <c r="A1456" s="169">
        <v>44181</v>
      </c>
      <c r="B1456" s="116">
        <v>73.400000000000006</v>
      </c>
      <c r="C1456" s="116">
        <v>71.400000000000006</v>
      </c>
      <c r="D1456" s="116">
        <v>68.599999999999994</v>
      </c>
      <c r="E1456" s="116">
        <v>72</v>
      </c>
      <c r="F1456" s="116">
        <v>71.400000000000006</v>
      </c>
      <c r="G1456">
        <v>13708</v>
      </c>
      <c r="H1456" s="116"/>
      <c r="I1456" s="116"/>
      <c r="L1456" s="169">
        <v>44147</v>
      </c>
      <c r="M1456" s="116">
        <v>50.3</v>
      </c>
      <c r="N1456" s="116">
        <v>51.5</v>
      </c>
      <c r="O1456" s="116">
        <v>48.5</v>
      </c>
      <c r="P1456" s="116">
        <v>49.55</v>
      </c>
      <c r="Q1456" s="116">
        <v>50.3</v>
      </c>
      <c r="R1456">
        <v>9374</v>
      </c>
    </row>
    <row r="1457" spans="1:18" x14ac:dyDescent="0.25">
      <c r="A1457" s="169">
        <v>44182</v>
      </c>
      <c r="B1457" s="116">
        <v>80.400000000000006</v>
      </c>
      <c r="C1457" s="116">
        <v>77.05</v>
      </c>
      <c r="D1457" s="116">
        <v>71.400000000000006</v>
      </c>
      <c r="E1457" s="116">
        <v>71.5</v>
      </c>
      <c r="F1457" s="116">
        <v>77.05</v>
      </c>
      <c r="G1457">
        <v>21878</v>
      </c>
      <c r="H1457" s="116"/>
      <c r="I1457" s="116"/>
      <c r="L1457" s="169">
        <v>44148</v>
      </c>
      <c r="M1457" s="116">
        <v>50.05</v>
      </c>
      <c r="N1457" s="116">
        <v>50.9</v>
      </c>
      <c r="O1457" s="116">
        <v>49.2</v>
      </c>
      <c r="P1457" s="116">
        <v>50.9</v>
      </c>
      <c r="Q1457" s="116">
        <v>50.05</v>
      </c>
      <c r="R1457">
        <v>7037</v>
      </c>
    </row>
    <row r="1458" spans="1:18" x14ac:dyDescent="0.25">
      <c r="A1458" s="169">
        <v>44183</v>
      </c>
      <c r="B1458" s="116">
        <v>77.2</v>
      </c>
      <c r="C1458" s="116">
        <v>75.3</v>
      </c>
      <c r="D1458" s="116">
        <v>73.5</v>
      </c>
      <c r="E1458" s="116">
        <v>77.2</v>
      </c>
      <c r="F1458" s="116">
        <v>75.3</v>
      </c>
      <c r="G1458">
        <v>5672</v>
      </c>
      <c r="H1458" s="116"/>
      <c r="I1458" s="116"/>
      <c r="L1458" s="169">
        <v>44149</v>
      </c>
      <c r="M1458" s="116">
        <v>48.95</v>
      </c>
      <c r="N1458" s="116">
        <v>50.85</v>
      </c>
      <c r="O1458" s="116">
        <v>48.5</v>
      </c>
      <c r="P1458" s="116">
        <v>50.8</v>
      </c>
      <c r="Q1458" s="116">
        <v>48.95</v>
      </c>
      <c r="R1458">
        <v>6729</v>
      </c>
    </row>
    <row r="1459" spans="1:18" x14ac:dyDescent="0.25">
      <c r="A1459" s="169">
        <v>44186</v>
      </c>
      <c r="B1459" s="116">
        <v>76</v>
      </c>
      <c r="C1459" s="116">
        <v>69.150000000000006</v>
      </c>
      <c r="D1459" s="116">
        <v>68.849999999999994</v>
      </c>
      <c r="E1459" s="116">
        <v>75.05</v>
      </c>
      <c r="F1459" s="116">
        <v>69.150000000000006</v>
      </c>
      <c r="G1459">
        <v>8242</v>
      </c>
      <c r="H1459" s="116"/>
      <c r="I1459" s="116"/>
      <c r="L1459" s="169">
        <v>44152</v>
      </c>
      <c r="M1459" s="116">
        <v>50.4</v>
      </c>
      <c r="N1459" s="116">
        <v>50.6</v>
      </c>
      <c r="O1459" s="116">
        <v>49.4</v>
      </c>
      <c r="P1459" s="116">
        <v>49.7</v>
      </c>
      <c r="Q1459" s="116">
        <v>50.4</v>
      </c>
      <c r="R1459">
        <v>7906</v>
      </c>
    </row>
    <row r="1460" spans="1:18" x14ac:dyDescent="0.25">
      <c r="A1460" s="169">
        <v>44187</v>
      </c>
      <c r="B1460" s="116">
        <v>69.25</v>
      </c>
      <c r="C1460" s="116">
        <v>69.25</v>
      </c>
      <c r="D1460" s="116">
        <v>65.2</v>
      </c>
      <c r="E1460" s="116">
        <v>69.2</v>
      </c>
      <c r="F1460" s="116">
        <v>69.25</v>
      </c>
      <c r="G1460">
        <v>1751</v>
      </c>
      <c r="H1460" s="116"/>
      <c r="I1460" s="116"/>
      <c r="L1460" s="169">
        <v>44153</v>
      </c>
      <c r="M1460" s="116">
        <v>49.9</v>
      </c>
      <c r="N1460" s="116">
        <v>51.35</v>
      </c>
      <c r="O1460" s="116">
        <v>49.5</v>
      </c>
      <c r="P1460" s="116">
        <v>50.7</v>
      </c>
      <c r="Q1460" s="116">
        <v>49.9</v>
      </c>
      <c r="R1460">
        <v>13037</v>
      </c>
    </row>
    <row r="1461" spans="1:18" x14ac:dyDescent="0.25">
      <c r="A1461" s="169">
        <v>44188</v>
      </c>
      <c r="B1461" s="116">
        <v>71</v>
      </c>
      <c r="C1461" s="116">
        <v>68.7</v>
      </c>
      <c r="D1461" s="116">
        <v>68.55</v>
      </c>
      <c r="E1461" s="116">
        <v>69.3</v>
      </c>
      <c r="F1461" s="116">
        <v>68.7</v>
      </c>
      <c r="G1461">
        <v>2368</v>
      </c>
      <c r="H1461" s="116"/>
      <c r="I1461" s="116"/>
      <c r="L1461" s="169">
        <v>44154</v>
      </c>
      <c r="M1461" s="116">
        <v>51.1</v>
      </c>
      <c r="N1461" s="116">
        <v>52.5</v>
      </c>
      <c r="O1461" s="116">
        <v>50.55</v>
      </c>
      <c r="P1461" s="116">
        <v>50.8</v>
      </c>
      <c r="Q1461" s="116">
        <v>51.1</v>
      </c>
      <c r="R1461">
        <v>23316</v>
      </c>
    </row>
    <row r="1462" spans="1:18" x14ac:dyDescent="0.25">
      <c r="A1462" s="169">
        <v>44189</v>
      </c>
      <c r="B1462" s="116">
        <v>71</v>
      </c>
      <c r="C1462" s="116">
        <v>68.75</v>
      </c>
      <c r="D1462" s="116">
        <v>68.599999999999994</v>
      </c>
      <c r="E1462" s="116">
        <v>70.5</v>
      </c>
      <c r="F1462" s="116">
        <v>68.75</v>
      </c>
      <c r="G1462">
        <v>6130</v>
      </c>
      <c r="H1462" s="116"/>
      <c r="I1462" s="116"/>
      <c r="L1462" s="169">
        <v>44155</v>
      </c>
      <c r="M1462" s="116">
        <v>50.45</v>
      </c>
      <c r="N1462" s="116">
        <v>51.9</v>
      </c>
      <c r="O1462" s="116">
        <v>49.3</v>
      </c>
      <c r="P1462" s="116">
        <v>50.75</v>
      </c>
      <c r="Q1462" s="116">
        <v>50.45</v>
      </c>
      <c r="R1462">
        <v>18832</v>
      </c>
    </row>
    <row r="1463" spans="1:18" x14ac:dyDescent="0.25">
      <c r="A1463" s="169">
        <v>44193</v>
      </c>
      <c r="B1463" s="116">
        <v>71</v>
      </c>
      <c r="C1463" s="116">
        <v>70.5</v>
      </c>
      <c r="D1463" s="116">
        <v>69.650000000000006</v>
      </c>
      <c r="E1463" s="116">
        <v>69.95</v>
      </c>
      <c r="F1463" s="116">
        <v>70.5</v>
      </c>
      <c r="G1463">
        <v>2180</v>
      </c>
      <c r="H1463" s="116"/>
      <c r="I1463" s="116"/>
      <c r="L1463" s="169">
        <v>44158</v>
      </c>
      <c r="M1463" s="116">
        <v>51.4</v>
      </c>
      <c r="N1463" s="116">
        <v>51.8</v>
      </c>
      <c r="O1463" s="116">
        <v>49.4</v>
      </c>
      <c r="P1463" s="116">
        <v>50.05</v>
      </c>
      <c r="Q1463" s="116">
        <v>51.4</v>
      </c>
      <c r="R1463">
        <v>7571</v>
      </c>
    </row>
    <row r="1464" spans="1:18" x14ac:dyDescent="0.25">
      <c r="A1464" s="169">
        <v>44194</v>
      </c>
      <c r="B1464" s="116">
        <v>77.55</v>
      </c>
      <c r="C1464" s="116">
        <v>77.55</v>
      </c>
      <c r="D1464" s="116">
        <v>70.900000000000006</v>
      </c>
      <c r="E1464" s="116">
        <v>70.900000000000006</v>
      </c>
      <c r="F1464" s="116">
        <v>77.55</v>
      </c>
      <c r="G1464">
        <v>21360</v>
      </c>
      <c r="H1464" s="116"/>
      <c r="I1464" s="116"/>
      <c r="L1464" s="169">
        <v>44159</v>
      </c>
      <c r="M1464" s="116">
        <v>50.65</v>
      </c>
      <c r="N1464" s="116">
        <v>52</v>
      </c>
      <c r="O1464" s="116">
        <v>50.35</v>
      </c>
      <c r="P1464" s="116">
        <v>51.95</v>
      </c>
      <c r="Q1464" s="116">
        <v>50.65</v>
      </c>
      <c r="R1464">
        <v>4933</v>
      </c>
    </row>
    <row r="1465" spans="1:18" x14ac:dyDescent="0.25">
      <c r="A1465" s="169">
        <v>44195</v>
      </c>
      <c r="B1465" s="116">
        <v>83.9</v>
      </c>
      <c r="C1465" s="116">
        <v>80.3</v>
      </c>
      <c r="D1465" s="116">
        <v>76.3</v>
      </c>
      <c r="E1465" s="116">
        <v>79.5</v>
      </c>
      <c r="F1465" s="116">
        <v>80.3</v>
      </c>
      <c r="G1465">
        <v>20077</v>
      </c>
      <c r="H1465" s="116"/>
      <c r="I1465" s="116"/>
      <c r="L1465" s="169">
        <v>44160</v>
      </c>
      <c r="M1465" s="116">
        <v>55.45</v>
      </c>
      <c r="N1465" s="116">
        <v>59</v>
      </c>
      <c r="O1465" s="116">
        <v>50.3</v>
      </c>
      <c r="P1465" s="116">
        <v>51</v>
      </c>
      <c r="Q1465" s="116">
        <v>55.45</v>
      </c>
      <c r="R1465">
        <v>79939</v>
      </c>
    </row>
    <row r="1466" spans="1:18" x14ac:dyDescent="0.25">
      <c r="A1466" s="169">
        <v>44196</v>
      </c>
      <c r="B1466" s="116">
        <v>82</v>
      </c>
      <c r="C1466" s="116">
        <v>76.849999999999994</v>
      </c>
      <c r="D1466" s="116">
        <v>75.3</v>
      </c>
      <c r="E1466" s="116">
        <v>80.3</v>
      </c>
      <c r="F1466" s="116">
        <v>76.849999999999994</v>
      </c>
      <c r="G1466">
        <v>7190</v>
      </c>
      <c r="H1466" s="116"/>
      <c r="I1466" s="116"/>
      <c r="L1466" s="169">
        <v>44161</v>
      </c>
      <c r="M1466" s="116">
        <v>56.65</v>
      </c>
      <c r="N1466" s="116">
        <v>58</v>
      </c>
      <c r="O1466" s="116">
        <v>54.95</v>
      </c>
      <c r="P1466" s="116">
        <v>55.45</v>
      </c>
      <c r="Q1466" s="116">
        <v>56.65</v>
      </c>
      <c r="R1466">
        <v>106378</v>
      </c>
    </row>
    <row r="1467" spans="1:18" x14ac:dyDescent="0.25">
      <c r="A1467" s="169">
        <v>44197</v>
      </c>
      <c r="B1467" s="116">
        <v>79.849999999999994</v>
      </c>
      <c r="C1467" s="116">
        <v>78.25</v>
      </c>
      <c r="D1467" s="116">
        <v>75.55</v>
      </c>
      <c r="E1467" s="116">
        <v>79.849999999999994</v>
      </c>
      <c r="F1467" s="116">
        <v>78.25</v>
      </c>
      <c r="G1467">
        <v>1192</v>
      </c>
      <c r="H1467" s="116"/>
      <c r="I1467" s="116"/>
      <c r="L1467" s="169">
        <v>44162</v>
      </c>
      <c r="M1467" s="116">
        <v>56.5</v>
      </c>
      <c r="N1467" s="116">
        <v>57.85</v>
      </c>
      <c r="O1467" s="116">
        <v>56</v>
      </c>
      <c r="P1467" s="116">
        <v>56.65</v>
      </c>
      <c r="Q1467" s="116">
        <v>56.5</v>
      </c>
      <c r="R1467">
        <v>38016</v>
      </c>
    </row>
    <row r="1468" spans="1:18" x14ac:dyDescent="0.25">
      <c r="A1468" s="169">
        <v>44200</v>
      </c>
      <c r="B1468" s="116">
        <v>81.650000000000006</v>
      </c>
      <c r="C1468" s="116">
        <v>79.95</v>
      </c>
      <c r="D1468" s="116">
        <v>78.349999999999994</v>
      </c>
      <c r="E1468" s="116">
        <v>80.7</v>
      </c>
      <c r="F1468" s="116">
        <v>79.95</v>
      </c>
      <c r="G1468">
        <v>2914</v>
      </c>
      <c r="H1468" s="116"/>
      <c r="I1468" s="116"/>
      <c r="L1468" s="169">
        <v>44166</v>
      </c>
      <c r="M1468" s="116">
        <v>56.45</v>
      </c>
      <c r="N1468" s="116">
        <v>57.85</v>
      </c>
      <c r="O1468" s="116">
        <v>53.45</v>
      </c>
      <c r="P1468" s="116">
        <v>57.5</v>
      </c>
      <c r="Q1468" s="116">
        <v>56.45</v>
      </c>
      <c r="R1468">
        <v>10646</v>
      </c>
    </row>
    <row r="1469" spans="1:18" x14ac:dyDescent="0.25">
      <c r="A1469" s="169">
        <v>44201</v>
      </c>
      <c r="B1469" s="116">
        <v>91.8</v>
      </c>
      <c r="C1469" s="116">
        <v>88.7</v>
      </c>
      <c r="D1469" s="116">
        <v>78.400000000000006</v>
      </c>
      <c r="E1469" s="116">
        <v>78.599999999999994</v>
      </c>
      <c r="F1469" s="116">
        <v>88.7</v>
      </c>
      <c r="G1469">
        <v>12196</v>
      </c>
      <c r="H1469" s="116"/>
      <c r="I1469" s="116"/>
      <c r="L1469" s="169">
        <v>44167</v>
      </c>
      <c r="M1469" s="116">
        <v>55.55</v>
      </c>
      <c r="N1469" s="116">
        <v>56.8</v>
      </c>
      <c r="O1469" s="116">
        <v>54.4</v>
      </c>
      <c r="P1469" s="116">
        <v>55.9</v>
      </c>
      <c r="Q1469" s="116">
        <v>55.55</v>
      </c>
      <c r="R1469">
        <v>15272</v>
      </c>
    </row>
    <row r="1470" spans="1:18" x14ac:dyDescent="0.25">
      <c r="A1470" s="169">
        <v>44202</v>
      </c>
      <c r="B1470" s="116">
        <v>103.6</v>
      </c>
      <c r="C1470" s="116">
        <v>100.65</v>
      </c>
      <c r="D1470" s="116">
        <v>91</v>
      </c>
      <c r="E1470" s="116">
        <v>91</v>
      </c>
      <c r="F1470" s="116">
        <v>100.65</v>
      </c>
      <c r="G1470">
        <v>32808</v>
      </c>
      <c r="H1470" s="116"/>
      <c r="I1470" s="116"/>
      <c r="L1470" s="169">
        <v>44168</v>
      </c>
      <c r="M1470" s="116">
        <v>55.25</v>
      </c>
      <c r="N1470" s="116">
        <v>56.5</v>
      </c>
      <c r="O1470" s="116">
        <v>54.65</v>
      </c>
      <c r="P1470" s="116">
        <v>55.95</v>
      </c>
      <c r="Q1470" s="116">
        <v>55.25</v>
      </c>
      <c r="R1470">
        <v>10247</v>
      </c>
    </row>
    <row r="1471" spans="1:18" x14ac:dyDescent="0.25">
      <c r="A1471" s="169">
        <v>44203</v>
      </c>
      <c r="B1471" s="116">
        <v>103.75</v>
      </c>
      <c r="C1471" s="116">
        <v>98.55</v>
      </c>
      <c r="D1471" s="116">
        <v>97.65</v>
      </c>
      <c r="E1471" s="116">
        <v>103</v>
      </c>
      <c r="F1471" s="116">
        <v>98.55</v>
      </c>
      <c r="G1471">
        <v>18669</v>
      </c>
      <c r="H1471" s="116"/>
      <c r="I1471" s="116"/>
      <c r="L1471" s="169">
        <v>44169</v>
      </c>
      <c r="M1471" s="116">
        <v>54.95</v>
      </c>
      <c r="N1471" s="116">
        <v>58</v>
      </c>
      <c r="O1471" s="116">
        <v>54.5</v>
      </c>
      <c r="P1471" s="116">
        <v>56.9</v>
      </c>
      <c r="Q1471" s="116">
        <v>54.95</v>
      </c>
      <c r="R1471">
        <v>39724</v>
      </c>
    </row>
    <row r="1472" spans="1:18" x14ac:dyDescent="0.25">
      <c r="A1472" s="169">
        <v>44204</v>
      </c>
      <c r="B1472" s="116">
        <v>97.6</v>
      </c>
      <c r="C1472" s="116">
        <v>95.35</v>
      </c>
      <c r="D1472" s="116">
        <v>91.8</v>
      </c>
      <c r="E1472" s="116">
        <v>97.55</v>
      </c>
      <c r="F1472" s="116">
        <v>95.35</v>
      </c>
      <c r="G1472">
        <v>4116</v>
      </c>
      <c r="H1472" s="116"/>
      <c r="I1472" s="116"/>
      <c r="L1472" s="169">
        <v>44172</v>
      </c>
      <c r="M1472" s="116">
        <v>61.75</v>
      </c>
      <c r="N1472" s="116">
        <v>63.1</v>
      </c>
      <c r="O1472" s="116">
        <v>55.15</v>
      </c>
      <c r="P1472" s="116">
        <v>56.45</v>
      </c>
      <c r="Q1472" s="116">
        <v>61.75</v>
      </c>
      <c r="R1472">
        <v>162804</v>
      </c>
    </row>
    <row r="1473" spans="1:18" x14ac:dyDescent="0.25">
      <c r="A1473" s="169">
        <v>44207</v>
      </c>
      <c r="B1473" s="116">
        <v>98.35</v>
      </c>
      <c r="C1473" s="116">
        <v>94.7</v>
      </c>
      <c r="D1473" s="116">
        <v>94.3</v>
      </c>
      <c r="E1473" s="116">
        <v>98.35</v>
      </c>
      <c r="F1473" s="116">
        <v>94.7</v>
      </c>
      <c r="G1473">
        <v>2558</v>
      </c>
      <c r="H1473" s="116"/>
      <c r="I1473" s="116"/>
      <c r="L1473" s="169">
        <v>44173</v>
      </c>
      <c r="M1473" s="116">
        <v>62.5</v>
      </c>
      <c r="N1473" s="116">
        <v>65.55</v>
      </c>
      <c r="O1473" s="116">
        <v>60</v>
      </c>
      <c r="P1473" s="116">
        <v>61.75</v>
      </c>
      <c r="Q1473" s="116">
        <v>62.5</v>
      </c>
      <c r="R1473">
        <v>74536</v>
      </c>
    </row>
    <row r="1474" spans="1:18" x14ac:dyDescent="0.25">
      <c r="A1474" s="169">
        <v>44208</v>
      </c>
      <c r="B1474" s="116">
        <v>93.4</v>
      </c>
      <c r="C1474" s="116">
        <v>92</v>
      </c>
      <c r="D1474" s="116">
        <v>91.2</v>
      </c>
      <c r="E1474" s="116">
        <v>93</v>
      </c>
      <c r="F1474" s="116">
        <v>92</v>
      </c>
      <c r="G1474">
        <v>361</v>
      </c>
      <c r="H1474" s="116"/>
      <c r="I1474" s="116"/>
      <c r="L1474" s="169">
        <v>44174</v>
      </c>
      <c r="M1474" s="116">
        <v>61.8</v>
      </c>
      <c r="N1474" s="116">
        <v>62.9</v>
      </c>
      <c r="O1474" s="116">
        <v>61.05</v>
      </c>
      <c r="P1474" s="116">
        <v>62</v>
      </c>
      <c r="Q1474" s="116">
        <v>61.8</v>
      </c>
      <c r="R1474">
        <v>19632</v>
      </c>
    </row>
    <row r="1475" spans="1:18" x14ac:dyDescent="0.25">
      <c r="A1475" s="169">
        <v>44209</v>
      </c>
      <c r="B1475" s="116">
        <v>94.25</v>
      </c>
      <c r="C1475" s="116">
        <v>93.45</v>
      </c>
      <c r="D1475" s="116">
        <v>91.5</v>
      </c>
      <c r="E1475" s="116">
        <v>91.95</v>
      </c>
      <c r="F1475" s="116">
        <v>93.45</v>
      </c>
      <c r="G1475">
        <v>2460</v>
      </c>
      <c r="H1475" s="116"/>
      <c r="I1475" s="116"/>
      <c r="L1475" s="169">
        <v>44175</v>
      </c>
      <c r="M1475" s="116">
        <v>60.25</v>
      </c>
      <c r="N1475" s="116">
        <v>61.65</v>
      </c>
      <c r="O1475" s="116">
        <v>58.35</v>
      </c>
      <c r="P1475" s="116">
        <v>61</v>
      </c>
      <c r="Q1475" s="116">
        <v>60.25</v>
      </c>
      <c r="R1475">
        <v>11308</v>
      </c>
    </row>
    <row r="1476" spans="1:18" x14ac:dyDescent="0.25">
      <c r="A1476" s="169">
        <v>44210</v>
      </c>
      <c r="B1476" s="116">
        <v>98</v>
      </c>
      <c r="C1476" s="116">
        <v>90.35</v>
      </c>
      <c r="D1476" s="116">
        <v>89.05</v>
      </c>
      <c r="E1476" s="116">
        <v>89.05</v>
      </c>
      <c r="F1476" s="116">
        <v>90.35</v>
      </c>
      <c r="G1476">
        <v>4107</v>
      </c>
      <c r="H1476" s="116"/>
      <c r="I1476" s="116"/>
      <c r="L1476" s="169">
        <v>44176</v>
      </c>
      <c r="M1476" s="116">
        <v>61.95</v>
      </c>
      <c r="N1476" s="116">
        <v>62.45</v>
      </c>
      <c r="O1476" s="116">
        <v>60.25</v>
      </c>
      <c r="P1476" s="116">
        <v>60.25</v>
      </c>
      <c r="Q1476" s="116">
        <v>61.95</v>
      </c>
      <c r="R1476">
        <v>16655</v>
      </c>
    </row>
    <row r="1477" spans="1:18" x14ac:dyDescent="0.25">
      <c r="A1477" s="169">
        <v>44211</v>
      </c>
      <c r="B1477" s="116">
        <v>91.85</v>
      </c>
      <c r="C1477" s="116">
        <v>89</v>
      </c>
      <c r="D1477" s="116">
        <v>86.65</v>
      </c>
      <c r="E1477" s="116">
        <v>88.7</v>
      </c>
      <c r="F1477" s="116">
        <v>89</v>
      </c>
      <c r="G1477">
        <v>722</v>
      </c>
      <c r="H1477" s="116"/>
      <c r="I1477" s="116"/>
      <c r="L1477" s="169">
        <v>44179</v>
      </c>
      <c r="M1477" s="116">
        <v>63.4</v>
      </c>
      <c r="N1477" s="116">
        <v>64</v>
      </c>
      <c r="O1477" s="116">
        <v>61.5</v>
      </c>
      <c r="P1477" s="116">
        <v>62</v>
      </c>
      <c r="Q1477" s="116">
        <v>63.4</v>
      </c>
      <c r="R1477">
        <v>12248</v>
      </c>
    </row>
    <row r="1478" spans="1:18" x14ac:dyDescent="0.25">
      <c r="A1478" s="169">
        <v>44214</v>
      </c>
      <c r="B1478" s="116">
        <v>92</v>
      </c>
      <c r="C1478" s="116">
        <v>84.8</v>
      </c>
      <c r="D1478" s="116">
        <v>84.6</v>
      </c>
      <c r="E1478" s="116">
        <v>86.5</v>
      </c>
      <c r="F1478" s="116">
        <v>84.8</v>
      </c>
      <c r="G1478">
        <v>1168</v>
      </c>
      <c r="H1478" s="116"/>
      <c r="I1478" s="116"/>
      <c r="L1478" s="169">
        <v>44180</v>
      </c>
      <c r="M1478" s="116">
        <v>68.5</v>
      </c>
      <c r="N1478" s="116">
        <v>69.8</v>
      </c>
      <c r="O1478" s="116">
        <v>62</v>
      </c>
      <c r="P1478" s="116">
        <v>63</v>
      </c>
      <c r="Q1478" s="116">
        <v>68.5</v>
      </c>
      <c r="R1478">
        <v>78006</v>
      </c>
    </row>
    <row r="1479" spans="1:18" x14ac:dyDescent="0.25">
      <c r="A1479" s="169">
        <v>44215</v>
      </c>
      <c r="B1479" s="116">
        <v>87</v>
      </c>
      <c r="C1479" s="116">
        <v>85.15</v>
      </c>
      <c r="D1479" s="116">
        <v>81.849999999999994</v>
      </c>
      <c r="E1479" s="116">
        <v>81.849999999999994</v>
      </c>
      <c r="F1479" s="116">
        <v>85.15</v>
      </c>
      <c r="G1479">
        <v>1540</v>
      </c>
      <c r="H1479" s="116"/>
      <c r="I1479" s="116"/>
      <c r="L1479" s="169">
        <v>44181</v>
      </c>
      <c r="M1479" s="116">
        <v>71.05</v>
      </c>
      <c r="N1479" s="116">
        <v>73.05</v>
      </c>
      <c r="O1479" s="116">
        <v>67.150000000000006</v>
      </c>
      <c r="P1479" s="116">
        <v>69.8</v>
      </c>
      <c r="Q1479" s="116">
        <v>71.05</v>
      </c>
      <c r="R1479">
        <v>129565</v>
      </c>
    </row>
    <row r="1480" spans="1:18" x14ac:dyDescent="0.25">
      <c r="A1480" s="169">
        <v>44216</v>
      </c>
      <c r="B1480" s="116">
        <v>88.8</v>
      </c>
      <c r="C1480" s="116">
        <v>87.8</v>
      </c>
      <c r="D1480" s="116">
        <v>83.1</v>
      </c>
      <c r="E1480" s="116">
        <v>85.85</v>
      </c>
      <c r="F1480" s="116">
        <v>87.8</v>
      </c>
      <c r="G1480">
        <v>742</v>
      </c>
      <c r="H1480" s="116"/>
      <c r="I1480" s="116"/>
      <c r="L1480" s="169">
        <v>44182</v>
      </c>
      <c r="M1480" s="116">
        <v>77.95</v>
      </c>
      <c r="N1480" s="116">
        <v>81</v>
      </c>
      <c r="O1480" s="116">
        <v>71.849999999999994</v>
      </c>
      <c r="P1480" s="116">
        <v>71.849999999999994</v>
      </c>
      <c r="Q1480" s="116">
        <v>77.95</v>
      </c>
      <c r="R1480">
        <v>194116</v>
      </c>
    </row>
    <row r="1481" spans="1:18" x14ac:dyDescent="0.25">
      <c r="A1481" s="169">
        <v>44217</v>
      </c>
      <c r="B1481" s="116">
        <v>92.15</v>
      </c>
      <c r="C1481" s="116">
        <v>92.15</v>
      </c>
      <c r="D1481" s="116">
        <v>91.4</v>
      </c>
      <c r="E1481" s="116">
        <v>91.45</v>
      </c>
      <c r="F1481" s="116">
        <v>92.15</v>
      </c>
      <c r="G1481">
        <v>14230</v>
      </c>
      <c r="H1481" s="116"/>
      <c r="I1481" s="116"/>
      <c r="L1481" s="169">
        <v>44183</v>
      </c>
      <c r="M1481" s="116">
        <v>75.25</v>
      </c>
      <c r="N1481" s="116">
        <v>77.900000000000006</v>
      </c>
      <c r="O1481" s="116">
        <v>73.8</v>
      </c>
      <c r="P1481" s="116">
        <v>77.900000000000006</v>
      </c>
      <c r="Q1481" s="116">
        <v>75.25</v>
      </c>
      <c r="R1481">
        <v>27538</v>
      </c>
    </row>
    <row r="1482" spans="1:18" x14ac:dyDescent="0.25">
      <c r="A1482" s="169">
        <v>44218</v>
      </c>
      <c r="B1482" s="116">
        <v>95</v>
      </c>
      <c r="C1482" s="116">
        <v>89</v>
      </c>
      <c r="D1482" s="116">
        <v>87.55</v>
      </c>
      <c r="E1482" s="116">
        <v>95</v>
      </c>
      <c r="F1482" s="116">
        <v>89</v>
      </c>
      <c r="G1482">
        <v>2687</v>
      </c>
      <c r="H1482" s="116"/>
      <c r="I1482" s="116"/>
      <c r="L1482" s="169">
        <v>44186</v>
      </c>
      <c r="M1482" s="116">
        <v>69.099999999999994</v>
      </c>
      <c r="N1482" s="116">
        <v>78</v>
      </c>
      <c r="O1482" s="116">
        <v>68.75</v>
      </c>
      <c r="P1482" s="116">
        <v>74.7</v>
      </c>
      <c r="Q1482" s="116">
        <v>69.099999999999994</v>
      </c>
      <c r="R1482">
        <v>52543</v>
      </c>
    </row>
    <row r="1483" spans="1:18" x14ac:dyDescent="0.25">
      <c r="A1483" s="169">
        <v>44221</v>
      </c>
      <c r="B1483" s="116">
        <v>92.9</v>
      </c>
      <c r="C1483" s="116">
        <v>84.55</v>
      </c>
      <c r="D1483" s="116">
        <v>84.55</v>
      </c>
      <c r="E1483" s="116">
        <v>92.9</v>
      </c>
      <c r="F1483" s="116">
        <v>84.55</v>
      </c>
      <c r="G1483">
        <v>4970</v>
      </c>
      <c r="H1483" s="116"/>
      <c r="I1483" s="116"/>
      <c r="L1483" s="169">
        <v>44187</v>
      </c>
      <c r="M1483" s="116">
        <v>70</v>
      </c>
      <c r="N1483" s="116">
        <v>74.7</v>
      </c>
      <c r="O1483" s="116">
        <v>65.650000000000006</v>
      </c>
      <c r="P1483" s="116">
        <v>69.099999999999994</v>
      </c>
      <c r="Q1483" s="116">
        <v>70</v>
      </c>
      <c r="R1483">
        <v>13232</v>
      </c>
    </row>
    <row r="1484" spans="1:18" x14ac:dyDescent="0.25">
      <c r="A1484" s="169">
        <v>44223</v>
      </c>
      <c r="B1484" s="116">
        <v>84.45</v>
      </c>
      <c r="C1484" s="116">
        <v>81.7</v>
      </c>
      <c r="D1484" s="116">
        <v>80.5</v>
      </c>
      <c r="E1484" s="116">
        <v>80.5</v>
      </c>
      <c r="F1484" s="116">
        <v>81.7</v>
      </c>
      <c r="G1484">
        <v>2855</v>
      </c>
      <c r="H1484" s="116"/>
      <c r="I1484" s="116"/>
      <c r="L1484" s="169">
        <v>44188</v>
      </c>
      <c r="M1484" s="116">
        <v>69</v>
      </c>
      <c r="N1484" s="116">
        <v>73.900000000000006</v>
      </c>
      <c r="O1484" s="116">
        <v>68</v>
      </c>
      <c r="P1484" s="116">
        <v>73.849999999999994</v>
      </c>
      <c r="Q1484" s="116">
        <v>69</v>
      </c>
      <c r="R1484">
        <v>59433</v>
      </c>
    </row>
    <row r="1485" spans="1:18" x14ac:dyDescent="0.25">
      <c r="A1485" s="169">
        <v>44224</v>
      </c>
      <c r="B1485" s="116">
        <v>83.9</v>
      </c>
      <c r="C1485" s="116">
        <v>83.9</v>
      </c>
      <c r="D1485" s="116">
        <v>78.5</v>
      </c>
      <c r="E1485" s="116">
        <v>78.5</v>
      </c>
      <c r="F1485" s="116">
        <v>83.9</v>
      </c>
      <c r="G1485">
        <v>1026</v>
      </c>
      <c r="H1485" s="116"/>
      <c r="I1485" s="116"/>
      <c r="L1485" s="169">
        <v>44189</v>
      </c>
      <c r="M1485" s="116">
        <v>68.900000000000006</v>
      </c>
      <c r="N1485" s="116">
        <v>70.95</v>
      </c>
      <c r="O1485" s="116">
        <v>68.05</v>
      </c>
      <c r="P1485" s="116">
        <v>69.849999999999994</v>
      </c>
      <c r="Q1485" s="116">
        <v>68.900000000000006</v>
      </c>
      <c r="R1485">
        <v>17305</v>
      </c>
    </row>
    <row r="1486" spans="1:18" x14ac:dyDescent="0.25">
      <c r="A1486" s="169">
        <v>44225</v>
      </c>
      <c r="B1486" s="116">
        <v>85</v>
      </c>
      <c r="C1486" s="116">
        <v>80.900000000000006</v>
      </c>
      <c r="D1486" s="116">
        <v>80.849999999999994</v>
      </c>
      <c r="E1486" s="116">
        <v>85</v>
      </c>
      <c r="F1486" s="116">
        <v>80.900000000000006</v>
      </c>
      <c r="G1486">
        <v>888</v>
      </c>
      <c r="H1486" s="116"/>
      <c r="I1486" s="116"/>
      <c r="L1486" s="169">
        <v>44193</v>
      </c>
      <c r="M1486" s="116">
        <v>70.650000000000006</v>
      </c>
      <c r="N1486" s="116">
        <v>71.5</v>
      </c>
      <c r="O1486" s="116">
        <v>69</v>
      </c>
      <c r="P1486" s="116">
        <v>69.5</v>
      </c>
      <c r="Q1486" s="116">
        <v>70.650000000000006</v>
      </c>
      <c r="R1486">
        <v>17163</v>
      </c>
    </row>
    <row r="1487" spans="1:18" x14ac:dyDescent="0.25">
      <c r="A1487" s="169">
        <v>44228</v>
      </c>
      <c r="B1487" s="116">
        <v>83.9</v>
      </c>
      <c r="C1487" s="116">
        <v>83.9</v>
      </c>
      <c r="D1487" s="116">
        <v>82</v>
      </c>
      <c r="E1487" s="116">
        <v>82</v>
      </c>
      <c r="F1487" s="116">
        <v>83.9</v>
      </c>
      <c r="G1487">
        <v>149</v>
      </c>
      <c r="H1487" s="116"/>
      <c r="I1487" s="116"/>
      <c r="L1487" s="169">
        <v>44194</v>
      </c>
      <c r="M1487" s="116">
        <v>77.650000000000006</v>
      </c>
      <c r="N1487" s="116">
        <v>77.7</v>
      </c>
      <c r="O1487" s="116">
        <v>69.849999999999994</v>
      </c>
      <c r="P1487" s="116">
        <v>71.400000000000006</v>
      </c>
      <c r="Q1487" s="116">
        <v>77.650000000000006</v>
      </c>
      <c r="R1487">
        <v>106542</v>
      </c>
    </row>
    <row r="1488" spans="1:18" x14ac:dyDescent="0.25">
      <c r="A1488" s="169">
        <v>44229</v>
      </c>
      <c r="B1488" s="116">
        <v>80.75</v>
      </c>
      <c r="C1488" s="116">
        <v>79.75</v>
      </c>
      <c r="D1488" s="116">
        <v>79.75</v>
      </c>
      <c r="E1488" s="116">
        <v>79.75</v>
      </c>
      <c r="F1488" s="116">
        <v>79.75</v>
      </c>
      <c r="G1488">
        <v>292</v>
      </c>
      <c r="H1488" s="116"/>
      <c r="I1488" s="116"/>
      <c r="L1488" s="169">
        <v>44195</v>
      </c>
      <c r="M1488" s="116">
        <v>80.150000000000006</v>
      </c>
      <c r="N1488" s="116">
        <v>83.95</v>
      </c>
      <c r="O1488" s="116">
        <v>76.05</v>
      </c>
      <c r="P1488" s="116">
        <v>77.95</v>
      </c>
      <c r="Q1488" s="116">
        <v>80.150000000000006</v>
      </c>
      <c r="R1488">
        <v>106918</v>
      </c>
    </row>
    <row r="1489" spans="1:18" x14ac:dyDescent="0.25">
      <c r="A1489" s="169">
        <v>44230</v>
      </c>
      <c r="B1489" s="116">
        <v>82.5</v>
      </c>
      <c r="C1489" s="116">
        <v>78.2</v>
      </c>
      <c r="D1489" s="116">
        <v>76.5</v>
      </c>
      <c r="E1489" s="116">
        <v>76.5</v>
      </c>
      <c r="F1489" s="116">
        <v>78.2</v>
      </c>
      <c r="G1489">
        <v>1320</v>
      </c>
      <c r="H1489" s="116"/>
      <c r="I1489" s="116"/>
      <c r="L1489" s="169">
        <v>44196</v>
      </c>
      <c r="M1489" s="116">
        <v>76.849999999999994</v>
      </c>
      <c r="N1489" s="116">
        <v>83.4</v>
      </c>
      <c r="O1489" s="116">
        <v>75</v>
      </c>
      <c r="P1489" s="116">
        <v>79.7</v>
      </c>
      <c r="Q1489" s="116">
        <v>76.849999999999994</v>
      </c>
      <c r="R1489">
        <v>75596</v>
      </c>
    </row>
    <row r="1490" spans="1:18" x14ac:dyDescent="0.25">
      <c r="A1490" s="169">
        <v>44231</v>
      </c>
      <c r="B1490" s="116">
        <v>80.900000000000006</v>
      </c>
      <c r="C1490" s="116">
        <v>78.05</v>
      </c>
      <c r="D1490" s="116">
        <v>76.2</v>
      </c>
      <c r="E1490" s="116">
        <v>76.2</v>
      </c>
      <c r="F1490" s="116">
        <v>78.05</v>
      </c>
      <c r="G1490">
        <v>7930</v>
      </c>
      <c r="H1490" s="116"/>
      <c r="I1490" s="116"/>
      <c r="L1490" s="169">
        <v>44197</v>
      </c>
      <c r="M1490" s="116">
        <v>78.05</v>
      </c>
      <c r="N1490" s="116">
        <v>79.95</v>
      </c>
      <c r="O1490" s="116">
        <v>76.55</v>
      </c>
      <c r="P1490" s="116">
        <v>78.95</v>
      </c>
      <c r="Q1490" s="116">
        <v>78.05</v>
      </c>
      <c r="R1490">
        <v>11132</v>
      </c>
    </row>
    <row r="1491" spans="1:18" x14ac:dyDescent="0.25">
      <c r="A1491" s="169">
        <v>44232</v>
      </c>
      <c r="B1491" s="116">
        <v>79.7</v>
      </c>
      <c r="C1491" s="116">
        <v>78</v>
      </c>
      <c r="D1491" s="116">
        <v>78</v>
      </c>
      <c r="E1491" s="116">
        <v>78</v>
      </c>
      <c r="F1491" s="116">
        <v>78</v>
      </c>
      <c r="G1491">
        <v>7031</v>
      </c>
      <c r="H1491" s="116"/>
      <c r="I1491" s="116"/>
      <c r="L1491" s="169">
        <v>44200</v>
      </c>
      <c r="M1491" s="116">
        <v>79.95</v>
      </c>
      <c r="N1491" s="116">
        <v>81.7</v>
      </c>
      <c r="O1491" s="116">
        <v>78</v>
      </c>
      <c r="P1491" s="116">
        <v>79.599999999999994</v>
      </c>
      <c r="Q1491" s="116">
        <v>79.95</v>
      </c>
      <c r="R1491">
        <v>26057</v>
      </c>
    </row>
    <row r="1492" spans="1:18" x14ac:dyDescent="0.25">
      <c r="A1492" s="169">
        <v>44235</v>
      </c>
      <c r="B1492" s="116">
        <v>79.650000000000006</v>
      </c>
      <c r="C1492" s="116">
        <v>79.650000000000006</v>
      </c>
      <c r="D1492" s="116">
        <v>77</v>
      </c>
      <c r="E1492" s="116">
        <v>77.099999999999994</v>
      </c>
      <c r="F1492" s="116">
        <v>79.650000000000006</v>
      </c>
      <c r="G1492">
        <v>4320</v>
      </c>
      <c r="H1492" s="116"/>
      <c r="I1492" s="116"/>
      <c r="L1492" s="169">
        <v>44201</v>
      </c>
      <c r="M1492" s="116">
        <v>88.9</v>
      </c>
      <c r="N1492" s="116">
        <v>91.95</v>
      </c>
      <c r="O1492" s="116">
        <v>78.2</v>
      </c>
      <c r="P1492" s="116">
        <v>80.05</v>
      </c>
      <c r="Q1492" s="116">
        <v>88.9</v>
      </c>
      <c r="R1492">
        <v>112383</v>
      </c>
    </row>
    <row r="1493" spans="1:18" x14ac:dyDescent="0.25">
      <c r="A1493" s="169">
        <v>44236</v>
      </c>
      <c r="B1493" s="116">
        <v>80.2</v>
      </c>
      <c r="C1493" s="116">
        <v>79.25</v>
      </c>
      <c r="D1493" s="116">
        <v>76.25</v>
      </c>
      <c r="E1493" s="116">
        <v>76.25</v>
      </c>
      <c r="F1493" s="116">
        <v>79.25</v>
      </c>
      <c r="G1493">
        <v>11912</v>
      </c>
      <c r="H1493" s="116"/>
      <c r="I1493" s="116"/>
      <c r="L1493" s="169">
        <v>44202</v>
      </c>
      <c r="M1493" s="116">
        <v>100.8</v>
      </c>
      <c r="N1493" s="116">
        <v>104</v>
      </c>
      <c r="O1493" s="116">
        <v>89.5</v>
      </c>
      <c r="P1493" s="116">
        <v>92</v>
      </c>
      <c r="Q1493" s="116">
        <v>100.8</v>
      </c>
      <c r="R1493">
        <v>441112</v>
      </c>
    </row>
    <row r="1494" spans="1:18" x14ac:dyDescent="0.25">
      <c r="A1494" s="169">
        <v>44237</v>
      </c>
      <c r="B1494" s="116">
        <v>79</v>
      </c>
      <c r="C1494" s="116">
        <v>76.650000000000006</v>
      </c>
      <c r="D1494" s="116">
        <v>75.400000000000006</v>
      </c>
      <c r="E1494" s="116">
        <v>79</v>
      </c>
      <c r="F1494" s="116">
        <v>76.650000000000006</v>
      </c>
      <c r="G1494">
        <v>2098</v>
      </c>
      <c r="H1494" s="116"/>
      <c r="I1494" s="116"/>
      <c r="L1494" s="169">
        <v>44203</v>
      </c>
      <c r="M1494" s="116">
        <v>98.85</v>
      </c>
      <c r="N1494" s="116">
        <v>104</v>
      </c>
      <c r="O1494" s="116">
        <v>97.65</v>
      </c>
      <c r="P1494" s="116">
        <v>102.8</v>
      </c>
      <c r="Q1494" s="116">
        <v>98.85</v>
      </c>
      <c r="R1494">
        <v>117253</v>
      </c>
    </row>
    <row r="1495" spans="1:18" x14ac:dyDescent="0.25">
      <c r="A1495" s="169">
        <v>44238</v>
      </c>
      <c r="B1495" s="116">
        <v>77.95</v>
      </c>
      <c r="C1495" s="116">
        <v>76.150000000000006</v>
      </c>
      <c r="D1495" s="116">
        <v>76</v>
      </c>
      <c r="E1495" s="116">
        <v>76</v>
      </c>
      <c r="F1495" s="116">
        <v>76.150000000000006</v>
      </c>
      <c r="G1495">
        <v>2882</v>
      </c>
      <c r="H1495" s="116"/>
      <c r="I1495" s="116"/>
      <c r="L1495" s="169">
        <v>44204</v>
      </c>
      <c r="M1495" s="116">
        <v>95.5</v>
      </c>
      <c r="N1495" s="116">
        <v>98.9</v>
      </c>
      <c r="O1495" s="116">
        <v>91.3</v>
      </c>
      <c r="P1495" s="116">
        <v>98.85</v>
      </c>
      <c r="Q1495" s="116">
        <v>95.5</v>
      </c>
      <c r="R1495">
        <v>46914</v>
      </c>
    </row>
    <row r="1496" spans="1:18" x14ac:dyDescent="0.25">
      <c r="A1496" s="169">
        <v>44239</v>
      </c>
      <c r="B1496" s="116">
        <v>77.599999999999994</v>
      </c>
      <c r="C1496" s="116">
        <v>76</v>
      </c>
      <c r="D1496" s="116">
        <v>75.150000000000006</v>
      </c>
      <c r="E1496" s="116">
        <v>77.55</v>
      </c>
      <c r="F1496" s="116">
        <v>76</v>
      </c>
      <c r="G1496">
        <v>2924</v>
      </c>
      <c r="H1496" s="116"/>
      <c r="I1496" s="116"/>
      <c r="L1496" s="169">
        <v>44207</v>
      </c>
      <c r="M1496" s="116">
        <v>95</v>
      </c>
      <c r="N1496" s="116">
        <v>99.85</v>
      </c>
      <c r="O1496" s="116">
        <v>94.1</v>
      </c>
      <c r="P1496" s="116">
        <v>99</v>
      </c>
      <c r="Q1496" s="116">
        <v>95</v>
      </c>
      <c r="R1496">
        <v>23522</v>
      </c>
    </row>
    <row r="1497" spans="1:18" x14ac:dyDescent="0.25">
      <c r="A1497" s="169">
        <v>44242</v>
      </c>
      <c r="B1497" s="116">
        <v>78.7</v>
      </c>
      <c r="C1497" s="116">
        <v>74.8</v>
      </c>
      <c r="D1497" s="116">
        <v>74.5</v>
      </c>
      <c r="E1497" s="116">
        <v>78.7</v>
      </c>
      <c r="F1497" s="116">
        <v>74.8</v>
      </c>
      <c r="G1497">
        <v>2793</v>
      </c>
      <c r="H1497" s="116"/>
      <c r="I1497" s="116"/>
      <c r="L1497" s="169">
        <v>44208</v>
      </c>
      <c r="M1497" s="116">
        <v>92.15</v>
      </c>
      <c r="N1497" s="116">
        <v>94.35</v>
      </c>
      <c r="O1497" s="116">
        <v>90.3</v>
      </c>
      <c r="P1497" s="116">
        <v>94.3</v>
      </c>
      <c r="Q1497" s="116">
        <v>92.15</v>
      </c>
      <c r="R1497">
        <v>29580</v>
      </c>
    </row>
    <row r="1498" spans="1:18" x14ac:dyDescent="0.25">
      <c r="A1498" s="169">
        <v>44243</v>
      </c>
      <c r="B1498" s="116">
        <v>75.8</v>
      </c>
      <c r="C1498" s="116">
        <v>75.8</v>
      </c>
      <c r="D1498" s="116">
        <v>75.7</v>
      </c>
      <c r="E1498" s="116">
        <v>75.7</v>
      </c>
      <c r="F1498" s="116">
        <v>75.8</v>
      </c>
      <c r="G1498">
        <v>706</v>
      </c>
      <c r="H1498" s="116"/>
      <c r="I1498" s="116"/>
      <c r="L1498" s="169">
        <v>44209</v>
      </c>
      <c r="M1498" s="116">
        <v>93.35</v>
      </c>
      <c r="N1498" s="116">
        <v>95.9</v>
      </c>
      <c r="O1498" s="116">
        <v>90.95</v>
      </c>
      <c r="P1498" s="116">
        <v>92.3</v>
      </c>
      <c r="Q1498" s="116">
        <v>93.35</v>
      </c>
      <c r="R1498">
        <v>21931</v>
      </c>
    </row>
    <row r="1499" spans="1:18" x14ac:dyDescent="0.25">
      <c r="A1499" s="169">
        <v>44244</v>
      </c>
      <c r="B1499" s="116">
        <v>77.3</v>
      </c>
      <c r="C1499" s="116">
        <v>75</v>
      </c>
      <c r="D1499" s="116">
        <v>74.25</v>
      </c>
      <c r="E1499" s="116">
        <v>74.25</v>
      </c>
      <c r="F1499" s="116">
        <v>75</v>
      </c>
      <c r="G1499">
        <v>371</v>
      </c>
      <c r="H1499" s="116"/>
      <c r="I1499" s="116"/>
      <c r="L1499" s="169">
        <v>44210</v>
      </c>
      <c r="M1499" s="116">
        <v>90.7</v>
      </c>
      <c r="N1499" s="116">
        <v>96.15</v>
      </c>
      <c r="O1499" s="116">
        <v>90</v>
      </c>
      <c r="P1499" s="116">
        <v>96.15</v>
      </c>
      <c r="Q1499" s="116">
        <v>90.7</v>
      </c>
      <c r="R1499">
        <v>5996</v>
      </c>
    </row>
    <row r="1500" spans="1:18" x14ac:dyDescent="0.25">
      <c r="A1500" s="169">
        <v>44245</v>
      </c>
      <c r="B1500" s="116">
        <v>77</v>
      </c>
      <c r="C1500" s="116">
        <v>76.650000000000006</v>
      </c>
      <c r="D1500" s="116">
        <v>74.45</v>
      </c>
      <c r="E1500" s="116">
        <v>76.849999999999994</v>
      </c>
      <c r="F1500" s="116">
        <v>76.650000000000006</v>
      </c>
      <c r="G1500">
        <v>10020</v>
      </c>
      <c r="H1500" s="116"/>
      <c r="I1500" s="116"/>
      <c r="L1500" s="169">
        <v>44211</v>
      </c>
      <c r="M1500" s="116">
        <v>88.1</v>
      </c>
      <c r="N1500" s="116">
        <v>94.9</v>
      </c>
      <c r="O1500" s="116">
        <v>86.3</v>
      </c>
      <c r="P1500" s="116">
        <v>94.9</v>
      </c>
      <c r="Q1500" s="116">
        <v>88.1</v>
      </c>
      <c r="R1500">
        <v>8800</v>
      </c>
    </row>
    <row r="1501" spans="1:18" x14ac:dyDescent="0.25">
      <c r="A1501" s="169">
        <v>44246</v>
      </c>
      <c r="B1501" s="116">
        <v>79.8</v>
      </c>
      <c r="C1501" s="116">
        <v>75.150000000000006</v>
      </c>
      <c r="D1501" s="116">
        <v>75.05</v>
      </c>
      <c r="E1501" s="116">
        <v>78.95</v>
      </c>
      <c r="F1501" s="116">
        <v>75.150000000000006</v>
      </c>
      <c r="G1501">
        <v>5095</v>
      </c>
      <c r="H1501" s="116"/>
      <c r="I1501" s="116"/>
      <c r="L1501" s="169">
        <v>44214</v>
      </c>
      <c r="M1501" s="116">
        <v>84.05</v>
      </c>
      <c r="N1501" s="116">
        <v>92.5</v>
      </c>
      <c r="O1501" s="116">
        <v>83.7</v>
      </c>
      <c r="P1501" s="116">
        <v>84.25</v>
      </c>
      <c r="Q1501" s="116">
        <v>84.05</v>
      </c>
      <c r="R1501">
        <v>11215</v>
      </c>
    </row>
    <row r="1502" spans="1:18" x14ac:dyDescent="0.25">
      <c r="A1502" s="169">
        <v>44249</v>
      </c>
      <c r="B1502" s="116">
        <v>75.7</v>
      </c>
      <c r="C1502" s="116">
        <v>75.7</v>
      </c>
      <c r="D1502" s="116">
        <v>72.599999999999994</v>
      </c>
      <c r="E1502" s="116">
        <v>72.599999999999994</v>
      </c>
      <c r="F1502" s="116">
        <v>75.7</v>
      </c>
      <c r="G1502">
        <v>726</v>
      </c>
      <c r="H1502" s="116"/>
      <c r="I1502" s="116"/>
      <c r="L1502" s="169">
        <v>44215</v>
      </c>
      <c r="M1502" s="116">
        <v>83.45</v>
      </c>
      <c r="N1502" s="116">
        <v>88</v>
      </c>
      <c r="O1502" s="116">
        <v>81.25</v>
      </c>
      <c r="P1502" s="116">
        <v>84.1</v>
      </c>
      <c r="Q1502" s="116">
        <v>83.45</v>
      </c>
      <c r="R1502">
        <v>5180</v>
      </c>
    </row>
    <row r="1503" spans="1:18" x14ac:dyDescent="0.25">
      <c r="A1503" s="169">
        <v>44250</v>
      </c>
      <c r="B1503" s="116">
        <v>78.599999999999994</v>
      </c>
      <c r="C1503" s="116">
        <v>74.05</v>
      </c>
      <c r="D1503" s="116">
        <v>72.55</v>
      </c>
      <c r="E1503" s="116">
        <v>72.55</v>
      </c>
      <c r="F1503" s="116">
        <v>74.05</v>
      </c>
      <c r="G1503">
        <v>1305</v>
      </c>
      <c r="H1503" s="116"/>
      <c r="I1503" s="116"/>
      <c r="L1503" s="169">
        <v>44216</v>
      </c>
      <c r="M1503" s="116">
        <v>87.6</v>
      </c>
      <c r="N1503" s="116">
        <v>87.6</v>
      </c>
      <c r="O1503" s="116">
        <v>82.5</v>
      </c>
      <c r="P1503" s="116">
        <v>84</v>
      </c>
      <c r="Q1503" s="116">
        <v>87.6</v>
      </c>
      <c r="R1503">
        <v>10115</v>
      </c>
    </row>
    <row r="1504" spans="1:18" x14ac:dyDescent="0.25">
      <c r="A1504" s="169">
        <v>44251</v>
      </c>
      <c r="B1504" s="116">
        <v>75.400000000000006</v>
      </c>
      <c r="C1504" s="116">
        <v>75.349999999999994</v>
      </c>
      <c r="D1504" s="116">
        <v>72.5</v>
      </c>
      <c r="E1504" s="116">
        <v>73</v>
      </c>
      <c r="F1504" s="116">
        <v>75.349999999999994</v>
      </c>
      <c r="G1504">
        <v>909</v>
      </c>
      <c r="H1504" s="116"/>
      <c r="I1504" s="116"/>
      <c r="L1504" s="169">
        <v>44217</v>
      </c>
      <c r="M1504" s="116">
        <v>91.95</v>
      </c>
      <c r="N1504" s="116">
        <v>91.95</v>
      </c>
      <c r="O1504" s="116">
        <v>89</v>
      </c>
      <c r="P1504" s="116">
        <v>91.5</v>
      </c>
      <c r="Q1504" s="116">
        <v>91.95</v>
      </c>
      <c r="R1504">
        <v>9762</v>
      </c>
    </row>
    <row r="1505" spans="1:18" x14ac:dyDescent="0.25">
      <c r="A1505" s="169">
        <v>44252</v>
      </c>
      <c r="B1505" s="116">
        <v>76</v>
      </c>
      <c r="C1505" s="116">
        <v>75.25</v>
      </c>
      <c r="D1505" s="116">
        <v>72.8</v>
      </c>
      <c r="E1505" s="116">
        <v>76</v>
      </c>
      <c r="F1505" s="116">
        <v>75.25</v>
      </c>
      <c r="G1505">
        <v>2398</v>
      </c>
      <c r="H1505" s="116"/>
      <c r="I1505" s="116"/>
      <c r="L1505" s="169">
        <v>44218</v>
      </c>
      <c r="M1505" s="116">
        <v>88.4</v>
      </c>
      <c r="N1505" s="116">
        <v>96</v>
      </c>
      <c r="O1505" s="116">
        <v>87.4</v>
      </c>
      <c r="P1505" s="116">
        <v>96</v>
      </c>
      <c r="Q1505" s="116">
        <v>88.4</v>
      </c>
      <c r="R1505">
        <v>16085</v>
      </c>
    </row>
    <row r="1506" spans="1:18" x14ac:dyDescent="0.25">
      <c r="A1506" s="169">
        <v>44253</v>
      </c>
      <c r="B1506" s="116">
        <v>75</v>
      </c>
      <c r="C1506" s="116">
        <v>73.3</v>
      </c>
      <c r="D1506" s="116">
        <v>72.599999999999994</v>
      </c>
      <c r="E1506" s="116">
        <v>75</v>
      </c>
      <c r="F1506" s="116">
        <v>73.3</v>
      </c>
      <c r="G1506">
        <v>1673</v>
      </c>
      <c r="H1506" s="116"/>
      <c r="I1506" s="116"/>
      <c r="L1506" s="169">
        <v>44221</v>
      </c>
      <c r="M1506" s="116">
        <v>84.5</v>
      </c>
      <c r="N1506" s="116">
        <v>87.4</v>
      </c>
      <c r="O1506" s="116">
        <v>84</v>
      </c>
      <c r="P1506" s="116">
        <v>87.4</v>
      </c>
      <c r="Q1506" s="116">
        <v>84.5</v>
      </c>
      <c r="R1506">
        <v>13350</v>
      </c>
    </row>
    <row r="1507" spans="1:18" x14ac:dyDescent="0.25">
      <c r="A1507" s="169">
        <v>44256</v>
      </c>
      <c r="B1507" s="116">
        <v>74.8</v>
      </c>
      <c r="C1507" s="116">
        <v>73.3</v>
      </c>
      <c r="D1507" s="116">
        <v>70.349999999999994</v>
      </c>
      <c r="E1507" s="116">
        <v>70.349999999999994</v>
      </c>
      <c r="F1507" s="116">
        <v>73.3</v>
      </c>
      <c r="G1507">
        <v>1736</v>
      </c>
      <c r="H1507" s="116"/>
      <c r="I1507" s="116"/>
      <c r="L1507" s="169">
        <v>44223</v>
      </c>
      <c r="M1507" s="116">
        <v>83</v>
      </c>
      <c r="N1507" s="116">
        <v>86.9</v>
      </c>
      <c r="O1507" s="116">
        <v>80.3</v>
      </c>
      <c r="P1507" s="116">
        <v>86.9</v>
      </c>
      <c r="Q1507" s="116">
        <v>83</v>
      </c>
      <c r="R1507">
        <v>11240</v>
      </c>
    </row>
    <row r="1508" spans="1:18" x14ac:dyDescent="0.25">
      <c r="A1508" s="169">
        <v>44257</v>
      </c>
      <c r="B1508" s="116">
        <v>76.95</v>
      </c>
      <c r="C1508" s="116">
        <v>76.400000000000006</v>
      </c>
      <c r="D1508" s="116">
        <v>72.5</v>
      </c>
      <c r="E1508" s="116">
        <v>72.5</v>
      </c>
      <c r="F1508" s="116">
        <v>76.400000000000006</v>
      </c>
      <c r="G1508">
        <v>6246</v>
      </c>
      <c r="H1508" s="116"/>
      <c r="I1508" s="116"/>
      <c r="L1508" s="169">
        <v>44224</v>
      </c>
      <c r="M1508" s="116">
        <v>81.5</v>
      </c>
      <c r="N1508" s="116">
        <v>81.8</v>
      </c>
      <c r="O1508" s="116">
        <v>79</v>
      </c>
      <c r="P1508" s="116">
        <v>79.2</v>
      </c>
      <c r="Q1508" s="116">
        <v>81.5</v>
      </c>
      <c r="R1508">
        <v>7598</v>
      </c>
    </row>
    <row r="1509" spans="1:18" x14ac:dyDescent="0.25">
      <c r="A1509" s="169">
        <v>44258</v>
      </c>
      <c r="B1509" s="116">
        <v>76.900000000000006</v>
      </c>
      <c r="C1509" s="116">
        <v>74.900000000000006</v>
      </c>
      <c r="D1509" s="116">
        <v>73.25</v>
      </c>
      <c r="E1509" s="116">
        <v>73.25</v>
      </c>
      <c r="F1509" s="116">
        <v>74.900000000000006</v>
      </c>
      <c r="G1509">
        <v>4800</v>
      </c>
      <c r="H1509" s="116"/>
      <c r="I1509" s="116"/>
      <c r="L1509" s="169">
        <v>44225</v>
      </c>
      <c r="M1509" s="116">
        <v>82.25</v>
      </c>
      <c r="N1509" s="116">
        <v>85.45</v>
      </c>
      <c r="O1509" s="116">
        <v>81</v>
      </c>
      <c r="P1509" s="116">
        <v>81.5</v>
      </c>
      <c r="Q1509" s="116">
        <v>82.25</v>
      </c>
      <c r="R1509">
        <v>3014</v>
      </c>
    </row>
    <row r="1510" spans="1:18" x14ac:dyDescent="0.25">
      <c r="A1510" s="169">
        <v>44259</v>
      </c>
      <c r="B1510" s="116">
        <v>75.25</v>
      </c>
      <c r="C1510" s="116">
        <v>73.849999999999994</v>
      </c>
      <c r="D1510" s="116">
        <v>72.599999999999994</v>
      </c>
      <c r="E1510" s="116">
        <v>72.599999999999994</v>
      </c>
      <c r="F1510" s="116">
        <v>73.849999999999994</v>
      </c>
      <c r="G1510">
        <v>2308</v>
      </c>
      <c r="H1510" s="116"/>
      <c r="I1510" s="116"/>
      <c r="L1510" s="169">
        <v>44228</v>
      </c>
      <c r="M1510" s="116">
        <v>81.900000000000006</v>
      </c>
      <c r="N1510" s="116">
        <v>84.9</v>
      </c>
      <c r="O1510" s="116">
        <v>78.3</v>
      </c>
      <c r="P1510" s="116">
        <v>84</v>
      </c>
      <c r="Q1510" s="116">
        <v>81.900000000000006</v>
      </c>
      <c r="R1510">
        <v>5374</v>
      </c>
    </row>
    <row r="1511" spans="1:18" x14ac:dyDescent="0.25">
      <c r="A1511" s="169">
        <v>44260</v>
      </c>
      <c r="B1511" s="116">
        <v>75.599999999999994</v>
      </c>
      <c r="C1511" s="116">
        <v>74.05</v>
      </c>
      <c r="D1511" s="116">
        <v>73.2</v>
      </c>
      <c r="E1511" s="116">
        <v>73.849999999999994</v>
      </c>
      <c r="F1511" s="116">
        <v>74.05</v>
      </c>
      <c r="G1511">
        <v>2856</v>
      </c>
      <c r="H1511" s="116"/>
      <c r="I1511" s="116"/>
      <c r="L1511" s="169">
        <v>44229</v>
      </c>
      <c r="M1511" s="116">
        <v>78.349999999999994</v>
      </c>
      <c r="N1511" s="116">
        <v>83.95</v>
      </c>
      <c r="O1511" s="116">
        <v>77.849999999999994</v>
      </c>
      <c r="P1511" s="116">
        <v>83.95</v>
      </c>
      <c r="Q1511" s="116">
        <v>78.349999999999994</v>
      </c>
      <c r="R1511">
        <v>13293</v>
      </c>
    </row>
    <row r="1512" spans="1:18" x14ac:dyDescent="0.25">
      <c r="A1512" s="169">
        <v>44263</v>
      </c>
      <c r="B1512" s="116">
        <v>75.95</v>
      </c>
      <c r="C1512" s="116">
        <v>75</v>
      </c>
      <c r="D1512" s="116">
        <v>74</v>
      </c>
      <c r="E1512" s="116">
        <v>74.95</v>
      </c>
      <c r="F1512" s="116">
        <v>75</v>
      </c>
      <c r="G1512">
        <v>5737</v>
      </c>
      <c r="H1512" s="116"/>
      <c r="I1512" s="116"/>
      <c r="L1512" s="169">
        <v>44230</v>
      </c>
      <c r="M1512" s="116">
        <v>78.599999999999994</v>
      </c>
      <c r="N1512" s="116">
        <v>80.95</v>
      </c>
      <c r="O1512" s="116">
        <v>75.099999999999994</v>
      </c>
      <c r="P1512" s="116">
        <v>75.5</v>
      </c>
      <c r="Q1512" s="116">
        <v>78.599999999999994</v>
      </c>
      <c r="R1512">
        <v>19369</v>
      </c>
    </row>
    <row r="1513" spans="1:18" x14ac:dyDescent="0.25">
      <c r="A1513" s="169">
        <v>44264</v>
      </c>
      <c r="B1513" s="116">
        <v>75.849999999999994</v>
      </c>
      <c r="C1513" s="116">
        <v>74.55</v>
      </c>
      <c r="D1513" s="116">
        <v>74</v>
      </c>
      <c r="E1513" s="116">
        <v>75</v>
      </c>
      <c r="F1513" s="116">
        <v>74.55</v>
      </c>
      <c r="G1513">
        <v>4684</v>
      </c>
      <c r="H1513" s="116"/>
      <c r="I1513" s="116"/>
      <c r="L1513" s="169">
        <v>44231</v>
      </c>
      <c r="M1513" s="116">
        <v>78.349999999999994</v>
      </c>
      <c r="N1513" s="116">
        <v>80.900000000000006</v>
      </c>
      <c r="O1513" s="116">
        <v>75.5</v>
      </c>
      <c r="P1513" s="116">
        <v>75.5</v>
      </c>
      <c r="Q1513" s="116">
        <v>78.349999999999994</v>
      </c>
      <c r="R1513">
        <v>15419</v>
      </c>
    </row>
    <row r="1514" spans="1:18" x14ac:dyDescent="0.25">
      <c r="A1514" s="169">
        <v>44265</v>
      </c>
      <c r="B1514" s="116">
        <v>77.5</v>
      </c>
      <c r="C1514" s="116">
        <v>75</v>
      </c>
      <c r="D1514" s="116">
        <v>73.3</v>
      </c>
      <c r="E1514" s="116">
        <v>77.5</v>
      </c>
      <c r="F1514" s="116">
        <v>75</v>
      </c>
      <c r="G1514">
        <v>3143</v>
      </c>
      <c r="H1514" s="116"/>
      <c r="I1514" s="116"/>
      <c r="L1514" s="169">
        <v>44232</v>
      </c>
      <c r="M1514" s="116">
        <v>77.900000000000006</v>
      </c>
      <c r="N1514" s="116">
        <v>79.7</v>
      </c>
      <c r="O1514" s="116">
        <v>75.5</v>
      </c>
      <c r="P1514" s="116">
        <v>75.5</v>
      </c>
      <c r="Q1514" s="116">
        <v>77.900000000000006</v>
      </c>
      <c r="R1514">
        <v>12132</v>
      </c>
    </row>
    <row r="1515" spans="1:18" x14ac:dyDescent="0.25">
      <c r="A1515" s="169">
        <v>44267</v>
      </c>
      <c r="B1515" s="116">
        <v>77.75</v>
      </c>
      <c r="C1515" s="116">
        <v>76.650000000000006</v>
      </c>
      <c r="D1515" s="116">
        <v>73.5</v>
      </c>
      <c r="E1515" s="116">
        <v>75</v>
      </c>
      <c r="F1515" s="116">
        <v>76.650000000000006</v>
      </c>
      <c r="G1515">
        <v>1483</v>
      </c>
      <c r="H1515" s="116"/>
      <c r="I1515" s="116"/>
      <c r="L1515" s="169">
        <v>44235</v>
      </c>
      <c r="M1515" s="116">
        <v>77.3</v>
      </c>
      <c r="N1515" s="116">
        <v>79.7</v>
      </c>
      <c r="O1515" s="116">
        <v>76.150000000000006</v>
      </c>
      <c r="P1515" s="116">
        <v>79.7</v>
      </c>
      <c r="Q1515" s="116">
        <v>77.3</v>
      </c>
      <c r="R1515">
        <v>3862</v>
      </c>
    </row>
    <row r="1516" spans="1:18" x14ac:dyDescent="0.25">
      <c r="A1516" s="169">
        <v>44270</v>
      </c>
      <c r="B1516" s="116">
        <v>80.400000000000006</v>
      </c>
      <c r="C1516" s="116">
        <v>79.400000000000006</v>
      </c>
      <c r="D1516" s="116">
        <v>74.099999999999994</v>
      </c>
      <c r="E1516" s="116">
        <v>79.95</v>
      </c>
      <c r="F1516" s="116">
        <v>79.400000000000006</v>
      </c>
      <c r="G1516">
        <v>2427</v>
      </c>
      <c r="H1516" s="116"/>
      <c r="I1516" s="116"/>
      <c r="L1516" s="169">
        <v>44236</v>
      </c>
      <c r="M1516" s="116">
        <v>78</v>
      </c>
      <c r="N1516" s="116">
        <v>78.75</v>
      </c>
      <c r="O1516" s="116">
        <v>75.8</v>
      </c>
      <c r="P1516" s="116">
        <v>75.8</v>
      </c>
      <c r="Q1516" s="116">
        <v>78</v>
      </c>
      <c r="R1516">
        <v>15008</v>
      </c>
    </row>
    <row r="1517" spans="1:18" x14ac:dyDescent="0.25">
      <c r="A1517" s="169">
        <v>44271</v>
      </c>
      <c r="B1517" s="116">
        <v>83.35</v>
      </c>
      <c r="C1517" s="116">
        <v>83.35</v>
      </c>
      <c r="D1517" s="116">
        <v>76.3</v>
      </c>
      <c r="E1517" s="116">
        <v>76.3</v>
      </c>
      <c r="F1517" s="116">
        <v>83.35</v>
      </c>
      <c r="G1517">
        <v>2543</v>
      </c>
      <c r="H1517" s="116"/>
      <c r="I1517" s="116"/>
      <c r="L1517" s="169">
        <v>44237</v>
      </c>
      <c r="M1517" s="116">
        <v>77.45</v>
      </c>
      <c r="N1517" s="116">
        <v>79</v>
      </c>
      <c r="O1517" s="116">
        <v>74.150000000000006</v>
      </c>
      <c r="P1517" s="116">
        <v>79</v>
      </c>
      <c r="Q1517" s="116">
        <v>77.45</v>
      </c>
      <c r="R1517">
        <v>14942</v>
      </c>
    </row>
    <row r="1518" spans="1:18" x14ac:dyDescent="0.25">
      <c r="A1518" s="169">
        <v>44272</v>
      </c>
      <c r="B1518" s="116">
        <v>84.5</v>
      </c>
      <c r="C1518" s="116">
        <v>82.15</v>
      </c>
      <c r="D1518" s="116">
        <v>81.099999999999994</v>
      </c>
      <c r="E1518" s="116">
        <v>83.4</v>
      </c>
      <c r="F1518" s="116">
        <v>82.15</v>
      </c>
      <c r="G1518">
        <v>3746</v>
      </c>
      <c r="H1518" s="116"/>
      <c r="I1518" s="116"/>
      <c r="L1518" s="169">
        <v>44238</v>
      </c>
      <c r="M1518" s="116">
        <v>76.8</v>
      </c>
      <c r="N1518" s="116">
        <v>77.349999999999994</v>
      </c>
      <c r="O1518" s="116">
        <v>74.900000000000006</v>
      </c>
      <c r="P1518" s="116">
        <v>77.3</v>
      </c>
      <c r="Q1518" s="116">
        <v>76.8</v>
      </c>
      <c r="R1518">
        <v>9130</v>
      </c>
    </row>
    <row r="1519" spans="1:18" x14ac:dyDescent="0.25">
      <c r="A1519" s="169">
        <v>44273</v>
      </c>
      <c r="B1519" s="116">
        <v>83</v>
      </c>
      <c r="C1519" s="116">
        <v>79.2</v>
      </c>
      <c r="D1519" s="116">
        <v>79.2</v>
      </c>
      <c r="E1519" s="116">
        <v>81.099999999999994</v>
      </c>
      <c r="F1519" s="116">
        <v>79.2</v>
      </c>
      <c r="G1519">
        <v>856</v>
      </c>
      <c r="H1519" s="116"/>
      <c r="I1519" s="116"/>
      <c r="L1519" s="169">
        <v>44239</v>
      </c>
      <c r="M1519" s="116">
        <v>75.900000000000006</v>
      </c>
      <c r="N1519" s="116">
        <v>77.75</v>
      </c>
      <c r="O1519" s="116">
        <v>75.75</v>
      </c>
      <c r="P1519" s="116">
        <v>77.400000000000006</v>
      </c>
      <c r="Q1519" s="116">
        <v>75.900000000000006</v>
      </c>
      <c r="R1519">
        <v>6696</v>
      </c>
    </row>
    <row r="1520" spans="1:18" x14ac:dyDescent="0.25">
      <c r="A1520" s="169">
        <v>44274</v>
      </c>
      <c r="B1520" s="116">
        <v>82</v>
      </c>
      <c r="C1520" s="116">
        <v>82</v>
      </c>
      <c r="D1520" s="116">
        <v>78.099999999999994</v>
      </c>
      <c r="E1520" s="116">
        <v>78.099999999999994</v>
      </c>
      <c r="F1520" s="116">
        <v>82</v>
      </c>
      <c r="G1520">
        <v>225</v>
      </c>
      <c r="H1520" s="116"/>
      <c r="I1520" s="116"/>
      <c r="L1520" s="169">
        <v>44242</v>
      </c>
      <c r="M1520" s="116">
        <v>75.849999999999994</v>
      </c>
      <c r="N1520" s="116">
        <v>77.45</v>
      </c>
      <c r="O1520" s="116">
        <v>74.3</v>
      </c>
      <c r="P1520" s="116">
        <v>77.45</v>
      </c>
      <c r="Q1520" s="116">
        <v>75.849999999999994</v>
      </c>
      <c r="R1520">
        <v>10266</v>
      </c>
    </row>
    <row r="1521" spans="1:18" x14ac:dyDescent="0.25">
      <c r="A1521" s="169">
        <v>44277</v>
      </c>
      <c r="B1521" s="116">
        <v>83.95</v>
      </c>
      <c r="C1521" s="116">
        <v>79.05</v>
      </c>
      <c r="D1521" s="116">
        <v>79</v>
      </c>
      <c r="E1521" s="116">
        <v>79.099999999999994</v>
      </c>
      <c r="F1521" s="116">
        <v>79.05</v>
      </c>
      <c r="G1521">
        <v>510</v>
      </c>
      <c r="H1521" s="116"/>
      <c r="I1521" s="116"/>
      <c r="L1521" s="169">
        <v>44243</v>
      </c>
      <c r="M1521" s="116">
        <v>76.849999999999994</v>
      </c>
      <c r="N1521" s="116">
        <v>76.95</v>
      </c>
      <c r="O1521" s="116">
        <v>74.05</v>
      </c>
      <c r="P1521" s="116">
        <v>74.05</v>
      </c>
      <c r="Q1521" s="116">
        <v>76.849999999999994</v>
      </c>
      <c r="R1521">
        <v>3435</v>
      </c>
    </row>
    <row r="1522" spans="1:18" x14ac:dyDescent="0.25">
      <c r="A1522" s="169">
        <v>44278</v>
      </c>
      <c r="B1522" s="116">
        <v>80.7</v>
      </c>
      <c r="C1522" s="116">
        <v>79</v>
      </c>
      <c r="D1522" s="116">
        <v>77</v>
      </c>
      <c r="E1522" s="116">
        <v>80.7</v>
      </c>
      <c r="F1522" s="116">
        <v>79</v>
      </c>
      <c r="G1522">
        <v>15451</v>
      </c>
      <c r="H1522" s="116"/>
      <c r="I1522" s="116"/>
      <c r="L1522" s="169">
        <v>44244</v>
      </c>
      <c r="M1522" s="116">
        <v>75.099999999999994</v>
      </c>
      <c r="N1522" s="116">
        <v>77.349999999999994</v>
      </c>
      <c r="O1522" s="116">
        <v>74.05</v>
      </c>
      <c r="P1522" s="116">
        <v>77.349999999999994</v>
      </c>
      <c r="Q1522" s="116">
        <v>75.099999999999994</v>
      </c>
      <c r="R1522">
        <v>3530</v>
      </c>
    </row>
    <row r="1523" spans="1:18" x14ac:dyDescent="0.25">
      <c r="A1523" s="169">
        <v>44279</v>
      </c>
      <c r="B1523" s="116">
        <v>81.25</v>
      </c>
      <c r="C1523" s="116">
        <v>79</v>
      </c>
      <c r="D1523" s="116">
        <v>78.5</v>
      </c>
      <c r="E1523" s="116">
        <v>78.5</v>
      </c>
      <c r="F1523" s="116">
        <v>79</v>
      </c>
      <c r="G1523">
        <v>367</v>
      </c>
      <c r="H1523" s="116"/>
      <c r="I1523" s="116"/>
      <c r="L1523" s="169">
        <v>44245</v>
      </c>
      <c r="M1523" s="116">
        <v>75.95</v>
      </c>
      <c r="N1523" s="116">
        <v>77.349999999999994</v>
      </c>
      <c r="O1523" s="116">
        <v>75</v>
      </c>
      <c r="P1523" s="116">
        <v>76</v>
      </c>
      <c r="Q1523" s="116">
        <v>75.95</v>
      </c>
      <c r="R1523">
        <v>14841</v>
      </c>
    </row>
    <row r="1524" spans="1:18" x14ac:dyDescent="0.25">
      <c r="A1524" s="169">
        <v>44280</v>
      </c>
      <c r="B1524" s="116">
        <v>77.5</v>
      </c>
      <c r="C1524" s="116">
        <v>77.5</v>
      </c>
      <c r="D1524" s="116">
        <v>75.150000000000006</v>
      </c>
      <c r="E1524" s="116">
        <v>77.5</v>
      </c>
      <c r="F1524" s="116">
        <v>77.5</v>
      </c>
      <c r="G1524">
        <v>2556</v>
      </c>
      <c r="H1524" s="116"/>
      <c r="I1524" s="116"/>
      <c r="L1524" s="169">
        <v>44246</v>
      </c>
      <c r="M1524" s="116">
        <v>75.099999999999994</v>
      </c>
      <c r="N1524" s="116">
        <v>79.349999999999994</v>
      </c>
      <c r="O1524" s="116">
        <v>73.099999999999994</v>
      </c>
      <c r="P1524" s="116">
        <v>75</v>
      </c>
      <c r="Q1524" s="116">
        <v>75.099999999999994</v>
      </c>
      <c r="R1524">
        <v>11323</v>
      </c>
    </row>
    <row r="1525" spans="1:18" x14ac:dyDescent="0.25">
      <c r="A1525" s="169">
        <v>44281</v>
      </c>
      <c r="B1525" s="116">
        <v>78.150000000000006</v>
      </c>
      <c r="C1525" s="116">
        <v>76.5</v>
      </c>
      <c r="D1525" s="116">
        <v>74.2</v>
      </c>
      <c r="E1525" s="116">
        <v>74.5</v>
      </c>
      <c r="F1525" s="116">
        <v>76.5</v>
      </c>
      <c r="G1525">
        <v>1982</v>
      </c>
      <c r="H1525" s="116"/>
      <c r="I1525" s="116"/>
      <c r="L1525" s="169">
        <v>44249</v>
      </c>
      <c r="M1525" s="116">
        <v>74.55</v>
      </c>
      <c r="N1525" s="116">
        <v>76</v>
      </c>
      <c r="O1525" s="116">
        <v>74.400000000000006</v>
      </c>
      <c r="P1525" s="116">
        <v>76</v>
      </c>
      <c r="Q1525" s="116">
        <v>74.55</v>
      </c>
      <c r="R1525">
        <v>1019</v>
      </c>
    </row>
    <row r="1526" spans="1:18" x14ac:dyDescent="0.25">
      <c r="A1526" s="169">
        <v>44285</v>
      </c>
      <c r="B1526" s="116">
        <v>77.95</v>
      </c>
      <c r="C1526" s="116">
        <v>73.75</v>
      </c>
      <c r="D1526" s="116">
        <v>73.099999999999994</v>
      </c>
      <c r="E1526" s="116">
        <v>76.5</v>
      </c>
      <c r="F1526" s="116">
        <v>73.75</v>
      </c>
      <c r="G1526">
        <v>6430</v>
      </c>
      <c r="H1526" s="116"/>
      <c r="I1526" s="116"/>
      <c r="L1526" s="169">
        <v>44250</v>
      </c>
      <c r="M1526" s="116">
        <v>74.7</v>
      </c>
      <c r="N1526" s="116">
        <v>78.25</v>
      </c>
      <c r="O1526" s="116">
        <v>72.400000000000006</v>
      </c>
      <c r="P1526" s="116">
        <v>72.45</v>
      </c>
      <c r="Q1526" s="116">
        <v>74.7</v>
      </c>
      <c r="R1526">
        <v>6926</v>
      </c>
    </row>
    <row r="1527" spans="1:18" x14ac:dyDescent="0.25">
      <c r="A1527" s="169">
        <v>44286</v>
      </c>
      <c r="B1527" s="116">
        <v>76.3</v>
      </c>
      <c r="C1527" s="116">
        <v>73.55</v>
      </c>
      <c r="D1527" s="116">
        <v>70.349999999999994</v>
      </c>
      <c r="E1527" s="116">
        <v>70.349999999999994</v>
      </c>
      <c r="F1527" s="116">
        <v>73.55</v>
      </c>
      <c r="G1527">
        <v>779</v>
      </c>
      <c r="H1527" s="116"/>
      <c r="I1527" s="116"/>
      <c r="L1527" s="169">
        <v>44251</v>
      </c>
      <c r="M1527" s="116">
        <v>74.2</v>
      </c>
      <c r="N1527" s="116">
        <v>75.8</v>
      </c>
      <c r="O1527" s="116">
        <v>73</v>
      </c>
      <c r="P1527" s="116">
        <v>74.25</v>
      </c>
      <c r="Q1527" s="116">
        <v>74.2</v>
      </c>
      <c r="R1527">
        <v>5626</v>
      </c>
    </row>
    <row r="1528" spans="1:18" x14ac:dyDescent="0.25">
      <c r="A1528" s="169">
        <v>44287</v>
      </c>
      <c r="B1528" s="116">
        <v>76.650000000000006</v>
      </c>
      <c r="C1528" s="116">
        <v>76.650000000000006</v>
      </c>
      <c r="D1528" s="116">
        <v>73.55</v>
      </c>
      <c r="E1528" s="116">
        <v>73.55</v>
      </c>
      <c r="F1528" s="116">
        <v>76.650000000000006</v>
      </c>
      <c r="G1528">
        <v>203</v>
      </c>
      <c r="H1528" s="116"/>
      <c r="I1528" s="116"/>
      <c r="L1528" s="169">
        <v>44252</v>
      </c>
      <c r="M1528" s="116">
        <v>73.8</v>
      </c>
      <c r="N1528" s="116">
        <v>75.849999999999994</v>
      </c>
      <c r="O1528" s="116">
        <v>73</v>
      </c>
      <c r="P1528" s="116">
        <v>74.099999999999994</v>
      </c>
      <c r="Q1528" s="116">
        <v>73.8</v>
      </c>
      <c r="R1528">
        <v>5532</v>
      </c>
    </row>
    <row r="1529" spans="1:18" x14ac:dyDescent="0.25">
      <c r="A1529" s="169">
        <v>44291</v>
      </c>
      <c r="B1529" s="116">
        <v>77.7</v>
      </c>
      <c r="C1529" s="116">
        <v>75.099999999999994</v>
      </c>
      <c r="D1529" s="116">
        <v>75</v>
      </c>
      <c r="E1529" s="116">
        <v>77.7</v>
      </c>
      <c r="F1529" s="116">
        <v>75.099999999999994</v>
      </c>
      <c r="G1529">
        <v>1116</v>
      </c>
      <c r="H1529" s="116"/>
      <c r="I1529" s="116"/>
      <c r="L1529" s="169">
        <v>44253</v>
      </c>
      <c r="M1529" s="116">
        <v>73</v>
      </c>
      <c r="N1529" s="116">
        <v>74.2</v>
      </c>
      <c r="O1529" s="116">
        <v>71.150000000000006</v>
      </c>
      <c r="P1529" s="116">
        <v>73.099999999999994</v>
      </c>
      <c r="Q1529" s="116">
        <v>73</v>
      </c>
      <c r="R1529">
        <v>4788</v>
      </c>
    </row>
    <row r="1530" spans="1:18" x14ac:dyDescent="0.25">
      <c r="A1530" s="169">
        <v>44292</v>
      </c>
      <c r="B1530" s="116">
        <v>78.650000000000006</v>
      </c>
      <c r="C1530" s="116">
        <v>76.900000000000006</v>
      </c>
      <c r="D1530" s="116">
        <v>76.8</v>
      </c>
      <c r="E1530" s="116">
        <v>76.8</v>
      </c>
      <c r="F1530" s="116">
        <v>76.900000000000006</v>
      </c>
      <c r="G1530">
        <v>1717</v>
      </c>
      <c r="H1530" s="116"/>
      <c r="I1530" s="116"/>
      <c r="L1530" s="169">
        <v>44256</v>
      </c>
      <c r="M1530" s="116">
        <v>74</v>
      </c>
      <c r="N1530" s="116">
        <v>74.8</v>
      </c>
      <c r="O1530" s="116">
        <v>72.05</v>
      </c>
      <c r="P1530" s="116">
        <v>74.8</v>
      </c>
      <c r="Q1530" s="116">
        <v>74</v>
      </c>
      <c r="R1530">
        <v>4208</v>
      </c>
    </row>
    <row r="1531" spans="1:18" x14ac:dyDescent="0.25">
      <c r="A1531" s="169">
        <v>44293</v>
      </c>
      <c r="B1531" s="116">
        <v>78.8</v>
      </c>
      <c r="C1531" s="116">
        <v>78.2</v>
      </c>
      <c r="D1531" s="116">
        <v>75.3</v>
      </c>
      <c r="E1531" s="116">
        <v>75.3</v>
      </c>
      <c r="F1531" s="116">
        <v>78.2</v>
      </c>
      <c r="G1531">
        <v>250</v>
      </c>
      <c r="H1531" s="116"/>
      <c r="I1531" s="116"/>
      <c r="L1531" s="169">
        <v>44257</v>
      </c>
      <c r="M1531" s="116">
        <v>75.45</v>
      </c>
      <c r="N1531" s="116">
        <v>77.7</v>
      </c>
      <c r="O1531" s="116">
        <v>73</v>
      </c>
      <c r="P1531" s="116">
        <v>74</v>
      </c>
      <c r="Q1531" s="116">
        <v>75.45</v>
      </c>
      <c r="R1531">
        <v>11642</v>
      </c>
    </row>
    <row r="1532" spans="1:18" x14ac:dyDescent="0.25">
      <c r="A1532" s="169">
        <v>44294</v>
      </c>
      <c r="B1532" s="116">
        <v>81.8</v>
      </c>
      <c r="C1532" s="116">
        <v>76.7</v>
      </c>
      <c r="D1532" s="116">
        <v>76.150000000000006</v>
      </c>
      <c r="E1532" s="116">
        <v>81.8</v>
      </c>
      <c r="F1532" s="116">
        <v>76.7</v>
      </c>
      <c r="G1532">
        <v>485</v>
      </c>
      <c r="H1532" s="116"/>
      <c r="I1532" s="116"/>
      <c r="L1532" s="169">
        <v>44258</v>
      </c>
      <c r="M1532" s="116">
        <v>73.849999999999994</v>
      </c>
      <c r="N1532" s="116">
        <v>76.400000000000006</v>
      </c>
      <c r="O1532" s="116">
        <v>73.2</v>
      </c>
      <c r="P1532" s="116">
        <v>73.5</v>
      </c>
      <c r="Q1532" s="116">
        <v>73.849999999999994</v>
      </c>
      <c r="R1532">
        <v>13178</v>
      </c>
    </row>
    <row r="1533" spans="1:18" x14ac:dyDescent="0.25">
      <c r="A1533" s="169">
        <v>44295</v>
      </c>
      <c r="B1533" s="116">
        <v>79.5</v>
      </c>
      <c r="C1533" s="116">
        <v>79.349999999999994</v>
      </c>
      <c r="D1533" s="116">
        <v>75.900000000000006</v>
      </c>
      <c r="E1533" s="116">
        <v>76.7</v>
      </c>
      <c r="F1533" s="116">
        <v>79.349999999999994</v>
      </c>
      <c r="G1533">
        <v>1280</v>
      </c>
      <c r="H1533" s="116"/>
      <c r="I1533" s="116"/>
      <c r="L1533" s="169">
        <v>44259</v>
      </c>
      <c r="M1533" s="116">
        <v>73.3</v>
      </c>
      <c r="N1533" s="116">
        <v>75</v>
      </c>
      <c r="O1533" s="116">
        <v>71.099999999999994</v>
      </c>
      <c r="P1533" s="116">
        <v>73</v>
      </c>
      <c r="Q1533" s="116">
        <v>73.3</v>
      </c>
      <c r="R1533">
        <v>11603</v>
      </c>
    </row>
    <row r="1534" spans="1:18" x14ac:dyDescent="0.25">
      <c r="A1534" s="169">
        <v>44298</v>
      </c>
      <c r="B1534" s="116">
        <v>81.5</v>
      </c>
      <c r="C1534" s="116">
        <v>77.45</v>
      </c>
      <c r="D1534" s="116">
        <v>77</v>
      </c>
      <c r="E1534" s="116">
        <v>77</v>
      </c>
      <c r="F1534" s="116">
        <v>77.45</v>
      </c>
      <c r="G1534">
        <v>2042</v>
      </c>
      <c r="H1534" s="116"/>
      <c r="I1534" s="116"/>
      <c r="L1534" s="169">
        <v>44260</v>
      </c>
      <c r="M1534" s="116">
        <v>73.45</v>
      </c>
      <c r="N1534" s="116">
        <v>75</v>
      </c>
      <c r="O1534" s="116">
        <v>73.349999999999994</v>
      </c>
      <c r="P1534" s="116">
        <v>74.650000000000006</v>
      </c>
      <c r="Q1534" s="116">
        <v>73.45</v>
      </c>
      <c r="R1534">
        <v>11175</v>
      </c>
    </row>
    <row r="1535" spans="1:18" x14ac:dyDescent="0.25">
      <c r="A1535" s="169">
        <v>44299</v>
      </c>
      <c r="B1535" s="116">
        <v>81</v>
      </c>
      <c r="C1535" s="116">
        <v>80.900000000000006</v>
      </c>
      <c r="D1535" s="116">
        <v>78.099999999999994</v>
      </c>
      <c r="E1535" s="116">
        <v>79.8</v>
      </c>
      <c r="F1535" s="116">
        <v>80.900000000000006</v>
      </c>
      <c r="G1535">
        <v>1934</v>
      </c>
      <c r="H1535" s="116"/>
      <c r="I1535" s="116"/>
      <c r="L1535" s="169">
        <v>44263</v>
      </c>
      <c r="M1535" s="116">
        <v>75.3</v>
      </c>
      <c r="N1535" s="116">
        <v>75.3</v>
      </c>
      <c r="O1535" s="116">
        <v>73</v>
      </c>
      <c r="P1535" s="116">
        <v>73</v>
      </c>
      <c r="Q1535" s="116">
        <v>75.3</v>
      </c>
      <c r="R1535">
        <v>15936</v>
      </c>
    </row>
    <row r="1536" spans="1:18" x14ac:dyDescent="0.25">
      <c r="A1536" s="169">
        <v>44301</v>
      </c>
      <c r="B1536" s="116">
        <v>81</v>
      </c>
      <c r="C1536" s="116">
        <v>80.599999999999994</v>
      </c>
      <c r="D1536" s="116">
        <v>77.150000000000006</v>
      </c>
      <c r="E1536" s="116">
        <v>77.150000000000006</v>
      </c>
      <c r="F1536" s="116">
        <v>80.599999999999994</v>
      </c>
      <c r="G1536">
        <v>729</v>
      </c>
      <c r="H1536" s="116"/>
      <c r="I1536" s="116"/>
      <c r="L1536" s="169">
        <v>44264</v>
      </c>
      <c r="M1536" s="116">
        <v>74.5</v>
      </c>
      <c r="N1536" s="116">
        <v>76.7</v>
      </c>
      <c r="O1536" s="116">
        <v>73.099999999999994</v>
      </c>
      <c r="P1536" s="116">
        <v>76.7</v>
      </c>
      <c r="Q1536" s="116">
        <v>74.5</v>
      </c>
      <c r="R1536">
        <v>12811</v>
      </c>
    </row>
    <row r="1537" spans="1:18" x14ac:dyDescent="0.25">
      <c r="A1537" s="169">
        <v>44302</v>
      </c>
      <c r="B1537" s="116">
        <v>82</v>
      </c>
      <c r="C1537" s="116">
        <v>81</v>
      </c>
      <c r="D1537" s="116">
        <v>78.2</v>
      </c>
      <c r="E1537" s="116">
        <v>80.95</v>
      </c>
      <c r="F1537" s="116">
        <v>81</v>
      </c>
      <c r="G1537">
        <v>525</v>
      </c>
      <c r="H1537" s="116"/>
      <c r="I1537" s="116"/>
      <c r="L1537" s="169">
        <v>44265</v>
      </c>
      <c r="M1537" s="116">
        <v>74.099999999999994</v>
      </c>
      <c r="N1537" s="116">
        <v>75.849999999999994</v>
      </c>
      <c r="O1537" s="116">
        <v>74</v>
      </c>
      <c r="P1537" s="116">
        <v>74.5</v>
      </c>
      <c r="Q1537" s="116">
        <v>74.099999999999994</v>
      </c>
      <c r="R1537">
        <v>12226</v>
      </c>
    </row>
    <row r="1538" spans="1:18" x14ac:dyDescent="0.25">
      <c r="A1538" s="169">
        <v>44305</v>
      </c>
      <c r="B1538" s="116">
        <v>80.8</v>
      </c>
      <c r="C1538" s="116">
        <v>79.349999999999994</v>
      </c>
      <c r="D1538" s="116">
        <v>76.95</v>
      </c>
      <c r="E1538" s="116">
        <v>77.05</v>
      </c>
      <c r="F1538" s="116">
        <v>79.349999999999994</v>
      </c>
      <c r="G1538">
        <v>26255</v>
      </c>
      <c r="H1538" s="116"/>
      <c r="I1538" s="116"/>
      <c r="L1538" s="169">
        <v>44267</v>
      </c>
      <c r="M1538" s="116">
        <v>76.95</v>
      </c>
      <c r="N1538" s="116">
        <v>77.3</v>
      </c>
      <c r="O1538" s="116">
        <v>75.25</v>
      </c>
      <c r="P1538" s="116">
        <v>75.75</v>
      </c>
      <c r="Q1538" s="116">
        <v>76.95</v>
      </c>
      <c r="R1538">
        <v>16661</v>
      </c>
    </row>
    <row r="1539" spans="1:18" x14ac:dyDescent="0.25">
      <c r="A1539" s="169">
        <v>44306</v>
      </c>
      <c r="B1539" s="116">
        <v>79.7</v>
      </c>
      <c r="C1539" s="116">
        <v>79.7</v>
      </c>
      <c r="D1539" s="116">
        <v>75.7</v>
      </c>
      <c r="E1539" s="116">
        <v>79.349999999999994</v>
      </c>
      <c r="F1539" s="116">
        <v>79.7</v>
      </c>
      <c r="G1539">
        <v>219</v>
      </c>
      <c r="H1539" s="116"/>
      <c r="I1539" s="116"/>
      <c r="L1539" s="169">
        <v>44270</v>
      </c>
      <c r="M1539" s="116">
        <v>79.45</v>
      </c>
      <c r="N1539" s="116">
        <v>80.75</v>
      </c>
      <c r="O1539" s="116">
        <v>74</v>
      </c>
      <c r="P1539" s="116">
        <v>74</v>
      </c>
      <c r="Q1539" s="116">
        <v>79.45</v>
      </c>
      <c r="R1539">
        <v>9910</v>
      </c>
    </row>
    <row r="1540" spans="1:18" x14ac:dyDescent="0.25">
      <c r="A1540" s="169">
        <v>44308</v>
      </c>
      <c r="B1540" s="116">
        <v>80.25</v>
      </c>
      <c r="C1540" s="116">
        <v>79.95</v>
      </c>
      <c r="D1540" s="116">
        <v>76.349999999999994</v>
      </c>
      <c r="E1540" s="116">
        <v>76.400000000000006</v>
      </c>
      <c r="F1540" s="116">
        <v>79.95</v>
      </c>
      <c r="G1540">
        <v>27753</v>
      </c>
      <c r="H1540" s="116"/>
      <c r="I1540" s="116"/>
      <c r="L1540" s="169">
        <v>44271</v>
      </c>
      <c r="M1540" s="116">
        <v>83.4</v>
      </c>
      <c r="N1540" s="116">
        <v>83.4</v>
      </c>
      <c r="O1540" s="116">
        <v>76.3</v>
      </c>
      <c r="P1540" s="116">
        <v>83</v>
      </c>
      <c r="Q1540" s="116">
        <v>83.4</v>
      </c>
      <c r="R1540">
        <v>14002</v>
      </c>
    </row>
    <row r="1541" spans="1:18" x14ac:dyDescent="0.25">
      <c r="A1541" s="169">
        <v>44309</v>
      </c>
      <c r="B1541" s="116">
        <v>79.900000000000006</v>
      </c>
      <c r="C1541" s="116">
        <v>79.900000000000006</v>
      </c>
      <c r="D1541" s="116">
        <v>76.5</v>
      </c>
      <c r="E1541" s="116">
        <v>76.5</v>
      </c>
      <c r="F1541" s="116">
        <v>79.900000000000006</v>
      </c>
      <c r="G1541">
        <v>25443</v>
      </c>
      <c r="H1541" s="116"/>
      <c r="I1541" s="116"/>
      <c r="L1541" s="169">
        <v>44272</v>
      </c>
      <c r="M1541" s="116">
        <v>82.65</v>
      </c>
      <c r="N1541" s="116">
        <v>86.9</v>
      </c>
      <c r="O1541" s="116">
        <v>82</v>
      </c>
      <c r="P1541" s="116">
        <v>86.4</v>
      </c>
      <c r="Q1541" s="116">
        <v>82.65</v>
      </c>
      <c r="R1541">
        <v>17071</v>
      </c>
    </row>
    <row r="1542" spans="1:18" x14ac:dyDescent="0.25">
      <c r="A1542" s="169">
        <v>44312</v>
      </c>
      <c r="B1542" s="116">
        <v>80</v>
      </c>
      <c r="C1542" s="116">
        <v>79.75</v>
      </c>
      <c r="D1542" s="116">
        <v>77</v>
      </c>
      <c r="E1542" s="116">
        <v>77</v>
      </c>
      <c r="F1542" s="116">
        <v>79.75</v>
      </c>
      <c r="G1542">
        <v>25439</v>
      </c>
      <c r="H1542" s="116"/>
      <c r="I1542" s="116"/>
      <c r="L1542" s="169">
        <v>44273</v>
      </c>
      <c r="M1542" s="116">
        <v>80.349999999999994</v>
      </c>
      <c r="N1542" s="116">
        <v>85.55</v>
      </c>
      <c r="O1542" s="116">
        <v>78.650000000000006</v>
      </c>
      <c r="P1542" s="116">
        <v>85.55</v>
      </c>
      <c r="Q1542" s="116">
        <v>80.349999999999994</v>
      </c>
      <c r="R1542">
        <v>6556</v>
      </c>
    </row>
    <row r="1543" spans="1:18" x14ac:dyDescent="0.25">
      <c r="A1543" s="169">
        <v>44313</v>
      </c>
      <c r="B1543" s="116">
        <v>80</v>
      </c>
      <c r="C1543" s="116">
        <v>79.8</v>
      </c>
      <c r="D1543" s="116">
        <v>78.099999999999994</v>
      </c>
      <c r="E1543" s="116">
        <v>78.099999999999994</v>
      </c>
      <c r="F1543" s="116">
        <v>79.8</v>
      </c>
      <c r="G1543">
        <v>2598</v>
      </c>
      <c r="H1543" s="116"/>
      <c r="I1543" s="116"/>
      <c r="L1543" s="169">
        <v>44274</v>
      </c>
      <c r="M1543" s="116">
        <v>80.5</v>
      </c>
      <c r="N1543" s="116">
        <v>81</v>
      </c>
      <c r="O1543" s="116">
        <v>77.5</v>
      </c>
      <c r="P1543" s="116">
        <v>79</v>
      </c>
      <c r="Q1543" s="116">
        <v>80.5</v>
      </c>
      <c r="R1543">
        <v>2912</v>
      </c>
    </row>
    <row r="1544" spans="1:18" x14ac:dyDescent="0.25">
      <c r="A1544" s="169">
        <v>44314</v>
      </c>
      <c r="B1544" s="116">
        <v>81</v>
      </c>
      <c r="C1544" s="116">
        <v>78.400000000000006</v>
      </c>
      <c r="D1544" s="116">
        <v>77</v>
      </c>
      <c r="E1544" s="116">
        <v>77.400000000000006</v>
      </c>
      <c r="F1544" s="116">
        <v>78.400000000000006</v>
      </c>
      <c r="G1544">
        <v>1335</v>
      </c>
      <c r="H1544" s="116"/>
      <c r="I1544" s="116"/>
      <c r="L1544" s="169">
        <v>44277</v>
      </c>
      <c r="M1544" s="116">
        <v>80.349999999999994</v>
      </c>
      <c r="N1544" s="116">
        <v>83.7</v>
      </c>
      <c r="O1544" s="116">
        <v>78</v>
      </c>
      <c r="P1544" s="116">
        <v>82</v>
      </c>
      <c r="Q1544" s="116">
        <v>80.349999999999994</v>
      </c>
      <c r="R1544">
        <v>13050</v>
      </c>
    </row>
    <row r="1545" spans="1:18" x14ac:dyDescent="0.25">
      <c r="A1545" s="169">
        <v>44315</v>
      </c>
      <c r="B1545" s="116">
        <v>80</v>
      </c>
      <c r="C1545" s="116">
        <v>80</v>
      </c>
      <c r="D1545" s="116">
        <v>77.099999999999994</v>
      </c>
      <c r="E1545" s="116">
        <v>80</v>
      </c>
      <c r="F1545" s="116">
        <v>80</v>
      </c>
      <c r="G1545">
        <v>429</v>
      </c>
      <c r="H1545" s="116"/>
      <c r="I1545" s="116"/>
      <c r="L1545" s="169">
        <v>44278</v>
      </c>
      <c r="M1545" s="116">
        <v>79.099999999999994</v>
      </c>
      <c r="N1545" s="116">
        <v>83.5</v>
      </c>
      <c r="O1545" s="116">
        <v>78</v>
      </c>
      <c r="P1545" s="116">
        <v>83.25</v>
      </c>
      <c r="Q1545" s="116">
        <v>79.099999999999994</v>
      </c>
      <c r="R1545">
        <v>14968</v>
      </c>
    </row>
    <row r="1546" spans="1:18" x14ac:dyDescent="0.25">
      <c r="A1546" s="169">
        <v>44316</v>
      </c>
      <c r="B1546" s="116">
        <v>81.8</v>
      </c>
      <c r="C1546" s="116">
        <v>81</v>
      </c>
      <c r="D1546" s="116">
        <v>77.099999999999994</v>
      </c>
      <c r="E1546" s="116">
        <v>80.8</v>
      </c>
      <c r="F1546" s="116">
        <v>81</v>
      </c>
      <c r="G1546">
        <v>5121</v>
      </c>
      <c r="H1546" s="116"/>
      <c r="I1546" s="116"/>
      <c r="L1546" s="169">
        <v>44279</v>
      </c>
      <c r="M1546" s="116">
        <v>78.5</v>
      </c>
      <c r="N1546" s="116">
        <v>82.5</v>
      </c>
      <c r="O1546" s="116">
        <v>78.5</v>
      </c>
      <c r="P1546" s="116">
        <v>80.7</v>
      </c>
      <c r="Q1546" s="116">
        <v>78.5</v>
      </c>
      <c r="R1546">
        <v>3004</v>
      </c>
    </row>
    <row r="1547" spans="1:18" x14ac:dyDescent="0.25">
      <c r="A1547" s="169">
        <v>44319</v>
      </c>
      <c r="B1547" s="116">
        <v>81.5</v>
      </c>
      <c r="C1547" s="116">
        <v>81.5</v>
      </c>
      <c r="D1547" s="116">
        <v>77.5</v>
      </c>
      <c r="E1547" s="116">
        <v>77.5</v>
      </c>
      <c r="F1547" s="116">
        <v>81.5</v>
      </c>
      <c r="G1547">
        <v>565</v>
      </c>
      <c r="H1547" s="116"/>
      <c r="I1547" s="116"/>
      <c r="L1547" s="169">
        <v>44280</v>
      </c>
      <c r="M1547" s="116">
        <v>75.55</v>
      </c>
      <c r="N1547" s="116">
        <v>80</v>
      </c>
      <c r="O1547" s="116">
        <v>74.599999999999994</v>
      </c>
      <c r="P1547" s="116">
        <v>78.099999999999994</v>
      </c>
      <c r="Q1547" s="116">
        <v>75.55</v>
      </c>
      <c r="R1547">
        <v>24527</v>
      </c>
    </row>
    <row r="1548" spans="1:18" x14ac:dyDescent="0.25">
      <c r="A1548" s="169">
        <v>44320</v>
      </c>
      <c r="B1548" s="116">
        <v>82.55</v>
      </c>
      <c r="C1548" s="116">
        <v>79.25</v>
      </c>
      <c r="D1548" s="116">
        <v>79.25</v>
      </c>
      <c r="E1548" s="116">
        <v>81.5</v>
      </c>
      <c r="F1548" s="116">
        <v>79.25</v>
      </c>
      <c r="G1548">
        <v>21777</v>
      </c>
      <c r="H1548" s="116"/>
      <c r="I1548" s="116"/>
      <c r="L1548" s="169">
        <v>44281</v>
      </c>
      <c r="M1548" s="116">
        <v>76</v>
      </c>
      <c r="N1548" s="116">
        <v>76.3</v>
      </c>
      <c r="O1548" s="116">
        <v>75</v>
      </c>
      <c r="P1548" s="116">
        <v>75.25</v>
      </c>
      <c r="Q1548" s="116">
        <v>76</v>
      </c>
      <c r="R1548">
        <v>5056</v>
      </c>
    </row>
    <row r="1549" spans="1:18" x14ac:dyDescent="0.25">
      <c r="A1549" s="169">
        <v>44321</v>
      </c>
      <c r="B1549" s="116">
        <v>83.2</v>
      </c>
      <c r="C1549" s="116">
        <v>83.2</v>
      </c>
      <c r="D1549" s="116">
        <v>82</v>
      </c>
      <c r="E1549" s="116">
        <v>82</v>
      </c>
      <c r="F1549" s="116">
        <v>83.2</v>
      </c>
      <c r="G1549">
        <v>417</v>
      </c>
      <c r="H1549" s="116"/>
      <c r="I1549" s="116"/>
      <c r="L1549" s="169">
        <v>44285</v>
      </c>
      <c r="M1549" s="116">
        <v>74.75</v>
      </c>
      <c r="N1549" s="116">
        <v>75.849999999999994</v>
      </c>
      <c r="O1549" s="116">
        <v>72.25</v>
      </c>
      <c r="P1549" s="116">
        <v>74.099999999999994</v>
      </c>
      <c r="Q1549" s="116">
        <v>74.75</v>
      </c>
      <c r="R1549">
        <v>4915</v>
      </c>
    </row>
    <row r="1550" spans="1:18" x14ac:dyDescent="0.25">
      <c r="A1550" s="169">
        <v>44322</v>
      </c>
      <c r="B1550" s="116">
        <v>87.35</v>
      </c>
      <c r="C1550" s="116">
        <v>87.35</v>
      </c>
      <c r="D1550" s="116">
        <v>87.35</v>
      </c>
      <c r="E1550" s="116">
        <v>87.35</v>
      </c>
      <c r="F1550" s="116">
        <v>87.35</v>
      </c>
      <c r="G1550">
        <v>2231</v>
      </c>
      <c r="H1550" s="116"/>
      <c r="I1550" s="116"/>
      <c r="L1550" s="169">
        <v>44286</v>
      </c>
      <c r="M1550" s="116">
        <v>74.5</v>
      </c>
      <c r="N1550" s="116">
        <v>76.400000000000006</v>
      </c>
      <c r="O1550" s="116">
        <v>74</v>
      </c>
      <c r="P1550" s="116">
        <v>74.099999999999994</v>
      </c>
      <c r="Q1550" s="116">
        <v>74.5</v>
      </c>
      <c r="R1550">
        <v>2601</v>
      </c>
    </row>
    <row r="1551" spans="1:18" x14ac:dyDescent="0.25">
      <c r="A1551" s="169">
        <v>44323</v>
      </c>
      <c r="B1551" s="116">
        <v>91.7</v>
      </c>
      <c r="C1551" s="116">
        <v>91.7</v>
      </c>
      <c r="D1551" s="116">
        <v>91.7</v>
      </c>
      <c r="E1551" s="116">
        <v>91.7</v>
      </c>
      <c r="F1551" s="116">
        <v>91.7</v>
      </c>
      <c r="G1551">
        <v>1069</v>
      </c>
      <c r="H1551" s="116"/>
      <c r="I1551" s="116"/>
      <c r="L1551" s="169">
        <v>44287</v>
      </c>
      <c r="M1551" s="116">
        <v>76.5</v>
      </c>
      <c r="N1551" s="116">
        <v>76.650000000000006</v>
      </c>
      <c r="O1551" s="116">
        <v>74.5</v>
      </c>
      <c r="P1551" s="116">
        <v>76.599999999999994</v>
      </c>
      <c r="Q1551" s="116">
        <v>76.5</v>
      </c>
      <c r="R1551">
        <v>1844</v>
      </c>
    </row>
    <row r="1552" spans="1:18" x14ac:dyDescent="0.25">
      <c r="A1552" s="169">
        <v>44326</v>
      </c>
      <c r="B1552" s="116">
        <v>96.25</v>
      </c>
      <c r="C1552" s="116">
        <v>96.25</v>
      </c>
      <c r="D1552" s="116">
        <v>96.25</v>
      </c>
      <c r="E1552" s="116">
        <v>96.25</v>
      </c>
      <c r="F1552" s="116">
        <v>96.25</v>
      </c>
      <c r="G1552">
        <v>3905</v>
      </c>
      <c r="H1552" s="116"/>
      <c r="I1552" s="116"/>
      <c r="L1552" s="169">
        <v>44291</v>
      </c>
      <c r="M1552" s="116">
        <v>76.349999999999994</v>
      </c>
      <c r="N1552" s="116">
        <v>76.349999999999994</v>
      </c>
      <c r="O1552" s="116">
        <v>74.849999999999994</v>
      </c>
      <c r="P1552" s="116">
        <v>74.849999999999994</v>
      </c>
      <c r="Q1552" s="116">
        <v>76.349999999999994</v>
      </c>
      <c r="R1552">
        <v>509</v>
      </c>
    </row>
    <row r="1553" spans="1:18" x14ac:dyDescent="0.25">
      <c r="A1553" s="169">
        <v>44327</v>
      </c>
      <c r="B1553" s="116">
        <v>101</v>
      </c>
      <c r="C1553" s="116">
        <v>100.85</v>
      </c>
      <c r="D1553" s="116">
        <v>93</v>
      </c>
      <c r="E1553" s="116">
        <v>97</v>
      </c>
      <c r="F1553" s="116">
        <v>100.85</v>
      </c>
      <c r="G1553">
        <v>16180</v>
      </c>
      <c r="H1553" s="116"/>
      <c r="I1553" s="116"/>
      <c r="L1553" s="169">
        <v>44292</v>
      </c>
      <c r="M1553" s="116">
        <v>77</v>
      </c>
      <c r="N1553" s="116">
        <v>78.599999999999994</v>
      </c>
      <c r="O1553" s="116">
        <v>75</v>
      </c>
      <c r="P1553" s="116">
        <v>76.25</v>
      </c>
      <c r="Q1553" s="116">
        <v>77</v>
      </c>
      <c r="R1553">
        <v>3727</v>
      </c>
    </row>
    <row r="1554" spans="1:18" x14ac:dyDescent="0.25">
      <c r="A1554" s="169">
        <v>44328</v>
      </c>
      <c r="B1554" s="116">
        <v>101.95</v>
      </c>
      <c r="C1554" s="116">
        <v>97.5</v>
      </c>
      <c r="D1554" s="116">
        <v>96</v>
      </c>
      <c r="E1554" s="116">
        <v>100</v>
      </c>
      <c r="F1554" s="116">
        <v>97.5</v>
      </c>
      <c r="G1554">
        <v>6145</v>
      </c>
      <c r="H1554" s="116"/>
      <c r="I1554" s="116"/>
      <c r="L1554" s="169">
        <v>44293</v>
      </c>
      <c r="M1554" s="116">
        <v>78</v>
      </c>
      <c r="N1554" s="116">
        <v>78</v>
      </c>
      <c r="O1554" s="116">
        <v>75</v>
      </c>
      <c r="P1554" s="116">
        <v>76</v>
      </c>
      <c r="Q1554" s="116">
        <v>78</v>
      </c>
      <c r="R1554">
        <v>1423</v>
      </c>
    </row>
    <row r="1555" spans="1:18" x14ac:dyDescent="0.25">
      <c r="A1555" s="169">
        <v>44330</v>
      </c>
      <c r="B1555" s="116">
        <v>99.8</v>
      </c>
      <c r="C1555" s="116">
        <v>97.65</v>
      </c>
      <c r="D1555" s="116">
        <v>94.1</v>
      </c>
      <c r="E1555" s="116">
        <v>95</v>
      </c>
      <c r="F1555" s="116">
        <v>97.65</v>
      </c>
      <c r="G1555">
        <v>2694</v>
      </c>
      <c r="H1555" s="116"/>
      <c r="I1555" s="116"/>
      <c r="L1555" s="169">
        <v>44294</v>
      </c>
      <c r="M1555" s="116">
        <v>78.55</v>
      </c>
      <c r="N1555" s="116">
        <v>79</v>
      </c>
      <c r="O1555" s="116">
        <v>76.2</v>
      </c>
      <c r="P1555" s="116">
        <v>78</v>
      </c>
      <c r="Q1555" s="116">
        <v>78.55</v>
      </c>
      <c r="R1555">
        <v>2195</v>
      </c>
    </row>
    <row r="1556" spans="1:18" x14ac:dyDescent="0.25">
      <c r="A1556" s="169">
        <v>44333</v>
      </c>
      <c r="B1556" s="116">
        <v>97</v>
      </c>
      <c r="C1556" s="116">
        <v>96.45</v>
      </c>
      <c r="D1556" s="116">
        <v>94.5</v>
      </c>
      <c r="E1556" s="116">
        <v>94.5</v>
      </c>
      <c r="F1556" s="116">
        <v>96.45</v>
      </c>
      <c r="G1556">
        <v>3836</v>
      </c>
      <c r="H1556" s="116"/>
      <c r="I1556" s="116"/>
      <c r="L1556" s="169">
        <v>44295</v>
      </c>
      <c r="M1556" s="116">
        <v>78.849999999999994</v>
      </c>
      <c r="N1556" s="116">
        <v>79.099999999999994</v>
      </c>
      <c r="O1556" s="116">
        <v>76.349999999999994</v>
      </c>
      <c r="P1556" s="116">
        <v>78.55</v>
      </c>
      <c r="Q1556" s="116">
        <v>78.849999999999994</v>
      </c>
      <c r="R1556">
        <v>26465</v>
      </c>
    </row>
    <row r="1557" spans="1:18" x14ac:dyDescent="0.25">
      <c r="A1557" s="169">
        <v>44334</v>
      </c>
      <c r="B1557" s="116">
        <v>99.95</v>
      </c>
      <c r="C1557" s="116">
        <v>98.9</v>
      </c>
      <c r="D1557" s="116">
        <v>96.05</v>
      </c>
      <c r="E1557" s="116">
        <v>96.1</v>
      </c>
      <c r="F1557" s="116">
        <v>98.9</v>
      </c>
      <c r="G1557">
        <v>3921</v>
      </c>
      <c r="H1557" s="116"/>
      <c r="I1557" s="116"/>
      <c r="L1557" s="169">
        <v>44298</v>
      </c>
      <c r="M1557" s="116">
        <v>78.3</v>
      </c>
      <c r="N1557" s="116">
        <v>82</v>
      </c>
      <c r="O1557" s="116">
        <v>75.599999999999994</v>
      </c>
      <c r="P1557" s="116">
        <v>78.8</v>
      </c>
      <c r="Q1557" s="116">
        <v>78.3</v>
      </c>
      <c r="R1557">
        <v>40265</v>
      </c>
    </row>
    <row r="1558" spans="1:18" x14ac:dyDescent="0.25">
      <c r="A1558" s="169">
        <v>44335</v>
      </c>
      <c r="B1558" s="116">
        <v>103.8</v>
      </c>
      <c r="C1558" s="116">
        <v>103.8</v>
      </c>
      <c r="D1558" s="116">
        <v>98.5</v>
      </c>
      <c r="E1558" s="116">
        <v>99.95</v>
      </c>
      <c r="F1558" s="116">
        <v>103.8</v>
      </c>
      <c r="G1558">
        <v>6460</v>
      </c>
      <c r="H1558" s="116"/>
      <c r="I1558" s="116"/>
      <c r="L1558" s="169">
        <v>44299</v>
      </c>
      <c r="M1558" s="116">
        <v>80.05</v>
      </c>
      <c r="N1558" s="116">
        <v>81</v>
      </c>
      <c r="O1558" s="116">
        <v>78</v>
      </c>
      <c r="P1558" s="116">
        <v>80.900000000000006</v>
      </c>
      <c r="Q1558" s="116">
        <v>80.05</v>
      </c>
      <c r="R1558">
        <v>6849</v>
      </c>
    </row>
    <row r="1559" spans="1:18" x14ac:dyDescent="0.25">
      <c r="A1559" s="169">
        <v>44336</v>
      </c>
      <c r="B1559" s="116">
        <v>108.95</v>
      </c>
      <c r="C1559" s="116">
        <v>106.15</v>
      </c>
      <c r="D1559" s="116">
        <v>106</v>
      </c>
      <c r="E1559" s="116">
        <v>108.5</v>
      </c>
      <c r="F1559" s="116">
        <v>106.15</v>
      </c>
      <c r="G1559">
        <v>6565</v>
      </c>
      <c r="H1559" s="116"/>
      <c r="I1559" s="116"/>
      <c r="L1559" s="169">
        <v>44301</v>
      </c>
      <c r="M1559" s="116">
        <v>80</v>
      </c>
      <c r="N1559" s="116">
        <v>81.900000000000006</v>
      </c>
      <c r="O1559" s="116">
        <v>78.099999999999994</v>
      </c>
      <c r="P1559" s="116">
        <v>79.55</v>
      </c>
      <c r="Q1559" s="116">
        <v>80</v>
      </c>
      <c r="R1559">
        <v>45184</v>
      </c>
    </row>
    <row r="1560" spans="1:18" x14ac:dyDescent="0.25">
      <c r="A1560" s="169">
        <v>44337</v>
      </c>
      <c r="B1560" s="116">
        <v>107</v>
      </c>
      <c r="C1560" s="116">
        <v>104</v>
      </c>
      <c r="D1560" s="116">
        <v>103.1</v>
      </c>
      <c r="E1560" s="116">
        <v>107</v>
      </c>
      <c r="F1560" s="116">
        <v>104</v>
      </c>
      <c r="G1560">
        <v>2168</v>
      </c>
      <c r="H1560" s="116"/>
      <c r="I1560" s="116"/>
      <c r="L1560" s="169">
        <v>44302</v>
      </c>
      <c r="M1560" s="116">
        <v>80.099999999999994</v>
      </c>
      <c r="N1560" s="116">
        <v>81.2</v>
      </c>
      <c r="O1560" s="116">
        <v>80.099999999999994</v>
      </c>
      <c r="P1560" s="116">
        <v>81.2</v>
      </c>
      <c r="Q1560" s="116">
        <v>80.099999999999994</v>
      </c>
      <c r="R1560">
        <v>2957</v>
      </c>
    </row>
    <row r="1561" spans="1:18" x14ac:dyDescent="0.25">
      <c r="A1561" s="169">
        <v>44340</v>
      </c>
      <c r="B1561" s="116">
        <v>105</v>
      </c>
      <c r="C1561" s="116">
        <v>100</v>
      </c>
      <c r="D1561" s="116">
        <v>99.4</v>
      </c>
      <c r="E1561" s="116">
        <v>105</v>
      </c>
      <c r="F1561" s="116">
        <v>100</v>
      </c>
      <c r="G1561">
        <v>11032</v>
      </c>
      <c r="H1561" s="116"/>
      <c r="I1561" s="116"/>
      <c r="L1561" s="169">
        <v>44305</v>
      </c>
      <c r="M1561" s="116">
        <v>77.849999999999994</v>
      </c>
      <c r="N1561" s="116">
        <v>80.75</v>
      </c>
      <c r="O1561" s="116">
        <v>76.5</v>
      </c>
      <c r="P1561" s="116">
        <v>77.55</v>
      </c>
      <c r="Q1561" s="116">
        <v>77.849999999999994</v>
      </c>
      <c r="R1561">
        <v>4473</v>
      </c>
    </row>
    <row r="1562" spans="1:18" x14ac:dyDescent="0.25">
      <c r="A1562" s="169">
        <v>44341</v>
      </c>
      <c r="B1562" s="116">
        <v>99.65</v>
      </c>
      <c r="C1562" s="116">
        <v>98</v>
      </c>
      <c r="D1562" s="116">
        <v>96.3</v>
      </c>
      <c r="E1562" s="116">
        <v>99.1</v>
      </c>
      <c r="F1562" s="116">
        <v>98</v>
      </c>
      <c r="G1562">
        <v>864</v>
      </c>
      <c r="H1562" s="116"/>
      <c r="I1562" s="116"/>
      <c r="L1562" s="169">
        <v>44306</v>
      </c>
      <c r="M1562" s="116">
        <v>79</v>
      </c>
      <c r="N1562" s="116">
        <v>79.95</v>
      </c>
      <c r="O1562" s="116">
        <v>76.849999999999994</v>
      </c>
      <c r="P1562" s="116">
        <v>79.95</v>
      </c>
      <c r="Q1562" s="116">
        <v>79</v>
      </c>
      <c r="R1562">
        <v>27407</v>
      </c>
    </row>
    <row r="1563" spans="1:18" x14ac:dyDescent="0.25">
      <c r="A1563" s="169">
        <v>44342</v>
      </c>
      <c r="B1563" s="116">
        <v>99.2</v>
      </c>
      <c r="C1563" s="116">
        <v>96.4</v>
      </c>
      <c r="D1563" s="116">
        <v>95.55</v>
      </c>
      <c r="E1563" s="116">
        <v>99</v>
      </c>
      <c r="F1563" s="116">
        <v>96.4</v>
      </c>
      <c r="G1563">
        <v>863</v>
      </c>
      <c r="H1563" s="116"/>
      <c r="I1563" s="116"/>
      <c r="L1563" s="169">
        <v>44308</v>
      </c>
      <c r="M1563" s="116">
        <v>78.099999999999994</v>
      </c>
      <c r="N1563" s="116">
        <v>80.599999999999994</v>
      </c>
      <c r="O1563" s="116">
        <v>78.099999999999994</v>
      </c>
      <c r="P1563" s="116">
        <v>80.599999999999994</v>
      </c>
      <c r="Q1563" s="116">
        <v>78.099999999999994</v>
      </c>
      <c r="R1563">
        <v>2394</v>
      </c>
    </row>
    <row r="1564" spans="1:18" x14ac:dyDescent="0.25">
      <c r="A1564" s="169">
        <v>44343</v>
      </c>
      <c r="B1564" s="116">
        <v>98.35</v>
      </c>
      <c r="C1564" s="116">
        <v>97.8</v>
      </c>
      <c r="D1564" s="116">
        <v>96</v>
      </c>
      <c r="E1564" s="116">
        <v>98.35</v>
      </c>
      <c r="F1564" s="116">
        <v>97.8</v>
      </c>
      <c r="G1564">
        <v>1858</v>
      </c>
      <c r="H1564" s="116"/>
      <c r="I1564" s="116"/>
      <c r="L1564" s="169">
        <v>44309</v>
      </c>
      <c r="M1564" s="116">
        <v>78.3</v>
      </c>
      <c r="N1564" s="116">
        <v>79.900000000000006</v>
      </c>
      <c r="O1564" s="116">
        <v>78</v>
      </c>
      <c r="P1564" s="116">
        <v>78</v>
      </c>
      <c r="Q1564" s="116">
        <v>78.3</v>
      </c>
      <c r="R1564">
        <v>1688</v>
      </c>
    </row>
    <row r="1565" spans="1:18" x14ac:dyDescent="0.25">
      <c r="A1565" s="169">
        <v>44344</v>
      </c>
      <c r="B1565" s="116">
        <v>97.7</v>
      </c>
      <c r="C1565" s="116">
        <v>97.55</v>
      </c>
      <c r="D1565" s="116">
        <v>95.6</v>
      </c>
      <c r="E1565" s="116">
        <v>96.1</v>
      </c>
      <c r="F1565" s="116">
        <v>97.55</v>
      </c>
      <c r="G1565">
        <v>2089</v>
      </c>
      <c r="H1565" s="116"/>
      <c r="I1565" s="116"/>
      <c r="L1565" s="169">
        <v>44312</v>
      </c>
      <c r="M1565" s="116">
        <v>78.95</v>
      </c>
      <c r="N1565" s="116">
        <v>80</v>
      </c>
      <c r="O1565" s="116">
        <v>77.5</v>
      </c>
      <c r="P1565" s="116">
        <v>77.5</v>
      </c>
      <c r="Q1565" s="116">
        <v>78.95</v>
      </c>
      <c r="R1565">
        <v>1377</v>
      </c>
    </row>
    <row r="1566" spans="1:18" x14ac:dyDescent="0.25">
      <c r="A1566" s="169">
        <v>44347</v>
      </c>
      <c r="B1566" s="116">
        <v>98.25</v>
      </c>
      <c r="C1566" s="116">
        <v>97.7</v>
      </c>
      <c r="D1566" s="116">
        <v>96.05</v>
      </c>
      <c r="E1566" s="116">
        <v>96.65</v>
      </c>
      <c r="F1566" s="116">
        <v>97.7</v>
      </c>
      <c r="G1566">
        <v>3029</v>
      </c>
      <c r="H1566" s="116"/>
      <c r="I1566" s="116"/>
      <c r="L1566" s="169">
        <v>44313</v>
      </c>
      <c r="M1566" s="116">
        <v>79</v>
      </c>
      <c r="N1566" s="116">
        <v>80.45</v>
      </c>
      <c r="O1566" s="116">
        <v>77.599999999999994</v>
      </c>
      <c r="P1566" s="116">
        <v>77.599999999999994</v>
      </c>
      <c r="Q1566" s="116">
        <v>79</v>
      </c>
      <c r="R1566">
        <v>34802</v>
      </c>
    </row>
    <row r="1567" spans="1:18" x14ac:dyDescent="0.25">
      <c r="A1567" s="169">
        <v>44348</v>
      </c>
      <c r="B1567" s="116">
        <v>101.8</v>
      </c>
      <c r="C1567" s="116">
        <v>101</v>
      </c>
      <c r="D1567" s="116">
        <v>96.1</v>
      </c>
      <c r="E1567" s="116">
        <v>96.8</v>
      </c>
      <c r="F1567" s="116">
        <v>101</v>
      </c>
      <c r="G1567">
        <v>2453</v>
      </c>
      <c r="H1567" s="116"/>
      <c r="I1567" s="116"/>
      <c r="L1567" s="169">
        <v>44314</v>
      </c>
      <c r="M1567" s="116">
        <v>79.05</v>
      </c>
      <c r="N1567" s="116">
        <v>82.4</v>
      </c>
      <c r="O1567" s="116">
        <v>77</v>
      </c>
      <c r="P1567" s="116">
        <v>81.7</v>
      </c>
      <c r="Q1567" s="116">
        <v>79.05</v>
      </c>
      <c r="R1567">
        <v>61118</v>
      </c>
    </row>
    <row r="1568" spans="1:18" x14ac:dyDescent="0.25">
      <c r="A1568" s="169">
        <v>44349</v>
      </c>
      <c r="B1568" s="116">
        <v>102.5</v>
      </c>
      <c r="C1568" s="116">
        <v>102</v>
      </c>
      <c r="D1568" s="116">
        <v>99.5</v>
      </c>
      <c r="E1568" s="116">
        <v>99.5</v>
      </c>
      <c r="F1568" s="116">
        <v>102</v>
      </c>
      <c r="G1568">
        <v>1929</v>
      </c>
      <c r="H1568" s="116"/>
      <c r="I1568" s="116"/>
      <c r="L1568" s="169">
        <v>44315</v>
      </c>
      <c r="M1568" s="116">
        <v>78.849999999999994</v>
      </c>
      <c r="N1568" s="116">
        <v>80</v>
      </c>
      <c r="O1568" s="116">
        <v>77.5</v>
      </c>
      <c r="P1568" s="116">
        <v>77.5</v>
      </c>
      <c r="Q1568" s="116">
        <v>78.849999999999994</v>
      </c>
      <c r="R1568">
        <v>35855</v>
      </c>
    </row>
    <row r="1569" spans="1:18" x14ac:dyDescent="0.25">
      <c r="A1569" s="169">
        <v>44350</v>
      </c>
      <c r="B1569" s="116">
        <v>106.9</v>
      </c>
      <c r="C1569" s="116">
        <v>104.65</v>
      </c>
      <c r="D1569" s="116">
        <v>100.2</v>
      </c>
      <c r="E1569" s="116">
        <v>103</v>
      </c>
      <c r="F1569" s="116">
        <v>104.65</v>
      </c>
      <c r="G1569">
        <v>9277</v>
      </c>
      <c r="H1569" s="116"/>
      <c r="I1569" s="116"/>
      <c r="L1569" s="169">
        <v>44316</v>
      </c>
      <c r="M1569" s="116">
        <v>80.2</v>
      </c>
      <c r="N1569" s="116">
        <v>82.45</v>
      </c>
      <c r="O1569" s="116">
        <v>76.3</v>
      </c>
      <c r="P1569" s="116">
        <v>79</v>
      </c>
      <c r="Q1569" s="116">
        <v>80.2</v>
      </c>
      <c r="R1569">
        <v>41723</v>
      </c>
    </row>
    <row r="1570" spans="1:18" x14ac:dyDescent="0.25">
      <c r="A1570" s="169">
        <v>44351</v>
      </c>
      <c r="B1570" s="116">
        <v>109.8</v>
      </c>
      <c r="C1570" s="116">
        <v>106.35</v>
      </c>
      <c r="D1570" s="116">
        <v>104.3</v>
      </c>
      <c r="E1570" s="116">
        <v>106.45</v>
      </c>
      <c r="F1570" s="116">
        <v>106.35</v>
      </c>
      <c r="G1570">
        <v>5092</v>
      </c>
      <c r="H1570" s="116"/>
      <c r="I1570" s="116"/>
      <c r="L1570" s="169">
        <v>44319</v>
      </c>
      <c r="M1570" s="116">
        <v>81.5</v>
      </c>
      <c r="N1570" s="116">
        <v>82.75</v>
      </c>
      <c r="O1570" s="116">
        <v>79</v>
      </c>
      <c r="P1570" s="116">
        <v>79</v>
      </c>
      <c r="Q1570" s="116">
        <v>81.5</v>
      </c>
      <c r="R1570">
        <v>35168</v>
      </c>
    </row>
    <row r="1571" spans="1:18" x14ac:dyDescent="0.25">
      <c r="A1571" s="169">
        <v>44354</v>
      </c>
      <c r="B1571" s="116">
        <v>111.6</v>
      </c>
      <c r="C1571" s="116">
        <v>109.4</v>
      </c>
      <c r="D1571" s="116">
        <v>107.5</v>
      </c>
      <c r="E1571" s="116">
        <v>108</v>
      </c>
      <c r="F1571" s="116">
        <v>109.4</v>
      </c>
      <c r="G1571">
        <v>10006</v>
      </c>
      <c r="H1571" s="116"/>
      <c r="I1571" s="116"/>
      <c r="L1571" s="169">
        <v>44320</v>
      </c>
      <c r="M1571" s="116">
        <v>80.75</v>
      </c>
      <c r="N1571" s="116">
        <v>82.55</v>
      </c>
      <c r="O1571" s="116">
        <v>80.05</v>
      </c>
      <c r="P1571" s="116">
        <v>82.55</v>
      </c>
      <c r="Q1571" s="116">
        <v>80.75</v>
      </c>
      <c r="R1571">
        <v>2736</v>
      </c>
    </row>
    <row r="1572" spans="1:18" x14ac:dyDescent="0.25">
      <c r="A1572" s="169">
        <v>44355</v>
      </c>
      <c r="B1572" s="116">
        <v>113</v>
      </c>
      <c r="C1572" s="116">
        <v>110.55</v>
      </c>
      <c r="D1572" s="116">
        <v>107.5</v>
      </c>
      <c r="E1572" s="116">
        <v>109.35</v>
      </c>
      <c r="F1572" s="116">
        <v>110.55</v>
      </c>
      <c r="G1572">
        <v>4499</v>
      </c>
      <c r="H1572" s="116"/>
      <c r="I1572" s="116"/>
      <c r="L1572" s="169">
        <v>44321</v>
      </c>
      <c r="M1572" s="116">
        <v>84.75</v>
      </c>
      <c r="N1572" s="116">
        <v>84.75</v>
      </c>
      <c r="O1572" s="116">
        <v>81</v>
      </c>
      <c r="P1572" s="116">
        <v>81.95</v>
      </c>
      <c r="Q1572" s="116">
        <v>84.75</v>
      </c>
      <c r="R1572">
        <v>25899</v>
      </c>
    </row>
    <row r="1573" spans="1:18" x14ac:dyDescent="0.25">
      <c r="A1573" s="169">
        <v>44356</v>
      </c>
      <c r="B1573" s="116">
        <v>112.8</v>
      </c>
      <c r="C1573" s="116">
        <v>105.8</v>
      </c>
      <c r="D1573" s="116">
        <v>105.8</v>
      </c>
      <c r="E1573" s="116">
        <v>108.5</v>
      </c>
      <c r="F1573" s="116">
        <v>105.8</v>
      </c>
      <c r="G1573">
        <v>2374</v>
      </c>
      <c r="H1573" s="116"/>
      <c r="I1573" s="116"/>
      <c r="L1573" s="169">
        <v>44322</v>
      </c>
      <c r="M1573" s="116">
        <v>88.95</v>
      </c>
      <c r="N1573" s="116">
        <v>88.95</v>
      </c>
      <c r="O1573" s="116">
        <v>88.95</v>
      </c>
      <c r="P1573" s="116">
        <v>88.95</v>
      </c>
      <c r="Q1573" s="116">
        <v>88.95</v>
      </c>
      <c r="R1573">
        <v>5286</v>
      </c>
    </row>
    <row r="1574" spans="1:18" x14ac:dyDescent="0.25">
      <c r="A1574" s="169">
        <v>44357</v>
      </c>
      <c r="B1574" s="116">
        <v>111.05</v>
      </c>
      <c r="C1574" s="116">
        <v>109.15</v>
      </c>
      <c r="D1574" s="116">
        <v>105.4</v>
      </c>
      <c r="E1574" s="116">
        <v>105.9</v>
      </c>
      <c r="F1574" s="116">
        <v>109.15</v>
      </c>
      <c r="G1574">
        <v>3055</v>
      </c>
      <c r="H1574" s="116"/>
      <c r="I1574" s="116"/>
      <c r="L1574" s="169">
        <v>44323</v>
      </c>
      <c r="M1574" s="116">
        <v>93.35</v>
      </c>
      <c r="N1574" s="116">
        <v>93.35</v>
      </c>
      <c r="O1574" s="116">
        <v>93.35</v>
      </c>
      <c r="P1574" s="116">
        <v>93.35</v>
      </c>
      <c r="Q1574" s="116">
        <v>93.35</v>
      </c>
      <c r="R1574">
        <v>6972</v>
      </c>
    </row>
    <row r="1575" spans="1:18" x14ac:dyDescent="0.25">
      <c r="A1575" s="169">
        <v>44358</v>
      </c>
      <c r="B1575" s="116">
        <v>114.6</v>
      </c>
      <c r="C1575" s="116">
        <v>110.55</v>
      </c>
      <c r="D1575" s="116">
        <v>108</v>
      </c>
      <c r="E1575" s="116">
        <v>111.1</v>
      </c>
      <c r="F1575" s="116">
        <v>110.55</v>
      </c>
      <c r="G1575">
        <v>3393</v>
      </c>
      <c r="H1575" s="116"/>
      <c r="I1575" s="116"/>
      <c r="L1575" s="169">
        <v>44326</v>
      </c>
      <c r="M1575" s="116">
        <v>98</v>
      </c>
      <c r="N1575" s="116">
        <v>98</v>
      </c>
      <c r="O1575" s="116">
        <v>98</v>
      </c>
      <c r="P1575" s="116">
        <v>98</v>
      </c>
      <c r="Q1575" s="116">
        <v>98</v>
      </c>
      <c r="R1575">
        <v>62577</v>
      </c>
    </row>
    <row r="1576" spans="1:18" x14ac:dyDescent="0.25">
      <c r="A1576" s="169">
        <v>44361</v>
      </c>
      <c r="B1576" s="116">
        <v>114</v>
      </c>
      <c r="C1576" s="116">
        <v>109.45</v>
      </c>
      <c r="D1576" s="116">
        <v>106.75</v>
      </c>
      <c r="E1576" s="116">
        <v>109.9</v>
      </c>
      <c r="F1576" s="116">
        <v>109.45</v>
      </c>
      <c r="G1576">
        <v>6908</v>
      </c>
      <c r="H1576" s="116"/>
      <c r="I1576" s="116"/>
      <c r="L1576" s="169">
        <v>44327</v>
      </c>
      <c r="M1576" s="116">
        <v>100.2</v>
      </c>
      <c r="N1576" s="116">
        <v>102.5</v>
      </c>
      <c r="O1576" s="116">
        <v>93.1</v>
      </c>
      <c r="P1576" s="116">
        <v>96</v>
      </c>
      <c r="Q1576" s="116">
        <v>100.2</v>
      </c>
      <c r="R1576">
        <v>89158</v>
      </c>
    </row>
    <row r="1577" spans="1:18" x14ac:dyDescent="0.25">
      <c r="A1577" s="169">
        <v>44362</v>
      </c>
      <c r="B1577" s="116">
        <v>112</v>
      </c>
      <c r="C1577" s="116">
        <v>108.85</v>
      </c>
      <c r="D1577" s="116">
        <v>108.65</v>
      </c>
      <c r="E1577" s="116">
        <v>111.55</v>
      </c>
      <c r="F1577" s="116">
        <v>108.85</v>
      </c>
      <c r="G1577">
        <v>1422</v>
      </c>
      <c r="H1577" s="116"/>
      <c r="I1577" s="116"/>
      <c r="L1577" s="169">
        <v>44328</v>
      </c>
      <c r="M1577" s="116">
        <v>97.55</v>
      </c>
      <c r="N1577" s="116">
        <v>104</v>
      </c>
      <c r="O1577" s="116">
        <v>95.2</v>
      </c>
      <c r="P1577" s="116">
        <v>104</v>
      </c>
      <c r="Q1577" s="116">
        <v>97.55</v>
      </c>
      <c r="R1577">
        <v>25889</v>
      </c>
    </row>
    <row r="1578" spans="1:18" x14ac:dyDescent="0.25">
      <c r="A1578" s="169">
        <v>44363</v>
      </c>
      <c r="B1578" s="116">
        <v>111</v>
      </c>
      <c r="C1578" s="116">
        <v>108.65</v>
      </c>
      <c r="D1578" s="116">
        <v>108.15</v>
      </c>
      <c r="E1578" s="116">
        <v>109.85</v>
      </c>
      <c r="F1578" s="116">
        <v>108.65</v>
      </c>
      <c r="G1578">
        <v>743</v>
      </c>
      <c r="H1578" s="116"/>
      <c r="I1578" s="116"/>
      <c r="L1578" s="169">
        <v>44330</v>
      </c>
      <c r="M1578" s="116">
        <v>96.6</v>
      </c>
      <c r="N1578" s="116">
        <v>99.8</v>
      </c>
      <c r="O1578" s="116">
        <v>93.5</v>
      </c>
      <c r="P1578" s="116">
        <v>99.8</v>
      </c>
      <c r="Q1578" s="116">
        <v>96.6</v>
      </c>
      <c r="R1578">
        <v>18275</v>
      </c>
    </row>
    <row r="1579" spans="1:18" x14ac:dyDescent="0.25">
      <c r="A1579" s="169">
        <v>44364</v>
      </c>
      <c r="B1579" s="116">
        <v>110.95</v>
      </c>
      <c r="C1579" s="116">
        <v>109</v>
      </c>
      <c r="D1579" s="116">
        <v>106</v>
      </c>
      <c r="E1579" s="116">
        <v>109</v>
      </c>
      <c r="F1579" s="116">
        <v>109</v>
      </c>
      <c r="G1579">
        <v>2557</v>
      </c>
      <c r="H1579" s="116"/>
      <c r="I1579" s="116"/>
      <c r="L1579" s="169">
        <v>44333</v>
      </c>
      <c r="M1579" s="116">
        <v>97.45</v>
      </c>
      <c r="N1579" s="116">
        <v>98.8</v>
      </c>
      <c r="O1579" s="116">
        <v>95.9</v>
      </c>
      <c r="P1579" s="116">
        <v>98</v>
      </c>
      <c r="Q1579" s="116">
        <v>97.45</v>
      </c>
      <c r="R1579">
        <v>11849</v>
      </c>
    </row>
    <row r="1580" spans="1:18" x14ac:dyDescent="0.25">
      <c r="A1580" s="169">
        <v>44365</v>
      </c>
      <c r="B1580" s="116">
        <v>110.4</v>
      </c>
      <c r="C1580" s="116">
        <v>106.95</v>
      </c>
      <c r="D1580" s="116">
        <v>104</v>
      </c>
      <c r="E1580" s="116">
        <v>110</v>
      </c>
      <c r="F1580" s="116">
        <v>106.95</v>
      </c>
      <c r="G1580">
        <v>1848</v>
      </c>
      <c r="H1580" s="116"/>
      <c r="I1580" s="116"/>
      <c r="L1580" s="169">
        <v>44334</v>
      </c>
      <c r="M1580" s="116">
        <v>99.55</v>
      </c>
      <c r="N1580" s="116">
        <v>100</v>
      </c>
      <c r="O1580" s="116">
        <v>95.9</v>
      </c>
      <c r="P1580" s="116">
        <v>95.9</v>
      </c>
      <c r="Q1580" s="116">
        <v>99.55</v>
      </c>
      <c r="R1580">
        <v>29805</v>
      </c>
    </row>
    <row r="1581" spans="1:18" x14ac:dyDescent="0.25">
      <c r="A1581" s="169">
        <v>44368</v>
      </c>
      <c r="B1581" s="116">
        <v>112.25</v>
      </c>
      <c r="C1581" s="116">
        <v>110.3</v>
      </c>
      <c r="D1581" s="116">
        <v>103</v>
      </c>
      <c r="E1581" s="116">
        <v>104</v>
      </c>
      <c r="F1581" s="116">
        <v>110.3</v>
      </c>
      <c r="G1581">
        <v>3618</v>
      </c>
      <c r="H1581" s="116"/>
      <c r="I1581" s="116"/>
      <c r="L1581" s="169">
        <v>44335</v>
      </c>
      <c r="M1581" s="116">
        <v>104.5</v>
      </c>
      <c r="N1581" s="116">
        <v>104.5</v>
      </c>
      <c r="O1581" s="116">
        <v>97.8</v>
      </c>
      <c r="P1581" s="116">
        <v>99.55</v>
      </c>
      <c r="Q1581" s="116">
        <v>104.5</v>
      </c>
      <c r="R1581">
        <v>81955</v>
      </c>
    </row>
    <row r="1582" spans="1:18" x14ac:dyDescent="0.25">
      <c r="A1582" s="169">
        <v>44369</v>
      </c>
      <c r="B1582" s="116">
        <v>114.45</v>
      </c>
      <c r="C1582" s="116">
        <v>108.15</v>
      </c>
      <c r="D1582" s="116">
        <v>108</v>
      </c>
      <c r="E1582" s="116">
        <v>110.3</v>
      </c>
      <c r="F1582" s="116">
        <v>108.15</v>
      </c>
      <c r="G1582">
        <v>4734</v>
      </c>
      <c r="H1582" s="116"/>
      <c r="I1582" s="116"/>
      <c r="L1582" s="169">
        <v>44336</v>
      </c>
      <c r="M1582" s="116">
        <v>106.15</v>
      </c>
      <c r="N1582" s="116">
        <v>109.7</v>
      </c>
      <c r="O1582" s="116">
        <v>105.55</v>
      </c>
      <c r="P1582" s="116">
        <v>109</v>
      </c>
      <c r="Q1582" s="116">
        <v>106.15</v>
      </c>
      <c r="R1582">
        <v>26292</v>
      </c>
    </row>
    <row r="1583" spans="1:18" x14ac:dyDescent="0.25">
      <c r="A1583" s="169">
        <v>44370</v>
      </c>
      <c r="B1583" s="116">
        <v>110.5</v>
      </c>
      <c r="C1583" s="116">
        <v>106.4</v>
      </c>
      <c r="D1583" s="116">
        <v>105.1</v>
      </c>
      <c r="E1583" s="116">
        <v>110.5</v>
      </c>
      <c r="F1583" s="116">
        <v>106.4</v>
      </c>
      <c r="G1583">
        <v>7377</v>
      </c>
      <c r="H1583" s="116"/>
      <c r="I1583" s="116"/>
      <c r="L1583" s="169">
        <v>44337</v>
      </c>
      <c r="M1583" s="116">
        <v>103.1</v>
      </c>
      <c r="N1583" s="116">
        <v>108.35</v>
      </c>
      <c r="O1583" s="116">
        <v>102.65</v>
      </c>
      <c r="P1583" s="116">
        <v>106</v>
      </c>
      <c r="Q1583" s="116">
        <v>103.1</v>
      </c>
      <c r="R1583">
        <v>18390</v>
      </c>
    </row>
    <row r="1584" spans="1:18" x14ac:dyDescent="0.25">
      <c r="A1584" s="169">
        <v>44371</v>
      </c>
      <c r="B1584" s="116">
        <v>108.55</v>
      </c>
      <c r="C1584" s="116">
        <v>104.35</v>
      </c>
      <c r="D1584" s="116">
        <v>102.95</v>
      </c>
      <c r="E1584" s="116">
        <v>108.3</v>
      </c>
      <c r="F1584" s="116">
        <v>104.35</v>
      </c>
      <c r="G1584">
        <v>5877</v>
      </c>
      <c r="H1584" s="116"/>
      <c r="I1584" s="116"/>
      <c r="L1584" s="169">
        <v>44340</v>
      </c>
      <c r="M1584" s="116">
        <v>100</v>
      </c>
      <c r="N1584" s="116">
        <v>106.6</v>
      </c>
      <c r="O1584" s="116">
        <v>99.85</v>
      </c>
      <c r="P1584" s="116">
        <v>100.5</v>
      </c>
      <c r="Q1584" s="116">
        <v>100</v>
      </c>
      <c r="R1584">
        <v>61678</v>
      </c>
    </row>
    <row r="1585" spans="1:18" x14ac:dyDescent="0.25">
      <c r="A1585" s="169">
        <v>44372</v>
      </c>
      <c r="B1585" s="116">
        <v>109.55</v>
      </c>
      <c r="C1585" s="116">
        <v>107.25</v>
      </c>
      <c r="D1585" s="116">
        <v>101.6</v>
      </c>
      <c r="E1585" s="116">
        <v>105.4</v>
      </c>
      <c r="F1585" s="116">
        <v>107.25</v>
      </c>
      <c r="G1585">
        <v>4267</v>
      </c>
      <c r="H1585" s="116"/>
      <c r="I1585" s="116"/>
      <c r="L1585" s="169">
        <v>44341</v>
      </c>
      <c r="M1585" s="116">
        <v>97.3</v>
      </c>
      <c r="N1585" s="116">
        <v>103.5</v>
      </c>
      <c r="O1585" s="116">
        <v>95.25</v>
      </c>
      <c r="P1585" s="116">
        <v>103.5</v>
      </c>
      <c r="Q1585" s="116">
        <v>97.3</v>
      </c>
      <c r="R1585">
        <v>13949</v>
      </c>
    </row>
    <row r="1586" spans="1:18" x14ac:dyDescent="0.25">
      <c r="A1586" s="169">
        <v>44375</v>
      </c>
      <c r="B1586" s="116">
        <v>111</v>
      </c>
      <c r="C1586" s="116">
        <v>107.8</v>
      </c>
      <c r="D1586" s="116">
        <v>107.35</v>
      </c>
      <c r="E1586" s="116">
        <v>110.4</v>
      </c>
      <c r="F1586" s="116">
        <v>107.8</v>
      </c>
      <c r="G1586">
        <v>434</v>
      </c>
      <c r="H1586" s="116"/>
      <c r="I1586" s="116"/>
      <c r="L1586" s="169">
        <v>44342</v>
      </c>
      <c r="M1586" s="116">
        <v>97.15</v>
      </c>
      <c r="N1586" s="116">
        <v>101.3</v>
      </c>
      <c r="O1586" s="116">
        <v>96.1</v>
      </c>
      <c r="P1586" s="116">
        <v>100</v>
      </c>
      <c r="Q1586" s="116">
        <v>97.15</v>
      </c>
      <c r="R1586">
        <v>58484</v>
      </c>
    </row>
    <row r="1587" spans="1:18" x14ac:dyDescent="0.25">
      <c r="A1587" s="169">
        <v>44376</v>
      </c>
      <c r="B1587" s="116">
        <v>109.35</v>
      </c>
      <c r="C1587" s="116">
        <v>105.2</v>
      </c>
      <c r="D1587" s="116">
        <v>104.7</v>
      </c>
      <c r="E1587" s="116">
        <v>108.1</v>
      </c>
      <c r="F1587" s="116">
        <v>105.2</v>
      </c>
      <c r="G1587">
        <v>1930</v>
      </c>
      <c r="H1587" s="116"/>
      <c r="I1587" s="116"/>
      <c r="L1587" s="169">
        <v>44343</v>
      </c>
      <c r="M1587" s="116">
        <v>97</v>
      </c>
      <c r="N1587" s="116">
        <v>99.7</v>
      </c>
      <c r="O1587" s="116">
        <v>93.65</v>
      </c>
      <c r="P1587" s="116">
        <v>99.7</v>
      </c>
      <c r="Q1587" s="116">
        <v>97</v>
      </c>
      <c r="R1587">
        <v>11232</v>
      </c>
    </row>
    <row r="1588" spans="1:18" x14ac:dyDescent="0.25">
      <c r="A1588" s="169">
        <v>44377</v>
      </c>
      <c r="B1588" s="116">
        <v>108.5</v>
      </c>
      <c r="C1588" s="116">
        <v>105.25</v>
      </c>
      <c r="D1588" s="116">
        <v>105.2</v>
      </c>
      <c r="E1588" s="116">
        <v>108.5</v>
      </c>
      <c r="F1588" s="116">
        <v>105.25</v>
      </c>
      <c r="G1588">
        <v>280</v>
      </c>
      <c r="H1588" s="116"/>
      <c r="I1588" s="116"/>
      <c r="L1588" s="169">
        <v>44344</v>
      </c>
      <c r="M1588" s="116">
        <v>97.15</v>
      </c>
      <c r="N1588" s="116">
        <v>98.75</v>
      </c>
      <c r="O1588" s="116">
        <v>94.45</v>
      </c>
      <c r="P1588" s="116">
        <v>96.95</v>
      </c>
      <c r="Q1588" s="116">
        <v>97.15</v>
      </c>
      <c r="R1588">
        <v>30207</v>
      </c>
    </row>
    <row r="1589" spans="1:18" x14ac:dyDescent="0.25">
      <c r="A1589" s="169">
        <v>44378</v>
      </c>
      <c r="B1589" s="116">
        <v>107</v>
      </c>
      <c r="C1589" s="116">
        <v>104.95</v>
      </c>
      <c r="D1589" s="116">
        <v>102.8</v>
      </c>
      <c r="E1589" s="116">
        <v>107</v>
      </c>
      <c r="F1589" s="116">
        <v>104.95</v>
      </c>
      <c r="G1589">
        <v>1153</v>
      </c>
      <c r="H1589" s="116"/>
      <c r="I1589" s="116"/>
      <c r="L1589" s="169">
        <v>44347</v>
      </c>
      <c r="M1589" s="116">
        <v>97.1</v>
      </c>
      <c r="N1589" s="116">
        <v>100</v>
      </c>
      <c r="O1589" s="116">
        <v>96.05</v>
      </c>
      <c r="P1589" s="116">
        <v>99.1</v>
      </c>
      <c r="Q1589" s="116">
        <v>97.1</v>
      </c>
      <c r="R1589">
        <v>27523</v>
      </c>
    </row>
    <row r="1590" spans="1:18" x14ac:dyDescent="0.25">
      <c r="A1590" s="169">
        <v>44379</v>
      </c>
      <c r="B1590" s="116">
        <v>108.6</v>
      </c>
      <c r="C1590" s="116">
        <v>105.8</v>
      </c>
      <c r="D1590" s="116">
        <v>101.6</v>
      </c>
      <c r="E1590" s="116">
        <v>105.3</v>
      </c>
      <c r="F1590" s="116">
        <v>105.8</v>
      </c>
      <c r="G1590">
        <v>2232</v>
      </c>
      <c r="H1590" s="116"/>
      <c r="I1590" s="116"/>
      <c r="L1590" s="169">
        <v>44348</v>
      </c>
      <c r="M1590" s="116">
        <v>101.35</v>
      </c>
      <c r="N1590" s="116">
        <v>101.95</v>
      </c>
      <c r="O1590" s="116">
        <v>95.05</v>
      </c>
      <c r="P1590" s="116">
        <v>98.9</v>
      </c>
      <c r="Q1590" s="116">
        <v>101.35</v>
      </c>
      <c r="R1590">
        <v>23229</v>
      </c>
    </row>
    <row r="1591" spans="1:18" x14ac:dyDescent="0.25">
      <c r="A1591" s="169">
        <v>44382</v>
      </c>
      <c r="B1591" s="116">
        <v>111.05</v>
      </c>
      <c r="C1591" s="116">
        <v>110.25</v>
      </c>
      <c r="D1591" s="116">
        <v>106.65</v>
      </c>
      <c r="E1591" s="116">
        <v>110</v>
      </c>
      <c r="F1591" s="116">
        <v>110.25</v>
      </c>
      <c r="G1591">
        <v>5444</v>
      </c>
      <c r="H1591" s="116"/>
      <c r="I1591" s="116"/>
      <c r="L1591" s="169">
        <v>44349</v>
      </c>
      <c r="M1591" s="116">
        <v>99.85</v>
      </c>
      <c r="N1591" s="116">
        <v>102</v>
      </c>
      <c r="O1591" s="116">
        <v>98.25</v>
      </c>
      <c r="P1591" s="116">
        <v>98.25</v>
      </c>
      <c r="Q1591" s="116">
        <v>99.85</v>
      </c>
      <c r="R1591">
        <v>22623</v>
      </c>
    </row>
    <row r="1592" spans="1:18" x14ac:dyDescent="0.25">
      <c r="A1592" s="169">
        <v>44383</v>
      </c>
      <c r="B1592" s="116">
        <v>115.75</v>
      </c>
      <c r="C1592" s="116">
        <v>112.4</v>
      </c>
      <c r="D1592" s="116">
        <v>111.05</v>
      </c>
      <c r="E1592" s="116">
        <v>115.5</v>
      </c>
      <c r="F1592" s="116">
        <v>112.4</v>
      </c>
      <c r="G1592">
        <v>7775</v>
      </c>
      <c r="H1592" s="116"/>
      <c r="I1592" s="116"/>
      <c r="L1592" s="169">
        <v>44350</v>
      </c>
      <c r="M1592" s="116">
        <v>104.8</v>
      </c>
      <c r="N1592" s="116">
        <v>104.8</v>
      </c>
      <c r="O1592" s="116">
        <v>100.55</v>
      </c>
      <c r="P1592" s="116">
        <v>101.85</v>
      </c>
      <c r="Q1592" s="116">
        <v>104.8</v>
      </c>
      <c r="R1592">
        <v>37993</v>
      </c>
    </row>
    <row r="1593" spans="1:18" x14ac:dyDescent="0.25">
      <c r="A1593" s="169">
        <v>44384</v>
      </c>
      <c r="B1593" s="116">
        <v>118</v>
      </c>
      <c r="C1593" s="116">
        <v>118</v>
      </c>
      <c r="D1593" s="116">
        <v>109.25</v>
      </c>
      <c r="E1593" s="116">
        <v>115.8</v>
      </c>
      <c r="F1593" s="116">
        <v>118</v>
      </c>
      <c r="G1593">
        <v>17737</v>
      </c>
      <c r="H1593" s="116"/>
      <c r="I1593" s="116"/>
      <c r="L1593" s="169">
        <v>44351</v>
      </c>
      <c r="M1593" s="116">
        <v>105.7</v>
      </c>
      <c r="N1593" s="116">
        <v>109.2</v>
      </c>
      <c r="O1593" s="116">
        <v>103.4</v>
      </c>
      <c r="P1593" s="116">
        <v>107.95</v>
      </c>
      <c r="Q1593" s="116">
        <v>105.7</v>
      </c>
      <c r="R1593">
        <v>27901</v>
      </c>
    </row>
    <row r="1594" spans="1:18" x14ac:dyDescent="0.25">
      <c r="A1594" s="169">
        <v>44385</v>
      </c>
      <c r="B1594" s="116">
        <v>123.9</v>
      </c>
      <c r="C1594" s="116">
        <v>123.9</v>
      </c>
      <c r="D1594" s="116">
        <v>122</v>
      </c>
      <c r="E1594" s="116">
        <v>122</v>
      </c>
      <c r="F1594" s="116">
        <v>123.9</v>
      </c>
      <c r="G1594">
        <v>5514</v>
      </c>
      <c r="H1594" s="116"/>
      <c r="I1594" s="116"/>
      <c r="L1594" s="169">
        <v>44354</v>
      </c>
      <c r="M1594" s="116">
        <v>109.85</v>
      </c>
      <c r="N1594" s="116">
        <v>110.95</v>
      </c>
      <c r="O1594" s="116">
        <v>103.2</v>
      </c>
      <c r="P1594" s="116">
        <v>103.2</v>
      </c>
      <c r="Q1594" s="116">
        <v>109.85</v>
      </c>
      <c r="R1594">
        <v>70568</v>
      </c>
    </row>
    <row r="1595" spans="1:18" x14ac:dyDescent="0.25">
      <c r="A1595" s="169">
        <v>44386</v>
      </c>
      <c r="B1595" s="116">
        <v>130.05000000000001</v>
      </c>
      <c r="C1595" s="116">
        <v>130.05000000000001</v>
      </c>
      <c r="D1595" s="116">
        <v>120</v>
      </c>
      <c r="E1595" s="116">
        <v>129.94999999999999</v>
      </c>
      <c r="F1595" s="116">
        <v>130.05000000000001</v>
      </c>
      <c r="G1595">
        <v>21975</v>
      </c>
      <c r="H1595" s="116"/>
      <c r="I1595" s="116"/>
      <c r="L1595" s="169">
        <v>44355</v>
      </c>
      <c r="M1595" s="116">
        <v>109.65</v>
      </c>
      <c r="N1595" s="116">
        <v>113.4</v>
      </c>
      <c r="O1595" s="116">
        <v>108</v>
      </c>
      <c r="P1595" s="116">
        <v>112.7</v>
      </c>
      <c r="Q1595" s="116">
        <v>109.65</v>
      </c>
      <c r="R1595">
        <v>28376</v>
      </c>
    </row>
    <row r="1596" spans="1:18" x14ac:dyDescent="0.25">
      <c r="A1596" s="169">
        <v>44389</v>
      </c>
      <c r="B1596" s="116">
        <v>136.55000000000001</v>
      </c>
      <c r="C1596" s="116">
        <v>136.55000000000001</v>
      </c>
      <c r="D1596" s="116">
        <v>132.65</v>
      </c>
      <c r="E1596" s="116">
        <v>136.55000000000001</v>
      </c>
      <c r="F1596" s="116">
        <v>136.55000000000001</v>
      </c>
      <c r="G1596">
        <v>8914</v>
      </c>
      <c r="H1596" s="116"/>
      <c r="I1596" s="116"/>
      <c r="L1596" s="169">
        <v>44356</v>
      </c>
      <c r="M1596" s="116">
        <v>105.75</v>
      </c>
      <c r="N1596" s="116">
        <v>112.9</v>
      </c>
      <c r="O1596" s="116">
        <v>105</v>
      </c>
      <c r="P1596" s="116">
        <v>108.2</v>
      </c>
      <c r="Q1596" s="116">
        <v>105.75</v>
      </c>
      <c r="R1596">
        <v>23860</v>
      </c>
    </row>
    <row r="1597" spans="1:18" x14ac:dyDescent="0.25">
      <c r="A1597" s="169">
        <v>44390</v>
      </c>
      <c r="B1597" s="116">
        <v>143.35</v>
      </c>
      <c r="C1597" s="116">
        <v>139.65</v>
      </c>
      <c r="D1597" s="116">
        <v>132.4</v>
      </c>
      <c r="E1597" s="116">
        <v>143.35</v>
      </c>
      <c r="F1597" s="116">
        <v>139.65</v>
      </c>
      <c r="G1597">
        <v>27030</v>
      </c>
      <c r="H1597" s="116"/>
      <c r="I1597" s="116"/>
      <c r="L1597" s="169">
        <v>44357</v>
      </c>
      <c r="M1597" s="116">
        <v>110.5</v>
      </c>
      <c r="N1597" s="116">
        <v>111</v>
      </c>
      <c r="O1597" s="116">
        <v>106.2</v>
      </c>
      <c r="P1597" s="116">
        <v>108.95</v>
      </c>
      <c r="Q1597" s="116">
        <v>110.5</v>
      </c>
      <c r="R1597">
        <v>24183</v>
      </c>
    </row>
    <row r="1598" spans="1:18" x14ac:dyDescent="0.25">
      <c r="A1598" s="169">
        <v>44391</v>
      </c>
      <c r="B1598" s="116">
        <v>146.6</v>
      </c>
      <c r="C1598" s="116">
        <v>146.05000000000001</v>
      </c>
      <c r="D1598" s="116">
        <v>142</v>
      </c>
      <c r="E1598" s="116">
        <v>143.9</v>
      </c>
      <c r="F1598" s="116">
        <v>146.05000000000001</v>
      </c>
      <c r="G1598">
        <v>14859</v>
      </c>
      <c r="H1598" s="116"/>
      <c r="I1598" s="116"/>
      <c r="L1598" s="169">
        <v>44358</v>
      </c>
      <c r="M1598" s="116">
        <v>113.9</v>
      </c>
      <c r="N1598" s="116">
        <v>116</v>
      </c>
      <c r="O1598" s="116">
        <v>108.2</v>
      </c>
      <c r="P1598" s="116">
        <v>110.5</v>
      </c>
      <c r="Q1598" s="116">
        <v>113.9</v>
      </c>
      <c r="R1598">
        <v>28981</v>
      </c>
    </row>
    <row r="1599" spans="1:18" x14ac:dyDescent="0.25">
      <c r="A1599" s="169">
        <v>44392</v>
      </c>
      <c r="B1599" s="116">
        <v>152.80000000000001</v>
      </c>
      <c r="C1599" s="116">
        <v>138.75</v>
      </c>
      <c r="D1599" s="116">
        <v>138.75</v>
      </c>
      <c r="E1599" s="116">
        <v>148.55000000000001</v>
      </c>
      <c r="F1599" s="116">
        <v>138.75</v>
      </c>
      <c r="G1599">
        <v>17096</v>
      </c>
      <c r="H1599" s="116"/>
      <c r="I1599" s="116"/>
      <c r="L1599" s="169">
        <v>44361</v>
      </c>
      <c r="M1599" s="116">
        <v>109.75</v>
      </c>
      <c r="N1599" s="116">
        <v>114.5</v>
      </c>
      <c r="O1599" s="116">
        <v>108.25</v>
      </c>
      <c r="P1599" s="116">
        <v>111.7</v>
      </c>
      <c r="Q1599" s="116">
        <v>109.75</v>
      </c>
      <c r="R1599">
        <v>33263</v>
      </c>
    </row>
    <row r="1600" spans="1:18" x14ac:dyDescent="0.25">
      <c r="A1600" s="169">
        <v>44393</v>
      </c>
      <c r="B1600" s="116">
        <v>145.65</v>
      </c>
      <c r="C1600" s="116">
        <v>133.1</v>
      </c>
      <c r="D1600" s="116">
        <v>132.1</v>
      </c>
      <c r="E1600" s="116">
        <v>141.19999999999999</v>
      </c>
      <c r="F1600" s="116">
        <v>133.1</v>
      </c>
      <c r="G1600">
        <v>24419</v>
      </c>
      <c r="H1600" s="116"/>
      <c r="I1600" s="116"/>
      <c r="L1600" s="169">
        <v>44362</v>
      </c>
      <c r="M1600" s="116">
        <v>108.65</v>
      </c>
      <c r="N1600" s="116">
        <v>112.9</v>
      </c>
      <c r="O1600" s="116">
        <v>108.05</v>
      </c>
      <c r="P1600" s="116">
        <v>112.85</v>
      </c>
      <c r="Q1600" s="116">
        <v>108.65</v>
      </c>
      <c r="R1600">
        <v>14659</v>
      </c>
    </row>
    <row r="1601" spans="1:18" x14ac:dyDescent="0.25">
      <c r="A1601" s="169">
        <v>44396</v>
      </c>
      <c r="B1601" s="116">
        <v>139.75</v>
      </c>
      <c r="C1601" s="116">
        <v>139.55000000000001</v>
      </c>
      <c r="D1601" s="116">
        <v>135.9</v>
      </c>
      <c r="E1601" s="116">
        <v>138</v>
      </c>
      <c r="F1601" s="116">
        <v>139.55000000000001</v>
      </c>
      <c r="G1601">
        <v>19644</v>
      </c>
      <c r="H1601" s="116"/>
      <c r="I1601" s="116"/>
      <c r="L1601" s="169">
        <v>44363</v>
      </c>
      <c r="M1601" s="116">
        <v>109</v>
      </c>
      <c r="N1601" s="116">
        <v>112.5</v>
      </c>
      <c r="O1601" s="116">
        <v>108.4</v>
      </c>
      <c r="P1601" s="116">
        <v>112.5</v>
      </c>
      <c r="Q1601" s="116">
        <v>109</v>
      </c>
      <c r="R1601">
        <v>7624</v>
      </c>
    </row>
    <row r="1602" spans="1:18" x14ac:dyDescent="0.25">
      <c r="A1602" s="169">
        <v>44397</v>
      </c>
      <c r="B1602" s="116">
        <v>145.80000000000001</v>
      </c>
      <c r="C1602" s="116">
        <v>142.44999999999999</v>
      </c>
      <c r="D1602" s="116">
        <v>134.05000000000001</v>
      </c>
      <c r="E1602" s="116">
        <v>145.80000000000001</v>
      </c>
      <c r="F1602" s="116">
        <v>142.44999999999999</v>
      </c>
      <c r="G1602">
        <v>12568</v>
      </c>
      <c r="H1602" s="116"/>
      <c r="I1602" s="116"/>
      <c r="L1602" s="169">
        <v>44364</v>
      </c>
      <c r="M1602" s="116">
        <v>109.4</v>
      </c>
      <c r="N1602" s="116">
        <v>110.6</v>
      </c>
      <c r="O1602" s="116">
        <v>105.1</v>
      </c>
      <c r="P1602" s="116">
        <v>110.5</v>
      </c>
      <c r="Q1602" s="116">
        <v>109.4</v>
      </c>
      <c r="R1602">
        <v>27871</v>
      </c>
    </row>
    <row r="1603" spans="1:18" x14ac:dyDescent="0.25">
      <c r="A1603" s="169">
        <v>44399</v>
      </c>
      <c r="B1603" s="116">
        <v>135.35</v>
      </c>
      <c r="C1603" s="116">
        <v>135.35</v>
      </c>
      <c r="D1603" s="116">
        <v>135.35</v>
      </c>
      <c r="E1603" s="116">
        <v>135.35</v>
      </c>
      <c r="F1603" s="116">
        <v>135.35</v>
      </c>
      <c r="G1603">
        <v>2385</v>
      </c>
      <c r="H1603" s="116"/>
      <c r="I1603" s="116"/>
      <c r="L1603" s="169">
        <v>44365</v>
      </c>
      <c r="M1603" s="116">
        <v>106.55</v>
      </c>
      <c r="N1603" s="116">
        <v>113.3</v>
      </c>
      <c r="O1603" s="116">
        <v>103.95</v>
      </c>
      <c r="P1603" s="116">
        <v>112.55</v>
      </c>
      <c r="Q1603" s="116">
        <v>106.55</v>
      </c>
      <c r="R1603">
        <v>23483</v>
      </c>
    </row>
    <row r="1604" spans="1:18" x14ac:dyDescent="0.25">
      <c r="A1604" s="169">
        <v>44400</v>
      </c>
      <c r="B1604" s="116">
        <v>132.30000000000001</v>
      </c>
      <c r="C1604" s="116">
        <v>128.6</v>
      </c>
      <c r="D1604" s="116">
        <v>128.6</v>
      </c>
      <c r="E1604" s="116">
        <v>130</v>
      </c>
      <c r="F1604" s="116">
        <v>128.6</v>
      </c>
      <c r="G1604">
        <v>11962</v>
      </c>
      <c r="H1604" s="116"/>
      <c r="I1604" s="116"/>
      <c r="L1604" s="169">
        <v>44368</v>
      </c>
      <c r="M1604" s="116">
        <v>109.4</v>
      </c>
      <c r="N1604" s="116">
        <v>110.8</v>
      </c>
      <c r="O1604" s="116">
        <v>103</v>
      </c>
      <c r="P1604" s="116">
        <v>103</v>
      </c>
      <c r="Q1604" s="116">
        <v>109.4</v>
      </c>
      <c r="R1604">
        <v>12140</v>
      </c>
    </row>
    <row r="1605" spans="1:18" x14ac:dyDescent="0.25">
      <c r="A1605" s="169">
        <v>44403</v>
      </c>
      <c r="B1605" s="116">
        <v>132.9</v>
      </c>
      <c r="C1605" s="116">
        <v>129.9</v>
      </c>
      <c r="D1605" s="116">
        <v>125.7</v>
      </c>
      <c r="E1605" s="116">
        <v>125.7</v>
      </c>
      <c r="F1605" s="116">
        <v>129.9</v>
      </c>
      <c r="G1605">
        <v>7753</v>
      </c>
      <c r="H1605" s="116"/>
      <c r="I1605" s="116"/>
      <c r="L1605" s="169">
        <v>44369</v>
      </c>
      <c r="M1605" s="116">
        <v>108.5</v>
      </c>
      <c r="N1605" s="116">
        <v>112.8</v>
      </c>
      <c r="O1605" s="116">
        <v>106.75</v>
      </c>
      <c r="P1605" s="116">
        <v>111.65</v>
      </c>
      <c r="Q1605" s="116">
        <v>108.5</v>
      </c>
      <c r="R1605">
        <v>22091</v>
      </c>
    </row>
    <row r="1606" spans="1:18" x14ac:dyDescent="0.25">
      <c r="A1606" s="169">
        <v>44404</v>
      </c>
      <c r="B1606" s="116">
        <v>130</v>
      </c>
      <c r="C1606" s="116">
        <v>128.15</v>
      </c>
      <c r="D1606" s="116">
        <v>127.05</v>
      </c>
      <c r="E1606" s="116">
        <v>127.4</v>
      </c>
      <c r="F1606" s="116">
        <v>128.15</v>
      </c>
      <c r="G1606">
        <v>2968</v>
      </c>
      <c r="H1606" s="116"/>
      <c r="I1606" s="116"/>
      <c r="L1606" s="169">
        <v>44370</v>
      </c>
      <c r="M1606" s="116">
        <v>106.85</v>
      </c>
      <c r="N1606" s="116">
        <v>111.5</v>
      </c>
      <c r="O1606" s="116">
        <v>104.65</v>
      </c>
      <c r="P1606" s="116">
        <v>107.6</v>
      </c>
      <c r="Q1606" s="116">
        <v>106.85</v>
      </c>
      <c r="R1606">
        <v>43562</v>
      </c>
    </row>
    <row r="1607" spans="1:18" x14ac:dyDescent="0.25">
      <c r="A1607" s="169">
        <v>44405</v>
      </c>
      <c r="B1607" s="116">
        <v>127.05</v>
      </c>
      <c r="C1607" s="116">
        <v>126.2</v>
      </c>
      <c r="D1607" s="116">
        <v>124.5</v>
      </c>
      <c r="E1607" s="116">
        <v>127.05</v>
      </c>
      <c r="F1607" s="116">
        <v>126.2</v>
      </c>
      <c r="G1607">
        <v>3197</v>
      </c>
      <c r="H1607" s="116"/>
      <c r="I1607" s="116"/>
      <c r="L1607" s="169">
        <v>44371</v>
      </c>
      <c r="M1607" s="116">
        <v>104.05</v>
      </c>
      <c r="N1607" s="116">
        <v>109.8</v>
      </c>
      <c r="O1607" s="116">
        <v>102.05</v>
      </c>
      <c r="P1607" s="116">
        <v>109.75</v>
      </c>
      <c r="Q1607" s="116">
        <v>104.05</v>
      </c>
      <c r="R1607">
        <v>48166</v>
      </c>
    </row>
    <row r="1608" spans="1:18" x14ac:dyDescent="0.25">
      <c r="A1608" s="169">
        <v>44406</v>
      </c>
      <c r="B1608" s="116">
        <v>132.5</v>
      </c>
      <c r="C1608" s="116">
        <v>132.5</v>
      </c>
      <c r="D1608" s="116">
        <v>127.9</v>
      </c>
      <c r="E1608" s="116">
        <v>128.25</v>
      </c>
      <c r="F1608" s="116">
        <v>132.5</v>
      </c>
      <c r="G1608">
        <v>11386</v>
      </c>
      <c r="H1608" s="116"/>
      <c r="I1608" s="116"/>
      <c r="L1608" s="169">
        <v>44372</v>
      </c>
      <c r="M1608" s="116">
        <v>107.75</v>
      </c>
      <c r="N1608" s="116">
        <v>109.25</v>
      </c>
      <c r="O1608" s="116">
        <v>101</v>
      </c>
      <c r="P1608" s="116">
        <v>104.3</v>
      </c>
      <c r="Q1608" s="116">
        <v>107.75</v>
      </c>
      <c r="R1608">
        <v>70766</v>
      </c>
    </row>
    <row r="1609" spans="1:18" x14ac:dyDescent="0.25">
      <c r="A1609" s="169">
        <v>44407</v>
      </c>
      <c r="B1609" s="116">
        <v>135.9</v>
      </c>
      <c r="C1609" s="116">
        <v>129.94999999999999</v>
      </c>
      <c r="D1609" s="116">
        <v>127.8</v>
      </c>
      <c r="E1609" s="116">
        <v>135.15</v>
      </c>
      <c r="F1609" s="116">
        <v>129.94999999999999</v>
      </c>
      <c r="G1609">
        <v>3827</v>
      </c>
      <c r="H1609" s="116"/>
      <c r="I1609" s="116"/>
      <c r="L1609" s="169">
        <v>44375</v>
      </c>
      <c r="M1609" s="116">
        <v>107.9</v>
      </c>
      <c r="N1609" s="116">
        <v>110.8</v>
      </c>
      <c r="O1609" s="116">
        <v>106.5</v>
      </c>
      <c r="P1609" s="116">
        <v>110.8</v>
      </c>
      <c r="Q1609" s="116">
        <v>107.9</v>
      </c>
      <c r="R1609">
        <v>10461</v>
      </c>
    </row>
    <row r="1610" spans="1:18" x14ac:dyDescent="0.25">
      <c r="A1610" s="169">
        <v>44410</v>
      </c>
      <c r="B1610" s="116">
        <v>136.4</v>
      </c>
      <c r="C1610" s="116">
        <v>136.4</v>
      </c>
      <c r="D1610" s="116">
        <v>128.15</v>
      </c>
      <c r="E1610" s="116">
        <v>132.44999999999999</v>
      </c>
      <c r="F1610" s="116">
        <v>136.4</v>
      </c>
      <c r="G1610">
        <v>9722</v>
      </c>
      <c r="H1610" s="116"/>
      <c r="I1610" s="116"/>
      <c r="L1610" s="169">
        <v>44376</v>
      </c>
      <c r="M1610" s="116">
        <v>105.25</v>
      </c>
      <c r="N1610" s="116">
        <v>109.3</v>
      </c>
      <c r="O1610" s="116">
        <v>104.2</v>
      </c>
      <c r="P1610" s="116">
        <v>107.2</v>
      </c>
      <c r="Q1610" s="116">
        <v>105.25</v>
      </c>
      <c r="R1610">
        <v>40980</v>
      </c>
    </row>
    <row r="1611" spans="1:18" x14ac:dyDescent="0.25">
      <c r="A1611" s="169">
        <v>44411</v>
      </c>
      <c r="B1611" s="116">
        <v>143.19999999999999</v>
      </c>
      <c r="C1611" s="116">
        <v>143.19999999999999</v>
      </c>
      <c r="D1611" s="116">
        <v>138</v>
      </c>
      <c r="E1611" s="116">
        <v>138</v>
      </c>
      <c r="F1611" s="116">
        <v>143.19999999999999</v>
      </c>
      <c r="G1611">
        <v>6305</v>
      </c>
      <c r="H1611" s="116"/>
      <c r="I1611" s="116"/>
      <c r="L1611" s="169">
        <v>44377</v>
      </c>
      <c r="M1611" s="116">
        <v>105.5</v>
      </c>
      <c r="N1611" s="116">
        <v>107.7</v>
      </c>
      <c r="O1611" s="116">
        <v>105.05</v>
      </c>
      <c r="P1611" s="116">
        <v>107.7</v>
      </c>
      <c r="Q1611" s="116">
        <v>105.5</v>
      </c>
      <c r="R1611">
        <v>5261</v>
      </c>
    </row>
    <row r="1612" spans="1:18" x14ac:dyDescent="0.25">
      <c r="A1612" s="169">
        <v>44412</v>
      </c>
      <c r="B1612" s="116">
        <v>150.35</v>
      </c>
      <c r="C1612" s="116">
        <v>150.35</v>
      </c>
      <c r="D1612" s="116">
        <v>150.35</v>
      </c>
      <c r="E1612" s="116">
        <v>150.35</v>
      </c>
      <c r="F1612" s="116">
        <v>150.35</v>
      </c>
      <c r="G1612">
        <v>12450</v>
      </c>
      <c r="H1612" s="116"/>
      <c r="I1612" s="116"/>
      <c r="L1612" s="169">
        <v>44378</v>
      </c>
      <c r="M1612" s="116">
        <v>104.7</v>
      </c>
      <c r="N1612" s="116">
        <v>107.9</v>
      </c>
      <c r="O1612" s="116">
        <v>103.8</v>
      </c>
      <c r="P1612" s="116">
        <v>107.9</v>
      </c>
      <c r="Q1612" s="116">
        <v>104.7</v>
      </c>
      <c r="R1612">
        <v>13719</v>
      </c>
    </row>
    <row r="1613" spans="1:18" x14ac:dyDescent="0.25">
      <c r="A1613" s="169">
        <v>44413</v>
      </c>
      <c r="B1613" s="116">
        <v>157.85</v>
      </c>
      <c r="C1613" s="116">
        <v>157.85</v>
      </c>
      <c r="D1613" s="116">
        <v>145.1</v>
      </c>
      <c r="E1613" s="116">
        <v>157.75</v>
      </c>
      <c r="F1613" s="116">
        <v>157.85</v>
      </c>
      <c r="G1613">
        <v>78208</v>
      </c>
      <c r="H1613" s="116"/>
      <c r="I1613" s="116"/>
      <c r="L1613" s="169">
        <v>44379</v>
      </c>
      <c r="M1613" s="116">
        <v>105.85</v>
      </c>
      <c r="N1613" s="116">
        <v>109.45</v>
      </c>
      <c r="O1613" s="116">
        <v>103.8</v>
      </c>
      <c r="P1613" s="116">
        <v>108</v>
      </c>
      <c r="Q1613" s="116">
        <v>105.85</v>
      </c>
      <c r="R1613">
        <v>19145</v>
      </c>
    </row>
    <row r="1614" spans="1:18" x14ac:dyDescent="0.25">
      <c r="A1614" s="169">
        <v>44414</v>
      </c>
      <c r="B1614" s="116">
        <v>165.7</v>
      </c>
      <c r="C1614" s="116">
        <v>165.7</v>
      </c>
      <c r="D1614" s="116">
        <v>158.15</v>
      </c>
      <c r="E1614" s="116">
        <v>165.65</v>
      </c>
      <c r="F1614" s="116">
        <v>165.7</v>
      </c>
      <c r="G1614">
        <v>50156</v>
      </c>
      <c r="H1614" s="116"/>
      <c r="I1614" s="116"/>
      <c r="L1614" s="169">
        <v>44382</v>
      </c>
      <c r="M1614" s="116">
        <v>111</v>
      </c>
      <c r="N1614" s="116">
        <v>111.1</v>
      </c>
      <c r="O1614" s="116">
        <v>105</v>
      </c>
      <c r="P1614" s="116">
        <v>108.9</v>
      </c>
      <c r="Q1614" s="116">
        <v>111</v>
      </c>
      <c r="R1614">
        <v>53730</v>
      </c>
    </row>
    <row r="1615" spans="1:18" x14ac:dyDescent="0.25">
      <c r="A1615" s="169">
        <v>44417</v>
      </c>
      <c r="B1615" s="116">
        <v>172.5</v>
      </c>
      <c r="C1615" s="116">
        <v>170.45</v>
      </c>
      <c r="D1615" s="116">
        <v>161.15</v>
      </c>
      <c r="E1615" s="116">
        <v>161.15</v>
      </c>
      <c r="F1615" s="116">
        <v>170.45</v>
      </c>
      <c r="G1615">
        <v>25751</v>
      </c>
      <c r="H1615" s="116"/>
      <c r="I1615" s="116"/>
      <c r="L1615" s="169">
        <v>44383</v>
      </c>
      <c r="M1615" s="116">
        <v>112.1</v>
      </c>
      <c r="N1615" s="116">
        <v>116.55</v>
      </c>
      <c r="O1615" s="116">
        <v>110.95</v>
      </c>
      <c r="P1615" s="116">
        <v>111</v>
      </c>
      <c r="Q1615" s="116">
        <v>112.1</v>
      </c>
      <c r="R1615">
        <v>55531</v>
      </c>
    </row>
    <row r="1616" spans="1:18" x14ac:dyDescent="0.25">
      <c r="A1616" s="169">
        <v>44418</v>
      </c>
      <c r="B1616" s="116">
        <v>173.8</v>
      </c>
      <c r="C1616" s="116">
        <v>161.94999999999999</v>
      </c>
      <c r="D1616" s="116">
        <v>161.94999999999999</v>
      </c>
      <c r="E1616" s="116">
        <v>173.8</v>
      </c>
      <c r="F1616" s="116">
        <v>161.94999999999999</v>
      </c>
      <c r="G1616">
        <v>11118</v>
      </c>
      <c r="H1616" s="116"/>
      <c r="I1616" s="116"/>
      <c r="L1616" s="169">
        <v>44384</v>
      </c>
      <c r="M1616" s="116">
        <v>117.7</v>
      </c>
      <c r="N1616" s="116">
        <v>117.7</v>
      </c>
      <c r="O1616" s="116">
        <v>109.05</v>
      </c>
      <c r="P1616" s="116">
        <v>112.1</v>
      </c>
      <c r="Q1616" s="116">
        <v>117.7</v>
      </c>
      <c r="R1616">
        <v>90882</v>
      </c>
    </row>
    <row r="1617" spans="1:18" x14ac:dyDescent="0.25">
      <c r="A1617" s="169">
        <v>44419</v>
      </c>
      <c r="B1617" s="116">
        <v>153.9</v>
      </c>
      <c r="C1617" s="116">
        <v>153.9</v>
      </c>
      <c r="D1617" s="116">
        <v>153.9</v>
      </c>
      <c r="E1617" s="116">
        <v>153.9</v>
      </c>
      <c r="F1617" s="116">
        <v>153.9</v>
      </c>
      <c r="G1617">
        <v>2053</v>
      </c>
      <c r="H1617" s="116"/>
      <c r="I1617" s="116"/>
      <c r="L1617" s="169">
        <v>44385</v>
      </c>
      <c r="M1617" s="116">
        <v>123.55</v>
      </c>
      <c r="N1617" s="116">
        <v>123.55</v>
      </c>
      <c r="O1617" s="116">
        <v>118.95</v>
      </c>
      <c r="P1617" s="116">
        <v>123.4</v>
      </c>
      <c r="Q1617" s="116">
        <v>123.55</v>
      </c>
      <c r="R1617">
        <v>17008</v>
      </c>
    </row>
    <row r="1618" spans="1:18" x14ac:dyDescent="0.25">
      <c r="A1618" s="169">
        <v>44420</v>
      </c>
      <c r="B1618" s="116">
        <v>152.35</v>
      </c>
      <c r="C1618" s="116">
        <v>146.35</v>
      </c>
      <c r="D1618" s="116">
        <v>146.25</v>
      </c>
      <c r="E1618" s="116">
        <v>146.5</v>
      </c>
      <c r="F1618" s="116">
        <v>146.35</v>
      </c>
      <c r="G1618">
        <v>25086</v>
      </c>
      <c r="H1618" s="116"/>
      <c r="I1618" s="116"/>
      <c r="L1618" s="169">
        <v>44386</v>
      </c>
      <c r="M1618" s="116">
        <v>129.69999999999999</v>
      </c>
      <c r="N1618" s="116">
        <v>129.69999999999999</v>
      </c>
      <c r="O1618" s="116">
        <v>125.1</v>
      </c>
      <c r="P1618" s="116">
        <v>128.5</v>
      </c>
      <c r="Q1618" s="116">
        <v>129.69999999999999</v>
      </c>
      <c r="R1618">
        <v>71766</v>
      </c>
    </row>
    <row r="1619" spans="1:18" x14ac:dyDescent="0.25">
      <c r="A1619" s="169">
        <v>44421</v>
      </c>
      <c r="B1619" s="116">
        <v>153.65</v>
      </c>
      <c r="C1619" s="116">
        <v>153.65</v>
      </c>
      <c r="D1619" s="116">
        <v>146</v>
      </c>
      <c r="E1619" s="116">
        <v>146</v>
      </c>
      <c r="F1619" s="116">
        <v>153.65</v>
      </c>
      <c r="G1619">
        <v>7704</v>
      </c>
      <c r="H1619" s="116"/>
      <c r="I1619" s="116"/>
      <c r="L1619" s="169">
        <v>44389</v>
      </c>
      <c r="M1619" s="116">
        <v>136.15</v>
      </c>
      <c r="N1619" s="116">
        <v>136.15</v>
      </c>
      <c r="O1619" s="116">
        <v>135</v>
      </c>
      <c r="P1619" s="116">
        <v>135.9</v>
      </c>
      <c r="Q1619" s="116">
        <v>136.15</v>
      </c>
      <c r="R1619">
        <v>20385</v>
      </c>
    </row>
    <row r="1620" spans="1:18" x14ac:dyDescent="0.25">
      <c r="A1620" s="169">
        <v>44424</v>
      </c>
      <c r="B1620" s="116">
        <v>160.80000000000001</v>
      </c>
      <c r="C1620" s="116">
        <v>149.44999999999999</v>
      </c>
      <c r="D1620" s="116">
        <v>148.5</v>
      </c>
      <c r="E1620" s="116">
        <v>153.19999999999999</v>
      </c>
      <c r="F1620" s="116">
        <v>149.44999999999999</v>
      </c>
      <c r="G1620">
        <v>5742</v>
      </c>
      <c r="H1620" s="116"/>
      <c r="I1620" s="116"/>
      <c r="L1620" s="169">
        <v>44390</v>
      </c>
      <c r="M1620" s="116">
        <v>141.05000000000001</v>
      </c>
      <c r="N1620" s="116">
        <v>142.94999999999999</v>
      </c>
      <c r="O1620" s="116">
        <v>133</v>
      </c>
      <c r="P1620" s="116">
        <v>142.94999999999999</v>
      </c>
      <c r="Q1620" s="116">
        <v>141.05000000000001</v>
      </c>
      <c r="R1620">
        <v>144780</v>
      </c>
    </row>
    <row r="1621" spans="1:18" x14ac:dyDescent="0.25">
      <c r="A1621" s="169">
        <v>44425</v>
      </c>
      <c r="B1621" s="116">
        <v>148.5</v>
      </c>
      <c r="C1621" s="116">
        <v>144.35</v>
      </c>
      <c r="D1621" s="116">
        <v>144</v>
      </c>
      <c r="E1621" s="116">
        <v>148.1</v>
      </c>
      <c r="F1621" s="116">
        <v>144.35</v>
      </c>
      <c r="G1621">
        <v>1617</v>
      </c>
      <c r="H1621" s="116"/>
      <c r="I1621" s="116"/>
      <c r="L1621" s="169">
        <v>44391</v>
      </c>
      <c r="M1621" s="116">
        <v>147.75</v>
      </c>
      <c r="N1621" s="116">
        <v>148.1</v>
      </c>
      <c r="O1621" s="116">
        <v>141.55000000000001</v>
      </c>
      <c r="P1621" s="116">
        <v>145.80000000000001</v>
      </c>
      <c r="Q1621" s="116">
        <v>147.75</v>
      </c>
      <c r="R1621">
        <v>140341</v>
      </c>
    </row>
    <row r="1622" spans="1:18" x14ac:dyDescent="0.25">
      <c r="A1622" s="169">
        <v>44426</v>
      </c>
      <c r="B1622" s="116">
        <v>150.35</v>
      </c>
      <c r="C1622" s="116">
        <v>143.5</v>
      </c>
      <c r="D1622" s="116">
        <v>142.69999999999999</v>
      </c>
      <c r="E1622" s="116">
        <v>144.9</v>
      </c>
      <c r="F1622" s="116">
        <v>143.5</v>
      </c>
      <c r="G1622">
        <v>3702</v>
      </c>
      <c r="H1622" s="116"/>
      <c r="I1622" s="116"/>
      <c r="L1622" s="169">
        <v>44392</v>
      </c>
      <c r="M1622" s="116">
        <v>140.4</v>
      </c>
      <c r="N1622" s="116">
        <v>153.94999999999999</v>
      </c>
      <c r="O1622" s="116">
        <v>140.4</v>
      </c>
      <c r="P1622" s="116">
        <v>149.5</v>
      </c>
      <c r="Q1622" s="116">
        <v>140.4</v>
      </c>
      <c r="R1622">
        <v>99433</v>
      </c>
    </row>
    <row r="1623" spans="1:18" x14ac:dyDescent="0.25">
      <c r="A1623" s="169">
        <v>44428</v>
      </c>
      <c r="B1623" s="116">
        <v>148.30000000000001</v>
      </c>
      <c r="C1623" s="116">
        <v>136.35</v>
      </c>
      <c r="D1623" s="116">
        <v>136.35</v>
      </c>
      <c r="E1623" s="116">
        <v>140</v>
      </c>
      <c r="F1623" s="116">
        <v>136.35</v>
      </c>
      <c r="G1623">
        <v>6286</v>
      </c>
      <c r="H1623" s="116"/>
      <c r="I1623" s="116"/>
      <c r="L1623" s="169">
        <v>44393</v>
      </c>
      <c r="M1623" s="116">
        <v>133.44999999999999</v>
      </c>
      <c r="N1623" s="116">
        <v>146.69999999999999</v>
      </c>
      <c r="O1623" s="116">
        <v>133.4</v>
      </c>
      <c r="P1623" s="116">
        <v>138.85</v>
      </c>
      <c r="Q1623" s="116">
        <v>133.44999999999999</v>
      </c>
      <c r="R1623">
        <v>81035</v>
      </c>
    </row>
    <row r="1624" spans="1:18" x14ac:dyDescent="0.25">
      <c r="A1624" s="169">
        <v>44431</v>
      </c>
      <c r="B1624" s="116">
        <v>133.4</v>
      </c>
      <c r="C1624" s="116">
        <v>129.55000000000001</v>
      </c>
      <c r="D1624" s="116">
        <v>129.55000000000001</v>
      </c>
      <c r="E1624" s="116">
        <v>130</v>
      </c>
      <c r="F1624" s="116">
        <v>129.55000000000001</v>
      </c>
      <c r="G1624">
        <v>1626</v>
      </c>
      <c r="H1624" s="116"/>
      <c r="I1624" s="116"/>
      <c r="L1624" s="169">
        <v>44396</v>
      </c>
      <c r="M1624" s="116">
        <v>140.1</v>
      </c>
      <c r="N1624" s="116">
        <v>140.1</v>
      </c>
      <c r="O1624" s="116">
        <v>134.44999999999999</v>
      </c>
      <c r="P1624" s="116">
        <v>137.80000000000001</v>
      </c>
      <c r="Q1624" s="116">
        <v>140.1</v>
      </c>
      <c r="R1624">
        <v>79083</v>
      </c>
    </row>
    <row r="1625" spans="1:18" x14ac:dyDescent="0.25">
      <c r="A1625" s="169">
        <v>44432</v>
      </c>
      <c r="B1625" s="116">
        <v>136</v>
      </c>
      <c r="C1625" s="116">
        <v>136</v>
      </c>
      <c r="D1625" s="116">
        <v>123.1</v>
      </c>
      <c r="E1625" s="116">
        <v>123.5</v>
      </c>
      <c r="F1625" s="116">
        <v>136</v>
      </c>
      <c r="G1625">
        <v>8717</v>
      </c>
      <c r="H1625" s="116"/>
      <c r="I1625" s="116"/>
      <c r="L1625" s="169">
        <v>44397</v>
      </c>
      <c r="M1625" s="116">
        <v>142.1</v>
      </c>
      <c r="N1625" s="116">
        <v>144.05000000000001</v>
      </c>
      <c r="O1625" s="116">
        <v>134</v>
      </c>
      <c r="P1625" s="116">
        <v>143.85</v>
      </c>
      <c r="Q1625" s="116">
        <v>142.1</v>
      </c>
      <c r="R1625">
        <v>100606</v>
      </c>
    </row>
    <row r="1626" spans="1:18" x14ac:dyDescent="0.25">
      <c r="A1626" s="169">
        <v>44433</v>
      </c>
      <c r="B1626" s="116">
        <v>142.80000000000001</v>
      </c>
      <c r="C1626" s="116">
        <v>139</v>
      </c>
      <c r="D1626" s="116">
        <v>137</v>
      </c>
      <c r="E1626" s="116">
        <v>137</v>
      </c>
      <c r="F1626" s="116">
        <v>139</v>
      </c>
      <c r="G1626">
        <v>6484</v>
      </c>
      <c r="H1626" s="116"/>
      <c r="I1626" s="116"/>
      <c r="L1626" s="169">
        <v>44399</v>
      </c>
      <c r="M1626" s="116">
        <v>135</v>
      </c>
      <c r="N1626" s="116">
        <v>135</v>
      </c>
      <c r="O1626" s="116">
        <v>135</v>
      </c>
      <c r="P1626" s="116">
        <v>135</v>
      </c>
      <c r="Q1626" s="116">
        <v>135</v>
      </c>
      <c r="R1626">
        <v>32475</v>
      </c>
    </row>
    <row r="1627" spans="1:18" x14ac:dyDescent="0.25">
      <c r="A1627" s="169">
        <v>44434</v>
      </c>
      <c r="B1627" s="116">
        <v>139.9</v>
      </c>
      <c r="C1627" s="116">
        <v>132.75</v>
      </c>
      <c r="D1627" s="116">
        <v>132.05000000000001</v>
      </c>
      <c r="E1627" s="116">
        <v>139.9</v>
      </c>
      <c r="F1627" s="116">
        <v>132.75</v>
      </c>
      <c r="G1627">
        <v>5901</v>
      </c>
      <c r="H1627" s="116"/>
      <c r="I1627" s="116"/>
      <c r="L1627" s="169">
        <v>44400</v>
      </c>
      <c r="M1627" s="116">
        <v>128.25</v>
      </c>
      <c r="N1627" s="116">
        <v>134.75</v>
      </c>
      <c r="O1627" s="116">
        <v>128.25</v>
      </c>
      <c r="P1627" s="116">
        <v>130.35</v>
      </c>
      <c r="Q1627" s="116">
        <v>128.25</v>
      </c>
      <c r="R1627">
        <v>64333</v>
      </c>
    </row>
    <row r="1628" spans="1:18" x14ac:dyDescent="0.25">
      <c r="A1628" s="169">
        <v>44435</v>
      </c>
      <c r="B1628" s="116">
        <v>136.85</v>
      </c>
      <c r="C1628" s="116">
        <v>135</v>
      </c>
      <c r="D1628" s="116">
        <v>132.4</v>
      </c>
      <c r="E1628" s="116">
        <v>133.19999999999999</v>
      </c>
      <c r="F1628" s="116">
        <v>135</v>
      </c>
      <c r="G1628">
        <v>2198</v>
      </c>
      <c r="H1628" s="116"/>
      <c r="I1628" s="116"/>
      <c r="L1628" s="169">
        <v>44403</v>
      </c>
      <c r="M1628" s="116">
        <v>129.30000000000001</v>
      </c>
      <c r="N1628" s="116">
        <v>133</v>
      </c>
      <c r="O1628" s="116">
        <v>126</v>
      </c>
      <c r="P1628" s="116">
        <v>126</v>
      </c>
      <c r="Q1628" s="116">
        <v>129.30000000000001</v>
      </c>
      <c r="R1628">
        <v>42272</v>
      </c>
    </row>
    <row r="1629" spans="1:18" x14ac:dyDescent="0.25">
      <c r="A1629" s="169">
        <v>44438</v>
      </c>
      <c r="B1629" s="116">
        <v>138.15</v>
      </c>
      <c r="C1629" s="116">
        <v>136.75</v>
      </c>
      <c r="D1629" s="116">
        <v>135.6</v>
      </c>
      <c r="E1629" s="116">
        <v>136.1</v>
      </c>
      <c r="F1629" s="116">
        <v>136.75</v>
      </c>
      <c r="G1629">
        <v>93</v>
      </c>
      <c r="H1629" s="116"/>
      <c r="I1629" s="116"/>
      <c r="L1629" s="169">
        <v>44404</v>
      </c>
      <c r="M1629" s="116">
        <v>128.19999999999999</v>
      </c>
      <c r="N1629" s="116">
        <v>132</v>
      </c>
      <c r="O1629" s="116">
        <v>125.6</v>
      </c>
      <c r="P1629" s="116">
        <v>132</v>
      </c>
      <c r="Q1629" s="116">
        <v>128.19999999999999</v>
      </c>
      <c r="R1629">
        <v>37814</v>
      </c>
    </row>
    <row r="1630" spans="1:18" x14ac:dyDescent="0.25">
      <c r="A1630" s="169">
        <v>44439</v>
      </c>
      <c r="B1630" s="116">
        <v>138.1</v>
      </c>
      <c r="C1630" s="116">
        <v>133.1</v>
      </c>
      <c r="D1630" s="116">
        <v>132</v>
      </c>
      <c r="E1630" s="116">
        <v>138.1</v>
      </c>
      <c r="F1630" s="116">
        <v>133.1</v>
      </c>
      <c r="G1630">
        <v>3695</v>
      </c>
      <c r="H1630" s="116"/>
      <c r="I1630" s="116"/>
      <c r="L1630" s="169">
        <v>44405</v>
      </c>
      <c r="M1630" s="116">
        <v>126.1</v>
      </c>
      <c r="N1630" s="116">
        <v>127.9</v>
      </c>
      <c r="O1630" s="116">
        <v>124</v>
      </c>
      <c r="P1630" s="116">
        <v>126.25</v>
      </c>
      <c r="Q1630" s="116">
        <v>126.1</v>
      </c>
      <c r="R1630">
        <v>16484</v>
      </c>
    </row>
    <row r="1631" spans="1:18" x14ac:dyDescent="0.25">
      <c r="A1631" s="169">
        <v>44440</v>
      </c>
      <c r="B1631" s="116">
        <v>135.44999999999999</v>
      </c>
      <c r="C1631" s="116">
        <v>128.80000000000001</v>
      </c>
      <c r="D1631" s="116">
        <v>127.55</v>
      </c>
      <c r="E1631" s="116">
        <v>130.1</v>
      </c>
      <c r="F1631" s="116">
        <v>128.80000000000001</v>
      </c>
      <c r="G1631">
        <v>2980</v>
      </c>
      <c r="H1631" s="116"/>
      <c r="I1631" s="116"/>
      <c r="L1631" s="169">
        <v>44406</v>
      </c>
      <c r="M1631" s="116">
        <v>132.4</v>
      </c>
      <c r="N1631" s="116">
        <v>132.4</v>
      </c>
      <c r="O1631" s="116">
        <v>125.5</v>
      </c>
      <c r="P1631" s="116">
        <v>125.5</v>
      </c>
      <c r="Q1631" s="116">
        <v>132.4</v>
      </c>
      <c r="R1631">
        <v>34111</v>
      </c>
    </row>
    <row r="1632" spans="1:18" x14ac:dyDescent="0.25">
      <c r="A1632" s="169">
        <v>44441</v>
      </c>
      <c r="B1632" s="116">
        <v>135.19999999999999</v>
      </c>
      <c r="C1632" s="116">
        <v>135.19999999999999</v>
      </c>
      <c r="D1632" s="116">
        <v>134.9</v>
      </c>
      <c r="E1632" s="116">
        <v>134.9</v>
      </c>
      <c r="F1632" s="116">
        <v>135.19999999999999</v>
      </c>
      <c r="G1632">
        <v>457</v>
      </c>
      <c r="H1632" s="116"/>
      <c r="I1632" s="116"/>
      <c r="L1632" s="169">
        <v>44407</v>
      </c>
      <c r="M1632" s="116">
        <v>129.19999999999999</v>
      </c>
      <c r="N1632" s="116">
        <v>135.94999999999999</v>
      </c>
      <c r="O1632" s="116">
        <v>128</v>
      </c>
      <c r="P1632" s="116">
        <v>135.80000000000001</v>
      </c>
      <c r="Q1632" s="116">
        <v>129.19999999999999</v>
      </c>
      <c r="R1632">
        <v>30522</v>
      </c>
    </row>
    <row r="1633" spans="1:18" x14ac:dyDescent="0.25">
      <c r="A1633" s="169">
        <v>44442</v>
      </c>
      <c r="B1633" s="116">
        <v>141.94999999999999</v>
      </c>
      <c r="C1633" s="116">
        <v>137.15</v>
      </c>
      <c r="D1633" s="116">
        <v>137</v>
      </c>
      <c r="E1633" s="116">
        <v>140</v>
      </c>
      <c r="F1633" s="116">
        <v>137.15</v>
      </c>
      <c r="G1633">
        <v>1900</v>
      </c>
      <c r="H1633" s="116"/>
      <c r="I1633" s="116"/>
      <c r="L1633" s="169">
        <v>44410</v>
      </c>
      <c r="M1633" s="116">
        <v>135.65</v>
      </c>
      <c r="N1633" s="116">
        <v>135.65</v>
      </c>
      <c r="O1633" s="116">
        <v>128.25</v>
      </c>
      <c r="P1633" s="116">
        <v>132.80000000000001</v>
      </c>
      <c r="Q1633" s="116">
        <v>135.65</v>
      </c>
      <c r="R1633">
        <v>93475</v>
      </c>
    </row>
    <row r="1634" spans="1:18" x14ac:dyDescent="0.25">
      <c r="A1634" s="169">
        <v>44445</v>
      </c>
      <c r="B1634" s="116">
        <v>143.55000000000001</v>
      </c>
      <c r="C1634" s="116">
        <v>141</v>
      </c>
      <c r="D1634" s="116">
        <v>140.5</v>
      </c>
      <c r="E1634" s="116">
        <v>142.9</v>
      </c>
      <c r="F1634" s="116">
        <v>141</v>
      </c>
      <c r="G1634">
        <v>828</v>
      </c>
      <c r="H1634" s="116"/>
      <c r="I1634" s="116"/>
      <c r="L1634" s="169">
        <v>44411</v>
      </c>
      <c r="M1634" s="116">
        <v>142.4</v>
      </c>
      <c r="N1634" s="116">
        <v>142.4</v>
      </c>
      <c r="O1634" s="116">
        <v>139</v>
      </c>
      <c r="P1634" s="116">
        <v>141.75</v>
      </c>
      <c r="Q1634" s="116">
        <v>142.4</v>
      </c>
      <c r="R1634">
        <v>234774</v>
      </c>
    </row>
    <row r="1635" spans="1:18" x14ac:dyDescent="0.25">
      <c r="A1635" s="169">
        <v>44446</v>
      </c>
      <c r="B1635" s="116">
        <v>139.44999999999999</v>
      </c>
      <c r="C1635" s="116">
        <v>135.5</v>
      </c>
      <c r="D1635" s="116">
        <v>134</v>
      </c>
      <c r="E1635" s="116">
        <v>139.44999999999999</v>
      </c>
      <c r="F1635" s="116">
        <v>135.5</v>
      </c>
      <c r="G1635">
        <v>3332</v>
      </c>
      <c r="H1635" s="116"/>
      <c r="I1635" s="116"/>
      <c r="L1635" s="169">
        <v>44412</v>
      </c>
      <c r="M1635" s="116">
        <v>149.5</v>
      </c>
      <c r="N1635" s="116">
        <v>149.5</v>
      </c>
      <c r="O1635" s="116">
        <v>149.5</v>
      </c>
      <c r="P1635" s="116">
        <v>149.5</v>
      </c>
      <c r="Q1635" s="116">
        <v>149.5</v>
      </c>
      <c r="R1635">
        <v>168753</v>
      </c>
    </row>
    <row r="1636" spans="1:18" x14ac:dyDescent="0.25">
      <c r="A1636" s="169">
        <v>44447</v>
      </c>
      <c r="B1636" s="116">
        <v>141.5</v>
      </c>
      <c r="C1636" s="116">
        <v>139</v>
      </c>
      <c r="D1636" s="116">
        <v>137.1</v>
      </c>
      <c r="E1636" s="116">
        <v>137.1</v>
      </c>
      <c r="F1636" s="116">
        <v>139</v>
      </c>
      <c r="G1636">
        <v>3440</v>
      </c>
      <c r="H1636" s="116"/>
      <c r="I1636" s="116"/>
      <c r="L1636" s="169">
        <v>44413</v>
      </c>
      <c r="M1636" s="116">
        <v>156.94999999999999</v>
      </c>
      <c r="N1636" s="116">
        <v>156.94999999999999</v>
      </c>
      <c r="O1636" s="116">
        <v>145.5</v>
      </c>
      <c r="P1636" s="116">
        <v>156.94999999999999</v>
      </c>
      <c r="Q1636" s="116">
        <v>156.94999999999999</v>
      </c>
      <c r="R1636">
        <v>222048</v>
      </c>
    </row>
    <row r="1637" spans="1:18" x14ac:dyDescent="0.25">
      <c r="A1637" s="169">
        <v>44448</v>
      </c>
      <c r="B1637" s="116">
        <v>143</v>
      </c>
      <c r="C1637" s="116">
        <v>142</v>
      </c>
      <c r="D1637" s="116">
        <v>139.15</v>
      </c>
      <c r="E1637" s="116">
        <v>140</v>
      </c>
      <c r="F1637" s="116">
        <v>142</v>
      </c>
      <c r="G1637">
        <v>1728</v>
      </c>
      <c r="H1637" s="116"/>
      <c r="I1637" s="116"/>
      <c r="L1637" s="169">
        <v>44414</v>
      </c>
      <c r="M1637" s="116">
        <v>164.75</v>
      </c>
      <c r="N1637" s="116">
        <v>164.75</v>
      </c>
      <c r="O1637" s="116">
        <v>158.55000000000001</v>
      </c>
      <c r="P1637" s="116">
        <v>164.75</v>
      </c>
      <c r="Q1637" s="116">
        <v>164.75</v>
      </c>
      <c r="R1637">
        <v>145384</v>
      </c>
    </row>
    <row r="1638" spans="1:18" x14ac:dyDescent="0.25">
      <c r="A1638" s="169">
        <v>44452</v>
      </c>
      <c r="B1638" s="116">
        <v>142</v>
      </c>
      <c r="C1638" s="116">
        <v>138.6</v>
      </c>
      <c r="D1638" s="116">
        <v>138.15</v>
      </c>
      <c r="E1638" s="116">
        <v>140.65</v>
      </c>
      <c r="F1638" s="116">
        <v>138.6</v>
      </c>
      <c r="G1638">
        <v>158</v>
      </c>
      <c r="H1638" s="116"/>
      <c r="I1638" s="116"/>
      <c r="L1638" s="169">
        <v>44417</v>
      </c>
      <c r="M1638" s="116">
        <v>170.25</v>
      </c>
      <c r="N1638" s="116">
        <v>172.4</v>
      </c>
      <c r="O1638" s="116">
        <v>166</v>
      </c>
      <c r="P1638" s="116">
        <v>166</v>
      </c>
      <c r="Q1638" s="116">
        <v>170.25</v>
      </c>
      <c r="R1638">
        <v>129845</v>
      </c>
    </row>
    <row r="1639" spans="1:18" x14ac:dyDescent="0.25">
      <c r="A1639" s="169">
        <v>44453</v>
      </c>
      <c r="B1639" s="116">
        <v>145.5</v>
      </c>
      <c r="C1639" s="116">
        <v>145.5</v>
      </c>
      <c r="D1639" s="116">
        <v>136.80000000000001</v>
      </c>
      <c r="E1639" s="116">
        <v>141.75</v>
      </c>
      <c r="F1639" s="116">
        <v>145.5</v>
      </c>
      <c r="G1639">
        <v>2921</v>
      </c>
      <c r="H1639" s="116"/>
      <c r="I1639" s="116"/>
      <c r="L1639" s="169">
        <v>44418</v>
      </c>
      <c r="M1639" s="116">
        <v>161.75</v>
      </c>
      <c r="N1639" s="116">
        <v>173.55</v>
      </c>
      <c r="O1639" s="116">
        <v>161.75</v>
      </c>
      <c r="P1639" s="116">
        <v>172.4</v>
      </c>
      <c r="Q1639" s="116">
        <v>161.75</v>
      </c>
      <c r="R1639">
        <v>49884</v>
      </c>
    </row>
    <row r="1640" spans="1:18" x14ac:dyDescent="0.25">
      <c r="A1640" s="169">
        <v>44454</v>
      </c>
      <c r="B1640" s="116">
        <v>152.75</v>
      </c>
      <c r="C1640" s="116">
        <v>152.75</v>
      </c>
      <c r="D1640" s="116">
        <v>150.15</v>
      </c>
      <c r="E1640" s="116">
        <v>152.69999999999999</v>
      </c>
      <c r="F1640" s="116">
        <v>152.75</v>
      </c>
      <c r="G1640">
        <v>3288</v>
      </c>
      <c r="H1640" s="116"/>
      <c r="I1640" s="116"/>
      <c r="L1640" s="169">
        <v>44419</v>
      </c>
      <c r="M1640" s="116">
        <v>153.69999999999999</v>
      </c>
      <c r="N1640" s="116">
        <v>153.69999999999999</v>
      </c>
      <c r="O1640" s="116">
        <v>153.69999999999999</v>
      </c>
      <c r="P1640" s="116">
        <v>153.69999999999999</v>
      </c>
      <c r="Q1640" s="116">
        <v>153.69999999999999</v>
      </c>
      <c r="R1640">
        <v>8939</v>
      </c>
    </row>
    <row r="1641" spans="1:18" x14ac:dyDescent="0.25">
      <c r="A1641" s="169">
        <v>44455</v>
      </c>
      <c r="B1641" s="116">
        <v>160.35</v>
      </c>
      <c r="C1641" s="116">
        <v>159.94999999999999</v>
      </c>
      <c r="D1641" s="116">
        <v>154</v>
      </c>
      <c r="E1641" s="116">
        <v>158</v>
      </c>
      <c r="F1641" s="116">
        <v>159.94999999999999</v>
      </c>
      <c r="G1641">
        <v>5681</v>
      </c>
      <c r="H1641" s="116"/>
      <c r="I1641" s="116"/>
      <c r="L1641" s="169">
        <v>44420</v>
      </c>
      <c r="M1641" s="116">
        <v>146.19999999999999</v>
      </c>
      <c r="N1641" s="116">
        <v>152.9</v>
      </c>
      <c r="O1641" s="116">
        <v>146.05000000000001</v>
      </c>
      <c r="P1641" s="116">
        <v>147.15</v>
      </c>
      <c r="Q1641" s="116">
        <v>146.19999999999999</v>
      </c>
      <c r="R1641">
        <v>120426</v>
      </c>
    </row>
    <row r="1642" spans="1:18" x14ac:dyDescent="0.25">
      <c r="A1642" s="169">
        <v>44456</v>
      </c>
      <c r="B1642" s="116">
        <v>161.80000000000001</v>
      </c>
      <c r="C1642" s="116">
        <v>159.85</v>
      </c>
      <c r="D1642" s="116">
        <v>155.05000000000001</v>
      </c>
      <c r="E1642" s="116">
        <v>155.55000000000001</v>
      </c>
      <c r="F1642" s="116">
        <v>159.85</v>
      </c>
      <c r="G1642">
        <v>5198</v>
      </c>
      <c r="H1642" s="116"/>
      <c r="I1642" s="116"/>
      <c r="L1642" s="169">
        <v>44421</v>
      </c>
      <c r="M1642" s="116">
        <v>153.5</v>
      </c>
      <c r="N1642" s="116">
        <v>153.5</v>
      </c>
      <c r="O1642" s="116">
        <v>144.19999999999999</v>
      </c>
      <c r="P1642" s="116">
        <v>144.25</v>
      </c>
      <c r="Q1642" s="116">
        <v>153.5</v>
      </c>
      <c r="R1642">
        <v>37014</v>
      </c>
    </row>
    <row r="1643" spans="1:18" x14ac:dyDescent="0.25">
      <c r="A1643" s="169">
        <v>44459</v>
      </c>
      <c r="B1643" s="116">
        <v>161</v>
      </c>
      <c r="C1643" s="116">
        <v>155.30000000000001</v>
      </c>
      <c r="D1643" s="116">
        <v>153.35</v>
      </c>
      <c r="E1643" s="116">
        <v>161</v>
      </c>
      <c r="F1643" s="116">
        <v>155.30000000000001</v>
      </c>
      <c r="G1643">
        <v>4761</v>
      </c>
      <c r="H1643" s="116"/>
      <c r="I1643" s="116"/>
      <c r="L1643" s="169">
        <v>44424</v>
      </c>
      <c r="M1643" s="116">
        <v>149.55000000000001</v>
      </c>
      <c r="N1643" s="116">
        <v>159.4</v>
      </c>
      <c r="O1643" s="116">
        <v>148.75</v>
      </c>
      <c r="P1643" s="116">
        <v>155.05000000000001</v>
      </c>
      <c r="Q1643" s="116">
        <v>149.55000000000001</v>
      </c>
      <c r="R1643">
        <v>33206</v>
      </c>
    </row>
    <row r="1644" spans="1:18" x14ac:dyDescent="0.25">
      <c r="A1644" s="169">
        <v>44460</v>
      </c>
      <c r="B1644" s="116">
        <v>153</v>
      </c>
      <c r="C1644" s="116">
        <v>150.35</v>
      </c>
      <c r="D1644" s="116">
        <v>147.6</v>
      </c>
      <c r="E1644" s="116">
        <v>148.55000000000001</v>
      </c>
      <c r="F1644" s="116">
        <v>150.35</v>
      </c>
      <c r="G1644">
        <v>1164</v>
      </c>
      <c r="H1644" s="116"/>
      <c r="I1644" s="116"/>
      <c r="L1644" s="169">
        <v>44425</v>
      </c>
      <c r="M1644" s="116">
        <v>144.19999999999999</v>
      </c>
      <c r="N1644" s="116">
        <v>151.80000000000001</v>
      </c>
      <c r="O1644" s="116">
        <v>144.05000000000001</v>
      </c>
      <c r="P1644" s="116">
        <v>149.55000000000001</v>
      </c>
      <c r="Q1644" s="116">
        <v>144.19999999999999</v>
      </c>
      <c r="R1644">
        <v>25390</v>
      </c>
    </row>
    <row r="1645" spans="1:18" x14ac:dyDescent="0.25">
      <c r="A1645" s="169">
        <v>44461</v>
      </c>
      <c r="B1645" s="116">
        <v>157.80000000000001</v>
      </c>
      <c r="C1645" s="116">
        <v>157.75</v>
      </c>
      <c r="D1645" s="116">
        <v>145</v>
      </c>
      <c r="E1645" s="116">
        <v>145.5</v>
      </c>
      <c r="F1645" s="116">
        <v>157.75</v>
      </c>
      <c r="G1645">
        <v>1276</v>
      </c>
      <c r="H1645" s="116"/>
      <c r="I1645" s="116"/>
      <c r="L1645" s="169">
        <v>44426</v>
      </c>
      <c r="M1645" s="116">
        <v>142.9</v>
      </c>
      <c r="N1645" s="116">
        <v>149.55000000000001</v>
      </c>
      <c r="O1645" s="116">
        <v>141.80000000000001</v>
      </c>
      <c r="P1645" s="116">
        <v>144</v>
      </c>
      <c r="Q1645" s="116">
        <v>142.9</v>
      </c>
      <c r="R1645">
        <v>20419</v>
      </c>
    </row>
    <row r="1646" spans="1:18" x14ac:dyDescent="0.25">
      <c r="A1646" s="169">
        <v>44462</v>
      </c>
      <c r="B1646" s="116">
        <v>165.6</v>
      </c>
      <c r="C1646" s="116">
        <v>165.3</v>
      </c>
      <c r="D1646" s="116">
        <v>161.6</v>
      </c>
      <c r="E1646" s="116">
        <v>161.94999999999999</v>
      </c>
      <c r="F1646" s="116">
        <v>165.3</v>
      </c>
      <c r="G1646">
        <v>10989</v>
      </c>
      <c r="H1646" s="116"/>
      <c r="I1646" s="116"/>
      <c r="L1646" s="169">
        <v>44428</v>
      </c>
      <c r="M1646" s="116">
        <v>135.80000000000001</v>
      </c>
      <c r="N1646" s="116">
        <v>145.1</v>
      </c>
      <c r="O1646" s="116">
        <v>135.80000000000001</v>
      </c>
      <c r="P1646" s="116">
        <v>142.85</v>
      </c>
      <c r="Q1646" s="116">
        <v>135.80000000000001</v>
      </c>
      <c r="R1646">
        <v>28603</v>
      </c>
    </row>
    <row r="1647" spans="1:18" x14ac:dyDescent="0.25">
      <c r="A1647" s="169">
        <v>44463</v>
      </c>
      <c r="B1647" s="116">
        <v>169.95</v>
      </c>
      <c r="C1647" s="116">
        <v>159.9</v>
      </c>
      <c r="D1647" s="116">
        <v>158</v>
      </c>
      <c r="E1647" s="116">
        <v>169.95</v>
      </c>
      <c r="F1647" s="116">
        <v>159.9</v>
      </c>
      <c r="G1647">
        <v>4226</v>
      </c>
      <c r="H1647" s="116"/>
      <c r="I1647" s="116"/>
      <c r="L1647" s="169">
        <v>44431</v>
      </c>
      <c r="M1647" s="116">
        <v>129.05000000000001</v>
      </c>
      <c r="N1647" s="116">
        <v>135.80000000000001</v>
      </c>
      <c r="O1647" s="116">
        <v>129.05000000000001</v>
      </c>
      <c r="P1647" s="116">
        <v>135.80000000000001</v>
      </c>
      <c r="Q1647" s="116">
        <v>129.05000000000001</v>
      </c>
      <c r="R1647">
        <v>9671</v>
      </c>
    </row>
    <row r="1648" spans="1:18" x14ac:dyDescent="0.25">
      <c r="A1648" s="169">
        <v>44466</v>
      </c>
      <c r="B1648" s="116">
        <v>164.5</v>
      </c>
      <c r="C1648" s="116">
        <v>159.9</v>
      </c>
      <c r="D1648" s="116">
        <v>159</v>
      </c>
      <c r="E1648" s="116">
        <v>164.5</v>
      </c>
      <c r="F1648" s="116">
        <v>159.9</v>
      </c>
      <c r="G1648">
        <v>2536</v>
      </c>
      <c r="H1648" s="116"/>
      <c r="I1648" s="116"/>
      <c r="L1648" s="169">
        <v>44432</v>
      </c>
      <c r="M1648" s="116">
        <v>135.5</v>
      </c>
      <c r="N1648" s="116">
        <v>135.5</v>
      </c>
      <c r="O1648" s="116">
        <v>122.6</v>
      </c>
      <c r="P1648" s="116">
        <v>123.6</v>
      </c>
      <c r="Q1648" s="116">
        <v>135.5</v>
      </c>
      <c r="R1648">
        <v>32634</v>
      </c>
    </row>
    <row r="1649" spans="1:18" x14ac:dyDescent="0.25">
      <c r="A1649" s="169">
        <v>44467</v>
      </c>
      <c r="B1649" s="116">
        <v>160.80000000000001</v>
      </c>
      <c r="C1649" s="116">
        <v>159.19999999999999</v>
      </c>
      <c r="D1649" s="116">
        <v>153.1</v>
      </c>
      <c r="E1649" s="116">
        <v>160.80000000000001</v>
      </c>
      <c r="F1649" s="116">
        <v>159.19999999999999</v>
      </c>
      <c r="G1649">
        <v>3979</v>
      </c>
      <c r="H1649" s="116"/>
      <c r="I1649" s="116"/>
      <c r="L1649" s="169">
        <v>44433</v>
      </c>
      <c r="M1649" s="116">
        <v>138.9</v>
      </c>
      <c r="N1649" s="116">
        <v>142.25</v>
      </c>
      <c r="O1649" s="116">
        <v>135.25</v>
      </c>
      <c r="P1649" s="116">
        <v>135.25</v>
      </c>
      <c r="Q1649" s="116">
        <v>138.9</v>
      </c>
      <c r="R1649">
        <v>18718</v>
      </c>
    </row>
    <row r="1650" spans="1:18" x14ac:dyDescent="0.25">
      <c r="A1650" s="169">
        <v>44468</v>
      </c>
      <c r="B1650" s="116">
        <v>161.1</v>
      </c>
      <c r="C1650" s="116">
        <v>159.19999999999999</v>
      </c>
      <c r="D1650" s="116">
        <v>155.80000000000001</v>
      </c>
      <c r="E1650" s="116">
        <v>161.1</v>
      </c>
      <c r="F1650" s="116">
        <v>159.19999999999999</v>
      </c>
      <c r="G1650">
        <v>3228</v>
      </c>
      <c r="H1650" s="116"/>
      <c r="I1650" s="116"/>
      <c r="L1650" s="169">
        <v>44434</v>
      </c>
      <c r="M1650" s="116">
        <v>132.44999999999999</v>
      </c>
      <c r="N1650" s="116">
        <v>141</v>
      </c>
      <c r="O1650" s="116">
        <v>132</v>
      </c>
      <c r="P1650" s="116">
        <v>141</v>
      </c>
      <c r="Q1650" s="116">
        <v>132.44999999999999</v>
      </c>
      <c r="R1650">
        <v>17852</v>
      </c>
    </row>
    <row r="1651" spans="1:18" x14ac:dyDescent="0.25">
      <c r="A1651" s="169">
        <v>44469</v>
      </c>
      <c r="B1651" s="116">
        <v>167.15</v>
      </c>
      <c r="C1651" s="116">
        <v>166.8</v>
      </c>
      <c r="D1651" s="116">
        <v>157.30000000000001</v>
      </c>
      <c r="E1651" s="116">
        <v>157.55000000000001</v>
      </c>
      <c r="F1651" s="116">
        <v>166.8</v>
      </c>
      <c r="G1651">
        <v>14035</v>
      </c>
      <c r="H1651" s="116"/>
      <c r="I1651" s="116"/>
      <c r="L1651" s="169">
        <v>44435</v>
      </c>
      <c r="M1651" s="116">
        <v>135.6</v>
      </c>
      <c r="N1651" s="116">
        <v>138</v>
      </c>
      <c r="O1651" s="116">
        <v>132.44999999999999</v>
      </c>
      <c r="P1651" s="116">
        <v>132.55000000000001</v>
      </c>
      <c r="Q1651" s="116">
        <v>135.6</v>
      </c>
      <c r="R1651">
        <v>8172</v>
      </c>
    </row>
    <row r="1652" spans="1:18" x14ac:dyDescent="0.25">
      <c r="A1652" s="169">
        <v>44470</v>
      </c>
      <c r="B1652" s="116">
        <v>175.1</v>
      </c>
      <c r="C1652" s="116">
        <v>172.3</v>
      </c>
      <c r="D1652" s="116">
        <v>166.75</v>
      </c>
      <c r="E1652" s="116">
        <v>169</v>
      </c>
      <c r="F1652" s="116">
        <v>172.3</v>
      </c>
      <c r="G1652">
        <v>33106</v>
      </c>
      <c r="H1652" s="116"/>
      <c r="I1652" s="116"/>
      <c r="L1652" s="169">
        <v>44438</v>
      </c>
      <c r="M1652" s="116">
        <v>136.5</v>
      </c>
      <c r="N1652" s="116">
        <v>137.94999999999999</v>
      </c>
      <c r="O1652" s="116">
        <v>135.30000000000001</v>
      </c>
      <c r="P1652" s="116">
        <v>137.94999999999999</v>
      </c>
      <c r="Q1652" s="116">
        <v>136.5</v>
      </c>
      <c r="R1652">
        <v>5139</v>
      </c>
    </row>
    <row r="1653" spans="1:18" x14ac:dyDescent="0.25">
      <c r="A1653" s="169">
        <v>44473</v>
      </c>
      <c r="B1653" s="116">
        <v>180</v>
      </c>
      <c r="C1653" s="116">
        <v>174.25</v>
      </c>
      <c r="D1653" s="116">
        <v>169.95</v>
      </c>
      <c r="E1653" s="116">
        <v>180</v>
      </c>
      <c r="F1653" s="116">
        <v>174.25</v>
      </c>
      <c r="G1653">
        <v>11374</v>
      </c>
      <c r="H1653" s="116"/>
      <c r="I1653" s="116"/>
      <c r="L1653" s="169">
        <v>44439</v>
      </c>
      <c r="M1653" s="116">
        <v>132.85</v>
      </c>
      <c r="N1653" s="116">
        <v>137.80000000000001</v>
      </c>
      <c r="O1653" s="116">
        <v>132.1</v>
      </c>
      <c r="P1653" s="116">
        <v>136.55000000000001</v>
      </c>
      <c r="Q1653" s="116">
        <v>132.85</v>
      </c>
      <c r="R1653">
        <v>8884</v>
      </c>
    </row>
    <row r="1654" spans="1:18" x14ac:dyDescent="0.25">
      <c r="A1654" s="169">
        <v>44474</v>
      </c>
      <c r="B1654" s="116">
        <v>182.5</v>
      </c>
      <c r="C1654" s="116">
        <v>178.95</v>
      </c>
      <c r="D1654" s="116">
        <v>175.8</v>
      </c>
      <c r="E1654" s="116">
        <v>175.8</v>
      </c>
      <c r="F1654" s="116">
        <v>178.95</v>
      </c>
      <c r="G1654">
        <v>21285</v>
      </c>
      <c r="H1654" s="116"/>
      <c r="I1654" s="116"/>
      <c r="L1654" s="169">
        <v>44440</v>
      </c>
      <c r="M1654" s="116">
        <v>129.94999999999999</v>
      </c>
      <c r="N1654" s="116">
        <v>134.19999999999999</v>
      </c>
      <c r="O1654" s="116">
        <v>129.05000000000001</v>
      </c>
      <c r="P1654" s="116">
        <v>134.15</v>
      </c>
      <c r="Q1654" s="116">
        <v>129.94999999999999</v>
      </c>
      <c r="R1654">
        <v>18496</v>
      </c>
    </row>
    <row r="1655" spans="1:18" x14ac:dyDescent="0.25">
      <c r="A1655" s="169">
        <v>44475</v>
      </c>
      <c r="B1655" s="116">
        <v>182.85</v>
      </c>
      <c r="C1655" s="116">
        <v>173.7</v>
      </c>
      <c r="D1655" s="116">
        <v>172</v>
      </c>
      <c r="E1655" s="116">
        <v>180.9</v>
      </c>
      <c r="F1655" s="116">
        <v>173.7</v>
      </c>
      <c r="G1655">
        <v>8856</v>
      </c>
      <c r="H1655" s="116"/>
      <c r="I1655" s="116"/>
      <c r="L1655" s="169">
        <v>44441</v>
      </c>
      <c r="M1655" s="116">
        <v>136.4</v>
      </c>
      <c r="N1655" s="116">
        <v>136.4</v>
      </c>
      <c r="O1655" s="116">
        <v>132.5</v>
      </c>
      <c r="P1655" s="116">
        <v>132.5</v>
      </c>
      <c r="Q1655" s="116">
        <v>136.4</v>
      </c>
      <c r="R1655">
        <v>13247</v>
      </c>
    </row>
    <row r="1656" spans="1:18" x14ac:dyDescent="0.25">
      <c r="A1656" s="169">
        <v>44476</v>
      </c>
      <c r="B1656" s="116">
        <v>180</v>
      </c>
      <c r="C1656" s="116">
        <v>177.9</v>
      </c>
      <c r="D1656" s="116">
        <v>171.85</v>
      </c>
      <c r="E1656" s="116">
        <v>173.7</v>
      </c>
      <c r="F1656" s="116">
        <v>177.9</v>
      </c>
      <c r="G1656">
        <v>14819</v>
      </c>
      <c r="H1656" s="116"/>
      <c r="I1656" s="116"/>
      <c r="L1656" s="169">
        <v>44442</v>
      </c>
      <c r="M1656" s="116">
        <v>139.05000000000001</v>
      </c>
      <c r="N1656" s="116">
        <v>143.19999999999999</v>
      </c>
      <c r="O1656" s="116">
        <v>134.30000000000001</v>
      </c>
      <c r="P1656" s="116">
        <v>139.80000000000001</v>
      </c>
      <c r="Q1656" s="116">
        <v>139.05000000000001</v>
      </c>
      <c r="R1656">
        <v>25372</v>
      </c>
    </row>
    <row r="1657" spans="1:18" x14ac:dyDescent="0.25">
      <c r="A1657" s="169">
        <v>44477</v>
      </c>
      <c r="B1657" s="116">
        <v>177.15</v>
      </c>
      <c r="C1657" s="116">
        <v>174.35</v>
      </c>
      <c r="D1657" s="116">
        <v>173.1</v>
      </c>
      <c r="E1657" s="116">
        <v>177.15</v>
      </c>
      <c r="F1657" s="116">
        <v>174.35</v>
      </c>
      <c r="G1657">
        <v>6549</v>
      </c>
      <c r="H1657" s="116"/>
      <c r="I1657" s="116"/>
      <c r="L1657" s="169">
        <v>44445</v>
      </c>
      <c r="M1657" s="116">
        <v>141.1</v>
      </c>
      <c r="N1657" s="116">
        <v>144</v>
      </c>
      <c r="O1657" s="116">
        <v>140</v>
      </c>
      <c r="P1657" s="116">
        <v>141.80000000000001</v>
      </c>
      <c r="Q1657" s="116">
        <v>141.1</v>
      </c>
      <c r="R1657">
        <v>12849</v>
      </c>
    </row>
    <row r="1658" spans="1:18" x14ac:dyDescent="0.25">
      <c r="A1658" s="169">
        <v>44480</v>
      </c>
      <c r="B1658" s="116">
        <v>183.05</v>
      </c>
      <c r="C1658" s="116">
        <v>183.05</v>
      </c>
      <c r="D1658" s="116">
        <v>181.5</v>
      </c>
      <c r="E1658" s="116">
        <v>181.5</v>
      </c>
      <c r="F1658" s="116">
        <v>183.05</v>
      </c>
      <c r="G1658">
        <v>5975</v>
      </c>
      <c r="H1658" s="116"/>
      <c r="I1658" s="116"/>
      <c r="L1658" s="169">
        <v>44446</v>
      </c>
      <c r="M1658" s="116">
        <v>135.4</v>
      </c>
      <c r="N1658" s="116">
        <v>141.4</v>
      </c>
      <c r="O1658" s="116">
        <v>134.19999999999999</v>
      </c>
      <c r="P1658" s="116">
        <v>141.1</v>
      </c>
      <c r="Q1658" s="116">
        <v>135.4</v>
      </c>
      <c r="R1658">
        <v>16156</v>
      </c>
    </row>
    <row r="1659" spans="1:18" x14ac:dyDescent="0.25">
      <c r="A1659" s="169">
        <v>44481</v>
      </c>
      <c r="B1659" s="116">
        <v>192.2</v>
      </c>
      <c r="C1659" s="116">
        <v>192.2</v>
      </c>
      <c r="D1659" s="116">
        <v>192.2</v>
      </c>
      <c r="E1659" s="116">
        <v>192.2</v>
      </c>
      <c r="F1659" s="116">
        <v>192.2</v>
      </c>
      <c r="G1659">
        <v>4855</v>
      </c>
      <c r="H1659" s="116"/>
      <c r="I1659" s="116"/>
      <c r="L1659" s="169">
        <v>44447</v>
      </c>
      <c r="M1659" s="116">
        <v>139.55000000000001</v>
      </c>
      <c r="N1659" s="116">
        <v>141.80000000000001</v>
      </c>
      <c r="O1659" s="116">
        <v>135.1</v>
      </c>
      <c r="P1659" s="116">
        <v>135.94999999999999</v>
      </c>
      <c r="Q1659" s="116">
        <v>139.55000000000001</v>
      </c>
      <c r="R1659">
        <v>28872</v>
      </c>
    </row>
    <row r="1660" spans="1:18" x14ac:dyDescent="0.25">
      <c r="A1660" s="169">
        <v>44482</v>
      </c>
      <c r="B1660" s="116">
        <v>201.8</v>
      </c>
      <c r="C1660" s="116">
        <v>201.8</v>
      </c>
      <c r="D1660" s="116">
        <v>201.8</v>
      </c>
      <c r="E1660" s="116">
        <v>201.8</v>
      </c>
      <c r="F1660" s="116">
        <v>201.8</v>
      </c>
      <c r="G1660">
        <v>13702</v>
      </c>
      <c r="H1660" s="116"/>
      <c r="I1660" s="116"/>
      <c r="L1660" s="169">
        <v>44448</v>
      </c>
      <c r="M1660" s="116">
        <v>142.05000000000001</v>
      </c>
      <c r="N1660" s="116">
        <v>144.25</v>
      </c>
      <c r="O1660" s="116">
        <v>138</v>
      </c>
      <c r="P1660" s="116">
        <v>140.55000000000001</v>
      </c>
      <c r="Q1660" s="116">
        <v>142.05000000000001</v>
      </c>
      <c r="R1660">
        <v>16346</v>
      </c>
    </row>
    <row r="1661" spans="1:18" x14ac:dyDescent="0.25">
      <c r="A1661" s="169">
        <v>44483</v>
      </c>
      <c r="B1661" s="116">
        <v>211.85</v>
      </c>
      <c r="C1661" s="116">
        <v>211.85</v>
      </c>
      <c r="D1661" s="116">
        <v>204.1</v>
      </c>
      <c r="E1661" s="116">
        <v>211.85</v>
      </c>
      <c r="F1661" s="116">
        <v>211.85</v>
      </c>
      <c r="G1661">
        <v>123077</v>
      </c>
      <c r="H1661" s="116"/>
      <c r="I1661" s="116"/>
      <c r="L1661" s="169">
        <v>44452</v>
      </c>
      <c r="M1661" s="116">
        <v>139.69999999999999</v>
      </c>
      <c r="N1661" s="116">
        <v>143.9</v>
      </c>
      <c r="O1661" s="116">
        <v>136.55000000000001</v>
      </c>
      <c r="P1661" s="116">
        <v>143.9</v>
      </c>
      <c r="Q1661" s="116">
        <v>139.69999999999999</v>
      </c>
      <c r="R1661">
        <v>7123</v>
      </c>
    </row>
    <row r="1662" spans="1:18" x14ac:dyDescent="0.25">
      <c r="A1662" s="169">
        <v>44487</v>
      </c>
      <c r="B1662" s="116">
        <v>222.4</v>
      </c>
      <c r="C1662" s="116">
        <v>222.4</v>
      </c>
      <c r="D1662" s="116">
        <v>222.4</v>
      </c>
      <c r="E1662" s="116">
        <v>222.4</v>
      </c>
      <c r="F1662" s="116">
        <v>222.4</v>
      </c>
      <c r="G1662">
        <v>3655</v>
      </c>
      <c r="H1662" s="116"/>
      <c r="I1662" s="116"/>
      <c r="L1662" s="169">
        <v>44453</v>
      </c>
      <c r="M1662" s="116">
        <v>146.65</v>
      </c>
      <c r="N1662" s="116">
        <v>146.65</v>
      </c>
      <c r="O1662" s="116">
        <v>137.75</v>
      </c>
      <c r="P1662" s="116">
        <v>137.75</v>
      </c>
      <c r="Q1662" s="116">
        <v>146.65</v>
      </c>
      <c r="R1662">
        <v>50295</v>
      </c>
    </row>
    <row r="1663" spans="1:18" x14ac:dyDescent="0.25">
      <c r="A1663" s="169">
        <v>44488</v>
      </c>
      <c r="B1663" s="116">
        <v>233.5</v>
      </c>
      <c r="C1663" s="116">
        <v>233.5</v>
      </c>
      <c r="D1663" s="116">
        <v>233.5</v>
      </c>
      <c r="E1663" s="116">
        <v>233.5</v>
      </c>
      <c r="F1663" s="116">
        <v>233.5</v>
      </c>
      <c r="G1663">
        <v>19233</v>
      </c>
      <c r="H1663" s="116"/>
      <c r="I1663" s="116"/>
      <c r="L1663" s="169">
        <v>44454</v>
      </c>
      <c r="M1663" s="116">
        <v>153.94999999999999</v>
      </c>
      <c r="N1663" s="116">
        <v>153.94999999999999</v>
      </c>
      <c r="O1663" s="116">
        <v>148.55000000000001</v>
      </c>
      <c r="P1663" s="116">
        <v>151.9</v>
      </c>
      <c r="Q1663" s="116">
        <v>153.94999999999999</v>
      </c>
      <c r="R1663">
        <v>81997</v>
      </c>
    </row>
    <row r="1664" spans="1:18" x14ac:dyDescent="0.25">
      <c r="A1664" s="169">
        <v>44489</v>
      </c>
      <c r="B1664" s="116">
        <v>245.15</v>
      </c>
      <c r="C1664" s="116">
        <v>245.15</v>
      </c>
      <c r="D1664" s="116">
        <v>221.85</v>
      </c>
      <c r="E1664" s="116">
        <v>243.9</v>
      </c>
      <c r="F1664" s="116">
        <v>245.15</v>
      </c>
      <c r="G1664">
        <v>112421</v>
      </c>
      <c r="H1664" s="116"/>
      <c r="I1664" s="116"/>
      <c r="L1664" s="169">
        <v>44455</v>
      </c>
      <c r="M1664" s="116">
        <v>159.05000000000001</v>
      </c>
      <c r="N1664" s="116">
        <v>160.55000000000001</v>
      </c>
      <c r="O1664" s="116">
        <v>153.15</v>
      </c>
      <c r="P1664" s="116">
        <v>155.94999999999999</v>
      </c>
      <c r="Q1664" s="116">
        <v>159.05000000000001</v>
      </c>
      <c r="R1664">
        <v>109664</v>
      </c>
    </row>
    <row r="1665" spans="1:18" x14ac:dyDescent="0.25">
      <c r="A1665" s="169">
        <v>44490</v>
      </c>
      <c r="B1665" s="116">
        <v>257.39999999999998</v>
      </c>
      <c r="C1665" s="116">
        <v>251.9</v>
      </c>
      <c r="D1665" s="116">
        <v>248.15</v>
      </c>
      <c r="E1665" s="116">
        <v>257.39999999999998</v>
      </c>
      <c r="F1665" s="116">
        <v>251.9</v>
      </c>
      <c r="G1665">
        <v>48031</v>
      </c>
      <c r="H1665" s="116"/>
      <c r="I1665" s="116"/>
      <c r="L1665" s="169">
        <v>44456</v>
      </c>
      <c r="M1665" s="116">
        <v>159.85</v>
      </c>
      <c r="N1665" s="116">
        <v>164</v>
      </c>
      <c r="O1665" s="116">
        <v>155.69999999999999</v>
      </c>
      <c r="P1665" s="116">
        <v>158.15</v>
      </c>
      <c r="Q1665" s="116">
        <v>159.85</v>
      </c>
      <c r="R1665">
        <v>59000</v>
      </c>
    </row>
    <row r="1666" spans="1:18" x14ac:dyDescent="0.25">
      <c r="A1666" s="169">
        <v>44491</v>
      </c>
      <c r="B1666" s="116">
        <v>257.95</v>
      </c>
      <c r="C1666" s="116">
        <v>239.35</v>
      </c>
      <c r="D1666" s="116">
        <v>239.35</v>
      </c>
      <c r="E1666" s="116">
        <v>257.95</v>
      </c>
      <c r="F1666" s="116">
        <v>239.35</v>
      </c>
      <c r="G1666">
        <v>24740</v>
      </c>
      <c r="H1666" s="116"/>
      <c r="I1666" s="116"/>
      <c r="L1666" s="169">
        <v>44459</v>
      </c>
      <c r="M1666" s="116">
        <v>155.5</v>
      </c>
      <c r="N1666" s="116">
        <v>161.80000000000001</v>
      </c>
      <c r="O1666" s="116">
        <v>151.9</v>
      </c>
      <c r="P1666" s="116">
        <v>161.80000000000001</v>
      </c>
      <c r="Q1666" s="116">
        <v>155.5</v>
      </c>
      <c r="R1666">
        <v>44158</v>
      </c>
    </row>
    <row r="1667" spans="1:18" x14ac:dyDescent="0.25">
      <c r="A1667" s="169">
        <v>44494</v>
      </c>
      <c r="B1667" s="116">
        <v>251.3</v>
      </c>
      <c r="C1667" s="116">
        <v>248.3</v>
      </c>
      <c r="D1667" s="116">
        <v>227.45</v>
      </c>
      <c r="E1667" s="116">
        <v>227.65</v>
      </c>
      <c r="F1667" s="116">
        <v>248.3</v>
      </c>
      <c r="G1667">
        <v>16556</v>
      </c>
      <c r="H1667" s="116"/>
      <c r="I1667" s="116"/>
      <c r="L1667" s="169">
        <v>44460</v>
      </c>
      <c r="M1667" s="116">
        <v>150.35</v>
      </c>
      <c r="N1667" s="116">
        <v>154.94999999999999</v>
      </c>
      <c r="O1667" s="116">
        <v>147.80000000000001</v>
      </c>
      <c r="P1667" s="116">
        <v>154.94999999999999</v>
      </c>
      <c r="Q1667" s="116">
        <v>150.35</v>
      </c>
      <c r="R1667">
        <v>33769</v>
      </c>
    </row>
    <row r="1668" spans="1:18" x14ac:dyDescent="0.25">
      <c r="A1668" s="169">
        <v>44495</v>
      </c>
      <c r="B1668" s="116">
        <v>260.7</v>
      </c>
      <c r="C1668" s="116">
        <v>260.60000000000002</v>
      </c>
      <c r="D1668" s="116">
        <v>241.55</v>
      </c>
      <c r="E1668" s="116">
        <v>248</v>
      </c>
      <c r="F1668" s="116">
        <v>260.60000000000002</v>
      </c>
      <c r="G1668">
        <v>20477</v>
      </c>
      <c r="H1668" s="116"/>
      <c r="I1668" s="116"/>
      <c r="L1668" s="169">
        <v>44461</v>
      </c>
      <c r="M1668" s="116">
        <v>157.69999999999999</v>
      </c>
      <c r="N1668" s="116">
        <v>157.85</v>
      </c>
      <c r="O1668" s="116">
        <v>148.15</v>
      </c>
      <c r="P1668" s="116">
        <v>150.35</v>
      </c>
      <c r="Q1668" s="116">
        <v>157.69999999999999</v>
      </c>
      <c r="R1668">
        <v>550430</v>
      </c>
    </row>
    <row r="1669" spans="1:18" x14ac:dyDescent="0.25">
      <c r="A1669" s="169">
        <v>44496</v>
      </c>
      <c r="B1669" s="116">
        <v>273.60000000000002</v>
      </c>
      <c r="C1669" s="116">
        <v>257</v>
      </c>
      <c r="D1669" s="116">
        <v>253</v>
      </c>
      <c r="E1669" s="116">
        <v>273.60000000000002</v>
      </c>
      <c r="F1669" s="116">
        <v>257</v>
      </c>
      <c r="G1669">
        <v>20390</v>
      </c>
      <c r="H1669" s="116"/>
      <c r="I1669" s="116"/>
      <c r="L1669" s="169">
        <v>44462</v>
      </c>
      <c r="M1669" s="116">
        <v>165.5</v>
      </c>
      <c r="N1669" s="116">
        <v>165.55</v>
      </c>
      <c r="O1669" s="116">
        <v>161.05000000000001</v>
      </c>
      <c r="P1669" s="116">
        <v>164.95</v>
      </c>
      <c r="Q1669" s="116">
        <v>165.5</v>
      </c>
      <c r="R1669">
        <v>160745</v>
      </c>
    </row>
    <row r="1670" spans="1:18" x14ac:dyDescent="0.25">
      <c r="A1670" s="169">
        <v>44497</v>
      </c>
      <c r="B1670" s="116">
        <v>269.85000000000002</v>
      </c>
      <c r="C1670" s="116">
        <v>269.85000000000002</v>
      </c>
      <c r="D1670" s="116">
        <v>262.05</v>
      </c>
      <c r="E1670" s="116">
        <v>263</v>
      </c>
      <c r="F1670" s="116">
        <v>269.85000000000002</v>
      </c>
      <c r="G1670">
        <v>13365</v>
      </c>
      <c r="H1670" s="116"/>
      <c r="I1670" s="116"/>
      <c r="L1670" s="169">
        <v>44463</v>
      </c>
      <c r="M1670" s="116">
        <v>159.55000000000001</v>
      </c>
      <c r="N1670" s="116">
        <v>167.2</v>
      </c>
      <c r="O1670" s="116">
        <v>157.25</v>
      </c>
      <c r="P1670" s="116">
        <v>167.2</v>
      </c>
      <c r="Q1670" s="116">
        <v>159.55000000000001</v>
      </c>
      <c r="R1670">
        <v>39726</v>
      </c>
    </row>
    <row r="1671" spans="1:18" x14ac:dyDescent="0.25">
      <c r="A1671" s="169">
        <v>44498</v>
      </c>
      <c r="B1671" s="116">
        <v>283.3</v>
      </c>
      <c r="C1671" s="116">
        <v>283.3</v>
      </c>
      <c r="D1671" s="116">
        <v>256.39999999999998</v>
      </c>
      <c r="E1671" s="116">
        <v>279.3</v>
      </c>
      <c r="F1671" s="116">
        <v>283.3</v>
      </c>
      <c r="G1671">
        <v>15529</v>
      </c>
      <c r="H1671" s="116"/>
      <c r="I1671" s="116"/>
      <c r="L1671" s="169">
        <v>44466</v>
      </c>
      <c r="M1671" s="116">
        <v>160.19999999999999</v>
      </c>
      <c r="N1671" s="116">
        <v>167</v>
      </c>
      <c r="O1671" s="116">
        <v>159.4</v>
      </c>
      <c r="P1671" s="116">
        <v>159.55000000000001</v>
      </c>
      <c r="Q1671" s="116">
        <v>160.19999999999999</v>
      </c>
      <c r="R1671">
        <v>18439</v>
      </c>
    </row>
    <row r="1672" spans="1:18" x14ac:dyDescent="0.25">
      <c r="A1672" s="169">
        <v>44501</v>
      </c>
      <c r="B1672" s="116">
        <v>297.45</v>
      </c>
      <c r="C1672" s="116">
        <v>297.45</v>
      </c>
      <c r="D1672" s="116">
        <v>284.60000000000002</v>
      </c>
      <c r="E1672" s="116">
        <v>297</v>
      </c>
      <c r="F1672" s="116">
        <v>297.45</v>
      </c>
      <c r="G1672">
        <v>18754</v>
      </c>
      <c r="H1672" s="116"/>
      <c r="I1672" s="116"/>
      <c r="L1672" s="169">
        <v>44467</v>
      </c>
      <c r="M1672" s="116">
        <v>159.80000000000001</v>
      </c>
      <c r="N1672" s="116">
        <v>163</v>
      </c>
      <c r="O1672" s="116">
        <v>156</v>
      </c>
      <c r="P1672" s="116">
        <v>161</v>
      </c>
      <c r="Q1672" s="116">
        <v>159.80000000000001</v>
      </c>
      <c r="R1672">
        <v>14927</v>
      </c>
    </row>
    <row r="1673" spans="1:18" x14ac:dyDescent="0.25">
      <c r="A1673" s="169">
        <v>44502</v>
      </c>
      <c r="B1673" s="116">
        <v>312.3</v>
      </c>
      <c r="C1673" s="116">
        <v>312.3</v>
      </c>
      <c r="D1673" s="116">
        <v>305</v>
      </c>
      <c r="E1673" s="116">
        <v>311.89999999999998</v>
      </c>
      <c r="F1673" s="116">
        <v>312.3</v>
      </c>
      <c r="G1673">
        <v>16324</v>
      </c>
      <c r="H1673" s="116"/>
      <c r="I1673" s="116"/>
      <c r="L1673" s="169">
        <v>44468</v>
      </c>
      <c r="M1673" s="116">
        <v>158.69999999999999</v>
      </c>
      <c r="N1673" s="116">
        <v>163.69999999999999</v>
      </c>
      <c r="O1673" s="116">
        <v>156</v>
      </c>
      <c r="P1673" s="116">
        <v>162.9</v>
      </c>
      <c r="Q1673" s="116">
        <v>158.69999999999999</v>
      </c>
      <c r="R1673">
        <v>15628</v>
      </c>
    </row>
    <row r="1674" spans="1:18" x14ac:dyDescent="0.25">
      <c r="A1674" s="169">
        <v>44503</v>
      </c>
      <c r="B1674" s="116">
        <v>327.7</v>
      </c>
      <c r="C1674" s="116">
        <v>296.7</v>
      </c>
      <c r="D1674" s="116">
        <v>296.7</v>
      </c>
      <c r="E1674" s="116">
        <v>327.7</v>
      </c>
      <c r="F1674" s="116">
        <v>296.7</v>
      </c>
      <c r="G1674">
        <v>14638</v>
      </c>
      <c r="H1674" s="116"/>
      <c r="I1674" s="116"/>
      <c r="L1674" s="169">
        <v>44469</v>
      </c>
      <c r="M1674" s="116">
        <v>166.4</v>
      </c>
      <c r="N1674" s="116">
        <v>166.6</v>
      </c>
      <c r="O1674" s="116">
        <v>157.05000000000001</v>
      </c>
      <c r="P1674" s="116">
        <v>159</v>
      </c>
      <c r="Q1674" s="116">
        <v>166.4</v>
      </c>
      <c r="R1674">
        <v>253728</v>
      </c>
    </row>
    <row r="1675" spans="1:18" x14ac:dyDescent="0.25">
      <c r="A1675" s="169">
        <v>44504</v>
      </c>
      <c r="B1675" s="116">
        <v>281.89999999999998</v>
      </c>
      <c r="C1675" s="116">
        <v>281.89999999999998</v>
      </c>
      <c r="D1675" s="116">
        <v>281.89999999999998</v>
      </c>
      <c r="E1675" s="116">
        <v>281.89999999999998</v>
      </c>
      <c r="F1675" s="116">
        <v>281.89999999999998</v>
      </c>
      <c r="G1675">
        <v>3298</v>
      </c>
      <c r="H1675" s="116"/>
      <c r="I1675" s="116"/>
      <c r="L1675" s="169">
        <v>44470</v>
      </c>
      <c r="M1675" s="116">
        <v>173.15</v>
      </c>
      <c r="N1675" s="116">
        <v>174.7</v>
      </c>
      <c r="O1675" s="116">
        <v>167.8</v>
      </c>
      <c r="P1675" s="116">
        <v>168</v>
      </c>
      <c r="Q1675" s="116">
        <v>173.15</v>
      </c>
      <c r="R1675">
        <v>143447</v>
      </c>
    </row>
    <row r="1676" spans="1:18" x14ac:dyDescent="0.25">
      <c r="A1676" s="169">
        <v>44508</v>
      </c>
      <c r="B1676" s="116">
        <v>295.95</v>
      </c>
      <c r="C1676" s="116">
        <v>295.95</v>
      </c>
      <c r="D1676" s="116">
        <v>267.85000000000002</v>
      </c>
      <c r="E1676" s="116">
        <v>267.85000000000002</v>
      </c>
      <c r="F1676" s="116">
        <v>295.95</v>
      </c>
      <c r="G1676">
        <v>22752</v>
      </c>
      <c r="H1676" s="116"/>
      <c r="I1676" s="116"/>
      <c r="L1676" s="169">
        <v>44473</v>
      </c>
      <c r="M1676" s="116">
        <v>173.75</v>
      </c>
      <c r="N1676" s="116">
        <v>177.85</v>
      </c>
      <c r="O1676" s="116">
        <v>168.15</v>
      </c>
      <c r="P1676" s="116">
        <v>175.9</v>
      </c>
      <c r="Q1676" s="116">
        <v>173.75</v>
      </c>
      <c r="R1676">
        <v>239398</v>
      </c>
    </row>
    <row r="1677" spans="1:18" x14ac:dyDescent="0.25">
      <c r="A1677" s="169">
        <v>44509</v>
      </c>
      <c r="B1677" s="116">
        <v>305.55</v>
      </c>
      <c r="C1677" s="116">
        <v>286.89999999999998</v>
      </c>
      <c r="D1677" s="116">
        <v>281.2</v>
      </c>
      <c r="E1677" s="116">
        <v>304.89999999999998</v>
      </c>
      <c r="F1677" s="116">
        <v>286.89999999999998</v>
      </c>
      <c r="G1677">
        <v>20495</v>
      </c>
      <c r="H1677" s="116"/>
      <c r="I1677" s="116"/>
      <c r="L1677" s="169">
        <v>44474</v>
      </c>
      <c r="M1677" s="116">
        <v>179.3</v>
      </c>
      <c r="N1677" s="116">
        <v>182.4</v>
      </c>
      <c r="O1677" s="116">
        <v>175.5</v>
      </c>
      <c r="P1677" s="116">
        <v>176.85</v>
      </c>
      <c r="Q1677" s="116">
        <v>179.3</v>
      </c>
      <c r="R1677">
        <v>91856</v>
      </c>
    </row>
    <row r="1678" spans="1:18" x14ac:dyDescent="0.25">
      <c r="A1678" s="169">
        <v>44510</v>
      </c>
      <c r="B1678" s="116">
        <v>301.2</v>
      </c>
      <c r="C1678" s="116">
        <v>295.60000000000002</v>
      </c>
      <c r="D1678" s="116">
        <v>285</v>
      </c>
      <c r="E1678" s="116">
        <v>285</v>
      </c>
      <c r="F1678" s="116">
        <v>295.60000000000002</v>
      </c>
      <c r="G1678">
        <v>3467</v>
      </c>
      <c r="H1678" s="116"/>
      <c r="I1678" s="116"/>
      <c r="L1678" s="169">
        <v>44475</v>
      </c>
      <c r="M1678" s="116">
        <v>173.3</v>
      </c>
      <c r="N1678" s="116">
        <v>184.65</v>
      </c>
      <c r="O1678" s="116">
        <v>171.1</v>
      </c>
      <c r="P1678" s="116">
        <v>180.95</v>
      </c>
      <c r="Q1678" s="116">
        <v>173.3</v>
      </c>
      <c r="R1678">
        <v>48548</v>
      </c>
    </row>
    <row r="1679" spans="1:18" x14ac:dyDescent="0.25">
      <c r="A1679" s="169">
        <v>44511</v>
      </c>
      <c r="B1679" s="116">
        <v>299.45</v>
      </c>
      <c r="C1679" s="116">
        <v>282.89999999999998</v>
      </c>
      <c r="D1679" s="116">
        <v>280.85000000000002</v>
      </c>
      <c r="E1679" s="116">
        <v>299.45</v>
      </c>
      <c r="F1679" s="116">
        <v>282.89999999999998</v>
      </c>
      <c r="G1679">
        <v>5005</v>
      </c>
      <c r="H1679" s="116"/>
      <c r="I1679" s="116"/>
      <c r="L1679" s="169">
        <v>44476</v>
      </c>
      <c r="M1679" s="116">
        <v>176.55</v>
      </c>
      <c r="N1679" s="116">
        <v>181.95</v>
      </c>
      <c r="O1679" s="116">
        <v>171</v>
      </c>
      <c r="P1679" s="116">
        <v>171</v>
      </c>
      <c r="Q1679" s="116">
        <v>176.55</v>
      </c>
      <c r="R1679">
        <v>50888</v>
      </c>
    </row>
    <row r="1680" spans="1:18" x14ac:dyDescent="0.25">
      <c r="A1680" s="169">
        <v>44512</v>
      </c>
      <c r="B1680" s="116">
        <v>287.89999999999998</v>
      </c>
      <c r="C1680" s="116">
        <v>275.25</v>
      </c>
      <c r="D1680" s="116">
        <v>271.10000000000002</v>
      </c>
      <c r="E1680" s="116">
        <v>276.10000000000002</v>
      </c>
      <c r="F1680" s="116">
        <v>275.25</v>
      </c>
      <c r="G1680">
        <v>1445</v>
      </c>
      <c r="H1680" s="116"/>
      <c r="I1680" s="116"/>
      <c r="L1680" s="169">
        <v>44477</v>
      </c>
      <c r="M1680" s="116">
        <v>174.2</v>
      </c>
      <c r="N1680" s="116">
        <v>179.7</v>
      </c>
      <c r="O1680" s="116">
        <v>172.05</v>
      </c>
      <c r="P1680" s="116">
        <v>178.7</v>
      </c>
      <c r="Q1680" s="116">
        <v>174.2</v>
      </c>
      <c r="R1680">
        <v>28979</v>
      </c>
    </row>
    <row r="1681" spans="1:18" x14ac:dyDescent="0.25">
      <c r="A1681" s="169">
        <v>44515</v>
      </c>
      <c r="B1681" s="116">
        <v>287</v>
      </c>
      <c r="C1681" s="116">
        <v>273.10000000000002</v>
      </c>
      <c r="D1681" s="116">
        <v>268.7</v>
      </c>
      <c r="E1681" s="116">
        <v>278</v>
      </c>
      <c r="F1681" s="116">
        <v>273.10000000000002</v>
      </c>
      <c r="G1681">
        <v>4505</v>
      </c>
      <c r="H1681" s="116"/>
      <c r="I1681" s="116"/>
      <c r="L1681" s="169">
        <v>44480</v>
      </c>
      <c r="M1681" s="116">
        <v>182.9</v>
      </c>
      <c r="N1681" s="116">
        <v>182.9</v>
      </c>
      <c r="O1681" s="116">
        <v>179.9</v>
      </c>
      <c r="P1681" s="116">
        <v>179.9</v>
      </c>
      <c r="Q1681" s="116">
        <v>182.9</v>
      </c>
      <c r="R1681">
        <v>19973</v>
      </c>
    </row>
    <row r="1682" spans="1:18" x14ac:dyDescent="0.25">
      <c r="A1682" s="169">
        <v>44516</v>
      </c>
      <c r="B1682" s="116">
        <v>286</v>
      </c>
      <c r="C1682" s="116">
        <v>275</v>
      </c>
      <c r="D1682" s="116">
        <v>269.35000000000002</v>
      </c>
      <c r="E1682" s="116">
        <v>277</v>
      </c>
      <c r="F1682" s="116">
        <v>275</v>
      </c>
      <c r="G1682">
        <v>2786</v>
      </c>
      <c r="H1682" s="116"/>
      <c r="I1682" s="116"/>
      <c r="L1682" s="169">
        <v>44481</v>
      </c>
      <c r="M1682" s="116">
        <v>192</v>
      </c>
      <c r="N1682" s="116">
        <v>192</v>
      </c>
      <c r="O1682" s="116">
        <v>192</v>
      </c>
      <c r="P1682" s="116">
        <v>192</v>
      </c>
      <c r="Q1682" s="116">
        <v>192</v>
      </c>
      <c r="R1682">
        <v>14817</v>
      </c>
    </row>
    <row r="1683" spans="1:18" x14ac:dyDescent="0.25">
      <c r="A1683" s="169">
        <v>44517</v>
      </c>
      <c r="B1683" s="116">
        <v>276.7</v>
      </c>
      <c r="C1683" s="116">
        <v>263.2</v>
      </c>
      <c r="D1683" s="116">
        <v>262.05</v>
      </c>
      <c r="E1683" s="116">
        <v>270.05</v>
      </c>
      <c r="F1683" s="116">
        <v>263.2</v>
      </c>
      <c r="G1683">
        <v>7551</v>
      </c>
      <c r="H1683" s="116"/>
      <c r="I1683" s="116"/>
      <c r="L1683" s="169">
        <v>44482</v>
      </c>
      <c r="M1683" s="116">
        <v>201.6</v>
      </c>
      <c r="N1683" s="116">
        <v>201.6</v>
      </c>
      <c r="O1683" s="116">
        <v>201.6</v>
      </c>
      <c r="P1683" s="116">
        <v>201.6</v>
      </c>
      <c r="Q1683" s="116">
        <v>201.6</v>
      </c>
      <c r="R1683">
        <v>26455</v>
      </c>
    </row>
    <row r="1684" spans="1:18" x14ac:dyDescent="0.25">
      <c r="A1684" s="169">
        <v>44518</v>
      </c>
      <c r="B1684" s="116">
        <v>273.64999999999998</v>
      </c>
      <c r="C1684" s="116">
        <v>253.3</v>
      </c>
      <c r="D1684" s="116">
        <v>250.05</v>
      </c>
      <c r="E1684" s="116">
        <v>256.2</v>
      </c>
      <c r="F1684" s="116">
        <v>253.3</v>
      </c>
      <c r="G1684">
        <v>18701</v>
      </c>
      <c r="H1684" s="116"/>
      <c r="I1684" s="116"/>
      <c r="L1684" s="169">
        <v>44483</v>
      </c>
      <c r="M1684" s="116">
        <v>211.65</v>
      </c>
      <c r="N1684" s="116">
        <v>211.65</v>
      </c>
      <c r="O1684" s="116">
        <v>201.6</v>
      </c>
      <c r="P1684" s="116">
        <v>211.65</v>
      </c>
      <c r="Q1684" s="116">
        <v>211.65</v>
      </c>
      <c r="R1684">
        <v>344240</v>
      </c>
    </row>
    <row r="1685" spans="1:18" x14ac:dyDescent="0.25">
      <c r="A1685" s="169">
        <v>44522</v>
      </c>
      <c r="B1685" s="116">
        <v>257.95</v>
      </c>
      <c r="C1685" s="116">
        <v>247.2</v>
      </c>
      <c r="D1685" s="116">
        <v>241.2</v>
      </c>
      <c r="E1685" s="116">
        <v>251</v>
      </c>
      <c r="F1685" s="116">
        <v>247.2</v>
      </c>
      <c r="G1685">
        <v>21213</v>
      </c>
      <c r="H1685" s="116"/>
      <c r="I1685" s="116"/>
      <c r="L1685" s="169">
        <v>44487</v>
      </c>
      <c r="M1685" s="116">
        <v>222.2</v>
      </c>
      <c r="N1685" s="116">
        <v>222.2</v>
      </c>
      <c r="O1685" s="116">
        <v>222.2</v>
      </c>
      <c r="P1685" s="116">
        <v>222.2</v>
      </c>
      <c r="Q1685" s="116">
        <v>222.2</v>
      </c>
      <c r="R1685">
        <v>27212</v>
      </c>
    </row>
    <row r="1686" spans="1:18" x14ac:dyDescent="0.25">
      <c r="A1686" s="169">
        <v>44523</v>
      </c>
      <c r="B1686" s="116">
        <v>259.55</v>
      </c>
      <c r="C1686" s="116">
        <v>248.9</v>
      </c>
      <c r="D1686" s="116">
        <v>247</v>
      </c>
      <c r="E1686" s="116">
        <v>250</v>
      </c>
      <c r="F1686" s="116">
        <v>248.9</v>
      </c>
      <c r="G1686">
        <v>2355</v>
      </c>
      <c r="H1686" s="116"/>
      <c r="I1686" s="116"/>
      <c r="L1686" s="169">
        <v>44488</v>
      </c>
      <c r="M1686" s="116">
        <v>233.3</v>
      </c>
      <c r="N1686" s="116">
        <v>233.3</v>
      </c>
      <c r="O1686" s="116">
        <v>233.3</v>
      </c>
      <c r="P1686" s="116">
        <v>233.3</v>
      </c>
      <c r="Q1686" s="116">
        <v>233.3</v>
      </c>
      <c r="R1686">
        <v>23366</v>
      </c>
    </row>
    <row r="1687" spans="1:18" x14ac:dyDescent="0.25">
      <c r="A1687" s="169">
        <v>44524</v>
      </c>
      <c r="B1687" s="116">
        <v>261.3</v>
      </c>
      <c r="C1687" s="116">
        <v>261.3</v>
      </c>
      <c r="D1687" s="116">
        <v>248.45</v>
      </c>
      <c r="E1687" s="116">
        <v>254.95</v>
      </c>
      <c r="F1687" s="116">
        <v>261.3</v>
      </c>
      <c r="G1687">
        <v>3818</v>
      </c>
      <c r="H1687" s="116"/>
      <c r="I1687" s="116"/>
      <c r="L1687" s="169">
        <v>44489</v>
      </c>
      <c r="M1687" s="116">
        <v>244.95</v>
      </c>
      <c r="N1687" s="116">
        <v>244.95</v>
      </c>
      <c r="O1687" s="116">
        <v>221.65</v>
      </c>
      <c r="P1687" s="116">
        <v>241</v>
      </c>
      <c r="Q1687" s="116">
        <v>244.95</v>
      </c>
      <c r="R1687">
        <v>465647</v>
      </c>
    </row>
    <row r="1688" spans="1:18" x14ac:dyDescent="0.25">
      <c r="A1688" s="169">
        <v>44525</v>
      </c>
      <c r="B1688" s="116">
        <v>274.35000000000002</v>
      </c>
      <c r="C1688" s="116">
        <v>271.3</v>
      </c>
      <c r="D1688" s="116">
        <v>265</v>
      </c>
      <c r="E1688" s="116">
        <v>273.5</v>
      </c>
      <c r="F1688" s="116">
        <v>271.3</v>
      </c>
      <c r="G1688">
        <v>22298</v>
      </c>
      <c r="H1688" s="116"/>
      <c r="I1688" s="116"/>
      <c r="L1688" s="169">
        <v>44490</v>
      </c>
      <c r="M1688" s="116">
        <v>252</v>
      </c>
      <c r="N1688" s="116">
        <v>257.14999999999998</v>
      </c>
      <c r="O1688" s="116">
        <v>246.2</v>
      </c>
      <c r="P1688" s="116">
        <v>257.14999999999998</v>
      </c>
      <c r="Q1688" s="116">
        <v>252</v>
      </c>
      <c r="R1688">
        <v>218089</v>
      </c>
    </row>
    <row r="1689" spans="1:18" x14ac:dyDescent="0.25">
      <c r="A1689" s="169">
        <v>44526</v>
      </c>
      <c r="B1689" s="116">
        <v>270.3</v>
      </c>
      <c r="C1689" s="116">
        <v>258</v>
      </c>
      <c r="D1689" s="116">
        <v>257.75</v>
      </c>
      <c r="E1689" s="116">
        <v>267</v>
      </c>
      <c r="F1689" s="116">
        <v>258</v>
      </c>
      <c r="G1689">
        <v>8224</v>
      </c>
      <c r="H1689" s="116"/>
      <c r="I1689" s="116"/>
      <c r="L1689" s="169">
        <v>44491</v>
      </c>
      <c r="M1689" s="116">
        <v>239.4</v>
      </c>
      <c r="N1689" s="116">
        <v>256.85000000000002</v>
      </c>
      <c r="O1689" s="116">
        <v>239.4</v>
      </c>
      <c r="P1689" s="116">
        <v>255.9</v>
      </c>
      <c r="Q1689" s="116">
        <v>239.4</v>
      </c>
      <c r="R1689">
        <v>115390</v>
      </c>
    </row>
    <row r="1690" spans="1:18" x14ac:dyDescent="0.25">
      <c r="A1690" s="169">
        <v>44529</v>
      </c>
      <c r="B1690" s="116">
        <v>254.8</v>
      </c>
      <c r="C1690" s="116">
        <v>245.1</v>
      </c>
      <c r="D1690" s="116">
        <v>245.1</v>
      </c>
      <c r="E1690" s="116">
        <v>254.8</v>
      </c>
      <c r="F1690" s="116">
        <v>245.1</v>
      </c>
      <c r="G1690">
        <v>6218</v>
      </c>
      <c r="H1690" s="116"/>
      <c r="I1690" s="116"/>
      <c r="L1690" s="169">
        <v>44494</v>
      </c>
      <c r="M1690" s="116">
        <v>247.85</v>
      </c>
      <c r="N1690" s="116">
        <v>251.35</v>
      </c>
      <c r="O1690" s="116">
        <v>227.45</v>
      </c>
      <c r="P1690" s="116">
        <v>227.6</v>
      </c>
      <c r="Q1690" s="116">
        <v>247.85</v>
      </c>
      <c r="R1690">
        <v>150714</v>
      </c>
    </row>
    <row r="1691" spans="1:18" x14ac:dyDescent="0.25">
      <c r="A1691" s="169">
        <v>44530</v>
      </c>
      <c r="B1691" s="116">
        <v>249</v>
      </c>
      <c r="C1691" s="116">
        <v>235.55</v>
      </c>
      <c r="D1691" s="116">
        <v>232.85</v>
      </c>
      <c r="E1691" s="116">
        <v>249</v>
      </c>
      <c r="F1691" s="116">
        <v>235.55</v>
      </c>
      <c r="G1691">
        <v>6989</v>
      </c>
      <c r="H1691" s="116"/>
      <c r="I1691" s="116"/>
      <c r="L1691" s="169">
        <v>44495</v>
      </c>
      <c r="M1691" s="116">
        <v>260.10000000000002</v>
      </c>
      <c r="N1691" s="116">
        <v>260.2</v>
      </c>
      <c r="O1691" s="116">
        <v>243.25</v>
      </c>
      <c r="P1691" s="116">
        <v>246.6</v>
      </c>
      <c r="Q1691" s="116">
        <v>260.10000000000002</v>
      </c>
      <c r="R1691">
        <v>58378</v>
      </c>
    </row>
    <row r="1692" spans="1:18" x14ac:dyDescent="0.25">
      <c r="A1692" s="169">
        <v>44531</v>
      </c>
      <c r="B1692" s="116">
        <v>247.3</v>
      </c>
      <c r="C1692" s="116">
        <v>247.3</v>
      </c>
      <c r="D1692" s="116">
        <v>233</v>
      </c>
      <c r="E1692" s="116">
        <v>233</v>
      </c>
      <c r="F1692" s="116">
        <v>247.3</v>
      </c>
      <c r="G1692">
        <v>4397</v>
      </c>
      <c r="H1692" s="116"/>
      <c r="I1692" s="116"/>
      <c r="L1692" s="169">
        <v>44496</v>
      </c>
      <c r="M1692" s="116">
        <v>258.85000000000002</v>
      </c>
      <c r="N1692" s="116">
        <v>273.10000000000002</v>
      </c>
      <c r="O1692" s="116">
        <v>255</v>
      </c>
      <c r="P1692" s="116">
        <v>273.10000000000002</v>
      </c>
      <c r="Q1692" s="116">
        <v>258.85000000000002</v>
      </c>
      <c r="R1692">
        <v>124689</v>
      </c>
    </row>
    <row r="1693" spans="1:18" x14ac:dyDescent="0.25">
      <c r="A1693" s="169">
        <v>44532</v>
      </c>
      <c r="B1693" s="116">
        <v>259.64999999999998</v>
      </c>
      <c r="C1693" s="116">
        <v>259.64999999999998</v>
      </c>
      <c r="D1693" s="116">
        <v>249</v>
      </c>
      <c r="E1693" s="116">
        <v>253</v>
      </c>
      <c r="F1693" s="116">
        <v>259.64999999999998</v>
      </c>
      <c r="G1693">
        <v>16658</v>
      </c>
      <c r="H1693" s="116"/>
      <c r="I1693" s="116"/>
      <c r="L1693" s="169">
        <v>44497</v>
      </c>
      <c r="M1693" s="116">
        <v>271.75</v>
      </c>
      <c r="N1693" s="116">
        <v>271.75</v>
      </c>
      <c r="O1693" s="116">
        <v>260.2</v>
      </c>
      <c r="P1693" s="116">
        <v>264.8</v>
      </c>
      <c r="Q1693" s="116">
        <v>271.75</v>
      </c>
      <c r="R1693">
        <v>134395</v>
      </c>
    </row>
    <row r="1694" spans="1:18" x14ac:dyDescent="0.25">
      <c r="A1694" s="169">
        <v>44533</v>
      </c>
      <c r="B1694" s="116">
        <v>272.60000000000002</v>
      </c>
      <c r="C1694" s="116">
        <v>272.3</v>
      </c>
      <c r="D1694" s="116">
        <v>261.2</v>
      </c>
      <c r="E1694" s="116">
        <v>268.7</v>
      </c>
      <c r="F1694" s="116">
        <v>272.3</v>
      </c>
      <c r="G1694">
        <v>111124</v>
      </c>
      <c r="H1694" s="116"/>
      <c r="I1694" s="116"/>
      <c r="L1694" s="169">
        <v>44498</v>
      </c>
      <c r="M1694" s="116">
        <v>285.3</v>
      </c>
      <c r="N1694" s="116">
        <v>285.3</v>
      </c>
      <c r="O1694" s="116">
        <v>258.2</v>
      </c>
      <c r="P1694" s="116">
        <v>275.89999999999998</v>
      </c>
      <c r="Q1694" s="116">
        <v>285.3</v>
      </c>
      <c r="R1694">
        <v>176054</v>
      </c>
    </row>
    <row r="1695" spans="1:18" x14ac:dyDescent="0.25">
      <c r="A1695" s="169">
        <v>44536</v>
      </c>
      <c r="B1695" s="116">
        <v>272.3</v>
      </c>
      <c r="C1695" s="116">
        <v>259.7</v>
      </c>
      <c r="D1695" s="116">
        <v>258.7</v>
      </c>
      <c r="E1695" s="116">
        <v>272.3</v>
      </c>
      <c r="F1695" s="116">
        <v>259.7</v>
      </c>
      <c r="G1695">
        <v>19655</v>
      </c>
      <c r="H1695" s="116"/>
      <c r="I1695" s="116"/>
      <c r="L1695" s="169">
        <v>44501</v>
      </c>
      <c r="M1695" s="116">
        <v>299.55</v>
      </c>
      <c r="N1695" s="116">
        <v>299.55</v>
      </c>
      <c r="O1695" s="116">
        <v>286.95</v>
      </c>
      <c r="P1695" s="116">
        <v>295.89999999999998</v>
      </c>
      <c r="Q1695" s="116">
        <v>299.55</v>
      </c>
      <c r="R1695">
        <v>213616</v>
      </c>
    </row>
    <row r="1696" spans="1:18" x14ac:dyDescent="0.25">
      <c r="A1696" s="169">
        <v>44537</v>
      </c>
      <c r="B1696" s="116">
        <v>311.45</v>
      </c>
      <c r="C1696" s="116">
        <v>289.55</v>
      </c>
      <c r="D1696" s="116">
        <v>258</v>
      </c>
      <c r="E1696" s="116">
        <v>259.3</v>
      </c>
      <c r="F1696" s="116">
        <v>289.55</v>
      </c>
      <c r="G1696">
        <v>65417</v>
      </c>
      <c r="H1696" s="116"/>
      <c r="I1696" s="116"/>
      <c r="L1696" s="169">
        <v>44502</v>
      </c>
      <c r="M1696" s="116">
        <v>314.5</v>
      </c>
      <c r="N1696" s="116">
        <v>314.5</v>
      </c>
      <c r="O1696" s="116">
        <v>304.89999999999998</v>
      </c>
      <c r="P1696" s="116">
        <v>306</v>
      </c>
      <c r="Q1696" s="116">
        <v>314.5</v>
      </c>
      <c r="R1696">
        <v>145332</v>
      </c>
    </row>
    <row r="1697" spans="1:18" x14ac:dyDescent="0.25">
      <c r="A1697" s="169">
        <v>44538</v>
      </c>
      <c r="B1697" s="116">
        <v>309</v>
      </c>
      <c r="C1697" s="116">
        <v>293.2</v>
      </c>
      <c r="D1697" s="116">
        <v>279.10000000000002</v>
      </c>
      <c r="E1697" s="116">
        <v>296</v>
      </c>
      <c r="F1697" s="116">
        <v>293.2</v>
      </c>
      <c r="G1697">
        <v>17813</v>
      </c>
      <c r="H1697" s="116"/>
      <c r="I1697" s="116"/>
      <c r="L1697" s="169">
        <v>44503</v>
      </c>
      <c r="M1697" s="116">
        <v>298.8</v>
      </c>
      <c r="N1697" s="116">
        <v>323.8</v>
      </c>
      <c r="O1697" s="116">
        <v>298.8</v>
      </c>
      <c r="P1697" s="116">
        <v>320</v>
      </c>
      <c r="Q1697" s="116">
        <v>298.8</v>
      </c>
      <c r="R1697">
        <v>104653</v>
      </c>
    </row>
    <row r="1698" spans="1:18" x14ac:dyDescent="0.25">
      <c r="A1698" s="169">
        <v>44539</v>
      </c>
      <c r="B1698" s="116">
        <v>296.89999999999998</v>
      </c>
      <c r="C1698" s="116">
        <v>286.05</v>
      </c>
      <c r="D1698" s="116">
        <v>280.39999999999998</v>
      </c>
      <c r="E1698" s="116">
        <v>295.8</v>
      </c>
      <c r="F1698" s="116">
        <v>286.05</v>
      </c>
      <c r="G1698">
        <v>13331</v>
      </c>
      <c r="H1698" s="116"/>
      <c r="I1698" s="116"/>
      <c r="L1698" s="169">
        <v>44504</v>
      </c>
      <c r="M1698" s="116">
        <v>283.89999999999998</v>
      </c>
      <c r="N1698" s="116">
        <v>283.89999999999998</v>
      </c>
      <c r="O1698" s="116">
        <v>283.89999999999998</v>
      </c>
      <c r="P1698" s="116">
        <v>283.89999999999998</v>
      </c>
      <c r="Q1698" s="116">
        <v>283.89999999999998</v>
      </c>
      <c r="R1698">
        <v>5351</v>
      </c>
    </row>
    <row r="1699" spans="1:18" x14ac:dyDescent="0.25">
      <c r="A1699" s="169">
        <v>44540</v>
      </c>
      <c r="B1699" s="116">
        <v>298.35000000000002</v>
      </c>
      <c r="C1699" s="116">
        <v>284.25</v>
      </c>
      <c r="D1699" s="116">
        <v>281.7</v>
      </c>
      <c r="E1699" s="116">
        <v>284</v>
      </c>
      <c r="F1699" s="116">
        <v>284.25</v>
      </c>
      <c r="G1699">
        <v>4903</v>
      </c>
      <c r="H1699" s="116"/>
      <c r="I1699" s="116"/>
      <c r="L1699" s="169">
        <v>44508</v>
      </c>
      <c r="M1699" s="116">
        <v>298.05</v>
      </c>
      <c r="N1699" s="116">
        <v>298.05</v>
      </c>
      <c r="O1699" s="116">
        <v>269.75</v>
      </c>
      <c r="P1699" s="116">
        <v>269.75</v>
      </c>
      <c r="Q1699" s="116">
        <v>298.05</v>
      </c>
      <c r="R1699">
        <v>190146</v>
      </c>
    </row>
    <row r="1700" spans="1:18" x14ac:dyDescent="0.25">
      <c r="A1700" s="169">
        <v>44543</v>
      </c>
      <c r="B1700" s="116">
        <v>335</v>
      </c>
      <c r="C1700" s="116">
        <v>290.35000000000002</v>
      </c>
      <c r="D1700" s="116">
        <v>282.8</v>
      </c>
      <c r="E1700" s="116">
        <v>289.8</v>
      </c>
      <c r="F1700" s="116">
        <v>290.35000000000002</v>
      </c>
      <c r="G1700">
        <v>13348</v>
      </c>
      <c r="H1700" s="116"/>
      <c r="I1700" s="116"/>
      <c r="L1700" s="169">
        <v>44509</v>
      </c>
      <c r="M1700" s="116">
        <v>287.05</v>
      </c>
      <c r="N1700" s="116">
        <v>304.5</v>
      </c>
      <c r="O1700" s="116">
        <v>283.14999999999998</v>
      </c>
      <c r="P1700" s="116">
        <v>297.5</v>
      </c>
      <c r="Q1700" s="116">
        <v>287.05</v>
      </c>
      <c r="R1700">
        <v>99088</v>
      </c>
    </row>
    <row r="1701" spans="1:18" x14ac:dyDescent="0.25">
      <c r="A1701" s="169">
        <v>44544</v>
      </c>
      <c r="B1701" s="116">
        <v>308.7</v>
      </c>
      <c r="C1701" s="116">
        <v>296.10000000000002</v>
      </c>
      <c r="D1701" s="116">
        <v>284</v>
      </c>
      <c r="E1701" s="116">
        <v>292.5</v>
      </c>
      <c r="F1701" s="116">
        <v>296.10000000000002</v>
      </c>
      <c r="G1701">
        <v>7873</v>
      </c>
      <c r="H1701" s="116"/>
      <c r="I1701" s="116"/>
      <c r="L1701" s="169">
        <v>44510</v>
      </c>
      <c r="M1701" s="116">
        <v>294.85000000000002</v>
      </c>
      <c r="N1701" s="116">
        <v>301</v>
      </c>
      <c r="O1701" s="116">
        <v>275.55</v>
      </c>
      <c r="P1701" s="116">
        <v>285</v>
      </c>
      <c r="Q1701" s="116">
        <v>294.85000000000002</v>
      </c>
      <c r="R1701">
        <v>124411</v>
      </c>
    </row>
    <row r="1702" spans="1:18" x14ac:dyDescent="0.25">
      <c r="A1702" s="169">
        <v>44545</v>
      </c>
      <c r="B1702" s="116">
        <v>312.5</v>
      </c>
      <c r="C1702" s="116">
        <v>296.64999999999998</v>
      </c>
      <c r="D1702" s="116">
        <v>294.39999999999998</v>
      </c>
      <c r="E1702" s="116">
        <v>302.35000000000002</v>
      </c>
      <c r="F1702" s="116">
        <v>296.64999999999998</v>
      </c>
      <c r="G1702">
        <v>11043</v>
      </c>
      <c r="H1702" s="116"/>
      <c r="I1702" s="116"/>
      <c r="L1702" s="169">
        <v>44511</v>
      </c>
      <c r="M1702" s="116">
        <v>283.8</v>
      </c>
      <c r="N1702" s="116">
        <v>297.95</v>
      </c>
      <c r="O1702" s="116">
        <v>280.14999999999998</v>
      </c>
      <c r="P1702" s="116">
        <v>297.95</v>
      </c>
      <c r="Q1702" s="116">
        <v>283.8</v>
      </c>
      <c r="R1702">
        <v>55982</v>
      </c>
    </row>
    <row r="1703" spans="1:18" x14ac:dyDescent="0.25">
      <c r="A1703" s="169">
        <v>44546</v>
      </c>
      <c r="B1703" s="116">
        <v>304.89999999999998</v>
      </c>
      <c r="C1703" s="116">
        <v>297.35000000000002</v>
      </c>
      <c r="D1703" s="116">
        <v>293.14999999999998</v>
      </c>
      <c r="E1703" s="116">
        <v>297.05</v>
      </c>
      <c r="F1703" s="116">
        <v>297.35000000000002</v>
      </c>
      <c r="G1703">
        <v>5732</v>
      </c>
      <c r="H1703" s="116"/>
      <c r="I1703" s="116"/>
      <c r="L1703" s="169">
        <v>44512</v>
      </c>
      <c r="M1703" s="116">
        <v>275.89999999999998</v>
      </c>
      <c r="N1703" s="116">
        <v>289.89999999999998</v>
      </c>
      <c r="O1703" s="116">
        <v>271.2</v>
      </c>
      <c r="P1703" s="116">
        <v>288.8</v>
      </c>
      <c r="Q1703" s="116">
        <v>275.89999999999998</v>
      </c>
      <c r="R1703">
        <v>49463</v>
      </c>
    </row>
    <row r="1704" spans="1:18" x14ac:dyDescent="0.25">
      <c r="A1704" s="169">
        <v>44547</v>
      </c>
      <c r="B1704" s="116">
        <v>297.5</v>
      </c>
      <c r="C1704" s="116">
        <v>279.55</v>
      </c>
      <c r="D1704" s="116">
        <v>272.85000000000002</v>
      </c>
      <c r="E1704" s="116">
        <v>297.5</v>
      </c>
      <c r="F1704" s="116">
        <v>279.55</v>
      </c>
      <c r="G1704">
        <v>4358</v>
      </c>
      <c r="H1704" s="116"/>
      <c r="I1704" s="116"/>
      <c r="L1704" s="169">
        <v>44515</v>
      </c>
      <c r="M1704" s="116">
        <v>273.2</v>
      </c>
      <c r="N1704" s="116">
        <v>285.95</v>
      </c>
      <c r="O1704" s="116">
        <v>269.25</v>
      </c>
      <c r="P1704" s="116">
        <v>272</v>
      </c>
      <c r="Q1704" s="116">
        <v>273.2</v>
      </c>
      <c r="R1704">
        <v>45315</v>
      </c>
    </row>
    <row r="1705" spans="1:18" x14ac:dyDescent="0.25">
      <c r="A1705" s="169">
        <v>44550</v>
      </c>
      <c r="B1705" s="116">
        <v>296.95</v>
      </c>
      <c r="C1705" s="116">
        <v>279.10000000000002</v>
      </c>
      <c r="D1705" s="116">
        <v>255</v>
      </c>
      <c r="E1705" s="116">
        <v>255</v>
      </c>
      <c r="F1705" s="116">
        <v>279.10000000000002</v>
      </c>
      <c r="G1705">
        <v>9610</v>
      </c>
      <c r="H1705" s="116"/>
      <c r="I1705" s="116"/>
      <c r="L1705" s="169">
        <v>44516</v>
      </c>
      <c r="M1705" s="116">
        <v>274.14999999999998</v>
      </c>
      <c r="N1705" s="116">
        <v>285.89999999999998</v>
      </c>
      <c r="O1705" s="116">
        <v>268.25</v>
      </c>
      <c r="P1705" s="116">
        <v>279.85000000000002</v>
      </c>
      <c r="Q1705" s="116">
        <v>274.14999999999998</v>
      </c>
      <c r="R1705">
        <v>85641</v>
      </c>
    </row>
    <row r="1706" spans="1:18" x14ac:dyDescent="0.25">
      <c r="A1706" s="169">
        <v>44551</v>
      </c>
      <c r="B1706" s="116">
        <v>293.3</v>
      </c>
      <c r="C1706" s="116">
        <v>284.10000000000002</v>
      </c>
      <c r="D1706" s="116">
        <v>280.8</v>
      </c>
      <c r="E1706" s="116">
        <v>286.45</v>
      </c>
      <c r="F1706" s="116">
        <v>284.10000000000002</v>
      </c>
      <c r="G1706">
        <v>2053</v>
      </c>
      <c r="H1706" s="116"/>
      <c r="I1706" s="116"/>
      <c r="L1706" s="169">
        <v>44517</v>
      </c>
      <c r="M1706" s="116">
        <v>264.60000000000002</v>
      </c>
      <c r="N1706" s="116">
        <v>277.14999999999998</v>
      </c>
      <c r="O1706" s="116">
        <v>261.45</v>
      </c>
      <c r="P1706" s="116">
        <v>273</v>
      </c>
      <c r="Q1706" s="116">
        <v>264.60000000000002</v>
      </c>
      <c r="R1706">
        <v>192533</v>
      </c>
    </row>
    <row r="1707" spans="1:18" x14ac:dyDescent="0.25">
      <c r="A1707" s="169">
        <v>44552</v>
      </c>
      <c r="B1707" s="116">
        <v>300</v>
      </c>
      <c r="C1707" s="116">
        <v>284.39999999999998</v>
      </c>
      <c r="D1707" s="116">
        <v>284.05</v>
      </c>
      <c r="E1707" s="116">
        <v>300</v>
      </c>
      <c r="F1707" s="116">
        <v>284.39999999999998</v>
      </c>
      <c r="G1707">
        <v>3942</v>
      </c>
      <c r="H1707" s="116"/>
      <c r="I1707" s="116"/>
      <c r="L1707" s="169">
        <v>44518</v>
      </c>
      <c r="M1707" s="116">
        <v>251.6</v>
      </c>
      <c r="N1707" s="116">
        <v>274</v>
      </c>
      <c r="O1707" s="116">
        <v>251.4</v>
      </c>
      <c r="P1707" s="116">
        <v>265</v>
      </c>
      <c r="Q1707" s="116">
        <v>251.6</v>
      </c>
      <c r="R1707">
        <v>184226</v>
      </c>
    </row>
    <row r="1708" spans="1:18" x14ac:dyDescent="0.25">
      <c r="A1708" s="169">
        <v>44553</v>
      </c>
      <c r="B1708" s="116">
        <v>290</v>
      </c>
      <c r="C1708" s="116">
        <v>285.8</v>
      </c>
      <c r="D1708" s="116">
        <v>284.39999999999998</v>
      </c>
      <c r="E1708" s="116">
        <v>286.55</v>
      </c>
      <c r="F1708" s="116">
        <v>285.8</v>
      </c>
      <c r="G1708">
        <v>3827</v>
      </c>
      <c r="H1708" s="116"/>
      <c r="I1708" s="116"/>
      <c r="L1708" s="169">
        <v>44522</v>
      </c>
      <c r="M1708" s="116">
        <v>250.75</v>
      </c>
      <c r="N1708" s="116">
        <v>257.8</v>
      </c>
      <c r="O1708" s="116">
        <v>241.35</v>
      </c>
      <c r="P1708" s="116">
        <v>245.25</v>
      </c>
      <c r="Q1708" s="116">
        <v>250.75</v>
      </c>
      <c r="R1708">
        <v>76240</v>
      </c>
    </row>
    <row r="1709" spans="1:18" x14ac:dyDescent="0.25">
      <c r="A1709" s="169">
        <v>44554</v>
      </c>
      <c r="B1709" s="116">
        <v>299.89999999999998</v>
      </c>
      <c r="C1709" s="116">
        <v>286.75</v>
      </c>
      <c r="D1709" s="116">
        <v>285</v>
      </c>
      <c r="E1709" s="116">
        <v>296</v>
      </c>
      <c r="F1709" s="116">
        <v>286.75</v>
      </c>
      <c r="G1709">
        <v>5885</v>
      </c>
      <c r="H1709" s="116"/>
      <c r="I1709" s="116"/>
      <c r="L1709" s="169">
        <v>44523</v>
      </c>
      <c r="M1709" s="116">
        <v>248.85</v>
      </c>
      <c r="N1709" s="116">
        <v>262</v>
      </c>
      <c r="O1709" s="116">
        <v>245.35</v>
      </c>
      <c r="P1709" s="116">
        <v>254.65</v>
      </c>
      <c r="Q1709" s="116">
        <v>248.85</v>
      </c>
      <c r="R1709">
        <v>100427</v>
      </c>
    </row>
    <row r="1710" spans="1:18" x14ac:dyDescent="0.25">
      <c r="A1710" s="169">
        <v>44557</v>
      </c>
      <c r="B1710" s="116">
        <v>289.60000000000002</v>
      </c>
      <c r="C1710" s="116">
        <v>287.14999999999998</v>
      </c>
      <c r="D1710" s="116">
        <v>277</v>
      </c>
      <c r="E1710" s="116">
        <v>277</v>
      </c>
      <c r="F1710" s="116">
        <v>287.14999999999998</v>
      </c>
      <c r="G1710">
        <v>4949</v>
      </c>
      <c r="H1710" s="116"/>
      <c r="I1710" s="116"/>
      <c r="L1710" s="169">
        <v>44524</v>
      </c>
      <c r="M1710" s="116">
        <v>261.25</v>
      </c>
      <c r="N1710" s="116">
        <v>261.25</v>
      </c>
      <c r="O1710" s="116">
        <v>247.25</v>
      </c>
      <c r="P1710" s="116">
        <v>249.95</v>
      </c>
      <c r="Q1710" s="116">
        <v>261.25</v>
      </c>
      <c r="R1710">
        <v>26275</v>
      </c>
    </row>
    <row r="1711" spans="1:18" x14ac:dyDescent="0.25">
      <c r="A1711" s="169">
        <v>44558</v>
      </c>
      <c r="B1711" s="116">
        <v>309.55</v>
      </c>
      <c r="C1711" s="116">
        <v>302.25</v>
      </c>
      <c r="D1711" s="116">
        <v>288.45</v>
      </c>
      <c r="E1711" s="116">
        <v>291.64999999999998</v>
      </c>
      <c r="F1711" s="116">
        <v>302.25</v>
      </c>
      <c r="G1711">
        <v>11975</v>
      </c>
      <c r="H1711" s="116"/>
      <c r="I1711" s="116"/>
      <c r="L1711" s="169">
        <v>44525</v>
      </c>
      <c r="M1711" s="116">
        <v>270.5</v>
      </c>
      <c r="N1711" s="116">
        <v>274.3</v>
      </c>
      <c r="O1711" s="116">
        <v>265.25</v>
      </c>
      <c r="P1711" s="116">
        <v>272.7</v>
      </c>
      <c r="Q1711" s="116">
        <v>270.5</v>
      </c>
      <c r="R1711">
        <v>132615</v>
      </c>
    </row>
    <row r="1712" spans="1:18" x14ac:dyDescent="0.25">
      <c r="A1712" s="169">
        <v>44559</v>
      </c>
      <c r="B1712" s="116">
        <v>334</v>
      </c>
      <c r="C1712" s="116">
        <v>325.25</v>
      </c>
      <c r="D1712" s="116">
        <v>315</v>
      </c>
      <c r="E1712" s="116">
        <v>334</v>
      </c>
      <c r="F1712" s="116">
        <v>325.25</v>
      </c>
      <c r="G1712">
        <v>16313</v>
      </c>
      <c r="H1712" s="116"/>
      <c r="I1712" s="116"/>
      <c r="L1712" s="169">
        <v>44526</v>
      </c>
      <c r="M1712" s="116">
        <v>257.5</v>
      </c>
      <c r="N1712" s="116">
        <v>271</v>
      </c>
      <c r="O1712" s="116">
        <v>257</v>
      </c>
      <c r="P1712" s="116">
        <v>266.7</v>
      </c>
      <c r="Q1712" s="116">
        <v>257.5</v>
      </c>
      <c r="R1712">
        <v>55042</v>
      </c>
    </row>
    <row r="1713" spans="1:18" x14ac:dyDescent="0.25">
      <c r="A1713" s="169">
        <v>44560</v>
      </c>
      <c r="B1713" s="116">
        <v>349</v>
      </c>
      <c r="C1713" s="116">
        <v>335.05</v>
      </c>
      <c r="D1713" s="116">
        <v>323</v>
      </c>
      <c r="E1713" s="116">
        <v>335</v>
      </c>
      <c r="F1713" s="116">
        <v>335.05</v>
      </c>
      <c r="G1713">
        <v>41678</v>
      </c>
      <c r="H1713" s="116"/>
      <c r="I1713" s="116"/>
      <c r="L1713" s="169">
        <v>44529</v>
      </c>
      <c r="M1713" s="116">
        <v>244.65</v>
      </c>
      <c r="N1713" s="116">
        <v>253.9</v>
      </c>
      <c r="O1713" s="116">
        <v>244.65</v>
      </c>
      <c r="P1713" s="116">
        <v>251.2</v>
      </c>
      <c r="Q1713" s="116">
        <v>244.65</v>
      </c>
      <c r="R1713">
        <v>47102</v>
      </c>
    </row>
    <row r="1714" spans="1:18" x14ac:dyDescent="0.25">
      <c r="A1714" s="169">
        <v>44561</v>
      </c>
      <c r="B1714" s="116">
        <v>354</v>
      </c>
      <c r="C1714" s="116">
        <v>348.15</v>
      </c>
      <c r="D1714" s="116">
        <v>342.05</v>
      </c>
      <c r="E1714" s="116">
        <v>351.1</v>
      </c>
      <c r="F1714" s="116">
        <v>348.15</v>
      </c>
      <c r="G1714">
        <v>18546</v>
      </c>
      <c r="H1714" s="116"/>
      <c r="I1714" s="116"/>
      <c r="L1714" s="169">
        <v>44530</v>
      </c>
      <c r="M1714" s="116">
        <v>234</v>
      </c>
      <c r="N1714" s="116">
        <v>248.65</v>
      </c>
      <c r="O1714" s="116">
        <v>232.45</v>
      </c>
      <c r="P1714" s="116">
        <v>239.45</v>
      </c>
      <c r="Q1714" s="116">
        <v>234</v>
      </c>
      <c r="R1714">
        <v>69763</v>
      </c>
    </row>
    <row r="1715" spans="1:18" x14ac:dyDescent="0.25">
      <c r="A1715" s="169">
        <v>44564</v>
      </c>
      <c r="B1715" s="116">
        <v>417</v>
      </c>
      <c r="C1715" s="116">
        <v>384.2</v>
      </c>
      <c r="D1715" s="116">
        <v>348</v>
      </c>
      <c r="E1715" s="116">
        <v>364</v>
      </c>
      <c r="F1715" s="116">
        <v>384.2</v>
      </c>
      <c r="G1715">
        <v>96771</v>
      </c>
      <c r="H1715" s="116"/>
      <c r="I1715" s="116"/>
      <c r="L1715" s="169">
        <v>44531</v>
      </c>
      <c r="M1715" s="116">
        <v>245.7</v>
      </c>
      <c r="N1715" s="116">
        <v>245.7</v>
      </c>
      <c r="O1715" s="116">
        <v>232.8</v>
      </c>
      <c r="P1715" s="116">
        <v>233</v>
      </c>
      <c r="Q1715" s="116">
        <v>245.7</v>
      </c>
      <c r="R1715">
        <v>43913</v>
      </c>
    </row>
    <row r="1716" spans="1:18" x14ac:dyDescent="0.25">
      <c r="A1716" s="169">
        <v>44565</v>
      </c>
      <c r="B1716" s="116">
        <v>401.05</v>
      </c>
      <c r="C1716" s="116">
        <v>368.95</v>
      </c>
      <c r="D1716" s="116">
        <v>365</v>
      </c>
      <c r="E1716" s="116">
        <v>388</v>
      </c>
      <c r="F1716" s="116">
        <v>368.95</v>
      </c>
      <c r="G1716">
        <v>38814</v>
      </c>
      <c r="H1716" s="116"/>
      <c r="I1716" s="116"/>
      <c r="L1716" s="169">
        <v>44532</v>
      </c>
      <c r="M1716" s="116">
        <v>257.95</v>
      </c>
      <c r="N1716" s="116">
        <v>257.95</v>
      </c>
      <c r="O1716" s="116">
        <v>248.65</v>
      </c>
      <c r="P1716" s="116">
        <v>251.85</v>
      </c>
      <c r="Q1716" s="116">
        <v>257.95</v>
      </c>
      <c r="R1716">
        <v>37480</v>
      </c>
    </row>
    <row r="1717" spans="1:18" x14ac:dyDescent="0.25">
      <c r="A1717" s="169">
        <v>44566</v>
      </c>
      <c r="B1717" s="116">
        <v>388.75</v>
      </c>
      <c r="C1717" s="116">
        <v>373.05</v>
      </c>
      <c r="D1717" s="116">
        <v>363.05</v>
      </c>
      <c r="E1717" s="116">
        <v>369</v>
      </c>
      <c r="F1717" s="116">
        <v>373.05</v>
      </c>
      <c r="G1717">
        <v>9612</v>
      </c>
      <c r="H1717" s="116"/>
      <c r="I1717" s="116"/>
      <c r="L1717" s="169">
        <v>44533</v>
      </c>
      <c r="M1717" s="116">
        <v>270.8</v>
      </c>
      <c r="N1717" s="116">
        <v>270.8</v>
      </c>
      <c r="O1717" s="116">
        <v>261.05</v>
      </c>
      <c r="P1717" s="116">
        <v>264.89999999999998</v>
      </c>
      <c r="Q1717" s="116">
        <v>270.8</v>
      </c>
      <c r="R1717">
        <v>166424</v>
      </c>
    </row>
    <row r="1718" spans="1:18" x14ac:dyDescent="0.25">
      <c r="A1718" s="169">
        <v>44567</v>
      </c>
      <c r="B1718" s="116">
        <v>382.45</v>
      </c>
      <c r="C1718" s="116">
        <v>368.85</v>
      </c>
      <c r="D1718" s="116">
        <v>364.2</v>
      </c>
      <c r="E1718" s="116">
        <v>379.9</v>
      </c>
      <c r="F1718" s="116">
        <v>368.85</v>
      </c>
      <c r="G1718">
        <v>4278</v>
      </c>
      <c r="H1718" s="116"/>
      <c r="I1718" s="116"/>
      <c r="L1718" s="169">
        <v>44536</v>
      </c>
      <c r="M1718" s="116">
        <v>257.75</v>
      </c>
      <c r="N1718" s="116">
        <v>272</v>
      </c>
      <c r="O1718" s="116">
        <v>257.3</v>
      </c>
      <c r="P1718" s="116">
        <v>271</v>
      </c>
      <c r="Q1718" s="116">
        <v>257.75</v>
      </c>
      <c r="R1718">
        <v>107791</v>
      </c>
    </row>
    <row r="1719" spans="1:18" x14ac:dyDescent="0.25">
      <c r="A1719" s="169">
        <v>44568</v>
      </c>
      <c r="B1719" s="116">
        <v>391.95</v>
      </c>
      <c r="C1719" s="116">
        <v>380.85</v>
      </c>
      <c r="D1719" s="116">
        <v>369</v>
      </c>
      <c r="E1719" s="116">
        <v>372.5</v>
      </c>
      <c r="F1719" s="116">
        <v>380.85</v>
      </c>
      <c r="G1719">
        <v>24890</v>
      </c>
      <c r="H1719" s="116"/>
      <c r="I1719" s="116"/>
      <c r="L1719" s="169">
        <v>44537</v>
      </c>
      <c r="M1719" s="116">
        <v>289.89999999999998</v>
      </c>
      <c r="N1719" s="116">
        <v>309.3</v>
      </c>
      <c r="O1719" s="116">
        <v>258</v>
      </c>
      <c r="P1719" s="116">
        <v>263.5</v>
      </c>
      <c r="Q1719" s="116">
        <v>289.89999999999998</v>
      </c>
      <c r="R1719">
        <v>805044</v>
      </c>
    </row>
    <row r="1720" spans="1:18" x14ac:dyDescent="0.25">
      <c r="A1720" s="169">
        <v>44571</v>
      </c>
      <c r="B1720" s="116">
        <v>396.3</v>
      </c>
      <c r="C1720" s="116">
        <v>387</v>
      </c>
      <c r="D1720" s="116">
        <v>379</v>
      </c>
      <c r="E1720" s="116">
        <v>379</v>
      </c>
      <c r="F1720" s="116">
        <v>387</v>
      </c>
      <c r="G1720">
        <v>13769</v>
      </c>
      <c r="H1720" s="116"/>
      <c r="I1720" s="116"/>
      <c r="L1720" s="169">
        <v>44538</v>
      </c>
      <c r="M1720" s="116">
        <v>292.64999999999998</v>
      </c>
      <c r="N1720" s="116">
        <v>309</v>
      </c>
      <c r="O1720" s="116">
        <v>278.45</v>
      </c>
      <c r="P1720" s="116">
        <v>295.10000000000002</v>
      </c>
      <c r="Q1720" s="116">
        <v>292.64999999999998</v>
      </c>
      <c r="R1720">
        <v>314619</v>
      </c>
    </row>
    <row r="1721" spans="1:18" x14ac:dyDescent="0.25">
      <c r="A1721" s="169">
        <v>44572</v>
      </c>
      <c r="B1721" s="116">
        <v>392.95</v>
      </c>
      <c r="C1721" s="116">
        <v>383.85</v>
      </c>
      <c r="D1721" s="116">
        <v>381.35</v>
      </c>
      <c r="E1721" s="116">
        <v>387.95</v>
      </c>
      <c r="F1721" s="116">
        <v>383.85</v>
      </c>
      <c r="G1721">
        <v>6208</v>
      </c>
      <c r="H1721" s="116"/>
      <c r="I1721" s="116"/>
      <c r="L1721" s="169">
        <v>44539</v>
      </c>
      <c r="M1721" s="116">
        <v>284.85000000000002</v>
      </c>
      <c r="N1721" s="116">
        <v>296.45</v>
      </c>
      <c r="O1721" s="116">
        <v>282.10000000000002</v>
      </c>
      <c r="P1721" s="116">
        <v>294.60000000000002</v>
      </c>
      <c r="Q1721" s="116">
        <v>284.85000000000002</v>
      </c>
      <c r="R1721">
        <v>44039</v>
      </c>
    </row>
    <row r="1722" spans="1:18" x14ac:dyDescent="0.25">
      <c r="A1722" s="169">
        <v>44573</v>
      </c>
      <c r="B1722" s="116">
        <v>393</v>
      </c>
      <c r="C1722" s="116">
        <v>388.1</v>
      </c>
      <c r="D1722" s="116">
        <v>381.25</v>
      </c>
      <c r="E1722" s="116">
        <v>385</v>
      </c>
      <c r="F1722" s="116">
        <v>388.1</v>
      </c>
      <c r="G1722">
        <v>11832</v>
      </c>
      <c r="H1722" s="116"/>
      <c r="I1722" s="116"/>
      <c r="L1722" s="169">
        <v>44540</v>
      </c>
      <c r="M1722" s="116">
        <v>284.10000000000002</v>
      </c>
      <c r="N1722" s="116">
        <v>298.7</v>
      </c>
      <c r="O1722" s="116">
        <v>281.2</v>
      </c>
      <c r="P1722" s="116">
        <v>286.60000000000002</v>
      </c>
      <c r="Q1722" s="116">
        <v>284.10000000000002</v>
      </c>
      <c r="R1722">
        <v>66777</v>
      </c>
    </row>
    <row r="1723" spans="1:18" x14ac:dyDescent="0.25">
      <c r="A1723" s="169">
        <v>44574</v>
      </c>
      <c r="B1723" s="116">
        <v>409.45</v>
      </c>
      <c r="C1723" s="116">
        <v>404.45</v>
      </c>
      <c r="D1723" s="116">
        <v>387.35</v>
      </c>
      <c r="E1723" s="116">
        <v>387.8</v>
      </c>
      <c r="F1723" s="116">
        <v>404.45</v>
      </c>
      <c r="G1723">
        <v>21789</v>
      </c>
      <c r="H1723" s="116"/>
      <c r="I1723" s="116"/>
      <c r="L1723" s="169">
        <v>44543</v>
      </c>
      <c r="M1723" s="116">
        <v>291.2</v>
      </c>
      <c r="N1723" s="116">
        <v>300.5</v>
      </c>
      <c r="O1723" s="116">
        <v>282.39999999999998</v>
      </c>
      <c r="P1723" s="116">
        <v>295</v>
      </c>
      <c r="Q1723" s="116">
        <v>291.2</v>
      </c>
      <c r="R1723">
        <v>72416</v>
      </c>
    </row>
    <row r="1724" spans="1:18" x14ac:dyDescent="0.25">
      <c r="A1724" s="169">
        <v>44575</v>
      </c>
      <c r="B1724" s="116">
        <v>405.2</v>
      </c>
      <c r="C1724" s="116">
        <v>401.75</v>
      </c>
      <c r="D1724" s="116">
        <v>395.25</v>
      </c>
      <c r="E1724" s="116">
        <v>404.5</v>
      </c>
      <c r="F1724" s="116">
        <v>401.75</v>
      </c>
      <c r="G1724">
        <v>5311</v>
      </c>
      <c r="H1724" s="116"/>
      <c r="I1724" s="116"/>
      <c r="L1724" s="169">
        <v>44544</v>
      </c>
      <c r="M1724" s="116">
        <v>297.14999999999998</v>
      </c>
      <c r="N1724" s="116">
        <v>308</v>
      </c>
      <c r="O1724" s="116">
        <v>284.10000000000002</v>
      </c>
      <c r="P1724" s="116">
        <v>293</v>
      </c>
      <c r="Q1724" s="116">
        <v>297.14999999999998</v>
      </c>
      <c r="R1724">
        <v>368643</v>
      </c>
    </row>
    <row r="1725" spans="1:18" x14ac:dyDescent="0.25">
      <c r="A1725" s="169">
        <v>44578</v>
      </c>
      <c r="B1725" s="116">
        <v>412.1</v>
      </c>
      <c r="C1725" s="116">
        <v>383.8</v>
      </c>
      <c r="D1725" s="116">
        <v>381.55</v>
      </c>
      <c r="E1725" s="116">
        <v>411.5</v>
      </c>
      <c r="F1725" s="116">
        <v>383.8</v>
      </c>
      <c r="G1725">
        <v>6223</v>
      </c>
      <c r="H1725" s="116"/>
      <c r="I1725" s="116"/>
      <c r="L1725" s="169">
        <v>44545</v>
      </c>
      <c r="M1725" s="116">
        <v>295.89999999999998</v>
      </c>
      <c r="N1725" s="116">
        <v>312.14999999999998</v>
      </c>
      <c r="O1725" s="116">
        <v>293.5</v>
      </c>
      <c r="P1725" s="116">
        <v>300.3</v>
      </c>
      <c r="Q1725" s="116">
        <v>295.89999999999998</v>
      </c>
      <c r="R1725">
        <v>108266</v>
      </c>
    </row>
    <row r="1726" spans="1:18" x14ac:dyDescent="0.25">
      <c r="A1726" s="169">
        <v>44579</v>
      </c>
      <c r="B1726" s="116">
        <v>386.95</v>
      </c>
      <c r="C1726" s="116">
        <v>363.85</v>
      </c>
      <c r="D1726" s="116">
        <v>360.95</v>
      </c>
      <c r="E1726" s="116">
        <v>386.95</v>
      </c>
      <c r="F1726" s="116">
        <v>363.85</v>
      </c>
      <c r="G1726">
        <v>21375</v>
      </c>
      <c r="H1726" s="116"/>
      <c r="I1726" s="116"/>
      <c r="L1726" s="169">
        <v>44546</v>
      </c>
      <c r="M1726" s="116">
        <v>298.25</v>
      </c>
      <c r="N1726" s="116">
        <v>305.60000000000002</v>
      </c>
      <c r="O1726" s="116">
        <v>293.7</v>
      </c>
      <c r="P1726" s="116">
        <v>299</v>
      </c>
      <c r="Q1726" s="116">
        <v>298.25</v>
      </c>
      <c r="R1726">
        <v>46598</v>
      </c>
    </row>
    <row r="1727" spans="1:18" x14ac:dyDescent="0.25">
      <c r="A1727" s="169">
        <v>44580</v>
      </c>
      <c r="B1727" s="116">
        <v>382</v>
      </c>
      <c r="C1727" s="116">
        <v>378.65</v>
      </c>
      <c r="D1727" s="116">
        <v>362.3</v>
      </c>
      <c r="E1727" s="116">
        <v>363</v>
      </c>
      <c r="F1727" s="116">
        <v>378.65</v>
      </c>
      <c r="G1727">
        <v>14190</v>
      </c>
      <c r="H1727" s="116"/>
      <c r="I1727" s="116"/>
      <c r="L1727" s="169">
        <v>44547</v>
      </c>
      <c r="M1727" s="116">
        <v>277.35000000000002</v>
      </c>
      <c r="N1727" s="116">
        <v>302.8</v>
      </c>
      <c r="O1727" s="116">
        <v>272.35000000000002</v>
      </c>
      <c r="P1727" s="116">
        <v>302.8</v>
      </c>
      <c r="Q1727" s="116">
        <v>277.35000000000002</v>
      </c>
      <c r="R1727">
        <v>66730</v>
      </c>
    </row>
    <row r="1728" spans="1:18" x14ac:dyDescent="0.25">
      <c r="A1728" s="169">
        <v>44581</v>
      </c>
      <c r="B1728" s="116">
        <v>396.2</v>
      </c>
      <c r="C1728" s="116">
        <v>392.65</v>
      </c>
      <c r="D1728" s="116">
        <v>382.05</v>
      </c>
      <c r="E1728" s="116">
        <v>385</v>
      </c>
      <c r="F1728" s="116">
        <v>392.65</v>
      </c>
      <c r="G1728">
        <v>10878</v>
      </c>
      <c r="H1728" s="116"/>
      <c r="I1728" s="116"/>
      <c r="L1728" s="169">
        <v>44550</v>
      </c>
      <c r="M1728" s="116">
        <v>280.8</v>
      </c>
      <c r="N1728" s="116">
        <v>297.39999999999998</v>
      </c>
      <c r="O1728" s="116">
        <v>263.85000000000002</v>
      </c>
      <c r="P1728" s="116">
        <v>278.89999999999998</v>
      </c>
      <c r="Q1728" s="116">
        <v>280.8</v>
      </c>
      <c r="R1728">
        <v>205865</v>
      </c>
    </row>
    <row r="1729" spans="1:18" x14ac:dyDescent="0.25">
      <c r="A1729" s="169">
        <v>44582</v>
      </c>
      <c r="B1729" s="116">
        <v>403.95</v>
      </c>
      <c r="C1729" s="116">
        <v>392.9</v>
      </c>
      <c r="D1729" s="116">
        <v>386</v>
      </c>
      <c r="E1729" s="116">
        <v>392.2</v>
      </c>
      <c r="F1729" s="116">
        <v>392.9</v>
      </c>
      <c r="G1729">
        <v>14777</v>
      </c>
      <c r="H1729" s="116"/>
      <c r="I1729" s="116"/>
      <c r="L1729" s="169">
        <v>44551</v>
      </c>
      <c r="M1729" s="116">
        <v>284.05</v>
      </c>
      <c r="N1729" s="116">
        <v>293.8</v>
      </c>
      <c r="O1729" s="116">
        <v>282</v>
      </c>
      <c r="P1729" s="116">
        <v>284</v>
      </c>
      <c r="Q1729" s="116">
        <v>284.05</v>
      </c>
      <c r="R1729">
        <v>134597</v>
      </c>
    </row>
    <row r="1730" spans="1:18" x14ac:dyDescent="0.25">
      <c r="A1730" s="169">
        <v>44585</v>
      </c>
      <c r="B1730" s="116">
        <v>423.4</v>
      </c>
      <c r="C1730" s="116">
        <v>387.05</v>
      </c>
      <c r="D1730" s="116">
        <v>378.55</v>
      </c>
      <c r="E1730" s="116">
        <v>412</v>
      </c>
      <c r="F1730" s="116">
        <v>387.05</v>
      </c>
      <c r="G1730">
        <v>18293</v>
      </c>
      <c r="H1730" s="116"/>
      <c r="I1730" s="116"/>
      <c r="L1730" s="169">
        <v>44552</v>
      </c>
      <c r="M1730" s="116">
        <v>284.2</v>
      </c>
      <c r="N1730" s="116">
        <v>291.39999999999998</v>
      </c>
      <c r="O1730" s="116">
        <v>283.10000000000002</v>
      </c>
      <c r="P1730" s="116">
        <v>291.39999999999998</v>
      </c>
      <c r="Q1730" s="116">
        <v>284.2</v>
      </c>
      <c r="R1730">
        <v>36852</v>
      </c>
    </row>
    <row r="1731" spans="1:18" x14ac:dyDescent="0.25">
      <c r="A1731" s="169">
        <v>44586</v>
      </c>
      <c r="B1731" s="116">
        <v>390.5</v>
      </c>
      <c r="C1731" s="116">
        <v>384.6</v>
      </c>
      <c r="D1731" s="116">
        <v>370.1</v>
      </c>
      <c r="E1731" s="116">
        <v>370.1</v>
      </c>
      <c r="F1731" s="116">
        <v>384.6</v>
      </c>
      <c r="G1731">
        <v>11239</v>
      </c>
      <c r="H1731" s="116"/>
      <c r="I1731" s="116"/>
      <c r="L1731" s="169">
        <v>44553</v>
      </c>
      <c r="M1731" s="116">
        <v>286.60000000000002</v>
      </c>
      <c r="N1731" s="116">
        <v>289.75</v>
      </c>
      <c r="O1731" s="116">
        <v>284.10000000000002</v>
      </c>
      <c r="P1731" s="116">
        <v>284.10000000000002</v>
      </c>
      <c r="Q1731" s="116">
        <v>286.60000000000002</v>
      </c>
      <c r="R1731">
        <v>56211</v>
      </c>
    </row>
    <row r="1732" spans="1:18" x14ac:dyDescent="0.25">
      <c r="A1732" s="169">
        <v>44588</v>
      </c>
      <c r="B1732" s="116">
        <v>384.55</v>
      </c>
      <c r="C1732" s="116">
        <v>372.8</v>
      </c>
      <c r="D1732" s="116">
        <v>369.1</v>
      </c>
      <c r="E1732" s="116">
        <v>375.5</v>
      </c>
      <c r="F1732" s="116">
        <v>372.8</v>
      </c>
      <c r="G1732">
        <v>10711</v>
      </c>
      <c r="H1732" s="116"/>
      <c r="I1732" s="116"/>
      <c r="L1732" s="169">
        <v>44554</v>
      </c>
      <c r="M1732" s="116">
        <v>285.5</v>
      </c>
      <c r="N1732" s="116">
        <v>298.89999999999998</v>
      </c>
      <c r="O1732" s="116">
        <v>284.10000000000002</v>
      </c>
      <c r="P1732" s="116">
        <v>296</v>
      </c>
      <c r="Q1732" s="116">
        <v>285.5</v>
      </c>
      <c r="R1732">
        <v>80212</v>
      </c>
    </row>
    <row r="1733" spans="1:18" x14ac:dyDescent="0.25">
      <c r="A1733" s="169">
        <v>44589</v>
      </c>
      <c r="B1733" s="116">
        <v>382.75</v>
      </c>
      <c r="C1733" s="116">
        <v>368.6</v>
      </c>
      <c r="D1733" s="116">
        <v>363.8</v>
      </c>
      <c r="E1733" s="116">
        <v>377.95</v>
      </c>
      <c r="F1733" s="116">
        <v>368.6</v>
      </c>
      <c r="G1733">
        <v>5651</v>
      </c>
      <c r="H1733" s="116"/>
      <c r="I1733" s="116"/>
      <c r="L1733" s="169">
        <v>44557</v>
      </c>
      <c r="M1733" s="116">
        <v>288.2</v>
      </c>
      <c r="N1733" s="116">
        <v>291.8</v>
      </c>
      <c r="O1733" s="116">
        <v>281.14999999999998</v>
      </c>
      <c r="P1733" s="116">
        <v>291.8</v>
      </c>
      <c r="Q1733" s="116">
        <v>288.2</v>
      </c>
      <c r="R1733">
        <v>42046</v>
      </c>
    </row>
    <row r="1734" spans="1:18" x14ac:dyDescent="0.25">
      <c r="A1734" s="169">
        <v>44592</v>
      </c>
      <c r="B1734" s="116">
        <v>380.4</v>
      </c>
      <c r="C1734" s="116">
        <v>372.7</v>
      </c>
      <c r="D1734" s="116">
        <v>370</v>
      </c>
      <c r="E1734" s="116">
        <v>377.55</v>
      </c>
      <c r="F1734" s="116">
        <v>372.7</v>
      </c>
      <c r="G1734">
        <v>3504</v>
      </c>
      <c r="H1734" s="116"/>
      <c r="I1734" s="116"/>
      <c r="L1734" s="169">
        <v>44558</v>
      </c>
      <c r="M1734" s="116">
        <v>305</v>
      </c>
      <c r="N1734" s="116">
        <v>309.8</v>
      </c>
      <c r="O1734" s="116">
        <v>287.89999999999998</v>
      </c>
      <c r="P1734" s="116">
        <v>290.89999999999998</v>
      </c>
      <c r="Q1734" s="116">
        <v>305</v>
      </c>
      <c r="R1734">
        <v>204196</v>
      </c>
    </row>
    <row r="1735" spans="1:18" x14ac:dyDescent="0.25">
      <c r="A1735" s="169">
        <v>44593</v>
      </c>
      <c r="B1735" s="116">
        <v>377.85</v>
      </c>
      <c r="C1735" s="116">
        <v>373</v>
      </c>
      <c r="D1735" s="116">
        <v>368.5</v>
      </c>
      <c r="E1735" s="116">
        <v>377.65</v>
      </c>
      <c r="F1735" s="116">
        <v>373</v>
      </c>
      <c r="G1735">
        <v>2992</v>
      </c>
      <c r="H1735" s="116"/>
      <c r="I1735" s="116"/>
      <c r="L1735" s="169">
        <v>44559</v>
      </c>
      <c r="M1735" s="116">
        <v>324.35000000000002</v>
      </c>
      <c r="N1735" s="116">
        <v>334.9</v>
      </c>
      <c r="O1735" s="116">
        <v>315</v>
      </c>
      <c r="P1735" s="116">
        <v>315</v>
      </c>
      <c r="Q1735" s="116">
        <v>324.35000000000002</v>
      </c>
      <c r="R1735">
        <v>275632</v>
      </c>
    </row>
    <row r="1736" spans="1:18" x14ac:dyDescent="0.25">
      <c r="A1736" s="169">
        <v>44594</v>
      </c>
      <c r="B1736" s="116">
        <v>383.95</v>
      </c>
      <c r="C1736" s="116">
        <v>378.15</v>
      </c>
      <c r="D1736" s="116">
        <v>370.45</v>
      </c>
      <c r="E1736" s="116">
        <v>374.5</v>
      </c>
      <c r="F1736" s="116">
        <v>378.15</v>
      </c>
      <c r="G1736">
        <v>4847</v>
      </c>
      <c r="H1736" s="116"/>
      <c r="I1736" s="116"/>
      <c r="L1736" s="169">
        <v>44560</v>
      </c>
      <c r="M1736" s="116">
        <v>336.5</v>
      </c>
      <c r="N1736" s="116">
        <v>349.9</v>
      </c>
      <c r="O1736" s="116">
        <v>330</v>
      </c>
      <c r="P1736" s="116">
        <v>339</v>
      </c>
      <c r="Q1736" s="116">
        <v>336.5</v>
      </c>
      <c r="R1736">
        <v>310589</v>
      </c>
    </row>
    <row r="1737" spans="1:18" x14ac:dyDescent="0.25">
      <c r="A1737" s="169">
        <v>44595</v>
      </c>
      <c r="B1737" s="116">
        <v>398.35</v>
      </c>
      <c r="C1737" s="116">
        <v>389.1</v>
      </c>
      <c r="D1737" s="116">
        <v>371.95</v>
      </c>
      <c r="E1737" s="116">
        <v>373.3</v>
      </c>
      <c r="F1737" s="116">
        <v>389.1</v>
      </c>
      <c r="G1737">
        <v>9147</v>
      </c>
      <c r="H1737" s="116"/>
      <c r="I1737" s="116"/>
      <c r="L1737" s="169">
        <v>44561</v>
      </c>
      <c r="M1737" s="116">
        <v>347.85</v>
      </c>
      <c r="N1737" s="116">
        <v>355</v>
      </c>
      <c r="O1737" s="116">
        <v>341.15</v>
      </c>
      <c r="P1737" s="116">
        <v>355</v>
      </c>
      <c r="Q1737" s="116">
        <v>347.85</v>
      </c>
      <c r="R1737">
        <v>256922</v>
      </c>
    </row>
    <row r="1738" spans="1:18" x14ac:dyDescent="0.25">
      <c r="A1738" s="169">
        <v>44596</v>
      </c>
      <c r="B1738" s="116">
        <v>399.7</v>
      </c>
      <c r="C1738" s="116">
        <v>383.75</v>
      </c>
      <c r="D1738" s="116">
        <v>382.5</v>
      </c>
      <c r="E1738" s="116">
        <v>399.7</v>
      </c>
      <c r="F1738" s="116">
        <v>383.75</v>
      </c>
      <c r="G1738">
        <v>1315</v>
      </c>
      <c r="H1738" s="116"/>
      <c r="I1738" s="116"/>
      <c r="L1738" s="169">
        <v>44564</v>
      </c>
      <c r="M1738" s="116">
        <v>383.55</v>
      </c>
      <c r="N1738" s="116">
        <v>417.4</v>
      </c>
      <c r="O1738" s="116">
        <v>352.05</v>
      </c>
      <c r="P1738" s="116">
        <v>354.9</v>
      </c>
      <c r="Q1738" s="116">
        <v>383.55</v>
      </c>
      <c r="R1738">
        <v>892105</v>
      </c>
    </row>
    <row r="1739" spans="1:18" x14ac:dyDescent="0.25">
      <c r="A1739" s="169">
        <v>44599</v>
      </c>
      <c r="B1739" s="116">
        <v>395</v>
      </c>
      <c r="C1739" s="116">
        <v>374.65</v>
      </c>
      <c r="D1739" s="116">
        <v>361.8</v>
      </c>
      <c r="E1739" s="116">
        <v>361.8</v>
      </c>
      <c r="F1739" s="116">
        <v>374.65</v>
      </c>
      <c r="G1739">
        <v>4112</v>
      </c>
      <c r="H1739" s="116"/>
      <c r="I1739" s="116"/>
      <c r="L1739" s="169">
        <v>44565</v>
      </c>
      <c r="M1739" s="116">
        <v>369</v>
      </c>
      <c r="N1739" s="116">
        <v>402</v>
      </c>
      <c r="O1739" s="116">
        <v>365</v>
      </c>
      <c r="P1739" s="116">
        <v>388</v>
      </c>
      <c r="Q1739" s="116">
        <v>369</v>
      </c>
      <c r="R1739">
        <v>206170</v>
      </c>
    </row>
    <row r="1740" spans="1:18" x14ac:dyDescent="0.25">
      <c r="A1740" s="169">
        <v>44600</v>
      </c>
      <c r="B1740" s="116">
        <v>378.95</v>
      </c>
      <c r="C1740" s="116">
        <v>356.15</v>
      </c>
      <c r="D1740" s="116">
        <v>348.3</v>
      </c>
      <c r="E1740" s="116">
        <v>370</v>
      </c>
      <c r="F1740" s="116">
        <v>356.15</v>
      </c>
      <c r="G1740">
        <v>5388</v>
      </c>
      <c r="H1740" s="116"/>
      <c r="I1740" s="116"/>
      <c r="L1740" s="169">
        <v>44566</v>
      </c>
      <c r="M1740" s="116">
        <v>373.95</v>
      </c>
      <c r="N1740" s="116">
        <v>389.15</v>
      </c>
      <c r="O1740" s="116">
        <v>362.65</v>
      </c>
      <c r="P1740" s="116">
        <v>365</v>
      </c>
      <c r="Q1740" s="116">
        <v>373.95</v>
      </c>
      <c r="R1740">
        <v>131650</v>
      </c>
    </row>
    <row r="1741" spans="1:18" x14ac:dyDescent="0.25">
      <c r="A1741" s="169">
        <v>44601</v>
      </c>
      <c r="B1741" s="116">
        <v>363</v>
      </c>
      <c r="C1741" s="116">
        <v>360.2</v>
      </c>
      <c r="D1741" s="116">
        <v>351.1</v>
      </c>
      <c r="E1741" s="116">
        <v>351.1</v>
      </c>
      <c r="F1741" s="116">
        <v>360.2</v>
      </c>
      <c r="G1741">
        <v>2561</v>
      </c>
      <c r="H1741" s="116"/>
      <c r="I1741" s="116"/>
      <c r="L1741" s="169">
        <v>44567</v>
      </c>
      <c r="M1741" s="116">
        <v>368.55</v>
      </c>
      <c r="N1741" s="116">
        <v>382.5</v>
      </c>
      <c r="O1741" s="116">
        <v>363.4</v>
      </c>
      <c r="P1741" s="116">
        <v>374.9</v>
      </c>
      <c r="Q1741" s="116">
        <v>368.55</v>
      </c>
      <c r="R1741">
        <v>105446</v>
      </c>
    </row>
    <row r="1742" spans="1:18" x14ac:dyDescent="0.25">
      <c r="A1742" s="169">
        <v>44602</v>
      </c>
      <c r="B1742" s="116">
        <v>367</v>
      </c>
      <c r="C1742" s="116">
        <v>363.6</v>
      </c>
      <c r="D1742" s="116">
        <v>359.35</v>
      </c>
      <c r="E1742" s="116">
        <v>360.3</v>
      </c>
      <c r="F1742" s="116">
        <v>363.6</v>
      </c>
      <c r="G1742">
        <v>1807</v>
      </c>
      <c r="H1742" s="116"/>
      <c r="I1742" s="116"/>
      <c r="L1742" s="169">
        <v>44568</v>
      </c>
      <c r="M1742" s="116">
        <v>379.75</v>
      </c>
      <c r="N1742" s="116">
        <v>392</v>
      </c>
      <c r="O1742" s="116">
        <v>370.65</v>
      </c>
      <c r="P1742" s="116">
        <v>374</v>
      </c>
      <c r="Q1742" s="116">
        <v>379.75</v>
      </c>
      <c r="R1742">
        <v>149996</v>
      </c>
    </row>
    <row r="1743" spans="1:18" x14ac:dyDescent="0.25">
      <c r="A1743" s="169">
        <v>44603</v>
      </c>
      <c r="B1743" s="116">
        <v>364.6</v>
      </c>
      <c r="C1743" s="116">
        <v>347.85</v>
      </c>
      <c r="D1743" s="116">
        <v>346.55</v>
      </c>
      <c r="E1743" s="116">
        <v>364.6</v>
      </c>
      <c r="F1743" s="116">
        <v>347.85</v>
      </c>
      <c r="G1743">
        <v>7078</v>
      </c>
      <c r="H1743" s="116"/>
      <c r="I1743" s="116"/>
      <c r="L1743" s="169">
        <v>44571</v>
      </c>
      <c r="M1743" s="116">
        <v>387.55</v>
      </c>
      <c r="N1743" s="116">
        <v>397</v>
      </c>
      <c r="O1743" s="116">
        <v>381.55</v>
      </c>
      <c r="P1743" s="116">
        <v>387.7</v>
      </c>
      <c r="Q1743" s="116">
        <v>387.55</v>
      </c>
      <c r="R1743">
        <v>119401</v>
      </c>
    </row>
    <row r="1744" spans="1:18" x14ac:dyDescent="0.25">
      <c r="A1744" s="169">
        <v>44606</v>
      </c>
      <c r="B1744" s="116">
        <v>342.35</v>
      </c>
      <c r="C1744" s="116">
        <v>325.95</v>
      </c>
      <c r="D1744" s="116">
        <v>321.2</v>
      </c>
      <c r="E1744" s="116">
        <v>336.5</v>
      </c>
      <c r="F1744" s="116">
        <v>325.95</v>
      </c>
      <c r="G1744">
        <v>3419</v>
      </c>
      <c r="H1744" s="116"/>
      <c r="I1744" s="116"/>
      <c r="L1744" s="169">
        <v>44572</v>
      </c>
      <c r="M1744" s="116">
        <v>382.5</v>
      </c>
      <c r="N1744" s="116">
        <v>393.7</v>
      </c>
      <c r="O1744" s="116">
        <v>380</v>
      </c>
      <c r="P1744" s="116">
        <v>389.9</v>
      </c>
      <c r="Q1744" s="116">
        <v>382.5</v>
      </c>
      <c r="R1744">
        <v>86021</v>
      </c>
    </row>
    <row r="1745" spans="1:18" x14ac:dyDescent="0.25">
      <c r="A1745" s="169">
        <v>44607</v>
      </c>
      <c r="B1745" s="116">
        <v>347.45</v>
      </c>
      <c r="C1745" s="116">
        <v>341.25</v>
      </c>
      <c r="D1745" s="116">
        <v>310.2</v>
      </c>
      <c r="E1745" s="116">
        <v>333.6</v>
      </c>
      <c r="F1745" s="116">
        <v>341.25</v>
      </c>
      <c r="G1745">
        <v>4758</v>
      </c>
      <c r="H1745" s="116"/>
      <c r="I1745" s="116"/>
      <c r="L1745" s="169">
        <v>44573</v>
      </c>
      <c r="M1745" s="116">
        <v>388.25</v>
      </c>
      <c r="N1745" s="116">
        <v>393.85</v>
      </c>
      <c r="O1745" s="116">
        <v>381.25</v>
      </c>
      <c r="P1745" s="116">
        <v>389</v>
      </c>
      <c r="Q1745" s="116">
        <v>388.25</v>
      </c>
      <c r="R1745">
        <v>62131</v>
      </c>
    </row>
    <row r="1746" spans="1:18" x14ac:dyDescent="0.25">
      <c r="A1746" s="169">
        <v>44608</v>
      </c>
      <c r="B1746" s="116">
        <v>370.35</v>
      </c>
      <c r="C1746" s="116">
        <v>363.5</v>
      </c>
      <c r="D1746" s="116">
        <v>347.45</v>
      </c>
      <c r="E1746" s="116">
        <v>347.55</v>
      </c>
      <c r="F1746" s="116">
        <v>363.5</v>
      </c>
      <c r="G1746">
        <v>2499</v>
      </c>
      <c r="H1746" s="116"/>
      <c r="I1746" s="116"/>
      <c r="L1746" s="169">
        <v>44574</v>
      </c>
      <c r="M1746" s="116">
        <v>404.55</v>
      </c>
      <c r="N1746" s="116">
        <v>409.7</v>
      </c>
      <c r="O1746" s="116">
        <v>386.15</v>
      </c>
      <c r="P1746" s="116">
        <v>391.9</v>
      </c>
      <c r="Q1746" s="116">
        <v>404.55</v>
      </c>
      <c r="R1746">
        <v>172907</v>
      </c>
    </row>
    <row r="1747" spans="1:18" x14ac:dyDescent="0.25">
      <c r="A1747" s="169">
        <v>44609</v>
      </c>
      <c r="B1747" s="116">
        <v>368.85</v>
      </c>
      <c r="C1747" s="116">
        <v>355.15</v>
      </c>
      <c r="D1747" s="116">
        <v>352</v>
      </c>
      <c r="E1747" s="116">
        <v>363.6</v>
      </c>
      <c r="F1747" s="116">
        <v>355.15</v>
      </c>
      <c r="G1747">
        <v>3328</v>
      </c>
      <c r="H1747" s="116"/>
      <c r="I1747" s="116"/>
      <c r="L1747" s="169">
        <v>44575</v>
      </c>
      <c r="M1747" s="116">
        <v>403.4</v>
      </c>
      <c r="N1747" s="116">
        <v>406.15</v>
      </c>
      <c r="O1747" s="116">
        <v>395.1</v>
      </c>
      <c r="P1747" s="116">
        <v>404.55</v>
      </c>
      <c r="Q1747" s="116">
        <v>403.4</v>
      </c>
      <c r="R1747">
        <v>56693</v>
      </c>
    </row>
    <row r="1748" spans="1:18" x14ac:dyDescent="0.25">
      <c r="A1748" s="169">
        <v>44610</v>
      </c>
      <c r="B1748" s="116">
        <v>356.1</v>
      </c>
      <c r="C1748" s="116">
        <v>345.95</v>
      </c>
      <c r="D1748" s="116">
        <v>331.05</v>
      </c>
      <c r="E1748" s="116">
        <v>331.05</v>
      </c>
      <c r="F1748" s="116">
        <v>345.95</v>
      </c>
      <c r="G1748">
        <v>2298</v>
      </c>
      <c r="H1748" s="116"/>
      <c r="I1748" s="116"/>
      <c r="L1748" s="169">
        <v>44578</v>
      </c>
      <c r="M1748" s="116">
        <v>384.7</v>
      </c>
      <c r="N1748" s="116">
        <v>413</v>
      </c>
      <c r="O1748" s="116">
        <v>381.2</v>
      </c>
      <c r="P1748" s="116">
        <v>408.85</v>
      </c>
      <c r="Q1748" s="116">
        <v>384.7</v>
      </c>
      <c r="R1748">
        <v>85500</v>
      </c>
    </row>
    <row r="1749" spans="1:18" x14ac:dyDescent="0.25">
      <c r="A1749" s="169">
        <v>44613</v>
      </c>
      <c r="B1749" s="116">
        <v>336.95</v>
      </c>
      <c r="C1749" s="116">
        <v>321.25</v>
      </c>
      <c r="D1749" s="116">
        <v>303.05</v>
      </c>
      <c r="E1749" s="116">
        <v>307.05</v>
      </c>
      <c r="F1749" s="116">
        <v>321.25</v>
      </c>
      <c r="G1749">
        <v>8498</v>
      </c>
      <c r="H1749" s="116"/>
      <c r="I1749" s="116"/>
      <c r="L1749" s="169">
        <v>44579</v>
      </c>
      <c r="M1749" s="116">
        <v>363.6</v>
      </c>
      <c r="N1749" s="116">
        <v>387.7</v>
      </c>
      <c r="O1749" s="116">
        <v>361.1</v>
      </c>
      <c r="P1749" s="116">
        <v>387</v>
      </c>
      <c r="Q1749" s="116">
        <v>363.6</v>
      </c>
      <c r="R1749">
        <v>116937</v>
      </c>
    </row>
    <row r="1750" spans="1:18" x14ac:dyDescent="0.25">
      <c r="A1750" s="169">
        <v>44614</v>
      </c>
      <c r="B1750" s="116">
        <v>315.95</v>
      </c>
      <c r="C1750" s="116">
        <v>302</v>
      </c>
      <c r="D1750" s="116">
        <v>291.3</v>
      </c>
      <c r="E1750" s="116">
        <v>291.3</v>
      </c>
      <c r="F1750" s="116">
        <v>302</v>
      </c>
      <c r="G1750">
        <v>7980</v>
      </c>
      <c r="H1750" s="116"/>
      <c r="I1750" s="116"/>
      <c r="L1750" s="169">
        <v>44580</v>
      </c>
      <c r="M1750" s="116">
        <v>378.4</v>
      </c>
      <c r="N1750" s="116">
        <v>383</v>
      </c>
      <c r="O1750" s="116">
        <v>362.6</v>
      </c>
      <c r="P1750" s="116">
        <v>367</v>
      </c>
      <c r="Q1750" s="116">
        <v>378.4</v>
      </c>
      <c r="R1750">
        <v>57726</v>
      </c>
    </row>
    <row r="1751" spans="1:18" x14ac:dyDescent="0.25">
      <c r="A1751" s="169">
        <v>44615</v>
      </c>
      <c r="B1751" s="116">
        <v>339.85</v>
      </c>
      <c r="C1751" s="116">
        <v>318</v>
      </c>
      <c r="D1751" s="116">
        <v>303</v>
      </c>
      <c r="E1751" s="116">
        <v>303</v>
      </c>
      <c r="F1751" s="116">
        <v>318</v>
      </c>
      <c r="G1751">
        <v>5296</v>
      </c>
      <c r="H1751" s="116"/>
      <c r="I1751" s="116"/>
      <c r="L1751" s="169">
        <v>44581</v>
      </c>
      <c r="M1751" s="116">
        <v>392.4</v>
      </c>
      <c r="N1751" s="116">
        <v>397</v>
      </c>
      <c r="O1751" s="116">
        <v>381.6</v>
      </c>
      <c r="P1751" s="116">
        <v>389.35</v>
      </c>
      <c r="Q1751" s="116">
        <v>392.4</v>
      </c>
      <c r="R1751">
        <v>96816</v>
      </c>
    </row>
    <row r="1752" spans="1:18" x14ac:dyDescent="0.25">
      <c r="A1752" s="169">
        <v>44616</v>
      </c>
      <c r="B1752" s="116">
        <v>309.95</v>
      </c>
      <c r="C1752" s="116">
        <v>289.2</v>
      </c>
      <c r="D1752" s="116">
        <v>282.95</v>
      </c>
      <c r="E1752" s="116">
        <v>307.5</v>
      </c>
      <c r="F1752" s="116">
        <v>289.2</v>
      </c>
      <c r="G1752">
        <v>4278</v>
      </c>
      <c r="H1752" s="116"/>
      <c r="I1752" s="116"/>
      <c r="L1752" s="169">
        <v>44582</v>
      </c>
      <c r="M1752" s="116">
        <v>395.35</v>
      </c>
      <c r="N1752" s="116">
        <v>404</v>
      </c>
      <c r="O1752" s="116">
        <v>385.3</v>
      </c>
      <c r="P1752" s="116">
        <v>385.3</v>
      </c>
      <c r="Q1752" s="116">
        <v>395.35</v>
      </c>
      <c r="R1752">
        <v>110588</v>
      </c>
    </row>
    <row r="1753" spans="1:18" x14ac:dyDescent="0.25">
      <c r="A1753" s="169">
        <v>44617</v>
      </c>
      <c r="B1753" s="116">
        <v>326.75</v>
      </c>
      <c r="C1753" s="116">
        <v>307.85000000000002</v>
      </c>
      <c r="D1753" s="116">
        <v>301.05</v>
      </c>
      <c r="E1753" s="116">
        <v>301.05</v>
      </c>
      <c r="F1753" s="116">
        <v>307.85000000000002</v>
      </c>
      <c r="G1753">
        <v>1800</v>
      </c>
      <c r="H1753" s="116"/>
      <c r="I1753" s="116"/>
      <c r="L1753" s="169">
        <v>44585</v>
      </c>
      <c r="M1753" s="116">
        <v>386.75</v>
      </c>
      <c r="N1753" s="116">
        <v>419.8</v>
      </c>
      <c r="O1753" s="116">
        <v>378.05</v>
      </c>
      <c r="P1753" s="116">
        <v>415</v>
      </c>
      <c r="Q1753" s="116">
        <v>386.75</v>
      </c>
      <c r="R1753">
        <v>181776</v>
      </c>
    </row>
    <row r="1754" spans="1:18" x14ac:dyDescent="0.25">
      <c r="A1754" s="169">
        <v>44620</v>
      </c>
      <c r="B1754" s="116">
        <v>309.2</v>
      </c>
      <c r="C1754" s="116">
        <v>306.45</v>
      </c>
      <c r="D1754" s="116">
        <v>300.85000000000002</v>
      </c>
      <c r="E1754" s="116">
        <v>300.85000000000002</v>
      </c>
      <c r="F1754" s="116">
        <v>306.45</v>
      </c>
      <c r="G1754">
        <v>794</v>
      </c>
      <c r="H1754" s="116"/>
      <c r="I1754" s="116"/>
      <c r="L1754" s="169">
        <v>44586</v>
      </c>
      <c r="M1754" s="116">
        <v>385.25</v>
      </c>
      <c r="N1754" s="116">
        <v>390</v>
      </c>
      <c r="O1754" s="116">
        <v>372.25</v>
      </c>
      <c r="P1754" s="116">
        <v>380.1</v>
      </c>
      <c r="Q1754" s="116">
        <v>385.25</v>
      </c>
      <c r="R1754">
        <v>45619</v>
      </c>
    </row>
    <row r="1755" spans="1:18" x14ac:dyDescent="0.25">
      <c r="A1755" s="169">
        <v>44622</v>
      </c>
      <c r="B1755" s="116">
        <v>313.60000000000002</v>
      </c>
      <c r="C1755" s="116">
        <v>306.14999999999998</v>
      </c>
      <c r="D1755" s="116">
        <v>303</v>
      </c>
      <c r="E1755" s="116">
        <v>305.85000000000002</v>
      </c>
      <c r="F1755" s="116">
        <v>306.14999999999998</v>
      </c>
      <c r="G1755">
        <v>2479</v>
      </c>
      <c r="H1755" s="116"/>
      <c r="I1755" s="116"/>
      <c r="L1755" s="169">
        <v>44588</v>
      </c>
      <c r="M1755" s="116">
        <v>372</v>
      </c>
      <c r="N1755" s="116">
        <v>385</v>
      </c>
      <c r="O1755" s="116">
        <v>368.85</v>
      </c>
      <c r="P1755" s="116">
        <v>381</v>
      </c>
      <c r="Q1755" s="116">
        <v>372</v>
      </c>
      <c r="R1755">
        <v>70546</v>
      </c>
    </row>
    <row r="1756" spans="1:18" x14ac:dyDescent="0.25">
      <c r="A1756" s="169">
        <v>44623</v>
      </c>
      <c r="B1756" s="116">
        <v>320.75</v>
      </c>
      <c r="C1756" s="116">
        <v>305.89999999999998</v>
      </c>
      <c r="D1756" s="116">
        <v>304.2</v>
      </c>
      <c r="E1756" s="116">
        <v>320.75</v>
      </c>
      <c r="F1756" s="116">
        <v>305.89999999999998</v>
      </c>
      <c r="G1756">
        <v>1968</v>
      </c>
      <c r="H1756" s="116"/>
      <c r="I1756" s="116"/>
      <c r="L1756" s="169">
        <v>44589</v>
      </c>
      <c r="M1756" s="116">
        <v>373.05</v>
      </c>
      <c r="N1756" s="116">
        <v>382.95</v>
      </c>
      <c r="O1756" s="116">
        <v>370.1</v>
      </c>
      <c r="P1756" s="116">
        <v>380</v>
      </c>
      <c r="Q1756" s="116">
        <v>373.05</v>
      </c>
      <c r="R1756">
        <v>31800</v>
      </c>
    </row>
    <row r="1757" spans="1:18" x14ac:dyDescent="0.25">
      <c r="A1757" s="169">
        <v>44624</v>
      </c>
      <c r="B1757" s="116">
        <v>305.85000000000002</v>
      </c>
      <c r="C1757" s="116">
        <v>294.85000000000002</v>
      </c>
      <c r="D1757" s="116">
        <v>293.75</v>
      </c>
      <c r="E1757" s="116">
        <v>302</v>
      </c>
      <c r="F1757" s="116">
        <v>294.85000000000002</v>
      </c>
      <c r="G1757">
        <v>3025</v>
      </c>
      <c r="H1757" s="116"/>
      <c r="I1757" s="116"/>
      <c r="L1757" s="169">
        <v>44592</v>
      </c>
      <c r="M1757" s="116">
        <v>372.5</v>
      </c>
      <c r="N1757" s="116">
        <v>382</v>
      </c>
      <c r="O1757" s="116">
        <v>370.2</v>
      </c>
      <c r="P1757" s="116">
        <v>379.8</v>
      </c>
      <c r="Q1757" s="116">
        <v>372.5</v>
      </c>
      <c r="R1757">
        <v>33405</v>
      </c>
    </row>
    <row r="1758" spans="1:18" x14ac:dyDescent="0.25">
      <c r="A1758" s="169">
        <v>44627</v>
      </c>
      <c r="B1758" s="116">
        <v>293.95</v>
      </c>
      <c r="C1758" s="116">
        <v>291.2</v>
      </c>
      <c r="D1758" s="116">
        <v>280</v>
      </c>
      <c r="E1758" s="116">
        <v>285.8</v>
      </c>
      <c r="F1758" s="116">
        <v>291.2</v>
      </c>
      <c r="G1758">
        <v>1870</v>
      </c>
      <c r="H1758" s="116"/>
      <c r="I1758" s="116"/>
      <c r="L1758" s="169">
        <v>44593</v>
      </c>
      <c r="M1758" s="116">
        <v>373.55</v>
      </c>
      <c r="N1758" s="116">
        <v>377.9</v>
      </c>
      <c r="O1758" s="116">
        <v>368.2</v>
      </c>
      <c r="P1758" s="116">
        <v>377.9</v>
      </c>
      <c r="Q1758" s="116">
        <v>373.55</v>
      </c>
      <c r="R1758">
        <v>26197</v>
      </c>
    </row>
    <row r="1759" spans="1:18" x14ac:dyDescent="0.25">
      <c r="A1759" s="169">
        <v>44628</v>
      </c>
      <c r="B1759" s="116">
        <v>301.2</v>
      </c>
      <c r="C1759" s="116">
        <v>291.14999999999998</v>
      </c>
      <c r="D1759" s="116">
        <v>283.85000000000002</v>
      </c>
      <c r="E1759" s="116">
        <v>295</v>
      </c>
      <c r="F1759" s="116">
        <v>291.14999999999998</v>
      </c>
      <c r="G1759">
        <v>3569</v>
      </c>
      <c r="H1759" s="116"/>
      <c r="I1759" s="116"/>
      <c r="L1759" s="169">
        <v>44594</v>
      </c>
      <c r="M1759" s="116">
        <v>378.25</v>
      </c>
      <c r="N1759" s="116">
        <v>384</v>
      </c>
      <c r="O1759" s="116">
        <v>371.3</v>
      </c>
      <c r="P1759" s="116">
        <v>377.4</v>
      </c>
      <c r="Q1759" s="116">
        <v>378.25</v>
      </c>
      <c r="R1759">
        <v>25224</v>
      </c>
    </row>
    <row r="1760" spans="1:18" x14ac:dyDescent="0.25">
      <c r="A1760" s="169">
        <v>44629</v>
      </c>
      <c r="B1760" s="116">
        <v>310.89999999999998</v>
      </c>
      <c r="C1760" s="116">
        <v>308.25</v>
      </c>
      <c r="D1760" s="116">
        <v>293.10000000000002</v>
      </c>
      <c r="E1760" s="116">
        <v>293.95</v>
      </c>
      <c r="F1760" s="116">
        <v>308.25</v>
      </c>
      <c r="G1760">
        <v>1637</v>
      </c>
      <c r="H1760" s="116"/>
      <c r="I1760" s="116"/>
      <c r="L1760" s="169">
        <v>44595</v>
      </c>
      <c r="M1760" s="116">
        <v>390</v>
      </c>
      <c r="N1760" s="116">
        <v>399.4</v>
      </c>
      <c r="O1760" s="116">
        <v>371.5</v>
      </c>
      <c r="P1760" s="116">
        <v>373.55</v>
      </c>
      <c r="Q1760" s="116">
        <v>390</v>
      </c>
      <c r="R1760">
        <v>87995</v>
      </c>
    </row>
    <row r="1761" spans="1:18" x14ac:dyDescent="0.25">
      <c r="A1761" s="169">
        <v>44630</v>
      </c>
      <c r="B1761" s="116">
        <v>322</v>
      </c>
      <c r="C1761" s="116">
        <v>318.39999999999998</v>
      </c>
      <c r="D1761" s="116">
        <v>313.60000000000002</v>
      </c>
      <c r="E1761" s="116">
        <v>316</v>
      </c>
      <c r="F1761" s="116">
        <v>318.39999999999998</v>
      </c>
      <c r="G1761">
        <v>2552</v>
      </c>
      <c r="H1761" s="116"/>
      <c r="I1761" s="116"/>
      <c r="L1761" s="169">
        <v>44596</v>
      </c>
      <c r="M1761" s="116">
        <v>385.2</v>
      </c>
      <c r="N1761" s="116">
        <v>398</v>
      </c>
      <c r="O1761" s="116">
        <v>382</v>
      </c>
      <c r="P1761" s="116">
        <v>398</v>
      </c>
      <c r="Q1761" s="116">
        <v>385.2</v>
      </c>
      <c r="R1761">
        <v>25537</v>
      </c>
    </row>
    <row r="1762" spans="1:18" x14ac:dyDescent="0.25">
      <c r="A1762" s="169">
        <v>44631</v>
      </c>
      <c r="B1762" s="116">
        <v>317.55</v>
      </c>
      <c r="C1762" s="116">
        <v>307.35000000000002</v>
      </c>
      <c r="D1762" s="116">
        <v>306.05</v>
      </c>
      <c r="E1762" s="116">
        <v>311.75</v>
      </c>
      <c r="F1762" s="116">
        <v>307.35000000000002</v>
      </c>
      <c r="G1762">
        <v>3552</v>
      </c>
      <c r="H1762" s="116"/>
      <c r="I1762" s="116"/>
      <c r="L1762" s="169">
        <v>44599</v>
      </c>
      <c r="M1762" s="116">
        <v>375.15</v>
      </c>
      <c r="N1762" s="116">
        <v>395.45</v>
      </c>
      <c r="O1762" s="116">
        <v>372.2</v>
      </c>
      <c r="P1762" s="116">
        <v>388.7</v>
      </c>
      <c r="Q1762" s="116">
        <v>375.15</v>
      </c>
      <c r="R1762">
        <v>43946</v>
      </c>
    </row>
    <row r="1763" spans="1:18" x14ac:dyDescent="0.25">
      <c r="A1763" s="169">
        <v>44634</v>
      </c>
      <c r="B1763" s="116">
        <v>313.8</v>
      </c>
      <c r="C1763" s="116">
        <v>303.25</v>
      </c>
      <c r="D1763" s="116">
        <v>301.2</v>
      </c>
      <c r="E1763" s="116">
        <v>307.5</v>
      </c>
      <c r="F1763" s="116">
        <v>303.25</v>
      </c>
      <c r="G1763">
        <v>2887</v>
      </c>
      <c r="H1763" s="116"/>
      <c r="I1763" s="116"/>
      <c r="L1763" s="169">
        <v>44600</v>
      </c>
      <c r="M1763" s="116">
        <v>353.5</v>
      </c>
      <c r="N1763" s="116">
        <v>379.7</v>
      </c>
      <c r="O1763" s="116">
        <v>349.1</v>
      </c>
      <c r="P1763" s="116">
        <v>376</v>
      </c>
      <c r="Q1763" s="116">
        <v>353.5</v>
      </c>
      <c r="R1763">
        <v>67972</v>
      </c>
    </row>
    <row r="1764" spans="1:18" x14ac:dyDescent="0.25">
      <c r="A1764" s="169">
        <v>44635</v>
      </c>
      <c r="B1764" s="116">
        <v>306.10000000000002</v>
      </c>
      <c r="C1764" s="116">
        <v>297.7</v>
      </c>
      <c r="D1764" s="116">
        <v>291.55</v>
      </c>
      <c r="E1764" s="116">
        <v>303.5</v>
      </c>
      <c r="F1764" s="116">
        <v>297.7</v>
      </c>
      <c r="G1764">
        <v>2793</v>
      </c>
      <c r="H1764" s="116"/>
      <c r="I1764" s="116"/>
      <c r="L1764" s="169">
        <v>44601</v>
      </c>
      <c r="M1764" s="116">
        <v>360.3</v>
      </c>
      <c r="N1764" s="116">
        <v>364.35</v>
      </c>
      <c r="O1764" s="116">
        <v>356</v>
      </c>
      <c r="P1764" s="116">
        <v>356</v>
      </c>
      <c r="Q1764" s="116">
        <v>360.3</v>
      </c>
      <c r="R1764">
        <v>16781</v>
      </c>
    </row>
    <row r="1765" spans="1:18" x14ac:dyDescent="0.25">
      <c r="A1765" s="169">
        <v>44636</v>
      </c>
      <c r="B1765" s="116">
        <v>307.05</v>
      </c>
      <c r="C1765" s="116">
        <v>304.95</v>
      </c>
      <c r="D1765" s="116">
        <v>297.8</v>
      </c>
      <c r="E1765" s="116">
        <v>306.3</v>
      </c>
      <c r="F1765" s="116">
        <v>304.95</v>
      </c>
      <c r="G1765">
        <v>968</v>
      </c>
      <c r="H1765" s="116"/>
      <c r="I1765" s="116"/>
      <c r="L1765" s="169">
        <v>44602</v>
      </c>
      <c r="M1765" s="116">
        <v>361.75</v>
      </c>
      <c r="N1765" s="116">
        <v>367.9</v>
      </c>
      <c r="O1765" s="116">
        <v>357</v>
      </c>
      <c r="P1765" s="116">
        <v>357</v>
      </c>
      <c r="Q1765" s="116">
        <v>361.75</v>
      </c>
      <c r="R1765">
        <v>14148</v>
      </c>
    </row>
    <row r="1766" spans="1:18" x14ac:dyDescent="0.25">
      <c r="A1766" s="169">
        <v>44637</v>
      </c>
      <c r="B1766" s="116">
        <v>319.45</v>
      </c>
      <c r="C1766" s="116">
        <v>313.55</v>
      </c>
      <c r="D1766" s="116">
        <v>304.10000000000002</v>
      </c>
      <c r="E1766" s="116">
        <v>307.3</v>
      </c>
      <c r="F1766" s="116">
        <v>313.55</v>
      </c>
      <c r="G1766">
        <v>3661</v>
      </c>
      <c r="H1766" s="116"/>
      <c r="I1766" s="116"/>
      <c r="L1766" s="169">
        <v>44603</v>
      </c>
      <c r="M1766" s="116">
        <v>350.25</v>
      </c>
      <c r="N1766" s="116">
        <v>363.9</v>
      </c>
      <c r="O1766" s="116">
        <v>347.15</v>
      </c>
      <c r="P1766" s="116">
        <v>363.9</v>
      </c>
      <c r="Q1766" s="116">
        <v>350.25</v>
      </c>
      <c r="R1766">
        <v>22773</v>
      </c>
    </row>
    <row r="1767" spans="1:18" x14ac:dyDescent="0.25">
      <c r="A1767" s="169">
        <v>44641</v>
      </c>
      <c r="B1767" s="116">
        <v>327</v>
      </c>
      <c r="C1767" s="116">
        <v>307.95</v>
      </c>
      <c r="D1767" s="116">
        <v>306</v>
      </c>
      <c r="E1767" s="116">
        <v>313.05</v>
      </c>
      <c r="F1767" s="116">
        <v>307.95</v>
      </c>
      <c r="G1767">
        <v>3691</v>
      </c>
      <c r="H1767" s="116"/>
      <c r="I1767" s="116"/>
      <c r="L1767" s="169">
        <v>44606</v>
      </c>
      <c r="M1767" s="116">
        <v>328.35</v>
      </c>
      <c r="N1767" s="116">
        <v>345.15</v>
      </c>
      <c r="O1767" s="116">
        <v>320.10000000000002</v>
      </c>
      <c r="P1767" s="116">
        <v>345</v>
      </c>
      <c r="Q1767" s="116">
        <v>328.35</v>
      </c>
      <c r="R1767">
        <v>44741</v>
      </c>
    </row>
    <row r="1768" spans="1:18" x14ac:dyDescent="0.25">
      <c r="A1768" s="169">
        <v>44642</v>
      </c>
      <c r="B1768" s="116">
        <v>306.5</v>
      </c>
      <c r="C1768" s="116">
        <v>302.14999999999998</v>
      </c>
      <c r="D1768" s="116">
        <v>300.60000000000002</v>
      </c>
      <c r="E1768" s="116">
        <v>306.10000000000002</v>
      </c>
      <c r="F1768" s="116">
        <v>302.14999999999998</v>
      </c>
      <c r="G1768">
        <v>1677</v>
      </c>
      <c r="H1768" s="116"/>
      <c r="I1768" s="116"/>
      <c r="L1768" s="169">
        <v>44607</v>
      </c>
      <c r="M1768" s="116">
        <v>343.3</v>
      </c>
      <c r="N1768" s="116">
        <v>350</v>
      </c>
      <c r="O1768" s="116">
        <v>309.85000000000002</v>
      </c>
      <c r="P1768" s="116">
        <v>333.9</v>
      </c>
      <c r="Q1768" s="116">
        <v>343.3</v>
      </c>
      <c r="R1768">
        <v>35465</v>
      </c>
    </row>
    <row r="1769" spans="1:18" x14ac:dyDescent="0.25">
      <c r="A1769" s="169">
        <v>44643</v>
      </c>
      <c r="B1769" s="116">
        <v>307.95</v>
      </c>
      <c r="C1769" s="116">
        <v>299.85000000000002</v>
      </c>
      <c r="D1769" s="116">
        <v>295.8</v>
      </c>
      <c r="E1769" s="116">
        <v>305.5</v>
      </c>
      <c r="F1769" s="116">
        <v>299.85000000000002</v>
      </c>
      <c r="G1769">
        <v>2104</v>
      </c>
      <c r="H1769" s="116"/>
      <c r="I1769" s="116"/>
      <c r="L1769" s="169">
        <v>44608</v>
      </c>
      <c r="M1769" s="116">
        <v>363.45</v>
      </c>
      <c r="N1769" s="116">
        <v>370.2</v>
      </c>
      <c r="O1769" s="116">
        <v>345</v>
      </c>
      <c r="P1769" s="116">
        <v>348.9</v>
      </c>
      <c r="Q1769" s="116">
        <v>363.45</v>
      </c>
      <c r="R1769">
        <v>42010</v>
      </c>
    </row>
    <row r="1770" spans="1:18" x14ac:dyDescent="0.25">
      <c r="A1770" s="169">
        <v>44644</v>
      </c>
      <c r="B1770" s="116">
        <v>296.10000000000002</v>
      </c>
      <c r="C1770" s="116">
        <v>291.75</v>
      </c>
      <c r="D1770" s="116">
        <v>287.8</v>
      </c>
      <c r="E1770" s="116">
        <v>295.10000000000002</v>
      </c>
      <c r="F1770" s="116">
        <v>291.75</v>
      </c>
      <c r="G1770">
        <v>2890</v>
      </c>
      <c r="H1770" s="116"/>
      <c r="I1770" s="116"/>
      <c r="L1770" s="169">
        <v>44609</v>
      </c>
      <c r="M1770" s="116">
        <v>354.4</v>
      </c>
      <c r="N1770" s="116">
        <v>372</v>
      </c>
      <c r="O1770" s="116">
        <v>351.75</v>
      </c>
      <c r="P1770" s="116">
        <v>372</v>
      </c>
      <c r="Q1770" s="116">
        <v>354.4</v>
      </c>
      <c r="R1770">
        <v>13251</v>
      </c>
    </row>
    <row r="1771" spans="1:18" x14ac:dyDescent="0.25">
      <c r="A1771" s="169">
        <v>44645</v>
      </c>
      <c r="B1771" s="116">
        <v>300</v>
      </c>
      <c r="C1771" s="116">
        <v>285.75</v>
      </c>
      <c r="D1771" s="116">
        <v>285</v>
      </c>
      <c r="E1771" s="116">
        <v>299.95</v>
      </c>
      <c r="F1771" s="116">
        <v>285.75</v>
      </c>
      <c r="G1771">
        <v>1773</v>
      </c>
      <c r="H1771" s="116"/>
      <c r="I1771" s="116"/>
      <c r="L1771" s="169">
        <v>44610</v>
      </c>
      <c r="M1771" s="116">
        <v>344.2</v>
      </c>
      <c r="N1771" s="116">
        <v>355.55</v>
      </c>
      <c r="O1771" s="116">
        <v>341.1</v>
      </c>
      <c r="P1771" s="116">
        <v>348.2</v>
      </c>
      <c r="Q1771" s="116">
        <v>344.2</v>
      </c>
      <c r="R1771">
        <v>17685</v>
      </c>
    </row>
    <row r="1772" spans="1:18" x14ac:dyDescent="0.25">
      <c r="A1772" s="169">
        <v>44648</v>
      </c>
      <c r="B1772" s="116">
        <v>284</v>
      </c>
      <c r="C1772" s="116">
        <v>269.25</v>
      </c>
      <c r="D1772" s="116">
        <v>265.2</v>
      </c>
      <c r="E1772" s="116">
        <v>283.64999999999998</v>
      </c>
      <c r="F1772" s="116">
        <v>269.25</v>
      </c>
      <c r="G1772">
        <v>3491</v>
      </c>
      <c r="H1772" s="116"/>
      <c r="I1772" s="116"/>
      <c r="L1772" s="169">
        <v>44613</v>
      </c>
      <c r="M1772" s="116">
        <v>317.55</v>
      </c>
      <c r="N1772" s="116">
        <v>337.35</v>
      </c>
      <c r="O1772" s="116">
        <v>292.3</v>
      </c>
      <c r="P1772" s="116">
        <v>334.5</v>
      </c>
      <c r="Q1772" s="116">
        <v>317.55</v>
      </c>
      <c r="R1772">
        <v>77408</v>
      </c>
    </row>
    <row r="1773" spans="1:18" x14ac:dyDescent="0.25">
      <c r="A1773" s="169">
        <v>44649</v>
      </c>
      <c r="B1773" s="116">
        <v>282.05</v>
      </c>
      <c r="C1773" s="116">
        <v>273.14999999999998</v>
      </c>
      <c r="D1773" s="116">
        <v>266.14999999999998</v>
      </c>
      <c r="E1773" s="116">
        <v>270.75</v>
      </c>
      <c r="F1773" s="116">
        <v>273.14999999999998</v>
      </c>
      <c r="G1773">
        <v>4952</v>
      </c>
      <c r="H1773" s="116"/>
      <c r="I1773" s="116"/>
      <c r="L1773" s="169">
        <v>44614</v>
      </c>
      <c r="M1773" s="116">
        <v>301.3</v>
      </c>
      <c r="N1773" s="116">
        <v>316.89999999999998</v>
      </c>
      <c r="O1773" s="116">
        <v>296.2</v>
      </c>
      <c r="P1773" s="116">
        <v>305.35000000000002</v>
      </c>
      <c r="Q1773" s="116">
        <v>301.3</v>
      </c>
      <c r="R1773">
        <v>32118</v>
      </c>
    </row>
    <row r="1774" spans="1:18" x14ac:dyDescent="0.25">
      <c r="A1774" s="169">
        <v>44650</v>
      </c>
      <c r="B1774" s="116">
        <v>284</v>
      </c>
      <c r="C1774" s="116">
        <v>273.8</v>
      </c>
      <c r="D1774" s="116">
        <v>271.8</v>
      </c>
      <c r="E1774" s="116">
        <v>280</v>
      </c>
      <c r="F1774" s="116">
        <v>273.8</v>
      </c>
      <c r="G1774">
        <v>761</v>
      </c>
      <c r="H1774" s="116"/>
      <c r="I1774" s="116"/>
      <c r="L1774" s="169">
        <v>44615</v>
      </c>
      <c r="M1774" s="116">
        <v>318.85000000000002</v>
      </c>
      <c r="N1774" s="116">
        <v>339</v>
      </c>
      <c r="O1774" s="116">
        <v>305</v>
      </c>
      <c r="P1774" s="116">
        <v>307.85000000000002</v>
      </c>
      <c r="Q1774" s="116">
        <v>318.85000000000002</v>
      </c>
      <c r="R1774">
        <v>46064</v>
      </c>
    </row>
    <row r="1775" spans="1:18" x14ac:dyDescent="0.25">
      <c r="A1775" s="169">
        <v>44651</v>
      </c>
      <c r="B1775" s="116">
        <v>279.05</v>
      </c>
      <c r="C1775" s="116">
        <v>258.45</v>
      </c>
      <c r="D1775" s="116">
        <v>257.25</v>
      </c>
      <c r="E1775" s="116">
        <v>279</v>
      </c>
      <c r="F1775" s="116">
        <v>258.45</v>
      </c>
      <c r="G1775">
        <v>4188</v>
      </c>
      <c r="H1775" s="116"/>
      <c r="I1775" s="116"/>
      <c r="L1775" s="169">
        <v>44616</v>
      </c>
      <c r="M1775" s="116">
        <v>289.89999999999998</v>
      </c>
      <c r="N1775" s="116">
        <v>310</v>
      </c>
      <c r="O1775" s="116">
        <v>272.85000000000002</v>
      </c>
      <c r="P1775" s="116">
        <v>303.60000000000002</v>
      </c>
      <c r="Q1775" s="116">
        <v>289.89999999999998</v>
      </c>
      <c r="R1775">
        <v>34495</v>
      </c>
    </row>
    <row r="1776" spans="1:18" x14ac:dyDescent="0.25">
      <c r="A1776" s="169">
        <v>44652</v>
      </c>
      <c r="B1776" s="116">
        <v>297.35000000000002</v>
      </c>
      <c r="C1776" s="116">
        <v>289.39999999999998</v>
      </c>
      <c r="D1776" s="116">
        <v>255</v>
      </c>
      <c r="E1776" s="116">
        <v>258</v>
      </c>
      <c r="F1776" s="116">
        <v>289.39999999999998</v>
      </c>
      <c r="G1776">
        <v>9791</v>
      </c>
      <c r="H1776" s="116"/>
      <c r="I1776" s="116"/>
      <c r="L1776" s="169">
        <v>44617</v>
      </c>
      <c r="M1776" s="116">
        <v>309.60000000000002</v>
      </c>
      <c r="N1776" s="116">
        <v>326.2</v>
      </c>
      <c r="O1776" s="116">
        <v>301.2</v>
      </c>
      <c r="P1776" s="116">
        <v>309</v>
      </c>
      <c r="Q1776" s="116">
        <v>309.60000000000002</v>
      </c>
      <c r="R1776">
        <v>37423</v>
      </c>
    </row>
    <row r="1777" spans="1:18" x14ac:dyDescent="0.25">
      <c r="A1777" s="169">
        <v>44655</v>
      </c>
      <c r="B1777" s="116">
        <v>298.5</v>
      </c>
      <c r="C1777" s="116">
        <v>291.64999999999998</v>
      </c>
      <c r="D1777" s="116">
        <v>281.60000000000002</v>
      </c>
      <c r="E1777" s="116">
        <v>281.60000000000002</v>
      </c>
      <c r="F1777" s="116">
        <v>291.64999999999998</v>
      </c>
      <c r="G1777">
        <v>8773</v>
      </c>
      <c r="H1777" s="116"/>
      <c r="I1777" s="116"/>
      <c r="L1777" s="169">
        <v>44620</v>
      </c>
      <c r="M1777" s="116">
        <v>305.05</v>
      </c>
      <c r="N1777" s="116">
        <v>309.7</v>
      </c>
      <c r="O1777" s="116">
        <v>295</v>
      </c>
      <c r="P1777" s="116">
        <v>295</v>
      </c>
      <c r="Q1777" s="116">
        <v>305.05</v>
      </c>
      <c r="R1777">
        <v>17476</v>
      </c>
    </row>
    <row r="1778" spans="1:18" x14ac:dyDescent="0.25">
      <c r="A1778" s="169">
        <v>44656</v>
      </c>
      <c r="B1778" s="116">
        <v>319</v>
      </c>
      <c r="C1778" s="116">
        <v>309.8</v>
      </c>
      <c r="D1778" s="116">
        <v>291</v>
      </c>
      <c r="E1778" s="116">
        <v>291</v>
      </c>
      <c r="F1778" s="116">
        <v>309.8</v>
      </c>
      <c r="G1778">
        <v>7308</v>
      </c>
      <c r="H1778" s="116"/>
      <c r="I1778" s="116"/>
      <c r="L1778" s="169">
        <v>44622</v>
      </c>
      <c r="M1778" s="116">
        <v>305.75</v>
      </c>
      <c r="N1778" s="116">
        <v>312.35000000000002</v>
      </c>
      <c r="O1778" s="116">
        <v>303</v>
      </c>
      <c r="P1778" s="116">
        <v>303.89999999999998</v>
      </c>
      <c r="Q1778" s="116">
        <v>305.75</v>
      </c>
      <c r="R1778">
        <v>14066</v>
      </c>
    </row>
    <row r="1779" spans="1:18" x14ac:dyDescent="0.25">
      <c r="A1779" s="169">
        <v>44657</v>
      </c>
      <c r="B1779" s="116">
        <v>318</v>
      </c>
      <c r="C1779" s="116">
        <v>307.39999999999998</v>
      </c>
      <c r="D1779" s="116">
        <v>302.5</v>
      </c>
      <c r="E1779" s="116">
        <v>311.89999999999998</v>
      </c>
      <c r="F1779" s="116">
        <v>307.39999999999998</v>
      </c>
      <c r="G1779">
        <v>4145</v>
      </c>
      <c r="H1779" s="116"/>
      <c r="I1779" s="116"/>
      <c r="L1779" s="169">
        <v>44623</v>
      </c>
      <c r="M1779" s="116">
        <v>306.25</v>
      </c>
      <c r="N1779" s="116">
        <v>319.3</v>
      </c>
      <c r="O1779" s="116">
        <v>302</v>
      </c>
      <c r="P1779" s="116">
        <v>314</v>
      </c>
      <c r="Q1779" s="116">
        <v>306.25</v>
      </c>
      <c r="R1779">
        <v>14182</v>
      </c>
    </row>
    <row r="1780" spans="1:18" x14ac:dyDescent="0.25">
      <c r="A1780" s="169">
        <v>44658</v>
      </c>
      <c r="B1780" s="116">
        <v>313.55</v>
      </c>
      <c r="C1780" s="116">
        <v>306.39999999999998</v>
      </c>
      <c r="D1780" s="116">
        <v>296.14999999999998</v>
      </c>
      <c r="E1780" s="116">
        <v>313.55</v>
      </c>
      <c r="F1780" s="116">
        <v>306.39999999999998</v>
      </c>
      <c r="G1780">
        <v>4330</v>
      </c>
      <c r="H1780" s="116"/>
      <c r="I1780" s="116"/>
      <c r="L1780" s="169">
        <v>44624</v>
      </c>
      <c r="M1780" s="116">
        <v>294.95</v>
      </c>
      <c r="N1780" s="116">
        <v>308.5</v>
      </c>
      <c r="O1780" s="116">
        <v>293.5</v>
      </c>
      <c r="P1780" s="116">
        <v>306</v>
      </c>
      <c r="Q1780" s="116">
        <v>294.95</v>
      </c>
      <c r="R1780">
        <v>20537</v>
      </c>
    </row>
    <row r="1781" spans="1:18" x14ac:dyDescent="0.25">
      <c r="A1781" s="169">
        <v>44659</v>
      </c>
      <c r="B1781" s="116">
        <v>309.39999999999998</v>
      </c>
      <c r="C1781" s="116">
        <v>307.95</v>
      </c>
      <c r="D1781" s="116">
        <v>301.8</v>
      </c>
      <c r="E1781" s="116">
        <v>306.7</v>
      </c>
      <c r="F1781" s="116">
        <v>307.95</v>
      </c>
      <c r="G1781">
        <v>697</v>
      </c>
      <c r="H1781" s="116"/>
      <c r="I1781" s="116"/>
      <c r="L1781" s="169">
        <v>44627</v>
      </c>
      <c r="M1781" s="116">
        <v>289.64999999999998</v>
      </c>
      <c r="N1781" s="116">
        <v>295</v>
      </c>
      <c r="O1781" s="116">
        <v>281</v>
      </c>
      <c r="P1781" s="116">
        <v>281</v>
      </c>
      <c r="Q1781" s="116">
        <v>289.64999999999998</v>
      </c>
      <c r="R1781">
        <v>19127</v>
      </c>
    </row>
    <row r="1782" spans="1:18" x14ac:dyDescent="0.25">
      <c r="A1782" s="169">
        <v>44662</v>
      </c>
      <c r="B1782" s="116">
        <v>320</v>
      </c>
      <c r="C1782" s="116">
        <v>317.05</v>
      </c>
      <c r="D1782" s="116">
        <v>306.25</v>
      </c>
      <c r="E1782" s="116">
        <v>306.5</v>
      </c>
      <c r="F1782" s="116">
        <v>317.05</v>
      </c>
      <c r="G1782">
        <v>9820</v>
      </c>
      <c r="H1782" s="116"/>
      <c r="I1782" s="116"/>
      <c r="L1782" s="169">
        <v>44628</v>
      </c>
      <c r="M1782" s="116">
        <v>291.5</v>
      </c>
      <c r="N1782" s="116">
        <v>299.89999999999998</v>
      </c>
      <c r="O1782" s="116">
        <v>284</v>
      </c>
      <c r="P1782" s="116">
        <v>290.05</v>
      </c>
      <c r="Q1782" s="116">
        <v>291.5</v>
      </c>
      <c r="R1782">
        <v>24244</v>
      </c>
    </row>
    <row r="1783" spans="1:18" x14ac:dyDescent="0.25">
      <c r="A1783" s="169">
        <v>44663</v>
      </c>
      <c r="B1783" s="116">
        <v>324.95</v>
      </c>
      <c r="C1783" s="116">
        <v>321.39999999999998</v>
      </c>
      <c r="D1783" s="116">
        <v>307.55</v>
      </c>
      <c r="E1783" s="116">
        <v>317.39999999999998</v>
      </c>
      <c r="F1783" s="116">
        <v>321.39999999999998</v>
      </c>
      <c r="G1783">
        <v>2414</v>
      </c>
      <c r="H1783" s="116"/>
      <c r="I1783" s="116"/>
      <c r="L1783" s="169">
        <v>44629</v>
      </c>
      <c r="M1783" s="116">
        <v>307.85000000000002</v>
      </c>
      <c r="N1783" s="116">
        <v>310</v>
      </c>
      <c r="O1783" s="116">
        <v>292.55</v>
      </c>
      <c r="P1783" s="116">
        <v>294.39999999999998</v>
      </c>
      <c r="Q1783" s="116">
        <v>307.85000000000002</v>
      </c>
      <c r="R1783">
        <v>32592</v>
      </c>
    </row>
    <row r="1784" spans="1:18" x14ac:dyDescent="0.25">
      <c r="A1784" s="169">
        <v>44664</v>
      </c>
      <c r="B1784" s="116">
        <v>345.9</v>
      </c>
      <c r="C1784" s="116">
        <v>343.5</v>
      </c>
      <c r="D1784" s="116">
        <v>325.7</v>
      </c>
      <c r="E1784" s="116">
        <v>331.9</v>
      </c>
      <c r="F1784" s="116">
        <v>343.5</v>
      </c>
      <c r="G1784">
        <v>6101</v>
      </c>
      <c r="H1784" s="116"/>
      <c r="I1784" s="116"/>
      <c r="L1784" s="169">
        <v>44630</v>
      </c>
      <c r="M1784" s="116">
        <v>316.05</v>
      </c>
      <c r="N1784" s="116">
        <v>328</v>
      </c>
      <c r="O1784" s="116">
        <v>312.05</v>
      </c>
      <c r="P1784" s="116">
        <v>328</v>
      </c>
      <c r="Q1784" s="116">
        <v>316.05</v>
      </c>
      <c r="R1784">
        <v>32883</v>
      </c>
    </row>
    <row r="1785" spans="1:18" x14ac:dyDescent="0.25">
      <c r="A1785" s="169">
        <v>44669</v>
      </c>
      <c r="B1785" s="116">
        <v>365.25</v>
      </c>
      <c r="C1785" s="116">
        <v>360.8</v>
      </c>
      <c r="D1785" s="116">
        <v>339</v>
      </c>
      <c r="E1785" s="116">
        <v>347.7</v>
      </c>
      <c r="F1785" s="116">
        <v>360.8</v>
      </c>
      <c r="G1785">
        <v>21155</v>
      </c>
      <c r="H1785" s="116"/>
      <c r="I1785" s="116"/>
      <c r="L1785" s="169">
        <v>44631</v>
      </c>
      <c r="M1785" s="116">
        <v>308.89999999999998</v>
      </c>
      <c r="N1785" s="116">
        <v>320.35000000000002</v>
      </c>
      <c r="O1785" s="116">
        <v>306.10000000000002</v>
      </c>
      <c r="P1785" s="116">
        <v>314</v>
      </c>
      <c r="Q1785" s="116">
        <v>308.89999999999998</v>
      </c>
      <c r="R1785">
        <v>17566</v>
      </c>
    </row>
    <row r="1786" spans="1:18" x14ac:dyDescent="0.25">
      <c r="A1786" s="169">
        <v>44670</v>
      </c>
      <c r="B1786" s="116">
        <v>371.15</v>
      </c>
      <c r="C1786" s="116">
        <v>348.35</v>
      </c>
      <c r="D1786" s="116">
        <v>336.6</v>
      </c>
      <c r="E1786" s="116">
        <v>364</v>
      </c>
      <c r="F1786" s="116">
        <v>348.35</v>
      </c>
      <c r="G1786">
        <v>4007</v>
      </c>
      <c r="H1786" s="116"/>
      <c r="I1786" s="116"/>
      <c r="L1786" s="169">
        <v>44634</v>
      </c>
      <c r="M1786" s="116">
        <v>302.60000000000002</v>
      </c>
      <c r="N1786" s="116">
        <v>317.39999999999998</v>
      </c>
      <c r="O1786" s="116">
        <v>300.85000000000002</v>
      </c>
      <c r="P1786" s="116">
        <v>317.39999999999998</v>
      </c>
      <c r="Q1786" s="116">
        <v>302.60000000000002</v>
      </c>
      <c r="R1786">
        <v>49803</v>
      </c>
    </row>
    <row r="1787" spans="1:18" x14ac:dyDescent="0.25">
      <c r="A1787" s="169">
        <v>44671</v>
      </c>
      <c r="B1787" s="116">
        <v>362.05</v>
      </c>
      <c r="C1787" s="116">
        <v>357.65</v>
      </c>
      <c r="D1787" s="116">
        <v>345.8</v>
      </c>
      <c r="E1787" s="116">
        <v>354.3</v>
      </c>
      <c r="F1787" s="116">
        <v>357.65</v>
      </c>
      <c r="G1787">
        <v>7548</v>
      </c>
      <c r="H1787" s="116"/>
      <c r="I1787" s="116"/>
      <c r="L1787" s="169">
        <v>44635</v>
      </c>
      <c r="M1787" s="116">
        <v>297.8</v>
      </c>
      <c r="N1787" s="116">
        <v>307.95</v>
      </c>
      <c r="O1787" s="116">
        <v>291.39999999999998</v>
      </c>
      <c r="P1787" s="116">
        <v>302.2</v>
      </c>
      <c r="Q1787" s="116">
        <v>297.8</v>
      </c>
      <c r="R1787">
        <v>20947</v>
      </c>
    </row>
    <row r="1788" spans="1:18" x14ac:dyDescent="0.25">
      <c r="A1788" s="169">
        <v>44672</v>
      </c>
      <c r="B1788" s="116">
        <v>369.9</v>
      </c>
      <c r="C1788" s="116">
        <v>354.45</v>
      </c>
      <c r="D1788" s="116">
        <v>352.8</v>
      </c>
      <c r="E1788" s="116">
        <v>369.9</v>
      </c>
      <c r="F1788" s="116">
        <v>354.45</v>
      </c>
      <c r="G1788">
        <v>5079</v>
      </c>
      <c r="H1788" s="116"/>
      <c r="I1788" s="116"/>
      <c r="L1788" s="169">
        <v>44636</v>
      </c>
      <c r="M1788" s="116">
        <v>304.60000000000002</v>
      </c>
      <c r="N1788" s="116">
        <v>307.89999999999998</v>
      </c>
      <c r="O1788" s="116">
        <v>296.10000000000002</v>
      </c>
      <c r="P1788" s="116">
        <v>307.89999999999998</v>
      </c>
      <c r="Q1788" s="116">
        <v>304.60000000000002</v>
      </c>
      <c r="R1788">
        <v>17339</v>
      </c>
    </row>
    <row r="1789" spans="1:18" x14ac:dyDescent="0.25">
      <c r="A1789" s="169">
        <v>44673</v>
      </c>
      <c r="B1789" s="116">
        <v>355</v>
      </c>
      <c r="C1789" s="116">
        <v>345.3</v>
      </c>
      <c r="D1789" s="116">
        <v>343</v>
      </c>
      <c r="E1789" s="116">
        <v>348.3</v>
      </c>
      <c r="F1789" s="116">
        <v>345.3</v>
      </c>
      <c r="G1789">
        <v>2220</v>
      </c>
      <c r="H1789" s="116"/>
      <c r="I1789" s="116"/>
      <c r="L1789" s="169">
        <v>44637</v>
      </c>
      <c r="M1789" s="116">
        <v>312.89999999999998</v>
      </c>
      <c r="N1789" s="116">
        <v>320.14999999999998</v>
      </c>
      <c r="O1789" s="116">
        <v>303.8</v>
      </c>
      <c r="P1789" s="116">
        <v>307.35000000000002</v>
      </c>
      <c r="Q1789" s="116">
        <v>312.89999999999998</v>
      </c>
      <c r="R1789">
        <v>46602</v>
      </c>
    </row>
    <row r="1790" spans="1:18" x14ac:dyDescent="0.25">
      <c r="A1790" s="169">
        <v>44676</v>
      </c>
      <c r="B1790" s="116">
        <v>350</v>
      </c>
      <c r="C1790" s="116">
        <v>330.6</v>
      </c>
      <c r="D1790" s="116">
        <v>321.05</v>
      </c>
      <c r="E1790" s="116">
        <v>332.15</v>
      </c>
      <c r="F1790" s="116">
        <v>330.6</v>
      </c>
      <c r="G1790">
        <v>6509</v>
      </c>
      <c r="H1790" s="116"/>
      <c r="I1790" s="116"/>
      <c r="L1790" s="169">
        <v>44641</v>
      </c>
      <c r="M1790" s="116">
        <v>307.64999999999998</v>
      </c>
      <c r="N1790" s="116">
        <v>321</v>
      </c>
      <c r="O1790" s="116">
        <v>305.25</v>
      </c>
      <c r="P1790" s="116">
        <v>308</v>
      </c>
      <c r="Q1790" s="116">
        <v>307.64999999999998</v>
      </c>
      <c r="R1790">
        <v>21360</v>
      </c>
    </row>
    <row r="1791" spans="1:18" x14ac:dyDescent="0.25">
      <c r="A1791" s="169">
        <v>44677</v>
      </c>
      <c r="B1791" s="116">
        <v>396.7</v>
      </c>
      <c r="C1791" s="116">
        <v>383.2</v>
      </c>
      <c r="D1791" s="116">
        <v>330.35</v>
      </c>
      <c r="E1791" s="116">
        <v>331.8</v>
      </c>
      <c r="F1791" s="116">
        <v>383.2</v>
      </c>
      <c r="G1791">
        <v>23528</v>
      </c>
      <c r="H1791" s="116"/>
      <c r="I1791" s="116"/>
      <c r="L1791" s="169">
        <v>44642</v>
      </c>
      <c r="M1791" s="116">
        <v>301.95</v>
      </c>
      <c r="N1791" s="116">
        <v>310.89999999999998</v>
      </c>
      <c r="O1791" s="116">
        <v>300.10000000000002</v>
      </c>
      <c r="P1791" s="116">
        <v>310.89999999999998</v>
      </c>
      <c r="Q1791" s="116">
        <v>301.95</v>
      </c>
      <c r="R1791">
        <v>27032</v>
      </c>
    </row>
    <row r="1792" spans="1:18" x14ac:dyDescent="0.25">
      <c r="A1792" s="169">
        <v>44678</v>
      </c>
      <c r="B1792" s="116">
        <v>381</v>
      </c>
      <c r="C1792" s="116">
        <v>377.6</v>
      </c>
      <c r="D1792" s="116">
        <v>360</v>
      </c>
      <c r="E1792" s="116">
        <v>378</v>
      </c>
      <c r="F1792" s="116">
        <v>377.6</v>
      </c>
      <c r="G1792">
        <v>23367</v>
      </c>
      <c r="H1792" s="116"/>
      <c r="I1792" s="116"/>
      <c r="L1792" s="169">
        <v>44643</v>
      </c>
      <c r="M1792" s="116">
        <v>299.75</v>
      </c>
      <c r="N1792" s="116">
        <v>306.7</v>
      </c>
      <c r="O1792" s="116">
        <v>297.10000000000002</v>
      </c>
      <c r="P1792" s="116">
        <v>300.05</v>
      </c>
      <c r="Q1792" s="116">
        <v>299.75</v>
      </c>
      <c r="R1792">
        <v>18608</v>
      </c>
    </row>
    <row r="1793" spans="1:18" x14ac:dyDescent="0.25">
      <c r="A1793" s="169">
        <v>44679</v>
      </c>
      <c r="B1793" s="116">
        <v>422</v>
      </c>
      <c r="C1793" s="116">
        <v>387.65</v>
      </c>
      <c r="D1793" s="116">
        <v>370</v>
      </c>
      <c r="E1793" s="116">
        <v>370</v>
      </c>
      <c r="F1793" s="116">
        <v>387.65</v>
      </c>
      <c r="G1793">
        <v>58356</v>
      </c>
      <c r="H1793" s="116"/>
      <c r="I1793" s="116"/>
      <c r="L1793" s="169">
        <v>44644</v>
      </c>
      <c r="M1793" s="116">
        <v>292.05</v>
      </c>
      <c r="N1793" s="116">
        <v>299.7</v>
      </c>
      <c r="O1793" s="116">
        <v>288.75</v>
      </c>
      <c r="P1793" s="116">
        <v>298.60000000000002</v>
      </c>
      <c r="Q1793" s="116">
        <v>292.05</v>
      </c>
      <c r="R1793">
        <v>41767</v>
      </c>
    </row>
    <row r="1794" spans="1:18" x14ac:dyDescent="0.25">
      <c r="A1794" s="169">
        <v>44680</v>
      </c>
      <c r="B1794" s="116">
        <v>391.85</v>
      </c>
      <c r="C1794" s="116">
        <v>386.45</v>
      </c>
      <c r="D1794" s="116">
        <v>378.45</v>
      </c>
      <c r="E1794" s="116">
        <v>386.9</v>
      </c>
      <c r="F1794" s="116">
        <v>386.45</v>
      </c>
      <c r="G1794">
        <v>12426</v>
      </c>
      <c r="H1794" s="116"/>
      <c r="I1794" s="116"/>
      <c r="L1794" s="169">
        <v>44645</v>
      </c>
      <c r="M1794" s="116">
        <v>287.14999999999998</v>
      </c>
      <c r="N1794" s="116">
        <v>301.55</v>
      </c>
      <c r="O1794" s="116">
        <v>283.64999999999998</v>
      </c>
      <c r="P1794" s="116">
        <v>299.7</v>
      </c>
      <c r="Q1794" s="116">
        <v>287.14999999999998</v>
      </c>
      <c r="R1794">
        <v>35437</v>
      </c>
    </row>
    <row r="1795" spans="1:18" x14ac:dyDescent="0.25">
      <c r="A1795" s="169">
        <v>44683</v>
      </c>
      <c r="B1795" s="116">
        <v>399.7</v>
      </c>
      <c r="C1795" s="116">
        <v>375</v>
      </c>
      <c r="D1795" s="116">
        <v>370.1</v>
      </c>
      <c r="E1795" s="116">
        <v>371</v>
      </c>
      <c r="F1795" s="116">
        <v>375</v>
      </c>
      <c r="G1795">
        <v>33307</v>
      </c>
      <c r="H1795" s="116"/>
      <c r="I1795" s="116"/>
      <c r="L1795" s="169">
        <v>44648</v>
      </c>
      <c r="M1795" s="116">
        <v>268.39999999999998</v>
      </c>
      <c r="N1795" s="116">
        <v>289.25</v>
      </c>
      <c r="O1795" s="116">
        <v>260.10000000000002</v>
      </c>
      <c r="P1795" s="116">
        <v>287</v>
      </c>
      <c r="Q1795" s="116">
        <v>268.39999999999998</v>
      </c>
      <c r="R1795">
        <v>60174</v>
      </c>
    </row>
    <row r="1796" spans="1:18" x14ac:dyDescent="0.25">
      <c r="A1796" s="169">
        <v>44685</v>
      </c>
      <c r="B1796" s="116">
        <v>379.2</v>
      </c>
      <c r="C1796" s="116">
        <v>343.65</v>
      </c>
      <c r="D1796" s="116">
        <v>338.8</v>
      </c>
      <c r="E1796" s="116">
        <v>370</v>
      </c>
      <c r="F1796" s="116">
        <v>343.65</v>
      </c>
      <c r="G1796">
        <v>22673</v>
      </c>
      <c r="H1796" s="116"/>
      <c r="I1796" s="116"/>
      <c r="L1796" s="169">
        <v>44649</v>
      </c>
      <c r="M1796" s="116">
        <v>274.85000000000002</v>
      </c>
      <c r="N1796" s="116">
        <v>281.95</v>
      </c>
      <c r="O1796" s="116">
        <v>266</v>
      </c>
      <c r="P1796" s="116">
        <v>266</v>
      </c>
      <c r="Q1796" s="116">
        <v>274.85000000000002</v>
      </c>
      <c r="R1796">
        <v>48131</v>
      </c>
    </row>
    <row r="1797" spans="1:18" x14ac:dyDescent="0.25">
      <c r="A1797" s="169">
        <v>44686</v>
      </c>
      <c r="B1797" s="116">
        <v>372</v>
      </c>
      <c r="C1797" s="116">
        <v>352.25</v>
      </c>
      <c r="D1797" s="116">
        <v>346.7</v>
      </c>
      <c r="E1797" s="116">
        <v>354.05</v>
      </c>
      <c r="F1797" s="116">
        <v>352.25</v>
      </c>
      <c r="G1797">
        <v>16825</v>
      </c>
      <c r="H1797" s="116"/>
      <c r="I1797" s="116"/>
      <c r="L1797" s="169">
        <v>44650</v>
      </c>
      <c r="M1797" s="116">
        <v>274.95</v>
      </c>
      <c r="N1797" s="116">
        <v>286.2</v>
      </c>
      <c r="O1797" s="116">
        <v>273</v>
      </c>
      <c r="P1797" s="116">
        <v>286</v>
      </c>
      <c r="Q1797" s="116">
        <v>274.95</v>
      </c>
      <c r="R1797">
        <v>25750</v>
      </c>
    </row>
    <row r="1798" spans="1:18" x14ac:dyDescent="0.25">
      <c r="A1798" s="169">
        <v>44687</v>
      </c>
      <c r="B1798" s="116">
        <v>347.15</v>
      </c>
      <c r="C1798" s="116">
        <v>337.4</v>
      </c>
      <c r="D1798" s="116">
        <v>328.85</v>
      </c>
      <c r="E1798" s="116">
        <v>328.85</v>
      </c>
      <c r="F1798" s="116">
        <v>337.4</v>
      </c>
      <c r="G1798">
        <v>8146</v>
      </c>
      <c r="H1798" s="116"/>
      <c r="I1798" s="116"/>
      <c r="L1798" s="169">
        <v>44651</v>
      </c>
      <c r="M1798" s="116">
        <v>258.95</v>
      </c>
      <c r="N1798" s="116">
        <v>283.25</v>
      </c>
      <c r="O1798" s="116">
        <v>254.3</v>
      </c>
      <c r="P1798" s="116">
        <v>283.25</v>
      </c>
      <c r="Q1798" s="116">
        <v>258.95</v>
      </c>
      <c r="R1798">
        <v>63500</v>
      </c>
    </row>
    <row r="1799" spans="1:18" x14ac:dyDescent="0.25">
      <c r="A1799" s="169">
        <v>44690</v>
      </c>
      <c r="B1799" s="116">
        <v>329.4</v>
      </c>
      <c r="C1799" s="116">
        <v>322.3</v>
      </c>
      <c r="D1799" s="116">
        <v>318.60000000000002</v>
      </c>
      <c r="E1799" s="116">
        <v>328.8</v>
      </c>
      <c r="F1799" s="116">
        <v>322.3</v>
      </c>
      <c r="G1799">
        <v>9774</v>
      </c>
      <c r="H1799" s="116"/>
      <c r="I1799" s="116"/>
      <c r="L1799" s="169">
        <v>44652</v>
      </c>
      <c r="M1799" s="116">
        <v>288.95</v>
      </c>
      <c r="N1799" s="116">
        <v>298.7</v>
      </c>
      <c r="O1799" s="116">
        <v>262.45</v>
      </c>
      <c r="P1799" s="116">
        <v>263.10000000000002</v>
      </c>
      <c r="Q1799" s="116">
        <v>288.95</v>
      </c>
      <c r="R1799">
        <v>116516</v>
      </c>
    </row>
    <row r="1800" spans="1:18" x14ac:dyDescent="0.25">
      <c r="A1800" s="169">
        <v>44691</v>
      </c>
      <c r="B1800" s="116">
        <v>329.4</v>
      </c>
      <c r="C1800" s="116">
        <v>302</v>
      </c>
      <c r="D1800" s="116">
        <v>292</v>
      </c>
      <c r="E1800" s="116">
        <v>329.1</v>
      </c>
      <c r="F1800" s="116">
        <v>302</v>
      </c>
      <c r="G1800">
        <v>10386</v>
      </c>
      <c r="H1800" s="116"/>
      <c r="I1800" s="116"/>
      <c r="L1800" s="169">
        <v>44655</v>
      </c>
      <c r="M1800" s="116">
        <v>290.75</v>
      </c>
      <c r="N1800" s="116">
        <v>295.64999999999998</v>
      </c>
      <c r="O1800" s="116">
        <v>289</v>
      </c>
      <c r="P1800" s="116">
        <v>290</v>
      </c>
      <c r="Q1800" s="116">
        <v>290.75</v>
      </c>
      <c r="R1800">
        <v>32560</v>
      </c>
    </row>
    <row r="1801" spans="1:18" x14ac:dyDescent="0.25">
      <c r="A1801" s="169">
        <v>44692</v>
      </c>
      <c r="B1801" s="116">
        <v>311.8</v>
      </c>
      <c r="C1801" s="116">
        <v>292.95</v>
      </c>
      <c r="D1801" s="116">
        <v>274.25</v>
      </c>
      <c r="E1801" s="116">
        <v>303.55</v>
      </c>
      <c r="F1801" s="116">
        <v>292.95</v>
      </c>
      <c r="G1801">
        <v>12028</v>
      </c>
      <c r="H1801" s="116"/>
      <c r="I1801" s="116"/>
      <c r="L1801" s="169">
        <v>44656</v>
      </c>
      <c r="M1801" s="116">
        <v>309.2</v>
      </c>
      <c r="N1801" s="116">
        <v>319</v>
      </c>
      <c r="O1801" s="116">
        <v>294.39999999999998</v>
      </c>
      <c r="P1801" s="116">
        <v>297</v>
      </c>
      <c r="Q1801" s="116">
        <v>309.2</v>
      </c>
      <c r="R1801">
        <v>67268</v>
      </c>
    </row>
    <row r="1802" spans="1:18" x14ac:dyDescent="0.25">
      <c r="A1802" s="169">
        <v>44693</v>
      </c>
      <c r="B1802" s="116">
        <v>289.5</v>
      </c>
      <c r="C1802" s="116">
        <v>282.75</v>
      </c>
      <c r="D1802" s="116">
        <v>276</v>
      </c>
      <c r="E1802" s="116">
        <v>276</v>
      </c>
      <c r="F1802" s="116">
        <v>282.75</v>
      </c>
      <c r="G1802">
        <v>5706</v>
      </c>
      <c r="H1802" s="116"/>
      <c r="I1802" s="116"/>
      <c r="L1802" s="169">
        <v>44657</v>
      </c>
      <c r="M1802" s="116">
        <v>305.39999999999998</v>
      </c>
      <c r="N1802" s="116">
        <v>318.5</v>
      </c>
      <c r="O1802" s="116">
        <v>300</v>
      </c>
      <c r="P1802" s="116">
        <v>318.5</v>
      </c>
      <c r="Q1802" s="116">
        <v>305.39999999999998</v>
      </c>
      <c r="R1802">
        <v>67921</v>
      </c>
    </row>
    <row r="1803" spans="1:18" x14ac:dyDescent="0.25">
      <c r="A1803" s="169">
        <v>44694</v>
      </c>
      <c r="B1803" s="116">
        <v>306.89999999999998</v>
      </c>
      <c r="C1803" s="116">
        <v>296.55</v>
      </c>
      <c r="D1803" s="116">
        <v>289.64999999999998</v>
      </c>
      <c r="E1803" s="116">
        <v>297.89999999999998</v>
      </c>
      <c r="F1803" s="116">
        <v>296.55</v>
      </c>
      <c r="G1803">
        <v>4706</v>
      </c>
      <c r="H1803" s="116"/>
      <c r="I1803" s="116"/>
      <c r="L1803" s="169">
        <v>44658</v>
      </c>
      <c r="M1803" s="116">
        <v>307.05</v>
      </c>
      <c r="N1803" s="116">
        <v>311.95</v>
      </c>
      <c r="O1803" s="116">
        <v>302.39999999999998</v>
      </c>
      <c r="P1803" s="116">
        <v>311.95</v>
      </c>
      <c r="Q1803" s="116">
        <v>307.05</v>
      </c>
      <c r="R1803">
        <v>32572</v>
      </c>
    </row>
    <row r="1804" spans="1:18" x14ac:dyDescent="0.25">
      <c r="A1804" s="169">
        <v>44697</v>
      </c>
      <c r="B1804" s="116">
        <v>296.39999999999998</v>
      </c>
      <c r="C1804" s="116">
        <v>284</v>
      </c>
      <c r="D1804" s="116">
        <v>281.35000000000002</v>
      </c>
      <c r="E1804" s="116">
        <v>294.89999999999998</v>
      </c>
      <c r="F1804" s="116">
        <v>284</v>
      </c>
      <c r="G1804">
        <v>4484</v>
      </c>
      <c r="H1804" s="116"/>
      <c r="I1804" s="116"/>
      <c r="L1804" s="169">
        <v>44659</v>
      </c>
      <c r="M1804" s="116">
        <v>307.10000000000002</v>
      </c>
      <c r="N1804" s="116">
        <v>314.89999999999998</v>
      </c>
      <c r="O1804" s="116">
        <v>297.35000000000002</v>
      </c>
      <c r="P1804" s="116">
        <v>314.89999999999998</v>
      </c>
      <c r="Q1804" s="116">
        <v>307.10000000000002</v>
      </c>
      <c r="R1804">
        <v>24266</v>
      </c>
    </row>
    <row r="1805" spans="1:18" x14ac:dyDescent="0.25">
      <c r="A1805" s="169">
        <v>44698</v>
      </c>
      <c r="B1805" s="116">
        <v>295.45</v>
      </c>
      <c r="C1805" s="116">
        <v>293.5</v>
      </c>
      <c r="D1805" s="116">
        <v>283.8</v>
      </c>
      <c r="E1805" s="116">
        <v>286.39999999999998</v>
      </c>
      <c r="F1805" s="116">
        <v>293.5</v>
      </c>
      <c r="G1805">
        <v>3593</v>
      </c>
      <c r="H1805" s="116"/>
      <c r="I1805" s="116"/>
      <c r="L1805" s="169">
        <v>44662</v>
      </c>
      <c r="M1805" s="116">
        <v>317.7</v>
      </c>
      <c r="N1805" s="116">
        <v>319.39999999999998</v>
      </c>
      <c r="O1805" s="116">
        <v>306.25</v>
      </c>
      <c r="P1805" s="116">
        <v>309.89999999999998</v>
      </c>
      <c r="Q1805" s="116">
        <v>317.7</v>
      </c>
      <c r="R1805">
        <v>43271</v>
      </c>
    </row>
    <row r="1806" spans="1:18" x14ac:dyDescent="0.25">
      <c r="A1806" s="169">
        <v>44699</v>
      </c>
      <c r="B1806" s="116">
        <v>296.39999999999998</v>
      </c>
      <c r="C1806" s="116">
        <v>285.14999999999998</v>
      </c>
      <c r="D1806" s="116">
        <v>280</v>
      </c>
      <c r="E1806" s="116">
        <v>293.95</v>
      </c>
      <c r="F1806" s="116">
        <v>285.14999999999998</v>
      </c>
      <c r="G1806">
        <v>5263</v>
      </c>
      <c r="H1806" s="116"/>
      <c r="I1806" s="116"/>
      <c r="L1806" s="169">
        <v>44663</v>
      </c>
      <c r="M1806" s="116">
        <v>322.64999999999998</v>
      </c>
      <c r="N1806" s="116">
        <v>325.14999999999998</v>
      </c>
      <c r="O1806" s="116">
        <v>308</v>
      </c>
      <c r="P1806" s="116">
        <v>319.7</v>
      </c>
      <c r="Q1806" s="116">
        <v>322.64999999999998</v>
      </c>
      <c r="R1806">
        <v>45359</v>
      </c>
    </row>
    <row r="1807" spans="1:18" x14ac:dyDescent="0.25">
      <c r="A1807" s="169">
        <v>44700</v>
      </c>
      <c r="B1807" s="116">
        <v>285</v>
      </c>
      <c r="C1807" s="116">
        <v>278.85000000000002</v>
      </c>
      <c r="D1807" s="116">
        <v>268.95</v>
      </c>
      <c r="E1807" s="116">
        <v>280</v>
      </c>
      <c r="F1807" s="116">
        <v>278.85000000000002</v>
      </c>
      <c r="G1807">
        <v>5972</v>
      </c>
      <c r="H1807" s="116"/>
      <c r="I1807" s="116"/>
      <c r="L1807" s="169">
        <v>44664</v>
      </c>
      <c r="M1807" s="116">
        <v>342.4</v>
      </c>
      <c r="N1807" s="116">
        <v>345</v>
      </c>
      <c r="O1807" s="116">
        <v>323.60000000000002</v>
      </c>
      <c r="P1807" s="116">
        <v>325.89999999999998</v>
      </c>
      <c r="Q1807" s="116">
        <v>342.4</v>
      </c>
      <c r="R1807">
        <v>85722</v>
      </c>
    </row>
    <row r="1808" spans="1:18" x14ac:dyDescent="0.25">
      <c r="A1808" s="169">
        <v>44701</v>
      </c>
      <c r="B1808" s="116">
        <v>286.89999999999998</v>
      </c>
      <c r="C1808" s="116">
        <v>282.2</v>
      </c>
      <c r="D1808" s="116">
        <v>272.85000000000002</v>
      </c>
      <c r="E1808" s="116">
        <v>285.39999999999998</v>
      </c>
      <c r="F1808" s="116">
        <v>282.2</v>
      </c>
      <c r="G1808">
        <v>6178</v>
      </c>
      <c r="H1808" s="116"/>
      <c r="I1808" s="116"/>
      <c r="L1808" s="169">
        <v>44669</v>
      </c>
      <c r="M1808" s="116">
        <v>361.55</v>
      </c>
      <c r="N1808" s="116">
        <v>365</v>
      </c>
      <c r="O1808" s="116">
        <v>339.05</v>
      </c>
      <c r="P1808" s="116">
        <v>347</v>
      </c>
      <c r="Q1808" s="116">
        <v>361.55</v>
      </c>
      <c r="R1808">
        <v>162321</v>
      </c>
    </row>
    <row r="1809" spans="1:18" x14ac:dyDescent="0.25">
      <c r="A1809" s="169">
        <v>44704</v>
      </c>
      <c r="B1809" s="116">
        <v>287.25</v>
      </c>
      <c r="C1809" s="116">
        <v>275.75</v>
      </c>
      <c r="D1809" s="116">
        <v>272.60000000000002</v>
      </c>
      <c r="E1809" s="116">
        <v>281.5</v>
      </c>
      <c r="F1809" s="116">
        <v>275.75</v>
      </c>
      <c r="G1809">
        <v>2215</v>
      </c>
      <c r="H1809" s="116"/>
      <c r="I1809" s="116"/>
      <c r="L1809" s="169">
        <v>44670</v>
      </c>
      <c r="M1809" s="116">
        <v>346.9</v>
      </c>
      <c r="N1809" s="116">
        <v>372</v>
      </c>
      <c r="O1809" s="116">
        <v>338</v>
      </c>
      <c r="P1809" s="116">
        <v>360</v>
      </c>
      <c r="Q1809" s="116">
        <v>346.9</v>
      </c>
      <c r="R1809">
        <v>104993</v>
      </c>
    </row>
    <row r="1810" spans="1:18" x14ac:dyDescent="0.25">
      <c r="A1810" s="169">
        <v>44705</v>
      </c>
      <c r="B1810" s="116">
        <v>283.35000000000002</v>
      </c>
      <c r="C1810" s="116">
        <v>269.8</v>
      </c>
      <c r="D1810" s="116">
        <v>269.2</v>
      </c>
      <c r="E1810" s="116">
        <v>279</v>
      </c>
      <c r="F1810" s="116">
        <v>269.8</v>
      </c>
      <c r="G1810">
        <v>2040</v>
      </c>
      <c r="H1810" s="116"/>
      <c r="I1810" s="116"/>
      <c r="L1810" s="169">
        <v>44671</v>
      </c>
      <c r="M1810" s="116">
        <v>356.5</v>
      </c>
      <c r="N1810" s="116">
        <v>359.5</v>
      </c>
      <c r="O1810" s="116">
        <v>345.4</v>
      </c>
      <c r="P1810" s="116">
        <v>345.45</v>
      </c>
      <c r="Q1810" s="116">
        <v>356.5</v>
      </c>
      <c r="R1810">
        <v>56649</v>
      </c>
    </row>
    <row r="1811" spans="1:18" x14ac:dyDescent="0.25">
      <c r="A1811" s="169">
        <v>44706</v>
      </c>
      <c r="B1811" s="116">
        <v>279.45</v>
      </c>
      <c r="C1811" s="116">
        <v>257</v>
      </c>
      <c r="D1811" s="116">
        <v>252.85</v>
      </c>
      <c r="E1811" s="116">
        <v>279.45</v>
      </c>
      <c r="F1811" s="116">
        <v>257</v>
      </c>
      <c r="G1811">
        <v>1200</v>
      </c>
      <c r="H1811" s="116"/>
      <c r="I1811" s="116"/>
      <c r="L1811" s="169">
        <v>44672</v>
      </c>
      <c r="M1811" s="116">
        <v>355.5</v>
      </c>
      <c r="N1811" s="116">
        <v>362.25</v>
      </c>
      <c r="O1811" s="116">
        <v>352.85</v>
      </c>
      <c r="P1811" s="116">
        <v>361.8</v>
      </c>
      <c r="Q1811" s="116">
        <v>355.5</v>
      </c>
      <c r="R1811">
        <v>25803</v>
      </c>
    </row>
    <row r="1812" spans="1:18" x14ac:dyDescent="0.25">
      <c r="A1812" s="169">
        <v>44707</v>
      </c>
      <c r="B1812" s="116">
        <v>273</v>
      </c>
      <c r="C1812" s="116">
        <v>246.9</v>
      </c>
      <c r="D1812" s="116">
        <v>237</v>
      </c>
      <c r="E1812" s="116">
        <v>261.55</v>
      </c>
      <c r="F1812" s="116">
        <v>246.9</v>
      </c>
      <c r="G1812">
        <v>8108</v>
      </c>
      <c r="H1812" s="116"/>
      <c r="I1812" s="116"/>
      <c r="L1812" s="169">
        <v>44673</v>
      </c>
      <c r="M1812" s="116">
        <v>343.15</v>
      </c>
      <c r="N1812" s="116">
        <v>359</v>
      </c>
      <c r="O1812" s="116">
        <v>341.1</v>
      </c>
      <c r="P1812" s="116">
        <v>352.8</v>
      </c>
      <c r="Q1812" s="116">
        <v>343.15</v>
      </c>
      <c r="R1812">
        <v>38607</v>
      </c>
    </row>
    <row r="1813" spans="1:18" x14ac:dyDescent="0.25">
      <c r="A1813" s="169">
        <v>44708</v>
      </c>
      <c r="B1813" s="116">
        <v>269.14999999999998</v>
      </c>
      <c r="C1813" s="116">
        <v>261.05</v>
      </c>
      <c r="D1813" s="116">
        <v>250.55</v>
      </c>
      <c r="E1813" s="116">
        <v>251.3</v>
      </c>
      <c r="F1813" s="116">
        <v>261.05</v>
      </c>
      <c r="G1813">
        <v>3775</v>
      </c>
      <c r="H1813" s="116"/>
      <c r="I1813" s="116"/>
      <c r="L1813" s="169">
        <v>44676</v>
      </c>
      <c r="M1813" s="116">
        <v>330.75</v>
      </c>
      <c r="N1813" s="116">
        <v>346.75</v>
      </c>
      <c r="O1813" s="116">
        <v>325</v>
      </c>
      <c r="P1813" s="116">
        <v>338.9</v>
      </c>
      <c r="Q1813" s="116">
        <v>330.75</v>
      </c>
      <c r="R1813">
        <v>43728</v>
      </c>
    </row>
    <row r="1814" spans="1:18" x14ac:dyDescent="0.25">
      <c r="A1814" s="169">
        <v>44711</v>
      </c>
      <c r="B1814" s="116">
        <v>295</v>
      </c>
      <c r="C1814" s="116">
        <v>289.55</v>
      </c>
      <c r="D1814" s="116">
        <v>277.39999999999998</v>
      </c>
      <c r="E1814" s="116">
        <v>277.75</v>
      </c>
      <c r="F1814" s="116">
        <v>289.55</v>
      </c>
      <c r="G1814">
        <v>10575</v>
      </c>
      <c r="H1814" s="116"/>
      <c r="I1814" s="116"/>
      <c r="L1814" s="169">
        <v>44677</v>
      </c>
      <c r="M1814" s="116">
        <v>383</v>
      </c>
      <c r="N1814" s="116">
        <v>396.4</v>
      </c>
      <c r="O1814" s="116">
        <v>328.05</v>
      </c>
      <c r="P1814" s="116">
        <v>335.7</v>
      </c>
      <c r="Q1814" s="116">
        <v>383</v>
      </c>
      <c r="R1814">
        <v>505834</v>
      </c>
    </row>
    <row r="1815" spans="1:18" x14ac:dyDescent="0.25">
      <c r="A1815" s="169">
        <v>44712</v>
      </c>
      <c r="B1815" s="116">
        <v>306</v>
      </c>
      <c r="C1815" s="116">
        <v>278.64999999999998</v>
      </c>
      <c r="D1815" s="116">
        <v>278</v>
      </c>
      <c r="E1815" s="116">
        <v>306</v>
      </c>
      <c r="F1815" s="116">
        <v>278.64999999999998</v>
      </c>
      <c r="G1815">
        <v>4159</v>
      </c>
      <c r="H1815" s="116"/>
      <c r="I1815" s="116"/>
      <c r="L1815" s="169">
        <v>44678</v>
      </c>
      <c r="M1815" s="116">
        <v>374.3</v>
      </c>
      <c r="N1815" s="116">
        <v>382.8</v>
      </c>
      <c r="O1815" s="116">
        <v>366</v>
      </c>
      <c r="P1815" s="116">
        <v>379.7</v>
      </c>
      <c r="Q1815" s="116">
        <v>374.3</v>
      </c>
      <c r="R1815">
        <v>159246</v>
      </c>
    </row>
    <row r="1816" spans="1:18" x14ac:dyDescent="0.25">
      <c r="A1816" s="169">
        <v>44713</v>
      </c>
      <c r="B1816" s="116">
        <v>290</v>
      </c>
      <c r="C1816" s="116">
        <v>285.55</v>
      </c>
      <c r="D1816" s="116">
        <v>279.25</v>
      </c>
      <c r="E1816" s="116">
        <v>287.75</v>
      </c>
      <c r="F1816" s="116">
        <v>285.55</v>
      </c>
      <c r="G1816">
        <v>2136</v>
      </c>
      <c r="H1816" s="116"/>
      <c r="I1816" s="116"/>
      <c r="L1816" s="169">
        <v>44679</v>
      </c>
      <c r="M1816" s="116">
        <v>388.15</v>
      </c>
      <c r="N1816" s="116">
        <v>423</v>
      </c>
      <c r="O1816" s="116">
        <v>372.5</v>
      </c>
      <c r="P1816" s="116">
        <v>377.55</v>
      </c>
      <c r="Q1816" s="116">
        <v>388.15</v>
      </c>
      <c r="R1816">
        <v>836222</v>
      </c>
    </row>
    <row r="1817" spans="1:18" x14ac:dyDescent="0.25">
      <c r="A1817" s="169">
        <v>44714</v>
      </c>
      <c r="B1817" s="116">
        <v>311.95</v>
      </c>
      <c r="C1817" s="116">
        <v>306</v>
      </c>
      <c r="D1817" s="116">
        <v>280.10000000000002</v>
      </c>
      <c r="E1817" s="116">
        <v>285.55</v>
      </c>
      <c r="F1817" s="116">
        <v>306</v>
      </c>
      <c r="G1817">
        <v>9336</v>
      </c>
      <c r="H1817" s="116"/>
      <c r="I1817" s="116"/>
      <c r="L1817" s="169">
        <v>44680</v>
      </c>
      <c r="M1817" s="116">
        <v>384.2</v>
      </c>
      <c r="N1817" s="116">
        <v>392.55</v>
      </c>
      <c r="O1817" s="116">
        <v>378.35</v>
      </c>
      <c r="P1817" s="116">
        <v>385</v>
      </c>
      <c r="Q1817" s="116">
        <v>384.2</v>
      </c>
      <c r="R1817">
        <v>111149</v>
      </c>
    </row>
    <row r="1818" spans="1:18" x14ac:dyDescent="0.25">
      <c r="A1818" s="169">
        <v>44715</v>
      </c>
      <c r="B1818" s="116">
        <v>309.7</v>
      </c>
      <c r="C1818" s="116">
        <v>298.95</v>
      </c>
      <c r="D1818" s="116">
        <v>291.25</v>
      </c>
      <c r="E1818" s="116">
        <v>308.75</v>
      </c>
      <c r="F1818" s="116">
        <v>298.95</v>
      </c>
      <c r="G1818">
        <v>1935</v>
      </c>
      <c r="H1818" s="116"/>
      <c r="I1818" s="116"/>
      <c r="L1818" s="169">
        <v>44683</v>
      </c>
      <c r="M1818" s="116">
        <v>374.6</v>
      </c>
      <c r="N1818" s="116">
        <v>400</v>
      </c>
      <c r="O1818" s="116">
        <v>370.1</v>
      </c>
      <c r="P1818" s="116">
        <v>375.1</v>
      </c>
      <c r="Q1818" s="116">
        <v>374.6</v>
      </c>
      <c r="R1818">
        <v>103981</v>
      </c>
    </row>
    <row r="1819" spans="1:18" x14ac:dyDescent="0.25">
      <c r="A1819" s="169">
        <v>44718</v>
      </c>
      <c r="B1819" s="116">
        <v>303</v>
      </c>
      <c r="C1819" s="116">
        <v>297.55</v>
      </c>
      <c r="D1819" s="116">
        <v>288.05</v>
      </c>
      <c r="E1819" s="116">
        <v>296.89999999999998</v>
      </c>
      <c r="F1819" s="116">
        <v>297.55</v>
      </c>
      <c r="G1819">
        <v>1813</v>
      </c>
      <c r="H1819" s="116"/>
      <c r="I1819" s="116"/>
      <c r="L1819" s="169">
        <v>44685</v>
      </c>
      <c r="M1819" s="116">
        <v>344.45</v>
      </c>
      <c r="N1819" s="116">
        <v>379.45</v>
      </c>
      <c r="O1819" s="116">
        <v>340.3</v>
      </c>
      <c r="P1819" s="116">
        <v>373.1</v>
      </c>
      <c r="Q1819" s="116">
        <v>344.45</v>
      </c>
      <c r="R1819">
        <v>115280</v>
      </c>
    </row>
    <row r="1820" spans="1:18" x14ac:dyDescent="0.25">
      <c r="A1820" s="169">
        <v>44719</v>
      </c>
      <c r="B1820" s="116">
        <v>295.89999999999998</v>
      </c>
      <c r="C1820" s="116">
        <v>292.64999999999998</v>
      </c>
      <c r="D1820" s="116">
        <v>288.39999999999998</v>
      </c>
      <c r="E1820" s="116">
        <v>295.14999999999998</v>
      </c>
      <c r="F1820" s="116">
        <v>292.64999999999998</v>
      </c>
      <c r="G1820">
        <v>807</v>
      </c>
      <c r="H1820" s="116"/>
      <c r="I1820" s="116"/>
      <c r="L1820" s="169">
        <v>44686</v>
      </c>
      <c r="M1820" s="116">
        <v>353.55</v>
      </c>
      <c r="N1820" s="116">
        <v>406.5</v>
      </c>
      <c r="O1820" s="116">
        <v>345</v>
      </c>
      <c r="P1820" s="116">
        <v>349</v>
      </c>
      <c r="Q1820" s="116">
        <v>353.55</v>
      </c>
      <c r="R1820">
        <v>97899</v>
      </c>
    </row>
    <row r="1821" spans="1:18" x14ac:dyDescent="0.25">
      <c r="A1821" s="169">
        <v>44720</v>
      </c>
      <c r="B1821" s="116">
        <v>295.14999999999998</v>
      </c>
      <c r="C1821" s="116">
        <v>293.05</v>
      </c>
      <c r="D1821" s="116">
        <v>286.45</v>
      </c>
      <c r="E1821" s="116">
        <v>290</v>
      </c>
      <c r="F1821" s="116">
        <v>293.05</v>
      </c>
      <c r="G1821">
        <v>3451</v>
      </c>
      <c r="H1821" s="116"/>
      <c r="I1821" s="116"/>
      <c r="L1821" s="169">
        <v>44687</v>
      </c>
      <c r="M1821" s="116">
        <v>338</v>
      </c>
      <c r="N1821" s="116">
        <v>350</v>
      </c>
      <c r="O1821" s="116">
        <v>330</v>
      </c>
      <c r="P1821" s="116">
        <v>350</v>
      </c>
      <c r="Q1821" s="116">
        <v>338</v>
      </c>
      <c r="R1821">
        <v>51628</v>
      </c>
    </row>
    <row r="1822" spans="1:18" x14ac:dyDescent="0.25">
      <c r="A1822" s="169">
        <v>44721</v>
      </c>
      <c r="B1822" s="116">
        <v>291.95</v>
      </c>
      <c r="C1822" s="116">
        <v>287.95</v>
      </c>
      <c r="D1822" s="116">
        <v>285</v>
      </c>
      <c r="E1822" s="116">
        <v>290.75</v>
      </c>
      <c r="F1822" s="116">
        <v>287.95</v>
      </c>
      <c r="G1822">
        <v>1359</v>
      </c>
      <c r="H1822" s="116"/>
      <c r="I1822" s="116"/>
      <c r="L1822" s="169">
        <v>44690</v>
      </c>
      <c r="M1822" s="116">
        <v>321.14999999999998</v>
      </c>
      <c r="N1822" s="116">
        <v>332.05</v>
      </c>
      <c r="O1822" s="116">
        <v>319</v>
      </c>
      <c r="P1822" s="116">
        <v>325</v>
      </c>
      <c r="Q1822" s="116">
        <v>321.14999999999998</v>
      </c>
      <c r="R1822">
        <v>58574</v>
      </c>
    </row>
    <row r="1823" spans="1:18" x14ac:dyDescent="0.25">
      <c r="A1823" s="169">
        <v>44722</v>
      </c>
      <c r="B1823" s="116">
        <v>288</v>
      </c>
      <c r="C1823" s="116">
        <v>281.64999999999998</v>
      </c>
      <c r="D1823" s="116">
        <v>281</v>
      </c>
      <c r="E1823" s="116">
        <v>287.10000000000002</v>
      </c>
      <c r="F1823" s="116">
        <v>281.64999999999998</v>
      </c>
      <c r="G1823">
        <v>2038</v>
      </c>
      <c r="H1823" s="116"/>
      <c r="I1823" s="116"/>
      <c r="L1823" s="169">
        <v>44691</v>
      </c>
      <c r="M1823" s="116">
        <v>301.45</v>
      </c>
      <c r="N1823" s="116">
        <v>332</v>
      </c>
      <c r="O1823" s="116">
        <v>292.8</v>
      </c>
      <c r="P1823" s="116">
        <v>325.95</v>
      </c>
      <c r="Q1823" s="116">
        <v>301.45</v>
      </c>
      <c r="R1823">
        <v>87321</v>
      </c>
    </row>
    <row r="1824" spans="1:18" x14ac:dyDescent="0.25">
      <c r="A1824" s="169">
        <v>44725</v>
      </c>
      <c r="B1824" s="116">
        <v>277</v>
      </c>
      <c r="C1824" s="116">
        <v>271.39999999999998</v>
      </c>
      <c r="D1824" s="116">
        <v>267.35000000000002</v>
      </c>
      <c r="E1824" s="116">
        <v>274</v>
      </c>
      <c r="F1824" s="116">
        <v>271.39999999999998</v>
      </c>
      <c r="G1824">
        <v>1056</v>
      </c>
      <c r="H1824" s="116"/>
      <c r="I1824" s="116"/>
      <c r="L1824" s="169">
        <v>44692</v>
      </c>
      <c r="M1824" s="116">
        <v>292.55</v>
      </c>
      <c r="N1824" s="116">
        <v>312.7</v>
      </c>
      <c r="O1824" s="116">
        <v>274.60000000000002</v>
      </c>
      <c r="P1824" s="116">
        <v>301.45</v>
      </c>
      <c r="Q1824" s="116">
        <v>292.55</v>
      </c>
      <c r="R1824">
        <v>61576</v>
      </c>
    </row>
    <row r="1825" spans="1:18" x14ac:dyDescent="0.25">
      <c r="A1825" s="169">
        <v>44726</v>
      </c>
      <c r="B1825" s="116">
        <v>283.45</v>
      </c>
      <c r="C1825" s="116">
        <v>280</v>
      </c>
      <c r="D1825" s="116">
        <v>275.89999999999998</v>
      </c>
      <c r="E1825" s="116">
        <v>278.05</v>
      </c>
      <c r="F1825" s="116">
        <v>280</v>
      </c>
      <c r="G1825">
        <v>301</v>
      </c>
      <c r="H1825" s="116"/>
      <c r="I1825" s="116"/>
      <c r="L1825" s="169">
        <v>44693</v>
      </c>
      <c r="M1825" s="116">
        <v>280.5</v>
      </c>
      <c r="N1825" s="116">
        <v>290.2</v>
      </c>
      <c r="O1825" s="116">
        <v>277.10000000000002</v>
      </c>
      <c r="P1825" s="116">
        <v>288.14999999999998</v>
      </c>
      <c r="Q1825" s="116">
        <v>280.5</v>
      </c>
      <c r="R1825">
        <v>48636</v>
      </c>
    </row>
    <row r="1826" spans="1:18" x14ac:dyDescent="0.25">
      <c r="A1826" s="169">
        <v>44727</v>
      </c>
      <c r="B1826" s="116">
        <v>288.25</v>
      </c>
      <c r="C1826" s="116">
        <v>277.2</v>
      </c>
      <c r="D1826" s="116">
        <v>274.10000000000002</v>
      </c>
      <c r="E1826" s="116">
        <v>288.25</v>
      </c>
      <c r="F1826" s="116">
        <v>277.2</v>
      </c>
      <c r="G1826">
        <v>2543</v>
      </c>
      <c r="H1826" s="116"/>
      <c r="I1826" s="116"/>
      <c r="L1826" s="169">
        <v>44694</v>
      </c>
      <c r="M1826" s="116">
        <v>292.89999999999998</v>
      </c>
      <c r="N1826" s="116">
        <v>333.7</v>
      </c>
      <c r="O1826" s="116">
        <v>288.55</v>
      </c>
      <c r="P1826" s="116">
        <v>294.89999999999998</v>
      </c>
      <c r="Q1826" s="116">
        <v>292.89999999999998</v>
      </c>
      <c r="R1826">
        <v>39183</v>
      </c>
    </row>
    <row r="1827" spans="1:18" x14ac:dyDescent="0.25">
      <c r="A1827" s="169">
        <v>44728</v>
      </c>
      <c r="B1827" s="116">
        <v>287.35000000000002</v>
      </c>
      <c r="C1827" s="116">
        <v>270.5</v>
      </c>
      <c r="D1827" s="116">
        <v>265</v>
      </c>
      <c r="E1827" s="116">
        <v>287.35000000000002</v>
      </c>
      <c r="F1827" s="116">
        <v>270.5</v>
      </c>
      <c r="G1827">
        <v>4967</v>
      </c>
      <c r="H1827" s="116"/>
      <c r="I1827" s="116"/>
      <c r="L1827" s="169">
        <v>44697</v>
      </c>
      <c r="M1827" s="116">
        <v>282.8</v>
      </c>
      <c r="N1827" s="116">
        <v>297.5</v>
      </c>
      <c r="O1827" s="116">
        <v>281.5</v>
      </c>
      <c r="P1827" s="116">
        <v>292.3</v>
      </c>
      <c r="Q1827" s="116">
        <v>282.8</v>
      </c>
      <c r="R1827">
        <v>31543</v>
      </c>
    </row>
    <row r="1828" spans="1:18" x14ac:dyDescent="0.25">
      <c r="A1828" s="169">
        <v>44729</v>
      </c>
      <c r="B1828" s="116">
        <v>270.10000000000002</v>
      </c>
      <c r="C1828" s="116">
        <v>261.25</v>
      </c>
      <c r="D1828" s="116">
        <v>257.39999999999998</v>
      </c>
      <c r="E1828" s="116">
        <v>266</v>
      </c>
      <c r="F1828" s="116">
        <v>261.25</v>
      </c>
      <c r="G1828">
        <v>2410</v>
      </c>
      <c r="H1828" s="116"/>
      <c r="I1828" s="116"/>
      <c r="L1828" s="169">
        <v>44698</v>
      </c>
      <c r="M1828" s="116">
        <v>293.85000000000002</v>
      </c>
      <c r="N1828" s="116">
        <v>300</v>
      </c>
      <c r="O1828" s="116">
        <v>284.05</v>
      </c>
      <c r="P1828" s="116">
        <v>293</v>
      </c>
      <c r="Q1828" s="116">
        <v>293.85000000000002</v>
      </c>
      <c r="R1828">
        <v>73530</v>
      </c>
    </row>
    <row r="1829" spans="1:18" x14ac:dyDescent="0.25">
      <c r="A1829" s="169">
        <v>44732</v>
      </c>
      <c r="B1829" s="116">
        <v>263.89999999999998</v>
      </c>
      <c r="C1829" s="116">
        <v>263.89999999999998</v>
      </c>
      <c r="D1829" s="116">
        <v>255</v>
      </c>
      <c r="E1829" s="116">
        <v>262.5</v>
      </c>
      <c r="F1829" s="116">
        <v>263.89999999999998</v>
      </c>
      <c r="G1829">
        <v>648</v>
      </c>
      <c r="H1829" s="116"/>
      <c r="I1829" s="116"/>
      <c r="L1829" s="169">
        <v>44699</v>
      </c>
      <c r="M1829" s="116">
        <v>283.64999999999998</v>
      </c>
      <c r="N1829" s="116">
        <v>296.7</v>
      </c>
      <c r="O1829" s="116">
        <v>279</v>
      </c>
      <c r="P1829" s="116">
        <v>296.10000000000002</v>
      </c>
      <c r="Q1829" s="116">
        <v>283.64999999999998</v>
      </c>
      <c r="R1829">
        <v>57989</v>
      </c>
    </row>
    <row r="1830" spans="1:18" x14ac:dyDescent="0.25">
      <c r="A1830" s="169">
        <v>44733</v>
      </c>
      <c r="B1830" s="116">
        <v>271.7</v>
      </c>
      <c r="C1830" s="116">
        <v>265.89999999999998</v>
      </c>
      <c r="D1830" s="116">
        <v>263.2</v>
      </c>
      <c r="E1830" s="116">
        <v>270.14999999999998</v>
      </c>
      <c r="F1830" s="116">
        <v>265.89999999999998</v>
      </c>
      <c r="G1830">
        <v>2419</v>
      </c>
      <c r="H1830" s="116"/>
      <c r="I1830" s="116"/>
      <c r="L1830" s="169">
        <v>44700</v>
      </c>
      <c r="M1830" s="116">
        <v>277.3</v>
      </c>
      <c r="N1830" s="116">
        <v>291.89999999999998</v>
      </c>
      <c r="O1830" s="116">
        <v>268.14999999999998</v>
      </c>
      <c r="P1830" s="116">
        <v>278.95</v>
      </c>
      <c r="Q1830" s="116">
        <v>277.3</v>
      </c>
      <c r="R1830">
        <v>35963</v>
      </c>
    </row>
    <row r="1831" spans="1:18" x14ac:dyDescent="0.25">
      <c r="A1831" s="169">
        <v>44734</v>
      </c>
      <c r="B1831" s="116">
        <v>271.3</v>
      </c>
      <c r="C1831" s="116">
        <v>263.85000000000002</v>
      </c>
      <c r="D1831" s="116">
        <v>259.25</v>
      </c>
      <c r="E1831" s="116">
        <v>263.2</v>
      </c>
      <c r="F1831" s="116">
        <v>263.85000000000002</v>
      </c>
      <c r="G1831">
        <v>2827</v>
      </c>
      <c r="H1831" s="116"/>
      <c r="I1831" s="116"/>
      <c r="L1831" s="169">
        <v>44701</v>
      </c>
      <c r="M1831" s="116">
        <v>280.7</v>
      </c>
      <c r="N1831" s="116">
        <v>287.64999999999998</v>
      </c>
      <c r="O1831" s="116">
        <v>271.3</v>
      </c>
      <c r="P1831" s="116">
        <v>278.25</v>
      </c>
      <c r="Q1831" s="116">
        <v>280.7</v>
      </c>
      <c r="R1831">
        <v>47134</v>
      </c>
    </row>
    <row r="1832" spans="1:18" x14ac:dyDescent="0.25">
      <c r="A1832" s="169">
        <v>44735</v>
      </c>
      <c r="B1832" s="116">
        <v>268.75</v>
      </c>
      <c r="C1832" s="116">
        <v>266.25</v>
      </c>
      <c r="D1832" s="116">
        <v>260.75</v>
      </c>
      <c r="E1832" s="116">
        <v>268.75</v>
      </c>
      <c r="F1832" s="116">
        <v>266.25</v>
      </c>
      <c r="G1832">
        <v>219</v>
      </c>
      <c r="H1832" s="116"/>
      <c r="I1832" s="116"/>
      <c r="L1832" s="169">
        <v>44704</v>
      </c>
      <c r="M1832" s="116">
        <v>276.14999999999998</v>
      </c>
      <c r="N1832" s="116">
        <v>287.95</v>
      </c>
      <c r="O1832" s="116">
        <v>273.60000000000002</v>
      </c>
      <c r="P1832" s="116">
        <v>282.10000000000002</v>
      </c>
      <c r="Q1832" s="116">
        <v>276.14999999999998</v>
      </c>
      <c r="R1832">
        <v>18889</v>
      </c>
    </row>
    <row r="1833" spans="1:18" x14ac:dyDescent="0.25">
      <c r="A1833" s="169">
        <v>44736</v>
      </c>
      <c r="B1833" s="116">
        <v>280</v>
      </c>
      <c r="C1833" s="116">
        <v>279.75</v>
      </c>
      <c r="D1833" s="116">
        <v>264</v>
      </c>
      <c r="E1833" s="116">
        <v>270.8</v>
      </c>
      <c r="F1833" s="116">
        <v>279.75</v>
      </c>
      <c r="G1833">
        <v>2180</v>
      </c>
      <c r="H1833" s="116"/>
      <c r="I1833" s="116"/>
      <c r="L1833" s="169">
        <v>44705</v>
      </c>
      <c r="M1833" s="116">
        <v>270.2</v>
      </c>
      <c r="N1833" s="116">
        <v>284.64999999999998</v>
      </c>
      <c r="O1833" s="116">
        <v>269.05</v>
      </c>
      <c r="P1833" s="116">
        <v>276.14999999999998</v>
      </c>
      <c r="Q1833" s="116">
        <v>270.2</v>
      </c>
      <c r="R1833">
        <v>28291</v>
      </c>
    </row>
    <row r="1834" spans="1:18" x14ac:dyDescent="0.25">
      <c r="A1834" s="169">
        <v>44739</v>
      </c>
      <c r="B1834" s="116">
        <v>286.95</v>
      </c>
      <c r="C1834" s="116">
        <v>278.14999999999998</v>
      </c>
      <c r="D1834" s="116">
        <v>275</v>
      </c>
      <c r="E1834" s="116">
        <v>286.95</v>
      </c>
      <c r="F1834" s="116">
        <v>278.14999999999998</v>
      </c>
      <c r="G1834">
        <v>697</v>
      </c>
      <c r="H1834" s="116"/>
      <c r="I1834" s="116"/>
      <c r="L1834" s="169">
        <v>44706</v>
      </c>
      <c r="M1834" s="116">
        <v>256.05</v>
      </c>
      <c r="N1834" s="116">
        <v>284.2</v>
      </c>
      <c r="O1834" s="116">
        <v>251.35</v>
      </c>
      <c r="P1834" s="116">
        <v>277.95</v>
      </c>
      <c r="Q1834" s="116">
        <v>256.05</v>
      </c>
      <c r="R1834">
        <v>37335</v>
      </c>
    </row>
    <row r="1835" spans="1:18" x14ac:dyDescent="0.25">
      <c r="A1835" s="169">
        <v>44740</v>
      </c>
      <c r="B1835" s="116">
        <v>283.39999999999998</v>
      </c>
      <c r="C1835" s="116">
        <v>279</v>
      </c>
      <c r="D1835" s="116">
        <v>278.95</v>
      </c>
      <c r="E1835" s="116">
        <v>279.60000000000002</v>
      </c>
      <c r="F1835" s="116">
        <v>279</v>
      </c>
      <c r="G1835">
        <v>118</v>
      </c>
      <c r="H1835" s="116"/>
      <c r="I1835" s="116"/>
      <c r="L1835" s="169">
        <v>44707</v>
      </c>
      <c r="M1835" s="116">
        <v>246.1</v>
      </c>
      <c r="N1835" s="116">
        <v>262</v>
      </c>
      <c r="O1835" s="116">
        <v>237</v>
      </c>
      <c r="P1835" s="116">
        <v>261.95</v>
      </c>
      <c r="Q1835" s="116">
        <v>246.1</v>
      </c>
      <c r="R1835">
        <v>71173</v>
      </c>
    </row>
    <row r="1836" spans="1:18" x14ac:dyDescent="0.25">
      <c r="A1836" s="169">
        <v>44741</v>
      </c>
      <c r="B1836" s="116">
        <v>281.7</v>
      </c>
      <c r="C1836" s="116">
        <v>276.10000000000002</v>
      </c>
      <c r="D1836" s="116">
        <v>275.8</v>
      </c>
      <c r="E1836" s="116">
        <v>281.7</v>
      </c>
      <c r="F1836" s="116">
        <v>276.10000000000002</v>
      </c>
      <c r="G1836">
        <v>181</v>
      </c>
      <c r="H1836" s="116"/>
      <c r="I1836" s="116"/>
      <c r="L1836" s="169">
        <v>44708</v>
      </c>
      <c r="M1836" s="116">
        <v>264.75</v>
      </c>
      <c r="N1836" s="116">
        <v>269.39999999999998</v>
      </c>
      <c r="O1836" s="116">
        <v>247.65</v>
      </c>
      <c r="P1836" s="116">
        <v>249.4</v>
      </c>
      <c r="Q1836" s="116">
        <v>264.75</v>
      </c>
      <c r="R1836">
        <v>61196</v>
      </c>
    </row>
    <row r="1837" spans="1:18" x14ac:dyDescent="0.25">
      <c r="A1837" s="169">
        <v>44742</v>
      </c>
      <c r="B1837" s="116">
        <v>281</v>
      </c>
      <c r="C1837" s="116">
        <v>272.2</v>
      </c>
      <c r="D1837" s="116">
        <v>268.05</v>
      </c>
      <c r="E1837" s="116">
        <v>278.35000000000002</v>
      </c>
      <c r="F1837" s="116">
        <v>272.2</v>
      </c>
      <c r="G1837">
        <v>1247</v>
      </c>
      <c r="H1837" s="116"/>
      <c r="I1837" s="116"/>
      <c r="L1837" s="169">
        <v>44711</v>
      </c>
      <c r="M1837" s="116">
        <v>290.60000000000002</v>
      </c>
      <c r="N1837" s="116">
        <v>295</v>
      </c>
      <c r="O1837" s="116">
        <v>273.95</v>
      </c>
      <c r="P1837" s="116">
        <v>274</v>
      </c>
      <c r="Q1837" s="116">
        <v>290.60000000000002</v>
      </c>
      <c r="R1837">
        <v>135495</v>
      </c>
    </row>
    <row r="1838" spans="1:18" x14ac:dyDescent="0.25">
      <c r="A1838" s="169">
        <v>44743</v>
      </c>
      <c r="B1838" s="116">
        <v>281.85000000000002</v>
      </c>
      <c r="C1838" s="116">
        <v>279.8</v>
      </c>
      <c r="D1838" s="116">
        <v>272.64999999999998</v>
      </c>
      <c r="E1838" s="116">
        <v>273.10000000000002</v>
      </c>
      <c r="F1838" s="116">
        <v>279.8</v>
      </c>
      <c r="G1838">
        <v>944</v>
      </c>
      <c r="H1838" s="116"/>
      <c r="I1838" s="116"/>
      <c r="L1838" s="169">
        <v>44712</v>
      </c>
      <c r="M1838" s="116">
        <v>279.8</v>
      </c>
      <c r="N1838" s="116">
        <v>298</v>
      </c>
      <c r="O1838" s="116">
        <v>278</v>
      </c>
      <c r="P1838" s="116">
        <v>298</v>
      </c>
      <c r="Q1838" s="116">
        <v>279.8</v>
      </c>
      <c r="R1838">
        <v>69930</v>
      </c>
    </row>
    <row r="1839" spans="1:18" x14ac:dyDescent="0.25">
      <c r="A1839" s="169">
        <v>44746</v>
      </c>
      <c r="B1839" s="116">
        <v>290</v>
      </c>
      <c r="C1839" s="116">
        <v>278.60000000000002</v>
      </c>
      <c r="D1839" s="116">
        <v>273.8</v>
      </c>
      <c r="E1839" s="116">
        <v>290</v>
      </c>
      <c r="F1839" s="116">
        <v>278.60000000000002</v>
      </c>
      <c r="G1839">
        <v>634</v>
      </c>
      <c r="H1839" s="116"/>
      <c r="I1839" s="116"/>
      <c r="L1839" s="169">
        <v>44713</v>
      </c>
      <c r="M1839" s="116">
        <v>284.7</v>
      </c>
      <c r="N1839" s="116">
        <v>293.95</v>
      </c>
      <c r="O1839" s="116">
        <v>279.05</v>
      </c>
      <c r="P1839" s="116">
        <v>284</v>
      </c>
      <c r="Q1839" s="116">
        <v>284.7</v>
      </c>
      <c r="R1839">
        <v>43540</v>
      </c>
    </row>
    <row r="1840" spans="1:18" x14ac:dyDescent="0.25">
      <c r="A1840" s="169">
        <v>44747</v>
      </c>
      <c r="B1840" s="116">
        <v>283.89999999999998</v>
      </c>
      <c r="C1840" s="116">
        <v>275.5</v>
      </c>
      <c r="D1840" s="116">
        <v>271</v>
      </c>
      <c r="E1840" s="116">
        <v>281.05</v>
      </c>
      <c r="F1840" s="116">
        <v>275.5</v>
      </c>
      <c r="G1840">
        <v>3973</v>
      </c>
      <c r="H1840" s="116"/>
      <c r="I1840" s="116"/>
      <c r="L1840" s="169">
        <v>44714</v>
      </c>
      <c r="M1840" s="116">
        <v>306.89999999999998</v>
      </c>
      <c r="N1840" s="116">
        <v>311.8</v>
      </c>
      <c r="O1840" s="116">
        <v>281.35000000000002</v>
      </c>
      <c r="P1840" s="116">
        <v>288.95</v>
      </c>
      <c r="Q1840" s="116">
        <v>306.89999999999998</v>
      </c>
      <c r="R1840">
        <v>89304</v>
      </c>
    </row>
    <row r="1841" spans="1:18" x14ac:dyDescent="0.25">
      <c r="A1841" s="169">
        <v>44748</v>
      </c>
      <c r="B1841" s="116">
        <v>282</v>
      </c>
      <c r="C1841" s="116">
        <v>282</v>
      </c>
      <c r="D1841" s="116">
        <v>271.7</v>
      </c>
      <c r="E1841" s="116">
        <v>272.25</v>
      </c>
      <c r="F1841" s="116">
        <v>282</v>
      </c>
      <c r="G1841">
        <v>1164</v>
      </c>
      <c r="H1841" s="116"/>
      <c r="I1841" s="116"/>
      <c r="L1841" s="169">
        <v>44715</v>
      </c>
      <c r="M1841" s="116">
        <v>297.39999999999998</v>
      </c>
      <c r="N1841" s="116">
        <v>312</v>
      </c>
      <c r="O1841" s="116">
        <v>291.05</v>
      </c>
      <c r="P1841" s="116">
        <v>309.75</v>
      </c>
      <c r="Q1841" s="116">
        <v>297.39999999999998</v>
      </c>
      <c r="R1841">
        <v>46194</v>
      </c>
    </row>
    <row r="1842" spans="1:18" x14ac:dyDescent="0.25">
      <c r="A1842" s="169">
        <v>44749</v>
      </c>
      <c r="B1842" s="116">
        <v>284.39999999999998</v>
      </c>
      <c r="C1842" s="116">
        <v>274.25</v>
      </c>
      <c r="D1842" s="116">
        <v>273.2</v>
      </c>
      <c r="E1842" s="116">
        <v>284.39999999999998</v>
      </c>
      <c r="F1842" s="116">
        <v>274.25</v>
      </c>
      <c r="G1842">
        <v>1003</v>
      </c>
      <c r="H1842" s="116"/>
      <c r="I1842" s="116"/>
      <c r="L1842" s="169">
        <v>44718</v>
      </c>
      <c r="M1842" s="116">
        <v>299.89999999999998</v>
      </c>
      <c r="N1842" s="116">
        <v>304.10000000000002</v>
      </c>
      <c r="O1842" s="116">
        <v>288.55</v>
      </c>
      <c r="P1842" s="116">
        <v>297.7</v>
      </c>
      <c r="Q1842" s="116">
        <v>299.89999999999998</v>
      </c>
      <c r="R1842">
        <v>18429</v>
      </c>
    </row>
    <row r="1843" spans="1:18" x14ac:dyDescent="0.25">
      <c r="A1843" s="169">
        <v>44750</v>
      </c>
      <c r="B1843" s="116">
        <v>286.60000000000002</v>
      </c>
      <c r="C1843" s="116">
        <v>284.5</v>
      </c>
      <c r="D1843" s="116">
        <v>277.60000000000002</v>
      </c>
      <c r="E1843" s="116">
        <v>279.39999999999998</v>
      </c>
      <c r="F1843" s="116">
        <v>284.5</v>
      </c>
      <c r="G1843">
        <v>794</v>
      </c>
      <c r="H1843" s="116"/>
      <c r="I1843" s="116"/>
      <c r="L1843" s="169">
        <v>44719</v>
      </c>
      <c r="M1843" s="116">
        <v>292.3</v>
      </c>
      <c r="N1843" s="116">
        <v>296.25</v>
      </c>
      <c r="O1843" s="116">
        <v>290.10000000000002</v>
      </c>
      <c r="P1843" s="116">
        <v>294</v>
      </c>
      <c r="Q1843" s="116">
        <v>292.3</v>
      </c>
      <c r="R1843">
        <v>14390</v>
      </c>
    </row>
    <row r="1844" spans="1:18" x14ac:dyDescent="0.25">
      <c r="A1844" s="169">
        <v>44753</v>
      </c>
      <c r="B1844" s="116">
        <v>287.10000000000002</v>
      </c>
      <c r="C1844" s="116">
        <v>285.8</v>
      </c>
      <c r="D1844" s="116">
        <v>282.5</v>
      </c>
      <c r="E1844" s="116">
        <v>284.5</v>
      </c>
      <c r="F1844" s="116">
        <v>285.8</v>
      </c>
      <c r="G1844">
        <v>240</v>
      </c>
      <c r="H1844" s="116"/>
      <c r="I1844" s="116"/>
      <c r="L1844" s="169">
        <v>44720</v>
      </c>
      <c r="M1844" s="116">
        <v>292.55</v>
      </c>
      <c r="N1844" s="116">
        <v>295.64999999999998</v>
      </c>
      <c r="O1844" s="116">
        <v>286.05</v>
      </c>
      <c r="P1844" s="116">
        <v>291.95</v>
      </c>
      <c r="Q1844" s="116">
        <v>292.55</v>
      </c>
      <c r="R1844">
        <v>13846</v>
      </c>
    </row>
    <row r="1845" spans="1:18" x14ac:dyDescent="0.25">
      <c r="A1845" s="169">
        <v>44754</v>
      </c>
      <c r="B1845" s="116">
        <v>286.75</v>
      </c>
      <c r="C1845" s="116">
        <v>280.89999999999998</v>
      </c>
      <c r="D1845" s="116">
        <v>274.89999999999998</v>
      </c>
      <c r="E1845" s="116">
        <v>286.75</v>
      </c>
      <c r="F1845" s="116">
        <v>280.89999999999998</v>
      </c>
      <c r="G1845">
        <v>1926</v>
      </c>
      <c r="H1845" s="116"/>
      <c r="I1845" s="116"/>
      <c r="L1845" s="169">
        <v>44721</v>
      </c>
      <c r="M1845" s="116">
        <v>287.2</v>
      </c>
      <c r="N1845" s="116">
        <v>293.3</v>
      </c>
      <c r="O1845" s="116">
        <v>285.2</v>
      </c>
      <c r="P1845" s="116">
        <v>287.10000000000002</v>
      </c>
      <c r="Q1845" s="116">
        <v>287.2</v>
      </c>
      <c r="R1845">
        <v>28164</v>
      </c>
    </row>
    <row r="1846" spans="1:18" x14ac:dyDescent="0.25">
      <c r="A1846" s="169">
        <v>44755</v>
      </c>
      <c r="B1846" s="116">
        <v>293</v>
      </c>
      <c r="C1846" s="116">
        <v>273.39999999999998</v>
      </c>
      <c r="D1846" s="116">
        <v>273</v>
      </c>
      <c r="E1846" s="116">
        <v>293</v>
      </c>
      <c r="F1846" s="116">
        <v>273.39999999999998</v>
      </c>
      <c r="G1846">
        <v>522</v>
      </c>
      <c r="H1846" s="116"/>
      <c r="I1846" s="116"/>
      <c r="L1846" s="169">
        <v>44722</v>
      </c>
      <c r="M1846" s="116">
        <v>281.95</v>
      </c>
      <c r="N1846" s="116">
        <v>288.35000000000002</v>
      </c>
      <c r="O1846" s="116">
        <v>280</v>
      </c>
      <c r="P1846" s="116">
        <v>282.05</v>
      </c>
      <c r="Q1846" s="116">
        <v>281.95</v>
      </c>
      <c r="R1846">
        <v>19030</v>
      </c>
    </row>
    <row r="1847" spans="1:18" x14ac:dyDescent="0.25">
      <c r="A1847" s="169">
        <v>44756</v>
      </c>
      <c r="B1847" s="116">
        <v>275.45</v>
      </c>
      <c r="C1847" s="116">
        <v>265.64999999999998</v>
      </c>
      <c r="D1847" s="116">
        <v>262.25</v>
      </c>
      <c r="E1847" s="116">
        <v>273.60000000000002</v>
      </c>
      <c r="F1847" s="116">
        <v>265.64999999999998</v>
      </c>
      <c r="G1847">
        <v>1570</v>
      </c>
      <c r="H1847" s="116"/>
      <c r="I1847" s="116"/>
      <c r="L1847" s="169">
        <v>44725</v>
      </c>
      <c r="M1847" s="116">
        <v>271.75</v>
      </c>
      <c r="N1847" s="116">
        <v>280</v>
      </c>
      <c r="O1847" s="116">
        <v>267.35000000000002</v>
      </c>
      <c r="P1847" s="116">
        <v>280</v>
      </c>
      <c r="Q1847" s="116">
        <v>271.75</v>
      </c>
      <c r="R1847">
        <v>21039</v>
      </c>
    </row>
    <row r="1848" spans="1:18" x14ac:dyDescent="0.25">
      <c r="A1848" s="169">
        <v>44757</v>
      </c>
      <c r="B1848" s="116">
        <v>267.45</v>
      </c>
      <c r="C1848" s="116">
        <v>267.14999999999998</v>
      </c>
      <c r="D1848" s="116">
        <v>263.10000000000002</v>
      </c>
      <c r="E1848" s="116">
        <v>264.35000000000002</v>
      </c>
      <c r="F1848" s="116">
        <v>267.14999999999998</v>
      </c>
      <c r="G1848">
        <v>673</v>
      </c>
      <c r="H1848" s="116"/>
      <c r="I1848" s="116"/>
      <c r="L1848" s="169">
        <v>44726</v>
      </c>
      <c r="M1848" s="116">
        <v>279.55</v>
      </c>
      <c r="N1848" s="116">
        <v>284.85000000000002</v>
      </c>
      <c r="O1848" s="116">
        <v>270.95</v>
      </c>
      <c r="P1848" s="116">
        <v>270.95</v>
      </c>
      <c r="Q1848" s="116">
        <v>279.55</v>
      </c>
      <c r="R1848">
        <v>17479</v>
      </c>
    </row>
    <row r="1849" spans="1:18" x14ac:dyDescent="0.25">
      <c r="A1849" s="169">
        <v>44760</v>
      </c>
      <c r="B1849" s="116">
        <v>271.85000000000002</v>
      </c>
      <c r="C1849" s="116">
        <v>263.5</v>
      </c>
      <c r="D1849" s="116">
        <v>261.89999999999998</v>
      </c>
      <c r="E1849" s="116">
        <v>271.85000000000002</v>
      </c>
      <c r="F1849" s="116">
        <v>263.5</v>
      </c>
      <c r="G1849">
        <v>3086</v>
      </c>
      <c r="H1849" s="116"/>
      <c r="I1849" s="116"/>
      <c r="L1849" s="169">
        <v>44727</v>
      </c>
      <c r="M1849" s="116">
        <v>277.2</v>
      </c>
      <c r="N1849" s="116">
        <v>286.89999999999998</v>
      </c>
      <c r="O1849" s="116">
        <v>273.64999999999998</v>
      </c>
      <c r="P1849" s="116">
        <v>284.7</v>
      </c>
      <c r="Q1849" s="116">
        <v>277.2</v>
      </c>
      <c r="R1849">
        <v>8102</v>
      </c>
    </row>
    <row r="1850" spans="1:18" x14ac:dyDescent="0.25">
      <c r="A1850" s="169">
        <v>44761</v>
      </c>
      <c r="B1850" s="116">
        <v>271.7</v>
      </c>
      <c r="C1850" s="116">
        <v>268.95</v>
      </c>
      <c r="D1850" s="116">
        <v>266.45</v>
      </c>
      <c r="E1850" s="116">
        <v>268.25</v>
      </c>
      <c r="F1850" s="116">
        <v>268.95</v>
      </c>
      <c r="G1850">
        <v>1487</v>
      </c>
      <c r="H1850" s="116"/>
      <c r="I1850" s="116"/>
      <c r="L1850" s="169">
        <v>44728</v>
      </c>
      <c r="M1850" s="116">
        <v>269.75</v>
      </c>
      <c r="N1850" s="116">
        <v>283.5</v>
      </c>
      <c r="O1850" s="116">
        <v>265.95</v>
      </c>
      <c r="P1850" s="116">
        <v>283.5</v>
      </c>
      <c r="Q1850" s="116">
        <v>269.75</v>
      </c>
      <c r="R1850">
        <v>13061</v>
      </c>
    </row>
    <row r="1851" spans="1:18" x14ac:dyDescent="0.25">
      <c r="A1851" s="169">
        <v>44762</v>
      </c>
      <c r="B1851" s="116">
        <v>279.95</v>
      </c>
      <c r="C1851" s="116">
        <v>273.95</v>
      </c>
      <c r="D1851" s="116">
        <v>272.3</v>
      </c>
      <c r="E1851" s="116">
        <v>279.95</v>
      </c>
      <c r="F1851" s="116">
        <v>273.95</v>
      </c>
      <c r="G1851">
        <v>298</v>
      </c>
      <c r="H1851" s="116"/>
      <c r="I1851" s="116"/>
      <c r="L1851" s="169">
        <v>44729</v>
      </c>
      <c r="M1851" s="116">
        <v>261.5</v>
      </c>
      <c r="N1851" s="116">
        <v>268.64999999999998</v>
      </c>
      <c r="O1851" s="116">
        <v>260.2</v>
      </c>
      <c r="P1851" s="116">
        <v>268.64999999999998</v>
      </c>
      <c r="Q1851" s="116">
        <v>261.5</v>
      </c>
      <c r="R1851">
        <v>11548</v>
      </c>
    </row>
    <row r="1852" spans="1:18" x14ac:dyDescent="0.25">
      <c r="A1852" s="169">
        <v>44763</v>
      </c>
      <c r="B1852" s="116">
        <v>275.10000000000002</v>
      </c>
      <c r="C1852" s="116">
        <v>273.35000000000002</v>
      </c>
      <c r="D1852" s="116">
        <v>271.10000000000002</v>
      </c>
      <c r="E1852" s="116">
        <v>273.95</v>
      </c>
      <c r="F1852" s="116">
        <v>273.35000000000002</v>
      </c>
      <c r="G1852">
        <v>741</v>
      </c>
      <c r="H1852" s="116"/>
      <c r="I1852" s="116"/>
      <c r="L1852" s="169">
        <v>44732</v>
      </c>
      <c r="M1852" s="116">
        <v>259.89999999999998</v>
      </c>
      <c r="N1852" s="116">
        <v>268.95</v>
      </c>
      <c r="O1852" s="116">
        <v>251.85</v>
      </c>
      <c r="P1852" s="116">
        <v>268.95</v>
      </c>
      <c r="Q1852" s="116">
        <v>259.89999999999998</v>
      </c>
      <c r="R1852">
        <v>18215</v>
      </c>
    </row>
    <row r="1853" spans="1:18" x14ac:dyDescent="0.25">
      <c r="A1853" s="169">
        <v>44764</v>
      </c>
      <c r="B1853" s="116">
        <v>287</v>
      </c>
      <c r="C1853" s="116">
        <v>285.2</v>
      </c>
      <c r="D1853" s="116">
        <v>275.8</v>
      </c>
      <c r="E1853" s="116">
        <v>275.8</v>
      </c>
      <c r="F1853" s="116">
        <v>285.2</v>
      </c>
      <c r="G1853">
        <v>1373</v>
      </c>
      <c r="H1853" s="116"/>
      <c r="I1853" s="116"/>
      <c r="L1853" s="169">
        <v>44733</v>
      </c>
      <c r="M1853" s="116">
        <v>265.75</v>
      </c>
      <c r="N1853" s="116">
        <v>272.3</v>
      </c>
      <c r="O1853" s="116">
        <v>261.2</v>
      </c>
      <c r="P1853" s="116">
        <v>261.2</v>
      </c>
      <c r="Q1853" s="116">
        <v>265.75</v>
      </c>
      <c r="R1853">
        <v>17311</v>
      </c>
    </row>
    <row r="1854" spans="1:18" x14ac:dyDescent="0.25">
      <c r="A1854" s="169">
        <v>44767</v>
      </c>
      <c r="B1854" s="116">
        <v>288</v>
      </c>
      <c r="C1854" s="116">
        <v>281.2</v>
      </c>
      <c r="D1854" s="116">
        <v>275.85000000000002</v>
      </c>
      <c r="E1854" s="116">
        <v>288</v>
      </c>
      <c r="F1854" s="116">
        <v>281.2</v>
      </c>
      <c r="G1854">
        <v>1952</v>
      </c>
      <c r="H1854" s="116"/>
      <c r="I1854" s="116"/>
      <c r="L1854" s="169">
        <v>44734</v>
      </c>
      <c r="M1854" s="116">
        <v>265.64999999999998</v>
      </c>
      <c r="N1854" s="116">
        <v>272.7</v>
      </c>
      <c r="O1854" s="116">
        <v>259.10000000000002</v>
      </c>
      <c r="P1854" s="116">
        <v>267</v>
      </c>
      <c r="Q1854" s="116">
        <v>265.64999999999998</v>
      </c>
      <c r="R1854">
        <v>15312</v>
      </c>
    </row>
    <row r="1855" spans="1:18" x14ac:dyDescent="0.25">
      <c r="A1855" s="169">
        <v>44768</v>
      </c>
      <c r="B1855" s="116">
        <v>278.3</v>
      </c>
      <c r="C1855" s="116">
        <v>273.75</v>
      </c>
      <c r="D1855" s="116">
        <v>273</v>
      </c>
      <c r="E1855" s="116">
        <v>276.8</v>
      </c>
      <c r="F1855" s="116">
        <v>273.75</v>
      </c>
      <c r="G1855">
        <v>649</v>
      </c>
      <c r="H1855" s="116"/>
      <c r="I1855" s="116"/>
      <c r="L1855" s="169">
        <v>44735</v>
      </c>
      <c r="M1855" s="116">
        <v>263.55</v>
      </c>
      <c r="N1855" s="116">
        <v>269.45</v>
      </c>
      <c r="O1855" s="116">
        <v>262.14999999999998</v>
      </c>
      <c r="P1855" s="116">
        <v>267.2</v>
      </c>
      <c r="Q1855" s="116">
        <v>263.55</v>
      </c>
      <c r="R1855">
        <v>4529</v>
      </c>
    </row>
    <row r="1856" spans="1:18" x14ac:dyDescent="0.25">
      <c r="A1856" s="169">
        <v>44769</v>
      </c>
      <c r="B1856" s="116">
        <v>274.3</v>
      </c>
      <c r="C1856" s="116">
        <v>264.3</v>
      </c>
      <c r="D1856" s="116">
        <v>261.64999999999998</v>
      </c>
      <c r="E1856" s="116">
        <v>270.55</v>
      </c>
      <c r="F1856" s="116">
        <v>264.3</v>
      </c>
      <c r="G1856">
        <v>2588</v>
      </c>
      <c r="H1856" s="116"/>
      <c r="I1856" s="116"/>
      <c r="L1856" s="169">
        <v>44736</v>
      </c>
      <c r="M1856" s="116">
        <v>280.05</v>
      </c>
      <c r="N1856" s="116">
        <v>283.35000000000002</v>
      </c>
      <c r="O1856" s="116">
        <v>265.14999999999998</v>
      </c>
      <c r="P1856" s="116">
        <v>268.25</v>
      </c>
      <c r="Q1856" s="116">
        <v>280.05</v>
      </c>
      <c r="R1856">
        <v>15404</v>
      </c>
    </row>
    <row r="1857" spans="1:18" x14ac:dyDescent="0.25">
      <c r="A1857" s="169">
        <v>44770</v>
      </c>
      <c r="B1857" s="116">
        <v>270.2</v>
      </c>
      <c r="C1857" s="116">
        <v>268.64999999999998</v>
      </c>
      <c r="D1857" s="116">
        <v>267</v>
      </c>
      <c r="E1857" s="116">
        <v>270.2</v>
      </c>
      <c r="F1857" s="116">
        <v>268.64999999999998</v>
      </c>
      <c r="G1857">
        <v>282</v>
      </c>
      <c r="H1857" s="116"/>
      <c r="I1857" s="116"/>
      <c r="L1857" s="169">
        <v>44739</v>
      </c>
      <c r="M1857" s="116">
        <v>279.60000000000002</v>
      </c>
      <c r="N1857" s="116">
        <v>290.5</v>
      </c>
      <c r="O1857" s="116">
        <v>275.2</v>
      </c>
      <c r="P1857" s="116">
        <v>286</v>
      </c>
      <c r="Q1857" s="116">
        <v>279.60000000000002</v>
      </c>
      <c r="R1857">
        <v>13396</v>
      </c>
    </row>
    <row r="1858" spans="1:18" x14ac:dyDescent="0.25">
      <c r="A1858" s="169">
        <v>44771</v>
      </c>
      <c r="B1858" s="116">
        <v>276</v>
      </c>
      <c r="C1858" s="116">
        <v>266.05</v>
      </c>
      <c r="D1858" s="116">
        <v>265.35000000000002</v>
      </c>
      <c r="E1858" s="116">
        <v>275.3</v>
      </c>
      <c r="F1858" s="116">
        <v>266.05</v>
      </c>
      <c r="G1858">
        <v>193</v>
      </c>
      <c r="H1858" s="116"/>
      <c r="I1858" s="116"/>
      <c r="L1858" s="169">
        <v>44740</v>
      </c>
      <c r="M1858" s="116">
        <v>281.3</v>
      </c>
      <c r="N1858" s="116">
        <v>284.60000000000002</v>
      </c>
      <c r="O1858" s="116">
        <v>272.25</v>
      </c>
      <c r="P1858" s="116">
        <v>277.25</v>
      </c>
      <c r="Q1858" s="116">
        <v>281.3</v>
      </c>
      <c r="R1858">
        <v>5828</v>
      </c>
    </row>
    <row r="1859" spans="1:18" x14ac:dyDescent="0.25">
      <c r="A1859" s="169">
        <v>44774</v>
      </c>
      <c r="B1859" s="116">
        <v>274.95</v>
      </c>
      <c r="C1859" s="116">
        <v>272.25</v>
      </c>
      <c r="D1859" s="116">
        <v>267.45</v>
      </c>
      <c r="E1859" s="116">
        <v>271.2</v>
      </c>
      <c r="F1859" s="116">
        <v>272.25</v>
      </c>
      <c r="G1859">
        <v>3116</v>
      </c>
      <c r="H1859" s="116"/>
      <c r="I1859" s="116"/>
      <c r="L1859" s="169">
        <v>44741</v>
      </c>
      <c r="M1859" s="116">
        <v>275.3</v>
      </c>
      <c r="N1859" s="116">
        <v>284.3</v>
      </c>
      <c r="O1859" s="116">
        <v>272.7</v>
      </c>
      <c r="P1859" s="116">
        <v>276.25</v>
      </c>
      <c r="Q1859" s="116">
        <v>275.3</v>
      </c>
      <c r="R1859">
        <v>6673</v>
      </c>
    </row>
    <row r="1860" spans="1:18" x14ac:dyDescent="0.25">
      <c r="A1860" s="169">
        <v>44775</v>
      </c>
      <c r="B1860" s="116">
        <v>280</v>
      </c>
      <c r="C1860" s="116">
        <v>269.8</v>
      </c>
      <c r="D1860" s="116">
        <v>267.8</v>
      </c>
      <c r="E1860" s="116">
        <v>279.95</v>
      </c>
      <c r="F1860" s="116">
        <v>269.8</v>
      </c>
      <c r="G1860">
        <v>5915</v>
      </c>
      <c r="H1860" s="116"/>
      <c r="I1860" s="116"/>
      <c r="L1860" s="169">
        <v>44742</v>
      </c>
      <c r="M1860" s="116">
        <v>271.85000000000002</v>
      </c>
      <c r="N1860" s="116">
        <v>278.35000000000002</v>
      </c>
      <c r="O1860" s="116">
        <v>269.45</v>
      </c>
      <c r="P1860" s="116">
        <v>273</v>
      </c>
      <c r="Q1860" s="116">
        <v>271.85000000000002</v>
      </c>
      <c r="R1860">
        <v>6786</v>
      </c>
    </row>
    <row r="1861" spans="1:18" x14ac:dyDescent="0.25">
      <c r="A1861" s="169">
        <v>44776</v>
      </c>
      <c r="B1861" s="116">
        <v>279.35000000000002</v>
      </c>
      <c r="C1861" s="116">
        <v>263.39999999999998</v>
      </c>
      <c r="D1861" s="116">
        <v>261.10000000000002</v>
      </c>
      <c r="E1861" s="116">
        <v>271</v>
      </c>
      <c r="F1861" s="116">
        <v>263.39999999999998</v>
      </c>
      <c r="G1861">
        <v>4783</v>
      </c>
      <c r="H1861" s="116"/>
      <c r="I1861" s="116"/>
      <c r="L1861" s="169">
        <v>44743</v>
      </c>
      <c r="M1861" s="116">
        <v>279.64999999999998</v>
      </c>
      <c r="N1861" s="116">
        <v>281</v>
      </c>
      <c r="O1861" s="116">
        <v>270.64999999999998</v>
      </c>
      <c r="P1861" s="116">
        <v>273.64999999999998</v>
      </c>
      <c r="Q1861" s="116">
        <v>279.64999999999998</v>
      </c>
      <c r="R1861">
        <v>8617</v>
      </c>
    </row>
    <row r="1862" spans="1:18" x14ac:dyDescent="0.25">
      <c r="A1862" s="169">
        <v>44777</v>
      </c>
      <c r="B1862" s="116">
        <v>266.64999999999998</v>
      </c>
      <c r="C1862" s="116">
        <v>261.7</v>
      </c>
      <c r="D1862" s="116">
        <v>259</v>
      </c>
      <c r="E1862" s="116">
        <v>266.39999999999998</v>
      </c>
      <c r="F1862" s="116">
        <v>261.7</v>
      </c>
      <c r="G1862">
        <v>1856</v>
      </c>
      <c r="H1862" s="116"/>
      <c r="I1862" s="116"/>
      <c r="L1862" s="169">
        <v>44746</v>
      </c>
      <c r="M1862" s="116">
        <v>277.60000000000002</v>
      </c>
      <c r="N1862" s="116">
        <v>284.75</v>
      </c>
      <c r="O1862" s="116">
        <v>276.25</v>
      </c>
      <c r="P1862" s="116">
        <v>278.2</v>
      </c>
      <c r="Q1862" s="116">
        <v>277.60000000000002</v>
      </c>
      <c r="R1862">
        <v>5319</v>
      </c>
    </row>
    <row r="1863" spans="1:18" x14ac:dyDescent="0.25">
      <c r="A1863" s="169">
        <v>44778</v>
      </c>
      <c r="B1863" s="116">
        <v>267.45</v>
      </c>
      <c r="C1863" s="116">
        <v>263.5</v>
      </c>
      <c r="D1863" s="116">
        <v>259.7</v>
      </c>
      <c r="E1863" s="116">
        <v>266.95</v>
      </c>
      <c r="F1863" s="116">
        <v>263.5</v>
      </c>
      <c r="G1863">
        <v>276</v>
      </c>
      <c r="H1863" s="116"/>
      <c r="I1863" s="116"/>
      <c r="L1863" s="169">
        <v>44747</v>
      </c>
      <c r="M1863" s="116">
        <v>273.85000000000002</v>
      </c>
      <c r="N1863" s="116">
        <v>284.7</v>
      </c>
      <c r="O1863" s="116">
        <v>271.14999999999998</v>
      </c>
      <c r="P1863" s="116">
        <v>281.25</v>
      </c>
      <c r="Q1863" s="116">
        <v>273.85000000000002</v>
      </c>
      <c r="R1863">
        <v>11413</v>
      </c>
    </row>
    <row r="1864" spans="1:18" x14ac:dyDescent="0.25">
      <c r="A1864" s="169">
        <v>44781</v>
      </c>
      <c r="B1864" s="116">
        <v>267.10000000000002</v>
      </c>
      <c r="C1864" s="116">
        <v>264.45</v>
      </c>
      <c r="D1864" s="116">
        <v>258</v>
      </c>
      <c r="E1864" s="116">
        <v>263.55</v>
      </c>
      <c r="F1864" s="116">
        <v>264.45</v>
      </c>
      <c r="G1864">
        <v>1249</v>
      </c>
      <c r="H1864" s="116"/>
      <c r="I1864" s="116"/>
      <c r="L1864" s="169">
        <v>44748</v>
      </c>
      <c r="M1864" s="116">
        <v>282.2</v>
      </c>
      <c r="N1864" s="116">
        <v>284</v>
      </c>
      <c r="O1864" s="116">
        <v>272.10000000000002</v>
      </c>
      <c r="P1864" s="116">
        <v>277.89999999999998</v>
      </c>
      <c r="Q1864" s="116">
        <v>282.2</v>
      </c>
      <c r="R1864">
        <v>7120</v>
      </c>
    </row>
    <row r="1865" spans="1:18" x14ac:dyDescent="0.25">
      <c r="A1865" s="169">
        <v>44783</v>
      </c>
      <c r="B1865" s="116">
        <v>263.60000000000002</v>
      </c>
      <c r="C1865" s="116">
        <v>260.8</v>
      </c>
      <c r="D1865" s="116">
        <v>255.3</v>
      </c>
      <c r="E1865" s="116">
        <v>263.60000000000002</v>
      </c>
      <c r="F1865" s="116">
        <v>260.8</v>
      </c>
      <c r="G1865">
        <v>2460</v>
      </c>
      <c r="H1865" s="116"/>
      <c r="I1865" s="116"/>
      <c r="L1865" s="169">
        <v>44749</v>
      </c>
      <c r="M1865" s="116">
        <v>274.89999999999998</v>
      </c>
      <c r="N1865" s="116">
        <v>284.89999999999998</v>
      </c>
      <c r="O1865" s="116">
        <v>272.64999999999998</v>
      </c>
      <c r="P1865" s="116">
        <v>284.89999999999998</v>
      </c>
      <c r="Q1865" s="116">
        <v>274.89999999999998</v>
      </c>
      <c r="R1865">
        <v>17822</v>
      </c>
    </row>
    <row r="1866" spans="1:18" x14ac:dyDescent="0.25">
      <c r="A1866" s="169">
        <v>44784</v>
      </c>
      <c r="B1866" s="116">
        <v>266.60000000000002</v>
      </c>
      <c r="C1866" s="116">
        <v>260.95</v>
      </c>
      <c r="D1866" s="116">
        <v>256</v>
      </c>
      <c r="E1866" s="116">
        <v>259.5</v>
      </c>
      <c r="F1866" s="116">
        <v>260.95</v>
      </c>
      <c r="G1866">
        <v>1664</v>
      </c>
      <c r="H1866" s="116"/>
      <c r="I1866" s="116"/>
      <c r="L1866" s="169">
        <v>44750</v>
      </c>
      <c r="M1866" s="116">
        <v>285.10000000000002</v>
      </c>
      <c r="N1866" s="116">
        <v>286.75</v>
      </c>
      <c r="O1866" s="116">
        <v>276.25</v>
      </c>
      <c r="P1866" s="116">
        <v>277.2</v>
      </c>
      <c r="Q1866" s="116">
        <v>285.10000000000002</v>
      </c>
      <c r="R1866">
        <v>17277</v>
      </c>
    </row>
    <row r="1867" spans="1:18" x14ac:dyDescent="0.25">
      <c r="A1867" s="169">
        <v>44785</v>
      </c>
      <c r="B1867" s="116">
        <v>265.10000000000002</v>
      </c>
      <c r="C1867" s="116">
        <v>261.2</v>
      </c>
      <c r="D1867" s="116">
        <v>256.89999999999998</v>
      </c>
      <c r="E1867" s="116">
        <v>261</v>
      </c>
      <c r="F1867" s="116">
        <v>261.2</v>
      </c>
      <c r="G1867">
        <v>3037</v>
      </c>
      <c r="H1867" s="116"/>
      <c r="I1867" s="116"/>
      <c r="L1867" s="169">
        <v>44753</v>
      </c>
      <c r="M1867" s="116">
        <v>284</v>
      </c>
      <c r="N1867" s="116">
        <v>286.95</v>
      </c>
      <c r="O1867" s="116">
        <v>281.05</v>
      </c>
      <c r="P1867" s="116">
        <v>284.60000000000002</v>
      </c>
      <c r="Q1867" s="116">
        <v>284</v>
      </c>
      <c r="R1867">
        <v>8576</v>
      </c>
    </row>
    <row r="1868" spans="1:18" x14ac:dyDescent="0.25">
      <c r="A1868" s="169">
        <v>44789</v>
      </c>
      <c r="B1868" s="116">
        <v>269.60000000000002</v>
      </c>
      <c r="C1868" s="116">
        <v>257.10000000000002</v>
      </c>
      <c r="D1868" s="116">
        <v>252.1</v>
      </c>
      <c r="E1868" s="116">
        <v>257</v>
      </c>
      <c r="F1868" s="116">
        <v>257.10000000000002</v>
      </c>
      <c r="G1868">
        <v>1432</v>
      </c>
      <c r="H1868" s="116"/>
      <c r="I1868" s="116"/>
      <c r="L1868" s="169">
        <v>44754</v>
      </c>
      <c r="M1868" s="116">
        <v>281.3</v>
      </c>
      <c r="N1868" s="116">
        <v>287.05</v>
      </c>
      <c r="O1868" s="116">
        <v>276.35000000000002</v>
      </c>
      <c r="P1868" s="116">
        <v>284</v>
      </c>
      <c r="Q1868" s="116">
        <v>281.3</v>
      </c>
      <c r="R1868">
        <v>8416</v>
      </c>
    </row>
    <row r="1869" spans="1:18" x14ac:dyDescent="0.25">
      <c r="A1869" s="169">
        <v>44790</v>
      </c>
      <c r="B1869" s="116">
        <v>308.5</v>
      </c>
      <c r="C1869" s="116">
        <v>295.05</v>
      </c>
      <c r="D1869" s="116">
        <v>256.85000000000002</v>
      </c>
      <c r="E1869" s="116">
        <v>259.95</v>
      </c>
      <c r="F1869" s="116">
        <v>295.05</v>
      </c>
      <c r="G1869">
        <v>36855</v>
      </c>
      <c r="H1869" s="116"/>
      <c r="I1869" s="116"/>
      <c r="L1869" s="169">
        <v>44755</v>
      </c>
      <c r="M1869" s="116">
        <v>273.60000000000002</v>
      </c>
      <c r="N1869" s="116">
        <v>285.95</v>
      </c>
      <c r="O1869" s="116">
        <v>271.39999999999998</v>
      </c>
      <c r="P1869" s="116">
        <v>284</v>
      </c>
      <c r="Q1869" s="116">
        <v>273.60000000000002</v>
      </c>
      <c r="R1869">
        <v>15356</v>
      </c>
    </row>
    <row r="1870" spans="1:18" x14ac:dyDescent="0.25">
      <c r="A1870" s="169">
        <v>44791</v>
      </c>
      <c r="B1870" s="116">
        <v>323.35000000000002</v>
      </c>
      <c r="C1870" s="116">
        <v>313.10000000000002</v>
      </c>
      <c r="D1870" s="116">
        <v>297</v>
      </c>
      <c r="E1870" s="116">
        <v>299.60000000000002</v>
      </c>
      <c r="F1870" s="116">
        <v>313.10000000000002</v>
      </c>
      <c r="G1870">
        <v>15946</v>
      </c>
      <c r="H1870" s="116"/>
      <c r="I1870" s="116"/>
      <c r="L1870" s="169">
        <v>44756</v>
      </c>
      <c r="M1870" s="116">
        <v>265.10000000000002</v>
      </c>
      <c r="N1870" s="116">
        <v>276.3</v>
      </c>
      <c r="O1870" s="116">
        <v>262.05</v>
      </c>
      <c r="P1870" s="116">
        <v>272.7</v>
      </c>
      <c r="Q1870" s="116">
        <v>265.10000000000002</v>
      </c>
      <c r="R1870">
        <v>15232</v>
      </c>
    </row>
    <row r="1871" spans="1:18" x14ac:dyDescent="0.25">
      <c r="A1871" s="169">
        <v>44792</v>
      </c>
      <c r="B1871" s="116">
        <v>319</v>
      </c>
      <c r="C1871" s="116">
        <v>306.05</v>
      </c>
      <c r="D1871" s="116">
        <v>306.05</v>
      </c>
      <c r="E1871" s="116">
        <v>316.05</v>
      </c>
      <c r="F1871" s="116">
        <v>306.05</v>
      </c>
      <c r="G1871">
        <v>3039</v>
      </c>
      <c r="H1871" s="116"/>
      <c r="I1871" s="116"/>
      <c r="L1871" s="169">
        <v>44757</v>
      </c>
      <c r="M1871" s="116">
        <v>266.64999999999998</v>
      </c>
      <c r="N1871" s="116">
        <v>267.95</v>
      </c>
      <c r="O1871" s="116">
        <v>262.05</v>
      </c>
      <c r="P1871" s="116">
        <v>262.05</v>
      </c>
      <c r="Q1871" s="116">
        <v>266.64999999999998</v>
      </c>
      <c r="R1871">
        <v>3724</v>
      </c>
    </row>
    <row r="1872" spans="1:18" x14ac:dyDescent="0.25">
      <c r="A1872" s="169">
        <v>44795</v>
      </c>
      <c r="B1872" s="116">
        <v>310</v>
      </c>
      <c r="C1872" s="116">
        <v>306.45</v>
      </c>
      <c r="D1872" s="116">
        <v>295</v>
      </c>
      <c r="E1872" s="116">
        <v>310</v>
      </c>
      <c r="F1872" s="116">
        <v>306.45</v>
      </c>
      <c r="G1872">
        <v>3164</v>
      </c>
      <c r="H1872" s="116"/>
      <c r="I1872" s="116"/>
      <c r="L1872" s="169">
        <v>44760</v>
      </c>
      <c r="M1872" s="116">
        <v>265.3</v>
      </c>
      <c r="N1872" s="116">
        <v>275</v>
      </c>
      <c r="O1872" s="116">
        <v>262.2</v>
      </c>
      <c r="P1872" s="116">
        <v>271.39999999999998</v>
      </c>
      <c r="Q1872" s="116">
        <v>265.3</v>
      </c>
      <c r="R1872">
        <v>27899</v>
      </c>
    </row>
    <row r="1873" spans="1:18" x14ac:dyDescent="0.25">
      <c r="A1873" s="169">
        <v>44796</v>
      </c>
      <c r="B1873" s="116">
        <v>349</v>
      </c>
      <c r="C1873" s="116">
        <v>346.05</v>
      </c>
      <c r="D1873" s="116">
        <v>302.60000000000002</v>
      </c>
      <c r="E1873" s="116">
        <v>303.60000000000002</v>
      </c>
      <c r="F1873" s="116">
        <v>346.05</v>
      </c>
      <c r="G1873">
        <v>22135</v>
      </c>
      <c r="H1873" s="116"/>
      <c r="I1873" s="116"/>
      <c r="L1873" s="169">
        <v>44761</v>
      </c>
      <c r="M1873" s="116">
        <v>271.2</v>
      </c>
      <c r="N1873" s="116">
        <v>273.3</v>
      </c>
      <c r="O1873" s="116">
        <v>264.45</v>
      </c>
      <c r="P1873" s="116">
        <v>265.39999999999998</v>
      </c>
      <c r="Q1873" s="116">
        <v>271.2</v>
      </c>
      <c r="R1873">
        <v>19951</v>
      </c>
    </row>
    <row r="1874" spans="1:18" x14ac:dyDescent="0.25">
      <c r="A1874" s="169">
        <v>44797</v>
      </c>
      <c r="B1874" s="116">
        <v>349.6</v>
      </c>
      <c r="C1874" s="116">
        <v>343.85</v>
      </c>
      <c r="D1874" s="116">
        <v>336.95</v>
      </c>
      <c r="E1874" s="116">
        <v>344.8</v>
      </c>
      <c r="F1874" s="116">
        <v>343.85</v>
      </c>
      <c r="G1874">
        <v>8877</v>
      </c>
      <c r="H1874" s="116"/>
      <c r="I1874" s="116"/>
      <c r="L1874" s="169">
        <v>44762</v>
      </c>
      <c r="M1874" s="116">
        <v>273.89999999999998</v>
      </c>
      <c r="N1874" s="116">
        <v>282</v>
      </c>
      <c r="O1874" s="116">
        <v>271.5</v>
      </c>
      <c r="P1874" s="116">
        <v>275</v>
      </c>
      <c r="Q1874" s="116">
        <v>273.89999999999998</v>
      </c>
      <c r="R1874">
        <v>18856</v>
      </c>
    </row>
    <row r="1875" spans="1:18" x14ac:dyDescent="0.25">
      <c r="A1875" s="169">
        <v>44798</v>
      </c>
      <c r="B1875" s="116">
        <v>359.95</v>
      </c>
      <c r="C1875" s="116">
        <v>336.95</v>
      </c>
      <c r="D1875" s="116">
        <v>334</v>
      </c>
      <c r="E1875" s="116">
        <v>350</v>
      </c>
      <c r="F1875" s="116">
        <v>336.95</v>
      </c>
      <c r="G1875">
        <v>6909</v>
      </c>
      <c r="H1875" s="116"/>
      <c r="I1875" s="116"/>
      <c r="L1875" s="169">
        <v>44763</v>
      </c>
      <c r="M1875" s="116">
        <v>273.7</v>
      </c>
      <c r="N1875" s="116">
        <v>277.89999999999998</v>
      </c>
      <c r="O1875" s="116">
        <v>271.89999999999998</v>
      </c>
      <c r="P1875" s="116">
        <v>277.89999999999998</v>
      </c>
      <c r="Q1875" s="116">
        <v>273.7</v>
      </c>
      <c r="R1875">
        <v>8640</v>
      </c>
    </row>
    <row r="1876" spans="1:18" x14ac:dyDescent="0.25">
      <c r="A1876" s="169">
        <v>44799</v>
      </c>
      <c r="B1876" s="116">
        <v>347.45</v>
      </c>
      <c r="C1876" s="116">
        <v>327.39999999999998</v>
      </c>
      <c r="D1876" s="116">
        <v>326</v>
      </c>
      <c r="E1876" s="116">
        <v>341.95</v>
      </c>
      <c r="F1876" s="116">
        <v>327.39999999999998</v>
      </c>
      <c r="G1876">
        <v>2663</v>
      </c>
      <c r="H1876" s="116"/>
      <c r="I1876" s="116"/>
      <c r="L1876" s="169">
        <v>44764</v>
      </c>
      <c r="M1876" s="116">
        <v>284.39999999999998</v>
      </c>
      <c r="N1876" s="116">
        <v>287</v>
      </c>
      <c r="O1876" s="116">
        <v>271.95</v>
      </c>
      <c r="P1876" s="116">
        <v>271.95</v>
      </c>
      <c r="Q1876" s="116">
        <v>284.39999999999998</v>
      </c>
      <c r="R1876">
        <v>30799</v>
      </c>
    </row>
    <row r="1877" spans="1:18" x14ac:dyDescent="0.25">
      <c r="A1877" s="169">
        <v>44802</v>
      </c>
      <c r="B1877" s="116">
        <v>327.5</v>
      </c>
      <c r="C1877" s="116">
        <v>317</v>
      </c>
      <c r="D1877" s="116">
        <v>309.25</v>
      </c>
      <c r="E1877" s="116">
        <v>319</v>
      </c>
      <c r="F1877" s="116">
        <v>317</v>
      </c>
      <c r="G1877">
        <v>845</v>
      </c>
      <c r="H1877" s="116"/>
      <c r="I1877" s="116"/>
      <c r="L1877" s="169">
        <v>44767</v>
      </c>
      <c r="M1877" s="116">
        <v>278.45</v>
      </c>
      <c r="N1877" s="116">
        <v>286</v>
      </c>
      <c r="O1877" s="116">
        <v>277</v>
      </c>
      <c r="P1877" s="116">
        <v>286</v>
      </c>
      <c r="Q1877" s="116">
        <v>278.45</v>
      </c>
      <c r="R1877">
        <v>11844</v>
      </c>
    </row>
    <row r="1878" spans="1:18" x14ac:dyDescent="0.25">
      <c r="A1878" s="169">
        <v>44803</v>
      </c>
      <c r="B1878" s="116">
        <v>335</v>
      </c>
      <c r="C1878" s="116">
        <v>325.10000000000002</v>
      </c>
      <c r="D1878" s="116">
        <v>324.5</v>
      </c>
      <c r="E1878" s="116">
        <v>324.5</v>
      </c>
      <c r="F1878" s="116">
        <v>325.10000000000002</v>
      </c>
      <c r="G1878">
        <v>1664</v>
      </c>
      <c r="H1878" s="116"/>
      <c r="I1878" s="116"/>
      <c r="L1878" s="169">
        <v>44768</v>
      </c>
      <c r="M1878" s="116">
        <v>272.8</v>
      </c>
      <c r="N1878" s="116">
        <v>282</v>
      </c>
      <c r="O1878" s="116">
        <v>272</v>
      </c>
      <c r="P1878" s="116">
        <v>282</v>
      </c>
      <c r="Q1878" s="116">
        <v>272.8</v>
      </c>
      <c r="R1878">
        <v>6006</v>
      </c>
    </row>
    <row r="1879" spans="1:18" x14ac:dyDescent="0.25">
      <c r="A1879" s="169">
        <v>44805</v>
      </c>
      <c r="B1879" s="116">
        <v>333</v>
      </c>
      <c r="C1879" s="116">
        <v>328.95</v>
      </c>
      <c r="D1879" s="116">
        <v>323.05</v>
      </c>
      <c r="E1879" s="116">
        <v>325</v>
      </c>
      <c r="F1879" s="116">
        <v>328.95</v>
      </c>
      <c r="G1879">
        <v>1092</v>
      </c>
      <c r="H1879" s="116"/>
      <c r="I1879" s="116"/>
      <c r="L1879" s="169">
        <v>44769</v>
      </c>
      <c r="M1879" s="116">
        <v>266.7</v>
      </c>
      <c r="N1879" s="116">
        <v>278.2</v>
      </c>
      <c r="O1879" s="116">
        <v>265.14999999999998</v>
      </c>
      <c r="P1879" s="116">
        <v>270</v>
      </c>
      <c r="Q1879" s="116">
        <v>266.7</v>
      </c>
      <c r="R1879">
        <v>13082</v>
      </c>
    </row>
    <row r="1880" spans="1:18" x14ac:dyDescent="0.25">
      <c r="A1880" s="169">
        <v>44806</v>
      </c>
      <c r="B1880" s="116">
        <v>329.55</v>
      </c>
      <c r="C1880" s="116">
        <v>317.75</v>
      </c>
      <c r="D1880" s="116">
        <v>315.39999999999998</v>
      </c>
      <c r="E1880" s="116">
        <v>326.39999999999998</v>
      </c>
      <c r="F1880" s="116">
        <v>317.75</v>
      </c>
      <c r="G1880">
        <v>4313</v>
      </c>
      <c r="H1880" s="116"/>
      <c r="I1880" s="116"/>
      <c r="L1880" s="169">
        <v>44770</v>
      </c>
      <c r="M1880" s="116">
        <v>269.2</v>
      </c>
      <c r="N1880" s="116">
        <v>271.05</v>
      </c>
      <c r="O1880" s="116">
        <v>265.55</v>
      </c>
      <c r="P1880" s="116">
        <v>270</v>
      </c>
      <c r="Q1880" s="116">
        <v>269.2</v>
      </c>
      <c r="R1880">
        <v>8814</v>
      </c>
    </row>
    <row r="1881" spans="1:18" x14ac:dyDescent="0.25">
      <c r="A1881" s="169">
        <v>44809</v>
      </c>
      <c r="B1881" s="116">
        <v>327.9</v>
      </c>
      <c r="C1881" s="116">
        <v>321.45</v>
      </c>
      <c r="D1881" s="116">
        <v>308.10000000000002</v>
      </c>
      <c r="E1881" s="116">
        <v>308.10000000000002</v>
      </c>
      <c r="F1881" s="116">
        <v>321.45</v>
      </c>
      <c r="G1881">
        <v>1118</v>
      </c>
      <c r="H1881" s="116"/>
      <c r="I1881" s="116"/>
      <c r="L1881" s="169">
        <v>44771</v>
      </c>
      <c r="M1881" s="116">
        <v>266.7</v>
      </c>
      <c r="N1881" s="116">
        <v>276</v>
      </c>
      <c r="O1881" s="116">
        <v>265</v>
      </c>
      <c r="P1881" s="116">
        <v>270</v>
      </c>
      <c r="Q1881" s="116">
        <v>266.7</v>
      </c>
      <c r="R1881">
        <v>14762</v>
      </c>
    </row>
    <row r="1882" spans="1:18" x14ac:dyDescent="0.25">
      <c r="A1882" s="169">
        <v>44810</v>
      </c>
      <c r="B1882" s="116">
        <v>323.5</v>
      </c>
      <c r="C1882" s="116">
        <v>323.14999999999998</v>
      </c>
      <c r="D1882" s="116">
        <v>316.55</v>
      </c>
      <c r="E1882" s="116">
        <v>320.64999999999998</v>
      </c>
      <c r="F1882" s="116">
        <v>323.14999999999998</v>
      </c>
      <c r="G1882">
        <v>3493</v>
      </c>
      <c r="H1882" s="116"/>
      <c r="I1882" s="116"/>
      <c r="L1882" s="169">
        <v>44774</v>
      </c>
      <c r="M1882" s="116">
        <v>271.5</v>
      </c>
      <c r="N1882" s="116">
        <v>275.2</v>
      </c>
      <c r="O1882" s="116">
        <v>267.10000000000002</v>
      </c>
      <c r="P1882" s="116">
        <v>268</v>
      </c>
      <c r="Q1882" s="116">
        <v>271.5</v>
      </c>
      <c r="R1882">
        <v>39818</v>
      </c>
    </row>
    <row r="1883" spans="1:18" x14ac:dyDescent="0.25">
      <c r="A1883" s="169">
        <v>44811</v>
      </c>
      <c r="B1883" s="116">
        <v>327.75</v>
      </c>
      <c r="C1883" s="116">
        <v>320</v>
      </c>
      <c r="D1883" s="116">
        <v>317</v>
      </c>
      <c r="E1883" s="116">
        <v>317</v>
      </c>
      <c r="F1883" s="116">
        <v>320</v>
      </c>
      <c r="G1883">
        <v>1359</v>
      </c>
      <c r="H1883" s="116"/>
      <c r="I1883" s="116"/>
      <c r="L1883" s="169">
        <v>44775</v>
      </c>
      <c r="M1883" s="116">
        <v>269.64999999999998</v>
      </c>
      <c r="N1883" s="116">
        <v>281.39999999999998</v>
      </c>
      <c r="O1883" s="116">
        <v>268</v>
      </c>
      <c r="P1883" s="116">
        <v>274.89999999999998</v>
      </c>
      <c r="Q1883" s="116">
        <v>269.64999999999998</v>
      </c>
      <c r="R1883">
        <v>42322</v>
      </c>
    </row>
    <row r="1884" spans="1:18" x14ac:dyDescent="0.25">
      <c r="A1884" s="169">
        <v>44812</v>
      </c>
      <c r="B1884" s="116">
        <v>329.5</v>
      </c>
      <c r="C1884" s="116">
        <v>314.60000000000002</v>
      </c>
      <c r="D1884" s="116">
        <v>312</v>
      </c>
      <c r="E1884" s="116">
        <v>329.5</v>
      </c>
      <c r="F1884" s="116">
        <v>314.60000000000002</v>
      </c>
      <c r="G1884">
        <v>1246</v>
      </c>
      <c r="H1884" s="116"/>
      <c r="I1884" s="116"/>
      <c r="L1884" s="169">
        <v>44776</v>
      </c>
      <c r="M1884" s="116">
        <v>263.60000000000002</v>
      </c>
      <c r="N1884" s="116">
        <v>276.85000000000002</v>
      </c>
      <c r="O1884" s="116">
        <v>262.05</v>
      </c>
      <c r="P1884" s="116">
        <v>271.10000000000002</v>
      </c>
      <c r="Q1884" s="116">
        <v>263.60000000000002</v>
      </c>
      <c r="R1884">
        <v>25121</v>
      </c>
    </row>
    <row r="1885" spans="1:18" x14ac:dyDescent="0.25">
      <c r="A1885" s="169">
        <v>44813</v>
      </c>
      <c r="B1885" s="116">
        <v>331</v>
      </c>
      <c r="C1885" s="116">
        <v>322.64999999999998</v>
      </c>
      <c r="D1885" s="116">
        <v>314.10000000000002</v>
      </c>
      <c r="E1885" s="116">
        <v>317.10000000000002</v>
      </c>
      <c r="F1885" s="116">
        <v>322.64999999999998</v>
      </c>
      <c r="G1885">
        <v>4598</v>
      </c>
      <c r="H1885" s="116"/>
      <c r="I1885" s="116"/>
      <c r="L1885" s="169">
        <v>44777</v>
      </c>
      <c r="M1885" s="116">
        <v>261.75</v>
      </c>
      <c r="N1885" s="116">
        <v>266.89999999999998</v>
      </c>
      <c r="O1885" s="116">
        <v>258.05</v>
      </c>
      <c r="P1885" s="116">
        <v>266.89999999999998</v>
      </c>
      <c r="Q1885" s="116">
        <v>261.75</v>
      </c>
      <c r="R1885">
        <v>32618</v>
      </c>
    </row>
    <row r="1886" spans="1:18" x14ac:dyDescent="0.25">
      <c r="A1886" s="169">
        <v>44816</v>
      </c>
      <c r="B1886" s="116">
        <v>337</v>
      </c>
      <c r="C1886" s="116">
        <v>333.5</v>
      </c>
      <c r="D1886" s="116">
        <v>323.5</v>
      </c>
      <c r="E1886" s="116">
        <v>326.45</v>
      </c>
      <c r="F1886" s="116">
        <v>333.5</v>
      </c>
      <c r="G1886">
        <v>3743</v>
      </c>
      <c r="H1886" s="116"/>
      <c r="I1886" s="116"/>
      <c r="L1886" s="169">
        <v>44778</v>
      </c>
      <c r="M1886" s="116">
        <v>262.64999999999998</v>
      </c>
      <c r="N1886" s="116">
        <v>266.5</v>
      </c>
      <c r="O1886" s="116">
        <v>260.14999999999998</v>
      </c>
      <c r="P1886" s="116">
        <v>262.64999999999998</v>
      </c>
      <c r="Q1886" s="116">
        <v>262.64999999999998</v>
      </c>
      <c r="R1886">
        <v>57417</v>
      </c>
    </row>
    <row r="1887" spans="1:18" x14ac:dyDescent="0.25">
      <c r="A1887" s="169">
        <v>44817</v>
      </c>
      <c r="B1887" s="116">
        <v>337.55</v>
      </c>
      <c r="C1887" s="116">
        <v>328.1</v>
      </c>
      <c r="D1887" s="116">
        <v>325.10000000000002</v>
      </c>
      <c r="E1887" s="116">
        <v>325.10000000000002</v>
      </c>
      <c r="F1887" s="116">
        <v>328.1</v>
      </c>
      <c r="G1887">
        <v>3720</v>
      </c>
      <c r="H1887" s="116"/>
      <c r="I1887" s="116"/>
      <c r="L1887" s="169">
        <v>44781</v>
      </c>
      <c r="M1887" s="116">
        <v>264.05</v>
      </c>
      <c r="N1887" s="116">
        <v>267.89999999999998</v>
      </c>
      <c r="O1887" s="116">
        <v>261.60000000000002</v>
      </c>
      <c r="P1887" s="116">
        <v>267.89999999999998</v>
      </c>
      <c r="Q1887" s="116">
        <v>264.05</v>
      </c>
      <c r="R1887">
        <v>12563</v>
      </c>
    </row>
    <row r="1888" spans="1:18" x14ac:dyDescent="0.25">
      <c r="A1888" s="169">
        <v>44818</v>
      </c>
      <c r="B1888" s="116">
        <v>324.64999999999998</v>
      </c>
      <c r="C1888" s="116">
        <v>321.39999999999998</v>
      </c>
      <c r="D1888" s="116">
        <v>318</v>
      </c>
      <c r="E1888" s="116">
        <v>320.45</v>
      </c>
      <c r="F1888" s="116">
        <v>321.39999999999998</v>
      </c>
      <c r="G1888">
        <v>1513</v>
      </c>
      <c r="H1888" s="116"/>
      <c r="I1888" s="116"/>
      <c r="L1888" s="169">
        <v>44783</v>
      </c>
      <c r="M1888" s="116">
        <v>260.14999999999998</v>
      </c>
      <c r="N1888" s="116">
        <v>267</v>
      </c>
      <c r="O1888" s="116">
        <v>259.60000000000002</v>
      </c>
      <c r="P1888" s="116">
        <v>267</v>
      </c>
      <c r="Q1888" s="116">
        <v>260.14999999999998</v>
      </c>
      <c r="R1888">
        <v>11794</v>
      </c>
    </row>
    <row r="1889" spans="1:18" x14ac:dyDescent="0.25">
      <c r="A1889" s="169">
        <v>44819</v>
      </c>
      <c r="B1889" s="116">
        <v>323.95</v>
      </c>
      <c r="C1889" s="116">
        <v>318.05</v>
      </c>
      <c r="D1889" s="116">
        <v>316</v>
      </c>
      <c r="E1889" s="116">
        <v>323.95</v>
      </c>
      <c r="F1889" s="116">
        <v>318.05</v>
      </c>
      <c r="G1889">
        <v>283</v>
      </c>
      <c r="H1889" s="116"/>
      <c r="I1889" s="116"/>
      <c r="L1889" s="169">
        <v>44784</v>
      </c>
      <c r="M1889" s="116">
        <v>260.75</v>
      </c>
      <c r="N1889" s="116">
        <v>264</v>
      </c>
      <c r="O1889" s="116">
        <v>259.25</v>
      </c>
      <c r="P1889" s="116">
        <v>262.89999999999998</v>
      </c>
      <c r="Q1889" s="116">
        <v>260.75</v>
      </c>
      <c r="R1889">
        <v>9109</v>
      </c>
    </row>
    <row r="1890" spans="1:18" x14ac:dyDescent="0.25">
      <c r="A1890" s="169">
        <v>44820</v>
      </c>
      <c r="B1890" s="116">
        <v>329.25</v>
      </c>
      <c r="C1890" s="116">
        <v>316.45</v>
      </c>
      <c r="D1890" s="116">
        <v>310.45</v>
      </c>
      <c r="E1890" s="116">
        <v>316</v>
      </c>
      <c r="F1890" s="116">
        <v>316.45</v>
      </c>
      <c r="G1890">
        <v>4351</v>
      </c>
      <c r="H1890" s="116"/>
      <c r="I1890" s="116"/>
      <c r="L1890" s="169">
        <v>44785</v>
      </c>
      <c r="M1890" s="116">
        <v>261.25</v>
      </c>
      <c r="N1890" s="116">
        <v>264.75</v>
      </c>
      <c r="O1890" s="116">
        <v>257.8</v>
      </c>
      <c r="P1890" s="116">
        <v>261.5</v>
      </c>
      <c r="Q1890" s="116">
        <v>261.25</v>
      </c>
      <c r="R1890">
        <v>13340</v>
      </c>
    </row>
    <row r="1891" spans="1:18" x14ac:dyDescent="0.25">
      <c r="A1891" s="169">
        <v>44823</v>
      </c>
      <c r="B1891" s="116">
        <v>324.35000000000002</v>
      </c>
      <c r="C1891" s="116">
        <v>313.10000000000002</v>
      </c>
      <c r="D1891" s="116">
        <v>309.55</v>
      </c>
      <c r="E1891" s="116">
        <v>315.75</v>
      </c>
      <c r="F1891" s="116">
        <v>313.10000000000002</v>
      </c>
      <c r="G1891">
        <v>3665</v>
      </c>
      <c r="H1891" s="116"/>
      <c r="I1891" s="116"/>
      <c r="L1891" s="169">
        <v>44789</v>
      </c>
      <c r="M1891" s="116">
        <v>256.7</v>
      </c>
      <c r="N1891" s="116">
        <v>263</v>
      </c>
      <c r="O1891" s="116">
        <v>252.45</v>
      </c>
      <c r="P1891" s="116">
        <v>261.25</v>
      </c>
      <c r="Q1891" s="116">
        <v>256.7</v>
      </c>
      <c r="R1891">
        <v>26639</v>
      </c>
    </row>
    <row r="1892" spans="1:18" x14ac:dyDescent="0.25">
      <c r="A1892" s="169">
        <v>44824</v>
      </c>
      <c r="B1892" s="116">
        <v>321.3</v>
      </c>
      <c r="C1892" s="116">
        <v>310.95</v>
      </c>
      <c r="D1892" s="116">
        <v>308</v>
      </c>
      <c r="E1892" s="116">
        <v>316.2</v>
      </c>
      <c r="F1892" s="116">
        <v>310.95</v>
      </c>
      <c r="G1892">
        <v>2875</v>
      </c>
      <c r="H1892" s="116"/>
      <c r="I1892" s="116"/>
      <c r="L1892" s="169">
        <v>44790</v>
      </c>
      <c r="M1892" s="116">
        <v>295.14999999999998</v>
      </c>
      <c r="N1892" s="116">
        <v>308</v>
      </c>
      <c r="O1892" s="116">
        <v>253.05</v>
      </c>
      <c r="P1892" s="116">
        <v>253.05</v>
      </c>
      <c r="Q1892" s="116">
        <v>295.14999999999998</v>
      </c>
      <c r="R1892">
        <v>406677</v>
      </c>
    </row>
    <row r="1893" spans="1:18" x14ac:dyDescent="0.25">
      <c r="A1893" s="169">
        <v>44825</v>
      </c>
      <c r="B1893" s="116">
        <v>315.05</v>
      </c>
      <c r="C1893" s="116">
        <v>304.35000000000002</v>
      </c>
      <c r="D1893" s="116">
        <v>300</v>
      </c>
      <c r="E1893" s="116">
        <v>312.5</v>
      </c>
      <c r="F1893" s="116">
        <v>304.35000000000002</v>
      </c>
      <c r="G1893">
        <v>8730</v>
      </c>
      <c r="H1893" s="116"/>
      <c r="I1893" s="116"/>
      <c r="L1893" s="169">
        <v>44791</v>
      </c>
      <c r="M1893" s="116">
        <v>313.2</v>
      </c>
      <c r="N1893" s="116">
        <v>323.95</v>
      </c>
      <c r="O1893" s="116">
        <v>296</v>
      </c>
      <c r="P1893" s="116">
        <v>304.60000000000002</v>
      </c>
      <c r="Q1893" s="116">
        <v>313.2</v>
      </c>
      <c r="R1893">
        <v>289531</v>
      </c>
    </row>
    <row r="1894" spans="1:18" x14ac:dyDescent="0.25">
      <c r="A1894" s="169">
        <v>44826</v>
      </c>
      <c r="B1894" s="116">
        <v>309.35000000000002</v>
      </c>
      <c r="C1894" s="116">
        <v>303.85000000000002</v>
      </c>
      <c r="D1894" s="116">
        <v>294.3</v>
      </c>
      <c r="E1894" s="116">
        <v>305.25</v>
      </c>
      <c r="F1894" s="116">
        <v>303.85000000000002</v>
      </c>
      <c r="G1894">
        <v>1809</v>
      </c>
      <c r="H1894" s="116"/>
      <c r="I1894" s="116"/>
      <c r="L1894" s="169">
        <v>44792</v>
      </c>
      <c r="M1894" s="116">
        <v>307</v>
      </c>
      <c r="N1894" s="116">
        <v>320</v>
      </c>
      <c r="O1894" s="116">
        <v>306</v>
      </c>
      <c r="P1894" s="116">
        <v>315</v>
      </c>
      <c r="Q1894" s="116">
        <v>307</v>
      </c>
      <c r="R1894">
        <v>56940</v>
      </c>
    </row>
    <row r="1895" spans="1:18" x14ac:dyDescent="0.25">
      <c r="A1895" s="169">
        <v>44827</v>
      </c>
      <c r="B1895" s="116">
        <v>307</v>
      </c>
      <c r="C1895" s="116">
        <v>301</v>
      </c>
      <c r="D1895" s="116">
        <v>292</v>
      </c>
      <c r="E1895" s="116">
        <v>292</v>
      </c>
      <c r="F1895" s="116">
        <v>301</v>
      </c>
      <c r="G1895">
        <v>1797</v>
      </c>
      <c r="H1895" s="116"/>
      <c r="I1895" s="116"/>
      <c r="L1895" s="169">
        <v>44795</v>
      </c>
      <c r="M1895" s="116">
        <v>306.14999999999998</v>
      </c>
      <c r="N1895" s="116">
        <v>309.64999999999998</v>
      </c>
      <c r="O1895" s="116">
        <v>293.25</v>
      </c>
      <c r="P1895" s="116">
        <v>305.05</v>
      </c>
      <c r="Q1895" s="116">
        <v>306.14999999999998</v>
      </c>
      <c r="R1895">
        <v>62433</v>
      </c>
    </row>
    <row r="1896" spans="1:18" x14ac:dyDescent="0.25">
      <c r="A1896" s="169">
        <v>44830</v>
      </c>
      <c r="B1896" s="116">
        <v>298.7</v>
      </c>
      <c r="C1896" s="116">
        <v>282.25</v>
      </c>
      <c r="D1896" s="116">
        <v>278</v>
      </c>
      <c r="E1896" s="116">
        <v>298.7</v>
      </c>
      <c r="F1896" s="116">
        <v>282.25</v>
      </c>
      <c r="G1896">
        <v>3380</v>
      </c>
      <c r="H1896" s="116"/>
      <c r="I1896" s="116"/>
      <c r="L1896" s="169">
        <v>44796</v>
      </c>
      <c r="M1896" s="116">
        <v>345.7</v>
      </c>
      <c r="N1896" s="116">
        <v>349.7</v>
      </c>
      <c r="O1896" s="116">
        <v>298.2</v>
      </c>
      <c r="P1896" s="116">
        <v>298.2</v>
      </c>
      <c r="Q1896" s="116">
        <v>345.7</v>
      </c>
      <c r="R1896">
        <v>510203</v>
      </c>
    </row>
    <row r="1897" spans="1:18" x14ac:dyDescent="0.25">
      <c r="A1897" s="169">
        <v>44831</v>
      </c>
      <c r="B1897" s="116">
        <v>286.95</v>
      </c>
      <c r="C1897" s="116">
        <v>285.45</v>
      </c>
      <c r="D1897" s="116">
        <v>272</v>
      </c>
      <c r="E1897" s="116">
        <v>272</v>
      </c>
      <c r="F1897" s="116">
        <v>285.45</v>
      </c>
      <c r="G1897">
        <v>614</v>
      </c>
      <c r="H1897" s="116"/>
      <c r="I1897" s="116"/>
      <c r="L1897" s="169">
        <v>44797</v>
      </c>
      <c r="M1897" s="116">
        <v>343.55</v>
      </c>
      <c r="N1897" s="116">
        <v>349.7</v>
      </c>
      <c r="O1897" s="116">
        <v>336.2</v>
      </c>
      <c r="P1897" s="116">
        <v>345.05</v>
      </c>
      <c r="Q1897" s="116">
        <v>343.55</v>
      </c>
      <c r="R1897">
        <v>79100</v>
      </c>
    </row>
    <row r="1898" spans="1:18" x14ac:dyDescent="0.25">
      <c r="A1898" s="169">
        <v>44832</v>
      </c>
      <c r="B1898" s="116">
        <v>287.95</v>
      </c>
      <c r="C1898" s="116">
        <v>275.7</v>
      </c>
      <c r="D1898" s="116">
        <v>272.7</v>
      </c>
      <c r="E1898" s="116">
        <v>276</v>
      </c>
      <c r="F1898" s="116">
        <v>275.7</v>
      </c>
      <c r="G1898">
        <v>3027</v>
      </c>
      <c r="H1898" s="116"/>
      <c r="I1898" s="116"/>
      <c r="L1898" s="169">
        <v>44798</v>
      </c>
      <c r="M1898" s="116">
        <v>338.9</v>
      </c>
      <c r="N1898" s="116">
        <v>358.4</v>
      </c>
      <c r="O1898" s="116">
        <v>331.75</v>
      </c>
      <c r="P1898" s="116">
        <v>348.45</v>
      </c>
      <c r="Q1898" s="116">
        <v>338.9</v>
      </c>
      <c r="R1898">
        <v>64075</v>
      </c>
    </row>
    <row r="1899" spans="1:18" x14ac:dyDescent="0.25">
      <c r="A1899" s="169">
        <v>44833</v>
      </c>
      <c r="B1899" s="116">
        <v>285</v>
      </c>
      <c r="C1899" s="116">
        <v>277.45</v>
      </c>
      <c r="D1899" s="116">
        <v>276.55</v>
      </c>
      <c r="E1899" s="116">
        <v>283</v>
      </c>
      <c r="F1899" s="116">
        <v>277.45</v>
      </c>
      <c r="G1899">
        <v>417</v>
      </c>
      <c r="H1899" s="116"/>
      <c r="I1899" s="116"/>
      <c r="L1899" s="169">
        <v>44799</v>
      </c>
      <c r="M1899" s="116">
        <v>329.25</v>
      </c>
      <c r="N1899" s="116">
        <v>344.95</v>
      </c>
      <c r="O1899" s="116">
        <v>326.2</v>
      </c>
      <c r="P1899" s="116">
        <v>339.9</v>
      </c>
      <c r="Q1899" s="116">
        <v>329.25</v>
      </c>
      <c r="R1899">
        <v>25759</v>
      </c>
    </row>
    <row r="1900" spans="1:18" x14ac:dyDescent="0.25">
      <c r="A1900" s="169">
        <v>44834</v>
      </c>
      <c r="B1900" s="116">
        <v>280.5</v>
      </c>
      <c r="C1900" s="116">
        <v>278.89999999999998</v>
      </c>
      <c r="D1900" s="116">
        <v>275</v>
      </c>
      <c r="E1900" s="116">
        <v>275</v>
      </c>
      <c r="F1900" s="116">
        <v>278.89999999999998</v>
      </c>
      <c r="G1900">
        <v>1302</v>
      </c>
      <c r="H1900" s="116"/>
      <c r="I1900" s="116"/>
      <c r="L1900" s="169">
        <v>44802</v>
      </c>
      <c r="M1900" s="116">
        <v>318.85000000000002</v>
      </c>
      <c r="N1900" s="116">
        <v>329.85</v>
      </c>
      <c r="O1900" s="116">
        <v>305</v>
      </c>
      <c r="P1900" s="116">
        <v>310</v>
      </c>
      <c r="Q1900" s="116">
        <v>318.85000000000002</v>
      </c>
      <c r="R1900">
        <v>40650</v>
      </c>
    </row>
    <row r="1901" spans="1:18" x14ac:dyDescent="0.25">
      <c r="A1901" s="169">
        <v>44837</v>
      </c>
      <c r="B1901" s="116">
        <v>280</v>
      </c>
      <c r="C1901" s="116">
        <v>266.75</v>
      </c>
      <c r="D1901" s="116">
        <v>265.35000000000002</v>
      </c>
      <c r="E1901" s="116">
        <v>275</v>
      </c>
      <c r="F1901" s="116">
        <v>266.75</v>
      </c>
      <c r="G1901">
        <v>1922</v>
      </c>
      <c r="H1901" s="116"/>
      <c r="I1901" s="116"/>
      <c r="L1901" s="169">
        <v>44803</v>
      </c>
      <c r="M1901" s="116">
        <v>326.35000000000002</v>
      </c>
      <c r="N1901" s="116">
        <v>338</v>
      </c>
      <c r="O1901" s="116">
        <v>321.64999999999998</v>
      </c>
      <c r="P1901" s="116">
        <v>326</v>
      </c>
      <c r="Q1901" s="116">
        <v>326.35000000000002</v>
      </c>
      <c r="R1901">
        <v>38669</v>
      </c>
    </row>
    <row r="1902" spans="1:18" x14ac:dyDescent="0.25">
      <c r="A1902" s="169">
        <v>44838</v>
      </c>
      <c r="B1902" s="116">
        <v>275.5</v>
      </c>
      <c r="C1902" s="116">
        <v>271</v>
      </c>
      <c r="D1902" s="116">
        <v>268.75</v>
      </c>
      <c r="E1902" s="116">
        <v>275.35000000000002</v>
      </c>
      <c r="F1902" s="116">
        <v>271</v>
      </c>
      <c r="G1902">
        <v>502</v>
      </c>
      <c r="H1902" s="116"/>
      <c r="I1902" s="116"/>
      <c r="L1902" s="169">
        <v>44805</v>
      </c>
      <c r="M1902" s="116">
        <v>326.35000000000002</v>
      </c>
      <c r="N1902" s="116">
        <v>333.15</v>
      </c>
      <c r="O1902" s="116">
        <v>323.85000000000002</v>
      </c>
      <c r="P1902" s="116">
        <v>324</v>
      </c>
      <c r="Q1902" s="116">
        <v>326.35000000000002</v>
      </c>
      <c r="R1902">
        <v>29014</v>
      </c>
    </row>
    <row r="1903" spans="1:18" x14ac:dyDescent="0.25">
      <c r="A1903" s="169">
        <v>44840</v>
      </c>
      <c r="B1903" s="116">
        <v>279.25</v>
      </c>
      <c r="C1903" s="116">
        <v>275.64999999999998</v>
      </c>
      <c r="D1903" s="116">
        <v>264</v>
      </c>
      <c r="E1903" s="116">
        <v>265</v>
      </c>
      <c r="F1903" s="116">
        <v>275.64999999999998</v>
      </c>
      <c r="G1903">
        <v>2045</v>
      </c>
      <c r="H1903" s="116"/>
      <c r="I1903" s="116"/>
      <c r="L1903" s="169">
        <v>44806</v>
      </c>
      <c r="M1903" s="116">
        <v>317.5</v>
      </c>
      <c r="N1903" s="116">
        <v>329.75</v>
      </c>
      <c r="O1903" s="116">
        <v>315.14999999999998</v>
      </c>
      <c r="P1903" s="116">
        <v>329.75</v>
      </c>
      <c r="Q1903" s="116">
        <v>317.5</v>
      </c>
      <c r="R1903">
        <v>27852</v>
      </c>
    </row>
    <row r="1904" spans="1:18" x14ac:dyDescent="0.25">
      <c r="A1904" s="169">
        <v>44841</v>
      </c>
      <c r="B1904" s="116">
        <v>280</v>
      </c>
      <c r="C1904" s="116">
        <v>274.85000000000002</v>
      </c>
      <c r="D1904" s="116">
        <v>271.95</v>
      </c>
      <c r="E1904" s="116">
        <v>275</v>
      </c>
      <c r="F1904" s="116">
        <v>274.85000000000002</v>
      </c>
      <c r="G1904">
        <v>996</v>
      </c>
      <c r="H1904" s="116"/>
      <c r="I1904" s="116"/>
      <c r="L1904" s="169">
        <v>44809</v>
      </c>
      <c r="M1904" s="116">
        <v>321.05</v>
      </c>
      <c r="N1904" s="116">
        <v>323.45</v>
      </c>
      <c r="O1904" s="116">
        <v>313.7</v>
      </c>
      <c r="P1904" s="116">
        <v>319.60000000000002</v>
      </c>
      <c r="Q1904" s="116">
        <v>321.05</v>
      </c>
      <c r="R1904">
        <v>48216</v>
      </c>
    </row>
    <row r="1905" spans="1:18" x14ac:dyDescent="0.25">
      <c r="A1905" s="169">
        <v>44844</v>
      </c>
      <c r="B1905" s="116">
        <v>271.89999999999998</v>
      </c>
      <c r="C1905" s="116">
        <v>268.14999999999998</v>
      </c>
      <c r="D1905" s="116">
        <v>264.64999999999998</v>
      </c>
      <c r="E1905" s="116">
        <v>271</v>
      </c>
      <c r="F1905" s="116">
        <v>268.14999999999998</v>
      </c>
      <c r="G1905">
        <v>2045</v>
      </c>
      <c r="H1905" s="116"/>
      <c r="I1905" s="116"/>
      <c r="L1905" s="169">
        <v>44810</v>
      </c>
      <c r="M1905" s="116">
        <v>324</v>
      </c>
      <c r="N1905" s="116">
        <v>325.8</v>
      </c>
      <c r="O1905" s="116">
        <v>317</v>
      </c>
      <c r="P1905" s="116">
        <v>322.5</v>
      </c>
      <c r="Q1905" s="116">
        <v>324</v>
      </c>
      <c r="R1905">
        <v>28603</v>
      </c>
    </row>
    <row r="1906" spans="1:18" x14ac:dyDescent="0.25">
      <c r="A1906" s="169">
        <v>44845</v>
      </c>
      <c r="B1906" s="116">
        <v>269.95</v>
      </c>
      <c r="C1906" s="116">
        <v>265.10000000000002</v>
      </c>
      <c r="D1906" s="116">
        <v>265</v>
      </c>
      <c r="E1906" s="116">
        <v>269.95</v>
      </c>
      <c r="F1906" s="116">
        <v>265.10000000000002</v>
      </c>
      <c r="G1906">
        <v>357</v>
      </c>
      <c r="H1906" s="116"/>
      <c r="I1906" s="116"/>
      <c r="L1906" s="169">
        <v>44811</v>
      </c>
      <c r="M1906" s="116">
        <v>319.8</v>
      </c>
      <c r="N1906" s="116">
        <v>328.8</v>
      </c>
      <c r="O1906" s="116">
        <v>317.3</v>
      </c>
      <c r="P1906" s="116">
        <v>321.89999999999998</v>
      </c>
      <c r="Q1906" s="116">
        <v>319.8</v>
      </c>
      <c r="R1906">
        <v>18176</v>
      </c>
    </row>
    <row r="1907" spans="1:18" x14ac:dyDescent="0.25">
      <c r="A1907" s="169">
        <v>44846</v>
      </c>
      <c r="B1907" s="116">
        <v>263.25</v>
      </c>
      <c r="C1907" s="116">
        <v>259.2</v>
      </c>
      <c r="D1907" s="116">
        <v>257</v>
      </c>
      <c r="E1907" s="116">
        <v>263.25</v>
      </c>
      <c r="F1907" s="116">
        <v>259.2</v>
      </c>
      <c r="G1907">
        <v>417</v>
      </c>
      <c r="H1907" s="116"/>
      <c r="I1907" s="116"/>
      <c r="L1907" s="169">
        <v>44812</v>
      </c>
      <c r="M1907" s="116">
        <v>313.55</v>
      </c>
      <c r="N1907" s="116">
        <v>327</v>
      </c>
      <c r="O1907" s="116">
        <v>310</v>
      </c>
      <c r="P1907" s="116">
        <v>326.7</v>
      </c>
      <c r="Q1907" s="116">
        <v>313.55</v>
      </c>
      <c r="R1907">
        <v>47847</v>
      </c>
    </row>
    <row r="1908" spans="1:18" x14ac:dyDescent="0.25">
      <c r="A1908" s="169">
        <v>44847</v>
      </c>
      <c r="B1908" s="116">
        <v>265</v>
      </c>
      <c r="C1908" s="116">
        <v>260.05</v>
      </c>
      <c r="D1908" s="116">
        <v>257.10000000000002</v>
      </c>
      <c r="E1908" s="116">
        <v>263</v>
      </c>
      <c r="F1908" s="116">
        <v>260.05</v>
      </c>
      <c r="G1908">
        <v>4138</v>
      </c>
      <c r="H1908" s="116"/>
      <c r="I1908" s="116"/>
      <c r="L1908" s="169">
        <v>44813</v>
      </c>
      <c r="M1908" s="116">
        <v>322.3</v>
      </c>
      <c r="N1908" s="116">
        <v>330</v>
      </c>
      <c r="O1908" s="116">
        <v>313.55</v>
      </c>
      <c r="P1908" s="116">
        <v>313.55</v>
      </c>
      <c r="Q1908" s="116">
        <v>322.3</v>
      </c>
      <c r="R1908">
        <v>87123</v>
      </c>
    </row>
    <row r="1909" spans="1:18" x14ac:dyDescent="0.25">
      <c r="A1909" s="169">
        <v>44848</v>
      </c>
      <c r="B1909" s="116">
        <v>271.55</v>
      </c>
      <c r="C1909" s="116">
        <v>261.35000000000002</v>
      </c>
      <c r="D1909" s="116">
        <v>259</v>
      </c>
      <c r="E1909" s="116">
        <v>269</v>
      </c>
      <c r="F1909" s="116">
        <v>261.35000000000002</v>
      </c>
      <c r="G1909">
        <v>1283</v>
      </c>
      <c r="H1909" s="116"/>
      <c r="I1909" s="116"/>
      <c r="L1909" s="169">
        <v>44816</v>
      </c>
      <c r="M1909" s="116">
        <v>332.3</v>
      </c>
      <c r="N1909" s="116">
        <v>336</v>
      </c>
      <c r="O1909" s="116">
        <v>325.35000000000002</v>
      </c>
      <c r="P1909" s="116">
        <v>326.89999999999998</v>
      </c>
      <c r="Q1909" s="116">
        <v>332.3</v>
      </c>
      <c r="R1909">
        <v>46265</v>
      </c>
    </row>
    <row r="1910" spans="1:18" x14ac:dyDescent="0.25">
      <c r="A1910" s="169">
        <v>44851</v>
      </c>
      <c r="B1910" s="116">
        <v>267</v>
      </c>
      <c r="C1910" s="116">
        <v>263.45</v>
      </c>
      <c r="D1910" s="116">
        <v>254.3</v>
      </c>
      <c r="E1910" s="116">
        <v>255.1</v>
      </c>
      <c r="F1910" s="116">
        <v>263.45</v>
      </c>
      <c r="G1910">
        <v>1144</v>
      </c>
      <c r="H1910" s="116"/>
      <c r="I1910" s="116"/>
      <c r="L1910" s="169">
        <v>44817</v>
      </c>
      <c r="M1910" s="116">
        <v>329</v>
      </c>
      <c r="N1910" s="116">
        <v>338.8</v>
      </c>
      <c r="O1910" s="116">
        <v>326.10000000000002</v>
      </c>
      <c r="P1910" s="116">
        <v>328.1</v>
      </c>
      <c r="Q1910" s="116">
        <v>329</v>
      </c>
      <c r="R1910">
        <v>19891</v>
      </c>
    </row>
    <row r="1911" spans="1:18" x14ac:dyDescent="0.25">
      <c r="A1911" s="169">
        <v>44852</v>
      </c>
      <c r="B1911" s="116">
        <v>293</v>
      </c>
      <c r="C1911" s="116">
        <v>278.05</v>
      </c>
      <c r="D1911" s="116">
        <v>262.7</v>
      </c>
      <c r="E1911" s="116">
        <v>262.7</v>
      </c>
      <c r="F1911" s="116">
        <v>278.05</v>
      </c>
      <c r="G1911">
        <v>2840</v>
      </c>
      <c r="H1911" s="116"/>
      <c r="I1911" s="116"/>
      <c r="L1911" s="169">
        <v>44818</v>
      </c>
      <c r="M1911" s="116">
        <v>321.55</v>
      </c>
      <c r="N1911" s="116">
        <v>325</v>
      </c>
      <c r="O1911" s="116">
        <v>318.2</v>
      </c>
      <c r="P1911" s="116">
        <v>325</v>
      </c>
      <c r="Q1911" s="116">
        <v>321.55</v>
      </c>
      <c r="R1911">
        <v>35735</v>
      </c>
    </row>
    <row r="1912" spans="1:18" x14ac:dyDescent="0.25">
      <c r="A1912" s="169">
        <v>44853</v>
      </c>
      <c r="B1912" s="116">
        <v>298.8</v>
      </c>
      <c r="C1912" s="116">
        <v>278.55</v>
      </c>
      <c r="D1912" s="116">
        <v>273.2</v>
      </c>
      <c r="E1912" s="116">
        <v>284.95</v>
      </c>
      <c r="F1912" s="116">
        <v>278.55</v>
      </c>
      <c r="G1912">
        <v>5701</v>
      </c>
      <c r="H1912" s="116"/>
      <c r="I1912" s="116"/>
      <c r="L1912" s="169">
        <v>44819</v>
      </c>
      <c r="M1912" s="116">
        <v>317.75</v>
      </c>
      <c r="N1912" s="116">
        <v>324.89999999999998</v>
      </c>
      <c r="O1912" s="116">
        <v>314.39999999999998</v>
      </c>
      <c r="P1912" s="116">
        <v>321.55</v>
      </c>
      <c r="Q1912" s="116">
        <v>317.75</v>
      </c>
      <c r="R1912">
        <v>16917</v>
      </c>
    </row>
    <row r="1913" spans="1:18" x14ac:dyDescent="0.25">
      <c r="A1913" s="169">
        <v>44854</v>
      </c>
      <c r="B1913" s="116">
        <v>288.45</v>
      </c>
      <c r="C1913" s="116">
        <v>279.55</v>
      </c>
      <c r="D1913" s="116">
        <v>272.8</v>
      </c>
      <c r="E1913" s="116">
        <v>278.35000000000002</v>
      </c>
      <c r="F1913" s="116">
        <v>279.55</v>
      </c>
      <c r="G1913">
        <v>5186</v>
      </c>
      <c r="H1913" s="116"/>
      <c r="I1913" s="116"/>
      <c r="L1913" s="169">
        <v>44820</v>
      </c>
      <c r="M1913" s="116">
        <v>314.95</v>
      </c>
      <c r="N1913" s="116">
        <v>329.2</v>
      </c>
      <c r="O1913" s="116">
        <v>311.39999999999998</v>
      </c>
      <c r="P1913" s="116">
        <v>318.05</v>
      </c>
      <c r="Q1913" s="116">
        <v>314.95</v>
      </c>
      <c r="R1913">
        <v>52563</v>
      </c>
    </row>
    <row r="1914" spans="1:18" x14ac:dyDescent="0.25">
      <c r="A1914" s="169">
        <v>44855</v>
      </c>
      <c r="B1914" s="116">
        <v>290.45</v>
      </c>
      <c r="C1914" s="116">
        <v>284.35000000000002</v>
      </c>
      <c r="D1914" s="116">
        <v>276.5</v>
      </c>
      <c r="E1914" s="116">
        <v>289.25</v>
      </c>
      <c r="F1914" s="116">
        <v>284.35000000000002</v>
      </c>
      <c r="G1914">
        <v>970</v>
      </c>
      <c r="H1914" s="116"/>
      <c r="I1914" s="116"/>
      <c r="L1914" s="169">
        <v>44823</v>
      </c>
      <c r="M1914" s="116">
        <v>311.95</v>
      </c>
      <c r="N1914" s="116">
        <v>323.60000000000002</v>
      </c>
      <c r="O1914" s="116">
        <v>308.45</v>
      </c>
      <c r="P1914" s="116">
        <v>323.60000000000002</v>
      </c>
      <c r="Q1914" s="116">
        <v>311.95</v>
      </c>
      <c r="R1914">
        <v>19691</v>
      </c>
    </row>
    <row r="1915" spans="1:18" x14ac:dyDescent="0.25">
      <c r="A1915" s="169">
        <v>44858</v>
      </c>
      <c r="B1915" s="116">
        <v>290.10000000000002</v>
      </c>
      <c r="C1915" s="116">
        <v>284.95</v>
      </c>
      <c r="D1915" s="116">
        <v>282.2</v>
      </c>
      <c r="E1915" s="116">
        <v>289.89999999999998</v>
      </c>
      <c r="F1915" s="116">
        <v>284.95</v>
      </c>
      <c r="G1915">
        <v>3541</v>
      </c>
      <c r="H1915" s="116"/>
      <c r="I1915" s="116"/>
      <c r="L1915" s="169">
        <v>44824</v>
      </c>
      <c r="M1915" s="116">
        <v>309.5</v>
      </c>
      <c r="N1915" s="116">
        <v>320.25</v>
      </c>
      <c r="O1915" s="116">
        <v>306.64999999999998</v>
      </c>
      <c r="P1915" s="116">
        <v>316.64999999999998</v>
      </c>
      <c r="Q1915" s="116">
        <v>309.5</v>
      </c>
      <c r="R1915">
        <v>21135</v>
      </c>
    </row>
    <row r="1916" spans="1:18" x14ac:dyDescent="0.25">
      <c r="A1916" s="169">
        <v>44859</v>
      </c>
      <c r="B1916" s="116">
        <v>285.2</v>
      </c>
      <c r="C1916" s="116">
        <v>281</v>
      </c>
      <c r="D1916" s="116">
        <v>280.5</v>
      </c>
      <c r="E1916" s="116">
        <v>283.14999999999998</v>
      </c>
      <c r="F1916" s="116">
        <v>281</v>
      </c>
      <c r="G1916">
        <v>274</v>
      </c>
      <c r="H1916" s="116"/>
      <c r="I1916" s="116"/>
      <c r="L1916" s="169">
        <v>44825</v>
      </c>
      <c r="M1916" s="116">
        <v>303.60000000000002</v>
      </c>
      <c r="N1916" s="116">
        <v>317.14999999999998</v>
      </c>
      <c r="O1916" s="116">
        <v>301.3</v>
      </c>
      <c r="P1916" s="116">
        <v>317</v>
      </c>
      <c r="Q1916" s="116">
        <v>303.60000000000002</v>
      </c>
      <c r="R1916">
        <v>31181</v>
      </c>
    </row>
    <row r="1917" spans="1:18" x14ac:dyDescent="0.25">
      <c r="A1917" s="169">
        <v>44861</v>
      </c>
      <c r="B1917" s="116">
        <v>287.2</v>
      </c>
      <c r="C1917" s="116">
        <v>279.95</v>
      </c>
      <c r="D1917" s="116">
        <v>278.14999999999998</v>
      </c>
      <c r="E1917" s="116">
        <v>279</v>
      </c>
      <c r="F1917" s="116">
        <v>279.95</v>
      </c>
      <c r="G1917">
        <v>1748</v>
      </c>
      <c r="H1917" s="116"/>
      <c r="I1917" s="116"/>
      <c r="L1917" s="169">
        <v>44826</v>
      </c>
      <c r="M1917" s="116">
        <v>303.8</v>
      </c>
      <c r="N1917" s="116">
        <v>309.89999999999998</v>
      </c>
      <c r="O1917" s="116">
        <v>295.3</v>
      </c>
      <c r="P1917" s="116">
        <v>305</v>
      </c>
      <c r="Q1917" s="116">
        <v>303.8</v>
      </c>
      <c r="R1917">
        <v>16885</v>
      </c>
    </row>
    <row r="1918" spans="1:18" x14ac:dyDescent="0.25">
      <c r="A1918" s="169">
        <v>44862</v>
      </c>
      <c r="B1918" s="116">
        <v>285</v>
      </c>
      <c r="C1918" s="116">
        <v>279.55</v>
      </c>
      <c r="D1918" s="116">
        <v>275.45</v>
      </c>
      <c r="E1918" s="116">
        <v>283.95</v>
      </c>
      <c r="F1918" s="116">
        <v>279.55</v>
      </c>
      <c r="G1918">
        <v>778</v>
      </c>
      <c r="H1918" s="116"/>
      <c r="I1918" s="116"/>
      <c r="L1918" s="169">
        <v>44827</v>
      </c>
      <c r="M1918" s="116">
        <v>300.2</v>
      </c>
      <c r="N1918" s="116">
        <v>307.60000000000002</v>
      </c>
      <c r="O1918" s="116">
        <v>296.8</v>
      </c>
      <c r="P1918" s="116">
        <v>307.55</v>
      </c>
      <c r="Q1918" s="116">
        <v>300.2</v>
      </c>
      <c r="R1918">
        <v>10908</v>
      </c>
    </row>
    <row r="1919" spans="1:18" x14ac:dyDescent="0.25">
      <c r="A1919" s="169">
        <v>44865</v>
      </c>
      <c r="B1919" s="116">
        <v>285.2</v>
      </c>
      <c r="C1919" s="116">
        <v>279.89999999999998</v>
      </c>
      <c r="D1919" s="116">
        <v>277</v>
      </c>
      <c r="E1919" s="116">
        <v>283.05</v>
      </c>
      <c r="F1919" s="116">
        <v>279.89999999999998</v>
      </c>
      <c r="G1919">
        <v>1055</v>
      </c>
      <c r="H1919" s="116"/>
      <c r="I1919" s="116"/>
      <c r="L1919" s="169">
        <v>44830</v>
      </c>
      <c r="M1919" s="116">
        <v>282.55</v>
      </c>
      <c r="N1919" s="116">
        <v>300.3</v>
      </c>
      <c r="O1919" s="116">
        <v>278.5</v>
      </c>
      <c r="P1919" s="116">
        <v>300.2</v>
      </c>
      <c r="Q1919" s="116">
        <v>282.55</v>
      </c>
      <c r="R1919">
        <v>22283</v>
      </c>
    </row>
    <row r="1920" spans="1:18" x14ac:dyDescent="0.25">
      <c r="A1920" s="169">
        <v>44866</v>
      </c>
      <c r="B1920" s="116">
        <v>285</v>
      </c>
      <c r="C1920" s="116">
        <v>283.7</v>
      </c>
      <c r="D1920" s="116">
        <v>268</v>
      </c>
      <c r="E1920" s="116">
        <v>268</v>
      </c>
      <c r="F1920" s="116">
        <v>283.7</v>
      </c>
      <c r="G1920">
        <v>1793</v>
      </c>
      <c r="H1920" s="116"/>
      <c r="I1920" s="116"/>
      <c r="L1920" s="169">
        <v>44831</v>
      </c>
      <c r="M1920" s="116">
        <v>283.95</v>
      </c>
      <c r="N1920" s="116">
        <v>289.75</v>
      </c>
      <c r="O1920" s="116">
        <v>276.10000000000002</v>
      </c>
      <c r="P1920" s="116">
        <v>287</v>
      </c>
      <c r="Q1920" s="116">
        <v>283.95</v>
      </c>
      <c r="R1920">
        <v>18763</v>
      </c>
    </row>
    <row r="1921" spans="1:18" x14ac:dyDescent="0.25">
      <c r="A1921" s="169">
        <v>44867</v>
      </c>
      <c r="B1921" s="116">
        <v>285.8</v>
      </c>
      <c r="C1921" s="116">
        <v>284.5</v>
      </c>
      <c r="D1921" s="116">
        <v>279.05</v>
      </c>
      <c r="E1921" s="116">
        <v>282.39999999999998</v>
      </c>
      <c r="F1921" s="116">
        <v>284.5</v>
      </c>
      <c r="G1921">
        <v>636</v>
      </c>
      <c r="H1921" s="116"/>
      <c r="I1921" s="116"/>
      <c r="L1921" s="169">
        <v>44832</v>
      </c>
      <c r="M1921" s="116">
        <v>276.2</v>
      </c>
      <c r="N1921" s="116">
        <v>288.7</v>
      </c>
      <c r="O1921" s="116">
        <v>275</v>
      </c>
      <c r="P1921" s="116">
        <v>279.05</v>
      </c>
      <c r="Q1921" s="116">
        <v>276.2</v>
      </c>
      <c r="R1921">
        <v>24174</v>
      </c>
    </row>
    <row r="1922" spans="1:18" x14ac:dyDescent="0.25">
      <c r="A1922" s="169">
        <v>44868</v>
      </c>
      <c r="B1922" s="116">
        <v>286.95</v>
      </c>
      <c r="C1922" s="116">
        <v>283.5</v>
      </c>
      <c r="D1922" s="116">
        <v>278.85000000000002</v>
      </c>
      <c r="E1922" s="116">
        <v>283.14999999999998</v>
      </c>
      <c r="F1922" s="116">
        <v>283.5</v>
      </c>
      <c r="G1922">
        <v>3137</v>
      </c>
      <c r="H1922" s="116"/>
      <c r="I1922" s="116"/>
      <c r="L1922" s="169">
        <v>44833</v>
      </c>
      <c r="M1922" s="116">
        <v>277.8</v>
      </c>
      <c r="N1922" s="116">
        <v>290</v>
      </c>
      <c r="O1922" s="116">
        <v>276.05</v>
      </c>
      <c r="P1922" s="116">
        <v>283.85000000000002</v>
      </c>
      <c r="Q1922" s="116">
        <v>277.8</v>
      </c>
      <c r="R1922">
        <v>40911</v>
      </c>
    </row>
    <row r="1923" spans="1:18" x14ac:dyDescent="0.25">
      <c r="A1923" s="169">
        <v>44869</v>
      </c>
      <c r="B1923" s="116">
        <v>296</v>
      </c>
      <c r="C1923" s="116">
        <v>290.95</v>
      </c>
      <c r="D1923" s="116">
        <v>276</v>
      </c>
      <c r="E1923" s="116">
        <v>276</v>
      </c>
      <c r="F1923" s="116">
        <v>290.95</v>
      </c>
      <c r="G1923">
        <v>5441</v>
      </c>
      <c r="H1923" s="116"/>
      <c r="I1923" s="116"/>
      <c r="L1923" s="169">
        <v>44834</v>
      </c>
      <c r="M1923" s="116">
        <v>278.89999999999998</v>
      </c>
      <c r="N1923" s="116">
        <v>280.3</v>
      </c>
      <c r="O1923" s="116">
        <v>275.2</v>
      </c>
      <c r="P1923" s="116">
        <v>275.75</v>
      </c>
      <c r="Q1923" s="116">
        <v>278.89999999999998</v>
      </c>
      <c r="R1923">
        <v>10306</v>
      </c>
    </row>
    <row r="1924" spans="1:18" x14ac:dyDescent="0.25">
      <c r="A1924" s="169">
        <v>44872</v>
      </c>
      <c r="B1924" s="116">
        <v>298.64999999999998</v>
      </c>
      <c r="C1924" s="116">
        <v>293.05</v>
      </c>
      <c r="D1924" s="116">
        <v>288.45</v>
      </c>
      <c r="E1924" s="116">
        <v>298.64999999999998</v>
      </c>
      <c r="F1924" s="116">
        <v>293.05</v>
      </c>
      <c r="G1924">
        <v>990</v>
      </c>
      <c r="H1924" s="116"/>
      <c r="I1924" s="116"/>
      <c r="L1924" s="169">
        <v>44837</v>
      </c>
      <c r="M1924" s="116">
        <v>267.14999999999998</v>
      </c>
      <c r="N1924" s="116">
        <v>279.8</v>
      </c>
      <c r="O1924" s="116">
        <v>265.7</v>
      </c>
      <c r="P1924" s="116">
        <v>273.8</v>
      </c>
      <c r="Q1924" s="116">
        <v>267.14999999999998</v>
      </c>
      <c r="R1924">
        <v>26034</v>
      </c>
    </row>
    <row r="1925" spans="1:18" x14ac:dyDescent="0.25">
      <c r="A1925" s="169">
        <v>44874</v>
      </c>
      <c r="B1925" s="116">
        <v>294.5</v>
      </c>
      <c r="C1925" s="116">
        <v>282.95</v>
      </c>
      <c r="D1925" s="116">
        <v>282.64999999999998</v>
      </c>
      <c r="E1925" s="116">
        <v>292.8</v>
      </c>
      <c r="F1925" s="116">
        <v>282.95</v>
      </c>
      <c r="G1925">
        <v>1796</v>
      </c>
      <c r="H1925" s="116"/>
      <c r="I1925" s="116"/>
      <c r="L1925" s="169">
        <v>44838</v>
      </c>
      <c r="M1925" s="116">
        <v>270.05</v>
      </c>
      <c r="N1925" s="116">
        <v>274.89999999999998</v>
      </c>
      <c r="O1925" s="116">
        <v>268.5</v>
      </c>
      <c r="P1925" s="116">
        <v>274.2</v>
      </c>
      <c r="Q1925" s="116">
        <v>270.05</v>
      </c>
      <c r="R1925">
        <v>11044</v>
      </c>
    </row>
    <row r="1926" spans="1:18" x14ac:dyDescent="0.25">
      <c r="A1926" s="169">
        <v>44875</v>
      </c>
      <c r="B1926" s="116">
        <v>290.8</v>
      </c>
      <c r="C1926" s="116">
        <v>286.35000000000002</v>
      </c>
      <c r="D1926" s="116">
        <v>272</v>
      </c>
      <c r="E1926" s="116">
        <v>272</v>
      </c>
      <c r="F1926" s="116">
        <v>286.35000000000002</v>
      </c>
      <c r="G1926">
        <v>1447</v>
      </c>
      <c r="H1926" s="116"/>
      <c r="I1926" s="116"/>
      <c r="L1926" s="169">
        <v>44840</v>
      </c>
      <c r="M1926" s="116">
        <v>275.5</v>
      </c>
      <c r="N1926" s="116">
        <v>280</v>
      </c>
      <c r="O1926" s="116">
        <v>270.85000000000002</v>
      </c>
      <c r="P1926" s="116">
        <v>274.89999999999998</v>
      </c>
      <c r="Q1926" s="116">
        <v>275.5</v>
      </c>
      <c r="R1926">
        <v>14188</v>
      </c>
    </row>
    <row r="1927" spans="1:18" x14ac:dyDescent="0.25">
      <c r="A1927" s="169">
        <v>44876</v>
      </c>
      <c r="B1927" s="116">
        <v>286</v>
      </c>
      <c r="C1927" s="116">
        <v>278.89999999999998</v>
      </c>
      <c r="D1927" s="116">
        <v>275.10000000000002</v>
      </c>
      <c r="E1927" s="116">
        <v>275.10000000000002</v>
      </c>
      <c r="F1927" s="116">
        <v>278.89999999999998</v>
      </c>
      <c r="G1927">
        <v>956</v>
      </c>
      <c r="H1927" s="116"/>
      <c r="I1927" s="116"/>
      <c r="L1927" s="169">
        <v>44841</v>
      </c>
      <c r="M1927" s="116">
        <v>273.95</v>
      </c>
      <c r="N1927" s="116">
        <v>280</v>
      </c>
      <c r="O1927" s="116">
        <v>272</v>
      </c>
      <c r="P1927" s="116">
        <v>278.85000000000002</v>
      </c>
      <c r="Q1927" s="116">
        <v>273.95</v>
      </c>
      <c r="R1927">
        <v>34670</v>
      </c>
    </row>
    <row r="1928" spans="1:18" x14ac:dyDescent="0.25">
      <c r="A1928" s="169">
        <v>44879</v>
      </c>
      <c r="B1928" s="116">
        <v>287.95</v>
      </c>
      <c r="C1928" s="116">
        <v>278.89999999999998</v>
      </c>
      <c r="D1928" s="116">
        <v>245.05</v>
      </c>
      <c r="E1928" s="116">
        <v>245.05</v>
      </c>
      <c r="F1928" s="116">
        <v>278.89999999999998</v>
      </c>
      <c r="G1928">
        <v>407</v>
      </c>
      <c r="H1928" s="116"/>
      <c r="I1928" s="116"/>
      <c r="L1928" s="169">
        <v>44844</v>
      </c>
      <c r="M1928" s="116">
        <v>269.35000000000002</v>
      </c>
      <c r="N1928" s="116">
        <v>272.8</v>
      </c>
      <c r="O1928" s="116">
        <v>265.55</v>
      </c>
      <c r="P1928" s="116">
        <v>272.8</v>
      </c>
      <c r="Q1928" s="116">
        <v>269.35000000000002</v>
      </c>
      <c r="R1928">
        <v>20641</v>
      </c>
    </row>
    <row r="1929" spans="1:18" x14ac:dyDescent="0.25">
      <c r="A1929" s="169">
        <v>44880</v>
      </c>
      <c r="B1929" s="116">
        <v>281</v>
      </c>
      <c r="C1929" s="116">
        <v>268.55</v>
      </c>
      <c r="D1929" s="116">
        <v>262.8</v>
      </c>
      <c r="E1929" s="116">
        <v>271.3</v>
      </c>
      <c r="F1929" s="116">
        <v>268.55</v>
      </c>
      <c r="G1929">
        <v>3176</v>
      </c>
      <c r="H1929" s="116"/>
      <c r="I1929" s="116"/>
      <c r="L1929" s="169">
        <v>44845</v>
      </c>
      <c r="M1929" s="116">
        <v>265.25</v>
      </c>
      <c r="N1929" s="116">
        <v>272</v>
      </c>
      <c r="O1929" s="116">
        <v>263.10000000000002</v>
      </c>
      <c r="P1929" s="116">
        <v>271.39999999999998</v>
      </c>
      <c r="Q1929" s="116">
        <v>265.25</v>
      </c>
      <c r="R1929">
        <v>7387</v>
      </c>
    </row>
    <row r="1930" spans="1:18" x14ac:dyDescent="0.25">
      <c r="A1930" s="169">
        <v>44881</v>
      </c>
      <c r="B1930" s="116">
        <v>269.75</v>
      </c>
      <c r="C1930" s="116">
        <v>267</v>
      </c>
      <c r="D1930" s="116">
        <v>267</v>
      </c>
      <c r="E1930" s="116">
        <v>267.55</v>
      </c>
      <c r="F1930" s="116">
        <v>267</v>
      </c>
      <c r="G1930">
        <v>546</v>
      </c>
      <c r="H1930" s="116"/>
      <c r="I1930" s="116"/>
      <c r="L1930" s="169">
        <v>44846</v>
      </c>
      <c r="M1930" s="116">
        <v>260.75</v>
      </c>
      <c r="N1930" s="116">
        <v>267.3</v>
      </c>
      <c r="O1930" s="116">
        <v>255.15</v>
      </c>
      <c r="P1930" s="116">
        <v>266.39999999999998</v>
      </c>
      <c r="Q1930" s="116">
        <v>260.75</v>
      </c>
      <c r="R1930">
        <v>16541</v>
      </c>
    </row>
    <row r="1931" spans="1:18" x14ac:dyDescent="0.25">
      <c r="A1931" s="169">
        <v>44882</v>
      </c>
      <c r="B1931" s="116">
        <v>272.60000000000002</v>
      </c>
      <c r="C1931" s="116">
        <v>270.05</v>
      </c>
      <c r="D1931" s="116">
        <v>266.60000000000002</v>
      </c>
      <c r="E1931" s="116">
        <v>269.95</v>
      </c>
      <c r="F1931" s="116">
        <v>270.05</v>
      </c>
      <c r="G1931">
        <v>419</v>
      </c>
      <c r="H1931" s="116"/>
      <c r="I1931" s="116"/>
      <c r="L1931" s="169">
        <v>44847</v>
      </c>
      <c r="M1931" s="116">
        <v>259.3</v>
      </c>
      <c r="N1931" s="116">
        <v>268.45</v>
      </c>
      <c r="O1931" s="116">
        <v>257.3</v>
      </c>
      <c r="P1931" s="116">
        <v>262.60000000000002</v>
      </c>
      <c r="Q1931" s="116">
        <v>259.3</v>
      </c>
      <c r="R1931">
        <v>25761</v>
      </c>
    </row>
    <row r="1932" spans="1:18" x14ac:dyDescent="0.25">
      <c r="A1932" s="169">
        <v>44883</v>
      </c>
      <c r="B1932" s="116">
        <v>274.89999999999998</v>
      </c>
      <c r="C1932" s="116">
        <v>268.64999999999998</v>
      </c>
      <c r="D1932" s="116">
        <v>267.8</v>
      </c>
      <c r="E1932" s="116">
        <v>269</v>
      </c>
      <c r="F1932" s="116">
        <v>268.64999999999998</v>
      </c>
      <c r="G1932">
        <v>392</v>
      </c>
      <c r="H1932" s="116"/>
      <c r="I1932" s="116"/>
      <c r="L1932" s="169">
        <v>44848</v>
      </c>
      <c r="M1932" s="116">
        <v>260</v>
      </c>
      <c r="N1932" s="116">
        <v>267.10000000000002</v>
      </c>
      <c r="O1932" s="116">
        <v>257.89999999999998</v>
      </c>
      <c r="P1932" s="116">
        <v>267.10000000000002</v>
      </c>
      <c r="Q1932" s="116">
        <v>260</v>
      </c>
      <c r="R1932">
        <v>15918</v>
      </c>
    </row>
    <row r="1933" spans="1:18" x14ac:dyDescent="0.25">
      <c r="A1933" s="169">
        <v>44886</v>
      </c>
      <c r="B1933" s="116">
        <v>271.45</v>
      </c>
      <c r="C1933" s="116">
        <v>262.3</v>
      </c>
      <c r="D1933" s="116">
        <v>261.2</v>
      </c>
      <c r="E1933" s="116">
        <v>267</v>
      </c>
      <c r="F1933" s="116">
        <v>262.3</v>
      </c>
      <c r="G1933">
        <v>1110</v>
      </c>
      <c r="H1933" s="116"/>
      <c r="I1933" s="116"/>
      <c r="L1933" s="169">
        <v>44851</v>
      </c>
      <c r="M1933" s="116">
        <v>264.45</v>
      </c>
      <c r="N1933" s="116">
        <v>265</v>
      </c>
      <c r="O1933" s="116">
        <v>253.1</v>
      </c>
      <c r="P1933" s="116">
        <v>260.39999999999998</v>
      </c>
      <c r="Q1933" s="116">
        <v>264.45</v>
      </c>
      <c r="R1933">
        <v>37654</v>
      </c>
    </row>
    <row r="1934" spans="1:18" x14ac:dyDescent="0.25">
      <c r="A1934" s="169">
        <v>44887</v>
      </c>
      <c r="B1934" s="116">
        <v>272.5</v>
      </c>
      <c r="C1934" s="116">
        <v>264.64999999999998</v>
      </c>
      <c r="D1934" s="116">
        <v>257.7</v>
      </c>
      <c r="E1934" s="116">
        <v>257.7</v>
      </c>
      <c r="F1934" s="116">
        <v>264.64999999999998</v>
      </c>
      <c r="G1934">
        <v>776</v>
      </c>
      <c r="H1934" s="116"/>
      <c r="I1934" s="116"/>
      <c r="L1934" s="169">
        <v>44852</v>
      </c>
      <c r="M1934" s="116">
        <v>277.64999999999998</v>
      </c>
      <c r="N1934" s="116">
        <v>292.64999999999998</v>
      </c>
      <c r="O1934" s="116">
        <v>260.7</v>
      </c>
      <c r="P1934" s="116">
        <v>266.64999999999998</v>
      </c>
      <c r="Q1934" s="116">
        <v>277.64999999999998</v>
      </c>
      <c r="R1934">
        <v>80398</v>
      </c>
    </row>
    <row r="1935" spans="1:18" x14ac:dyDescent="0.25">
      <c r="A1935" s="169">
        <v>44888</v>
      </c>
      <c r="B1935" s="116">
        <v>265</v>
      </c>
      <c r="C1935" s="116">
        <v>262.39999999999998</v>
      </c>
      <c r="D1935" s="116">
        <v>261</v>
      </c>
      <c r="E1935" s="116">
        <v>265</v>
      </c>
      <c r="F1935" s="116">
        <v>262.39999999999998</v>
      </c>
      <c r="G1935">
        <v>660</v>
      </c>
      <c r="H1935" s="116"/>
      <c r="I1935" s="116"/>
      <c r="L1935" s="169">
        <v>44853</v>
      </c>
      <c r="M1935" s="116">
        <v>278.25</v>
      </c>
      <c r="N1935" s="116">
        <v>297.7</v>
      </c>
      <c r="O1935" s="116">
        <v>275</v>
      </c>
      <c r="P1935" s="116">
        <v>281.85000000000002</v>
      </c>
      <c r="Q1935" s="116">
        <v>278.25</v>
      </c>
      <c r="R1935">
        <v>119185</v>
      </c>
    </row>
    <row r="1936" spans="1:18" x14ac:dyDescent="0.25">
      <c r="A1936" s="169">
        <v>44889</v>
      </c>
      <c r="B1936" s="116">
        <v>267.2</v>
      </c>
      <c r="C1936" s="116">
        <v>259.5</v>
      </c>
      <c r="D1936" s="116">
        <v>250</v>
      </c>
      <c r="E1936" s="116">
        <v>250</v>
      </c>
      <c r="F1936" s="116">
        <v>259.5</v>
      </c>
      <c r="G1936">
        <v>1534</v>
      </c>
      <c r="H1936" s="116"/>
      <c r="I1936" s="116"/>
      <c r="L1936" s="169">
        <v>44854</v>
      </c>
      <c r="M1936" s="116">
        <v>282.55</v>
      </c>
      <c r="N1936" s="116">
        <v>287.64999999999998</v>
      </c>
      <c r="O1936" s="116">
        <v>274.10000000000002</v>
      </c>
      <c r="P1936" s="116">
        <v>280.2</v>
      </c>
      <c r="Q1936" s="116">
        <v>282.55</v>
      </c>
      <c r="R1936">
        <v>21968</v>
      </c>
    </row>
    <row r="1937" spans="1:18" x14ac:dyDescent="0.25">
      <c r="A1937" s="169">
        <v>44890</v>
      </c>
      <c r="B1937" s="116">
        <v>266.8</v>
      </c>
      <c r="C1937" s="116">
        <v>266.10000000000002</v>
      </c>
      <c r="D1937" s="116">
        <v>251</v>
      </c>
      <c r="E1937" s="116">
        <v>251</v>
      </c>
      <c r="F1937" s="116">
        <v>266.10000000000002</v>
      </c>
      <c r="G1937">
        <v>766</v>
      </c>
      <c r="H1937" s="116"/>
      <c r="I1937" s="116"/>
      <c r="L1937" s="169">
        <v>44855</v>
      </c>
      <c r="M1937" s="116">
        <v>279.7</v>
      </c>
      <c r="N1937" s="116">
        <v>291</v>
      </c>
      <c r="O1937" s="116">
        <v>275.95</v>
      </c>
      <c r="P1937" s="116">
        <v>284.89999999999998</v>
      </c>
      <c r="Q1937" s="116">
        <v>279.7</v>
      </c>
      <c r="R1937">
        <v>26518</v>
      </c>
    </row>
    <row r="1938" spans="1:18" x14ac:dyDescent="0.25">
      <c r="A1938" s="169">
        <v>44893</v>
      </c>
      <c r="B1938" s="116">
        <v>269.14999999999998</v>
      </c>
      <c r="C1938" s="116">
        <v>266.89999999999998</v>
      </c>
      <c r="D1938" s="116">
        <v>258</v>
      </c>
      <c r="E1938" s="116">
        <v>268.8</v>
      </c>
      <c r="F1938" s="116">
        <v>266.89999999999998</v>
      </c>
      <c r="G1938">
        <v>1903</v>
      </c>
      <c r="H1938" s="116"/>
      <c r="I1938" s="116"/>
      <c r="L1938" s="169">
        <v>44858</v>
      </c>
      <c r="M1938" s="116">
        <v>285</v>
      </c>
      <c r="N1938" s="116">
        <v>289.39999999999998</v>
      </c>
      <c r="O1938" s="116">
        <v>279</v>
      </c>
      <c r="P1938" s="116">
        <v>280</v>
      </c>
      <c r="Q1938" s="116">
        <v>285</v>
      </c>
      <c r="R1938">
        <v>9662</v>
      </c>
    </row>
    <row r="1939" spans="1:18" x14ac:dyDescent="0.25">
      <c r="A1939" s="169">
        <v>44894</v>
      </c>
      <c r="B1939" s="116">
        <v>272</v>
      </c>
      <c r="C1939" s="116">
        <v>262.10000000000002</v>
      </c>
      <c r="D1939" s="116">
        <v>256.95</v>
      </c>
      <c r="E1939" s="116">
        <v>267.85000000000002</v>
      </c>
      <c r="F1939" s="116">
        <v>262.10000000000002</v>
      </c>
      <c r="G1939">
        <v>5797</v>
      </c>
      <c r="H1939" s="116"/>
      <c r="I1939" s="116"/>
      <c r="L1939" s="169">
        <v>44859</v>
      </c>
      <c r="M1939" s="116">
        <v>280.55</v>
      </c>
      <c r="N1939" s="116">
        <v>285</v>
      </c>
      <c r="O1939" s="116">
        <v>279.75</v>
      </c>
      <c r="P1939" s="116">
        <v>285</v>
      </c>
      <c r="Q1939" s="116">
        <v>280.55</v>
      </c>
      <c r="R1939">
        <v>7720</v>
      </c>
    </row>
    <row r="1940" spans="1:18" x14ac:dyDescent="0.25">
      <c r="A1940" s="169">
        <v>44895</v>
      </c>
      <c r="B1940" s="116">
        <v>269.5</v>
      </c>
      <c r="C1940" s="116">
        <v>263.95</v>
      </c>
      <c r="D1940" s="116">
        <v>255.9</v>
      </c>
      <c r="E1940" s="116">
        <v>263</v>
      </c>
      <c r="F1940" s="116">
        <v>263.95</v>
      </c>
      <c r="G1940">
        <v>2832</v>
      </c>
      <c r="H1940" s="116"/>
      <c r="I1940" s="116"/>
      <c r="L1940" s="169">
        <v>44861</v>
      </c>
      <c r="M1940" s="116">
        <v>280.89999999999998</v>
      </c>
      <c r="N1940" s="116">
        <v>287</v>
      </c>
      <c r="O1940" s="116">
        <v>275.14999999999998</v>
      </c>
      <c r="P1940" s="116">
        <v>283.35000000000002</v>
      </c>
      <c r="Q1940" s="116">
        <v>280.89999999999998</v>
      </c>
      <c r="R1940">
        <v>16155</v>
      </c>
    </row>
    <row r="1941" spans="1:18" x14ac:dyDescent="0.25">
      <c r="A1941" s="169">
        <v>44896</v>
      </c>
      <c r="B1941" s="116">
        <v>272</v>
      </c>
      <c r="C1941" s="116">
        <v>266.10000000000002</v>
      </c>
      <c r="D1941" s="116">
        <v>265.55</v>
      </c>
      <c r="E1941" s="116">
        <v>272</v>
      </c>
      <c r="F1941" s="116">
        <v>266.10000000000002</v>
      </c>
      <c r="G1941">
        <v>1342</v>
      </c>
      <c r="H1941" s="116"/>
      <c r="I1941" s="116"/>
      <c r="L1941" s="169">
        <v>44862</v>
      </c>
      <c r="M1941" s="116">
        <v>281.89999999999998</v>
      </c>
      <c r="N1941" s="116">
        <v>285.3</v>
      </c>
      <c r="O1941" s="116">
        <v>277.25</v>
      </c>
      <c r="P1941" s="116">
        <v>283.7</v>
      </c>
      <c r="Q1941" s="116">
        <v>281.89999999999998</v>
      </c>
      <c r="R1941">
        <v>8896</v>
      </c>
    </row>
    <row r="1942" spans="1:18" x14ac:dyDescent="0.25">
      <c r="A1942" s="169">
        <v>44897</v>
      </c>
      <c r="B1942" s="116">
        <v>268.60000000000002</v>
      </c>
      <c r="C1942" s="116">
        <v>262.3</v>
      </c>
      <c r="D1942" s="116">
        <v>261.10000000000002</v>
      </c>
      <c r="E1942" s="116">
        <v>267.8</v>
      </c>
      <c r="F1942" s="116">
        <v>262.3</v>
      </c>
      <c r="G1942">
        <v>1139</v>
      </c>
      <c r="H1942" s="116"/>
      <c r="I1942" s="116"/>
      <c r="L1942" s="169">
        <v>44865</v>
      </c>
      <c r="M1942" s="116">
        <v>277.39999999999998</v>
      </c>
      <c r="N1942" s="116">
        <v>284.25</v>
      </c>
      <c r="O1942" s="116">
        <v>276.2</v>
      </c>
      <c r="P1942" s="116">
        <v>284.25</v>
      </c>
      <c r="Q1942" s="116">
        <v>277.39999999999998</v>
      </c>
      <c r="R1942">
        <v>8998</v>
      </c>
    </row>
    <row r="1943" spans="1:18" x14ac:dyDescent="0.25">
      <c r="A1943" s="169">
        <v>44900</v>
      </c>
      <c r="B1943" s="116">
        <v>267.5</v>
      </c>
      <c r="C1943" s="116">
        <v>267</v>
      </c>
      <c r="D1943" s="116">
        <v>263.64999999999998</v>
      </c>
      <c r="E1943" s="116">
        <v>265.64999999999998</v>
      </c>
      <c r="F1943" s="116">
        <v>267</v>
      </c>
      <c r="G1943">
        <v>172</v>
      </c>
      <c r="H1943" s="116"/>
      <c r="I1943" s="116"/>
      <c r="L1943" s="169">
        <v>44866</v>
      </c>
      <c r="M1943" s="116">
        <v>283.89999999999998</v>
      </c>
      <c r="N1943" s="116">
        <v>286</v>
      </c>
      <c r="O1943" s="116">
        <v>274.8</v>
      </c>
      <c r="P1943" s="116">
        <v>280</v>
      </c>
      <c r="Q1943" s="116">
        <v>283.89999999999998</v>
      </c>
      <c r="R1943">
        <v>19652</v>
      </c>
    </row>
    <row r="1944" spans="1:18" x14ac:dyDescent="0.25">
      <c r="A1944" s="169">
        <v>44901</v>
      </c>
      <c r="B1944" s="116">
        <v>269.25</v>
      </c>
      <c r="C1944" s="116">
        <v>264.7</v>
      </c>
      <c r="D1944" s="116">
        <v>263.8</v>
      </c>
      <c r="E1944" s="116">
        <v>266</v>
      </c>
      <c r="F1944" s="116">
        <v>264.7</v>
      </c>
      <c r="G1944">
        <v>1126</v>
      </c>
      <c r="H1944" s="116"/>
      <c r="I1944" s="116"/>
      <c r="L1944" s="169">
        <v>44867</v>
      </c>
      <c r="M1944" s="116">
        <v>283.7</v>
      </c>
      <c r="N1944" s="116">
        <v>285.2</v>
      </c>
      <c r="O1944" s="116">
        <v>280.25</v>
      </c>
      <c r="P1944" s="116">
        <v>280.5</v>
      </c>
      <c r="Q1944" s="116">
        <v>283.7</v>
      </c>
      <c r="R1944">
        <v>8238</v>
      </c>
    </row>
    <row r="1945" spans="1:18" x14ac:dyDescent="0.25">
      <c r="A1945" s="169">
        <v>44902</v>
      </c>
      <c r="B1945" s="116">
        <v>265.35000000000002</v>
      </c>
      <c r="C1945" s="116">
        <v>261.55</v>
      </c>
      <c r="D1945" s="116">
        <v>260.8</v>
      </c>
      <c r="E1945" s="116">
        <v>264.89999999999998</v>
      </c>
      <c r="F1945" s="116">
        <v>261.55</v>
      </c>
      <c r="G1945">
        <v>1228</v>
      </c>
      <c r="H1945" s="116"/>
      <c r="I1945" s="116"/>
      <c r="L1945" s="169">
        <v>44868</v>
      </c>
      <c r="M1945" s="116">
        <v>284.35000000000002</v>
      </c>
      <c r="N1945" s="116">
        <v>289.95</v>
      </c>
      <c r="O1945" s="116">
        <v>281.60000000000002</v>
      </c>
      <c r="P1945" s="116">
        <v>281.60000000000002</v>
      </c>
      <c r="Q1945" s="116">
        <v>284.35000000000002</v>
      </c>
      <c r="R1945">
        <v>15653</v>
      </c>
    </row>
    <row r="1946" spans="1:18" x14ac:dyDescent="0.25">
      <c r="A1946" s="169">
        <v>44903</v>
      </c>
      <c r="B1946" s="116">
        <v>263.85000000000002</v>
      </c>
      <c r="C1946" s="116">
        <v>260.05</v>
      </c>
      <c r="D1946" s="116">
        <v>260</v>
      </c>
      <c r="E1946" s="116">
        <v>263.85000000000002</v>
      </c>
      <c r="F1946" s="116">
        <v>260.05</v>
      </c>
      <c r="G1946">
        <v>603</v>
      </c>
      <c r="H1946" s="116"/>
      <c r="I1946" s="116"/>
      <c r="L1946" s="169">
        <v>44869</v>
      </c>
      <c r="M1946" s="116">
        <v>291.14999999999998</v>
      </c>
      <c r="N1946" s="116">
        <v>296.89999999999998</v>
      </c>
      <c r="O1946" s="116">
        <v>285</v>
      </c>
      <c r="P1946" s="116">
        <v>285</v>
      </c>
      <c r="Q1946" s="116">
        <v>291.14999999999998</v>
      </c>
      <c r="R1946">
        <v>29085</v>
      </c>
    </row>
    <row r="1947" spans="1:18" x14ac:dyDescent="0.25">
      <c r="A1947" s="169">
        <v>44904</v>
      </c>
      <c r="B1947" s="116">
        <v>262.75</v>
      </c>
      <c r="C1947" s="116">
        <v>258.85000000000002</v>
      </c>
      <c r="D1947" s="116">
        <v>258.3</v>
      </c>
      <c r="E1947" s="116">
        <v>261</v>
      </c>
      <c r="F1947" s="116">
        <v>258.85000000000002</v>
      </c>
      <c r="G1947">
        <v>2564</v>
      </c>
      <c r="H1947" s="116"/>
      <c r="I1947" s="116"/>
      <c r="L1947" s="169">
        <v>44872</v>
      </c>
      <c r="M1947" s="116">
        <v>293.64999999999998</v>
      </c>
      <c r="N1947" s="116">
        <v>297</v>
      </c>
      <c r="O1947" s="116">
        <v>288.10000000000002</v>
      </c>
      <c r="P1947" s="116">
        <v>296</v>
      </c>
      <c r="Q1947" s="116">
        <v>293.64999999999998</v>
      </c>
      <c r="R1947">
        <v>10386</v>
      </c>
    </row>
    <row r="1948" spans="1:18" x14ac:dyDescent="0.25">
      <c r="A1948" s="169">
        <v>44907</v>
      </c>
      <c r="B1948" s="116">
        <v>261.95</v>
      </c>
      <c r="C1948" s="116">
        <v>260.35000000000002</v>
      </c>
      <c r="D1948" s="116">
        <v>256.64999999999998</v>
      </c>
      <c r="E1948" s="116">
        <v>260</v>
      </c>
      <c r="F1948" s="116">
        <v>260.35000000000002</v>
      </c>
      <c r="G1948">
        <v>473</v>
      </c>
      <c r="H1948" s="116"/>
      <c r="I1948" s="116"/>
      <c r="L1948" s="169">
        <v>44874</v>
      </c>
      <c r="M1948" s="116">
        <v>282.7</v>
      </c>
      <c r="N1948" s="116">
        <v>299.2</v>
      </c>
      <c r="O1948" s="116">
        <v>281.10000000000002</v>
      </c>
      <c r="P1948" s="116">
        <v>298</v>
      </c>
      <c r="Q1948" s="116">
        <v>282.7</v>
      </c>
      <c r="R1948">
        <v>34224</v>
      </c>
    </row>
    <row r="1949" spans="1:18" x14ac:dyDescent="0.25">
      <c r="A1949" s="169">
        <v>44908</v>
      </c>
      <c r="B1949" s="116">
        <v>273.95</v>
      </c>
      <c r="C1949" s="116">
        <v>262</v>
      </c>
      <c r="D1949" s="116">
        <v>261.35000000000002</v>
      </c>
      <c r="E1949" s="116">
        <v>273.95</v>
      </c>
      <c r="F1949" s="116">
        <v>262</v>
      </c>
      <c r="G1949">
        <v>495</v>
      </c>
      <c r="H1949" s="116"/>
      <c r="I1949" s="116"/>
      <c r="L1949" s="169">
        <v>44875</v>
      </c>
      <c r="M1949" s="116">
        <v>286.8</v>
      </c>
      <c r="N1949" s="116">
        <v>290</v>
      </c>
      <c r="O1949" s="116">
        <v>275.5</v>
      </c>
      <c r="P1949" s="116">
        <v>282.05</v>
      </c>
      <c r="Q1949" s="116">
        <v>286.8</v>
      </c>
      <c r="R1949">
        <v>13848</v>
      </c>
    </row>
    <row r="1950" spans="1:18" x14ac:dyDescent="0.25">
      <c r="A1950" s="169">
        <v>44909</v>
      </c>
      <c r="B1950" s="116">
        <v>270</v>
      </c>
      <c r="C1950" s="116">
        <v>263.39999999999998</v>
      </c>
      <c r="D1950" s="116">
        <v>262.39999999999998</v>
      </c>
      <c r="E1950" s="116">
        <v>270</v>
      </c>
      <c r="F1950" s="116">
        <v>263.39999999999998</v>
      </c>
      <c r="G1950">
        <v>122</v>
      </c>
      <c r="H1950" s="116"/>
      <c r="I1950" s="116"/>
      <c r="L1950" s="169">
        <v>44876</v>
      </c>
      <c r="M1950" s="116">
        <v>279.60000000000002</v>
      </c>
      <c r="N1950" s="116">
        <v>286.39999999999998</v>
      </c>
      <c r="O1950" s="116">
        <v>277.45</v>
      </c>
      <c r="P1950" s="116">
        <v>286.39999999999998</v>
      </c>
      <c r="Q1950" s="116">
        <v>279.60000000000002</v>
      </c>
      <c r="R1950">
        <v>17239</v>
      </c>
    </row>
    <row r="1951" spans="1:18" x14ac:dyDescent="0.25">
      <c r="A1951" s="169">
        <v>44910</v>
      </c>
      <c r="B1951" s="116">
        <v>271.95</v>
      </c>
      <c r="C1951" s="116">
        <v>256.05</v>
      </c>
      <c r="D1951" s="116">
        <v>255.65</v>
      </c>
      <c r="E1951" s="116">
        <v>271.95</v>
      </c>
      <c r="F1951" s="116">
        <v>256.05</v>
      </c>
      <c r="G1951">
        <v>2735</v>
      </c>
      <c r="H1951" s="116"/>
      <c r="I1951" s="116"/>
      <c r="L1951" s="169">
        <v>44879</v>
      </c>
      <c r="M1951" s="116">
        <v>277.2</v>
      </c>
      <c r="N1951" s="116">
        <v>283</v>
      </c>
      <c r="O1951" s="116">
        <v>276.64999999999998</v>
      </c>
      <c r="P1951" s="116">
        <v>283</v>
      </c>
      <c r="Q1951" s="116">
        <v>277.2</v>
      </c>
      <c r="R1951">
        <v>3972</v>
      </c>
    </row>
    <row r="1952" spans="1:18" x14ac:dyDescent="0.25">
      <c r="A1952" s="169">
        <v>44911</v>
      </c>
      <c r="B1952" s="116">
        <v>264.95</v>
      </c>
      <c r="C1952" s="116">
        <v>258.2</v>
      </c>
      <c r="D1952" s="116">
        <v>257</v>
      </c>
      <c r="E1952" s="116">
        <v>264.95</v>
      </c>
      <c r="F1952" s="116">
        <v>258.2</v>
      </c>
      <c r="G1952">
        <v>902</v>
      </c>
      <c r="H1952" s="116"/>
      <c r="I1952" s="116"/>
      <c r="L1952" s="169">
        <v>44880</v>
      </c>
      <c r="M1952" s="116">
        <v>267.60000000000002</v>
      </c>
      <c r="N1952" s="116">
        <v>279.75</v>
      </c>
      <c r="O1952" s="116">
        <v>264.5</v>
      </c>
      <c r="P1952" s="116">
        <v>276.8</v>
      </c>
      <c r="Q1952" s="116">
        <v>267.60000000000002</v>
      </c>
      <c r="R1952">
        <v>22971</v>
      </c>
    </row>
    <row r="1953" spans="1:18" x14ac:dyDescent="0.25">
      <c r="A1953" s="169">
        <v>44914</v>
      </c>
      <c r="B1953" s="116">
        <v>270</v>
      </c>
      <c r="C1953" s="116">
        <v>256.60000000000002</v>
      </c>
      <c r="D1953" s="116">
        <v>255.65</v>
      </c>
      <c r="E1953" s="116">
        <v>270</v>
      </c>
      <c r="F1953" s="116">
        <v>256.60000000000002</v>
      </c>
      <c r="G1953">
        <v>827</v>
      </c>
      <c r="H1953" s="116"/>
      <c r="I1953" s="116"/>
      <c r="L1953" s="169">
        <v>44881</v>
      </c>
      <c r="M1953" s="116">
        <v>266.89999999999998</v>
      </c>
      <c r="N1953" s="116">
        <v>271.89999999999998</v>
      </c>
      <c r="O1953" s="116">
        <v>265.14999999999998</v>
      </c>
      <c r="P1953" s="116">
        <v>270</v>
      </c>
      <c r="Q1953" s="116">
        <v>266.89999999999998</v>
      </c>
      <c r="R1953">
        <v>8288</v>
      </c>
    </row>
    <row r="1954" spans="1:18" x14ac:dyDescent="0.25">
      <c r="A1954" s="169">
        <v>44915</v>
      </c>
      <c r="B1954" s="116">
        <v>258.89999999999998</v>
      </c>
      <c r="C1954" s="116">
        <v>252.7</v>
      </c>
      <c r="D1954" s="116">
        <v>251.9</v>
      </c>
      <c r="E1954" s="116">
        <v>256.5</v>
      </c>
      <c r="F1954" s="116">
        <v>252.7</v>
      </c>
      <c r="G1954">
        <v>1487</v>
      </c>
      <c r="H1954" s="116"/>
      <c r="I1954" s="116"/>
      <c r="L1954" s="169">
        <v>44882</v>
      </c>
      <c r="M1954" s="116">
        <v>270.3</v>
      </c>
      <c r="N1954" s="116">
        <v>272</v>
      </c>
      <c r="O1954" s="116">
        <v>267.05</v>
      </c>
      <c r="P1954" s="116">
        <v>268.55</v>
      </c>
      <c r="Q1954" s="116">
        <v>270.3</v>
      </c>
      <c r="R1954">
        <v>3960</v>
      </c>
    </row>
    <row r="1955" spans="1:18" x14ac:dyDescent="0.25">
      <c r="A1955" s="169">
        <v>44916</v>
      </c>
      <c r="B1955" s="116">
        <v>255.5</v>
      </c>
      <c r="C1955" s="116">
        <v>241.45</v>
      </c>
      <c r="D1955" s="116">
        <v>239.45</v>
      </c>
      <c r="E1955" s="116">
        <v>253.75</v>
      </c>
      <c r="F1955" s="116">
        <v>241.45</v>
      </c>
      <c r="G1955">
        <v>2948</v>
      </c>
      <c r="H1955" s="116"/>
      <c r="I1955" s="116"/>
      <c r="L1955" s="169">
        <v>44883</v>
      </c>
      <c r="M1955" s="116">
        <v>267.25</v>
      </c>
      <c r="N1955" s="116">
        <v>272.3</v>
      </c>
      <c r="O1955" s="116">
        <v>267</v>
      </c>
      <c r="P1955" s="116">
        <v>272.10000000000002</v>
      </c>
      <c r="Q1955" s="116">
        <v>267.25</v>
      </c>
      <c r="R1955">
        <v>9177</v>
      </c>
    </row>
    <row r="1956" spans="1:18" x14ac:dyDescent="0.25">
      <c r="A1956" s="169">
        <v>44917</v>
      </c>
      <c r="B1956" s="116">
        <v>247.05</v>
      </c>
      <c r="C1956" s="116">
        <v>237.95</v>
      </c>
      <c r="D1956" s="116">
        <v>233.05</v>
      </c>
      <c r="E1956" s="116">
        <v>247.05</v>
      </c>
      <c r="F1956" s="116">
        <v>237.95</v>
      </c>
      <c r="G1956">
        <v>743</v>
      </c>
      <c r="H1956" s="116"/>
      <c r="I1956" s="116"/>
      <c r="L1956" s="169">
        <v>44886</v>
      </c>
      <c r="M1956" s="116">
        <v>262.95</v>
      </c>
      <c r="N1956" s="116">
        <v>273.8</v>
      </c>
      <c r="O1956" s="116">
        <v>260.10000000000002</v>
      </c>
      <c r="P1956" s="116">
        <v>266.64999999999998</v>
      </c>
      <c r="Q1956" s="116">
        <v>262.95</v>
      </c>
      <c r="R1956">
        <v>23925</v>
      </c>
    </row>
    <row r="1957" spans="1:18" x14ac:dyDescent="0.25">
      <c r="A1957" s="169">
        <v>44918</v>
      </c>
      <c r="B1957" s="116">
        <v>238.75</v>
      </c>
      <c r="C1957" s="116">
        <v>229.7</v>
      </c>
      <c r="D1957" s="116">
        <v>228</v>
      </c>
      <c r="E1957" s="116">
        <v>234.8</v>
      </c>
      <c r="F1957" s="116">
        <v>229.7</v>
      </c>
      <c r="G1957">
        <v>2981</v>
      </c>
      <c r="H1957" s="116"/>
      <c r="I1957" s="116"/>
      <c r="L1957" s="169">
        <v>44887</v>
      </c>
      <c r="M1957" s="116">
        <v>263.60000000000002</v>
      </c>
      <c r="N1957" s="116">
        <v>268.64999999999998</v>
      </c>
      <c r="O1957" s="116">
        <v>260</v>
      </c>
      <c r="P1957" s="116">
        <v>262.05</v>
      </c>
      <c r="Q1957" s="116">
        <v>263.60000000000002</v>
      </c>
      <c r="R1957">
        <v>14025</v>
      </c>
    </row>
    <row r="1958" spans="1:18" x14ac:dyDescent="0.25">
      <c r="A1958" s="169">
        <v>44921</v>
      </c>
      <c r="B1958" s="116">
        <v>239.75</v>
      </c>
      <c r="C1958" s="116">
        <v>238.25</v>
      </c>
      <c r="D1958" s="116">
        <v>215</v>
      </c>
      <c r="E1958" s="116">
        <v>215</v>
      </c>
      <c r="F1958" s="116">
        <v>238.25</v>
      </c>
      <c r="G1958">
        <v>3759</v>
      </c>
      <c r="H1958" s="116"/>
      <c r="I1958" s="116"/>
      <c r="L1958" s="169">
        <v>44888</v>
      </c>
      <c r="M1958" s="116">
        <v>262.2</v>
      </c>
      <c r="N1958" s="116">
        <v>267.89999999999998</v>
      </c>
      <c r="O1958" s="116">
        <v>261.10000000000002</v>
      </c>
      <c r="P1958" s="116">
        <v>267.89999999999998</v>
      </c>
      <c r="Q1958" s="116">
        <v>262.2</v>
      </c>
      <c r="R1958">
        <v>17794</v>
      </c>
    </row>
    <row r="1959" spans="1:18" x14ac:dyDescent="0.25">
      <c r="A1959" s="169">
        <v>44922</v>
      </c>
      <c r="B1959" s="116">
        <v>243.5</v>
      </c>
      <c r="C1959" s="116">
        <v>240.95</v>
      </c>
      <c r="D1959" s="116">
        <v>235.85</v>
      </c>
      <c r="E1959" s="116">
        <v>239.3</v>
      </c>
      <c r="F1959" s="116">
        <v>240.95</v>
      </c>
      <c r="G1959">
        <v>1374</v>
      </c>
      <c r="H1959" s="116"/>
      <c r="I1959" s="116"/>
      <c r="L1959" s="169">
        <v>44889</v>
      </c>
      <c r="M1959" s="116">
        <v>259.5</v>
      </c>
      <c r="N1959" s="116">
        <v>266.60000000000002</v>
      </c>
      <c r="O1959" s="116">
        <v>258.05</v>
      </c>
      <c r="P1959" s="116">
        <v>261.60000000000002</v>
      </c>
      <c r="Q1959" s="116">
        <v>259.5</v>
      </c>
      <c r="R1959">
        <v>15776</v>
      </c>
    </row>
    <row r="1960" spans="1:18" x14ac:dyDescent="0.25">
      <c r="A1960" s="169">
        <v>44923</v>
      </c>
      <c r="B1960" s="116">
        <v>243.9</v>
      </c>
      <c r="C1960" s="116">
        <v>242.05</v>
      </c>
      <c r="D1960" s="116">
        <v>238</v>
      </c>
      <c r="E1960" s="116">
        <v>239.7</v>
      </c>
      <c r="F1960" s="116">
        <v>242.05</v>
      </c>
      <c r="G1960">
        <v>4471</v>
      </c>
      <c r="H1960" s="116"/>
      <c r="I1960" s="116"/>
      <c r="L1960" s="169">
        <v>44890</v>
      </c>
      <c r="M1960" s="116">
        <v>265.60000000000002</v>
      </c>
      <c r="N1960" s="116">
        <v>268</v>
      </c>
      <c r="O1960" s="116">
        <v>259.8</v>
      </c>
      <c r="P1960" s="116">
        <v>259.8</v>
      </c>
      <c r="Q1960" s="116">
        <v>265.60000000000002</v>
      </c>
      <c r="R1960">
        <v>17401</v>
      </c>
    </row>
    <row r="1961" spans="1:18" x14ac:dyDescent="0.25">
      <c r="A1961" s="169">
        <v>44924</v>
      </c>
      <c r="B1961" s="116">
        <v>241.25</v>
      </c>
      <c r="C1961" s="116">
        <v>240.15</v>
      </c>
      <c r="D1961" s="116">
        <v>238.45</v>
      </c>
      <c r="E1961" s="116">
        <v>241.1</v>
      </c>
      <c r="F1961" s="116">
        <v>240.15</v>
      </c>
      <c r="G1961">
        <v>499</v>
      </c>
      <c r="H1961" s="116"/>
      <c r="I1961" s="116"/>
      <c r="L1961" s="169">
        <v>44893</v>
      </c>
      <c r="M1961" s="116">
        <v>266.85000000000002</v>
      </c>
      <c r="N1961" s="116">
        <v>269.95</v>
      </c>
      <c r="O1961" s="116">
        <v>262.10000000000002</v>
      </c>
      <c r="P1961" s="116">
        <v>268.8</v>
      </c>
      <c r="Q1961" s="116">
        <v>266.85000000000002</v>
      </c>
      <c r="R1961">
        <v>11964</v>
      </c>
    </row>
    <row r="1962" spans="1:18" x14ac:dyDescent="0.25">
      <c r="A1962" s="169">
        <v>44925</v>
      </c>
      <c r="B1962" s="116">
        <v>263.64999999999998</v>
      </c>
      <c r="C1962" s="116">
        <v>243.65</v>
      </c>
      <c r="D1962" s="116">
        <v>242.55</v>
      </c>
      <c r="E1962" s="116">
        <v>263.64999999999998</v>
      </c>
      <c r="F1962" s="116">
        <v>243.65</v>
      </c>
      <c r="G1962">
        <v>2084</v>
      </c>
      <c r="H1962" s="116"/>
      <c r="I1962" s="116"/>
      <c r="L1962" s="169">
        <v>44894</v>
      </c>
      <c r="M1962" s="116">
        <v>261.64999999999998</v>
      </c>
      <c r="N1962" s="116">
        <v>271.89999999999998</v>
      </c>
      <c r="O1962" s="116">
        <v>256.60000000000002</v>
      </c>
      <c r="P1962" s="116">
        <v>268.85000000000002</v>
      </c>
      <c r="Q1962" s="116">
        <v>261.64999999999998</v>
      </c>
      <c r="R1962">
        <v>29285</v>
      </c>
    </row>
    <row r="1963" spans="1:18" x14ac:dyDescent="0.25">
      <c r="A1963" s="169">
        <v>44928</v>
      </c>
      <c r="B1963" s="116">
        <v>245.95</v>
      </c>
      <c r="C1963" s="116">
        <v>240.65</v>
      </c>
      <c r="D1963" s="116">
        <v>240</v>
      </c>
      <c r="E1963" s="116">
        <v>242.55</v>
      </c>
      <c r="F1963" s="116">
        <v>240.65</v>
      </c>
      <c r="G1963">
        <v>1658</v>
      </c>
      <c r="H1963" s="116"/>
      <c r="I1963" s="116"/>
      <c r="L1963" s="169">
        <v>44895</v>
      </c>
      <c r="M1963" s="116">
        <v>263.7</v>
      </c>
      <c r="N1963" s="116">
        <v>269.10000000000002</v>
      </c>
      <c r="O1963" s="116">
        <v>260.55</v>
      </c>
      <c r="P1963" s="116">
        <v>265</v>
      </c>
      <c r="Q1963" s="116">
        <v>263.7</v>
      </c>
      <c r="R1963">
        <v>16833</v>
      </c>
    </row>
    <row r="1964" spans="1:18" x14ac:dyDescent="0.25">
      <c r="A1964" s="169">
        <v>44929</v>
      </c>
      <c r="B1964" s="116">
        <v>249.9</v>
      </c>
      <c r="C1964" s="116">
        <v>235.75</v>
      </c>
      <c r="D1964" s="116">
        <v>235</v>
      </c>
      <c r="E1964" s="116">
        <v>249.9</v>
      </c>
      <c r="F1964" s="116">
        <v>235.75</v>
      </c>
      <c r="G1964">
        <v>1778</v>
      </c>
      <c r="H1964" s="116"/>
      <c r="I1964" s="116"/>
      <c r="L1964" s="169">
        <v>44896</v>
      </c>
      <c r="M1964" s="116">
        <v>266.89999999999998</v>
      </c>
      <c r="N1964" s="116">
        <v>269.75</v>
      </c>
      <c r="O1964" s="116">
        <v>265.60000000000002</v>
      </c>
      <c r="P1964" s="116">
        <v>266.95</v>
      </c>
      <c r="Q1964" s="116">
        <v>266.89999999999998</v>
      </c>
      <c r="R1964">
        <v>11344</v>
      </c>
    </row>
    <row r="1965" spans="1:18" x14ac:dyDescent="0.25">
      <c r="A1965" s="169">
        <v>44930</v>
      </c>
      <c r="B1965" s="116">
        <v>242.95</v>
      </c>
      <c r="C1965" s="116">
        <v>231.55</v>
      </c>
      <c r="D1965" s="116">
        <v>230</v>
      </c>
      <c r="E1965" s="116">
        <v>242.95</v>
      </c>
      <c r="F1965" s="116">
        <v>231.55</v>
      </c>
      <c r="G1965">
        <v>2414</v>
      </c>
      <c r="H1965" s="116"/>
      <c r="I1965" s="116"/>
      <c r="L1965" s="169">
        <v>44897</v>
      </c>
      <c r="M1965" s="116">
        <v>262.7</v>
      </c>
      <c r="N1965" s="116">
        <v>268</v>
      </c>
      <c r="O1965" s="116">
        <v>261</v>
      </c>
      <c r="P1965" s="116">
        <v>268</v>
      </c>
      <c r="Q1965" s="116">
        <v>262.7</v>
      </c>
      <c r="R1965">
        <v>11847</v>
      </c>
    </row>
    <row r="1966" spans="1:18" x14ac:dyDescent="0.25">
      <c r="A1966" s="169">
        <v>44931</v>
      </c>
      <c r="B1966" s="116">
        <v>240</v>
      </c>
      <c r="C1966" s="116">
        <v>229</v>
      </c>
      <c r="D1966" s="116">
        <v>226.7</v>
      </c>
      <c r="E1966" s="116">
        <v>240</v>
      </c>
      <c r="F1966" s="116">
        <v>229</v>
      </c>
      <c r="G1966">
        <v>3347</v>
      </c>
      <c r="H1966" s="116"/>
      <c r="I1966" s="116"/>
      <c r="L1966" s="169">
        <v>44900</v>
      </c>
      <c r="M1966" s="116">
        <v>267.39999999999998</v>
      </c>
      <c r="N1966" s="116">
        <v>268.39999999999998</v>
      </c>
      <c r="O1966" s="116">
        <v>261.10000000000002</v>
      </c>
      <c r="P1966" s="116">
        <v>261.10000000000002</v>
      </c>
      <c r="Q1966" s="116">
        <v>267.39999999999998</v>
      </c>
      <c r="R1966">
        <v>11563</v>
      </c>
    </row>
    <row r="1967" spans="1:18" x14ac:dyDescent="0.25">
      <c r="A1967" s="169">
        <v>44932</v>
      </c>
      <c r="B1967" s="116">
        <v>233.25</v>
      </c>
      <c r="C1967" s="116">
        <v>230.3</v>
      </c>
      <c r="D1967" s="116">
        <v>229</v>
      </c>
      <c r="E1967" s="116">
        <v>230.3</v>
      </c>
      <c r="F1967" s="116">
        <v>230.3</v>
      </c>
      <c r="G1967">
        <v>1800</v>
      </c>
      <c r="H1967" s="116"/>
      <c r="I1967" s="116"/>
      <c r="L1967" s="169">
        <v>44901</v>
      </c>
      <c r="M1967" s="116">
        <v>263.89999999999998</v>
      </c>
      <c r="N1967" s="116">
        <v>269.7</v>
      </c>
      <c r="O1967" s="116">
        <v>262.14999999999998</v>
      </c>
      <c r="P1967" s="116">
        <v>266.89999999999998</v>
      </c>
      <c r="Q1967" s="116">
        <v>263.89999999999998</v>
      </c>
      <c r="R1967">
        <v>25390</v>
      </c>
    </row>
    <row r="1968" spans="1:18" x14ac:dyDescent="0.25">
      <c r="A1968" s="169">
        <v>44935</v>
      </c>
      <c r="B1968" s="116">
        <v>234.7</v>
      </c>
      <c r="C1968" s="116">
        <v>228.4</v>
      </c>
      <c r="D1968" s="116">
        <v>226.9</v>
      </c>
      <c r="E1968" s="116">
        <v>234.7</v>
      </c>
      <c r="F1968" s="116">
        <v>228.4</v>
      </c>
      <c r="G1968">
        <v>11372</v>
      </c>
      <c r="H1968" s="116"/>
      <c r="I1968" s="116"/>
      <c r="L1968" s="169">
        <v>44902</v>
      </c>
      <c r="M1968" s="116">
        <v>261.7</v>
      </c>
      <c r="N1968" s="116">
        <v>267.75</v>
      </c>
      <c r="O1968" s="116">
        <v>260.55</v>
      </c>
      <c r="P1968" s="116">
        <v>267.75</v>
      </c>
      <c r="Q1968" s="116">
        <v>261.7</v>
      </c>
      <c r="R1968">
        <v>14618</v>
      </c>
    </row>
    <row r="1969" spans="1:18" x14ac:dyDescent="0.25">
      <c r="A1969" s="169">
        <v>44936</v>
      </c>
      <c r="B1969" s="116">
        <v>229.5</v>
      </c>
      <c r="C1969" s="116">
        <v>225.25</v>
      </c>
      <c r="D1969" s="116">
        <v>223</v>
      </c>
      <c r="E1969" s="116">
        <v>229</v>
      </c>
      <c r="F1969" s="116">
        <v>225.25</v>
      </c>
      <c r="G1969">
        <v>983</v>
      </c>
      <c r="H1969" s="116"/>
      <c r="I1969" s="116"/>
      <c r="L1969" s="169">
        <v>44903</v>
      </c>
      <c r="M1969" s="116">
        <v>260.05</v>
      </c>
      <c r="N1969" s="116">
        <v>264.10000000000002</v>
      </c>
      <c r="O1969" s="116">
        <v>259</v>
      </c>
      <c r="P1969" s="116">
        <v>261.2</v>
      </c>
      <c r="Q1969" s="116">
        <v>260.05</v>
      </c>
      <c r="R1969">
        <v>12997</v>
      </c>
    </row>
    <row r="1970" spans="1:18" x14ac:dyDescent="0.25">
      <c r="A1970" s="169">
        <v>44937</v>
      </c>
      <c r="B1970" s="116">
        <v>228.75</v>
      </c>
      <c r="C1970" s="116">
        <v>225.25</v>
      </c>
      <c r="D1970" s="116">
        <v>223.35</v>
      </c>
      <c r="E1970" s="116">
        <v>226</v>
      </c>
      <c r="F1970" s="116">
        <v>225.25</v>
      </c>
      <c r="G1970">
        <v>81738</v>
      </c>
      <c r="H1970" s="116"/>
      <c r="I1970" s="116"/>
      <c r="L1970" s="169">
        <v>44904</v>
      </c>
      <c r="M1970" s="116">
        <v>259.3</v>
      </c>
      <c r="N1970" s="116">
        <v>264.7</v>
      </c>
      <c r="O1970" s="116">
        <v>258</v>
      </c>
      <c r="P1970" s="116">
        <v>261.05</v>
      </c>
      <c r="Q1970" s="116">
        <v>259.3</v>
      </c>
      <c r="R1970">
        <v>13119</v>
      </c>
    </row>
    <row r="1971" spans="1:18" x14ac:dyDescent="0.25">
      <c r="A1971" s="169">
        <v>44938</v>
      </c>
      <c r="B1971" s="116">
        <v>227.45</v>
      </c>
      <c r="C1971" s="116">
        <v>222.65</v>
      </c>
      <c r="D1971" s="116">
        <v>218.1</v>
      </c>
      <c r="E1971" s="116">
        <v>227.45</v>
      </c>
      <c r="F1971" s="116">
        <v>222.65</v>
      </c>
      <c r="G1971">
        <v>3351</v>
      </c>
      <c r="H1971" s="116"/>
      <c r="I1971" s="116"/>
      <c r="L1971" s="169">
        <v>44907</v>
      </c>
      <c r="M1971" s="116">
        <v>260.8</v>
      </c>
      <c r="N1971" s="116">
        <v>263</v>
      </c>
      <c r="O1971" s="116">
        <v>255.55</v>
      </c>
      <c r="P1971" s="116">
        <v>263</v>
      </c>
      <c r="Q1971" s="116">
        <v>260.8</v>
      </c>
      <c r="R1971">
        <v>6560</v>
      </c>
    </row>
    <row r="1972" spans="1:18" x14ac:dyDescent="0.25">
      <c r="A1972" s="169">
        <v>44939</v>
      </c>
      <c r="B1972" s="116">
        <v>223.8</v>
      </c>
      <c r="C1972" s="116">
        <v>222.85</v>
      </c>
      <c r="D1972" s="116">
        <v>216.5</v>
      </c>
      <c r="E1972" s="116">
        <v>221.5</v>
      </c>
      <c r="F1972" s="116">
        <v>222.85</v>
      </c>
      <c r="G1972">
        <v>2686</v>
      </c>
      <c r="H1972" s="116"/>
      <c r="I1972" s="116"/>
      <c r="L1972" s="169">
        <v>44908</v>
      </c>
      <c r="M1972" s="116">
        <v>263.14999999999998</v>
      </c>
      <c r="N1972" s="116">
        <v>266.95</v>
      </c>
      <c r="O1972" s="116">
        <v>261.10000000000002</v>
      </c>
      <c r="P1972" s="116">
        <v>261.10000000000002</v>
      </c>
      <c r="Q1972" s="116">
        <v>263.14999999999998</v>
      </c>
      <c r="R1972">
        <v>10942</v>
      </c>
    </row>
    <row r="1973" spans="1:18" x14ac:dyDescent="0.25">
      <c r="A1973" s="169">
        <v>44942</v>
      </c>
      <c r="B1973" s="116">
        <v>226.5</v>
      </c>
      <c r="C1973" s="116">
        <v>224.05</v>
      </c>
      <c r="D1973" s="116">
        <v>223.3</v>
      </c>
      <c r="E1973" s="116">
        <v>225.35</v>
      </c>
      <c r="F1973" s="116">
        <v>224.05</v>
      </c>
      <c r="G1973">
        <v>15397</v>
      </c>
      <c r="H1973" s="116"/>
      <c r="I1973" s="116"/>
      <c r="L1973" s="169">
        <v>44909</v>
      </c>
      <c r="M1973" s="116">
        <v>262.7</v>
      </c>
      <c r="N1973" s="116">
        <v>266.89999999999998</v>
      </c>
      <c r="O1973" s="116">
        <v>262.25</v>
      </c>
      <c r="P1973" s="116">
        <v>266.89999999999998</v>
      </c>
      <c r="Q1973" s="116">
        <v>262.7</v>
      </c>
      <c r="R1973">
        <v>6297</v>
      </c>
    </row>
    <row r="1974" spans="1:18" x14ac:dyDescent="0.25">
      <c r="A1974" s="169">
        <v>44943</v>
      </c>
      <c r="B1974" s="116">
        <v>224.95</v>
      </c>
      <c r="C1974" s="116">
        <v>219.65</v>
      </c>
      <c r="D1974" s="116">
        <v>218</v>
      </c>
      <c r="E1974" s="116">
        <v>224.95</v>
      </c>
      <c r="F1974" s="116">
        <v>219.65</v>
      </c>
      <c r="G1974">
        <v>15927</v>
      </c>
      <c r="H1974" s="116"/>
      <c r="I1974" s="116"/>
      <c r="L1974" s="169">
        <v>44910</v>
      </c>
      <c r="M1974" s="116">
        <v>256.55</v>
      </c>
      <c r="N1974" s="116">
        <v>264.89999999999998</v>
      </c>
      <c r="O1974" s="116">
        <v>255.5</v>
      </c>
      <c r="P1974" s="116">
        <v>264.89999999999998</v>
      </c>
      <c r="Q1974" s="116">
        <v>256.55</v>
      </c>
      <c r="R1974">
        <v>40669</v>
      </c>
    </row>
    <row r="1975" spans="1:18" x14ac:dyDescent="0.25">
      <c r="A1975" s="169">
        <v>44944</v>
      </c>
      <c r="B1975" s="116">
        <v>226.15</v>
      </c>
      <c r="C1975" s="116">
        <v>222.6</v>
      </c>
      <c r="D1975" s="116">
        <v>218.15</v>
      </c>
      <c r="E1975" s="116">
        <v>221.15</v>
      </c>
      <c r="F1975" s="116">
        <v>222.6</v>
      </c>
      <c r="G1975">
        <v>16626</v>
      </c>
      <c r="H1975" s="116"/>
      <c r="I1975" s="116"/>
      <c r="L1975" s="169">
        <v>44911</v>
      </c>
      <c r="M1975" s="116">
        <v>257.7</v>
      </c>
      <c r="N1975" s="116">
        <v>259.45</v>
      </c>
      <c r="O1975" s="116">
        <v>255.6</v>
      </c>
      <c r="P1975" s="116">
        <v>255.6</v>
      </c>
      <c r="Q1975" s="116">
        <v>257.7</v>
      </c>
      <c r="R1975">
        <v>8216</v>
      </c>
    </row>
    <row r="1976" spans="1:18" x14ac:dyDescent="0.25">
      <c r="A1976" s="169">
        <v>44945</v>
      </c>
      <c r="B1976" s="116">
        <v>221.35</v>
      </c>
      <c r="C1976" s="116">
        <v>218.8</v>
      </c>
      <c r="D1976" s="116">
        <v>218</v>
      </c>
      <c r="E1976" s="116">
        <v>219</v>
      </c>
      <c r="F1976" s="116">
        <v>218.8</v>
      </c>
      <c r="G1976">
        <v>353</v>
      </c>
      <c r="H1976" s="116"/>
      <c r="I1976" s="116"/>
      <c r="L1976" s="169">
        <v>44914</v>
      </c>
      <c r="M1976" s="116">
        <v>256.64999999999998</v>
      </c>
      <c r="N1976" s="116">
        <v>260.85000000000002</v>
      </c>
      <c r="O1976" s="116">
        <v>255.5</v>
      </c>
      <c r="P1976" s="116">
        <v>259.45</v>
      </c>
      <c r="Q1976" s="116">
        <v>256.64999999999998</v>
      </c>
      <c r="R1976">
        <v>9404</v>
      </c>
    </row>
    <row r="1977" spans="1:18" x14ac:dyDescent="0.25">
      <c r="A1977" s="169">
        <v>44946</v>
      </c>
      <c r="B1977" s="116">
        <v>223.65</v>
      </c>
      <c r="C1977" s="116">
        <v>220.35</v>
      </c>
      <c r="D1977" s="116">
        <v>185</v>
      </c>
      <c r="E1977" s="116">
        <v>185</v>
      </c>
      <c r="F1977" s="116">
        <v>220.35</v>
      </c>
      <c r="G1977">
        <v>1100</v>
      </c>
      <c r="H1977" s="116"/>
      <c r="I1977" s="116"/>
      <c r="L1977" s="169">
        <v>44915</v>
      </c>
      <c r="M1977" s="116">
        <v>252.8</v>
      </c>
      <c r="N1977" s="116">
        <v>258.89999999999998</v>
      </c>
      <c r="O1977" s="116">
        <v>251.2</v>
      </c>
      <c r="P1977" s="116">
        <v>258.14999999999998</v>
      </c>
      <c r="Q1977" s="116">
        <v>252.8</v>
      </c>
      <c r="R1977">
        <v>21573</v>
      </c>
    </row>
    <row r="1978" spans="1:18" x14ac:dyDescent="0.25">
      <c r="A1978" s="169">
        <v>44949</v>
      </c>
      <c r="B1978" s="116">
        <v>221.7</v>
      </c>
      <c r="C1978" s="116">
        <v>215.5</v>
      </c>
      <c r="D1978" s="116">
        <v>213.55</v>
      </c>
      <c r="E1978" s="116">
        <v>217.35</v>
      </c>
      <c r="F1978" s="116">
        <v>215.5</v>
      </c>
      <c r="G1978">
        <v>889</v>
      </c>
      <c r="H1978" s="116"/>
      <c r="I1978" s="116"/>
      <c r="L1978" s="169">
        <v>44916</v>
      </c>
      <c r="M1978" s="116">
        <v>242.4</v>
      </c>
      <c r="N1978" s="116">
        <v>256.89999999999998</v>
      </c>
      <c r="O1978" s="116">
        <v>238.05</v>
      </c>
      <c r="P1978" s="116">
        <v>253.05</v>
      </c>
      <c r="Q1978" s="116">
        <v>242.4</v>
      </c>
      <c r="R1978">
        <v>69399</v>
      </c>
    </row>
    <row r="1979" spans="1:18" x14ac:dyDescent="0.25">
      <c r="A1979" s="169">
        <v>44950</v>
      </c>
      <c r="B1979" s="116">
        <v>220.8</v>
      </c>
      <c r="C1979" s="116">
        <v>217.35</v>
      </c>
      <c r="D1979" s="116">
        <v>214.3</v>
      </c>
      <c r="E1979" s="116">
        <v>215.2</v>
      </c>
      <c r="F1979" s="116">
        <v>217.35</v>
      </c>
      <c r="G1979">
        <v>1644</v>
      </c>
      <c r="H1979" s="116"/>
      <c r="I1979" s="116"/>
      <c r="L1979" s="169">
        <v>44917</v>
      </c>
      <c r="M1979" s="116">
        <v>237.85</v>
      </c>
      <c r="N1979" s="116">
        <v>246.95</v>
      </c>
      <c r="O1979" s="116">
        <v>232</v>
      </c>
      <c r="P1979" s="116">
        <v>246.95</v>
      </c>
      <c r="Q1979" s="116">
        <v>237.85</v>
      </c>
      <c r="R1979">
        <v>18065</v>
      </c>
    </row>
    <row r="1980" spans="1:18" x14ac:dyDescent="0.25">
      <c r="A1980" s="169">
        <v>44951</v>
      </c>
      <c r="B1980" s="116">
        <v>218.15</v>
      </c>
      <c r="C1980" s="116">
        <v>214</v>
      </c>
      <c r="D1980" s="116">
        <v>213.95</v>
      </c>
      <c r="E1980" s="116">
        <v>213.95</v>
      </c>
      <c r="F1980" s="116">
        <v>214</v>
      </c>
      <c r="G1980">
        <v>919</v>
      </c>
      <c r="H1980" s="116"/>
      <c r="I1980" s="116"/>
      <c r="L1980" s="169">
        <v>44918</v>
      </c>
      <c r="M1980" s="116">
        <v>229.55</v>
      </c>
      <c r="N1980" s="116">
        <v>238.2</v>
      </c>
      <c r="O1980" s="116">
        <v>227.1</v>
      </c>
      <c r="P1980" s="116">
        <v>235.1</v>
      </c>
      <c r="Q1980" s="116">
        <v>229.55</v>
      </c>
      <c r="R1980">
        <v>28687</v>
      </c>
    </row>
    <row r="1981" spans="1:18" x14ac:dyDescent="0.25">
      <c r="A1981" s="169">
        <v>44953</v>
      </c>
      <c r="B1981" s="116">
        <v>214.8</v>
      </c>
      <c r="C1981" s="116">
        <v>210</v>
      </c>
      <c r="D1981" s="116">
        <v>206.5</v>
      </c>
      <c r="E1981" s="116">
        <v>210</v>
      </c>
      <c r="F1981" s="116">
        <v>210</v>
      </c>
      <c r="G1981">
        <v>214</v>
      </c>
      <c r="H1981" s="116"/>
      <c r="I1981" s="116"/>
      <c r="L1981" s="169">
        <v>44921</v>
      </c>
      <c r="M1981" s="116">
        <v>239.05</v>
      </c>
      <c r="N1981" s="116">
        <v>241.95</v>
      </c>
      <c r="O1981" s="116">
        <v>225.55</v>
      </c>
      <c r="P1981" s="116">
        <v>229.55</v>
      </c>
      <c r="Q1981" s="116">
        <v>239.05</v>
      </c>
      <c r="R1981">
        <v>12876</v>
      </c>
    </row>
    <row r="1982" spans="1:18" x14ac:dyDescent="0.25">
      <c r="A1982" s="169">
        <v>44956</v>
      </c>
      <c r="B1982" s="116">
        <v>216</v>
      </c>
      <c r="C1982" s="116">
        <v>210.55</v>
      </c>
      <c r="D1982" s="116">
        <v>205</v>
      </c>
      <c r="E1982" s="116">
        <v>210</v>
      </c>
      <c r="F1982" s="116">
        <v>210.55</v>
      </c>
      <c r="G1982">
        <v>2889</v>
      </c>
      <c r="H1982" s="116"/>
      <c r="I1982" s="116"/>
      <c r="L1982" s="169">
        <v>44922</v>
      </c>
      <c r="M1982" s="116">
        <v>240.45</v>
      </c>
      <c r="N1982" s="116">
        <v>245.7</v>
      </c>
      <c r="O1982" s="116">
        <v>236.15</v>
      </c>
      <c r="P1982" s="116">
        <v>239.9</v>
      </c>
      <c r="Q1982" s="116">
        <v>240.45</v>
      </c>
      <c r="R1982">
        <v>9658</v>
      </c>
    </row>
    <row r="1983" spans="1:18" x14ac:dyDescent="0.25">
      <c r="A1983" s="169">
        <v>44957</v>
      </c>
      <c r="B1983" s="116">
        <v>215.2</v>
      </c>
      <c r="C1983" s="116">
        <v>215.2</v>
      </c>
      <c r="D1983" s="116">
        <v>207.65</v>
      </c>
      <c r="E1983" s="116">
        <v>212.8</v>
      </c>
      <c r="F1983" s="116">
        <v>215.2</v>
      </c>
      <c r="G1983">
        <v>191</v>
      </c>
      <c r="H1983" s="116"/>
      <c r="I1983" s="116"/>
      <c r="L1983" s="169">
        <v>44923</v>
      </c>
      <c r="M1983" s="116">
        <v>242.4</v>
      </c>
      <c r="N1983" s="116">
        <v>244.1</v>
      </c>
      <c r="O1983" s="116">
        <v>237.55</v>
      </c>
      <c r="P1983" s="116">
        <v>242</v>
      </c>
      <c r="Q1983" s="116">
        <v>242.4</v>
      </c>
      <c r="R1983">
        <v>9931</v>
      </c>
    </row>
    <row r="1984" spans="1:18" x14ac:dyDescent="0.25">
      <c r="A1984" s="169">
        <v>44958</v>
      </c>
      <c r="B1984" s="116">
        <v>217.35</v>
      </c>
      <c r="C1984" s="116">
        <v>201.5</v>
      </c>
      <c r="D1984" s="116">
        <v>198.85</v>
      </c>
      <c r="E1984" s="116">
        <v>217.35</v>
      </c>
      <c r="F1984" s="116">
        <v>201.5</v>
      </c>
      <c r="G1984">
        <v>2636</v>
      </c>
      <c r="H1984" s="116"/>
      <c r="I1984" s="116"/>
      <c r="L1984" s="169">
        <v>44924</v>
      </c>
      <c r="M1984" s="116">
        <v>239.9</v>
      </c>
      <c r="N1984" s="116">
        <v>242.15</v>
      </c>
      <c r="O1984" s="116">
        <v>237.15</v>
      </c>
      <c r="P1984" s="116">
        <v>240.05</v>
      </c>
      <c r="Q1984" s="116">
        <v>239.9</v>
      </c>
      <c r="R1984">
        <v>6660</v>
      </c>
    </row>
    <row r="1985" spans="1:18" x14ac:dyDescent="0.25">
      <c r="A1985" s="169">
        <v>44959</v>
      </c>
      <c r="B1985" s="116">
        <v>205.95</v>
      </c>
      <c r="C1985" s="116">
        <v>204.5</v>
      </c>
      <c r="D1985" s="116">
        <v>198.05</v>
      </c>
      <c r="E1985" s="116">
        <v>201.9</v>
      </c>
      <c r="F1985" s="116">
        <v>204.5</v>
      </c>
      <c r="G1985">
        <v>648</v>
      </c>
      <c r="H1985" s="116"/>
      <c r="I1985" s="116"/>
      <c r="L1985" s="169">
        <v>44925</v>
      </c>
      <c r="M1985" s="116">
        <v>243.55</v>
      </c>
      <c r="N1985" s="116">
        <v>249</v>
      </c>
      <c r="O1985" s="116">
        <v>243</v>
      </c>
      <c r="P1985" s="116">
        <v>244.75</v>
      </c>
      <c r="Q1985" s="116">
        <v>243.55</v>
      </c>
      <c r="R1985">
        <v>6788</v>
      </c>
    </row>
    <row r="1986" spans="1:18" x14ac:dyDescent="0.25">
      <c r="A1986" s="169">
        <v>44960</v>
      </c>
      <c r="B1986" s="116">
        <v>205</v>
      </c>
      <c r="C1986" s="116">
        <v>200</v>
      </c>
      <c r="D1986" s="116">
        <v>197.65</v>
      </c>
      <c r="E1986" s="116">
        <v>205</v>
      </c>
      <c r="F1986" s="116">
        <v>200</v>
      </c>
      <c r="G1986">
        <v>1372</v>
      </c>
      <c r="H1986" s="116"/>
      <c r="I1986" s="116"/>
      <c r="L1986" s="169">
        <v>44928</v>
      </c>
      <c r="M1986" s="116">
        <v>240.35</v>
      </c>
      <c r="N1986" s="116">
        <v>248.25</v>
      </c>
      <c r="O1986" s="116">
        <v>239.3</v>
      </c>
      <c r="P1986" s="116">
        <v>244.7</v>
      </c>
      <c r="Q1986" s="116">
        <v>240.35</v>
      </c>
      <c r="R1986">
        <v>17059</v>
      </c>
    </row>
    <row r="1987" spans="1:18" x14ac:dyDescent="0.25">
      <c r="A1987" s="169">
        <v>44963</v>
      </c>
      <c r="B1987" s="116">
        <v>218.95</v>
      </c>
      <c r="C1987" s="116">
        <v>210.4</v>
      </c>
      <c r="D1987" s="116">
        <v>196.3</v>
      </c>
      <c r="E1987" s="116">
        <v>204.45</v>
      </c>
      <c r="F1987" s="116">
        <v>210.4</v>
      </c>
      <c r="G1987">
        <v>2754</v>
      </c>
      <c r="H1987" s="116"/>
      <c r="I1987" s="116"/>
      <c r="L1987" s="169">
        <v>44929</v>
      </c>
      <c r="M1987" s="116">
        <v>235.6</v>
      </c>
      <c r="N1987" s="116">
        <v>242.85</v>
      </c>
      <c r="O1987" s="116">
        <v>234.5</v>
      </c>
      <c r="P1987" s="116">
        <v>241.9</v>
      </c>
      <c r="Q1987" s="116">
        <v>235.6</v>
      </c>
      <c r="R1987">
        <v>19348</v>
      </c>
    </row>
    <row r="1988" spans="1:18" x14ac:dyDescent="0.25">
      <c r="A1988" s="169">
        <v>44964</v>
      </c>
      <c r="B1988" s="116">
        <v>224.9</v>
      </c>
      <c r="C1988" s="116">
        <v>213</v>
      </c>
      <c r="D1988" s="116">
        <v>211.7</v>
      </c>
      <c r="E1988" s="116">
        <v>220</v>
      </c>
      <c r="F1988" s="116">
        <v>213</v>
      </c>
      <c r="G1988">
        <v>4585</v>
      </c>
      <c r="H1988" s="116"/>
      <c r="I1988" s="116"/>
      <c r="L1988" s="169">
        <v>44930</v>
      </c>
      <c r="M1988" s="116">
        <v>231.1</v>
      </c>
      <c r="N1988" s="116">
        <v>237.9</v>
      </c>
      <c r="O1988" s="116">
        <v>229.6</v>
      </c>
      <c r="P1988" s="116">
        <v>237.9</v>
      </c>
      <c r="Q1988" s="116">
        <v>231.1</v>
      </c>
      <c r="R1988">
        <v>15730</v>
      </c>
    </row>
    <row r="1989" spans="1:18" x14ac:dyDescent="0.25">
      <c r="A1989" s="169">
        <v>44965</v>
      </c>
      <c r="B1989" s="116">
        <v>214.95</v>
      </c>
      <c r="C1989" s="116">
        <v>211.5</v>
      </c>
      <c r="D1989" s="116">
        <v>210.25</v>
      </c>
      <c r="E1989" s="116">
        <v>213.2</v>
      </c>
      <c r="F1989" s="116">
        <v>211.5</v>
      </c>
      <c r="G1989">
        <v>629</v>
      </c>
      <c r="H1989" s="116"/>
      <c r="I1989" s="116"/>
      <c r="L1989" s="169">
        <v>44931</v>
      </c>
      <c r="M1989" s="116">
        <v>228.3</v>
      </c>
      <c r="N1989" s="116">
        <v>233.75</v>
      </c>
      <c r="O1989" s="116">
        <v>226.55</v>
      </c>
      <c r="P1989" s="116">
        <v>233.75</v>
      </c>
      <c r="Q1989" s="116">
        <v>228.3</v>
      </c>
      <c r="R1989">
        <v>14119</v>
      </c>
    </row>
    <row r="1990" spans="1:18" x14ac:dyDescent="0.25">
      <c r="A1990" s="169">
        <v>44966</v>
      </c>
      <c r="B1990" s="116">
        <v>215.1</v>
      </c>
      <c r="C1990" s="116">
        <v>212.45</v>
      </c>
      <c r="D1990" s="116">
        <v>210.35</v>
      </c>
      <c r="E1990" s="116">
        <v>211.2</v>
      </c>
      <c r="F1990" s="116">
        <v>212.45</v>
      </c>
      <c r="G1990">
        <v>445</v>
      </c>
      <c r="H1990" s="116"/>
      <c r="I1990" s="116"/>
      <c r="L1990" s="169">
        <v>44932</v>
      </c>
      <c r="M1990" s="116">
        <v>230.6</v>
      </c>
      <c r="N1990" s="116">
        <v>233.85</v>
      </c>
      <c r="O1990" s="116">
        <v>228.3</v>
      </c>
      <c r="P1990" s="116">
        <v>228.5</v>
      </c>
      <c r="Q1990" s="116">
        <v>230.6</v>
      </c>
      <c r="R1990">
        <v>13643</v>
      </c>
    </row>
    <row r="1991" spans="1:18" x14ac:dyDescent="0.25">
      <c r="A1991" s="169">
        <v>44967</v>
      </c>
      <c r="B1991" s="116">
        <v>213.6</v>
      </c>
      <c r="C1991" s="116">
        <v>205</v>
      </c>
      <c r="D1991" s="116">
        <v>204</v>
      </c>
      <c r="E1991" s="116">
        <v>213</v>
      </c>
      <c r="F1991" s="116">
        <v>205</v>
      </c>
      <c r="G1991">
        <v>1602</v>
      </c>
      <c r="H1991" s="116"/>
      <c r="I1991" s="116"/>
      <c r="L1991" s="169">
        <v>44935</v>
      </c>
      <c r="M1991" s="116">
        <v>228.7</v>
      </c>
      <c r="N1991" s="116">
        <v>235.95</v>
      </c>
      <c r="O1991" s="116">
        <v>227.25</v>
      </c>
      <c r="P1991" s="116">
        <v>233.95</v>
      </c>
      <c r="Q1991" s="116">
        <v>228.7</v>
      </c>
      <c r="R1991">
        <v>28097</v>
      </c>
    </row>
    <row r="1992" spans="1:18" x14ac:dyDescent="0.25">
      <c r="A1992" s="169">
        <v>44970</v>
      </c>
      <c r="B1992" s="116">
        <v>211</v>
      </c>
      <c r="C1992" s="116">
        <v>205.3</v>
      </c>
      <c r="D1992" s="116">
        <v>202.5</v>
      </c>
      <c r="E1992" s="116">
        <v>211</v>
      </c>
      <c r="F1992" s="116">
        <v>205.3</v>
      </c>
      <c r="G1992">
        <v>294</v>
      </c>
      <c r="H1992" s="116"/>
      <c r="I1992" s="116"/>
      <c r="L1992" s="169">
        <v>44936</v>
      </c>
      <c r="M1992" s="116">
        <v>225.2</v>
      </c>
      <c r="N1992" s="116">
        <v>230.95</v>
      </c>
      <c r="O1992" s="116">
        <v>223.25</v>
      </c>
      <c r="P1992" s="116">
        <v>228.45</v>
      </c>
      <c r="Q1992" s="116">
        <v>225.2</v>
      </c>
      <c r="R1992">
        <v>21079</v>
      </c>
    </row>
    <row r="1993" spans="1:18" x14ac:dyDescent="0.25">
      <c r="A1993" s="169">
        <v>44971</v>
      </c>
      <c r="B1993" s="116">
        <v>202.5</v>
      </c>
      <c r="C1993" s="116">
        <v>200.55</v>
      </c>
      <c r="D1993" s="116">
        <v>197.2</v>
      </c>
      <c r="E1993" s="116">
        <v>198</v>
      </c>
      <c r="F1993" s="116">
        <v>200.55</v>
      </c>
      <c r="G1993">
        <v>2407</v>
      </c>
      <c r="H1993" s="116"/>
      <c r="I1993" s="116"/>
      <c r="L1993" s="169">
        <v>44937</v>
      </c>
      <c r="M1993" s="116">
        <v>225.2</v>
      </c>
      <c r="N1993" s="116">
        <v>229</v>
      </c>
      <c r="O1993" s="116">
        <v>223.95</v>
      </c>
      <c r="P1993" s="116">
        <v>225.2</v>
      </c>
      <c r="Q1993" s="116">
        <v>225.2</v>
      </c>
      <c r="R1993">
        <v>14046</v>
      </c>
    </row>
    <row r="1994" spans="1:18" x14ac:dyDescent="0.25">
      <c r="A1994" s="169">
        <v>44972</v>
      </c>
      <c r="B1994" s="116">
        <v>200.45</v>
      </c>
      <c r="C1994" s="116">
        <v>199.85</v>
      </c>
      <c r="D1994" s="116">
        <v>195</v>
      </c>
      <c r="E1994" s="116">
        <v>195</v>
      </c>
      <c r="F1994" s="116">
        <v>199.85</v>
      </c>
      <c r="G1994">
        <v>409</v>
      </c>
      <c r="H1994" s="116"/>
      <c r="I1994" s="116"/>
      <c r="L1994" s="169">
        <v>44938</v>
      </c>
      <c r="M1994" s="116">
        <v>221.9</v>
      </c>
      <c r="N1994" s="116">
        <v>227.5</v>
      </c>
      <c r="O1994" s="116">
        <v>220.2</v>
      </c>
      <c r="P1994" s="116">
        <v>226.75</v>
      </c>
      <c r="Q1994" s="116">
        <v>221.9</v>
      </c>
      <c r="R1994">
        <v>33925</v>
      </c>
    </row>
    <row r="1995" spans="1:18" x14ac:dyDescent="0.25">
      <c r="A1995" s="169">
        <v>44973</v>
      </c>
      <c r="B1995" s="116">
        <v>203.85</v>
      </c>
      <c r="C1995" s="116">
        <v>196.2</v>
      </c>
      <c r="D1995" s="116">
        <v>194.2</v>
      </c>
      <c r="E1995" s="116">
        <v>203.25</v>
      </c>
      <c r="F1995" s="116">
        <v>196.2</v>
      </c>
      <c r="G1995">
        <v>3599</v>
      </c>
      <c r="H1995" s="116"/>
      <c r="I1995" s="116"/>
      <c r="L1995" s="169">
        <v>44939</v>
      </c>
      <c r="M1995" s="116">
        <v>222.9</v>
      </c>
      <c r="N1995" s="116">
        <v>223.95</v>
      </c>
      <c r="O1995" s="116">
        <v>215.85</v>
      </c>
      <c r="P1995" s="116">
        <v>222.45</v>
      </c>
      <c r="Q1995" s="116">
        <v>222.9</v>
      </c>
      <c r="R1995">
        <v>19523</v>
      </c>
    </row>
    <row r="1996" spans="1:18" x14ac:dyDescent="0.25">
      <c r="A1996" s="169">
        <v>44974</v>
      </c>
      <c r="B1996" s="116">
        <v>205.75</v>
      </c>
      <c r="C1996" s="116">
        <v>199.7</v>
      </c>
      <c r="D1996" s="116">
        <v>196.3</v>
      </c>
      <c r="E1996" s="116">
        <v>197</v>
      </c>
      <c r="F1996" s="116">
        <v>199.7</v>
      </c>
      <c r="G1996">
        <v>2352</v>
      </c>
      <c r="H1996" s="116"/>
      <c r="I1996" s="116"/>
      <c r="L1996" s="169">
        <v>44942</v>
      </c>
      <c r="M1996" s="116">
        <v>222.2</v>
      </c>
      <c r="N1996" s="116">
        <v>227.6</v>
      </c>
      <c r="O1996" s="116">
        <v>221.1</v>
      </c>
      <c r="P1996" s="116">
        <v>223.5</v>
      </c>
      <c r="Q1996" s="116">
        <v>222.2</v>
      </c>
      <c r="R1996">
        <v>17449</v>
      </c>
    </row>
    <row r="1997" spans="1:18" x14ac:dyDescent="0.25">
      <c r="A1997" s="169">
        <v>44977</v>
      </c>
      <c r="B1997" s="116">
        <v>219.8</v>
      </c>
      <c r="C1997" s="116">
        <v>216.55</v>
      </c>
      <c r="D1997" s="116">
        <v>201.8</v>
      </c>
      <c r="E1997" s="116">
        <v>204.05</v>
      </c>
      <c r="F1997" s="116">
        <v>216.55</v>
      </c>
      <c r="G1997">
        <v>5778</v>
      </c>
      <c r="H1997" s="116"/>
      <c r="I1997" s="116"/>
      <c r="L1997" s="169">
        <v>44943</v>
      </c>
      <c r="M1997" s="116">
        <v>219.6</v>
      </c>
      <c r="N1997" s="116">
        <v>224.35</v>
      </c>
      <c r="O1997" s="116">
        <v>218</v>
      </c>
      <c r="P1997" s="116">
        <v>222.2</v>
      </c>
      <c r="Q1997" s="116">
        <v>219.6</v>
      </c>
      <c r="R1997">
        <v>12348</v>
      </c>
    </row>
    <row r="1998" spans="1:18" x14ac:dyDescent="0.25">
      <c r="A1998" s="169">
        <v>44978</v>
      </c>
      <c r="B1998" s="116">
        <v>222.65</v>
      </c>
      <c r="C1998" s="116">
        <v>217.65</v>
      </c>
      <c r="D1998" s="116">
        <v>215.25</v>
      </c>
      <c r="E1998" s="116">
        <v>221</v>
      </c>
      <c r="F1998" s="116">
        <v>217.65</v>
      </c>
      <c r="G1998">
        <v>1629</v>
      </c>
      <c r="H1998" s="116"/>
      <c r="I1998" s="116"/>
      <c r="L1998" s="169">
        <v>44944</v>
      </c>
      <c r="M1998" s="116">
        <v>222.45</v>
      </c>
      <c r="N1998" s="116">
        <v>225.3</v>
      </c>
      <c r="O1998" s="116">
        <v>219.9</v>
      </c>
      <c r="P1998" s="116">
        <v>219.9</v>
      </c>
      <c r="Q1998" s="116">
        <v>222.45</v>
      </c>
      <c r="R1998">
        <v>8585</v>
      </c>
    </row>
    <row r="1999" spans="1:18" x14ac:dyDescent="0.25">
      <c r="A1999" s="169">
        <v>44979</v>
      </c>
      <c r="B1999" s="116">
        <v>217.3</v>
      </c>
      <c r="C1999" s="116">
        <v>208.2</v>
      </c>
      <c r="D1999" s="116">
        <v>205.25</v>
      </c>
      <c r="E1999" s="116">
        <v>217.3</v>
      </c>
      <c r="F1999" s="116">
        <v>208.2</v>
      </c>
      <c r="G1999">
        <v>1716</v>
      </c>
      <c r="H1999" s="116"/>
      <c r="I1999" s="116"/>
      <c r="L1999" s="169">
        <v>44945</v>
      </c>
      <c r="M1999" s="116">
        <v>218.3</v>
      </c>
      <c r="N1999" s="116">
        <v>222.5</v>
      </c>
      <c r="O1999" s="116">
        <v>217.95</v>
      </c>
      <c r="P1999" s="116">
        <v>222.5</v>
      </c>
      <c r="Q1999" s="116">
        <v>218.3</v>
      </c>
      <c r="R1999">
        <v>6160</v>
      </c>
    </row>
    <row r="2000" spans="1:18" x14ac:dyDescent="0.25">
      <c r="A2000" s="169">
        <v>44980</v>
      </c>
      <c r="B2000" s="116">
        <v>213.4</v>
      </c>
      <c r="C2000" s="116">
        <v>213.3</v>
      </c>
      <c r="D2000" s="116">
        <v>204.25</v>
      </c>
      <c r="E2000" s="116">
        <v>213.4</v>
      </c>
      <c r="F2000" s="116">
        <v>213.3</v>
      </c>
      <c r="G2000">
        <v>1478</v>
      </c>
      <c r="H2000" s="116"/>
      <c r="I2000" s="116"/>
      <c r="L2000" s="169">
        <v>44946</v>
      </c>
      <c r="M2000" s="116">
        <v>220.75</v>
      </c>
      <c r="N2000" s="116">
        <v>222.9</v>
      </c>
      <c r="O2000" s="116">
        <v>217.85</v>
      </c>
      <c r="P2000" s="116">
        <v>218.3</v>
      </c>
      <c r="Q2000" s="116">
        <v>220.75</v>
      </c>
      <c r="R2000">
        <v>6997</v>
      </c>
    </row>
    <row r="2001" spans="1:18" x14ac:dyDescent="0.25">
      <c r="A2001" s="169">
        <v>44981</v>
      </c>
      <c r="B2001" s="116">
        <v>218.8</v>
      </c>
      <c r="C2001" s="116">
        <v>217.85</v>
      </c>
      <c r="D2001" s="116">
        <v>210.6</v>
      </c>
      <c r="E2001" s="116">
        <v>213.1</v>
      </c>
      <c r="F2001" s="116">
        <v>217.85</v>
      </c>
      <c r="G2001">
        <v>4013</v>
      </c>
      <c r="H2001" s="116"/>
      <c r="I2001" s="116"/>
      <c r="L2001" s="169">
        <v>44949</v>
      </c>
      <c r="M2001" s="116">
        <v>214.95</v>
      </c>
      <c r="N2001" s="116">
        <v>223.7</v>
      </c>
      <c r="O2001" s="116">
        <v>213.5</v>
      </c>
      <c r="P2001" s="116">
        <v>220.75</v>
      </c>
      <c r="Q2001" s="116">
        <v>214.95</v>
      </c>
      <c r="R2001">
        <v>14310</v>
      </c>
    </row>
    <row r="2002" spans="1:18" x14ac:dyDescent="0.25">
      <c r="A2002" s="169">
        <v>44984</v>
      </c>
      <c r="B2002" s="116">
        <v>217.2</v>
      </c>
      <c r="C2002" s="116">
        <v>212.85</v>
      </c>
      <c r="D2002" s="116">
        <v>210</v>
      </c>
      <c r="E2002" s="116">
        <v>210.1</v>
      </c>
      <c r="F2002" s="116">
        <v>212.85</v>
      </c>
      <c r="G2002">
        <v>1413</v>
      </c>
      <c r="H2002" s="116"/>
      <c r="I2002" s="116"/>
      <c r="L2002" s="169">
        <v>44950</v>
      </c>
      <c r="M2002" s="116">
        <v>218.3</v>
      </c>
      <c r="N2002" s="116">
        <v>220.75</v>
      </c>
      <c r="O2002" s="116">
        <v>214.9</v>
      </c>
      <c r="P2002" s="116">
        <v>216.4</v>
      </c>
      <c r="Q2002" s="116">
        <v>218.3</v>
      </c>
      <c r="R2002">
        <v>7567</v>
      </c>
    </row>
    <row r="2003" spans="1:18" x14ac:dyDescent="0.25">
      <c r="A2003" s="169">
        <v>44985</v>
      </c>
      <c r="B2003" s="116">
        <v>216.6</v>
      </c>
      <c r="C2003" s="116">
        <v>215.7</v>
      </c>
      <c r="D2003" s="116">
        <v>211.1</v>
      </c>
      <c r="E2003" s="116">
        <v>212.9</v>
      </c>
      <c r="F2003" s="116">
        <v>215.7</v>
      </c>
      <c r="G2003">
        <v>877</v>
      </c>
      <c r="H2003" s="116"/>
      <c r="I2003" s="116"/>
      <c r="L2003" s="169">
        <v>44951</v>
      </c>
      <c r="M2003" s="116">
        <v>215.2</v>
      </c>
      <c r="N2003" s="116">
        <v>218.95</v>
      </c>
      <c r="O2003" s="116">
        <v>214</v>
      </c>
      <c r="P2003" s="116">
        <v>217.6</v>
      </c>
      <c r="Q2003" s="116">
        <v>215.2</v>
      </c>
      <c r="R2003">
        <v>6857</v>
      </c>
    </row>
    <row r="2004" spans="1:18" x14ac:dyDescent="0.25">
      <c r="A2004" s="169">
        <v>44986</v>
      </c>
      <c r="B2004" s="116">
        <v>217.6</v>
      </c>
      <c r="C2004" s="116">
        <v>217.6</v>
      </c>
      <c r="D2004" s="116">
        <v>213.6</v>
      </c>
      <c r="E2004" s="116">
        <v>216.4</v>
      </c>
      <c r="F2004" s="116">
        <v>217.6</v>
      </c>
      <c r="G2004">
        <v>460</v>
      </c>
      <c r="H2004" s="116"/>
      <c r="I2004" s="116"/>
      <c r="L2004" s="169">
        <v>44953</v>
      </c>
      <c r="M2004" s="116">
        <v>208.7</v>
      </c>
      <c r="N2004" s="116">
        <v>216.75</v>
      </c>
      <c r="O2004" s="116">
        <v>207.2</v>
      </c>
      <c r="P2004" s="116">
        <v>216.75</v>
      </c>
      <c r="Q2004" s="116">
        <v>208.7</v>
      </c>
      <c r="R2004">
        <v>13301</v>
      </c>
    </row>
    <row r="2005" spans="1:18" x14ac:dyDescent="0.25">
      <c r="A2005" s="169">
        <v>44987</v>
      </c>
      <c r="B2005" s="116">
        <v>218</v>
      </c>
      <c r="C2005" s="116">
        <v>217.95</v>
      </c>
      <c r="D2005" s="116">
        <v>215.25</v>
      </c>
      <c r="E2005" s="116">
        <v>217</v>
      </c>
      <c r="F2005" s="116">
        <v>217.95</v>
      </c>
      <c r="G2005">
        <v>621</v>
      </c>
      <c r="H2005" s="116"/>
      <c r="I2005" s="116"/>
      <c r="L2005" s="169">
        <v>44956</v>
      </c>
      <c r="M2005" s="116">
        <v>210.7</v>
      </c>
      <c r="N2005" s="116">
        <v>220.05</v>
      </c>
      <c r="O2005" s="116">
        <v>204.05</v>
      </c>
      <c r="P2005" s="116">
        <v>208.05</v>
      </c>
      <c r="Q2005" s="116">
        <v>210.7</v>
      </c>
      <c r="R2005">
        <v>8579</v>
      </c>
    </row>
    <row r="2006" spans="1:18" x14ac:dyDescent="0.25">
      <c r="A2006" s="169">
        <v>44988</v>
      </c>
      <c r="B2006" s="116">
        <v>226</v>
      </c>
      <c r="C2006" s="116">
        <v>224.7</v>
      </c>
      <c r="D2006" s="116">
        <v>221.2</v>
      </c>
      <c r="E2006" s="116">
        <v>224.05</v>
      </c>
      <c r="F2006" s="116">
        <v>224.7</v>
      </c>
      <c r="G2006">
        <v>446</v>
      </c>
      <c r="H2006" s="116"/>
      <c r="I2006" s="116"/>
      <c r="L2006" s="169">
        <v>44957</v>
      </c>
      <c r="M2006" s="116">
        <v>213.4</v>
      </c>
      <c r="N2006" s="116">
        <v>217.05</v>
      </c>
      <c r="O2006" s="116">
        <v>208.15</v>
      </c>
      <c r="P2006" s="116">
        <v>211.9</v>
      </c>
      <c r="Q2006" s="116">
        <v>213.4</v>
      </c>
      <c r="R2006">
        <v>9727</v>
      </c>
    </row>
    <row r="2007" spans="1:18" x14ac:dyDescent="0.25">
      <c r="A2007" s="169">
        <v>44991</v>
      </c>
      <c r="B2007" s="116">
        <v>230.6</v>
      </c>
      <c r="C2007" s="116">
        <v>224.2</v>
      </c>
      <c r="D2007" s="116">
        <v>224.2</v>
      </c>
      <c r="E2007" s="116">
        <v>230</v>
      </c>
      <c r="F2007" s="116">
        <v>224.2</v>
      </c>
      <c r="G2007">
        <v>708</v>
      </c>
      <c r="H2007" s="116"/>
      <c r="I2007" s="116"/>
      <c r="L2007" s="169">
        <v>44958</v>
      </c>
      <c r="M2007" s="116">
        <v>204.7</v>
      </c>
      <c r="N2007" s="116">
        <v>218.9</v>
      </c>
      <c r="O2007" s="116">
        <v>200</v>
      </c>
      <c r="P2007" s="116">
        <v>218.9</v>
      </c>
      <c r="Q2007" s="116">
        <v>204.7</v>
      </c>
      <c r="R2007">
        <v>23364</v>
      </c>
    </row>
    <row r="2008" spans="1:18" x14ac:dyDescent="0.25">
      <c r="A2008" s="169">
        <v>44993</v>
      </c>
      <c r="B2008" s="116">
        <v>227.9</v>
      </c>
      <c r="C2008" s="116">
        <v>225.25</v>
      </c>
      <c r="D2008" s="116">
        <v>220.85</v>
      </c>
      <c r="E2008" s="116">
        <v>220.85</v>
      </c>
      <c r="F2008" s="116">
        <v>225.25</v>
      </c>
      <c r="G2008">
        <v>398</v>
      </c>
      <c r="H2008" s="116"/>
      <c r="I2008" s="116"/>
      <c r="L2008" s="169">
        <v>44959</v>
      </c>
      <c r="M2008" s="116">
        <v>205.9</v>
      </c>
      <c r="N2008" s="116">
        <v>207.8</v>
      </c>
      <c r="O2008" s="116">
        <v>199</v>
      </c>
      <c r="P2008" s="116">
        <v>199.75</v>
      </c>
      <c r="Q2008" s="116">
        <v>205.9</v>
      </c>
      <c r="R2008">
        <v>12604</v>
      </c>
    </row>
    <row r="2009" spans="1:18" x14ac:dyDescent="0.25">
      <c r="A2009" s="169">
        <v>44994</v>
      </c>
      <c r="B2009" s="116">
        <v>228.55</v>
      </c>
      <c r="C2009" s="116">
        <v>227.15</v>
      </c>
      <c r="D2009" s="116">
        <v>224.85</v>
      </c>
      <c r="E2009" s="116">
        <v>225.1</v>
      </c>
      <c r="F2009" s="116">
        <v>227.15</v>
      </c>
      <c r="G2009">
        <v>114</v>
      </c>
      <c r="H2009" s="116"/>
      <c r="I2009" s="116"/>
      <c r="L2009" s="169">
        <v>44960</v>
      </c>
      <c r="M2009" s="116">
        <v>200.4</v>
      </c>
      <c r="N2009" s="116">
        <v>207</v>
      </c>
      <c r="O2009" s="116">
        <v>196.05</v>
      </c>
      <c r="P2009" s="116">
        <v>207</v>
      </c>
      <c r="Q2009" s="116">
        <v>200.4</v>
      </c>
      <c r="R2009">
        <v>12340</v>
      </c>
    </row>
    <row r="2010" spans="1:18" x14ac:dyDescent="0.25">
      <c r="A2010" s="169">
        <v>44995</v>
      </c>
      <c r="B2010" s="116">
        <v>235</v>
      </c>
      <c r="C2010" s="116">
        <v>232.7</v>
      </c>
      <c r="D2010" s="116">
        <v>218</v>
      </c>
      <c r="E2010" s="116">
        <v>227.15</v>
      </c>
      <c r="F2010" s="116">
        <v>232.7</v>
      </c>
      <c r="G2010">
        <v>4278</v>
      </c>
      <c r="H2010" s="116"/>
      <c r="I2010" s="116"/>
      <c r="L2010" s="169">
        <v>44963</v>
      </c>
      <c r="M2010" s="116">
        <v>211.5</v>
      </c>
      <c r="N2010" s="116">
        <v>218.7</v>
      </c>
      <c r="O2010" s="116">
        <v>200.1</v>
      </c>
      <c r="P2010" s="116">
        <v>203</v>
      </c>
      <c r="Q2010" s="116">
        <v>211.5</v>
      </c>
      <c r="R2010">
        <v>17880</v>
      </c>
    </row>
    <row r="2011" spans="1:18" x14ac:dyDescent="0.25">
      <c r="A2011" s="169">
        <v>44998</v>
      </c>
      <c r="B2011" s="116">
        <v>232.55</v>
      </c>
      <c r="C2011" s="116">
        <v>229.15</v>
      </c>
      <c r="D2011" s="116">
        <v>224.25</v>
      </c>
      <c r="E2011" s="116">
        <v>232</v>
      </c>
      <c r="F2011" s="116">
        <v>229.15</v>
      </c>
      <c r="G2011">
        <v>2254</v>
      </c>
      <c r="H2011" s="116"/>
      <c r="I2011" s="116"/>
      <c r="L2011" s="169">
        <v>44964</v>
      </c>
      <c r="M2011" s="116">
        <v>213.5</v>
      </c>
      <c r="N2011" s="116">
        <v>224</v>
      </c>
      <c r="O2011" s="116">
        <v>211.1</v>
      </c>
      <c r="P2011" s="116">
        <v>213.25</v>
      </c>
      <c r="Q2011" s="116">
        <v>213.5</v>
      </c>
      <c r="R2011">
        <v>22986</v>
      </c>
    </row>
    <row r="2012" spans="1:18" x14ac:dyDescent="0.25">
      <c r="A2012" s="169">
        <v>44999</v>
      </c>
      <c r="B2012" s="116">
        <v>243.8</v>
      </c>
      <c r="C2012" s="116">
        <v>239</v>
      </c>
      <c r="D2012" s="116">
        <v>231.5</v>
      </c>
      <c r="E2012" s="116">
        <v>233.6</v>
      </c>
      <c r="F2012" s="116">
        <v>239</v>
      </c>
      <c r="G2012">
        <v>7434</v>
      </c>
      <c r="H2012" s="116"/>
      <c r="I2012" s="116"/>
      <c r="L2012" s="169">
        <v>44965</v>
      </c>
      <c r="M2012" s="116">
        <v>211.4</v>
      </c>
      <c r="N2012" s="116">
        <v>215.2</v>
      </c>
      <c r="O2012" s="116">
        <v>210</v>
      </c>
      <c r="P2012" s="116">
        <v>214.9</v>
      </c>
      <c r="Q2012" s="116">
        <v>211.4</v>
      </c>
      <c r="R2012">
        <v>7352</v>
      </c>
    </row>
    <row r="2013" spans="1:18" x14ac:dyDescent="0.25">
      <c r="A2013" s="169">
        <v>45000</v>
      </c>
      <c r="B2013" s="116">
        <v>243</v>
      </c>
      <c r="C2013" s="116">
        <v>238.5</v>
      </c>
      <c r="D2013" s="116">
        <v>234.6</v>
      </c>
      <c r="E2013" s="116">
        <v>241</v>
      </c>
      <c r="F2013" s="116">
        <v>238.5</v>
      </c>
      <c r="G2013">
        <v>3168</v>
      </c>
      <c r="H2013" s="116"/>
      <c r="I2013" s="116"/>
      <c r="L2013" s="169">
        <v>44966</v>
      </c>
      <c r="M2013" s="116">
        <v>213.75</v>
      </c>
      <c r="N2013" s="116">
        <v>214.9</v>
      </c>
      <c r="O2013" s="116">
        <v>210.8</v>
      </c>
      <c r="P2013" s="116">
        <v>214.9</v>
      </c>
      <c r="Q2013" s="116">
        <v>213.75</v>
      </c>
      <c r="R2013">
        <v>7010</v>
      </c>
    </row>
    <row r="2014" spans="1:18" x14ac:dyDescent="0.25">
      <c r="A2014" s="169">
        <v>45001</v>
      </c>
      <c r="B2014" s="116">
        <v>240.5</v>
      </c>
      <c r="C2014" s="116">
        <v>237.95</v>
      </c>
      <c r="D2014" s="116">
        <v>235</v>
      </c>
      <c r="E2014" s="116">
        <v>240.5</v>
      </c>
      <c r="F2014" s="116">
        <v>237.95</v>
      </c>
      <c r="G2014">
        <v>4524</v>
      </c>
      <c r="H2014" s="116"/>
      <c r="I2014" s="116"/>
      <c r="L2014" s="169">
        <v>44967</v>
      </c>
      <c r="M2014" s="116">
        <v>206.95</v>
      </c>
      <c r="N2014" s="116">
        <v>213.75</v>
      </c>
      <c r="O2014" s="116">
        <v>202.85</v>
      </c>
      <c r="P2014" s="116">
        <v>213.75</v>
      </c>
      <c r="Q2014" s="116">
        <v>206.95</v>
      </c>
      <c r="R2014">
        <v>23450</v>
      </c>
    </row>
    <row r="2015" spans="1:18" x14ac:dyDescent="0.25">
      <c r="A2015" s="169">
        <v>45002</v>
      </c>
      <c r="B2015" s="116">
        <v>241</v>
      </c>
      <c r="C2015" s="116">
        <v>235.75</v>
      </c>
      <c r="D2015" s="116">
        <v>235.5</v>
      </c>
      <c r="E2015" s="116">
        <v>239.65</v>
      </c>
      <c r="F2015" s="116">
        <v>235.75</v>
      </c>
      <c r="G2015">
        <v>934</v>
      </c>
      <c r="H2015" s="116"/>
      <c r="I2015" s="116"/>
      <c r="L2015" s="169">
        <v>44970</v>
      </c>
      <c r="M2015" s="116">
        <v>202.05</v>
      </c>
      <c r="N2015" s="116">
        <v>211.05</v>
      </c>
      <c r="O2015" s="116">
        <v>200.2</v>
      </c>
      <c r="P2015" s="116">
        <v>211</v>
      </c>
      <c r="Q2015" s="116">
        <v>202.05</v>
      </c>
      <c r="R2015">
        <v>22353</v>
      </c>
    </row>
    <row r="2016" spans="1:18" x14ac:dyDescent="0.25">
      <c r="A2016" s="169">
        <v>45005</v>
      </c>
      <c r="B2016" s="116">
        <v>237.9</v>
      </c>
      <c r="C2016" s="116">
        <v>234.1</v>
      </c>
      <c r="D2016" s="116">
        <v>230</v>
      </c>
      <c r="E2016" s="116">
        <v>231.1</v>
      </c>
      <c r="F2016" s="116">
        <v>234.1</v>
      </c>
      <c r="G2016">
        <v>1374</v>
      </c>
      <c r="H2016" s="116"/>
      <c r="I2016" s="116"/>
      <c r="L2016" s="169">
        <v>44971</v>
      </c>
      <c r="M2016" s="116">
        <v>200.4</v>
      </c>
      <c r="N2016" s="116">
        <v>202.6</v>
      </c>
      <c r="O2016" s="116">
        <v>197.05</v>
      </c>
      <c r="P2016" s="116">
        <v>200.1</v>
      </c>
      <c r="Q2016" s="116">
        <v>200.4</v>
      </c>
      <c r="R2016">
        <v>13498</v>
      </c>
    </row>
    <row r="2017" spans="1:18" x14ac:dyDescent="0.25">
      <c r="A2017" s="169">
        <v>45006</v>
      </c>
      <c r="B2017" s="116">
        <v>236.6</v>
      </c>
      <c r="C2017" s="116">
        <v>231.7</v>
      </c>
      <c r="D2017" s="116">
        <v>230.85</v>
      </c>
      <c r="E2017" s="116">
        <v>234.1</v>
      </c>
      <c r="F2017" s="116">
        <v>231.7</v>
      </c>
      <c r="G2017">
        <v>3347</v>
      </c>
      <c r="H2017" s="116"/>
      <c r="I2017" s="116"/>
      <c r="L2017" s="169">
        <v>44972</v>
      </c>
      <c r="M2017" s="116">
        <v>199.65</v>
      </c>
      <c r="N2017" s="116">
        <v>200.95</v>
      </c>
      <c r="O2017" s="116">
        <v>198.2</v>
      </c>
      <c r="P2017" s="116">
        <v>199.8</v>
      </c>
      <c r="Q2017" s="116">
        <v>199.65</v>
      </c>
      <c r="R2017">
        <v>5456</v>
      </c>
    </row>
    <row r="2018" spans="1:18" x14ac:dyDescent="0.25">
      <c r="A2018" s="169">
        <v>45007</v>
      </c>
      <c r="B2018" s="116">
        <v>235.4</v>
      </c>
      <c r="C2018" s="116">
        <v>231.6</v>
      </c>
      <c r="D2018" s="116">
        <v>230.45</v>
      </c>
      <c r="E2018" s="116">
        <v>234.4</v>
      </c>
      <c r="F2018" s="116">
        <v>231.6</v>
      </c>
      <c r="G2018">
        <v>80</v>
      </c>
      <c r="H2018" s="116"/>
      <c r="I2018" s="116"/>
      <c r="L2018" s="169">
        <v>44973</v>
      </c>
      <c r="M2018" s="116">
        <v>195.2</v>
      </c>
      <c r="N2018" s="116">
        <v>203.1</v>
      </c>
      <c r="O2018" s="116">
        <v>194.65</v>
      </c>
      <c r="P2018" s="116">
        <v>203.1</v>
      </c>
      <c r="Q2018" s="116">
        <v>195.2</v>
      </c>
      <c r="R2018">
        <v>86373</v>
      </c>
    </row>
    <row r="2019" spans="1:18" x14ac:dyDescent="0.25">
      <c r="A2019" s="169">
        <v>45008</v>
      </c>
      <c r="B2019" s="116">
        <v>234.95</v>
      </c>
      <c r="C2019" s="116">
        <v>232</v>
      </c>
      <c r="D2019" s="116">
        <v>232</v>
      </c>
      <c r="E2019" s="116">
        <v>233.9</v>
      </c>
      <c r="F2019" s="116">
        <v>232</v>
      </c>
      <c r="G2019">
        <v>133</v>
      </c>
      <c r="H2019" s="116"/>
      <c r="I2019" s="116"/>
      <c r="L2019" s="169">
        <v>44974</v>
      </c>
      <c r="M2019" s="116">
        <v>199.15</v>
      </c>
      <c r="N2019" s="116">
        <v>207.5</v>
      </c>
      <c r="O2019" s="116">
        <v>196.7</v>
      </c>
      <c r="P2019" s="116">
        <v>199.1</v>
      </c>
      <c r="Q2019" s="116">
        <v>199.15</v>
      </c>
      <c r="R2019">
        <v>77599</v>
      </c>
    </row>
    <row r="2020" spans="1:18" x14ac:dyDescent="0.25">
      <c r="A2020" s="169">
        <v>45009</v>
      </c>
      <c r="B2020" s="116">
        <v>237.95</v>
      </c>
      <c r="C2020" s="116">
        <v>230.75</v>
      </c>
      <c r="D2020" s="116">
        <v>223.2</v>
      </c>
      <c r="E2020" s="116">
        <v>231.5</v>
      </c>
      <c r="F2020" s="116">
        <v>230.75</v>
      </c>
      <c r="G2020">
        <v>6119</v>
      </c>
      <c r="H2020" s="116"/>
      <c r="I2020" s="116"/>
      <c r="L2020" s="169">
        <v>44977</v>
      </c>
      <c r="M2020" s="116">
        <v>217.05</v>
      </c>
      <c r="N2020" s="116">
        <v>219.8</v>
      </c>
      <c r="O2020" s="116">
        <v>202.05</v>
      </c>
      <c r="P2020" s="116">
        <v>202.9</v>
      </c>
      <c r="Q2020" s="116">
        <v>217.05</v>
      </c>
      <c r="R2020">
        <v>49090</v>
      </c>
    </row>
    <row r="2021" spans="1:18" x14ac:dyDescent="0.25">
      <c r="A2021" s="169">
        <v>45012</v>
      </c>
      <c r="B2021" s="116">
        <v>254</v>
      </c>
      <c r="C2021" s="116">
        <v>225.75</v>
      </c>
      <c r="D2021" s="116">
        <v>223.8</v>
      </c>
      <c r="E2021" s="116">
        <v>254</v>
      </c>
      <c r="F2021" s="116">
        <v>225.75</v>
      </c>
      <c r="G2021">
        <v>5214</v>
      </c>
      <c r="H2021" s="116"/>
      <c r="I2021" s="116"/>
      <c r="L2021" s="169">
        <v>44978</v>
      </c>
      <c r="M2021" s="116">
        <v>218.05</v>
      </c>
      <c r="N2021" s="116">
        <v>223.6</v>
      </c>
      <c r="O2021" s="116">
        <v>215.6</v>
      </c>
      <c r="P2021" s="116">
        <v>223.55</v>
      </c>
      <c r="Q2021" s="116">
        <v>218.05</v>
      </c>
      <c r="R2021">
        <v>15320</v>
      </c>
    </row>
    <row r="2022" spans="1:18" x14ac:dyDescent="0.25">
      <c r="A2022" s="169">
        <v>45013</v>
      </c>
      <c r="B2022" s="116">
        <v>224.95</v>
      </c>
      <c r="C2022" s="116">
        <v>215.05</v>
      </c>
      <c r="D2022" s="116">
        <v>215</v>
      </c>
      <c r="E2022" s="116">
        <v>224.95</v>
      </c>
      <c r="F2022" s="116">
        <v>215.05</v>
      </c>
      <c r="G2022">
        <v>7139</v>
      </c>
      <c r="H2022" s="116"/>
      <c r="I2022" s="116"/>
      <c r="L2022" s="169">
        <v>44979</v>
      </c>
      <c r="M2022" s="116">
        <v>207.75</v>
      </c>
      <c r="N2022" s="116">
        <v>218.05</v>
      </c>
      <c r="O2022" s="116">
        <v>205.2</v>
      </c>
      <c r="P2022" s="116">
        <v>218.05</v>
      </c>
      <c r="Q2022" s="116">
        <v>207.75</v>
      </c>
      <c r="R2022">
        <v>10921</v>
      </c>
    </row>
    <row r="2023" spans="1:18" x14ac:dyDescent="0.25">
      <c r="A2023" s="169">
        <v>45014</v>
      </c>
      <c r="B2023" s="116">
        <v>214.95</v>
      </c>
      <c r="C2023" s="116">
        <v>212.15</v>
      </c>
      <c r="D2023" s="116">
        <v>212</v>
      </c>
      <c r="E2023" s="116">
        <v>214.95</v>
      </c>
      <c r="F2023" s="116">
        <v>212.15</v>
      </c>
      <c r="G2023">
        <v>158</v>
      </c>
      <c r="H2023" s="116"/>
      <c r="I2023" s="116"/>
      <c r="L2023" s="169">
        <v>44980</v>
      </c>
      <c r="M2023" s="116">
        <v>213.2</v>
      </c>
      <c r="N2023" s="116">
        <v>215.8</v>
      </c>
      <c r="O2023" s="116">
        <v>204.55</v>
      </c>
      <c r="P2023" s="116">
        <v>209.65</v>
      </c>
      <c r="Q2023" s="116">
        <v>213.2</v>
      </c>
      <c r="R2023">
        <v>9142</v>
      </c>
    </row>
    <row r="2024" spans="1:18" x14ac:dyDescent="0.25">
      <c r="A2024" s="169">
        <v>45016</v>
      </c>
      <c r="B2024" s="116">
        <v>218.9</v>
      </c>
      <c r="C2024" s="116">
        <v>215.4</v>
      </c>
      <c r="D2024" s="116">
        <v>210.2</v>
      </c>
      <c r="E2024" s="116">
        <v>217.6</v>
      </c>
      <c r="F2024" s="116">
        <v>215.4</v>
      </c>
      <c r="G2024">
        <v>1369</v>
      </c>
      <c r="H2024" s="116"/>
      <c r="I2024" s="116"/>
      <c r="L2024" s="169">
        <v>44981</v>
      </c>
      <c r="M2024" s="116">
        <v>218.1</v>
      </c>
      <c r="N2024" s="116">
        <v>218.8</v>
      </c>
      <c r="O2024" s="116">
        <v>210.5</v>
      </c>
      <c r="P2024" s="116">
        <v>214.95</v>
      </c>
      <c r="Q2024" s="116">
        <v>218.1</v>
      </c>
      <c r="R2024">
        <v>33329</v>
      </c>
    </row>
    <row r="2025" spans="1:18" x14ac:dyDescent="0.25">
      <c r="A2025" s="169">
        <v>45019</v>
      </c>
      <c r="B2025" s="116">
        <v>225.2</v>
      </c>
      <c r="C2025" s="116">
        <v>224.7</v>
      </c>
      <c r="D2025" s="116">
        <v>218</v>
      </c>
      <c r="E2025" s="116">
        <v>218.3</v>
      </c>
      <c r="F2025" s="116">
        <v>224.7</v>
      </c>
      <c r="G2025">
        <v>1161</v>
      </c>
      <c r="H2025" s="116"/>
      <c r="I2025" s="116"/>
      <c r="L2025" s="169">
        <v>44984</v>
      </c>
      <c r="M2025" s="116">
        <v>213.25</v>
      </c>
      <c r="N2025" s="116">
        <v>219.3</v>
      </c>
      <c r="O2025" s="116">
        <v>212.05</v>
      </c>
      <c r="P2025" s="116">
        <v>215</v>
      </c>
      <c r="Q2025" s="116">
        <v>213.25</v>
      </c>
      <c r="R2025">
        <v>14278</v>
      </c>
    </row>
    <row r="2026" spans="1:18" x14ac:dyDescent="0.25">
      <c r="A2026" s="169">
        <v>45021</v>
      </c>
      <c r="B2026" s="116">
        <v>234.85</v>
      </c>
      <c r="C2026" s="116">
        <v>233.5</v>
      </c>
      <c r="D2026" s="116">
        <v>225.2</v>
      </c>
      <c r="E2026" s="116">
        <v>225.2</v>
      </c>
      <c r="F2026" s="116">
        <v>233.5</v>
      </c>
      <c r="G2026">
        <v>861</v>
      </c>
      <c r="H2026" s="116"/>
      <c r="I2026" s="116"/>
      <c r="L2026" s="169">
        <v>44985</v>
      </c>
      <c r="M2026" s="116">
        <v>217.4</v>
      </c>
      <c r="N2026" s="116">
        <v>221</v>
      </c>
      <c r="O2026" s="116">
        <v>211.1</v>
      </c>
      <c r="P2026" s="116">
        <v>214.65</v>
      </c>
      <c r="Q2026" s="116">
        <v>217.4</v>
      </c>
      <c r="R2026">
        <v>11264</v>
      </c>
    </row>
    <row r="2027" spans="1:18" x14ac:dyDescent="0.25">
      <c r="A2027" s="169">
        <v>45022</v>
      </c>
      <c r="B2027" s="116">
        <v>239</v>
      </c>
      <c r="C2027" s="116">
        <v>233.95</v>
      </c>
      <c r="D2027" s="116">
        <v>231</v>
      </c>
      <c r="E2027" s="116">
        <v>233.95</v>
      </c>
      <c r="F2027" s="116">
        <v>233.95</v>
      </c>
      <c r="G2027">
        <v>1726</v>
      </c>
      <c r="H2027" s="116"/>
      <c r="I2027" s="116"/>
      <c r="L2027" s="169">
        <v>44986</v>
      </c>
      <c r="M2027" s="116">
        <v>217.3</v>
      </c>
      <c r="N2027" s="116">
        <v>218.2</v>
      </c>
      <c r="O2027" s="116">
        <v>212.5</v>
      </c>
      <c r="P2027" s="116">
        <v>218.15</v>
      </c>
      <c r="Q2027" s="116">
        <v>217.3</v>
      </c>
      <c r="R2027">
        <v>5096</v>
      </c>
    </row>
    <row r="2028" spans="1:18" x14ac:dyDescent="0.25">
      <c r="A2028" s="169">
        <v>45026</v>
      </c>
      <c r="B2028" s="116">
        <v>244.9</v>
      </c>
      <c r="C2028" s="116">
        <v>241.85</v>
      </c>
      <c r="D2028" s="116">
        <v>236.25</v>
      </c>
      <c r="E2028" s="116">
        <v>238.3</v>
      </c>
      <c r="F2028" s="116">
        <v>241.85</v>
      </c>
      <c r="G2028">
        <v>452</v>
      </c>
      <c r="H2028" s="116"/>
      <c r="I2028" s="116"/>
      <c r="L2028" s="169">
        <v>44987</v>
      </c>
      <c r="M2028" s="116">
        <v>218.6</v>
      </c>
      <c r="N2028" s="116">
        <v>220.95</v>
      </c>
      <c r="O2028" s="116">
        <v>215.55</v>
      </c>
      <c r="P2028" s="116">
        <v>216.85</v>
      </c>
      <c r="Q2028" s="116">
        <v>218.6</v>
      </c>
      <c r="R2028">
        <v>2823</v>
      </c>
    </row>
    <row r="2029" spans="1:18" x14ac:dyDescent="0.25">
      <c r="A2029" s="169">
        <v>45027</v>
      </c>
      <c r="B2029" s="116">
        <v>247.9</v>
      </c>
      <c r="C2029" s="116">
        <v>235.3</v>
      </c>
      <c r="D2029" s="116">
        <v>235.3</v>
      </c>
      <c r="E2029" s="116">
        <v>247.9</v>
      </c>
      <c r="F2029" s="116">
        <v>235.3</v>
      </c>
      <c r="G2029">
        <v>216</v>
      </c>
      <c r="H2029" s="116"/>
      <c r="I2029" s="116"/>
      <c r="L2029" s="169">
        <v>44988</v>
      </c>
      <c r="M2029" s="116">
        <v>225.15</v>
      </c>
      <c r="N2029" s="116">
        <v>227.05</v>
      </c>
      <c r="O2029" s="116">
        <v>220.05</v>
      </c>
      <c r="P2029" s="116">
        <v>220.05</v>
      </c>
      <c r="Q2029" s="116">
        <v>225.15</v>
      </c>
      <c r="R2029">
        <v>13712</v>
      </c>
    </row>
    <row r="2030" spans="1:18" x14ac:dyDescent="0.25">
      <c r="A2030" s="169">
        <v>45028</v>
      </c>
      <c r="B2030" s="116">
        <v>239.95</v>
      </c>
      <c r="C2030" s="116">
        <v>238.5</v>
      </c>
      <c r="D2030" s="116">
        <v>237.95</v>
      </c>
      <c r="E2030" s="116">
        <v>238.95</v>
      </c>
      <c r="F2030" s="116">
        <v>238.5</v>
      </c>
      <c r="G2030">
        <v>22</v>
      </c>
      <c r="H2030" s="116"/>
      <c r="I2030" s="116"/>
      <c r="L2030" s="169">
        <v>44991</v>
      </c>
      <c r="M2030" s="116">
        <v>225.35</v>
      </c>
      <c r="N2030" s="116">
        <v>232.45</v>
      </c>
      <c r="O2030" s="116">
        <v>224.05</v>
      </c>
      <c r="P2030" s="116">
        <v>225.05</v>
      </c>
      <c r="Q2030" s="116">
        <v>225.35</v>
      </c>
      <c r="R2030">
        <v>15191</v>
      </c>
    </row>
    <row r="2031" spans="1:18" x14ac:dyDescent="0.25">
      <c r="A2031" s="169">
        <v>45029</v>
      </c>
      <c r="B2031" s="116">
        <v>241.3</v>
      </c>
      <c r="C2031" s="116">
        <v>238</v>
      </c>
      <c r="D2031" s="116">
        <v>235</v>
      </c>
      <c r="E2031" s="116">
        <v>237.95</v>
      </c>
      <c r="F2031" s="116">
        <v>238</v>
      </c>
      <c r="G2031">
        <v>545</v>
      </c>
      <c r="H2031" s="116"/>
      <c r="I2031" s="116"/>
      <c r="L2031" s="169">
        <v>44993</v>
      </c>
      <c r="M2031" s="116">
        <v>225.8</v>
      </c>
      <c r="N2031" s="116">
        <v>229</v>
      </c>
      <c r="O2031" s="116">
        <v>220.1</v>
      </c>
      <c r="P2031" s="116">
        <v>221</v>
      </c>
      <c r="Q2031" s="116">
        <v>225.8</v>
      </c>
      <c r="R2031">
        <v>8683</v>
      </c>
    </row>
    <row r="2032" spans="1:18" x14ac:dyDescent="0.25">
      <c r="A2032" s="169">
        <v>45033</v>
      </c>
      <c r="B2032" s="116">
        <v>240.3</v>
      </c>
      <c r="C2032" s="116">
        <v>236</v>
      </c>
      <c r="D2032" s="116">
        <v>233.45</v>
      </c>
      <c r="E2032" s="116">
        <v>238</v>
      </c>
      <c r="F2032" s="116">
        <v>236</v>
      </c>
      <c r="G2032">
        <v>1494</v>
      </c>
      <c r="H2032" s="116"/>
      <c r="I2032" s="116"/>
      <c r="L2032" s="169">
        <v>44994</v>
      </c>
      <c r="M2032" s="116">
        <v>226.9</v>
      </c>
      <c r="N2032" s="116">
        <v>229</v>
      </c>
      <c r="O2032" s="116">
        <v>224.6</v>
      </c>
      <c r="P2032" s="116">
        <v>224.9</v>
      </c>
      <c r="Q2032" s="116">
        <v>226.9</v>
      </c>
      <c r="R2032">
        <v>5773</v>
      </c>
    </row>
    <row r="2033" spans="1:18" x14ac:dyDescent="0.25">
      <c r="A2033" s="169">
        <v>45034</v>
      </c>
      <c r="B2033" s="116">
        <v>244.7</v>
      </c>
      <c r="C2033" s="116">
        <v>238.65</v>
      </c>
      <c r="D2033" s="116">
        <v>233.95</v>
      </c>
      <c r="E2033" s="116">
        <v>240</v>
      </c>
      <c r="F2033" s="116">
        <v>238.65</v>
      </c>
      <c r="G2033">
        <v>1853</v>
      </c>
      <c r="H2033" s="116"/>
      <c r="I2033" s="116"/>
      <c r="L2033" s="169">
        <v>44995</v>
      </c>
      <c r="M2033" s="116">
        <v>231.85</v>
      </c>
      <c r="N2033" s="116">
        <v>234.85</v>
      </c>
      <c r="O2033" s="116">
        <v>222.1</v>
      </c>
      <c r="P2033" s="116">
        <v>226.9</v>
      </c>
      <c r="Q2033" s="116">
        <v>231.85</v>
      </c>
      <c r="R2033">
        <v>23136</v>
      </c>
    </row>
    <row r="2034" spans="1:18" x14ac:dyDescent="0.25">
      <c r="A2034" s="169">
        <v>45035</v>
      </c>
      <c r="B2034" s="116">
        <v>240.4</v>
      </c>
      <c r="C2034" s="116">
        <v>237</v>
      </c>
      <c r="D2034" s="116">
        <v>235.4</v>
      </c>
      <c r="E2034" s="116">
        <v>240.4</v>
      </c>
      <c r="F2034" s="116">
        <v>237</v>
      </c>
      <c r="G2034">
        <v>303</v>
      </c>
      <c r="H2034" s="116"/>
      <c r="I2034" s="116"/>
      <c r="L2034" s="169">
        <v>44998</v>
      </c>
      <c r="M2034" s="116">
        <v>229.5</v>
      </c>
      <c r="N2034" s="116">
        <v>233.15</v>
      </c>
      <c r="O2034" s="116">
        <v>224.65</v>
      </c>
      <c r="P2034" s="116">
        <v>230</v>
      </c>
      <c r="Q2034" s="116">
        <v>229.5</v>
      </c>
      <c r="R2034">
        <v>21779</v>
      </c>
    </row>
    <row r="2035" spans="1:18" x14ac:dyDescent="0.25">
      <c r="A2035" s="169">
        <v>45036</v>
      </c>
      <c r="B2035" s="116">
        <v>251.95</v>
      </c>
      <c r="C2035" s="116">
        <v>249.95</v>
      </c>
      <c r="D2035" s="116">
        <v>235.1</v>
      </c>
      <c r="E2035" s="116">
        <v>236.95</v>
      </c>
      <c r="F2035" s="116">
        <v>249.95</v>
      </c>
      <c r="G2035">
        <v>11322</v>
      </c>
      <c r="H2035" s="116"/>
      <c r="I2035" s="116"/>
      <c r="L2035" s="169">
        <v>44999</v>
      </c>
      <c r="M2035" s="116">
        <v>238.85</v>
      </c>
      <c r="N2035" s="116">
        <v>243</v>
      </c>
      <c r="O2035" s="116">
        <v>230.75</v>
      </c>
      <c r="P2035" s="116">
        <v>235</v>
      </c>
      <c r="Q2035" s="116">
        <v>238.85</v>
      </c>
      <c r="R2035">
        <v>39426</v>
      </c>
    </row>
    <row r="2036" spans="1:18" x14ac:dyDescent="0.25">
      <c r="A2036" s="169">
        <v>45037</v>
      </c>
      <c r="B2036" s="116">
        <v>262</v>
      </c>
      <c r="C2036" s="116">
        <v>256.60000000000002</v>
      </c>
      <c r="D2036" s="116">
        <v>248.8</v>
      </c>
      <c r="E2036" s="116">
        <v>252</v>
      </c>
      <c r="F2036" s="116">
        <v>256.60000000000002</v>
      </c>
      <c r="G2036">
        <v>4874</v>
      </c>
      <c r="H2036" s="116"/>
      <c r="I2036" s="116"/>
      <c r="L2036" s="169">
        <v>45000</v>
      </c>
      <c r="M2036" s="116">
        <v>241.35</v>
      </c>
      <c r="N2036" s="116">
        <v>244</v>
      </c>
      <c r="O2036" s="116">
        <v>235</v>
      </c>
      <c r="P2036" s="116">
        <v>241.15</v>
      </c>
      <c r="Q2036" s="116">
        <v>241.35</v>
      </c>
      <c r="R2036">
        <v>21781</v>
      </c>
    </row>
    <row r="2037" spans="1:18" x14ac:dyDescent="0.25">
      <c r="A2037" s="169">
        <v>45040</v>
      </c>
      <c r="B2037" s="116">
        <v>269.14999999999998</v>
      </c>
      <c r="C2037" s="116">
        <v>266.60000000000002</v>
      </c>
      <c r="D2037" s="116">
        <v>250.95</v>
      </c>
      <c r="E2037" s="116">
        <v>260</v>
      </c>
      <c r="F2037" s="116">
        <v>266.60000000000002</v>
      </c>
      <c r="G2037">
        <v>10810</v>
      </c>
      <c r="H2037" s="116"/>
      <c r="I2037" s="116"/>
      <c r="L2037" s="169">
        <v>45001</v>
      </c>
      <c r="M2037" s="116">
        <v>238.25</v>
      </c>
      <c r="N2037" s="116">
        <v>241.3</v>
      </c>
      <c r="O2037" s="116">
        <v>234.3</v>
      </c>
      <c r="P2037" s="116">
        <v>240.2</v>
      </c>
      <c r="Q2037" s="116">
        <v>238.25</v>
      </c>
      <c r="R2037">
        <v>17520</v>
      </c>
    </row>
    <row r="2038" spans="1:18" x14ac:dyDescent="0.25">
      <c r="A2038" s="169">
        <v>45041</v>
      </c>
      <c r="B2038" s="116">
        <v>280</v>
      </c>
      <c r="C2038" s="116">
        <v>264.35000000000002</v>
      </c>
      <c r="D2038" s="116">
        <v>262</v>
      </c>
      <c r="E2038" s="116">
        <v>274.85000000000002</v>
      </c>
      <c r="F2038" s="116">
        <v>264.35000000000002</v>
      </c>
      <c r="G2038">
        <v>6876</v>
      </c>
      <c r="H2038" s="116"/>
      <c r="I2038" s="116"/>
      <c r="L2038" s="169">
        <v>45002</v>
      </c>
      <c r="M2038" s="116">
        <v>235.8</v>
      </c>
      <c r="N2038" s="116">
        <v>241.7</v>
      </c>
      <c r="O2038" s="116">
        <v>235.5</v>
      </c>
      <c r="P2038" s="116">
        <v>240.05</v>
      </c>
      <c r="Q2038" s="116">
        <v>235.8</v>
      </c>
      <c r="R2038">
        <v>12008</v>
      </c>
    </row>
    <row r="2039" spans="1:18" x14ac:dyDescent="0.25">
      <c r="A2039" s="169">
        <v>45042</v>
      </c>
      <c r="B2039" s="116">
        <v>274</v>
      </c>
      <c r="C2039" s="116">
        <v>269.85000000000002</v>
      </c>
      <c r="D2039" s="116">
        <v>268</v>
      </c>
      <c r="E2039" s="116">
        <v>268.8</v>
      </c>
      <c r="F2039" s="116">
        <v>269.85000000000002</v>
      </c>
      <c r="G2039">
        <v>594</v>
      </c>
      <c r="H2039" s="116"/>
      <c r="I2039" s="116"/>
      <c r="L2039" s="169">
        <v>45005</v>
      </c>
      <c r="M2039" s="116">
        <v>235</v>
      </c>
      <c r="N2039" s="116">
        <v>239</v>
      </c>
      <c r="O2039" s="116">
        <v>230.9</v>
      </c>
      <c r="P2039" s="116">
        <v>235.05</v>
      </c>
      <c r="Q2039" s="116">
        <v>235</v>
      </c>
      <c r="R2039">
        <v>7462</v>
      </c>
    </row>
    <row r="2040" spans="1:18" x14ac:dyDescent="0.25">
      <c r="A2040" s="169">
        <v>45043</v>
      </c>
      <c r="B2040" s="116">
        <v>270.55</v>
      </c>
      <c r="C2040" s="116">
        <v>267.2</v>
      </c>
      <c r="D2040" s="116">
        <v>265.45</v>
      </c>
      <c r="E2040" s="116">
        <v>269.95</v>
      </c>
      <c r="F2040" s="116">
        <v>267.2</v>
      </c>
      <c r="G2040">
        <v>624</v>
      </c>
      <c r="H2040" s="116"/>
      <c r="I2040" s="116"/>
      <c r="L2040" s="169">
        <v>45006</v>
      </c>
      <c r="M2040" s="116">
        <v>234.55</v>
      </c>
      <c r="N2040" s="116">
        <v>239.95</v>
      </c>
      <c r="O2040" s="116">
        <v>231</v>
      </c>
      <c r="P2040" s="116">
        <v>239.95</v>
      </c>
      <c r="Q2040" s="116">
        <v>234.55</v>
      </c>
      <c r="R2040">
        <v>7543</v>
      </c>
    </row>
    <row r="2041" spans="1:18" x14ac:dyDescent="0.25">
      <c r="A2041" s="169">
        <v>45044</v>
      </c>
      <c r="B2041" s="116">
        <v>274.95</v>
      </c>
      <c r="C2041" s="116">
        <v>272.3</v>
      </c>
      <c r="D2041" s="116">
        <v>266.8</v>
      </c>
      <c r="E2041" s="116">
        <v>266.8</v>
      </c>
      <c r="F2041" s="116">
        <v>272.3</v>
      </c>
      <c r="G2041">
        <v>3053</v>
      </c>
      <c r="H2041" s="116"/>
      <c r="I2041" s="116"/>
      <c r="L2041" s="169">
        <v>45007</v>
      </c>
      <c r="M2041" s="116">
        <v>235.3</v>
      </c>
      <c r="N2041" s="116">
        <v>236.9</v>
      </c>
      <c r="O2041" s="116">
        <v>230.45</v>
      </c>
      <c r="P2041" s="116">
        <v>234.15</v>
      </c>
      <c r="Q2041" s="116">
        <v>235.3</v>
      </c>
      <c r="R2041">
        <v>6877</v>
      </c>
    </row>
    <row r="2042" spans="1:18" x14ac:dyDescent="0.25">
      <c r="A2042" s="169">
        <v>45048</v>
      </c>
      <c r="B2042" s="116">
        <v>270.25</v>
      </c>
      <c r="C2042" s="116">
        <v>257.55</v>
      </c>
      <c r="D2042" s="116">
        <v>254.1</v>
      </c>
      <c r="E2042" s="116">
        <v>268.05</v>
      </c>
      <c r="F2042" s="116">
        <v>257.55</v>
      </c>
      <c r="G2042">
        <v>9360</v>
      </c>
      <c r="H2042" s="116"/>
      <c r="I2042" s="116"/>
      <c r="L2042" s="169">
        <v>45008</v>
      </c>
      <c r="M2042" s="116">
        <v>231.95</v>
      </c>
      <c r="N2042" s="116">
        <v>237.1</v>
      </c>
      <c r="O2042" s="116">
        <v>231.3</v>
      </c>
      <c r="P2042" s="116">
        <v>237</v>
      </c>
      <c r="Q2042" s="116">
        <v>231.95</v>
      </c>
      <c r="R2042">
        <v>8177</v>
      </c>
    </row>
    <row r="2043" spans="1:18" x14ac:dyDescent="0.25">
      <c r="A2043" s="169">
        <v>45049</v>
      </c>
      <c r="B2043" s="116">
        <v>258.64999999999998</v>
      </c>
      <c r="C2043" s="116">
        <v>252.45</v>
      </c>
      <c r="D2043" s="116">
        <v>248</v>
      </c>
      <c r="E2043" s="116">
        <v>258.64999999999998</v>
      </c>
      <c r="F2043" s="116">
        <v>252.45</v>
      </c>
      <c r="G2043">
        <v>2974</v>
      </c>
      <c r="H2043" s="116"/>
      <c r="I2043" s="116"/>
      <c r="L2043" s="169">
        <v>45009</v>
      </c>
      <c r="M2043" s="116">
        <v>229.15</v>
      </c>
      <c r="N2043" s="116">
        <v>234.95</v>
      </c>
      <c r="O2043" s="116">
        <v>222.5</v>
      </c>
      <c r="P2043" s="116">
        <v>231.35</v>
      </c>
      <c r="Q2043" s="116">
        <v>229.15</v>
      </c>
      <c r="R2043">
        <v>12133</v>
      </c>
    </row>
    <row r="2044" spans="1:18" x14ac:dyDescent="0.25">
      <c r="A2044" s="169">
        <v>45050</v>
      </c>
      <c r="B2044" s="116">
        <v>255.5</v>
      </c>
      <c r="C2044" s="116">
        <v>246.3</v>
      </c>
      <c r="D2044" s="116">
        <v>239.6</v>
      </c>
      <c r="E2044" s="116">
        <v>253</v>
      </c>
      <c r="F2044" s="116">
        <v>246.3</v>
      </c>
      <c r="G2044">
        <v>3162</v>
      </c>
      <c r="H2044" s="116"/>
      <c r="I2044" s="116"/>
      <c r="L2044" s="169">
        <v>45012</v>
      </c>
      <c r="M2044" s="116">
        <v>225.4</v>
      </c>
      <c r="N2044" s="116">
        <v>249.7</v>
      </c>
      <c r="O2044" s="116">
        <v>223.1</v>
      </c>
      <c r="P2044" s="116">
        <v>249.7</v>
      </c>
      <c r="Q2044" s="116">
        <v>225.4</v>
      </c>
      <c r="R2044">
        <v>39819</v>
      </c>
    </row>
    <row r="2045" spans="1:18" x14ac:dyDescent="0.25">
      <c r="A2045" s="169">
        <v>45051</v>
      </c>
      <c r="B2045" s="116">
        <v>252.3</v>
      </c>
      <c r="C2045" s="116">
        <v>246.15</v>
      </c>
      <c r="D2045" s="116">
        <v>241.55</v>
      </c>
      <c r="E2045" s="116">
        <v>251</v>
      </c>
      <c r="F2045" s="116">
        <v>246.15</v>
      </c>
      <c r="G2045">
        <v>1025</v>
      </c>
      <c r="H2045" s="116"/>
      <c r="I2045" s="116"/>
      <c r="L2045" s="169">
        <v>45013</v>
      </c>
      <c r="M2045" s="116">
        <v>216.95</v>
      </c>
      <c r="N2045" s="116">
        <v>226.3</v>
      </c>
      <c r="O2045" s="116">
        <v>214.6</v>
      </c>
      <c r="P2045" s="116">
        <v>226.2</v>
      </c>
      <c r="Q2045" s="116">
        <v>216.95</v>
      </c>
      <c r="R2045">
        <v>39095</v>
      </c>
    </row>
    <row r="2046" spans="1:18" x14ac:dyDescent="0.25">
      <c r="A2046" s="169">
        <v>45054</v>
      </c>
      <c r="B2046" s="116">
        <v>246.15</v>
      </c>
      <c r="C2046" s="116">
        <v>244</v>
      </c>
      <c r="D2046" s="116">
        <v>236.5</v>
      </c>
      <c r="E2046" s="116">
        <v>244.75</v>
      </c>
      <c r="F2046" s="116">
        <v>244</v>
      </c>
      <c r="G2046">
        <v>4232</v>
      </c>
      <c r="H2046" s="116"/>
      <c r="I2046" s="116"/>
      <c r="L2046" s="169">
        <v>45014</v>
      </c>
      <c r="M2046" s="116">
        <v>213.15</v>
      </c>
      <c r="N2046" s="116">
        <v>219.65</v>
      </c>
      <c r="O2046" s="116">
        <v>212</v>
      </c>
      <c r="P2046" s="116">
        <v>215.8</v>
      </c>
      <c r="Q2046" s="116">
        <v>213.15</v>
      </c>
      <c r="R2046">
        <v>14531</v>
      </c>
    </row>
    <row r="2047" spans="1:18" x14ac:dyDescent="0.25">
      <c r="A2047" s="169">
        <v>45055</v>
      </c>
      <c r="B2047" s="116">
        <v>249.9</v>
      </c>
      <c r="C2047" s="116">
        <v>244.75</v>
      </c>
      <c r="D2047" s="116">
        <v>241.1</v>
      </c>
      <c r="E2047" s="116">
        <v>243.95</v>
      </c>
      <c r="F2047" s="116">
        <v>244.75</v>
      </c>
      <c r="G2047">
        <v>1247</v>
      </c>
      <c r="H2047" s="116"/>
      <c r="I2047" s="116"/>
      <c r="L2047" s="169">
        <v>45016</v>
      </c>
      <c r="M2047" s="116">
        <v>215.05</v>
      </c>
      <c r="N2047" s="116">
        <v>219.9</v>
      </c>
      <c r="O2047" s="116">
        <v>213.05</v>
      </c>
      <c r="P2047" s="116">
        <v>216.2</v>
      </c>
      <c r="Q2047" s="116">
        <v>215.05</v>
      </c>
      <c r="R2047">
        <v>17603</v>
      </c>
    </row>
    <row r="2048" spans="1:18" x14ac:dyDescent="0.25">
      <c r="A2048" s="169">
        <v>45056</v>
      </c>
      <c r="B2048" s="116">
        <v>249</v>
      </c>
      <c r="C2048" s="116">
        <v>248.95</v>
      </c>
      <c r="D2048" s="116">
        <v>243.85</v>
      </c>
      <c r="E2048" s="116">
        <v>247.95</v>
      </c>
      <c r="F2048" s="116">
        <v>248.95</v>
      </c>
      <c r="G2048">
        <v>280</v>
      </c>
      <c r="H2048" s="116"/>
      <c r="I2048" s="116"/>
      <c r="L2048" s="169">
        <v>45019</v>
      </c>
      <c r="M2048" s="116">
        <v>224.5</v>
      </c>
      <c r="N2048" s="116">
        <v>227.45</v>
      </c>
      <c r="O2048" s="116">
        <v>217.9</v>
      </c>
      <c r="P2048" s="116">
        <v>218.3</v>
      </c>
      <c r="Q2048" s="116">
        <v>224.5</v>
      </c>
      <c r="R2048">
        <v>6585</v>
      </c>
    </row>
    <row r="2049" spans="1:18" x14ac:dyDescent="0.25">
      <c r="A2049" s="169">
        <v>45057</v>
      </c>
      <c r="B2049" s="116">
        <v>248</v>
      </c>
      <c r="C2049" s="116">
        <v>246.55</v>
      </c>
      <c r="D2049" s="116">
        <v>244.05</v>
      </c>
      <c r="E2049" s="116">
        <v>247.95</v>
      </c>
      <c r="F2049" s="116">
        <v>246.55</v>
      </c>
      <c r="G2049">
        <v>4200</v>
      </c>
      <c r="H2049" s="116"/>
      <c r="I2049" s="116"/>
      <c r="L2049" s="169">
        <v>45021</v>
      </c>
      <c r="M2049" s="116">
        <v>233.25</v>
      </c>
      <c r="N2049" s="116">
        <v>234.4</v>
      </c>
      <c r="O2049" s="116">
        <v>224.85</v>
      </c>
      <c r="P2049" s="116">
        <v>227.45</v>
      </c>
      <c r="Q2049" s="116">
        <v>233.25</v>
      </c>
      <c r="R2049">
        <v>13771</v>
      </c>
    </row>
    <row r="2050" spans="1:18" x14ac:dyDescent="0.25">
      <c r="A2050" s="169">
        <v>45058</v>
      </c>
      <c r="B2050" s="116">
        <v>246.95</v>
      </c>
      <c r="C2050" s="116">
        <v>246.7</v>
      </c>
      <c r="D2050" s="116">
        <v>241.25</v>
      </c>
      <c r="E2050" s="116">
        <v>246.95</v>
      </c>
      <c r="F2050" s="116">
        <v>246.7</v>
      </c>
      <c r="G2050">
        <v>683</v>
      </c>
      <c r="H2050" s="116"/>
      <c r="I2050" s="116"/>
      <c r="L2050" s="169">
        <v>45022</v>
      </c>
      <c r="M2050" s="116">
        <v>234.3</v>
      </c>
      <c r="N2050" s="116">
        <v>238</v>
      </c>
      <c r="O2050" s="116">
        <v>231.1</v>
      </c>
      <c r="P2050" s="116">
        <v>233.25</v>
      </c>
      <c r="Q2050" s="116">
        <v>234.3</v>
      </c>
      <c r="R2050">
        <v>10033</v>
      </c>
    </row>
    <row r="2051" spans="1:18" x14ac:dyDescent="0.25">
      <c r="A2051" s="169">
        <v>45061</v>
      </c>
      <c r="B2051" s="116">
        <v>247</v>
      </c>
      <c r="C2051" s="116">
        <v>244.7</v>
      </c>
      <c r="D2051" s="116">
        <v>242.1</v>
      </c>
      <c r="E2051" s="116">
        <v>242.1</v>
      </c>
      <c r="F2051" s="116">
        <v>244.7</v>
      </c>
      <c r="G2051">
        <v>669</v>
      </c>
      <c r="H2051" s="116"/>
      <c r="I2051" s="116"/>
      <c r="L2051" s="169">
        <v>45026</v>
      </c>
      <c r="M2051" s="116">
        <v>242.35</v>
      </c>
      <c r="N2051" s="116">
        <v>243.9</v>
      </c>
      <c r="O2051" s="116">
        <v>236.1</v>
      </c>
      <c r="P2051" s="116">
        <v>236.1</v>
      </c>
      <c r="Q2051" s="116">
        <v>242.35</v>
      </c>
      <c r="R2051">
        <v>16243</v>
      </c>
    </row>
    <row r="2052" spans="1:18" x14ac:dyDescent="0.25">
      <c r="A2052" s="169">
        <v>45062</v>
      </c>
      <c r="B2052" s="116">
        <v>248.35</v>
      </c>
      <c r="C2052" s="116">
        <v>241.95</v>
      </c>
      <c r="D2052" s="116">
        <v>239.4</v>
      </c>
      <c r="E2052" s="116">
        <v>245.95</v>
      </c>
      <c r="F2052" s="116">
        <v>241.95</v>
      </c>
      <c r="G2052">
        <v>3334</v>
      </c>
      <c r="H2052" s="116"/>
      <c r="I2052" s="116"/>
      <c r="L2052" s="169">
        <v>45027</v>
      </c>
      <c r="M2052" s="116">
        <v>238.15</v>
      </c>
      <c r="N2052" s="116">
        <v>243.9</v>
      </c>
      <c r="O2052" s="116">
        <v>235.7</v>
      </c>
      <c r="P2052" s="116">
        <v>243.9</v>
      </c>
      <c r="Q2052" s="116">
        <v>238.15</v>
      </c>
      <c r="R2052">
        <v>5547</v>
      </c>
    </row>
    <row r="2053" spans="1:18" x14ac:dyDescent="0.25">
      <c r="A2053" s="169">
        <v>45063</v>
      </c>
      <c r="B2053" s="116">
        <v>243.95</v>
      </c>
      <c r="C2053" s="116">
        <v>238.85</v>
      </c>
      <c r="D2053" s="116">
        <v>236.25</v>
      </c>
      <c r="E2053" s="116">
        <v>243.95</v>
      </c>
      <c r="F2053" s="116">
        <v>238.85</v>
      </c>
      <c r="G2053">
        <v>224</v>
      </c>
      <c r="H2053" s="116"/>
      <c r="I2053" s="116"/>
      <c r="L2053" s="169">
        <v>45028</v>
      </c>
      <c r="M2053" s="116">
        <v>237.4</v>
      </c>
      <c r="N2053" s="116">
        <v>240.45</v>
      </c>
      <c r="O2053" s="116">
        <v>237.1</v>
      </c>
      <c r="P2053" s="116">
        <v>238.8</v>
      </c>
      <c r="Q2053" s="116">
        <v>237.4</v>
      </c>
      <c r="R2053">
        <v>5480</v>
      </c>
    </row>
    <row r="2054" spans="1:18" x14ac:dyDescent="0.25">
      <c r="A2054" s="169">
        <v>45064</v>
      </c>
      <c r="B2054" s="116">
        <v>240.95</v>
      </c>
      <c r="C2054" s="116">
        <v>237.4</v>
      </c>
      <c r="D2054" s="116">
        <v>236.05</v>
      </c>
      <c r="E2054" s="116">
        <v>240.95</v>
      </c>
      <c r="F2054" s="116">
        <v>237.4</v>
      </c>
      <c r="G2054">
        <v>453</v>
      </c>
      <c r="H2054" s="116"/>
      <c r="I2054" s="116"/>
      <c r="L2054" s="169">
        <v>45029</v>
      </c>
      <c r="M2054" s="116">
        <v>238.25</v>
      </c>
      <c r="N2054" s="116">
        <v>240.95</v>
      </c>
      <c r="O2054" s="116">
        <v>235.25</v>
      </c>
      <c r="P2054" s="116">
        <v>235.25</v>
      </c>
      <c r="Q2054" s="116">
        <v>238.25</v>
      </c>
      <c r="R2054">
        <v>6992</v>
      </c>
    </row>
    <row r="2055" spans="1:18" x14ac:dyDescent="0.25">
      <c r="A2055" s="169">
        <v>45065</v>
      </c>
      <c r="B2055" s="116">
        <v>237.95</v>
      </c>
      <c r="C2055" s="116">
        <v>231.75</v>
      </c>
      <c r="D2055" s="116">
        <v>228.95</v>
      </c>
      <c r="E2055" s="116">
        <v>233</v>
      </c>
      <c r="F2055" s="116">
        <v>231.75</v>
      </c>
      <c r="G2055">
        <v>3702</v>
      </c>
      <c r="H2055" s="116"/>
      <c r="I2055" s="116"/>
      <c r="L2055" s="169">
        <v>45033</v>
      </c>
      <c r="M2055" s="116">
        <v>235.6</v>
      </c>
      <c r="N2055" s="116">
        <v>240.3</v>
      </c>
      <c r="O2055" s="116">
        <v>233.85</v>
      </c>
      <c r="P2055" s="116">
        <v>238.9</v>
      </c>
      <c r="Q2055" s="116">
        <v>235.6</v>
      </c>
      <c r="R2055">
        <v>12473</v>
      </c>
    </row>
    <row r="2056" spans="1:18" x14ac:dyDescent="0.25">
      <c r="A2056" s="169">
        <v>45068</v>
      </c>
      <c r="B2056" s="116">
        <v>241.5</v>
      </c>
      <c r="C2056" s="116">
        <v>238.3</v>
      </c>
      <c r="D2056" s="116">
        <v>232.7</v>
      </c>
      <c r="E2056" s="116">
        <v>233.5</v>
      </c>
      <c r="F2056" s="116">
        <v>238.3</v>
      </c>
      <c r="G2056">
        <v>1924</v>
      </c>
      <c r="H2056" s="116"/>
      <c r="I2056" s="116"/>
      <c r="L2056" s="169">
        <v>45034</v>
      </c>
      <c r="M2056" s="116">
        <v>238.75</v>
      </c>
      <c r="N2056" s="116">
        <v>245.2</v>
      </c>
      <c r="O2056" s="116">
        <v>236.05</v>
      </c>
      <c r="P2056" s="116">
        <v>236.7</v>
      </c>
      <c r="Q2056" s="116">
        <v>238.75</v>
      </c>
      <c r="R2056">
        <v>5794</v>
      </c>
    </row>
    <row r="2057" spans="1:18" x14ac:dyDescent="0.25">
      <c r="A2057" s="169">
        <v>45069</v>
      </c>
      <c r="B2057" s="116">
        <v>241.15</v>
      </c>
      <c r="C2057" s="116">
        <v>235.3</v>
      </c>
      <c r="D2057" s="116">
        <v>235</v>
      </c>
      <c r="E2057" s="116">
        <v>239.95</v>
      </c>
      <c r="F2057" s="116">
        <v>235.3</v>
      </c>
      <c r="G2057">
        <v>929</v>
      </c>
      <c r="H2057" s="116"/>
      <c r="I2057" s="116"/>
      <c r="L2057" s="169">
        <v>45035</v>
      </c>
      <c r="M2057" s="116">
        <v>236.5</v>
      </c>
      <c r="N2057" s="116">
        <v>239.5</v>
      </c>
      <c r="O2057" s="116">
        <v>234.45</v>
      </c>
      <c r="P2057" s="116">
        <v>239.5</v>
      </c>
      <c r="Q2057" s="116">
        <v>236.5</v>
      </c>
      <c r="R2057">
        <v>6834</v>
      </c>
    </row>
    <row r="2058" spans="1:18" x14ac:dyDescent="0.25">
      <c r="A2058" s="169">
        <v>45070</v>
      </c>
      <c r="B2058" s="116">
        <v>237.25</v>
      </c>
      <c r="C2058" s="116">
        <v>233</v>
      </c>
      <c r="D2058" s="116">
        <v>233</v>
      </c>
      <c r="E2058" s="116">
        <v>235.95</v>
      </c>
      <c r="F2058" s="116">
        <v>233</v>
      </c>
      <c r="G2058">
        <v>345</v>
      </c>
      <c r="H2058" s="116"/>
      <c r="I2058" s="116"/>
      <c r="L2058" s="169">
        <v>45036</v>
      </c>
      <c r="M2058" s="116">
        <v>250.3</v>
      </c>
      <c r="N2058" s="116">
        <v>252</v>
      </c>
      <c r="O2058" s="116">
        <v>235.55</v>
      </c>
      <c r="P2058" s="116">
        <v>241.8</v>
      </c>
      <c r="Q2058" s="116">
        <v>250.3</v>
      </c>
      <c r="R2058">
        <v>37030</v>
      </c>
    </row>
    <row r="2059" spans="1:18" x14ac:dyDescent="0.25">
      <c r="A2059" s="169">
        <v>45071</v>
      </c>
      <c r="B2059" s="116">
        <v>236.95</v>
      </c>
      <c r="C2059" s="116">
        <v>236.75</v>
      </c>
      <c r="D2059" s="116">
        <v>230.65</v>
      </c>
      <c r="E2059" s="116">
        <v>232.95</v>
      </c>
      <c r="F2059" s="116">
        <v>236.75</v>
      </c>
      <c r="G2059">
        <v>658</v>
      </c>
      <c r="H2059" s="116"/>
      <c r="I2059" s="116"/>
      <c r="L2059" s="169">
        <v>45037</v>
      </c>
      <c r="M2059" s="116">
        <v>255.35</v>
      </c>
      <c r="N2059" s="116">
        <v>262</v>
      </c>
      <c r="O2059" s="116">
        <v>248</v>
      </c>
      <c r="P2059" s="116">
        <v>253</v>
      </c>
      <c r="Q2059" s="116">
        <v>255.35</v>
      </c>
      <c r="R2059">
        <v>40065</v>
      </c>
    </row>
    <row r="2060" spans="1:18" x14ac:dyDescent="0.25">
      <c r="A2060" s="169">
        <v>45072</v>
      </c>
      <c r="B2060" s="116">
        <v>236.95</v>
      </c>
      <c r="C2060" s="116">
        <v>233.45</v>
      </c>
      <c r="D2060" s="116">
        <v>228.95</v>
      </c>
      <c r="E2060" s="116">
        <v>236.95</v>
      </c>
      <c r="F2060" s="116">
        <v>233.45</v>
      </c>
      <c r="G2060">
        <v>1848</v>
      </c>
      <c r="H2060" s="116"/>
      <c r="I2060" s="116"/>
      <c r="L2060" s="169">
        <v>45040</v>
      </c>
      <c r="M2060" s="116">
        <v>267.05</v>
      </c>
      <c r="N2060" s="116">
        <v>269</v>
      </c>
      <c r="O2060" s="116">
        <v>256.89999999999998</v>
      </c>
      <c r="P2060" s="116">
        <v>259.89999999999998</v>
      </c>
      <c r="Q2060" s="116">
        <v>267.05</v>
      </c>
      <c r="R2060">
        <v>56829</v>
      </c>
    </row>
    <row r="2061" spans="1:18" x14ac:dyDescent="0.25">
      <c r="A2061" s="169">
        <v>45075</v>
      </c>
      <c r="B2061" s="116">
        <v>237.5</v>
      </c>
      <c r="C2061" s="116">
        <v>231.7</v>
      </c>
      <c r="D2061" s="116">
        <v>231.2</v>
      </c>
      <c r="E2061" s="116">
        <v>234.95</v>
      </c>
      <c r="F2061" s="116">
        <v>231.7</v>
      </c>
      <c r="G2061">
        <v>268</v>
      </c>
      <c r="H2061" s="116"/>
      <c r="I2061" s="116"/>
      <c r="L2061" s="169">
        <v>45041</v>
      </c>
      <c r="M2061" s="116">
        <v>264.85000000000002</v>
      </c>
      <c r="N2061" s="116">
        <v>279</v>
      </c>
      <c r="O2061" s="116">
        <v>262.3</v>
      </c>
      <c r="P2061" s="116">
        <v>269.2</v>
      </c>
      <c r="Q2061" s="116">
        <v>264.85000000000002</v>
      </c>
      <c r="R2061">
        <v>59580</v>
      </c>
    </row>
    <row r="2062" spans="1:18" x14ac:dyDescent="0.25">
      <c r="A2062" s="169">
        <v>45076</v>
      </c>
      <c r="B2062" s="116">
        <v>237</v>
      </c>
      <c r="C2062" s="116">
        <v>233.7</v>
      </c>
      <c r="D2062" s="116">
        <v>226</v>
      </c>
      <c r="E2062" s="116">
        <v>237</v>
      </c>
      <c r="F2062" s="116">
        <v>233.7</v>
      </c>
      <c r="G2062">
        <v>288</v>
      </c>
      <c r="H2062" s="116"/>
      <c r="I2062" s="116"/>
      <c r="L2062" s="169">
        <v>45042</v>
      </c>
      <c r="M2062" s="116">
        <v>270.60000000000002</v>
      </c>
      <c r="N2062" s="116">
        <v>274.7</v>
      </c>
      <c r="O2062" s="116">
        <v>267.10000000000002</v>
      </c>
      <c r="P2062" s="116">
        <v>271</v>
      </c>
      <c r="Q2062" s="116">
        <v>270.60000000000002</v>
      </c>
      <c r="R2062">
        <v>34774</v>
      </c>
    </row>
    <row r="2063" spans="1:18" x14ac:dyDescent="0.25">
      <c r="A2063" s="169">
        <v>45077</v>
      </c>
      <c r="B2063" s="116">
        <v>234.7</v>
      </c>
      <c r="C2063" s="116">
        <v>231.55</v>
      </c>
      <c r="D2063" s="116">
        <v>228.95</v>
      </c>
      <c r="E2063" s="116">
        <v>232.95</v>
      </c>
      <c r="F2063" s="116">
        <v>231.55</v>
      </c>
      <c r="G2063">
        <v>1029</v>
      </c>
      <c r="H2063" s="116"/>
      <c r="I2063" s="116"/>
      <c r="L2063" s="169">
        <v>45043</v>
      </c>
      <c r="M2063" s="116">
        <v>266.39999999999998</v>
      </c>
      <c r="N2063" s="116">
        <v>272.60000000000002</v>
      </c>
      <c r="O2063" s="116">
        <v>265</v>
      </c>
      <c r="P2063" s="116">
        <v>272.60000000000002</v>
      </c>
      <c r="Q2063" s="116">
        <v>266.39999999999998</v>
      </c>
      <c r="R2063">
        <v>11365</v>
      </c>
    </row>
    <row r="2064" spans="1:18" x14ac:dyDescent="0.25">
      <c r="A2064" s="169">
        <v>45078</v>
      </c>
      <c r="B2064" s="116">
        <v>235</v>
      </c>
      <c r="C2064" s="116">
        <v>232.4</v>
      </c>
      <c r="D2064" s="116">
        <v>230.15</v>
      </c>
      <c r="E2064" s="116">
        <v>232.95</v>
      </c>
      <c r="F2064" s="116">
        <v>232.4</v>
      </c>
      <c r="G2064">
        <v>1780</v>
      </c>
      <c r="H2064" s="116"/>
      <c r="I2064" s="116"/>
      <c r="L2064" s="169">
        <v>45044</v>
      </c>
      <c r="M2064" s="116">
        <v>271.89999999999998</v>
      </c>
      <c r="N2064" s="116">
        <v>275</v>
      </c>
      <c r="O2064" s="116">
        <v>266.3</v>
      </c>
      <c r="P2064" s="116">
        <v>266.39999999999998</v>
      </c>
      <c r="Q2064" s="116">
        <v>271.89999999999998</v>
      </c>
      <c r="R2064">
        <v>49167</v>
      </c>
    </row>
    <row r="2065" spans="1:18" x14ac:dyDescent="0.25">
      <c r="A2065" s="169">
        <v>45079</v>
      </c>
      <c r="B2065" s="116">
        <v>234.75</v>
      </c>
      <c r="C2065" s="116">
        <v>233</v>
      </c>
      <c r="D2065" s="116">
        <v>230.4</v>
      </c>
      <c r="E2065" s="116">
        <v>233.95</v>
      </c>
      <c r="F2065" s="116">
        <v>233</v>
      </c>
      <c r="G2065">
        <v>21</v>
      </c>
      <c r="H2065" s="116"/>
      <c r="I2065" s="116"/>
      <c r="L2065" s="169">
        <v>45048</v>
      </c>
      <c r="M2065" s="116">
        <v>257.7</v>
      </c>
      <c r="N2065" s="116">
        <v>270.7</v>
      </c>
      <c r="O2065" s="116">
        <v>253.95</v>
      </c>
      <c r="P2065" s="116">
        <v>270.60000000000002</v>
      </c>
      <c r="Q2065" s="116">
        <v>257.7</v>
      </c>
      <c r="R2065">
        <v>44068</v>
      </c>
    </row>
    <row r="2066" spans="1:18" x14ac:dyDescent="0.25">
      <c r="A2066" s="169">
        <v>45082</v>
      </c>
      <c r="B2066" s="116">
        <v>240.5</v>
      </c>
      <c r="C2066" s="116">
        <v>239.8</v>
      </c>
      <c r="D2066" s="116">
        <v>231.5</v>
      </c>
      <c r="E2066" s="116">
        <v>233.2</v>
      </c>
      <c r="F2066" s="116">
        <v>239.8</v>
      </c>
      <c r="G2066">
        <v>1945</v>
      </c>
      <c r="H2066" s="116"/>
      <c r="I2066" s="116"/>
      <c r="L2066" s="169">
        <v>45049</v>
      </c>
      <c r="M2066" s="116">
        <v>252.95</v>
      </c>
      <c r="N2066" s="116">
        <v>258.8</v>
      </c>
      <c r="O2066" s="116">
        <v>246.95</v>
      </c>
      <c r="P2066" s="116">
        <v>258.8</v>
      </c>
      <c r="Q2066" s="116">
        <v>252.95</v>
      </c>
      <c r="R2066">
        <v>22088</v>
      </c>
    </row>
    <row r="2067" spans="1:18" x14ac:dyDescent="0.25">
      <c r="A2067" s="169">
        <v>45083</v>
      </c>
      <c r="B2067" s="116">
        <v>251.6</v>
      </c>
      <c r="C2067" s="116">
        <v>247.75</v>
      </c>
      <c r="D2067" s="116">
        <v>242</v>
      </c>
      <c r="E2067" s="116">
        <v>244</v>
      </c>
      <c r="F2067" s="116">
        <v>247.75</v>
      </c>
      <c r="G2067">
        <v>2800</v>
      </c>
      <c r="H2067" s="116"/>
      <c r="I2067" s="116"/>
      <c r="L2067" s="169">
        <v>45050</v>
      </c>
      <c r="M2067" s="116">
        <v>246.55</v>
      </c>
      <c r="N2067" s="116">
        <v>256.75</v>
      </c>
      <c r="O2067" s="116">
        <v>242.4</v>
      </c>
      <c r="P2067" s="116">
        <v>256.75</v>
      </c>
      <c r="Q2067" s="116">
        <v>246.55</v>
      </c>
      <c r="R2067">
        <v>40128</v>
      </c>
    </row>
    <row r="2068" spans="1:18" x14ac:dyDescent="0.25">
      <c r="A2068" s="169">
        <v>45084</v>
      </c>
      <c r="B2068" s="116">
        <v>297.3</v>
      </c>
      <c r="C2068" s="116">
        <v>277.05</v>
      </c>
      <c r="D2068" s="116">
        <v>250.55</v>
      </c>
      <c r="E2068" s="116">
        <v>250.55</v>
      </c>
      <c r="F2068" s="116">
        <v>277.05</v>
      </c>
      <c r="G2068">
        <v>39692</v>
      </c>
      <c r="H2068" s="116"/>
      <c r="I2068" s="116"/>
      <c r="L2068" s="169">
        <v>45051</v>
      </c>
      <c r="M2068" s="116">
        <v>247.7</v>
      </c>
      <c r="N2068" s="116">
        <v>252.3</v>
      </c>
      <c r="O2068" s="116">
        <v>245.6</v>
      </c>
      <c r="P2068" s="116">
        <v>248.3</v>
      </c>
      <c r="Q2068" s="116">
        <v>247.7</v>
      </c>
      <c r="R2068">
        <v>24332</v>
      </c>
    </row>
    <row r="2069" spans="1:18" x14ac:dyDescent="0.25">
      <c r="A2069" s="169">
        <v>45085</v>
      </c>
      <c r="B2069" s="116">
        <v>286</v>
      </c>
      <c r="C2069" s="116">
        <v>282.2</v>
      </c>
      <c r="D2069" s="116">
        <v>274.05</v>
      </c>
      <c r="E2069" s="116">
        <v>274.05</v>
      </c>
      <c r="F2069" s="116">
        <v>282.2</v>
      </c>
      <c r="G2069">
        <v>16160</v>
      </c>
      <c r="H2069" s="116"/>
      <c r="I2069" s="116"/>
      <c r="L2069" s="169">
        <v>45054</v>
      </c>
      <c r="M2069" s="116">
        <v>242.6</v>
      </c>
      <c r="N2069" s="116">
        <v>247.95</v>
      </c>
      <c r="O2069" s="116">
        <v>238</v>
      </c>
      <c r="P2069" s="116">
        <v>247.7</v>
      </c>
      <c r="Q2069" s="116">
        <v>242.6</v>
      </c>
      <c r="R2069">
        <v>26344</v>
      </c>
    </row>
    <row r="2070" spans="1:18" x14ac:dyDescent="0.25">
      <c r="A2070" s="169">
        <v>45086</v>
      </c>
      <c r="B2070" s="116">
        <v>284.89999999999998</v>
      </c>
      <c r="C2070" s="116">
        <v>281.95</v>
      </c>
      <c r="D2070" s="116">
        <v>278</v>
      </c>
      <c r="E2070" s="116">
        <v>282.5</v>
      </c>
      <c r="F2070" s="116">
        <v>281.95</v>
      </c>
      <c r="G2070">
        <v>2786</v>
      </c>
      <c r="H2070" s="116"/>
      <c r="I2070" s="116"/>
      <c r="L2070" s="169">
        <v>45055</v>
      </c>
      <c r="M2070" s="116">
        <v>246.3</v>
      </c>
      <c r="N2070" s="116">
        <v>249</v>
      </c>
      <c r="O2070" s="116">
        <v>242.5</v>
      </c>
      <c r="P2070" s="116">
        <v>243.6</v>
      </c>
      <c r="Q2070" s="116">
        <v>246.3</v>
      </c>
      <c r="R2070">
        <v>9756</v>
      </c>
    </row>
    <row r="2071" spans="1:18" x14ac:dyDescent="0.25">
      <c r="A2071" s="169">
        <v>45089</v>
      </c>
      <c r="B2071" s="116">
        <v>281.8</v>
      </c>
      <c r="C2071" s="116">
        <v>273.60000000000002</v>
      </c>
      <c r="D2071" s="116">
        <v>272.05</v>
      </c>
      <c r="E2071" s="116">
        <v>276.5</v>
      </c>
      <c r="F2071" s="116">
        <v>273.60000000000002</v>
      </c>
      <c r="G2071">
        <v>1455</v>
      </c>
      <c r="H2071" s="116"/>
      <c r="I2071" s="116"/>
      <c r="L2071" s="169">
        <v>45056</v>
      </c>
      <c r="M2071" s="116">
        <v>246.2</v>
      </c>
      <c r="N2071" s="116">
        <v>249.15</v>
      </c>
      <c r="O2071" s="116">
        <v>243.1</v>
      </c>
      <c r="P2071" s="116">
        <v>246.3</v>
      </c>
      <c r="Q2071" s="116">
        <v>246.2</v>
      </c>
      <c r="R2071">
        <v>7034</v>
      </c>
    </row>
    <row r="2072" spans="1:18" x14ac:dyDescent="0.25">
      <c r="A2072" s="169">
        <v>45090</v>
      </c>
      <c r="B2072" s="116">
        <v>289.85000000000002</v>
      </c>
      <c r="C2072" s="116">
        <v>284.7</v>
      </c>
      <c r="D2072" s="116">
        <v>277.64999999999998</v>
      </c>
      <c r="E2072" s="116">
        <v>278</v>
      </c>
      <c r="F2072" s="116">
        <v>284.7</v>
      </c>
      <c r="G2072">
        <v>5461</v>
      </c>
      <c r="H2072" s="116"/>
      <c r="I2072" s="116"/>
      <c r="L2072" s="169">
        <v>45057</v>
      </c>
      <c r="M2072" s="116">
        <v>246.35</v>
      </c>
      <c r="N2072" s="116">
        <v>248.25</v>
      </c>
      <c r="O2072" s="116">
        <v>244.45</v>
      </c>
      <c r="P2072" s="116">
        <v>247.55</v>
      </c>
      <c r="Q2072" s="116">
        <v>246.35</v>
      </c>
      <c r="R2072">
        <v>6766</v>
      </c>
    </row>
    <row r="2073" spans="1:18" x14ac:dyDescent="0.25">
      <c r="A2073" s="169">
        <v>45091</v>
      </c>
      <c r="B2073" s="116">
        <v>340</v>
      </c>
      <c r="C2073" s="116">
        <v>332.95</v>
      </c>
      <c r="D2073" s="116">
        <v>268</v>
      </c>
      <c r="E2073" s="116">
        <v>271</v>
      </c>
      <c r="F2073" s="116">
        <v>332.95</v>
      </c>
      <c r="G2073">
        <v>1068714</v>
      </c>
      <c r="H2073" s="116"/>
      <c r="I2073" s="116"/>
      <c r="L2073" s="169">
        <v>45058</v>
      </c>
      <c r="M2073" s="116">
        <v>246.2</v>
      </c>
      <c r="N2073" s="116">
        <v>247.5</v>
      </c>
      <c r="O2073" s="116">
        <v>241.6</v>
      </c>
      <c r="P2073" s="116">
        <v>245.95</v>
      </c>
      <c r="Q2073" s="116">
        <v>246.2</v>
      </c>
      <c r="R2073">
        <v>6888</v>
      </c>
    </row>
    <row r="2074" spans="1:18" x14ac:dyDescent="0.25">
      <c r="A2074" s="169">
        <v>45092</v>
      </c>
      <c r="B2074" s="116">
        <v>344</v>
      </c>
      <c r="C2074" s="116">
        <v>321.95</v>
      </c>
      <c r="D2074" s="116">
        <v>320</v>
      </c>
      <c r="E2074" s="116">
        <v>343.3</v>
      </c>
      <c r="F2074" s="116">
        <v>321.95</v>
      </c>
      <c r="G2074">
        <v>61185</v>
      </c>
      <c r="H2074" s="116"/>
      <c r="I2074" s="116"/>
      <c r="L2074" s="169">
        <v>45061</v>
      </c>
      <c r="M2074" s="116">
        <v>243.9</v>
      </c>
      <c r="N2074" s="116">
        <v>248</v>
      </c>
      <c r="O2074" s="116">
        <v>242.05</v>
      </c>
      <c r="P2074" s="116">
        <v>246.65</v>
      </c>
      <c r="Q2074" s="116">
        <v>243.9</v>
      </c>
      <c r="R2074">
        <v>5653</v>
      </c>
    </row>
    <row r="2075" spans="1:18" x14ac:dyDescent="0.25">
      <c r="A2075" s="169">
        <v>45093</v>
      </c>
      <c r="B2075" s="116">
        <v>330</v>
      </c>
      <c r="C2075" s="116">
        <v>316.39999999999998</v>
      </c>
      <c r="D2075" s="116">
        <v>315.10000000000002</v>
      </c>
      <c r="E2075" s="116">
        <v>327.9</v>
      </c>
      <c r="F2075" s="116">
        <v>316.39999999999998</v>
      </c>
      <c r="G2075">
        <v>12432</v>
      </c>
      <c r="H2075" s="116"/>
      <c r="I2075" s="116"/>
      <c r="L2075" s="169">
        <v>45062</v>
      </c>
      <c r="M2075" s="116">
        <v>242.85</v>
      </c>
      <c r="N2075" s="116">
        <v>248</v>
      </c>
      <c r="O2075" s="116">
        <v>241.05</v>
      </c>
      <c r="P2075" s="116">
        <v>244.95</v>
      </c>
      <c r="Q2075" s="116">
        <v>242.85</v>
      </c>
      <c r="R2075">
        <v>8583</v>
      </c>
    </row>
    <row r="2076" spans="1:18" x14ac:dyDescent="0.25">
      <c r="A2076" s="169">
        <v>45096</v>
      </c>
      <c r="B2076" s="116">
        <v>323.3</v>
      </c>
      <c r="C2076" s="116">
        <v>308.55</v>
      </c>
      <c r="D2076" s="116">
        <v>300</v>
      </c>
      <c r="E2076" s="116">
        <v>320.8</v>
      </c>
      <c r="F2076" s="116">
        <v>308.55</v>
      </c>
      <c r="G2076">
        <v>24638</v>
      </c>
      <c r="H2076" s="116"/>
      <c r="I2076" s="116"/>
      <c r="L2076" s="169">
        <v>45063</v>
      </c>
      <c r="M2076" s="116">
        <v>238.75</v>
      </c>
      <c r="N2076" s="116">
        <v>245.35</v>
      </c>
      <c r="O2076" s="116">
        <v>236.05</v>
      </c>
      <c r="P2076" s="116">
        <v>242.65</v>
      </c>
      <c r="Q2076" s="116">
        <v>238.75</v>
      </c>
      <c r="R2076">
        <v>10666</v>
      </c>
    </row>
    <row r="2077" spans="1:18" x14ac:dyDescent="0.25">
      <c r="A2077" s="169">
        <v>45097</v>
      </c>
      <c r="B2077" s="116">
        <v>317.89999999999998</v>
      </c>
      <c r="C2077" s="116">
        <v>314.8</v>
      </c>
      <c r="D2077" s="116">
        <v>307.60000000000002</v>
      </c>
      <c r="E2077" s="116">
        <v>307.60000000000002</v>
      </c>
      <c r="F2077" s="116">
        <v>314.8</v>
      </c>
      <c r="G2077">
        <v>13018</v>
      </c>
      <c r="H2077" s="116"/>
      <c r="I2077" s="116"/>
      <c r="L2077" s="169">
        <v>45064</v>
      </c>
      <c r="M2077" s="116">
        <v>236.25</v>
      </c>
      <c r="N2077" s="116">
        <v>242.95</v>
      </c>
      <c r="O2077" s="116">
        <v>236</v>
      </c>
      <c r="P2077" s="116">
        <v>239.15</v>
      </c>
      <c r="Q2077" s="116">
        <v>236.25</v>
      </c>
      <c r="R2077">
        <v>6592</v>
      </c>
    </row>
    <row r="2078" spans="1:18" x14ac:dyDescent="0.25">
      <c r="A2078" s="169">
        <v>45098</v>
      </c>
      <c r="B2078" s="116">
        <v>321.89999999999998</v>
      </c>
      <c r="C2078" s="116">
        <v>308.25</v>
      </c>
      <c r="D2078" s="116">
        <v>304.45</v>
      </c>
      <c r="E2078" s="116">
        <v>321.89999999999998</v>
      </c>
      <c r="F2078" s="116">
        <v>308.25</v>
      </c>
      <c r="G2078">
        <v>5992</v>
      </c>
      <c r="H2078" s="116"/>
      <c r="I2078" s="116"/>
      <c r="L2078" s="169">
        <v>45065</v>
      </c>
      <c r="M2078" s="116">
        <v>231.65</v>
      </c>
      <c r="N2078" s="116">
        <v>239.15</v>
      </c>
      <c r="O2078" s="116">
        <v>229.05</v>
      </c>
      <c r="P2078" s="116">
        <v>236.25</v>
      </c>
      <c r="Q2078" s="116">
        <v>231.65</v>
      </c>
      <c r="R2078">
        <v>22505</v>
      </c>
    </row>
    <row r="2079" spans="1:18" x14ac:dyDescent="0.25">
      <c r="A2079" s="169">
        <v>45099</v>
      </c>
      <c r="B2079" s="116">
        <v>314.75</v>
      </c>
      <c r="C2079" s="116">
        <v>303.55</v>
      </c>
      <c r="D2079" s="116">
        <v>298</v>
      </c>
      <c r="E2079" s="116">
        <v>305.95</v>
      </c>
      <c r="F2079" s="116">
        <v>303.55</v>
      </c>
      <c r="G2079">
        <v>11949</v>
      </c>
      <c r="H2079" s="116"/>
      <c r="I2079" s="116"/>
      <c r="L2079" s="169">
        <v>45068</v>
      </c>
      <c r="M2079" s="116">
        <v>239.45</v>
      </c>
      <c r="N2079" s="116">
        <v>240.9</v>
      </c>
      <c r="O2079" s="116">
        <v>231.6</v>
      </c>
      <c r="P2079" s="116">
        <v>231.6</v>
      </c>
      <c r="Q2079" s="116">
        <v>239.45</v>
      </c>
      <c r="R2079">
        <v>13033</v>
      </c>
    </row>
    <row r="2080" spans="1:18" x14ac:dyDescent="0.25">
      <c r="A2080" s="169">
        <v>45100</v>
      </c>
      <c r="B2080" s="116">
        <v>314</v>
      </c>
      <c r="C2080" s="116">
        <v>297.2</v>
      </c>
      <c r="D2080" s="116">
        <v>296.14999999999998</v>
      </c>
      <c r="E2080" s="116">
        <v>314</v>
      </c>
      <c r="F2080" s="116">
        <v>297.2</v>
      </c>
      <c r="G2080">
        <v>11255</v>
      </c>
      <c r="H2080" s="116"/>
      <c r="I2080" s="116"/>
      <c r="L2080" s="169">
        <v>45069</v>
      </c>
      <c r="M2080" s="116">
        <v>235.45</v>
      </c>
      <c r="N2080" s="116">
        <v>242.1</v>
      </c>
      <c r="O2080" s="116">
        <v>234.2</v>
      </c>
      <c r="P2080" s="116">
        <v>241</v>
      </c>
      <c r="Q2080" s="116">
        <v>235.45</v>
      </c>
      <c r="R2080">
        <v>10578</v>
      </c>
    </row>
    <row r="2081" spans="1:18" x14ac:dyDescent="0.25">
      <c r="A2081" s="169">
        <v>45103</v>
      </c>
      <c r="B2081" s="116">
        <v>300.55</v>
      </c>
      <c r="C2081" s="116">
        <v>293.8</v>
      </c>
      <c r="D2081" s="116">
        <v>288.45</v>
      </c>
      <c r="E2081" s="116">
        <v>298.3</v>
      </c>
      <c r="F2081" s="116">
        <v>293.8</v>
      </c>
      <c r="G2081">
        <v>3332</v>
      </c>
      <c r="H2081" s="116"/>
      <c r="I2081" s="116"/>
      <c r="L2081" s="169">
        <v>45070</v>
      </c>
      <c r="M2081" s="116">
        <v>232.95</v>
      </c>
      <c r="N2081" s="116">
        <v>240.35</v>
      </c>
      <c r="O2081" s="116">
        <v>232.1</v>
      </c>
      <c r="P2081" s="116">
        <v>238.35</v>
      </c>
      <c r="Q2081" s="116">
        <v>232.95</v>
      </c>
      <c r="R2081">
        <v>4038</v>
      </c>
    </row>
    <row r="2082" spans="1:18" x14ac:dyDescent="0.25">
      <c r="A2082" s="169">
        <v>45104</v>
      </c>
      <c r="B2082" s="116">
        <v>298.75</v>
      </c>
      <c r="C2082" s="116">
        <v>292.75</v>
      </c>
      <c r="D2082" s="116">
        <v>291</v>
      </c>
      <c r="E2082" s="116">
        <v>293.8</v>
      </c>
      <c r="F2082" s="116">
        <v>292.75</v>
      </c>
      <c r="G2082">
        <v>7629</v>
      </c>
      <c r="H2082" s="116"/>
      <c r="I2082" s="116"/>
      <c r="L2082" s="169">
        <v>45071</v>
      </c>
      <c r="M2082" s="116">
        <v>236.75</v>
      </c>
      <c r="N2082" s="116">
        <v>238.8</v>
      </c>
      <c r="O2082" s="116">
        <v>230.05</v>
      </c>
      <c r="P2082" s="116">
        <v>230.05</v>
      </c>
      <c r="Q2082" s="116">
        <v>236.75</v>
      </c>
      <c r="R2082">
        <v>6267</v>
      </c>
    </row>
    <row r="2083" spans="1:18" x14ac:dyDescent="0.25">
      <c r="A2083" s="169">
        <v>45105</v>
      </c>
      <c r="B2083" s="116">
        <v>299.89999999999998</v>
      </c>
      <c r="C2083" s="116">
        <v>296.05</v>
      </c>
      <c r="D2083" s="116">
        <v>291</v>
      </c>
      <c r="E2083" s="116">
        <v>295</v>
      </c>
      <c r="F2083" s="116">
        <v>296.05</v>
      </c>
      <c r="G2083">
        <v>5993</v>
      </c>
      <c r="H2083" s="116"/>
      <c r="I2083" s="116"/>
      <c r="L2083" s="169">
        <v>45072</v>
      </c>
      <c r="M2083" s="116">
        <v>234.65</v>
      </c>
      <c r="N2083" s="116">
        <v>239.35</v>
      </c>
      <c r="O2083" s="116">
        <v>233</v>
      </c>
      <c r="P2083" s="116">
        <v>239.35</v>
      </c>
      <c r="Q2083" s="116">
        <v>234.65</v>
      </c>
      <c r="R2083">
        <v>7487</v>
      </c>
    </row>
    <row r="2084" spans="1:18" x14ac:dyDescent="0.25">
      <c r="A2084" s="169">
        <v>45107</v>
      </c>
      <c r="B2084" s="116">
        <v>310</v>
      </c>
      <c r="C2084" s="116">
        <v>300.45</v>
      </c>
      <c r="D2084" s="116">
        <v>293</v>
      </c>
      <c r="E2084" s="116">
        <v>296.3</v>
      </c>
      <c r="F2084" s="116">
        <v>300.45</v>
      </c>
      <c r="G2084">
        <v>10256</v>
      </c>
      <c r="H2084" s="116"/>
      <c r="I2084" s="116"/>
      <c r="L2084" s="169">
        <v>45075</v>
      </c>
      <c r="M2084" s="116">
        <v>232.15</v>
      </c>
      <c r="N2084" s="116">
        <v>238</v>
      </c>
      <c r="O2084" s="116">
        <v>230</v>
      </c>
      <c r="P2084" s="116">
        <v>238</v>
      </c>
      <c r="Q2084" s="116">
        <v>232.15</v>
      </c>
      <c r="R2084">
        <v>4834</v>
      </c>
    </row>
    <row r="2085" spans="1:18" x14ac:dyDescent="0.25">
      <c r="A2085" s="169">
        <v>45110</v>
      </c>
      <c r="B2085" s="116">
        <v>303.60000000000002</v>
      </c>
      <c r="C2085" s="116">
        <v>296</v>
      </c>
      <c r="D2085" s="116">
        <v>295.14999999999998</v>
      </c>
      <c r="E2085" s="116">
        <v>302</v>
      </c>
      <c r="F2085" s="116">
        <v>296</v>
      </c>
      <c r="G2085">
        <v>4073</v>
      </c>
      <c r="H2085" s="116"/>
      <c r="I2085" s="116"/>
      <c r="L2085" s="169">
        <v>45076</v>
      </c>
      <c r="M2085" s="116">
        <v>232.15</v>
      </c>
      <c r="N2085" s="116">
        <v>237.8</v>
      </c>
      <c r="O2085" s="116">
        <v>226.6</v>
      </c>
      <c r="P2085" s="116">
        <v>234.9</v>
      </c>
      <c r="Q2085" s="116">
        <v>232.15</v>
      </c>
      <c r="R2085">
        <v>8092</v>
      </c>
    </row>
    <row r="2086" spans="1:18" x14ac:dyDescent="0.25">
      <c r="A2086" s="169">
        <v>45111</v>
      </c>
      <c r="B2086" s="116">
        <v>296.14999999999998</v>
      </c>
      <c r="C2086" s="116">
        <v>294.14999999999998</v>
      </c>
      <c r="D2086" s="116">
        <v>290.25</v>
      </c>
      <c r="E2086" s="116">
        <v>294</v>
      </c>
      <c r="F2086" s="116">
        <v>294.14999999999998</v>
      </c>
      <c r="G2086">
        <v>3226</v>
      </c>
      <c r="H2086" s="116"/>
      <c r="I2086" s="116"/>
      <c r="L2086" s="169">
        <v>45077</v>
      </c>
      <c r="M2086" s="116">
        <v>232.45</v>
      </c>
      <c r="N2086" s="116">
        <v>234.5</v>
      </c>
      <c r="O2086" s="116">
        <v>228.6</v>
      </c>
      <c r="P2086" s="116">
        <v>230.05</v>
      </c>
      <c r="Q2086" s="116">
        <v>232.45</v>
      </c>
      <c r="R2086">
        <v>4606</v>
      </c>
    </row>
    <row r="2087" spans="1:18" x14ac:dyDescent="0.25">
      <c r="A2087" s="169">
        <v>45112</v>
      </c>
      <c r="B2087" s="116">
        <v>324.5</v>
      </c>
      <c r="C2087" s="116">
        <v>317.64999999999998</v>
      </c>
      <c r="D2087" s="116">
        <v>292.05</v>
      </c>
      <c r="E2087" s="116">
        <v>293.95</v>
      </c>
      <c r="F2087" s="116">
        <v>317.64999999999998</v>
      </c>
      <c r="G2087">
        <v>25122</v>
      </c>
      <c r="H2087" s="116"/>
      <c r="I2087" s="116"/>
      <c r="L2087" s="169">
        <v>45078</v>
      </c>
      <c r="M2087" s="116">
        <v>233.3</v>
      </c>
      <c r="N2087" s="116">
        <v>234.45</v>
      </c>
      <c r="O2087" s="116">
        <v>230.15</v>
      </c>
      <c r="P2087" s="116">
        <v>233.9</v>
      </c>
      <c r="Q2087" s="116">
        <v>233.3</v>
      </c>
      <c r="R2087">
        <v>6156</v>
      </c>
    </row>
    <row r="2088" spans="1:18" x14ac:dyDescent="0.25">
      <c r="A2088" s="169">
        <v>45113</v>
      </c>
      <c r="B2088" s="116">
        <v>321.2</v>
      </c>
      <c r="C2088" s="116">
        <v>315.10000000000002</v>
      </c>
      <c r="D2088" s="116">
        <v>311.95</v>
      </c>
      <c r="E2088" s="116">
        <v>312.05</v>
      </c>
      <c r="F2088" s="116">
        <v>315.10000000000002</v>
      </c>
      <c r="G2088">
        <v>8113</v>
      </c>
      <c r="H2088" s="116"/>
      <c r="I2088" s="116"/>
      <c r="L2088" s="169">
        <v>45079</v>
      </c>
      <c r="M2088" s="116">
        <v>232.25</v>
      </c>
      <c r="N2088" s="116">
        <v>241.45</v>
      </c>
      <c r="O2088" s="116">
        <v>230.4</v>
      </c>
      <c r="P2088" s="116">
        <v>234.85</v>
      </c>
      <c r="Q2088" s="116">
        <v>232.25</v>
      </c>
      <c r="R2088">
        <v>8045</v>
      </c>
    </row>
    <row r="2089" spans="1:18" x14ac:dyDescent="0.25">
      <c r="A2089" s="169">
        <v>45114</v>
      </c>
      <c r="B2089" s="116">
        <v>319.45</v>
      </c>
      <c r="C2089" s="116">
        <v>308.25</v>
      </c>
      <c r="D2089" s="116">
        <v>305.55</v>
      </c>
      <c r="E2089" s="116">
        <v>313.35000000000002</v>
      </c>
      <c r="F2089" s="116">
        <v>308.25</v>
      </c>
      <c r="G2089">
        <v>10812</v>
      </c>
      <c r="H2089" s="116"/>
      <c r="I2089" s="116"/>
      <c r="L2089" s="169">
        <v>45082</v>
      </c>
      <c r="M2089" s="116">
        <v>240.35</v>
      </c>
      <c r="N2089" s="116">
        <v>241</v>
      </c>
      <c r="O2089" s="116">
        <v>231.25</v>
      </c>
      <c r="P2089" s="116">
        <v>233</v>
      </c>
      <c r="Q2089" s="116">
        <v>240.35</v>
      </c>
      <c r="R2089">
        <v>17773</v>
      </c>
    </row>
    <row r="2090" spans="1:18" x14ac:dyDescent="0.25">
      <c r="A2090" s="169">
        <v>45117</v>
      </c>
      <c r="B2090" s="116">
        <v>310.2</v>
      </c>
      <c r="C2090" s="116">
        <v>300.2</v>
      </c>
      <c r="D2090" s="116">
        <v>297.89999999999998</v>
      </c>
      <c r="E2090" s="116">
        <v>310.2</v>
      </c>
      <c r="F2090" s="116">
        <v>300.2</v>
      </c>
      <c r="G2090">
        <v>7276</v>
      </c>
      <c r="H2090" s="116"/>
      <c r="I2090" s="116"/>
      <c r="L2090" s="169">
        <v>45083</v>
      </c>
      <c r="M2090" s="116">
        <v>248.95</v>
      </c>
      <c r="N2090" s="116">
        <v>251.4</v>
      </c>
      <c r="O2090" s="116">
        <v>240.95</v>
      </c>
      <c r="P2090" s="116">
        <v>244</v>
      </c>
      <c r="Q2090" s="116">
        <v>248.95</v>
      </c>
      <c r="R2090">
        <v>46506</v>
      </c>
    </row>
    <row r="2091" spans="1:18" x14ac:dyDescent="0.25">
      <c r="A2091" s="169">
        <v>45118</v>
      </c>
      <c r="B2091" s="116">
        <v>308.8</v>
      </c>
      <c r="C2091" s="116">
        <v>302.25</v>
      </c>
      <c r="D2091" s="116">
        <v>294.2</v>
      </c>
      <c r="E2091" s="116">
        <v>295</v>
      </c>
      <c r="F2091" s="116">
        <v>302.25</v>
      </c>
      <c r="G2091">
        <v>4623</v>
      </c>
      <c r="H2091" s="116"/>
      <c r="I2091" s="116"/>
      <c r="L2091" s="169">
        <v>45084</v>
      </c>
      <c r="M2091" s="116">
        <v>277.05</v>
      </c>
      <c r="N2091" s="116">
        <v>298.7</v>
      </c>
      <c r="O2091" s="116">
        <v>250.5</v>
      </c>
      <c r="P2091" s="116">
        <v>251</v>
      </c>
      <c r="Q2091" s="116">
        <v>277.05</v>
      </c>
      <c r="R2091">
        <v>909432</v>
      </c>
    </row>
    <row r="2092" spans="1:18" x14ac:dyDescent="0.25">
      <c r="A2092" s="169">
        <v>45119</v>
      </c>
      <c r="B2092" s="116">
        <v>305.8</v>
      </c>
      <c r="C2092" s="116">
        <v>294.75</v>
      </c>
      <c r="D2092" s="116">
        <v>292.2</v>
      </c>
      <c r="E2092" s="116">
        <v>305.8</v>
      </c>
      <c r="F2092" s="116">
        <v>294.75</v>
      </c>
      <c r="G2092">
        <v>3794</v>
      </c>
      <c r="H2092" s="116"/>
      <c r="I2092" s="116"/>
      <c r="L2092" s="169">
        <v>45085</v>
      </c>
      <c r="M2092" s="116">
        <v>282.60000000000002</v>
      </c>
      <c r="N2092" s="116">
        <v>285.45</v>
      </c>
      <c r="O2092" s="116">
        <v>275</v>
      </c>
      <c r="P2092" s="116">
        <v>277.60000000000002</v>
      </c>
      <c r="Q2092" s="116">
        <v>282.60000000000002</v>
      </c>
      <c r="R2092">
        <v>103875</v>
      </c>
    </row>
    <row r="2093" spans="1:18" x14ac:dyDescent="0.25">
      <c r="A2093" s="169">
        <v>45120</v>
      </c>
      <c r="B2093" s="116">
        <v>304.64999999999998</v>
      </c>
      <c r="C2093" s="116">
        <v>295.25</v>
      </c>
      <c r="D2093" s="116">
        <v>294.05</v>
      </c>
      <c r="E2093" s="116">
        <v>295</v>
      </c>
      <c r="F2093" s="116">
        <v>295.25</v>
      </c>
      <c r="G2093">
        <v>4214</v>
      </c>
      <c r="H2093" s="116"/>
      <c r="I2093" s="116"/>
      <c r="L2093" s="169">
        <v>45086</v>
      </c>
      <c r="M2093" s="116">
        <v>282.10000000000002</v>
      </c>
      <c r="N2093" s="116">
        <v>285.89999999999998</v>
      </c>
      <c r="O2093" s="116">
        <v>277.7</v>
      </c>
      <c r="P2093" s="116">
        <v>281.85000000000002</v>
      </c>
      <c r="Q2093" s="116">
        <v>282.10000000000002</v>
      </c>
      <c r="R2093">
        <v>41014</v>
      </c>
    </row>
    <row r="2094" spans="1:18" x14ac:dyDescent="0.25">
      <c r="A2094" s="169">
        <v>45121</v>
      </c>
      <c r="B2094" s="116">
        <v>314.8</v>
      </c>
      <c r="C2094" s="116">
        <v>305.5</v>
      </c>
      <c r="D2094" s="116">
        <v>295.14999999999998</v>
      </c>
      <c r="E2094" s="116">
        <v>297.55</v>
      </c>
      <c r="F2094" s="116">
        <v>305.5</v>
      </c>
      <c r="G2094">
        <v>9093</v>
      </c>
      <c r="H2094" s="116"/>
      <c r="I2094" s="116"/>
      <c r="L2094" s="169">
        <v>45089</v>
      </c>
      <c r="M2094" s="116">
        <v>272.75</v>
      </c>
      <c r="N2094" s="116">
        <v>283.85000000000002</v>
      </c>
      <c r="O2094" s="116">
        <v>272</v>
      </c>
      <c r="P2094" s="116">
        <v>283.85000000000002</v>
      </c>
      <c r="Q2094" s="116">
        <v>272.75</v>
      </c>
      <c r="R2094">
        <v>33367</v>
      </c>
    </row>
    <row r="2095" spans="1:18" x14ac:dyDescent="0.25">
      <c r="A2095" s="169">
        <v>45124</v>
      </c>
      <c r="B2095" s="116">
        <v>314.64999999999998</v>
      </c>
      <c r="C2095" s="116">
        <v>306.35000000000002</v>
      </c>
      <c r="D2095" s="116">
        <v>304.7</v>
      </c>
      <c r="E2095" s="116">
        <v>308.5</v>
      </c>
      <c r="F2095" s="116">
        <v>306.35000000000002</v>
      </c>
      <c r="G2095">
        <v>6386</v>
      </c>
      <c r="H2095" s="116"/>
      <c r="I2095" s="116"/>
      <c r="L2095" s="169">
        <v>45090</v>
      </c>
      <c r="M2095" s="116">
        <v>284.05</v>
      </c>
      <c r="N2095" s="116">
        <v>288</v>
      </c>
      <c r="O2095" s="116">
        <v>274.89999999999998</v>
      </c>
      <c r="P2095" s="116">
        <v>274.89999999999998</v>
      </c>
      <c r="Q2095" s="116">
        <v>284.05</v>
      </c>
      <c r="R2095">
        <v>83289</v>
      </c>
    </row>
    <row r="2096" spans="1:18" x14ac:dyDescent="0.25">
      <c r="A2096" s="169">
        <v>45125</v>
      </c>
      <c r="B2096" s="116">
        <v>308.64999999999998</v>
      </c>
      <c r="C2096" s="116">
        <v>300</v>
      </c>
      <c r="D2096" s="116">
        <v>294.95</v>
      </c>
      <c r="E2096" s="116">
        <v>307</v>
      </c>
      <c r="F2096" s="116">
        <v>300</v>
      </c>
      <c r="G2096">
        <v>7588</v>
      </c>
      <c r="H2096" s="116"/>
      <c r="I2096" s="116"/>
      <c r="L2096" s="169">
        <v>45091</v>
      </c>
      <c r="M2096" s="116">
        <v>334.15</v>
      </c>
      <c r="N2096" s="116">
        <v>340</v>
      </c>
      <c r="O2096" s="116">
        <v>270.2</v>
      </c>
      <c r="P2096" s="116">
        <v>286.85000000000002</v>
      </c>
      <c r="Q2096" s="116">
        <v>334.15</v>
      </c>
      <c r="R2096">
        <v>1166665</v>
      </c>
    </row>
    <row r="2097" spans="1:18" x14ac:dyDescent="0.25">
      <c r="A2097" s="169">
        <v>45126</v>
      </c>
      <c r="B2097" s="116">
        <v>332.05</v>
      </c>
      <c r="C2097" s="116">
        <v>319.25</v>
      </c>
      <c r="D2097" s="116">
        <v>294.39999999999998</v>
      </c>
      <c r="E2097" s="116">
        <v>300.10000000000002</v>
      </c>
      <c r="F2097" s="116">
        <v>319.25</v>
      </c>
      <c r="G2097">
        <v>46306</v>
      </c>
      <c r="H2097" s="116"/>
      <c r="I2097" s="116"/>
      <c r="L2097" s="169">
        <v>45092</v>
      </c>
      <c r="M2097" s="116">
        <v>322.10000000000002</v>
      </c>
      <c r="N2097" s="116">
        <v>344.4</v>
      </c>
      <c r="O2097" s="116">
        <v>320</v>
      </c>
      <c r="P2097" s="116">
        <v>340</v>
      </c>
      <c r="Q2097" s="116">
        <v>322.10000000000002</v>
      </c>
      <c r="R2097">
        <v>633453</v>
      </c>
    </row>
    <row r="2098" spans="1:18" x14ac:dyDescent="0.25">
      <c r="A2098" s="169">
        <v>45127</v>
      </c>
      <c r="B2098" s="116">
        <v>340</v>
      </c>
      <c r="C2098" s="116">
        <v>336</v>
      </c>
      <c r="D2098" s="116">
        <v>325</v>
      </c>
      <c r="E2098" s="116">
        <v>325</v>
      </c>
      <c r="F2098" s="116">
        <v>336</v>
      </c>
      <c r="G2098">
        <v>67651</v>
      </c>
      <c r="H2098" s="116"/>
      <c r="I2098" s="116"/>
      <c r="L2098" s="169">
        <v>45093</v>
      </c>
      <c r="M2098" s="116">
        <v>316.14999999999998</v>
      </c>
      <c r="N2098" s="116">
        <v>330.15</v>
      </c>
      <c r="O2098" s="116">
        <v>315</v>
      </c>
      <c r="P2098" s="116">
        <v>324.39999999999998</v>
      </c>
      <c r="Q2098" s="116">
        <v>316.14999999999998</v>
      </c>
      <c r="R2098">
        <v>129522</v>
      </c>
    </row>
    <row r="2099" spans="1:18" x14ac:dyDescent="0.25">
      <c r="A2099" s="169">
        <v>45128</v>
      </c>
      <c r="B2099" s="116">
        <v>354.45</v>
      </c>
      <c r="C2099" s="116">
        <v>333.95</v>
      </c>
      <c r="D2099" s="116">
        <v>332.15</v>
      </c>
      <c r="E2099" s="116">
        <v>333.05</v>
      </c>
      <c r="F2099" s="116">
        <v>333.95</v>
      </c>
      <c r="G2099">
        <v>41814</v>
      </c>
      <c r="H2099" s="116"/>
      <c r="I2099" s="116"/>
      <c r="L2099" s="169">
        <v>45096</v>
      </c>
      <c r="M2099" s="116">
        <v>308.2</v>
      </c>
      <c r="N2099" s="116">
        <v>324</v>
      </c>
      <c r="O2099" s="116">
        <v>301.05</v>
      </c>
      <c r="P2099" s="116">
        <v>319</v>
      </c>
      <c r="Q2099" s="116">
        <v>308.2</v>
      </c>
      <c r="R2099">
        <v>122684</v>
      </c>
    </row>
    <row r="2100" spans="1:18" x14ac:dyDescent="0.25">
      <c r="A2100" s="169">
        <v>45131</v>
      </c>
      <c r="B2100" s="116">
        <v>336.5</v>
      </c>
      <c r="C2100" s="116">
        <v>325.10000000000002</v>
      </c>
      <c r="D2100" s="116">
        <v>322.60000000000002</v>
      </c>
      <c r="E2100" s="116">
        <v>336.5</v>
      </c>
      <c r="F2100" s="116">
        <v>325.10000000000002</v>
      </c>
      <c r="G2100">
        <v>16245</v>
      </c>
      <c r="H2100" s="116"/>
      <c r="I2100" s="116"/>
      <c r="L2100" s="169">
        <v>45097</v>
      </c>
      <c r="M2100" s="116">
        <v>314.89999999999998</v>
      </c>
      <c r="N2100" s="116">
        <v>317.55</v>
      </c>
      <c r="O2100" s="116">
        <v>306.75</v>
      </c>
      <c r="P2100" s="116">
        <v>307</v>
      </c>
      <c r="Q2100" s="116">
        <v>314.89999999999998</v>
      </c>
      <c r="R2100">
        <v>73201</v>
      </c>
    </row>
    <row r="2101" spans="1:18" x14ac:dyDescent="0.25">
      <c r="A2101" s="169">
        <v>45132</v>
      </c>
      <c r="B2101" s="116">
        <v>336</v>
      </c>
      <c r="C2101" s="116">
        <v>326.60000000000002</v>
      </c>
      <c r="D2101" s="116">
        <v>325.60000000000002</v>
      </c>
      <c r="E2101" s="116">
        <v>327</v>
      </c>
      <c r="F2101" s="116">
        <v>326.60000000000002</v>
      </c>
      <c r="G2101">
        <v>11013</v>
      </c>
      <c r="H2101" s="116"/>
      <c r="I2101" s="116"/>
      <c r="L2101" s="169">
        <v>45098</v>
      </c>
      <c r="M2101" s="116">
        <v>306.8</v>
      </c>
      <c r="N2101" s="116">
        <v>321.64999999999998</v>
      </c>
      <c r="O2101" s="116">
        <v>304.05</v>
      </c>
      <c r="P2101" s="116">
        <v>321</v>
      </c>
      <c r="Q2101" s="116">
        <v>306.8</v>
      </c>
      <c r="R2101">
        <v>100339</v>
      </c>
    </row>
    <row r="2102" spans="1:18" x14ac:dyDescent="0.25">
      <c r="A2102" s="169">
        <v>45133</v>
      </c>
      <c r="B2102" s="116">
        <v>331.95</v>
      </c>
      <c r="C2102" s="116">
        <v>324.85000000000002</v>
      </c>
      <c r="D2102" s="116">
        <v>323</v>
      </c>
      <c r="E2102" s="116">
        <v>331.95</v>
      </c>
      <c r="F2102" s="116">
        <v>324.85000000000002</v>
      </c>
      <c r="G2102">
        <v>4930</v>
      </c>
      <c r="H2102" s="116"/>
      <c r="I2102" s="116"/>
      <c r="L2102" s="169">
        <v>45099</v>
      </c>
      <c r="M2102" s="116">
        <v>302.45</v>
      </c>
      <c r="N2102" s="116">
        <v>311.14999999999998</v>
      </c>
      <c r="O2102" s="116">
        <v>298</v>
      </c>
      <c r="P2102" s="116">
        <v>308</v>
      </c>
      <c r="Q2102" s="116">
        <v>302.45</v>
      </c>
      <c r="R2102">
        <v>75109</v>
      </c>
    </row>
    <row r="2103" spans="1:18" x14ac:dyDescent="0.25">
      <c r="A2103" s="169">
        <v>45134</v>
      </c>
      <c r="B2103" s="116">
        <v>328.85</v>
      </c>
      <c r="C2103" s="116">
        <v>318.25</v>
      </c>
      <c r="D2103" s="116">
        <v>315.55</v>
      </c>
      <c r="E2103" s="116">
        <v>324.5</v>
      </c>
      <c r="F2103" s="116">
        <v>318.25</v>
      </c>
      <c r="G2103">
        <v>12657</v>
      </c>
      <c r="H2103" s="116"/>
      <c r="I2103" s="116"/>
      <c r="L2103" s="169">
        <v>45100</v>
      </c>
      <c r="M2103" s="116">
        <v>297.60000000000002</v>
      </c>
      <c r="N2103" s="116">
        <v>305</v>
      </c>
      <c r="O2103" s="116">
        <v>296</v>
      </c>
      <c r="P2103" s="116">
        <v>300</v>
      </c>
      <c r="Q2103" s="116">
        <v>297.60000000000002</v>
      </c>
      <c r="R2103">
        <v>50484</v>
      </c>
    </row>
    <row r="2104" spans="1:18" x14ac:dyDescent="0.25">
      <c r="A2104" s="169">
        <v>45135</v>
      </c>
      <c r="B2104" s="116">
        <v>329</v>
      </c>
      <c r="C2104" s="116">
        <v>327.45</v>
      </c>
      <c r="D2104" s="116">
        <v>317</v>
      </c>
      <c r="E2104" s="116">
        <v>318</v>
      </c>
      <c r="F2104" s="116">
        <v>327.45</v>
      </c>
      <c r="G2104">
        <v>10352</v>
      </c>
      <c r="H2104" s="116"/>
      <c r="I2104" s="116"/>
      <c r="L2104" s="169">
        <v>45103</v>
      </c>
      <c r="M2104" s="116">
        <v>293.60000000000002</v>
      </c>
      <c r="N2104" s="116">
        <v>301.45</v>
      </c>
      <c r="O2104" s="116">
        <v>288.8</v>
      </c>
      <c r="P2104" s="116">
        <v>297.60000000000002</v>
      </c>
      <c r="Q2104" s="116">
        <v>293.60000000000002</v>
      </c>
      <c r="R2104">
        <v>60699</v>
      </c>
    </row>
    <row r="2105" spans="1:18" x14ac:dyDescent="0.25">
      <c r="A2105" s="169">
        <v>45138</v>
      </c>
      <c r="B2105" s="116">
        <v>335</v>
      </c>
      <c r="C2105" s="116">
        <v>325.75</v>
      </c>
      <c r="D2105" s="116">
        <v>324</v>
      </c>
      <c r="E2105" s="116">
        <v>335</v>
      </c>
      <c r="F2105" s="116">
        <v>325.75</v>
      </c>
      <c r="G2105">
        <v>7758</v>
      </c>
      <c r="H2105" s="116"/>
      <c r="I2105" s="116"/>
      <c r="L2105" s="169">
        <v>45104</v>
      </c>
      <c r="M2105" s="116">
        <v>293.7</v>
      </c>
      <c r="N2105" s="116">
        <v>299</v>
      </c>
      <c r="O2105" s="116">
        <v>292.25</v>
      </c>
      <c r="P2105" s="116">
        <v>294.14999999999998</v>
      </c>
      <c r="Q2105" s="116">
        <v>293.7</v>
      </c>
      <c r="R2105">
        <v>46235</v>
      </c>
    </row>
    <row r="2106" spans="1:18" x14ac:dyDescent="0.25">
      <c r="A2106" s="169">
        <v>45139</v>
      </c>
      <c r="B2106" s="116">
        <v>344.2</v>
      </c>
      <c r="C2106" s="116">
        <v>340.65</v>
      </c>
      <c r="D2106" s="116">
        <v>320</v>
      </c>
      <c r="E2106" s="116">
        <v>320</v>
      </c>
      <c r="F2106" s="116">
        <v>340.65</v>
      </c>
      <c r="G2106">
        <v>10339</v>
      </c>
      <c r="H2106" s="116"/>
      <c r="I2106" s="116"/>
      <c r="L2106" s="169">
        <v>45105</v>
      </c>
      <c r="M2106" s="116">
        <v>295.05</v>
      </c>
      <c r="N2106" s="116">
        <v>300.14999999999998</v>
      </c>
      <c r="O2106" s="116">
        <v>291.89999999999998</v>
      </c>
      <c r="P2106" s="116">
        <v>295.75</v>
      </c>
      <c r="Q2106" s="116">
        <v>295.05</v>
      </c>
      <c r="R2106">
        <v>60952</v>
      </c>
    </row>
    <row r="2107" spans="1:18" x14ac:dyDescent="0.25">
      <c r="A2107" s="169">
        <v>45140</v>
      </c>
      <c r="B2107" s="116">
        <v>340.4</v>
      </c>
      <c r="C2107" s="116">
        <v>327.7</v>
      </c>
      <c r="D2107" s="116">
        <v>315.95</v>
      </c>
      <c r="E2107" s="116">
        <v>338.75</v>
      </c>
      <c r="F2107" s="116">
        <v>327.7</v>
      </c>
      <c r="G2107">
        <v>6319</v>
      </c>
      <c r="H2107" s="116"/>
      <c r="I2107" s="116"/>
      <c r="L2107" s="169">
        <v>45107</v>
      </c>
      <c r="M2107" s="116">
        <v>300.85000000000002</v>
      </c>
      <c r="N2107" s="116">
        <v>310</v>
      </c>
      <c r="O2107" s="116">
        <v>293.45</v>
      </c>
      <c r="P2107" s="116">
        <v>299.89999999999998</v>
      </c>
      <c r="Q2107" s="116">
        <v>300.85000000000002</v>
      </c>
      <c r="R2107">
        <v>113135</v>
      </c>
    </row>
    <row r="2108" spans="1:18" x14ac:dyDescent="0.25">
      <c r="A2108" s="169">
        <v>45141</v>
      </c>
      <c r="B2108" s="116">
        <v>339.65</v>
      </c>
      <c r="C2108" s="116">
        <v>330.55</v>
      </c>
      <c r="D2108" s="116">
        <v>318.64999999999998</v>
      </c>
      <c r="E2108" s="116">
        <v>330</v>
      </c>
      <c r="F2108" s="116">
        <v>330.55</v>
      </c>
      <c r="G2108">
        <v>7621</v>
      </c>
      <c r="H2108" s="116"/>
      <c r="I2108" s="116"/>
      <c r="L2108" s="169">
        <v>45110</v>
      </c>
      <c r="M2108" s="116">
        <v>295.89999999999998</v>
      </c>
      <c r="N2108" s="116">
        <v>303.95</v>
      </c>
      <c r="O2108" s="116">
        <v>295.3</v>
      </c>
      <c r="P2108" s="116">
        <v>300.85000000000002</v>
      </c>
      <c r="Q2108" s="116">
        <v>295.89999999999998</v>
      </c>
      <c r="R2108">
        <v>49178</v>
      </c>
    </row>
    <row r="2109" spans="1:18" x14ac:dyDescent="0.25">
      <c r="A2109" s="169">
        <v>45142</v>
      </c>
      <c r="B2109" s="116">
        <v>333.6</v>
      </c>
      <c r="C2109" s="116">
        <v>325.95</v>
      </c>
      <c r="D2109" s="116">
        <v>324</v>
      </c>
      <c r="E2109" s="116">
        <v>325</v>
      </c>
      <c r="F2109" s="116">
        <v>325.95</v>
      </c>
      <c r="G2109">
        <v>5601</v>
      </c>
      <c r="H2109" s="116"/>
      <c r="I2109" s="116"/>
      <c r="L2109" s="169">
        <v>45111</v>
      </c>
      <c r="M2109" s="116">
        <v>294.45</v>
      </c>
      <c r="N2109" s="116">
        <v>298</v>
      </c>
      <c r="O2109" s="116">
        <v>290.35000000000002</v>
      </c>
      <c r="P2109" s="116">
        <v>298</v>
      </c>
      <c r="Q2109" s="116">
        <v>294.45</v>
      </c>
      <c r="R2109">
        <v>38885</v>
      </c>
    </row>
    <row r="2110" spans="1:18" x14ac:dyDescent="0.25">
      <c r="A2110" s="169">
        <v>45145</v>
      </c>
      <c r="B2110" s="116">
        <v>335.35</v>
      </c>
      <c r="C2110" s="116">
        <v>328.9</v>
      </c>
      <c r="D2110" s="116">
        <v>320.55</v>
      </c>
      <c r="E2110" s="116">
        <v>320.55</v>
      </c>
      <c r="F2110" s="116">
        <v>328.9</v>
      </c>
      <c r="G2110">
        <v>6884</v>
      </c>
      <c r="H2110" s="116"/>
      <c r="I2110" s="116"/>
      <c r="L2110" s="169">
        <v>45112</v>
      </c>
      <c r="M2110" s="116">
        <v>316.35000000000002</v>
      </c>
      <c r="N2110" s="116">
        <v>324.89999999999998</v>
      </c>
      <c r="O2110" s="116">
        <v>292.2</v>
      </c>
      <c r="P2110" s="116">
        <v>296.45</v>
      </c>
      <c r="Q2110" s="116">
        <v>316.35000000000002</v>
      </c>
      <c r="R2110">
        <v>318235</v>
      </c>
    </row>
    <row r="2111" spans="1:18" x14ac:dyDescent="0.25">
      <c r="A2111" s="169">
        <v>45146</v>
      </c>
      <c r="B2111" s="116">
        <v>345.65</v>
      </c>
      <c r="C2111" s="116">
        <v>340.9</v>
      </c>
      <c r="D2111" s="116">
        <v>328</v>
      </c>
      <c r="E2111" s="116">
        <v>334.95</v>
      </c>
      <c r="F2111" s="116">
        <v>340.9</v>
      </c>
      <c r="G2111">
        <v>25495</v>
      </c>
      <c r="H2111" s="116"/>
      <c r="I2111" s="116"/>
      <c r="L2111" s="169">
        <v>45113</v>
      </c>
      <c r="M2111" s="116">
        <v>314.95</v>
      </c>
      <c r="N2111" s="116">
        <v>321</v>
      </c>
      <c r="O2111" s="116">
        <v>311.7</v>
      </c>
      <c r="P2111" s="116">
        <v>316.35000000000002</v>
      </c>
      <c r="Q2111" s="116">
        <v>314.95</v>
      </c>
      <c r="R2111">
        <v>77720</v>
      </c>
    </row>
    <row r="2112" spans="1:18" x14ac:dyDescent="0.25">
      <c r="A2112" s="169">
        <v>45147</v>
      </c>
      <c r="B2112" s="116">
        <v>393.3</v>
      </c>
      <c r="C2112" s="116">
        <v>387.5</v>
      </c>
      <c r="D2112" s="116">
        <v>348</v>
      </c>
      <c r="E2112" s="116">
        <v>350.95</v>
      </c>
      <c r="F2112" s="116">
        <v>387.5</v>
      </c>
      <c r="G2112">
        <v>52124</v>
      </c>
      <c r="H2112" s="116"/>
      <c r="I2112" s="116"/>
      <c r="L2112" s="169">
        <v>45114</v>
      </c>
      <c r="M2112" s="116">
        <v>308.14999999999998</v>
      </c>
      <c r="N2112" s="116">
        <v>319.89999999999998</v>
      </c>
      <c r="O2112" s="116">
        <v>306</v>
      </c>
      <c r="P2112" s="116">
        <v>314.89999999999998</v>
      </c>
      <c r="Q2112" s="116">
        <v>308.14999999999998</v>
      </c>
      <c r="R2112">
        <v>78593</v>
      </c>
    </row>
    <row r="2113" spans="1:18" x14ac:dyDescent="0.25">
      <c r="A2113" s="169">
        <v>45148</v>
      </c>
      <c r="B2113" s="116">
        <v>392.95</v>
      </c>
      <c r="C2113" s="116">
        <v>359.9</v>
      </c>
      <c r="D2113" s="116">
        <v>358</v>
      </c>
      <c r="E2113" s="116">
        <v>392.95</v>
      </c>
      <c r="F2113" s="116">
        <v>359.9</v>
      </c>
      <c r="G2113">
        <v>33661</v>
      </c>
      <c r="H2113" s="116"/>
      <c r="I2113" s="116"/>
      <c r="L2113" s="169">
        <v>45117</v>
      </c>
      <c r="M2113" s="116">
        <v>299.89999999999998</v>
      </c>
      <c r="N2113" s="116">
        <v>310</v>
      </c>
      <c r="O2113" s="116">
        <v>298</v>
      </c>
      <c r="P2113" s="116">
        <v>310</v>
      </c>
      <c r="Q2113" s="116">
        <v>299.89999999999998</v>
      </c>
      <c r="R2113">
        <v>41172</v>
      </c>
    </row>
    <row r="2114" spans="1:18" x14ac:dyDescent="0.25">
      <c r="A2114" s="169">
        <v>45149</v>
      </c>
      <c r="B2114" s="116">
        <v>349</v>
      </c>
      <c r="C2114" s="116">
        <v>331.55</v>
      </c>
      <c r="D2114" s="116">
        <v>318</v>
      </c>
      <c r="E2114" s="116">
        <v>318</v>
      </c>
      <c r="F2114" s="116">
        <v>331.55</v>
      </c>
      <c r="G2114">
        <v>207031</v>
      </c>
      <c r="H2114" s="116"/>
      <c r="I2114" s="116"/>
      <c r="L2114" s="169">
        <v>45118</v>
      </c>
      <c r="M2114" s="116">
        <v>302.85000000000002</v>
      </c>
      <c r="N2114" s="116">
        <v>309</v>
      </c>
      <c r="O2114" s="116">
        <v>299.75</v>
      </c>
      <c r="P2114" s="116">
        <v>299.75</v>
      </c>
      <c r="Q2114" s="116">
        <v>302.85000000000002</v>
      </c>
      <c r="R2114">
        <v>39573</v>
      </c>
    </row>
    <row r="2115" spans="1:18" x14ac:dyDescent="0.25">
      <c r="A2115" s="169">
        <v>45152</v>
      </c>
      <c r="B2115" s="116">
        <v>333</v>
      </c>
      <c r="C2115" s="116">
        <v>327.2</v>
      </c>
      <c r="D2115" s="116">
        <v>320.64999999999998</v>
      </c>
      <c r="E2115" s="116">
        <v>331.8</v>
      </c>
      <c r="F2115" s="116">
        <v>327.2</v>
      </c>
      <c r="G2115">
        <v>18698</v>
      </c>
      <c r="H2115" s="116"/>
      <c r="I2115" s="116"/>
      <c r="L2115" s="169">
        <v>45119</v>
      </c>
      <c r="M2115" s="116">
        <v>295.2</v>
      </c>
      <c r="N2115" s="116">
        <v>308.7</v>
      </c>
      <c r="O2115" s="116">
        <v>292.5</v>
      </c>
      <c r="P2115" s="116">
        <v>304</v>
      </c>
      <c r="Q2115" s="116">
        <v>295.2</v>
      </c>
      <c r="R2115">
        <v>41371</v>
      </c>
    </row>
    <row r="2116" spans="1:18" x14ac:dyDescent="0.25">
      <c r="A2116" s="169">
        <v>45154</v>
      </c>
      <c r="B2116" s="116">
        <v>330</v>
      </c>
      <c r="C2116" s="116">
        <v>324</v>
      </c>
      <c r="D2116" s="116">
        <v>320</v>
      </c>
      <c r="E2116" s="116">
        <v>324.75</v>
      </c>
      <c r="F2116" s="116">
        <v>324</v>
      </c>
      <c r="G2116">
        <v>9264</v>
      </c>
      <c r="H2116" s="116"/>
      <c r="I2116" s="116"/>
      <c r="L2116" s="169">
        <v>45120</v>
      </c>
      <c r="M2116" s="116">
        <v>295.10000000000002</v>
      </c>
      <c r="N2116" s="116">
        <v>304.5</v>
      </c>
      <c r="O2116" s="116">
        <v>294</v>
      </c>
      <c r="P2116" s="116">
        <v>298</v>
      </c>
      <c r="Q2116" s="116">
        <v>295.10000000000002</v>
      </c>
      <c r="R2116">
        <v>39001</v>
      </c>
    </row>
    <row r="2117" spans="1:18" x14ac:dyDescent="0.25">
      <c r="A2117" s="169">
        <v>45155</v>
      </c>
      <c r="B2117" s="116">
        <v>327.5</v>
      </c>
      <c r="C2117" s="116">
        <v>316.64999999999998</v>
      </c>
      <c r="D2117" s="116">
        <v>312.05</v>
      </c>
      <c r="E2117" s="116">
        <v>317.55</v>
      </c>
      <c r="F2117" s="116">
        <v>316.64999999999998</v>
      </c>
      <c r="G2117">
        <v>160442</v>
      </c>
      <c r="H2117" s="116"/>
      <c r="I2117" s="116"/>
      <c r="L2117" s="169">
        <v>45121</v>
      </c>
      <c r="M2117" s="116">
        <v>304.89999999999998</v>
      </c>
      <c r="N2117" s="116">
        <v>315.39999999999998</v>
      </c>
      <c r="O2117" s="116">
        <v>295.55</v>
      </c>
      <c r="P2117" s="116">
        <v>295.89999999999998</v>
      </c>
      <c r="Q2117" s="116">
        <v>304.89999999999998</v>
      </c>
      <c r="R2117">
        <v>59914</v>
      </c>
    </row>
    <row r="2118" spans="1:18" x14ac:dyDescent="0.25">
      <c r="A2118" s="169">
        <v>45156</v>
      </c>
      <c r="B2118" s="116">
        <v>319</v>
      </c>
      <c r="C2118" s="116">
        <v>310.3</v>
      </c>
      <c r="D2118" s="116">
        <v>308</v>
      </c>
      <c r="E2118" s="116">
        <v>313.95</v>
      </c>
      <c r="F2118" s="116">
        <v>310.3</v>
      </c>
      <c r="G2118">
        <v>106433</v>
      </c>
      <c r="H2118" s="116"/>
      <c r="I2118" s="116"/>
      <c r="L2118" s="169">
        <v>45124</v>
      </c>
      <c r="M2118" s="116">
        <v>305.85000000000002</v>
      </c>
      <c r="N2118" s="116">
        <v>314.5</v>
      </c>
      <c r="O2118" s="116">
        <v>302.35000000000002</v>
      </c>
      <c r="P2118" s="116">
        <v>308.95</v>
      </c>
      <c r="Q2118" s="116">
        <v>305.85000000000002</v>
      </c>
      <c r="R2118">
        <v>45725</v>
      </c>
    </row>
    <row r="2119" spans="1:18" x14ac:dyDescent="0.25">
      <c r="A2119" s="169">
        <v>45159</v>
      </c>
      <c r="B2119" s="116">
        <v>331.15</v>
      </c>
      <c r="C2119" s="116">
        <v>328.55</v>
      </c>
      <c r="D2119" s="116">
        <v>310.89999999999998</v>
      </c>
      <c r="E2119" s="116">
        <v>311</v>
      </c>
      <c r="F2119" s="116">
        <v>328.55</v>
      </c>
      <c r="G2119">
        <v>39712</v>
      </c>
      <c r="H2119" s="116"/>
      <c r="I2119" s="116"/>
      <c r="L2119" s="169">
        <v>45125</v>
      </c>
      <c r="M2119" s="116">
        <v>299.55</v>
      </c>
      <c r="N2119" s="116">
        <v>309.35000000000002</v>
      </c>
      <c r="O2119" s="116">
        <v>294.55</v>
      </c>
      <c r="P2119" s="116">
        <v>306</v>
      </c>
      <c r="Q2119" s="116">
        <v>299.55</v>
      </c>
      <c r="R2119">
        <v>53916</v>
      </c>
    </row>
    <row r="2120" spans="1:18" x14ac:dyDescent="0.25">
      <c r="A2120" s="169">
        <v>45160</v>
      </c>
      <c r="B2120" s="116">
        <v>335</v>
      </c>
      <c r="C2120" s="116">
        <v>329.85</v>
      </c>
      <c r="D2120" s="116">
        <v>327</v>
      </c>
      <c r="E2120" s="116">
        <v>329.4</v>
      </c>
      <c r="F2120" s="116">
        <v>329.85</v>
      </c>
      <c r="G2120">
        <v>221118</v>
      </c>
      <c r="H2120" s="116"/>
      <c r="I2120" s="116"/>
      <c r="L2120" s="169">
        <v>45126</v>
      </c>
      <c r="M2120" s="116">
        <v>319.05</v>
      </c>
      <c r="N2120" s="116">
        <v>332</v>
      </c>
      <c r="O2120" s="116">
        <v>299</v>
      </c>
      <c r="P2120" s="116">
        <v>299.5</v>
      </c>
      <c r="Q2120" s="116">
        <v>319.05</v>
      </c>
      <c r="R2120">
        <v>609738</v>
      </c>
    </row>
    <row r="2121" spans="1:18" x14ac:dyDescent="0.25">
      <c r="A2121" s="169">
        <v>45161</v>
      </c>
      <c r="B2121" s="116">
        <v>335</v>
      </c>
      <c r="C2121" s="116">
        <v>325.10000000000002</v>
      </c>
      <c r="D2121" s="116">
        <v>323.25</v>
      </c>
      <c r="E2121" s="116">
        <v>335</v>
      </c>
      <c r="F2121" s="116">
        <v>325.10000000000002</v>
      </c>
      <c r="G2121">
        <v>204799</v>
      </c>
      <c r="H2121" s="116"/>
      <c r="I2121" s="116"/>
      <c r="L2121" s="169">
        <v>45127</v>
      </c>
      <c r="M2121" s="116">
        <v>335.7</v>
      </c>
      <c r="N2121" s="116">
        <v>339.7</v>
      </c>
      <c r="O2121" s="116">
        <v>324.05</v>
      </c>
      <c r="P2121" s="116">
        <v>324.3</v>
      </c>
      <c r="Q2121" s="116">
        <v>335.7</v>
      </c>
      <c r="R2121">
        <v>562565</v>
      </c>
    </row>
    <row r="2122" spans="1:18" x14ac:dyDescent="0.25">
      <c r="A2122" s="169">
        <v>45162</v>
      </c>
      <c r="B2122" s="116">
        <v>329.4</v>
      </c>
      <c r="C2122" s="116">
        <v>326.95</v>
      </c>
      <c r="D2122" s="116">
        <v>321.35000000000002</v>
      </c>
      <c r="E2122" s="116">
        <v>329.2</v>
      </c>
      <c r="F2122" s="116">
        <v>326.95</v>
      </c>
      <c r="G2122">
        <v>47976</v>
      </c>
      <c r="H2122" s="116"/>
      <c r="I2122" s="116"/>
      <c r="L2122" s="169">
        <v>45128</v>
      </c>
      <c r="M2122" s="116">
        <v>334.45</v>
      </c>
      <c r="N2122" s="116">
        <v>354</v>
      </c>
      <c r="O2122" s="116">
        <v>332.1</v>
      </c>
      <c r="P2122" s="116">
        <v>337.25</v>
      </c>
      <c r="Q2122" s="116">
        <v>334.45</v>
      </c>
      <c r="R2122">
        <v>330782</v>
      </c>
    </row>
    <row r="2123" spans="1:18" x14ac:dyDescent="0.25">
      <c r="A2123" s="169">
        <v>45163</v>
      </c>
      <c r="B2123" s="116">
        <v>331</v>
      </c>
      <c r="C2123" s="116">
        <v>323.3</v>
      </c>
      <c r="D2123" s="116">
        <v>322</v>
      </c>
      <c r="E2123" s="116">
        <v>326.85000000000002</v>
      </c>
      <c r="F2123" s="116">
        <v>323.3</v>
      </c>
      <c r="G2123">
        <v>4349</v>
      </c>
      <c r="H2123" s="116"/>
      <c r="I2123" s="116"/>
      <c r="L2123" s="169">
        <v>45131</v>
      </c>
      <c r="M2123" s="116">
        <v>323.95</v>
      </c>
      <c r="N2123" s="116">
        <v>336.5</v>
      </c>
      <c r="O2123" s="116">
        <v>322</v>
      </c>
      <c r="P2123" s="116">
        <v>332.25</v>
      </c>
      <c r="Q2123" s="116">
        <v>323.95</v>
      </c>
      <c r="R2123">
        <v>132978</v>
      </c>
    </row>
    <row r="2124" spans="1:18" x14ac:dyDescent="0.25">
      <c r="A2124" s="169">
        <v>45166</v>
      </c>
      <c r="B2124" s="116">
        <v>328.3</v>
      </c>
      <c r="C2124" s="116">
        <v>320.95</v>
      </c>
      <c r="D2124" s="116">
        <v>317</v>
      </c>
      <c r="E2124" s="116">
        <v>325.35000000000002</v>
      </c>
      <c r="F2124" s="116">
        <v>320.95</v>
      </c>
      <c r="G2124">
        <v>12585</v>
      </c>
      <c r="H2124" s="116"/>
      <c r="I2124" s="116"/>
      <c r="L2124" s="169">
        <v>45132</v>
      </c>
      <c r="M2124" s="116">
        <v>326.7</v>
      </c>
      <c r="N2124" s="116">
        <v>336.15</v>
      </c>
      <c r="O2124" s="116">
        <v>325.10000000000002</v>
      </c>
      <c r="P2124" s="116">
        <v>325.10000000000002</v>
      </c>
      <c r="Q2124" s="116">
        <v>326.7</v>
      </c>
      <c r="R2124">
        <v>87118</v>
      </c>
    </row>
    <row r="2125" spans="1:18" x14ac:dyDescent="0.25">
      <c r="A2125" s="169">
        <v>45167</v>
      </c>
      <c r="B2125" s="116">
        <v>349</v>
      </c>
      <c r="C2125" s="116">
        <v>345.1</v>
      </c>
      <c r="D2125" s="116">
        <v>317.2</v>
      </c>
      <c r="E2125" s="116">
        <v>317.2</v>
      </c>
      <c r="F2125" s="116">
        <v>345.1</v>
      </c>
      <c r="G2125">
        <v>25455</v>
      </c>
      <c r="H2125" s="116"/>
      <c r="I2125" s="116"/>
      <c r="L2125" s="169">
        <v>45133</v>
      </c>
      <c r="M2125" s="116">
        <v>324.55</v>
      </c>
      <c r="N2125" s="116">
        <v>333.3</v>
      </c>
      <c r="O2125" s="116">
        <v>323.2</v>
      </c>
      <c r="P2125" s="116">
        <v>329.9</v>
      </c>
      <c r="Q2125" s="116">
        <v>324.55</v>
      </c>
      <c r="R2125">
        <v>55816</v>
      </c>
    </row>
    <row r="2126" spans="1:18" x14ac:dyDescent="0.25">
      <c r="A2126" s="169">
        <v>45168</v>
      </c>
      <c r="B2126" s="116">
        <v>350</v>
      </c>
      <c r="C2126" s="116">
        <v>337.3</v>
      </c>
      <c r="D2126" s="116">
        <v>332.8</v>
      </c>
      <c r="E2126" s="116">
        <v>348</v>
      </c>
      <c r="F2126" s="116">
        <v>337.3</v>
      </c>
      <c r="G2126">
        <v>11031</v>
      </c>
      <c r="H2126" s="116"/>
      <c r="I2126" s="116"/>
      <c r="L2126" s="169">
        <v>45134</v>
      </c>
      <c r="M2126" s="116">
        <v>318.64999999999998</v>
      </c>
      <c r="N2126" s="116">
        <v>330</v>
      </c>
      <c r="O2126" s="116">
        <v>316.05</v>
      </c>
      <c r="P2126" s="116">
        <v>326</v>
      </c>
      <c r="Q2126" s="116">
        <v>318.64999999999998</v>
      </c>
      <c r="R2126">
        <v>47650</v>
      </c>
    </row>
    <row r="2127" spans="1:18" x14ac:dyDescent="0.25">
      <c r="A2127" s="169">
        <v>45169</v>
      </c>
      <c r="B2127" s="116">
        <v>343.5</v>
      </c>
      <c r="C2127" s="116">
        <v>340.3</v>
      </c>
      <c r="D2127" s="116">
        <v>330.25</v>
      </c>
      <c r="E2127" s="116">
        <v>339.75</v>
      </c>
      <c r="F2127" s="116">
        <v>340.3</v>
      </c>
      <c r="G2127">
        <v>5920</v>
      </c>
      <c r="H2127" s="116"/>
      <c r="I2127" s="116"/>
      <c r="L2127" s="169">
        <v>45135</v>
      </c>
      <c r="M2127" s="116">
        <v>327.05</v>
      </c>
      <c r="N2127" s="116">
        <v>330</v>
      </c>
      <c r="O2127" s="116">
        <v>316.64999999999998</v>
      </c>
      <c r="P2127" s="116">
        <v>317.89999999999998</v>
      </c>
      <c r="Q2127" s="116">
        <v>327.05</v>
      </c>
      <c r="R2127">
        <v>64981</v>
      </c>
    </row>
    <row r="2128" spans="1:18" x14ac:dyDescent="0.25">
      <c r="A2128" s="169">
        <v>45170</v>
      </c>
      <c r="B2128" s="116">
        <v>354</v>
      </c>
      <c r="C2128" s="116">
        <v>344.3</v>
      </c>
      <c r="D2128" s="116">
        <v>343</v>
      </c>
      <c r="E2128" s="116">
        <v>344.4</v>
      </c>
      <c r="F2128" s="116">
        <v>344.3</v>
      </c>
      <c r="G2128">
        <v>5205</v>
      </c>
      <c r="H2128" s="116"/>
      <c r="I2128" s="116"/>
      <c r="L2128" s="169">
        <v>45138</v>
      </c>
      <c r="M2128" s="116">
        <v>326.35000000000002</v>
      </c>
      <c r="N2128" s="116">
        <v>333.8</v>
      </c>
      <c r="O2128" s="116">
        <v>323.89999999999998</v>
      </c>
      <c r="P2128" s="116">
        <v>328.5</v>
      </c>
      <c r="Q2128" s="116">
        <v>326.35000000000002</v>
      </c>
      <c r="R2128">
        <v>36072</v>
      </c>
    </row>
    <row r="2129" spans="1:18" x14ac:dyDescent="0.25">
      <c r="A2129" s="169">
        <v>45173</v>
      </c>
      <c r="B2129" s="116">
        <v>357.6</v>
      </c>
      <c r="C2129" s="116">
        <v>352.8</v>
      </c>
      <c r="D2129" s="116">
        <v>344.7</v>
      </c>
      <c r="E2129" s="116">
        <v>344.7</v>
      </c>
      <c r="F2129" s="116">
        <v>352.8</v>
      </c>
      <c r="G2129">
        <v>2404</v>
      </c>
      <c r="H2129" s="116"/>
      <c r="I2129" s="116"/>
      <c r="L2129" s="169">
        <v>45139</v>
      </c>
      <c r="M2129" s="116">
        <v>341.55</v>
      </c>
      <c r="N2129" s="116">
        <v>345</v>
      </c>
      <c r="O2129" s="116">
        <v>326.95</v>
      </c>
      <c r="P2129" s="116">
        <v>329</v>
      </c>
      <c r="Q2129" s="116">
        <v>341.55</v>
      </c>
      <c r="R2129">
        <v>161758</v>
      </c>
    </row>
    <row r="2130" spans="1:18" x14ac:dyDescent="0.25">
      <c r="A2130" s="169">
        <v>45174</v>
      </c>
      <c r="B2130" s="116">
        <v>360</v>
      </c>
      <c r="C2130" s="116">
        <v>349.25</v>
      </c>
      <c r="D2130" s="116">
        <v>347.95</v>
      </c>
      <c r="E2130" s="116">
        <v>360</v>
      </c>
      <c r="F2130" s="116">
        <v>349.25</v>
      </c>
      <c r="G2130">
        <v>2451</v>
      </c>
      <c r="H2130" s="116"/>
      <c r="I2130" s="116"/>
      <c r="L2130" s="169">
        <v>45140</v>
      </c>
      <c r="M2130" s="116">
        <v>325.85000000000002</v>
      </c>
      <c r="N2130" s="116">
        <v>341.65</v>
      </c>
      <c r="O2130" s="116">
        <v>315.10000000000002</v>
      </c>
      <c r="P2130" s="116">
        <v>341.05</v>
      </c>
      <c r="Q2130" s="116">
        <v>325.85000000000002</v>
      </c>
      <c r="R2130">
        <v>84613</v>
      </c>
    </row>
    <row r="2131" spans="1:18" x14ac:dyDescent="0.25">
      <c r="A2131" s="169">
        <v>45175</v>
      </c>
      <c r="B2131" s="116">
        <v>354.7</v>
      </c>
      <c r="C2131" s="116">
        <v>335.7</v>
      </c>
      <c r="D2131" s="116">
        <v>330</v>
      </c>
      <c r="E2131" s="116">
        <v>354.7</v>
      </c>
      <c r="F2131" s="116">
        <v>335.7</v>
      </c>
      <c r="G2131">
        <v>11219</v>
      </c>
      <c r="H2131" s="116"/>
      <c r="I2131" s="116"/>
      <c r="L2131" s="169">
        <v>45141</v>
      </c>
      <c r="M2131" s="116">
        <v>326.8</v>
      </c>
      <c r="N2131" s="116">
        <v>332.95</v>
      </c>
      <c r="O2131" s="116">
        <v>319.05</v>
      </c>
      <c r="P2131" s="116">
        <v>331.8</v>
      </c>
      <c r="Q2131" s="116">
        <v>326.8</v>
      </c>
      <c r="R2131">
        <v>54484</v>
      </c>
    </row>
    <row r="2132" spans="1:18" x14ac:dyDescent="0.25">
      <c r="A2132" s="169">
        <v>45176</v>
      </c>
      <c r="B2132" s="116">
        <v>340.75</v>
      </c>
      <c r="C2132" s="116">
        <v>338.85</v>
      </c>
      <c r="D2132" s="116">
        <v>331.2</v>
      </c>
      <c r="E2132" s="116">
        <v>331.2</v>
      </c>
      <c r="F2132" s="116">
        <v>338.85</v>
      </c>
      <c r="G2132">
        <v>4215</v>
      </c>
      <c r="H2132" s="116"/>
      <c r="I2132" s="116"/>
      <c r="L2132" s="169">
        <v>45142</v>
      </c>
      <c r="M2132" s="116">
        <v>325.60000000000002</v>
      </c>
      <c r="N2132" s="116">
        <v>333.7</v>
      </c>
      <c r="O2132" s="116">
        <v>321.2</v>
      </c>
      <c r="P2132" s="116">
        <v>321.2</v>
      </c>
      <c r="Q2132" s="116">
        <v>325.60000000000002</v>
      </c>
      <c r="R2132">
        <v>28646</v>
      </c>
    </row>
    <row r="2133" spans="1:18" x14ac:dyDescent="0.25">
      <c r="A2133" s="169">
        <v>45177</v>
      </c>
      <c r="B2133" s="116">
        <v>341.05</v>
      </c>
      <c r="C2133" s="116">
        <v>335.4</v>
      </c>
      <c r="D2133" s="116">
        <v>335</v>
      </c>
      <c r="E2133" s="116">
        <v>340.75</v>
      </c>
      <c r="F2133" s="116">
        <v>335.4</v>
      </c>
      <c r="G2133">
        <v>16443</v>
      </c>
      <c r="H2133" s="116"/>
      <c r="I2133" s="116"/>
      <c r="L2133" s="169">
        <v>45145</v>
      </c>
      <c r="M2133" s="116">
        <v>328.5</v>
      </c>
      <c r="N2133" s="116">
        <v>338</v>
      </c>
      <c r="O2133" s="116">
        <v>327</v>
      </c>
      <c r="P2133" s="116">
        <v>329.55</v>
      </c>
      <c r="Q2133" s="116">
        <v>328.5</v>
      </c>
      <c r="R2133">
        <v>60208</v>
      </c>
    </row>
    <row r="2134" spans="1:18" x14ac:dyDescent="0.25">
      <c r="A2134" s="169">
        <v>45180</v>
      </c>
      <c r="B2134" s="116">
        <v>341.2</v>
      </c>
      <c r="C2134" s="116">
        <v>335.15</v>
      </c>
      <c r="D2134" s="116">
        <v>333</v>
      </c>
      <c r="E2134" s="116">
        <v>341.2</v>
      </c>
      <c r="F2134" s="116">
        <v>335.15</v>
      </c>
      <c r="G2134">
        <v>12172</v>
      </c>
      <c r="H2134" s="116"/>
      <c r="I2134" s="116"/>
      <c r="L2134" s="169">
        <v>45146</v>
      </c>
      <c r="M2134" s="116">
        <v>341.95</v>
      </c>
      <c r="N2134" s="116">
        <v>345.3</v>
      </c>
      <c r="O2134" s="116">
        <v>328.2</v>
      </c>
      <c r="P2134" s="116">
        <v>332.6</v>
      </c>
      <c r="Q2134" s="116">
        <v>341.95</v>
      </c>
      <c r="R2134">
        <v>89861</v>
      </c>
    </row>
    <row r="2135" spans="1:18" x14ac:dyDescent="0.25">
      <c r="A2135" s="169">
        <v>45181</v>
      </c>
      <c r="B2135" s="116">
        <v>335</v>
      </c>
      <c r="C2135" s="116">
        <v>323.75</v>
      </c>
      <c r="D2135" s="116">
        <v>320.95</v>
      </c>
      <c r="E2135" s="116">
        <v>334.45</v>
      </c>
      <c r="F2135" s="116">
        <v>323.75</v>
      </c>
      <c r="G2135">
        <v>11874</v>
      </c>
      <c r="H2135" s="116"/>
      <c r="I2135" s="116"/>
      <c r="L2135" s="169">
        <v>45147</v>
      </c>
      <c r="M2135" s="116">
        <v>387.65</v>
      </c>
      <c r="N2135" s="116">
        <v>393</v>
      </c>
      <c r="O2135" s="116">
        <v>347.1</v>
      </c>
      <c r="P2135" s="116">
        <v>347.1</v>
      </c>
      <c r="Q2135" s="116">
        <v>387.65</v>
      </c>
      <c r="R2135">
        <v>847078</v>
      </c>
    </row>
    <row r="2136" spans="1:18" x14ac:dyDescent="0.25">
      <c r="A2136" s="169">
        <v>45182</v>
      </c>
      <c r="B2136" s="116">
        <v>336</v>
      </c>
      <c r="C2136" s="116">
        <v>333.2</v>
      </c>
      <c r="D2136" s="116">
        <v>319.7</v>
      </c>
      <c r="E2136" s="116">
        <v>328.5</v>
      </c>
      <c r="F2136" s="116">
        <v>333.2</v>
      </c>
      <c r="G2136">
        <v>4060</v>
      </c>
      <c r="H2136" s="116"/>
      <c r="I2136" s="116"/>
      <c r="L2136" s="169">
        <v>45148</v>
      </c>
      <c r="M2136" s="116">
        <v>359.75</v>
      </c>
      <c r="N2136" s="116">
        <v>387.95</v>
      </c>
      <c r="O2136" s="116">
        <v>356.05</v>
      </c>
      <c r="P2136" s="116">
        <v>387.65</v>
      </c>
      <c r="Q2136" s="116">
        <v>359.75</v>
      </c>
      <c r="R2136">
        <v>293853</v>
      </c>
    </row>
    <row r="2137" spans="1:18" x14ac:dyDescent="0.25">
      <c r="A2137" s="169">
        <v>45183</v>
      </c>
      <c r="B2137" s="116">
        <v>345</v>
      </c>
      <c r="C2137" s="116">
        <v>342.05</v>
      </c>
      <c r="D2137" s="116">
        <v>333.4</v>
      </c>
      <c r="E2137" s="116">
        <v>339.95</v>
      </c>
      <c r="F2137" s="116">
        <v>342.05</v>
      </c>
      <c r="G2137">
        <v>7409</v>
      </c>
      <c r="H2137" s="116"/>
      <c r="I2137" s="116"/>
      <c r="L2137" s="169">
        <v>45149</v>
      </c>
      <c r="M2137" s="116">
        <v>331.45</v>
      </c>
      <c r="N2137" s="116">
        <v>349.95</v>
      </c>
      <c r="O2137" s="116">
        <v>327</v>
      </c>
      <c r="P2137" s="116">
        <v>335</v>
      </c>
      <c r="Q2137" s="116">
        <v>331.45</v>
      </c>
      <c r="R2137">
        <v>317241</v>
      </c>
    </row>
    <row r="2138" spans="1:18" x14ac:dyDescent="0.25">
      <c r="A2138" s="169">
        <v>45184</v>
      </c>
      <c r="B2138" s="116">
        <v>358.2</v>
      </c>
      <c r="C2138" s="116">
        <v>339.7</v>
      </c>
      <c r="D2138" s="116">
        <v>339</v>
      </c>
      <c r="E2138" s="116">
        <v>343.5</v>
      </c>
      <c r="F2138" s="116">
        <v>339.7</v>
      </c>
      <c r="G2138">
        <v>4764</v>
      </c>
      <c r="H2138" s="116"/>
      <c r="I2138" s="116"/>
      <c r="L2138" s="169">
        <v>45152</v>
      </c>
      <c r="M2138" s="116">
        <v>326.10000000000002</v>
      </c>
      <c r="N2138" s="116">
        <v>334.7</v>
      </c>
      <c r="O2138" s="116">
        <v>320.64999999999998</v>
      </c>
      <c r="P2138" s="116">
        <v>334.7</v>
      </c>
      <c r="Q2138" s="116">
        <v>326.10000000000002</v>
      </c>
      <c r="R2138">
        <v>103669</v>
      </c>
    </row>
    <row r="2139" spans="1:18" x14ac:dyDescent="0.25">
      <c r="A2139" s="169">
        <v>45187</v>
      </c>
      <c r="B2139" s="116">
        <v>344.95</v>
      </c>
      <c r="C2139" s="116">
        <v>335.1</v>
      </c>
      <c r="D2139" s="116">
        <v>333.25</v>
      </c>
      <c r="E2139" s="116">
        <v>340.4</v>
      </c>
      <c r="F2139" s="116">
        <v>335.1</v>
      </c>
      <c r="G2139">
        <v>2136</v>
      </c>
      <c r="H2139" s="116"/>
      <c r="I2139" s="116"/>
      <c r="L2139" s="169">
        <v>45154</v>
      </c>
      <c r="M2139" s="116">
        <v>323.39999999999998</v>
      </c>
      <c r="N2139" s="116">
        <v>329.3</v>
      </c>
      <c r="O2139" s="116">
        <v>321</v>
      </c>
      <c r="P2139" s="116">
        <v>326.10000000000002</v>
      </c>
      <c r="Q2139" s="116">
        <v>323.39999999999998</v>
      </c>
      <c r="R2139">
        <v>46915</v>
      </c>
    </row>
    <row r="2140" spans="1:18" x14ac:dyDescent="0.25">
      <c r="A2140" s="169">
        <v>45189</v>
      </c>
      <c r="B2140" s="116">
        <v>338.8</v>
      </c>
      <c r="C2140" s="116">
        <v>335.45</v>
      </c>
      <c r="D2140" s="116">
        <v>331.45</v>
      </c>
      <c r="E2140" s="116">
        <v>336</v>
      </c>
      <c r="F2140" s="116">
        <v>335.45</v>
      </c>
      <c r="G2140">
        <v>8508</v>
      </c>
      <c r="H2140" s="116"/>
      <c r="I2140" s="116"/>
      <c r="L2140" s="169">
        <v>45155</v>
      </c>
      <c r="M2140" s="116">
        <v>316.10000000000002</v>
      </c>
      <c r="N2140" s="116">
        <v>328</v>
      </c>
      <c r="O2140" s="116">
        <v>313.35000000000002</v>
      </c>
      <c r="P2140" s="116">
        <v>325.7</v>
      </c>
      <c r="Q2140" s="116">
        <v>316.10000000000002</v>
      </c>
      <c r="R2140">
        <v>120068</v>
      </c>
    </row>
    <row r="2141" spans="1:18" x14ac:dyDescent="0.25">
      <c r="A2141" s="169">
        <v>45190</v>
      </c>
      <c r="B2141" s="116">
        <v>349</v>
      </c>
      <c r="C2141" s="116">
        <v>337.95</v>
      </c>
      <c r="D2141" s="116">
        <v>330.1</v>
      </c>
      <c r="E2141" s="116">
        <v>337.25</v>
      </c>
      <c r="F2141" s="116">
        <v>337.95</v>
      </c>
      <c r="G2141">
        <v>4637</v>
      </c>
      <c r="H2141" s="116"/>
      <c r="I2141" s="116"/>
      <c r="L2141" s="169">
        <v>45156</v>
      </c>
      <c r="M2141" s="116">
        <v>310.5</v>
      </c>
      <c r="N2141" s="116">
        <v>324.5</v>
      </c>
      <c r="O2141" s="116">
        <v>308</v>
      </c>
      <c r="P2141" s="116">
        <v>316.10000000000002</v>
      </c>
      <c r="Q2141" s="116">
        <v>310.5</v>
      </c>
      <c r="R2141">
        <v>88568</v>
      </c>
    </row>
    <row r="2142" spans="1:18" x14ac:dyDescent="0.25">
      <c r="A2142" s="169">
        <v>45191</v>
      </c>
      <c r="B2142" s="116">
        <v>344.2</v>
      </c>
      <c r="C2142" s="116">
        <v>339.7</v>
      </c>
      <c r="D2142" s="116">
        <v>334.5</v>
      </c>
      <c r="E2142" s="116">
        <v>343</v>
      </c>
      <c r="F2142" s="116">
        <v>339.7</v>
      </c>
      <c r="G2142">
        <v>8019</v>
      </c>
      <c r="H2142" s="116"/>
      <c r="I2142" s="116"/>
      <c r="L2142" s="169">
        <v>45159</v>
      </c>
      <c r="M2142" s="116">
        <v>327.75</v>
      </c>
      <c r="N2142" s="116">
        <v>332</v>
      </c>
      <c r="O2142" s="116">
        <v>310.10000000000002</v>
      </c>
      <c r="P2142" s="116">
        <v>310.10000000000002</v>
      </c>
      <c r="Q2142" s="116">
        <v>327.75</v>
      </c>
      <c r="R2142">
        <v>108573</v>
      </c>
    </row>
    <row r="2143" spans="1:18" x14ac:dyDescent="0.25">
      <c r="A2143" s="169">
        <v>45194</v>
      </c>
      <c r="B2143" s="116">
        <v>340</v>
      </c>
      <c r="C2143" s="116">
        <v>337.5</v>
      </c>
      <c r="D2143" s="116">
        <v>335</v>
      </c>
      <c r="E2143" s="116">
        <v>337.4</v>
      </c>
      <c r="F2143" s="116">
        <v>337.5</v>
      </c>
      <c r="G2143">
        <v>11283</v>
      </c>
      <c r="H2143" s="116"/>
      <c r="I2143" s="116"/>
      <c r="L2143" s="169">
        <v>45160</v>
      </c>
      <c r="M2143" s="116">
        <v>329.3</v>
      </c>
      <c r="N2143" s="116">
        <v>335.45</v>
      </c>
      <c r="O2143" s="116">
        <v>327.10000000000002</v>
      </c>
      <c r="P2143" s="116">
        <v>327.75</v>
      </c>
      <c r="Q2143" s="116">
        <v>329.3</v>
      </c>
      <c r="R2143">
        <v>107497</v>
      </c>
    </row>
    <row r="2144" spans="1:18" x14ac:dyDescent="0.25">
      <c r="A2144" s="169">
        <v>45195</v>
      </c>
      <c r="B2144" s="116">
        <v>346.05</v>
      </c>
      <c r="C2144" s="116">
        <v>340.55</v>
      </c>
      <c r="D2144" s="116">
        <v>334.35</v>
      </c>
      <c r="E2144" s="116">
        <v>335</v>
      </c>
      <c r="F2144" s="116">
        <v>340.55</v>
      </c>
      <c r="G2144">
        <v>3804</v>
      </c>
      <c r="H2144" s="116"/>
      <c r="I2144" s="116"/>
      <c r="L2144" s="169">
        <v>45161</v>
      </c>
      <c r="M2144" s="116">
        <v>324.95</v>
      </c>
      <c r="N2144" s="116">
        <v>331.75</v>
      </c>
      <c r="O2144" s="116">
        <v>323.39999999999998</v>
      </c>
      <c r="P2144" s="116">
        <v>331.75</v>
      </c>
      <c r="Q2144" s="116">
        <v>324.95</v>
      </c>
      <c r="R2144">
        <v>89360</v>
      </c>
    </row>
    <row r="2145" spans="1:18" x14ac:dyDescent="0.25">
      <c r="A2145" s="169">
        <v>45196</v>
      </c>
      <c r="B2145" s="116">
        <v>346.15</v>
      </c>
      <c r="C2145" s="116">
        <v>344.45</v>
      </c>
      <c r="D2145" s="116">
        <v>336.75</v>
      </c>
      <c r="E2145" s="116">
        <v>343</v>
      </c>
      <c r="F2145" s="116">
        <v>344.45</v>
      </c>
      <c r="G2145">
        <v>4665</v>
      </c>
      <c r="H2145" s="116"/>
      <c r="I2145" s="116"/>
      <c r="L2145" s="169">
        <v>45162</v>
      </c>
      <c r="M2145" s="116">
        <v>327.5</v>
      </c>
      <c r="N2145" s="116">
        <v>331</v>
      </c>
      <c r="O2145" s="116">
        <v>321.55</v>
      </c>
      <c r="P2145" s="116">
        <v>327.5</v>
      </c>
      <c r="Q2145" s="116">
        <v>327.5</v>
      </c>
      <c r="R2145">
        <v>49285</v>
      </c>
    </row>
    <row r="2146" spans="1:18" x14ac:dyDescent="0.25">
      <c r="A2146" s="169">
        <v>45197</v>
      </c>
      <c r="B2146" s="116">
        <v>358.4</v>
      </c>
      <c r="C2146" s="116">
        <v>340.7</v>
      </c>
      <c r="D2146" s="116">
        <v>337.85</v>
      </c>
      <c r="E2146" s="116">
        <v>347.5</v>
      </c>
      <c r="F2146" s="116">
        <v>340.7</v>
      </c>
      <c r="G2146">
        <v>16002</v>
      </c>
      <c r="H2146" s="116"/>
      <c r="I2146" s="116"/>
      <c r="L2146" s="169">
        <v>45163</v>
      </c>
      <c r="M2146" s="116">
        <v>322.10000000000002</v>
      </c>
      <c r="N2146" s="116">
        <v>331</v>
      </c>
      <c r="O2146" s="116">
        <v>320.14999999999998</v>
      </c>
      <c r="P2146" s="116">
        <v>328.7</v>
      </c>
      <c r="Q2146" s="116">
        <v>322.10000000000002</v>
      </c>
      <c r="R2146">
        <v>42707</v>
      </c>
    </row>
    <row r="2147" spans="1:18" x14ac:dyDescent="0.25">
      <c r="A2147" s="169">
        <v>45198</v>
      </c>
      <c r="B2147" s="116">
        <v>354.05</v>
      </c>
      <c r="C2147" s="116">
        <v>342.3</v>
      </c>
      <c r="D2147" s="116">
        <v>339</v>
      </c>
      <c r="E2147" s="116">
        <v>348</v>
      </c>
      <c r="F2147" s="116">
        <v>342.3</v>
      </c>
      <c r="G2147">
        <v>2577</v>
      </c>
      <c r="H2147" s="116"/>
      <c r="I2147" s="116"/>
      <c r="L2147" s="169">
        <v>45166</v>
      </c>
      <c r="M2147" s="116">
        <v>320.14999999999998</v>
      </c>
      <c r="N2147" s="116">
        <v>327.5</v>
      </c>
      <c r="O2147" s="116">
        <v>317.60000000000002</v>
      </c>
      <c r="P2147" s="116">
        <v>325.39999999999998</v>
      </c>
      <c r="Q2147" s="116">
        <v>320.14999999999998</v>
      </c>
      <c r="R2147">
        <v>60080</v>
      </c>
    </row>
    <row r="2148" spans="1:18" x14ac:dyDescent="0.25">
      <c r="A2148" s="169">
        <v>45202</v>
      </c>
      <c r="B2148" s="116">
        <v>366.9</v>
      </c>
      <c r="C2148" s="116">
        <v>360.5</v>
      </c>
      <c r="D2148" s="116">
        <v>339.9</v>
      </c>
      <c r="E2148" s="116">
        <v>347.35</v>
      </c>
      <c r="F2148" s="116">
        <v>360.5</v>
      </c>
      <c r="G2148">
        <v>18580</v>
      </c>
      <c r="H2148" s="116"/>
      <c r="I2148" s="116"/>
      <c r="L2148" s="169">
        <v>45167</v>
      </c>
      <c r="M2148" s="116">
        <v>346.15</v>
      </c>
      <c r="N2148" s="116">
        <v>349.8</v>
      </c>
      <c r="O2148" s="116">
        <v>318.14999999999998</v>
      </c>
      <c r="P2148" s="116">
        <v>322</v>
      </c>
      <c r="Q2148" s="116">
        <v>346.15</v>
      </c>
      <c r="R2148">
        <v>173971</v>
      </c>
    </row>
    <row r="2149" spans="1:18" x14ac:dyDescent="0.25">
      <c r="A2149" s="169">
        <v>45203</v>
      </c>
      <c r="B2149" s="116">
        <v>365.85</v>
      </c>
      <c r="C2149" s="116">
        <v>358.15</v>
      </c>
      <c r="D2149" s="116">
        <v>351.95</v>
      </c>
      <c r="E2149" s="116">
        <v>360.35</v>
      </c>
      <c r="F2149" s="116">
        <v>358.15</v>
      </c>
      <c r="G2149">
        <v>17111</v>
      </c>
      <c r="H2149" s="116"/>
      <c r="I2149" s="116"/>
      <c r="L2149" s="169">
        <v>45168</v>
      </c>
      <c r="M2149" s="116">
        <v>337.6</v>
      </c>
      <c r="N2149" s="116">
        <v>350.55</v>
      </c>
      <c r="O2149" s="116">
        <v>333.15</v>
      </c>
      <c r="P2149" s="116">
        <v>350.15</v>
      </c>
      <c r="Q2149" s="116">
        <v>337.6</v>
      </c>
      <c r="R2149">
        <v>66854</v>
      </c>
    </row>
    <row r="2150" spans="1:18" x14ac:dyDescent="0.25">
      <c r="A2150" s="169">
        <v>45204</v>
      </c>
      <c r="B2150" s="116">
        <v>365</v>
      </c>
      <c r="C2150" s="116">
        <v>360.7</v>
      </c>
      <c r="D2150" s="116">
        <v>356</v>
      </c>
      <c r="E2150" s="116">
        <v>360.65</v>
      </c>
      <c r="F2150" s="116">
        <v>360.7</v>
      </c>
      <c r="G2150">
        <v>12792</v>
      </c>
      <c r="H2150" s="116"/>
      <c r="I2150" s="116"/>
      <c r="L2150" s="169">
        <v>45169</v>
      </c>
      <c r="M2150" s="116">
        <v>340.8</v>
      </c>
      <c r="N2150" s="116">
        <v>344</v>
      </c>
      <c r="O2150" s="116">
        <v>330.1</v>
      </c>
      <c r="P2150" s="116">
        <v>340</v>
      </c>
      <c r="Q2150" s="116">
        <v>340.8</v>
      </c>
      <c r="R2150">
        <v>61892</v>
      </c>
    </row>
    <row r="2151" spans="1:18" x14ac:dyDescent="0.25">
      <c r="A2151" s="169">
        <v>45205</v>
      </c>
      <c r="B2151" s="116">
        <v>365.85</v>
      </c>
      <c r="C2151" s="116">
        <v>358.05</v>
      </c>
      <c r="D2151" s="116">
        <v>355</v>
      </c>
      <c r="E2151" s="116">
        <v>365.8</v>
      </c>
      <c r="F2151" s="116">
        <v>358.05</v>
      </c>
      <c r="G2151">
        <v>4627</v>
      </c>
      <c r="H2151" s="116"/>
      <c r="I2151" s="116"/>
      <c r="L2151" s="169">
        <v>45170</v>
      </c>
      <c r="M2151" s="116">
        <v>345.15</v>
      </c>
      <c r="N2151" s="116">
        <v>354.3</v>
      </c>
      <c r="O2151" s="116">
        <v>342.35</v>
      </c>
      <c r="P2151" s="116">
        <v>342.5</v>
      </c>
      <c r="Q2151" s="116">
        <v>345.15</v>
      </c>
      <c r="R2151">
        <v>82905</v>
      </c>
    </row>
    <row r="2152" spans="1:18" x14ac:dyDescent="0.25">
      <c r="A2152" s="169">
        <v>45208</v>
      </c>
      <c r="B2152" s="116">
        <v>354.6</v>
      </c>
      <c r="C2152" s="116">
        <v>343.05</v>
      </c>
      <c r="D2152" s="116">
        <v>337</v>
      </c>
      <c r="E2152" s="116">
        <v>340.15</v>
      </c>
      <c r="F2152" s="116">
        <v>343.05</v>
      </c>
      <c r="G2152">
        <v>11452</v>
      </c>
      <c r="H2152" s="116"/>
      <c r="I2152" s="116"/>
      <c r="L2152" s="169">
        <v>45173</v>
      </c>
      <c r="M2152" s="116">
        <v>354.4</v>
      </c>
      <c r="N2152" s="116">
        <v>358.9</v>
      </c>
      <c r="O2152" s="116">
        <v>343.2</v>
      </c>
      <c r="P2152" s="116">
        <v>348</v>
      </c>
      <c r="Q2152" s="116">
        <v>354.4</v>
      </c>
      <c r="R2152">
        <v>82489</v>
      </c>
    </row>
    <row r="2153" spans="1:18" x14ac:dyDescent="0.25">
      <c r="A2153" s="169">
        <v>45209</v>
      </c>
      <c r="B2153" s="116">
        <v>349.85</v>
      </c>
      <c r="C2153" s="116">
        <v>343.95</v>
      </c>
      <c r="D2153" s="116">
        <v>342</v>
      </c>
      <c r="E2153" s="116">
        <v>349.05</v>
      </c>
      <c r="F2153" s="116">
        <v>343.95</v>
      </c>
      <c r="G2153">
        <v>2951</v>
      </c>
      <c r="H2153" s="116"/>
      <c r="I2153" s="116"/>
      <c r="L2153" s="169">
        <v>45174</v>
      </c>
      <c r="M2153" s="116">
        <v>349.15</v>
      </c>
      <c r="N2153" s="116">
        <v>360.45</v>
      </c>
      <c r="O2153" s="116">
        <v>348.2</v>
      </c>
      <c r="P2153" s="116">
        <v>357.05</v>
      </c>
      <c r="Q2153" s="116">
        <v>349.15</v>
      </c>
      <c r="R2153">
        <v>46653</v>
      </c>
    </row>
    <row r="2154" spans="1:18" x14ac:dyDescent="0.25">
      <c r="A2154" s="169">
        <v>45210</v>
      </c>
      <c r="B2154" s="116">
        <v>349.1</v>
      </c>
      <c r="C2154" s="116">
        <v>341.9</v>
      </c>
      <c r="D2154" s="116">
        <v>340.5</v>
      </c>
      <c r="E2154" s="116">
        <v>349.1</v>
      </c>
      <c r="F2154" s="116">
        <v>341.9</v>
      </c>
      <c r="G2154">
        <v>4090</v>
      </c>
      <c r="H2154" s="116"/>
      <c r="I2154" s="116"/>
      <c r="L2154" s="169">
        <v>45175</v>
      </c>
      <c r="M2154" s="116">
        <v>336.4</v>
      </c>
      <c r="N2154" s="116">
        <v>351.35</v>
      </c>
      <c r="O2154" s="116">
        <v>329.7</v>
      </c>
      <c r="P2154" s="116">
        <v>350.05</v>
      </c>
      <c r="Q2154" s="116">
        <v>336.4</v>
      </c>
      <c r="R2154">
        <v>86119</v>
      </c>
    </row>
    <row r="2155" spans="1:18" x14ac:dyDescent="0.25">
      <c r="A2155" s="169">
        <v>45211</v>
      </c>
      <c r="B2155" s="116">
        <v>346.15</v>
      </c>
      <c r="C2155" s="116">
        <v>338.2</v>
      </c>
      <c r="D2155" s="116">
        <v>332.35</v>
      </c>
      <c r="E2155" s="116">
        <v>346</v>
      </c>
      <c r="F2155" s="116">
        <v>338.2</v>
      </c>
      <c r="G2155">
        <v>7459</v>
      </c>
      <c r="H2155" s="116"/>
      <c r="I2155" s="116"/>
      <c r="L2155" s="169">
        <v>45176</v>
      </c>
      <c r="M2155" s="116">
        <v>338.9</v>
      </c>
      <c r="N2155" s="116">
        <v>341.8</v>
      </c>
      <c r="O2155" s="116">
        <v>335.7</v>
      </c>
      <c r="P2155" s="116">
        <v>337.45</v>
      </c>
      <c r="Q2155" s="116">
        <v>338.9</v>
      </c>
      <c r="R2155">
        <v>40637</v>
      </c>
    </row>
    <row r="2156" spans="1:18" x14ac:dyDescent="0.25">
      <c r="A2156" s="169">
        <v>45212</v>
      </c>
      <c r="B2156" s="116">
        <v>340.45</v>
      </c>
      <c r="C2156" s="116">
        <v>338.4</v>
      </c>
      <c r="D2156" s="116">
        <v>333</v>
      </c>
      <c r="E2156" s="116">
        <v>340.15</v>
      </c>
      <c r="F2156" s="116">
        <v>338.4</v>
      </c>
      <c r="G2156">
        <v>3711</v>
      </c>
      <c r="H2156" s="116"/>
      <c r="I2156" s="116"/>
      <c r="L2156" s="169">
        <v>45177</v>
      </c>
      <c r="M2156" s="116">
        <v>335.75</v>
      </c>
      <c r="N2156" s="116">
        <v>342.45</v>
      </c>
      <c r="O2156" s="116">
        <v>335</v>
      </c>
      <c r="P2156" s="116">
        <v>338.95</v>
      </c>
      <c r="Q2156" s="116">
        <v>335.75</v>
      </c>
      <c r="R2156">
        <v>29286</v>
      </c>
    </row>
    <row r="2157" spans="1:18" x14ac:dyDescent="0.25">
      <c r="A2157" s="169">
        <v>45215</v>
      </c>
      <c r="B2157" s="116">
        <v>341.1</v>
      </c>
      <c r="C2157" s="116">
        <v>338.5</v>
      </c>
      <c r="D2157" s="116">
        <v>335</v>
      </c>
      <c r="E2157" s="116">
        <v>337.75</v>
      </c>
      <c r="F2157" s="116">
        <v>338.5</v>
      </c>
      <c r="G2157">
        <v>6363</v>
      </c>
      <c r="H2157" s="116"/>
      <c r="I2157" s="116"/>
      <c r="L2157" s="169">
        <v>45180</v>
      </c>
      <c r="M2157" s="116">
        <v>334.55</v>
      </c>
      <c r="N2157" s="116">
        <v>344.5</v>
      </c>
      <c r="O2157" s="116">
        <v>332.7</v>
      </c>
      <c r="P2157" s="116">
        <v>335.75</v>
      </c>
      <c r="Q2157" s="116">
        <v>334.55</v>
      </c>
      <c r="R2157">
        <v>79060</v>
      </c>
    </row>
    <row r="2158" spans="1:18" x14ac:dyDescent="0.25">
      <c r="A2158" s="169">
        <v>45216</v>
      </c>
      <c r="B2158" s="116">
        <v>349</v>
      </c>
      <c r="C2158" s="116">
        <v>341.1</v>
      </c>
      <c r="D2158" s="116">
        <v>336.35</v>
      </c>
      <c r="E2158" s="116">
        <v>341</v>
      </c>
      <c r="F2158" s="116">
        <v>341.1</v>
      </c>
      <c r="G2158">
        <v>10028</v>
      </c>
      <c r="H2158" s="116"/>
      <c r="I2158" s="116"/>
      <c r="L2158" s="169">
        <v>45181</v>
      </c>
      <c r="M2158" s="116">
        <v>323.39999999999998</v>
      </c>
      <c r="N2158" s="116">
        <v>341</v>
      </c>
      <c r="O2158" s="116">
        <v>321.55</v>
      </c>
      <c r="P2158" s="116">
        <v>341</v>
      </c>
      <c r="Q2158" s="116">
        <v>323.39999999999998</v>
      </c>
      <c r="R2158">
        <v>87138</v>
      </c>
    </row>
    <row r="2159" spans="1:18" x14ac:dyDescent="0.25">
      <c r="A2159" s="169">
        <v>45217</v>
      </c>
      <c r="B2159" s="116">
        <v>342.35</v>
      </c>
      <c r="C2159" s="116">
        <v>337.75</v>
      </c>
      <c r="D2159" s="116">
        <v>333.55</v>
      </c>
      <c r="E2159" s="116">
        <v>340.3</v>
      </c>
      <c r="F2159" s="116">
        <v>337.75</v>
      </c>
      <c r="G2159">
        <v>5401</v>
      </c>
      <c r="H2159" s="116"/>
      <c r="I2159" s="116"/>
      <c r="L2159" s="169">
        <v>45182</v>
      </c>
      <c r="M2159" s="116">
        <v>332.9</v>
      </c>
      <c r="N2159" s="116">
        <v>338.35</v>
      </c>
      <c r="O2159" s="116">
        <v>320.2</v>
      </c>
      <c r="P2159" s="116">
        <v>320.2</v>
      </c>
      <c r="Q2159" s="116">
        <v>332.9</v>
      </c>
      <c r="R2159">
        <v>72520</v>
      </c>
    </row>
    <row r="2160" spans="1:18" x14ac:dyDescent="0.25">
      <c r="A2160" s="169">
        <v>45218</v>
      </c>
      <c r="B2160" s="116">
        <v>340</v>
      </c>
      <c r="C2160" s="116">
        <v>335.3</v>
      </c>
      <c r="D2160" s="116">
        <v>331.05</v>
      </c>
      <c r="E2160" s="116">
        <v>331.05</v>
      </c>
      <c r="F2160" s="116">
        <v>335.3</v>
      </c>
      <c r="G2160">
        <v>4545</v>
      </c>
      <c r="H2160" s="116"/>
      <c r="I2160" s="116"/>
      <c r="L2160" s="169">
        <v>45183</v>
      </c>
      <c r="M2160" s="116">
        <v>342.25</v>
      </c>
      <c r="N2160" s="116">
        <v>346.15</v>
      </c>
      <c r="O2160" s="116">
        <v>333.3</v>
      </c>
      <c r="P2160" s="116">
        <v>337</v>
      </c>
      <c r="Q2160" s="116">
        <v>342.25</v>
      </c>
      <c r="R2160">
        <v>58066</v>
      </c>
    </row>
    <row r="2161" spans="1:18" x14ac:dyDescent="0.25">
      <c r="A2161" s="169">
        <v>45219</v>
      </c>
      <c r="B2161" s="116">
        <v>335.6</v>
      </c>
      <c r="C2161" s="116">
        <v>329.7</v>
      </c>
      <c r="D2161" s="116">
        <v>325</v>
      </c>
      <c r="E2161" s="116">
        <v>330</v>
      </c>
      <c r="F2161" s="116">
        <v>329.7</v>
      </c>
      <c r="G2161">
        <v>8665</v>
      </c>
      <c r="H2161" s="116"/>
      <c r="I2161" s="116"/>
      <c r="L2161" s="169">
        <v>45184</v>
      </c>
      <c r="M2161" s="116">
        <v>340.6</v>
      </c>
      <c r="N2161" s="116">
        <v>358.75</v>
      </c>
      <c r="O2161" s="116">
        <v>339.05</v>
      </c>
      <c r="P2161" s="116">
        <v>343.4</v>
      </c>
      <c r="Q2161" s="116">
        <v>340.6</v>
      </c>
      <c r="R2161">
        <v>71305</v>
      </c>
    </row>
    <row r="2162" spans="1:18" x14ac:dyDescent="0.25">
      <c r="A2162" s="169">
        <v>45222</v>
      </c>
      <c r="B2162" s="116">
        <v>330.05</v>
      </c>
      <c r="C2162" s="116">
        <v>317</v>
      </c>
      <c r="D2162" s="116">
        <v>309</v>
      </c>
      <c r="E2162" s="116">
        <v>330.05</v>
      </c>
      <c r="F2162" s="116">
        <v>317</v>
      </c>
      <c r="G2162">
        <v>3692</v>
      </c>
      <c r="H2162" s="116"/>
      <c r="I2162" s="116"/>
      <c r="L2162" s="169">
        <v>45187</v>
      </c>
      <c r="M2162" s="116">
        <v>335.2</v>
      </c>
      <c r="N2162" s="116">
        <v>345.35</v>
      </c>
      <c r="O2162" s="116">
        <v>333.3</v>
      </c>
      <c r="P2162" s="116">
        <v>335</v>
      </c>
      <c r="Q2162" s="116">
        <v>335.2</v>
      </c>
      <c r="R2162">
        <v>27896</v>
      </c>
    </row>
    <row r="2163" spans="1:18" x14ac:dyDescent="0.25">
      <c r="A2163" s="169">
        <v>45224</v>
      </c>
      <c r="B2163" s="116">
        <v>319.64999999999998</v>
      </c>
      <c r="C2163" s="116">
        <v>295.60000000000002</v>
      </c>
      <c r="D2163" s="116">
        <v>291</v>
      </c>
      <c r="E2163" s="116">
        <v>312.3</v>
      </c>
      <c r="F2163" s="116">
        <v>295.60000000000002</v>
      </c>
      <c r="G2163">
        <v>14618</v>
      </c>
      <c r="H2163" s="116"/>
      <c r="I2163" s="116"/>
      <c r="L2163" s="169">
        <v>45189</v>
      </c>
      <c r="M2163" s="116">
        <v>335.7</v>
      </c>
      <c r="N2163" s="116">
        <v>340</v>
      </c>
      <c r="O2163" s="116">
        <v>330.95</v>
      </c>
      <c r="P2163" s="116">
        <v>335.2</v>
      </c>
      <c r="Q2163" s="116">
        <v>335.7</v>
      </c>
      <c r="R2163">
        <v>56719</v>
      </c>
    </row>
    <row r="2164" spans="1:18" x14ac:dyDescent="0.25">
      <c r="A2164" s="169">
        <v>45225</v>
      </c>
      <c r="B2164" s="116">
        <v>296</v>
      </c>
      <c r="C2164" s="116">
        <v>293.05</v>
      </c>
      <c r="D2164" s="116">
        <v>276.7</v>
      </c>
      <c r="E2164" s="116">
        <v>293</v>
      </c>
      <c r="F2164" s="116">
        <v>293.05</v>
      </c>
      <c r="G2164">
        <v>11342</v>
      </c>
      <c r="H2164" s="116"/>
      <c r="I2164" s="116"/>
      <c r="L2164" s="169">
        <v>45190</v>
      </c>
      <c r="M2164" s="116">
        <v>340</v>
      </c>
      <c r="N2164" s="116">
        <v>350.5</v>
      </c>
      <c r="O2164" s="116">
        <v>332</v>
      </c>
      <c r="P2164" s="116">
        <v>335.6</v>
      </c>
      <c r="Q2164" s="116">
        <v>340</v>
      </c>
      <c r="R2164">
        <v>51572</v>
      </c>
    </row>
    <row r="2165" spans="1:18" x14ac:dyDescent="0.25">
      <c r="A2165" s="169">
        <v>45226</v>
      </c>
      <c r="B2165" s="116">
        <v>300</v>
      </c>
      <c r="C2165" s="116">
        <v>282.8</v>
      </c>
      <c r="D2165" s="116">
        <v>278</v>
      </c>
      <c r="E2165" s="116">
        <v>292.10000000000002</v>
      </c>
      <c r="F2165" s="116">
        <v>282.8</v>
      </c>
      <c r="G2165">
        <v>4611</v>
      </c>
      <c r="H2165" s="116"/>
      <c r="I2165" s="116"/>
      <c r="L2165" s="169">
        <v>45191</v>
      </c>
      <c r="M2165" s="116">
        <v>338.3</v>
      </c>
      <c r="N2165" s="116">
        <v>345.95</v>
      </c>
      <c r="O2165" s="116">
        <v>334.05</v>
      </c>
      <c r="P2165" s="116">
        <v>345.8</v>
      </c>
      <c r="Q2165" s="116">
        <v>338.3</v>
      </c>
      <c r="R2165">
        <v>30104</v>
      </c>
    </row>
    <row r="2166" spans="1:18" x14ac:dyDescent="0.25">
      <c r="A2166" s="169">
        <v>45229</v>
      </c>
      <c r="B2166" s="116">
        <v>286.64999999999998</v>
      </c>
      <c r="C2166" s="116">
        <v>276.60000000000002</v>
      </c>
      <c r="D2166" s="116">
        <v>274.45</v>
      </c>
      <c r="E2166" s="116">
        <v>282.8</v>
      </c>
      <c r="F2166" s="116">
        <v>276.60000000000002</v>
      </c>
      <c r="G2166">
        <v>10573</v>
      </c>
      <c r="H2166" s="116"/>
      <c r="I2166" s="116"/>
      <c r="L2166" s="169">
        <v>45194</v>
      </c>
      <c r="M2166" s="116">
        <v>336.6</v>
      </c>
      <c r="N2166" s="116">
        <v>341.1</v>
      </c>
      <c r="O2166" s="116">
        <v>334.5</v>
      </c>
      <c r="P2166" s="116">
        <v>341.1</v>
      </c>
      <c r="Q2166" s="116">
        <v>336.6</v>
      </c>
      <c r="R2166">
        <v>14560</v>
      </c>
    </row>
    <row r="2167" spans="1:18" x14ac:dyDescent="0.25">
      <c r="A2167" s="169">
        <v>45230</v>
      </c>
      <c r="B2167" s="116">
        <v>314.39999999999998</v>
      </c>
      <c r="C2167" s="116">
        <v>310.10000000000002</v>
      </c>
      <c r="D2167" s="116">
        <v>276.85000000000002</v>
      </c>
      <c r="E2167" s="116">
        <v>282.14999999999998</v>
      </c>
      <c r="F2167" s="116">
        <v>310.10000000000002</v>
      </c>
      <c r="G2167">
        <v>16765</v>
      </c>
      <c r="H2167" s="116"/>
      <c r="I2167" s="116"/>
      <c r="L2167" s="169">
        <v>45195</v>
      </c>
      <c r="M2167" s="116">
        <v>339.9</v>
      </c>
      <c r="N2167" s="116">
        <v>345</v>
      </c>
      <c r="O2167" s="116">
        <v>336</v>
      </c>
      <c r="P2167" s="116">
        <v>336.05</v>
      </c>
      <c r="Q2167" s="116">
        <v>339.9</v>
      </c>
      <c r="R2167">
        <v>20121</v>
      </c>
    </row>
    <row r="2168" spans="1:18" x14ac:dyDescent="0.25">
      <c r="A2168" s="169">
        <v>45231</v>
      </c>
      <c r="B2168" s="116">
        <v>313.89999999999998</v>
      </c>
      <c r="C2168" s="116">
        <v>300.55</v>
      </c>
      <c r="D2168" s="116">
        <v>293.60000000000002</v>
      </c>
      <c r="E2168" s="116">
        <v>312.5</v>
      </c>
      <c r="F2168" s="116">
        <v>300.55</v>
      </c>
      <c r="G2168">
        <v>9656</v>
      </c>
      <c r="H2168" s="116"/>
      <c r="I2168" s="116"/>
      <c r="L2168" s="169">
        <v>45196</v>
      </c>
      <c r="M2168" s="116">
        <v>344.65</v>
      </c>
      <c r="N2168" s="116">
        <v>347</v>
      </c>
      <c r="O2168" s="116">
        <v>335.9</v>
      </c>
      <c r="P2168" s="116">
        <v>342.85</v>
      </c>
      <c r="Q2168" s="116">
        <v>344.65</v>
      </c>
      <c r="R2168">
        <v>24236</v>
      </c>
    </row>
    <row r="2169" spans="1:18" x14ac:dyDescent="0.25">
      <c r="A2169" s="169">
        <v>45232</v>
      </c>
      <c r="B2169" s="116">
        <v>310.05</v>
      </c>
      <c r="C2169" s="116">
        <v>308.8</v>
      </c>
      <c r="D2169" s="116">
        <v>303</v>
      </c>
      <c r="E2169" s="116">
        <v>304.7</v>
      </c>
      <c r="F2169" s="116">
        <v>308.8</v>
      </c>
      <c r="G2169">
        <v>6941</v>
      </c>
      <c r="H2169" s="116"/>
      <c r="I2169" s="116"/>
      <c r="L2169" s="169">
        <v>45197</v>
      </c>
      <c r="M2169" s="116">
        <v>341.2</v>
      </c>
      <c r="N2169" s="116">
        <v>358</v>
      </c>
      <c r="O2169" s="116">
        <v>339</v>
      </c>
      <c r="P2169" s="116">
        <v>342.25</v>
      </c>
      <c r="Q2169" s="116">
        <v>341.2</v>
      </c>
      <c r="R2169">
        <v>101039</v>
      </c>
    </row>
    <row r="2170" spans="1:18" x14ac:dyDescent="0.25">
      <c r="A2170" s="169">
        <v>45233</v>
      </c>
      <c r="B2170" s="116">
        <v>317</v>
      </c>
      <c r="C2170" s="116">
        <v>312.85000000000002</v>
      </c>
      <c r="D2170" s="116">
        <v>306.55</v>
      </c>
      <c r="E2170" s="116">
        <v>311.5</v>
      </c>
      <c r="F2170" s="116">
        <v>312.85000000000002</v>
      </c>
      <c r="G2170">
        <v>3709</v>
      </c>
      <c r="H2170" s="116"/>
      <c r="I2170" s="116"/>
      <c r="L2170" s="169">
        <v>45198</v>
      </c>
      <c r="M2170" s="116">
        <v>341.7</v>
      </c>
      <c r="N2170" s="116">
        <v>349.6</v>
      </c>
      <c r="O2170" s="116">
        <v>338.8</v>
      </c>
      <c r="P2170" s="116">
        <v>342</v>
      </c>
      <c r="Q2170" s="116">
        <v>341.7</v>
      </c>
      <c r="R2170">
        <v>31080</v>
      </c>
    </row>
    <row r="2171" spans="1:18" x14ac:dyDescent="0.25">
      <c r="A2171" s="169">
        <v>45236</v>
      </c>
      <c r="B2171" s="116">
        <v>320</v>
      </c>
      <c r="C2171" s="116">
        <v>308.3</v>
      </c>
      <c r="D2171" s="116">
        <v>306.7</v>
      </c>
      <c r="E2171" s="116">
        <v>316.5</v>
      </c>
      <c r="F2171" s="116">
        <v>308.3</v>
      </c>
      <c r="G2171">
        <v>7792</v>
      </c>
      <c r="H2171" s="116"/>
      <c r="I2171" s="116"/>
      <c r="L2171" s="169">
        <v>45202</v>
      </c>
      <c r="M2171" s="116">
        <v>360.3</v>
      </c>
      <c r="N2171" s="116">
        <v>366.8</v>
      </c>
      <c r="O2171" s="116">
        <v>341.05</v>
      </c>
      <c r="P2171" s="116">
        <v>345</v>
      </c>
      <c r="Q2171" s="116">
        <v>360.3</v>
      </c>
      <c r="R2171">
        <v>85966</v>
      </c>
    </row>
    <row r="2172" spans="1:18" x14ac:dyDescent="0.25">
      <c r="A2172" s="169">
        <v>45237</v>
      </c>
      <c r="B2172" s="116">
        <v>318.5</v>
      </c>
      <c r="C2172" s="116">
        <v>312.3</v>
      </c>
      <c r="D2172" s="116">
        <v>308.95</v>
      </c>
      <c r="E2172" s="116">
        <v>314.5</v>
      </c>
      <c r="F2172" s="116">
        <v>312.3</v>
      </c>
      <c r="G2172">
        <v>9204</v>
      </c>
      <c r="H2172" s="116"/>
      <c r="I2172" s="116"/>
      <c r="L2172" s="169">
        <v>45203</v>
      </c>
      <c r="M2172" s="116">
        <v>357.85</v>
      </c>
      <c r="N2172" s="116">
        <v>367.3</v>
      </c>
      <c r="O2172" s="116">
        <v>354</v>
      </c>
      <c r="P2172" s="116">
        <v>363.9</v>
      </c>
      <c r="Q2172" s="116">
        <v>357.85</v>
      </c>
      <c r="R2172">
        <v>83277</v>
      </c>
    </row>
    <row r="2173" spans="1:18" x14ac:dyDescent="0.25">
      <c r="A2173" s="169">
        <v>45238</v>
      </c>
      <c r="B2173" s="116">
        <v>315.5</v>
      </c>
      <c r="C2173" s="116">
        <v>312.64999999999998</v>
      </c>
      <c r="D2173" s="116">
        <v>310.75</v>
      </c>
      <c r="E2173" s="116">
        <v>315.3</v>
      </c>
      <c r="F2173" s="116">
        <v>312.64999999999998</v>
      </c>
      <c r="G2173">
        <v>842</v>
      </c>
      <c r="H2173" s="116"/>
      <c r="I2173" s="116"/>
      <c r="L2173" s="169">
        <v>45204</v>
      </c>
      <c r="M2173" s="116">
        <v>360.55</v>
      </c>
      <c r="N2173" s="116">
        <v>365</v>
      </c>
      <c r="O2173" s="116">
        <v>355.15</v>
      </c>
      <c r="P2173" s="116">
        <v>360.8</v>
      </c>
      <c r="Q2173" s="116">
        <v>360.55</v>
      </c>
      <c r="R2173">
        <v>39893</v>
      </c>
    </row>
    <row r="2174" spans="1:18" x14ac:dyDescent="0.25">
      <c r="A2174" s="169">
        <v>45239</v>
      </c>
      <c r="B2174" s="116">
        <v>314.7</v>
      </c>
      <c r="C2174" s="116">
        <v>309.8</v>
      </c>
      <c r="D2174" s="116">
        <v>306.25</v>
      </c>
      <c r="E2174" s="116">
        <v>313.89999999999998</v>
      </c>
      <c r="F2174" s="116">
        <v>309.8</v>
      </c>
      <c r="G2174">
        <v>1761</v>
      </c>
      <c r="H2174" s="116"/>
      <c r="I2174" s="116"/>
      <c r="L2174" s="169">
        <v>45205</v>
      </c>
      <c r="M2174" s="116">
        <v>357.25</v>
      </c>
      <c r="N2174" s="116">
        <v>366.2</v>
      </c>
      <c r="O2174" s="116">
        <v>355.15</v>
      </c>
      <c r="P2174" s="116">
        <v>362.2</v>
      </c>
      <c r="Q2174" s="116">
        <v>357.25</v>
      </c>
      <c r="R2174">
        <v>30216</v>
      </c>
    </row>
    <row r="2175" spans="1:18" x14ac:dyDescent="0.25">
      <c r="A2175" s="169">
        <v>45240</v>
      </c>
      <c r="B2175" s="116">
        <v>315.05</v>
      </c>
      <c r="C2175" s="116">
        <v>311.60000000000002</v>
      </c>
      <c r="D2175" s="116">
        <v>307</v>
      </c>
      <c r="E2175" s="116">
        <v>308.60000000000002</v>
      </c>
      <c r="F2175" s="116">
        <v>311.60000000000002</v>
      </c>
      <c r="G2175">
        <v>1286</v>
      </c>
      <c r="H2175" s="116"/>
      <c r="I2175" s="116"/>
      <c r="L2175" s="169">
        <v>45208</v>
      </c>
      <c r="M2175" s="116">
        <v>343.35</v>
      </c>
      <c r="N2175" s="116">
        <v>356</v>
      </c>
      <c r="O2175" s="116">
        <v>338.55</v>
      </c>
      <c r="P2175" s="116">
        <v>351</v>
      </c>
      <c r="Q2175" s="116">
        <v>343.35</v>
      </c>
      <c r="R2175">
        <v>45631</v>
      </c>
    </row>
    <row r="2176" spans="1:18" x14ac:dyDescent="0.25">
      <c r="A2176" s="169">
        <v>45242</v>
      </c>
      <c r="B2176" s="116">
        <v>318.25</v>
      </c>
      <c r="C2176" s="116">
        <v>312.14999999999998</v>
      </c>
      <c r="D2176" s="116">
        <v>306.5</v>
      </c>
      <c r="E2176" s="116">
        <v>309.64999999999998</v>
      </c>
      <c r="F2176" s="116">
        <v>312.14999999999998</v>
      </c>
      <c r="G2176">
        <v>1130</v>
      </c>
      <c r="H2176" s="116"/>
      <c r="I2176" s="116"/>
      <c r="L2176" s="169">
        <v>45209</v>
      </c>
      <c r="M2176" s="116">
        <v>343.5</v>
      </c>
      <c r="N2176" s="116">
        <v>350.95</v>
      </c>
      <c r="O2176" s="116">
        <v>342.1</v>
      </c>
      <c r="P2176" s="116">
        <v>346</v>
      </c>
      <c r="Q2176" s="116">
        <v>343.5</v>
      </c>
      <c r="R2176">
        <v>21499</v>
      </c>
    </row>
    <row r="2177" spans="1:18" x14ac:dyDescent="0.25">
      <c r="A2177" s="169">
        <v>45243</v>
      </c>
      <c r="B2177" s="116">
        <v>314.39999999999998</v>
      </c>
      <c r="C2177" s="116">
        <v>307.8</v>
      </c>
      <c r="D2177" s="116">
        <v>302.25</v>
      </c>
      <c r="E2177" s="116">
        <v>313.05</v>
      </c>
      <c r="F2177" s="116">
        <v>307.8</v>
      </c>
      <c r="G2177">
        <v>5443</v>
      </c>
      <c r="H2177" s="116"/>
      <c r="I2177" s="116"/>
      <c r="L2177" s="169">
        <v>45210</v>
      </c>
      <c r="M2177" s="116">
        <v>341.45</v>
      </c>
      <c r="N2177" s="116">
        <v>350.15</v>
      </c>
      <c r="O2177" s="116">
        <v>340</v>
      </c>
      <c r="P2177" s="116">
        <v>349.65</v>
      </c>
      <c r="Q2177" s="116">
        <v>341.45</v>
      </c>
      <c r="R2177">
        <v>21222</v>
      </c>
    </row>
    <row r="2178" spans="1:18" x14ac:dyDescent="0.25">
      <c r="A2178" s="169">
        <v>45245</v>
      </c>
      <c r="B2178" s="116">
        <v>323.05</v>
      </c>
      <c r="C2178" s="116">
        <v>317.7</v>
      </c>
      <c r="D2178" s="116">
        <v>307</v>
      </c>
      <c r="E2178" s="116">
        <v>307</v>
      </c>
      <c r="F2178" s="116">
        <v>317.7</v>
      </c>
      <c r="G2178">
        <v>7247</v>
      </c>
      <c r="H2178" s="116"/>
      <c r="I2178" s="116"/>
      <c r="L2178" s="169">
        <v>45211</v>
      </c>
      <c r="M2178" s="116">
        <v>338.05</v>
      </c>
      <c r="N2178" s="116">
        <v>346.85</v>
      </c>
      <c r="O2178" s="116">
        <v>334.3</v>
      </c>
      <c r="P2178" s="116">
        <v>345</v>
      </c>
      <c r="Q2178" s="116">
        <v>338.05</v>
      </c>
      <c r="R2178">
        <v>32086</v>
      </c>
    </row>
    <row r="2179" spans="1:18" x14ac:dyDescent="0.25">
      <c r="A2179" s="169">
        <v>45246</v>
      </c>
      <c r="B2179" s="116">
        <v>323</v>
      </c>
      <c r="C2179" s="116">
        <v>314.85000000000002</v>
      </c>
      <c r="D2179" s="116">
        <v>313.2</v>
      </c>
      <c r="E2179" s="116">
        <v>322.7</v>
      </c>
      <c r="F2179" s="116">
        <v>314.85000000000002</v>
      </c>
      <c r="G2179">
        <v>1850</v>
      </c>
      <c r="H2179" s="116"/>
      <c r="I2179" s="116"/>
      <c r="L2179" s="169">
        <v>45212</v>
      </c>
      <c r="M2179" s="116">
        <v>338.5</v>
      </c>
      <c r="N2179" s="116">
        <v>343.8</v>
      </c>
      <c r="O2179" s="116">
        <v>335</v>
      </c>
      <c r="P2179" s="116">
        <v>340.9</v>
      </c>
      <c r="Q2179" s="116">
        <v>338.5</v>
      </c>
      <c r="R2179">
        <v>23798</v>
      </c>
    </row>
    <row r="2180" spans="1:18" x14ac:dyDescent="0.25">
      <c r="A2180" s="169">
        <v>45247</v>
      </c>
      <c r="B2180" s="116">
        <v>325</v>
      </c>
      <c r="C2180" s="116">
        <v>319.89999999999998</v>
      </c>
      <c r="D2180" s="116">
        <v>312</v>
      </c>
      <c r="E2180" s="116">
        <v>315.2</v>
      </c>
      <c r="F2180" s="116">
        <v>319.89999999999998</v>
      </c>
      <c r="G2180">
        <v>2234</v>
      </c>
      <c r="H2180" s="116"/>
      <c r="I2180" s="116"/>
      <c r="L2180" s="169">
        <v>45215</v>
      </c>
      <c r="M2180" s="116">
        <v>337.75</v>
      </c>
      <c r="N2180" s="116">
        <v>342.15</v>
      </c>
      <c r="O2180" s="116">
        <v>335.25</v>
      </c>
      <c r="P2180" s="116">
        <v>335.25</v>
      </c>
      <c r="Q2180" s="116">
        <v>337.75</v>
      </c>
      <c r="R2180">
        <v>24348</v>
      </c>
    </row>
    <row r="2181" spans="1:18" x14ac:dyDescent="0.25">
      <c r="A2181" s="169">
        <v>45250</v>
      </c>
      <c r="B2181" s="116">
        <v>319.89999999999998</v>
      </c>
      <c r="C2181" s="116">
        <v>317.7</v>
      </c>
      <c r="D2181" s="116">
        <v>314</v>
      </c>
      <c r="E2181" s="116">
        <v>317.95</v>
      </c>
      <c r="F2181" s="116">
        <v>317.7</v>
      </c>
      <c r="G2181">
        <v>1954</v>
      </c>
      <c r="H2181" s="116"/>
      <c r="I2181" s="116"/>
      <c r="L2181" s="169">
        <v>45216</v>
      </c>
      <c r="M2181" s="116">
        <v>340.9</v>
      </c>
      <c r="N2181" s="116">
        <v>345</v>
      </c>
      <c r="O2181" s="116">
        <v>337.55</v>
      </c>
      <c r="P2181" s="116">
        <v>342.8</v>
      </c>
      <c r="Q2181" s="116">
        <v>340.9</v>
      </c>
      <c r="R2181">
        <v>21654</v>
      </c>
    </row>
    <row r="2182" spans="1:18" x14ac:dyDescent="0.25">
      <c r="A2182" s="169">
        <v>45251</v>
      </c>
      <c r="B2182" s="116">
        <v>322.60000000000002</v>
      </c>
      <c r="C2182" s="116">
        <v>316.55</v>
      </c>
      <c r="D2182" s="116">
        <v>313.3</v>
      </c>
      <c r="E2182" s="116">
        <v>321.5</v>
      </c>
      <c r="F2182" s="116">
        <v>316.55</v>
      </c>
      <c r="G2182">
        <v>1233</v>
      </c>
      <c r="H2182" s="116"/>
      <c r="I2182" s="116"/>
      <c r="L2182" s="169">
        <v>45217</v>
      </c>
      <c r="M2182" s="116">
        <v>337.9</v>
      </c>
      <c r="N2182" s="116">
        <v>346.45</v>
      </c>
      <c r="O2182" s="116">
        <v>332.95</v>
      </c>
      <c r="P2182" s="116">
        <v>338.8</v>
      </c>
      <c r="Q2182" s="116">
        <v>337.9</v>
      </c>
      <c r="R2182">
        <v>21876</v>
      </c>
    </row>
    <row r="2183" spans="1:18" x14ac:dyDescent="0.25">
      <c r="A2183" s="169">
        <v>45252</v>
      </c>
      <c r="B2183" s="116">
        <v>335</v>
      </c>
      <c r="C2183" s="116">
        <v>323.8</v>
      </c>
      <c r="D2183" s="116">
        <v>312.5</v>
      </c>
      <c r="E2183" s="116">
        <v>318</v>
      </c>
      <c r="F2183" s="116">
        <v>323.8</v>
      </c>
      <c r="G2183">
        <v>6424</v>
      </c>
      <c r="H2183" s="116"/>
      <c r="I2183" s="116"/>
      <c r="L2183" s="169">
        <v>45218</v>
      </c>
      <c r="M2183" s="116">
        <v>334.95</v>
      </c>
      <c r="N2183" s="116">
        <v>341.2</v>
      </c>
      <c r="O2183" s="116">
        <v>332.95</v>
      </c>
      <c r="P2183" s="116">
        <v>334.55</v>
      </c>
      <c r="Q2183" s="116">
        <v>334.95</v>
      </c>
      <c r="R2183">
        <v>13552</v>
      </c>
    </row>
    <row r="2184" spans="1:18" x14ac:dyDescent="0.25">
      <c r="A2184" s="169">
        <v>45253</v>
      </c>
      <c r="B2184" s="116">
        <v>325</v>
      </c>
      <c r="C2184" s="116">
        <v>320.8</v>
      </c>
      <c r="D2184" s="116">
        <v>320.8</v>
      </c>
      <c r="E2184" s="116">
        <v>324</v>
      </c>
      <c r="F2184" s="116">
        <v>320.8</v>
      </c>
      <c r="G2184">
        <v>1381</v>
      </c>
      <c r="H2184" s="116"/>
      <c r="I2184" s="116"/>
      <c r="L2184" s="169">
        <v>45219</v>
      </c>
      <c r="M2184" s="116">
        <v>330.35</v>
      </c>
      <c r="N2184" s="116">
        <v>336.4</v>
      </c>
      <c r="O2184" s="116">
        <v>325.75</v>
      </c>
      <c r="P2184" s="116">
        <v>333.05</v>
      </c>
      <c r="Q2184" s="116">
        <v>330.35</v>
      </c>
      <c r="R2184">
        <v>23271</v>
      </c>
    </row>
    <row r="2185" spans="1:18" x14ac:dyDescent="0.25">
      <c r="A2185" s="169">
        <v>45254</v>
      </c>
      <c r="B2185" s="116">
        <v>324.2</v>
      </c>
      <c r="C2185" s="116">
        <v>318.89999999999998</v>
      </c>
      <c r="D2185" s="116">
        <v>315</v>
      </c>
      <c r="E2185" s="116">
        <v>324.10000000000002</v>
      </c>
      <c r="F2185" s="116">
        <v>318.89999999999998</v>
      </c>
      <c r="G2185">
        <v>2051</v>
      </c>
      <c r="H2185" s="116"/>
      <c r="I2185" s="116"/>
      <c r="L2185" s="169">
        <v>45222</v>
      </c>
      <c r="M2185" s="116">
        <v>314.25</v>
      </c>
      <c r="N2185" s="116">
        <v>333.4</v>
      </c>
      <c r="O2185" s="116">
        <v>307</v>
      </c>
      <c r="P2185" s="116">
        <v>325.75</v>
      </c>
      <c r="Q2185" s="116">
        <v>314.25</v>
      </c>
      <c r="R2185">
        <v>32691</v>
      </c>
    </row>
    <row r="2186" spans="1:18" x14ac:dyDescent="0.25">
      <c r="A2186" s="169">
        <v>45258</v>
      </c>
      <c r="B2186" s="116">
        <v>333.3</v>
      </c>
      <c r="C2186" s="116">
        <v>318.75</v>
      </c>
      <c r="D2186" s="116">
        <v>312.95</v>
      </c>
      <c r="E2186" s="116">
        <v>333.3</v>
      </c>
      <c r="F2186" s="116">
        <v>318.75</v>
      </c>
      <c r="G2186">
        <v>3645</v>
      </c>
      <c r="H2186" s="116"/>
      <c r="I2186" s="116"/>
      <c r="L2186" s="169">
        <v>45224</v>
      </c>
      <c r="M2186" s="116">
        <v>293.2</v>
      </c>
      <c r="N2186" s="116">
        <v>317.64999999999998</v>
      </c>
      <c r="O2186" s="116">
        <v>286.89999999999998</v>
      </c>
      <c r="P2186" s="116">
        <v>314</v>
      </c>
      <c r="Q2186" s="116">
        <v>293.2</v>
      </c>
      <c r="R2186">
        <v>78174</v>
      </c>
    </row>
    <row r="2187" spans="1:18" x14ac:dyDescent="0.25">
      <c r="A2187" s="169">
        <v>45259</v>
      </c>
      <c r="B2187" s="116">
        <v>320.39999999999998</v>
      </c>
      <c r="C2187" s="116">
        <v>317.10000000000002</v>
      </c>
      <c r="D2187" s="116">
        <v>315</v>
      </c>
      <c r="E2187" s="116">
        <v>319.64999999999998</v>
      </c>
      <c r="F2187" s="116">
        <v>317.10000000000002</v>
      </c>
      <c r="G2187">
        <v>4074</v>
      </c>
      <c r="H2187" s="116"/>
      <c r="I2187" s="116"/>
      <c r="L2187" s="169">
        <v>45225</v>
      </c>
      <c r="M2187" s="116">
        <v>291.60000000000002</v>
      </c>
      <c r="N2187" s="116">
        <v>298</v>
      </c>
      <c r="O2187" s="116">
        <v>278</v>
      </c>
      <c r="P2187" s="116">
        <v>287</v>
      </c>
      <c r="Q2187" s="116">
        <v>291.60000000000002</v>
      </c>
      <c r="R2187">
        <v>80561</v>
      </c>
    </row>
    <row r="2188" spans="1:18" x14ac:dyDescent="0.25">
      <c r="A2188" s="169">
        <v>45260</v>
      </c>
      <c r="B2188" s="116">
        <v>317.95</v>
      </c>
      <c r="C2188" s="116">
        <v>311.95</v>
      </c>
      <c r="D2188" s="116">
        <v>306.3</v>
      </c>
      <c r="E2188" s="116">
        <v>317.2</v>
      </c>
      <c r="F2188" s="116">
        <v>311.95</v>
      </c>
      <c r="G2188">
        <v>7377</v>
      </c>
      <c r="H2188" s="116"/>
      <c r="I2188" s="116"/>
      <c r="L2188" s="169">
        <v>45226</v>
      </c>
      <c r="M2188" s="116">
        <v>280.60000000000002</v>
      </c>
      <c r="N2188" s="116">
        <v>297</v>
      </c>
      <c r="O2188" s="116">
        <v>276.35000000000002</v>
      </c>
      <c r="P2188" s="116">
        <v>286.95</v>
      </c>
      <c r="Q2188" s="116">
        <v>280.60000000000002</v>
      </c>
      <c r="R2188">
        <v>110132</v>
      </c>
    </row>
    <row r="2189" spans="1:18" x14ac:dyDescent="0.25">
      <c r="A2189" s="169">
        <v>45261</v>
      </c>
      <c r="B2189" s="116">
        <v>319.89999999999998</v>
      </c>
      <c r="C2189" s="116">
        <v>313.8</v>
      </c>
      <c r="D2189" s="116">
        <v>311.64999999999998</v>
      </c>
      <c r="E2189" s="116">
        <v>314.35000000000002</v>
      </c>
      <c r="F2189" s="116">
        <v>313.8</v>
      </c>
      <c r="G2189">
        <v>3256</v>
      </c>
      <c r="H2189" s="116"/>
      <c r="I2189" s="116"/>
      <c r="L2189" s="169">
        <v>45229</v>
      </c>
      <c r="M2189" s="116">
        <v>275.89999999999998</v>
      </c>
      <c r="N2189" s="116">
        <v>286.5</v>
      </c>
      <c r="O2189" s="116">
        <v>273.75</v>
      </c>
      <c r="P2189" s="116">
        <v>280.55</v>
      </c>
      <c r="Q2189" s="116">
        <v>275.89999999999998</v>
      </c>
      <c r="R2189">
        <v>139309</v>
      </c>
    </row>
    <row r="2190" spans="1:18" x14ac:dyDescent="0.25">
      <c r="A2190" s="169">
        <v>45264</v>
      </c>
      <c r="B2190" s="116">
        <v>376.55</v>
      </c>
      <c r="C2190" s="116">
        <v>376.55</v>
      </c>
      <c r="D2190" s="116">
        <v>314.5</v>
      </c>
      <c r="E2190" s="116">
        <v>317.89999999999998</v>
      </c>
      <c r="F2190" s="116">
        <v>376.55</v>
      </c>
      <c r="G2190">
        <v>124803</v>
      </c>
      <c r="H2190" s="116"/>
      <c r="I2190" s="116"/>
      <c r="L2190" s="169">
        <v>45230</v>
      </c>
      <c r="M2190" s="116">
        <v>308.35000000000002</v>
      </c>
      <c r="N2190" s="116">
        <v>314.10000000000002</v>
      </c>
      <c r="O2190" s="116">
        <v>276.25</v>
      </c>
      <c r="P2190" s="116">
        <v>278</v>
      </c>
      <c r="Q2190" s="116">
        <v>308.35000000000002</v>
      </c>
      <c r="R2190">
        <v>278514</v>
      </c>
    </row>
    <row r="2191" spans="1:18" x14ac:dyDescent="0.25">
      <c r="A2191" s="169">
        <v>45265</v>
      </c>
      <c r="B2191" s="116">
        <v>396.55</v>
      </c>
      <c r="C2191" s="116">
        <v>380</v>
      </c>
      <c r="D2191" s="116">
        <v>370.45</v>
      </c>
      <c r="E2191" s="116">
        <v>383.9</v>
      </c>
      <c r="F2191" s="116">
        <v>380</v>
      </c>
      <c r="G2191">
        <v>39199</v>
      </c>
      <c r="H2191" s="116"/>
      <c r="I2191" s="116"/>
      <c r="L2191" s="169">
        <v>45231</v>
      </c>
      <c r="M2191" s="116">
        <v>300.05</v>
      </c>
      <c r="N2191" s="116">
        <v>318</v>
      </c>
      <c r="O2191" s="116">
        <v>293.55</v>
      </c>
      <c r="P2191" s="116">
        <v>311.25</v>
      </c>
      <c r="Q2191" s="116">
        <v>300.05</v>
      </c>
      <c r="R2191">
        <v>121642</v>
      </c>
    </row>
    <row r="2192" spans="1:18" x14ac:dyDescent="0.25">
      <c r="A2192" s="169">
        <v>45266</v>
      </c>
      <c r="B2192" s="116">
        <v>383.25</v>
      </c>
      <c r="C2192" s="116">
        <v>374.65</v>
      </c>
      <c r="D2192" s="116">
        <v>373.65</v>
      </c>
      <c r="E2192" s="116">
        <v>380</v>
      </c>
      <c r="F2192" s="116">
        <v>374.65</v>
      </c>
      <c r="G2192">
        <v>5192</v>
      </c>
      <c r="H2192" s="116"/>
      <c r="I2192" s="116"/>
      <c r="L2192" s="169">
        <v>45232</v>
      </c>
      <c r="M2192" s="116">
        <v>308.45</v>
      </c>
      <c r="N2192" s="116">
        <v>312</v>
      </c>
      <c r="O2192" s="116">
        <v>302.05</v>
      </c>
      <c r="P2192" s="116">
        <v>302.89999999999998</v>
      </c>
      <c r="Q2192" s="116">
        <v>308.45</v>
      </c>
      <c r="R2192">
        <v>48700</v>
      </c>
    </row>
    <row r="2193" spans="1:18" x14ac:dyDescent="0.25">
      <c r="A2193" s="169">
        <v>45267</v>
      </c>
      <c r="B2193" s="116">
        <v>386.75</v>
      </c>
      <c r="C2193" s="116">
        <v>377.15</v>
      </c>
      <c r="D2193" s="116">
        <v>371</v>
      </c>
      <c r="E2193" s="116">
        <v>373.95</v>
      </c>
      <c r="F2193" s="116">
        <v>377.15</v>
      </c>
      <c r="G2193">
        <v>5402</v>
      </c>
      <c r="H2193" s="116"/>
      <c r="I2193" s="116"/>
      <c r="L2193" s="169">
        <v>45233</v>
      </c>
      <c r="M2193" s="116">
        <v>314</v>
      </c>
      <c r="N2193" s="116">
        <v>319.05</v>
      </c>
      <c r="O2193" s="116">
        <v>307.05</v>
      </c>
      <c r="P2193" s="116">
        <v>313.10000000000002</v>
      </c>
      <c r="Q2193" s="116">
        <v>314</v>
      </c>
      <c r="R2193">
        <v>43407</v>
      </c>
    </row>
    <row r="2194" spans="1:18" x14ac:dyDescent="0.25">
      <c r="A2194" s="169">
        <v>45268</v>
      </c>
      <c r="B2194" s="116">
        <v>378</v>
      </c>
      <c r="C2194" s="116">
        <v>377.05</v>
      </c>
      <c r="D2194" s="116">
        <v>371.95</v>
      </c>
      <c r="E2194" s="116">
        <v>376.95</v>
      </c>
      <c r="F2194" s="116">
        <v>377.05</v>
      </c>
      <c r="G2194">
        <v>1550</v>
      </c>
      <c r="H2194" s="116"/>
      <c r="I2194" s="116"/>
      <c r="L2194" s="169">
        <v>45236</v>
      </c>
      <c r="M2194" s="116">
        <v>308.3</v>
      </c>
      <c r="N2194" s="116">
        <v>320.8</v>
      </c>
      <c r="O2194" s="116">
        <v>306.60000000000002</v>
      </c>
      <c r="P2194" s="116">
        <v>314</v>
      </c>
      <c r="Q2194" s="116">
        <v>308.3</v>
      </c>
      <c r="R2194">
        <v>28810</v>
      </c>
    </row>
    <row r="2195" spans="1:18" x14ac:dyDescent="0.25">
      <c r="A2195" s="169">
        <v>45271</v>
      </c>
      <c r="B2195" s="116">
        <v>379.6</v>
      </c>
      <c r="C2195" s="116">
        <v>376.7</v>
      </c>
      <c r="D2195" s="116">
        <v>360</v>
      </c>
      <c r="E2195" s="116">
        <v>360</v>
      </c>
      <c r="F2195" s="116">
        <v>376.7</v>
      </c>
      <c r="G2195">
        <v>5708</v>
      </c>
      <c r="H2195" s="116"/>
      <c r="I2195" s="116"/>
      <c r="L2195" s="169">
        <v>45237</v>
      </c>
      <c r="M2195" s="116">
        <v>313.05</v>
      </c>
      <c r="N2195" s="116">
        <v>319.35000000000002</v>
      </c>
      <c r="O2195" s="116">
        <v>308.3</v>
      </c>
      <c r="P2195" s="116">
        <v>308.3</v>
      </c>
      <c r="Q2195" s="116">
        <v>313.05</v>
      </c>
      <c r="R2195">
        <v>25555</v>
      </c>
    </row>
    <row r="2196" spans="1:18" x14ac:dyDescent="0.25">
      <c r="A2196" s="169">
        <v>45272</v>
      </c>
      <c r="B2196" s="116">
        <v>385</v>
      </c>
      <c r="C2196" s="116">
        <v>370</v>
      </c>
      <c r="D2196" s="116">
        <v>366.75</v>
      </c>
      <c r="E2196" s="116">
        <v>382.3</v>
      </c>
      <c r="F2196" s="116">
        <v>370</v>
      </c>
      <c r="G2196">
        <v>5934</v>
      </c>
      <c r="H2196" s="116"/>
      <c r="I2196" s="116"/>
      <c r="L2196" s="169">
        <v>45238</v>
      </c>
      <c r="M2196" s="116">
        <v>312.5</v>
      </c>
      <c r="N2196" s="116">
        <v>316.5</v>
      </c>
      <c r="O2196" s="116">
        <v>311</v>
      </c>
      <c r="P2196" s="116">
        <v>314</v>
      </c>
      <c r="Q2196" s="116">
        <v>312.5</v>
      </c>
      <c r="R2196">
        <v>21430</v>
      </c>
    </row>
    <row r="2197" spans="1:18" x14ac:dyDescent="0.25">
      <c r="A2197" s="169">
        <v>45273</v>
      </c>
      <c r="B2197" s="116">
        <v>377</v>
      </c>
      <c r="C2197" s="116">
        <v>370.05</v>
      </c>
      <c r="D2197" s="116">
        <v>365</v>
      </c>
      <c r="E2197" s="116">
        <v>369.7</v>
      </c>
      <c r="F2197" s="116">
        <v>370.05</v>
      </c>
      <c r="G2197">
        <v>4858</v>
      </c>
      <c r="H2197" s="116"/>
      <c r="I2197" s="116"/>
      <c r="L2197" s="169">
        <v>45239</v>
      </c>
      <c r="M2197" s="116">
        <v>310.5</v>
      </c>
      <c r="N2197" s="116">
        <v>318</v>
      </c>
      <c r="O2197" s="116">
        <v>305</v>
      </c>
      <c r="P2197" s="116">
        <v>314.2</v>
      </c>
      <c r="Q2197" s="116">
        <v>310.5</v>
      </c>
      <c r="R2197">
        <v>22544</v>
      </c>
    </row>
    <row r="2198" spans="1:18" x14ac:dyDescent="0.25">
      <c r="A2198" s="169">
        <v>45274</v>
      </c>
      <c r="B2198" s="116">
        <v>373.7</v>
      </c>
      <c r="C2198" s="116">
        <v>369.4</v>
      </c>
      <c r="D2198" s="116">
        <v>365.7</v>
      </c>
      <c r="E2198" s="116">
        <v>367.5</v>
      </c>
      <c r="F2198" s="116">
        <v>369.4</v>
      </c>
      <c r="G2198">
        <v>3860</v>
      </c>
      <c r="H2198" s="116"/>
      <c r="I2198" s="116"/>
      <c r="L2198" s="169">
        <v>45240</v>
      </c>
      <c r="M2198" s="116">
        <v>309.8</v>
      </c>
      <c r="N2198" s="116">
        <v>314.10000000000002</v>
      </c>
      <c r="O2198" s="116">
        <v>304.95</v>
      </c>
      <c r="P2198" s="116">
        <v>311</v>
      </c>
      <c r="Q2198" s="116">
        <v>309.8</v>
      </c>
      <c r="R2198">
        <v>24430</v>
      </c>
    </row>
    <row r="2199" spans="1:18" x14ac:dyDescent="0.25">
      <c r="A2199" s="169">
        <v>45275</v>
      </c>
      <c r="B2199" s="116">
        <v>375.05</v>
      </c>
      <c r="C2199" s="116">
        <v>360.4</v>
      </c>
      <c r="D2199" s="116">
        <v>358</v>
      </c>
      <c r="E2199" s="116">
        <v>363</v>
      </c>
      <c r="F2199" s="116">
        <v>360.4</v>
      </c>
      <c r="G2199">
        <v>6258</v>
      </c>
      <c r="H2199" s="116"/>
      <c r="I2199" s="116"/>
      <c r="L2199" s="169">
        <v>45242</v>
      </c>
      <c r="M2199" s="116">
        <v>310.45</v>
      </c>
      <c r="N2199" s="116">
        <v>325</v>
      </c>
      <c r="O2199" s="116">
        <v>305</v>
      </c>
      <c r="P2199" s="116">
        <v>310.05</v>
      </c>
      <c r="Q2199" s="116">
        <v>310.45</v>
      </c>
      <c r="R2199">
        <v>13167</v>
      </c>
    </row>
    <row r="2200" spans="1:18" x14ac:dyDescent="0.25">
      <c r="A2200" s="169">
        <v>45278</v>
      </c>
      <c r="B2200" s="116">
        <v>369</v>
      </c>
      <c r="C2200" s="116">
        <v>367.2</v>
      </c>
      <c r="D2200" s="116">
        <v>359.55</v>
      </c>
      <c r="E2200" s="116">
        <v>361.9</v>
      </c>
      <c r="F2200" s="116">
        <v>367.2</v>
      </c>
      <c r="G2200">
        <v>23078</v>
      </c>
      <c r="H2200" s="116"/>
      <c r="I2200" s="116"/>
      <c r="L2200" s="169">
        <v>45243</v>
      </c>
      <c r="M2200" s="116">
        <v>307.05</v>
      </c>
      <c r="N2200" s="116">
        <v>314.3</v>
      </c>
      <c r="O2200" s="116">
        <v>305.3</v>
      </c>
      <c r="P2200" s="116">
        <v>311.7</v>
      </c>
      <c r="Q2200" s="116">
        <v>307.05</v>
      </c>
      <c r="R2200">
        <v>19175</v>
      </c>
    </row>
    <row r="2201" spans="1:18" x14ac:dyDescent="0.25">
      <c r="A2201" s="169">
        <v>45279</v>
      </c>
      <c r="B2201" s="116">
        <v>371</v>
      </c>
      <c r="C2201" s="116">
        <v>367.1</v>
      </c>
      <c r="D2201" s="116">
        <v>363.95</v>
      </c>
      <c r="E2201" s="116">
        <v>370.4</v>
      </c>
      <c r="F2201" s="116">
        <v>367.1</v>
      </c>
      <c r="G2201">
        <v>1467</v>
      </c>
      <c r="H2201" s="116"/>
      <c r="I2201" s="116"/>
      <c r="L2201" s="169">
        <v>45245</v>
      </c>
      <c r="M2201" s="116">
        <v>318.25</v>
      </c>
      <c r="N2201" s="116">
        <v>324.64999999999998</v>
      </c>
      <c r="O2201" s="116">
        <v>309.45</v>
      </c>
      <c r="P2201" s="116">
        <v>311.10000000000002</v>
      </c>
      <c r="Q2201" s="116">
        <v>318.25</v>
      </c>
      <c r="R2201">
        <v>50749</v>
      </c>
    </row>
    <row r="2202" spans="1:18" x14ac:dyDescent="0.25">
      <c r="A2202" s="169">
        <v>45280</v>
      </c>
      <c r="B2202" s="116">
        <v>373.1</v>
      </c>
      <c r="C2202" s="116">
        <v>350.9</v>
      </c>
      <c r="D2202" s="116">
        <v>341.15</v>
      </c>
      <c r="E2202" s="116">
        <v>373.1</v>
      </c>
      <c r="F2202" s="116">
        <v>350.9</v>
      </c>
      <c r="G2202">
        <v>3957</v>
      </c>
      <c r="H2202" s="116"/>
      <c r="I2202" s="116"/>
      <c r="L2202" s="169">
        <v>45246</v>
      </c>
      <c r="M2202" s="116">
        <v>314.25</v>
      </c>
      <c r="N2202" s="116">
        <v>324.5</v>
      </c>
      <c r="O2202" s="116">
        <v>312.85000000000002</v>
      </c>
      <c r="P2202" s="116">
        <v>320.7</v>
      </c>
      <c r="Q2202" s="116">
        <v>314.25</v>
      </c>
      <c r="R2202">
        <v>25629</v>
      </c>
    </row>
    <row r="2203" spans="1:18" x14ac:dyDescent="0.25">
      <c r="A2203" s="169">
        <v>45281</v>
      </c>
      <c r="B2203" s="116">
        <v>387.05</v>
      </c>
      <c r="C2203" s="116">
        <v>379.1</v>
      </c>
      <c r="D2203" s="116">
        <v>346.35</v>
      </c>
      <c r="E2203" s="116">
        <v>348.2</v>
      </c>
      <c r="F2203" s="116">
        <v>379.1</v>
      </c>
      <c r="G2203">
        <v>7346</v>
      </c>
      <c r="H2203" s="116"/>
      <c r="I2203" s="116"/>
      <c r="L2203" s="169">
        <v>45247</v>
      </c>
      <c r="M2203" s="116">
        <v>319.2</v>
      </c>
      <c r="N2203" s="116">
        <v>326.39999999999998</v>
      </c>
      <c r="O2203" s="116">
        <v>311.8</v>
      </c>
      <c r="P2203" s="116">
        <v>318.89999999999998</v>
      </c>
      <c r="Q2203" s="116">
        <v>319.2</v>
      </c>
      <c r="R2203">
        <v>33134</v>
      </c>
    </row>
    <row r="2204" spans="1:18" x14ac:dyDescent="0.25">
      <c r="A2204" s="169">
        <v>45282</v>
      </c>
      <c r="B2204" s="116">
        <v>454.9</v>
      </c>
      <c r="C2204" s="116">
        <v>454.1</v>
      </c>
      <c r="D2204" s="116">
        <v>379.6</v>
      </c>
      <c r="E2204" s="116">
        <v>386.7</v>
      </c>
      <c r="F2204" s="116">
        <v>454.1</v>
      </c>
      <c r="G2204">
        <v>98050</v>
      </c>
      <c r="H2204" s="116"/>
      <c r="I2204" s="116"/>
      <c r="L2204" s="169">
        <v>45250</v>
      </c>
      <c r="M2204" s="116">
        <v>316.95</v>
      </c>
      <c r="N2204" s="116">
        <v>320.2</v>
      </c>
      <c r="O2204" s="116">
        <v>313.95</v>
      </c>
      <c r="P2204" s="116">
        <v>318.55</v>
      </c>
      <c r="Q2204" s="116">
        <v>316.95</v>
      </c>
      <c r="R2204">
        <v>14261</v>
      </c>
    </row>
    <row r="2205" spans="1:18" x14ac:dyDescent="0.25">
      <c r="A2205" s="169">
        <v>45286</v>
      </c>
      <c r="B2205" s="116">
        <v>450.5</v>
      </c>
      <c r="C2205" s="116">
        <v>433.7</v>
      </c>
      <c r="D2205" s="116">
        <v>428.15</v>
      </c>
      <c r="E2205" s="116">
        <v>449.1</v>
      </c>
      <c r="F2205" s="116">
        <v>433.7</v>
      </c>
      <c r="G2205">
        <v>27244</v>
      </c>
      <c r="H2205" s="116"/>
      <c r="I2205" s="116"/>
      <c r="L2205" s="169">
        <v>45251</v>
      </c>
      <c r="M2205" s="116">
        <v>315.25</v>
      </c>
      <c r="N2205" s="116">
        <v>323.75</v>
      </c>
      <c r="O2205" s="116">
        <v>313</v>
      </c>
      <c r="P2205" s="116">
        <v>320.2</v>
      </c>
      <c r="Q2205" s="116">
        <v>315.25</v>
      </c>
      <c r="R2205">
        <v>13758</v>
      </c>
    </row>
    <row r="2206" spans="1:18" x14ac:dyDescent="0.25">
      <c r="A2206" s="169">
        <v>45287</v>
      </c>
      <c r="B2206" s="116">
        <v>449.9</v>
      </c>
      <c r="C2206" s="116">
        <v>446.25</v>
      </c>
      <c r="D2206" s="116">
        <v>428.1</v>
      </c>
      <c r="E2206" s="116">
        <v>439.95</v>
      </c>
      <c r="F2206" s="116">
        <v>446.25</v>
      </c>
      <c r="G2206">
        <v>12664</v>
      </c>
      <c r="H2206" s="116"/>
      <c r="I2206" s="116"/>
      <c r="L2206" s="169">
        <v>45252</v>
      </c>
      <c r="M2206" s="116">
        <v>324.45</v>
      </c>
      <c r="N2206" s="116">
        <v>335</v>
      </c>
      <c r="O2206" s="116">
        <v>314.3</v>
      </c>
      <c r="P2206" s="116">
        <v>317.75</v>
      </c>
      <c r="Q2206" s="116">
        <v>324.45</v>
      </c>
      <c r="R2206">
        <v>96868</v>
      </c>
    </row>
    <row r="2207" spans="1:18" x14ac:dyDescent="0.25">
      <c r="A2207" s="169">
        <v>45288</v>
      </c>
      <c r="B2207" s="116">
        <v>445.05</v>
      </c>
      <c r="C2207" s="116">
        <v>431.95</v>
      </c>
      <c r="D2207" s="116">
        <v>422.35</v>
      </c>
      <c r="E2207" s="116">
        <v>445.05</v>
      </c>
      <c r="F2207" s="116">
        <v>431.95</v>
      </c>
      <c r="G2207">
        <v>10886</v>
      </c>
      <c r="H2207" s="116"/>
      <c r="I2207" s="116"/>
      <c r="L2207" s="169">
        <v>45253</v>
      </c>
      <c r="M2207" s="116">
        <v>320.8</v>
      </c>
      <c r="N2207" s="116">
        <v>325.95</v>
      </c>
      <c r="O2207" s="116">
        <v>320.10000000000002</v>
      </c>
      <c r="P2207" s="116">
        <v>323.85000000000002</v>
      </c>
      <c r="Q2207" s="116">
        <v>320.8</v>
      </c>
      <c r="R2207">
        <v>24491</v>
      </c>
    </row>
    <row r="2208" spans="1:18" x14ac:dyDescent="0.25">
      <c r="A2208" s="169">
        <v>45289</v>
      </c>
      <c r="B2208" s="116">
        <v>437</v>
      </c>
      <c r="C2208" s="116">
        <v>426.45</v>
      </c>
      <c r="D2208" s="116">
        <v>420.7</v>
      </c>
      <c r="E2208" s="116">
        <v>431.95</v>
      </c>
      <c r="F2208" s="116">
        <v>426.45</v>
      </c>
      <c r="G2208">
        <v>6977</v>
      </c>
      <c r="H2208" s="116"/>
      <c r="I2208" s="116"/>
      <c r="L2208" s="169">
        <v>45254</v>
      </c>
      <c r="M2208" s="116">
        <v>318.14999999999998</v>
      </c>
      <c r="N2208" s="116">
        <v>325.35000000000002</v>
      </c>
      <c r="O2208" s="116">
        <v>315.5</v>
      </c>
      <c r="P2208" s="116">
        <v>323</v>
      </c>
      <c r="Q2208" s="116">
        <v>318.14999999999998</v>
      </c>
      <c r="R2208">
        <v>21210</v>
      </c>
    </row>
    <row r="2209" spans="1:18" x14ac:dyDescent="0.25">
      <c r="A2209" s="169">
        <v>45292</v>
      </c>
      <c r="B2209" s="116">
        <v>431.75</v>
      </c>
      <c r="C2209" s="116">
        <v>426.9</v>
      </c>
      <c r="D2209" s="116">
        <v>403.6</v>
      </c>
      <c r="E2209" s="116">
        <v>403.6</v>
      </c>
      <c r="F2209" s="116">
        <v>426.9</v>
      </c>
      <c r="G2209">
        <v>5409</v>
      </c>
      <c r="H2209" s="116"/>
      <c r="I2209" s="116"/>
      <c r="L2209" s="169">
        <v>45258</v>
      </c>
      <c r="M2209" s="116">
        <v>318.55</v>
      </c>
      <c r="N2209" s="116">
        <v>325</v>
      </c>
      <c r="O2209" s="116">
        <v>316</v>
      </c>
      <c r="P2209" s="116">
        <v>319</v>
      </c>
      <c r="Q2209" s="116">
        <v>318.55</v>
      </c>
      <c r="R2209">
        <v>26311</v>
      </c>
    </row>
    <row r="2210" spans="1:18" x14ac:dyDescent="0.25">
      <c r="A2210" s="169">
        <v>45293</v>
      </c>
      <c r="B2210" s="116">
        <v>431.45</v>
      </c>
      <c r="C2210" s="116">
        <v>426.7</v>
      </c>
      <c r="D2210" s="116">
        <v>420.1</v>
      </c>
      <c r="E2210" s="116">
        <v>422</v>
      </c>
      <c r="F2210" s="116">
        <v>426.7</v>
      </c>
      <c r="G2210">
        <v>5374</v>
      </c>
      <c r="H2210" s="116"/>
      <c r="I2210" s="116"/>
      <c r="L2210" s="169">
        <v>45259</v>
      </c>
      <c r="M2210" s="116">
        <v>316.75</v>
      </c>
      <c r="N2210" s="116">
        <v>320.7</v>
      </c>
      <c r="O2210" s="116">
        <v>312.85000000000002</v>
      </c>
      <c r="P2210" s="116">
        <v>320.25</v>
      </c>
      <c r="Q2210" s="116">
        <v>316.75</v>
      </c>
      <c r="R2210">
        <v>20276</v>
      </c>
    </row>
    <row r="2211" spans="1:18" x14ac:dyDescent="0.25">
      <c r="A2211" s="169">
        <v>45294</v>
      </c>
      <c r="B2211" s="116">
        <v>436</v>
      </c>
      <c r="C2211" s="116">
        <v>431.65</v>
      </c>
      <c r="D2211" s="116">
        <v>421.8</v>
      </c>
      <c r="E2211" s="116">
        <v>426.55</v>
      </c>
      <c r="F2211" s="116">
        <v>431.65</v>
      </c>
      <c r="G2211">
        <v>3539</v>
      </c>
      <c r="H2211" s="116"/>
      <c r="I2211" s="116"/>
      <c r="L2211" s="169">
        <v>45260</v>
      </c>
      <c r="M2211" s="116">
        <v>311.55</v>
      </c>
      <c r="N2211" s="116">
        <v>318.89999999999998</v>
      </c>
      <c r="O2211" s="116">
        <v>310.05</v>
      </c>
      <c r="P2211" s="116">
        <v>316.75</v>
      </c>
      <c r="Q2211" s="116">
        <v>311.55</v>
      </c>
      <c r="R2211">
        <v>29944</v>
      </c>
    </row>
    <row r="2212" spans="1:18" x14ac:dyDescent="0.25">
      <c r="A2212" s="169">
        <v>45295</v>
      </c>
      <c r="B2212" s="116">
        <v>482.55</v>
      </c>
      <c r="C2212" s="116">
        <v>466</v>
      </c>
      <c r="D2212" s="116">
        <v>436</v>
      </c>
      <c r="E2212" s="116">
        <v>437</v>
      </c>
      <c r="F2212" s="116">
        <v>466</v>
      </c>
      <c r="G2212">
        <v>37006</v>
      </c>
      <c r="H2212" s="116"/>
      <c r="I2212" s="116"/>
      <c r="L2212" s="169">
        <v>45261</v>
      </c>
      <c r="M2212" s="116">
        <v>313.3</v>
      </c>
      <c r="N2212" s="116">
        <v>319</v>
      </c>
      <c r="O2212" s="116">
        <v>312.25</v>
      </c>
      <c r="P2212" s="116">
        <v>312.89999999999998</v>
      </c>
      <c r="Q2212" s="116">
        <v>313.3</v>
      </c>
      <c r="R2212">
        <v>37623</v>
      </c>
    </row>
    <row r="2213" spans="1:18" x14ac:dyDescent="0.25">
      <c r="A2213" s="169">
        <v>45296</v>
      </c>
      <c r="B2213" s="116">
        <v>466</v>
      </c>
      <c r="C2213" s="116">
        <v>456.1</v>
      </c>
      <c r="D2213" s="116">
        <v>451.95</v>
      </c>
      <c r="E2213" s="116">
        <v>466</v>
      </c>
      <c r="F2213" s="116">
        <v>456.1</v>
      </c>
      <c r="G2213">
        <v>13662</v>
      </c>
      <c r="H2213" s="116"/>
      <c r="I2213" s="116"/>
      <c r="L2213" s="169">
        <v>45264</v>
      </c>
      <c r="M2213" s="116">
        <v>375.95</v>
      </c>
      <c r="N2213" s="116">
        <v>375.95</v>
      </c>
      <c r="O2213" s="116">
        <v>315</v>
      </c>
      <c r="P2213" s="116">
        <v>316.2</v>
      </c>
      <c r="Q2213" s="116">
        <v>375.95</v>
      </c>
      <c r="R2213">
        <v>1705518</v>
      </c>
    </row>
    <row r="2214" spans="1:18" x14ac:dyDescent="0.25">
      <c r="A2214" s="169">
        <v>45299</v>
      </c>
      <c r="B2214" s="116">
        <v>488.4</v>
      </c>
      <c r="C2214" s="116">
        <v>460.4</v>
      </c>
      <c r="D2214" s="116">
        <v>454</v>
      </c>
      <c r="E2214" s="116">
        <v>454</v>
      </c>
      <c r="F2214" s="116">
        <v>460.4</v>
      </c>
      <c r="G2214">
        <v>16490</v>
      </c>
      <c r="H2214" s="116"/>
      <c r="I2214" s="116"/>
      <c r="L2214" s="169">
        <v>45265</v>
      </c>
      <c r="M2214" s="116">
        <v>378</v>
      </c>
      <c r="N2214" s="116">
        <v>397.4</v>
      </c>
      <c r="O2214" s="116">
        <v>370.35</v>
      </c>
      <c r="P2214" s="116">
        <v>380.8</v>
      </c>
      <c r="Q2214" s="116">
        <v>378</v>
      </c>
      <c r="R2214">
        <v>925385</v>
      </c>
    </row>
    <row r="2215" spans="1:18" x14ac:dyDescent="0.25">
      <c r="A2215" s="169">
        <v>45300</v>
      </c>
      <c r="B2215" s="116">
        <v>474</v>
      </c>
      <c r="C2215" s="116">
        <v>455.95</v>
      </c>
      <c r="D2215" s="116">
        <v>450.05</v>
      </c>
      <c r="E2215" s="116">
        <v>464</v>
      </c>
      <c r="F2215" s="116">
        <v>455.95</v>
      </c>
      <c r="G2215">
        <v>4803</v>
      </c>
      <c r="H2215" s="116"/>
      <c r="I2215" s="116"/>
      <c r="L2215" s="169">
        <v>45266</v>
      </c>
      <c r="M2215" s="116">
        <v>374.65</v>
      </c>
      <c r="N2215" s="116">
        <v>384.2</v>
      </c>
      <c r="O2215" s="116">
        <v>373.75</v>
      </c>
      <c r="P2215" s="116">
        <v>378</v>
      </c>
      <c r="Q2215" s="116">
        <v>374.65</v>
      </c>
      <c r="R2215">
        <v>94436</v>
      </c>
    </row>
    <row r="2216" spans="1:18" x14ac:dyDescent="0.25">
      <c r="A2216" s="169">
        <v>45301</v>
      </c>
      <c r="B2216" s="116">
        <v>458.5</v>
      </c>
      <c r="C2216" s="116">
        <v>444.35</v>
      </c>
      <c r="D2216" s="116">
        <v>441</v>
      </c>
      <c r="E2216" s="116">
        <v>458.3</v>
      </c>
      <c r="F2216" s="116">
        <v>444.35</v>
      </c>
      <c r="G2216">
        <v>5878</v>
      </c>
      <c r="H2216" s="116"/>
      <c r="I2216" s="116"/>
      <c r="L2216" s="169">
        <v>45267</v>
      </c>
      <c r="M2216" s="116">
        <v>377.95</v>
      </c>
      <c r="N2216" s="116">
        <v>387.5</v>
      </c>
      <c r="O2216" s="116">
        <v>371.05</v>
      </c>
      <c r="P2216" s="116">
        <v>373.85</v>
      </c>
      <c r="Q2216" s="116">
        <v>377.95</v>
      </c>
      <c r="R2216">
        <v>53941</v>
      </c>
    </row>
    <row r="2217" spans="1:18" x14ac:dyDescent="0.25">
      <c r="A2217" s="169">
        <v>45302</v>
      </c>
      <c r="B2217" s="116">
        <v>456</v>
      </c>
      <c r="C2217" s="116">
        <v>446.1</v>
      </c>
      <c r="D2217" s="116">
        <v>441.85</v>
      </c>
      <c r="E2217" s="116">
        <v>445.9</v>
      </c>
      <c r="F2217" s="116">
        <v>446.1</v>
      </c>
      <c r="G2217">
        <v>6749</v>
      </c>
      <c r="H2217" s="116"/>
      <c r="I2217" s="116"/>
      <c r="L2217" s="169">
        <v>45268</v>
      </c>
      <c r="M2217" s="116">
        <v>375.75</v>
      </c>
      <c r="N2217" s="116">
        <v>381</v>
      </c>
      <c r="O2217" s="116">
        <v>373</v>
      </c>
      <c r="P2217" s="116">
        <v>377.95</v>
      </c>
      <c r="Q2217" s="116">
        <v>375.75</v>
      </c>
      <c r="R2217">
        <v>44674</v>
      </c>
    </row>
    <row r="2218" spans="1:18" x14ac:dyDescent="0.25">
      <c r="A2218" s="169">
        <v>45303</v>
      </c>
      <c r="B2218" s="116">
        <v>455.9</v>
      </c>
      <c r="C2218" s="116">
        <v>453.85</v>
      </c>
      <c r="D2218" s="116">
        <v>443.1</v>
      </c>
      <c r="E2218" s="116">
        <v>455</v>
      </c>
      <c r="F2218" s="116">
        <v>453.85</v>
      </c>
      <c r="G2218">
        <v>3053</v>
      </c>
      <c r="H2218" s="116"/>
      <c r="I2218" s="116"/>
      <c r="L2218" s="169">
        <v>45271</v>
      </c>
      <c r="M2218" s="116">
        <v>376</v>
      </c>
      <c r="N2218" s="116">
        <v>380.9</v>
      </c>
      <c r="O2218" s="116">
        <v>372.85</v>
      </c>
      <c r="P2218" s="116">
        <v>377.8</v>
      </c>
      <c r="Q2218" s="116">
        <v>376</v>
      </c>
      <c r="R2218">
        <v>34043</v>
      </c>
    </row>
    <row r="2219" spans="1:18" x14ac:dyDescent="0.25">
      <c r="A2219" s="169">
        <v>45306</v>
      </c>
      <c r="B2219" s="116">
        <v>466.7</v>
      </c>
      <c r="C2219" s="116">
        <v>447</v>
      </c>
      <c r="D2219" s="116">
        <v>443.3</v>
      </c>
      <c r="E2219" s="116">
        <v>445.5</v>
      </c>
      <c r="F2219" s="116">
        <v>447</v>
      </c>
      <c r="G2219">
        <v>6422</v>
      </c>
      <c r="H2219" s="116"/>
      <c r="I2219" s="116"/>
      <c r="L2219" s="169">
        <v>45272</v>
      </c>
      <c r="M2219" s="116">
        <v>369.25</v>
      </c>
      <c r="N2219" s="116">
        <v>385</v>
      </c>
      <c r="O2219" s="116">
        <v>366.5</v>
      </c>
      <c r="P2219" s="116">
        <v>380</v>
      </c>
      <c r="Q2219" s="116">
        <v>369.25</v>
      </c>
      <c r="R2219">
        <v>64196</v>
      </c>
    </row>
    <row r="2220" spans="1:18" x14ac:dyDescent="0.25">
      <c r="A2220" s="169">
        <v>45307</v>
      </c>
      <c r="B2220" s="116">
        <v>450</v>
      </c>
      <c r="C2220" s="116">
        <v>437.05</v>
      </c>
      <c r="D2220" s="116">
        <v>430.55</v>
      </c>
      <c r="E2220" s="116">
        <v>450</v>
      </c>
      <c r="F2220" s="116">
        <v>437.05</v>
      </c>
      <c r="G2220">
        <v>8807</v>
      </c>
      <c r="H2220" s="116"/>
      <c r="I2220" s="116"/>
      <c r="L2220" s="169">
        <v>45273</v>
      </c>
      <c r="M2220" s="116">
        <v>369.1</v>
      </c>
      <c r="N2220" s="116">
        <v>376.45</v>
      </c>
      <c r="O2220" s="116">
        <v>364.95</v>
      </c>
      <c r="P2220" s="116">
        <v>369.25</v>
      </c>
      <c r="Q2220" s="116">
        <v>369.1</v>
      </c>
      <c r="R2220">
        <v>83787</v>
      </c>
    </row>
    <row r="2221" spans="1:18" x14ac:dyDescent="0.25">
      <c r="A2221" s="169">
        <v>45308</v>
      </c>
      <c r="B2221" s="116">
        <v>445</v>
      </c>
      <c r="C2221" s="116">
        <v>434.75</v>
      </c>
      <c r="D2221" s="116">
        <v>425.95</v>
      </c>
      <c r="E2221" s="116">
        <v>431.05</v>
      </c>
      <c r="F2221" s="116">
        <v>434.75</v>
      </c>
      <c r="G2221">
        <v>3818</v>
      </c>
      <c r="H2221" s="116"/>
      <c r="I2221" s="116"/>
      <c r="L2221" s="169">
        <v>45274</v>
      </c>
      <c r="M2221" s="116">
        <v>368.8</v>
      </c>
      <c r="N2221" s="116">
        <v>374.55</v>
      </c>
      <c r="O2221" s="116">
        <v>366</v>
      </c>
      <c r="P2221" s="116">
        <v>371.85</v>
      </c>
      <c r="Q2221" s="116">
        <v>368.8</v>
      </c>
      <c r="R2221">
        <v>67537</v>
      </c>
    </row>
    <row r="2222" spans="1:18" x14ac:dyDescent="0.25">
      <c r="A2222" s="169">
        <v>45309</v>
      </c>
      <c r="B2222" s="116">
        <v>433.05</v>
      </c>
      <c r="C2222" s="116">
        <v>427.7</v>
      </c>
      <c r="D2222" s="116">
        <v>420</v>
      </c>
      <c r="E2222" s="116">
        <v>429.95</v>
      </c>
      <c r="F2222" s="116">
        <v>427.7</v>
      </c>
      <c r="G2222">
        <v>2377</v>
      </c>
      <c r="H2222" s="116"/>
      <c r="I2222" s="116"/>
      <c r="L2222" s="169">
        <v>45275</v>
      </c>
      <c r="M2222" s="116">
        <v>359.7</v>
      </c>
      <c r="N2222" s="116">
        <v>374.85</v>
      </c>
      <c r="O2222" s="116">
        <v>357.55</v>
      </c>
      <c r="P2222" s="116">
        <v>369</v>
      </c>
      <c r="Q2222" s="116">
        <v>359.7</v>
      </c>
      <c r="R2222">
        <v>52483</v>
      </c>
    </row>
    <row r="2223" spans="1:18" x14ac:dyDescent="0.25">
      <c r="A2223" s="169">
        <v>45310</v>
      </c>
      <c r="B2223" s="116">
        <v>451.45</v>
      </c>
      <c r="C2223" s="116">
        <v>444.2</v>
      </c>
      <c r="D2223" s="116">
        <v>428</v>
      </c>
      <c r="E2223" s="116">
        <v>431.5</v>
      </c>
      <c r="F2223" s="116">
        <v>444.2</v>
      </c>
      <c r="G2223">
        <v>3381</v>
      </c>
      <c r="H2223" s="116"/>
      <c r="I2223" s="116"/>
      <c r="L2223" s="169">
        <v>45278</v>
      </c>
      <c r="M2223" s="116">
        <v>367.85</v>
      </c>
      <c r="N2223" s="116">
        <v>372.4</v>
      </c>
      <c r="O2223" s="116">
        <v>360</v>
      </c>
      <c r="P2223" s="116">
        <v>364</v>
      </c>
      <c r="Q2223" s="116">
        <v>367.85</v>
      </c>
      <c r="R2223">
        <v>49535</v>
      </c>
    </row>
    <row r="2224" spans="1:18" x14ac:dyDescent="0.25">
      <c r="A2224" s="169">
        <v>45311</v>
      </c>
      <c r="B2224" s="116">
        <v>461</v>
      </c>
      <c r="C2224" s="116">
        <v>456.7</v>
      </c>
      <c r="D2224" s="116">
        <v>443.65</v>
      </c>
      <c r="E2224" s="116">
        <v>447.5</v>
      </c>
      <c r="F2224" s="116">
        <v>456.7</v>
      </c>
      <c r="G2224">
        <v>1623</v>
      </c>
      <c r="H2224" s="116"/>
      <c r="I2224" s="116"/>
      <c r="L2224" s="169">
        <v>45279</v>
      </c>
      <c r="M2224" s="116">
        <v>367.75</v>
      </c>
      <c r="N2224" s="116">
        <v>373.7</v>
      </c>
      <c r="O2224" s="116">
        <v>364.15</v>
      </c>
      <c r="P2224" s="116">
        <v>370</v>
      </c>
      <c r="Q2224" s="116">
        <v>367.75</v>
      </c>
      <c r="R2224">
        <v>30083</v>
      </c>
    </row>
    <row r="2225" spans="1:18" x14ac:dyDescent="0.25">
      <c r="A2225" s="169">
        <v>45314</v>
      </c>
      <c r="B2225" s="116">
        <v>488</v>
      </c>
      <c r="C2225" s="116">
        <v>452</v>
      </c>
      <c r="D2225" s="116">
        <v>449.7</v>
      </c>
      <c r="E2225" s="116">
        <v>463.3</v>
      </c>
      <c r="F2225" s="116">
        <v>452</v>
      </c>
      <c r="G2225">
        <v>11564</v>
      </c>
      <c r="H2225" s="116"/>
      <c r="I2225" s="116"/>
      <c r="L2225" s="169">
        <v>45280</v>
      </c>
      <c r="M2225" s="116">
        <v>348.2</v>
      </c>
      <c r="N2225" s="116">
        <v>375.4</v>
      </c>
      <c r="O2225" s="116">
        <v>340.55</v>
      </c>
      <c r="P2225" s="116">
        <v>372.95</v>
      </c>
      <c r="Q2225" s="116">
        <v>348.2</v>
      </c>
      <c r="R2225">
        <v>64249</v>
      </c>
    </row>
    <row r="2226" spans="1:18" x14ac:dyDescent="0.25">
      <c r="A2226" s="169">
        <v>45315</v>
      </c>
      <c r="B2226" s="116">
        <v>469.2</v>
      </c>
      <c r="C2226" s="116">
        <v>459.85</v>
      </c>
      <c r="D2226" s="116">
        <v>443.05</v>
      </c>
      <c r="E2226" s="116">
        <v>443.05</v>
      </c>
      <c r="F2226" s="116">
        <v>459.85</v>
      </c>
      <c r="G2226">
        <v>4359</v>
      </c>
      <c r="H2226" s="116"/>
      <c r="I2226" s="116"/>
      <c r="L2226" s="169">
        <v>45281</v>
      </c>
      <c r="M2226" s="116">
        <v>379.35</v>
      </c>
      <c r="N2226" s="116">
        <v>388</v>
      </c>
      <c r="O2226" s="116">
        <v>347.65</v>
      </c>
      <c r="P2226" s="116">
        <v>352.35</v>
      </c>
      <c r="Q2226" s="116">
        <v>379.35</v>
      </c>
      <c r="R2226">
        <v>162830</v>
      </c>
    </row>
    <row r="2227" spans="1:18" x14ac:dyDescent="0.25">
      <c r="A2227" s="169">
        <v>45316</v>
      </c>
      <c r="B2227" s="116">
        <v>491</v>
      </c>
      <c r="C2227" s="116">
        <v>487.75</v>
      </c>
      <c r="D2227" s="116">
        <v>447</v>
      </c>
      <c r="E2227" s="116">
        <v>467.85</v>
      </c>
      <c r="F2227" s="116">
        <v>487.75</v>
      </c>
      <c r="G2227">
        <v>956105</v>
      </c>
      <c r="H2227" s="116"/>
      <c r="I2227" s="116"/>
      <c r="L2227" s="169">
        <v>45282</v>
      </c>
      <c r="M2227" s="116">
        <v>454.05</v>
      </c>
      <c r="N2227" s="116">
        <v>455.2</v>
      </c>
      <c r="O2227" s="116">
        <v>375</v>
      </c>
      <c r="P2227" s="116">
        <v>385.05</v>
      </c>
      <c r="Q2227" s="116">
        <v>454.05</v>
      </c>
      <c r="R2227">
        <v>2108889</v>
      </c>
    </row>
    <row r="2228" spans="1:18" x14ac:dyDescent="0.25">
      <c r="A2228" s="169">
        <v>45320</v>
      </c>
      <c r="B2228" s="116">
        <v>497.1</v>
      </c>
      <c r="C2228" s="116">
        <v>476.35</v>
      </c>
      <c r="D2228" s="116">
        <v>474</v>
      </c>
      <c r="E2228" s="116">
        <v>496.65</v>
      </c>
      <c r="F2228" s="116">
        <v>476.35</v>
      </c>
      <c r="G2228">
        <v>11812</v>
      </c>
      <c r="H2228" s="116"/>
      <c r="I2228" s="116"/>
      <c r="L2228" s="169">
        <v>45286</v>
      </c>
      <c r="M2228" s="116">
        <v>432.9</v>
      </c>
      <c r="N2228" s="116">
        <v>452.5</v>
      </c>
      <c r="O2228" s="116">
        <v>428</v>
      </c>
      <c r="P2228" s="116">
        <v>452.5</v>
      </c>
      <c r="Q2228" s="116">
        <v>432.9</v>
      </c>
      <c r="R2228">
        <v>338721</v>
      </c>
    </row>
    <row r="2229" spans="1:18" x14ac:dyDescent="0.25">
      <c r="A2229" s="169">
        <v>45321</v>
      </c>
      <c r="B2229" s="116">
        <v>490</v>
      </c>
      <c r="C2229" s="116">
        <v>487.8</v>
      </c>
      <c r="D2229" s="116">
        <v>474.5</v>
      </c>
      <c r="E2229" s="116">
        <v>484.5</v>
      </c>
      <c r="F2229" s="116">
        <v>487.8</v>
      </c>
      <c r="G2229">
        <v>18507</v>
      </c>
      <c r="H2229" s="116"/>
      <c r="I2229" s="116"/>
      <c r="L2229" s="169">
        <v>45287</v>
      </c>
      <c r="M2229" s="116">
        <v>446.35</v>
      </c>
      <c r="N2229" s="116">
        <v>450</v>
      </c>
      <c r="O2229" s="116">
        <v>428.25</v>
      </c>
      <c r="P2229" s="116">
        <v>433.8</v>
      </c>
      <c r="Q2229" s="116">
        <v>446.35</v>
      </c>
      <c r="R2229">
        <v>219163</v>
      </c>
    </row>
    <row r="2230" spans="1:18" x14ac:dyDescent="0.25">
      <c r="A2230" s="169">
        <v>45322</v>
      </c>
      <c r="B2230" s="116">
        <v>488</v>
      </c>
      <c r="C2230" s="116">
        <v>475.6</v>
      </c>
      <c r="D2230" s="116">
        <v>468.25</v>
      </c>
      <c r="E2230" s="116">
        <v>488</v>
      </c>
      <c r="F2230" s="116">
        <v>475.6</v>
      </c>
      <c r="G2230">
        <v>17722</v>
      </c>
      <c r="H2230" s="116"/>
      <c r="I2230" s="116"/>
      <c r="L2230" s="169">
        <v>45288</v>
      </c>
      <c r="M2230" s="116">
        <v>431.6</v>
      </c>
      <c r="N2230" s="116">
        <v>446.3</v>
      </c>
      <c r="O2230" s="116">
        <v>421.7</v>
      </c>
      <c r="P2230" s="116">
        <v>446.3</v>
      </c>
      <c r="Q2230" s="116">
        <v>431.6</v>
      </c>
      <c r="R2230">
        <v>79733</v>
      </c>
    </row>
    <row r="2231" spans="1:18" x14ac:dyDescent="0.25">
      <c r="A2231" s="169">
        <v>45323</v>
      </c>
      <c r="B2231" s="116">
        <v>569.95000000000005</v>
      </c>
      <c r="C2231" s="116">
        <v>560.95000000000005</v>
      </c>
      <c r="D2231" s="116">
        <v>463.55</v>
      </c>
      <c r="E2231" s="116">
        <v>476.35</v>
      </c>
      <c r="F2231" s="116">
        <v>560.95000000000005</v>
      </c>
      <c r="G2231">
        <v>67151</v>
      </c>
      <c r="H2231" s="116"/>
      <c r="I2231" s="116"/>
      <c r="L2231" s="169">
        <v>45289</v>
      </c>
      <c r="M2231" s="116">
        <v>424.85</v>
      </c>
      <c r="N2231" s="116">
        <v>437.4</v>
      </c>
      <c r="O2231" s="116">
        <v>421.1</v>
      </c>
      <c r="P2231" s="116">
        <v>434</v>
      </c>
      <c r="Q2231" s="116">
        <v>424.85</v>
      </c>
      <c r="R2231">
        <v>43525</v>
      </c>
    </row>
    <row r="2232" spans="1:18" x14ac:dyDescent="0.25">
      <c r="A2232" s="169">
        <v>45324</v>
      </c>
      <c r="B2232" s="116">
        <v>627.20000000000005</v>
      </c>
      <c r="C2232" s="116">
        <v>584.65</v>
      </c>
      <c r="D2232" s="116">
        <v>537.20000000000005</v>
      </c>
      <c r="E2232" s="116">
        <v>565</v>
      </c>
      <c r="F2232" s="116">
        <v>584.65</v>
      </c>
      <c r="G2232">
        <v>75085</v>
      </c>
      <c r="H2232" s="116"/>
      <c r="I2232" s="116"/>
      <c r="L2232" s="169">
        <v>45292</v>
      </c>
      <c r="M2232" s="116">
        <v>427.55</v>
      </c>
      <c r="N2232" s="116">
        <v>432.8</v>
      </c>
      <c r="O2232" s="116">
        <v>420.05</v>
      </c>
      <c r="P2232" s="116">
        <v>420.35</v>
      </c>
      <c r="Q2232" s="116">
        <v>427.55</v>
      </c>
      <c r="R2232">
        <v>43400</v>
      </c>
    </row>
    <row r="2233" spans="1:18" x14ac:dyDescent="0.25">
      <c r="A2233" s="169">
        <v>45327</v>
      </c>
      <c r="B2233" s="116">
        <v>590.95000000000005</v>
      </c>
      <c r="C2233" s="116">
        <v>566.54999999999995</v>
      </c>
      <c r="D2233" s="116">
        <v>508</v>
      </c>
      <c r="E2233" s="116">
        <v>539.54999999999995</v>
      </c>
      <c r="F2233" s="116">
        <v>566.54999999999995</v>
      </c>
      <c r="G2233">
        <v>18041</v>
      </c>
      <c r="H2233" s="116"/>
      <c r="I2233" s="116"/>
      <c r="L2233" s="169">
        <v>45293</v>
      </c>
      <c r="M2233" s="116">
        <v>425.45</v>
      </c>
      <c r="N2233" s="116">
        <v>432</v>
      </c>
      <c r="O2233" s="116">
        <v>420.05</v>
      </c>
      <c r="P2233" s="116">
        <v>421.5</v>
      </c>
      <c r="Q2233" s="116">
        <v>425.45</v>
      </c>
      <c r="R2233">
        <v>35685</v>
      </c>
    </row>
    <row r="2234" spans="1:18" x14ac:dyDescent="0.25">
      <c r="A2234" s="169">
        <v>45328</v>
      </c>
      <c r="B2234" s="116">
        <v>584.95000000000005</v>
      </c>
      <c r="C2234" s="116">
        <v>555.9</v>
      </c>
      <c r="D2234" s="116">
        <v>548.4</v>
      </c>
      <c r="E2234" s="116">
        <v>558</v>
      </c>
      <c r="F2234" s="116">
        <v>555.9</v>
      </c>
      <c r="G2234">
        <v>11334</v>
      </c>
      <c r="H2234" s="116"/>
      <c r="I2234" s="116"/>
      <c r="L2234" s="169">
        <v>45294</v>
      </c>
      <c r="M2234" s="116">
        <v>428.55</v>
      </c>
      <c r="N2234" s="116">
        <v>433.6</v>
      </c>
      <c r="O2234" s="116">
        <v>422.4</v>
      </c>
      <c r="P2234" s="116">
        <v>425</v>
      </c>
      <c r="Q2234" s="116">
        <v>428.55</v>
      </c>
      <c r="R2234">
        <v>25961</v>
      </c>
    </row>
    <row r="2235" spans="1:18" x14ac:dyDescent="0.25">
      <c r="A2235" s="169">
        <v>45329</v>
      </c>
      <c r="B2235" s="116">
        <v>573.65</v>
      </c>
      <c r="C2235" s="116">
        <v>553.04999999999995</v>
      </c>
      <c r="D2235" s="116">
        <v>545</v>
      </c>
      <c r="E2235" s="116">
        <v>559.70000000000005</v>
      </c>
      <c r="F2235" s="116">
        <v>553.04999999999995</v>
      </c>
      <c r="G2235">
        <v>9496</v>
      </c>
      <c r="H2235" s="116"/>
      <c r="I2235" s="116"/>
      <c r="L2235" s="169">
        <v>45295</v>
      </c>
      <c r="M2235" s="116">
        <v>465.6</v>
      </c>
      <c r="N2235" s="116">
        <v>482</v>
      </c>
      <c r="O2235" s="116">
        <v>434.8</v>
      </c>
      <c r="P2235" s="116">
        <v>437.85</v>
      </c>
      <c r="Q2235" s="116">
        <v>465.6</v>
      </c>
      <c r="R2235">
        <v>410102</v>
      </c>
    </row>
    <row r="2236" spans="1:18" x14ac:dyDescent="0.25">
      <c r="A2236" s="169">
        <v>45330</v>
      </c>
      <c r="B2236" s="116">
        <v>560</v>
      </c>
      <c r="C2236" s="116">
        <v>532.75</v>
      </c>
      <c r="D2236" s="116">
        <v>530</v>
      </c>
      <c r="E2236" s="116">
        <v>560</v>
      </c>
      <c r="F2236" s="116">
        <v>532.75</v>
      </c>
      <c r="G2236">
        <v>8687</v>
      </c>
      <c r="H2236" s="116"/>
      <c r="I2236" s="116"/>
      <c r="L2236" s="169">
        <v>45296</v>
      </c>
      <c r="M2236" s="116">
        <v>454.7</v>
      </c>
      <c r="N2236" s="116">
        <v>469.9</v>
      </c>
      <c r="O2236" s="116">
        <v>451.95</v>
      </c>
      <c r="P2236" s="116">
        <v>469.9</v>
      </c>
      <c r="Q2236" s="116">
        <v>454.7</v>
      </c>
      <c r="R2236">
        <v>58924</v>
      </c>
    </row>
    <row r="2237" spans="1:18" x14ac:dyDescent="0.25">
      <c r="A2237" s="169">
        <v>45331</v>
      </c>
      <c r="B2237" s="116">
        <v>543.45000000000005</v>
      </c>
      <c r="C2237" s="116">
        <v>519.25</v>
      </c>
      <c r="D2237" s="116">
        <v>508</v>
      </c>
      <c r="E2237" s="116">
        <v>543.45000000000005</v>
      </c>
      <c r="F2237" s="116">
        <v>519.25</v>
      </c>
      <c r="G2237">
        <v>9090</v>
      </c>
      <c r="H2237" s="116"/>
      <c r="I2237" s="116"/>
      <c r="L2237" s="169">
        <v>45299</v>
      </c>
      <c r="M2237" s="116">
        <v>461.45</v>
      </c>
      <c r="N2237" s="116">
        <v>489.75</v>
      </c>
      <c r="O2237" s="116">
        <v>452.85</v>
      </c>
      <c r="P2237" s="116">
        <v>456.8</v>
      </c>
      <c r="Q2237" s="116">
        <v>461.45</v>
      </c>
      <c r="R2237">
        <v>133226</v>
      </c>
    </row>
    <row r="2238" spans="1:18" x14ac:dyDescent="0.25">
      <c r="A2238" s="169">
        <v>45334</v>
      </c>
      <c r="B2238" s="116">
        <v>532</v>
      </c>
      <c r="C2238" s="116">
        <v>488.7</v>
      </c>
      <c r="D2238" s="116">
        <v>471.55</v>
      </c>
      <c r="E2238" s="116">
        <v>530.1</v>
      </c>
      <c r="F2238" s="116">
        <v>488.7</v>
      </c>
      <c r="G2238">
        <v>10351</v>
      </c>
      <c r="H2238" s="116"/>
      <c r="I2238" s="116"/>
      <c r="L2238" s="169">
        <v>45300</v>
      </c>
      <c r="M2238" s="116">
        <v>455.25</v>
      </c>
      <c r="N2238" s="116">
        <v>475.9</v>
      </c>
      <c r="O2238" s="116">
        <v>450.2</v>
      </c>
      <c r="P2238" s="116">
        <v>462.8</v>
      </c>
      <c r="Q2238" s="116">
        <v>455.25</v>
      </c>
      <c r="R2238">
        <v>68135</v>
      </c>
    </row>
    <row r="2239" spans="1:18" x14ac:dyDescent="0.25">
      <c r="A2239" s="169">
        <v>45335</v>
      </c>
      <c r="B2239" s="116">
        <v>503.5</v>
      </c>
      <c r="C2239" s="116">
        <v>492.65</v>
      </c>
      <c r="D2239" s="116">
        <v>471.45</v>
      </c>
      <c r="E2239" s="116">
        <v>478.95</v>
      </c>
      <c r="F2239" s="116">
        <v>492.65</v>
      </c>
      <c r="G2239">
        <v>7174</v>
      </c>
      <c r="H2239" s="116"/>
      <c r="I2239" s="116"/>
      <c r="L2239" s="169">
        <v>45301</v>
      </c>
      <c r="M2239" s="116">
        <v>444.65</v>
      </c>
      <c r="N2239" s="116">
        <v>458.8</v>
      </c>
      <c r="O2239" s="116">
        <v>440.45</v>
      </c>
      <c r="P2239" s="116">
        <v>458.8</v>
      </c>
      <c r="Q2239" s="116">
        <v>444.65</v>
      </c>
      <c r="R2239">
        <v>36107</v>
      </c>
    </row>
    <row r="2240" spans="1:18" x14ac:dyDescent="0.25">
      <c r="A2240" s="169">
        <v>45336</v>
      </c>
      <c r="B2240" s="116">
        <v>507.75</v>
      </c>
      <c r="C2240" s="116">
        <v>498.7</v>
      </c>
      <c r="D2240" s="116">
        <v>490</v>
      </c>
      <c r="E2240" s="116">
        <v>496</v>
      </c>
      <c r="F2240" s="116">
        <v>498.7</v>
      </c>
      <c r="G2240">
        <v>3136</v>
      </c>
      <c r="H2240" s="116"/>
      <c r="I2240" s="116"/>
      <c r="L2240" s="169">
        <v>45302</v>
      </c>
      <c r="M2240" s="116">
        <v>445.1</v>
      </c>
      <c r="N2240" s="116">
        <v>456.7</v>
      </c>
      <c r="O2240" s="116">
        <v>441.95</v>
      </c>
      <c r="P2240" s="116">
        <v>449.7</v>
      </c>
      <c r="Q2240" s="116">
        <v>445.1</v>
      </c>
      <c r="R2240">
        <v>38003</v>
      </c>
    </row>
    <row r="2241" spans="1:18" x14ac:dyDescent="0.25">
      <c r="A2241" s="169">
        <v>45337</v>
      </c>
      <c r="B2241" s="116">
        <v>520.5</v>
      </c>
      <c r="C2241" s="116">
        <v>514.20000000000005</v>
      </c>
      <c r="D2241" s="116">
        <v>507</v>
      </c>
      <c r="E2241" s="116">
        <v>515.04999999999995</v>
      </c>
      <c r="F2241" s="116">
        <v>514.20000000000005</v>
      </c>
      <c r="G2241">
        <v>4831</v>
      </c>
      <c r="H2241" s="116"/>
      <c r="I2241" s="116"/>
      <c r="L2241" s="169">
        <v>45303</v>
      </c>
      <c r="M2241" s="116">
        <v>452.25</v>
      </c>
      <c r="N2241" s="116">
        <v>456.15</v>
      </c>
      <c r="O2241" s="116">
        <v>443.15</v>
      </c>
      <c r="P2241" s="116">
        <v>449</v>
      </c>
      <c r="Q2241" s="116">
        <v>452.25</v>
      </c>
      <c r="R2241">
        <v>28940</v>
      </c>
    </row>
    <row r="2242" spans="1:18" x14ac:dyDescent="0.25">
      <c r="A2242" s="169">
        <v>45338</v>
      </c>
      <c r="B2242" s="116">
        <v>529.4</v>
      </c>
      <c r="C2242" s="116">
        <v>514.5</v>
      </c>
      <c r="D2242" s="116">
        <v>507.95</v>
      </c>
      <c r="E2242" s="116">
        <v>523</v>
      </c>
      <c r="F2242" s="116">
        <v>514.5</v>
      </c>
      <c r="G2242">
        <v>6981</v>
      </c>
      <c r="H2242" s="116"/>
      <c r="I2242" s="116"/>
      <c r="L2242" s="169">
        <v>45306</v>
      </c>
      <c r="M2242" s="116">
        <v>447.65</v>
      </c>
      <c r="N2242" s="116">
        <v>473</v>
      </c>
      <c r="O2242" s="116">
        <v>443.35</v>
      </c>
      <c r="P2242" s="116">
        <v>460</v>
      </c>
      <c r="Q2242" s="116">
        <v>447.65</v>
      </c>
      <c r="R2242">
        <v>50856</v>
      </c>
    </row>
    <row r="2243" spans="1:18" x14ac:dyDescent="0.25">
      <c r="A2243" s="169">
        <v>45341</v>
      </c>
      <c r="B2243" s="116">
        <v>520.70000000000005</v>
      </c>
      <c r="C2243" s="116">
        <v>504.2</v>
      </c>
      <c r="D2243" s="116">
        <v>502</v>
      </c>
      <c r="E2243" s="116">
        <v>510.15</v>
      </c>
      <c r="F2243" s="116">
        <v>504.2</v>
      </c>
      <c r="G2243">
        <v>4328</v>
      </c>
      <c r="H2243" s="116"/>
      <c r="I2243" s="116"/>
      <c r="L2243" s="169">
        <v>45307</v>
      </c>
      <c r="M2243" s="116">
        <v>436.25</v>
      </c>
      <c r="N2243" s="116">
        <v>453.05</v>
      </c>
      <c r="O2243" s="116">
        <v>430.9</v>
      </c>
      <c r="P2243" s="116">
        <v>450.8</v>
      </c>
      <c r="Q2243" s="116">
        <v>436.25</v>
      </c>
      <c r="R2243">
        <v>37172</v>
      </c>
    </row>
    <row r="2244" spans="1:18" x14ac:dyDescent="0.25">
      <c r="A2244" s="169">
        <v>45342</v>
      </c>
      <c r="B2244" s="116">
        <v>514.75</v>
      </c>
      <c r="C2244" s="116">
        <v>508.45</v>
      </c>
      <c r="D2244" s="116">
        <v>495</v>
      </c>
      <c r="E2244" s="116">
        <v>506</v>
      </c>
      <c r="F2244" s="116">
        <v>508.45</v>
      </c>
      <c r="G2244">
        <v>8458</v>
      </c>
      <c r="H2244" s="116"/>
      <c r="I2244" s="116"/>
      <c r="L2244" s="169">
        <v>45308</v>
      </c>
      <c r="M2244" s="116">
        <v>436.1</v>
      </c>
      <c r="N2244" s="116">
        <v>446.15</v>
      </c>
      <c r="O2244" s="116">
        <v>421.55</v>
      </c>
      <c r="P2244" s="116">
        <v>436.25</v>
      </c>
      <c r="Q2244" s="116">
        <v>436.1</v>
      </c>
      <c r="R2244">
        <v>27618</v>
      </c>
    </row>
    <row r="2245" spans="1:18" x14ac:dyDescent="0.25">
      <c r="A2245" s="169">
        <v>45343</v>
      </c>
      <c r="B2245" s="116">
        <v>516.5</v>
      </c>
      <c r="C2245" s="116">
        <v>507</v>
      </c>
      <c r="D2245" s="116">
        <v>504.55</v>
      </c>
      <c r="E2245" s="116">
        <v>506</v>
      </c>
      <c r="F2245" s="116">
        <v>507</v>
      </c>
      <c r="G2245">
        <v>4790</v>
      </c>
      <c r="H2245" s="116"/>
      <c r="I2245" s="116"/>
      <c r="L2245" s="169">
        <v>45309</v>
      </c>
      <c r="M2245" s="116">
        <v>428.35</v>
      </c>
      <c r="N2245" s="116">
        <v>433.2</v>
      </c>
      <c r="O2245" s="116">
        <v>420</v>
      </c>
      <c r="P2245" s="116">
        <v>431.75</v>
      </c>
      <c r="Q2245" s="116">
        <v>428.35</v>
      </c>
      <c r="R2245">
        <v>29734</v>
      </c>
    </row>
    <row r="2246" spans="1:18" x14ac:dyDescent="0.25">
      <c r="A2246" s="169">
        <v>45344</v>
      </c>
      <c r="B2246" s="116">
        <v>516.25</v>
      </c>
      <c r="C2246" s="116">
        <v>482.85</v>
      </c>
      <c r="D2246" s="116">
        <v>470.95</v>
      </c>
      <c r="E2246" s="116">
        <v>515</v>
      </c>
      <c r="F2246" s="116">
        <v>482.85</v>
      </c>
      <c r="G2246">
        <v>11190</v>
      </c>
      <c r="H2246" s="116"/>
      <c r="I2246" s="116"/>
      <c r="L2246" s="169">
        <v>45310</v>
      </c>
      <c r="M2246" s="116">
        <v>444.55</v>
      </c>
      <c r="N2246" s="116">
        <v>451.9</v>
      </c>
      <c r="O2246" s="116">
        <v>426.85</v>
      </c>
      <c r="P2246" s="116">
        <v>433.2</v>
      </c>
      <c r="Q2246" s="116">
        <v>444.55</v>
      </c>
      <c r="R2246">
        <v>71052</v>
      </c>
    </row>
    <row r="2247" spans="1:18" x14ac:dyDescent="0.25">
      <c r="A2247" s="169">
        <v>45345</v>
      </c>
      <c r="B2247" s="116">
        <v>496.7</v>
      </c>
      <c r="C2247" s="116">
        <v>491.5</v>
      </c>
      <c r="D2247" s="116">
        <v>483</v>
      </c>
      <c r="E2247" s="116">
        <v>483</v>
      </c>
      <c r="F2247" s="116">
        <v>491.5</v>
      </c>
      <c r="G2247">
        <v>3532</v>
      </c>
      <c r="H2247" s="116"/>
      <c r="I2247" s="116"/>
      <c r="L2247" s="169">
        <v>45311</v>
      </c>
      <c r="M2247" s="116">
        <v>451.55</v>
      </c>
      <c r="N2247" s="116">
        <v>463.95</v>
      </c>
      <c r="O2247" s="116">
        <v>441.95</v>
      </c>
      <c r="P2247" s="116">
        <v>451.2</v>
      </c>
      <c r="Q2247" s="116">
        <v>451.55</v>
      </c>
      <c r="R2247">
        <v>107786</v>
      </c>
    </row>
    <row r="2248" spans="1:18" x14ac:dyDescent="0.25">
      <c r="A2248" s="169">
        <v>45348</v>
      </c>
      <c r="B2248" s="116">
        <v>500</v>
      </c>
      <c r="C2248" s="116">
        <v>488.7</v>
      </c>
      <c r="D2248" s="116">
        <v>484</v>
      </c>
      <c r="E2248" s="116">
        <v>485</v>
      </c>
      <c r="F2248" s="116">
        <v>488.7</v>
      </c>
      <c r="G2248">
        <v>3528</v>
      </c>
      <c r="H2248" s="116"/>
      <c r="I2248" s="116"/>
      <c r="L2248" s="169">
        <v>45314</v>
      </c>
      <c r="M2248" s="116">
        <v>452.15</v>
      </c>
      <c r="N2248" s="116">
        <v>488.75</v>
      </c>
      <c r="O2248" s="116">
        <v>450</v>
      </c>
      <c r="P2248" s="116">
        <v>460</v>
      </c>
      <c r="Q2248" s="116">
        <v>452.15</v>
      </c>
      <c r="R2248">
        <v>290793</v>
      </c>
    </row>
    <row r="2249" spans="1:18" x14ac:dyDescent="0.25">
      <c r="A2249" s="169">
        <v>45349</v>
      </c>
      <c r="B2249" s="116">
        <v>505.1</v>
      </c>
      <c r="C2249" s="116">
        <v>491.85</v>
      </c>
      <c r="D2249" s="116">
        <v>486.2</v>
      </c>
      <c r="E2249" s="116">
        <v>491.9</v>
      </c>
      <c r="F2249" s="116">
        <v>491.85</v>
      </c>
      <c r="G2249">
        <v>2507</v>
      </c>
      <c r="H2249" s="116"/>
      <c r="I2249" s="116"/>
      <c r="L2249" s="169">
        <v>45315</v>
      </c>
      <c r="M2249" s="116">
        <v>459.5</v>
      </c>
      <c r="N2249" s="116">
        <v>470.9</v>
      </c>
      <c r="O2249" s="116">
        <v>450.1</v>
      </c>
      <c r="P2249" s="116">
        <v>452</v>
      </c>
      <c r="Q2249" s="116">
        <v>459.5</v>
      </c>
      <c r="R2249">
        <v>97108</v>
      </c>
    </row>
    <row r="2250" spans="1:18" x14ac:dyDescent="0.25">
      <c r="A2250" s="169">
        <v>45350</v>
      </c>
      <c r="B2250" s="116">
        <v>517.5</v>
      </c>
      <c r="C2250" s="116">
        <v>489.75</v>
      </c>
      <c r="D2250" s="116">
        <v>485.6</v>
      </c>
      <c r="E2250" s="116">
        <v>494.95</v>
      </c>
      <c r="F2250" s="116">
        <v>489.75</v>
      </c>
      <c r="G2250">
        <v>7764</v>
      </c>
      <c r="H2250" s="116"/>
      <c r="I2250" s="116"/>
      <c r="L2250" s="169">
        <v>45316</v>
      </c>
      <c r="M2250" s="116">
        <v>488.25</v>
      </c>
      <c r="N2250" s="116">
        <v>492.65</v>
      </c>
      <c r="O2250" s="116">
        <v>446.95</v>
      </c>
      <c r="P2250" s="116">
        <v>461.65</v>
      </c>
      <c r="Q2250" s="116">
        <v>488.25</v>
      </c>
      <c r="R2250">
        <v>1640292</v>
      </c>
    </row>
    <row r="2251" spans="1:18" x14ac:dyDescent="0.25">
      <c r="A2251" s="169">
        <v>45351</v>
      </c>
      <c r="B2251" s="116">
        <v>490.2</v>
      </c>
      <c r="C2251" s="116">
        <v>487.6</v>
      </c>
      <c r="D2251" s="116">
        <v>483.1</v>
      </c>
      <c r="E2251" s="116">
        <v>488.15</v>
      </c>
      <c r="F2251" s="116">
        <v>487.6</v>
      </c>
      <c r="G2251">
        <v>943</v>
      </c>
      <c r="H2251" s="116"/>
      <c r="I2251" s="116"/>
      <c r="L2251" s="169">
        <v>45320</v>
      </c>
      <c r="M2251" s="116">
        <v>476.1</v>
      </c>
      <c r="N2251" s="116">
        <v>497.9</v>
      </c>
      <c r="O2251" s="116">
        <v>473</v>
      </c>
      <c r="P2251" s="116">
        <v>493</v>
      </c>
      <c r="Q2251" s="116">
        <v>476.1</v>
      </c>
      <c r="R2251">
        <v>133119</v>
      </c>
    </row>
    <row r="2252" spans="1:18" x14ac:dyDescent="0.25">
      <c r="A2252" s="169">
        <v>45352</v>
      </c>
      <c r="B2252" s="116">
        <v>498.1</v>
      </c>
      <c r="C2252" s="116">
        <v>489.95</v>
      </c>
      <c r="D2252" s="116">
        <v>486.95</v>
      </c>
      <c r="E2252" s="116">
        <v>489.1</v>
      </c>
      <c r="F2252" s="116">
        <v>489.95</v>
      </c>
      <c r="G2252">
        <v>817</v>
      </c>
      <c r="H2252" s="116"/>
      <c r="I2252" s="116"/>
      <c r="L2252" s="169">
        <v>45321</v>
      </c>
      <c r="M2252" s="116">
        <v>487</v>
      </c>
      <c r="N2252" s="116">
        <v>490</v>
      </c>
      <c r="O2252" s="116">
        <v>474.5</v>
      </c>
      <c r="P2252" s="116">
        <v>477.8</v>
      </c>
      <c r="Q2252" s="116">
        <v>487</v>
      </c>
      <c r="R2252">
        <v>90769</v>
      </c>
    </row>
    <row r="2253" spans="1:18" x14ac:dyDescent="0.25">
      <c r="A2253" s="169">
        <v>45353</v>
      </c>
      <c r="B2253" s="116">
        <v>499.3</v>
      </c>
      <c r="C2253" s="116">
        <v>492.95</v>
      </c>
      <c r="D2253" s="116">
        <v>492.95</v>
      </c>
      <c r="E2253" s="116">
        <v>497.2</v>
      </c>
      <c r="F2253" s="116">
        <v>492.95</v>
      </c>
      <c r="G2253">
        <v>41</v>
      </c>
      <c r="H2253" s="116"/>
      <c r="I2253" s="116"/>
      <c r="L2253" s="169">
        <v>45322</v>
      </c>
      <c r="M2253" s="116">
        <v>475.45</v>
      </c>
      <c r="N2253" s="116">
        <v>488</v>
      </c>
      <c r="O2253" s="116">
        <v>468.5</v>
      </c>
      <c r="P2253" s="116">
        <v>487.7</v>
      </c>
      <c r="Q2253" s="116">
        <v>475.45</v>
      </c>
      <c r="R2253">
        <v>85734</v>
      </c>
    </row>
    <row r="2254" spans="1:18" x14ac:dyDescent="0.25">
      <c r="A2254" s="169">
        <v>45355</v>
      </c>
      <c r="B2254" s="116">
        <v>499.2</v>
      </c>
      <c r="C2254" s="116">
        <v>484.2</v>
      </c>
      <c r="D2254" s="116">
        <v>481.5</v>
      </c>
      <c r="E2254" s="116">
        <v>488.45</v>
      </c>
      <c r="F2254" s="116">
        <v>484.2</v>
      </c>
      <c r="G2254">
        <v>4209</v>
      </c>
      <c r="H2254" s="116"/>
      <c r="I2254" s="116"/>
      <c r="L2254" s="169">
        <v>45323</v>
      </c>
      <c r="M2254" s="116">
        <v>560.4</v>
      </c>
      <c r="N2254" s="116">
        <v>569.5</v>
      </c>
      <c r="O2254" s="116">
        <v>463.85</v>
      </c>
      <c r="P2254" s="116">
        <v>477.8</v>
      </c>
      <c r="Q2254" s="116">
        <v>560.4</v>
      </c>
      <c r="R2254">
        <v>1463081</v>
      </c>
    </row>
    <row r="2255" spans="1:18" x14ac:dyDescent="0.25">
      <c r="A2255" s="169">
        <v>45356</v>
      </c>
      <c r="B2255" s="116">
        <v>488.4</v>
      </c>
      <c r="C2255" s="116">
        <v>483.45</v>
      </c>
      <c r="D2255" s="116">
        <v>482.1</v>
      </c>
      <c r="E2255" s="116">
        <v>487.5</v>
      </c>
      <c r="F2255" s="116">
        <v>483.45</v>
      </c>
      <c r="G2255">
        <v>382</v>
      </c>
      <c r="H2255" s="116"/>
      <c r="I2255" s="116"/>
      <c r="L2255" s="169">
        <v>45324</v>
      </c>
      <c r="M2255" s="116">
        <v>594.70000000000005</v>
      </c>
      <c r="N2255" s="116">
        <v>629.95000000000005</v>
      </c>
      <c r="O2255" s="116">
        <v>535.95000000000005</v>
      </c>
      <c r="P2255" s="116">
        <v>565</v>
      </c>
      <c r="Q2255" s="116">
        <v>594.70000000000005</v>
      </c>
      <c r="R2255">
        <v>934510</v>
      </c>
    </row>
    <row r="2256" spans="1:18" x14ac:dyDescent="0.25">
      <c r="A2256" s="169">
        <v>45357</v>
      </c>
      <c r="B2256" s="116">
        <v>482.7</v>
      </c>
      <c r="C2256" s="116">
        <v>454.3</v>
      </c>
      <c r="D2256" s="116">
        <v>446.4</v>
      </c>
      <c r="E2256" s="116">
        <v>477.95</v>
      </c>
      <c r="F2256" s="116">
        <v>454.3</v>
      </c>
      <c r="G2256">
        <v>10308</v>
      </c>
      <c r="H2256" s="116"/>
      <c r="I2256" s="116"/>
      <c r="L2256" s="169">
        <v>45327</v>
      </c>
      <c r="M2256" s="116">
        <v>564</v>
      </c>
      <c r="N2256" s="116">
        <v>593</v>
      </c>
      <c r="O2256" s="116">
        <v>507.45</v>
      </c>
      <c r="P2256" s="116">
        <v>535.1</v>
      </c>
      <c r="Q2256" s="116">
        <v>564</v>
      </c>
      <c r="R2256">
        <v>581709</v>
      </c>
    </row>
    <row r="2257" spans="1:18" x14ac:dyDescent="0.25">
      <c r="A2257" s="169">
        <v>45358</v>
      </c>
      <c r="B2257" s="116">
        <v>468</v>
      </c>
      <c r="C2257" s="116">
        <v>467.15</v>
      </c>
      <c r="D2257" s="116">
        <v>458.6</v>
      </c>
      <c r="E2257" s="116">
        <v>462.55</v>
      </c>
      <c r="F2257" s="116">
        <v>467.15</v>
      </c>
      <c r="G2257">
        <v>2658</v>
      </c>
      <c r="H2257" s="116"/>
      <c r="I2257" s="116"/>
      <c r="L2257" s="169">
        <v>45328</v>
      </c>
      <c r="M2257" s="116">
        <v>554.6</v>
      </c>
      <c r="N2257" s="116">
        <v>585</v>
      </c>
      <c r="O2257" s="116">
        <v>549</v>
      </c>
      <c r="P2257" s="116">
        <v>558.45000000000005</v>
      </c>
      <c r="Q2257" s="116">
        <v>554.6</v>
      </c>
      <c r="R2257">
        <v>120812</v>
      </c>
    </row>
    <row r="2258" spans="1:18" x14ac:dyDescent="0.25">
      <c r="A2258" s="169">
        <v>45362</v>
      </c>
      <c r="B2258" s="116">
        <v>474.95</v>
      </c>
      <c r="C2258" s="116">
        <v>432.95</v>
      </c>
      <c r="D2258" s="116">
        <v>430.1</v>
      </c>
      <c r="E2258" s="116">
        <v>474.95</v>
      </c>
      <c r="F2258" s="116">
        <v>432.95</v>
      </c>
      <c r="G2258">
        <v>2444</v>
      </c>
      <c r="H2258" s="116"/>
      <c r="I2258" s="116"/>
      <c r="L2258" s="169">
        <v>45329</v>
      </c>
      <c r="M2258" s="116">
        <v>551.95000000000005</v>
      </c>
      <c r="N2258" s="116">
        <v>574</v>
      </c>
      <c r="O2258" s="116">
        <v>543.25</v>
      </c>
      <c r="P2258" s="116">
        <v>556</v>
      </c>
      <c r="Q2258" s="116">
        <v>551.95000000000005</v>
      </c>
      <c r="R2258">
        <v>76229</v>
      </c>
    </row>
    <row r="2259" spans="1:18" x14ac:dyDescent="0.25">
      <c r="A2259" s="169">
        <v>45363</v>
      </c>
      <c r="B2259" s="116">
        <v>434.45</v>
      </c>
      <c r="C2259" s="116">
        <v>413.85</v>
      </c>
      <c r="D2259" s="116">
        <v>410.1</v>
      </c>
      <c r="E2259" s="116">
        <v>433.65</v>
      </c>
      <c r="F2259" s="116">
        <v>413.85</v>
      </c>
      <c r="G2259">
        <v>5334</v>
      </c>
      <c r="H2259" s="116"/>
      <c r="I2259" s="116"/>
      <c r="L2259" s="169">
        <v>45330</v>
      </c>
      <c r="M2259" s="116">
        <v>532.65</v>
      </c>
      <c r="N2259" s="116">
        <v>560.45000000000005</v>
      </c>
      <c r="O2259" s="116">
        <v>528.54999999999995</v>
      </c>
      <c r="P2259" s="116">
        <v>545</v>
      </c>
      <c r="Q2259" s="116">
        <v>532.65</v>
      </c>
      <c r="R2259">
        <v>70931</v>
      </c>
    </row>
    <row r="2260" spans="1:18" x14ac:dyDescent="0.25">
      <c r="A2260" s="169">
        <v>45364</v>
      </c>
      <c r="B2260" s="116">
        <v>418</v>
      </c>
      <c r="C2260" s="116">
        <v>365.65</v>
      </c>
      <c r="D2260" s="116">
        <v>360</v>
      </c>
      <c r="E2260" s="116">
        <v>411.2</v>
      </c>
      <c r="F2260" s="116">
        <v>365.65</v>
      </c>
      <c r="G2260">
        <v>14621</v>
      </c>
      <c r="H2260" s="116"/>
      <c r="I2260" s="116"/>
      <c r="L2260" s="169">
        <v>45331</v>
      </c>
      <c r="M2260" s="116">
        <v>518.29999999999995</v>
      </c>
      <c r="N2260" s="116">
        <v>543.6</v>
      </c>
      <c r="O2260" s="116">
        <v>507.2</v>
      </c>
      <c r="P2260" s="116">
        <v>530.5</v>
      </c>
      <c r="Q2260" s="116">
        <v>518.29999999999995</v>
      </c>
      <c r="R2260">
        <v>79775</v>
      </c>
    </row>
    <row r="2261" spans="1:18" x14ac:dyDescent="0.25">
      <c r="A2261" s="169">
        <v>45365</v>
      </c>
      <c r="B2261" s="116">
        <v>388.55</v>
      </c>
      <c r="C2261" s="116">
        <v>384.2</v>
      </c>
      <c r="D2261" s="116">
        <v>360</v>
      </c>
      <c r="E2261" s="116">
        <v>365</v>
      </c>
      <c r="F2261" s="116">
        <v>384.2</v>
      </c>
      <c r="G2261">
        <v>14102</v>
      </c>
      <c r="H2261" s="116"/>
      <c r="I2261" s="116"/>
      <c r="L2261" s="169">
        <v>45334</v>
      </c>
      <c r="M2261" s="116">
        <v>487.05</v>
      </c>
      <c r="N2261" s="116">
        <v>533.20000000000005</v>
      </c>
      <c r="O2261" s="116">
        <v>475</v>
      </c>
      <c r="P2261" s="116">
        <v>531.20000000000005</v>
      </c>
      <c r="Q2261" s="116">
        <v>487.05</v>
      </c>
      <c r="R2261">
        <v>56599</v>
      </c>
    </row>
    <row r="2262" spans="1:18" x14ac:dyDescent="0.25">
      <c r="A2262" s="169">
        <v>45366</v>
      </c>
      <c r="B2262" s="116">
        <v>410.95</v>
      </c>
      <c r="C2262" s="116">
        <v>387.2</v>
      </c>
      <c r="D2262" s="116">
        <v>383.5</v>
      </c>
      <c r="E2262" s="116">
        <v>389.6</v>
      </c>
      <c r="F2262" s="116">
        <v>387.2</v>
      </c>
      <c r="G2262">
        <v>4145</v>
      </c>
      <c r="H2262" s="116"/>
      <c r="I2262" s="116"/>
      <c r="L2262" s="169">
        <v>45335</v>
      </c>
      <c r="M2262" s="116">
        <v>493.7</v>
      </c>
      <c r="N2262" s="116">
        <v>500.95</v>
      </c>
      <c r="O2262" s="116">
        <v>474.05</v>
      </c>
      <c r="P2262" s="116">
        <v>488.4</v>
      </c>
      <c r="Q2262" s="116">
        <v>493.7</v>
      </c>
      <c r="R2262">
        <v>49904</v>
      </c>
    </row>
    <row r="2263" spans="1:18" x14ac:dyDescent="0.25">
      <c r="A2263" s="169">
        <v>45369</v>
      </c>
      <c r="B2263" s="116">
        <v>405.95</v>
      </c>
      <c r="C2263" s="116">
        <v>405</v>
      </c>
      <c r="D2263" s="116">
        <v>378.95</v>
      </c>
      <c r="E2263" s="116">
        <v>390</v>
      </c>
      <c r="F2263" s="116">
        <v>405</v>
      </c>
      <c r="G2263">
        <v>6681</v>
      </c>
      <c r="H2263" s="116"/>
      <c r="I2263" s="116"/>
      <c r="L2263" s="169">
        <v>45336</v>
      </c>
      <c r="M2263" s="116">
        <v>498.4</v>
      </c>
      <c r="N2263" s="116">
        <v>509</v>
      </c>
      <c r="O2263" s="116">
        <v>489.95</v>
      </c>
      <c r="P2263" s="116">
        <v>493.7</v>
      </c>
      <c r="Q2263" s="116">
        <v>498.4</v>
      </c>
      <c r="R2263">
        <v>35931</v>
      </c>
    </row>
    <row r="2264" spans="1:18" x14ac:dyDescent="0.25">
      <c r="A2264" s="169">
        <v>45370</v>
      </c>
      <c r="B2264" s="116">
        <v>409.1</v>
      </c>
      <c r="C2264" s="116">
        <v>400.85</v>
      </c>
      <c r="D2264" s="116">
        <v>394</v>
      </c>
      <c r="E2264" s="116">
        <v>403.3</v>
      </c>
      <c r="F2264" s="116">
        <v>400.85</v>
      </c>
      <c r="G2264">
        <v>1409</v>
      </c>
      <c r="H2264" s="116"/>
      <c r="I2264" s="116"/>
      <c r="L2264" s="169">
        <v>45337</v>
      </c>
      <c r="M2264" s="116">
        <v>513.4</v>
      </c>
      <c r="N2264" s="116">
        <v>521.95000000000005</v>
      </c>
      <c r="O2264" s="116">
        <v>506.75</v>
      </c>
      <c r="P2264" s="116">
        <v>510</v>
      </c>
      <c r="Q2264" s="116">
        <v>513.4</v>
      </c>
      <c r="R2264">
        <v>38838</v>
      </c>
    </row>
    <row r="2265" spans="1:18" x14ac:dyDescent="0.25">
      <c r="A2265" s="169">
        <v>45371</v>
      </c>
      <c r="B2265" s="116">
        <v>402.05</v>
      </c>
      <c r="C2265" s="116">
        <v>389.7</v>
      </c>
      <c r="D2265" s="116">
        <v>388</v>
      </c>
      <c r="E2265" s="116">
        <v>399</v>
      </c>
      <c r="F2265" s="116">
        <v>389.7</v>
      </c>
      <c r="G2265">
        <v>2912</v>
      </c>
      <c r="H2265" s="116"/>
      <c r="I2265" s="116"/>
      <c r="L2265" s="169">
        <v>45338</v>
      </c>
      <c r="M2265" s="116">
        <v>513.95000000000005</v>
      </c>
      <c r="N2265" s="116">
        <v>529.25</v>
      </c>
      <c r="O2265" s="116">
        <v>509.9</v>
      </c>
      <c r="P2265" s="116">
        <v>519.04999999999995</v>
      </c>
      <c r="Q2265" s="116">
        <v>513.95000000000005</v>
      </c>
      <c r="R2265">
        <v>29678</v>
      </c>
    </row>
    <row r="2266" spans="1:18" x14ac:dyDescent="0.25">
      <c r="A2266" s="169">
        <v>45372</v>
      </c>
      <c r="B2266" s="116">
        <v>410.1</v>
      </c>
      <c r="C2266" s="116">
        <v>408.1</v>
      </c>
      <c r="D2266" s="116">
        <v>394.5</v>
      </c>
      <c r="E2266" s="116">
        <v>394.5</v>
      </c>
      <c r="F2266" s="116">
        <v>408.1</v>
      </c>
      <c r="G2266">
        <v>1722</v>
      </c>
      <c r="H2266" s="116"/>
      <c r="I2266" s="116"/>
      <c r="L2266" s="169">
        <v>45341</v>
      </c>
      <c r="M2266" s="116">
        <v>503.05</v>
      </c>
      <c r="N2266" s="116">
        <v>519.95000000000005</v>
      </c>
      <c r="O2266" s="116">
        <v>500</v>
      </c>
      <c r="P2266" s="116">
        <v>515</v>
      </c>
      <c r="Q2266" s="116">
        <v>503.05</v>
      </c>
      <c r="R2266">
        <v>27629</v>
      </c>
    </row>
    <row r="2267" spans="1:18" x14ac:dyDescent="0.25">
      <c r="A2267" s="169">
        <v>45373</v>
      </c>
      <c r="B2267" s="116">
        <v>419.95</v>
      </c>
      <c r="C2267" s="116">
        <v>411.9</v>
      </c>
      <c r="D2267" s="116">
        <v>404</v>
      </c>
      <c r="E2267" s="116">
        <v>406.75</v>
      </c>
      <c r="F2267" s="116">
        <v>411.9</v>
      </c>
      <c r="G2267">
        <v>3044</v>
      </c>
      <c r="H2267" s="116"/>
      <c r="I2267" s="116"/>
      <c r="L2267" s="169">
        <v>45342</v>
      </c>
      <c r="M2267" s="116">
        <v>506.6</v>
      </c>
      <c r="N2267" s="116">
        <v>515</v>
      </c>
      <c r="O2267" s="116">
        <v>497.3</v>
      </c>
      <c r="P2267" s="116">
        <v>506.05</v>
      </c>
      <c r="Q2267" s="116">
        <v>506.6</v>
      </c>
      <c r="R2267">
        <v>34609</v>
      </c>
    </row>
    <row r="2268" spans="1:18" x14ac:dyDescent="0.25">
      <c r="A2268" s="169">
        <v>45377</v>
      </c>
      <c r="B2268" s="116">
        <v>474</v>
      </c>
      <c r="C2268" s="116">
        <v>455.4</v>
      </c>
      <c r="D2268" s="116">
        <v>410</v>
      </c>
      <c r="E2268" s="116">
        <v>414.35</v>
      </c>
      <c r="F2268" s="116">
        <v>455.4</v>
      </c>
      <c r="G2268">
        <v>9810</v>
      </c>
      <c r="H2268" s="116"/>
      <c r="I2268" s="116"/>
      <c r="L2268" s="169">
        <v>45343</v>
      </c>
      <c r="M2268" s="116">
        <v>506.3</v>
      </c>
      <c r="N2268" s="116">
        <v>517.54999999999995</v>
      </c>
      <c r="O2268" s="116">
        <v>504.25</v>
      </c>
      <c r="P2268" s="116">
        <v>509</v>
      </c>
      <c r="Q2268" s="116">
        <v>506.3</v>
      </c>
      <c r="R2268">
        <v>42384</v>
      </c>
    </row>
    <row r="2269" spans="1:18" x14ac:dyDescent="0.25">
      <c r="A2269" s="169">
        <v>45378</v>
      </c>
      <c r="B2269" s="116">
        <v>467.05</v>
      </c>
      <c r="C2269" s="116">
        <v>436.8</v>
      </c>
      <c r="D2269" s="116">
        <v>434</v>
      </c>
      <c r="E2269" s="116">
        <v>450.55</v>
      </c>
      <c r="F2269" s="116">
        <v>436.8</v>
      </c>
      <c r="G2269">
        <v>10017</v>
      </c>
      <c r="H2269" s="116"/>
      <c r="I2269" s="116"/>
      <c r="L2269" s="169">
        <v>45344</v>
      </c>
      <c r="M2269" s="116">
        <v>490.4</v>
      </c>
      <c r="N2269" s="116">
        <v>517.9</v>
      </c>
      <c r="O2269" s="116">
        <v>467</v>
      </c>
      <c r="P2269" s="116">
        <v>509.95</v>
      </c>
      <c r="Q2269" s="116">
        <v>490.4</v>
      </c>
      <c r="R2269">
        <v>74341</v>
      </c>
    </row>
    <row r="2270" spans="1:18" x14ac:dyDescent="0.25">
      <c r="A2270" s="169">
        <v>45379</v>
      </c>
      <c r="B2270" s="116">
        <v>456.85</v>
      </c>
      <c r="C2270" s="116">
        <v>438.55</v>
      </c>
      <c r="D2270" s="116">
        <v>432.95</v>
      </c>
      <c r="E2270" s="116">
        <v>437</v>
      </c>
      <c r="F2270" s="116">
        <v>438.55</v>
      </c>
      <c r="G2270">
        <v>3297</v>
      </c>
      <c r="H2270" s="116"/>
      <c r="I2270" s="116"/>
      <c r="L2270" s="169">
        <v>45345</v>
      </c>
      <c r="M2270" s="116">
        <v>491.55</v>
      </c>
      <c r="N2270" s="116">
        <v>497.2</v>
      </c>
      <c r="O2270" s="116">
        <v>481</v>
      </c>
      <c r="P2270" s="116">
        <v>483.35</v>
      </c>
      <c r="Q2270" s="116">
        <v>491.55</v>
      </c>
      <c r="R2270">
        <v>32572</v>
      </c>
    </row>
    <row r="2271" spans="1:18" x14ac:dyDescent="0.25">
      <c r="A2271" s="169">
        <v>45383</v>
      </c>
      <c r="B2271" s="116">
        <v>476.65</v>
      </c>
      <c r="C2271" s="116">
        <v>467.8</v>
      </c>
      <c r="D2271" s="116">
        <v>435.15</v>
      </c>
      <c r="E2271" s="116">
        <v>435.15</v>
      </c>
      <c r="F2271" s="116">
        <v>467.8</v>
      </c>
      <c r="G2271">
        <v>5933</v>
      </c>
      <c r="H2271" s="116"/>
      <c r="I2271" s="116"/>
      <c r="L2271" s="169">
        <v>45348</v>
      </c>
      <c r="M2271" s="116">
        <v>486.8</v>
      </c>
      <c r="N2271" s="116">
        <v>500.8</v>
      </c>
      <c r="O2271" s="116">
        <v>483.5</v>
      </c>
      <c r="P2271" s="116">
        <v>495.45</v>
      </c>
      <c r="Q2271" s="116">
        <v>486.8</v>
      </c>
      <c r="R2271">
        <v>35583</v>
      </c>
    </row>
    <row r="2272" spans="1:18" x14ac:dyDescent="0.25">
      <c r="A2272" s="169">
        <v>45384</v>
      </c>
      <c r="B2272" s="116">
        <v>485</v>
      </c>
      <c r="C2272" s="116">
        <v>465.3</v>
      </c>
      <c r="D2272" s="116">
        <v>462</v>
      </c>
      <c r="E2272" s="116">
        <v>476.7</v>
      </c>
      <c r="F2272" s="116">
        <v>465.3</v>
      </c>
      <c r="G2272">
        <v>843</v>
      </c>
      <c r="H2272" s="116"/>
      <c r="I2272" s="116"/>
      <c r="L2272" s="169">
        <v>45349</v>
      </c>
      <c r="M2272" s="116">
        <v>492.15</v>
      </c>
      <c r="N2272" s="116">
        <v>506.1</v>
      </c>
      <c r="O2272" s="116">
        <v>485.9</v>
      </c>
      <c r="P2272" s="116">
        <v>489</v>
      </c>
      <c r="Q2272" s="116">
        <v>492.15</v>
      </c>
      <c r="R2272">
        <v>50377</v>
      </c>
    </row>
    <row r="2273" spans="1:18" x14ac:dyDescent="0.25">
      <c r="A2273" s="169">
        <v>45385</v>
      </c>
      <c r="B2273" s="116">
        <v>469</v>
      </c>
      <c r="C2273" s="116">
        <v>463.55</v>
      </c>
      <c r="D2273" s="116">
        <v>452</v>
      </c>
      <c r="E2273" s="116">
        <v>467</v>
      </c>
      <c r="F2273" s="116">
        <v>463.55</v>
      </c>
      <c r="G2273">
        <v>7172</v>
      </c>
      <c r="H2273" s="116"/>
      <c r="I2273" s="116"/>
      <c r="L2273" s="169">
        <v>45350</v>
      </c>
      <c r="M2273" s="116">
        <v>490.1</v>
      </c>
      <c r="N2273" s="116">
        <v>518.9</v>
      </c>
      <c r="O2273" s="116">
        <v>485</v>
      </c>
      <c r="P2273" s="116">
        <v>496.05</v>
      </c>
      <c r="Q2273" s="116">
        <v>490.1</v>
      </c>
      <c r="R2273">
        <v>93784</v>
      </c>
    </row>
    <row r="2274" spans="1:18" x14ac:dyDescent="0.25">
      <c r="A2274" s="169">
        <v>45386</v>
      </c>
      <c r="B2274" s="116">
        <v>468.7</v>
      </c>
      <c r="C2274" s="116">
        <v>465.4</v>
      </c>
      <c r="D2274" s="116">
        <v>449.9</v>
      </c>
      <c r="E2274" s="116">
        <v>468.7</v>
      </c>
      <c r="F2274" s="116">
        <v>465.4</v>
      </c>
      <c r="G2274">
        <v>5145</v>
      </c>
      <c r="H2274" s="116"/>
      <c r="I2274" s="116"/>
      <c r="L2274" s="169">
        <v>45351</v>
      </c>
      <c r="M2274" s="116">
        <v>489.15</v>
      </c>
      <c r="N2274" s="116">
        <v>494.95</v>
      </c>
      <c r="O2274" s="116">
        <v>482.5</v>
      </c>
      <c r="P2274" s="116">
        <v>490.1</v>
      </c>
      <c r="Q2274" s="116">
        <v>489.15</v>
      </c>
      <c r="R2274">
        <v>21187</v>
      </c>
    </row>
    <row r="2275" spans="1:18" x14ac:dyDescent="0.25">
      <c r="A2275" s="169">
        <v>45387</v>
      </c>
      <c r="B2275" s="116">
        <v>470</v>
      </c>
      <c r="C2275" s="116">
        <v>469.15</v>
      </c>
      <c r="D2275" s="116">
        <v>454.05</v>
      </c>
      <c r="E2275" s="116">
        <v>464</v>
      </c>
      <c r="F2275" s="116">
        <v>469.15</v>
      </c>
      <c r="G2275">
        <v>5932</v>
      </c>
      <c r="H2275" s="116"/>
      <c r="I2275" s="116"/>
      <c r="L2275" s="169">
        <v>45352</v>
      </c>
      <c r="M2275" s="116">
        <v>490.2</v>
      </c>
      <c r="N2275" s="116">
        <v>499.2</v>
      </c>
      <c r="O2275" s="116">
        <v>485.5</v>
      </c>
      <c r="P2275" s="116">
        <v>492</v>
      </c>
      <c r="Q2275" s="116">
        <v>490.2</v>
      </c>
      <c r="R2275">
        <v>20337</v>
      </c>
    </row>
    <row r="2276" spans="1:18" x14ac:dyDescent="0.25">
      <c r="A2276" s="169">
        <v>45390</v>
      </c>
      <c r="B2276" s="116">
        <v>468.15</v>
      </c>
      <c r="C2276" s="116">
        <v>450.4</v>
      </c>
      <c r="D2276" s="116">
        <v>446.95</v>
      </c>
      <c r="E2276" s="116">
        <v>467</v>
      </c>
      <c r="F2276" s="116">
        <v>450.4</v>
      </c>
      <c r="G2276">
        <v>7389</v>
      </c>
      <c r="H2276" s="116"/>
      <c r="I2276" s="116"/>
      <c r="L2276" s="169">
        <v>45353</v>
      </c>
      <c r="M2276" s="116">
        <v>494.45</v>
      </c>
      <c r="N2276" s="116">
        <v>498.8</v>
      </c>
      <c r="O2276" s="116">
        <v>489.9</v>
      </c>
      <c r="P2276" s="116">
        <v>498.8</v>
      </c>
      <c r="Q2276" s="116">
        <v>494.45</v>
      </c>
      <c r="R2276">
        <v>1360</v>
      </c>
    </row>
    <row r="2277" spans="1:18" x14ac:dyDescent="0.25">
      <c r="A2277" s="169">
        <v>45391</v>
      </c>
      <c r="B2277" s="116">
        <v>457.65</v>
      </c>
      <c r="C2277" s="116">
        <v>452.9</v>
      </c>
      <c r="D2277" s="116">
        <v>447</v>
      </c>
      <c r="E2277" s="116">
        <v>456.3</v>
      </c>
      <c r="F2277" s="116">
        <v>452.9</v>
      </c>
      <c r="G2277">
        <v>1285</v>
      </c>
      <c r="H2277" s="116"/>
      <c r="I2277" s="116"/>
      <c r="L2277" s="169">
        <v>45355</v>
      </c>
      <c r="M2277" s="116">
        <v>484.4</v>
      </c>
      <c r="N2277" s="116">
        <v>499.45</v>
      </c>
      <c r="O2277" s="116">
        <v>482</v>
      </c>
      <c r="P2277" s="116">
        <v>494.95</v>
      </c>
      <c r="Q2277" s="116">
        <v>484.4</v>
      </c>
      <c r="R2277">
        <v>14751</v>
      </c>
    </row>
    <row r="2278" spans="1:18" x14ac:dyDescent="0.25">
      <c r="A2278" s="169">
        <v>45392</v>
      </c>
      <c r="B2278" s="116">
        <v>451.65</v>
      </c>
      <c r="C2278" s="116">
        <v>446.35</v>
      </c>
      <c r="D2278" s="116">
        <v>442.45</v>
      </c>
      <c r="E2278" s="116">
        <v>449.7</v>
      </c>
      <c r="F2278" s="116">
        <v>446.35</v>
      </c>
      <c r="G2278">
        <v>2427</v>
      </c>
      <c r="H2278" s="116"/>
      <c r="I2278" s="116"/>
      <c r="L2278" s="169">
        <v>45356</v>
      </c>
      <c r="M2278" s="116">
        <v>482.8</v>
      </c>
      <c r="N2278" s="116">
        <v>488.7</v>
      </c>
      <c r="O2278" s="116">
        <v>482.35</v>
      </c>
      <c r="P2278" s="116">
        <v>484.8</v>
      </c>
      <c r="Q2278" s="116">
        <v>482.8</v>
      </c>
      <c r="R2278">
        <v>24694</v>
      </c>
    </row>
    <row r="2279" spans="1:18" x14ac:dyDescent="0.25">
      <c r="A2279" s="169">
        <v>45394</v>
      </c>
      <c r="B2279" s="116">
        <v>450.2</v>
      </c>
      <c r="C2279" s="116">
        <v>441.95</v>
      </c>
      <c r="D2279" s="116">
        <v>440</v>
      </c>
      <c r="E2279" s="116">
        <v>446.35</v>
      </c>
      <c r="F2279" s="116">
        <v>441.95</v>
      </c>
      <c r="G2279">
        <v>935</v>
      </c>
      <c r="H2279" s="116"/>
      <c r="I2279" s="116"/>
      <c r="L2279" s="169">
        <v>45357</v>
      </c>
      <c r="M2279" s="116">
        <v>454.2</v>
      </c>
      <c r="N2279" s="116">
        <v>483.9</v>
      </c>
      <c r="O2279" s="116">
        <v>450.8</v>
      </c>
      <c r="P2279" s="116">
        <v>481</v>
      </c>
      <c r="Q2279" s="116">
        <v>454.2</v>
      </c>
      <c r="R2279">
        <v>58212</v>
      </c>
    </row>
    <row r="2280" spans="1:18" x14ac:dyDescent="0.25">
      <c r="A2280" s="169">
        <v>45397</v>
      </c>
      <c r="B2280" s="116">
        <v>442</v>
      </c>
      <c r="C2280" s="116">
        <v>428.9</v>
      </c>
      <c r="D2280" s="116">
        <v>419.25</v>
      </c>
      <c r="E2280" s="116">
        <v>442</v>
      </c>
      <c r="F2280" s="116">
        <v>428.9</v>
      </c>
      <c r="G2280">
        <v>1439</v>
      </c>
      <c r="H2280" s="116"/>
      <c r="I2280" s="116"/>
      <c r="L2280" s="169">
        <v>45358</v>
      </c>
      <c r="M2280" s="116">
        <v>467.45</v>
      </c>
      <c r="N2280" s="116">
        <v>470</v>
      </c>
      <c r="O2280" s="116">
        <v>457.75</v>
      </c>
      <c r="P2280" s="116">
        <v>460.55</v>
      </c>
      <c r="Q2280" s="116">
        <v>467.45</v>
      </c>
      <c r="R2280">
        <v>28605</v>
      </c>
    </row>
    <row r="2281" spans="1:18" x14ac:dyDescent="0.25">
      <c r="A2281" s="169">
        <v>45398</v>
      </c>
      <c r="B2281" s="116">
        <v>441.6</v>
      </c>
      <c r="C2281" s="116">
        <v>432.9</v>
      </c>
      <c r="D2281" s="116">
        <v>423</v>
      </c>
      <c r="E2281" s="116">
        <v>424.9</v>
      </c>
      <c r="F2281" s="116">
        <v>432.9</v>
      </c>
      <c r="G2281">
        <v>1533</v>
      </c>
      <c r="H2281" s="116"/>
      <c r="I2281" s="116"/>
      <c r="L2281" s="169">
        <v>45362</v>
      </c>
      <c r="M2281" s="116">
        <v>432.85</v>
      </c>
      <c r="N2281" s="116">
        <v>468.75</v>
      </c>
      <c r="O2281" s="116">
        <v>429.9</v>
      </c>
      <c r="P2281" s="116">
        <v>465.5</v>
      </c>
      <c r="Q2281" s="116">
        <v>432.85</v>
      </c>
      <c r="R2281">
        <v>46449</v>
      </c>
    </row>
    <row r="2282" spans="1:18" x14ac:dyDescent="0.25">
      <c r="A2282" s="169">
        <v>45400</v>
      </c>
      <c r="B2282" s="116">
        <v>438.45</v>
      </c>
      <c r="C2282" s="116">
        <v>419.9</v>
      </c>
      <c r="D2282" s="116">
        <v>417.25</v>
      </c>
      <c r="E2282" s="116">
        <v>427.15</v>
      </c>
      <c r="F2282" s="116">
        <v>419.9</v>
      </c>
      <c r="G2282">
        <v>2580</v>
      </c>
      <c r="H2282" s="116"/>
      <c r="I2282" s="116"/>
      <c r="L2282" s="169">
        <v>45363</v>
      </c>
      <c r="M2282" s="116">
        <v>417.2</v>
      </c>
      <c r="N2282" s="116">
        <v>437.1</v>
      </c>
      <c r="O2282" s="116">
        <v>411.6</v>
      </c>
      <c r="P2282" s="116">
        <v>434.6</v>
      </c>
      <c r="Q2282" s="116">
        <v>417.2</v>
      </c>
      <c r="R2282">
        <v>50611</v>
      </c>
    </row>
    <row r="2283" spans="1:18" x14ac:dyDescent="0.25">
      <c r="A2283" s="169">
        <v>45401</v>
      </c>
      <c r="B2283" s="116">
        <v>430</v>
      </c>
      <c r="C2283" s="116">
        <v>425.25</v>
      </c>
      <c r="D2283" s="116">
        <v>410</v>
      </c>
      <c r="E2283" s="116">
        <v>415.2</v>
      </c>
      <c r="F2283" s="116">
        <v>425.25</v>
      </c>
      <c r="G2283">
        <v>2799</v>
      </c>
      <c r="H2283" s="116"/>
      <c r="I2283" s="116"/>
      <c r="L2283" s="169">
        <v>45364</v>
      </c>
      <c r="M2283" s="116">
        <v>370.85</v>
      </c>
      <c r="N2283" s="116">
        <v>419.35</v>
      </c>
      <c r="O2283" s="116">
        <v>356.95</v>
      </c>
      <c r="P2283" s="116">
        <v>413.85</v>
      </c>
      <c r="Q2283" s="116">
        <v>370.85</v>
      </c>
      <c r="R2283">
        <v>109537</v>
      </c>
    </row>
    <row r="2284" spans="1:18" x14ac:dyDescent="0.25">
      <c r="A2284" s="169">
        <v>45404</v>
      </c>
      <c r="B2284" s="116">
        <v>460.95</v>
      </c>
      <c r="C2284" s="116">
        <v>446.8</v>
      </c>
      <c r="D2284" s="116">
        <v>424</v>
      </c>
      <c r="E2284" s="116">
        <v>427.35</v>
      </c>
      <c r="F2284" s="116">
        <v>446.8</v>
      </c>
      <c r="G2284">
        <v>9274</v>
      </c>
      <c r="H2284" s="116"/>
      <c r="I2284" s="116"/>
      <c r="L2284" s="169">
        <v>45365</v>
      </c>
      <c r="M2284" s="116">
        <v>384.95</v>
      </c>
      <c r="N2284" s="116">
        <v>389.05</v>
      </c>
      <c r="O2284" s="116">
        <v>353.9</v>
      </c>
      <c r="P2284" s="116">
        <v>366.9</v>
      </c>
      <c r="Q2284" s="116">
        <v>384.95</v>
      </c>
      <c r="R2284">
        <v>142757</v>
      </c>
    </row>
    <row r="2285" spans="1:18" x14ac:dyDescent="0.25">
      <c r="A2285" s="169">
        <v>45405</v>
      </c>
      <c r="B2285" s="116">
        <v>455</v>
      </c>
      <c r="C2285" s="116">
        <v>449.4</v>
      </c>
      <c r="D2285" s="116">
        <v>441.1</v>
      </c>
      <c r="E2285" s="116">
        <v>452.4</v>
      </c>
      <c r="F2285" s="116">
        <v>449.4</v>
      </c>
      <c r="G2285">
        <v>2343</v>
      </c>
      <c r="H2285" s="116"/>
      <c r="I2285" s="116"/>
      <c r="L2285" s="169">
        <v>45366</v>
      </c>
      <c r="M2285" s="116">
        <v>389.6</v>
      </c>
      <c r="N2285" s="116">
        <v>411.3</v>
      </c>
      <c r="O2285" s="116">
        <v>381.5</v>
      </c>
      <c r="P2285" s="116">
        <v>386.7</v>
      </c>
      <c r="Q2285" s="116">
        <v>389.6</v>
      </c>
      <c r="R2285">
        <v>91557</v>
      </c>
    </row>
    <row r="2286" spans="1:18" x14ac:dyDescent="0.25">
      <c r="A2286" s="169">
        <v>45406</v>
      </c>
      <c r="B2286" s="116">
        <v>461.1</v>
      </c>
      <c r="C2286" s="116">
        <v>438.35</v>
      </c>
      <c r="D2286" s="116">
        <v>436</v>
      </c>
      <c r="E2286" s="116">
        <v>450.2</v>
      </c>
      <c r="F2286" s="116">
        <v>438.35</v>
      </c>
      <c r="G2286">
        <v>8072</v>
      </c>
      <c r="H2286" s="116"/>
      <c r="I2286" s="116"/>
      <c r="L2286" s="169">
        <v>45369</v>
      </c>
      <c r="M2286" s="116">
        <v>404.75</v>
      </c>
      <c r="N2286" s="116">
        <v>406</v>
      </c>
      <c r="O2286" s="116">
        <v>378.55</v>
      </c>
      <c r="P2286" s="116">
        <v>388.3</v>
      </c>
      <c r="Q2286" s="116">
        <v>404.75</v>
      </c>
      <c r="R2286">
        <v>82469</v>
      </c>
    </row>
    <row r="2287" spans="1:18" x14ac:dyDescent="0.25">
      <c r="A2287" s="169">
        <v>45407</v>
      </c>
      <c r="B2287" s="116">
        <v>444.5</v>
      </c>
      <c r="C2287" s="116">
        <v>435.95</v>
      </c>
      <c r="D2287" s="116">
        <v>434</v>
      </c>
      <c r="E2287" s="116">
        <v>444.5</v>
      </c>
      <c r="F2287" s="116">
        <v>435.95</v>
      </c>
      <c r="G2287">
        <v>2975</v>
      </c>
      <c r="H2287" s="116"/>
      <c r="I2287" s="116"/>
      <c r="L2287" s="169">
        <v>45370</v>
      </c>
      <c r="M2287" s="116">
        <v>399.7</v>
      </c>
      <c r="N2287" s="116">
        <v>409.2</v>
      </c>
      <c r="O2287" s="116">
        <v>392.85</v>
      </c>
      <c r="P2287" s="116">
        <v>404.75</v>
      </c>
      <c r="Q2287" s="116">
        <v>399.7</v>
      </c>
      <c r="R2287">
        <v>48843</v>
      </c>
    </row>
    <row r="2288" spans="1:18" x14ac:dyDescent="0.25">
      <c r="A2288" s="169">
        <v>45408</v>
      </c>
      <c r="B2288" s="116">
        <v>440.85</v>
      </c>
      <c r="C2288" s="116">
        <v>436.95</v>
      </c>
      <c r="D2288" s="116">
        <v>433.9</v>
      </c>
      <c r="E2288" s="116">
        <v>438.65</v>
      </c>
      <c r="F2288" s="116">
        <v>436.95</v>
      </c>
      <c r="G2288">
        <v>3951</v>
      </c>
      <c r="H2288" s="116"/>
      <c r="I2288" s="116"/>
      <c r="L2288" s="169">
        <v>45371</v>
      </c>
      <c r="M2288" s="116">
        <v>390.3</v>
      </c>
      <c r="N2288" s="116">
        <v>405.7</v>
      </c>
      <c r="O2288" s="116">
        <v>382.5</v>
      </c>
      <c r="P2288" s="116">
        <v>405.7</v>
      </c>
      <c r="Q2288" s="116">
        <v>390.3</v>
      </c>
      <c r="R2288">
        <v>49545</v>
      </c>
    </row>
    <row r="2289" spans="1:18" x14ac:dyDescent="0.25">
      <c r="A2289" s="169">
        <v>45411</v>
      </c>
      <c r="B2289" s="116">
        <v>445.5</v>
      </c>
      <c r="C2289" s="116">
        <v>439.75</v>
      </c>
      <c r="D2289" s="116">
        <v>411.55</v>
      </c>
      <c r="E2289" s="116">
        <v>411.55</v>
      </c>
      <c r="F2289" s="116">
        <v>439.75</v>
      </c>
      <c r="G2289">
        <v>3499</v>
      </c>
      <c r="H2289" s="116"/>
      <c r="I2289" s="116"/>
      <c r="L2289" s="169">
        <v>45372</v>
      </c>
      <c r="M2289" s="116">
        <v>405.55</v>
      </c>
      <c r="N2289" s="116">
        <v>410.9</v>
      </c>
      <c r="O2289" s="116">
        <v>395</v>
      </c>
      <c r="P2289" s="116">
        <v>395</v>
      </c>
      <c r="Q2289" s="116">
        <v>405.55</v>
      </c>
      <c r="R2289">
        <v>52853</v>
      </c>
    </row>
    <row r="2290" spans="1:18" x14ac:dyDescent="0.25">
      <c r="A2290" s="169">
        <v>45412</v>
      </c>
      <c r="B2290" s="116">
        <v>442</v>
      </c>
      <c r="C2290" s="116">
        <v>441.75</v>
      </c>
      <c r="D2290" s="116">
        <v>435.25</v>
      </c>
      <c r="E2290" s="116">
        <v>439</v>
      </c>
      <c r="F2290" s="116">
        <v>441.75</v>
      </c>
      <c r="G2290">
        <v>2668</v>
      </c>
      <c r="H2290" s="116"/>
      <c r="I2290" s="116"/>
      <c r="L2290" s="169">
        <v>45373</v>
      </c>
      <c r="M2290" s="116">
        <v>411</v>
      </c>
      <c r="N2290" s="116">
        <v>421.8</v>
      </c>
      <c r="O2290" s="116">
        <v>405</v>
      </c>
      <c r="P2290" s="116">
        <v>406</v>
      </c>
      <c r="Q2290" s="116">
        <v>411</v>
      </c>
      <c r="R2290">
        <v>43624</v>
      </c>
    </row>
    <row r="2291" spans="1:18" x14ac:dyDescent="0.25">
      <c r="A2291" s="169">
        <v>45414</v>
      </c>
      <c r="B2291" s="116">
        <v>441</v>
      </c>
      <c r="C2291" s="116">
        <v>434.25</v>
      </c>
      <c r="D2291" s="116">
        <v>430.6</v>
      </c>
      <c r="E2291" s="116">
        <v>441</v>
      </c>
      <c r="F2291" s="116">
        <v>434.25</v>
      </c>
      <c r="G2291">
        <v>3015</v>
      </c>
      <c r="H2291" s="116"/>
      <c r="I2291" s="116"/>
      <c r="L2291" s="169">
        <v>45377</v>
      </c>
      <c r="M2291" s="116">
        <v>454.7</v>
      </c>
      <c r="N2291" s="116">
        <v>475</v>
      </c>
      <c r="O2291" s="116">
        <v>409</v>
      </c>
      <c r="P2291" s="116">
        <v>415.05</v>
      </c>
      <c r="Q2291" s="116">
        <v>454.7</v>
      </c>
      <c r="R2291">
        <v>309284</v>
      </c>
    </row>
    <row r="2292" spans="1:18" x14ac:dyDescent="0.25">
      <c r="A2292" s="169">
        <v>45415</v>
      </c>
      <c r="B2292" s="116">
        <v>437</v>
      </c>
      <c r="C2292" s="116">
        <v>426.65</v>
      </c>
      <c r="D2292" s="116">
        <v>425.6</v>
      </c>
      <c r="E2292" s="116">
        <v>436</v>
      </c>
      <c r="F2292" s="116">
        <v>426.65</v>
      </c>
      <c r="G2292">
        <v>5321</v>
      </c>
      <c r="H2292" s="116"/>
      <c r="I2292" s="116"/>
      <c r="L2292" s="169">
        <v>45378</v>
      </c>
      <c r="M2292" s="116">
        <v>437.45</v>
      </c>
      <c r="N2292" s="116">
        <v>467.5</v>
      </c>
      <c r="O2292" s="116">
        <v>433.3</v>
      </c>
      <c r="P2292" s="116">
        <v>450</v>
      </c>
      <c r="Q2292" s="116">
        <v>437.45</v>
      </c>
      <c r="R2292">
        <v>149344</v>
      </c>
    </row>
    <row r="2293" spans="1:18" x14ac:dyDescent="0.25">
      <c r="A2293" s="169">
        <v>45418</v>
      </c>
      <c r="B2293" s="116">
        <v>427</v>
      </c>
      <c r="C2293" s="116">
        <v>417.25</v>
      </c>
      <c r="D2293" s="116">
        <v>416.65</v>
      </c>
      <c r="E2293" s="116">
        <v>426.9</v>
      </c>
      <c r="F2293" s="116">
        <v>417.25</v>
      </c>
      <c r="G2293">
        <v>2319</v>
      </c>
      <c r="H2293" s="116"/>
      <c r="I2293" s="116"/>
      <c r="L2293" s="169">
        <v>45379</v>
      </c>
      <c r="M2293" s="116">
        <v>442.9</v>
      </c>
      <c r="N2293" s="116">
        <v>457.9</v>
      </c>
      <c r="O2293" s="116">
        <v>432.3</v>
      </c>
      <c r="P2293" s="116">
        <v>438</v>
      </c>
      <c r="Q2293" s="116">
        <v>442.9</v>
      </c>
      <c r="R2293">
        <v>82771</v>
      </c>
    </row>
    <row r="2294" spans="1:18" x14ac:dyDescent="0.25">
      <c r="A2294" s="169">
        <v>45419</v>
      </c>
      <c r="B2294" s="116">
        <v>423.2</v>
      </c>
      <c r="C2294" s="116">
        <v>407.85</v>
      </c>
      <c r="D2294" s="116">
        <v>405.6</v>
      </c>
      <c r="E2294" s="116">
        <v>422.9</v>
      </c>
      <c r="F2294" s="116">
        <v>407.85</v>
      </c>
      <c r="G2294">
        <v>567</v>
      </c>
      <c r="H2294" s="116"/>
      <c r="I2294" s="116"/>
      <c r="L2294" s="169">
        <v>45383</v>
      </c>
      <c r="M2294" s="116">
        <v>468.2</v>
      </c>
      <c r="N2294" s="116">
        <v>476.7</v>
      </c>
      <c r="O2294" s="116">
        <v>443.1</v>
      </c>
      <c r="P2294" s="116">
        <v>445</v>
      </c>
      <c r="Q2294" s="116">
        <v>468.2</v>
      </c>
      <c r="R2294">
        <v>57052</v>
      </c>
    </row>
    <row r="2295" spans="1:18" x14ac:dyDescent="0.25">
      <c r="A2295" s="169">
        <v>45420</v>
      </c>
      <c r="B2295" s="116">
        <v>419</v>
      </c>
      <c r="C2295" s="116">
        <v>414.7</v>
      </c>
      <c r="D2295" s="116">
        <v>399.75</v>
      </c>
      <c r="E2295" s="116">
        <v>399.75</v>
      </c>
      <c r="F2295" s="116">
        <v>414.7</v>
      </c>
      <c r="G2295">
        <v>1523</v>
      </c>
      <c r="H2295" s="116"/>
      <c r="I2295" s="116"/>
      <c r="L2295" s="169">
        <v>45384</v>
      </c>
      <c r="M2295" s="116">
        <v>464.3</v>
      </c>
      <c r="N2295" s="116">
        <v>487.6</v>
      </c>
      <c r="O2295" s="116">
        <v>462</v>
      </c>
      <c r="P2295" s="116">
        <v>471.1</v>
      </c>
      <c r="Q2295" s="116">
        <v>464.3</v>
      </c>
      <c r="R2295">
        <v>30707</v>
      </c>
    </row>
    <row r="2296" spans="1:18" x14ac:dyDescent="0.25">
      <c r="A2296" s="169">
        <v>45421</v>
      </c>
      <c r="B2296" s="116">
        <v>413.45</v>
      </c>
      <c r="C2296" s="116">
        <v>400</v>
      </c>
      <c r="D2296" s="116">
        <v>399.8</v>
      </c>
      <c r="E2296" s="116">
        <v>412.95</v>
      </c>
      <c r="F2296" s="116">
        <v>400</v>
      </c>
      <c r="G2296">
        <v>2084</v>
      </c>
      <c r="H2296" s="116"/>
      <c r="I2296" s="116"/>
      <c r="L2296" s="169">
        <v>45385</v>
      </c>
      <c r="M2296" s="116">
        <v>461.15</v>
      </c>
      <c r="N2296" s="116">
        <v>471</v>
      </c>
      <c r="O2296" s="116">
        <v>446.95</v>
      </c>
      <c r="P2296" s="116">
        <v>467.05</v>
      </c>
      <c r="Q2296" s="116">
        <v>461.15</v>
      </c>
      <c r="R2296">
        <v>50112</v>
      </c>
    </row>
    <row r="2297" spans="1:18" x14ac:dyDescent="0.25">
      <c r="A2297" s="169">
        <v>45422</v>
      </c>
      <c r="B2297" s="116">
        <v>400.6</v>
      </c>
      <c r="C2297" s="116">
        <v>396.35</v>
      </c>
      <c r="D2297" s="116">
        <v>379</v>
      </c>
      <c r="E2297" s="116">
        <v>400</v>
      </c>
      <c r="F2297" s="116">
        <v>396.35</v>
      </c>
      <c r="G2297">
        <v>7201</v>
      </c>
      <c r="H2297" s="116"/>
      <c r="I2297" s="116"/>
      <c r="L2297" s="169">
        <v>45386</v>
      </c>
      <c r="M2297" s="116">
        <v>466.05</v>
      </c>
      <c r="N2297" s="116">
        <v>470</v>
      </c>
      <c r="O2297" s="116">
        <v>448.6</v>
      </c>
      <c r="P2297" s="116">
        <v>457.65</v>
      </c>
      <c r="Q2297" s="116">
        <v>466.05</v>
      </c>
      <c r="R2297">
        <v>58939</v>
      </c>
    </row>
    <row r="2298" spans="1:18" x14ac:dyDescent="0.25">
      <c r="A2298" s="169">
        <v>45425</v>
      </c>
      <c r="B2298" s="116">
        <v>401.7</v>
      </c>
      <c r="C2298" s="116">
        <v>388.6</v>
      </c>
      <c r="D2298" s="116">
        <v>385.5</v>
      </c>
      <c r="E2298" s="116">
        <v>392.05</v>
      </c>
      <c r="F2298" s="116">
        <v>388.6</v>
      </c>
      <c r="G2298">
        <v>6024</v>
      </c>
      <c r="H2298" s="116"/>
      <c r="I2298" s="116"/>
      <c r="L2298" s="169">
        <v>45387</v>
      </c>
      <c r="M2298" s="116">
        <v>467.7</v>
      </c>
      <c r="N2298" s="116">
        <v>470</v>
      </c>
      <c r="O2298" s="116">
        <v>452.65</v>
      </c>
      <c r="P2298" s="116">
        <v>466</v>
      </c>
      <c r="Q2298" s="116">
        <v>467.7</v>
      </c>
      <c r="R2298">
        <v>31996</v>
      </c>
    </row>
    <row r="2299" spans="1:18" x14ac:dyDescent="0.25">
      <c r="A2299" s="169">
        <v>45426</v>
      </c>
      <c r="B2299" s="116">
        <v>399</v>
      </c>
      <c r="C2299" s="116">
        <v>396.3</v>
      </c>
      <c r="D2299" s="116">
        <v>388.2</v>
      </c>
      <c r="E2299" s="116">
        <v>396.75</v>
      </c>
      <c r="F2299" s="116">
        <v>396.3</v>
      </c>
      <c r="G2299">
        <v>915</v>
      </c>
      <c r="H2299" s="116"/>
      <c r="I2299" s="116"/>
      <c r="L2299" s="169">
        <v>45390</v>
      </c>
      <c r="M2299" s="116">
        <v>455.35</v>
      </c>
      <c r="N2299" s="116">
        <v>469.8</v>
      </c>
      <c r="O2299" s="116">
        <v>447</v>
      </c>
      <c r="P2299" s="116">
        <v>467.7</v>
      </c>
      <c r="Q2299" s="116">
        <v>455.35</v>
      </c>
      <c r="R2299">
        <v>36267</v>
      </c>
    </row>
    <row r="2300" spans="1:18" x14ac:dyDescent="0.25">
      <c r="A2300" s="169">
        <v>45427</v>
      </c>
      <c r="B2300" s="116">
        <v>403.3</v>
      </c>
      <c r="C2300" s="116">
        <v>395.4</v>
      </c>
      <c r="D2300" s="116">
        <v>395</v>
      </c>
      <c r="E2300" s="116">
        <v>399.95</v>
      </c>
      <c r="F2300" s="116">
        <v>395.4</v>
      </c>
      <c r="G2300">
        <v>2783</v>
      </c>
      <c r="H2300" s="116"/>
      <c r="I2300" s="116"/>
      <c r="L2300" s="169">
        <v>45391</v>
      </c>
      <c r="M2300" s="116">
        <v>452.2</v>
      </c>
      <c r="N2300" s="116">
        <v>458.5</v>
      </c>
      <c r="O2300" s="116">
        <v>447.1</v>
      </c>
      <c r="P2300" s="116">
        <v>456.05</v>
      </c>
      <c r="Q2300" s="116">
        <v>452.2</v>
      </c>
      <c r="R2300">
        <v>15198</v>
      </c>
    </row>
    <row r="2301" spans="1:18" x14ac:dyDescent="0.25">
      <c r="A2301" s="169">
        <v>45428</v>
      </c>
      <c r="B2301" s="116">
        <v>397.8</v>
      </c>
      <c r="C2301" s="116">
        <v>392.45</v>
      </c>
      <c r="D2301" s="116">
        <v>391.3</v>
      </c>
      <c r="E2301" s="116">
        <v>396.55</v>
      </c>
      <c r="F2301" s="116">
        <v>392.45</v>
      </c>
      <c r="G2301">
        <v>392</v>
      </c>
      <c r="H2301" s="116"/>
      <c r="I2301" s="116"/>
      <c r="L2301" s="169">
        <v>45392</v>
      </c>
      <c r="M2301" s="116">
        <v>446.8</v>
      </c>
      <c r="N2301" s="116">
        <v>452.95</v>
      </c>
      <c r="O2301" s="116">
        <v>442</v>
      </c>
      <c r="P2301" s="116">
        <v>450.75</v>
      </c>
      <c r="Q2301" s="116">
        <v>446.8</v>
      </c>
      <c r="R2301">
        <v>24275</v>
      </c>
    </row>
    <row r="2302" spans="1:18" x14ac:dyDescent="0.25">
      <c r="A2302" s="169">
        <v>45429</v>
      </c>
      <c r="B2302" s="116">
        <v>400</v>
      </c>
      <c r="C2302" s="116">
        <v>390.1</v>
      </c>
      <c r="D2302" s="116">
        <v>385</v>
      </c>
      <c r="E2302" s="116">
        <v>396</v>
      </c>
      <c r="F2302" s="116">
        <v>390.1</v>
      </c>
      <c r="G2302">
        <v>2454</v>
      </c>
      <c r="H2302" s="116"/>
      <c r="I2302" s="116"/>
      <c r="L2302" s="169">
        <v>45394</v>
      </c>
      <c r="M2302" s="116">
        <v>443.1</v>
      </c>
      <c r="N2302" s="116">
        <v>451.2</v>
      </c>
      <c r="O2302" s="116">
        <v>439</v>
      </c>
      <c r="P2302" s="116">
        <v>442.7</v>
      </c>
      <c r="Q2302" s="116">
        <v>443.1</v>
      </c>
      <c r="R2302">
        <v>19537</v>
      </c>
    </row>
    <row r="2303" spans="1:18" x14ac:dyDescent="0.25">
      <c r="A2303" s="169">
        <v>45430</v>
      </c>
      <c r="B2303" s="116">
        <v>388</v>
      </c>
      <c r="C2303" s="116">
        <v>386</v>
      </c>
      <c r="D2303" s="116">
        <v>380.2</v>
      </c>
      <c r="E2303" s="116">
        <v>386.95</v>
      </c>
      <c r="F2303" s="116">
        <v>386</v>
      </c>
      <c r="G2303">
        <v>535</v>
      </c>
      <c r="H2303" s="116"/>
      <c r="I2303" s="116"/>
      <c r="L2303" s="169">
        <v>45397</v>
      </c>
      <c r="M2303" s="116">
        <v>430.6</v>
      </c>
      <c r="N2303" s="116">
        <v>440.15</v>
      </c>
      <c r="O2303" s="116">
        <v>415.9</v>
      </c>
      <c r="P2303" s="116">
        <v>439.1</v>
      </c>
      <c r="Q2303" s="116">
        <v>430.6</v>
      </c>
      <c r="R2303">
        <v>28578</v>
      </c>
    </row>
    <row r="2304" spans="1:18" x14ac:dyDescent="0.25">
      <c r="A2304" s="169">
        <v>45433</v>
      </c>
      <c r="B2304" s="116">
        <v>389.6</v>
      </c>
      <c r="C2304" s="116">
        <v>386.55</v>
      </c>
      <c r="D2304" s="116">
        <v>383.75</v>
      </c>
      <c r="E2304" s="116">
        <v>385</v>
      </c>
      <c r="F2304" s="116">
        <v>386.55</v>
      </c>
      <c r="G2304">
        <v>265</v>
      </c>
      <c r="H2304" s="116"/>
      <c r="I2304" s="116"/>
      <c r="L2304" s="169">
        <v>45398</v>
      </c>
      <c r="M2304" s="116">
        <v>432.05</v>
      </c>
      <c r="N2304" s="116">
        <v>444.1</v>
      </c>
      <c r="O2304" s="116">
        <v>416.6</v>
      </c>
      <c r="P2304" s="116">
        <v>426.7</v>
      </c>
      <c r="Q2304" s="116">
        <v>432.05</v>
      </c>
      <c r="R2304">
        <v>25854</v>
      </c>
    </row>
    <row r="2305" spans="1:18" x14ac:dyDescent="0.25">
      <c r="A2305" s="169">
        <v>45434</v>
      </c>
      <c r="B2305" s="116">
        <v>388.75</v>
      </c>
      <c r="C2305" s="116">
        <v>387.6</v>
      </c>
      <c r="D2305" s="116">
        <v>382.45</v>
      </c>
      <c r="E2305" s="116">
        <v>387.15</v>
      </c>
      <c r="F2305" s="116">
        <v>387.6</v>
      </c>
      <c r="G2305">
        <v>777</v>
      </c>
      <c r="H2305" s="116"/>
      <c r="I2305" s="116"/>
      <c r="L2305" s="169">
        <v>45400</v>
      </c>
      <c r="M2305" s="116">
        <v>419.15</v>
      </c>
      <c r="N2305" s="116">
        <v>438.65</v>
      </c>
      <c r="O2305" s="116">
        <v>414.6</v>
      </c>
      <c r="P2305" s="116">
        <v>436</v>
      </c>
      <c r="Q2305" s="116">
        <v>419.15</v>
      </c>
      <c r="R2305">
        <v>27730</v>
      </c>
    </row>
    <row r="2306" spans="1:18" x14ac:dyDescent="0.25">
      <c r="A2306" s="169">
        <v>45435</v>
      </c>
      <c r="B2306" s="116">
        <v>395.15</v>
      </c>
      <c r="C2306" s="116">
        <v>383</v>
      </c>
      <c r="D2306" s="116">
        <v>380</v>
      </c>
      <c r="E2306" s="116">
        <v>387.1</v>
      </c>
      <c r="F2306" s="116">
        <v>383</v>
      </c>
      <c r="G2306">
        <v>3612</v>
      </c>
      <c r="H2306" s="116"/>
      <c r="I2306" s="116"/>
      <c r="L2306" s="169">
        <v>45401</v>
      </c>
      <c r="M2306" s="116">
        <v>424.55</v>
      </c>
      <c r="N2306" s="116">
        <v>429</v>
      </c>
      <c r="O2306" s="116">
        <v>410.1</v>
      </c>
      <c r="P2306" s="116">
        <v>418</v>
      </c>
      <c r="Q2306" s="116">
        <v>424.55</v>
      </c>
      <c r="R2306">
        <v>21242</v>
      </c>
    </row>
    <row r="2307" spans="1:18" x14ac:dyDescent="0.25">
      <c r="A2307" s="169">
        <v>45436</v>
      </c>
      <c r="B2307" s="116">
        <v>387.15</v>
      </c>
      <c r="C2307" s="116">
        <v>382.5</v>
      </c>
      <c r="D2307" s="116">
        <v>380.2</v>
      </c>
      <c r="E2307" s="116">
        <v>383</v>
      </c>
      <c r="F2307" s="116">
        <v>382.5</v>
      </c>
      <c r="G2307">
        <v>2183</v>
      </c>
      <c r="H2307" s="116"/>
      <c r="I2307" s="116"/>
      <c r="L2307" s="169">
        <v>45404</v>
      </c>
      <c r="M2307" s="116">
        <v>449.55</v>
      </c>
      <c r="N2307" s="116">
        <v>462.15</v>
      </c>
      <c r="O2307" s="116">
        <v>424.55</v>
      </c>
      <c r="P2307" s="116">
        <v>426.8</v>
      </c>
      <c r="Q2307" s="116">
        <v>449.55</v>
      </c>
      <c r="R2307">
        <v>190623</v>
      </c>
    </row>
    <row r="2308" spans="1:18" x14ac:dyDescent="0.25">
      <c r="A2308" s="169">
        <v>45439</v>
      </c>
      <c r="B2308" s="116">
        <v>390.15</v>
      </c>
      <c r="C2308" s="116">
        <v>381.2</v>
      </c>
      <c r="D2308" s="116">
        <v>380.65</v>
      </c>
      <c r="E2308" s="116">
        <v>390.15</v>
      </c>
      <c r="F2308" s="116">
        <v>381.2</v>
      </c>
      <c r="G2308">
        <v>1115</v>
      </c>
      <c r="H2308" s="116"/>
      <c r="I2308" s="116"/>
      <c r="L2308" s="169">
        <v>45405</v>
      </c>
      <c r="M2308" s="116">
        <v>447.55</v>
      </c>
      <c r="N2308" s="116">
        <v>455.5</v>
      </c>
      <c r="O2308" s="116">
        <v>441.1</v>
      </c>
      <c r="P2308" s="116">
        <v>451.9</v>
      </c>
      <c r="Q2308" s="116">
        <v>447.55</v>
      </c>
      <c r="R2308">
        <v>41521</v>
      </c>
    </row>
    <row r="2309" spans="1:18" x14ac:dyDescent="0.25">
      <c r="A2309" s="169">
        <v>45440</v>
      </c>
      <c r="B2309" s="116">
        <v>380.35</v>
      </c>
      <c r="C2309" s="116">
        <v>373.7</v>
      </c>
      <c r="D2309" s="116">
        <v>369.65</v>
      </c>
      <c r="E2309" s="116">
        <v>380.35</v>
      </c>
      <c r="F2309" s="116">
        <v>373.7</v>
      </c>
      <c r="G2309">
        <v>1702</v>
      </c>
      <c r="H2309" s="116"/>
      <c r="I2309" s="116"/>
      <c r="L2309" s="169">
        <v>45406</v>
      </c>
      <c r="M2309" s="116">
        <v>437.25</v>
      </c>
      <c r="N2309" s="116">
        <v>462.1</v>
      </c>
      <c r="O2309" s="116">
        <v>435.45</v>
      </c>
      <c r="P2309" s="116">
        <v>447.55</v>
      </c>
      <c r="Q2309" s="116">
        <v>437.25</v>
      </c>
      <c r="R2309">
        <v>96433</v>
      </c>
    </row>
    <row r="2310" spans="1:18" x14ac:dyDescent="0.25">
      <c r="A2310" s="169">
        <v>45441</v>
      </c>
      <c r="B2310" s="116">
        <v>378.95</v>
      </c>
      <c r="C2310" s="116">
        <v>375.75</v>
      </c>
      <c r="D2310" s="116">
        <v>367.95</v>
      </c>
      <c r="E2310" s="116">
        <v>369</v>
      </c>
      <c r="F2310" s="116">
        <v>375.75</v>
      </c>
      <c r="G2310">
        <v>1621</v>
      </c>
      <c r="H2310" s="116"/>
      <c r="I2310" s="116"/>
      <c r="L2310" s="169">
        <v>45407</v>
      </c>
      <c r="M2310" s="116">
        <v>435.1</v>
      </c>
      <c r="N2310" s="116">
        <v>445.05</v>
      </c>
      <c r="O2310" s="116">
        <v>434</v>
      </c>
      <c r="P2310" s="116">
        <v>439.85</v>
      </c>
      <c r="Q2310" s="116">
        <v>435.1</v>
      </c>
      <c r="R2310">
        <v>22536</v>
      </c>
    </row>
    <row r="2311" spans="1:18" x14ac:dyDescent="0.25">
      <c r="A2311" s="169">
        <v>45442</v>
      </c>
      <c r="B2311" s="116">
        <v>374.8</v>
      </c>
      <c r="C2311" s="116">
        <v>365.1</v>
      </c>
      <c r="D2311" s="116">
        <v>364.05</v>
      </c>
      <c r="E2311" s="116">
        <v>374.8</v>
      </c>
      <c r="F2311" s="116">
        <v>365.1</v>
      </c>
      <c r="G2311">
        <v>2829</v>
      </c>
      <c r="H2311" s="116"/>
      <c r="I2311" s="116"/>
      <c r="L2311" s="169">
        <v>45408</v>
      </c>
      <c r="M2311" s="116">
        <v>436.85</v>
      </c>
      <c r="N2311" s="116">
        <v>443.15</v>
      </c>
      <c r="O2311" s="116">
        <v>434.6</v>
      </c>
      <c r="P2311" s="116">
        <v>437.35</v>
      </c>
      <c r="Q2311" s="116">
        <v>436.85</v>
      </c>
      <c r="R2311">
        <v>11560</v>
      </c>
    </row>
    <row r="2312" spans="1:18" x14ac:dyDescent="0.25">
      <c r="A2312" s="169">
        <v>45443</v>
      </c>
      <c r="B2312" s="116">
        <v>369.95</v>
      </c>
      <c r="C2312" s="116">
        <v>358.75</v>
      </c>
      <c r="D2312" s="116">
        <v>357.35</v>
      </c>
      <c r="E2312" s="116">
        <v>365</v>
      </c>
      <c r="F2312" s="116">
        <v>358.75</v>
      </c>
      <c r="G2312">
        <v>684</v>
      </c>
      <c r="H2312" s="116"/>
      <c r="I2312" s="116"/>
      <c r="L2312" s="169">
        <v>45411</v>
      </c>
      <c r="M2312" s="116">
        <v>439.55</v>
      </c>
      <c r="N2312" s="116">
        <v>446.9</v>
      </c>
      <c r="O2312" s="116">
        <v>435</v>
      </c>
      <c r="P2312" s="116">
        <v>439.1</v>
      </c>
      <c r="Q2312" s="116">
        <v>439.55</v>
      </c>
      <c r="R2312">
        <v>20769</v>
      </c>
    </row>
    <row r="2313" spans="1:18" x14ac:dyDescent="0.25">
      <c r="A2313" s="169">
        <v>45446</v>
      </c>
      <c r="B2313" s="116">
        <v>371.75</v>
      </c>
      <c r="C2313" s="116">
        <v>360.25</v>
      </c>
      <c r="D2313" s="116">
        <v>357.5</v>
      </c>
      <c r="E2313" s="116">
        <v>371.3</v>
      </c>
      <c r="F2313" s="116">
        <v>360.25</v>
      </c>
      <c r="G2313">
        <v>2122</v>
      </c>
      <c r="H2313" s="116"/>
      <c r="I2313" s="116"/>
      <c r="L2313" s="169">
        <v>45412</v>
      </c>
      <c r="M2313" s="116">
        <v>440.55</v>
      </c>
      <c r="N2313" s="116">
        <v>445.5</v>
      </c>
      <c r="O2313" s="116">
        <v>434.95</v>
      </c>
      <c r="P2313" s="116">
        <v>439.1</v>
      </c>
      <c r="Q2313" s="116">
        <v>440.55</v>
      </c>
      <c r="R2313">
        <v>17443</v>
      </c>
    </row>
    <row r="2314" spans="1:18" x14ac:dyDescent="0.25">
      <c r="A2314" s="169">
        <v>45447</v>
      </c>
      <c r="B2314" s="116">
        <v>380</v>
      </c>
      <c r="C2314" s="116">
        <v>360.75</v>
      </c>
      <c r="D2314" s="116">
        <v>319.85000000000002</v>
      </c>
      <c r="E2314" s="116">
        <v>355</v>
      </c>
      <c r="F2314" s="116">
        <v>360.75</v>
      </c>
      <c r="G2314">
        <v>2268</v>
      </c>
      <c r="H2314" s="116"/>
      <c r="I2314" s="116"/>
      <c r="L2314" s="169">
        <v>45414</v>
      </c>
      <c r="M2314" s="116">
        <v>434.15</v>
      </c>
      <c r="N2314" s="116">
        <v>442.45</v>
      </c>
      <c r="O2314" s="116">
        <v>432.05</v>
      </c>
      <c r="P2314" s="116">
        <v>440.5</v>
      </c>
      <c r="Q2314" s="116">
        <v>434.15</v>
      </c>
      <c r="R2314">
        <v>10204</v>
      </c>
    </row>
    <row r="2315" spans="1:18" x14ac:dyDescent="0.25">
      <c r="A2315" s="169">
        <v>45448</v>
      </c>
      <c r="B2315" s="116">
        <v>368.8</v>
      </c>
      <c r="C2315" s="116">
        <v>361.65</v>
      </c>
      <c r="D2315" s="116">
        <v>347.6</v>
      </c>
      <c r="E2315" s="116">
        <v>358.35</v>
      </c>
      <c r="F2315" s="116">
        <v>361.65</v>
      </c>
      <c r="G2315">
        <v>4876</v>
      </c>
      <c r="H2315" s="116"/>
      <c r="I2315" s="116"/>
      <c r="L2315" s="169">
        <v>45415</v>
      </c>
      <c r="M2315" s="116">
        <v>426.55</v>
      </c>
      <c r="N2315" s="116">
        <v>437.95</v>
      </c>
      <c r="O2315" s="116">
        <v>425</v>
      </c>
      <c r="P2315" s="116">
        <v>436.4</v>
      </c>
      <c r="Q2315" s="116">
        <v>426.55</v>
      </c>
      <c r="R2315">
        <v>15103</v>
      </c>
    </row>
    <row r="2316" spans="1:18" x14ac:dyDescent="0.25">
      <c r="A2316" s="169">
        <v>45449</v>
      </c>
      <c r="B2316" s="116">
        <v>394.6</v>
      </c>
      <c r="C2316" s="116">
        <v>383.7</v>
      </c>
      <c r="D2316" s="116">
        <v>359.5</v>
      </c>
      <c r="E2316" s="116">
        <v>359.5</v>
      </c>
      <c r="F2316" s="116">
        <v>383.7</v>
      </c>
      <c r="G2316">
        <v>8908</v>
      </c>
      <c r="H2316" s="116"/>
      <c r="I2316" s="116"/>
      <c r="L2316" s="169">
        <v>45418</v>
      </c>
      <c r="M2316" s="116">
        <v>417.95</v>
      </c>
      <c r="N2316" s="116">
        <v>434.9</v>
      </c>
      <c r="O2316" s="116">
        <v>417.05</v>
      </c>
      <c r="P2316" s="116">
        <v>434.9</v>
      </c>
      <c r="Q2316" s="116">
        <v>417.95</v>
      </c>
      <c r="R2316">
        <v>13273</v>
      </c>
    </row>
    <row r="2317" spans="1:18" x14ac:dyDescent="0.25">
      <c r="A2317" s="169">
        <v>45450</v>
      </c>
      <c r="B2317" s="116">
        <v>392.25</v>
      </c>
      <c r="C2317" s="116">
        <v>388</v>
      </c>
      <c r="D2317" s="116">
        <v>385.5</v>
      </c>
      <c r="E2317" s="116">
        <v>386</v>
      </c>
      <c r="F2317" s="116">
        <v>388</v>
      </c>
      <c r="G2317">
        <v>4722</v>
      </c>
      <c r="H2317" s="116"/>
      <c r="I2317" s="116"/>
      <c r="L2317" s="169">
        <v>45419</v>
      </c>
      <c r="M2317" s="116">
        <v>407.85</v>
      </c>
      <c r="N2317" s="116">
        <v>424.55</v>
      </c>
      <c r="O2317" s="116">
        <v>405.25</v>
      </c>
      <c r="P2317" s="116">
        <v>420</v>
      </c>
      <c r="Q2317" s="116">
        <v>407.85</v>
      </c>
      <c r="R2317">
        <v>17758</v>
      </c>
    </row>
    <row r="2318" spans="1:18" x14ac:dyDescent="0.25">
      <c r="A2318" s="169">
        <v>45453</v>
      </c>
      <c r="B2318" s="116">
        <v>390</v>
      </c>
      <c r="C2318" s="116">
        <v>384.2</v>
      </c>
      <c r="D2318" s="116">
        <v>379.65</v>
      </c>
      <c r="E2318" s="116">
        <v>386</v>
      </c>
      <c r="F2318" s="116">
        <v>384.2</v>
      </c>
      <c r="G2318">
        <v>306</v>
      </c>
      <c r="H2318" s="116"/>
      <c r="I2318" s="116"/>
      <c r="L2318" s="169">
        <v>45420</v>
      </c>
      <c r="M2318" s="116">
        <v>416.5</v>
      </c>
      <c r="N2318" s="116">
        <v>420.8</v>
      </c>
      <c r="O2318" s="116">
        <v>404.15</v>
      </c>
      <c r="P2318" s="116">
        <v>406.2</v>
      </c>
      <c r="Q2318" s="116">
        <v>416.5</v>
      </c>
      <c r="R2318">
        <v>8259</v>
      </c>
    </row>
    <row r="2319" spans="1:18" x14ac:dyDescent="0.25">
      <c r="A2319" s="169">
        <v>45454</v>
      </c>
      <c r="B2319" s="116">
        <v>391</v>
      </c>
      <c r="C2319" s="116">
        <v>388</v>
      </c>
      <c r="D2319" s="116">
        <v>385.25</v>
      </c>
      <c r="E2319" s="116">
        <v>389.8</v>
      </c>
      <c r="F2319" s="116">
        <v>388</v>
      </c>
      <c r="G2319">
        <v>904</v>
      </c>
      <c r="H2319" s="116"/>
      <c r="I2319" s="116"/>
      <c r="L2319" s="169">
        <v>45421</v>
      </c>
      <c r="M2319" s="116">
        <v>399.75</v>
      </c>
      <c r="N2319" s="116">
        <v>419.85</v>
      </c>
      <c r="O2319" s="116">
        <v>398</v>
      </c>
      <c r="P2319" s="116">
        <v>417.55</v>
      </c>
      <c r="Q2319" s="116">
        <v>399.75</v>
      </c>
      <c r="R2319">
        <v>31273</v>
      </c>
    </row>
    <row r="2320" spans="1:18" x14ac:dyDescent="0.25">
      <c r="A2320" s="169">
        <v>45455</v>
      </c>
      <c r="B2320" s="116">
        <v>432</v>
      </c>
      <c r="C2320" s="116">
        <v>418.1</v>
      </c>
      <c r="D2320" s="116">
        <v>399</v>
      </c>
      <c r="E2320" s="116">
        <v>399</v>
      </c>
      <c r="F2320" s="116">
        <v>418.1</v>
      </c>
      <c r="G2320">
        <v>14762</v>
      </c>
      <c r="H2320" s="116"/>
      <c r="I2320" s="116"/>
      <c r="L2320" s="169">
        <v>45422</v>
      </c>
      <c r="M2320" s="116">
        <v>396.2</v>
      </c>
      <c r="N2320" s="116">
        <v>404.6</v>
      </c>
      <c r="O2320" s="116">
        <v>376.5</v>
      </c>
      <c r="P2320" s="116">
        <v>400.95</v>
      </c>
      <c r="Q2320" s="116">
        <v>396.2</v>
      </c>
      <c r="R2320">
        <v>74878</v>
      </c>
    </row>
    <row r="2321" spans="1:18" x14ac:dyDescent="0.25">
      <c r="A2321" s="169">
        <v>45456</v>
      </c>
      <c r="B2321" s="116">
        <v>440.05</v>
      </c>
      <c r="C2321" s="116">
        <v>427.1</v>
      </c>
      <c r="D2321" s="116">
        <v>411.3</v>
      </c>
      <c r="E2321" s="116">
        <v>415.95</v>
      </c>
      <c r="F2321" s="116">
        <v>427.1</v>
      </c>
      <c r="G2321">
        <v>8443</v>
      </c>
      <c r="H2321" s="116"/>
      <c r="I2321" s="116"/>
      <c r="L2321" s="169">
        <v>45425</v>
      </c>
      <c r="M2321" s="116">
        <v>388.9</v>
      </c>
      <c r="N2321" s="116">
        <v>411.7</v>
      </c>
      <c r="O2321" s="116">
        <v>385</v>
      </c>
      <c r="P2321" s="116">
        <v>398.3</v>
      </c>
      <c r="Q2321" s="116">
        <v>388.9</v>
      </c>
      <c r="R2321">
        <v>23599</v>
      </c>
    </row>
    <row r="2322" spans="1:18" x14ac:dyDescent="0.25">
      <c r="A2322" s="169">
        <v>45457</v>
      </c>
      <c r="B2322" s="116">
        <v>450.25</v>
      </c>
      <c r="C2322" s="116">
        <v>449.95</v>
      </c>
      <c r="D2322" s="116">
        <v>428.45</v>
      </c>
      <c r="E2322" s="116">
        <v>428.45</v>
      </c>
      <c r="F2322" s="116">
        <v>449.95</v>
      </c>
      <c r="G2322">
        <v>10576</v>
      </c>
      <c r="H2322" s="116"/>
      <c r="I2322" s="116"/>
      <c r="L2322" s="169">
        <v>45426</v>
      </c>
      <c r="M2322" s="116">
        <v>396</v>
      </c>
      <c r="N2322" s="116">
        <v>400</v>
      </c>
      <c r="O2322" s="116">
        <v>388.2</v>
      </c>
      <c r="P2322" s="116">
        <v>389.5</v>
      </c>
      <c r="Q2322" s="116">
        <v>396</v>
      </c>
      <c r="R2322">
        <v>34237</v>
      </c>
    </row>
    <row r="2323" spans="1:18" x14ac:dyDescent="0.25">
      <c r="A2323" s="169">
        <v>45461</v>
      </c>
      <c r="B2323" s="116">
        <v>453</v>
      </c>
      <c r="C2323" s="116">
        <v>434.35</v>
      </c>
      <c r="D2323" s="116">
        <v>431.25</v>
      </c>
      <c r="E2323" s="116">
        <v>450</v>
      </c>
      <c r="F2323" s="116">
        <v>434.35</v>
      </c>
      <c r="G2323">
        <v>9647</v>
      </c>
      <c r="H2323" s="116"/>
      <c r="I2323" s="116"/>
      <c r="L2323" s="169">
        <v>45427</v>
      </c>
      <c r="M2323" s="116">
        <v>395.45</v>
      </c>
      <c r="N2323" s="116">
        <v>403.45</v>
      </c>
      <c r="O2323" s="116">
        <v>395</v>
      </c>
      <c r="P2323" s="116">
        <v>397.5</v>
      </c>
      <c r="Q2323" s="116">
        <v>395.45</v>
      </c>
      <c r="R2323">
        <v>17149</v>
      </c>
    </row>
    <row r="2324" spans="1:18" x14ac:dyDescent="0.25">
      <c r="A2324" s="169">
        <v>45462</v>
      </c>
      <c r="B2324" s="116">
        <v>437.8</v>
      </c>
      <c r="C2324" s="116">
        <v>425.6</v>
      </c>
      <c r="D2324" s="116">
        <v>420.7</v>
      </c>
      <c r="E2324" s="116">
        <v>433.25</v>
      </c>
      <c r="F2324" s="116">
        <v>425.6</v>
      </c>
      <c r="G2324">
        <v>6281</v>
      </c>
      <c r="H2324" s="116"/>
      <c r="I2324" s="116"/>
      <c r="L2324" s="169">
        <v>45428</v>
      </c>
      <c r="M2324" s="116">
        <v>393.8</v>
      </c>
      <c r="N2324" s="116">
        <v>398.95</v>
      </c>
      <c r="O2324" s="116">
        <v>391</v>
      </c>
      <c r="P2324" s="116">
        <v>393.1</v>
      </c>
      <c r="Q2324" s="116">
        <v>393.8</v>
      </c>
      <c r="R2324">
        <v>13253</v>
      </c>
    </row>
    <row r="2325" spans="1:18" x14ac:dyDescent="0.25">
      <c r="A2325" s="169">
        <v>45463</v>
      </c>
      <c r="B2325" s="116">
        <v>434.15</v>
      </c>
      <c r="C2325" s="116">
        <v>425.95</v>
      </c>
      <c r="D2325" s="116">
        <v>424.65</v>
      </c>
      <c r="E2325" s="116">
        <v>432.4</v>
      </c>
      <c r="F2325" s="116">
        <v>425.95</v>
      </c>
      <c r="G2325">
        <v>2643</v>
      </c>
      <c r="H2325" s="116"/>
      <c r="I2325" s="116"/>
      <c r="L2325" s="169">
        <v>45429</v>
      </c>
      <c r="M2325" s="116">
        <v>390.55</v>
      </c>
      <c r="N2325" s="116">
        <v>401</v>
      </c>
      <c r="O2325" s="116">
        <v>385</v>
      </c>
      <c r="P2325" s="116">
        <v>393.85</v>
      </c>
      <c r="Q2325" s="116">
        <v>390.55</v>
      </c>
      <c r="R2325">
        <v>33255</v>
      </c>
    </row>
    <row r="2326" spans="1:18" x14ac:dyDescent="0.25">
      <c r="A2326" s="169">
        <v>45464</v>
      </c>
      <c r="B2326" s="116">
        <v>429.05</v>
      </c>
      <c r="C2326" s="116">
        <v>415.7</v>
      </c>
      <c r="D2326" s="116">
        <v>414.25</v>
      </c>
      <c r="E2326" s="116">
        <v>418.15</v>
      </c>
      <c r="F2326" s="116">
        <v>415.7</v>
      </c>
      <c r="G2326">
        <v>3946</v>
      </c>
      <c r="H2326" s="116"/>
      <c r="I2326" s="116"/>
      <c r="L2326" s="169">
        <v>45430</v>
      </c>
      <c r="M2326" s="116">
        <v>386.7</v>
      </c>
      <c r="N2326" s="116">
        <v>390.55</v>
      </c>
      <c r="O2326" s="116">
        <v>380</v>
      </c>
      <c r="P2326" s="116">
        <v>387</v>
      </c>
      <c r="Q2326" s="116">
        <v>386.7</v>
      </c>
      <c r="R2326">
        <v>20567</v>
      </c>
    </row>
    <row r="2327" spans="1:18" x14ac:dyDescent="0.25">
      <c r="A2327" s="169">
        <v>45467</v>
      </c>
      <c r="B2327" s="116">
        <v>415.55</v>
      </c>
      <c r="C2327" s="116">
        <v>408.95</v>
      </c>
      <c r="D2327" s="116">
        <v>408.8</v>
      </c>
      <c r="E2327" s="116">
        <v>413.8</v>
      </c>
      <c r="F2327" s="116">
        <v>408.95</v>
      </c>
      <c r="G2327">
        <v>1944</v>
      </c>
      <c r="H2327" s="116"/>
      <c r="I2327" s="116"/>
      <c r="L2327" s="169">
        <v>45433</v>
      </c>
      <c r="M2327" s="116">
        <v>387.15</v>
      </c>
      <c r="N2327" s="116">
        <v>390.25</v>
      </c>
      <c r="O2327" s="116">
        <v>382</v>
      </c>
      <c r="P2327" s="116">
        <v>386.7</v>
      </c>
      <c r="Q2327" s="116">
        <v>387.15</v>
      </c>
      <c r="R2327">
        <v>12547</v>
      </c>
    </row>
    <row r="2328" spans="1:18" x14ac:dyDescent="0.25">
      <c r="A2328" s="169">
        <v>45468</v>
      </c>
      <c r="B2328" s="116">
        <v>410.45</v>
      </c>
      <c r="C2328" s="116">
        <v>398.6</v>
      </c>
      <c r="D2328" s="116">
        <v>396.3</v>
      </c>
      <c r="E2328" s="116">
        <v>410.4</v>
      </c>
      <c r="F2328" s="116">
        <v>398.6</v>
      </c>
      <c r="G2328">
        <v>7296</v>
      </c>
      <c r="H2328" s="116"/>
      <c r="I2328" s="116"/>
      <c r="L2328" s="169">
        <v>45434</v>
      </c>
      <c r="M2328" s="116">
        <v>386.3</v>
      </c>
      <c r="N2328" s="116">
        <v>390.45</v>
      </c>
      <c r="O2328" s="116">
        <v>383.1</v>
      </c>
      <c r="P2328" s="116">
        <v>390.25</v>
      </c>
      <c r="Q2328" s="116">
        <v>386.3</v>
      </c>
      <c r="R2328">
        <v>7685</v>
      </c>
    </row>
    <row r="2329" spans="1:18" x14ac:dyDescent="0.25">
      <c r="A2329" s="169">
        <v>45469</v>
      </c>
      <c r="B2329" s="116">
        <v>423.95</v>
      </c>
      <c r="C2329" s="116">
        <v>400.15</v>
      </c>
      <c r="D2329" s="116">
        <v>397.2</v>
      </c>
      <c r="E2329" s="116">
        <v>409.8</v>
      </c>
      <c r="F2329" s="116">
        <v>400.15</v>
      </c>
      <c r="G2329">
        <v>5668</v>
      </c>
      <c r="H2329" s="116"/>
      <c r="I2329" s="116"/>
      <c r="L2329" s="169">
        <v>45435</v>
      </c>
      <c r="M2329" s="116">
        <v>382.3</v>
      </c>
      <c r="N2329" s="116">
        <v>394.95</v>
      </c>
      <c r="O2329" s="116">
        <v>378.5</v>
      </c>
      <c r="P2329" s="116">
        <v>388.3</v>
      </c>
      <c r="Q2329" s="116">
        <v>382.3</v>
      </c>
      <c r="R2329">
        <v>26697</v>
      </c>
    </row>
    <row r="2330" spans="1:18" x14ac:dyDescent="0.25">
      <c r="A2330" s="169">
        <v>45470</v>
      </c>
      <c r="B2330" s="116">
        <v>412.65</v>
      </c>
      <c r="C2330" s="116">
        <v>408.9</v>
      </c>
      <c r="D2330" s="116">
        <v>399.3</v>
      </c>
      <c r="E2330" s="116">
        <v>404.8</v>
      </c>
      <c r="F2330" s="116">
        <v>408.9</v>
      </c>
      <c r="G2330">
        <v>4575</v>
      </c>
      <c r="H2330" s="116"/>
      <c r="I2330" s="116"/>
      <c r="L2330" s="169">
        <v>45436</v>
      </c>
      <c r="M2330" s="116">
        <v>382.35</v>
      </c>
      <c r="N2330" s="116">
        <v>389.95</v>
      </c>
      <c r="O2330" s="116">
        <v>380.05</v>
      </c>
      <c r="P2330" s="116">
        <v>380.05</v>
      </c>
      <c r="Q2330" s="116">
        <v>382.35</v>
      </c>
      <c r="R2330">
        <v>12296</v>
      </c>
    </row>
    <row r="2331" spans="1:18" x14ac:dyDescent="0.25">
      <c r="A2331" s="169">
        <v>45471</v>
      </c>
      <c r="B2331" s="116">
        <v>410.35</v>
      </c>
      <c r="C2331" s="116">
        <v>408.8</v>
      </c>
      <c r="D2331" s="116">
        <v>402.05</v>
      </c>
      <c r="E2331" s="116">
        <v>408</v>
      </c>
      <c r="F2331" s="116">
        <v>408.8</v>
      </c>
      <c r="G2331">
        <v>9254</v>
      </c>
      <c r="H2331" s="116"/>
      <c r="I2331" s="116"/>
      <c r="L2331" s="169">
        <v>45439</v>
      </c>
      <c r="M2331" s="116">
        <v>381.35</v>
      </c>
      <c r="N2331" s="116">
        <v>387.95</v>
      </c>
      <c r="O2331" s="116">
        <v>380.5</v>
      </c>
      <c r="P2331" s="116">
        <v>384.4</v>
      </c>
      <c r="Q2331" s="116">
        <v>381.35</v>
      </c>
      <c r="R2331">
        <v>7603</v>
      </c>
    </row>
    <row r="2332" spans="1:18" x14ac:dyDescent="0.25">
      <c r="A2332" s="169">
        <v>45474</v>
      </c>
      <c r="B2332" s="116">
        <v>418.5</v>
      </c>
      <c r="C2332" s="116">
        <v>417.2</v>
      </c>
      <c r="D2332" s="116">
        <v>404.95</v>
      </c>
      <c r="E2332" s="116">
        <v>417</v>
      </c>
      <c r="F2332" s="116">
        <v>417.2</v>
      </c>
      <c r="G2332">
        <v>1512</v>
      </c>
      <c r="H2332" s="116"/>
      <c r="I2332" s="116"/>
      <c r="L2332" s="169">
        <v>45440</v>
      </c>
      <c r="M2332" s="116">
        <v>372.35</v>
      </c>
      <c r="N2332" s="116">
        <v>384.05</v>
      </c>
      <c r="O2332" s="116">
        <v>370</v>
      </c>
      <c r="P2332" s="116">
        <v>383.4</v>
      </c>
      <c r="Q2332" s="116">
        <v>372.35</v>
      </c>
      <c r="R2332">
        <v>20061</v>
      </c>
    </row>
    <row r="2333" spans="1:18" x14ac:dyDescent="0.25">
      <c r="A2333" s="169">
        <v>45475</v>
      </c>
      <c r="B2333" s="116">
        <v>427</v>
      </c>
      <c r="C2333" s="116">
        <v>412.85</v>
      </c>
      <c r="D2333" s="116">
        <v>410.95</v>
      </c>
      <c r="E2333" s="116">
        <v>427</v>
      </c>
      <c r="F2333" s="116">
        <v>412.85</v>
      </c>
      <c r="G2333">
        <v>2416</v>
      </c>
      <c r="H2333" s="116"/>
      <c r="I2333" s="116"/>
      <c r="L2333" s="169">
        <v>45441</v>
      </c>
      <c r="M2333" s="116">
        <v>376.55</v>
      </c>
      <c r="N2333" s="116">
        <v>380</v>
      </c>
      <c r="O2333" s="116">
        <v>367.9</v>
      </c>
      <c r="P2333" s="116">
        <v>372.35</v>
      </c>
      <c r="Q2333" s="116">
        <v>376.55</v>
      </c>
      <c r="R2333">
        <v>7924</v>
      </c>
    </row>
    <row r="2334" spans="1:18" x14ac:dyDescent="0.25">
      <c r="A2334" s="169">
        <v>45476</v>
      </c>
      <c r="B2334" s="116">
        <v>422.05</v>
      </c>
      <c r="C2334" s="116">
        <v>409.75</v>
      </c>
      <c r="D2334" s="116">
        <v>404.65</v>
      </c>
      <c r="E2334" s="116">
        <v>415.45</v>
      </c>
      <c r="F2334" s="116">
        <v>409.75</v>
      </c>
      <c r="G2334">
        <v>6680</v>
      </c>
      <c r="H2334" s="116"/>
      <c r="I2334" s="116"/>
      <c r="L2334" s="169">
        <v>45442</v>
      </c>
      <c r="M2334" s="116">
        <v>365.55</v>
      </c>
      <c r="N2334" s="116">
        <v>378.5</v>
      </c>
      <c r="O2334" s="116">
        <v>363.8</v>
      </c>
      <c r="P2334" s="116">
        <v>378.5</v>
      </c>
      <c r="Q2334" s="116">
        <v>365.55</v>
      </c>
      <c r="R2334">
        <v>15704</v>
      </c>
    </row>
    <row r="2335" spans="1:18" x14ac:dyDescent="0.25">
      <c r="A2335" s="169">
        <v>45477</v>
      </c>
      <c r="B2335" s="116">
        <v>420</v>
      </c>
      <c r="C2335" s="116">
        <v>410.45</v>
      </c>
      <c r="D2335" s="116">
        <v>404</v>
      </c>
      <c r="E2335" s="116">
        <v>420</v>
      </c>
      <c r="F2335" s="116">
        <v>410.45</v>
      </c>
      <c r="G2335">
        <v>2967</v>
      </c>
      <c r="H2335" s="116"/>
      <c r="I2335" s="116"/>
      <c r="L2335" s="169">
        <v>45443</v>
      </c>
      <c r="M2335" s="116">
        <v>362.7</v>
      </c>
      <c r="N2335" s="116">
        <v>369.6</v>
      </c>
      <c r="O2335" s="116">
        <v>359.55</v>
      </c>
      <c r="P2335" s="116">
        <v>365</v>
      </c>
      <c r="Q2335" s="116">
        <v>362.7</v>
      </c>
      <c r="R2335">
        <v>13487</v>
      </c>
    </row>
    <row r="2336" spans="1:18" x14ac:dyDescent="0.25">
      <c r="A2336" s="169">
        <v>45478</v>
      </c>
      <c r="B2336" s="116">
        <v>419.3</v>
      </c>
      <c r="C2336" s="116">
        <v>416.6</v>
      </c>
      <c r="D2336" s="116">
        <v>410.05</v>
      </c>
      <c r="E2336" s="116">
        <v>414.5</v>
      </c>
      <c r="F2336" s="116">
        <v>416.6</v>
      </c>
      <c r="G2336">
        <v>5718</v>
      </c>
      <c r="H2336" s="116"/>
      <c r="I2336" s="116"/>
      <c r="L2336" s="169">
        <v>45446</v>
      </c>
      <c r="M2336" s="116">
        <v>362.7</v>
      </c>
      <c r="N2336" s="116">
        <v>374.95</v>
      </c>
      <c r="O2336" s="116">
        <v>357</v>
      </c>
      <c r="P2336" s="116">
        <v>370</v>
      </c>
      <c r="Q2336" s="116">
        <v>362.7</v>
      </c>
      <c r="R2336">
        <v>34574</v>
      </c>
    </row>
    <row r="2337" spans="1:18" x14ac:dyDescent="0.25">
      <c r="A2337" s="169">
        <v>45481</v>
      </c>
      <c r="B2337" s="116">
        <v>437.85</v>
      </c>
      <c r="C2337" s="116">
        <v>414.3</v>
      </c>
      <c r="D2337" s="116">
        <v>411.25</v>
      </c>
      <c r="E2337" s="116">
        <v>424.95</v>
      </c>
      <c r="F2337" s="116">
        <v>414.3</v>
      </c>
      <c r="G2337">
        <v>10206</v>
      </c>
      <c r="H2337" s="116"/>
      <c r="I2337" s="116"/>
      <c r="L2337" s="169">
        <v>45447</v>
      </c>
      <c r="M2337" s="116">
        <v>365.25</v>
      </c>
      <c r="N2337" s="116">
        <v>395.3</v>
      </c>
      <c r="O2337" s="116">
        <v>317.60000000000002</v>
      </c>
      <c r="P2337" s="116">
        <v>360.8</v>
      </c>
      <c r="Q2337" s="116">
        <v>365.25</v>
      </c>
      <c r="R2337">
        <v>65766</v>
      </c>
    </row>
    <row r="2338" spans="1:18" x14ac:dyDescent="0.25">
      <c r="A2338" s="169">
        <v>45482</v>
      </c>
      <c r="B2338" s="116">
        <v>421.55</v>
      </c>
      <c r="C2338" s="116">
        <v>409.6</v>
      </c>
      <c r="D2338" s="116">
        <v>407.35</v>
      </c>
      <c r="E2338" s="116">
        <v>417.75</v>
      </c>
      <c r="F2338" s="116">
        <v>409.6</v>
      </c>
      <c r="G2338">
        <v>2972</v>
      </c>
      <c r="H2338" s="116"/>
      <c r="I2338" s="116"/>
      <c r="L2338" s="169">
        <v>45448</v>
      </c>
      <c r="M2338" s="116">
        <v>359.3</v>
      </c>
      <c r="N2338" s="116">
        <v>368.65</v>
      </c>
      <c r="O2338" s="116">
        <v>345.65</v>
      </c>
      <c r="P2338" s="116">
        <v>362.95</v>
      </c>
      <c r="Q2338" s="116">
        <v>359.3</v>
      </c>
      <c r="R2338">
        <v>54737</v>
      </c>
    </row>
    <row r="2339" spans="1:18" x14ac:dyDescent="0.25">
      <c r="A2339" s="169">
        <v>45483</v>
      </c>
      <c r="B2339" s="116">
        <v>412.65</v>
      </c>
      <c r="C2339" s="116">
        <v>401.1</v>
      </c>
      <c r="D2339" s="116">
        <v>393.65</v>
      </c>
      <c r="E2339" s="116">
        <v>412</v>
      </c>
      <c r="F2339" s="116">
        <v>401.1</v>
      </c>
      <c r="G2339">
        <v>6225</v>
      </c>
      <c r="H2339" s="116"/>
      <c r="I2339" s="116"/>
      <c r="L2339" s="169">
        <v>45449</v>
      </c>
      <c r="M2339" s="116">
        <v>386.4</v>
      </c>
      <c r="N2339" s="116">
        <v>395.8</v>
      </c>
      <c r="O2339" s="116">
        <v>359</v>
      </c>
      <c r="P2339" s="116">
        <v>361.95</v>
      </c>
      <c r="Q2339" s="116">
        <v>386.4</v>
      </c>
      <c r="R2339">
        <v>60997</v>
      </c>
    </row>
    <row r="2340" spans="1:18" x14ac:dyDescent="0.25">
      <c r="A2340" s="169">
        <v>45484</v>
      </c>
      <c r="B2340" s="116">
        <v>416.7</v>
      </c>
      <c r="C2340" s="116">
        <v>412.15</v>
      </c>
      <c r="D2340" s="116">
        <v>401.1</v>
      </c>
      <c r="E2340" s="116">
        <v>401.1</v>
      </c>
      <c r="F2340" s="116">
        <v>412.15</v>
      </c>
      <c r="G2340">
        <v>3260</v>
      </c>
      <c r="H2340" s="116"/>
      <c r="I2340" s="116"/>
      <c r="L2340" s="169">
        <v>45450</v>
      </c>
      <c r="M2340" s="116">
        <v>388.7</v>
      </c>
      <c r="N2340" s="116">
        <v>393.05</v>
      </c>
      <c r="O2340" s="116">
        <v>382.9</v>
      </c>
      <c r="P2340" s="116">
        <v>388.4</v>
      </c>
      <c r="Q2340" s="116">
        <v>388.7</v>
      </c>
      <c r="R2340">
        <v>12687</v>
      </c>
    </row>
    <row r="2341" spans="1:18" x14ac:dyDescent="0.25">
      <c r="A2341" s="169">
        <v>45485</v>
      </c>
      <c r="B2341" s="116">
        <v>414.75</v>
      </c>
      <c r="C2341" s="116">
        <v>403.85</v>
      </c>
      <c r="D2341" s="116">
        <v>396.8</v>
      </c>
      <c r="E2341" s="116">
        <v>396.8</v>
      </c>
      <c r="F2341" s="116">
        <v>403.85</v>
      </c>
      <c r="G2341">
        <v>4317</v>
      </c>
      <c r="H2341" s="116"/>
      <c r="I2341" s="116"/>
      <c r="L2341" s="169">
        <v>45453</v>
      </c>
      <c r="M2341" s="116">
        <v>385.3</v>
      </c>
      <c r="N2341" s="116">
        <v>395</v>
      </c>
      <c r="O2341" s="116">
        <v>379.6</v>
      </c>
      <c r="P2341" s="116">
        <v>390</v>
      </c>
      <c r="Q2341" s="116">
        <v>385.3</v>
      </c>
      <c r="R2341">
        <v>20511</v>
      </c>
    </row>
    <row r="2342" spans="1:18" x14ac:dyDescent="0.25">
      <c r="A2342" s="169">
        <v>45488</v>
      </c>
      <c r="B2342" s="116">
        <v>412.4</v>
      </c>
      <c r="C2342" s="116">
        <v>404.15</v>
      </c>
      <c r="D2342" s="116">
        <v>400.45</v>
      </c>
      <c r="E2342" s="116">
        <v>407.3</v>
      </c>
      <c r="F2342" s="116">
        <v>404.15</v>
      </c>
      <c r="G2342">
        <v>1553</v>
      </c>
      <c r="H2342" s="116"/>
      <c r="I2342" s="116"/>
      <c r="L2342" s="169">
        <v>45454</v>
      </c>
      <c r="M2342" s="116">
        <v>388.8</v>
      </c>
      <c r="N2342" s="116">
        <v>392.5</v>
      </c>
      <c r="O2342" s="116">
        <v>382.9</v>
      </c>
      <c r="P2342" s="116">
        <v>385.3</v>
      </c>
      <c r="Q2342" s="116">
        <v>388.8</v>
      </c>
      <c r="R2342">
        <v>20934</v>
      </c>
    </row>
    <row r="2343" spans="1:18" x14ac:dyDescent="0.25">
      <c r="A2343" s="169">
        <v>45489</v>
      </c>
      <c r="B2343" s="116">
        <v>413.15</v>
      </c>
      <c r="C2343" s="116">
        <v>406.4</v>
      </c>
      <c r="D2343" s="116">
        <v>406.3</v>
      </c>
      <c r="E2343" s="116">
        <v>409.55</v>
      </c>
      <c r="F2343" s="116">
        <v>406.4</v>
      </c>
      <c r="G2343">
        <v>845</v>
      </c>
      <c r="H2343" s="116"/>
      <c r="I2343" s="116"/>
      <c r="L2343" s="169">
        <v>45455</v>
      </c>
      <c r="M2343" s="116">
        <v>419.35</v>
      </c>
      <c r="N2343" s="116">
        <v>432.5</v>
      </c>
      <c r="O2343" s="116">
        <v>394.55</v>
      </c>
      <c r="P2343" s="116">
        <v>398</v>
      </c>
      <c r="Q2343" s="116">
        <v>419.35</v>
      </c>
      <c r="R2343">
        <v>226093</v>
      </c>
    </row>
    <row r="2344" spans="1:18" x14ac:dyDescent="0.25">
      <c r="A2344" s="169">
        <v>45491</v>
      </c>
      <c r="B2344" s="116">
        <v>412.5</v>
      </c>
      <c r="C2344" s="116">
        <v>396.3</v>
      </c>
      <c r="D2344" s="116">
        <v>391.85</v>
      </c>
      <c r="E2344" s="116">
        <v>412.5</v>
      </c>
      <c r="F2344" s="116">
        <v>396.3</v>
      </c>
      <c r="G2344">
        <v>1513</v>
      </c>
      <c r="H2344" s="116"/>
      <c r="I2344" s="116"/>
      <c r="L2344" s="169">
        <v>45456</v>
      </c>
      <c r="M2344" s="116">
        <v>428</v>
      </c>
      <c r="N2344" s="116">
        <v>440.9</v>
      </c>
      <c r="O2344" s="116">
        <v>411.1</v>
      </c>
      <c r="P2344" s="116">
        <v>419.35</v>
      </c>
      <c r="Q2344" s="116">
        <v>428</v>
      </c>
      <c r="R2344">
        <v>111386</v>
      </c>
    </row>
    <row r="2345" spans="1:18" x14ac:dyDescent="0.25">
      <c r="A2345" s="169">
        <v>45492</v>
      </c>
      <c r="B2345" s="116">
        <v>399.95</v>
      </c>
      <c r="C2345" s="116">
        <v>392.55</v>
      </c>
      <c r="D2345" s="116">
        <v>386.05</v>
      </c>
      <c r="E2345" s="116">
        <v>395</v>
      </c>
      <c r="F2345" s="116">
        <v>392.55</v>
      </c>
      <c r="G2345">
        <v>2676</v>
      </c>
      <c r="H2345" s="116"/>
      <c r="I2345" s="116"/>
      <c r="L2345" s="169">
        <v>45457</v>
      </c>
      <c r="M2345" s="116">
        <v>449.75</v>
      </c>
      <c r="N2345" s="116">
        <v>450.5</v>
      </c>
      <c r="O2345" s="116">
        <v>415.35</v>
      </c>
      <c r="P2345" s="116">
        <v>429.8</v>
      </c>
      <c r="Q2345" s="116">
        <v>449.75</v>
      </c>
      <c r="R2345">
        <v>174861</v>
      </c>
    </row>
    <row r="2346" spans="1:18" x14ac:dyDescent="0.25">
      <c r="A2346" s="169">
        <v>45495</v>
      </c>
      <c r="B2346" s="116">
        <v>406.25</v>
      </c>
      <c r="C2346" s="116">
        <v>393.55</v>
      </c>
      <c r="D2346" s="116">
        <v>387</v>
      </c>
      <c r="E2346" s="116">
        <v>387</v>
      </c>
      <c r="F2346" s="116">
        <v>393.55</v>
      </c>
      <c r="G2346">
        <v>2577</v>
      </c>
      <c r="H2346" s="116"/>
      <c r="I2346" s="116"/>
      <c r="L2346" s="169">
        <v>45461</v>
      </c>
      <c r="M2346" s="116">
        <v>434.2</v>
      </c>
      <c r="N2346" s="116">
        <v>455</v>
      </c>
      <c r="O2346" s="116">
        <v>432.1</v>
      </c>
      <c r="P2346" s="116">
        <v>455</v>
      </c>
      <c r="Q2346" s="116">
        <v>434.2</v>
      </c>
      <c r="R2346">
        <v>37028</v>
      </c>
    </row>
    <row r="2347" spans="1:18" x14ac:dyDescent="0.25">
      <c r="A2347" s="169">
        <v>45496</v>
      </c>
      <c r="B2347" s="116">
        <v>405</v>
      </c>
      <c r="C2347" s="116">
        <v>404.85</v>
      </c>
      <c r="D2347" s="116">
        <v>383.5</v>
      </c>
      <c r="E2347" s="116">
        <v>389.95</v>
      </c>
      <c r="F2347" s="116">
        <v>404.85</v>
      </c>
      <c r="G2347">
        <v>1033</v>
      </c>
      <c r="H2347" s="116"/>
      <c r="I2347" s="116"/>
      <c r="L2347" s="169">
        <v>45462</v>
      </c>
      <c r="M2347" s="116">
        <v>426.9</v>
      </c>
      <c r="N2347" s="116">
        <v>437.95</v>
      </c>
      <c r="O2347" s="116">
        <v>422.75</v>
      </c>
      <c r="P2347" s="116">
        <v>436.5</v>
      </c>
      <c r="Q2347" s="116">
        <v>426.9</v>
      </c>
      <c r="R2347">
        <v>21942</v>
      </c>
    </row>
    <row r="2348" spans="1:18" x14ac:dyDescent="0.25">
      <c r="A2348" s="169">
        <v>45497</v>
      </c>
      <c r="B2348" s="116">
        <v>409.4</v>
      </c>
      <c r="C2348" s="116">
        <v>401.85</v>
      </c>
      <c r="D2348" s="116">
        <v>400.55</v>
      </c>
      <c r="E2348" s="116">
        <v>405</v>
      </c>
      <c r="F2348" s="116">
        <v>401.85</v>
      </c>
      <c r="G2348">
        <v>1939</v>
      </c>
      <c r="H2348" s="116"/>
      <c r="I2348" s="116"/>
      <c r="L2348" s="169">
        <v>45463</v>
      </c>
      <c r="M2348" s="116">
        <v>426.05</v>
      </c>
      <c r="N2348" s="116">
        <v>434.3</v>
      </c>
      <c r="O2348" s="116">
        <v>424.05</v>
      </c>
      <c r="P2348" s="116">
        <v>428</v>
      </c>
      <c r="Q2348" s="116">
        <v>426.05</v>
      </c>
      <c r="R2348">
        <v>14924</v>
      </c>
    </row>
    <row r="2349" spans="1:18" x14ac:dyDescent="0.25">
      <c r="A2349" s="169">
        <v>45498</v>
      </c>
      <c r="B2349" s="116">
        <v>434</v>
      </c>
      <c r="C2349" s="116">
        <v>425.35</v>
      </c>
      <c r="D2349" s="116">
        <v>397.65</v>
      </c>
      <c r="E2349" s="116">
        <v>398.2</v>
      </c>
      <c r="F2349" s="116">
        <v>425.35</v>
      </c>
      <c r="G2349">
        <v>6203</v>
      </c>
      <c r="H2349" s="116"/>
      <c r="I2349" s="116"/>
      <c r="L2349" s="169">
        <v>45464</v>
      </c>
      <c r="M2349" s="116">
        <v>416.45</v>
      </c>
      <c r="N2349" s="116">
        <v>429.95</v>
      </c>
      <c r="O2349" s="116">
        <v>415</v>
      </c>
      <c r="P2349" s="116">
        <v>429.95</v>
      </c>
      <c r="Q2349" s="116">
        <v>416.45</v>
      </c>
      <c r="R2349">
        <v>29393</v>
      </c>
    </row>
    <row r="2350" spans="1:18" x14ac:dyDescent="0.25">
      <c r="A2350" s="169">
        <v>45499</v>
      </c>
      <c r="B2350" s="116">
        <v>437.45</v>
      </c>
      <c r="C2350" s="116">
        <v>428.75</v>
      </c>
      <c r="D2350" s="116">
        <v>425.25</v>
      </c>
      <c r="E2350" s="116">
        <v>430</v>
      </c>
      <c r="F2350" s="116">
        <v>428.75</v>
      </c>
      <c r="G2350">
        <v>10672</v>
      </c>
      <c r="H2350" s="116"/>
      <c r="I2350" s="116"/>
      <c r="L2350" s="169">
        <v>45467</v>
      </c>
      <c r="M2350" s="116">
        <v>409.7</v>
      </c>
      <c r="N2350" s="116">
        <v>419.4</v>
      </c>
      <c r="O2350" s="116">
        <v>409</v>
      </c>
      <c r="P2350" s="116">
        <v>410.2</v>
      </c>
      <c r="Q2350" s="116">
        <v>409.7</v>
      </c>
      <c r="R2350">
        <v>19770</v>
      </c>
    </row>
    <row r="2351" spans="1:18" x14ac:dyDescent="0.25">
      <c r="A2351" s="169">
        <v>45502</v>
      </c>
      <c r="B2351" s="116">
        <v>437.05</v>
      </c>
      <c r="C2351" s="116">
        <v>416.75</v>
      </c>
      <c r="D2351" s="116">
        <v>413.2</v>
      </c>
      <c r="E2351" s="116">
        <v>428</v>
      </c>
      <c r="F2351" s="116">
        <v>416.75</v>
      </c>
      <c r="G2351">
        <v>6143</v>
      </c>
      <c r="H2351" s="116"/>
      <c r="I2351" s="116"/>
      <c r="L2351" s="169">
        <v>45468</v>
      </c>
      <c r="M2351" s="116">
        <v>398.8</v>
      </c>
      <c r="N2351" s="116">
        <v>413.95</v>
      </c>
      <c r="O2351" s="116">
        <v>396</v>
      </c>
      <c r="P2351" s="116">
        <v>410.5</v>
      </c>
      <c r="Q2351" s="116">
        <v>398.8</v>
      </c>
      <c r="R2351">
        <v>48795</v>
      </c>
    </row>
    <row r="2352" spans="1:18" x14ac:dyDescent="0.25">
      <c r="A2352" s="169">
        <v>45503</v>
      </c>
      <c r="B2352" s="116">
        <v>429.5</v>
      </c>
      <c r="C2352" s="116">
        <v>425.15</v>
      </c>
      <c r="D2352" s="116">
        <v>415.4</v>
      </c>
      <c r="E2352" s="116">
        <v>419.45</v>
      </c>
      <c r="F2352" s="116">
        <v>425.15</v>
      </c>
      <c r="G2352">
        <v>5164</v>
      </c>
      <c r="H2352" s="116"/>
      <c r="I2352" s="116"/>
      <c r="L2352" s="169">
        <v>45469</v>
      </c>
      <c r="M2352" s="116">
        <v>400.65</v>
      </c>
      <c r="N2352" s="116">
        <v>423.15</v>
      </c>
      <c r="O2352" s="116">
        <v>397</v>
      </c>
      <c r="P2352" s="116">
        <v>400.9</v>
      </c>
      <c r="Q2352" s="116">
        <v>400.65</v>
      </c>
      <c r="R2352">
        <v>41808</v>
      </c>
    </row>
    <row r="2353" spans="1:18" x14ac:dyDescent="0.25">
      <c r="A2353" s="169">
        <v>45504</v>
      </c>
      <c r="B2353" s="116">
        <v>434.3</v>
      </c>
      <c r="C2353" s="116">
        <v>421.55</v>
      </c>
      <c r="D2353" s="116">
        <v>419.25</v>
      </c>
      <c r="E2353" s="116">
        <v>425</v>
      </c>
      <c r="F2353" s="116">
        <v>421.55</v>
      </c>
      <c r="G2353">
        <v>3293</v>
      </c>
      <c r="H2353" s="116"/>
      <c r="I2353" s="116"/>
      <c r="L2353" s="169">
        <v>45470</v>
      </c>
      <c r="M2353" s="116">
        <v>406</v>
      </c>
      <c r="N2353" s="116">
        <v>412.7</v>
      </c>
      <c r="O2353" s="116">
        <v>401</v>
      </c>
      <c r="P2353" s="116">
        <v>402.8</v>
      </c>
      <c r="Q2353" s="116">
        <v>406</v>
      </c>
      <c r="R2353">
        <v>23644</v>
      </c>
    </row>
    <row r="2354" spans="1:18" x14ac:dyDescent="0.25">
      <c r="A2354" s="169">
        <v>45505</v>
      </c>
      <c r="B2354" s="116">
        <v>423.15</v>
      </c>
      <c r="C2354" s="116">
        <v>419.8</v>
      </c>
      <c r="D2354" s="116">
        <v>417.3</v>
      </c>
      <c r="E2354" s="116">
        <v>423.05</v>
      </c>
      <c r="F2354" s="116">
        <v>419.8</v>
      </c>
      <c r="G2354">
        <v>167</v>
      </c>
      <c r="H2354" s="116"/>
      <c r="I2354" s="116"/>
      <c r="L2354" s="169">
        <v>45471</v>
      </c>
      <c r="M2354" s="116">
        <v>409.1</v>
      </c>
      <c r="N2354" s="116">
        <v>411.95</v>
      </c>
      <c r="O2354" s="116">
        <v>401.7</v>
      </c>
      <c r="P2354" s="116">
        <v>407.5</v>
      </c>
      <c r="Q2354" s="116">
        <v>409.1</v>
      </c>
      <c r="R2354">
        <v>17542</v>
      </c>
    </row>
    <row r="2355" spans="1:18" x14ac:dyDescent="0.25">
      <c r="A2355" s="169">
        <v>45506</v>
      </c>
      <c r="B2355" s="116">
        <v>423.15</v>
      </c>
      <c r="C2355" s="116">
        <v>413.4</v>
      </c>
      <c r="D2355" s="116">
        <v>411.5</v>
      </c>
      <c r="E2355" s="116">
        <v>415.3</v>
      </c>
      <c r="F2355" s="116">
        <v>413.4</v>
      </c>
      <c r="G2355">
        <v>2146</v>
      </c>
      <c r="H2355" s="116"/>
      <c r="I2355" s="116"/>
      <c r="L2355" s="169">
        <v>45474</v>
      </c>
      <c r="M2355" s="116">
        <v>415.75</v>
      </c>
      <c r="N2355" s="116">
        <v>418.7</v>
      </c>
      <c r="O2355" s="116">
        <v>404</v>
      </c>
      <c r="P2355" s="116">
        <v>405.4</v>
      </c>
      <c r="Q2355" s="116">
        <v>415.75</v>
      </c>
      <c r="R2355">
        <v>32244</v>
      </c>
    </row>
    <row r="2356" spans="1:18" x14ac:dyDescent="0.25">
      <c r="A2356" s="169">
        <v>45509</v>
      </c>
      <c r="B2356" s="116">
        <v>405.15</v>
      </c>
      <c r="C2356" s="116">
        <v>385.3</v>
      </c>
      <c r="D2356" s="116">
        <v>382.2</v>
      </c>
      <c r="E2356" s="116">
        <v>393</v>
      </c>
      <c r="F2356" s="116">
        <v>385.3</v>
      </c>
      <c r="G2356">
        <v>5543</v>
      </c>
      <c r="H2356" s="116"/>
      <c r="I2356" s="116"/>
      <c r="L2356" s="169">
        <v>45475</v>
      </c>
      <c r="M2356" s="116">
        <v>413.05</v>
      </c>
      <c r="N2356" s="116">
        <v>425.8</v>
      </c>
      <c r="O2356" s="116">
        <v>410.8</v>
      </c>
      <c r="P2356" s="116">
        <v>417.9</v>
      </c>
      <c r="Q2356" s="116">
        <v>413.05</v>
      </c>
      <c r="R2356">
        <v>16778</v>
      </c>
    </row>
    <row r="2357" spans="1:18" x14ac:dyDescent="0.25">
      <c r="A2357" s="169">
        <v>45510</v>
      </c>
      <c r="B2357" s="116">
        <v>424</v>
      </c>
      <c r="C2357" s="116">
        <v>391.85</v>
      </c>
      <c r="D2357" s="116">
        <v>380</v>
      </c>
      <c r="E2357" s="116">
        <v>380</v>
      </c>
      <c r="F2357" s="116">
        <v>391.85</v>
      </c>
      <c r="G2357">
        <v>2977</v>
      </c>
      <c r="H2357" s="116"/>
      <c r="I2357" s="116"/>
      <c r="L2357" s="169">
        <v>45476</v>
      </c>
      <c r="M2357" s="116">
        <v>406.45</v>
      </c>
      <c r="N2357" s="116">
        <v>421.85</v>
      </c>
      <c r="O2357" s="116">
        <v>405</v>
      </c>
      <c r="P2357" s="116">
        <v>413.05</v>
      </c>
      <c r="Q2357" s="116">
        <v>406.45</v>
      </c>
      <c r="R2357">
        <v>30352</v>
      </c>
    </row>
    <row r="2358" spans="1:18" x14ac:dyDescent="0.25">
      <c r="A2358" s="169">
        <v>45511</v>
      </c>
      <c r="B2358" s="116">
        <v>410.1</v>
      </c>
      <c r="C2358" s="116">
        <v>403.95</v>
      </c>
      <c r="D2358" s="116">
        <v>397.3</v>
      </c>
      <c r="E2358" s="116">
        <v>410.1</v>
      </c>
      <c r="F2358" s="116">
        <v>403.95</v>
      </c>
      <c r="G2358">
        <v>5055</v>
      </c>
      <c r="H2358" s="116"/>
      <c r="I2358" s="116"/>
      <c r="L2358" s="169">
        <v>45477</v>
      </c>
      <c r="M2358" s="116">
        <v>412.15</v>
      </c>
      <c r="N2358" s="116">
        <v>414</v>
      </c>
      <c r="O2358" s="116">
        <v>405.05</v>
      </c>
      <c r="P2358" s="116">
        <v>406.8</v>
      </c>
      <c r="Q2358" s="116">
        <v>412.15</v>
      </c>
      <c r="R2358">
        <v>13252</v>
      </c>
    </row>
    <row r="2359" spans="1:18" x14ac:dyDescent="0.25">
      <c r="A2359" s="169">
        <v>45512</v>
      </c>
      <c r="B2359" s="116">
        <v>402.25</v>
      </c>
      <c r="C2359" s="116">
        <v>396.4</v>
      </c>
      <c r="D2359" s="116">
        <v>390.95</v>
      </c>
      <c r="E2359" s="116">
        <v>400.25</v>
      </c>
      <c r="F2359" s="116">
        <v>396.4</v>
      </c>
      <c r="G2359">
        <v>4313</v>
      </c>
      <c r="H2359" s="116"/>
      <c r="I2359" s="116"/>
      <c r="L2359" s="169">
        <v>45478</v>
      </c>
      <c r="M2359" s="116">
        <v>417.7</v>
      </c>
      <c r="N2359" s="116">
        <v>420</v>
      </c>
      <c r="O2359" s="116">
        <v>409.85</v>
      </c>
      <c r="P2359" s="116">
        <v>410.05</v>
      </c>
      <c r="Q2359" s="116">
        <v>417.7</v>
      </c>
      <c r="R2359">
        <v>25353</v>
      </c>
    </row>
    <row r="2360" spans="1:18" x14ac:dyDescent="0.25">
      <c r="A2360" s="169">
        <v>45513</v>
      </c>
      <c r="B2360" s="116">
        <v>400.85</v>
      </c>
      <c r="C2360" s="116">
        <v>394.35</v>
      </c>
      <c r="D2360" s="116">
        <v>388.45</v>
      </c>
      <c r="E2360" s="116">
        <v>400</v>
      </c>
      <c r="F2360" s="116">
        <v>394.35</v>
      </c>
      <c r="G2360">
        <v>5743</v>
      </c>
      <c r="H2360" s="116"/>
      <c r="I2360" s="116"/>
      <c r="L2360" s="169">
        <v>45481</v>
      </c>
      <c r="M2360" s="116">
        <v>412.15</v>
      </c>
      <c r="N2360" s="116">
        <v>442.5</v>
      </c>
      <c r="O2360" s="116">
        <v>410.1</v>
      </c>
      <c r="P2360" s="116">
        <v>418.95</v>
      </c>
      <c r="Q2360" s="116">
        <v>412.15</v>
      </c>
      <c r="R2360">
        <v>106368</v>
      </c>
    </row>
    <row r="2361" spans="1:18" x14ac:dyDescent="0.25">
      <c r="A2361" s="169">
        <v>45516</v>
      </c>
      <c r="B2361" s="116">
        <v>397.65</v>
      </c>
      <c r="C2361" s="116">
        <v>390.7</v>
      </c>
      <c r="D2361" s="116">
        <v>386.95</v>
      </c>
      <c r="E2361" s="116">
        <v>389</v>
      </c>
      <c r="F2361" s="116">
        <v>390.7</v>
      </c>
      <c r="G2361">
        <v>2970</v>
      </c>
      <c r="H2361" s="116"/>
      <c r="I2361" s="116"/>
      <c r="L2361" s="169">
        <v>45482</v>
      </c>
      <c r="M2361" s="116">
        <v>410.65</v>
      </c>
      <c r="N2361" s="116">
        <v>421.3</v>
      </c>
      <c r="O2361" s="116">
        <v>410.1</v>
      </c>
      <c r="P2361" s="116">
        <v>413.2</v>
      </c>
      <c r="Q2361" s="116">
        <v>410.65</v>
      </c>
      <c r="R2361">
        <v>21771</v>
      </c>
    </row>
    <row r="2362" spans="1:18" x14ac:dyDescent="0.25">
      <c r="A2362" s="169">
        <v>45517</v>
      </c>
      <c r="B2362" s="116">
        <v>395.8</v>
      </c>
      <c r="C2362" s="116">
        <v>391.5</v>
      </c>
      <c r="D2362" s="116">
        <v>376.6</v>
      </c>
      <c r="E2362" s="116">
        <v>388</v>
      </c>
      <c r="F2362" s="116">
        <v>391.5</v>
      </c>
      <c r="G2362">
        <v>7152</v>
      </c>
      <c r="H2362" s="116"/>
      <c r="I2362" s="116"/>
      <c r="L2362" s="169">
        <v>45483</v>
      </c>
      <c r="M2362" s="116">
        <v>400</v>
      </c>
      <c r="N2362" s="116">
        <v>416.1</v>
      </c>
      <c r="O2362" s="116">
        <v>395.05</v>
      </c>
      <c r="P2362" s="116">
        <v>412.75</v>
      </c>
      <c r="Q2362" s="116">
        <v>400</v>
      </c>
      <c r="R2362">
        <v>54593</v>
      </c>
    </row>
    <row r="2363" spans="1:18" x14ac:dyDescent="0.25">
      <c r="A2363" s="169">
        <v>45518</v>
      </c>
      <c r="B2363" s="116">
        <v>399.35</v>
      </c>
      <c r="C2363" s="116">
        <v>381.4</v>
      </c>
      <c r="D2363" s="116">
        <v>376.05</v>
      </c>
      <c r="E2363" s="116">
        <v>399.35</v>
      </c>
      <c r="F2363" s="116">
        <v>381.4</v>
      </c>
      <c r="G2363">
        <v>5916</v>
      </c>
      <c r="H2363" s="116"/>
      <c r="I2363" s="116"/>
      <c r="L2363" s="169">
        <v>45484</v>
      </c>
      <c r="M2363" s="116">
        <v>412</v>
      </c>
      <c r="N2363" s="116">
        <v>417.8</v>
      </c>
      <c r="O2363" s="116">
        <v>402.1</v>
      </c>
      <c r="P2363" s="116">
        <v>402.1</v>
      </c>
      <c r="Q2363" s="116">
        <v>412</v>
      </c>
      <c r="R2363">
        <v>29154</v>
      </c>
    </row>
    <row r="2364" spans="1:18" x14ac:dyDescent="0.25">
      <c r="A2364" s="169">
        <v>45520</v>
      </c>
      <c r="B2364" s="116">
        <v>406</v>
      </c>
      <c r="C2364" s="116">
        <v>404.95</v>
      </c>
      <c r="D2364" s="116">
        <v>360.9</v>
      </c>
      <c r="E2364" s="116">
        <v>360.9</v>
      </c>
      <c r="F2364" s="116">
        <v>404.95</v>
      </c>
      <c r="G2364">
        <v>6454</v>
      </c>
      <c r="H2364" s="116"/>
      <c r="I2364" s="116"/>
      <c r="L2364" s="169">
        <v>45485</v>
      </c>
      <c r="M2364" s="116">
        <v>404.65</v>
      </c>
      <c r="N2364" s="116">
        <v>418.15</v>
      </c>
      <c r="O2364" s="116">
        <v>402</v>
      </c>
      <c r="P2364" s="116">
        <v>414</v>
      </c>
      <c r="Q2364" s="116">
        <v>404.65</v>
      </c>
      <c r="R2364">
        <v>24025</v>
      </c>
    </row>
    <row r="2365" spans="1:18" x14ac:dyDescent="0.25">
      <c r="A2365" s="169">
        <v>45523</v>
      </c>
      <c r="B2365" s="116">
        <v>419.65</v>
      </c>
      <c r="C2365" s="116">
        <v>408.15</v>
      </c>
      <c r="D2365" s="116">
        <v>396.95</v>
      </c>
      <c r="E2365" s="116">
        <v>404.95</v>
      </c>
      <c r="F2365" s="116">
        <v>408.15</v>
      </c>
      <c r="G2365">
        <v>2489</v>
      </c>
      <c r="H2365" s="116"/>
      <c r="I2365" s="116"/>
      <c r="L2365" s="169">
        <v>45488</v>
      </c>
      <c r="M2365" s="116">
        <v>404.35</v>
      </c>
      <c r="N2365" s="116">
        <v>417.3</v>
      </c>
      <c r="O2365" s="116">
        <v>400.1</v>
      </c>
      <c r="P2365" s="116">
        <v>417.3</v>
      </c>
      <c r="Q2365" s="116">
        <v>404.35</v>
      </c>
      <c r="R2365">
        <v>20691</v>
      </c>
    </row>
    <row r="2366" spans="1:18" x14ac:dyDescent="0.25">
      <c r="A2366" s="169">
        <v>45524</v>
      </c>
      <c r="B2366" s="116">
        <v>414.5</v>
      </c>
      <c r="C2366" s="116">
        <v>410.05</v>
      </c>
      <c r="D2366" s="116">
        <v>399.8</v>
      </c>
      <c r="E2366" s="116">
        <v>411</v>
      </c>
      <c r="F2366" s="116">
        <v>410.05</v>
      </c>
      <c r="G2366">
        <v>6882</v>
      </c>
      <c r="H2366" s="116"/>
      <c r="I2366" s="116"/>
      <c r="L2366" s="169">
        <v>45489</v>
      </c>
      <c r="M2366" s="116">
        <v>406.55</v>
      </c>
      <c r="N2366" s="116">
        <v>414.15</v>
      </c>
      <c r="O2366" s="116">
        <v>402.7</v>
      </c>
      <c r="P2366" s="116">
        <v>402.7</v>
      </c>
      <c r="Q2366" s="116">
        <v>406.55</v>
      </c>
      <c r="R2366">
        <v>19481</v>
      </c>
    </row>
    <row r="2367" spans="1:18" x14ac:dyDescent="0.25">
      <c r="A2367" s="169">
        <v>45525</v>
      </c>
      <c r="B2367" s="116">
        <v>458</v>
      </c>
      <c r="C2367" s="116">
        <v>432.8</v>
      </c>
      <c r="D2367" s="116">
        <v>414.1</v>
      </c>
      <c r="E2367" s="116">
        <v>416.85</v>
      </c>
      <c r="F2367" s="116">
        <v>432.8</v>
      </c>
      <c r="G2367">
        <v>37049</v>
      </c>
      <c r="H2367" s="116"/>
      <c r="I2367" s="116"/>
      <c r="L2367" s="169">
        <v>45491</v>
      </c>
      <c r="M2367" s="116">
        <v>396.1</v>
      </c>
      <c r="N2367" s="116">
        <v>408.7</v>
      </c>
      <c r="O2367" s="116">
        <v>392.15</v>
      </c>
      <c r="P2367" s="116">
        <v>405</v>
      </c>
      <c r="Q2367" s="116">
        <v>396.1</v>
      </c>
      <c r="R2367">
        <v>22384</v>
      </c>
    </row>
    <row r="2368" spans="1:18" x14ac:dyDescent="0.25">
      <c r="A2368" s="169">
        <v>45526</v>
      </c>
      <c r="B2368" s="116">
        <v>445</v>
      </c>
      <c r="C2368" s="116">
        <v>439.6</v>
      </c>
      <c r="D2368" s="116">
        <v>426.95</v>
      </c>
      <c r="E2368" s="116">
        <v>434.95</v>
      </c>
      <c r="F2368" s="116">
        <v>439.6</v>
      </c>
      <c r="G2368">
        <v>4041</v>
      </c>
      <c r="H2368" s="116"/>
      <c r="I2368" s="116"/>
      <c r="L2368" s="169">
        <v>45492</v>
      </c>
      <c r="M2368" s="116">
        <v>389.6</v>
      </c>
      <c r="N2368" s="116">
        <v>400.65</v>
      </c>
      <c r="O2368" s="116">
        <v>385.1</v>
      </c>
      <c r="P2368" s="116">
        <v>392.35</v>
      </c>
      <c r="Q2368" s="116">
        <v>389.6</v>
      </c>
      <c r="R2368">
        <v>17225</v>
      </c>
    </row>
    <row r="2369" spans="1:18" x14ac:dyDescent="0.25">
      <c r="A2369" s="169">
        <v>45527</v>
      </c>
      <c r="B2369" s="116">
        <v>441.95</v>
      </c>
      <c r="C2369" s="116">
        <v>436.9</v>
      </c>
      <c r="D2369" s="116">
        <v>432.1</v>
      </c>
      <c r="E2369" s="116">
        <v>441.85</v>
      </c>
      <c r="F2369" s="116">
        <v>436.9</v>
      </c>
      <c r="G2369">
        <v>891</v>
      </c>
      <c r="H2369" s="116"/>
      <c r="I2369" s="116"/>
      <c r="L2369" s="169">
        <v>45495</v>
      </c>
      <c r="M2369" s="116">
        <v>394.15</v>
      </c>
      <c r="N2369" s="116">
        <v>406.55</v>
      </c>
      <c r="O2369" s="116">
        <v>388.25</v>
      </c>
      <c r="P2369" s="116">
        <v>393.95</v>
      </c>
      <c r="Q2369" s="116">
        <v>394.15</v>
      </c>
      <c r="R2369">
        <v>46694</v>
      </c>
    </row>
    <row r="2370" spans="1:18" x14ac:dyDescent="0.25">
      <c r="A2370" s="169">
        <v>45530</v>
      </c>
      <c r="B2370" s="116">
        <v>436.75</v>
      </c>
      <c r="C2370" s="116">
        <v>425.7</v>
      </c>
      <c r="D2370" s="116">
        <v>422.55</v>
      </c>
      <c r="E2370" s="116">
        <v>436.75</v>
      </c>
      <c r="F2370" s="116">
        <v>425.7</v>
      </c>
      <c r="G2370">
        <v>854</v>
      </c>
      <c r="H2370" s="116"/>
      <c r="I2370" s="116"/>
      <c r="L2370" s="169">
        <v>45496</v>
      </c>
      <c r="M2370" s="116">
        <v>404.25</v>
      </c>
      <c r="N2370" s="116">
        <v>405.2</v>
      </c>
      <c r="O2370" s="116">
        <v>382.8</v>
      </c>
      <c r="P2370" s="116">
        <v>396.2</v>
      </c>
      <c r="Q2370" s="116">
        <v>404.25</v>
      </c>
      <c r="R2370">
        <v>36068</v>
      </c>
    </row>
    <row r="2371" spans="1:18" x14ac:dyDescent="0.25">
      <c r="A2371" s="169">
        <v>45531</v>
      </c>
      <c r="B2371" s="116">
        <v>427.1</v>
      </c>
      <c r="C2371" s="116">
        <v>419.05</v>
      </c>
      <c r="D2371" s="116">
        <v>411.55</v>
      </c>
      <c r="E2371" s="116">
        <v>422</v>
      </c>
      <c r="F2371" s="116">
        <v>419.05</v>
      </c>
      <c r="G2371">
        <v>8370</v>
      </c>
      <c r="H2371" s="116"/>
      <c r="I2371" s="116"/>
      <c r="L2371" s="169">
        <v>45497</v>
      </c>
      <c r="M2371" s="116">
        <v>405</v>
      </c>
      <c r="N2371" s="116">
        <v>410.6</v>
      </c>
      <c r="O2371" s="116">
        <v>400.8</v>
      </c>
      <c r="P2371" s="116">
        <v>406</v>
      </c>
      <c r="Q2371" s="116">
        <v>405</v>
      </c>
      <c r="R2371">
        <v>12089</v>
      </c>
    </row>
    <row r="2372" spans="1:18" x14ac:dyDescent="0.25">
      <c r="A2372" s="169">
        <v>45532</v>
      </c>
      <c r="B2372" s="116">
        <v>428</v>
      </c>
      <c r="C2372" s="116">
        <v>415.1</v>
      </c>
      <c r="D2372" s="116">
        <v>414</v>
      </c>
      <c r="E2372" s="116">
        <v>418.85</v>
      </c>
      <c r="F2372" s="116">
        <v>415.1</v>
      </c>
      <c r="G2372">
        <v>2211</v>
      </c>
      <c r="H2372" s="116"/>
      <c r="I2372" s="116"/>
      <c r="L2372" s="169">
        <v>45498</v>
      </c>
      <c r="M2372" s="116">
        <v>424.95</v>
      </c>
      <c r="N2372" s="116">
        <v>438.15</v>
      </c>
      <c r="O2372" s="116">
        <v>398.05</v>
      </c>
      <c r="P2372" s="116">
        <v>404</v>
      </c>
      <c r="Q2372" s="116">
        <v>424.95</v>
      </c>
      <c r="R2372">
        <v>123318</v>
      </c>
    </row>
    <row r="2373" spans="1:18" x14ac:dyDescent="0.25">
      <c r="A2373" s="169">
        <v>45533</v>
      </c>
      <c r="B2373" s="116">
        <v>417.45</v>
      </c>
      <c r="C2373" s="116">
        <v>405.45</v>
      </c>
      <c r="D2373" s="116">
        <v>401.2</v>
      </c>
      <c r="E2373" s="116">
        <v>412</v>
      </c>
      <c r="F2373" s="116">
        <v>405.45</v>
      </c>
      <c r="G2373">
        <v>3267</v>
      </c>
      <c r="H2373" s="116"/>
      <c r="I2373" s="116"/>
      <c r="L2373" s="169">
        <v>45499</v>
      </c>
      <c r="M2373" s="116">
        <v>428.8</v>
      </c>
      <c r="N2373" s="116">
        <v>439</v>
      </c>
      <c r="O2373" s="116">
        <v>426.15</v>
      </c>
      <c r="P2373" s="116">
        <v>428.95</v>
      </c>
      <c r="Q2373" s="116">
        <v>428.8</v>
      </c>
      <c r="R2373">
        <v>43425</v>
      </c>
    </row>
    <row r="2374" spans="1:18" x14ac:dyDescent="0.25">
      <c r="A2374" s="169">
        <v>45534</v>
      </c>
      <c r="B2374" s="116">
        <v>427.25</v>
      </c>
      <c r="C2374" s="116">
        <v>415.6</v>
      </c>
      <c r="D2374" s="116">
        <v>407.95</v>
      </c>
      <c r="E2374" s="116">
        <v>413.6</v>
      </c>
      <c r="F2374" s="116">
        <v>415.6</v>
      </c>
      <c r="G2374">
        <v>2692</v>
      </c>
      <c r="H2374" s="116"/>
      <c r="I2374" s="116"/>
      <c r="L2374" s="169">
        <v>45502</v>
      </c>
      <c r="M2374" s="116">
        <v>416.5</v>
      </c>
      <c r="N2374" s="116">
        <v>436.75</v>
      </c>
      <c r="O2374" s="116">
        <v>412.05</v>
      </c>
      <c r="P2374" s="116">
        <v>435.15</v>
      </c>
      <c r="Q2374" s="116">
        <v>416.5</v>
      </c>
      <c r="R2374">
        <v>58484</v>
      </c>
    </row>
    <row r="2375" spans="1:18" x14ac:dyDescent="0.25">
      <c r="A2375" s="169">
        <v>45537</v>
      </c>
      <c r="B2375" s="116">
        <v>443.55</v>
      </c>
      <c r="C2375" s="116">
        <v>428.6</v>
      </c>
      <c r="D2375" s="116">
        <v>417.3</v>
      </c>
      <c r="E2375" s="116">
        <v>424.2</v>
      </c>
      <c r="F2375" s="116">
        <v>428.6</v>
      </c>
      <c r="G2375">
        <v>10810</v>
      </c>
      <c r="H2375" s="116"/>
      <c r="I2375" s="116"/>
      <c r="L2375" s="169">
        <v>45503</v>
      </c>
      <c r="M2375" s="116">
        <v>424.9</v>
      </c>
      <c r="N2375" s="116">
        <v>430</v>
      </c>
      <c r="O2375" s="116">
        <v>418.4</v>
      </c>
      <c r="P2375" s="116">
        <v>418.4</v>
      </c>
      <c r="Q2375" s="116">
        <v>424.9</v>
      </c>
      <c r="R2375">
        <v>38119</v>
      </c>
    </row>
    <row r="2376" spans="1:18" x14ac:dyDescent="0.25">
      <c r="A2376" s="169">
        <v>45538</v>
      </c>
      <c r="B2376" s="116">
        <v>433.25</v>
      </c>
      <c r="C2376" s="116">
        <v>429.15</v>
      </c>
      <c r="D2376" s="116">
        <v>426.25</v>
      </c>
      <c r="E2376" s="116">
        <v>432.6</v>
      </c>
      <c r="F2376" s="116">
        <v>429.15</v>
      </c>
      <c r="G2376">
        <v>1087</v>
      </c>
      <c r="H2376" s="116"/>
      <c r="I2376" s="116"/>
      <c r="L2376" s="169">
        <v>45504</v>
      </c>
      <c r="M2376" s="116">
        <v>421.85</v>
      </c>
      <c r="N2376" s="116">
        <v>433.4</v>
      </c>
      <c r="O2376" s="116">
        <v>417.15</v>
      </c>
      <c r="P2376" s="116">
        <v>420.15</v>
      </c>
      <c r="Q2376" s="116">
        <v>421.85</v>
      </c>
      <c r="R2376">
        <v>23862</v>
      </c>
    </row>
    <row r="2377" spans="1:18" x14ac:dyDescent="0.25">
      <c r="A2377" s="169">
        <v>45539</v>
      </c>
      <c r="B2377" s="116">
        <v>426</v>
      </c>
      <c r="C2377" s="116">
        <v>418.45</v>
      </c>
      <c r="D2377" s="116">
        <v>412.9</v>
      </c>
      <c r="E2377" s="116">
        <v>426</v>
      </c>
      <c r="F2377" s="116">
        <v>418.45</v>
      </c>
      <c r="G2377">
        <v>4301</v>
      </c>
      <c r="H2377" s="116"/>
      <c r="I2377" s="116"/>
      <c r="L2377" s="169">
        <v>45505</v>
      </c>
      <c r="M2377" s="116">
        <v>420</v>
      </c>
      <c r="N2377" s="116">
        <v>426.85</v>
      </c>
      <c r="O2377" s="116">
        <v>416.6</v>
      </c>
      <c r="P2377" s="116">
        <v>424.3</v>
      </c>
      <c r="Q2377" s="116">
        <v>420</v>
      </c>
      <c r="R2377">
        <v>9926</v>
      </c>
    </row>
    <row r="2378" spans="1:18" x14ac:dyDescent="0.25">
      <c r="A2378" s="169">
        <v>45540</v>
      </c>
      <c r="B2378" s="116">
        <v>424.25</v>
      </c>
      <c r="C2378" s="116">
        <v>416.85</v>
      </c>
      <c r="D2378" s="116">
        <v>411.05</v>
      </c>
      <c r="E2378" s="116">
        <v>420</v>
      </c>
      <c r="F2378" s="116">
        <v>416.85</v>
      </c>
      <c r="G2378">
        <v>3636</v>
      </c>
      <c r="H2378" s="116"/>
      <c r="I2378" s="116"/>
      <c r="L2378" s="169">
        <v>45506</v>
      </c>
      <c r="M2378" s="116">
        <v>413.2</v>
      </c>
      <c r="N2378" s="116">
        <v>423.9</v>
      </c>
      <c r="O2378" s="116">
        <v>410.05</v>
      </c>
      <c r="P2378" s="116">
        <v>415.05</v>
      </c>
      <c r="Q2378" s="116">
        <v>413.2</v>
      </c>
      <c r="R2378">
        <v>21807</v>
      </c>
    </row>
    <row r="2379" spans="1:18" x14ac:dyDescent="0.25">
      <c r="A2379" s="169">
        <v>45541</v>
      </c>
      <c r="B2379" s="116">
        <v>419.45</v>
      </c>
      <c r="C2379" s="116">
        <v>409.6</v>
      </c>
      <c r="D2379" s="116">
        <v>407</v>
      </c>
      <c r="E2379" s="116">
        <v>407</v>
      </c>
      <c r="F2379" s="116">
        <v>409.6</v>
      </c>
      <c r="G2379">
        <v>2531</v>
      </c>
      <c r="H2379" s="116"/>
      <c r="I2379" s="116"/>
      <c r="L2379" s="169">
        <v>45509</v>
      </c>
      <c r="M2379" s="116">
        <v>385.9</v>
      </c>
      <c r="N2379" s="116">
        <v>407.95</v>
      </c>
      <c r="O2379" s="116">
        <v>383</v>
      </c>
      <c r="P2379" s="116">
        <v>407.95</v>
      </c>
      <c r="Q2379" s="116">
        <v>385.9</v>
      </c>
      <c r="R2379">
        <v>38878</v>
      </c>
    </row>
    <row r="2380" spans="1:18" x14ac:dyDescent="0.25">
      <c r="A2380" s="169">
        <v>45544</v>
      </c>
      <c r="B2380" s="116">
        <v>430.35</v>
      </c>
      <c r="C2380" s="116">
        <v>429</v>
      </c>
      <c r="D2380" s="116">
        <v>400</v>
      </c>
      <c r="E2380" s="116">
        <v>400</v>
      </c>
      <c r="F2380" s="116">
        <v>429</v>
      </c>
      <c r="G2380">
        <v>7097</v>
      </c>
      <c r="H2380" s="116"/>
      <c r="I2380" s="116"/>
      <c r="L2380" s="169">
        <v>45510</v>
      </c>
      <c r="M2380" s="116">
        <v>393.05</v>
      </c>
      <c r="N2380" s="116">
        <v>425</v>
      </c>
      <c r="O2380" s="116">
        <v>382.85</v>
      </c>
      <c r="P2380" s="116">
        <v>382.9</v>
      </c>
      <c r="Q2380" s="116">
        <v>393.05</v>
      </c>
      <c r="R2380">
        <v>116532</v>
      </c>
    </row>
    <row r="2381" spans="1:18" x14ac:dyDescent="0.25">
      <c r="A2381" s="169">
        <v>45545</v>
      </c>
      <c r="B2381" s="116">
        <v>438</v>
      </c>
      <c r="C2381" s="116">
        <v>428.4</v>
      </c>
      <c r="D2381" s="116">
        <v>423</v>
      </c>
      <c r="E2381" s="116">
        <v>438</v>
      </c>
      <c r="F2381" s="116">
        <v>428.4</v>
      </c>
      <c r="G2381">
        <v>8763</v>
      </c>
      <c r="H2381" s="116"/>
      <c r="I2381" s="116"/>
      <c r="L2381" s="169">
        <v>45511</v>
      </c>
      <c r="M2381" s="116">
        <v>404.35</v>
      </c>
      <c r="N2381" s="116">
        <v>414.95</v>
      </c>
      <c r="O2381" s="116">
        <v>396.85</v>
      </c>
      <c r="P2381" s="116">
        <v>398</v>
      </c>
      <c r="Q2381" s="116">
        <v>404.35</v>
      </c>
      <c r="R2381">
        <v>23140</v>
      </c>
    </row>
    <row r="2382" spans="1:18" x14ac:dyDescent="0.25">
      <c r="A2382" s="169">
        <v>45546</v>
      </c>
      <c r="B2382" s="116">
        <v>460</v>
      </c>
      <c r="C2382" s="116">
        <v>436.75</v>
      </c>
      <c r="D2382" s="116">
        <v>429.4</v>
      </c>
      <c r="E2382" s="116">
        <v>437</v>
      </c>
      <c r="F2382" s="116">
        <v>436.75</v>
      </c>
      <c r="G2382">
        <v>41911</v>
      </c>
      <c r="H2382" s="116"/>
      <c r="I2382" s="116"/>
      <c r="L2382" s="169">
        <v>45512</v>
      </c>
      <c r="M2382" s="116">
        <v>394.9</v>
      </c>
      <c r="N2382" s="116">
        <v>406.2</v>
      </c>
      <c r="O2382" s="116">
        <v>391</v>
      </c>
      <c r="P2382" s="116">
        <v>404.35</v>
      </c>
      <c r="Q2382" s="116">
        <v>394.9</v>
      </c>
      <c r="R2382">
        <v>23156</v>
      </c>
    </row>
    <row r="2383" spans="1:18" x14ac:dyDescent="0.25">
      <c r="A2383" s="169">
        <v>45547</v>
      </c>
      <c r="B2383" s="116">
        <v>452</v>
      </c>
      <c r="C2383" s="116">
        <v>437</v>
      </c>
      <c r="D2383" s="116">
        <v>430.3</v>
      </c>
      <c r="E2383" s="116">
        <v>440</v>
      </c>
      <c r="F2383" s="116">
        <v>437</v>
      </c>
      <c r="G2383">
        <v>9113</v>
      </c>
      <c r="H2383" s="116"/>
      <c r="I2383" s="116"/>
      <c r="L2383" s="169">
        <v>45513</v>
      </c>
      <c r="M2383" s="116">
        <v>394.6</v>
      </c>
      <c r="N2383" s="116">
        <v>409</v>
      </c>
      <c r="O2383" s="116">
        <v>389</v>
      </c>
      <c r="P2383" s="116">
        <v>409</v>
      </c>
      <c r="Q2383" s="116">
        <v>394.6</v>
      </c>
      <c r="R2383">
        <v>21883</v>
      </c>
    </row>
    <row r="2384" spans="1:18" x14ac:dyDescent="0.25">
      <c r="A2384" s="169">
        <v>45548</v>
      </c>
      <c r="B2384" s="116">
        <v>439.7</v>
      </c>
      <c r="C2384" s="116">
        <v>433.9</v>
      </c>
      <c r="D2384" s="116">
        <v>423.35</v>
      </c>
      <c r="E2384" s="116">
        <v>437.8</v>
      </c>
      <c r="F2384" s="116">
        <v>433.9</v>
      </c>
      <c r="G2384">
        <v>12151</v>
      </c>
      <c r="H2384" s="116"/>
      <c r="I2384" s="116"/>
      <c r="L2384" s="169">
        <v>45516</v>
      </c>
      <c r="M2384" s="116">
        <v>390.5</v>
      </c>
      <c r="N2384" s="116">
        <v>400</v>
      </c>
      <c r="O2384" s="116">
        <v>385.85</v>
      </c>
      <c r="P2384" s="116">
        <v>394.15</v>
      </c>
      <c r="Q2384" s="116">
        <v>390.5</v>
      </c>
      <c r="R2384">
        <v>23051</v>
      </c>
    </row>
    <row r="2385" spans="1:18" x14ac:dyDescent="0.25">
      <c r="A2385" s="169">
        <v>45551</v>
      </c>
      <c r="B2385" s="116">
        <v>451.05</v>
      </c>
      <c r="C2385" s="116">
        <v>428.75</v>
      </c>
      <c r="D2385" s="116">
        <v>425</v>
      </c>
      <c r="E2385" s="116">
        <v>451.05</v>
      </c>
      <c r="F2385" s="116">
        <v>428.75</v>
      </c>
      <c r="G2385">
        <v>4689</v>
      </c>
      <c r="H2385" s="116"/>
      <c r="I2385" s="116"/>
      <c r="L2385" s="169">
        <v>45517</v>
      </c>
      <c r="M2385" s="116">
        <v>391.5</v>
      </c>
      <c r="N2385" s="116">
        <v>398.95</v>
      </c>
      <c r="O2385" s="116">
        <v>385.25</v>
      </c>
      <c r="P2385" s="116">
        <v>393.65</v>
      </c>
      <c r="Q2385" s="116">
        <v>391.5</v>
      </c>
      <c r="R2385">
        <v>33470</v>
      </c>
    </row>
    <row r="2386" spans="1:18" x14ac:dyDescent="0.25">
      <c r="A2386" s="169">
        <v>45552</v>
      </c>
      <c r="B2386" s="116">
        <v>436.85</v>
      </c>
      <c r="C2386" s="116">
        <v>420.9</v>
      </c>
      <c r="D2386" s="116">
        <v>417.95</v>
      </c>
      <c r="E2386" s="116">
        <v>431.35</v>
      </c>
      <c r="F2386" s="116">
        <v>420.9</v>
      </c>
      <c r="G2386">
        <v>3828</v>
      </c>
      <c r="H2386" s="116"/>
      <c r="I2386" s="116"/>
      <c r="L2386" s="169">
        <v>45518</v>
      </c>
      <c r="M2386" s="116">
        <v>380.1</v>
      </c>
      <c r="N2386" s="116">
        <v>394.95</v>
      </c>
      <c r="O2386" s="116">
        <v>375</v>
      </c>
      <c r="P2386" s="116">
        <v>393.55</v>
      </c>
      <c r="Q2386" s="116">
        <v>380.1</v>
      </c>
      <c r="R2386">
        <v>19064</v>
      </c>
    </row>
    <row r="2387" spans="1:18" x14ac:dyDescent="0.25">
      <c r="A2387" s="169">
        <v>45553</v>
      </c>
      <c r="B2387" s="116">
        <v>424.45</v>
      </c>
      <c r="C2387" s="116">
        <v>413</v>
      </c>
      <c r="D2387" s="116">
        <v>410.1</v>
      </c>
      <c r="E2387" s="116">
        <v>422.75</v>
      </c>
      <c r="F2387" s="116">
        <v>413</v>
      </c>
      <c r="G2387">
        <v>4996</v>
      </c>
      <c r="H2387" s="116"/>
      <c r="I2387" s="116"/>
      <c r="L2387" s="169">
        <v>45520</v>
      </c>
      <c r="M2387" s="116">
        <v>405</v>
      </c>
      <c r="N2387" s="116">
        <v>407.7</v>
      </c>
      <c r="O2387" s="116">
        <v>376.6</v>
      </c>
      <c r="P2387" s="116">
        <v>382.1</v>
      </c>
      <c r="Q2387" s="116">
        <v>405</v>
      </c>
      <c r="R2387">
        <v>50105</v>
      </c>
    </row>
    <row r="2388" spans="1:18" x14ac:dyDescent="0.25">
      <c r="A2388" s="169">
        <v>45554</v>
      </c>
      <c r="B2388" s="116">
        <v>415.9</v>
      </c>
      <c r="C2388" s="116">
        <v>405.75</v>
      </c>
      <c r="D2388" s="116">
        <v>399</v>
      </c>
      <c r="E2388" s="116">
        <v>415.65</v>
      </c>
      <c r="F2388" s="116">
        <v>405.75</v>
      </c>
      <c r="G2388">
        <v>6822</v>
      </c>
      <c r="H2388" s="116"/>
      <c r="I2388" s="116"/>
      <c r="L2388" s="169">
        <v>45523</v>
      </c>
      <c r="M2388" s="116">
        <v>407.9</v>
      </c>
      <c r="N2388" s="116">
        <v>419.8</v>
      </c>
      <c r="O2388" s="116">
        <v>398.05</v>
      </c>
      <c r="P2388" s="116">
        <v>402</v>
      </c>
      <c r="Q2388" s="116">
        <v>407.9</v>
      </c>
      <c r="R2388">
        <v>58552</v>
      </c>
    </row>
    <row r="2389" spans="1:18" x14ac:dyDescent="0.25">
      <c r="A2389" s="169">
        <v>45555</v>
      </c>
      <c r="B2389" s="116">
        <v>411</v>
      </c>
      <c r="C2389" s="116">
        <v>399.1</v>
      </c>
      <c r="D2389" s="116">
        <v>393.05</v>
      </c>
      <c r="E2389" s="116">
        <v>407.7</v>
      </c>
      <c r="F2389" s="116">
        <v>399.1</v>
      </c>
      <c r="G2389">
        <v>5996</v>
      </c>
      <c r="H2389" s="116"/>
      <c r="I2389" s="116"/>
      <c r="L2389" s="169">
        <v>45524</v>
      </c>
      <c r="M2389" s="116">
        <v>409.7</v>
      </c>
      <c r="N2389" s="116">
        <v>415</v>
      </c>
      <c r="O2389" s="116">
        <v>399.4</v>
      </c>
      <c r="P2389" s="116">
        <v>409.1</v>
      </c>
      <c r="Q2389" s="116">
        <v>409.7</v>
      </c>
      <c r="R2389">
        <v>58540</v>
      </c>
    </row>
    <row r="2390" spans="1:18" x14ac:dyDescent="0.25">
      <c r="A2390" s="169">
        <v>45558</v>
      </c>
      <c r="B2390" s="116">
        <v>450.5</v>
      </c>
      <c r="C2390" s="116">
        <v>446.55</v>
      </c>
      <c r="D2390" s="116">
        <v>406.75</v>
      </c>
      <c r="E2390" s="116">
        <v>406.75</v>
      </c>
      <c r="F2390" s="116">
        <v>446.55</v>
      </c>
      <c r="G2390">
        <v>28046</v>
      </c>
      <c r="H2390" s="116"/>
      <c r="I2390" s="116"/>
      <c r="L2390" s="169">
        <v>45525</v>
      </c>
      <c r="M2390" s="116">
        <v>432.95</v>
      </c>
      <c r="N2390" s="116">
        <v>458.35</v>
      </c>
      <c r="O2390" s="116">
        <v>411.9</v>
      </c>
      <c r="P2390" s="116">
        <v>411.9</v>
      </c>
      <c r="Q2390" s="116">
        <v>432.95</v>
      </c>
      <c r="R2390">
        <v>436233</v>
      </c>
    </row>
    <row r="2391" spans="1:18" x14ac:dyDescent="0.25">
      <c r="A2391" s="169">
        <v>45559</v>
      </c>
      <c r="B2391" s="116">
        <v>467.3</v>
      </c>
      <c r="C2391" s="116">
        <v>447.15</v>
      </c>
      <c r="D2391" s="116">
        <v>440.35</v>
      </c>
      <c r="E2391" s="116">
        <v>467.3</v>
      </c>
      <c r="F2391" s="116">
        <v>447.15</v>
      </c>
      <c r="G2391">
        <v>13866</v>
      </c>
      <c r="H2391" s="116"/>
      <c r="I2391" s="116"/>
      <c r="L2391" s="169">
        <v>45526</v>
      </c>
      <c r="M2391" s="116">
        <v>440.05</v>
      </c>
      <c r="N2391" s="116">
        <v>446</v>
      </c>
      <c r="O2391" s="116">
        <v>424.85</v>
      </c>
      <c r="P2391" s="116">
        <v>434.9</v>
      </c>
      <c r="Q2391" s="116">
        <v>440.05</v>
      </c>
      <c r="R2391">
        <v>92363</v>
      </c>
    </row>
    <row r="2392" spans="1:18" x14ac:dyDescent="0.25">
      <c r="A2392" s="169">
        <v>45560</v>
      </c>
      <c r="B2392" s="116">
        <v>472.45</v>
      </c>
      <c r="C2392" s="116">
        <v>468.05</v>
      </c>
      <c r="D2392" s="116">
        <v>436.9</v>
      </c>
      <c r="E2392" s="116">
        <v>452.7</v>
      </c>
      <c r="F2392" s="116">
        <v>468.05</v>
      </c>
      <c r="G2392">
        <v>22036</v>
      </c>
      <c r="H2392" s="116"/>
      <c r="I2392" s="116"/>
      <c r="L2392" s="169">
        <v>45527</v>
      </c>
      <c r="M2392" s="116">
        <v>436.95</v>
      </c>
      <c r="N2392" s="116">
        <v>442.4</v>
      </c>
      <c r="O2392" s="116">
        <v>431.05</v>
      </c>
      <c r="P2392" s="116">
        <v>440.2</v>
      </c>
      <c r="Q2392" s="116">
        <v>436.95</v>
      </c>
      <c r="R2392">
        <v>23987</v>
      </c>
    </row>
    <row r="2393" spans="1:18" x14ac:dyDescent="0.25">
      <c r="A2393" s="169">
        <v>45561</v>
      </c>
      <c r="B2393" s="116">
        <v>498.2</v>
      </c>
      <c r="C2393" s="116">
        <v>476.2</v>
      </c>
      <c r="D2393" s="116">
        <v>468.6</v>
      </c>
      <c r="E2393" s="116">
        <v>471.45</v>
      </c>
      <c r="F2393" s="116">
        <v>476.2</v>
      </c>
      <c r="G2393">
        <v>62311</v>
      </c>
      <c r="H2393" s="116"/>
      <c r="I2393" s="116"/>
      <c r="L2393" s="169">
        <v>45530</v>
      </c>
      <c r="M2393" s="116">
        <v>425.3</v>
      </c>
      <c r="N2393" s="116">
        <v>441</v>
      </c>
      <c r="O2393" s="116">
        <v>423.25</v>
      </c>
      <c r="P2393" s="116">
        <v>441</v>
      </c>
      <c r="Q2393" s="116">
        <v>425.3</v>
      </c>
      <c r="R2393">
        <v>28071</v>
      </c>
    </row>
    <row r="2394" spans="1:18" x14ac:dyDescent="0.25">
      <c r="A2394" s="169">
        <v>45562</v>
      </c>
      <c r="B2394" s="116">
        <v>487.6</v>
      </c>
      <c r="C2394" s="116">
        <v>479.05</v>
      </c>
      <c r="D2394" s="116">
        <v>462.5</v>
      </c>
      <c r="E2394" s="116">
        <v>472</v>
      </c>
      <c r="F2394" s="116">
        <v>479.05</v>
      </c>
      <c r="G2394">
        <v>21741</v>
      </c>
      <c r="H2394" s="116"/>
      <c r="I2394" s="116"/>
      <c r="L2394" s="169">
        <v>45531</v>
      </c>
      <c r="M2394" s="116">
        <v>420.4</v>
      </c>
      <c r="N2394" s="116">
        <v>430</v>
      </c>
      <c r="O2394" s="116">
        <v>415.7</v>
      </c>
      <c r="P2394" s="116">
        <v>427.8</v>
      </c>
      <c r="Q2394" s="116">
        <v>420.4</v>
      </c>
      <c r="R2394">
        <v>28574</v>
      </c>
    </row>
    <row r="2395" spans="1:18" x14ac:dyDescent="0.25">
      <c r="A2395" s="169">
        <v>45565</v>
      </c>
      <c r="B2395" s="116">
        <v>484.8</v>
      </c>
      <c r="C2395" s="116">
        <v>466.6</v>
      </c>
      <c r="D2395" s="116">
        <v>465.1</v>
      </c>
      <c r="E2395" s="116">
        <v>479.35</v>
      </c>
      <c r="F2395" s="116">
        <v>466.6</v>
      </c>
      <c r="G2395">
        <v>7550</v>
      </c>
      <c r="H2395" s="116"/>
      <c r="I2395" s="116"/>
      <c r="L2395" s="169">
        <v>45532</v>
      </c>
      <c r="M2395" s="116">
        <v>414.75</v>
      </c>
      <c r="N2395" s="116">
        <v>429.3</v>
      </c>
      <c r="O2395" s="116">
        <v>414</v>
      </c>
      <c r="P2395" s="116">
        <v>415.05</v>
      </c>
      <c r="Q2395" s="116">
        <v>414.75</v>
      </c>
      <c r="R2395">
        <v>26101</v>
      </c>
    </row>
    <row r="2396" spans="1:18" x14ac:dyDescent="0.25">
      <c r="A2396" s="169">
        <v>45566</v>
      </c>
      <c r="B2396" s="116">
        <v>469</v>
      </c>
      <c r="C2396" s="116">
        <v>454.3</v>
      </c>
      <c r="D2396" s="116">
        <v>450</v>
      </c>
      <c r="E2396" s="116">
        <v>466.6</v>
      </c>
      <c r="F2396" s="116">
        <v>454.3</v>
      </c>
      <c r="G2396">
        <v>7622</v>
      </c>
      <c r="H2396" s="116"/>
      <c r="I2396" s="116"/>
      <c r="L2396" s="169">
        <v>45533</v>
      </c>
      <c r="M2396" s="116">
        <v>405.75</v>
      </c>
      <c r="N2396" s="116">
        <v>418.6</v>
      </c>
      <c r="O2396" s="116">
        <v>401.15</v>
      </c>
      <c r="P2396" s="116">
        <v>415</v>
      </c>
      <c r="Q2396" s="116">
        <v>405.75</v>
      </c>
      <c r="R2396">
        <v>34887</v>
      </c>
    </row>
    <row r="2397" spans="1:18" x14ac:dyDescent="0.25">
      <c r="A2397" s="169">
        <v>45568</v>
      </c>
      <c r="B2397" s="116">
        <v>469.05</v>
      </c>
      <c r="C2397" s="116">
        <v>446.15</v>
      </c>
      <c r="D2397" s="116">
        <v>436.85</v>
      </c>
      <c r="E2397" s="116">
        <v>445.05</v>
      </c>
      <c r="F2397" s="116">
        <v>446.15</v>
      </c>
      <c r="G2397">
        <v>14738</v>
      </c>
      <c r="H2397" s="116"/>
      <c r="I2397" s="116"/>
      <c r="L2397" s="169">
        <v>45534</v>
      </c>
      <c r="M2397" s="116">
        <v>417.35</v>
      </c>
      <c r="N2397" s="116">
        <v>428.7</v>
      </c>
      <c r="O2397" s="116">
        <v>408</v>
      </c>
      <c r="P2397" s="116">
        <v>408</v>
      </c>
      <c r="Q2397" s="116">
        <v>417.35</v>
      </c>
      <c r="R2397">
        <v>55773</v>
      </c>
    </row>
    <row r="2398" spans="1:18" x14ac:dyDescent="0.25">
      <c r="A2398" s="169">
        <v>45569</v>
      </c>
      <c r="B2398" s="116">
        <v>455</v>
      </c>
      <c r="C2398" s="116">
        <v>438.9</v>
      </c>
      <c r="D2398" s="116">
        <v>435.35</v>
      </c>
      <c r="E2398" s="116">
        <v>455</v>
      </c>
      <c r="F2398" s="116">
        <v>438.9</v>
      </c>
      <c r="G2398">
        <v>2850</v>
      </c>
      <c r="H2398" s="116"/>
      <c r="I2398" s="116"/>
      <c r="L2398" s="169">
        <v>45537</v>
      </c>
      <c r="M2398" s="116">
        <v>430.6</v>
      </c>
      <c r="N2398" s="116">
        <v>444</v>
      </c>
      <c r="O2398" s="116">
        <v>417.35</v>
      </c>
      <c r="P2398" s="116">
        <v>423.6</v>
      </c>
      <c r="Q2398" s="116">
        <v>430.6</v>
      </c>
      <c r="R2398">
        <v>147925</v>
      </c>
    </row>
    <row r="2399" spans="1:18" x14ac:dyDescent="0.25">
      <c r="A2399" s="169">
        <v>45572</v>
      </c>
      <c r="B2399" s="116">
        <v>445.45</v>
      </c>
      <c r="C2399" s="116">
        <v>415.15</v>
      </c>
      <c r="D2399" s="116">
        <v>406.15</v>
      </c>
      <c r="E2399" s="116">
        <v>439</v>
      </c>
      <c r="F2399" s="116">
        <v>415.15</v>
      </c>
      <c r="G2399">
        <v>3649</v>
      </c>
      <c r="H2399" s="116"/>
      <c r="I2399" s="116"/>
      <c r="L2399" s="169">
        <v>45538</v>
      </c>
      <c r="M2399" s="116">
        <v>428.55</v>
      </c>
      <c r="N2399" s="116">
        <v>436.6</v>
      </c>
      <c r="O2399" s="116">
        <v>426</v>
      </c>
      <c r="P2399" s="116">
        <v>436.6</v>
      </c>
      <c r="Q2399" s="116">
        <v>428.55</v>
      </c>
      <c r="R2399">
        <v>22096</v>
      </c>
    </row>
    <row r="2400" spans="1:18" x14ac:dyDescent="0.25">
      <c r="A2400" s="169">
        <v>45573</v>
      </c>
      <c r="B2400" s="116">
        <v>429.5</v>
      </c>
      <c r="C2400" s="116">
        <v>426.7</v>
      </c>
      <c r="D2400" s="116">
        <v>409.5</v>
      </c>
      <c r="E2400" s="116">
        <v>411</v>
      </c>
      <c r="F2400" s="116">
        <v>426.7</v>
      </c>
      <c r="G2400">
        <v>5439</v>
      </c>
      <c r="H2400" s="116"/>
      <c r="I2400" s="116"/>
      <c r="L2400" s="169">
        <v>45539</v>
      </c>
      <c r="M2400" s="116">
        <v>417.7</v>
      </c>
      <c r="N2400" s="116">
        <v>428.55</v>
      </c>
      <c r="O2400" s="116">
        <v>413.2</v>
      </c>
      <c r="P2400" s="116">
        <v>428.55</v>
      </c>
      <c r="Q2400" s="116">
        <v>417.7</v>
      </c>
      <c r="R2400">
        <v>19054</v>
      </c>
    </row>
    <row r="2401" spans="1:18" x14ac:dyDescent="0.25">
      <c r="A2401" s="169">
        <v>45574</v>
      </c>
      <c r="B2401" s="116">
        <v>436</v>
      </c>
      <c r="C2401" s="116">
        <v>424.95</v>
      </c>
      <c r="D2401" s="116">
        <v>420</v>
      </c>
      <c r="E2401" s="116">
        <v>432.25</v>
      </c>
      <c r="F2401" s="116">
        <v>424.95</v>
      </c>
      <c r="G2401">
        <v>1985</v>
      </c>
      <c r="H2401" s="116"/>
      <c r="I2401" s="116"/>
      <c r="L2401" s="169">
        <v>45540</v>
      </c>
      <c r="M2401" s="116">
        <v>416.1</v>
      </c>
      <c r="N2401" s="116">
        <v>425</v>
      </c>
      <c r="O2401" s="116">
        <v>411.15</v>
      </c>
      <c r="P2401" s="116">
        <v>419.8</v>
      </c>
      <c r="Q2401" s="116">
        <v>416.1</v>
      </c>
      <c r="R2401">
        <v>20116</v>
      </c>
    </row>
    <row r="2402" spans="1:18" x14ac:dyDescent="0.25">
      <c r="A2402" s="169">
        <v>45575</v>
      </c>
      <c r="B2402" s="116">
        <v>429.9</v>
      </c>
      <c r="C2402" s="116">
        <v>422.75</v>
      </c>
      <c r="D2402" s="116">
        <v>418.8</v>
      </c>
      <c r="E2402" s="116">
        <v>425</v>
      </c>
      <c r="F2402" s="116">
        <v>422.75</v>
      </c>
      <c r="G2402">
        <v>1630</v>
      </c>
      <c r="H2402" s="116"/>
      <c r="I2402" s="116"/>
      <c r="L2402" s="169">
        <v>45541</v>
      </c>
      <c r="M2402" s="116">
        <v>409.7</v>
      </c>
      <c r="N2402" s="116">
        <v>419.95</v>
      </c>
      <c r="O2402" s="116">
        <v>406.9</v>
      </c>
      <c r="P2402" s="116">
        <v>416</v>
      </c>
      <c r="Q2402" s="116">
        <v>409.7</v>
      </c>
      <c r="R2402">
        <v>17818</v>
      </c>
    </row>
    <row r="2403" spans="1:18" x14ac:dyDescent="0.25">
      <c r="A2403" s="169">
        <v>45576</v>
      </c>
      <c r="B2403" s="116">
        <v>443.15</v>
      </c>
      <c r="C2403" s="116">
        <v>438.35</v>
      </c>
      <c r="D2403" s="116">
        <v>419.2</v>
      </c>
      <c r="E2403" s="116">
        <v>425</v>
      </c>
      <c r="F2403" s="116">
        <v>438.35</v>
      </c>
      <c r="G2403">
        <v>4725</v>
      </c>
      <c r="H2403" s="116"/>
      <c r="I2403" s="116"/>
      <c r="L2403" s="169">
        <v>45544</v>
      </c>
      <c r="M2403" s="116">
        <v>428.15</v>
      </c>
      <c r="N2403" s="116">
        <v>430.8</v>
      </c>
      <c r="O2403" s="116">
        <v>401.15</v>
      </c>
      <c r="P2403" s="116">
        <v>403.6</v>
      </c>
      <c r="Q2403" s="116">
        <v>428.15</v>
      </c>
      <c r="R2403">
        <v>70014</v>
      </c>
    </row>
    <row r="2404" spans="1:18" x14ac:dyDescent="0.25">
      <c r="A2404" s="169">
        <v>45579</v>
      </c>
      <c r="B2404" s="116">
        <v>454.35</v>
      </c>
      <c r="C2404" s="116">
        <v>441</v>
      </c>
      <c r="D2404" s="116">
        <v>435.25</v>
      </c>
      <c r="E2404" s="116">
        <v>444</v>
      </c>
      <c r="F2404" s="116">
        <v>441</v>
      </c>
      <c r="G2404">
        <v>3663</v>
      </c>
      <c r="H2404" s="116"/>
      <c r="I2404" s="116"/>
      <c r="L2404" s="169">
        <v>45545</v>
      </c>
      <c r="M2404" s="116">
        <v>429.1</v>
      </c>
      <c r="N2404" s="116">
        <v>431.9</v>
      </c>
      <c r="O2404" s="116">
        <v>422</v>
      </c>
      <c r="P2404" s="116">
        <v>425</v>
      </c>
      <c r="Q2404" s="116">
        <v>429.1</v>
      </c>
      <c r="R2404">
        <v>37864</v>
      </c>
    </row>
    <row r="2405" spans="1:18" x14ac:dyDescent="0.25">
      <c r="A2405" s="169">
        <v>45580</v>
      </c>
      <c r="B2405" s="116">
        <v>440.8</v>
      </c>
      <c r="C2405" s="116">
        <v>429.9</v>
      </c>
      <c r="D2405" s="116">
        <v>427.6</v>
      </c>
      <c r="E2405" s="116">
        <v>440.8</v>
      </c>
      <c r="F2405" s="116">
        <v>429.9</v>
      </c>
      <c r="G2405">
        <v>1474</v>
      </c>
      <c r="H2405" s="116"/>
      <c r="I2405" s="116"/>
      <c r="L2405" s="169">
        <v>45546</v>
      </c>
      <c r="M2405" s="116">
        <v>436.15</v>
      </c>
      <c r="N2405" s="116">
        <v>461.2</v>
      </c>
      <c r="O2405" s="116">
        <v>425</v>
      </c>
      <c r="P2405" s="116">
        <v>425</v>
      </c>
      <c r="Q2405" s="116">
        <v>436.15</v>
      </c>
      <c r="R2405">
        <v>475270</v>
      </c>
    </row>
    <row r="2406" spans="1:18" x14ac:dyDescent="0.25">
      <c r="A2406" s="169">
        <v>45581</v>
      </c>
      <c r="B2406" s="116">
        <v>434.75</v>
      </c>
      <c r="C2406" s="116">
        <v>431.3</v>
      </c>
      <c r="D2406" s="116">
        <v>425</v>
      </c>
      <c r="E2406" s="116">
        <v>431</v>
      </c>
      <c r="F2406" s="116">
        <v>431.3</v>
      </c>
      <c r="G2406">
        <v>1444</v>
      </c>
      <c r="H2406" s="116"/>
      <c r="I2406" s="116"/>
      <c r="L2406" s="169">
        <v>45547</v>
      </c>
      <c r="M2406" s="116">
        <v>436.1</v>
      </c>
      <c r="N2406" s="116">
        <v>452.15</v>
      </c>
      <c r="O2406" s="116">
        <v>431.1</v>
      </c>
      <c r="P2406" s="116">
        <v>438.4</v>
      </c>
      <c r="Q2406" s="116">
        <v>436.1</v>
      </c>
      <c r="R2406">
        <v>107925</v>
      </c>
    </row>
    <row r="2407" spans="1:18" x14ac:dyDescent="0.25">
      <c r="A2407" s="169">
        <v>45582</v>
      </c>
      <c r="B2407" s="116">
        <v>440.05</v>
      </c>
      <c r="C2407" s="116">
        <v>424.45</v>
      </c>
      <c r="D2407" s="116">
        <v>420.85</v>
      </c>
      <c r="E2407" s="116">
        <v>431.45</v>
      </c>
      <c r="F2407" s="116">
        <v>424.45</v>
      </c>
      <c r="G2407">
        <v>5103</v>
      </c>
      <c r="H2407" s="116"/>
      <c r="I2407" s="116"/>
      <c r="L2407" s="169">
        <v>45548</v>
      </c>
      <c r="M2407" s="116">
        <v>435.65</v>
      </c>
      <c r="N2407" s="116">
        <v>440</v>
      </c>
      <c r="O2407" s="116">
        <v>426</v>
      </c>
      <c r="P2407" s="116">
        <v>439.5</v>
      </c>
      <c r="Q2407" s="116">
        <v>435.65</v>
      </c>
      <c r="R2407">
        <v>46864</v>
      </c>
    </row>
    <row r="2408" spans="1:18" x14ac:dyDescent="0.25">
      <c r="A2408" s="169">
        <v>45583</v>
      </c>
      <c r="B2408" s="116">
        <v>423.1</v>
      </c>
      <c r="C2408" s="116">
        <v>415.45</v>
      </c>
      <c r="D2408" s="116">
        <v>408</v>
      </c>
      <c r="E2408" s="116">
        <v>422.2</v>
      </c>
      <c r="F2408" s="116">
        <v>415.45</v>
      </c>
      <c r="G2408">
        <v>3896</v>
      </c>
      <c r="H2408" s="116"/>
      <c r="I2408" s="116"/>
      <c r="L2408" s="169">
        <v>45551</v>
      </c>
      <c r="M2408" s="116">
        <v>428.95</v>
      </c>
      <c r="N2408" s="116">
        <v>444</v>
      </c>
      <c r="O2408" s="116">
        <v>424.45</v>
      </c>
      <c r="P2408" s="116">
        <v>443.95</v>
      </c>
      <c r="Q2408" s="116">
        <v>428.95</v>
      </c>
      <c r="R2408">
        <v>47360</v>
      </c>
    </row>
    <row r="2409" spans="1:18" x14ac:dyDescent="0.25">
      <c r="A2409" s="169">
        <v>45586</v>
      </c>
      <c r="B2409" s="116">
        <v>462</v>
      </c>
      <c r="C2409" s="116">
        <v>404.05</v>
      </c>
      <c r="D2409" s="116">
        <v>402.85</v>
      </c>
      <c r="E2409" s="116">
        <v>462</v>
      </c>
      <c r="F2409" s="116">
        <v>404.05</v>
      </c>
      <c r="G2409">
        <v>2573</v>
      </c>
      <c r="H2409" s="116"/>
      <c r="I2409" s="116"/>
      <c r="L2409" s="169">
        <v>45552</v>
      </c>
      <c r="M2409" s="116">
        <v>424</v>
      </c>
      <c r="N2409" s="116">
        <v>439.95</v>
      </c>
      <c r="O2409" s="116">
        <v>418</v>
      </c>
      <c r="P2409" s="116">
        <v>429.95</v>
      </c>
      <c r="Q2409" s="116">
        <v>424</v>
      </c>
      <c r="R2409">
        <v>33116</v>
      </c>
    </row>
    <row r="2410" spans="1:18" x14ac:dyDescent="0.25">
      <c r="A2410" s="169">
        <v>45587</v>
      </c>
      <c r="B2410" s="116">
        <v>404.5</v>
      </c>
      <c r="C2410" s="116">
        <v>382.25</v>
      </c>
      <c r="D2410" s="116">
        <v>381.2</v>
      </c>
      <c r="E2410" s="116">
        <v>404.5</v>
      </c>
      <c r="F2410" s="116">
        <v>382.25</v>
      </c>
      <c r="G2410">
        <v>3280</v>
      </c>
      <c r="H2410" s="116"/>
      <c r="I2410" s="116"/>
      <c r="L2410" s="169">
        <v>45553</v>
      </c>
      <c r="M2410" s="116">
        <v>412.95</v>
      </c>
      <c r="N2410" s="116">
        <v>427.1</v>
      </c>
      <c r="O2410" s="116">
        <v>411</v>
      </c>
      <c r="P2410" s="116">
        <v>427.1</v>
      </c>
      <c r="Q2410" s="116">
        <v>412.95</v>
      </c>
      <c r="R2410">
        <v>64907</v>
      </c>
    </row>
    <row r="2411" spans="1:18" x14ac:dyDescent="0.25">
      <c r="A2411" s="169">
        <v>45588</v>
      </c>
      <c r="B2411" s="116">
        <v>390.85</v>
      </c>
      <c r="C2411" s="116">
        <v>385.95</v>
      </c>
      <c r="D2411" s="116">
        <v>373.2</v>
      </c>
      <c r="E2411" s="116">
        <v>383.55</v>
      </c>
      <c r="F2411" s="116">
        <v>385.95</v>
      </c>
      <c r="G2411">
        <v>2706</v>
      </c>
      <c r="H2411" s="116"/>
      <c r="I2411" s="116"/>
      <c r="L2411" s="169">
        <v>45554</v>
      </c>
      <c r="M2411" s="116">
        <v>404.25</v>
      </c>
      <c r="N2411" s="116">
        <v>418.4</v>
      </c>
      <c r="O2411" s="116">
        <v>399</v>
      </c>
      <c r="P2411" s="116">
        <v>414.65</v>
      </c>
      <c r="Q2411" s="116">
        <v>404.25</v>
      </c>
      <c r="R2411">
        <v>54789</v>
      </c>
    </row>
    <row r="2412" spans="1:18" x14ac:dyDescent="0.25">
      <c r="A2412" s="169">
        <v>45589</v>
      </c>
      <c r="B2412" s="116">
        <v>410</v>
      </c>
      <c r="C2412" s="116">
        <v>405.45</v>
      </c>
      <c r="D2412" s="116">
        <v>381.05</v>
      </c>
      <c r="E2412" s="116">
        <v>384.35</v>
      </c>
      <c r="F2412" s="116">
        <v>405.45</v>
      </c>
      <c r="G2412">
        <v>3609</v>
      </c>
      <c r="H2412" s="116"/>
      <c r="I2412" s="116"/>
      <c r="L2412" s="169">
        <v>45555</v>
      </c>
      <c r="M2412" s="116">
        <v>399.55</v>
      </c>
      <c r="N2412" s="116">
        <v>410.85</v>
      </c>
      <c r="O2412" s="116">
        <v>392.35</v>
      </c>
      <c r="P2412" s="116">
        <v>405.25</v>
      </c>
      <c r="Q2412" s="116">
        <v>399.55</v>
      </c>
      <c r="R2412">
        <v>53929</v>
      </c>
    </row>
    <row r="2413" spans="1:18" x14ac:dyDescent="0.25">
      <c r="A2413" s="169">
        <v>45590</v>
      </c>
      <c r="B2413" s="116">
        <v>413</v>
      </c>
      <c r="C2413" s="116">
        <v>393.7</v>
      </c>
      <c r="D2413" s="116">
        <v>384.4</v>
      </c>
      <c r="E2413" s="116">
        <v>413</v>
      </c>
      <c r="F2413" s="116">
        <v>393.7</v>
      </c>
      <c r="G2413">
        <v>2982</v>
      </c>
      <c r="H2413" s="116"/>
      <c r="I2413" s="116"/>
      <c r="L2413" s="169">
        <v>45558</v>
      </c>
      <c r="M2413" s="116">
        <v>447.65</v>
      </c>
      <c r="N2413" s="116">
        <v>451</v>
      </c>
      <c r="O2413" s="116">
        <v>406.45</v>
      </c>
      <c r="P2413" s="116">
        <v>406.95</v>
      </c>
      <c r="Q2413" s="116">
        <v>447.65</v>
      </c>
      <c r="R2413">
        <v>438785</v>
      </c>
    </row>
    <row r="2414" spans="1:18" x14ac:dyDescent="0.25">
      <c r="A2414" s="169">
        <v>45593</v>
      </c>
      <c r="B2414" s="116">
        <v>396.8</v>
      </c>
      <c r="C2414" s="116">
        <v>392.45</v>
      </c>
      <c r="D2414" s="116">
        <v>377.5</v>
      </c>
      <c r="E2414" s="116">
        <v>389.95</v>
      </c>
      <c r="F2414" s="116">
        <v>392.45</v>
      </c>
      <c r="G2414">
        <v>4236</v>
      </c>
      <c r="H2414" s="116"/>
      <c r="I2414" s="116"/>
      <c r="L2414" s="169">
        <v>45559</v>
      </c>
      <c r="M2414" s="116">
        <v>447.55</v>
      </c>
      <c r="N2414" s="116">
        <v>465.95</v>
      </c>
      <c r="O2414" s="116">
        <v>437.6</v>
      </c>
      <c r="P2414" s="116">
        <v>446.05</v>
      </c>
      <c r="Q2414" s="116">
        <v>447.55</v>
      </c>
      <c r="R2414">
        <v>145423</v>
      </c>
    </row>
    <row r="2415" spans="1:18" x14ac:dyDescent="0.25">
      <c r="A2415" s="169">
        <v>45594</v>
      </c>
      <c r="B2415" s="116">
        <v>391.9</v>
      </c>
      <c r="C2415" s="116">
        <v>387.85</v>
      </c>
      <c r="D2415" s="116">
        <v>385</v>
      </c>
      <c r="E2415" s="116">
        <v>391.9</v>
      </c>
      <c r="F2415" s="116">
        <v>387.85</v>
      </c>
      <c r="G2415">
        <v>1009</v>
      </c>
      <c r="H2415" s="116"/>
      <c r="I2415" s="116"/>
      <c r="L2415" s="169">
        <v>45560</v>
      </c>
      <c r="M2415" s="116">
        <v>466</v>
      </c>
      <c r="N2415" s="116">
        <v>472</v>
      </c>
      <c r="O2415" s="116">
        <v>435.4</v>
      </c>
      <c r="P2415" s="116">
        <v>448.65</v>
      </c>
      <c r="Q2415" s="116">
        <v>466</v>
      </c>
      <c r="R2415">
        <v>241614</v>
      </c>
    </row>
    <row r="2416" spans="1:18" x14ac:dyDescent="0.25">
      <c r="A2416" s="169">
        <v>45595</v>
      </c>
      <c r="B2416" s="116">
        <v>397.1</v>
      </c>
      <c r="C2416" s="116">
        <v>395.7</v>
      </c>
      <c r="D2416" s="116">
        <v>385.1</v>
      </c>
      <c r="E2416" s="116">
        <v>387.85</v>
      </c>
      <c r="F2416" s="116">
        <v>395.7</v>
      </c>
      <c r="G2416">
        <v>891</v>
      </c>
      <c r="H2416" s="116"/>
      <c r="I2416" s="116"/>
      <c r="L2416" s="169">
        <v>45561</v>
      </c>
      <c r="M2416" s="116">
        <v>474.6</v>
      </c>
      <c r="N2416" s="116">
        <v>498.4</v>
      </c>
      <c r="O2416" s="116">
        <v>466.2</v>
      </c>
      <c r="P2416" s="116">
        <v>473</v>
      </c>
      <c r="Q2416" s="116">
        <v>474.6</v>
      </c>
      <c r="R2416">
        <v>724447</v>
      </c>
    </row>
    <row r="2417" spans="1:18" x14ac:dyDescent="0.25">
      <c r="A2417" s="169">
        <v>45596</v>
      </c>
      <c r="B2417" s="116">
        <v>399.55</v>
      </c>
      <c r="C2417" s="116">
        <v>392.6</v>
      </c>
      <c r="D2417" s="116">
        <v>390.75</v>
      </c>
      <c r="E2417" s="116">
        <v>394.5</v>
      </c>
      <c r="F2417" s="116">
        <v>392.6</v>
      </c>
      <c r="G2417">
        <v>3779</v>
      </c>
      <c r="H2417" s="116"/>
      <c r="I2417" s="116"/>
      <c r="L2417" s="169">
        <v>45562</v>
      </c>
      <c r="M2417" s="116">
        <v>481</v>
      </c>
      <c r="N2417" s="116">
        <v>487.8</v>
      </c>
      <c r="O2417" s="116">
        <v>462.3</v>
      </c>
      <c r="P2417" s="116">
        <v>471</v>
      </c>
      <c r="Q2417" s="116">
        <v>481</v>
      </c>
      <c r="R2417">
        <v>160275</v>
      </c>
    </row>
    <row r="2418" spans="1:18" x14ac:dyDescent="0.25">
      <c r="A2418" s="169">
        <v>45597</v>
      </c>
      <c r="B2418" s="116">
        <v>400</v>
      </c>
      <c r="C2418" s="116">
        <v>391.4</v>
      </c>
      <c r="D2418" s="116">
        <v>388.05</v>
      </c>
      <c r="E2418" s="116">
        <v>394</v>
      </c>
      <c r="F2418" s="116">
        <v>391.4</v>
      </c>
      <c r="G2418">
        <v>810</v>
      </c>
      <c r="H2418" s="116"/>
      <c r="I2418" s="116"/>
      <c r="L2418" s="169">
        <v>45565</v>
      </c>
      <c r="M2418" s="116">
        <v>465.7</v>
      </c>
      <c r="N2418" s="116">
        <v>487.3</v>
      </c>
      <c r="O2418" s="116">
        <v>463.1</v>
      </c>
      <c r="P2418" s="116">
        <v>478.85</v>
      </c>
      <c r="Q2418" s="116">
        <v>465.7</v>
      </c>
      <c r="R2418">
        <v>102410</v>
      </c>
    </row>
    <row r="2419" spans="1:18" x14ac:dyDescent="0.25">
      <c r="A2419" s="169">
        <v>45600</v>
      </c>
      <c r="B2419" s="116">
        <v>399.55</v>
      </c>
      <c r="C2419" s="116">
        <v>380</v>
      </c>
      <c r="D2419" s="116">
        <v>377.65</v>
      </c>
      <c r="E2419" s="116">
        <v>399.55</v>
      </c>
      <c r="F2419" s="116">
        <v>380</v>
      </c>
      <c r="G2419">
        <v>1688</v>
      </c>
      <c r="H2419" s="116"/>
      <c r="I2419" s="116"/>
      <c r="L2419" s="169">
        <v>45566</v>
      </c>
      <c r="M2419" s="116">
        <v>453</v>
      </c>
      <c r="N2419" s="116">
        <v>471.85</v>
      </c>
      <c r="O2419" s="116">
        <v>450.3</v>
      </c>
      <c r="P2419" s="116">
        <v>466.1</v>
      </c>
      <c r="Q2419" s="116">
        <v>453</v>
      </c>
      <c r="R2419">
        <v>39230</v>
      </c>
    </row>
    <row r="2420" spans="1:18" x14ac:dyDescent="0.25">
      <c r="A2420" s="169">
        <v>45601</v>
      </c>
      <c r="B2420" s="116">
        <v>398.7</v>
      </c>
      <c r="C2420" s="116">
        <v>388.35</v>
      </c>
      <c r="D2420" s="116">
        <v>384.35</v>
      </c>
      <c r="E2420" s="116">
        <v>384.35</v>
      </c>
      <c r="F2420" s="116">
        <v>388.35</v>
      </c>
      <c r="G2420">
        <v>1416</v>
      </c>
      <c r="H2420" s="116"/>
      <c r="I2420" s="116"/>
      <c r="L2420" s="169">
        <v>45568</v>
      </c>
      <c r="M2420" s="116">
        <v>447.15</v>
      </c>
      <c r="N2420" s="116">
        <v>470</v>
      </c>
      <c r="O2420" s="116">
        <v>437.95</v>
      </c>
      <c r="P2420" s="116">
        <v>450.7</v>
      </c>
      <c r="Q2420" s="116">
        <v>447.15</v>
      </c>
      <c r="R2420">
        <v>76463</v>
      </c>
    </row>
    <row r="2421" spans="1:18" x14ac:dyDescent="0.25">
      <c r="A2421" s="169">
        <v>45602</v>
      </c>
      <c r="B2421" s="116">
        <v>398.5</v>
      </c>
      <c r="C2421" s="116">
        <v>395.8</v>
      </c>
      <c r="D2421" s="116">
        <v>387.7</v>
      </c>
      <c r="E2421" s="116">
        <v>391.65</v>
      </c>
      <c r="F2421" s="116">
        <v>395.8</v>
      </c>
      <c r="G2421">
        <v>1811</v>
      </c>
      <c r="H2421" s="116"/>
      <c r="I2421" s="116"/>
      <c r="L2421" s="169">
        <v>45569</v>
      </c>
      <c r="M2421" s="116">
        <v>439.6</v>
      </c>
      <c r="N2421" s="116">
        <v>456.7</v>
      </c>
      <c r="O2421" s="116">
        <v>435</v>
      </c>
      <c r="P2421" s="116">
        <v>453.85</v>
      </c>
      <c r="Q2421" s="116">
        <v>439.6</v>
      </c>
      <c r="R2421">
        <v>37001</v>
      </c>
    </row>
    <row r="2422" spans="1:18" x14ac:dyDescent="0.25">
      <c r="A2422" s="169">
        <v>45603</v>
      </c>
      <c r="B2422" s="116">
        <v>397</v>
      </c>
      <c r="C2422" s="116">
        <v>385.45</v>
      </c>
      <c r="D2422" s="116">
        <v>380.95</v>
      </c>
      <c r="E2422" s="116">
        <v>395.45</v>
      </c>
      <c r="F2422" s="116">
        <v>385.45</v>
      </c>
      <c r="G2422">
        <v>2243</v>
      </c>
      <c r="H2422" s="116"/>
      <c r="I2422" s="116"/>
      <c r="L2422" s="169">
        <v>45572</v>
      </c>
      <c r="M2422" s="116">
        <v>413.8</v>
      </c>
      <c r="N2422" s="116">
        <v>444.6</v>
      </c>
      <c r="O2422" s="116">
        <v>406.1</v>
      </c>
      <c r="P2422" s="116">
        <v>440</v>
      </c>
      <c r="Q2422" s="116">
        <v>413.8</v>
      </c>
      <c r="R2422">
        <v>62147</v>
      </c>
    </row>
    <row r="2423" spans="1:18" x14ac:dyDescent="0.25">
      <c r="A2423" s="169">
        <v>45604</v>
      </c>
      <c r="B2423" s="116">
        <v>388.1</v>
      </c>
      <c r="C2423" s="116">
        <v>381.2</v>
      </c>
      <c r="D2423" s="116">
        <v>379.75</v>
      </c>
      <c r="E2423" s="116">
        <v>388.1</v>
      </c>
      <c r="F2423" s="116">
        <v>381.2</v>
      </c>
      <c r="G2423">
        <v>1455</v>
      </c>
      <c r="H2423" s="116"/>
      <c r="I2423" s="116"/>
      <c r="L2423" s="169">
        <v>45573</v>
      </c>
      <c r="M2423" s="116">
        <v>425.9</v>
      </c>
      <c r="N2423" s="116">
        <v>429.6</v>
      </c>
      <c r="O2423" s="116">
        <v>408.85</v>
      </c>
      <c r="P2423" s="116">
        <v>416.75</v>
      </c>
      <c r="Q2423" s="116">
        <v>425.9</v>
      </c>
      <c r="R2423">
        <v>26642</v>
      </c>
    </row>
    <row r="2424" spans="1:18" x14ac:dyDescent="0.25">
      <c r="A2424" s="169">
        <v>45607</v>
      </c>
      <c r="B2424" s="116">
        <v>385.45</v>
      </c>
      <c r="C2424" s="116">
        <v>380.85</v>
      </c>
      <c r="D2424" s="116">
        <v>372.05</v>
      </c>
      <c r="E2424" s="116">
        <v>382</v>
      </c>
      <c r="F2424" s="116">
        <v>380.85</v>
      </c>
      <c r="G2424">
        <v>1542</v>
      </c>
      <c r="H2424" s="116"/>
      <c r="I2424" s="116"/>
      <c r="L2424" s="169">
        <v>45574</v>
      </c>
      <c r="M2424" s="116">
        <v>424.65</v>
      </c>
      <c r="N2424" s="116">
        <v>437</v>
      </c>
      <c r="O2424" s="116">
        <v>421.1</v>
      </c>
      <c r="P2424" s="116">
        <v>430</v>
      </c>
      <c r="Q2424" s="116">
        <v>424.65</v>
      </c>
      <c r="R2424">
        <v>16187</v>
      </c>
    </row>
    <row r="2425" spans="1:18" x14ac:dyDescent="0.25">
      <c r="A2425" s="169">
        <v>45608</v>
      </c>
      <c r="B2425" s="116">
        <v>387.05</v>
      </c>
      <c r="C2425" s="116">
        <v>377.6</v>
      </c>
      <c r="D2425" s="116">
        <v>377.2</v>
      </c>
      <c r="E2425" s="116">
        <v>387.05</v>
      </c>
      <c r="F2425" s="116">
        <v>377.6</v>
      </c>
      <c r="G2425">
        <v>495</v>
      </c>
      <c r="H2425" s="116"/>
      <c r="I2425" s="116"/>
      <c r="L2425" s="169">
        <v>45575</v>
      </c>
      <c r="M2425" s="116">
        <v>421.45</v>
      </c>
      <c r="N2425" s="116">
        <v>429.1</v>
      </c>
      <c r="O2425" s="116">
        <v>418.85</v>
      </c>
      <c r="P2425" s="116">
        <v>424.65</v>
      </c>
      <c r="Q2425" s="116">
        <v>421.45</v>
      </c>
      <c r="R2425">
        <v>14385</v>
      </c>
    </row>
    <row r="2426" spans="1:18" x14ac:dyDescent="0.25">
      <c r="A2426" s="169">
        <v>45609</v>
      </c>
      <c r="B2426" s="116">
        <v>375.05</v>
      </c>
      <c r="C2426" s="116">
        <v>364.25</v>
      </c>
      <c r="D2426" s="116">
        <v>361.5</v>
      </c>
      <c r="E2426" s="116">
        <v>375.05</v>
      </c>
      <c r="F2426" s="116">
        <v>364.25</v>
      </c>
      <c r="G2426">
        <v>1186</v>
      </c>
      <c r="H2426" s="116"/>
      <c r="I2426" s="116"/>
      <c r="L2426" s="169">
        <v>45576</v>
      </c>
      <c r="M2426" s="116">
        <v>437.6</v>
      </c>
      <c r="N2426" s="116">
        <v>446</v>
      </c>
      <c r="O2426" s="116">
        <v>418.2</v>
      </c>
      <c r="P2426" s="116">
        <v>422.8</v>
      </c>
      <c r="Q2426" s="116">
        <v>437.6</v>
      </c>
      <c r="R2426">
        <v>37447</v>
      </c>
    </row>
    <row r="2427" spans="1:18" x14ac:dyDescent="0.25">
      <c r="A2427" s="169">
        <v>45610</v>
      </c>
      <c r="B2427" s="116">
        <v>368.5</v>
      </c>
      <c r="C2427" s="116">
        <v>358.2</v>
      </c>
      <c r="D2427" s="116">
        <v>357</v>
      </c>
      <c r="E2427" s="116">
        <v>366.75</v>
      </c>
      <c r="F2427" s="116">
        <v>358.2</v>
      </c>
      <c r="G2427">
        <v>2502</v>
      </c>
      <c r="H2427" s="116"/>
      <c r="I2427" s="116"/>
      <c r="L2427" s="169">
        <v>45579</v>
      </c>
      <c r="M2427" s="116">
        <v>441.4</v>
      </c>
      <c r="N2427" s="116">
        <v>459</v>
      </c>
      <c r="O2427" s="116">
        <v>435.25</v>
      </c>
      <c r="P2427" s="116">
        <v>438</v>
      </c>
      <c r="Q2427" s="116">
        <v>441.4</v>
      </c>
      <c r="R2427">
        <v>25546</v>
      </c>
    </row>
    <row r="2428" spans="1:18" x14ac:dyDescent="0.25">
      <c r="A2428" s="169">
        <v>45614</v>
      </c>
      <c r="B2428" s="116">
        <v>392</v>
      </c>
      <c r="C2428" s="116">
        <v>364.7</v>
      </c>
      <c r="D2428" s="116">
        <v>358</v>
      </c>
      <c r="E2428" s="116">
        <v>392</v>
      </c>
      <c r="F2428" s="116">
        <v>364.7</v>
      </c>
      <c r="G2428">
        <v>1410</v>
      </c>
      <c r="H2428" s="116"/>
      <c r="I2428" s="116"/>
      <c r="L2428" s="169">
        <v>45580</v>
      </c>
      <c r="M2428" s="116">
        <v>430.5</v>
      </c>
      <c r="N2428" s="116">
        <v>442.75</v>
      </c>
      <c r="O2428" s="116">
        <v>427</v>
      </c>
      <c r="P2428" s="116">
        <v>442.75</v>
      </c>
      <c r="Q2428" s="116">
        <v>430.5</v>
      </c>
      <c r="R2428">
        <v>23740</v>
      </c>
    </row>
    <row r="2429" spans="1:18" x14ac:dyDescent="0.25">
      <c r="A2429" s="169">
        <v>45615</v>
      </c>
      <c r="B2429" s="116">
        <v>371.3</v>
      </c>
      <c r="C2429" s="116">
        <v>357.35</v>
      </c>
      <c r="D2429" s="116">
        <v>356.25</v>
      </c>
      <c r="E2429" s="116">
        <v>369.55</v>
      </c>
      <c r="F2429" s="116">
        <v>357.35</v>
      </c>
      <c r="G2429">
        <v>331</v>
      </c>
      <c r="H2429" s="116"/>
      <c r="I2429" s="116"/>
      <c r="L2429" s="169">
        <v>45581</v>
      </c>
      <c r="M2429" s="116">
        <v>428.15</v>
      </c>
      <c r="N2429" s="116">
        <v>438</v>
      </c>
      <c r="O2429" s="116">
        <v>424</v>
      </c>
      <c r="P2429" s="116">
        <v>431.6</v>
      </c>
      <c r="Q2429" s="116">
        <v>428.15</v>
      </c>
      <c r="R2429">
        <v>16938</v>
      </c>
    </row>
    <row r="2430" spans="1:18" x14ac:dyDescent="0.25">
      <c r="A2430" s="169">
        <v>45617</v>
      </c>
      <c r="B2430" s="116">
        <v>364.35</v>
      </c>
      <c r="C2430" s="116">
        <v>354.05</v>
      </c>
      <c r="D2430" s="116">
        <v>351.1</v>
      </c>
      <c r="E2430" s="116">
        <v>356.25</v>
      </c>
      <c r="F2430" s="116">
        <v>354.05</v>
      </c>
      <c r="G2430">
        <v>1095</v>
      </c>
      <c r="H2430" s="116"/>
      <c r="I2430" s="116"/>
      <c r="L2430" s="169">
        <v>45582</v>
      </c>
      <c r="M2430" s="116">
        <v>423.4</v>
      </c>
      <c r="N2430" s="116">
        <v>441.7</v>
      </c>
      <c r="O2430" s="116">
        <v>418.95</v>
      </c>
      <c r="P2430" s="116">
        <v>431</v>
      </c>
      <c r="Q2430" s="116">
        <v>423.4</v>
      </c>
      <c r="R2430">
        <v>60062</v>
      </c>
    </row>
    <row r="2431" spans="1:18" x14ac:dyDescent="0.25">
      <c r="A2431" s="169">
        <v>45618</v>
      </c>
      <c r="B2431" s="116">
        <v>360.45</v>
      </c>
      <c r="C2431" s="116">
        <v>358.6</v>
      </c>
      <c r="D2431" s="116">
        <v>352</v>
      </c>
      <c r="E2431" s="116">
        <v>352</v>
      </c>
      <c r="F2431" s="116">
        <v>358.6</v>
      </c>
      <c r="G2431">
        <v>44</v>
      </c>
      <c r="H2431" s="116"/>
      <c r="I2431" s="116"/>
      <c r="L2431" s="169">
        <v>45583</v>
      </c>
      <c r="M2431" s="116">
        <v>415.9</v>
      </c>
      <c r="N2431" s="116">
        <v>425.75</v>
      </c>
      <c r="O2431" s="116">
        <v>407.75</v>
      </c>
      <c r="P2431" s="116">
        <v>425.75</v>
      </c>
      <c r="Q2431" s="116">
        <v>415.9</v>
      </c>
      <c r="R2431">
        <v>21762</v>
      </c>
    </row>
    <row r="2432" spans="1:18" x14ac:dyDescent="0.25">
      <c r="A2432" s="169">
        <v>45621</v>
      </c>
      <c r="B2432" s="116">
        <v>364.4</v>
      </c>
      <c r="C2432" s="116">
        <v>355.05</v>
      </c>
      <c r="D2432" s="116">
        <v>353.5</v>
      </c>
      <c r="E2432" s="116">
        <v>364.4</v>
      </c>
      <c r="F2432" s="116">
        <v>355.05</v>
      </c>
      <c r="G2432">
        <v>1283</v>
      </c>
      <c r="H2432" s="116"/>
      <c r="I2432" s="116"/>
      <c r="L2432" s="169">
        <v>45586</v>
      </c>
      <c r="M2432" s="116">
        <v>404.2</v>
      </c>
      <c r="N2432" s="116">
        <v>420.55</v>
      </c>
      <c r="O2432" s="116">
        <v>402.9</v>
      </c>
      <c r="P2432" s="116">
        <v>416.9</v>
      </c>
      <c r="Q2432" s="116">
        <v>404.2</v>
      </c>
      <c r="R2432">
        <v>26363</v>
      </c>
    </row>
    <row r="2433" spans="1:18" x14ac:dyDescent="0.25">
      <c r="A2433" s="169">
        <v>45622</v>
      </c>
      <c r="B2433" s="116">
        <v>360</v>
      </c>
      <c r="C2433" s="116">
        <v>350.35</v>
      </c>
      <c r="D2433" s="116">
        <v>350</v>
      </c>
      <c r="E2433" s="116">
        <v>358</v>
      </c>
      <c r="F2433" s="116">
        <v>350.35</v>
      </c>
      <c r="G2433">
        <v>287</v>
      </c>
      <c r="H2433" s="116"/>
      <c r="I2433" s="116"/>
      <c r="L2433" s="169">
        <v>45587</v>
      </c>
      <c r="M2433" s="116">
        <v>383.35</v>
      </c>
      <c r="N2433" s="116">
        <v>405.2</v>
      </c>
      <c r="O2433" s="116">
        <v>381.95</v>
      </c>
      <c r="P2433" s="116">
        <v>404.2</v>
      </c>
      <c r="Q2433" s="116">
        <v>383.35</v>
      </c>
      <c r="R2433">
        <v>50294</v>
      </c>
    </row>
    <row r="2434" spans="1:18" x14ac:dyDescent="0.25">
      <c r="A2434" s="169">
        <v>45623</v>
      </c>
      <c r="B2434" s="116">
        <v>362.5</v>
      </c>
      <c r="C2434" s="116">
        <v>358.35</v>
      </c>
      <c r="D2434" s="116">
        <v>350.2</v>
      </c>
      <c r="E2434" s="116">
        <v>350.2</v>
      </c>
      <c r="F2434" s="116">
        <v>358.35</v>
      </c>
      <c r="G2434">
        <v>195</v>
      </c>
      <c r="H2434" s="116"/>
      <c r="I2434" s="116"/>
      <c r="L2434" s="169">
        <v>45588</v>
      </c>
      <c r="M2434" s="116">
        <v>385.65</v>
      </c>
      <c r="N2434" s="116">
        <v>390.4</v>
      </c>
      <c r="O2434" s="116">
        <v>373.05</v>
      </c>
      <c r="P2434" s="116">
        <v>379.45</v>
      </c>
      <c r="Q2434" s="116">
        <v>385.65</v>
      </c>
      <c r="R2434">
        <v>30140</v>
      </c>
    </row>
    <row r="2435" spans="1:18" x14ac:dyDescent="0.25">
      <c r="A2435" s="169">
        <v>45624</v>
      </c>
      <c r="B2435" s="116">
        <v>371</v>
      </c>
      <c r="C2435" s="116">
        <v>368.5</v>
      </c>
      <c r="D2435" s="116">
        <v>361.05</v>
      </c>
      <c r="E2435" s="116">
        <v>362.05</v>
      </c>
      <c r="F2435" s="116">
        <v>368.5</v>
      </c>
      <c r="G2435">
        <v>4171</v>
      </c>
      <c r="H2435" s="116"/>
      <c r="I2435" s="116"/>
      <c r="L2435" s="169">
        <v>45589</v>
      </c>
      <c r="M2435" s="116">
        <v>405.2</v>
      </c>
      <c r="N2435" s="116">
        <v>410</v>
      </c>
      <c r="O2435" s="116">
        <v>381.65</v>
      </c>
      <c r="P2435" s="116">
        <v>388.7</v>
      </c>
      <c r="Q2435" s="116">
        <v>405.2</v>
      </c>
      <c r="R2435">
        <v>41587</v>
      </c>
    </row>
    <row r="2436" spans="1:18" x14ac:dyDescent="0.25">
      <c r="A2436" s="169">
        <v>45625</v>
      </c>
      <c r="B2436" s="116">
        <v>370.65</v>
      </c>
      <c r="C2436" s="116">
        <v>366</v>
      </c>
      <c r="D2436" s="116">
        <v>362.1</v>
      </c>
      <c r="E2436" s="116">
        <v>370</v>
      </c>
      <c r="F2436" s="116">
        <v>366</v>
      </c>
      <c r="G2436">
        <v>890</v>
      </c>
      <c r="H2436" s="116"/>
      <c r="I2436" s="116"/>
      <c r="L2436" s="169">
        <v>45590</v>
      </c>
      <c r="M2436" s="116">
        <v>392.65</v>
      </c>
      <c r="N2436" s="116">
        <v>404.8</v>
      </c>
      <c r="O2436" s="116">
        <v>385</v>
      </c>
      <c r="P2436" s="116">
        <v>402.55</v>
      </c>
      <c r="Q2436" s="116">
        <v>392.65</v>
      </c>
      <c r="R2436">
        <v>17997</v>
      </c>
    </row>
    <row r="2437" spans="1:18" x14ac:dyDescent="0.25">
      <c r="A2437" s="169">
        <v>45628</v>
      </c>
      <c r="B2437" s="116">
        <v>376.15</v>
      </c>
      <c r="C2437" s="116">
        <v>373.1</v>
      </c>
      <c r="D2437" s="116">
        <v>364.25</v>
      </c>
      <c r="E2437" s="116">
        <v>364.25</v>
      </c>
      <c r="F2437" s="116">
        <v>373.1</v>
      </c>
      <c r="G2437">
        <v>1738</v>
      </c>
      <c r="H2437" s="116"/>
      <c r="I2437" s="116"/>
      <c r="L2437" s="169">
        <v>45593</v>
      </c>
      <c r="M2437" s="116">
        <v>393.55</v>
      </c>
      <c r="N2437" s="116">
        <v>397.95</v>
      </c>
      <c r="O2437" s="116">
        <v>375</v>
      </c>
      <c r="P2437" s="116">
        <v>385.2</v>
      </c>
      <c r="Q2437" s="116">
        <v>393.55</v>
      </c>
      <c r="R2437">
        <v>29269</v>
      </c>
    </row>
    <row r="2438" spans="1:18" x14ac:dyDescent="0.25">
      <c r="A2438" s="169">
        <v>45629</v>
      </c>
      <c r="B2438" s="116">
        <v>384.1</v>
      </c>
      <c r="C2438" s="116">
        <v>375.75</v>
      </c>
      <c r="D2438" s="116">
        <v>374.45</v>
      </c>
      <c r="E2438" s="116">
        <v>374.95</v>
      </c>
      <c r="F2438" s="116">
        <v>375.75</v>
      </c>
      <c r="G2438">
        <v>3592</v>
      </c>
      <c r="H2438" s="116"/>
      <c r="I2438" s="116"/>
      <c r="L2438" s="169">
        <v>45594</v>
      </c>
      <c r="M2438" s="116">
        <v>386.65</v>
      </c>
      <c r="N2438" s="116">
        <v>394.7</v>
      </c>
      <c r="O2438" s="116">
        <v>385</v>
      </c>
      <c r="P2438" s="116">
        <v>394.7</v>
      </c>
      <c r="Q2438" s="116">
        <v>386.65</v>
      </c>
      <c r="R2438">
        <v>13098</v>
      </c>
    </row>
    <row r="2439" spans="1:18" x14ac:dyDescent="0.25">
      <c r="A2439" s="169">
        <v>45630</v>
      </c>
      <c r="B2439" s="116">
        <v>384.55</v>
      </c>
      <c r="C2439" s="116">
        <v>377.75</v>
      </c>
      <c r="D2439" s="116">
        <v>375</v>
      </c>
      <c r="E2439" s="116">
        <v>378</v>
      </c>
      <c r="F2439" s="116">
        <v>377.75</v>
      </c>
      <c r="G2439">
        <v>250</v>
      </c>
      <c r="H2439" s="116"/>
      <c r="I2439" s="116"/>
      <c r="L2439" s="169">
        <v>45595</v>
      </c>
      <c r="M2439" s="116">
        <v>394.95</v>
      </c>
      <c r="N2439" s="116">
        <v>397.2</v>
      </c>
      <c r="O2439" s="116">
        <v>386.2</v>
      </c>
      <c r="P2439" s="116">
        <v>387.25</v>
      </c>
      <c r="Q2439" s="116">
        <v>394.95</v>
      </c>
      <c r="R2439">
        <v>11852</v>
      </c>
    </row>
    <row r="2440" spans="1:18" x14ac:dyDescent="0.25">
      <c r="A2440" s="169">
        <v>45631</v>
      </c>
      <c r="B2440" s="116">
        <v>388.55</v>
      </c>
      <c r="C2440" s="116">
        <v>385.7</v>
      </c>
      <c r="D2440" s="116">
        <v>378.9</v>
      </c>
      <c r="E2440" s="116">
        <v>379.15</v>
      </c>
      <c r="F2440" s="116">
        <v>385.7</v>
      </c>
      <c r="G2440">
        <v>1620</v>
      </c>
      <c r="H2440" s="116"/>
      <c r="I2440" s="116"/>
      <c r="L2440" s="169">
        <v>45596</v>
      </c>
      <c r="M2440" s="116">
        <v>392.9</v>
      </c>
      <c r="N2440" s="116">
        <v>398.95</v>
      </c>
      <c r="O2440" s="116">
        <v>390.8</v>
      </c>
      <c r="P2440" s="116">
        <v>393.7</v>
      </c>
      <c r="Q2440" s="116">
        <v>392.9</v>
      </c>
      <c r="R2440">
        <v>7686</v>
      </c>
    </row>
    <row r="2441" spans="1:18" x14ac:dyDescent="0.25">
      <c r="A2441" s="169">
        <v>45632</v>
      </c>
      <c r="B2441" s="116">
        <v>388.7</v>
      </c>
      <c r="C2441" s="116">
        <v>385.45</v>
      </c>
      <c r="D2441" s="116">
        <v>383</v>
      </c>
      <c r="E2441" s="116">
        <v>387</v>
      </c>
      <c r="F2441" s="116">
        <v>385.45</v>
      </c>
      <c r="G2441">
        <v>2397</v>
      </c>
      <c r="H2441" s="116"/>
      <c r="I2441" s="116"/>
      <c r="L2441" s="169">
        <v>45597</v>
      </c>
      <c r="M2441" s="116">
        <v>391.7</v>
      </c>
      <c r="N2441" s="116">
        <v>399.3</v>
      </c>
      <c r="O2441" s="116">
        <v>387.9</v>
      </c>
      <c r="P2441" s="116">
        <v>395.7</v>
      </c>
      <c r="Q2441" s="116">
        <v>391.7</v>
      </c>
      <c r="R2441">
        <v>6557</v>
      </c>
    </row>
    <row r="2442" spans="1:18" x14ac:dyDescent="0.25">
      <c r="A2442" s="169">
        <v>45635</v>
      </c>
      <c r="B2442" s="116">
        <v>417.15</v>
      </c>
      <c r="C2442" s="116">
        <v>400.85</v>
      </c>
      <c r="D2442" s="116">
        <v>381.05</v>
      </c>
      <c r="E2442" s="116">
        <v>381.05</v>
      </c>
      <c r="F2442" s="116">
        <v>400.85</v>
      </c>
      <c r="G2442">
        <v>6952</v>
      </c>
      <c r="H2442" s="116"/>
      <c r="I2442" s="116"/>
      <c r="L2442" s="169">
        <v>45600</v>
      </c>
      <c r="M2442" s="116">
        <v>381.05</v>
      </c>
      <c r="N2442" s="116">
        <v>393.2</v>
      </c>
      <c r="O2442" s="116">
        <v>375.1</v>
      </c>
      <c r="P2442" s="116">
        <v>393.2</v>
      </c>
      <c r="Q2442" s="116">
        <v>381.05</v>
      </c>
      <c r="R2442">
        <v>22242</v>
      </c>
    </row>
    <row r="2443" spans="1:18" x14ac:dyDescent="0.25">
      <c r="A2443" s="169">
        <v>45636</v>
      </c>
      <c r="B2443" s="116">
        <v>424.55</v>
      </c>
      <c r="C2443" s="116">
        <v>413.8</v>
      </c>
      <c r="D2443" s="116">
        <v>405.3</v>
      </c>
      <c r="E2443" s="116">
        <v>405.3</v>
      </c>
      <c r="F2443" s="116">
        <v>413.8</v>
      </c>
      <c r="G2443">
        <v>4810</v>
      </c>
      <c r="H2443" s="116"/>
      <c r="I2443" s="116"/>
      <c r="L2443" s="169">
        <v>45601</v>
      </c>
      <c r="M2443" s="116">
        <v>387.25</v>
      </c>
      <c r="N2443" s="116">
        <v>399</v>
      </c>
      <c r="O2443" s="116">
        <v>380.9</v>
      </c>
      <c r="P2443" s="116">
        <v>384.9</v>
      </c>
      <c r="Q2443" s="116">
        <v>387.25</v>
      </c>
      <c r="R2443">
        <v>31311</v>
      </c>
    </row>
    <row r="2444" spans="1:18" x14ac:dyDescent="0.25">
      <c r="A2444" s="169">
        <v>45637</v>
      </c>
      <c r="B2444" s="116">
        <v>421.4</v>
      </c>
      <c r="C2444" s="116">
        <v>416.75</v>
      </c>
      <c r="D2444" s="116">
        <v>413.1</v>
      </c>
      <c r="E2444" s="116">
        <v>420</v>
      </c>
      <c r="F2444" s="116">
        <v>416.75</v>
      </c>
      <c r="G2444">
        <v>3292</v>
      </c>
      <c r="H2444" s="116"/>
      <c r="I2444" s="116"/>
      <c r="L2444" s="169">
        <v>45602</v>
      </c>
      <c r="M2444" s="116">
        <v>395.6</v>
      </c>
      <c r="N2444" s="116">
        <v>399</v>
      </c>
      <c r="O2444" s="116">
        <v>388</v>
      </c>
      <c r="P2444" s="116">
        <v>390.65</v>
      </c>
      <c r="Q2444" s="116">
        <v>395.6</v>
      </c>
      <c r="R2444">
        <v>15380</v>
      </c>
    </row>
    <row r="2445" spans="1:18" x14ac:dyDescent="0.25">
      <c r="A2445" s="169">
        <v>45638</v>
      </c>
      <c r="B2445" s="116">
        <v>419.35</v>
      </c>
      <c r="C2445" s="116">
        <v>404.1</v>
      </c>
      <c r="D2445" s="116">
        <v>401.8</v>
      </c>
      <c r="E2445" s="116">
        <v>413.5</v>
      </c>
      <c r="F2445" s="116">
        <v>404.1</v>
      </c>
      <c r="G2445">
        <v>3510</v>
      </c>
      <c r="H2445" s="116"/>
      <c r="I2445" s="116"/>
      <c r="L2445" s="169">
        <v>45603</v>
      </c>
      <c r="M2445" s="116">
        <v>385.05</v>
      </c>
      <c r="N2445" s="116">
        <v>400</v>
      </c>
      <c r="O2445" s="116">
        <v>381.1</v>
      </c>
      <c r="P2445" s="116">
        <v>395.6</v>
      </c>
      <c r="Q2445" s="116">
        <v>385.05</v>
      </c>
      <c r="R2445">
        <v>27353</v>
      </c>
    </row>
    <row r="2446" spans="1:18" x14ac:dyDescent="0.25">
      <c r="A2446" s="169">
        <v>45639</v>
      </c>
      <c r="B2446" s="116">
        <v>409</v>
      </c>
      <c r="C2446" s="116">
        <v>407.75</v>
      </c>
      <c r="D2446" s="116">
        <v>395</v>
      </c>
      <c r="E2446" s="116">
        <v>404.5</v>
      </c>
      <c r="F2446" s="116">
        <v>407.75</v>
      </c>
      <c r="G2446">
        <v>3358</v>
      </c>
      <c r="H2446" s="116"/>
      <c r="I2446" s="116"/>
      <c r="L2446" s="169">
        <v>45604</v>
      </c>
      <c r="M2446" s="116">
        <v>381.1</v>
      </c>
      <c r="N2446" s="116">
        <v>388.65</v>
      </c>
      <c r="O2446" s="116">
        <v>379.8</v>
      </c>
      <c r="P2446" s="116">
        <v>387</v>
      </c>
      <c r="Q2446" s="116">
        <v>381.1</v>
      </c>
      <c r="R2446">
        <v>10530</v>
      </c>
    </row>
    <row r="2447" spans="1:18" x14ac:dyDescent="0.25">
      <c r="A2447" s="169">
        <v>45642</v>
      </c>
      <c r="B2447" s="116">
        <v>412.2</v>
      </c>
      <c r="C2447" s="116">
        <v>407.05</v>
      </c>
      <c r="D2447" s="116">
        <v>403.7</v>
      </c>
      <c r="E2447" s="116">
        <v>411.15</v>
      </c>
      <c r="F2447" s="116">
        <v>407.05</v>
      </c>
      <c r="G2447">
        <v>401</v>
      </c>
      <c r="H2447" s="116"/>
      <c r="I2447" s="116"/>
      <c r="L2447" s="169">
        <v>45607</v>
      </c>
      <c r="M2447" s="116">
        <v>380.65</v>
      </c>
      <c r="N2447" s="116">
        <v>385.95</v>
      </c>
      <c r="O2447" s="116">
        <v>374.1</v>
      </c>
      <c r="P2447" s="116">
        <v>381.1</v>
      </c>
      <c r="Q2447" s="116">
        <v>380.65</v>
      </c>
      <c r="R2447">
        <v>12664</v>
      </c>
    </row>
    <row r="2448" spans="1:18" x14ac:dyDescent="0.25">
      <c r="A2448" s="169">
        <v>45643</v>
      </c>
      <c r="B2448" s="116">
        <v>444.2</v>
      </c>
      <c r="C2448" s="116">
        <v>425.05</v>
      </c>
      <c r="D2448" s="116">
        <v>424.35</v>
      </c>
      <c r="E2448" s="116">
        <v>427.85</v>
      </c>
      <c r="F2448" s="116">
        <v>425.05</v>
      </c>
      <c r="G2448">
        <v>4790</v>
      </c>
      <c r="H2448" s="116"/>
      <c r="I2448" s="116"/>
      <c r="L2448" s="169">
        <v>45608</v>
      </c>
      <c r="M2448" s="116">
        <v>378.05</v>
      </c>
      <c r="N2448" s="116">
        <v>389.8</v>
      </c>
      <c r="O2448" s="116">
        <v>376.5</v>
      </c>
      <c r="P2448" s="116">
        <v>389.8</v>
      </c>
      <c r="Q2448" s="116">
        <v>378.05</v>
      </c>
      <c r="R2448">
        <v>9781</v>
      </c>
    </row>
    <row r="2449" spans="1:18" x14ac:dyDescent="0.25">
      <c r="A2449" s="169">
        <v>45644</v>
      </c>
      <c r="B2449" s="116">
        <v>439.3</v>
      </c>
      <c r="C2449" s="116">
        <v>427.9</v>
      </c>
      <c r="D2449" s="116">
        <v>425</v>
      </c>
      <c r="E2449" s="116">
        <v>431</v>
      </c>
      <c r="F2449" s="116">
        <v>427.9</v>
      </c>
      <c r="G2449">
        <v>1889</v>
      </c>
      <c r="H2449" s="116"/>
      <c r="I2449" s="116"/>
      <c r="L2449" s="169">
        <v>45609</v>
      </c>
      <c r="M2449" s="116">
        <v>363.15</v>
      </c>
      <c r="N2449" s="116">
        <v>378.05</v>
      </c>
      <c r="O2449" s="116">
        <v>360.1</v>
      </c>
      <c r="P2449" s="116">
        <v>371.4</v>
      </c>
      <c r="Q2449" s="116">
        <v>363.15</v>
      </c>
      <c r="R2449">
        <v>18705</v>
      </c>
    </row>
    <row r="2450" spans="1:18" x14ac:dyDescent="0.25">
      <c r="A2450" s="169">
        <v>45645</v>
      </c>
      <c r="B2450" s="116">
        <v>433.6</v>
      </c>
      <c r="C2450" s="116">
        <v>414.6</v>
      </c>
      <c r="D2450" s="116">
        <v>413</v>
      </c>
      <c r="E2450" s="116">
        <v>422</v>
      </c>
      <c r="F2450" s="116">
        <v>414.6</v>
      </c>
      <c r="G2450">
        <v>4229</v>
      </c>
      <c r="H2450" s="116"/>
      <c r="I2450" s="116"/>
      <c r="L2450" s="169">
        <v>45610</v>
      </c>
      <c r="M2450" s="116">
        <v>359.8</v>
      </c>
      <c r="N2450" s="116">
        <v>369.25</v>
      </c>
      <c r="O2450" s="116">
        <v>357</v>
      </c>
      <c r="P2450" s="116">
        <v>368.75</v>
      </c>
      <c r="Q2450" s="116">
        <v>359.8</v>
      </c>
      <c r="R2450">
        <v>8983</v>
      </c>
    </row>
    <row r="2451" spans="1:18" x14ac:dyDescent="0.25">
      <c r="A2451" s="169">
        <v>45646</v>
      </c>
      <c r="B2451" s="116">
        <v>416.9</v>
      </c>
      <c r="C2451" s="116">
        <v>406.45</v>
      </c>
      <c r="D2451" s="116">
        <v>404.1</v>
      </c>
      <c r="E2451" s="116">
        <v>407.25</v>
      </c>
      <c r="F2451" s="116">
        <v>406.45</v>
      </c>
      <c r="G2451">
        <v>1654</v>
      </c>
      <c r="H2451" s="116"/>
      <c r="I2451" s="116"/>
      <c r="L2451" s="169">
        <v>45614</v>
      </c>
      <c r="M2451" s="116">
        <v>365.25</v>
      </c>
      <c r="N2451" s="116">
        <v>368.95</v>
      </c>
      <c r="O2451" s="116">
        <v>357.95</v>
      </c>
      <c r="P2451" s="116">
        <v>359.8</v>
      </c>
      <c r="Q2451" s="116">
        <v>365.25</v>
      </c>
      <c r="R2451">
        <v>17679</v>
      </c>
    </row>
    <row r="2452" spans="1:18" x14ac:dyDescent="0.25">
      <c r="A2452" s="169">
        <v>45649</v>
      </c>
      <c r="B2452" s="116">
        <v>440.95</v>
      </c>
      <c r="C2452" s="116">
        <v>438.7</v>
      </c>
      <c r="D2452" s="116">
        <v>415.25</v>
      </c>
      <c r="E2452" s="116">
        <v>415.25</v>
      </c>
      <c r="F2452" s="116">
        <v>438.7</v>
      </c>
      <c r="G2452">
        <v>5853</v>
      </c>
      <c r="H2452" s="116"/>
      <c r="I2452" s="116"/>
      <c r="L2452" s="169">
        <v>45615</v>
      </c>
      <c r="M2452" s="116">
        <v>357.65</v>
      </c>
      <c r="N2452" s="116">
        <v>372.75</v>
      </c>
      <c r="O2452" s="116">
        <v>356.5</v>
      </c>
      <c r="P2452" s="116">
        <v>366.2</v>
      </c>
      <c r="Q2452" s="116">
        <v>357.65</v>
      </c>
      <c r="R2452">
        <v>19895</v>
      </c>
    </row>
    <row r="2453" spans="1:18" x14ac:dyDescent="0.25">
      <c r="A2453" s="169">
        <v>45650</v>
      </c>
      <c r="B2453" s="116">
        <v>450</v>
      </c>
      <c r="C2453" s="116">
        <v>424.95</v>
      </c>
      <c r="D2453" s="116">
        <v>422.65</v>
      </c>
      <c r="E2453" s="116">
        <v>447.5</v>
      </c>
      <c r="F2453" s="116">
        <v>424.95</v>
      </c>
      <c r="G2453">
        <v>6469</v>
      </c>
      <c r="H2453" s="116"/>
      <c r="I2453" s="116"/>
      <c r="L2453" s="169">
        <v>45617</v>
      </c>
      <c r="M2453" s="116">
        <v>354.15</v>
      </c>
      <c r="N2453" s="116">
        <v>364.35</v>
      </c>
      <c r="O2453" s="116">
        <v>351</v>
      </c>
      <c r="P2453" s="116">
        <v>357.65</v>
      </c>
      <c r="Q2453" s="116">
        <v>354.15</v>
      </c>
      <c r="R2453">
        <v>15065</v>
      </c>
    </row>
    <row r="2454" spans="1:18" x14ac:dyDescent="0.25">
      <c r="A2454" s="169">
        <v>45652</v>
      </c>
      <c r="B2454" s="116">
        <v>442.7</v>
      </c>
      <c r="C2454" s="116">
        <v>422.05</v>
      </c>
      <c r="D2454" s="116">
        <v>419.45</v>
      </c>
      <c r="E2454" s="116">
        <v>430.85</v>
      </c>
      <c r="F2454" s="116">
        <v>422.05</v>
      </c>
      <c r="G2454">
        <v>1857</v>
      </c>
      <c r="H2454" s="116"/>
      <c r="I2454" s="116"/>
      <c r="L2454" s="169">
        <v>45618</v>
      </c>
      <c r="M2454" s="116">
        <v>357.15</v>
      </c>
      <c r="N2454" s="116">
        <v>362.65</v>
      </c>
      <c r="O2454" s="116">
        <v>353.55</v>
      </c>
      <c r="P2454" s="116">
        <v>354.15</v>
      </c>
      <c r="Q2454" s="116">
        <v>357.15</v>
      </c>
      <c r="R2454">
        <v>10254</v>
      </c>
    </row>
    <row r="2455" spans="1:18" x14ac:dyDescent="0.25">
      <c r="A2455" s="169">
        <v>45653</v>
      </c>
      <c r="B2455" s="116">
        <v>429.4</v>
      </c>
      <c r="C2455" s="116">
        <v>420.3</v>
      </c>
      <c r="D2455" s="116">
        <v>410.7</v>
      </c>
      <c r="E2455" s="116">
        <v>427.9</v>
      </c>
      <c r="F2455" s="116">
        <v>420.3</v>
      </c>
      <c r="G2455">
        <v>6385</v>
      </c>
      <c r="H2455" s="116"/>
      <c r="I2455" s="116"/>
      <c r="L2455" s="169">
        <v>45621</v>
      </c>
      <c r="M2455" s="116">
        <v>355.55</v>
      </c>
      <c r="N2455" s="116">
        <v>367.1</v>
      </c>
      <c r="O2455" s="116">
        <v>353</v>
      </c>
      <c r="P2455" s="116">
        <v>367.1</v>
      </c>
      <c r="Q2455" s="116">
        <v>355.55</v>
      </c>
      <c r="R2455">
        <v>25366</v>
      </c>
    </row>
    <row r="2456" spans="1:18" x14ac:dyDescent="0.25">
      <c r="A2456" s="169">
        <v>45656</v>
      </c>
      <c r="B2456" s="116">
        <v>418.5</v>
      </c>
      <c r="C2456" s="116">
        <v>409.05</v>
      </c>
      <c r="D2456" s="116">
        <v>406.05</v>
      </c>
      <c r="E2456" s="116">
        <v>406.05</v>
      </c>
      <c r="F2456" s="116">
        <v>409.05</v>
      </c>
      <c r="G2456">
        <v>3549</v>
      </c>
      <c r="H2456" s="116"/>
      <c r="I2456" s="116"/>
      <c r="L2456" s="169">
        <v>45622</v>
      </c>
      <c r="M2456" s="116">
        <v>351.4</v>
      </c>
      <c r="N2456" s="116">
        <v>360.45</v>
      </c>
      <c r="O2456" s="116">
        <v>348.15</v>
      </c>
      <c r="P2456" s="116">
        <v>359.55</v>
      </c>
      <c r="Q2456" s="116">
        <v>351.4</v>
      </c>
      <c r="R2456">
        <v>16956</v>
      </c>
    </row>
    <row r="2457" spans="1:18" x14ac:dyDescent="0.25">
      <c r="A2457" s="169">
        <v>45657</v>
      </c>
      <c r="B2457" s="116">
        <v>423.5</v>
      </c>
      <c r="C2457" s="116">
        <v>414.95</v>
      </c>
      <c r="D2457" s="116">
        <v>408</v>
      </c>
      <c r="E2457" s="116">
        <v>411.5</v>
      </c>
      <c r="F2457" s="116">
        <v>414.95</v>
      </c>
      <c r="G2457">
        <v>1379</v>
      </c>
      <c r="H2457" s="116"/>
      <c r="I2457" s="116"/>
      <c r="L2457" s="169">
        <v>45623</v>
      </c>
      <c r="M2457" s="116">
        <v>358.55</v>
      </c>
      <c r="N2457" s="116">
        <v>363</v>
      </c>
      <c r="O2457" s="116">
        <v>350.15</v>
      </c>
      <c r="P2457" s="116">
        <v>350.2</v>
      </c>
      <c r="Q2457" s="116">
        <v>358.55</v>
      </c>
      <c r="R2457">
        <v>19075</v>
      </c>
    </row>
    <row r="2458" spans="1:18" x14ac:dyDescent="0.25">
      <c r="A2458" s="169">
        <v>45658</v>
      </c>
      <c r="B2458" s="116">
        <v>425.55</v>
      </c>
      <c r="C2458" s="116">
        <v>421.45</v>
      </c>
      <c r="D2458" s="116">
        <v>414.6</v>
      </c>
      <c r="E2458" s="116">
        <v>416.2</v>
      </c>
      <c r="F2458" s="116">
        <v>421.45</v>
      </c>
      <c r="G2458">
        <v>1107</v>
      </c>
      <c r="H2458" s="116"/>
      <c r="I2458" s="116"/>
      <c r="L2458" s="169">
        <v>45624</v>
      </c>
      <c r="M2458" s="116">
        <v>370.3</v>
      </c>
      <c r="N2458" s="116">
        <v>372</v>
      </c>
      <c r="O2458" s="116">
        <v>359.8</v>
      </c>
      <c r="P2458" s="116">
        <v>360</v>
      </c>
      <c r="Q2458" s="116">
        <v>370.3</v>
      </c>
      <c r="R2458">
        <v>41730</v>
      </c>
    </row>
    <row r="2459" spans="1:18" x14ac:dyDescent="0.25">
      <c r="A2459" s="169">
        <v>45659</v>
      </c>
      <c r="B2459" s="116">
        <v>428.75</v>
      </c>
      <c r="C2459" s="116">
        <v>418.55</v>
      </c>
      <c r="D2459" s="116">
        <v>415</v>
      </c>
      <c r="E2459" s="116">
        <v>421.45</v>
      </c>
      <c r="F2459" s="116">
        <v>418.55</v>
      </c>
      <c r="G2459">
        <v>3456</v>
      </c>
      <c r="H2459" s="116"/>
      <c r="I2459" s="116"/>
      <c r="L2459" s="169">
        <v>45625</v>
      </c>
      <c r="M2459" s="116">
        <v>365.7</v>
      </c>
      <c r="N2459" s="116">
        <v>372</v>
      </c>
      <c r="O2459" s="116">
        <v>362.1</v>
      </c>
      <c r="P2459" s="116">
        <v>369.2</v>
      </c>
      <c r="Q2459" s="116">
        <v>365.7</v>
      </c>
      <c r="R2459">
        <v>13201</v>
      </c>
    </row>
    <row r="2460" spans="1:18" x14ac:dyDescent="0.25">
      <c r="A2460" s="169">
        <v>45660</v>
      </c>
      <c r="B2460" s="116">
        <v>437.95</v>
      </c>
      <c r="C2460" s="116">
        <v>432.3</v>
      </c>
      <c r="D2460" s="116">
        <v>420.2</v>
      </c>
      <c r="E2460" s="116">
        <v>424.25</v>
      </c>
      <c r="F2460" s="116">
        <v>432.3</v>
      </c>
      <c r="G2460">
        <v>9232</v>
      </c>
      <c r="H2460" s="116"/>
      <c r="I2460" s="116"/>
      <c r="L2460" s="169">
        <v>45628</v>
      </c>
      <c r="M2460" s="116">
        <v>371.8</v>
      </c>
      <c r="N2460" s="116">
        <v>377</v>
      </c>
      <c r="O2460" s="116">
        <v>363.5</v>
      </c>
      <c r="P2460" s="116">
        <v>366</v>
      </c>
      <c r="Q2460" s="116">
        <v>371.8</v>
      </c>
      <c r="R2460">
        <v>14372</v>
      </c>
    </row>
    <row r="2461" spans="1:18" x14ac:dyDescent="0.25">
      <c r="A2461" s="169">
        <v>45663</v>
      </c>
      <c r="B2461" s="116">
        <v>444.95</v>
      </c>
      <c r="C2461" s="116">
        <v>418.4</v>
      </c>
      <c r="D2461" s="116">
        <v>412.3</v>
      </c>
      <c r="E2461" s="116">
        <v>432.3</v>
      </c>
      <c r="F2461" s="116">
        <v>418.4</v>
      </c>
      <c r="G2461">
        <v>2883</v>
      </c>
      <c r="H2461" s="116"/>
      <c r="I2461" s="116"/>
      <c r="L2461" s="169">
        <v>45629</v>
      </c>
      <c r="M2461" s="116">
        <v>376.85</v>
      </c>
      <c r="N2461" s="116">
        <v>383.5</v>
      </c>
      <c r="O2461" s="116">
        <v>372.55</v>
      </c>
      <c r="P2461" s="116">
        <v>374.6</v>
      </c>
      <c r="Q2461" s="116">
        <v>376.85</v>
      </c>
      <c r="R2461">
        <v>38950</v>
      </c>
    </row>
    <row r="2462" spans="1:18" x14ac:dyDescent="0.25">
      <c r="A2462" s="169">
        <v>45664</v>
      </c>
      <c r="B2462" s="116">
        <v>435</v>
      </c>
      <c r="C2462" s="116">
        <v>432.4</v>
      </c>
      <c r="D2462" s="116">
        <v>416</v>
      </c>
      <c r="E2462" s="116">
        <v>416</v>
      </c>
      <c r="F2462" s="116">
        <v>432.4</v>
      </c>
      <c r="G2462">
        <v>3289</v>
      </c>
      <c r="H2462" s="116"/>
      <c r="I2462" s="116"/>
      <c r="L2462" s="169">
        <v>45630</v>
      </c>
      <c r="M2462" s="116">
        <v>377</v>
      </c>
      <c r="N2462" s="116">
        <v>385</v>
      </c>
      <c r="O2462" s="116">
        <v>373</v>
      </c>
      <c r="P2462" s="116">
        <v>379.5</v>
      </c>
      <c r="Q2462" s="116">
        <v>377</v>
      </c>
      <c r="R2462">
        <v>23428</v>
      </c>
    </row>
    <row r="2463" spans="1:18" x14ac:dyDescent="0.25">
      <c r="A2463" s="169">
        <v>45665</v>
      </c>
      <c r="B2463" s="116">
        <v>433.15</v>
      </c>
      <c r="C2463" s="116">
        <v>419.15</v>
      </c>
      <c r="D2463" s="116">
        <v>413.75</v>
      </c>
      <c r="E2463" s="116">
        <v>432.05</v>
      </c>
      <c r="F2463" s="116">
        <v>419.15</v>
      </c>
      <c r="G2463">
        <v>3131</v>
      </c>
      <c r="H2463" s="116"/>
      <c r="I2463" s="116"/>
      <c r="L2463" s="169">
        <v>45631</v>
      </c>
      <c r="M2463" s="116">
        <v>385.4</v>
      </c>
      <c r="N2463" s="116">
        <v>389.45</v>
      </c>
      <c r="O2463" s="116">
        <v>378.35</v>
      </c>
      <c r="P2463" s="116">
        <v>381.9</v>
      </c>
      <c r="Q2463" s="116">
        <v>385.4</v>
      </c>
      <c r="R2463">
        <v>20313</v>
      </c>
    </row>
    <row r="2464" spans="1:18" x14ac:dyDescent="0.25">
      <c r="A2464" s="169">
        <v>45666</v>
      </c>
      <c r="B2464" s="116">
        <v>421.75</v>
      </c>
      <c r="C2464" s="116">
        <v>414.05</v>
      </c>
      <c r="D2464" s="116">
        <v>407.8</v>
      </c>
      <c r="E2464" s="116">
        <v>417.85</v>
      </c>
      <c r="F2464" s="116">
        <v>414.05</v>
      </c>
      <c r="G2464">
        <v>4128</v>
      </c>
      <c r="H2464" s="116"/>
      <c r="I2464" s="116"/>
      <c r="L2464" s="169">
        <v>45632</v>
      </c>
      <c r="M2464" s="116">
        <v>383.9</v>
      </c>
      <c r="N2464" s="116">
        <v>391</v>
      </c>
      <c r="O2464" s="116">
        <v>380.15</v>
      </c>
      <c r="P2464" s="116">
        <v>382</v>
      </c>
      <c r="Q2464" s="116">
        <v>383.9</v>
      </c>
      <c r="R2464">
        <v>13133</v>
      </c>
    </row>
    <row r="2465" spans="1:18" x14ac:dyDescent="0.25">
      <c r="A2465" s="169">
        <v>45667</v>
      </c>
      <c r="B2465" s="116">
        <v>418</v>
      </c>
      <c r="C2465" s="116">
        <v>393.2</v>
      </c>
      <c r="D2465" s="116">
        <v>392</v>
      </c>
      <c r="E2465" s="116">
        <v>418</v>
      </c>
      <c r="F2465" s="116">
        <v>393.2</v>
      </c>
      <c r="G2465">
        <v>3472</v>
      </c>
      <c r="H2465" s="116"/>
      <c r="I2465" s="116"/>
      <c r="L2465" s="169">
        <v>45635</v>
      </c>
      <c r="M2465" s="116">
        <v>402.5</v>
      </c>
      <c r="N2465" s="116">
        <v>416.95</v>
      </c>
      <c r="O2465" s="116">
        <v>380</v>
      </c>
      <c r="P2465" s="116">
        <v>380</v>
      </c>
      <c r="Q2465" s="116">
        <v>402.5</v>
      </c>
      <c r="R2465">
        <v>65975</v>
      </c>
    </row>
    <row r="2466" spans="1:18" x14ac:dyDescent="0.25">
      <c r="A2466" s="169">
        <v>45670</v>
      </c>
      <c r="B2466" s="116">
        <v>392.1</v>
      </c>
      <c r="C2466" s="116">
        <v>373.35</v>
      </c>
      <c r="D2466" s="116">
        <v>371.4</v>
      </c>
      <c r="E2466" s="116">
        <v>390</v>
      </c>
      <c r="F2466" s="116">
        <v>373.35</v>
      </c>
      <c r="G2466">
        <v>1524</v>
      </c>
      <c r="H2466" s="116"/>
      <c r="I2466" s="116"/>
      <c r="L2466" s="169">
        <v>45636</v>
      </c>
      <c r="M2466" s="116">
        <v>413.5</v>
      </c>
      <c r="N2466" s="116">
        <v>424.1</v>
      </c>
      <c r="O2466" s="116">
        <v>403.8</v>
      </c>
      <c r="P2466" s="116">
        <v>405.3</v>
      </c>
      <c r="Q2466" s="116">
        <v>413.5</v>
      </c>
      <c r="R2466">
        <v>100715</v>
      </c>
    </row>
    <row r="2467" spans="1:18" x14ac:dyDescent="0.25">
      <c r="A2467" s="169">
        <v>45671</v>
      </c>
      <c r="B2467" s="116">
        <v>384.35</v>
      </c>
      <c r="C2467" s="116">
        <v>382.05</v>
      </c>
      <c r="D2467" s="116">
        <v>375.15</v>
      </c>
      <c r="E2467" s="116">
        <v>381.7</v>
      </c>
      <c r="F2467" s="116">
        <v>382.05</v>
      </c>
      <c r="G2467">
        <v>1493</v>
      </c>
      <c r="H2467" s="116"/>
      <c r="I2467" s="116"/>
      <c r="L2467" s="169">
        <v>45637</v>
      </c>
      <c r="M2467" s="116">
        <v>415</v>
      </c>
      <c r="N2467" s="116">
        <v>422</v>
      </c>
      <c r="O2467" s="116">
        <v>410.05</v>
      </c>
      <c r="P2467" s="116">
        <v>416.7</v>
      </c>
      <c r="Q2467" s="116">
        <v>415</v>
      </c>
      <c r="R2467">
        <v>42175</v>
      </c>
    </row>
    <row r="2468" spans="1:18" x14ac:dyDescent="0.25">
      <c r="A2468" s="169">
        <v>45672</v>
      </c>
      <c r="B2468" s="116">
        <v>420.75</v>
      </c>
      <c r="C2468" s="116">
        <v>415.9</v>
      </c>
      <c r="D2468" s="116">
        <v>381</v>
      </c>
      <c r="E2468" s="116">
        <v>387.85</v>
      </c>
      <c r="F2468" s="116">
        <v>415.9</v>
      </c>
      <c r="G2468">
        <v>3276</v>
      </c>
      <c r="H2468" s="116"/>
      <c r="I2468" s="116"/>
      <c r="L2468" s="169">
        <v>45638</v>
      </c>
      <c r="M2468" s="116">
        <v>404.9</v>
      </c>
      <c r="N2468" s="116">
        <v>417</v>
      </c>
      <c r="O2468" s="116">
        <v>401.35</v>
      </c>
      <c r="P2468" s="116">
        <v>414.8</v>
      </c>
      <c r="Q2468" s="116">
        <v>404.9</v>
      </c>
      <c r="R2468">
        <v>28780</v>
      </c>
    </row>
    <row r="2469" spans="1:18" x14ac:dyDescent="0.25">
      <c r="A2469" s="169">
        <v>45673</v>
      </c>
      <c r="B2469" s="116">
        <v>453</v>
      </c>
      <c r="C2469" s="116">
        <v>442.7</v>
      </c>
      <c r="D2469" s="116">
        <v>418</v>
      </c>
      <c r="E2469" s="116">
        <v>418</v>
      </c>
      <c r="F2469" s="116">
        <v>442.7</v>
      </c>
      <c r="G2469">
        <v>10398</v>
      </c>
      <c r="H2469" s="116"/>
      <c r="I2469" s="116"/>
      <c r="L2469" s="169">
        <v>45639</v>
      </c>
      <c r="M2469" s="116">
        <v>408</v>
      </c>
      <c r="N2469" s="116">
        <v>409.8</v>
      </c>
      <c r="O2469" s="116">
        <v>395</v>
      </c>
      <c r="P2469" s="116">
        <v>407.9</v>
      </c>
      <c r="Q2469" s="116">
        <v>408</v>
      </c>
      <c r="R2469">
        <v>22256</v>
      </c>
    </row>
    <row r="2470" spans="1:18" x14ac:dyDescent="0.25">
      <c r="A2470" s="169">
        <v>45674</v>
      </c>
      <c r="B2470" s="116">
        <v>441</v>
      </c>
      <c r="C2470" s="116">
        <v>425.5</v>
      </c>
      <c r="D2470" s="116">
        <v>418.4</v>
      </c>
      <c r="E2470" s="116">
        <v>418.4</v>
      </c>
      <c r="F2470" s="116">
        <v>425.5</v>
      </c>
      <c r="G2470">
        <v>5016</v>
      </c>
      <c r="H2470" s="116"/>
      <c r="I2470" s="116"/>
      <c r="L2470" s="169">
        <v>45642</v>
      </c>
      <c r="M2470" s="116">
        <v>408.75</v>
      </c>
      <c r="N2470" s="116">
        <v>414.95</v>
      </c>
      <c r="O2470" s="116">
        <v>403.05</v>
      </c>
      <c r="P2470" s="116">
        <v>412</v>
      </c>
      <c r="Q2470" s="116">
        <v>408.75</v>
      </c>
      <c r="R2470">
        <v>33434</v>
      </c>
    </row>
    <row r="2471" spans="1:18" x14ac:dyDescent="0.25">
      <c r="A2471" s="169">
        <v>45677</v>
      </c>
      <c r="B2471" s="116">
        <v>434.85</v>
      </c>
      <c r="C2471" s="116">
        <v>434.85</v>
      </c>
      <c r="D2471" s="116">
        <v>423.3</v>
      </c>
      <c r="E2471" s="116">
        <v>426.55</v>
      </c>
      <c r="F2471" s="116">
        <v>434.85</v>
      </c>
      <c r="G2471">
        <v>349</v>
      </c>
      <c r="H2471" s="116"/>
      <c r="I2471" s="116"/>
      <c r="L2471" s="169">
        <v>45643</v>
      </c>
      <c r="M2471" s="116">
        <v>426.45</v>
      </c>
      <c r="N2471" s="116">
        <v>445</v>
      </c>
      <c r="O2471" s="116">
        <v>414.95</v>
      </c>
      <c r="P2471" s="116">
        <v>414.95</v>
      </c>
      <c r="Q2471" s="116">
        <v>426.45</v>
      </c>
      <c r="R2471">
        <v>143958</v>
      </c>
    </row>
    <row r="2472" spans="1:18" x14ac:dyDescent="0.25">
      <c r="A2472" s="169">
        <v>45678</v>
      </c>
      <c r="B2472" s="116">
        <v>434.85</v>
      </c>
      <c r="C2472" s="116">
        <v>420.15</v>
      </c>
      <c r="D2472" s="116">
        <v>419.3</v>
      </c>
      <c r="E2472" s="116">
        <v>434.85</v>
      </c>
      <c r="F2472" s="116">
        <v>420.15</v>
      </c>
      <c r="G2472">
        <v>1841</v>
      </c>
      <c r="H2472" s="116"/>
      <c r="I2472" s="116"/>
      <c r="L2472" s="169">
        <v>45644</v>
      </c>
      <c r="M2472" s="116">
        <v>427.15</v>
      </c>
      <c r="N2472" s="116">
        <v>439</v>
      </c>
      <c r="O2472" s="116">
        <v>423.3</v>
      </c>
      <c r="P2472" s="116">
        <v>430.5</v>
      </c>
      <c r="Q2472" s="116">
        <v>427.15</v>
      </c>
      <c r="R2472">
        <v>47359</v>
      </c>
    </row>
    <row r="2473" spans="1:18" x14ac:dyDescent="0.25">
      <c r="A2473" s="169">
        <v>45679</v>
      </c>
      <c r="B2473" s="116">
        <v>422.05</v>
      </c>
      <c r="C2473" s="116">
        <v>413.75</v>
      </c>
      <c r="D2473" s="116">
        <v>403.25</v>
      </c>
      <c r="E2473" s="116">
        <v>422.05</v>
      </c>
      <c r="F2473" s="116">
        <v>413.75</v>
      </c>
      <c r="G2473">
        <v>1089</v>
      </c>
      <c r="H2473" s="116"/>
      <c r="I2473" s="116"/>
      <c r="L2473" s="169">
        <v>45645</v>
      </c>
      <c r="M2473" s="116">
        <v>415.55</v>
      </c>
      <c r="N2473" s="116">
        <v>434.8</v>
      </c>
      <c r="O2473" s="116">
        <v>411.2</v>
      </c>
      <c r="P2473" s="116">
        <v>422.5</v>
      </c>
      <c r="Q2473" s="116">
        <v>415.55</v>
      </c>
      <c r="R2473">
        <v>42178</v>
      </c>
    </row>
    <row r="2474" spans="1:18" x14ac:dyDescent="0.25">
      <c r="A2474" s="169">
        <v>45680</v>
      </c>
      <c r="B2474" s="116">
        <v>417</v>
      </c>
      <c r="C2474" s="116">
        <v>412.25</v>
      </c>
      <c r="D2474" s="116">
        <v>405.5</v>
      </c>
      <c r="E2474" s="116">
        <v>405.5</v>
      </c>
      <c r="F2474" s="116">
        <v>412.25</v>
      </c>
      <c r="G2474">
        <v>721</v>
      </c>
      <c r="H2474" s="116"/>
      <c r="I2474" s="116"/>
      <c r="L2474" s="169">
        <v>45646</v>
      </c>
      <c r="M2474" s="116">
        <v>407.65</v>
      </c>
      <c r="N2474" s="116">
        <v>419.2</v>
      </c>
      <c r="O2474" s="116">
        <v>403.55</v>
      </c>
      <c r="P2474" s="116">
        <v>419.2</v>
      </c>
      <c r="Q2474" s="116">
        <v>407.65</v>
      </c>
      <c r="R2474">
        <v>28263</v>
      </c>
    </row>
    <row r="2475" spans="1:18" x14ac:dyDescent="0.25">
      <c r="A2475" s="169">
        <v>45681</v>
      </c>
      <c r="B2475" s="116">
        <v>424.7</v>
      </c>
      <c r="C2475" s="116">
        <v>407.75</v>
      </c>
      <c r="D2475" s="116">
        <v>400.35</v>
      </c>
      <c r="E2475" s="116">
        <v>415</v>
      </c>
      <c r="F2475" s="116">
        <v>407.75</v>
      </c>
      <c r="G2475">
        <v>967</v>
      </c>
      <c r="H2475" s="116"/>
      <c r="I2475" s="116"/>
      <c r="L2475" s="169">
        <v>45649</v>
      </c>
      <c r="M2475" s="116">
        <v>436.4</v>
      </c>
      <c r="N2475" s="116">
        <v>440</v>
      </c>
      <c r="O2475" s="116">
        <v>413.75</v>
      </c>
      <c r="P2475" s="116">
        <v>413.75</v>
      </c>
      <c r="Q2475" s="116">
        <v>436.4</v>
      </c>
      <c r="R2475">
        <v>121870</v>
      </c>
    </row>
    <row r="2476" spans="1:18" x14ac:dyDescent="0.25">
      <c r="A2476" s="169">
        <v>45684</v>
      </c>
      <c r="B2476" s="116">
        <v>399</v>
      </c>
      <c r="C2476" s="116">
        <v>384.8</v>
      </c>
      <c r="D2476" s="116">
        <v>381.1</v>
      </c>
      <c r="E2476" s="116">
        <v>399</v>
      </c>
      <c r="F2476" s="116">
        <v>384.8</v>
      </c>
      <c r="G2476">
        <v>6781</v>
      </c>
      <c r="H2476" s="116"/>
      <c r="I2476" s="116"/>
      <c r="L2476" s="169">
        <v>45650</v>
      </c>
      <c r="M2476" s="116">
        <v>427.1</v>
      </c>
      <c r="N2476" s="116">
        <v>451.8</v>
      </c>
      <c r="O2476" s="116">
        <v>423.1</v>
      </c>
      <c r="P2476" s="116">
        <v>441.9</v>
      </c>
      <c r="Q2476" s="116">
        <v>427.1</v>
      </c>
      <c r="R2476">
        <v>108022</v>
      </c>
    </row>
    <row r="2477" spans="1:18" x14ac:dyDescent="0.25">
      <c r="A2477" s="169">
        <v>45685</v>
      </c>
      <c r="B2477" s="116">
        <v>403</v>
      </c>
      <c r="C2477" s="116">
        <v>381.6</v>
      </c>
      <c r="D2477" s="116">
        <v>369.25</v>
      </c>
      <c r="E2477" s="116">
        <v>392.75</v>
      </c>
      <c r="F2477" s="116">
        <v>381.6</v>
      </c>
      <c r="G2477">
        <v>1612</v>
      </c>
      <c r="H2477" s="116"/>
      <c r="I2477" s="116"/>
      <c r="L2477" s="169">
        <v>45652</v>
      </c>
      <c r="M2477" s="116">
        <v>421.6</v>
      </c>
      <c r="N2477" s="116">
        <v>442.45</v>
      </c>
      <c r="O2477" s="116">
        <v>417.95</v>
      </c>
      <c r="P2477" s="116">
        <v>425.65</v>
      </c>
      <c r="Q2477" s="116">
        <v>421.6</v>
      </c>
      <c r="R2477">
        <v>56808</v>
      </c>
    </row>
    <row r="2478" spans="1:18" x14ac:dyDescent="0.25">
      <c r="A2478" s="169">
        <v>45686</v>
      </c>
      <c r="B2478" s="116">
        <v>393.85</v>
      </c>
      <c r="C2478" s="116">
        <v>391.3</v>
      </c>
      <c r="D2478" s="116">
        <v>379.3</v>
      </c>
      <c r="E2478" s="116">
        <v>379.3</v>
      </c>
      <c r="F2478" s="116">
        <v>391.3</v>
      </c>
      <c r="G2478">
        <v>3259</v>
      </c>
      <c r="H2478" s="116"/>
      <c r="I2478" s="116"/>
      <c r="L2478" s="169">
        <v>45653</v>
      </c>
      <c r="M2478" s="116">
        <v>419.2</v>
      </c>
      <c r="N2478" s="116">
        <v>432.95</v>
      </c>
      <c r="O2478" s="116">
        <v>410.5</v>
      </c>
      <c r="P2478" s="116">
        <v>427.9</v>
      </c>
      <c r="Q2478" s="116">
        <v>419.2</v>
      </c>
      <c r="R2478">
        <v>29611</v>
      </c>
    </row>
    <row r="2479" spans="1:18" x14ac:dyDescent="0.25">
      <c r="A2479" s="169">
        <v>45687</v>
      </c>
      <c r="B2479" s="116">
        <v>426.95</v>
      </c>
      <c r="C2479" s="116">
        <v>390.95</v>
      </c>
      <c r="D2479" s="116">
        <v>385.8</v>
      </c>
      <c r="E2479" s="116">
        <v>426.95</v>
      </c>
      <c r="F2479" s="116">
        <v>390.95</v>
      </c>
      <c r="G2479">
        <v>1583</v>
      </c>
      <c r="H2479" s="116"/>
      <c r="I2479" s="116"/>
      <c r="L2479" s="169">
        <v>45656</v>
      </c>
      <c r="M2479" s="116">
        <v>409.6</v>
      </c>
      <c r="N2479" s="116">
        <v>421.5</v>
      </c>
      <c r="O2479" s="116">
        <v>405.25</v>
      </c>
      <c r="P2479" s="116">
        <v>413</v>
      </c>
      <c r="Q2479" s="116">
        <v>409.6</v>
      </c>
      <c r="R2479">
        <v>23630</v>
      </c>
    </row>
    <row r="2480" spans="1:18" x14ac:dyDescent="0.25">
      <c r="A2480" s="169">
        <v>45688</v>
      </c>
      <c r="B2480" s="116">
        <v>395.9</v>
      </c>
      <c r="C2480" s="116">
        <v>395.3</v>
      </c>
      <c r="D2480" s="116">
        <v>385.05</v>
      </c>
      <c r="E2480" s="116">
        <v>393.1</v>
      </c>
      <c r="F2480" s="116">
        <v>395.3</v>
      </c>
      <c r="G2480">
        <v>916</v>
      </c>
      <c r="H2480" s="116"/>
      <c r="I2480" s="116"/>
      <c r="L2480" s="169">
        <v>45657</v>
      </c>
      <c r="M2480" s="116">
        <v>414.75</v>
      </c>
      <c r="N2480" s="116">
        <v>425</v>
      </c>
      <c r="O2480" s="116">
        <v>406.05</v>
      </c>
      <c r="P2480" s="116">
        <v>406.05</v>
      </c>
      <c r="Q2480" s="116">
        <v>414.75</v>
      </c>
      <c r="R2480">
        <v>26124</v>
      </c>
    </row>
    <row r="2481" spans="1:18" x14ac:dyDescent="0.25">
      <c r="A2481" s="169">
        <v>45689</v>
      </c>
      <c r="B2481" s="116">
        <v>403.95</v>
      </c>
      <c r="C2481" s="116">
        <v>392.35</v>
      </c>
      <c r="D2481" s="116">
        <v>388.05</v>
      </c>
      <c r="E2481" s="116">
        <v>393.65</v>
      </c>
      <c r="F2481" s="116">
        <v>392.35</v>
      </c>
      <c r="G2481">
        <v>830</v>
      </c>
      <c r="H2481" s="116"/>
      <c r="I2481" s="116"/>
      <c r="L2481" s="169">
        <v>45658</v>
      </c>
      <c r="M2481" s="116">
        <v>420.4</v>
      </c>
      <c r="N2481" s="116">
        <v>423.25</v>
      </c>
      <c r="O2481" s="116">
        <v>414.1</v>
      </c>
      <c r="P2481" s="116">
        <v>416.8</v>
      </c>
      <c r="Q2481" s="116">
        <v>420.4</v>
      </c>
      <c r="R2481">
        <v>25454</v>
      </c>
    </row>
    <row r="2482" spans="1:18" x14ac:dyDescent="0.25">
      <c r="A2482" s="169">
        <v>45691</v>
      </c>
      <c r="B2482" s="116">
        <v>396.15</v>
      </c>
      <c r="C2482" s="116">
        <v>382</v>
      </c>
      <c r="D2482" s="116">
        <v>382</v>
      </c>
      <c r="E2482" s="116">
        <v>393.65</v>
      </c>
      <c r="F2482" s="116">
        <v>382</v>
      </c>
      <c r="G2482">
        <v>209</v>
      </c>
      <c r="H2482" s="116"/>
      <c r="I2482" s="116"/>
      <c r="L2482" s="169">
        <v>45659</v>
      </c>
      <c r="M2482" s="116">
        <v>418.05</v>
      </c>
      <c r="N2482" s="116">
        <v>428.05</v>
      </c>
      <c r="O2482" s="116">
        <v>414.7</v>
      </c>
      <c r="P2482" s="116">
        <v>422</v>
      </c>
      <c r="Q2482" s="116">
        <v>418.05</v>
      </c>
      <c r="R2482">
        <v>27447</v>
      </c>
    </row>
    <row r="2483" spans="1:18" x14ac:dyDescent="0.25">
      <c r="A2483" s="169">
        <v>45692</v>
      </c>
      <c r="B2483" s="116">
        <v>399.75</v>
      </c>
      <c r="C2483" s="116">
        <v>395.4</v>
      </c>
      <c r="D2483" s="116">
        <v>390.2</v>
      </c>
      <c r="E2483" s="116">
        <v>393.2</v>
      </c>
      <c r="F2483" s="116">
        <v>395.4</v>
      </c>
      <c r="G2483">
        <v>765</v>
      </c>
      <c r="H2483" s="116"/>
      <c r="I2483" s="116"/>
      <c r="L2483" s="169">
        <v>45660</v>
      </c>
      <c r="M2483" s="116">
        <v>433.35</v>
      </c>
      <c r="N2483" s="116">
        <v>438.8</v>
      </c>
      <c r="O2483" s="116">
        <v>419.3</v>
      </c>
      <c r="P2483" s="116">
        <v>419.3</v>
      </c>
      <c r="Q2483" s="116">
        <v>433.35</v>
      </c>
      <c r="R2483">
        <v>72626</v>
      </c>
    </row>
    <row r="2484" spans="1:18" x14ac:dyDescent="0.25">
      <c r="A2484" s="169">
        <v>45693</v>
      </c>
      <c r="B2484" s="116">
        <v>414</v>
      </c>
      <c r="C2484" s="116">
        <v>402.8</v>
      </c>
      <c r="D2484" s="116">
        <v>393.5</v>
      </c>
      <c r="E2484" s="116">
        <v>393.5</v>
      </c>
      <c r="F2484" s="116">
        <v>402.8</v>
      </c>
      <c r="G2484">
        <v>349</v>
      </c>
      <c r="H2484" s="116"/>
      <c r="I2484" s="116"/>
      <c r="L2484" s="169">
        <v>45663</v>
      </c>
      <c r="M2484" s="116">
        <v>416.75</v>
      </c>
      <c r="N2484" s="116">
        <v>447</v>
      </c>
      <c r="O2484" s="116">
        <v>414</v>
      </c>
      <c r="P2484" s="116">
        <v>434.65</v>
      </c>
      <c r="Q2484" s="116">
        <v>416.75</v>
      </c>
      <c r="R2484">
        <v>68775</v>
      </c>
    </row>
    <row r="2485" spans="1:18" x14ac:dyDescent="0.25">
      <c r="A2485" s="169">
        <v>45694</v>
      </c>
      <c r="B2485" s="116">
        <v>406</v>
      </c>
      <c r="C2485" s="116">
        <v>392.05</v>
      </c>
      <c r="D2485" s="116">
        <v>390.05</v>
      </c>
      <c r="E2485" s="116">
        <v>402</v>
      </c>
      <c r="F2485" s="116">
        <v>392.05</v>
      </c>
      <c r="G2485">
        <v>452</v>
      </c>
      <c r="H2485" s="116"/>
      <c r="I2485" s="116"/>
      <c r="L2485" s="169">
        <v>45664</v>
      </c>
      <c r="M2485" s="116">
        <v>432.4</v>
      </c>
      <c r="N2485" s="116">
        <v>435</v>
      </c>
      <c r="O2485" s="116">
        <v>417.05</v>
      </c>
      <c r="P2485" s="116">
        <v>417.05</v>
      </c>
      <c r="Q2485" s="116">
        <v>432.4</v>
      </c>
      <c r="R2485">
        <v>25169</v>
      </c>
    </row>
    <row r="2486" spans="1:18" x14ac:dyDescent="0.25">
      <c r="A2486" s="169">
        <v>45695</v>
      </c>
      <c r="B2486" s="116">
        <v>394.95</v>
      </c>
      <c r="C2486" s="116">
        <v>394.2</v>
      </c>
      <c r="D2486" s="116">
        <v>388</v>
      </c>
      <c r="E2486" s="116">
        <v>390.45</v>
      </c>
      <c r="F2486" s="116">
        <v>394.2</v>
      </c>
      <c r="G2486">
        <v>416</v>
      </c>
      <c r="H2486" s="116"/>
      <c r="I2486" s="116"/>
      <c r="L2486" s="169">
        <v>45665</v>
      </c>
      <c r="M2486" s="116">
        <v>419</v>
      </c>
      <c r="N2486" s="116">
        <v>434.35</v>
      </c>
      <c r="O2486" s="116">
        <v>415.5</v>
      </c>
      <c r="P2486" s="116">
        <v>431.25</v>
      </c>
      <c r="Q2486" s="116">
        <v>419</v>
      </c>
      <c r="R2486">
        <v>15212</v>
      </c>
    </row>
    <row r="2487" spans="1:18" x14ac:dyDescent="0.25">
      <c r="A2487" s="169">
        <v>45698</v>
      </c>
      <c r="B2487" s="116">
        <v>394</v>
      </c>
      <c r="C2487" s="116">
        <v>379.45</v>
      </c>
      <c r="D2487" s="116">
        <v>376.35</v>
      </c>
      <c r="E2487" s="116">
        <v>394</v>
      </c>
      <c r="F2487" s="116">
        <v>379.45</v>
      </c>
      <c r="G2487">
        <v>1455</v>
      </c>
      <c r="H2487" s="116"/>
      <c r="I2487" s="116"/>
      <c r="L2487" s="169">
        <v>45666</v>
      </c>
      <c r="M2487" s="116">
        <v>414.35</v>
      </c>
      <c r="N2487" s="116">
        <v>422</v>
      </c>
      <c r="O2487" s="116">
        <v>408.2</v>
      </c>
      <c r="P2487" s="116">
        <v>418.95</v>
      </c>
      <c r="Q2487" s="116">
        <v>414.35</v>
      </c>
      <c r="R2487">
        <v>19811</v>
      </c>
    </row>
    <row r="2488" spans="1:18" x14ac:dyDescent="0.25">
      <c r="A2488" s="169">
        <v>45699</v>
      </c>
      <c r="B2488" s="116">
        <v>376.15</v>
      </c>
      <c r="C2488" s="116">
        <v>368.65</v>
      </c>
      <c r="D2488" s="116">
        <v>363.6</v>
      </c>
      <c r="E2488" s="116">
        <v>376</v>
      </c>
      <c r="F2488" s="116">
        <v>368.65</v>
      </c>
      <c r="G2488">
        <v>709</v>
      </c>
      <c r="H2488" s="116"/>
      <c r="I2488" s="116"/>
      <c r="L2488" s="169">
        <v>45667</v>
      </c>
      <c r="M2488" s="116">
        <v>396.5</v>
      </c>
      <c r="N2488" s="116">
        <v>417.75</v>
      </c>
      <c r="O2488" s="116">
        <v>395</v>
      </c>
      <c r="P2488" s="116">
        <v>410</v>
      </c>
      <c r="Q2488" s="116">
        <v>396.5</v>
      </c>
      <c r="R2488">
        <v>18826</v>
      </c>
    </row>
    <row r="2489" spans="1:18" x14ac:dyDescent="0.25">
      <c r="A2489" s="169">
        <v>45700</v>
      </c>
      <c r="B2489" s="116">
        <v>369.35</v>
      </c>
      <c r="C2489" s="116">
        <v>366.35</v>
      </c>
      <c r="D2489" s="116">
        <v>348.15</v>
      </c>
      <c r="E2489" s="116">
        <v>364</v>
      </c>
      <c r="F2489" s="116">
        <v>366.35</v>
      </c>
      <c r="G2489">
        <v>1227</v>
      </c>
      <c r="H2489" s="116"/>
      <c r="I2489" s="116"/>
      <c r="L2489" s="169">
        <v>45670</v>
      </c>
      <c r="M2489" s="116">
        <v>374.3</v>
      </c>
      <c r="N2489" s="116">
        <v>396.1</v>
      </c>
      <c r="O2489" s="116">
        <v>371.8</v>
      </c>
      <c r="P2489" s="116">
        <v>396.1</v>
      </c>
      <c r="Q2489" s="116">
        <v>374.3</v>
      </c>
      <c r="R2489">
        <v>45467</v>
      </c>
    </row>
    <row r="2490" spans="1:18" x14ac:dyDescent="0.25">
      <c r="A2490" s="169">
        <v>45701</v>
      </c>
      <c r="B2490" s="116">
        <v>374</v>
      </c>
      <c r="C2490" s="116">
        <v>369.7</v>
      </c>
      <c r="D2490" s="116">
        <v>300.05</v>
      </c>
      <c r="E2490" s="116">
        <v>300.05</v>
      </c>
      <c r="F2490" s="116">
        <v>369.7</v>
      </c>
      <c r="G2490">
        <v>2888</v>
      </c>
      <c r="H2490" s="116"/>
      <c r="I2490" s="116"/>
      <c r="L2490" s="169">
        <v>45671</v>
      </c>
      <c r="M2490" s="116">
        <v>382.75</v>
      </c>
      <c r="N2490" s="116">
        <v>385</v>
      </c>
      <c r="O2490" s="116">
        <v>374.55</v>
      </c>
      <c r="P2490" s="116">
        <v>379.9</v>
      </c>
      <c r="Q2490" s="116">
        <v>382.75</v>
      </c>
      <c r="R2490">
        <v>24262</v>
      </c>
    </row>
    <row r="2491" spans="1:18" x14ac:dyDescent="0.25">
      <c r="A2491" s="169">
        <v>45702</v>
      </c>
      <c r="B2491" s="116">
        <v>369</v>
      </c>
      <c r="C2491" s="116">
        <v>341.95</v>
      </c>
      <c r="D2491" s="116">
        <v>338.35</v>
      </c>
      <c r="E2491" s="116">
        <v>369</v>
      </c>
      <c r="F2491" s="116">
        <v>341.95</v>
      </c>
      <c r="G2491">
        <v>2829</v>
      </c>
      <c r="H2491" s="116"/>
      <c r="I2491" s="116"/>
      <c r="L2491" s="169">
        <v>45672</v>
      </c>
      <c r="M2491" s="116">
        <v>415.9</v>
      </c>
      <c r="N2491" s="116">
        <v>421.8</v>
      </c>
      <c r="O2491" s="116">
        <v>379.8</v>
      </c>
      <c r="P2491" s="116">
        <v>385.4</v>
      </c>
      <c r="Q2491" s="116">
        <v>415.9</v>
      </c>
      <c r="R2491">
        <v>188587</v>
      </c>
    </row>
    <row r="2492" spans="1:18" x14ac:dyDescent="0.25">
      <c r="A2492" s="169">
        <v>45705</v>
      </c>
      <c r="B2492" s="116">
        <v>342</v>
      </c>
      <c r="C2492" s="116">
        <v>331.55</v>
      </c>
      <c r="D2492" s="116">
        <v>322.2</v>
      </c>
      <c r="E2492" s="116">
        <v>342</v>
      </c>
      <c r="F2492" s="116">
        <v>331.55</v>
      </c>
      <c r="G2492">
        <v>618</v>
      </c>
      <c r="H2492" s="116"/>
      <c r="I2492" s="116"/>
      <c r="L2492" s="169">
        <v>45673</v>
      </c>
      <c r="M2492" s="116">
        <v>441.5</v>
      </c>
      <c r="N2492" s="116">
        <v>453.3</v>
      </c>
      <c r="O2492" s="116">
        <v>416.85</v>
      </c>
      <c r="P2492" s="116">
        <v>416.85</v>
      </c>
      <c r="Q2492" s="116">
        <v>441.5</v>
      </c>
      <c r="R2492">
        <v>173465</v>
      </c>
    </row>
    <row r="2493" spans="1:18" x14ac:dyDescent="0.25">
      <c r="A2493" s="169">
        <v>45706</v>
      </c>
      <c r="B2493" s="116">
        <v>327</v>
      </c>
      <c r="C2493" s="116">
        <v>325.64999999999998</v>
      </c>
      <c r="D2493" s="116">
        <v>319</v>
      </c>
      <c r="E2493" s="116">
        <v>323.25</v>
      </c>
      <c r="F2493" s="116">
        <v>325.64999999999998</v>
      </c>
      <c r="G2493">
        <v>267</v>
      </c>
      <c r="H2493" s="116"/>
      <c r="I2493" s="116"/>
      <c r="L2493" s="169">
        <v>45674</v>
      </c>
      <c r="M2493" s="116">
        <v>426.65</v>
      </c>
      <c r="N2493" s="116">
        <v>441.05</v>
      </c>
      <c r="O2493" s="116">
        <v>424</v>
      </c>
      <c r="P2493" s="116">
        <v>434.9</v>
      </c>
      <c r="Q2493" s="116">
        <v>426.65</v>
      </c>
      <c r="R2493">
        <v>45463</v>
      </c>
    </row>
    <row r="2494" spans="1:18" x14ac:dyDescent="0.25">
      <c r="A2494" s="169">
        <v>45707</v>
      </c>
      <c r="B2494" s="116">
        <v>338.5</v>
      </c>
      <c r="C2494" s="116">
        <v>334.85</v>
      </c>
      <c r="D2494" s="116">
        <v>325</v>
      </c>
      <c r="E2494" s="116">
        <v>327.05</v>
      </c>
      <c r="F2494" s="116">
        <v>334.85</v>
      </c>
      <c r="G2494">
        <v>1548</v>
      </c>
      <c r="H2494" s="116"/>
      <c r="I2494" s="116"/>
      <c r="L2494" s="169">
        <v>45677</v>
      </c>
      <c r="M2494" s="116">
        <v>433.4</v>
      </c>
      <c r="N2494" s="116">
        <v>435.8</v>
      </c>
      <c r="O2494" s="116">
        <v>420.2</v>
      </c>
      <c r="P2494" s="116">
        <v>426.65</v>
      </c>
      <c r="Q2494" s="116">
        <v>433.4</v>
      </c>
      <c r="R2494">
        <v>16478</v>
      </c>
    </row>
    <row r="2495" spans="1:18" x14ac:dyDescent="0.25">
      <c r="A2495" s="169">
        <v>45708</v>
      </c>
      <c r="B2495" s="116">
        <v>346.85</v>
      </c>
      <c r="C2495" s="116">
        <v>339</v>
      </c>
      <c r="D2495" s="116">
        <v>331.8</v>
      </c>
      <c r="E2495" s="116">
        <v>333.25</v>
      </c>
      <c r="F2495" s="116">
        <v>339</v>
      </c>
      <c r="G2495">
        <v>756</v>
      </c>
      <c r="H2495" s="116"/>
      <c r="I2495" s="116"/>
      <c r="L2495" s="169">
        <v>45678</v>
      </c>
      <c r="M2495" s="116">
        <v>421.15</v>
      </c>
      <c r="N2495" s="116">
        <v>437.75</v>
      </c>
      <c r="O2495" s="116">
        <v>418.7</v>
      </c>
      <c r="P2495" s="116">
        <v>437.75</v>
      </c>
      <c r="Q2495" s="116">
        <v>421.15</v>
      </c>
      <c r="R2495">
        <v>13358</v>
      </c>
    </row>
    <row r="2496" spans="1:18" x14ac:dyDescent="0.25">
      <c r="A2496" s="169">
        <v>45709</v>
      </c>
      <c r="B2496" s="116">
        <v>338.75</v>
      </c>
      <c r="C2496" s="116">
        <v>338.75</v>
      </c>
      <c r="D2496" s="116">
        <v>333.05</v>
      </c>
      <c r="E2496" s="116">
        <v>335.05</v>
      </c>
      <c r="F2496" s="116">
        <v>338.75</v>
      </c>
      <c r="G2496">
        <v>274</v>
      </c>
      <c r="H2496" s="116"/>
      <c r="I2496" s="116"/>
      <c r="L2496" s="169">
        <v>45679</v>
      </c>
      <c r="M2496" s="116">
        <v>413.45</v>
      </c>
      <c r="N2496" s="116">
        <v>422.15</v>
      </c>
      <c r="O2496" s="116">
        <v>401.6</v>
      </c>
      <c r="P2496" s="116">
        <v>414.85</v>
      </c>
      <c r="Q2496" s="116">
        <v>413.45</v>
      </c>
      <c r="R2496">
        <v>18142</v>
      </c>
    </row>
    <row r="2497" spans="1:18" x14ac:dyDescent="0.25">
      <c r="A2497" s="169">
        <v>45712</v>
      </c>
      <c r="B2497" s="116">
        <v>338.75</v>
      </c>
      <c r="C2497" s="116">
        <v>328.9</v>
      </c>
      <c r="D2497" s="116">
        <v>325</v>
      </c>
      <c r="E2497" s="116">
        <v>338</v>
      </c>
      <c r="F2497" s="116">
        <v>328.9</v>
      </c>
      <c r="G2497">
        <v>1082</v>
      </c>
      <c r="H2497" s="116"/>
      <c r="I2497" s="116"/>
      <c r="L2497" s="169">
        <v>45680</v>
      </c>
      <c r="M2497" s="116">
        <v>411.5</v>
      </c>
      <c r="N2497" s="116">
        <v>416.95</v>
      </c>
      <c r="O2497" s="116">
        <v>410</v>
      </c>
      <c r="P2497" s="116">
        <v>410.15</v>
      </c>
      <c r="Q2497" s="116">
        <v>411.5</v>
      </c>
      <c r="R2497">
        <v>5614</v>
      </c>
    </row>
    <row r="2498" spans="1:18" x14ac:dyDescent="0.25">
      <c r="A2498" s="169">
        <v>45713</v>
      </c>
      <c r="B2498" s="116">
        <v>352</v>
      </c>
      <c r="C2498" s="116">
        <v>328</v>
      </c>
      <c r="D2498" s="116">
        <v>323.95</v>
      </c>
      <c r="E2498" s="116">
        <v>323.95</v>
      </c>
      <c r="F2498" s="116">
        <v>328</v>
      </c>
      <c r="G2498">
        <v>180</v>
      </c>
      <c r="H2498" s="116"/>
      <c r="I2498" s="116"/>
      <c r="L2498" s="169">
        <v>45681</v>
      </c>
      <c r="M2498" s="116">
        <v>403.5</v>
      </c>
      <c r="N2498" s="116">
        <v>425</v>
      </c>
      <c r="O2498" s="116">
        <v>401</v>
      </c>
      <c r="P2498" s="116">
        <v>414.55</v>
      </c>
      <c r="Q2498" s="116">
        <v>403.5</v>
      </c>
      <c r="R2498">
        <v>14474</v>
      </c>
    </row>
    <row r="2499" spans="1:18" x14ac:dyDescent="0.25">
      <c r="A2499" s="169">
        <v>45715</v>
      </c>
      <c r="B2499" s="116">
        <v>332.65</v>
      </c>
      <c r="C2499" s="116">
        <v>325</v>
      </c>
      <c r="D2499" s="116">
        <v>325</v>
      </c>
      <c r="E2499" s="116">
        <v>332.65</v>
      </c>
      <c r="F2499" s="116">
        <v>325</v>
      </c>
      <c r="G2499">
        <v>104</v>
      </c>
      <c r="H2499" s="116"/>
      <c r="I2499" s="116"/>
      <c r="L2499" s="169">
        <v>45684</v>
      </c>
      <c r="M2499" s="116">
        <v>385.8</v>
      </c>
      <c r="N2499" s="116">
        <v>403.5</v>
      </c>
      <c r="O2499" s="116">
        <v>382.55</v>
      </c>
      <c r="P2499" s="116">
        <v>403.5</v>
      </c>
      <c r="Q2499" s="116">
        <v>385.8</v>
      </c>
      <c r="R2499">
        <v>20997</v>
      </c>
    </row>
    <row r="2500" spans="1:18" x14ac:dyDescent="0.25">
      <c r="A2500" s="169">
        <v>45716</v>
      </c>
      <c r="B2500" s="116">
        <v>324.89999999999998</v>
      </c>
      <c r="C2500" s="116">
        <v>314.3</v>
      </c>
      <c r="D2500" s="116">
        <v>310</v>
      </c>
      <c r="E2500" s="116">
        <v>324.89999999999998</v>
      </c>
      <c r="F2500" s="116">
        <v>314.3</v>
      </c>
      <c r="G2500">
        <v>751</v>
      </c>
      <c r="H2500" s="116"/>
      <c r="I2500" s="116"/>
      <c r="L2500" s="169">
        <v>45685</v>
      </c>
      <c r="M2500" s="116">
        <v>381.15</v>
      </c>
      <c r="N2500" s="116">
        <v>405</v>
      </c>
      <c r="O2500" s="116">
        <v>367.95</v>
      </c>
      <c r="P2500" s="116">
        <v>386</v>
      </c>
      <c r="Q2500" s="116">
        <v>381.15</v>
      </c>
      <c r="R2500">
        <v>42726</v>
      </c>
    </row>
    <row r="2501" spans="1:18" x14ac:dyDescent="0.25">
      <c r="A2501" s="169">
        <v>45719</v>
      </c>
      <c r="B2501" s="116">
        <v>309</v>
      </c>
      <c r="C2501" s="116">
        <v>301.60000000000002</v>
      </c>
      <c r="D2501" s="116">
        <v>295.25</v>
      </c>
      <c r="E2501" s="116">
        <v>309</v>
      </c>
      <c r="F2501" s="116">
        <v>301.60000000000002</v>
      </c>
      <c r="G2501">
        <v>500</v>
      </c>
      <c r="H2501" s="116"/>
      <c r="I2501" s="116"/>
      <c r="L2501" s="169">
        <v>45686</v>
      </c>
      <c r="M2501" s="116">
        <v>391.85</v>
      </c>
      <c r="N2501" s="116">
        <v>398</v>
      </c>
      <c r="O2501" s="116">
        <v>379.25</v>
      </c>
      <c r="P2501" s="116">
        <v>379.8</v>
      </c>
      <c r="Q2501" s="116">
        <v>391.85</v>
      </c>
      <c r="R2501">
        <v>18098</v>
      </c>
    </row>
    <row r="2502" spans="1:18" x14ac:dyDescent="0.25">
      <c r="A2502" s="169">
        <v>45720</v>
      </c>
      <c r="B2502" s="116">
        <v>306.75</v>
      </c>
      <c r="C2502" s="116">
        <v>296.2</v>
      </c>
      <c r="D2502" s="116">
        <v>295.55</v>
      </c>
      <c r="E2502" s="116">
        <v>301.60000000000002</v>
      </c>
      <c r="F2502" s="116">
        <v>296.2</v>
      </c>
      <c r="G2502">
        <v>2899</v>
      </c>
      <c r="H2502" s="116"/>
      <c r="I2502" s="116"/>
      <c r="L2502" s="169">
        <v>45687</v>
      </c>
      <c r="M2502" s="116">
        <v>391.45</v>
      </c>
      <c r="N2502" s="116">
        <v>409.8</v>
      </c>
      <c r="O2502" s="116">
        <v>386.2</v>
      </c>
      <c r="P2502" s="116">
        <v>398.9</v>
      </c>
      <c r="Q2502" s="116">
        <v>391.45</v>
      </c>
      <c r="R2502">
        <v>17475</v>
      </c>
    </row>
    <row r="2503" spans="1:18" x14ac:dyDescent="0.25">
      <c r="A2503" s="169">
        <v>45721</v>
      </c>
      <c r="B2503" s="116">
        <v>324.7</v>
      </c>
      <c r="C2503" s="116">
        <v>320.39999999999998</v>
      </c>
      <c r="D2503" s="116">
        <v>302.5</v>
      </c>
      <c r="E2503" s="116">
        <v>305.95</v>
      </c>
      <c r="F2503" s="116">
        <v>320.39999999999998</v>
      </c>
      <c r="G2503">
        <v>786</v>
      </c>
      <c r="H2503" s="116"/>
      <c r="I2503" s="116"/>
      <c r="L2503" s="169">
        <v>45688</v>
      </c>
      <c r="M2503" s="116">
        <v>393.45</v>
      </c>
      <c r="N2503" s="116">
        <v>396.9</v>
      </c>
      <c r="O2503" s="116">
        <v>385</v>
      </c>
      <c r="P2503" s="116">
        <v>388.25</v>
      </c>
      <c r="Q2503" s="116">
        <v>393.45</v>
      </c>
      <c r="R2503">
        <v>14786</v>
      </c>
    </row>
    <row r="2504" spans="1:18" x14ac:dyDescent="0.25">
      <c r="A2504" s="169">
        <v>45722</v>
      </c>
      <c r="B2504" s="116">
        <v>329.65</v>
      </c>
      <c r="C2504" s="116">
        <v>329.65</v>
      </c>
      <c r="D2504" s="116">
        <v>326.3</v>
      </c>
      <c r="E2504" s="116">
        <v>326.3</v>
      </c>
      <c r="F2504" s="116">
        <v>329.65</v>
      </c>
      <c r="G2504">
        <v>42</v>
      </c>
      <c r="H2504" s="116"/>
      <c r="I2504" s="116"/>
      <c r="L2504" s="169">
        <v>45689</v>
      </c>
      <c r="M2504" s="116">
        <v>396.95</v>
      </c>
      <c r="N2504" s="116">
        <v>403</v>
      </c>
      <c r="O2504" s="116">
        <v>389.25</v>
      </c>
      <c r="P2504" s="116">
        <v>401.25</v>
      </c>
      <c r="Q2504" s="116">
        <v>396.95</v>
      </c>
      <c r="R2504">
        <v>13249</v>
      </c>
    </row>
    <row r="2505" spans="1:18" x14ac:dyDescent="0.25">
      <c r="A2505" s="169">
        <v>45723</v>
      </c>
      <c r="B2505" s="116">
        <v>344.55</v>
      </c>
      <c r="C2505" s="116">
        <v>340.2</v>
      </c>
      <c r="D2505" s="116">
        <v>330.5</v>
      </c>
      <c r="E2505" s="116">
        <v>338.9</v>
      </c>
      <c r="F2505" s="116">
        <v>340.2</v>
      </c>
      <c r="G2505">
        <v>5030</v>
      </c>
      <c r="H2505" s="116"/>
      <c r="I2505" s="116"/>
      <c r="L2505" s="169">
        <v>45691</v>
      </c>
      <c r="M2505" s="116">
        <v>385.2</v>
      </c>
      <c r="N2505" s="116">
        <v>396.9</v>
      </c>
      <c r="O2505" s="116">
        <v>381.3</v>
      </c>
      <c r="P2505" s="116">
        <v>392</v>
      </c>
      <c r="Q2505" s="116">
        <v>385.2</v>
      </c>
      <c r="R2505">
        <v>13455</v>
      </c>
    </row>
    <row r="2506" spans="1:18" x14ac:dyDescent="0.25">
      <c r="A2506" s="169">
        <v>45726</v>
      </c>
      <c r="B2506" s="116">
        <v>355.35</v>
      </c>
      <c r="C2506" s="116">
        <v>347.7</v>
      </c>
      <c r="D2506" s="116">
        <v>341.9</v>
      </c>
      <c r="E2506" s="116">
        <v>344.75</v>
      </c>
      <c r="F2506" s="116">
        <v>347.7</v>
      </c>
      <c r="G2506">
        <v>163</v>
      </c>
      <c r="H2506" s="116"/>
      <c r="I2506" s="116"/>
      <c r="L2506" s="169">
        <v>45692</v>
      </c>
      <c r="M2506" s="116">
        <v>396.05</v>
      </c>
      <c r="N2506" s="116">
        <v>400.95</v>
      </c>
      <c r="O2506" s="116">
        <v>384</v>
      </c>
      <c r="P2506" s="116">
        <v>384</v>
      </c>
      <c r="Q2506" s="116">
        <v>396.05</v>
      </c>
      <c r="R2506">
        <v>10577</v>
      </c>
    </row>
    <row r="2507" spans="1:18" x14ac:dyDescent="0.25">
      <c r="A2507" s="169">
        <v>45727</v>
      </c>
      <c r="B2507" s="116">
        <v>348</v>
      </c>
      <c r="C2507" s="116">
        <v>342.85</v>
      </c>
      <c r="D2507" s="116">
        <v>338</v>
      </c>
      <c r="E2507" s="116">
        <v>338</v>
      </c>
      <c r="F2507" s="116">
        <v>342.85</v>
      </c>
      <c r="G2507">
        <v>350</v>
      </c>
      <c r="H2507" s="116"/>
      <c r="I2507" s="116"/>
      <c r="L2507" s="169">
        <v>45693</v>
      </c>
      <c r="M2507" s="116">
        <v>406.6</v>
      </c>
      <c r="N2507" s="116">
        <v>428.8</v>
      </c>
      <c r="O2507" s="116">
        <v>388.35</v>
      </c>
      <c r="P2507" s="116">
        <v>394.65</v>
      </c>
      <c r="Q2507" s="116">
        <v>406.6</v>
      </c>
      <c r="R2507">
        <v>27473</v>
      </c>
    </row>
    <row r="2508" spans="1:18" x14ac:dyDescent="0.25">
      <c r="A2508" s="169">
        <v>45728</v>
      </c>
      <c r="B2508" s="116">
        <v>341.35</v>
      </c>
      <c r="C2508" s="116">
        <v>333.65</v>
      </c>
      <c r="D2508" s="116">
        <v>327.05</v>
      </c>
      <c r="E2508" s="116">
        <v>340.1</v>
      </c>
      <c r="F2508" s="116">
        <v>333.65</v>
      </c>
      <c r="G2508">
        <v>20231</v>
      </c>
      <c r="H2508" s="116"/>
      <c r="I2508" s="116"/>
      <c r="L2508" s="169">
        <v>45694</v>
      </c>
      <c r="M2508" s="116">
        <v>392.5</v>
      </c>
      <c r="N2508" s="116">
        <v>406.2</v>
      </c>
      <c r="O2508" s="116">
        <v>390</v>
      </c>
      <c r="P2508" s="116">
        <v>398.65</v>
      </c>
      <c r="Q2508" s="116">
        <v>392.5</v>
      </c>
      <c r="R2508">
        <v>13447</v>
      </c>
    </row>
    <row r="2509" spans="1:18" x14ac:dyDescent="0.25">
      <c r="A2509" s="169">
        <v>45729</v>
      </c>
      <c r="B2509" s="116">
        <v>348.8</v>
      </c>
      <c r="C2509" s="116">
        <v>335.05</v>
      </c>
      <c r="D2509" s="116">
        <v>328.25</v>
      </c>
      <c r="E2509" s="116">
        <v>342.45</v>
      </c>
      <c r="F2509" s="116">
        <v>335.05</v>
      </c>
      <c r="G2509">
        <v>84353</v>
      </c>
      <c r="H2509" s="116"/>
      <c r="I2509" s="116"/>
      <c r="L2509" s="169">
        <v>45695</v>
      </c>
      <c r="M2509" s="116">
        <v>393.25</v>
      </c>
      <c r="N2509" s="116">
        <v>397.9</v>
      </c>
      <c r="O2509" s="116">
        <v>385.1</v>
      </c>
      <c r="P2509" s="116">
        <v>390.15</v>
      </c>
      <c r="Q2509" s="116">
        <v>393.25</v>
      </c>
      <c r="R2509">
        <v>8953</v>
      </c>
    </row>
    <row r="2510" spans="1:18" x14ac:dyDescent="0.25">
      <c r="A2510" s="169">
        <v>45733</v>
      </c>
      <c r="B2510" s="116">
        <v>340</v>
      </c>
      <c r="C2510" s="116">
        <v>321.25</v>
      </c>
      <c r="D2510" s="116">
        <v>317.3</v>
      </c>
      <c r="E2510" s="116">
        <v>340</v>
      </c>
      <c r="F2510" s="116">
        <v>321.25</v>
      </c>
      <c r="G2510">
        <v>3798</v>
      </c>
      <c r="H2510" s="116"/>
      <c r="I2510" s="116"/>
      <c r="L2510" s="169">
        <v>45698</v>
      </c>
      <c r="M2510" s="116">
        <v>379.7</v>
      </c>
      <c r="N2510" s="116">
        <v>396</v>
      </c>
      <c r="O2510" s="116">
        <v>375</v>
      </c>
      <c r="P2510" s="116">
        <v>396</v>
      </c>
      <c r="Q2510" s="116">
        <v>379.7</v>
      </c>
      <c r="R2510">
        <v>22243</v>
      </c>
    </row>
    <row r="2511" spans="1:18" x14ac:dyDescent="0.25">
      <c r="A2511" s="169">
        <v>45734</v>
      </c>
      <c r="B2511" s="116">
        <v>328.5</v>
      </c>
      <c r="C2511" s="116">
        <v>327.5</v>
      </c>
      <c r="D2511" s="116">
        <v>322.10000000000002</v>
      </c>
      <c r="E2511" s="116">
        <v>323.89999999999998</v>
      </c>
      <c r="F2511" s="116">
        <v>327.5</v>
      </c>
      <c r="G2511">
        <v>23</v>
      </c>
      <c r="H2511" s="116"/>
      <c r="I2511" s="116"/>
      <c r="L2511" s="169">
        <v>45699</v>
      </c>
      <c r="M2511" s="116">
        <v>370.05</v>
      </c>
      <c r="N2511" s="116">
        <v>382.85</v>
      </c>
      <c r="O2511" s="116">
        <v>363.3</v>
      </c>
      <c r="P2511" s="116">
        <v>382.85</v>
      </c>
      <c r="Q2511" s="116">
        <v>370.05</v>
      </c>
      <c r="R2511">
        <v>29485</v>
      </c>
    </row>
    <row r="2512" spans="1:18" x14ac:dyDescent="0.25">
      <c r="A2512" s="169">
        <v>45735</v>
      </c>
      <c r="B2512" s="116">
        <v>340</v>
      </c>
      <c r="C2512" s="116">
        <v>337.3</v>
      </c>
      <c r="D2512" s="116">
        <v>336.05</v>
      </c>
      <c r="E2512" s="116">
        <v>338.25</v>
      </c>
      <c r="F2512" s="116">
        <v>337.3</v>
      </c>
      <c r="G2512">
        <v>84</v>
      </c>
      <c r="H2512" s="116"/>
      <c r="I2512" s="116"/>
      <c r="L2512" s="169">
        <v>45700</v>
      </c>
      <c r="M2512" s="116">
        <v>364.5</v>
      </c>
      <c r="N2512" s="116">
        <v>378.7</v>
      </c>
      <c r="O2512" s="116">
        <v>346.95</v>
      </c>
      <c r="P2512" s="116">
        <v>378.7</v>
      </c>
      <c r="Q2512" s="116">
        <v>364.5</v>
      </c>
      <c r="R2512">
        <v>23065</v>
      </c>
    </row>
    <row r="2513" spans="1:18" x14ac:dyDescent="0.25">
      <c r="A2513" s="169">
        <v>45736</v>
      </c>
      <c r="B2513" s="116">
        <v>342</v>
      </c>
      <c r="C2513" s="116">
        <v>328.5</v>
      </c>
      <c r="D2513" s="116">
        <v>325</v>
      </c>
      <c r="E2513" s="116">
        <v>335</v>
      </c>
      <c r="F2513" s="116">
        <v>328.5</v>
      </c>
      <c r="G2513">
        <v>5628</v>
      </c>
      <c r="H2513" s="116"/>
      <c r="I2513" s="116"/>
      <c r="L2513" s="169">
        <v>45701</v>
      </c>
      <c r="M2513" s="116">
        <v>370.8</v>
      </c>
      <c r="N2513" s="116">
        <v>375</v>
      </c>
      <c r="O2513" s="116">
        <v>352.55</v>
      </c>
      <c r="P2513" s="116">
        <v>355</v>
      </c>
      <c r="Q2513" s="116">
        <v>370.8</v>
      </c>
      <c r="R2513">
        <v>16339</v>
      </c>
    </row>
    <row r="2514" spans="1:18" x14ac:dyDescent="0.25">
      <c r="A2514" s="169">
        <v>45737</v>
      </c>
      <c r="B2514" s="116">
        <v>347.7</v>
      </c>
      <c r="C2514" s="116">
        <v>344.45</v>
      </c>
      <c r="D2514" s="116">
        <v>336.5</v>
      </c>
      <c r="E2514" s="116">
        <v>336.5</v>
      </c>
      <c r="F2514" s="116">
        <v>344.45</v>
      </c>
      <c r="G2514">
        <v>433</v>
      </c>
      <c r="H2514" s="116"/>
      <c r="I2514" s="116"/>
      <c r="L2514" s="169">
        <v>45702</v>
      </c>
      <c r="M2514" s="116">
        <v>344.1</v>
      </c>
      <c r="N2514" s="116">
        <v>369.65</v>
      </c>
      <c r="O2514" s="116">
        <v>339.55</v>
      </c>
      <c r="P2514" s="116">
        <v>368.95</v>
      </c>
      <c r="Q2514" s="116">
        <v>344.1</v>
      </c>
      <c r="R2514">
        <v>22336</v>
      </c>
    </row>
    <row r="2515" spans="1:18" x14ac:dyDescent="0.25">
      <c r="A2515" s="169">
        <v>45740</v>
      </c>
      <c r="B2515" s="116">
        <v>413.3</v>
      </c>
      <c r="C2515" s="116">
        <v>413.3</v>
      </c>
      <c r="D2515" s="116">
        <v>340.35</v>
      </c>
      <c r="E2515" s="116">
        <v>340.55</v>
      </c>
      <c r="F2515" s="116">
        <v>413.3</v>
      </c>
      <c r="G2515">
        <v>10671</v>
      </c>
      <c r="H2515" s="116"/>
      <c r="I2515" s="116"/>
      <c r="L2515" s="169">
        <v>45705</v>
      </c>
      <c r="M2515" s="116">
        <v>332.15</v>
      </c>
      <c r="N2515" s="116">
        <v>341.05</v>
      </c>
      <c r="O2515" s="116">
        <v>302</v>
      </c>
      <c r="P2515" s="116">
        <v>302</v>
      </c>
      <c r="Q2515" s="116">
        <v>332.15</v>
      </c>
      <c r="R2515">
        <v>24432</v>
      </c>
    </row>
    <row r="2516" spans="1:18" x14ac:dyDescent="0.25">
      <c r="A2516" s="169">
        <v>45741</v>
      </c>
      <c r="B2516" s="116">
        <v>439</v>
      </c>
      <c r="C2516" s="116">
        <v>419.8</v>
      </c>
      <c r="D2516" s="116">
        <v>404</v>
      </c>
      <c r="E2516" s="116">
        <v>431.2</v>
      </c>
      <c r="F2516" s="116">
        <v>419.8</v>
      </c>
      <c r="G2516">
        <v>10690</v>
      </c>
      <c r="H2516" s="116"/>
      <c r="I2516" s="116"/>
      <c r="L2516" s="169">
        <v>45706</v>
      </c>
      <c r="M2516" s="116">
        <v>324.64999999999998</v>
      </c>
      <c r="N2516" s="116">
        <v>336.55</v>
      </c>
      <c r="O2516" s="116">
        <v>319.95</v>
      </c>
      <c r="P2516" s="116">
        <v>330</v>
      </c>
      <c r="Q2516" s="116">
        <v>324.64999999999998</v>
      </c>
      <c r="R2516">
        <v>17497</v>
      </c>
    </row>
    <row r="2517" spans="1:18" x14ac:dyDescent="0.25">
      <c r="A2517" s="169">
        <v>45742</v>
      </c>
      <c r="B2517" s="116">
        <v>428</v>
      </c>
      <c r="C2517" s="116">
        <v>420.55</v>
      </c>
      <c r="D2517" s="116">
        <v>412.05</v>
      </c>
      <c r="E2517" s="116">
        <v>416.9</v>
      </c>
      <c r="F2517" s="116">
        <v>420.55</v>
      </c>
      <c r="G2517">
        <v>729</v>
      </c>
      <c r="H2517" s="116"/>
      <c r="I2517" s="116"/>
      <c r="L2517" s="169">
        <v>45707</v>
      </c>
      <c r="M2517" s="116">
        <v>334.5</v>
      </c>
      <c r="N2517" s="116">
        <v>337.95</v>
      </c>
      <c r="O2517" s="116">
        <v>321.55</v>
      </c>
      <c r="P2517" s="116">
        <v>326.05</v>
      </c>
      <c r="Q2517" s="116">
        <v>334.5</v>
      </c>
      <c r="R2517">
        <v>10717</v>
      </c>
    </row>
    <row r="2518" spans="1:18" x14ac:dyDescent="0.25">
      <c r="A2518" s="169">
        <v>45743</v>
      </c>
      <c r="B2518" s="116">
        <v>425.7</v>
      </c>
      <c r="C2518" s="116">
        <v>418</v>
      </c>
      <c r="D2518" s="116">
        <v>414</v>
      </c>
      <c r="E2518" s="116">
        <v>414</v>
      </c>
      <c r="F2518" s="116">
        <v>418</v>
      </c>
      <c r="G2518">
        <v>9988</v>
      </c>
      <c r="H2518" s="116"/>
      <c r="I2518" s="116"/>
      <c r="L2518" s="169">
        <v>45708</v>
      </c>
      <c r="M2518" s="116">
        <v>333.3</v>
      </c>
      <c r="N2518" s="116">
        <v>344.6</v>
      </c>
      <c r="O2518" s="116">
        <v>330.4</v>
      </c>
      <c r="P2518" s="116">
        <v>339</v>
      </c>
      <c r="Q2518" s="116">
        <v>333.3</v>
      </c>
      <c r="R2518">
        <v>25367</v>
      </c>
    </row>
    <row r="2519" spans="1:18" x14ac:dyDescent="0.25">
      <c r="A2519" s="169">
        <v>45744</v>
      </c>
      <c r="B2519" s="116">
        <v>439</v>
      </c>
      <c r="C2519" s="116">
        <v>436.5</v>
      </c>
      <c r="D2519" s="116">
        <v>425.6</v>
      </c>
      <c r="E2519" s="116">
        <v>427</v>
      </c>
      <c r="F2519" s="116">
        <v>436.5</v>
      </c>
      <c r="G2519">
        <v>1471</v>
      </c>
      <c r="H2519" s="116"/>
      <c r="I2519" s="116"/>
      <c r="L2519" s="169">
        <v>45709</v>
      </c>
      <c r="M2519" s="116">
        <v>337.45</v>
      </c>
      <c r="N2519" s="116">
        <v>340.95</v>
      </c>
      <c r="O2519" s="116">
        <v>331.6</v>
      </c>
      <c r="P2519" s="116">
        <v>332.6</v>
      </c>
      <c r="Q2519" s="116">
        <v>337.45</v>
      </c>
      <c r="R2519">
        <v>8248</v>
      </c>
    </row>
    <row r="2520" spans="1:18" x14ac:dyDescent="0.25">
      <c r="A2520" s="169">
        <v>45748</v>
      </c>
      <c r="B2520" s="116">
        <v>439.9</v>
      </c>
      <c r="C2520" s="116">
        <v>427.3</v>
      </c>
      <c r="D2520" s="116">
        <v>425.05</v>
      </c>
      <c r="E2520" s="116">
        <v>430.1</v>
      </c>
      <c r="F2520" s="116">
        <v>427.3</v>
      </c>
      <c r="G2520">
        <v>2323</v>
      </c>
      <c r="H2520" s="116"/>
      <c r="I2520" s="116"/>
      <c r="L2520" s="169">
        <v>45712</v>
      </c>
      <c r="M2520" s="116">
        <v>328.35</v>
      </c>
      <c r="N2520" s="116">
        <v>339.35</v>
      </c>
      <c r="O2520" s="116">
        <v>324.8</v>
      </c>
      <c r="P2520" s="116">
        <v>339.35</v>
      </c>
      <c r="Q2520" s="116">
        <v>328.35</v>
      </c>
      <c r="R2520">
        <v>9241</v>
      </c>
    </row>
    <row r="2521" spans="1:18" x14ac:dyDescent="0.25">
      <c r="A2521" s="169">
        <v>45749</v>
      </c>
      <c r="B2521" s="116">
        <v>431.5</v>
      </c>
      <c r="C2521" s="116">
        <v>415.65</v>
      </c>
      <c r="D2521" s="116">
        <v>410.35</v>
      </c>
      <c r="E2521" s="116">
        <v>428.45</v>
      </c>
      <c r="F2521" s="116">
        <v>415.65</v>
      </c>
      <c r="G2521">
        <v>682</v>
      </c>
      <c r="H2521" s="116"/>
      <c r="I2521" s="116"/>
      <c r="L2521" s="169">
        <v>45713</v>
      </c>
      <c r="M2521" s="116">
        <v>329</v>
      </c>
      <c r="N2521" s="116">
        <v>332.8</v>
      </c>
      <c r="O2521" s="116">
        <v>324</v>
      </c>
      <c r="P2521" s="116">
        <v>328.95</v>
      </c>
      <c r="Q2521" s="116">
        <v>329</v>
      </c>
      <c r="R2521">
        <v>9724</v>
      </c>
    </row>
    <row r="2522" spans="1:18" x14ac:dyDescent="0.25">
      <c r="A2522" s="169">
        <v>45750</v>
      </c>
      <c r="B2522" s="116">
        <v>442</v>
      </c>
      <c r="C2522" s="116">
        <v>437.65</v>
      </c>
      <c r="D2522" s="116">
        <v>380</v>
      </c>
      <c r="E2522" s="116">
        <v>390</v>
      </c>
      <c r="F2522" s="116">
        <v>437.65</v>
      </c>
      <c r="G2522">
        <v>3293</v>
      </c>
      <c r="H2522" s="116"/>
      <c r="I2522" s="116"/>
      <c r="L2522" s="169">
        <v>45715</v>
      </c>
      <c r="M2522" s="116">
        <v>324.89999999999998</v>
      </c>
      <c r="N2522" s="116">
        <v>336.95</v>
      </c>
      <c r="O2522" s="116">
        <v>324.35000000000002</v>
      </c>
      <c r="P2522" s="116">
        <v>330.65</v>
      </c>
      <c r="Q2522" s="116">
        <v>324.89999999999998</v>
      </c>
      <c r="R2522">
        <v>3719</v>
      </c>
    </row>
    <row r="2523" spans="1:18" x14ac:dyDescent="0.25">
      <c r="A2523" s="169">
        <v>45751</v>
      </c>
      <c r="B2523" s="116">
        <v>445</v>
      </c>
      <c r="C2523" s="116">
        <v>415.75</v>
      </c>
      <c r="D2523" s="116">
        <v>414.75</v>
      </c>
      <c r="E2523" s="116">
        <v>445</v>
      </c>
      <c r="F2523" s="116">
        <v>415.75</v>
      </c>
      <c r="G2523">
        <v>1246</v>
      </c>
      <c r="H2523" s="116"/>
      <c r="I2523" s="116"/>
      <c r="L2523" s="169">
        <v>45716</v>
      </c>
      <c r="M2523" s="116">
        <v>318.7</v>
      </c>
      <c r="N2523" s="116">
        <v>326.14999999999998</v>
      </c>
      <c r="O2523" s="116">
        <v>310</v>
      </c>
      <c r="P2523" s="116">
        <v>326.10000000000002</v>
      </c>
      <c r="Q2523" s="116">
        <v>318.7</v>
      </c>
      <c r="R2523">
        <v>8565</v>
      </c>
    </row>
    <row r="2524" spans="1:18" x14ac:dyDescent="0.25">
      <c r="A2524" s="169">
        <v>45754</v>
      </c>
      <c r="B2524" s="116">
        <v>401.8</v>
      </c>
      <c r="C2524" s="116">
        <v>374.7</v>
      </c>
      <c r="D2524" s="116">
        <v>367.8</v>
      </c>
      <c r="E2524" s="116">
        <v>381</v>
      </c>
      <c r="F2524" s="116">
        <v>374.7</v>
      </c>
      <c r="G2524">
        <v>2423</v>
      </c>
      <c r="H2524" s="116"/>
      <c r="I2524" s="116"/>
      <c r="L2524" s="169">
        <v>45719</v>
      </c>
      <c r="M2524" s="116">
        <v>299.45</v>
      </c>
      <c r="N2524" s="116">
        <v>320.45</v>
      </c>
      <c r="O2524" s="116">
        <v>293.14999999999998</v>
      </c>
      <c r="P2524" s="116">
        <v>315</v>
      </c>
      <c r="Q2524" s="116">
        <v>299.45</v>
      </c>
      <c r="R2524">
        <v>29379</v>
      </c>
    </row>
    <row r="2525" spans="1:18" x14ac:dyDescent="0.25">
      <c r="A2525" s="169">
        <v>45755</v>
      </c>
      <c r="B2525" s="116">
        <v>394</v>
      </c>
      <c r="C2525" s="116">
        <v>378.7</v>
      </c>
      <c r="D2525" s="116">
        <v>376.2</v>
      </c>
      <c r="E2525" s="116">
        <v>392.95</v>
      </c>
      <c r="F2525" s="116">
        <v>378.7</v>
      </c>
      <c r="G2525">
        <v>1178</v>
      </c>
      <c r="H2525" s="116"/>
      <c r="I2525" s="116"/>
      <c r="L2525" s="169">
        <v>45720</v>
      </c>
      <c r="M2525" s="116">
        <v>296.95</v>
      </c>
      <c r="N2525" s="116">
        <v>307</v>
      </c>
      <c r="O2525" s="116">
        <v>294.89999999999998</v>
      </c>
      <c r="P2525" s="116">
        <v>295</v>
      </c>
      <c r="Q2525" s="116">
        <v>296.95</v>
      </c>
      <c r="R2525">
        <v>9971</v>
      </c>
    </row>
    <row r="2526" spans="1:18" x14ac:dyDescent="0.25">
      <c r="A2526" s="169">
        <v>45756</v>
      </c>
      <c r="B2526" s="116">
        <v>390.2</v>
      </c>
      <c r="C2526" s="116">
        <v>380.95</v>
      </c>
      <c r="D2526" s="116">
        <v>375</v>
      </c>
      <c r="E2526" s="116">
        <v>390.2</v>
      </c>
      <c r="F2526" s="116">
        <v>380.95</v>
      </c>
      <c r="G2526">
        <v>743</v>
      </c>
      <c r="H2526" s="116"/>
      <c r="I2526" s="116"/>
      <c r="L2526" s="169">
        <v>45721</v>
      </c>
      <c r="M2526" s="116">
        <v>320.95</v>
      </c>
      <c r="N2526" s="116">
        <v>324.5</v>
      </c>
      <c r="O2526" s="116">
        <v>300.2</v>
      </c>
      <c r="P2526" s="116">
        <v>303.95</v>
      </c>
      <c r="Q2526" s="116">
        <v>320.95</v>
      </c>
      <c r="R2526">
        <v>19907</v>
      </c>
    </row>
    <row r="2527" spans="1:18" x14ac:dyDescent="0.25">
      <c r="A2527" s="169">
        <v>45758</v>
      </c>
      <c r="B2527" s="116">
        <v>394.35</v>
      </c>
      <c r="C2527" s="116">
        <v>387</v>
      </c>
      <c r="D2527" s="116">
        <v>382.35</v>
      </c>
      <c r="E2527" s="116">
        <v>387.75</v>
      </c>
      <c r="F2527" s="116">
        <v>387</v>
      </c>
      <c r="G2527">
        <v>3360</v>
      </c>
      <c r="H2527" s="116"/>
      <c r="I2527" s="116"/>
      <c r="L2527" s="169">
        <v>45722</v>
      </c>
      <c r="M2527" s="116">
        <v>329.05</v>
      </c>
      <c r="N2527" s="116">
        <v>331.5</v>
      </c>
      <c r="O2527" s="116">
        <v>320.2</v>
      </c>
      <c r="P2527" s="116">
        <v>320.2</v>
      </c>
      <c r="Q2527" s="116">
        <v>329.05</v>
      </c>
      <c r="R2527">
        <v>9341</v>
      </c>
    </row>
    <row r="2528" spans="1:18" x14ac:dyDescent="0.25">
      <c r="A2528" s="169">
        <v>45762</v>
      </c>
      <c r="B2528" s="116">
        <v>413.35</v>
      </c>
      <c r="C2528" s="116">
        <v>405.85</v>
      </c>
      <c r="D2528" s="116">
        <v>370.05</v>
      </c>
      <c r="E2528" s="116">
        <v>370.05</v>
      </c>
      <c r="F2528" s="116">
        <v>405.85</v>
      </c>
      <c r="G2528">
        <v>7918</v>
      </c>
      <c r="H2528" s="116"/>
      <c r="I2528" s="116"/>
      <c r="L2528" s="169">
        <v>45723</v>
      </c>
      <c r="M2528" s="116">
        <v>340.3</v>
      </c>
      <c r="N2528" s="116">
        <v>342</v>
      </c>
      <c r="O2528" s="116">
        <v>330</v>
      </c>
      <c r="P2528" s="116">
        <v>337.2</v>
      </c>
      <c r="Q2528" s="116">
        <v>340.3</v>
      </c>
      <c r="R2528">
        <v>21781</v>
      </c>
    </row>
    <row r="2529" spans="1:18" x14ac:dyDescent="0.25">
      <c r="A2529" s="169">
        <v>45763</v>
      </c>
      <c r="B2529" s="116">
        <v>416</v>
      </c>
      <c r="C2529" s="116">
        <v>410.05</v>
      </c>
      <c r="D2529" s="116">
        <v>405.55</v>
      </c>
      <c r="E2529" s="116">
        <v>405.55</v>
      </c>
      <c r="F2529" s="116">
        <v>410.05</v>
      </c>
      <c r="G2529">
        <v>3574</v>
      </c>
      <c r="H2529" s="116"/>
      <c r="I2529" s="116"/>
      <c r="L2529" s="169">
        <v>45726</v>
      </c>
      <c r="M2529" s="116">
        <v>349.25</v>
      </c>
      <c r="N2529" s="116">
        <v>358.95</v>
      </c>
      <c r="O2529" s="116">
        <v>335.1</v>
      </c>
      <c r="P2529" s="116">
        <v>335.1</v>
      </c>
      <c r="Q2529" s="116">
        <v>349.25</v>
      </c>
      <c r="R2529">
        <v>17221</v>
      </c>
    </row>
    <row r="2530" spans="1:18" x14ac:dyDescent="0.25">
      <c r="A2530" s="169">
        <v>45764</v>
      </c>
      <c r="B2530" s="116">
        <v>412.9</v>
      </c>
      <c r="C2530" s="116">
        <v>407.05</v>
      </c>
      <c r="D2530" s="116">
        <v>404.05</v>
      </c>
      <c r="E2530" s="116">
        <v>410.1</v>
      </c>
      <c r="F2530" s="116">
        <v>407.05</v>
      </c>
      <c r="G2530">
        <v>1953</v>
      </c>
      <c r="H2530" s="116"/>
      <c r="I2530" s="116"/>
      <c r="L2530" s="169">
        <v>45727</v>
      </c>
      <c r="M2530" s="116">
        <v>344.1</v>
      </c>
      <c r="N2530" s="116">
        <v>348</v>
      </c>
      <c r="O2530" s="116">
        <v>337</v>
      </c>
      <c r="P2530" s="116">
        <v>341</v>
      </c>
      <c r="Q2530" s="116">
        <v>344.1</v>
      </c>
      <c r="R2530">
        <v>15702</v>
      </c>
    </row>
    <row r="2531" spans="1:18" x14ac:dyDescent="0.25">
      <c r="A2531" s="169">
        <v>45768</v>
      </c>
      <c r="B2531" s="116">
        <v>435.4</v>
      </c>
      <c r="C2531" s="116">
        <v>432.75</v>
      </c>
      <c r="D2531" s="116">
        <v>408.8</v>
      </c>
      <c r="E2531" s="116">
        <v>409.5</v>
      </c>
      <c r="F2531" s="116">
        <v>432.75</v>
      </c>
      <c r="G2531">
        <v>1823</v>
      </c>
      <c r="H2531" s="116"/>
      <c r="I2531" s="116"/>
      <c r="L2531" s="169">
        <v>45728</v>
      </c>
      <c r="M2531" s="116">
        <v>335.25</v>
      </c>
      <c r="N2531" s="116">
        <v>343.45</v>
      </c>
      <c r="O2531" s="116">
        <v>325.10000000000002</v>
      </c>
      <c r="P2531" s="116">
        <v>339</v>
      </c>
      <c r="Q2531" s="116">
        <v>335.25</v>
      </c>
      <c r="R2531">
        <v>16681</v>
      </c>
    </row>
    <row r="2532" spans="1:18" x14ac:dyDescent="0.25">
      <c r="A2532" s="169">
        <v>45769</v>
      </c>
      <c r="B2532" s="116">
        <v>439</v>
      </c>
      <c r="C2532" s="116">
        <v>429.75</v>
      </c>
      <c r="D2532" s="116">
        <v>422.25</v>
      </c>
      <c r="E2532" s="116">
        <v>429.9</v>
      </c>
      <c r="F2532" s="116">
        <v>429.75</v>
      </c>
      <c r="G2532">
        <v>8732</v>
      </c>
      <c r="H2532" s="116"/>
      <c r="I2532" s="116"/>
      <c r="L2532" s="169">
        <v>45729</v>
      </c>
      <c r="M2532" s="116">
        <v>333.2</v>
      </c>
      <c r="N2532" s="116">
        <v>348.6</v>
      </c>
      <c r="O2532" s="116">
        <v>328.5</v>
      </c>
      <c r="P2532" s="116">
        <v>340.05</v>
      </c>
      <c r="Q2532" s="116">
        <v>333.2</v>
      </c>
      <c r="R2532">
        <v>27157</v>
      </c>
    </row>
    <row r="2533" spans="1:18" x14ac:dyDescent="0.25">
      <c r="A2533" s="169">
        <v>45770</v>
      </c>
      <c r="B2533" s="116">
        <v>441.2</v>
      </c>
      <c r="C2533" s="116">
        <v>420.45</v>
      </c>
      <c r="D2533" s="116">
        <v>415</v>
      </c>
      <c r="E2533" s="116">
        <v>424.3</v>
      </c>
      <c r="F2533" s="116">
        <v>420.45</v>
      </c>
      <c r="G2533">
        <v>922</v>
      </c>
      <c r="H2533" s="116"/>
      <c r="I2533" s="116"/>
      <c r="L2533" s="169">
        <v>45733</v>
      </c>
      <c r="M2533" s="116">
        <v>325.95</v>
      </c>
      <c r="N2533" s="116">
        <v>345.95</v>
      </c>
      <c r="O2533" s="116">
        <v>319.2</v>
      </c>
      <c r="P2533" s="116">
        <v>336.6</v>
      </c>
      <c r="Q2533" s="116">
        <v>325.95</v>
      </c>
      <c r="R2533">
        <v>126318</v>
      </c>
    </row>
    <row r="2534" spans="1:18" x14ac:dyDescent="0.25">
      <c r="A2534" s="169">
        <v>45771</v>
      </c>
      <c r="B2534" s="116">
        <v>427.2</v>
      </c>
      <c r="C2534" s="116">
        <v>422.7</v>
      </c>
      <c r="D2534" s="116">
        <v>416.45</v>
      </c>
      <c r="E2534" s="116">
        <v>417.7</v>
      </c>
      <c r="F2534" s="116">
        <v>422.7</v>
      </c>
      <c r="G2534">
        <v>623</v>
      </c>
      <c r="H2534" s="116"/>
      <c r="I2534" s="116"/>
      <c r="L2534" s="169">
        <v>45734</v>
      </c>
      <c r="M2534" s="116">
        <v>330.75</v>
      </c>
      <c r="N2534" s="116">
        <v>332.5</v>
      </c>
      <c r="O2534" s="116">
        <v>322.05</v>
      </c>
      <c r="P2534" s="116">
        <v>324.95</v>
      </c>
      <c r="Q2534" s="116">
        <v>330.75</v>
      </c>
      <c r="R2534">
        <v>8266</v>
      </c>
    </row>
    <row r="2535" spans="1:18" x14ac:dyDescent="0.25">
      <c r="A2535" s="169">
        <v>45772</v>
      </c>
      <c r="B2535" s="116">
        <v>424.65</v>
      </c>
      <c r="C2535" s="116">
        <v>401.7</v>
      </c>
      <c r="D2535" s="116">
        <v>400.35</v>
      </c>
      <c r="E2535" s="116">
        <v>424.65</v>
      </c>
      <c r="F2535" s="116">
        <v>401.7</v>
      </c>
      <c r="G2535">
        <v>3444</v>
      </c>
      <c r="H2535" s="116"/>
      <c r="I2535" s="116"/>
      <c r="L2535" s="169">
        <v>45735</v>
      </c>
      <c r="M2535" s="116">
        <v>337.05</v>
      </c>
      <c r="N2535" s="116">
        <v>341.5</v>
      </c>
      <c r="O2535" s="116">
        <v>333.75</v>
      </c>
      <c r="P2535" s="116">
        <v>333.75</v>
      </c>
      <c r="Q2535" s="116">
        <v>337.05</v>
      </c>
      <c r="R2535">
        <v>13713</v>
      </c>
    </row>
    <row r="2536" spans="1:18" x14ac:dyDescent="0.25">
      <c r="A2536" s="169">
        <v>45775</v>
      </c>
      <c r="B2536" s="116">
        <v>417</v>
      </c>
      <c r="C2536" s="116">
        <v>397.4</v>
      </c>
      <c r="D2536" s="116">
        <v>396.75</v>
      </c>
      <c r="E2536" s="116">
        <v>417</v>
      </c>
      <c r="F2536" s="116">
        <v>397.4</v>
      </c>
      <c r="G2536">
        <v>1298</v>
      </c>
      <c r="H2536" s="116"/>
      <c r="I2536" s="116"/>
      <c r="L2536" s="169">
        <v>45736</v>
      </c>
      <c r="M2536" s="116">
        <v>334.2</v>
      </c>
      <c r="N2536" s="116">
        <v>343.8</v>
      </c>
      <c r="O2536" s="116">
        <v>325.10000000000002</v>
      </c>
      <c r="P2536" s="116">
        <v>333.95</v>
      </c>
      <c r="Q2536" s="116">
        <v>334.2</v>
      </c>
      <c r="R2536">
        <v>32055</v>
      </c>
    </row>
    <row r="2537" spans="1:18" x14ac:dyDescent="0.25">
      <c r="A2537" s="169">
        <v>45776</v>
      </c>
      <c r="B2537" s="116">
        <v>407.4</v>
      </c>
      <c r="C2537" s="116">
        <v>399.25</v>
      </c>
      <c r="D2537" s="116">
        <v>397.1</v>
      </c>
      <c r="E2537" s="116">
        <v>401.75</v>
      </c>
      <c r="F2537" s="116">
        <v>399.25</v>
      </c>
      <c r="G2537">
        <v>1001</v>
      </c>
      <c r="H2537" s="116"/>
      <c r="I2537" s="116"/>
      <c r="L2537" s="169">
        <v>45737</v>
      </c>
      <c r="M2537" s="116">
        <v>345.25</v>
      </c>
      <c r="N2537" s="116">
        <v>350.2</v>
      </c>
      <c r="O2537" s="116">
        <v>335.1</v>
      </c>
      <c r="P2537" s="116">
        <v>340.4</v>
      </c>
      <c r="Q2537" s="116">
        <v>345.25</v>
      </c>
      <c r="R2537">
        <v>40611</v>
      </c>
    </row>
    <row r="2538" spans="1:18" x14ac:dyDescent="0.25">
      <c r="A2538" s="169">
        <v>45777</v>
      </c>
      <c r="B2538" s="116">
        <v>400.2</v>
      </c>
      <c r="C2538" s="116">
        <v>390.2</v>
      </c>
      <c r="D2538" s="116">
        <v>386.75</v>
      </c>
      <c r="E2538" s="116">
        <v>400.2</v>
      </c>
      <c r="F2538" s="116">
        <v>390.2</v>
      </c>
      <c r="G2538">
        <v>647</v>
      </c>
      <c r="H2538" s="116"/>
      <c r="I2538" s="116"/>
      <c r="L2538" s="169">
        <v>45740</v>
      </c>
      <c r="M2538" s="116">
        <v>414.3</v>
      </c>
      <c r="N2538" s="116">
        <v>414.3</v>
      </c>
      <c r="O2538" s="116">
        <v>341.2</v>
      </c>
      <c r="P2538" s="116">
        <v>342.2</v>
      </c>
      <c r="Q2538" s="116">
        <v>414.3</v>
      </c>
      <c r="R2538">
        <v>308380</v>
      </c>
    </row>
    <row r="2539" spans="1:18" x14ac:dyDescent="0.25">
      <c r="A2539" s="169">
        <v>45779</v>
      </c>
      <c r="B2539" s="116">
        <v>414</v>
      </c>
      <c r="C2539" s="116">
        <v>400.25</v>
      </c>
      <c r="D2539" s="116">
        <v>380.7</v>
      </c>
      <c r="E2539" s="116">
        <v>396</v>
      </c>
      <c r="F2539" s="116">
        <v>400.25</v>
      </c>
      <c r="G2539">
        <v>3885</v>
      </c>
      <c r="H2539" s="116"/>
      <c r="I2539" s="116"/>
      <c r="L2539" s="169">
        <v>45741</v>
      </c>
      <c r="M2539" s="116">
        <v>424.2</v>
      </c>
      <c r="N2539" s="116">
        <v>438.45</v>
      </c>
      <c r="O2539" s="116">
        <v>402.35</v>
      </c>
      <c r="P2539" s="116">
        <v>429</v>
      </c>
      <c r="Q2539" s="116">
        <v>424.2</v>
      </c>
      <c r="R2539">
        <v>256736</v>
      </c>
    </row>
    <row r="2540" spans="1:18" x14ac:dyDescent="0.25">
      <c r="A2540" s="169">
        <v>45782</v>
      </c>
      <c r="B2540" s="116">
        <v>409.9</v>
      </c>
      <c r="C2540" s="116">
        <v>405.1</v>
      </c>
      <c r="D2540" s="116">
        <v>404</v>
      </c>
      <c r="E2540" s="116">
        <v>405.55</v>
      </c>
      <c r="F2540" s="116">
        <v>405.1</v>
      </c>
      <c r="G2540">
        <v>220</v>
      </c>
      <c r="H2540" s="116"/>
      <c r="I2540" s="116"/>
      <c r="L2540" s="169">
        <v>45742</v>
      </c>
      <c r="M2540" s="116">
        <v>420.1</v>
      </c>
      <c r="N2540" s="116">
        <v>428.5</v>
      </c>
      <c r="O2540" s="116">
        <v>411.05</v>
      </c>
      <c r="P2540" s="116">
        <v>419</v>
      </c>
      <c r="Q2540" s="116">
        <v>420.1</v>
      </c>
      <c r="R2540">
        <v>45596</v>
      </c>
    </row>
    <row r="2541" spans="1:18" x14ac:dyDescent="0.25">
      <c r="A2541" s="169">
        <v>45783</v>
      </c>
      <c r="B2541" s="116">
        <v>411.3</v>
      </c>
      <c r="C2541" s="116">
        <v>384.9</v>
      </c>
      <c r="D2541" s="116">
        <v>380.25</v>
      </c>
      <c r="E2541" s="116">
        <v>411.3</v>
      </c>
      <c r="F2541" s="116">
        <v>384.9</v>
      </c>
      <c r="G2541">
        <v>790</v>
      </c>
      <c r="H2541" s="116"/>
      <c r="I2541" s="116"/>
      <c r="L2541" s="169">
        <v>45743</v>
      </c>
      <c r="M2541" s="116">
        <v>421.35</v>
      </c>
      <c r="N2541" s="116">
        <v>428.85</v>
      </c>
      <c r="O2541" s="116">
        <v>411</v>
      </c>
      <c r="P2541" s="116">
        <v>411</v>
      </c>
      <c r="Q2541" s="116">
        <v>421.35</v>
      </c>
      <c r="R2541">
        <v>37793</v>
      </c>
    </row>
    <row r="2542" spans="1:18" x14ac:dyDescent="0.25">
      <c r="A2542" s="169">
        <v>45784</v>
      </c>
      <c r="B2542" s="116">
        <v>433.85</v>
      </c>
      <c r="C2542" s="116">
        <v>423.4</v>
      </c>
      <c r="D2542" s="116">
        <v>396.1</v>
      </c>
      <c r="E2542" s="116">
        <v>397.2</v>
      </c>
      <c r="F2542" s="116">
        <v>423.4</v>
      </c>
      <c r="G2542">
        <v>13025</v>
      </c>
      <c r="H2542" s="116"/>
      <c r="I2542" s="116"/>
      <c r="L2542" s="169">
        <v>45744</v>
      </c>
      <c r="M2542" s="116">
        <v>435.15</v>
      </c>
      <c r="N2542" s="116">
        <v>439.85</v>
      </c>
      <c r="O2542" s="116">
        <v>422.55</v>
      </c>
      <c r="P2542" s="116">
        <v>425.95</v>
      </c>
      <c r="Q2542" s="116">
        <v>435.15</v>
      </c>
      <c r="R2542">
        <v>83528</v>
      </c>
    </row>
    <row r="2543" spans="1:18" x14ac:dyDescent="0.25">
      <c r="A2543" s="169">
        <v>45785</v>
      </c>
      <c r="B2543" s="116">
        <v>436.4</v>
      </c>
      <c r="C2543" s="116">
        <v>412.1</v>
      </c>
      <c r="D2543" s="116">
        <v>406.95</v>
      </c>
      <c r="E2543" s="116">
        <v>423.45</v>
      </c>
      <c r="F2543" s="116">
        <v>412.1</v>
      </c>
      <c r="G2543">
        <v>6170</v>
      </c>
      <c r="H2543" s="116"/>
      <c r="I2543" s="116"/>
      <c r="L2543" s="169">
        <v>45748</v>
      </c>
      <c r="M2543" s="116">
        <v>427.6</v>
      </c>
      <c r="N2543" s="116">
        <v>440</v>
      </c>
      <c r="O2543" s="116">
        <v>426</v>
      </c>
      <c r="P2543" s="116">
        <v>430</v>
      </c>
      <c r="Q2543" s="116">
        <v>427.6</v>
      </c>
      <c r="R2543">
        <v>44717</v>
      </c>
    </row>
    <row r="2544" spans="1:18" x14ac:dyDescent="0.25">
      <c r="A2544" s="169">
        <v>45786</v>
      </c>
      <c r="B2544" s="116">
        <v>409.9</v>
      </c>
      <c r="C2544" s="116">
        <v>401.75</v>
      </c>
      <c r="D2544" s="116">
        <v>395</v>
      </c>
      <c r="E2544" s="116">
        <v>398.75</v>
      </c>
      <c r="F2544" s="116">
        <v>401.75</v>
      </c>
      <c r="G2544">
        <v>1006</v>
      </c>
      <c r="H2544" s="116"/>
      <c r="I2544" s="116"/>
      <c r="L2544" s="169">
        <v>45749</v>
      </c>
      <c r="M2544" s="116">
        <v>414.85</v>
      </c>
      <c r="N2544" s="116">
        <v>433</v>
      </c>
      <c r="O2544" s="116">
        <v>410.3</v>
      </c>
      <c r="P2544" s="116">
        <v>429.8</v>
      </c>
      <c r="Q2544" s="116">
        <v>414.85</v>
      </c>
      <c r="R2544">
        <v>39729</v>
      </c>
    </row>
    <row r="2545" spans="1:18" x14ac:dyDescent="0.25">
      <c r="A2545" s="169">
        <v>45789</v>
      </c>
      <c r="B2545" s="116">
        <v>416.8</v>
      </c>
      <c r="C2545" s="116">
        <v>413.2</v>
      </c>
      <c r="D2545" s="116">
        <v>410.4</v>
      </c>
      <c r="E2545" s="116">
        <v>415.45</v>
      </c>
      <c r="F2545" s="116">
        <v>413.2</v>
      </c>
      <c r="G2545">
        <v>828</v>
      </c>
      <c r="H2545" s="116"/>
      <c r="I2545" s="116"/>
      <c r="L2545" s="169">
        <v>45750</v>
      </c>
      <c r="M2545" s="116">
        <v>439</v>
      </c>
      <c r="N2545" s="116">
        <v>443.9</v>
      </c>
      <c r="O2545" s="116">
        <v>410.4</v>
      </c>
      <c r="P2545" s="116">
        <v>413</v>
      </c>
      <c r="Q2545" s="116">
        <v>439</v>
      </c>
      <c r="R2545">
        <v>112232</v>
      </c>
    </row>
    <row r="2546" spans="1:18" x14ac:dyDescent="0.25">
      <c r="A2546" s="169">
        <v>45790</v>
      </c>
      <c r="B2546" s="116">
        <v>429.8</v>
      </c>
      <c r="C2546" s="116">
        <v>421.8</v>
      </c>
      <c r="D2546" s="116">
        <v>410.65</v>
      </c>
      <c r="E2546" s="116">
        <v>412</v>
      </c>
      <c r="F2546" s="116">
        <v>421.8</v>
      </c>
      <c r="G2546">
        <v>976</v>
      </c>
      <c r="H2546" s="116"/>
      <c r="I2546" s="116"/>
      <c r="L2546" s="169">
        <v>45751</v>
      </c>
      <c r="M2546" s="116">
        <v>419</v>
      </c>
      <c r="N2546" s="116">
        <v>443.15</v>
      </c>
      <c r="O2546" s="116">
        <v>415.65</v>
      </c>
      <c r="P2546" s="116">
        <v>440.15</v>
      </c>
      <c r="Q2546" s="116">
        <v>419</v>
      </c>
      <c r="R2546">
        <v>27549</v>
      </c>
    </row>
    <row r="2547" spans="1:18" x14ac:dyDescent="0.25">
      <c r="A2547" s="169">
        <v>45791</v>
      </c>
      <c r="B2547" s="116">
        <v>426.55</v>
      </c>
      <c r="C2547" s="116">
        <v>420.75</v>
      </c>
      <c r="D2547" s="116">
        <v>418.65</v>
      </c>
      <c r="E2547" s="116">
        <v>425.3</v>
      </c>
      <c r="F2547" s="116">
        <v>420.75</v>
      </c>
      <c r="G2547">
        <v>203</v>
      </c>
      <c r="H2547" s="116"/>
      <c r="I2547" s="116"/>
      <c r="L2547" s="169">
        <v>45754</v>
      </c>
      <c r="M2547" s="116">
        <v>375.1</v>
      </c>
      <c r="N2547" s="116">
        <v>405.95</v>
      </c>
      <c r="O2547" s="116">
        <v>351.6</v>
      </c>
      <c r="P2547" s="116">
        <v>351.6</v>
      </c>
      <c r="Q2547" s="116">
        <v>375.1</v>
      </c>
      <c r="R2547">
        <v>87279</v>
      </c>
    </row>
    <row r="2548" spans="1:18" x14ac:dyDescent="0.25">
      <c r="A2548" s="169">
        <v>45792</v>
      </c>
      <c r="B2548" s="116">
        <v>425.5</v>
      </c>
      <c r="C2548" s="116">
        <v>420.25</v>
      </c>
      <c r="D2548" s="116">
        <v>416.9</v>
      </c>
      <c r="E2548" s="116">
        <v>425.2</v>
      </c>
      <c r="F2548" s="116">
        <v>420.25</v>
      </c>
      <c r="G2548">
        <v>415</v>
      </c>
      <c r="H2548" s="116"/>
      <c r="I2548" s="116"/>
      <c r="L2548" s="169">
        <v>45755</v>
      </c>
      <c r="M2548" s="116">
        <v>378.85</v>
      </c>
      <c r="N2548" s="116">
        <v>394.9</v>
      </c>
      <c r="O2548" s="116">
        <v>376.7</v>
      </c>
      <c r="P2548" s="116">
        <v>388.5</v>
      </c>
      <c r="Q2548" s="116">
        <v>378.85</v>
      </c>
      <c r="R2548">
        <v>26233</v>
      </c>
    </row>
    <row r="2549" spans="1:18" x14ac:dyDescent="0.25">
      <c r="A2549" s="169">
        <v>45793</v>
      </c>
      <c r="B2549" s="116">
        <v>458</v>
      </c>
      <c r="C2549" s="116">
        <v>453.5</v>
      </c>
      <c r="D2549" s="116">
        <v>422.35</v>
      </c>
      <c r="E2549" s="116">
        <v>423.2</v>
      </c>
      <c r="F2549" s="116">
        <v>453.5</v>
      </c>
      <c r="G2549">
        <v>19606</v>
      </c>
      <c r="H2549" s="116"/>
      <c r="I2549" s="116"/>
      <c r="L2549" s="169">
        <v>45756</v>
      </c>
      <c r="M2549" s="116">
        <v>379</v>
      </c>
      <c r="N2549" s="116">
        <v>394.8</v>
      </c>
      <c r="O2549" s="116">
        <v>375</v>
      </c>
      <c r="P2549" s="116">
        <v>384</v>
      </c>
      <c r="Q2549" s="116">
        <v>379</v>
      </c>
      <c r="R2549">
        <v>18296</v>
      </c>
    </row>
    <row r="2550" spans="1:18" x14ac:dyDescent="0.25">
      <c r="A2550" s="169">
        <v>45796</v>
      </c>
      <c r="B2550" s="116">
        <v>472.05</v>
      </c>
      <c r="C2550" s="116">
        <v>447.35</v>
      </c>
      <c r="D2550" s="116">
        <v>442.05</v>
      </c>
      <c r="E2550" s="116">
        <v>456.8</v>
      </c>
      <c r="F2550" s="116">
        <v>447.35</v>
      </c>
      <c r="G2550">
        <v>6484</v>
      </c>
      <c r="H2550" s="116"/>
      <c r="I2550" s="116"/>
      <c r="L2550" s="169">
        <v>45758</v>
      </c>
      <c r="M2550" s="116">
        <v>385.55</v>
      </c>
      <c r="N2550" s="116">
        <v>395.45</v>
      </c>
      <c r="O2550" s="116">
        <v>383.15</v>
      </c>
      <c r="P2550" s="116">
        <v>388.05</v>
      </c>
      <c r="Q2550" s="116">
        <v>385.55</v>
      </c>
      <c r="R2550">
        <v>33401</v>
      </c>
    </row>
    <row r="2551" spans="1:18" x14ac:dyDescent="0.25">
      <c r="A2551" s="169">
        <v>45797</v>
      </c>
      <c r="B2551" s="116">
        <v>444.35</v>
      </c>
      <c r="C2551" s="116">
        <v>429.35</v>
      </c>
      <c r="D2551" s="116">
        <v>414.1</v>
      </c>
      <c r="E2551" s="116">
        <v>443.65</v>
      </c>
      <c r="F2551" s="116">
        <v>429.35</v>
      </c>
      <c r="G2551">
        <v>11735</v>
      </c>
      <c r="H2551" s="116"/>
      <c r="I2551" s="116"/>
      <c r="L2551" s="169">
        <v>45762</v>
      </c>
      <c r="M2551" s="116">
        <v>406.15</v>
      </c>
      <c r="N2551" s="116">
        <v>408.9</v>
      </c>
      <c r="O2551" s="116">
        <v>386.55</v>
      </c>
      <c r="P2551" s="116">
        <v>391.95</v>
      </c>
      <c r="Q2551" s="116">
        <v>406.15</v>
      </c>
      <c r="R2551">
        <v>27787</v>
      </c>
    </row>
    <row r="2552" spans="1:18" x14ac:dyDescent="0.25">
      <c r="A2552" s="169">
        <v>45798</v>
      </c>
      <c r="B2552" s="116">
        <v>439.25</v>
      </c>
      <c r="C2552" s="116">
        <v>432.25</v>
      </c>
      <c r="D2552" s="116">
        <v>418</v>
      </c>
      <c r="E2552" s="116">
        <v>419.05</v>
      </c>
      <c r="F2552" s="116">
        <v>432.25</v>
      </c>
      <c r="G2552">
        <v>2770</v>
      </c>
      <c r="H2552" s="116"/>
      <c r="I2552" s="116"/>
      <c r="L2552" s="169">
        <v>45763</v>
      </c>
      <c r="M2552" s="116">
        <v>408.9</v>
      </c>
      <c r="N2552" s="116">
        <v>417</v>
      </c>
      <c r="O2552" s="116">
        <v>401</v>
      </c>
      <c r="P2552" s="116">
        <v>406.15</v>
      </c>
      <c r="Q2552" s="116">
        <v>408.9</v>
      </c>
      <c r="R2552">
        <v>30009</v>
      </c>
    </row>
    <row r="2553" spans="1:18" x14ac:dyDescent="0.25">
      <c r="A2553" s="169">
        <v>45799</v>
      </c>
      <c r="B2553" s="116">
        <v>430.1</v>
      </c>
      <c r="C2553" s="116">
        <v>423.85</v>
      </c>
      <c r="D2553" s="116">
        <v>416.95</v>
      </c>
      <c r="E2553" s="116">
        <v>427.15</v>
      </c>
      <c r="F2553" s="116">
        <v>423.85</v>
      </c>
      <c r="G2553">
        <v>2243</v>
      </c>
      <c r="H2553" s="116"/>
      <c r="I2553" s="116"/>
      <c r="L2553" s="169">
        <v>45764</v>
      </c>
      <c r="M2553" s="116">
        <v>408.25</v>
      </c>
      <c r="N2553" s="116">
        <v>413.9</v>
      </c>
      <c r="O2553" s="116">
        <v>404.65</v>
      </c>
      <c r="P2553" s="116">
        <v>409.2</v>
      </c>
      <c r="Q2553" s="116">
        <v>408.25</v>
      </c>
      <c r="R2553">
        <v>9524</v>
      </c>
    </row>
    <row r="2554" spans="1:18" x14ac:dyDescent="0.25">
      <c r="A2554" s="169">
        <v>45800</v>
      </c>
      <c r="B2554" s="116">
        <v>434.25</v>
      </c>
      <c r="C2554" s="116">
        <v>424.25</v>
      </c>
      <c r="D2554" s="116">
        <v>417.5</v>
      </c>
      <c r="E2554" s="116">
        <v>428.05</v>
      </c>
      <c r="F2554" s="116">
        <v>424.25</v>
      </c>
      <c r="G2554">
        <v>2271</v>
      </c>
      <c r="H2554" s="116"/>
      <c r="I2554" s="116"/>
      <c r="L2554" s="169">
        <v>45768</v>
      </c>
      <c r="M2554" s="116">
        <v>432.4</v>
      </c>
      <c r="N2554" s="116">
        <v>438.7</v>
      </c>
      <c r="O2554" s="116">
        <v>406.55</v>
      </c>
      <c r="P2554" s="116">
        <v>410.25</v>
      </c>
      <c r="Q2554" s="116">
        <v>432.4</v>
      </c>
      <c r="R2554">
        <v>41676</v>
      </c>
    </row>
    <row r="2555" spans="1:18" x14ac:dyDescent="0.25">
      <c r="A2555" s="169">
        <v>45803</v>
      </c>
      <c r="B2555" s="116">
        <v>427.85</v>
      </c>
      <c r="C2555" s="116">
        <v>414.65</v>
      </c>
      <c r="D2555" s="116">
        <v>411</v>
      </c>
      <c r="E2555" s="116">
        <v>423.65</v>
      </c>
      <c r="F2555" s="116">
        <v>414.65</v>
      </c>
      <c r="G2555">
        <v>1740</v>
      </c>
      <c r="H2555" s="116"/>
      <c r="I2555" s="116"/>
      <c r="L2555" s="169">
        <v>45769</v>
      </c>
      <c r="M2555" s="116">
        <v>429.35</v>
      </c>
      <c r="N2555" s="116">
        <v>439.9</v>
      </c>
      <c r="O2555" s="116">
        <v>421.55</v>
      </c>
      <c r="P2555" s="116">
        <v>432.4</v>
      </c>
      <c r="Q2555" s="116">
        <v>429.35</v>
      </c>
      <c r="R2555">
        <v>37668</v>
      </c>
    </row>
    <row r="2556" spans="1:18" x14ac:dyDescent="0.25">
      <c r="A2556" s="169">
        <v>45804</v>
      </c>
      <c r="B2556" s="116">
        <v>424.75</v>
      </c>
      <c r="C2556" s="116">
        <v>409.15</v>
      </c>
      <c r="D2556" s="116">
        <v>403.65</v>
      </c>
      <c r="E2556" s="116">
        <v>410.15</v>
      </c>
      <c r="F2556" s="116">
        <v>409.15</v>
      </c>
      <c r="G2556">
        <v>1255</v>
      </c>
      <c r="H2556" s="116"/>
      <c r="I2556" s="116"/>
      <c r="L2556" s="169">
        <v>45770</v>
      </c>
      <c r="M2556" s="116">
        <v>419.85</v>
      </c>
      <c r="N2556" s="116">
        <v>439.45</v>
      </c>
      <c r="O2556" s="116">
        <v>414.05</v>
      </c>
      <c r="P2556" s="116">
        <v>426</v>
      </c>
      <c r="Q2556" s="116">
        <v>419.85</v>
      </c>
      <c r="R2556">
        <v>23998</v>
      </c>
    </row>
    <row r="2557" spans="1:18" x14ac:dyDescent="0.25">
      <c r="A2557" s="169">
        <v>45805</v>
      </c>
      <c r="B2557" s="116">
        <v>415</v>
      </c>
      <c r="C2557" s="116">
        <v>413.4</v>
      </c>
      <c r="D2557" s="116">
        <v>409.5</v>
      </c>
      <c r="E2557" s="116">
        <v>409.5</v>
      </c>
      <c r="F2557" s="116">
        <v>413.4</v>
      </c>
      <c r="G2557">
        <v>708</v>
      </c>
      <c r="H2557" s="116"/>
      <c r="I2557" s="116"/>
      <c r="L2557" s="169">
        <v>45771</v>
      </c>
      <c r="M2557" s="116">
        <v>422.05</v>
      </c>
      <c r="N2557" s="116">
        <v>427.5</v>
      </c>
      <c r="O2557" s="116">
        <v>413.55</v>
      </c>
      <c r="P2557" s="116">
        <v>413.55</v>
      </c>
      <c r="Q2557" s="116">
        <v>422.05</v>
      </c>
      <c r="R2557">
        <v>16333</v>
      </c>
    </row>
    <row r="2558" spans="1:18" x14ac:dyDescent="0.25">
      <c r="A2558" s="169">
        <v>45806</v>
      </c>
      <c r="B2558" s="116">
        <v>429</v>
      </c>
      <c r="C2558" s="116">
        <v>423.6</v>
      </c>
      <c r="D2558" s="116">
        <v>416.2</v>
      </c>
      <c r="E2558" s="116">
        <v>417.05</v>
      </c>
      <c r="F2558" s="116">
        <v>423.6</v>
      </c>
      <c r="G2558">
        <v>4975</v>
      </c>
      <c r="H2558" s="116"/>
      <c r="I2558" s="116"/>
      <c r="L2558" s="169">
        <v>45772</v>
      </c>
      <c r="M2558" s="116">
        <v>402.25</v>
      </c>
      <c r="N2558" s="116">
        <v>424.6</v>
      </c>
      <c r="O2558" s="116">
        <v>400</v>
      </c>
      <c r="P2558" s="116">
        <v>420.05</v>
      </c>
      <c r="Q2558" s="116">
        <v>402.25</v>
      </c>
      <c r="R2558">
        <v>31273</v>
      </c>
    </row>
    <row r="2559" spans="1:18" x14ac:dyDescent="0.25">
      <c r="A2559" s="169">
        <v>45807</v>
      </c>
      <c r="B2559" s="116">
        <v>422</v>
      </c>
      <c r="C2559" s="116">
        <v>406.5</v>
      </c>
      <c r="D2559" s="116">
        <v>401</v>
      </c>
      <c r="E2559" s="116">
        <v>422</v>
      </c>
      <c r="F2559" s="116">
        <v>406.5</v>
      </c>
      <c r="G2559">
        <v>2315</v>
      </c>
      <c r="H2559" s="116"/>
      <c r="I2559" s="116"/>
      <c r="L2559" s="169">
        <v>45775</v>
      </c>
      <c r="M2559" s="116">
        <v>399.4</v>
      </c>
      <c r="N2559" s="116">
        <v>408.3</v>
      </c>
      <c r="O2559" s="116">
        <v>396.5</v>
      </c>
      <c r="P2559" s="116">
        <v>401.1</v>
      </c>
      <c r="Q2559" s="116">
        <v>399.4</v>
      </c>
      <c r="R2559">
        <v>9653</v>
      </c>
    </row>
    <row r="2560" spans="1:18" x14ac:dyDescent="0.25">
      <c r="A2560" s="169">
        <v>45810</v>
      </c>
      <c r="B2560" s="116">
        <v>416.3</v>
      </c>
      <c r="C2560" s="116">
        <v>414.6</v>
      </c>
      <c r="D2560" s="116">
        <v>400.25</v>
      </c>
      <c r="E2560" s="116">
        <v>406.6</v>
      </c>
      <c r="F2560" s="116">
        <v>414.6</v>
      </c>
      <c r="G2560">
        <v>1866</v>
      </c>
      <c r="H2560" s="116"/>
      <c r="I2560" s="116"/>
      <c r="L2560" s="169">
        <v>45776</v>
      </c>
      <c r="M2560" s="116">
        <v>399.85</v>
      </c>
      <c r="N2560" s="116">
        <v>407.95</v>
      </c>
      <c r="O2560" s="116">
        <v>396.6</v>
      </c>
      <c r="P2560" s="116">
        <v>401.4</v>
      </c>
      <c r="Q2560" s="116">
        <v>399.85</v>
      </c>
      <c r="R2560">
        <v>8690</v>
      </c>
    </row>
    <row r="2561" spans="1:18" x14ac:dyDescent="0.25">
      <c r="A2561" s="169">
        <v>45811</v>
      </c>
      <c r="B2561" s="116">
        <v>415.8</v>
      </c>
      <c r="C2561" s="116">
        <v>407.8</v>
      </c>
      <c r="D2561" s="116">
        <v>406.4</v>
      </c>
      <c r="E2561" s="116">
        <v>415.1</v>
      </c>
      <c r="F2561" s="116">
        <v>407.8</v>
      </c>
      <c r="G2561">
        <v>1001</v>
      </c>
      <c r="H2561" s="116"/>
      <c r="I2561" s="116"/>
      <c r="L2561" s="169">
        <v>45777</v>
      </c>
      <c r="M2561" s="116">
        <v>389.35</v>
      </c>
      <c r="N2561" s="116">
        <v>400.25</v>
      </c>
      <c r="O2561" s="116">
        <v>386.95</v>
      </c>
      <c r="P2561" s="116">
        <v>400.1</v>
      </c>
      <c r="Q2561" s="116">
        <v>389.35</v>
      </c>
      <c r="R2561">
        <v>10944</v>
      </c>
    </row>
    <row r="2562" spans="1:18" x14ac:dyDescent="0.25">
      <c r="A2562" s="169">
        <v>45812</v>
      </c>
      <c r="B2562" s="116">
        <v>411.1</v>
      </c>
      <c r="C2562" s="116">
        <v>405.6</v>
      </c>
      <c r="D2562" s="116">
        <v>397.5</v>
      </c>
      <c r="E2562" s="116">
        <v>410</v>
      </c>
      <c r="F2562" s="116">
        <v>405.6</v>
      </c>
      <c r="G2562">
        <v>3935</v>
      </c>
      <c r="H2562" s="116"/>
      <c r="I2562" s="116"/>
      <c r="L2562" s="169">
        <v>45779</v>
      </c>
      <c r="M2562" s="116">
        <v>402.5</v>
      </c>
      <c r="N2562" s="116">
        <v>414.15</v>
      </c>
      <c r="O2562" s="116">
        <v>385</v>
      </c>
      <c r="P2562" s="116">
        <v>389.35</v>
      </c>
      <c r="Q2562" s="116">
        <v>402.5</v>
      </c>
      <c r="R2562">
        <v>33000</v>
      </c>
    </row>
    <row r="2563" spans="1:18" x14ac:dyDescent="0.25">
      <c r="A2563" s="169">
        <v>45813</v>
      </c>
      <c r="B2563" s="116">
        <v>423.95</v>
      </c>
      <c r="C2563" s="116">
        <v>421.2</v>
      </c>
      <c r="D2563" s="116">
        <v>404.2</v>
      </c>
      <c r="E2563" s="116">
        <v>406.9</v>
      </c>
      <c r="F2563" s="116">
        <v>421.2</v>
      </c>
      <c r="G2563">
        <v>6491</v>
      </c>
      <c r="H2563" s="116"/>
      <c r="I2563" s="116"/>
      <c r="L2563" s="169">
        <v>45782</v>
      </c>
      <c r="M2563" s="116">
        <v>406.45</v>
      </c>
      <c r="N2563" s="116">
        <v>410.5</v>
      </c>
      <c r="O2563" s="116">
        <v>402</v>
      </c>
      <c r="P2563" s="116">
        <v>402</v>
      </c>
      <c r="Q2563" s="116">
        <v>406.45</v>
      </c>
      <c r="R2563">
        <v>9445</v>
      </c>
    </row>
    <row r="2564" spans="1:18" x14ac:dyDescent="0.25">
      <c r="A2564" s="169">
        <v>45814</v>
      </c>
      <c r="B2564" s="116">
        <v>442.1</v>
      </c>
      <c r="C2564" s="116">
        <v>432.4</v>
      </c>
      <c r="D2564" s="116">
        <v>418.6</v>
      </c>
      <c r="E2564" s="116">
        <v>420</v>
      </c>
      <c r="F2564" s="116">
        <v>432.4</v>
      </c>
      <c r="G2564">
        <v>3691</v>
      </c>
      <c r="H2564" s="116"/>
      <c r="I2564" s="116"/>
      <c r="L2564" s="169">
        <v>45783</v>
      </c>
      <c r="M2564" s="116">
        <v>383.75</v>
      </c>
      <c r="N2564" s="116">
        <v>412.1</v>
      </c>
      <c r="O2564" s="116">
        <v>380.2</v>
      </c>
      <c r="P2564" s="116">
        <v>409.8</v>
      </c>
      <c r="Q2564" s="116">
        <v>383.75</v>
      </c>
      <c r="R2564">
        <v>20640</v>
      </c>
    </row>
    <row r="2565" spans="1:18" x14ac:dyDescent="0.25">
      <c r="A2565" s="169">
        <v>45817</v>
      </c>
      <c r="B2565" s="116">
        <v>437.15</v>
      </c>
      <c r="C2565" s="116">
        <v>429.6</v>
      </c>
      <c r="D2565" s="116">
        <v>420</v>
      </c>
      <c r="E2565" s="116">
        <v>420</v>
      </c>
      <c r="F2565" s="116">
        <v>429.6</v>
      </c>
      <c r="G2565">
        <v>2768</v>
      </c>
      <c r="H2565" s="116"/>
      <c r="I2565" s="116"/>
      <c r="L2565" s="169">
        <v>45784</v>
      </c>
      <c r="M2565" s="116">
        <v>423.4</v>
      </c>
      <c r="N2565" s="116">
        <v>429.9</v>
      </c>
      <c r="O2565" s="116">
        <v>392.1</v>
      </c>
      <c r="P2565" s="116">
        <v>392.1</v>
      </c>
      <c r="Q2565" s="116">
        <v>423.4</v>
      </c>
      <c r="R2565">
        <v>241092</v>
      </c>
    </row>
    <row r="2566" spans="1:18" x14ac:dyDescent="0.25">
      <c r="A2566" s="169">
        <v>45818</v>
      </c>
      <c r="B2566" s="116">
        <v>436</v>
      </c>
      <c r="C2566" s="116">
        <v>424.35</v>
      </c>
      <c r="D2566" s="116">
        <v>422.9</v>
      </c>
      <c r="E2566" s="116">
        <v>429.45</v>
      </c>
      <c r="F2566" s="116">
        <v>424.35</v>
      </c>
      <c r="G2566">
        <v>4046</v>
      </c>
      <c r="H2566" s="116"/>
      <c r="I2566" s="116"/>
      <c r="L2566" s="169">
        <v>45785</v>
      </c>
      <c r="M2566" s="116">
        <v>413.5</v>
      </c>
      <c r="N2566" s="116">
        <v>438</v>
      </c>
      <c r="O2566" s="116">
        <v>406.1</v>
      </c>
      <c r="P2566" s="116">
        <v>433</v>
      </c>
      <c r="Q2566" s="116">
        <v>413.5</v>
      </c>
      <c r="R2566">
        <v>61428</v>
      </c>
    </row>
    <row r="2567" spans="1:18" x14ac:dyDescent="0.25">
      <c r="A2567" s="169">
        <v>45819</v>
      </c>
      <c r="B2567" s="116">
        <v>428.5</v>
      </c>
      <c r="C2567" s="116">
        <v>421.2</v>
      </c>
      <c r="D2567" s="116">
        <v>420.1</v>
      </c>
      <c r="E2567" s="116">
        <v>426.55</v>
      </c>
      <c r="F2567" s="116">
        <v>421.2</v>
      </c>
      <c r="G2567">
        <v>871</v>
      </c>
      <c r="H2567" s="116"/>
      <c r="I2567" s="116"/>
      <c r="L2567" s="169">
        <v>45786</v>
      </c>
      <c r="M2567" s="116">
        <v>400.1</v>
      </c>
      <c r="N2567" s="116">
        <v>412.4</v>
      </c>
      <c r="O2567" s="116">
        <v>393.4</v>
      </c>
      <c r="P2567" s="116">
        <v>396.05</v>
      </c>
      <c r="Q2567" s="116">
        <v>400.1</v>
      </c>
      <c r="R2567">
        <v>20677</v>
      </c>
    </row>
    <row r="2568" spans="1:18" x14ac:dyDescent="0.25">
      <c r="A2568" s="169">
        <v>45820</v>
      </c>
      <c r="B2568" s="116">
        <v>423.95</v>
      </c>
      <c r="C2568" s="116">
        <v>420.7</v>
      </c>
      <c r="D2568" s="116">
        <v>418.5</v>
      </c>
      <c r="E2568" s="116">
        <v>423.05</v>
      </c>
      <c r="F2568" s="116">
        <v>420.7</v>
      </c>
      <c r="G2568">
        <v>184</v>
      </c>
      <c r="H2568" s="116"/>
      <c r="I2568" s="116"/>
      <c r="L2568" s="169">
        <v>45789</v>
      </c>
      <c r="M2568" s="116">
        <v>413.5</v>
      </c>
      <c r="N2568" s="116">
        <v>419.5</v>
      </c>
      <c r="O2568" s="116">
        <v>409.8</v>
      </c>
      <c r="P2568" s="116">
        <v>409.8</v>
      </c>
      <c r="Q2568" s="116">
        <v>413.5</v>
      </c>
      <c r="R2568">
        <v>9254</v>
      </c>
    </row>
    <row r="2569" spans="1:18" x14ac:dyDescent="0.25">
      <c r="A2569" s="169">
        <v>45821</v>
      </c>
      <c r="B2569" s="116">
        <v>422</v>
      </c>
      <c r="C2569" s="116">
        <v>420.25</v>
      </c>
      <c r="D2569" s="116">
        <v>407.1</v>
      </c>
      <c r="E2569" s="116">
        <v>418.8</v>
      </c>
      <c r="F2569" s="116">
        <v>420.25</v>
      </c>
      <c r="G2569">
        <v>6422</v>
      </c>
      <c r="H2569" s="116"/>
      <c r="I2569" s="116"/>
      <c r="L2569" s="169">
        <v>45790</v>
      </c>
      <c r="M2569" s="116">
        <v>422.7</v>
      </c>
      <c r="N2569" s="116">
        <v>429</v>
      </c>
      <c r="O2569" s="116">
        <v>407</v>
      </c>
      <c r="P2569" s="116">
        <v>407</v>
      </c>
      <c r="Q2569" s="116">
        <v>422.7</v>
      </c>
      <c r="R2569">
        <v>24577</v>
      </c>
    </row>
    <row r="2570" spans="1:18" x14ac:dyDescent="0.25">
      <c r="A2570" s="169">
        <v>45824</v>
      </c>
      <c r="B2570" s="116">
        <v>465.35</v>
      </c>
      <c r="C2570" s="116">
        <v>441.35</v>
      </c>
      <c r="D2570" s="116">
        <v>413.3</v>
      </c>
      <c r="E2570" s="116">
        <v>413.3</v>
      </c>
      <c r="F2570" s="116">
        <v>441.35</v>
      </c>
      <c r="G2570">
        <v>17860</v>
      </c>
      <c r="H2570" s="116"/>
      <c r="I2570" s="116"/>
      <c r="L2570" s="169">
        <v>45791</v>
      </c>
      <c r="M2570" s="116">
        <v>421.95</v>
      </c>
      <c r="N2570" s="116">
        <v>429</v>
      </c>
      <c r="O2570" s="116">
        <v>417.95</v>
      </c>
      <c r="P2570" s="116">
        <v>425.35</v>
      </c>
      <c r="Q2570" s="116">
        <v>421.95</v>
      </c>
      <c r="R2570">
        <v>16477</v>
      </c>
    </row>
    <row r="2571" spans="1:18" x14ac:dyDescent="0.25">
      <c r="A2571" s="169">
        <v>45825</v>
      </c>
      <c r="B2571" s="116">
        <v>440.2</v>
      </c>
      <c r="C2571" s="116">
        <v>429.1</v>
      </c>
      <c r="D2571" s="116">
        <v>426.55</v>
      </c>
      <c r="E2571" s="116">
        <v>438.5</v>
      </c>
      <c r="F2571" s="116">
        <v>429.1</v>
      </c>
      <c r="G2571">
        <v>3091</v>
      </c>
      <c r="H2571" s="116"/>
      <c r="I2571" s="116"/>
      <c r="L2571" s="169">
        <v>45792</v>
      </c>
      <c r="M2571" s="116">
        <v>420</v>
      </c>
      <c r="N2571" s="116">
        <v>429.6</v>
      </c>
      <c r="O2571" s="116">
        <v>417</v>
      </c>
      <c r="P2571" s="116">
        <v>429.6</v>
      </c>
      <c r="Q2571" s="116">
        <v>420</v>
      </c>
      <c r="R2571">
        <v>30609</v>
      </c>
    </row>
    <row r="2572" spans="1:18" x14ac:dyDescent="0.25">
      <c r="A2572" s="169">
        <v>45826</v>
      </c>
      <c r="B2572" s="116">
        <v>436.15</v>
      </c>
      <c r="C2572" s="116">
        <v>424.05</v>
      </c>
      <c r="D2572" s="116">
        <v>419.25</v>
      </c>
      <c r="E2572" s="116">
        <v>427.45</v>
      </c>
      <c r="F2572" s="116">
        <v>424.05</v>
      </c>
      <c r="G2572">
        <v>1261</v>
      </c>
      <c r="H2572" s="116"/>
      <c r="I2572" s="116"/>
      <c r="L2572" s="169">
        <v>45793</v>
      </c>
      <c r="M2572" s="116">
        <v>453.45</v>
      </c>
      <c r="N2572" s="116">
        <v>459.8</v>
      </c>
      <c r="O2572" s="116">
        <v>421.1</v>
      </c>
      <c r="P2572" s="116">
        <v>423.95</v>
      </c>
      <c r="Q2572" s="116">
        <v>453.45</v>
      </c>
      <c r="R2572">
        <v>292812</v>
      </c>
    </row>
    <row r="2573" spans="1:18" x14ac:dyDescent="0.25">
      <c r="A2573" s="169">
        <v>45827</v>
      </c>
      <c r="B2573" s="116">
        <v>424.85</v>
      </c>
      <c r="C2573" s="116">
        <v>410.95</v>
      </c>
      <c r="D2573" s="116">
        <v>406</v>
      </c>
      <c r="E2573" s="116">
        <v>415</v>
      </c>
      <c r="F2573" s="116">
        <v>410.95</v>
      </c>
      <c r="G2573">
        <v>3388</v>
      </c>
      <c r="H2573" s="116"/>
      <c r="I2573" s="116"/>
      <c r="L2573" s="169">
        <v>45796</v>
      </c>
      <c r="M2573" s="116">
        <v>446.9</v>
      </c>
      <c r="N2573" s="116">
        <v>472.05</v>
      </c>
      <c r="O2573" s="116">
        <v>442</v>
      </c>
      <c r="P2573" s="116">
        <v>458.7</v>
      </c>
      <c r="Q2573" s="116">
        <v>446.9</v>
      </c>
      <c r="R2573">
        <v>92601</v>
      </c>
    </row>
    <row r="2574" spans="1:18" x14ac:dyDescent="0.25">
      <c r="A2574" s="169">
        <v>45828</v>
      </c>
      <c r="B2574" s="116">
        <v>440</v>
      </c>
      <c r="C2574" s="116">
        <v>433.3</v>
      </c>
      <c r="D2574" s="116">
        <v>410.7</v>
      </c>
      <c r="E2574" s="116">
        <v>413.5</v>
      </c>
      <c r="F2574" s="116">
        <v>433.3</v>
      </c>
      <c r="G2574">
        <v>1368</v>
      </c>
      <c r="H2574" s="116"/>
      <c r="I2574" s="116"/>
      <c r="L2574" s="169">
        <v>45797</v>
      </c>
      <c r="M2574" s="116">
        <v>422.6</v>
      </c>
      <c r="N2574" s="116">
        <v>445.3</v>
      </c>
      <c r="O2574" s="116">
        <v>414.8</v>
      </c>
      <c r="P2574" s="116">
        <v>443.4</v>
      </c>
      <c r="Q2574" s="116">
        <v>422.6</v>
      </c>
      <c r="R2574">
        <v>69027</v>
      </c>
    </row>
    <row r="2575" spans="1:18" x14ac:dyDescent="0.25">
      <c r="A2575" s="169">
        <v>45831</v>
      </c>
      <c r="B2575" s="116">
        <v>455</v>
      </c>
      <c r="C2575" s="116">
        <v>446.55</v>
      </c>
      <c r="D2575" s="116">
        <v>429.45</v>
      </c>
      <c r="E2575" s="116">
        <v>434.65</v>
      </c>
      <c r="F2575" s="116">
        <v>446.55</v>
      </c>
      <c r="G2575">
        <v>5087</v>
      </c>
      <c r="H2575" s="116"/>
      <c r="I2575" s="116"/>
      <c r="L2575" s="169">
        <v>45798</v>
      </c>
      <c r="M2575" s="116">
        <v>431.55</v>
      </c>
      <c r="N2575" s="116">
        <v>440</v>
      </c>
      <c r="O2575" s="116">
        <v>415.55</v>
      </c>
      <c r="P2575" s="116">
        <v>419.95</v>
      </c>
      <c r="Q2575" s="116">
        <v>431.55</v>
      </c>
      <c r="R2575">
        <v>26097</v>
      </c>
    </row>
    <row r="2576" spans="1:18" x14ac:dyDescent="0.25">
      <c r="A2576" s="169">
        <v>45832</v>
      </c>
      <c r="B2576" s="116">
        <v>460.15</v>
      </c>
      <c r="C2576" s="116">
        <v>443.8</v>
      </c>
      <c r="D2576" s="116">
        <v>441.8</v>
      </c>
      <c r="E2576" s="116">
        <v>452</v>
      </c>
      <c r="F2576" s="116">
        <v>443.8</v>
      </c>
      <c r="G2576">
        <v>5291</v>
      </c>
      <c r="H2576" s="116"/>
      <c r="I2576" s="116"/>
      <c r="L2576" s="169">
        <v>45799</v>
      </c>
      <c r="M2576" s="116">
        <v>423.85</v>
      </c>
      <c r="N2576" s="116">
        <v>430.1</v>
      </c>
      <c r="O2576" s="116">
        <v>417.4</v>
      </c>
      <c r="P2576" s="116">
        <v>428.4</v>
      </c>
      <c r="Q2576" s="116">
        <v>423.85</v>
      </c>
      <c r="R2576">
        <v>27123</v>
      </c>
    </row>
    <row r="2577" spans="1:18" x14ac:dyDescent="0.25">
      <c r="A2577" s="169">
        <v>45833</v>
      </c>
      <c r="B2577" s="116">
        <v>452.9</v>
      </c>
      <c r="C2577" s="116">
        <v>439.5</v>
      </c>
      <c r="D2577" s="116">
        <v>433.9</v>
      </c>
      <c r="E2577" s="116">
        <v>444</v>
      </c>
      <c r="F2577" s="116">
        <v>439.5</v>
      </c>
      <c r="G2577">
        <v>2347</v>
      </c>
      <c r="H2577" s="116"/>
      <c r="I2577" s="116"/>
      <c r="L2577" s="169">
        <v>45800</v>
      </c>
      <c r="M2577" s="116">
        <v>423.05</v>
      </c>
      <c r="N2577" s="116">
        <v>434</v>
      </c>
      <c r="O2577" s="116">
        <v>420.05</v>
      </c>
      <c r="P2577" s="116">
        <v>428.15</v>
      </c>
      <c r="Q2577" s="116">
        <v>423.05</v>
      </c>
      <c r="R2577">
        <v>25815</v>
      </c>
    </row>
    <row r="2578" spans="1:18" x14ac:dyDescent="0.25">
      <c r="A2578" s="169">
        <v>45834</v>
      </c>
      <c r="B2578" s="116">
        <v>451</v>
      </c>
      <c r="C2578" s="116">
        <v>439.75</v>
      </c>
      <c r="D2578" s="116">
        <v>439.1</v>
      </c>
      <c r="E2578" s="116">
        <v>441.45</v>
      </c>
      <c r="F2578" s="116">
        <v>439.75</v>
      </c>
      <c r="G2578">
        <v>1237</v>
      </c>
      <c r="H2578" s="116"/>
      <c r="I2578" s="116"/>
      <c r="L2578" s="169">
        <v>45803</v>
      </c>
      <c r="M2578" s="116">
        <v>416.15</v>
      </c>
      <c r="N2578" s="116">
        <v>430.25</v>
      </c>
      <c r="O2578" s="116">
        <v>414.8</v>
      </c>
      <c r="P2578" s="116">
        <v>424.05</v>
      </c>
      <c r="Q2578" s="116">
        <v>416.15</v>
      </c>
      <c r="R2578">
        <v>26949</v>
      </c>
    </row>
    <row r="2579" spans="1:18" x14ac:dyDescent="0.25">
      <c r="A2579" s="169">
        <v>45835</v>
      </c>
      <c r="B2579" s="116">
        <v>504.85</v>
      </c>
      <c r="C2579" s="116">
        <v>489.85</v>
      </c>
      <c r="D2579" s="116">
        <v>441</v>
      </c>
      <c r="E2579" s="116">
        <v>442.95</v>
      </c>
      <c r="F2579" s="116">
        <v>489.85</v>
      </c>
      <c r="G2579">
        <v>27464</v>
      </c>
      <c r="H2579" s="116"/>
      <c r="I2579" s="116"/>
      <c r="L2579" s="169">
        <v>45804</v>
      </c>
      <c r="M2579" s="116">
        <v>407.15</v>
      </c>
      <c r="N2579" s="116">
        <v>424.9</v>
      </c>
      <c r="O2579" s="116">
        <v>404.2</v>
      </c>
      <c r="P2579" s="116">
        <v>419.3</v>
      </c>
      <c r="Q2579" s="116">
        <v>407.15</v>
      </c>
      <c r="R2579">
        <v>40235</v>
      </c>
    </row>
    <row r="2580" spans="1:18" x14ac:dyDescent="0.25">
      <c r="A2580" s="169">
        <v>45838</v>
      </c>
      <c r="B2580" s="116">
        <v>512.45000000000005</v>
      </c>
      <c r="C2580" s="116">
        <v>488.15</v>
      </c>
      <c r="D2580" s="116">
        <v>482</v>
      </c>
      <c r="E2580" s="116">
        <v>489.05</v>
      </c>
      <c r="F2580" s="116">
        <v>488.15</v>
      </c>
      <c r="G2580">
        <v>10641</v>
      </c>
      <c r="H2580" s="116"/>
      <c r="I2580" s="116"/>
      <c r="L2580" s="169">
        <v>45805</v>
      </c>
      <c r="M2580" s="116">
        <v>414.1</v>
      </c>
      <c r="N2580" s="116">
        <v>415.35</v>
      </c>
      <c r="O2580" s="116">
        <v>409.7</v>
      </c>
      <c r="P2580" s="116">
        <v>409.7</v>
      </c>
      <c r="Q2580" s="116">
        <v>414.1</v>
      </c>
      <c r="R2580">
        <v>7467</v>
      </c>
    </row>
    <row r="2581" spans="1:18" x14ac:dyDescent="0.25">
      <c r="A2581" s="169">
        <v>45839</v>
      </c>
      <c r="B2581" s="116">
        <v>482.1</v>
      </c>
      <c r="C2581" s="116">
        <v>468.7</v>
      </c>
      <c r="D2581" s="116">
        <v>466.05</v>
      </c>
      <c r="E2581" s="116">
        <v>481</v>
      </c>
      <c r="F2581" s="116">
        <v>468.7</v>
      </c>
      <c r="G2581">
        <v>7282</v>
      </c>
      <c r="H2581" s="116"/>
      <c r="I2581" s="116"/>
      <c r="L2581" s="169">
        <v>45806</v>
      </c>
      <c r="M2581" s="116">
        <v>423.25</v>
      </c>
      <c r="N2581" s="116">
        <v>429.55</v>
      </c>
      <c r="O2581" s="116">
        <v>415.2</v>
      </c>
      <c r="P2581" s="116">
        <v>419.75</v>
      </c>
      <c r="Q2581" s="116">
        <v>423.25</v>
      </c>
      <c r="R2581">
        <v>39110</v>
      </c>
    </row>
    <row r="2582" spans="1:18" x14ac:dyDescent="0.25">
      <c r="A2582" s="169">
        <v>45840</v>
      </c>
      <c r="B2582" s="116">
        <v>474</v>
      </c>
      <c r="C2582" s="116">
        <v>456.45</v>
      </c>
      <c r="D2582" s="116">
        <v>452.35</v>
      </c>
      <c r="E2582" s="116">
        <v>464.05</v>
      </c>
      <c r="F2582" s="116">
        <v>456.45</v>
      </c>
      <c r="G2582">
        <v>4857</v>
      </c>
      <c r="H2582" s="116"/>
      <c r="I2582" s="116"/>
      <c r="L2582" s="169">
        <v>45807</v>
      </c>
      <c r="M2582" s="116">
        <v>406.55</v>
      </c>
      <c r="N2582" s="116">
        <v>423.65</v>
      </c>
      <c r="O2582" s="116">
        <v>399.9</v>
      </c>
      <c r="P2582" s="116">
        <v>423.65</v>
      </c>
      <c r="Q2582" s="116">
        <v>406.55</v>
      </c>
      <c r="R2582">
        <v>44986</v>
      </c>
    </row>
    <row r="2583" spans="1:18" x14ac:dyDescent="0.25">
      <c r="A2583" s="169">
        <v>45841</v>
      </c>
      <c r="B2583" s="116">
        <v>478.05</v>
      </c>
      <c r="C2583" s="116">
        <v>459.4</v>
      </c>
      <c r="D2583" s="116">
        <v>452.45</v>
      </c>
      <c r="E2583" s="116">
        <v>459.5</v>
      </c>
      <c r="F2583" s="116">
        <v>459.4</v>
      </c>
      <c r="G2583">
        <v>3456</v>
      </c>
      <c r="H2583" s="116"/>
      <c r="I2583" s="116"/>
      <c r="L2583" s="169">
        <v>45810</v>
      </c>
      <c r="M2583" s="116">
        <v>414.35</v>
      </c>
      <c r="N2583" s="116">
        <v>417.25</v>
      </c>
      <c r="O2583" s="116">
        <v>400</v>
      </c>
      <c r="P2583" s="116">
        <v>407</v>
      </c>
      <c r="Q2583" s="116">
        <v>414.35</v>
      </c>
      <c r="R2583">
        <v>17096</v>
      </c>
    </row>
    <row r="2584" spans="1:18" x14ac:dyDescent="0.25">
      <c r="A2584" s="169">
        <v>45842</v>
      </c>
      <c r="B2584" s="116">
        <v>456.3</v>
      </c>
      <c r="C2584" s="116">
        <v>453.9</v>
      </c>
      <c r="D2584" s="116">
        <v>446</v>
      </c>
      <c r="E2584" s="116">
        <v>456</v>
      </c>
      <c r="F2584" s="116">
        <v>453.9</v>
      </c>
      <c r="G2584">
        <v>2030</v>
      </c>
      <c r="H2584" s="116"/>
      <c r="I2584" s="116"/>
      <c r="L2584" s="169">
        <v>45811</v>
      </c>
      <c r="M2584" s="116">
        <v>406.45</v>
      </c>
      <c r="N2584" s="116">
        <v>416.1</v>
      </c>
      <c r="O2584" s="116">
        <v>404.85</v>
      </c>
      <c r="P2584" s="116">
        <v>415.4</v>
      </c>
      <c r="Q2584" s="116">
        <v>406.45</v>
      </c>
      <c r="R2584">
        <v>14507</v>
      </c>
    </row>
    <row r="2585" spans="1:18" x14ac:dyDescent="0.25">
      <c r="A2585" s="169">
        <v>45845</v>
      </c>
      <c r="B2585" s="116">
        <v>458.1</v>
      </c>
      <c r="C2585" s="116">
        <v>442.95</v>
      </c>
      <c r="D2585" s="116">
        <v>441.3</v>
      </c>
      <c r="E2585" s="116">
        <v>455</v>
      </c>
      <c r="F2585" s="116">
        <v>442.95</v>
      </c>
      <c r="G2585">
        <v>4123</v>
      </c>
      <c r="H2585" s="116"/>
      <c r="I2585" s="116"/>
      <c r="L2585" s="169">
        <v>45812</v>
      </c>
      <c r="M2585" s="116">
        <v>404.1</v>
      </c>
      <c r="N2585" s="116">
        <v>410.3</v>
      </c>
      <c r="O2585" s="116">
        <v>397.8</v>
      </c>
      <c r="P2585" s="116">
        <v>408.5</v>
      </c>
      <c r="Q2585" s="116">
        <v>404.1</v>
      </c>
      <c r="R2585">
        <v>44949</v>
      </c>
    </row>
    <row r="2586" spans="1:18" x14ac:dyDescent="0.25">
      <c r="A2586" s="169">
        <v>45846</v>
      </c>
      <c r="B2586" s="116">
        <v>470.9</v>
      </c>
      <c r="C2586" s="116">
        <v>460.8</v>
      </c>
      <c r="D2586" s="116">
        <v>444.5</v>
      </c>
      <c r="E2586" s="116">
        <v>444.5</v>
      </c>
      <c r="F2586" s="116">
        <v>460.8</v>
      </c>
      <c r="G2586">
        <v>3190</v>
      </c>
      <c r="H2586" s="116"/>
      <c r="I2586" s="116"/>
      <c r="L2586" s="169">
        <v>45813</v>
      </c>
      <c r="M2586" s="116">
        <v>421.25</v>
      </c>
      <c r="N2586" s="116">
        <v>424.2</v>
      </c>
      <c r="O2586" s="116">
        <v>403.75</v>
      </c>
      <c r="P2586" s="116">
        <v>406.1</v>
      </c>
      <c r="Q2586" s="116">
        <v>421.25</v>
      </c>
      <c r="R2586">
        <v>41547</v>
      </c>
    </row>
    <row r="2587" spans="1:18" x14ac:dyDescent="0.25">
      <c r="A2587" s="169">
        <v>45847</v>
      </c>
      <c r="B2587" s="116">
        <v>460.55</v>
      </c>
      <c r="C2587" s="116">
        <v>459.75</v>
      </c>
      <c r="D2587" s="116">
        <v>450.15</v>
      </c>
      <c r="E2587" s="116">
        <v>457.25</v>
      </c>
      <c r="F2587" s="116">
        <v>459.75</v>
      </c>
      <c r="G2587">
        <v>1093</v>
      </c>
      <c r="H2587" s="116"/>
      <c r="I2587" s="116"/>
      <c r="L2587" s="169">
        <v>45814</v>
      </c>
      <c r="M2587" s="116">
        <v>430.95</v>
      </c>
      <c r="N2587" s="116">
        <v>442.6</v>
      </c>
      <c r="O2587" s="116">
        <v>417.3</v>
      </c>
      <c r="P2587" s="116">
        <v>421.25</v>
      </c>
      <c r="Q2587" s="116">
        <v>430.95</v>
      </c>
      <c r="R2587">
        <v>96501</v>
      </c>
    </row>
    <row r="2588" spans="1:18" x14ac:dyDescent="0.25">
      <c r="A2588" s="169">
        <v>45848</v>
      </c>
      <c r="B2588" s="116">
        <v>474</v>
      </c>
      <c r="C2588" s="116">
        <v>472.85</v>
      </c>
      <c r="D2588" s="116">
        <v>460.65</v>
      </c>
      <c r="E2588" s="116">
        <v>460.8</v>
      </c>
      <c r="F2588" s="116">
        <v>472.85</v>
      </c>
      <c r="G2588">
        <v>1645</v>
      </c>
      <c r="H2588" s="116"/>
      <c r="I2588" s="116"/>
      <c r="L2588" s="169">
        <v>45817</v>
      </c>
      <c r="M2588" s="116">
        <v>429.45</v>
      </c>
      <c r="N2588" s="116">
        <v>438</v>
      </c>
      <c r="O2588" s="116">
        <v>425.4</v>
      </c>
      <c r="P2588" s="116">
        <v>428.85</v>
      </c>
      <c r="Q2588" s="116">
        <v>429.45</v>
      </c>
      <c r="R2588">
        <v>30191</v>
      </c>
    </row>
    <row r="2589" spans="1:18" x14ac:dyDescent="0.25">
      <c r="A2589" s="169">
        <v>45849</v>
      </c>
      <c r="B2589" s="116">
        <v>467.95</v>
      </c>
      <c r="C2589" s="116">
        <v>451.75</v>
      </c>
      <c r="D2589" s="116">
        <v>448</v>
      </c>
      <c r="E2589" s="116">
        <v>465.65</v>
      </c>
      <c r="F2589" s="116">
        <v>451.75</v>
      </c>
      <c r="G2589">
        <v>8474</v>
      </c>
      <c r="H2589" s="116"/>
      <c r="I2589" s="116"/>
      <c r="L2589" s="169">
        <v>45818</v>
      </c>
      <c r="M2589" s="116">
        <v>424.4</v>
      </c>
      <c r="N2589" s="116">
        <v>438</v>
      </c>
      <c r="O2589" s="116">
        <v>421.05</v>
      </c>
      <c r="P2589" s="116">
        <v>429.45</v>
      </c>
      <c r="Q2589" s="116">
        <v>424.4</v>
      </c>
      <c r="R2589">
        <v>29967</v>
      </c>
    </row>
    <row r="2590" spans="1:18" x14ac:dyDescent="0.25">
      <c r="A2590" s="169">
        <v>45852</v>
      </c>
      <c r="B2590" s="116">
        <v>446.1</v>
      </c>
      <c r="C2590" s="116">
        <v>441.15</v>
      </c>
      <c r="D2590" s="116">
        <v>437</v>
      </c>
      <c r="E2590" s="116">
        <v>445.5</v>
      </c>
      <c r="F2590" s="116">
        <v>441.15</v>
      </c>
      <c r="G2590">
        <v>2274</v>
      </c>
      <c r="H2590" s="116"/>
      <c r="I2590" s="116"/>
      <c r="L2590" s="169">
        <v>45819</v>
      </c>
      <c r="M2590" s="116">
        <v>421.35</v>
      </c>
      <c r="N2590" s="116">
        <v>428.9</v>
      </c>
      <c r="O2590" s="116">
        <v>419.5</v>
      </c>
      <c r="P2590" s="116">
        <v>426.8</v>
      </c>
      <c r="Q2590" s="116">
        <v>421.35</v>
      </c>
      <c r="R2590">
        <v>16832</v>
      </c>
    </row>
    <row r="2591" spans="1:18" x14ac:dyDescent="0.25">
      <c r="A2591" s="169">
        <v>45853</v>
      </c>
      <c r="B2591" s="116">
        <v>467.45</v>
      </c>
      <c r="C2591" s="116">
        <v>463.6</v>
      </c>
      <c r="D2591" s="116">
        <v>430.5</v>
      </c>
      <c r="E2591" s="116">
        <v>434.75</v>
      </c>
      <c r="F2591" s="116">
        <v>463.6</v>
      </c>
      <c r="G2591">
        <v>4792</v>
      </c>
      <c r="H2591" s="116"/>
      <c r="I2591" s="116"/>
      <c r="L2591" s="169">
        <v>45820</v>
      </c>
      <c r="M2591" s="116">
        <v>420.15</v>
      </c>
      <c r="N2591" s="116">
        <v>424</v>
      </c>
      <c r="O2591" s="116">
        <v>418</v>
      </c>
      <c r="P2591" s="116">
        <v>423.4</v>
      </c>
      <c r="Q2591" s="116">
        <v>420.15</v>
      </c>
      <c r="R2591">
        <v>14700</v>
      </c>
    </row>
    <row r="2592" spans="1:18" x14ac:dyDescent="0.25">
      <c r="A2592" s="169">
        <v>45854</v>
      </c>
      <c r="B2592" s="116">
        <v>480.1</v>
      </c>
      <c r="C2592" s="116">
        <v>468.75</v>
      </c>
      <c r="D2592" s="116">
        <v>466.75</v>
      </c>
      <c r="E2592" s="116">
        <v>472.3</v>
      </c>
      <c r="F2592" s="116">
        <v>468.75</v>
      </c>
      <c r="G2592">
        <v>2605</v>
      </c>
      <c r="H2592" s="116"/>
      <c r="I2592" s="116"/>
      <c r="L2592" s="169">
        <v>45821</v>
      </c>
      <c r="M2592" s="116">
        <v>419.7</v>
      </c>
      <c r="N2592" s="116">
        <v>422.15</v>
      </c>
      <c r="O2592" s="116">
        <v>407.8</v>
      </c>
      <c r="P2592" s="116">
        <v>420.15</v>
      </c>
      <c r="Q2592" s="116">
        <v>419.7</v>
      </c>
      <c r="R2592">
        <v>32344</v>
      </c>
    </row>
    <row r="2593" spans="1:18" x14ac:dyDescent="0.25">
      <c r="A2593" s="169">
        <v>45855</v>
      </c>
      <c r="B2593" s="116">
        <v>477.35</v>
      </c>
      <c r="C2593" s="116">
        <v>476.05</v>
      </c>
      <c r="D2593" s="116">
        <v>465.55</v>
      </c>
      <c r="E2593" s="116">
        <v>465.55</v>
      </c>
      <c r="F2593" s="116">
        <v>476.05</v>
      </c>
      <c r="G2593">
        <v>1766</v>
      </c>
      <c r="H2593" s="116"/>
      <c r="I2593" s="116"/>
      <c r="L2593" s="169">
        <v>45824</v>
      </c>
      <c r="M2593" s="116">
        <v>440.65</v>
      </c>
      <c r="N2593" s="116">
        <v>465</v>
      </c>
      <c r="O2593" s="116">
        <v>414.75</v>
      </c>
      <c r="P2593" s="116">
        <v>418.2</v>
      </c>
      <c r="Q2593" s="116">
        <v>440.65</v>
      </c>
      <c r="R2593">
        <v>267175</v>
      </c>
    </row>
    <row r="2594" spans="1:18" x14ac:dyDescent="0.25">
      <c r="A2594" s="169">
        <v>45856</v>
      </c>
      <c r="B2594" s="116">
        <v>476.95</v>
      </c>
      <c r="C2594" s="116">
        <v>467.4</v>
      </c>
      <c r="D2594" s="116">
        <v>458.05</v>
      </c>
      <c r="E2594" s="116">
        <v>474.05</v>
      </c>
      <c r="F2594" s="116">
        <v>467.4</v>
      </c>
      <c r="G2594">
        <v>7409</v>
      </c>
      <c r="H2594" s="116"/>
      <c r="I2594" s="116"/>
      <c r="L2594" s="169">
        <v>45825</v>
      </c>
      <c r="M2594" s="116">
        <v>429.1</v>
      </c>
      <c r="N2594" s="116">
        <v>441.95</v>
      </c>
      <c r="O2594" s="116">
        <v>425.5</v>
      </c>
      <c r="P2594" s="116">
        <v>441.95</v>
      </c>
      <c r="Q2594" s="116">
        <v>429.1</v>
      </c>
      <c r="R2594">
        <v>30951</v>
      </c>
    </row>
    <row r="2595" spans="1:18" x14ac:dyDescent="0.25">
      <c r="A2595" s="169">
        <v>45859</v>
      </c>
      <c r="B2595" s="116">
        <v>487</v>
      </c>
      <c r="C2595" s="116">
        <v>467</v>
      </c>
      <c r="D2595" s="116">
        <v>460.65</v>
      </c>
      <c r="E2595" s="116">
        <v>487</v>
      </c>
      <c r="F2595" s="116">
        <v>467</v>
      </c>
      <c r="G2595">
        <v>3275</v>
      </c>
      <c r="H2595" s="116"/>
      <c r="I2595" s="116"/>
      <c r="L2595" s="169">
        <v>45826</v>
      </c>
      <c r="M2595" s="116">
        <v>423.7</v>
      </c>
      <c r="N2595" s="116">
        <v>436.8</v>
      </c>
      <c r="O2595" s="116">
        <v>419.8</v>
      </c>
      <c r="P2595" s="116">
        <v>428.45</v>
      </c>
      <c r="Q2595" s="116">
        <v>423.7</v>
      </c>
      <c r="R2595">
        <v>38360</v>
      </c>
    </row>
    <row r="2596" spans="1:18" x14ac:dyDescent="0.25">
      <c r="A2596" s="169">
        <v>45860</v>
      </c>
      <c r="B2596" s="116">
        <v>471.95</v>
      </c>
      <c r="C2596" s="116">
        <v>458.1</v>
      </c>
      <c r="D2596" s="116">
        <v>456.75</v>
      </c>
      <c r="E2596" s="116">
        <v>467</v>
      </c>
      <c r="F2596" s="116">
        <v>458.1</v>
      </c>
      <c r="G2596">
        <v>1311</v>
      </c>
      <c r="H2596" s="116"/>
      <c r="I2596" s="116"/>
      <c r="L2596" s="169">
        <v>45827</v>
      </c>
      <c r="M2596" s="116">
        <v>412.6</v>
      </c>
      <c r="N2596" s="116">
        <v>425.75</v>
      </c>
      <c r="O2596" s="116">
        <v>408.3</v>
      </c>
      <c r="P2596" s="116">
        <v>424.75</v>
      </c>
      <c r="Q2596" s="116">
        <v>412.6</v>
      </c>
      <c r="R2596">
        <v>35158</v>
      </c>
    </row>
    <row r="2597" spans="1:18" x14ac:dyDescent="0.25">
      <c r="A2597" s="169">
        <v>45861</v>
      </c>
      <c r="B2597" s="116">
        <v>461.7</v>
      </c>
      <c r="C2597" s="116">
        <v>459.25</v>
      </c>
      <c r="D2597" s="116">
        <v>450.85</v>
      </c>
      <c r="E2597" s="116">
        <v>459.35</v>
      </c>
      <c r="F2597" s="116">
        <v>459.25</v>
      </c>
      <c r="G2597">
        <v>1032</v>
      </c>
      <c r="H2597" s="116"/>
      <c r="I2597" s="116"/>
      <c r="L2597" s="169">
        <v>45828</v>
      </c>
      <c r="M2597" s="116">
        <v>433.55</v>
      </c>
      <c r="N2597" s="116">
        <v>437.95</v>
      </c>
      <c r="O2597" s="116">
        <v>408.65</v>
      </c>
      <c r="P2597" s="116">
        <v>409.5</v>
      </c>
      <c r="Q2597" s="116">
        <v>433.55</v>
      </c>
      <c r="R2597">
        <v>63087</v>
      </c>
    </row>
    <row r="2598" spans="1:18" x14ac:dyDescent="0.25">
      <c r="A2598" s="169">
        <v>45862</v>
      </c>
      <c r="B2598" s="116">
        <v>465.45</v>
      </c>
      <c r="C2598" s="116">
        <v>453.45</v>
      </c>
      <c r="D2598" s="116">
        <v>448.4</v>
      </c>
      <c r="E2598" s="116">
        <v>459</v>
      </c>
      <c r="F2598" s="116">
        <v>453.45</v>
      </c>
      <c r="G2598">
        <v>3407</v>
      </c>
      <c r="H2598" s="116"/>
      <c r="I2598" s="116"/>
      <c r="L2598" s="169">
        <v>45831</v>
      </c>
      <c r="M2598" s="116">
        <v>446.2</v>
      </c>
      <c r="N2598" s="116">
        <v>455</v>
      </c>
      <c r="O2598" s="116">
        <v>428</v>
      </c>
      <c r="P2598" s="116">
        <v>433.95</v>
      </c>
      <c r="Q2598" s="116">
        <v>446.2</v>
      </c>
      <c r="R2598">
        <v>141410</v>
      </c>
    </row>
    <row r="2599" spans="1:18" x14ac:dyDescent="0.25">
      <c r="A2599" s="169">
        <v>45863</v>
      </c>
      <c r="B2599" s="116">
        <v>452.6</v>
      </c>
      <c r="C2599" s="116">
        <v>449.7</v>
      </c>
      <c r="D2599" s="116">
        <v>443.3</v>
      </c>
      <c r="E2599" s="116">
        <v>451.65</v>
      </c>
      <c r="F2599" s="116">
        <v>449.7</v>
      </c>
      <c r="G2599">
        <v>961</v>
      </c>
      <c r="H2599" s="116"/>
      <c r="I2599" s="116"/>
      <c r="L2599" s="169">
        <v>45832</v>
      </c>
      <c r="M2599" s="116">
        <v>444.75</v>
      </c>
      <c r="N2599" s="116">
        <v>458.95</v>
      </c>
      <c r="O2599" s="116">
        <v>442.95</v>
      </c>
      <c r="P2599" s="116">
        <v>451</v>
      </c>
      <c r="Q2599" s="116">
        <v>444.75</v>
      </c>
      <c r="R2599">
        <v>51265</v>
      </c>
    </row>
    <row r="2600" spans="1:18" x14ac:dyDescent="0.25">
      <c r="A2600" s="169">
        <v>45866</v>
      </c>
      <c r="B2600" s="116">
        <v>447.6</v>
      </c>
      <c r="C2600" s="116">
        <v>428.05</v>
      </c>
      <c r="D2600" s="116">
        <v>423.3</v>
      </c>
      <c r="E2600" s="116">
        <v>442.95</v>
      </c>
      <c r="F2600" s="116">
        <v>428.05</v>
      </c>
      <c r="G2600">
        <v>5209</v>
      </c>
      <c r="H2600" s="116"/>
      <c r="I2600" s="116"/>
      <c r="L2600" s="169">
        <v>45833</v>
      </c>
      <c r="M2600" s="116">
        <v>439.75</v>
      </c>
      <c r="N2600" s="116">
        <v>452.9</v>
      </c>
      <c r="O2600" s="116">
        <v>431.8</v>
      </c>
      <c r="P2600" s="116">
        <v>448.1</v>
      </c>
      <c r="Q2600" s="116">
        <v>439.75</v>
      </c>
      <c r="R2600">
        <v>37722</v>
      </c>
    </row>
    <row r="2601" spans="1:18" x14ac:dyDescent="0.25">
      <c r="A2601" s="169">
        <v>45867</v>
      </c>
      <c r="B2601" s="116">
        <v>454</v>
      </c>
      <c r="C2601" s="116">
        <v>444.45</v>
      </c>
      <c r="D2601" s="116">
        <v>429.65</v>
      </c>
      <c r="E2601" s="116">
        <v>454</v>
      </c>
      <c r="F2601" s="116">
        <v>444.45</v>
      </c>
      <c r="G2601">
        <v>1037</v>
      </c>
      <c r="H2601" s="116"/>
      <c r="I2601" s="116"/>
      <c r="L2601" s="169">
        <v>45834</v>
      </c>
      <c r="M2601" s="116">
        <v>440.75</v>
      </c>
      <c r="N2601" s="116">
        <v>451.25</v>
      </c>
      <c r="O2601" s="116">
        <v>437.6</v>
      </c>
      <c r="P2601" s="116">
        <v>440.85</v>
      </c>
      <c r="Q2601" s="116">
        <v>440.75</v>
      </c>
      <c r="R2601">
        <v>31251</v>
      </c>
    </row>
    <row r="2602" spans="1:18" x14ac:dyDescent="0.25">
      <c r="A2602" s="169">
        <v>45868</v>
      </c>
      <c r="B2602" s="116">
        <v>449.45</v>
      </c>
      <c r="C2602" s="116">
        <v>445.65</v>
      </c>
      <c r="D2602" s="116">
        <v>438.7</v>
      </c>
      <c r="E2602" s="116">
        <v>441.75</v>
      </c>
      <c r="F2602" s="116">
        <v>445.65</v>
      </c>
      <c r="G2602">
        <v>333</v>
      </c>
      <c r="H2602" s="116"/>
      <c r="I2602" s="116"/>
      <c r="L2602" s="169">
        <v>45835</v>
      </c>
      <c r="M2602" s="116">
        <v>491.9</v>
      </c>
      <c r="N2602" s="116">
        <v>502.2</v>
      </c>
      <c r="O2602" s="116">
        <v>439.7</v>
      </c>
      <c r="P2602" s="116">
        <v>442.95</v>
      </c>
      <c r="Q2602" s="116">
        <v>491.9</v>
      </c>
      <c r="R2602">
        <v>465801</v>
      </c>
    </row>
    <row r="2603" spans="1:18" x14ac:dyDescent="0.25">
      <c r="A2603" s="169">
        <v>45869</v>
      </c>
      <c r="B2603" s="116">
        <v>438.5</v>
      </c>
      <c r="C2603" s="116">
        <v>433</v>
      </c>
      <c r="D2603" s="116">
        <v>405.1</v>
      </c>
      <c r="E2603" s="116">
        <v>405.1</v>
      </c>
      <c r="F2603" s="116">
        <v>433</v>
      </c>
      <c r="G2603">
        <v>3299</v>
      </c>
      <c r="H2603" s="116"/>
      <c r="I2603" s="116"/>
      <c r="L2603" s="169">
        <v>45838</v>
      </c>
      <c r="M2603" s="116">
        <v>487.15</v>
      </c>
      <c r="N2603" s="116">
        <v>513</v>
      </c>
      <c r="O2603" s="116">
        <v>481.1</v>
      </c>
      <c r="P2603" s="116">
        <v>490</v>
      </c>
      <c r="Q2603" s="116">
        <v>487.15</v>
      </c>
      <c r="R2603">
        <v>175655</v>
      </c>
    </row>
    <row r="2604" spans="1:18" x14ac:dyDescent="0.25">
      <c r="A2604" s="169">
        <v>45870</v>
      </c>
      <c r="B2604" s="116">
        <v>433.55</v>
      </c>
      <c r="C2604" s="116">
        <v>414.45</v>
      </c>
      <c r="D2604" s="116">
        <v>408.25</v>
      </c>
      <c r="E2604" s="116">
        <v>433.4</v>
      </c>
      <c r="F2604" s="116">
        <v>414.45</v>
      </c>
      <c r="G2604">
        <v>309</v>
      </c>
      <c r="H2604" s="116"/>
      <c r="I2604" s="116"/>
      <c r="L2604" s="169">
        <v>45839</v>
      </c>
      <c r="M2604" s="116">
        <v>468.55</v>
      </c>
      <c r="N2604" s="116">
        <v>484.1</v>
      </c>
      <c r="O2604" s="116">
        <v>465.65</v>
      </c>
      <c r="P2604" s="116">
        <v>484.1</v>
      </c>
      <c r="Q2604" s="116">
        <v>468.55</v>
      </c>
      <c r="R2604">
        <v>61186</v>
      </c>
    </row>
    <row r="2605" spans="1:18" x14ac:dyDescent="0.25">
      <c r="A2605" s="169">
        <v>45873</v>
      </c>
      <c r="B2605" s="116">
        <v>408.9</v>
      </c>
      <c r="C2605" s="116">
        <v>392.85</v>
      </c>
      <c r="D2605" s="116">
        <v>385</v>
      </c>
      <c r="E2605" s="116">
        <v>408.9</v>
      </c>
      <c r="F2605" s="116">
        <v>392.85</v>
      </c>
      <c r="G2605">
        <v>1740</v>
      </c>
      <c r="H2605" s="116"/>
      <c r="I2605" s="116"/>
      <c r="L2605" s="169">
        <v>45840</v>
      </c>
      <c r="M2605" s="116">
        <v>460.5</v>
      </c>
      <c r="N2605" s="116">
        <v>477</v>
      </c>
      <c r="O2605" s="116">
        <v>455.7</v>
      </c>
      <c r="P2605" s="116">
        <v>470.5</v>
      </c>
      <c r="Q2605" s="116">
        <v>460.5</v>
      </c>
      <c r="R2605">
        <v>48977</v>
      </c>
    </row>
    <row r="2606" spans="1:18" x14ac:dyDescent="0.25">
      <c r="A2606" s="169">
        <v>45874</v>
      </c>
      <c r="B2606" s="116">
        <v>387.05</v>
      </c>
      <c r="C2606" s="116">
        <v>360.75</v>
      </c>
      <c r="D2606" s="116">
        <v>357.9</v>
      </c>
      <c r="E2606" s="116">
        <v>382.65</v>
      </c>
      <c r="F2606" s="116">
        <v>360.75</v>
      </c>
      <c r="G2606">
        <v>24520</v>
      </c>
      <c r="H2606" s="116"/>
      <c r="I2606" s="116"/>
      <c r="L2606" s="169">
        <v>45841</v>
      </c>
      <c r="M2606" s="116">
        <v>458.85</v>
      </c>
      <c r="N2606" s="116">
        <v>479.45</v>
      </c>
      <c r="O2606" s="116">
        <v>453</v>
      </c>
      <c r="P2606" s="116">
        <v>462.95</v>
      </c>
      <c r="Q2606" s="116">
        <v>458.85</v>
      </c>
      <c r="R2606">
        <v>79749</v>
      </c>
    </row>
    <row r="2607" spans="1:18" x14ac:dyDescent="0.25">
      <c r="A2607" s="169">
        <v>45875</v>
      </c>
      <c r="B2607" s="116">
        <v>383.85</v>
      </c>
      <c r="C2607" s="116">
        <v>377.35</v>
      </c>
      <c r="D2607" s="116">
        <v>356</v>
      </c>
      <c r="E2607" s="116">
        <v>366.4</v>
      </c>
      <c r="F2607" s="116">
        <v>377.35</v>
      </c>
      <c r="G2607">
        <v>6300</v>
      </c>
      <c r="H2607" s="116"/>
      <c r="I2607" s="116"/>
      <c r="L2607" s="169">
        <v>45842</v>
      </c>
      <c r="M2607" s="116">
        <v>453.8</v>
      </c>
      <c r="N2607" s="116">
        <v>458.5</v>
      </c>
      <c r="O2607" s="116">
        <v>445.4</v>
      </c>
      <c r="P2607" s="116">
        <v>458.5</v>
      </c>
      <c r="Q2607" s="116">
        <v>453.8</v>
      </c>
      <c r="R2607">
        <v>42425</v>
      </c>
    </row>
    <row r="2608" spans="1:18" x14ac:dyDescent="0.25">
      <c r="A2608" s="169">
        <v>45876</v>
      </c>
      <c r="B2608" s="116">
        <v>377</v>
      </c>
      <c r="C2608" s="116">
        <v>373.85</v>
      </c>
      <c r="D2608" s="116">
        <v>360.05</v>
      </c>
      <c r="E2608" s="116">
        <v>370</v>
      </c>
      <c r="F2608" s="116">
        <v>373.85</v>
      </c>
      <c r="G2608">
        <v>9389</v>
      </c>
      <c r="H2608" s="116"/>
      <c r="I2608" s="116"/>
      <c r="L2608" s="169">
        <v>45845</v>
      </c>
      <c r="M2608" s="116">
        <v>443.1</v>
      </c>
      <c r="N2608" s="116">
        <v>458.55</v>
      </c>
      <c r="O2608" s="116">
        <v>441</v>
      </c>
      <c r="P2608" s="116">
        <v>455</v>
      </c>
      <c r="Q2608" s="116">
        <v>443.1</v>
      </c>
      <c r="R2608">
        <v>23816</v>
      </c>
    </row>
    <row r="2609" spans="1:18" x14ac:dyDescent="0.25">
      <c r="A2609" s="169">
        <v>45877</v>
      </c>
      <c r="B2609" s="116">
        <v>374.75</v>
      </c>
      <c r="C2609" s="116">
        <v>369.6</v>
      </c>
      <c r="D2609" s="116">
        <v>366</v>
      </c>
      <c r="E2609" s="116">
        <v>373.85</v>
      </c>
      <c r="F2609" s="116">
        <v>369.6</v>
      </c>
      <c r="G2609">
        <v>203</v>
      </c>
      <c r="H2609" s="116"/>
      <c r="I2609" s="116"/>
      <c r="L2609" s="169">
        <v>45846</v>
      </c>
      <c r="M2609" s="116">
        <v>461.45</v>
      </c>
      <c r="N2609" s="116">
        <v>471.3</v>
      </c>
      <c r="O2609" s="116">
        <v>444.45</v>
      </c>
      <c r="P2609" s="116">
        <v>446.95</v>
      </c>
      <c r="Q2609" s="116">
        <v>461.45</v>
      </c>
      <c r="R2609">
        <v>125041</v>
      </c>
    </row>
    <row r="2610" spans="1:18" x14ac:dyDescent="0.25">
      <c r="A2610" s="169">
        <v>45880</v>
      </c>
      <c r="B2610" s="116">
        <v>371.75</v>
      </c>
      <c r="C2610" s="116">
        <v>369.4</v>
      </c>
      <c r="D2610" s="116">
        <v>356.7</v>
      </c>
      <c r="E2610" s="116">
        <v>361.4</v>
      </c>
      <c r="F2610" s="116">
        <v>369.4</v>
      </c>
      <c r="G2610">
        <v>1749</v>
      </c>
      <c r="H2610" s="116"/>
      <c r="I2610" s="116"/>
      <c r="L2610" s="169">
        <v>45847</v>
      </c>
      <c r="M2610" s="116">
        <v>460.7</v>
      </c>
      <c r="N2610" s="116">
        <v>469</v>
      </c>
      <c r="O2610" s="116">
        <v>449.55</v>
      </c>
      <c r="P2610" s="116">
        <v>457.8</v>
      </c>
      <c r="Q2610" s="116">
        <v>460.7</v>
      </c>
      <c r="R2610">
        <v>21713</v>
      </c>
    </row>
    <row r="2611" spans="1:18" x14ac:dyDescent="0.25">
      <c r="A2611" s="169">
        <v>45881</v>
      </c>
      <c r="B2611" s="116">
        <v>371.3</v>
      </c>
      <c r="C2611" s="116">
        <v>369.05</v>
      </c>
      <c r="D2611" s="116">
        <v>366.6</v>
      </c>
      <c r="E2611" s="116">
        <v>370</v>
      </c>
      <c r="F2611" s="116">
        <v>369.05</v>
      </c>
      <c r="G2611">
        <v>1216</v>
      </c>
      <c r="H2611" s="116"/>
      <c r="I2611" s="116"/>
      <c r="L2611" s="169">
        <v>45848</v>
      </c>
      <c r="M2611" s="116">
        <v>471.55</v>
      </c>
      <c r="N2611" s="116">
        <v>474.9</v>
      </c>
      <c r="O2611" s="116">
        <v>459.55</v>
      </c>
      <c r="P2611" s="116">
        <v>462.4</v>
      </c>
      <c r="Q2611" s="116">
        <v>471.55</v>
      </c>
      <c r="R2611">
        <v>53961</v>
      </c>
    </row>
    <row r="2612" spans="1:18" x14ac:dyDescent="0.25">
      <c r="A2612" s="169">
        <v>45882</v>
      </c>
      <c r="B2612" s="116">
        <v>369.9</v>
      </c>
      <c r="C2612" s="116">
        <v>367</v>
      </c>
      <c r="D2612" s="116">
        <v>366.8</v>
      </c>
      <c r="E2612" s="116">
        <v>366.8</v>
      </c>
      <c r="F2612" s="116">
        <v>367</v>
      </c>
      <c r="G2612">
        <v>313</v>
      </c>
      <c r="H2612" s="116"/>
      <c r="I2612" s="116"/>
      <c r="L2612" s="169">
        <v>45849</v>
      </c>
      <c r="M2612" s="116">
        <v>451.15</v>
      </c>
      <c r="N2612" s="116">
        <v>468.05</v>
      </c>
      <c r="O2612" s="116">
        <v>447.6</v>
      </c>
      <c r="P2612" s="116">
        <v>467.1</v>
      </c>
      <c r="Q2612" s="116">
        <v>451.15</v>
      </c>
      <c r="R2612">
        <v>37759</v>
      </c>
    </row>
    <row r="2613" spans="1:18" x14ac:dyDescent="0.25">
      <c r="A2613" s="169">
        <v>45883</v>
      </c>
      <c r="B2613" s="116">
        <v>365.35</v>
      </c>
      <c r="C2613" s="116">
        <v>361.15</v>
      </c>
      <c r="D2613" s="116">
        <v>361.15</v>
      </c>
      <c r="E2613" s="116">
        <v>365.2</v>
      </c>
      <c r="F2613" s="116">
        <v>361.15</v>
      </c>
      <c r="G2613">
        <v>105</v>
      </c>
      <c r="H2613" s="116"/>
      <c r="I2613" s="116"/>
      <c r="L2613" s="169">
        <v>45852</v>
      </c>
      <c r="M2613" s="116">
        <v>440.75</v>
      </c>
      <c r="N2613" s="116">
        <v>450</v>
      </c>
      <c r="O2613" s="116">
        <v>435.9</v>
      </c>
      <c r="P2613" s="116">
        <v>450</v>
      </c>
      <c r="Q2613" s="116">
        <v>440.75</v>
      </c>
      <c r="R2613">
        <v>35729</v>
      </c>
    </row>
    <row r="2614" spans="1:18" x14ac:dyDescent="0.25">
      <c r="A2614" s="169">
        <v>45887</v>
      </c>
      <c r="B2614" s="116">
        <v>367</v>
      </c>
      <c r="C2614" s="116">
        <v>359</v>
      </c>
      <c r="D2614" s="116">
        <v>357.5</v>
      </c>
      <c r="E2614" s="116">
        <v>365.9</v>
      </c>
      <c r="F2614" s="116">
        <v>359</v>
      </c>
      <c r="G2614">
        <v>316</v>
      </c>
      <c r="H2614" s="116"/>
      <c r="I2614" s="116"/>
      <c r="L2614" s="169">
        <v>45853</v>
      </c>
      <c r="M2614" s="116">
        <v>463.95</v>
      </c>
      <c r="N2614" s="116">
        <v>468</v>
      </c>
      <c r="O2614" s="116">
        <v>436.9</v>
      </c>
      <c r="P2614" s="116">
        <v>436.9</v>
      </c>
      <c r="Q2614" s="116">
        <v>463.95</v>
      </c>
      <c r="R2614">
        <v>61347</v>
      </c>
    </row>
    <row r="2615" spans="1:18" x14ac:dyDescent="0.25">
      <c r="A2615" s="169">
        <v>45888</v>
      </c>
      <c r="B2615" s="116">
        <v>372.45</v>
      </c>
      <c r="C2615" s="116">
        <v>369.2</v>
      </c>
      <c r="D2615" s="116">
        <v>366.6</v>
      </c>
      <c r="E2615" s="116">
        <v>366.6</v>
      </c>
      <c r="F2615" s="116">
        <v>369.2</v>
      </c>
      <c r="G2615">
        <v>533</v>
      </c>
      <c r="H2615" s="116"/>
      <c r="I2615" s="116"/>
      <c r="L2615" s="169">
        <v>45854</v>
      </c>
      <c r="M2615" s="116">
        <v>468.8</v>
      </c>
      <c r="N2615" s="116">
        <v>480</v>
      </c>
      <c r="O2615" s="116">
        <v>463.95</v>
      </c>
      <c r="P2615" s="116">
        <v>463.95</v>
      </c>
      <c r="Q2615" s="116">
        <v>468.8</v>
      </c>
      <c r="R2615">
        <v>74745</v>
      </c>
    </row>
    <row r="2616" spans="1:18" x14ac:dyDescent="0.25">
      <c r="A2616" s="169">
        <v>45889</v>
      </c>
      <c r="B2616" s="116">
        <v>371.3</v>
      </c>
      <c r="C2616" s="116">
        <v>364</v>
      </c>
      <c r="D2616" s="116">
        <v>358.55</v>
      </c>
      <c r="E2616" s="116">
        <v>368.35</v>
      </c>
      <c r="F2616" s="116">
        <v>364</v>
      </c>
      <c r="G2616">
        <v>1589</v>
      </c>
      <c r="H2616" s="116"/>
      <c r="I2616" s="116"/>
      <c r="L2616" s="169">
        <v>45855</v>
      </c>
      <c r="M2616" s="116">
        <v>475.2</v>
      </c>
      <c r="N2616" s="116">
        <v>479.15</v>
      </c>
      <c r="O2616" s="116">
        <v>461</v>
      </c>
      <c r="P2616" s="116">
        <v>469.05</v>
      </c>
      <c r="Q2616" s="116">
        <v>475.2</v>
      </c>
      <c r="R2616">
        <v>42184</v>
      </c>
    </row>
    <row r="2617" spans="1:18" x14ac:dyDescent="0.25">
      <c r="A2617" s="169">
        <v>45890</v>
      </c>
      <c r="B2617" s="116">
        <v>368</v>
      </c>
      <c r="C2617" s="116">
        <v>359.65</v>
      </c>
      <c r="D2617" s="116">
        <v>357.95</v>
      </c>
      <c r="E2617" s="116">
        <v>366.9</v>
      </c>
      <c r="F2617" s="116">
        <v>359.65</v>
      </c>
      <c r="G2617">
        <v>1473</v>
      </c>
      <c r="H2617" s="116"/>
      <c r="I2617" s="116"/>
      <c r="L2617" s="169">
        <v>45856</v>
      </c>
      <c r="M2617" s="116">
        <v>466.6</v>
      </c>
      <c r="N2617" s="116">
        <v>478</v>
      </c>
      <c r="O2617" s="116">
        <v>458.3</v>
      </c>
      <c r="P2617" s="116">
        <v>475.2</v>
      </c>
      <c r="Q2617" s="116">
        <v>466.6</v>
      </c>
      <c r="R2617">
        <v>30633</v>
      </c>
    </row>
    <row r="2618" spans="1:18" x14ac:dyDescent="0.25">
      <c r="A2618" s="169">
        <v>45891</v>
      </c>
      <c r="B2618" s="116">
        <v>368.5</v>
      </c>
      <c r="C2618" s="116">
        <v>362</v>
      </c>
      <c r="D2618" s="116">
        <v>362</v>
      </c>
      <c r="E2618" s="116">
        <v>362.9</v>
      </c>
      <c r="F2618" s="116">
        <v>362</v>
      </c>
      <c r="G2618">
        <v>520</v>
      </c>
      <c r="H2618" s="116"/>
      <c r="I2618" s="116"/>
      <c r="L2618" s="169">
        <v>45859</v>
      </c>
      <c r="M2618" s="116">
        <v>467.8</v>
      </c>
      <c r="N2618" s="116">
        <v>476.95</v>
      </c>
      <c r="O2618" s="116">
        <v>460.85</v>
      </c>
      <c r="P2618" s="116">
        <v>463.85</v>
      </c>
      <c r="Q2618" s="116">
        <v>467.8</v>
      </c>
      <c r="R2618">
        <v>23703</v>
      </c>
    </row>
    <row r="2619" spans="1:18" x14ac:dyDescent="0.25">
      <c r="A2619" s="169">
        <v>45894</v>
      </c>
      <c r="B2619" s="116">
        <v>362.25</v>
      </c>
      <c r="C2619" s="116">
        <v>356.9</v>
      </c>
      <c r="D2619" s="116">
        <v>353.2</v>
      </c>
      <c r="E2619" s="116">
        <v>362.25</v>
      </c>
      <c r="F2619" s="116">
        <v>356.9</v>
      </c>
      <c r="G2619">
        <v>653</v>
      </c>
      <c r="H2619" s="116"/>
      <c r="I2619" s="116"/>
      <c r="L2619" s="169">
        <v>45860</v>
      </c>
      <c r="M2619" s="116">
        <v>457.3</v>
      </c>
      <c r="N2619" s="116">
        <v>472.1</v>
      </c>
      <c r="O2619" s="116">
        <v>456.35</v>
      </c>
      <c r="P2619" s="116">
        <v>468.95</v>
      </c>
      <c r="Q2619" s="116">
        <v>457.3</v>
      </c>
      <c r="R2619">
        <v>21786</v>
      </c>
    </row>
    <row r="2620" spans="1:18" x14ac:dyDescent="0.25">
      <c r="A2620" s="169">
        <v>45895</v>
      </c>
      <c r="B2620" s="116">
        <v>352.65</v>
      </c>
      <c r="C2620" s="116">
        <v>345.9</v>
      </c>
      <c r="D2620" s="116">
        <v>340.9</v>
      </c>
      <c r="E2620" s="116">
        <v>351.85</v>
      </c>
      <c r="F2620" s="116">
        <v>345.9</v>
      </c>
      <c r="G2620">
        <v>1200</v>
      </c>
      <c r="H2620" s="116"/>
      <c r="I2620" s="116"/>
      <c r="L2620" s="169">
        <v>45861</v>
      </c>
      <c r="M2620" s="116">
        <v>456.3</v>
      </c>
      <c r="N2620" s="116">
        <v>459.95</v>
      </c>
      <c r="O2620" s="116">
        <v>451</v>
      </c>
      <c r="P2620" s="116">
        <v>454.85</v>
      </c>
      <c r="Q2620" s="116">
        <v>456.3</v>
      </c>
      <c r="R2620">
        <v>13078</v>
      </c>
    </row>
    <row r="2621" spans="1:18" x14ac:dyDescent="0.25">
      <c r="A2621" s="169">
        <v>45897</v>
      </c>
      <c r="B2621" s="116">
        <v>379.25</v>
      </c>
      <c r="C2621" s="116">
        <v>372.1</v>
      </c>
      <c r="D2621" s="116">
        <v>344</v>
      </c>
      <c r="E2621" s="116">
        <v>345.9</v>
      </c>
      <c r="F2621" s="116">
        <v>372.1</v>
      </c>
      <c r="G2621">
        <v>18042</v>
      </c>
      <c r="H2621" s="116"/>
      <c r="I2621" s="116"/>
      <c r="L2621" s="169">
        <v>45862</v>
      </c>
      <c r="M2621" s="116">
        <v>456.6</v>
      </c>
      <c r="N2621" s="116">
        <v>467.95</v>
      </c>
      <c r="O2621" s="116">
        <v>447.05</v>
      </c>
      <c r="P2621" s="116">
        <v>459</v>
      </c>
      <c r="Q2621" s="116">
        <v>456.6</v>
      </c>
      <c r="R2621">
        <v>37506</v>
      </c>
    </row>
    <row r="2622" spans="1:18" x14ac:dyDescent="0.25">
      <c r="A2622" s="169">
        <v>45898</v>
      </c>
      <c r="B2622" s="116">
        <v>379.6</v>
      </c>
      <c r="C2622" s="116">
        <v>366.75</v>
      </c>
      <c r="D2622" s="116">
        <v>352.65</v>
      </c>
      <c r="E2622" s="116">
        <v>366.85</v>
      </c>
      <c r="F2622" s="116">
        <v>366.75</v>
      </c>
      <c r="G2622">
        <v>920</v>
      </c>
      <c r="H2622" s="116"/>
      <c r="I2622" s="116"/>
      <c r="L2622" s="169">
        <v>45863</v>
      </c>
      <c r="M2622" s="116">
        <v>448.35</v>
      </c>
      <c r="N2622" s="116">
        <v>459.7</v>
      </c>
      <c r="O2622" s="116">
        <v>443.4</v>
      </c>
      <c r="P2622" s="116">
        <v>459.7</v>
      </c>
      <c r="Q2622" s="116">
        <v>448.35</v>
      </c>
      <c r="R2622">
        <v>16183</v>
      </c>
    </row>
    <row r="2623" spans="1:18" x14ac:dyDescent="0.25">
      <c r="A2623" s="169">
        <v>45901</v>
      </c>
      <c r="B2623" s="116">
        <v>380.2</v>
      </c>
      <c r="C2623" s="116">
        <v>377.8</v>
      </c>
      <c r="D2623" s="116">
        <v>365.2</v>
      </c>
      <c r="E2623" s="116">
        <v>369.15</v>
      </c>
      <c r="F2623" s="116">
        <v>377.8</v>
      </c>
      <c r="G2623">
        <v>762</v>
      </c>
      <c r="H2623" s="116"/>
      <c r="I2623" s="116"/>
      <c r="L2623" s="169">
        <v>45866</v>
      </c>
      <c r="M2623" s="116">
        <v>429.9</v>
      </c>
      <c r="N2623" s="116">
        <v>447.9</v>
      </c>
      <c r="O2623" s="116">
        <v>424.95</v>
      </c>
      <c r="P2623" s="116">
        <v>444.5</v>
      </c>
      <c r="Q2623" s="116">
        <v>429.9</v>
      </c>
      <c r="R2623">
        <v>38861</v>
      </c>
    </row>
    <row r="2624" spans="1:18" x14ac:dyDescent="0.25">
      <c r="A2624" s="169">
        <v>45902</v>
      </c>
      <c r="B2624" s="116">
        <v>379.35</v>
      </c>
      <c r="C2624" s="116">
        <v>376.25</v>
      </c>
      <c r="D2624" s="116">
        <v>360</v>
      </c>
      <c r="E2624" s="116">
        <v>360</v>
      </c>
      <c r="F2624" s="116">
        <v>376.25</v>
      </c>
      <c r="G2624">
        <v>543</v>
      </c>
      <c r="H2624" s="116"/>
      <c r="I2624" s="116"/>
      <c r="L2624" s="169">
        <v>45867</v>
      </c>
      <c r="M2624" s="116">
        <v>446.6</v>
      </c>
      <c r="N2624" s="116">
        <v>448.8</v>
      </c>
      <c r="O2624" s="116">
        <v>427.05</v>
      </c>
      <c r="P2624" s="116">
        <v>436.35</v>
      </c>
      <c r="Q2624" s="116">
        <v>446.6</v>
      </c>
      <c r="R2624">
        <v>33389</v>
      </c>
    </row>
    <row r="2625" spans="1:18" x14ac:dyDescent="0.25">
      <c r="A2625" s="169">
        <v>45903</v>
      </c>
      <c r="B2625" s="116">
        <v>377.75</v>
      </c>
      <c r="C2625" s="116">
        <v>376.05</v>
      </c>
      <c r="D2625" s="116">
        <v>371.4</v>
      </c>
      <c r="E2625" s="116">
        <v>376.25</v>
      </c>
      <c r="F2625" s="116">
        <v>376.05</v>
      </c>
      <c r="G2625">
        <v>876</v>
      </c>
      <c r="H2625" s="116"/>
      <c r="I2625" s="116"/>
      <c r="L2625" s="169">
        <v>45868</v>
      </c>
      <c r="M2625" s="116">
        <v>445.7</v>
      </c>
      <c r="N2625" s="116">
        <v>450.25</v>
      </c>
      <c r="O2625" s="116">
        <v>439.05</v>
      </c>
      <c r="P2625" s="116">
        <v>446</v>
      </c>
      <c r="Q2625" s="116">
        <v>445.7</v>
      </c>
      <c r="R2625">
        <v>17010</v>
      </c>
    </row>
    <row r="2626" spans="1:18" x14ac:dyDescent="0.25">
      <c r="A2626" s="169">
        <v>45904</v>
      </c>
      <c r="B2626" s="116">
        <v>378.05</v>
      </c>
      <c r="C2626" s="116">
        <v>372.1</v>
      </c>
      <c r="D2626" s="116">
        <v>370</v>
      </c>
      <c r="E2626" s="116">
        <v>378.05</v>
      </c>
      <c r="F2626" s="116">
        <v>372.1</v>
      </c>
      <c r="G2626">
        <v>142</v>
      </c>
      <c r="H2626" s="116"/>
      <c r="I2626" s="116"/>
      <c r="L2626" s="169">
        <v>45869</v>
      </c>
      <c r="M2626" s="116">
        <v>433.4</v>
      </c>
      <c r="N2626" s="116">
        <v>440.95</v>
      </c>
      <c r="O2626" s="116">
        <v>426.7</v>
      </c>
      <c r="P2626" s="116">
        <v>440</v>
      </c>
      <c r="Q2626" s="116">
        <v>433.4</v>
      </c>
      <c r="R2626">
        <v>16733</v>
      </c>
    </row>
    <row r="2627" spans="1:18" x14ac:dyDescent="0.25">
      <c r="A2627" s="169">
        <v>45905</v>
      </c>
      <c r="B2627" s="116">
        <v>376.1</v>
      </c>
      <c r="C2627" s="116">
        <v>365.2</v>
      </c>
      <c r="D2627" s="116">
        <v>361</v>
      </c>
      <c r="E2627" s="116">
        <v>361</v>
      </c>
      <c r="F2627" s="116">
        <v>365.2</v>
      </c>
      <c r="G2627">
        <v>1763</v>
      </c>
      <c r="H2627" s="116"/>
      <c r="I2627" s="116"/>
      <c r="L2627" s="169">
        <v>45870</v>
      </c>
      <c r="M2627" s="116">
        <v>416.55</v>
      </c>
      <c r="N2627" s="116">
        <v>438.9</v>
      </c>
      <c r="O2627" s="116">
        <v>413.15</v>
      </c>
      <c r="P2627" s="116">
        <v>430.25</v>
      </c>
      <c r="Q2627" s="116">
        <v>416.55</v>
      </c>
      <c r="R2627">
        <v>24259</v>
      </c>
    </row>
    <row r="2628" spans="1:18" x14ac:dyDescent="0.25">
      <c r="A2628" s="169">
        <v>45908</v>
      </c>
      <c r="B2628" s="116">
        <v>373.1</v>
      </c>
      <c r="C2628" s="116">
        <v>370.35</v>
      </c>
      <c r="D2628" s="116">
        <v>363</v>
      </c>
      <c r="E2628" s="116">
        <v>363.2</v>
      </c>
      <c r="F2628" s="116">
        <v>370.35</v>
      </c>
      <c r="G2628">
        <v>476</v>
      </c>
      <c r="H2628" s="116"/>
      <c r="I2628" s="116"/>
      <c r="L2628" s="169">
        <v>45873</v>
      </c>
      <c r="M2628" s="116">
        <v>389.8</v>
      </c>
      <c r="N2628" s="116">
        <v>414.1</v>
      </c>
      <c r="O2628" s="116">
        <v>385</v>
      </c>
      <c r="P2628" s="116">
        <v>411</v>
      </c>
      <c r="Q2628" s="116">
        <v>389.8</v>
      </c>
      <c r="R2628">
        <v>66598</v>
      </c>
    </row>
    <row r="2629" spans="1:18" x14ac:dyDescent="0.25">
      <c r="A2629" s="169">
        <v>45909</v>
      </c>
      <c r="B2629" s="116">
        <v>396</v>
      </c>
      <c r="C2629" s="116">
        <v>367.4</v>
      </c>
      <c r="D2629" s="116">
        <v>367.4</v>
      </c>
      <c r="E2629" s="116">
        <v>396</v>
      </c>
      <c r="F2629" s="116">
        <v>367.4</v>
      </c>
      <c r="G2629">
        <v>207</v>
      </c>
      <c r="H2629" s="116"/>
      <c r="I2629" s="116"/>
      <c r="L2629" s="169">
        <v>45874</v>
      </c>
      <c r="M2629" s="116">
        <v>360.75</v>
      </c>
      <c r="N2629" s="116">
        <v>383.95</v>
      </c>
      <c r="O2629" s="116">
        <v>357.25</v>
      </c>
      <c r="P2629" s="116">
        <v>383.95</v>
      </c>
      <c r="Q2629" s="116">
        <v>360.75</v>
      </c>
      <c r="R2629">
        <v>152058</v>
      </c>
    </row>
    <row r="2630" spans="1:18" x14ac:dyDescent="0.25">
      <c r="A2630" s="169">
        <v>45910</v>
      </c>
      <c r="B2630" s="116">
        <v>384.05</v>
      </c>
      <c r="C2630" s="116">
        <v>374.5</v>
      </c>
      <c r="D2630" s="116">
        <v>373.2</v>
      </c>
      <c r="E2630" s="116">
        <v>374.9</v>
      </c>
      <c r="F2630" s="116">
        <v>374.5</v>
      </c>
      <c r="G2630">
        <v>1660</v>
      </c>
      <c r="H2630" s="116"/>
      <c r="I2630" s="116"/>
      <c r="L2630" s="169">
        <v>45875</v>
      </c>
      <c r="M2630" s="116">
        <v>377</v>
      </c>
      <c r="N2630" s="116">
        <v>384</v>
      </c>
      <c r="O2630" s="116">
        <v>355</v>
      </c>
      <c r="P2630" s="116">
        <v>364.4</v>
      </c>
      <c r="Q2630" s="116">
        <v>377</v>
      </c>
      <c r="R2630">
        <v>64306</v>
      </c>
    </row>
    <row r="2631" spans="1:18" x14ac:dyDescent="0.25">
      <c r="A2631" s="169">
        <v>45911</v>
      </c>
      <c r="B2631" s="116">
        <v>419</v>
      </c>
      <c r="C2631" s="116">
        <v>400.75</v>
      </c>
      <c r="D2631" s="116">
        <v>376.35</v>
      </c>
      <c r="E2631" s="116">
        <v>376.35</v>
      </c>
      <c r="F2631" s="116">
        <v>400.75</v>
      </c>
      <c r="G2631">
        <v>21973</v>
      </c>
      <c r="H2631" s="116"/>
      <c r="I2631" s="116"/>
      <c r="L2631" s="169">
        <v>45876</v>
      </c>
      <c r="M2631" s="116">
        <v>375.15</v>
      </c>
      <c r="N2631" s="116">
        <v>377.4</v>
      </c>
      <c r="O2631" s="116">
        <v>360.55</v>
      </c>
      <c r="P2631" s="116">
        <v>373.25</v>
      </c>
      <c r="Q2631" s="116">
        <v>375.15</v>
      </c>
      <c r="R2631">
        <v>27984</v>
      </c>
    </row>
    <row r="2632" spans="1:18" x14ac:dyDescent="0.25">
      <c r="A2632" s="169">
        <v>45912</v>
      </c>
      <c r="B2632" s="116">
        <v>409</v>
      </c>
      <c r="C2632" s="116">
        <v>401.1</v>
      </c>
      <c r="D2632" s="116">
        <v>398.5</v>
      </c>
      <c r="E2632" s="116">
        <v>400</v>
      </c>
      <c r="F2632" s="116">
        <v>401.1</v>
      </c>
      <c r="G2632">
        <v>1597</v>
      </c>
      <c r="H2632" s="116"/>
      <c r="I2632" s="116"/>
      <c r="L2632" s="169">
        <v>45877</v>
      </c>
      <c r="M2632" s="116">
        <v>370.95</v>
      </c>
      <c r="N2632" s="116">
        <v>379.7</v>
      </c>
      <c r="O2632" s="116">
        <v>366</v>
      </c>
      <c r="P2632" s="116">
        <v>379.7</v>
      </c>
      <c r="Q2632" s="116">
        <v>370.95</v>
      </c>
      <c r="R2632">
        <v>17434</v>
      </c>
    </row>
    <row r="2633" spans="1:18" x14ac:dyDescent="0.25">
      <c r="A2633" s="169">
        <v>45915</v>
      </c>
      <c r="B2633" s="116">
        <v>410</v>
      </c>
      <c r="C2633" s="116">
        <v>396.25</v>
      </c>
      <c r="D2633" s="116">
        <v>395.5</v>
      </c>
      <c r="E2633" s="116">
        <v>404</v>
      </c>
      <c r="F2633" s="116">
        <v>396.25</v>
      </c>
      <c r="G2633">
        <v>1063</v>
      </c>
      <c r="H2633" s="116"/>
      <c r="I2633" s="116"/>
      <c r="L2633" s="169">
        <v>45880</v>
      </c>
      <c r="M2633" s="116">
        <v>369.2</v>
      </c>
      <c r="N2633" s="116">
        <v>374</v>
      </c>
      <c r="O2633" s="116">
        <v>354.9</v>
      </c>
      <c r="P2633" s="116">
        <v>366</v>
      </c>
      <c r="Q2633" s="116">
        <v>369.2</v>
      </c>
      <c r="R2633">
        <v>31623</v>
      </c>
    </row>
    <row r="2634" spans="1:18" x14ac:dyDescent="0.25">
      <c r="A2634" s="169">
        <v>45916</v>
      </c>
      <c r="B2634" s="116">
        <v>403.2</v>
      </c>
      <c r="C2634" s="116">
        <v>394.95</v>
      </c>
      <c r="D2634" s="116">
        <v>393.35</v>
      </c>
      <c r="E2634" s="116">
        <v>402.35</v>
      </c>
      <c r="F2634" s="116">
        <v>394.95</v>
      </c>
      <c r="G2634">
        <v>421</v>
      </c>
      <c r="H2634" s="116"/>
      <c r="I2634" s="116"/>
      <c r="L2634" s="169">
        <v>45881</v>
      </c>
      <c r="M2634" s="116">
        <v>368.8</v>
      </c>
      <c r="N2634" s="116">
        <v>374.7</v>
      </c>
      <c r="O2634" s="116">
        <v>366.45</v>
      </c>
      <c r="P2634" s="116">
        <v>374.7</v>
      </c>
      <c r="Q2634" s="116">
        <v>368.8</v>
      </c>
      <c r="R2634">
        <v>5817</v>
      </c>
    </row>
    <row r="2635" spans="1:18" x14ac:dyDescent="0.25">
      <c r="A2635" s="169">
        <v>45917</v>
      </c>
      <c r="B2635" s="116">
        <v>433</v>
      </c>
      <c r="C2635" s="116">
        <v>408.2</v>
      </c>
      <c r="D2635" s="116">
        <v>403</v>
      </c>
      <c r="E2635" s="116">
        <v>403</v>
      </c>
      <c r="F2635" s="116">
        <v>408.2</v>
      </c>
      <c r="G2635">
        <v>4046</v>
      </c>
      <c r="H2635" s="116"/>
      <c r="I2635" s="116"/>
      <c r="L2635" s="169">
        <v>45882</v>
      </c>
      <c r="M2635" s="116">
        <v>367.7</v>
      </c>
      <c r="N2635" s="116">
        <v>371</v>
      </c>
      <c r="O2635" s="116">
        <v>366</v>
      </c>
      <c r="P2635" s="116">
        <v>368.8</v>
      </c>
      <c r="Q2635" s="116">
        <v>367.7</v>
      </c>
      <c r="R2635">
        <v>10042</v>
      </c>
    </row>
    <row r="2636" spans="1:18" x14ac:dyDescent="0.25">
      <c r="A2636" s="169">
        <v>45918</v>
      </c>
      <c r="B2636" s="116">
        <v>415.1</v>
      </c>
      <c r="C2636" s="116">
        <v>411.6</v>
      </c>
      <c r="D2636" s="116">
        <v>403.95</v>
      </c>
      <c r="E2636" s="116">
        <v>413.15</v>
      </c>
      <c r="F2636" s="116">
        <v>411.6</v>
      </c>
      <c r="G2636">
        <v>2391</v>
      </c>
      <c r="H2636" s="116"/>
      <c r="I2636" s="116"/>
      <c r="L2636" s="169">
        <v>45883</v>
      </c>
      <c r="M2636" s="116">
        <v>362.1</v>
      </c>
      <c r="N2636" s="116">
        <v>369.75</v>
      </c>
      <c r="O2636" s="116">
        <v>359.55</v>
      </c>
      <c r="P2636" s="116">
        <v>369.75</v>
      </c>
      <c r="Q2636" s="116">
        <v>362.1</v>
      </c>
      <c r="R2636">
        <v>11372</v>
      </c>
    </row>
    <row r="2637" spans="1:18" x14ac:dyDescent="0.25">
      <c r="A2637" s="169">
        <v>45919</v>
      </c>
      <c r="B2637" s="116">
        <v>429</v>
      </c>
      <c r="C2637" s="116">
        <v>427.6</v>
      </c>
      <c r="D2637" s="116">
        <v>408.5</v>
      </c>
      <c r="E2637" s="116">
        <v>408.7</v>
      </c>
      <c r="F2637" s="116">
        <v>427.6</v>
      </c>
      <c r="G2637">
        <v>2041</v>
      </c>
      <c r="H2637" s="116"/>
      <c r="I2637" s="116"/>
      <c r="L2637" s="169">
        <v>45887</v>
      </c>
      <c r="M2637" s="116">
        <v>360</v>
      </c>
      <c r="N2637" s="116">
        <v>368</v>
      </c>
      <c r="O2637" s="116">
        <v>358.3</v>
      </c>
      <c r="P2637" s="116">
        <v>365</v>
      </c>
      <c r="Q2637" s="116">
        <v>360</v>
      </c>
      <c r="R2637">
        <v>11449</v>
      </c>
    </row>
    <row r="2638" spans="1:18" x14ac:dyDescent="0.25">
      <c r="A2638" s="169">
        <v>45922</v>
      </c>
      <c r="B2638" s="116">
        <v>438.25</v>
      </c>
      <c r="C2638" s="116">
        <v>430.3</v>
      </c>
      <c r="D2638" s="116">
        <v>418.8</v>
      </c>
      <c r="E2638" s="116">
        <v>428.65</v>
      </c>
      <c r="F2638" s="116">
        <v>430.3</v>
      </c>
      <c r="G2638">
        <v>8056</v>
      </c>
      <c r="H2638" s="116"/>
      <c r="I2638" s="116"/>
      <c r="L2638" s="169">
        <v>45888</v>
      </c>
      <c r="M2638" s="116">
        <v>369.05</v>
      </c>
      <c r="N2638" s="116">
        <v>374.15</v>
      </c>
      <c r="O2638" s="116">
        <v>360.65</v>
      </c>
      <c r="P2638" s="116">
        <v>361.85</v>
      </c>
      <c r="Q2638" s="116">
        <v>369.05</v>
      </c>
      <c r="R2638">
        <v>34030</v>
      </c>
    </row>
    <row r="2639" spans="1:18" x14ac:dyDescent="0.25">
      <c r="A2639" s="169">
        <v>45923</v>
      </c>
      <c r="B2639" s="116">
        <v>435</v>
      </c>
      <c r="C2639" s="116">
        <v>434.5</v>
      </c>
      <c r="D2639" s="116">
        <v>421</v>
      </c>
      <c r="E2639" s="116">
        <v>430.7</v>
      </c>
      <c r="F2639" s="116">
        <v>434.5</v>
      </c>
      <c r="G2639">
        <v>3749</v>
      </c>
      <c r="H2639" s="116"/>
      <c r="I2639" s="116"/>
      <c r="L2639" s="169">
        <v>45889</v>
      </c>
      <c r="M2639" s="116">
        <v>364.2</v>
      </c>
      <c r="N2639" s="116">
        <v>372.9</v>
      </c>
      <c r="O2639" s="116">
        <v>363.05</v>
      </c>
      <c r="P2639" s="116">
        <v>370.95</v>
      </c>
      <c r="Q2639" s="116">
        <v>364.2</v>
      </c>
      <c r="R2639">
        <v>14925</v>
      </c>
    </row>
    <row r="2640" spans="1:18" x14ac:dyDescent="0.25">
      <c r="A2640" s="169">
        <v>45924</v>
      </c>
      <c r="B2640" s="116">
        <v>435</v>
      </c>
      <c r="C2640" s="116">
        <v>434.1</v>
      </c>
      <c r="D2640" s="116">
        <v>425.6</v>
      </c>
      <c r="E2640" s="116">
        <v>431.25</v>
      </c>
      <c r="F2640" s="116">
        <v>434.1</v>
      </c>
      <c r="G2640">
        <v>198</v>
      </c>
      <c r="H2640" s="116"/>
      <c r="I2640" s="116"/>
      <c r="L2640" s="169">
        <v>45890</v>
      </c>
      <c r="M2640" s="116">
        <v>365.25</v>
      </c>
      <c r="N2640" s="116">
        <v>372.9</v>
      </c>
      <c r="O2640" s="116">
        <v>363.15</v>
      </c>
      <c r="P2640" s="116">
        <v>363.15</v>
      </c>
      <c r="Q2640" s="116">
        <v>365.25</v>
      </c>
      <c r="R2640">
        <v>15781</v>
      </c>
    </row>
    <row r="2641" spans="1:18" x14ac:dyDescent="0.25">
      <c r="A2641" s="169">
        <v>45925</v>
      </c>
      <c r="B2641" s="116">
        <v>436.7</v>
      </c>
      <c r="C2641" s="116">
        <v>435.15</v>
      </c>
      <c r="D2641" s="116">
        <v>426.3</v>
      </c>
      <c r="E2641" s="116">
        <v>431</v>
      </c>
      <c r="F2641" s="116">
        <v>435.15</v>
      </c>
      <c r="G2641">
        <v>1568</v>
      </c>
      <c r="H2641" s="116"/>
      <c r="I2641" s="116"/>
      <c r="L2641" s="169">
        <v>45891</v>
      </c>
      <c r="M2641" s="116">
        <v>363.3</v>
      </c>
      <c r="N2641" s="116">
        <v>365.7</v>
      </c>
      <c r="O2641" s="116">
        <v>360.05</v>
      </c>
      <c r="P2641" s="116">
        <v>363.3</v>
      </c>
      <c r="Q2641" s="116">
        <v>363.3</v>
      </c>
      <c r="R2641">
        <v>6226</v>
      </c>
    </row>
    <row r="2642" spans="1:18" x14ac:dyDescent="0.25">
      <c r="A2642" s="169">
        <v>45926</v>
      </c>
      <c r="B2642" s="116">
        <v>437.95</v>
      </c>
      <c r="C2642" s="116">
        <v>434.05</v>
      </c>
      <c r="D2642" s="116">
        <v>425</v>
      </c>
      <c r="E2642" s="116">
        <v>433.6</v>
      </c>
      <c r="F2642" s="116">
        <v>434.05</v>
      </c>
      <c r="G2642">
        <v>6617</v>
      </c>
      <c r="H2642" s="116"/>
      <c r="I2642" s="116"/>
      <c r="L2642" s="169">
        <v>45894</v>
      </c>
      <c r="M2642" s="116">
        <v>354.2</v>
      </c>
      <c r="N2642" s="116">
        <v>366.5</v>
      </c>
      <c r="O2642" s="116">
        <v>352</v>
      </c>
      <c r="P2642" s="116">
        <v>352</v>
      </c>
      <c r="Q2642" s="116">
        <v>354.2</v>
      </c>
      <c r="R2642">
        <v>17325</v>
      </c>
    </row>
    <row r="2643" spans="1:18" x14ac:dyDescent="0.25">
      <c r="A2643" s="169">
        <v>45929</v>
      </c>
      <c r="B2643" s="116">
        <v>446.6</v>
      </c>
      <c r="C2643" s="116">
        <v>435.55</v>
      </c>
      <c r="D2643" s="116">
        <v>430.5</v>
      </c>
      <c r="E2643" s="116">
        <v>439</v>
      </c>
      <c r="F2643" s="116">
        <v>435.55</v>
      </c>
      <c r="G2643">
        <v>757</v>
      </c>
      <c r="H2643" s="116"/>
      <c r="I2643" s="116"/>
      <c r="L2643" s="169">
        <v>45895</v>
      </c>
      <c r="M2643" s="116">
        <v>345.3</v>
      </c>
      <c r="N2643" s="116">
        <v>356.3</v>
      </c>
      <c r="O2643" s="116">
        <v>341.65</v>
      </c>
      <c r="P2643" s="116">
        <v>354.2</v>
      </c>
      <c r="Q2643" s="116">
        <v>345.3</v>
      </c>
      <c r="R2643">
        <v>9263</v>
      </c>
    </row>
    <row r="2644" spans="1:18" x14ac:dyDescent="0.25">
      <c r="A2644" s="169">
        <v>45930</v>
      </c>
      <c r="B2644" s="116">
        <v>436.9</v>
      </c>
      <c r="C2644" s="116">
        <v>434.15</v>
      </c>
      <c r="D2644" s="116">
        <v>431.95</v>
      </c>
      <c r="E2644" s="116">
        <v>433.15</v>
      </c>
      <c r="F2644" s="116">
        <v>434.15</v>
      </c>
      <c r="G2644">
        <v>135</v>
      </c>
      <c r="H2644" s="116"/>
      <c r="I2644" s="116"/>
      <c r="L2644" s="169">
        <v>45897</v>
      </c>
      <c r="M2644" s="116">
        <v>372.6</v>
      </c>
      <c r="N2644" s="116">
        <v>380</v>
      </c>
      <c r="O2644" s="116">
        <v>341.55</v>
      </c>
      <c r="P2644" s="116">
        <v>345.3</v>
      </c>
      <c r="Q2644" s="116">
        <v>372.6</v>
      </c>
      <c r="R2644">
        <v>245401</v>
      </c>
    </row>
    <row r="2645" spans="1:18" x14ac:dyDescent="0.25">
      <c r="A2645" s="169">
        <v>45931</v>
      </c>
      <c r="B2645" s="116">
        <v>431.65</v>
      </c>
      <c r="C2645" s="116">
        <v>419.3</v>
      </c>
      <c r="D2645" s="116">
        <v>419.15</v>
      </c>
      <c r="E2645" s="116">
        <v>431.65</v>
      </c>
      <c r="F2645" s="116">
        <v>419.3</v>
      </c>
      <c r="G2645">
        <v>543</v>
      </c>
      <c r="H2645" s="116"/>
      <c r="I2645" s="116"/>
      <c r="L2645" s="169">
        <v>45898</v>
      </c>
      <c r="M2645" s="116">
        <v>372.05</v>
      </c>
      <c r="N2645" s="116">
        <v>377.95</v>
      </c>
      <c r="O2645" s="116">
        <v>350</v>
      </c>
      <c r="P2645" s="116">
        <v>363</v>
      </c>
      <c r="Q2645" s="116">
        <v>372.05</v>
      </c>
      <c r="R2645">
        <v>53514</v>
      </c>
    </row>
    <row r="2646" spans="1:18" x14ac:dyDescent="0.25">
      <c r="A2646" s="169">
        <v>45933</v>
      </c>
      <c r="B2646" s="116">
        <v>425.05</v>
      </c>
      <c r="C2646" s="116">
        <v>422.9</v>
      </c>
      <c r="D2646" s="116">
        <v>414.55</v>
      </c>
      <c r="E2646" s="116">
        <v>414.55</v>
      </c>
      <c r="F2646" s="116">
        <v>422.9</v>
      </c>
      <c r="G2646">
        <v>262</v>
      </c>
      <c r="H2646" s="116"/>
      <c r="I2646" s="116"/>
      <c r="L2646" s="169">
        <v>45901</v>
      </c>
      <c r="M2646" s="116">
        <v>376.55</v>
      </c>
      <c r="N2646" s="116">
        <v>383.6</v>
      </c>
      <c r="O2646" s="116">
        <v>364.7</v>
      </c>
      <c r="P2646" s="116">
        <v>372</v>
      </c>
      <c r="Q2646" s="116">
        <v>376.55</v>
      </c>
      <c r="R2646">
        <v>17540</v>
      </c>
    </row>
    <row r="2647" spans="1:18" x14ac:dyDescent="0.25">
      <c r="A2647" s="169">
        <v>45936</v>
      </c>
      <c r="B2647" s="116">
        <v>425.1</v>
      </c>
      <c r="C2647" s="116">
        <v>404.1</v>
      </c>
      <c r="D2647" s="116">
        <v>403.15</v>
      </c>
      <c r="E2647" s="116">
        <v>425.1</v>
      </c>
      <c r="F2647" s="116">
        <v>404.1</v>
      </c>
      <c r="G2647">
        <v>498</v>
      </c>
      <c r="H2647" s="116"/>
      <c r="I2647" s="116"/>
      <c r="L2647" s="169">
        <v>45902</v>
      </c>
      <c r="M2647" s="116">
        <v>373.1</v>
      </c>
      <c r="N2647" s="116">
        <v>379.95</v>
      </c>
      <c r="O2647" s="116">
        <v>370.55</v>
      </c>
      <c r="P2647" s="116">
        <v>372.8</v>
      </c>
      <c r="Q2647" s="116">
        <v>373.1</v>
      </c>
      <c r="R2647">
        <v>11650</v>
      </c>
    </row>
    <row r="2648" spans="1:18" x14ac:dyDescent="0.25">
      <c r="A2648" s="169">
        <v>45937</v>
      </c>
      <c r="B2648" s="116">
        <v>412.9</v>
      </c>
      <c r="C2648" s="116">
        <v>403.85</v>
      </c>
      <c r="D2648" s="116">
        <v>402.8</v>
      </c>
      <c r="E2648" s="116">
        <v>406</v>
      </c>
      <c r="F2648" s="116">
        <v>403.85</v>
      </c>
      <c r="G2648">
        <v>748</v>
      </c>
      <c r="H2648" s="116"/>
      <c r="I2648" s="116"/>
      <c r="L2648" s="169">
        <v>45903</v>
      </c>
      <c r="M2648" s="116">
        <v>376.45</v>
      </c>
      <c r="N2648" s="116">
        <v>377.5</v>
      </c>
      <c r="O2648" s="116">
        <v>372.1</v>
      </c>
      <c r="P2648" s="116">
        <v>375.7</v>
      </c>
      <c r="Q2648" s="116">
        <v>376.45</v>
      </c>
      <c r="R2648">
        <v>6076</v>
      </c>
    </row>
    <row r="2649" spans="1:18" x14ac:dyDescent="0.25">
      <c r="A2649" s="169">
        <v>45938</v>
      </c>
      <c r="B2649" s="116">
        <v>425</v>
      </c>
      <c r="C2649" s="116">
        <v>395.8</v>
      </c>
      <c r="D2649" s="116">
        <v>391.5</v>
      </c>
      <c r="E2649" s="116">
        <v>425</v>
      </c>
      <c r="F2649" s="116">
        <v>395.8</v>
      </c>
      <c r="G2649">
        <v>8131</v>
      </c>
      <c r="H2649" s="116"/>
      <c r="I2649" s="116"/>
      <c r="L2649" s="169">
        <v>45904</v>
      </c>
      <c r="M2649" s="116">
        <v>371.75</v>
      </c>
      <c r="N2649" s="116">
        <v>385.4</v>
      </c>
      <c r="O2649" s="116">
        <v>370.2</v>
      </c>
      <c r="P2649" s="116">
        <v>378.15</v>
      </c>
      <c r="Q2649" s="116">
        <v>371.75</v>
      </c>
      <c r="R2649">
        <v>4555</v>
      </c>
    </row>
    <row r="2650" spans="1:18" x14ac:dyDescent="0.25">
      <c r="A2650" s="169">
        <v>45939</v>
      </c>
      <c r="B2650" s="116">
        <v>406.15</v>
      </c>
      <c r="C2650" s="116">
        <v>395.45</v>
      </c>
      <c r="D2650" s="116">
        <v>394.3</v>
      </c>
      <c r="E2650" s="116">
        <v>397.35</v>
      </c>
      <c r="F2650" s="116">
        <v>395.45</v>
      </c>
      <c r="G2650">
        <v>373</v>
      </c>
      <c r="H2650" s="116"/>
      <c r="I2650" s="116"/>
      <c r="L2650" s="169">
        <v>45905</v>
      </c>
      <c r="M2650" s="116">
        <v>365.05</v>
      </c>
      <c r="N2650" s="116">
        <v>375.1</v>
      </c>
      <c r="O2650" s="116">
        <v>363.05</v>
      </c>
      <c r="P2650" s="116">
        <v>370</v>
      </c>
      <c r="Q2650" s="116">
        <v>365.05</v>
      </c>
      <c r="R2650">
        <v>7381</v>
      </c>
    </row>
    <row r="2651" spans="1:18" x14ac:dyDescent="0.25">
      <c r="A2651" s="169">
        <v>45940</v>
      </c>
      <c r="B2651" s="116">
        <v>464.4</v>
      </c>
      <c r="C2651" s="116">
        <v>429.9</v>
      </c>
      <c r="D2651" s="116">
        <v>411.55</v>
      </c>
      <c r="E2651" s="116">
        <v>411.55</v>
      </c>
      <c r="F2651" s="116">
        <v>429.9</v>
      </c>
      <c r="G2651">
        <v>136391</v>
      </c>
      <c r="H2651" s="116"/>
      <c r="I2651" s="116"/>
      <c r="L2651" s="169">
        <v>45908</v>
      </c>
      <c r="M2651" s="116">
        <v>370.2</v>
      </c>
      <c r="N2651" s="116">
        <v>373</v>
      </c>
      <c r="O2651" s="116">
        <v>362.75</v>
      </c>
      <c r="P2651" s="116">
        <v>365</v>
      </c>
      <c r="Q2651" s="116">
        <v>370.2</v>
      </c>
      <c r="R2651">
        <v>6530</v>
      </c>
    </row>
    <row r="2652" spans="1:18" x14ac:dyDescent="0.25">
      <c r="A2652" s="169">
        <v>45943</v>
      </c>
      <c r="B2652" s="116">
        <v>434</v>
      </c>
      <c r="C2652" s="116">
        <v>431.8</v>
      </c>
      <c r="D2652" s="116">
        <v>413.9</v>
      </c>
      <c r="E2652" s="116">
        <v>423</v>
      </c>
      <c r="F2652" s="116">
        <v>431.8</v>
      </c>
      <c r="G2652">
        <v>6444</v>
      </c>
      <c r="H2652" s="116"/>
      <c r="I2652" s="116"/>
      <c r="L2652" s="169">
        <v>45909</v>
      </c>
      <c r="M2652" s="116">
        <v>368.55</v>
      </c>
      <c r="N2652" s="116">
        <v>373.85</v>
      </c>
      <c r="O2652" s="116">
        <v>368.5</v>
      </c>
      <c r="P2652" s="116">
        <v>371</v>
      </c>
      <c r="Q2652" s="116">
        <v>368.55</v>
      </c>
      <c r="R2652">
        <v>1675</v>
      </c>
    </row>
    <row r="2653" spans="1:18" x14ac:dyDescent="0.25">
      <c r="A2653" s="169">
        <v>45944</v>
      </c>
      <c r="B2653" s="116">
        <v>432.95</v>
      </c>
      <c r="C2653" s="116">
        <v>426.9</v>
      </c>
      <c r="D2653" s="116">
        <v>421.75</v>
      </c>
      <c r="E2653" s="116">
        <v>432.25</v>
      </c>
      <c r="F2653" s="116">
        <v>426.9</v>
      </c>
      <c r="G2653">
        <v>737</v>
      </c>
      <c r="H2653" s="116"/>
      <c r="I2653" s="116"/>
      <c r="L2653" s="169">
        <v>45910</v>
      </c>
      <c r="M2653" s="116">
        <v>373.95</v>
      </c>
      <c r="N2653" s="116">
        <v>383.9</v>
      </c>
      <c r="O2653" s="116">
        <v>372.2</v>
      </c>
      <c r="P2653" s="116">
        <v>372.2</v>
      </c>
      <c r="Q2653" s="116">
        <v>373.95</v>
      </c>
      <c r="R2653">
        <v>29011</v>
      </c>
    </row>
    <row r="2654" spans="1:18" x14ac:dyDescent="0.25">
      <c r="A2654" s="169">
        <v>45945</v>
      </c>
      <c r="B2654" s="116">
        <v>434</v>
      </c>
      <c r="C2654" s="116">
        <v>427.25</v>
      </c>
      <c r="D2654" s="116">
        <v>420.35</v>
      </c>
      <c r="E2654" s="116">
        <v>422.95</v>
      </c>
      <c r="F2654" s="116">
        <v>427.25</v>
      </c>
      <c r="G2654">
        <v>852</v>
      </c>
      <c r="H2654" s="116"/>
      <c r="I2654" s="116"/>
      <c r="L2654" s="169">
        <v>45911</v>
      </c>
      <c r="M2654" s="116">
        <v>401.65</v>
      </c>
      <c r="N2654" s="116">
        <v>419</v>
      </c>
      <c r="O2654" s="116">
        <v>375</v>
      </c>
      <c r="P2654" s="116">
        <v>375</v>
      </c>
      <c r="Q2654" s="116">
        <v>401.65</v>
      </c>
      <c r="R2654">
        <v>133968</v>
      </c>
    </row>
    <row r="2655" spans="1:18" x14ac:dyDescent="0.25">
      <c r="A2655" s="169">
        <v>45946</v>
      </c>
      <c r="B2655" s="116">
        <v>429</v>
      </c>
      <c r="C2655" s="116">
        <v>428</v>
      </c>
      <c r="D2655" s="116">
        <v>426.85</v>
      </c>
      <c r="E2655" s="116">
        <v>428.45</v>
      </c>
      <c r="F2655" s="116">
        <v>428</v>
      </c>
      <c r="G2655">
        <v>396</v>
      </c>
      <c r="H2655" s="116"/>
      <c r="I2655" s="116"/>
      <c r="L2655" s="169">
        <v>45912</v>
      </c>
      <c r="M2655" s="116">
        <v>403.15</v>
      </c>
      <c r="N2655" s="116">
        <v>409.9</v>
      </c>
      <c r="O2655" s="116">
        <v>398</v>
      </c>
      <c r="P2655" s="116">
        <v>398.8</v>
      </c>
      <c r="Q2655" s="116">
        <v>403.15</v>
      </c>
      <c r="R2655">
        <v>27851</v>
      </c>
    </row>
    <row r="2656" spans="1:18" x14ac:dyDescent="0.25">
      <c r="A2656" s="169">
        <v>45947</v>
      </c>
      <c r="B2656" s="116">
        <v>427.4</v>
      </c>
      <c r="C2656" s="116">
        <v>426.5</v>
      </c>
      <c r="D2656" s="116">
        <v>419.95</v>
      </c>
      <c r="E2656" s="116">
        <v>419.95</v>
      </c>
      <c r="F2656" s="116">
        <v>426.5</v>
      </c>
      <c r="G2656">
        <v>61</v>
      </c>
      <c r="H2656" s="116"/>
      <c r="I2656" s="116"/>
      <c r="L2656" s="169">
        <v>45915</v>
      </c>
      <c r="M2656" s="116">
        <v>398.35</v>
      </c>
      <c r="N2656" s="116">
        <v>409.95</v>
      </c>
      <c r="O2656" s="116">
        <v>395.15</v>
      </c>
      <c r="P2656" s="116">
        <v>405.15</v>
      </c>
      <c r="Q2656" s="116">
        <v>398.35</v>
      </c>
      <c r="R2656">
        <v>22095</v>
      </c>
    </row>
    <row r="2657" spans="1:18" x14ac:dyDescent="0.25">
      <c r="A2657" s="169">
        <v>45950</v>
      </c>
      <c r="B2657" s="116">
        <v>425.25</v>
      </c>
      <c r="C2657" s="116">
        <v>418</v>
      </c>
      <c r="D2657" s="116">
        <v>412.2</v>
      </c>
      <c r="E2657" s="116">
        <v>416.3</v>
      </c>
      <c r="F2657" s="116">
        <v>418</v>
      </c>
      <c r="G2657">
        <v>579</v>
      </c>
      <c r="H2657" s="116"/>
      <c r="I2657" s="116"/>
      <c r="L2657" s="169">
        <v>45916</v>
      </c>
      <c r="M2657" s="116">
        <v>395.75</v>
      </c>
      <c r="N2657" s="116">
        <v>404.8</v>
      </c>
      <c r="O2657" s="116">
        <v>393.3</v>
      </c>
      <c r="P2657" s="116">
        <v>402.35</v>
      </c>
      <c r="Q2657" s="116">
        <v>395.75</v>
      </c>
      <c r="R2657">
        <v>7643</v>
      </c>
    </row>
    <row r="2658" spans="1:18" x14ac:dyDescent="0.25">
      <c r="A2658" s="169">
        <v>45951</v>
      </c>
      <c r="B2658" s="116">
        <v>433.1</v>
      </c>
      <c r="C2658" s="116">
        <v>431.55</v>
      </c>
      <c r="D2658" s="116">
        <v>424.15</v>
      </c>
      <c r="E2658" s="116">
        <v>427.3</v>
      </c>
      <c r="F2658" s="116">
        <v>431.55</v>
      </c>
      <c r="G2658">
        <v>603</v>
      </c>
      <c r="H2658" s="116"/>
      <c r="I2658" s="116"/>
      <c r="L2658" s="169">
        <v>45917</v>
      </c>
      <c r="M2658" s="116">
        <v>408.65</v>
      </c>
      <c r="N2658" s="116">
        <v>428.5</v>
      </c>
      <c r="O2658" s="116">
        <v>402</v>
      </c>
      <c r="P2658" s="116">
        <v>402</v>
      </c>
      <c r="Q2658" s="116">
        <v>408.65</v>
      </c>
      <c r="R2658">
        <v>67755</v>
      </c>
    </row>
    <row r="2659" spans="1:18" x14ac:dyDescent="0.25">
      <c r="A2659" s="169">
        <v>45953</v>
      </c>
      <c r="B2659" s="116">
        <v>435</v>
      </c>
      <c r="C2659" s="116">
        <v>432.75</v>
      </c>
      <c r="D2659" s="116">
        <v>428.25</v>
      </c>
      <c r="E2659" s="116">
        <v>431.5</v>
      </c>
      <c r="F2659" s="116">
        <v>432.75</v>
      </c>
      <c r="G2659">
        <v>1141</v>
      </c>
      <c r="H2659" s="116"/>
      <c r="I2659" s="116"/>
      <c r="L2659" s="169">
        <v>45918</v>
      </c>
      <c r="M2659" s="116">
        <v>411.15</v>
      </c>
      <c r="N2659" s="116">
        <v>419</v>
      </c>
      <c r="O2659" s="116">
        <v>408.85</v>
      </c>
      <c r="P2659" s="116">
        <v>411.9</v>
      </c>
      <c r="Q2659" s="116">
        <v>411.15</v>
      </c>
      <c r="R2659">
        <v>20838</v>
      </c>
    </row>
    <row r="2660" spans="1:18" x14ac:dyDescent="0.25">
      <c r="A2660" s="169">
        <v>45954</v>
      </c>
      <c r="B2660" s="116">
        <v>455</v>
      </c>
      <c r="C2660" s="116">
        <v>449.05</v>
      </c>
      <c r="D2660" s="116">
        <v>428.9</v>
      </c>
      <c r="E2660" s="116">
        <v>431.3</v>
      </c>
      <c r="F2660" s="116">
        <v>449.05</v>
      </c>
      <c r="G2660">
        <v>1993</v>
      </c>
      <c r="H2660" s="116"/>
      <c r="I2660" s="116"/>
      <c r="L2660" s="169">
        <v>45919</v>
      </c>
      <c r="M2660" s="116">
        <v>427.7</v>
      </c>
      <c r="N2660" s="116">
        <v>430</v>
      </c>
      <c r="O2660" s="116">
        <v>406.55</v>
      </c>
      <c r="P2660" s="116">
        <v>408.25</v>
      </c>
      <c r="Q2660" s="116">
        <v>427.7</v>
      </c>
      <c r="R2660">
        <v>36158</v>
      </c>
    </row>
    <row r="2661" spans="1:18" x14ac:dyDescent="0.25">
      <c r="A2661" s="169">
        <v>45957</v>
      </c>
      <c r="B2661" s="116">
        <v>460</v>
      </c>
      <c r="C2661" s="116">
        <v>458.1</v>
      </c>
      <c r="D2661" s="116">
        <v>443.7</v>
      </c>
      <c r="E2661" s="116">
        <v>448</v>
      </c>
      <c r="F2661" s="116">
        <v>458.1</v>
      </c>
      <c r="G2661">
        <v>2038</v>
      </c>
      <c r="H2661" s="116"/>
      <c r="I2661" s="116"/>
      <c r="L2661" s="169">
        <v>45922</v>
      </c>
      <c r="M2661" s="116">
        <v>428.85</v>
      </c>
      <c r="N2661" s="116">
        <v>439</v>
      </c>
      <c r="O2661" s="116">
        <v>418</v>
      </c>
      <c r="P2661" s="116">
        <v>427.7</v>
      </c>
      <c r="Q2661" s="116">
        <v>428.85</v>
      </c>
      <c r="R2661">
        <v>56240</v>
      </c>
    </row>
    <row r="2662" spans="1:18" x14ac:dyDescent="0.25">
      <c r="A2662" s="169">
        <v>45958</v>
      </c>
      <c r="B2662" s="116">
        <v>460</v>
      </c>
      <c r="C2662" s="116">
        <v>455</v>
      </c>
      <c r="D2662" s="116">
        <v>447.55</v>
      </c>
      <c r="E2662" s="116">
        <v>460</v>
      </c>
      <c r="F2662" s="116">
        <v>455</v>
      </c>
      <c r="G2662">
        <v>418</v>
      </c>
      <c r="H2662" s="116"/>
      <c r="I2662" s="116"/>
      <c r="L2662" s="169">
        <v>45923</v>
      </c>
      <c r="M2662" s="116">
        <v>434.9</v>
      </c>
      <c r="N2662" s="116">
        <v>435.9</v>
      </c>
      <c r="O2662" s="116">
        <v>425.2</v>
      </c>
      <c r="P2662" s="116">
        <v>428.85</v>
      </c>
      <c r="Q2662" s="116">
        <v>434.9</v>
      </c>
      <c r="R2662">
        <v>45309</v>
      </c>
    </row>
    <row r="2663" spans="1:18" x14ac:dyDescent="0.25">
      <c r="A2663" s="169">
        <v>45959</v>
      </c>
      <c r="B2663" s="116">
        <v>459.95</v>
      </c>
      <c r="C2663" s="116">
        <v>455</v>
      </c>
      <c r="D2663" s="116">
        <v>452</v>
      </c>
      <c r="E2663" s="116">
        <v>459.95</v>
      </c>
      <c r="F2663" s="116">
        <v>455</v>
      </c>
      <c r="G2663">
        <v>506</v>
      </c>
      <c r="H2663" s="116"/>
      <c r="I2663" s="116"/>
      <c r="L2663" s="169">
        <v>45924</v>
      </c>
      <c r="M2663" s="116">
        <v>431.55</v>
      </c>
      <c r="N2663" s="116">
        <v>436.3</v>
      </c>
      <c r="O2663" s="116">
        <v>426</v>
      </c>
      <c r="P2663" s="116">
        <v>426.25</v>
      </c>
      <c r="Q2663" s="116">
        <v>431.55</v>
      </c>
      <c r="R2663">
        <v>18249</v>
      </c>
    </row>
    <row r="2664" spans="1:18" x14ac:dyDescent="0.25">
      <c r="A2664" s="169">
        <v>45960</v>
      </c>
      <c r="B2664" s="116">
        <v>462</v>
      </c>
      <c r="C2664" s="116">
        <v>456.15</v>
      </c>
      <c r="D2664" s="116">
        <v>447.95</v>
      </c>
      <c r="E2664" s="116">
        <v>447.95</v>
      </c>
      <c r="F2664" s="116">
        <v>456.15</v>
      </c>
      <c r="G2664">
        <v>729</v>
      </c>
      <c r="H2664" s="116"/>
      <c r="I2664" s="116"/>
      <c r="L2664" s="169">
        <v>45925</v>
      </c>
      <c r="M2664" s="116">
        <v>436.4</v>
      </c>
      <c r="N2664" s="116">
        <v>438</v>
      </c>
      <c r="O2664" s="116">
        <v>431.05</v>
      </c>
      <c r="P2664" s="116">
        <v>432</v>
      </c>
      <c r="Q2664" s="116">
        <v>436.4</v>
      </c>
      <c r="R2664">
        <v>19604</v>
      </c>
    </row>
    <row r="2665" spans="1:18" x14ac:dyDescent="0.25">
      <c r="A2665" s="169">
        <v>45961</v>
      </c>
      <c r="B2665" s="116">
        <v>460</v>
      </c>
      <c r="C2665" s="116">
        <v>445.95</v>
      </c>
      <c r="D2665" s="116">
        <v>444</v>
      </c>
      <c r="E2665" s="116">
        <v>460</v>
      </c>
      <c r="F2665" s="116">
        <v>445.95</v>
      </c>
      <c r="G2665">
        <v>1939</v>
      </c>
      <c r="H2665" s="116"/>
      <c r="I2665" s="116"/>
      <c r="L2665" s="169">
        <v>45926</v>
      </c>
      <c r="M2665" s="116">
        <v>435.05</v>
      </c>
      <c r="N2665" s="116">
        <v>437.2</v>
      </c>
      <c r="O2665" s="116">
        <v>424.05</v>
      </c>
      <c r="P2665" s="116">
        <v>432</v>
      </c>
      <c r="Q2665" s="116">
        <v>435.05</v>
      </c>
      <c r="R2665">
        <v>28934</v>
      </c>
    </row>
    <row r="2666" spans="1:18" x14ac:dyDescent="0.25">
      <c r="A2666" s="169">
        <v>45964</v>
      </c>
      <c r="B2666" s="116">
        <v>454</v>
      </c>
      <c r="C2666" s="116">
        <v>440.65</v>
      </c>
      <c r="D2666" s="116">
        <v>426</v>
      </c>
      <c r="E2666" s="116">
        <v>430</v>
      </c>
      <c r="F2666" s="116">
        <v>440.65</v>
      </c>
      <c r="G2666">
        <v>678</v>
      </c>
      <c r="H2666" s="116"/>
      <c r="I2666" s="116"/>
      <c r="L2666" s="169">
        <v>45929</v>
      </c>
      <c r="M2666" s="116">
        <v>437.6</v>
      </c>
      <c r="N2666" s="116">
        <v>447.5</v>
      </c>
      <c r="O2666" s="116">
        <v>430.05</v>
      </c>
      <c r="P2666" s="116">
        <v>438.8</v>
      </c>
      <c r="Q2666" s="116">
        <v>437.6</v>
      </c>
      <c r="R2666">
        <v>29721</v>
      </c>
    </row>
    <row r="2667" spans="1:18" x14ac:dyDescent="0.25">
      <c r="A2667" s="169">
        <v>45965</v>
      </c>
      <c r="B2667" s="116">
        <v>454</v>
      </c>
      <c r="C2667" s="116">
        <v>446.1</v>
      </c>
      <c r="D2667" s="116">
        <v>433.4</v>
      </c>
      <c r="E2667" s="116">
        <v>433.4</v>
      </c>
      <c r="F2667" s="116">
        <v>446.1</v>
      </c>
      <c r="G2667">
        <v>1569</v>
      </c>
      <c r="H2667" s="116"/>
      <c r="I2667" s="116"/>
      <c r="L2667" s="169">
        <v>45930</v>
      </c>
      <c r="M2667" s="116">
        <v>435.9</v>
      </c>
      <c r="N2667" s="116">
        <v>438.5</v>
      </c>
      <c r="O2667" s="116">
        <v>432</v>
      </c>
      <c r="P2667" s="116">
        <v>432</v>
      </c>
      <c r="Q2667" s="116">
        <v>435.9</v>
      </c>
      <c r="R2667">
        <v>12380</v>
      </c>
    </row>
    <row r="2668" spans="1:18" x14ac:dyDescent="0.25">
      <c r="A2668" s="169">
        <v>45967</v>
      </c>
      <c r="B2668" s="116">
        <v>471</v>
      </c>
      <c r="C2668" s="116">
        <v>463.75</v>
      </c>
      <c r="D2668" s="116">
        <v>422.4</v>
      </c>
      <c r="E2668" s="116">
        <v>422.4</v>
      </c>
      <c r="F2668" s="116">
        <v>463.75</v>
      </c>
      <c r="G2668">
        <v>7901</v>
      </c>
      <c r="H2668" s="116"/>
      <c r="I2668" s="116"/>
      <c r="L2668" s="169">
        <v>45931</v>
      </c>
      <c r="M2668" s="116">
        <v>420.85</v>
      </c>
      <c r="N2668" s="116">
        <v>440.25</v>
      </c>
      <c r="O2668" s="116">
        <v>419.2</v>
      </c>
      <c r="P2668" s="116">
        <v>440.25</v>
      </c>
      <c r="Q2668" s="116">
        <v>420.85</v>
      </c>
      <c r="R2668">
        <v>15063</v>
      </c>
    </row>
    <row r="2669" spans="1:18" x14ac:dyDescent="0.25">
      <c r="A2669" s="169">
        <v>45968</v>
      </c>
      <c r="B2669" s="116">
        <v>479.9</v>
      </c>
      <c r="C2669" s="116">
        <v>471.5</v>
      </c>
      <c r="D2669" s="116">
        <v>461.8</v>
      </c>
      <c r="E2669" s="116">
        <v>463.8</v>
      </c>
      <c r="F2669" s="116">
        <v>471.5</v>
      </c>
      <c r="G2669">
        <v>1691</v>
      </c>
      <c r="H2669" s="116"/>
      <c r="I2669" s="116"/>
      <c r="L2669" s="169">
        <v>45933</v>
      </c>
      <c r="M2669" s="116">
        <v>422.2</v>
      </c>
      <c r="N2669" s="116">
        <v>425.7</v>
      </c>
      <c r="O2669" s="116">
        <v>415</v>
      </c>
      <c r="P2669" s="116">
        <v>415</v>
      </c>
      <c r="Q2669" s="116">
        <v>422.2</v>
      </c>
      <c r="R2669">
        <v>6897</v>
      </c>
    </row>
    <row r="2670" spans="1:18" x14ac:dyDescent="0.25">
      <c r="A2670" s="169">
        <v>45971</v>
      </c>
      <c r="B2670" s="116">
        <v>495</v>
      </c>
      <c r="C2670" s="116">
        <v>474.5</v>
      </c>
      <c r="D2670" s="116">
        <v>472.75</v>
      </c>
      <c r="E2670" s="116">
        <v>479.9</v>
      </c>
      <c r="F2670" s="116">
        <v>474.5</v>
      </c>
      <c r="G2670">
        <v>6963</v>
      </c>
      <c r="H2670" s="116"/>
      <c r="I2670" s="116"/>
      <c r="L2670" s="169">
        <v>45936</v>
      </c>
      <c r="M2670" s="116">
        <v>407.5</v>
      </c>
      <c r="N2670" s="116">
        <v>426.65</v>
      </c>
      <c r="O2670" s="116">
        <v>404.65</v>
      </c>
      <c r="P2670" s="116">
        <v>425</v>
      </c>
      <c r="Q2670" s="116">
        <v>407.5</v>
      </c>
      <c r="R2670">
        <v>9241</v>
      </c>
    </row>
    <row r="2671" spans="1:18" x14ac:dyDescent="0.25">
      <c r="A2671" s="169">
        <v>45972</v>
      </c>
      <c r="B2671" s="116">
        <v>486.95</v>
      </c>
      <c r="C2671" s="116">
        <v>435.2</v>
      </c>
      <c r="D2671" s="116">
        <v>433</v>
      </c>
      <c r="E2671" s="116">
        <v>486.95</v>
      </c>
      <c r="F2671" s="116">
        <v>435.2</v>
      </c>
      <c r="G2671">
        <v>10046</v>
      </c>
      <c r="H2671" s="116"/>
      <c r="I2671" s="116"/>
      <c r="L2671" s="169">
        <v>45937</v>
      </c>
      <c r="M2671" s="116">
        <v>403.45</v>
      </c>
      <c r="N2671" s="116">
        <v>413.45</v>
      </c>
      <c r="O2671" s="116">
        <v>401.4</v>
      </c>
      <c r="P2671" s="116">
        <v>401.4</v>
      </c>
      <c r="Q2671" s="116">
        <v>403.45</v>
      </c>
      <c r="R2671">
        <v>16122</v>
      </c>
    </row>
    <row r="2672" spans="1:18" x14ac:dyDescent="0.25">
      <c r="A2672" s="169">
        <v>45973</v>
      </c>
      <c r="B2672" s="116">
        <v>445</v>
      </c>
      <c r="C2672" s="116">
        <v>443.9</v>
      </c>
      <c r="D2672" s="116">
        <v>435.35</v>
      </c>
      <c r="E2672" s="116">
        <v>437</v>
      </c>
      <c r="F2672" s="116">
        <v>443.9</v>
      </c>
      <c r="G2672">
        <v>1395</v>
      </c>
      <c r="H2672" s="116"/>
      <c r="I2672" s="116"/>
      <c r="L2672" s="169">
        <v>45938</v>
      </c>
      <c r="M2672" s="116">
        <v>396.15</v>
      </c>
      <c r="N2672" s="116">
        <v>406.75</v>
      </c>
      <c r="O2672" s="116">
        <v>393.3</v>
      </c>
      <c r="P2672" s="116">
        <v>405</v>
      </c>
      <c r="Q2672" s="116">
        <v>396.15</v>
      </c>
      <c r="R2672">
        <v>15071</v>
      </c>
    </row>
    <row r="2673" spans="1:18" x14ac:dyDescent="0.25">
      <c r="A2673" s="169">
        <v>45974</v>
      </c>
      <c r="B2673" s="116">
        <v>442.6</v>
      </c>
      <c r="C2673" s="116">
        <v>440.4</v>
      </c>
      <c r="D2673" s="116">
        <v>438.45</v>
      </c>
      <c r="E2673" s="116">
        <v>440.9</v>
      </c>
      <c r="F2673" s="116">
        <v>440.4</v>
      </c>
      <c r="G2673">
        <v>117</v>
      </c>
      <c r="H2673" s="116"/>
      <c r="I2673" s="116"/>
      <c r="L2673" s="169">
        <v>45939</v>
      </c>
      <c r="M2673" s="116">
        <v>400.75</v>
      </c>
      <c r="N2673" s="116">
        <v>405.15</v>
      </c>
      <c r="O2673" s="116">
        <v>391.2</v>
      </c>
      <c r="P2673" s="116">
        <v>391.2</v>
      </c>
      <c r="Q2673" s="116">
        <v>400.75</v>
      </c>
      <c r="R2673">
        <v>6582</v>
      </c>
    </row>
    <row r="2674" spans="1:18" x14ac:dyDescent="0.25">
      <c r="A2674" s="169">
        <v>45975</v>
      </c>
      <c r="B2674" s="116">
        <v>454.45</v>
      </c>
      <c r="C2674" s="116">
        <v>452.4</v>
      </c>
      <c r="D2674" s="116">
        <v>438.1</v>
      </c>
      <c r="E2674" s="116">
        <v>443.1</v>
      </c>
      <c r="F2674" s="116">
        <v>452.4</v>
      </c>
      <c r="G2674">
        <v>184</v>
      </c>
      <c r="H2674" s="116"/>
      <c r="I2674" s="116"/>
      <c r="L2674" s="169">
        <v>45940</v>
      </c>
      <c r="M2674" s="116">
        <v>430.45</v>
      </c>
      <c r="N2674" s="116">
        <v>465.45</v>
      </c>
      <c r="O2674" s="116">
        <v>401.5</v>
      </c>
      <c r="P2674" s="116">
        <v>401.55</v>
      </c>
      <c r="Q2674" s="116">
        <v>430.45</v>
      </c>
      <c r="R2674">
        <v>1933683</v>
      </c>
    </row>
    <row r="2675" spans="1:18" x14ac:dyDescent="0.25">
      <c r="A2675" s="169">
        <v>45978</v>
      </c>
      <c r="B2675" s="116">
        <v>461.95</v>
      </c>
      <c r="C2675" s="116">
        <v>447.6</v>
      </c>
      <c r="D2675" s="116">
        <v>446.3</v>
      </c>
      <c r="E2675" s="116">
        <v>453</v>
      </c>
      <c r="F2675" s="116">
        <v>447.6</v>
      </c>
      <c r="G2675">
        <v>1171</v>
      </c>
      <c r="H2675" s="116"/>
      <c r="I2675" s="116"/>
      <c r="L2675" s="169">
        <v>45943</v>
      </c>
      <c r="M2675" s="116">
        <v>432.65</v>
      </c>
      <c r="N2675" s="116">
        <v>435.95</v>
      </c>
      <c r="O2675" s="116">
        <v>416.65</v>
      </c>
      <c r="P2675" s="116">
        <v>428.95</v>
      </c>
      <c r="Q2675" s="116">
        <v>432.65</v>
      </c>
      <c r="R2675">
        <v>124013</v>
      </c>
    </row>
    <row r="2676" spans="1:18" x14ac:dyDescent="0.25">
      <c r="A2676" s="169">
        <v>45979</v>
      </c>
      <c r="B2676" s="116">
        <v>456.55</v>
      </c>
      <c r="C2676" s="116">
        <v>444.3</v>
      </c>
      <c r="D2676" s="116">
        <v>443.9</v>
      </c>
      <c r="E2676" s="116">
        <v>455.35</v>
      </c>
      <c r="F2676" s="116">
        <v>444.3</v>
      </c>
      <c r="G2676">
        <v>1021</v>
      </c>
      <c r="H2676" s="116"/>
      <c r="I2676" s="116"/>
      <c r="L2676" s="169">
        <v>45944</v>
      </c>
      <c r="M2676" s="116">
        <v>426.8</v>
      </c>
      <c r="N2676" s="116">
        <v>434</v>
      </c>
      <c r="O2676" s="116">
        <v>422</v>
      </c>
      <c r="P2676" s="116">
        <v>432</v>
      </c>
      <c r="Q2676" s="116">
        <v>426.8</v>
      </c>
      <c r="R2676">
        <v>20279</v>
      </c>
    </row>
    <row r="2677" spans="1:18" x14ac:dyDescent="0.25">
      <c r="A2677" s="169">
        <v>45980</v>
      </c>
      <c r="B2677" s="116">
        <v>454.25</v>
      </c>
      <c r="C2677" s="116">
        <v>450.3</v>
      </c>
      <c r="D2677" s="116">
        <v>441.6</v>
      </c>
      <c r="E2677" s="116">
        <v>449.25</v>
      </c>
      <c r="F2677" s="116">
        <v>450.3</v>
      </c>
      <c r="G2677">
        <v>429</v>
      </c>
      <c r="H2677" s="116"/>
      <c r="I2677" s="116"/>
      <c r="L2677" s="169">
        <v>45945</v>
      </c>
      <c r="M2677" s="116">
        <v>428.35</v>
      </c>
      <c r="N2677" s="116">
        <v>434.85</v>
      </c>
      <c r="O2677" s="116">
        <v>420.65</v>
      </c>
      <c r="P2677" s="116">
        <v>420.65</v>
      </c>
      <c r="Q2677" s="116">
        <v>428.35</v>
      </c>
      <c r="R2677">
        <v>23149</v>
      </c>
    </row>
    <row r="2678" spans="1:18" x14ac:dyDescent="0.25">
      <c r="A2678" s="169">
        <v>45981</v>
      </c>
      <c r="B2678" s="116">
        <v>454.7</v>
      </c>
      <c r="C2678" s="116">
        <v>450.85</v>
      </c>
      <c r="D2678" s="116">
        <v>448.15</v>
      </c>
      <c r="E2678" s="116">
        <v>452.6</v>
      </c>
      <c r="F2678" s="116">
        <v>450.85</v>
      </c>
      <c r="G2678">
        <v>513</v>
      </c>
      <c r="H2678" s="116"/>
      <c r="I2678" s="116"/>
      <c r="L2678" s="169">
        <v>45946</v>
      </c>
      <c r="M2678" s="116">
        <v>428.5</v>
      </c>
      <c r="N2678" s="116">
        <v>432.6</v>
      </c>
      <c r="O2678" s="116">
        <v>426.45</v>
      </c>
      <c r="P2678" s="116">
        <v>432.45</v>
      </c>
      <c r="Q2678" s="116">
        <v>428.5</v>
      </c>
      <c r="R2678">
        <v>7356</v>
      </c>
    </row>
    <row r="2679" spans="1:18" x14ac:dyDescent="0.25">
      <c r="A2679" s="169">
        <v>45982</v>
      </c>
      <c r="B2679" s="116">
        <v>452.95</v>
      </c>
      <c r="C2679" s="116">
        <v>450.7</v>
      </c>
      <c r="D2679" s="116">
        <v>438.95</v>
      </c>
      <c r="E2679" s="116">
        <v>449.05</v>
      </c>
      <c r="F2679" s="116">
        <v>450.7</v>
      </c>
      <c r="G2679">
        <v>567</v>
      </c>
      <c r="H2679" s="116"/>
      <c r="I2679" s="116"/>
      <c r="L2679" s="169">
        <v>45947</v>
      </c>
      <c r="M2679" s="116">
        <v>422.4</v>
      </c>
      <c r="N2679" s="116">
        <v>430.2</v>
      </c>
      <c r="O2679" s="116">
        <v>421.65</v>
      </c>
      <c r="P2679" s="116">
        <v>430.2</v>
      </c>
      <c r="Q2679" s="116">
        <v>422.4</v>
      </c>
      <c r="R2679">
        <v>6943</v>
      </c>
    </row>
    <row r="2680" spans="1:18" x14ac:dyDescent="0.25">
      <c r="A2680" s="169">
        <v>45985</v>
      </c>
      <c r="B2680" s="116">
        <v>451</v>
      </c>
      <c r="C2680" s="116">
        <v>449.8</v>
      </c>
      <c r="D2680" s="116">
        <v>447.3</v>
      </c>
      <c r="E2680" s="116">
        <v>447.3</v>
      </c>
      <c r="F2680" s="116">
        <v>449.8</v>
      </c>
      <c r="G2680">
        <v>1170</v>
      </c>
      <c r="H2680" s="116"/>
      <c r="I2680" s="116"/>
      <c r="L2680" s="169">
        <v>45950</v>
      </c>
      <c r="M2680" s="116">
        <v>419.9</v>
      </c>
      <c r="N2680" s="116">
        <v>422.1</v>
      </c>
      <c r="O2680" s="116">
        <v>409</v>
      </c>
      <c r="P2680" s="116">
        <v>415.5</v>
      </c>
      <c r="Q2680" s="116">
        <v>419.9</v>
      </c>
      <c r="R2680">
        <v>7137</v>
      </c>
    </row>
    <row r="2681" spans="1:18" x14ac:dyDescent="0.25">
      <c r="A2681" s="169">
        <v>45986</v>
      </c>
      <c r="B2681" s="116">
        <v>454.85</v>
      </c>
      <c r="C2681" s="116">
        <v>450</v>
      </c>
      <c r="D2681" s="116">
        <v>445.6</v>
      </c>
      <c r="E2681" s="116">
        <v>446.45</v>
      </c>
      <c r="F2681" s="116">
        <v>450</v>
      </c>
      <c r="G2681">
        <v>129</v>
      </c>
      <c r="H2681" s="116"/>
      <c r="I2681" s="116"/>
      <c r="L2681" s="169">
        <v>45951</v>
      </c>
      <c r="M2681" s="116">
        <v>430.4</v>
      </c>
      <c r="N2681" s="116">
        <v>432</v>
      </c>
      <c r="O2681" s="116">
        <v>413.6</v>
      </c>
      <c r="P2681" s="116">
        <v>413.6</v>
      </c>
      <c r="Q2681" s="116">
        <v>430.4</v>
      </c>
      <c r="R2681">
        <v>8323</v>
      </c>
    </row>
    <row r="2682" spans="1:18" x14ac:dyDescent="0.25">
      <c r="A2682" s="169">
        <v>45987</v>
      </c>
      <c r="B2682" s="116">
        <v>451.45</v>
      </c>
      <c r="C2682" s="116">
        <v>450.1</v>
      </c>
      <c r="D2682" s="116">
        <v>446.95</v>
      </c>
      <c r="E2682" s="116">
        <v>449.65</v>
      </c>
      <c r="F2682" s="116">
        <v>450.1</v>
      </c>
      <c r="G2682">
        <v>504</v>
      </c>
      <c r="H2682" s="116"/>
      <c r="I2682" s="116"/>
      <c r="L2682" s="169">
        <v>45953</v>
      </c>
      <c r="M2682" s="116">
        <v>432.2</v>
      </c>
      <c r="N2682" s="116">
        <v>438</v>
      </c>
      <c r="O2682" s="116">
        <v>428.35</v>
      </c>
      <c r="P2682" s="116">
        <v>438</v>
      </c>
      <c r="Q2682" s="116">
        <v>432.2</v>
      </c>
      <c r="R2682">
        <v>37724</v>
      </c>
    </row>
    <row r="2683" spans="1:18" x14ac:dyDescent="0.25">
      <c r="A2683" s="169">
        <v>45988</v>
      </c>
      <c r="B2683" s="116">
        <v>453</v>
      </c>
      <c r="C2683" s="116">
        <v>448.35</v>
      </c>
      <c r="D2683" s="116">
        <v>447.6</v>
      </c>
      <c r="E2683" s="116">
        <v>447.65</v>
      </c>
      <c r="F2683" s="116">
        <v>448.35</v>
      </c>
      <c r="G2683">
        <v>866</v>
      </c>
      <c r="H2683" s="116"/>
      <c r="I2683" s="116"/>
      <c r="L2683" s="169">
        <v>45954</v>
      </c>
      <c r="M2683" s="116">
        <v>441.7</v>
      </c>
      <c r="N2683" s="116">
        <v>447</v>
      </c>
      <c r="O2683" s="116">
        <v>428.2</v>
      </c>
      <c r="P2683" s="116">
        <v>432.2</v>
      </c>
      <c r="Q2683" s="116">
        <v>441.7</v>
      </c>
      <c r="R2683">
        <v>17445</v>
      </c>
    </row>
    <row r="2684" spans="1:18" x14ac:dyDescent="0.25">
      <c r="A2684" s="169">
        <v>45989</v>
      </c>
      <c r="B2684" s="116">
        <v>452.2</v>
      </c>
      <c r="C2684" s="116">
        <v>445.65</v>
      </c>
      <c r="D2684" s="116">
        <v>439.3</v>
      </c>
      <c r="E2684" s="116">
        <v>447.9</v>
      </c>
      <c r="F2684" s="116">
        <v>445.65</v>
      </c>
      <c r="G2684">
        <v>3108</v>
      </c>
      <c r="H2684" s="116"/>
      <c r="I2684" s="116"/>
      <c r="L2684" s="169">
        <v>45957</v>
      </c>
      <c r="M2684" s="116">
        <v>458.55</v>
      </c>
      <c r="N2684" s="116">
        <v>460</v>
      </c>
      <c r="O2684" s="116">
        <v>441.95</v>
      </c>
      <c r="P2684" s="116">
        <v>445.5</v>
      </c>
      <c r="Q2684" s="116">
        <v>458.55</v>
      </c>
      <c r="R2684">
        <v>52779</v>
      </c>
    </row>
    <row r="2685" spans="1:18" x14ac:dyDescent="0.25">
      <c r="A2685" s="169">
        <v>45992</v>
      </c>
      <c r="B2685" s="116">
        <v>443.85</v>
      </c>
      <c r="C2685" s="116">
        <v>429.9</v>
      </c>
      <c r="D2685" s="116">
        <v>426.3</v>
      </c>
      <c r="E2685" s="116">
        <v>443.85</v>
      </c>
      <c r="F2685" s="116">
        <v>429.9</v>
      </c>
      <c r="G2685">
        <v>1307</v>
      </c>
      <c r="H2685" s="116"/>
      <c r="I2685" s="116"/>
      <c r="L2685" s="169">
        <v>45958</v>
      </c>
      <c r="M2685" s="116">
        <v>452.5</v>
      </c>
      <c r="N2685" s="116">
        <v>461.9</v>
      </c>
      <c r="O2685" s="116">
        <v>448</v>
      </c>
      <c r="P2685" s="116">
        <v>460.6</v>
      </c>
      <c r="Q2685" s="116">
        <v>452.5</v>
      </c>
      <c r="R2685">
        <v>25622</v>
      </c>
    </row>
    <row r="2686" spans="1:18" x14ac:dyDescent="0.25">
      <c r="A2686" s="169">
        <v>45993</v>
      </c>
      <c r="B2686" s="116">
        <v>434.15</v>
      </c>
      <c r="C2686" s="116">
        <v>433.35</v>
      </c>
      <c r="D2686" s="116">
        <v>425.6</v>
      </c>
      <c r="E2686" s="116">
        <v>425.6</v>
      </c>
      <c r="F2686" s="116">
        <v>433.35</v>
      </c>
      <c r="G2686">
        <v>422</v>
      </c>
      <c r="H2686" s="116"/>
      <c r="I2686" s="116"/>
      <c r="L2686" s="169">
        <v>45959</v>
      </c>
      <c r="M2686" s="116">
        <v>455</v>
      </c>
      <c r="N2686" s="116">
        <v>456.95</v>
      </c>
      <c r="O2686" s="116">
        <v>451.4</v>
      </c>
      <c r="P2686" s="116">
        <v>455</v>
      </c>
      <c r="Q2686" s="116">
        <v>455</v>
      </c>
      <c r="R2686">
        <v>11326</v>
      </c>
    </row>
    <row r="2687" spans="1:18" x14ac:dyDescent="0.25">
      <c r="A2687" s="169">
        <v>45994</v>
      </c>
      <c r="B2687" s="116">
        <v>437.75</v>
      </c>
      <c r="C2687" s="116">
        <v>436.05</v>
      </c>
      <c r="D2687" s="116">
        <v>434.4</v>
      </c>
      <c r="E2687" s="116">
        <v>437.75</v>
      </c>
      <c r="F2687" s="116">
        <v>436.05</v>
      </c>
      <c r="G2687">
        <v>23</v>
      </c>
      <c r="H2687" s="116"/>
      <c r="I2687" s="116"/>
      <c r="L2687" s="169">
        <v>45960</v>
      </c>
      <c r="M2687" s="116">
        <v>456</v>
      </c>
      <c r="N2687" s="116">
        <v>464</v>
      </c>
      <c r="O2687" s="116">
        <v>450</v>
      </c>
      <c r="P2687" s="116">
        <v>450.45</v>
      </c>
      <c r="Q2687" s="116">
        <v>456</v>
      </c>
      <c r="R2687">
        <v>16221</v>
      </c>
    </row>
    <row r="2688" spans="1:18" x14ac:dyDescent="0.25">
      <c r="A2688" s="169">
        <v>45995</v>
      </c>
      <c r="B2688" s="116">
        <v>439.3</v>
      </c>
      <c r="C2688" s="116">
        <v>428.85</v>
      </c>
      <c r="D2688" s="116">
        <v>428.85</v>
      </c>
      <c r="E2688" s="116">
        <v>432.7</v>
      </c>
      <c r="F2688" s="116">
        <v>428.85</v>
      </c>
      <c r="G2688">
        <v>184</v>
      </c>
      <c r="H2688" s="116"/>
      <c r="I2688" s="116"/>
      <c r="L2688" s="169">
        <v>45961</v>
      </c>
      <c r="M2688" s="116">
        <v>450.65</v>
      </c>
      <c r="N2688" s="116">
        <v>459.8</v>
      </c>
      <c r="O2688" s="116">
        <v>432.5</v>
      </c>
      <c r="P2688" s="116">
        <v>459.75</v>
      </c>
      <c r="Q2688" s="116">
        <v>450.65</v>
      </c>
      <c r="R2688">
        <v>19985</v>
      </c>
    </row>
    <row r="2689" spans="1:18" x14ac:dyDescent="0.25">
      <c r="A2689" s="169">
        <v>45996</v>
      </c>
      <c r="B2689" s="116">
        <v>428.3</v>
      </c>
      <c r="C2689" s="116">
        <v>425</v>
      </c>
      <c r="D2689" s="116">
        <v>420.65</v>
      </c>
      <c r="E2689" s="116">
        <v>427.45</v>
      </c>
      <c r="F2689" s="116">
        <v>425</v>
      </c>
      <c r="G2689">
        <v>741</v>
      </c>
      <c r="H2689" s="116"/>
      <c r="I2689" s="116"/>
      <c r="L2689" s="169">
        <v>45964</v>
      </c>
      <c r="M2689" s="116">
        <v>441.75</v>
      </c>
      <c r="N2689" s="116">
        <v>458.1</v>
      </c>
      <c r="O2689" s="116">
        <v>421.95</v>
      </c>
      <c r="P2689" s="116">
        <v>455</v>
      </c>
      <c r="Q2689" s="116">
        <v>441.75</v>
      </c>
      <c r="R2689">
        <v>53988</v>
      </c>
    </row>
    <row r="2690" spans="1:18" x14ac:dyDescent="0.25">
      <c r="A2690" s="169">
        <v>45999</v>
      </c>
      <c r="B2690" s="116">
        <v>429.45</v>
      </c>
      <c r="C2690" s="116">
        <v>424.35</v>
      </c>
      <c r="D2690" s="116">
        <v>424.15</v>
      </c>
      <c r="E2690" s="116">
        <v>426.95</v>
      </c>
      <c r="F2690" s="116">
        <v>424.35</v>
      </c>
      <c r="G2690">
        <v>148</v>
      </c>
      <c r="H2690" s="116"/>
      <c r="I2690" s="116"/>
      <c r="L2690" s="169">
        <v>45965</v>
      </c>
      <c r="M2690" s="116">
        <v>446.25</v>
      </c>
      <c r="N2690" s="116">
        <v>449.15</v>
      </c>
      <c r="O2690" s="116">
        <v>440.1</v>
      </c>
      <c r="P2690" s="116">
        <v>443.2</v>
      </c>
      <c r="Q2690" s="116">
        <v>446.25</v>
      </c>
      <c r="R2690">
        <v>9190</v>
      </c>
    </row>
    <row r="2691" spans="1:18" x14ac:dyDescent="0.25">
      <c r="A2691" s="169">
        <v>46000</v>
      </c>
      <c r="B2691" s="116">
        <v>429.55</v>
      </c>
      <c r="C2691" s="116">
        <v>422.9</v>
      </c>
      <c r="D2691" s="116">
        <v>418.35</v>
      </c>
      <c r="E2691" s="116">
        <v>429.55</v>
      </c>
      <c r="F2691" s="116">
        <v>422.9</v>
      </c>
      <c r="G2691">
        <v>716</v>
      </c>
      <c r="H2691" s="116"/>
      <c r="I2691" s="116"/>
      <c r="L2691" s="169">
        <v>45967</v>
      </c>
      <c r="M2691" s="116">
        <v>466.6</v>
      </c>
      <c r="N2691" s="116">
        <v>472.4</v>
      </c>
      <c r="O2691" s="116">
        <v>440.5</v>
      </c>
      <c r="P2691" s="116">
        <v>452.9</v>
      </c>
      <c r="Q2691" s="116">
        <v>466.6</v>
      </c>
      <c r="R2691">
        <v>114879</v>
      </c>
    </row>
    <row r="2692" spans="1:18" x14ac:dyDescent="0.25">
      <c r="A2692" s="169">
        <v>46001</v>
      </c>
      <c r="B2692" s="116">
        <v>432.3</v>
      </c>
      <c r="C2692" s="116">
        <v>424.95</v>
      </c>
      <c r="D2692" s="116">
        <v>424.85</v>
      </c>
      <c r="E2692" s="116">
        <v>432.3</v>
      </c>
      <c r="F2692" s="116">
        <v>424.95</v>
      </c>
      <c r="G2692">
        <v>24</v>
      </c>
      <c r="H2692" s="116"/>
      <c r="I2692" s="116"/>
      <c r="L2692" s="169">
        <v>45968</v>
      </c>
      <c r="M2692" s="116">
        <v>471.45</v>
      </c>
      <c r="N2692" s="116">
        <v>479</v>
      </c>
      <c r="O2692" s="116">
        <v>460</v>
      </c>
      <c r="P2692" s="116">
        <v>467.4</v>
      </c>
      <c r="Q2692" s="116">
        <v>471.45</v>
      </c>
      <c r="R2692">
        <v>64987</v>
      </c>
    </row>
    <row r="2693" spans="1:18" x14ac:dyDescent="0.25">
      <c r="A2693" s="169">
        <v>46002</v>
      </c>
      <c r="B2693" s="116">
        <v>431.85</v>
      </c>
      <c r="C2693" s="116">
        <v>428.65</v>
      </c>
      <c r="D2693" s="116">
        <v>428.65</v>
      </c>
      <c r="E2693" s="116">
        <v>428.65</v>
      </c>
      <c r="F2693" s="116">
        <v>428.65</v>
      </c>
      <c r="G2693">
        <v>186</v>
      </c>
      <c r="H2693" s="116"/>
      <c r="I2693" s="116"/>
      <c r="L2693" s="169">
        <v>45971</v>
      </c>
      <c r="M2693" s="116">
        <v>474.5</v>
      </c>
      <c r="N2693" s="116">
        <v>494.9</v>
      </c>
      <c r="O2693" s="116">
        <v>470.25</v>
      </c>
      <c r="P2693" s="116">
        <v>475</v>
      </c>
      <c r="Q2693" s="116">
        <v>474.5</v>
      </c>
      <c r="R2693">
        <v>92752</v>
      </c>
    </row>
    <row r="2694" spans="1:18" x14ac:dyDescent="0.25">
      <c r="A2694" s="169">
        <v>46003</v>
      </c>
      <c r="B2694" s="116">
        <v>457.5</v>
      </c>
      <c r="C2694" s="116">
        <v>440.65</v>
      </c>
      <c r="D2694" s="116">
        <v>420.3</v>
      </c>
      <c r="E2694" s="116">
        <v>422.3</v>
      </c>
      <c r="F2694" s="116">
        <v>440.65</v>
      </c>
      <c r="G2694">
        <v>4318</v>
      </c>
      <c r="H2694" s="116"/>
      <c r="I2694" s="116"/>
      <c r="L2694" s="169">
        <v>45972</v>
      </c>
      <c r="M2694" s="116">
        <v>435.8</v>
      </c>
      <c r="N2694" s="116">
        <v>470</v>
      </c>
      <c r="O2694" s="116">
        <v>432.15</v>
      </c>
      <c r="P2694" s="116">
        <v>470</v>
      </c>
      <c r="Q2694" s="116">
        <v>435.8</v>
      </c>
      <c r="R2694">
        <v>131938</v>
      </c>
    </row>
    <row r="2695" spans="1:18" x14ac:dyDescent="0.25">
      <c r="A2695" s="169">
        <v>46006</v>
      </c>
      <c r="B2695" s="116">
        <v>455.75</v>
      </c>
      <c r="C2695" s="116">
        <v>448.8</v>
      </c>
      <c r="D2695" s="116">
        <v>432.05</v>
      </c>
      <c r="E2695" s="116">
        <v>432.05</v>
      </c>
      <c r="F2695" s="116">
        <v>448.8</v>
      </c>
      <c r="G2695">
        <v>12174</v>
      </c>
      <c r="H2695" s="116"/>
      <c r="I2695" s="116"/>
      <c r="L2695" s="169">
        <v>45973</v>
      </c>
      <c r="M2695" s="116">
        <v>444.95</v>
      </c>
      <c r="N2695" s="116">
        <v>446.75</v>
      </c>
      <c r="O2695" s="116">
        <v>436</v>
      </c>
      <c r="P2695" s="116">
        <v>439.3</v>
      </c>
      <c r="Q2695" s="116">
        <v>444.95</v>
      </c>
      <c r="R2695">
        <v>31399</v>
      </c>
    </row>
    <row r="2696" spans="1:18" x14ac:dyDescent="0.25">
      <c r="A2696" s="169">
        <v>46007</v>
      </c>
      <c r="B2696" s="116">
        <v>452.95</v>
      </c>
      <c r="C2696" s="116">
        <v>440.55</v>
      </c>
      <c r="D2696" s="116">
        <v>439</v>
      </c>
      <c r="E2696" s="116">
        <v>452.95</v>
      </c>
      <c r="F2696" s="116">
        <v>440.55</v>
      </c>
      <c r="G2696">
        <v>514</v>
      </c>
      <c r="H2696" s="116"/>
      <c r="I2696" s="116"/>
      <c r="L2696" s="169">
        <v>45974</v>
      </c>
      <c r="M2696" s="116">
        <v>441.95</v>
      </c>
      <c r="N2696" s="116">
        <v>446</v>
      </c>
      <c r="O2696" s="116">
        <v>438.3</v>
      </c>
      <c r="P2696" s="116">
        <v>438.3</v>
      </c>
      <c r="Q2696" s="116">
        <v>441.95</v>
      </c>
      <c r="R2696">
        <v>10405</v>
      </c>
    </row>
    <row r="2697" spans="1:18" x14ac:dyDescent="0.25">
      <c r="A2697" s="169">
        <v>46008</v>
      </c>
      <c r="B2697" s="116">
        <v>440.7</v>
      </c>
      <c r="C2697" s="116">
        <v>429.85</v>
      </c>
      <c r="D2697" s="116">
        <v>425.85</v>
      </c>
      <c r="E2697" s="116">
        <v>440.25</v>
      </c>
      <c r="F2697" s="116">
        <v>429.85</v>
      </c>
      <c r="G2697">
        <v>252</v>
      </c>
      <c r="H2697" s="116"/>
      <c r="I2697" s="116"/>
      <c r="L2697" s="169">
        <v>45975</v>
      </c>
      <c r="M2697" s="116">
        <v>451.95</v>
      </c>
      <c r="N2697" s="116">
        <v>455</v>
      </c>
      <c r="O2697" s="116">
        <v>437.8</v>
      </c>
      <c r="P2697" s="116">
        <v>448.6</v>
      </c>
      <c r="Q2697" s="116">
        <v>451.95</v>
      </c>
      <c r="R2697">
        <v>20165</v>
      </c>
    </row>
    <row r="2698" spans="1:18" x14ac:dyDescent="0.25">
      <c r="A2698" s="169">
        <v>46009</v>
      </c>
      <c r="B2698" s="116">
        <v>437.35</v>
      </c>
      <c r="C2698" s="116">
        <v>428.45</v>
      </c>
      <c r="D2698" s="116">
        <v>425</v>
      </c>
      <c r="E2698" s="116">
        <v>436.25</v>
      </c>
      <c r="F2698" s="116">
        <v>428.45</v>
      </c>
      <c r="G2698">
        <v>273</v>
      </c>
      <c r="H2698" s="116"/>
      <c r="I2698" s="116"/>
      <c r="L2698" s="169">
        <v>45978</v>
      </c>
      <c r="M2698" s="116">
        <v>450.95</v>
      </c>
      <c r="N2698" s="116">
        <v>465</v>
      </c>
      <c r="O2698" s="116">
        <v>447.5</v>
      </c>
      <c r="P2698" s="116">
        <v>452.85</v>
      </c>
      <c r="Q2698" s="116">
        <v>450.95</v>
      </c>
      <c r="R2698">
        <v>21176</v>
      </c>
    </row>
    <row r="2699" spans="1:18" x14ac:dyDescent="0.25">
      <c r="A2699" s="169">
        <v>46010</v>
      </c>
      <c r="B2699" s="116">
        <v>431.7</v>
      </c>
      <c r="C2699" s="116">
        <v>430.4</v>
      </c>
      <c r="D2699" s="116">
        <v>425.9</v>
      </c>
      <c r="E2699" s="116">
        <v>428.2</v>
      </c>
      <c r="F2699" s="116">
        <v>430.4</v>
      </c>
      <c r="G2699">
        <v>146</v>
      </c>
      <c r="H2699" s="116"/>
      <c r="I2699" s="116"/>
      <c r="L2699" s="169">
        <v>45979</v>
      </c>
      <c r="M2699" s="116">
        <v>444.05</v>
      </c>
      <c r="N2699" s="116">
        <v>463.5</v>
      </c>
      <c r="O2699" s="116">
        <v>440</v>
      </c>
      <c r="P2699" s="116">
        <v>450.7</v>
      </c>
      <c r="Q2699" s="116">
        <v>444.05</v>
      </c>
      <c r="R2699">
        <v>9793</v>
      </c>
    </row>
    <row r="2700" spans="1:18" x14ac:dyDescent="0.25">
      <c r="A2700" s="169">
        <v>46013</v>
      </c>
      <c r="B2700" s="116">
        <v>432.7</v>
      </c>
      <c r="C2700" s="116">
        <v>431.75</v>
      </c>
      <c r="D2700" s="116">
        <v>429.95</v>
      </c>
      <c r="E2700" s="116">
        <v>432.7</v>
      </c>
      <c r="F2700" s="116">
        <v>431.75</v>
      </c>
      <c r="G2700">
        <v>125</v>
      </c>
      <c r="H2700" s="116"/>
      <c r="I2700" s="116"/>
      <c r="L2700" s="169">
        <v>45980</v>
      </c>
      <c r="M2700" s="116">
        <v>450.3</v>
      </c>
      <c r="N2700" s="116">
        <v>454</v>
      </c>
      <c r="O2700" s="116">
        <v>441.05</v>
      </c>
      <c r="P2700" s="116">
        <v>446.7</v>
      </c>
      <c r="Q2700" s="116">
        <v>450.3</v>
      </c>
      <c r="R2700">
        <v>11841</v>
      </c>
    </row>
    <row r="2701" spans="1:18" x14ac:dyDescent="0.25">
      <c r="A2701" s="169">
        <v>46014</v>
      </c>
      <c r="B2701" s="116">
        <v>439.9</v>
      </c>
      <c r="C2701" s="116">
        <v>439.9</v>
      </c>
      <c r="D2701" s="116">
        <v>437.75</v>
      </c>
      <c r="E2701" s="116">
        <v>438</v>
      </c>
      <c r="F2701" s="116">
        <v>439.9</v>
      </c>
      <c r="G2701">
        <v>61</v>
      </c>
      <c r="H2701" s="116"/>
      <c r="I2701" s="116"/>
      <c r="L2701" s="169">
        <v>45981</v>
      </c>
      <c r="M2701" s="116">
        <v>450.3</v>
      </c>
      <c r="N2701" s="116">
        <v>455.55</v>
      </c>
      <c r="O2701" s="116">
        <v>443</v>
      </c>
      <c r="P2701" s="116">
        <v>443</v>
      </c>
      <c r="Q2701" s="116">
        <v>450.3</v>
      </c>
      <c r="R2701">
        <v>34433</v>
      </c>
    </row>
    <row r="2702" spans="1:18" x14ac:dyDescent="0.25">
      <c r="A2702" s="169">
        <v>46015</v>
      </c>
      <c r="B2702" s="116">
        <v>451.15</v>
      </c>
      <c r="C2702" s="116">
        <v>446.65</v>
      </c>
      <c r="D2702" s="116">
        <v>433.9</v>
      </c>
      <c r="E2702" s="116">
        <v>439.9</v>
      </c>
      <c r="F2702" s="116">
        <v>446.65</v>
      </c>
      <c r="G2702">
        <v>1323</v>
      </c>
      <c r="H2702" s="116"/>
      <c r="I2702" s="116"/>
      <c r="L2702" s="169">
        <v>45982</v>
      </c>
      <c r="M2702" s="116">
        <v>450.05</v>
      </c>
      <c r="N2702" s="116">
        <v>454.6</v>
      </c>
      <c r="O2702" s="116">
        <v>438</v>
      </c>
      <c r="P2702" s="116">
        <v>453.1</v>
      </c>
      <c r="Q2702" s="116">
        <v>450.05</v>
      </c>
      <c r="R2702">
        <v>16002</v>
      </c>
    </row>
    <row r="2703" spans="1:18" x14ac:dyDescent="0.25">
      <c r="A2703" s="169">
        <v>46017</v>
      </c>
      <c r="B2703" s="116">
        <v>460</v>
      </c>
      <c r="C2703" s="116">
        <v>457.85</v>
      </c>
      <c r="D2703" s="116">
        <v>435.25</v>
      </c>
      <c r="E2703" s="116">
        <v>435.25</v>
      </c>
      <c r="F2703" s="116">
        <v>457.85</v>
      </c>
      <c r="G2703">
        <v>1602</v>
      </c>
      <c r="H2703" s="116"/>
      <c r="I2703" s="116"/>
      <c r="L2703" s="169">
        <v>45985</v>
      </c>
      <c r="M2703" s="116">
        <v>450.3</v>
      </c>
      <c r="N2703" s="116">
        <v>452.55</v>
      </c>
      <c r="O2703" s="116">
        <v>447.1</v>
      </c>
      <c r="P2703" s="116">
        <v>452.3</v>
      </c>
      <c r="Q2703" s="116">
        <v>450.3</v>
      </c>
      <c r="R2703">
        <v>22065</v>
      </c>
    </row>
    <row r="2704" spans="1:18" x14ac:dyDescent="0.25">
      <c r="A2704" s="169">
        <v>46020</v>
      </c>
      <c r="B2704" s="116">
        <v>460</v>
      </c>
      <c r="C2704" s="116">
        <v>459.1</v>
      </c>
      <c r="D2704" s="116">
        <v>454.45</v>
      </c>
      <c r="E2704" s="116">
        <v>457</v>
      </c>
      <c r="F2704" s="116">
        <v>459.1</v>
      </c>
      <c r="G2704">
        <v>1637</v>
      </c>
      <c r="H2704" s="116"/>
      <c r="I2704" s="116"/>
      <c r="L2704" s="169">
        <v>45986</v>
      </c>
      <c r="M2704" s="116">
        <v>450.05</v>
      </c>
      <c r="N2704" s="116">
        <v>455</v>
      </c>
      <c r="O2704" s="116">
        <v>446.5</v>
      </c>
      <c r="P2704" s="116">
        <v>449.95</v>
      </c>
      <c r="Q2704" s="116">
        <v>450.05</v>
      </c>
      <c r="R2704">
        <v>19607</v>
      </c>
    </row>
    <row r="2705" spans="1:18" x14ac:dyDescent="0.25">
      <c r="A2705" s="169">
        <v>46021</v>
      </c>
      <c r="B2705" s="116">
        <v>477</v>
      </c>
      <c r="C2705" s="116">
        <v>473.1</v>
      </c>
      <c r="D2705" s="116">
        <v>449</v>
      </c>
      <c r="E2705" s="116">
        <v>450.55</v>
      </c>
      <c r="F2705" s="116">
        <v>473.1</v>
      </c>
      <c r="G2705">
        <v>2350</v>
      </c>
      <c r="H2705" s="116"/>
      <c r="I2705" s="116"/>
      <c r="L2705" s="169">
        <v>45987</v>
      </c>
      <c r="M2705" s="116">
        <v>448.7</v>
      </c>
      <c r="N2705" s="116">
        <v>454.2</v>
      </c>
      <c r="O2705" s="116">
        <v>445</v>
      </c>
      <c r="P2705" s="116">
        <v>449.6</v>
      </c>
      <c r="Q2705" s="116">
        <v>448.7</v>
      </c>
      <c r="R2705">
        <v>13412</v>
      </c>
    </row>
    <row r="2706" spans="1:18" x14ac:dyDescent="0.25">
      <c r="A2706" s="169">
        <v>46022</v>
      </c>
      <c r="B2706" s="116">
        <v>501</v>
      </c>
      <c r="C2706" s="116">
        <v>495.35</v>
      </c>
      <c r="D2706" s="116">
        <v>476</v>
      </c>
      <c r="E2706" s="116">
        <v>476</v>
      </c>
      <c r="F2706" s="116">
        <v>495.35</v>
      </c>
      <c r="G2706">
        <v>4136</v>
      </c>
      <c r="H2706" s="116"/>
      <c r="I2706" s="116"/>
      <c r="L2706" s="169">
        <v>45988</v>
      </c>
      <c r="M2706" s="116">
        <v>450</v>
      </c>
      <c r="N2706" s="116">
        <v>452.95</v>
      </c>
      <c r="O2706" s="116">
        <v>446.95</v>
      </c>
      <c r="P2706" s="116">
        <v>449.15</v>
      </c>
      <c r="Q2706" s="116">
        <v>450</v>
      </c>
      <c r="R2706">
        <v>10004</v>
      </c>
    </row>
    <row r="2707" spans="1:18" x14ac:dyDescent="0.25">
      <c r="A2707" s="169">
        <v>46023</v>
      </c>
      <c r="B2707" s="116">
        <v>507.5</v>
      </c>
      <c r="C2707" s="116">
        <v>492.85</v>
      </c>
      <c r="D2707" s="116">
        <v>489.25</v>
      </c>
      <c r="E2707" s="116">
        <v>496.55</v>
      </c>
      <c r="F2707" s="116">
        <v>492.85</v>
      </c>
      <c r="G2707">
        <v>1775</v>
      </c>
      <c r="H2707" s="116"/>
      <c r="I2707" s="116"/>
      <c r="L2707" s="169">
        <v>45989</v>
      </c>
      <c r="M2707" s="116">
        <v>446.45</v>
      </c>
      <c r="N2707" s="116">
        <v>452.3</v>
      </c>
      <c r="O2707" s="116">
        <v>443</v>
      </c>
      <c r="P2707" s="116">
        <v>449.55</v>
      </c>
      <c r="Q2707" s="116">
        <v>446.45</v>
      </c>
      <c r="R2707">
        <v>14010</v>
      </c>
    </row>
    <row r="2708" spans="1:18" x14ac:dyDescent="0.25">
      <c r="A2708" s="169">
        <v>46024</v>
      </c>
      <c r="B2708" s="116">
        <v>501</v>
      </c>
      <c r="C2708" s="116">
        <v>481.15</v>
      </c>
      <c r="D2708" s="116">
        <v>476.9</v>
      </c>
      <c r="E2708" s="116">
        <v>492.9</v>
      </c>
      <c r="F2708" s="116">
        <v>481.15</v>
      </c>
      <c r="G2708">
        <v>3376</v>
      </c>
      <c r="H2708" s="116"/>
      <c r="I2708" s="116"/>
      <c r="L2708" s="169">
        <v>45992</v>
      </c>
      <c r="M2708" s="116">
        <v>429.8</v>
      </c>
      <c r="N2708" s="116">
        <v>446.9</v>
      </c>
      <c r="O2708" s="116">
        <v>425.55</v>
      </c>
      <c r="P2708" s="116">
        <v>446.9</v>
      </c>
      <c r="Q2708" s="116">
        <v>429.8</v>
      </c>
      <c r="R2708">
        <v>19391</v>
      </c>
    </row>
    <row r="2709" spans="1:18" x14ac:dyDescent="0.25">
      <c r="A2709" s="169">
        <v>46027</v>
      </c>
      <c r="B2709">
        <v>489.9</v>
      </c>
      <c r="C2709">
        <v>480.45</v>
      </c>
      <c r="D2709">
        <v>474.45</v>
      </c>
      <c r="E2709">
        <v>477.05</v>
      </c>
      <c r="F2709">
        <v>480.45</v>
      </c>
      <c r="G2709">
        <v>2557</v>
      </c>
      <c r="H2709" s="116"/>
      <c r="I2709" s="116"/>
      <c r="L2709" s="169">
        <v>45993</v>
      </c>
      <c r="M2709" s="116">
        <v>431.25</v>
      </c>
      <c r="N2709" s="116">
        <v>438.45</v>
      </c>
      <c r="O2709" s="116">
        <v>424.35</v>
      </c>
      <c r="P2709" s="116">
        <v>431.95</v>
      </c>
      <c r="Q2709" s="116">
        <v>431.25</v>
      </c>
      <c r="R2709">
        <v>22180</v>
      </c>
    </row>
    <row r="2710" spans="1:18" x14ac:dyDescent="0.25">
      <c r="A2710" s="169">
        <v>46028</v>
      </c>
      <c r="B2710">
        <v>486.7</v>
      </c>
      <c r="C2710">
        <v>481.7</v>
      </c>
      <c r="D2710">
        <v>477.4</v>
      </c>
      <c r="E2710">
        <v>480.45</v>
      </c>
      <c r="F2710">
        <v>481.7</v>
      </c>
      <c r="G2710">
        <v>1164</v>
      </c>
      <c r="H2710" s="116"/>
      <c r="I2710" s="116"/>
      <c r="L2710" s="169">
        <v>45994</v>
      </c>
      <c r="M2710" s="116">
        <v>432.95</v>
      </c>
      <c r="N2710" s="116">
        <v>440</v>
      </c>
      <c r="O2710" s="116">
        <v>430</v>
      </c>
      <c r="P2710" s="116">
        <v>430</v>
      </c>
      <c r="Q2710" s="116">
        <v>432.95</v>
      </c>
      <c r="R2710">
        <v>14218</v>
      </c>
    </row>
    <row r="2711" spans="1:18" x14ac:dyDescent="0.25">
      <c r="A2711" s="169">
        <v>46029</v>
      </c>
      <c r="B2711">
        <v>487.8</v>
      </c>
      <c r="C2711">
        <v>478.85</v>
      </c>
      <c r="D2711">
        <v>475.8</v>
      </c>
      <c r="E2711">
        <v>481.7</v>
      </c>
      <c r="F2711">
        <v>478.85</v>
      </c>
      <c r="G2711">
        <v>1236</v>
      </c>
      <c r="H2711" s="116"/>
      <c r="I2711" s="116"/>
      <c r="L2711" s="169">
        <v>45995</v>
      </c>
      <c r="M2711" s="116">
        <v>430.9</v>
      </c>
      <c r="N2711" s="116">
        <v>439.5</v>
      </c>
      <c r="O2711" s="116">
        <v>428.95</v>
      </c>
      <c r="P2711" s="116">
        <v>431.4</v>
      </c>
      <c r="Q2711" s="116">
        <v>430.9</v>
      </c>
      <c r="R2711">
        <v>21950</v>
      </c>
    </row>
    <row r="2712" spans="1:18" x14ac:dyDescent="0.25">
      <c r="A2712" s="169">
        <v>46030</v>
      </c>
      <c r="B2712">
        <v>489.95</v>
      </c>
      <c r="C2712">
        <v>470.05</v>
      </c>
      <c r="D2712">
        <v>468.05</v>
      </c>
      <c r="E2712">
        <v>484.25</v>
      </c>
      <c r="F2712">
        <v>470.05</v>
      </c>
      <c r="G2712">
        <v>1788</v>
      </c>
      <c r="H2712" s="116"/>
      <c r="I2712" s="116"/>
      <c r="L2712" s="169">
        <v>45996</v>
      </c>
      <c r="M2712" s="116">
        <v>425.4</v>
      </c>
      <c r="N2712" s="116">
        <v>430.75</v>
      </c>
      <c r="O2712" s="116">
        <v>424.75</v>
      </c>
      <c r="P2712" s="116">
        <v>427.15</v>
      </c>
      <c r="Q2712" s="116">
        <v>425.4</v>
      </c>
      <c r="R2712">
        <v>5975</v>
      </c>
    </row>
    <row r="2713" spans="1:18" x14ac:dyDescent="0.25">
      <c r="A2713" s="169">
        <v>46031</v>
      </c>
      <c r="B2713">
        <v>484.8</v>
      </c>
      <c r="C2713">
        <v>458.35</v>
      </c>
      <c r="D2713">
        <v>453.5</v>
      </c>
      <c r="E2713">
        <v>484.8</v>
      </c>
      <c r="F2713">
        <v>458.35</v>
      </c>
      <c r="G2713">
        <v>2603</v>
      </c>
      <c r="H2713" s="116"/>
      <c r="I2713" s="116"/>
      <c r="L2713" s="169">
        <v>45999</v>
      </c>
      <c r="M2713" s="116">
        <v>424.25</v>
      </c>
      <c r="N2713" s="116">
        <v>427.6</v>
      </c>
      <c r="O2713" s="116">
        <v>424</v>
      </c>
      <c r="P2713" s="116">
        <v>425.25</v>
      </c>
      <c r="Q2713" s="116">
        <v>424.25</v>
      </c>
      <c r="R2713">
        <v>15984</v>
      </c>
    </row>
    <row r="2714" spans="1:18" x14ac:dyDescent="0.25">
      <c r="A2714" s="169">
        <v>46034</v>
      </c>
      <c r="B2714">
        <v>458.4</v>
      </c>
      <c r="C2714">
        <v>453.35</v>
      </c>
      <c r="D2714">
        <v>438.6</v>
      </c>
      <c r="E2714">
        <v>458.4</v>
      </c>
      <c r="F2714">
        <v>453.35</v>
      </c>
      <c r="G2714">
        <v>3237</v>
      </c>
      <c r="H2714" s="116"/>
      <c r="I2714" s="116"/>
      <c r="L2714" s="169">
        <v>46000</v>
      </c>
      <c r="M2714" s="116">
        <v>423.3</v>
      </c>
      <c r="N2714" s="116">
        <v>427.35</v>
      </c>
      <c r="O2714" s="116">
        <v>419.45</v>
      </c>
      <c r="P2714" s="116">
        <v>424.65</v>
      </c>
      <c r="Q2714" s="116">
        <v>423.3</v>
      </c>
      <c r="R2714">
        <v>10259</v>
      </c>
    </row>
    <row r="2715" spans="1:18" x14ac:dyDescent="0.25">
      <c r="A2715" s="169">
        <v>46035</v>
      </c>
      <c r="B2715">
        <v>459.95</v>
      </c>
      <c r="C2715">
        <v>451.9</v>
      </c>
      <c r="D2715">
        <v>451.5</v>
      </c>
      <c r="E2715">
        <v>451.55</v>
      </c>
      <c r="F2715">
        <v>451.9</v>
      </c>
      <c r="G2715">
        <v>78</v>
      </c>
      <c r="H2715" s="116"/>
      <c r="I2715" s="116"/>
      <c r="L2715" s="169">
        <v>46001</v>
      </c>
      <c r="M2715" s="116">
        <v>424.75</v>
      </c>
      <c r="N2715" s="116">
        <v>429.4</v>
      </c>
      <c r="O2715" s="116">
        <v>424</v>
      </c>
      <c r="P2715" s="116">
        <v>427.5</v>
      </c>
      <c r="Q2715" s="116">
        <v>424.75</v>
      </c>
      <c r="R2715">
        <v>1917</v>
      </c>
    </row>
    <row r="2716" spans="1:18" x14ac:dyDescent="0.25">
      <c r="A2716" s="169">
        <v>46036</v>
      </c>
      <c r="B2716">
        <v>454.5</v>
      </c>
      <c r="C2716">
        <v>453.8</v>
      </c>
      <c r="D2716">
        <v>450.5</v>
      </c>
      <c r="E2716">
        <v>451.65</v>
      </c>
      <c r="F2716">
        <v>453.8</v>
      </c>
      <c r="G2716">
        <v>288</v>
      </c>
      <c r="H2716" s="116"/>
      <c r="I2716" s="116"/>
      <c r="L2716" s="169">
        <v>46002</v>
      </c>
      <c r="M2716" s="116">
        <v>427.7</v>
      </c>
      <c r="N2716" s="116">
        <v>429.3</v>
      </c>
      <c r="O2716" s="116">
        <v>423.2</v>
      </c>
      <c r="P2716" s="116">
        <v>423.75</v>
      </c>
      <c r="Q2716" s="116">
        <v>427.7</v>
      </c>
      <c r="R2716">
        <v>3396</v>
      </c>
    </row>
    <row r="2717" spans="1:18" x14ac:dyDescent="0.25">
      <c r="A2717" s="169">
        <v>46038</v>
      </c>
      <c r="B2717">
        <v>464.6</v>
      </c>
      <c r="C2717">
        <v>457.9</v>
      </c>
      <c r="D2717">
        <v>452.6</v>
      </c>
      <c r="E2717">
        <v>458.95</v>
      </c>
      <c r="F2717">
        <v>457.9</v>
      </c>
      <c r="G2717">
        <v>271</v>
      </c>
      <c r="H2717" s="116"/>
      <c r="I2717" s="116"/>
      <c r="L2717" s="169">
        <v>46003</v>
      </c>
      <c r="M2717" s="116">
        <v>443.35</v>
      </c>
      <c r="N2717" s="116">
        <v>457.95</v>
      </c>
      <c r="O2717" s="116">
        <v>420.75</v>
      </c>
      <c r="P2717" s="116">
        <v>426.65</v>
      </c>
      <c r="Q2717" s="116">
        <v>443.35</v>
      </c>
      <c r="R2717">
        <v>325651</v>
      </c>
    </row>
    <row r="2718" spans="1:18" x14ac:dyDescent="0.25">
      <c r="A2718" s="169">
        <v>46041</v>
      </c>
      <c r="B2718">
        <v>460.45</v>
      </c>
      <c r="C2718">
        <v>454.3</v>
      </c>
      <c r="D2718">
        <v>454.1</v>
      </c>
      <c r="E2718">
        <v>457.6</v>
      </c>
      <c r="F2718">
        <v>454.3</v>
      </c>
      <c r="G2718">
        <v>118</v>
      </c>
      <c r="H2718" s="116"/>
      <c r="I2718" s="116"/>
      <c r="L2718" s="169">
        <v>46006</v>
      </c>
      <c r="M2718" s="116">
        <v>451.85</v>
      </c>
      <c r="N2718" s="116">
        <v>457</v>
      </c>
      <c r="O2718" s="116">
        <v>436.1</v>
      </c>
      <c r="P2718" s="116">
        <v>441.15</v>
      </c>
      <c r="Q2718" s="116">
        <v>451.85</v>
      </c>
      <c r="R2718">
        <v>37273</v>
      </c>
    </row>
    <row r="2719" spans="1:18" x14ac:dyDescent="0.25">
      <c r="A2719" s="169">
        <v>46042</v>
      </c>
      <c r="B2719">
        <v>460.8</v>
      </c>
      <c r="C2719">
        <v>445</v>
      </c>
      <c r="D2719">
        <v>445</v>
      </c>
      <c r="E2719">
        <v>454.3</v>
      </c>
      <c r="F2719">
        <v>445</v>
      </c>
      <c r="G2719">
        <v>566</v>
      </c>
      <c r="H2719" s="116"/>
      <c r="I2719" s="116"/>
      <c r="L2719" s="169">
        <v>46007</v>
      </c>
      <c r="M2719" s="116">
        <v>440.65</v>
      </c>
      <c r="N2719" s="116">
        <v>451</v>
      </c>
      <c r="O2719" s="116">
        <v>439.6</v>
      </c>
      <c r="P2719" s="116">
        <v>446.1</v>
      </c>
      <c r="Q2719" s="116">
        <v>440.65</v>
      </c>
      <c r="R2719">
        <v>18981</v>
      </c>
    </row>
    <row r="2720" spans="1:18" x14ac:dyDescent="0.25">
      <c r="A2720" s="169">
        <v>46043</v>
      </c>
      <c r="B2720">
        <v>455</v>
      </c>
      <c r="C2720">
        <v>425.05</v>
      </c>
      <c r="D2720">
        <v>418.8</v>
      </c>
      <c r="E2720">
        <v>448.75</v>
      </c>
      <c r="F2720">
        <v>425.05</v>
      </c>
      <c r="G2720">
        <v>6100</v>
      </c>
      <c r="H2720" s="116"/>
      <c r="I2720" s="116"/>
      <c r="L2720" s="169">
        <v>46008</v>
      </c>
      <c r="M2720" s="116">
        <v>430.55</v>
      </c>
      <c r="N2720" s="116">
        <v>447.4</v>
      </c>
      <c r="O2720" s="116">
        <v>426.85</v>
      </c>
      <c r="P2720" s="116">
        <v>437</v>
      </c>
      <c r="Q2720" s="116">
        <v>430.55</v>
      </c>
      <c r="R2720">
        <v>13199</v>
      </c>
    </row>
    <row r="2721" spans="1:18" x14ac:dyDescent="0.25">
      <c r="A2721" s="169">
        <v>46044</v>
      </c>
      <c r="B2721">
        <v>437.75</v>
      </c>
      <c r="C2721">
        <v>432.5</v>
      </c>
      <c r="D2721">
        <v>418.15</v>
      </c>
      <c r="E2721">
        <v>422.05</v>
      </c>
      <c r="F2721">
        <v>432.5</v>
      </c>
      <c r="G2721">
        <v>736</v>
      </c>
      <c r="H2721" s="116"/>
      <c r="I2721" s="116"/>
      <c r="L2721" s="169">
        <v>46009</v>
      </c>
      <c r="M2721" s="116">
        <v>427.75</v>
      </c>
      <c r="N2721" s="116">
        <v>438</v>
      </c>
      <c r="O2721" s="116">
        <v>426.25</v>
      </c>
      <c r="P2721" s="116">
        <v>430.85</v>
      </c>
      <c r="Q2721" s="116">
        <v>427.75</v>
      </c>
      <c r="R2721">
        <v>17477</v>
      </c>
    </row>
    <row r="2722" spans="1:18" x14ac:dyDescent="0.25">
      <c r="A2722" s="169">
        <v>46045</v>
      </c>
      <c r="B2722">
        <v>432.45</v>
      </c>
      <c r="C2722">
        <v>424.1</v>
      </c>
      <c r="D2722">
        <v>418.25</v>
      </c>
      <c r="E2722">
        <v>432.45</v>
      </c>
      <c r="F2722">
        <v>424.1</v>
      </c>
      <c r="G2722">
        <v>1322</v>
      </c>
      <c r="H2722" s="116"/>
      <c r="I2722" s="116"/>
      <c r="L2722" s="169">
        <v>46010</v>
      </c>
      <c r="M2722" s="116">
        <v>431.95</v>
      </c>
      <c r="N2722" s="116">
        <v>439.65</v>
      </c>
      <c r="O2722" s="116">
        <v>426</v>
      </c>
      <c r="P2722" s="116">
        <v>434.15</v>
      </c>
      <c r="Q2722" s="116">
        <v>431.95</v>
      </c>
      <c r="R2722">
        <v>6247</v>
      </c>
    </row>
    <row r="2723" spans="1:18" x14ac:dyDescent="0.25">
      <c r="A2723" s="169">
        <v>46049</v>
      </c>
      <c r="B2723">
        <v>438.85</v>
      </c>
      <c r="C2723">
        <v>429.6</v>
      </c>
      <c r="D2723">
        <v>413</v>
      </c>
      <c r="E2723">
        <v>420.55</v>
      </c>
      <c r="F2723">
        <v>429.6</v>
      </c>
      <c r="G2723">
        <v>1999</v>
      </c>
      <c r="H2723" s="116"/>
      <c r="I2723" s="116"/>
      <c r="L2723" s="169">
        <v>46013</v>
      </c>
      <c r="M2723" s="116">
        <v>432.9</v>
      </c>
      <c r="N2723" s="116">
        <v>436.25</v>
      </c>
      <c r="O2723" s="116">
        <v>430</v>
      </c>
      <c r="P2723" s="116">
        <v>434.15</v>
      </c>
      <c r="Q2723" s="116">
        <v>432.9</v>
      </c>
      <c r="R2723">
        <v>3003</v>
      </c>
    </row>
    <row r="2724" spans="1:18" x14ac:dyDescent="0.25">
      <c r="A2724" s="169">
        <v>46050</v>
      </c>
      <c r="B2724">
        <v>455</v>
      </c>
      <c r="C2724">
        <v>451.95</v>
      </c>
      <c r="D2724">
        <v>430.8</v>
      </c>
      <c r="E2724">
        <v>433.3</v>
      </c>
      <c r="F2724">
        <v>451.95</v>
      </c>
      <c r="G2724">
        <v>1113</v>
      </c>
      <c r="H2724" s="116"/>
      <c r="I2724" s="116"/>
      <c r="L2724" s="169">
        <v>46014</v>
      </c>
      <c r="M2724" s="116">
        <v>440.25</v>
      </c>
      <c r="N2724" s="116">
        <v>443.35</v>
      </c>
      <c r="O2724" s="116">
        <v>433.1</v>
      </c>
      <c r="P2724" s="116">
        <v>433.35</v>
      </c>
      <c r="Q2724" s="116">
        <v>440.25</v>
      </c>
      <c r="R2724">
        <v>12599</v>
      </c>
    </row>
    <row r="2725" spans="1:18" x14ac:dyDescent="0.25">
      <c r="A2725" s="169">
        <v>46051</v>
      </c>
      <c r="B2725">
        <v>451.25</v>
      </c>
      <c r="C2725">
        <v>449.55</v>
      </c>
      <c r="D2725">
        <v>442.1</v>
      </c>
      <c r="E2725">
        <v>451.25</v>
      </c>
      <c r="F2725">
        <v>449.55</v>
      </c>
      <c r="G2725">
        <v>366</v>
      </c>
      <c r="H2725" s="116"/>
      <c r="I2725" s="116"/>
      <c r="L2725" s="169">
        <v>46015</v>
      </c>
      <c r="M2725" s="116">
        <v>450.9</v>
      </c>
      <c r="N2725" s="116">
        <v>455.55</v>
      </c>
      <c r="O2725" s="116">
        <v>437.7</v>
      </c>
      <c r="P2725" s="116">
        <v>438.05</v>
      </c>
      <c r="Q2725" s="116">
        <v>450.9</v>
      </c>
      <c r="R2725">
        <v>13927</v>
      </c>
    </row>
    <row r="2726" spans="1:18" x14ac:dyDescent="0.25">
      <c r="A2726" s="169">
        <v>46052</v>
      </c>
      <c r="B2726">
        <v>461.95</v>
      </c>
      <c r="C2726">
        <v>456.7</v>
      </c>
      <c r="D2726">
        <v>445.05</v>
      </c>
      <c r="E2726">
        <v>449.6</v>
      </c>
      <c r="F2726">
        <v>456.7</v>
      </c>
      <c r="G2726">
        <v>355</v>
      </c>
      <c r="H2726" s="116"/>
      <c r="I2726" s="116"/>
      <c r="L2726" s="169">
        <v>46017</v>
      </c>
      <c r="M2726" s="116">
        <v>458.45</v>
      </c>
      <c r="N2726" s="116">
        <v>461</v>
      </c>
      <c r="O2726" s="116">
        <v>442.1</v>
      </c>
      <c r="P2726" s="116">
        <v>447</v>
      </c>
      <c r="Q2726" s="116">
        <v>458.45</v>
      </c>
      <c r="R2726">
        <v>33346</v>
      </c>
    </row>
    <row r="2727" spans="1:18" x14ac:dyDescent="0.25">
      <c r="A2727" s="169">
        <v>46054</v>
      </c>
      <c r="B2727">
        <v>459</v>
      </c>
      <c r="C2727">
        <v>448.85</v>
      </c>
      <c r="D2727">
        <v>437.45</v>
      </c>
      <c r="E2727">
        <v>448.75</v>
      </c>
      <c r="F2727">
        <v>448.85</v>
      </c>
      <c r="G2727">
        <v>304</v>
      </c>
      <c r="H2727" s="116"/>
      <c r="I2727" s="116"/>
      <c r="L2727" s="169">
        <v>46020</v>
      </c>
      <c r="M2727" s="116">
        <v>459.7</v>
      </c>
      <c r="N2727" s="116">
        <v>460.8</v>
      </c>
      <c r="O2727" s="116">
        <v>450.5</v>
      </c>
      <c r="P2727" s="116">
        <v>456.55</v>
      </c>
      <c r="Q2727" s="116">
        <v>459.7</v>
      </c>
      <c r="R2727">
        <v>20306</v>
      </c>
    </row>
    <row r="2728" spans="1:18" x14ac:dyDescent="0.25">
      <c r="A2728" s="169">
        <v>46055</v>
      </c>
      <c r="B2728">
        <v>450</v>
      </c>
      <c r="C2728">
        <v>446.95</v>
      </c>
      <c r="D2728">
        <v>440.8</v>
      </c>
      <c r="E2728">
        <v>441.2</v>
      </c>
      <c r="F2728">
        <v>446.95</v>
      </c>
      <c r="G2728">
        <v>455</v>
      </c>
      <c r="H2728" s="116"/>
      <c r="I2728" s="116"/>
      <c r="L2728" s="169">
        <v>46021</v>
      </c>
      <c r="M2728" s="116">
        <v>474.05</v>
      </c>
      <c r="N2728" s="116">
        <v>477</v>
      </c>
      <c r="O2728" s="116">
        <v>448</v>
      </c>
      <c r="P2728" s="116">
        <v>457.4</v>
      </c>
      <c r="Q2728" s="116">
        <v>474.05</v>
      </c>
      <c r="R2728">
        <v>57912</v>
      </c>
    </row>
    <row r="2729" spans="1:18" x14ac:dyDescent="0.25">
      <c r="A2729" s="169">
        <v>46056</v>
      </c>
      <c r="B2729">
        <v>524.1</v>
      </c>
      <c r="C2729">
        <v>484.55</v>
      </c>
      <c r="D2729">
        <v>471.05</v>
      </c>
      <c r="E2729">
        <v>471.95</v>
      </c>
      <c r="F2729">
        <v>484.55</v>
      </c>
      <c r="G2729">
        <v>10594</v>
      </c>
      <c r="H2729" s="116"/>
      <c r="I2729" s="116"/>
      <c r="L2729" s="169">
        <v>46022</v>
      </c>
      <c r="M2729" s="116">
        <v>497.95</v>
      </c>
      <c r="N2729" s="116">
        <v>502.7</v>
      </c>
      <c r="O2729" s="116">
        <v>469.3</v>
      </c>
      <c r="P2729" s="116">
        <v>469.3</v>
      </c>
      <c r="Q2729" s="116">
        <v>497.95</v>
      </c>
      <c r="R2729">
        <v>154724</v>
      </c>
    </row>
    <row r="2730" spans="1:18" x14ac:dyDescent="0.25">
      <c r="A2730" s="169">
        <v>46057</v>
      </c>
      <c r="B2730">
        <v>494.35</v>
      </c>
      <c r="C2730">
        <v>489.3</v>
      </c>
      <c r="D2730">
        <v>470</v>
      </c>
      <c r="E2730">
        <v>470</v>
      </c>
      <c r="F2730">
        <v>489.3</v>
      </c>
      <c r="G2730">
        <v>1723</v>
      </c>
      <c r="H2730" s="116"/>
      <c r="I2730" s="116"/>
      <c r="L2730" s="169">
        <v>46023</v>
      </c>
      <c r="M2730" s="116">
        <v>491.5</v>
      </c>
      <c r="N2730" s="116">
        <v>509</v>
      </c>
      <c r="O2730" s="116">
        <v>490</v>
      </c>
      <c r="P2730" s="116">
        <v>498.8</v>
      </c>
      <c r="Q2730" s="116">
        <v>491.5</v>
      </c>
      <c r="R2730">
        <v>51976</v>
      </c>
    </row>
    <row r="2731" spans="1:18" x14ac:dyDescent="0.25">
      <c r="A2731" s="169">
        <v>46058</v>
      </c>
      <c r="B2731">
        <v>489.55</v>
      </c>
      <c r="C2731">
        <v>480.4</v>
      </c>
      <c r="D2731">
        <v>476.2</v>
      </c>
      <c r="E2731">
        <v>489.55</v>
      </c>
      <c r="F2731">
        <v>480.4</v>
      </c>
      <c r="G2731">
        <v>380</v>
      </c>
      <c r="H2731" s="116"/>
      <c r="I2731" s="116"/>
      <c r="L2731" s="169">
        <v>46024</v>
      </c>
      <c r="M2731" s="116">
        <v>480.2</v>
      </c>
      <c r="N2731" s="116">
        <v>501</v>
      </c>
      <c r="O2731" s="116">
        <v>477.5</v>
      </c>
      <c r="P2731" s="116">
        <v>493.2</v>
      </c>
      <c r="Q2731" s="116">
        <v>480.2</v>
      </c>
      <c r="R2731">
        <v>43197</v>
      </c>
    </row>
    <row r="2732" spans="1:18" x14ac:dyDescent="0.25">
      <c r="A2732" s="169">
        <v>46059</v>
      </c>
      <c r="B2732">
        <v>481.1</v>
      </c>
      <c r="C2732">
        <v>473.45</v>
      </c>
      <c r="D2732">
        <v>469.25</v>
      </c>
      <c r="E2732">
        <v>476.6</v>
      </c>
      <c r="F2732">
        <v>473.45</v>
      </c>
      <c r="G2732">
        <v>1255</v>
      </c>
      <c r="H2732" s="116"/>
      <c r="I2732" s="116"/>
      <c r="L2732" s="169">
        <v>46027</v>
      </c>
      <c r="M2732" s="116">
        <v>482.05</v>
      </c>
      <c r="N2732" s="116">
        <v>489.85</v>
      </c>
      <c r="O2732" s="116">
        <v>474.05</v>
      </c>
      <c r="P2732" s="116">
        <v>480.2</v>
      </c>
      <c r="Q2732" s="116">
        <v>482.05</v>
      </c>
      <c r="R2732">
        <v>27701</v>
      </c>
    </row>
    <row r="2733" spans="1:18" x14ac:dyDescent="0.25">
      <c r="A2733" s="169">
        <v>46062</v>
      </c>
      <c r="B2733">
        <v>493.05</v>
      </c>
      <c r="C2733">
        <v>487</v>
      </c>
      <c r="D2733">
        <v>473.5</v>
      </c>
      <c r="E2733">
        <v>473.5</v>
      </c>
      <c r="F2733">
        <v>487</v>
      </c>
      <c r="G2733">
        <v>299</v>
      </c>
      <c r="H2733" s="116"/>
      <c r="I2733" s="116"/>
      <c r="L2733" s="169">
        <v>46028</v>
      </c>
      <c r="M2733" s="116">
        <v>482</v>
      </c>
      <c r="N2733" s="116">
        <v>487</v>
      </c>
      <c r="O2733" s="116">
        <v>478.75</v>
      </c>
      <c r="P2733" s="116">
        <v>481.2</v>
      </c>
      <c r="Q2733" s="116">
        <v>482</v>
      </c>
      <c r="R2733">
        <v>19999</v>
      </c>
    </row>
    <row r="2734" spans="1:18" x14ac:dyDescent="0.25">
      <c r="A2734" s="169">
        <v>46063</v>
      </c>
      <c r="B2734">
        <v>488.65</v>
      </c>
      <c r="C2734">
        <v>482.75</v>
      </c>
      <c r="D2734">
        <v>480</v>
      </c>
      <c r="E2734">
        <v>486.65</v>
      </c>
      <c r="F2734">
        <v>482.75</v>
      </c>
      <c r="G2734">
        <v>371</v>
      </c>
      <c r="H2734" s="116"/>
      <c r="I2734" s="116"/>
      <c r="L2734" s="169">
        <v>46029</v>
      </c>
      <c r="M2734" s="116">
        <v>479.45</v>
      </c>
      <c r="N2734" s="116">
        <v>487.2</v>
      </c>
      <c r="O2734" s="116">
        <v>476</v>
      </c>
      <c r="P2734" s="116">
        <v>484.4</v>
      </c>
      <c r="Q2734" s="116">
        <v>479.45</v>
      </c>
      <c r="R2734">
        <v>20093</v>
      </c>
    </row>
    <row r="2735" spans="1:18" x14ac:dyDescent="0.25">
      <c r="A2735" s="169">
        <v>46064</v>
      </c>
      <c r="B2735">
        <v>482</v>
      </c>
      <c r="C2735">
        <v>474.5</v>
      </c>
      <c r="D2735">
        <v>469.95</v>
      </c>
      <c r="E2735">
        <v>480</v>
      </c>
      <c r="F2735">
        <v>474.5</v>
      </c>
      <c r="G2735">
        <v>873</v>
      </c>
      <c r="H2735" s="116"/>
      <c r="I2735" s="116"/>
      <c r="L2735" s="169">
        <v>46030</v>
      </c>
      <c r="M2735" s="116">
        <v>471.75</v>
      </c>
      <c r="N2735" s="116">
        <v>494.9</v>
      </c>
      <c r="O2735" s="116">
        <v>470</v>
      </c>
      <c r="P2735" s="116">
        <v>480.75</v>
      </c>
      <c r="Q2735" s="116">
        <v>471.75</v>
      </c>
      <c r="R2735">
        <v>48155</v>
      </c>
    </row>
    <row r="2736" spans="1:18" x14ac:dyDescent="0.25">
      <c r="A2736" s="169">
        <v>46065</v>
      </c>
      <c r="B2736">
        <v>476.8</v>
      </c>
      <c r="C2736">
        <v>466.7</v>
      </c>
      <c r="D2736">
        <v>465.5</v>
      </c>
      <c r="E2736">
        <v>470.25</v>
      </c>
      <c r="F2736">
        <v>466.7</v>
      </c>
      <c r="G2736">
        <v>359</v>
      </c>
      <c r="H2736" s="116"/>
      <c r="I2736" s="116"/>
      <c r="L2736" s="169">
        <v>46031</v>
      </c>
      <c r="M2736" s="116">
        <v>461.6</v>
      </c>
      <c r="N2736" s="116">
        <v>489.25</v>
      </c>
      <c r="O2736" s="116">
        <v>448.65</v>
      </c>
      <c r="P2736" s="116">
        <v>471.75</v>
      </c>
      <c r="Q2736" s="116">
        <v>461.6</v>
      </c>
      <c r="R2736">
        <v>52123</v>
      </c>
    </row>
    <row r="2737" spans="1:18" x14ac:dyDescent="0.25">
      <c r="A2737" s="169">
        <v>46066</v>
      </c>
      <c r="B2737">
        <v>468</v>
      </c>
      <c r="C2737">
        <v>467.75</v>
      </c>
      <c r="D2737">
        <v>458.55</v>
      </c>
      <c r="E2737">
        <v>467.25</v>
      </c>
      <c r="F2737">
        <v>467.75</v>
      </c>
      <c r="G2737">
        <v>116</v>
      </c>
      <c r="H2737" s="116"/>
      <c r="I2737" s="116"/>
      <c r="L2737" s="169">
        <v>46034</v>
      </c>
      <c r="M2737" s="116">
        <v>451.5</v>
      </c>
      <c r="N2737" s="116">
        <v>461.7</v>
      </c>
      <c r="O2737" s="116">
        <v>438</v>
      </c>
      <c r="P2737" s="116">
        <v>461.65</v>
      </c>
      <c r="Q2737" s="116">
        <v>451.5</v>
      </c>
      <c r="R2737">
        <v>32879</v>
      </c>
    </row>
    <row r="2738" spans="1:18" x14ac:dyDescent="0.25">
      <c r="A2738" s="169">
        <v>46069</v>
      </c>
      <c r="B2738">
        <v>469.95</v>
      </c>
      <c r="C2738">
        <v>461</v>
      </c>
      <c r="D2738">
        <v>458.6</v>
      </c>
      <c r="E2738">
        <v>467.4</v>
      </c>
      <c r="F2738">
        <v>461</v>
      </c>
      <c r="G2738">
        <v>621</v>
      </c>
      <c r="H2738" s="116"/>
      <c r="I2738" s="116"/>
      <c r="L2738" s="169">
        <v>46035</v>
      </c>
      <c r="M2738" s="116">
        <v>451.65</v>
      </c>
      <c r="N2738" s="116">
        <v>462</v>
      </c>
      <c r="O2738" s="116">
        <v>448.2</v>
      </c>
      <c r="P2738" s="116">
        <v>453.65</v>
      </c>
      <c r="Q2738" s="116">
        <v>451.65</v>
      </c>
      <c r="R2738">
        <v>10927</v>
      </c>
    </row>
    <row r="2739" spans="1:18" x14ac:dyDescent="0.25">
      <c r="A2739" s="169">
        <v>46070</v>
      </c>
      <c r="B2739">
        <v>477</v>
      </c>
      <c r="C2739">
        <v>454.4</v>
      </c>
      <c r="D2739">
        <v>450</v>
      </c>
      <c r="E2739">
        <v>468.3</v>
      </c>
      <c r="F2739">
        <v>454.4</v>
      </c>
      <c r="G2739">
        <v>4475</v>
      </c>
      <c r="H2739" s="116"/>
      <c r="I2739" s="116"/>
      <c r="L2739" s="169">
        <v>46036</v>
      </c>
      <c r="M2739" s="116">
        <v>451</v>
      </c>
      <c r="N2739" s="116">
        <v>456</v>
      </c>
      <c r="O2739" s="116">
        <v>448.55</v>
      </c>
      <c r="P2739" s="116">
        <v>452.1</v>
      </c>
      <c r="Q2739" s="116">
        <v>451</v>
      </c>
      <c r="R2739">
        <v>12468</v>
      </c>
    </row>
    <row r="2740" spans="1:18" x14ac:dyDescent="0.25">
      <c r="A2740" s="169">
        <v>46071</v>
      </c>
      <c r="B2740">
        <v>474.95</v>
      </c>
      <c r="C2740">
        <v>472.45</v>
      </c>
      <c r="D2740">
        <v>451</v>
      </c>
      <c r="E2740">
        <v>451</v>
      </c>
      <c r="F2740">
        <v>472.45</v>
      </c>
      <c r="G2740">
        <v>1262</v>
      </c>
      <c r="H2740" s="116"/>
      <c r="I2740" s="116"/>
      <c r="L2740" s="169">
        <v>46038</v>
      </c>
      <c r="M2740" s="116">
        <v>461.05</v>
      </c>
      <c r="N2740" s="116">
        <v>466.9</v>
      </c>
      <c r="O2740" s="116">
        <v>449.05</v>
      </c>
      <c r="P2740" s="116">
        <v>451.45</v>
      </c>
      <c r="Q2740" s="116">
        <v>461.05</v>
      </c>
      <c r="R2740">
        <v>18278</v>
      </c>
    </row>
    <row r="2741" spans="1:18" x14ac:dyDescent="0.25">
      <c r="A2741" s="169">
        <v>46072</v>
      </c>
      <c r="B2741">
        <v>471.85</v>
      </c>
      <c r="C2741">
        <v>466.25</v>
      </c>
      <c r="D2741">
        <v>466.25</v>
      </c>
      <c r="E2741">
        <v>469.1</v>
      </c>
      <c r="F2741">
        <v>466.25</v>
      </c>
      <c r="G2741">
        <v>97</v>
      </c>
      <c r="H2741" s="116"/>
      <c r="I2741" s="116"/>
      <c r="L2741" s="169">
        <v>46041</v>
      </c>
      <c r="M2741" s="116">
        <v>455.6</v>
      </c>
      <c r="N2741" s="116">
        <v>468.3</v>
      </c>
      <c r="O2741" s="116">
        <v>452.2</v>
      </c>
      <c r="P2741" s="116">
        <v>459.9</v>
      </c>
      <c r="Q2741" s="116">
        <v>455.6</v>
      </c>
      <c r="R2741">
        <v>14201</v>
      </c>
    </row>
    <row r="2742" spans="1:18" x14ac:dyDescent="0.25">
      <c r="A2742" s="169">
        <v>46073</v>
      </c>
      <c r="B2742">
        <v>476.95</v>
      </c>
      <c r="C2742">
        <v>467</v>
      </c>
      <c r="D2742">
        <v>461.2</v>
      </c>
      <c r="E2742">
        <v>461.6</v>
      </c>
      <c r="F2742">
        <v>467</v>
      </c>
      <c r="G2742">
        <v>1473</v>
      </c>
      <c r="H2742" s="116"/>
      <c r="I2742" s="116"/>
      <c r="L2742" s="169">
        <v>46042</v>
      </c>
      <c r="M2742" s="116">
        <v>445.75</v>
      </c>
      <c r="N2742" s="116">
        <v>469</v>
      </c>
      <c r="O2742" s="116">
        <v>440</v>
      </c>
      <c r="P2742" s="116">
        <v>469</v>
      </c>
      <c r="Q2742" s="116">
        <v>445.75</v>
      </c>
      <c r="R2742">
        <v>25187</v>
      </c>
    </row>
    <row r="2743" spans="1:18" x14ac:dyDescent="0.25">
      <c r="A2743" s="169">
        <v>46076</v>
      </c>
      <c r="B2743">
        <v>478.75</v>
      </c>
      <c r="C2743">
        <v>472.9</v>
      </c>
      <c r="D2743">
        <v>467.1</v>
      </c>
      <c r="E2743">
        <v>467.1</v>
      </c>
      <c r="F2743">
        <v>472.9</v>
      </c>
      <c r="G2743">
        <v>1367</v>
      </c>
      <c r="H2743" s="116"/>
      <c r="I2743" s="116"/>
      <c r="L2743" s="169">
        <v>46043</v>
      </c>
      <c r="M2743" s="116">
        <v>425.2</v>
      </c>
      <c r="N2743" s="116">
        <v>454.9</v>
      </c>
      <c r="O2743" s="116">
        <v>415.35</v>
      </c>
      <c r="P2743" s="116">
        <v>448</v>
      </c>
      <c r="Q2743" s="116">
        <v>425.2</v>
      </c>
      <c r="R2743">
        <v>124055</v>
      </c>
    </row>
    <row r="2744" spans="1:18" x14ac:dyDescent="0.25">
      <c r="A2744" s="169">
        <v>46077</v>
      </c>
      <c r="B2744">
        <v>473</v>
      </c>
      <c r="C2744">
        <v>467.5</v>
      </c>
      <c r="D2744">
        <v>465.55</v>
      </c>
      <c r="E2744">
        <v>466</v>
      </c>
      <c r="F2744">
        <v>467.5</v>
      </c>
      <c r="G2744">
        <v>1063</v>
      </c>
      <c r="H2744" s="116"/>
      <c r="I2744" s="116"/>
      <c r="L2744" s="169">
        <v>46044</v>
      </c>
      <c r="M2744" s="116">
        <v>429.55</v>
      </c>
      <c r="N2744" s="116">
        <v>437.8</v>
      </c>
      <c r="O2744" s="116">
        <v>416.5</v>
      </c>
      <c r="P2744" s="116">
        <v>425.95</v>
      </c>
      <c r="Q2744" s="116">
        <v>429.55</v>
      </c>
      <c r="R2744">
        <v>35303</v>
      </c>
    </row>
    <row r="2745" spans="1:18" x14ac:dyDescent="0.25">
      <c r="A2745" s="169">
        <v>46078</v>
      </c>
      <c r="B2745">
        <v>470</v>
      </c>
      <c r="C2745">
        <v>469.2</v>
      </c>
      <c r="D2745">
        <v>468.3</v>
      </c>
      <c r="E2745">
        <v>470</v>
      </c>
      <c r="F2745">
        <v>469.2</v>
      </c>
      <c r="G2745">
        <v>14</v>
      </c>
      <c r="H2745" s="116"/>
      <c r="I2745" s="116"/>
      <c r="L2745" s="169">
        <v>46045</v>
      </c>
      <c r="M2745" s="116">
        <v>422.65</v>
      </c>
      <c r="N2745" s="116">
        <v>429.55</v>
      </c>
      <c r="O2745" s="116">
        <v>419</v>
      </c>
      <c r="P2745" s="116">
        <v>429.55</v>
      </c>
      <c r="Q2745" s="116">
        <v>422.65</v>
      </c>
      <c r="R2745">
        <v>16211</v>
      </c>
    </row>
    <row r="2746" spans="1:18" x14ac:dyDescent="0.25">
      <c r="A2746" s="169">
        <v>46079</v>
      </c>
      <c r="B2746">
        <v>470.5</v>
      </c>
      <c r="C2746">
        <v>466.05</v>
      </c>
      <c r="D2746">
        <v>464.5</v>
      </c>
      <c r="E2746">
        <v>466.15</v>
      </c>
      <c r="F2746">
        <v>466.05</v>
      </c>
      <c r="G2746">
        <v>704</v>
      </c>
      <c r="H2746" s="116"/>
      <c r="I2746" s="116"/>
      <c r="L2746" s="169">
        <v>46049</v>
      </c>
      <c r="M2746" s="116">
        <v>428.75</v>
      </c>
      <c r="N2746" s="116">
        <v>441.7</v>
      </c>
      <c r="O2746" s="116">
        <v>412.6</v>
      </c>
      <c r="P2746" s="116">
        <v>421</v>
      </c>
      <c r="Q2746" s="116">
        <v>428.75</v>
      </c>
      <c r="R2746">
        <v>18712</v>
      </c>
    </row>
    <row r="2747" spans="1:18" x14ac:dyDescent="0.25">
      <c r="A2747" s="169">
        <v>46080</v>
      </c>
      <c r="B2747">
        <v>469.2</v>
      </c>
      <c r="C2747">
        <v>467.8</v>
      </c>
      <c r="D2747">
        <v>465.45</v>
      </c>
      <c r="E2747">
        <v>465.45</v>
      </c>
      <c r="F2747">
        <v>467.8</v>
      </c>
      <c r="G2747">
        <v>97</v>
      </c>
      <c r="H2747" s="116"/>
      <c r="I2747" s="116"/>
      <c r="L2747" s="169">
        <v>46050</v>
      </c>
      <c r="M2747" s="116">
        <v>452.25</v>
      </c>
      <c r="N2747" s="116">
        <v>460</v>
      </c>
      <c r="O2747" s="116">
        <v>426.25</v>
      </c>
      <c r="P2747" s="116">
        <v>426.6</v>
      </c>
      <c r="Q2747" s="116">
        <v>452.25</v>
      </c>
      <c r="R2747">
        <v>29824</v>
      </c>
    </row>
    <row r="2748" spans="1:18" x14ac:dyDescent="0.25">
      <c r="A2748" s="169">
        <v>46083</v>
      </c>
      <c r="B2748">
        <v>455.25</v>
      </c>
      <c r="C2748">
        <v>447.55</v>
      </c>
      <c r="D2748">
        <v>436</v>
      </c>
      <c r="E2748">
        <v>440</v>
      </c>
      <c r="F2748">
        <v>447.55</v>
      </c>
      <c r="G2748">
        <v>751</v>
      </c>
      <c r="H2748" s="116"/>
      <c r="I2748" s="116"/>
      <c r="L2748" s="169">
        <v>46051</v>
      </c>
      <c r="M2748" s="116">
        <v>452</v>
      </c>
      <c r="N2748" s="116">
        <v>468</v>
      </c>
      <c r="O2748" s="116">
        <v>440.2</v>
      </c>
      <c r="P2748" s="116">
        <v>452.25</v>
      </c>
      <c r="Q2748" s="116">
        <v>452</v>
      </c>
      <c r="R2748">
        <v>11281</v>
      </c>
    </row>
    <row r="2749" spans="1:18" x14ac:dyDescent="0.25">
      <c r="A2749" s="169">
        <v>46085</v>
      </c>
      <c r="B2749">
        <v>441.1</v>
      </c>
      <c r="C2749">
        <v>437.35</v>
      </c>
      <c r="D2749">
        <v>430.9</v>
      </c>
      <c r="E2749">
        <v>438.1</v>
      </c>
      <c r="F2749">
        <v>437.35</v>
      </c>
      <c r="G2749">
        <v>793</v>
      </c>
      <c r="H2749" s="116"/>
      <c r="I2749" s="116"/>
      <c r="L2749" s="169">
        <v>46052</v>
      </c>
      <c r="M2749" s="116">
        <v>454.75</v>
      </c>
      <c r="N2749" s="116">
        <v>462.95</v>
      </c>
      <c r="O2749" s="116">
        <v>445.55</v>
      </c>
      <c r="P2749" s="116">
        <v>451.9</v>
      </c>
      <c r="Q2749" s="116">
        <v>454.75</v>
      </c>
      <c r="R2749">
        <v>14922</v>
      </c>
    </row>
    <row r="2750" spans="1:18" x14ac:dyDescent="0.25">
      <c r="A2750" s="169">
        <v>46086</v>
      </c>
      <c r="B2750">
        <v>450.3</v>
      </c>
      <c r="C2750">
        <v>438.6</v>
      </c>
      <c r="D2750">
        <v>432</v>
      </c>
      <c r="E2750">
        <v>435.6</v>
      </c>
      <c r="F2750">
        <v>438.6</v>
      </c>
      <c r="G2750">
        <v>1132</v>
      </c>
      <c r="H2750" s="116"/>
      <c r="I2750" s="116"/>
      <c r="L2750" s="169">
        <v>46054</v>
      </c>
      <c r="M2750" s="116">
        <v>448.7</v>
      </c>
      <c r="N2750" s="116">
        <v>460.55</v>
      </c>
      <c r="O2750" s="116">
        <v>440.1</v>
      </c>
      <c r="P2750" s="116">
        <v>443.95</v>
      </c>
      <c r="Q2750" s="116">
        <v>448.7</v>
      </c>
      <c r="R2750">
        <v>24460</v>
      </c>
    </row>
    <row r="2751" spans="1:18" x14ac:dyDescent="0.25">
      <c r="A2751" s="169">
        <v>46087</v>
      </c>
      <c r="B2751">
        <v>442.45</v>
      </c>
      <c r="C2751">
        <v>432.55</v>
      </c>
      <c r="D2751">
        <v>428</v>
      </c>
      <c r="E2751">
        <v>442.45</v>
      </c>
      <c r="F2751">
        <v>432.55</v>
      </c>
      <c r="G2751">
        <v>286</v>
      </c>
      <c r="H2751" s="116"/>
      <c r="I2751" s="116"/>
      <c r="L2751" s="169">
        <v>46055</v>
      </c>
      <c r="M2751" s="116">
        <v>446.75</v>
      </c>
      <c r="N2751" s="116">
        <v>451</v>
      </c>
      <c r="O2751" s="116">
        <v>440.1</v>
      </c>
      <c r="P2751" s="116">
        <v>450.9</v>
      </c>
      <c r="Q2751" s="116">
        <v>446.75</v>
      </c>
      <c r="R2751">
        <v>12798</v>
      </c>
    </row>
    <row r="2752" spans="1:18" x14ac:dyDescent="0.25">
      <c r="A2752" s="169">
        <v>46090</v>
      </c>
      <c r="B2752">
        <v>422.05</v>
      </c>
      <c r="C2752">
        <v>421.2</v>
      </c>
      <c r="D2752">
        <v>412.7</v>
      </c>
      <c r="E2752">
        <v>419.7</v>
      </c>
      <c r="F2752">
        <v>421.2</v>
      </c>
      <c r="G2752">
        <v>197</v>
      </c>
      <c r="H2752" s="116"/>
      <c r="I2752" s="116"/>
      <c r="L2752" s="169">
        <v>46056</v>
      </c>
      <c r="M2752" s="116">
        <v>486.35</v>
      </c>
      <c r="N2752" s="116">
        <v>524</v>
      </c>
      <c r="O2752" s="116">
        <v>465</v>
      </c>
      <c r="P2752" s="116">
        <v>485</v>
      </c>
      <c r="Q2752" s="116">
        <v>486.35</v>
      </c>
      <c r="R2752">
        <v>419731</v>
      </c>
    </row>
    <row r="2753" spans="1:18" x14ac:dyDescent="0.25">
      <c r="A2753" s="169">
        <v>46091</v>
      </c>
      <c r="B2753">
        <v>437.05</v>
      </c>
      <c r="C2753">
        <v>435</v>
      </c>
      <c r="D2753">
        <v>425.85</v>
      </c>
      <c r="E2753">
        <v>425.85</v>
      </c>
      <c r="F2753">
        <v>435</v>
      </c>
      <c r="G2753">
        <v>1468</v>
      </c>
      <c r="H2753" s="116"/>
      <c r="I2753" s="116"/>
      <c r="L2753" s="169">
        <v>46057</v>
      </c>
      <c r="M2753" s="116">
        <v>488.75</v>
      </c>
      <c r="N2753" s="116">
        <v>495.6</v>
      </c>
      <c r="O2753" s="116">
        <v>478.6</v>
      </c>
      <c r="P2753" s="116">
        <v>485</v>
      </c>
      <c r="Q2753" s="116">
        <v>488.75</v>
      </c>
      <c r="R2753">
        <v>30305</v>
      </c>
    </row>
    <row r="2754" spans="1:18" x14ac:dyDescent="0.25">
      <c r="A2754" s="169">
        <v>46092</v>
      </c>
      <c r="B2754">
        <v>435.65</v>
      </c>
      <c r="C2754">
        <v>429</v>
      </c>
      <c r="D2754">
        <v>423.65</v>
      </c>
      <c r="E2754">
        <v>435.65</v>
      </c>
      <c r="F2754">
        <v>429</v>
      </c>
      <c r="G2754">
        <v>118</v>
      </c>
      <c r="H2754" s="116"/>
      <c r="I2754" s="116"/>
      <c r="L2754" s="169">
        <v>46058</v>
      </c>
      <c r="M2754" s="116">
        <v>479.35</v>
      </c>
      <c r="N2754" s="116">
        <v>492.35</v>
      </c>
      <c r="O2754" s="116">
        <v>475.05</v>
      </c>
      <c r="P2754" s="116">
        <v>487.5</v>
      </c>
      <c r="Q2754" s="116">
        <v>479.35</v>
      </c>
      <c r="R2754">
        <v>16397</v>
      </c>
    </row>
    <row r="2755" spans="1:18" x14ac:dyDescent="0.25">
      <c r="A2755" s="169">
        <v>46093</v>
      </c>
      <c r="B2755">
        <v>429.2</v>
      </c>
      <c r="C2755">
        <v>427</v>
      </c>
      <c r="D2755">
        <v>427</v>
      </c>
      <c r="E2755">
        <v>429</v>
      </c>
      <c r="F2755">
        <v>427</v>
      </c>
      <c r="G2755">
        <v>27</v>
      </c>
      <c r="H2755" s="116"/>
      <c r="I2755" s="116"/>
      <c r="L2755" s="169">
        <v>46059</v>
      </c>
      <c r="M2755" s="116">
        <v>474.3</v>
      </c>
      <c r="N2755" s="116">
        <v>482.85</v>
      </c>
      <c r="O2755" s="116">
        <v>468.85</v>
      </c>
      <c r="P2755" s="116">
        <v>474.6</v>
      </c>
      <c r="Q2755" s="116">
        <v>474.3</v>
      </c>
      <c r="R2755">
        <v>18564</v>
      </c>
    </row>
    <row r="2756" spans="1:18" x14ac:dyDescent="0.25">
      <c r="A2756" s="169">
        <v>46094</v>
      </c>
      <c r="B2756">
        <v>428.65</v>
      </c>
      <c r="C2756">
        <v>422.65</v>
      </c>
      <c r="D2756">
        <v>418</v>
      </c>
      <c r="E2756">
        <v>427</v>
      </c>
      <c r="F2756">
        <v>422.65</v>
      </c>
      <c r="G2756">
        <v>330</v>
      </c>
      <c r="H2756" s="116"/>
      <c r="I2756" s="116"/>
      <c r="L2756" s="169">
        <v>46062</v>
      </c>
      <c r="M2756" s="116">
        <v>489.75</v>
      </c>
      <c r="N2756" s="116">
        <v>498</v>
      </c>
      <c r="O2756" s="116">
        <v>480.3</v>
      </c>
      <c r="P2756" s="116">
        <v>480.3</v>
      </c>
      <c r="Q2756" s="116">
        <v>489.75</v>
      </c>
      <c r="R2756">
        <v>24674</v>
      </c>
    </row>
    <row r="2757" spans="1:18" x14ac:dyDescent="0.25">
      <c r="A2757" s="169">
        <v>46097</v>
      </c>
      <c r="B2757">
        <v>432.15</v>
      </c>
      <c r="C2757">
        <v>432.15</v>
      </c>
      <c r="D2757">
        <v>417.6</v>
      </c>
      <c r="E2757">
        <v>423</v>
      </c>
      <c r="F2757">
        <v>432.15</v>
      </c>
      <c r="G2757">
        <v>387</v>
      </c>
      <c r="H2757" s="116"/>
      <c r="I2757" s="116"/>
      <c r="L2757" s="169">
        <v>46063</v>
      </c>
      <c r="M2757" s="116">
        <v>481.8</v>
      </c>
      <c r="N2757" s="116">
        <v>489.45</v>
      </c>
      <c r="O2757" s="116">
        <v>481</v>
      </c>
      <c r="P2757" s="116">
        <v>487.3</v>
      </c>
      <c r="Q2757" s="116">
        <v>481.8</v>
      </c>
      <c r="R2757">
        <v>13517</v>
      </c>
    </row>
    <row r="2758" spans="1:18" x14ac:dyDescent="0.25">
      <c r="A2758" s="169">
        <v>46098</v>
      </c>
      <c r="B2758">
        <v>432.65</v>
      </c>
      <c r="C2758">
        <v>429.4</v>
      </c>
      <c r="D2758">
        <v>422.15</v>
      </c>
      <c r="E2758">
        <v>425.65</v>
      </c>
      <c r="F2758">
        <v>429.4</v>
      </c>
      <c r="G2758">
        <v>263</v>
      </c>
      <c r="H2758" s="116"/>
      <c r="I2758" s="116"/>
      <c r="L2758" s="169">
        <v>46064</v>
      </c>
      <c r="M2758" s="116">
        <v>473.8</v>
      </c>
      <c r="N2758" s="116">
        <v>485.1</v>
      </c>
      <c r="O2758" s="116">
        <v>470.5</v>
      </c>
      <c r="P2758" s="116">
        <v>481.85</v>
      </c>
      <c r="Q2758" s="116">
        <v>473.8</v>
      </c>
      <c r="R2758">
        <v>10446</v>
      </c>
    </row>
    <row r="2759" spans="1:18" x14ac:dyDescent="0.25">
      <c r="A2759" s="169">
        <v>46099</v>
      </c>
      <c r="B2759">
        <v>441</v>
      </c>
      <c r="C2759">
        <v>440.35</v>
      </c>
      <c r="D2759">
        <v>436</v>
      </c>
      <c r="E2759">
        <v>436</v>
      </c>
      <c r="F2759">
        <v>440.35</v>
      </c>
      <c r="G2759">
        <v>67</v>
      </c>
      <c r="H2759" s="116"/>
      <c r="I2759" s="116"/>
      <c r="L2759" s="169">
        <v>46065</v>
      </c>
      <c r="M2759" s="116">
        <v>469.65</v>
      </c>
      <c r="N2759" s="116">
        <v>480.2</v>
      </c>
      <c r="O2759" s="116">
        <v>465.1</v>
      </c>
      <c r="P2759" s="116">
        <v>470.5</v>
      </c>
      <c r="Q2759" s="116">
        <v>469.65</v>
      </c>
      <c r="R2759">
        <v>12796</v>
      </c>
    </row>
    <row r="2760" spans="1:18" x14ac:dyDescent="0.25">
      <c r="A2760" s="169">
        <v>46100</v>
      </c>
      <c r="B2760">
        <v>448.9</v>
      </c>
      <c r="C2760">
        <v>438.3</v>
      </c>
      <c r="D2760">
        <v>428.85</v>
      </c>
      <c r="E2760">
        <v>432.2</v>
      </c>
      <c r="F2760">
        <v>438.3</v>
      </c>
      <c r="G2760">
        <v>218</v>
      </c>
      <c r="H2760" s="116"/>
      <c r="I2760" s="116"/>
      <c r="L2760" s="169">
        <v>46066</v>
      </c>
      <c r="M2760" s="116">
        <v>464.5</v>
      </c>
      <c r="N2760" s="116">
        <v>474.7</v>
      </c>
      <c r="O2760" s="116">
        <v>458.3</v>
      </c>
      <c r="P2760" s="116">
        <v>466.55</v>
      </c>
      <c r="Q2760" s="116">
        <v>464.5</v>
      </c>
      <c r="R2760">
        <v>12984</v>
      </c>
    </row>
    <row r="2761" spans="1:18" x14ac:dyDescent="0.25">
      <c r="A2761" s="169">
        <v>46101</v>
      </c>
      <c r="B2761">
        <v>437.8</v>
      </c>
      <c r="C2761">
        <v>432.2</v>
      </c>
      <c r="D2761">
        <v>431.2</v>
      </c>
      <c r="E2761">
        <v>437.8</v>
      </c>
      <c r="F2761">
        <v>432.2</v>
      </c>
      <c r="G2761">
        <v>69</v>
      </c>
      <c r="H2761" s="116"/>
      <c r="I2761" s="116"/>
      <c r="L2761" s="169">
        <v>46069</v>
      </c>
      <c r="M2761" s="116">
        <v>459.85</v>
      </c>
      <c r="N2761" s="116">
        <v>473.25</v>
      </c>
      <c r="O2761" s="116">
        <v>457.8</v>
      </c>
      <c r="P2761" s="116">
        <v>462.85</v>
      </c>
      <c r="Q2761" s="116">
        <v>459.85</v>
      </c>
      <c r="R2761">
        <v>14438</v>
      </c>
    </row>
    <row r="2762" spans="1:18" x14ac:dyDescent="0.25">
      <c r="A2762" s="169">
        <v>46104</v>
      </c>
      <c r="B2762">
        <v>423.35</v>
      </c>
      <c r="C2762">
        <v>411.8</v>
      </c>
      <c r="D2762">
        <v>411.5</v>
      </c>
      <c r="E2762">
        <v>423.1</v>
      </c>
      <c r="F2762">
        <v>411.8</v>
      </c>
      <c r="G2762">
        <v>1419</v>
      </c>
      <c r="H2762" s="116"/>
      <c r="I2762" s="116"/>
      <c r="L2762" s="169">
        <v>46070</v>
      </c>
      <c r="M2762" s="116">
        <v>454.55</v>
      </c>
      <c r="N2762" s="116">
        <v>479.7</v>
      </c>
      <c r="O2762" s="116">
        <v>448.3</v>
      </c>
      <c r="P2762" s="116">
        <v>458.2</v>
      </c>
      <c r="Q2762" s="116">
        <v>454.55</v>
      </c>
      <c r="R2762">
        <v>38979</v>
      </c>
    </row>
    <row r="2763" spans="1:18" x14ac:dyDescent="0.25">
      <c r="A2763" s="169">
        <v>46105</v>
      </c>
      <c r="B2763">
        <v>427.3</v>
      </c>
      <c r="C2763">
        <v>423</v>
      </c>
      <c r="D2763">
        <v>416.9</v>
      </c>
      <c r="E2763">
        <v>419.75</v>
      </c>
      <c r="F2763">
        <v>423</v>
      </c>
      <c r="G2763">
        <v>236</v>
      </c>
      <c r="H2763" s="116"/>
      <c r="I2763" s="116"/>
      <c r="L2763" s="169">
        <v>46071</v>
      </c>
      <c r="M2763" s="116">
        <v>470.6</v>
      </c>
      <c r="N2763" s="116">
        <v>472.9</v>
      </c>
      <c r="O2763" s="116">
        <v>445.4</v>
      </c>
      <c r="P2763" s="116">
        <v>452.75</v>
      </c>
      <c r="Q2763" s="116">
        <v>470.6</v>
      </c>
      <c r="R2763">
        <v>37889</v>
      </c>
    </row>
    <row r="2764" spans="1:18" x14ac:dyDescent="0.25">
      <c r="A2764" s="169">
        <v>46106</v>
      </c>
      <c r="B2764">
        <v>435.65</v>
      </c>
      <c r="C2764">
        <v>427</v>
      </c>
      <c r="D2764">
        <v>426.65</v>
      </c>
      <c r="E2764">
        <v>429</v>
      </c>
      <c r="F2764">
        <v>427</v>
      </c>
      <c r="G2764">
        <v>112</v>
      </c>
      <c r="H2764" s="116"/>
      <c r="I2764" s="116"/>
      <c r="L2764" s="169">
        <v>46072</v>
      </c>
      <c r="M2764" s="116">
        <v>468</v>
      </c>
      <c r="N2764" s="116">
        <v>476.15</v>
      </c>
      <c r="O2764" s="116">
        <v>466.2</v>
      </c>
      <c r="P2764" s="116">
        <v>470.1</v>
      </c>
      <c r="Q2764" s="116">
        <v>468</v>
      </c>
      <c r="R2764">
        <v>11010</v>
      </c>
    </row>
    <row r="2765" spans="1:18" x14ac:dyDescent="0.25">
      <c r="A2765" s="169">
        <v>46108</v>
      </c>
      <c r="B2765">
        <v>438</v>
      </c>
      <c r="C2765">
        <v>427.9</v>
      </c>
      <c r="D2765">
        <v>418.8</v>
      </c>
      <c r="E2765">
        <v>420.05</v>
      </c>
      <c r="F2765">
        <v>427.9</v>
      </c>
      <c r="G2765">
        <v>389</v>
      </c>
      <c r="H2765" s="116"/>
      <c r="I2765" s="116"/>
      <c r="L2765" s="169">
        <v>46073</v>
      </c>
      <c r="M2765" s="116">
        <v>467.05</v>
      </c>
      <c r="N2765" s="116">
        <v>477.9</v>
      </c>
      <c r="O2765" s="116">
        <v>464.75</v>
      </c>
      <c r="P2765" s="116">
        <v>464.75</v>
      </c>
      <c r="Q2765" s="116">
        <v>467.05</v>
      </c>
      <c r="R2765">
        <v>13376</v>
      </c>
    </row>
    <row r="2766" spans="1:18" x14ac:dyDescent="0.25">
      <c r="A2766" s="169">
        <v>46111</v>
      </c>
      <c r="B2766">
        <v>435.5</v>
      </c>
      <c r="C2766">
        <v>415.8</v>
      </c>
      <c r="D2766">
        <v>411.35</v>
      </c>
      <c r="E2766">
        <v>435.5</v>
      </c>
      <c r="F2766">
        <v>415.8</v>
      </c>
      <c r="G2766">
        <v>1445</v>
      </c>
      <c r="H2766" s="116"/>
      <c r="I2766" s="116"/>
      <c r="L2766" s="169">
        <v>46076</v>
      </c>
      <c r="M2766" s="116">
        <v>472.6</v>
      </c>
      <c r="N2766" s="116">
        <v>482</v>
      </c>
      <c r="O2766" s="116">
        <v>467</v>
      </c>
      <c r="P2766" s="116">
        <v>467</v>
      </c>
      <c r="Q2766" s="116">
        <v>472.6</v>
      </c>
      <c r="R2766">
        <v>38711</v>
      </c>
    </row>
    <row r="2767" spans="1:18" x14ac:dyDescent="0.25">
      <c r="A2767" s="169">
        <v>46113</v>
      </c>
      <c r="B2767">
        <v>433.65</v>
      </c>
      <c r="C2767">
        <v>425.15</v>
      </c>
      <c r="D2767">
        <v>424.4</v>
      </c>
      <c r="E2767">
        <v>432.1</v>
      </c>
      <c r="F2767">
        <v>425.15</v>
      </c>
      <c r="G2767">
        <v>75</v>
      </c>
      <c r="H2767" s="116"/>
      <c r="I2767" s="116"/>
      <c r="L2767" s="169">
        <v>46077</v>
      </c>
      <c r="M2767" s="116">
        <v>467.85</v>
      </c>
      <c r="N2767" s="116">
        <v>473</v>
      </c>
      <c r="O2767" s="116">
        <v>463.15</v>
      </c>
      <c r="P2767" s="116">
        <v>463.15</v>
      </c>
      <c r="Q2767" s="116">
        <v>467.85</v>
      </c>
      <c r="R2767">
        <v>12680</v>
      </c>
    </row>
    <row r="2768" spans="1:18" x14ac:dyDescent="0.25">
      <c r="A2768" s="169">
        <v>46114</v>
      </c>
      <c r="B2768">
        <v>427.7</v>
      </c>
      <c r="C2768">
        <v>424.05</v>
      </c>
      <c r="D2768">
        <v>415.7</v>
      </c>
      <c r="E2768">
        <v>422.4</v>
      </c>
      <c r="F2768">
        <v>424.05</v>
      </c>
      <c r="G2768">
        <v>83</v>
      </c>
      <c r="H2768" s="116"/>
      <c r="I2768" s="116"/>
      <c r="L2768" s="169">
        <v>46078</v>
      </c>
      <c r="M2768" s="116">
        <v>468.3</v>
      </c>
      <c r="N2768" s="116">
        <v>471.85</v>
      </c>
      <c r="O2768" s="116">
        <v>466.55</v>
      </c>
      <c r="P2768" s="116">
        <v>467.2</v>
      </c>
      <c r="Q2768" s="116">
        <v>468.3</v>
      </c>
      <c r="R2768">
        <v>11053</v>
      </c>
    </row>
    <row r="2769" spans="1:18" x14ac:dyDescent="0.25">
      <c r="A2769" s="169">
        <v>46118</v>
      </c>
      <c r="B2769">
        <v>444</v>
      </c>
      <c r="C2769">
        <v>443</v>
      </c>
      <c r="D2769">
        <v>428.9</v>
      </c>
      <c r="E2769">
        <v>434</v>
      </c>
      <c r="F2769">
        <v>443</v>
      </c>
      <c r="G2769">
        <v>156</v>
      </c>
      <c r="H2769" s="116"/>
      <c r="I2769" s="116"/>
      <c r="L2769" s="169">
        <v>46079</v>
      </c>
      <c r="M2769" s="116">
        <v>468.2</v>
      </c>
      <c r="N2769" s="116">
        <v>471.85</v>
      </c>
      <c r="O2769" s="116">
        <v>465.8</v>
      </c>
      <c r="P2769" s="116">
        <v>466.5</v>
      </c>
      <c r="Q2769" s="116">
        <v>468.2</v>
      </c>
      <c r="R2769">
        <v>8413</v>
      </c>
    </row>
    <row r="2770" spans="1:18" x14ac:dyDescent="0.25">
      <c r="A2770" s="169">
        <v>46119</v>
      </c>
      <c r="B2770">
        <v>447.15</v>
      </c>
      <c r="C2770">
        <v>441.1</v>
      </c>
      <c r="D2770">
        <v>439.95</v>
      </c>
      <c r="E2770">
        <v>445.95</v>
      </c>
      <c r="F2770">
        <v>441.1</v>
      </c>
      <c r="G2770">
        <v>1253</v>
      </c>
      <c r="H2770" s="116"/>
      <c r="I2770" s="116"/>
      <c r="L2770" s="169">
        <v>46080</v>
      </c>
      <c r="M2770" s="116">
        <v>467.05</v>
      </c>
      <c r="N2770" s="116">
        <v>470.8</v>
      </c>
      <c r="O2770" s="116">
        <v>465</v>
      </c>
      <c r="P2770" s="116">
        <v>466.6</v>
      </c>
      <c r="Q2770" s="116">
        <v>467.05</v>
      </c>
      <c r="R2770">
        <v>10815</v>
      </c>
    </row>
    <row r="2771" spans="1:18" x14ac:dyDescent="0.25">
      <c r="A2771" s="169">
        <v>46120</v>
      </c>
      <c r="B2771">
        <v>454.65</v>
      </c>
      <c r="C2771">
        <v>448.65</v>
      </c>
      <c r="D2771">
        <v>445</v>
      </c>
      <c r="E2771">
        <v>448.1</v>
      </c>
      <c r="F2771">
        <v>448.65</v>
      </c>
      <c r="G2771">
        <v>744</v>
      </c>
      <c r="H2771" s="116"/>
      <c r="I2771" s="116"/>
      <c r="L2771" s="169">
        <v>46083</v>
      </c>
      <c r="M2771" s="116">
        <v>448.3</v>
      </c>
      <c r="N2771" s="116">
        <v>462.25</v>
      </c>
      <c r="O2771" s="116">
        <v>431.05</v>
      </c>
      <c r="P2771" s="116">
        <v>455.1</v>
      </c>
      <c r="Q2771" s="116">
        <v>448.3</v>
      </c>
      <c r="R2771">
        <v>31683</v>
      </c>
    </row>
    <row r="2772" spans="1:18" x14ac:dyDescent="0.25">
      <c r="A2772" s="169">
        <v>46121</v>
      </c>
      <c r="B2772">
        <v>455.1</v>
      </c>
      <c r="C2772">
        <v>451.05</v>
      </c>
      <c r="D2772">
        <v>441.25</v>
      </c>
      <c r="E2772">
        <v>450.05</v>
      </c>
      <c r="F2772">
        <v>451.05</v>
      </c>
      <c r="G2772">
        <v>1712</v>
      </c>
      <c r="H2772" s="116"/>
      <c r="I2772" s="116"/>
      <c r="L2772" s="169">
        <v>46085</v>
      </c>
      <c r="M2772" s="116">
        <v>438</v>
      </c>
      <c r="N2772" s="116">
        <v>442.15</v>
      </c>
      <c r="O2772" s="116">
        <v>431.1</v>
      </c>
      <c r="P2772" s="116">
        <v>438</v>
      </c>
      <c r="Q2772" s="116">
        <v>438</v>
      </c>
      <c r="R2772">
        <v>20333</v>
      </c>
    </row>
    <row r="2773" spans="1:18" x14ac:dyDescent="0.25">
      <c r="A2773" s="169">
        <v>46122</v>
      </c>
      <c r="B2773">
        <v>455.55</v>
      </c>
      <c r="C2773">
        <v>450.6</v>
      </c>
      <c r="D2773">
        <v>447.55</v>
      </c>
      <c r="E2773">
        <v>453</v>
      </c>
      <c r="F2773">
        <v>450.6</v>
      </c>
      <c r="G2773">
        <v>156</v>
      </c>
      <c r="H2773" s="116"/>
      <c r="I2773" s="116"/>
      <c r="L2773" s="169">
        <v>46086</v>
      </c>
      <c r="M2773" s="116">
        <v>436.1</v>
      </c>
      <c r="N2773" s="116">
        <v>455.65</v>
      </c>
      <c r="O2773" s="116">
        <v>431.6</v>
      </c>
      <c r="P2773" s="116">
        <v>436.05</v>
      </c>
      <c r="Q2773" s="116">
        <v>436.1</v>
      </c>
      <c r="R2773">
        <v>15666</v>
      </c>
    </row>
    <row r="2774" spans="1:18" x14ac:dyDescent="0.25">
      <c r="A2774" s="169">
        <v>46125</v>
      </c>
      <c r="B2774">
        <v>451.6</v>
      </c>
      <c r="C2774">
        <v>447</v>
      </c>
      <c r="D2774">
        <v>441.2</v>
      </c>
      <c r="E2774">
        <v>449.05</v>
      </c>
      <c r="F2774">
        <v>447</v>
      </c>
      <c r="G2774">
        <v>158</v>
      </c>
      <c r="H2774" s="116"/>
      <c r="I2774" s="116"/>
      <c r="L2774" s="169">
        <v>46087</v>
      </c>
      <c r="M2774" s="116">
        <v>433.4</v>
      </c>
      <c r="N2774" s="116">
        <v>443.9</v>
      </c>
      <c r="O2774" s="116">
        <v>430.2</v>
      </c>
      <c r="P2774" s="116">
        <v>436.55</v>
      </c>
      <c r="Q2774" s="116">
        <v>433.4</v>
      </c>
      <c r="R2774">
        <v>7427</v>
      </c>
    </row>
    <row r="2775" spans="1:18" x14ac:dyDescent="0.25">
      <c r="A2775" s="169">
        <v>46127</v>
      </c>
      <c r="B2775">
        <v>453.2</v>
      </c>
      <c r="C2775">
        <v>450</v>
      </c>
      <c r="D2775">
        <v>447.05</v>
      </c>
      <c r="E2775">
        <v>453.2</v>
      </c>
      <c r="F2775">
        <v>450</v>
      </c>
      <c r="G2775">
        <v>554</v>
      </c>
      <c r="H2775" s="116"/>
      <c r="I2775" s="116"/>
      <c r="L2775" s="169">
        <v>46090</v>
      </c>
      <c r="M2775" s="116">
        <v>421.5</v>
      </c>
      <c r="N2775" s="116">
        <v>425.85</v>
      </c>
      <c r="O2775" s="116">
        <v>412.3</v>
      </c>
      <c r="P2775" s="116">
        <v>425</v>
      </c>
      <c r="Q2775" s="116">
        <v>421.5</v>
      </c>
      <c r="R2775">
        <v>18502</v>
      </c>
    </row>
    <row r="2776" spans="1:18" x14ac:dyDescent="0.25">
      <c r="A2776" s="169">
        <v>46128</v>
      </c>
      <c r="B2776">
        <v>460</v>
      </c>
      <c r="C2776">
        <v>456.6</v>
      </c>
      <c r="D2776">
        <v>456.6</v>
      </c>
      <c r="E2776">
        <v>460</v>
      </c>
      <c r="F2776">
        <v>456.6</v>
      </c>
      <c r="G2776">
        <v>78</v>
      </c>
      <c r="H2776" s="116"/>
      <c r="I2776" s="116"/>
      <c r="L2776" s="169">
        <v>46091</v>
      </c>
      <c r="M2776" s="116">
        <v>433.5</v>
      </c>
      <c r="N2776" s="116">
        <v>435</v>
      </c>
      <c r="O2776" s="116">
        <v>415.95</v>
      </c>
      <c r="P2776" s="116">
        <v>422</v>
      </c>
      <c r="Q2776" s="116">
        <v>433.5</v>
      </c>
      <c r="R2776">
        <v>9632</v>
      </c>
    </row>
    <row r="2777" spans="1:18" x14ac:dyDescent="0.25">
      <c r="A2777" s="169">
        <v>46129</v>
      </c>
      <c r="B2777">
        <v>467.8</v>
      </c>
      <c r="C2777">
        <v>459.05</v>
      </c>
      <c r="D2777">
        <v>451.25</v>
      </c>
      <c r="E2777">
        <v>458.7</v>
      </c>
      <c r="F2777">
        <v>459.05</v>
      </c>
      <c r="G2777">
        <v>145</v>
      </c>
      <c r="H2777" s="116"/>
      <c r="I2777" s="116"/>
      <c r="L2777" s="169">
        <v>46092</v>
      </c>
      <c r="M2777" s="116">
        <v>428.15</v>
      </c>
      <c r="N2777" s="116">
        <v>436.9</v>
      </c>
      <c r="O2777" s="116">
        <v>424</v>
      </c>
      <c r="P2777" s="116">
        <v>431.35</v>
      </c>
      <c r="Q2777" s="116">
        <v>428.15</v>
      </c>
      <c r="R2777">
        <v>9586</v>
      </c>
    </row>
    <row r="2778" spans="1:18" x14ac:dyDescent="0.25">
      <c r="A2778" s="169">
        <v>46132</v>
      </c>
      <c r="B2778">
        <v>506</v>
      </c>
      <c r="C2778">
        <v>492.35</v>
      </c>
      <c r="D2778">
        <v>466.3</v>
      </c>
      <c r="E2778">
        <v>468</v>
      </c>
      <c r="F2778">
        <v>492.35</v>
      </c>
      <c r="G2778">
        <v>5080</v>
      </c>
      <c r="H2778" s="116"/>
      <c r="I2778" s="116"/>
      <c r="L2778" s="169">
        <v>46093</v>
      </c>
      <c r="M2778" s="116">
        <v>426.55</v>
      </c>
      <c r="N2778" s="116">
        <v>433.35</v>
      </c>
      <c r="O2778" s="116">
        <v>415.35</v>
      </c>
      <c r="P2778" s="116">
        <v>421.75</v>
      </c>
      <c r="Q2778" s="116">
        <v>426.55</v>
      </c>
      <c r="R2778">
        <v>10661</v>
      </c>
    </row>
    <row r="2779" spans="1:18" x14ac:dyDescent="0.25">
      <c r="A2779" s="169">
        <v>46133</v>
      </c>
      <c r="B2779">
        <v>510</v>
      </c>
      <c r="C2779">
        <v>498.65</v>
      </c>
      <c r="D2779">
        <v>493.85</v>
      </c>
      <c r="E2779">
        <v>493.85</v>
      </c>
      <c r="F2779">
        <v>498.65</v>
      </c>
      <c r="G2779">
        <v>7198</v>
      </c>
      <c r="H2779" s="116"/>
      <c r="I2779" s="116"/>
      <c r="L2779" s="169">
        <v>46094</v>
      </c>
      <c r="M2779" s="116">
        <v>424.95</v>
      </c>
      <c r="N2779" s="116">
        <v>429</v>
      </c>
      <c r="O2779" s="116">
        <v>419.9</v>
      </c>
      <c r="P2779" s="116">
        <v>426.55</v>
      </c>
      <c r="Q2779" s="116">
        <v>424.95</v>
      </c>
      <c r="R2779">
        <v>17059</v>
      </c>
    </row>
    <row r="2780" spans="1:18" x14ac:dyDescent="0.25">
      <c r="A2780" s="169">
        <v>46134</v>
      </c>
      <c r="B2780">
        <v>548.35</v>
      </c>
      <c r="C2780">
        <v>537.35</v>
      </c>
      <c r="D2780">
        <v>508.95</v>
      </c>
      <c r="E2780">
        <v>512</v>
      </c>
      <c r="F2780">
        <v>537.35</v>
      </c>
      <c r="G2780">
        <v>22556</v>
      </c>
      <c r="H2780" s="116"/>
      <c r="I2780" s="116"/>
      <c r="L2780" s="169">
        <v>46097</v>
      </c>
      <c r="M2780" s="116">
        <v>426.35</v>
      </c>
      <c r="N2780" s="116">
        <v>432.7</v>
      </c>
      <c r="O2780" s="116">
        <v>412.8</v>
      </c>
      <c r="P2780" s="116">
        <v>418</v>
      </c>
      <c r="Q2780" s="116">
        <v>426.35</v>
      </c>
      <c r="R2780">
        <v>9077</v>
      </c>
    </row>
    <row r="2781" spans="1:18" x14ac:dyDescent="0.25">
      <c r="A2781" s="169">
        <v>46135</v>
      </c>
      <c r="B2781">
        <v>575.5</v>
      </c>
      <c r="C2781">
        <v>531.15</v>
      </c>
      <c r="D2781">
        <v>527</v>
      </c>
      <c r="E2781">
        <v>557.95000000000005</v>
      </c>
      <c r="F2781">
        <v>531.15</v>
      </c>
      <c r="G2781">
        <v>20842</v>
      </c>
      <c r="H2781" s="116"/>
      <c r="I2781" s="116"/>
      <c r="L2781" s="169">
        <v>46098</v>
      </c>
      <c r="M2781" s="116">
        <v>429.85</v>
      </c>
      <c r="N2781" s="116">
        <v>431.85</v>
      </c>
      <c r="O2781" s="116">
        <v>421.55</v>
      </c>
      <c r="P2781" s="116">
        <v>424.2</v>
      </c>
      <c r="Q2781" s="116">
        <v>429.85</v>
      </c>
      <c r="R2781">
        <v>5640</v>
      </c>
    </row>
    <row r="2782" spans="1:18" x14ac:dyDescent="0.25">
      <c r="A2782" s="169">
        <v>46136</v>
      </c>
      <c r="B2782">
        <v>539.9</v>
      </c>
      <c r="C2782">
        <v>512.85</v>
      </c>
      <c r="D2782">
        <v>508.4</v>
      </c>
      <c r="E2782">
        <v>531.20000000000005</v>
      </c>
      <c r="F2782">
        <v>512.85</v>
      </c>
      <c r="G2782">
        <v>4572</v>
      </c>
      <c r="H2782" s="116"/>
      <c r="I2782" s="116"/>
      <c r="L2782" s="169">
        <v>46099</v>
      </c>
      <c r="M2782" s="116">
        <v>440.3</v>
      </c>
      <c r="N2782" s="116">
        <v>441.35</v>
      </c>
      <c r="O2782" s="116">
        <v>427.85</v>
      </c>
      <c r="P2782" s="116">
        <v>428.1</v>
      </c>
      <c r="Q2782" s="116">
        <v>440.3</v>
      </c>
      <c r="R2782">
        <v>5947</v>
      </c>
    </row>
    <row r="2783" spans="1:18" x14ac:dyDescent="0.25">
      <c r="A2783" s="169">
        <v>46139</v>
      </c>
      <c r="B2783">
        <v>542</v>
      </c>
      <c r="C2783">
        <v>528.35</v>
      </c>
      <c r="D2783">
        <v>522.70000000000005</v>
      </c>
      <c r="E2783">
        <v>524</v>
      </c>
      <c r="F2783">
        <v>528.35</v>
      </c>
      <c r="G2783">
        <v>4948</v>
      </c>
      <c r="H2783" s="116"/>
      <c r="I2783" s="116"/>
      <c r="L2783" s="169">
        <v>46100</v>
      </c>
      <c r="M2783" s="116">
        <v>432.25</v>
      </c>
      <c r="N2783" s="116">
        <v>449.55</v>
      </c>
      <c r="O2783" s="116">
        <v>430.6</v>
      </c>
      <c r="P2783" s="116">
        <v>433</v>
      </c>
      <c r="Q2783" s="116">
        <v>432.25</v>
      </c>
      <c r="R2783">
        <v>6811</v>
      </c>
    </row>
    <row r="2784" spans="1:18" x14ac:dyDescent="0.25">
      <c r="A2784" s="169">
        <v>46140</v>
      </c>
      <c r="B2784">
        <v>533.15</v>
      </c>
      <c r="C2784">
        <v>515.45000000000005</v>
      </c>
      <c r="D2784">
        <v>513.6</v>
      </c>
      <c r="E2784">
        <v>528.45000000000005</v>
      </c>
      <c r="F2784">
        <v>515.45000000000005</v>
      </c>
      <c r="G2784">
        <v>4062</v>
      </c>
      <c r="H2784" s="116"/>
      <c r="I2784" s="116"/>
      <c r="L2784" s="169">
        <v>46101</v>
      </c>
      <c r="M2784" s="116">
        <v>435.45</v>
      </c>
      <c r="N2784" s="116">
        <v>438.95</v>
      </c>
      <c r="O2784" s="116">
        <v>434.1</v>
      </c>
      <c r="P2784" s="116">
        <v>437</v>
      </c>
      <c r="Q2784" s="116">
        <v>435.45</v>
      </c>
      <c r="R2784">
        <v>3190</v>
      </c>
    </row>
    <row r="2785" spans="1:18" x14ac:dyDescent="0.25">
      <c r="A2785" s="169">
        <v>46141</v>
      </c>
      <c r="B2785">
        <v>548</v>
      </c>
      <c r="C2785">
        <v>521.79999999999995</v>
      </c>
      <c r="D2785">
        <v>515.6</v>
      </c>
      <c r="E2785">
        <v>527.29999999999995</v>
      </c>
      <c r="F2785">
        <v>521.79999999999995</v>
      </c>
      <c r="G2785">
        <v>6302</v>
      </c>
      <c r="H2785" s="116"/>
      <c r="I2785" s="116"/>
      <c r="L2785" s="169">
        <v>46104</v>
      </c>
      <c r="M2785" s="116">
        <v>417.05</v>
      </c>
      <c r="N2785" s="116">
        <v>427.85</v>
      </c>
      <c r="O2785" s="116">
        <v>412.2</v>
      </c>
      <c r="P2785" s="116">
        <v>427</v>
      </c>
      <c r="Q2785" s="116">
        <v>417.05</v>
      </c>
      <c r="R2785">
        <v>22861</v>
      </c>
    </row>
    <row r="2786" spans="1:18" x14ac:dyDescent="0.25">
      <c r="A2786" s="169">
        <v>46142</v>
      </c>
      <c r="B2786">
        <v>526</v>
      </c>
      <c r="C2786">
        <v>519.04999999999995</v>
      </c>
      <c r="D2786">
        <v>513.95000000000005</v>
      </c>
      <c r="E2786">
        <v>520.5</v>
      </c>
      <c r="F2786">
        <v>519.04999999999995</v>
      </c>
      <c r="G2786">
        <v>2566</v>
      </c>
      <c r="H2786" s="116"/>
      <c r="I2786" s="116"/>
      <c r="L2786" s="169">
        <v>46105</v>
      </c>
      <c r="M2786" s="116">
        <v>423.8</v>
      </c>
      <c r="N2786" s="116">
        <v>432.45</v>
      </c>
      <c r="O2786" s="116">
        <v>418.15</v>
      </c>
      <c r="P2786" s="116">
        <v>420.05</v>
      </c>
      <c r="Q2786" s="116">
        <v>423.8</v>
      </c>
      <c r="R2786">
        <v>9668</v>
      </c>
    </row>
    <row r="2787" spans="1:18" x14ac:dyDescent="0.25">
      <c r="A2787" s="169">
        <v>46146</v>
      </c>
      <c r="B2787">
        <v>532.5</v>
      </c>
      <c r="C2787">
        <v>527.95000000000005</v>
      </c>
      <c r="D2787">
        <v>517.04999999999995</v>
      </c>
      <c r="E2787">
        <v>520</v>
      </c>
      <c r="F2787">
        <v>527.95000000000005</v>
      </c>
      <c r="G2787">
        <v>1443</v>
      </c>
      <c r="H2787" s="116"/>
      <c r="I2787" s="116"/>
      <c r="L2787" s="169">
        <v>46106</v>
      </c>
      <c r="M2787" s="116">
        <v>429.9</v>
      </c>
      <c r="N2787" s="116">
        <v>433.45</v>
      </c>
      <c r="O2787" s="116">
        <v>425.6</v>
      </c>
      <c r="P2787" s="116">
        <v>425.8</v>
      </c>
      <c r="Q2787" s="116">
        <v>429.9</v>
      </c>
      <c r="R2787">
        <v>8281</v>
      </c>
    </row>
    <row r="2788" spans="1:18" x14ac:dyDescent="0.25">
      <c r="A2788" s="169">
        <v>46147</v>
      </c>
      <c r="B2788">
        <v>527.95000000000005</v>
      </c>
      <c r="C2788">
        <v>526.1</v>
      </c>
      <c r="D2788">
        <v>517.85</v>
      </c>
      <c r="E2788">
        <v>523.54999999999995</v>
      </c>
      <c r="F2788">
        <v>526.1</v>
      </c>
      <c r="G2788">
        <v>1171</v>
      </c>
      <c r="H2788" s="116"/>
      <c r="I2788" s="116"/>
      <c r="L2788" s="169">
        <v>46108</v>
      </c>
      <c r="M2788" s="116">
        <v>430.95</v>
      </c>
      <c r="N2788" s="116">
        <v>440</v>
      </c>
      <c r="O2788" s="116">
        <v>418.5</v>
      </c>
      <c r="P2788" s="116">
        <v>422.3</v>
      </c>
      <c r="Q2788" s="116">
        <v>430.95</v>
      </c>
      <c r="R2788">
        <v>14853</v>
      </c>
    </row>
    <row r="2789" spans="1:18" x14ac:dyDescent="0.25">
      <c r="A2789" s="169">
        <v>46148</v>
      </c>
      <c r="B2789">
        <v>532.70000000000005</v>
      </c>
      <c r="C2789">
        <v>528.29999999999995</v>
      </c>
      <c r="D2789">
        <v>522</v>
      </c>
      <c r="E2789">
        <v>526.70000000000005</v>
      </c>
      <c r="F2789">
        <v>528.29999999999995</v>
      </c>
      <c r="G2789">
        <v>1908</v>
      </c>
      <c r="H2789" s="116"/>
      <c r="I2789" s="116"/>
      <c r="L2789" s="169">
        <v>46111</v>
      </c>
      <c r="M2789" s="116">
        <v>414.7</v>
      </c>
      <c r="N2789" s="116">
        <v>425.7</v>
      </c>
      <c r="O2789" s="116">
        <v>410.1</v>
      </c>
      <c r="P2789" s="116">
        <v>425.7</v>
      </c>
      <c r="Q2789" s="116">
        <v>414.7</v>
      </c>
      <c r="R2789">
        <v>18164</v>
      </c>
    </row>
    <row r="2790" spans="1:18" x14ac:dyDescent="0.25">
      <c r="A2790" s="169">
        <v>46149</v>
      </c>
      <c r="B2790">
        <v>542.70000000000005</v>
      </c>
      <c r="C2790">
        <v>528.15</v>
      </c>
      <c r="D2790">
        <v>525.95000000000005</v>
      </c>
      <c r="E2790">
        <v>536.45000000000005</v>
      </c>
      <c r="F2790">
        <v>528.15</v>
      </c>
      <c r="G2790">
        <v>5897</v>
      </c>
      <c r="H2790" s="116"/>
      <c r="I2790" s="116"/>
      <c r="L2790" s="169">
        <v>46113</v>
      </c>
      <c r="M2790" s="116">
        <v>427.5</v>
      </c>
      <c r="N2790" s="116">
        <v>437.8</v>
      </c>
      <c r="O2790" s="116">
        <v>422.8</v>
      </c>
      <c r="P2790" s="116">
        <v>422.8</v>
      </c>
      <c r="Q2790" s="116">
        <v>427.5</v>
      </c>
      <c r="R2790">
        <v>5211</v>
      </c>
    </row>
    <row r="2791" spans="1:18" x14ac:dyDescent="0.25">
      <c r="A2791" s="169">
        <v>46150</v>
      </c>
      <c r="B2791">
        <v>535.45000000000005</v>
      </c>
      <c r="C2791">
        <v>522.9</v>
      </c>
      <c r="D2791">
        <v>518.1</v>
      </c>
      <c r="E2791">
        <v>535.45000000000005</v>
      </c>
      <c r="F2791">
        <v>522.9</v>
      </c>
      <c r="G2791">
        <v>2125</v>
      </c>
      <c r="H2791" s="116"/>
      <c r="I2791" s="116"/>
      <c r="L2791" s="169">
        <v>46114</v>
      </c>
      <c r="M2791" s="116">
        <v>425.3</v>
      </c>
      <c r="N2791" s="116">
        <v>430.25</v>
      </c>
      <c r="O2791" s="116">
        <v>413</v>
      </c>
      <c r="P2791" s="116">
        <v>415</v>
      </c>
      <c r="Q2791" s="116">
        <v>425.3</v>
      </c>
      <c r="R2791">
        <v>7800</v>
      </c>
    </row>
    <row r="2792" spans="1:18" x14ac:dyDescent="0.25">
      <c r="A2792" s="169">
        <v>46153</v>
      </c>
      <c r="B2792">
        <v>523</v>
      </c>
      <c r="C2792">
        <v>512.54999999999995</v>
      </c>
      <c r="D2792">
        <v>510</v>
      </c>
      <c r="E2792">
        <v>523</v>
      </c>
      <c r="F2792">
        <v>512.54999999999995</v>
      </c>
      <c r="G2792">
        <v>2154</v>
      </c>
      <c r="H2792" s="116"/>
      <c r="I2792" s="116"/>
      <c r="L2792" s="169">
        <v>46118</v>
      </c>
      <c r="M2792" s="116">
        <v>441.95</v>
      </c>
      <c r="N2792" s="116">
        <v>443.9</v>
      </c>
      <c r="O2792" s="116">
        <v>428.5</v>
      </c>
      <c r="P2792" s="116">
        <v>428.5</v>
      </c>
      <c r="Q2792" s="116">
        <v>441.95</v>
      </c>
      <c r="R2792">
        <v>9462</v>
      </c>
    </row>
    <row r="2793" spans="1:18" x14ac:dyDescent="0.25">
      <c r="A2793" s="169">
        <v>46154</v>
      </c>
      <c r="B2793">
        <v>515</v>
      </c>
      <c r="C2793">
        <v>495.5</v>
      </c>
      <c r="D2793">
        <v>490</v>
      </c>
      <c r="E2793">
        <v>503.35</v>
      </c>
      <c r="F2793">
        <v>495.5</v>
      </c>
      <c r="G2793">
        <v>3891</v>
      </c>
      <c r="H2793" s="116"/>
      <c r="I2793" s="116"/>
      <c r="L2793" s="169">
        <v>46119</v>
      </c>
      <c r="M2793" s="116">
        <v>444.05</v>
      </c>
      <c r="N2793" s="116">
        <v>448.5</v>
      </c>
      <c r="O2793" s="116">
        <v>440.05</v>
      </c>
      <c r="P2793" s="116">
        <v>442</v>
      </c>
      <c r="Q2793" s="116">
        <v>444.05</v>
      </c>
      <c r="R2793">
        <v>6165</v>
      </c>
    </row>
    <row r="2794" spans="1:18" x14ac:dyDescent="0.25">
      <c r="A2794" s="169">
        <v>46155</v>
      </c>
      <c r="B2794">
        <v>521</v>
      </c>
      <c r="C2794">
        <v>513.04999999999995</v>
      </c>
      <c r="D2794">
        <v>494.6</v>
      </c>
      <c r="E2794">
        <v>499.05</v>
      </c>
      <c r="F2794">
        <v>513.04999999999995</v>
      </c>
      <c r="G2794">
        <v>3919</v>
      </c>
      <c r="H2794" s="116"/>
      <c r="I2794" s="116"/>
      <c r="L2794" s="169">
        <v>46120</v>
      </c>
      <c r="M2794" s="116">
        <v>451.55</v>
      </c>
      <c r="N2794" s="116">
        <v>484.1</v>
      </c>
      <c r="O2794" s="116">
        <v>445</v>
      </c>
      <c r="P2794" s="116">
        <v>458</v>
      </c>
      <c r="Q2794" s="116">
        <v>451.55</v>
      </c>
      <c r="R2794">
        <v>12420</v>
      </c>
    </row>
    <row r="2795" spans="1:18" x14ac:dyDescent="0.25">
      <c r="A2795" s="169">
        <v>46156</v>
      </c>
      <c r="B2795">
        <v>521.15</v>
      </c>
      <c r="C2795">
        <v>504.7</v>
      </c>
      <c r="D2795">
        <v>501.5</v>
      </c>
      <c r="E2795">
        <v>521.15</v>
      </c>
      <c r="F2795">
        <v>504.7</v>
      </c>
      <c r="G2795">
        <v>2559</v>
      </c>
      <c r="H2795" s="116"/>
      <c r="I2795" s="116"/>
      <c r="L2795" s="169">
        <v>46121</v>
      </c>
      <c r="M2795" s="116">
        <v>447.95</v>
      </c>
      <c r="N2795" s="116">
        <v>455</v>
      </c>
      <c r="O2795" s="116">
        <v>444</v>
      </c>
      <c r="P2795" s="116">
        <v>444.7</v>
      </c>
      <c r="Q2795" s="116">
        <v>447.95</v>
      </c>
      <c r="R2795">
        <v>7005</v>
      </c>
    </row>
    <row r="2796" spans="1:18" x14ac:dyDescent="0.25">
      <c r="A2796" s="169">
        <v>46157</v>
      </c>
      <c r="B2796">
        <v>507</v>
      </c>
      <c r="C2796">
        <v>497.35</v>
      </c>
      <c r="D2796">
        <v>495.6</v>
      </c>
      <c r="E2796">
        <v>506.15</v>
      </c>
      <c r="F2796">
        <v>497.35</v>
      </c>
      <c r="G2796">
        <v>1122</v>
      </c>
      <c r="H2796" s="116"/>
      <c r="I2796" s="116"/>
      <c r="L2796" s="169">
        <v>46122</v>
      </c>
      <c r="M2796" s="116">
        <v>451.65</v>
      </c>
      <c r="N2796" s="116">
        <v>456</v>
      </c>
      <c r="O2796" s="116">
        <v>449.5</v>
      </c>
      <c r="P2796" s="116">
        <v>454</v>
      </c>
      <c r="Q2796" s="116">
        <v>451.65</v>
      </c>
      <c r="R2796">
        <v>4295</v>
      </c>
    </row>
    <row r="2797" spans="1:18" x14ac:dyDescent="0.25">
      <c r="A2797" s="169">
        <v>46160</v>
      </c>
      <c r="B2797">
        <v>495</v>
      </c>
      <c r="C2797">
        <v>488.15</v>
      </c>
      <c r="D2797">
        <v>477.8</v>
      </c>
      <c r="E2797">
        <v>494</v>
      </c>
      <c r="F2797">
        <v>488.15</v>
      </c>
      <c r="G2797">
        <v>2295</v>
      </c>
      <c r="H2797" s="116"/>
      <c r="I2797" s="116"/>
      <c r="L2797" s="169">
        <v>46125</v>
      </c>
      <c r="M2797" s="116">
        <v>447.3</v>
      </c>
      <c r="N2797" s="116">
        <v>452.45</v>
      </c>
      <c r="O2797" s="116">
        <v>440.55</v>
      </c>
      <c r="P2797" s="116">
        <v>450.1</v>
      </c>
      <c r="Q2797" s="116">
        <v>447.3</v>
      </c>
      <c r="R2797">
        <v>4267</v>
      </c>
    </row>
    <row r="2798" spans="1:18" x14ac:dyDescent="0.25">
      <c r="A2798" s="169">
        <v>46161</v>
      </c>
      <c r="B2798">
        <v>493.4</v>
      </c>
      <c r="C2798">
        <v>491.55</v>
      </c>
      <c r="D2798">
        <v>484.6</v>
      </c>
      <c r="E2798">
        <v>488.6</v>
      </c>
      <c r="F2798">
        <v>491.55</v>
      </c>
      <c r="G2798">
        <v>1681</v>
      </c>
      <c r="H2798" s="116"/>
      <c r="I2798" s="116"/>
      <c r="L2798" s="169">
        <v>46127</v>
      </c>
      <c r="M2798" s="116">
        <v>450.85</v>
      </c>
      <c r="N2798" s="116">
        <v>455</v>
      </c>
      <c r="O2798" s="116">
        <v>447.3</v>
      </c>
      <c r="P2798" s="116">
        <v>452.5</v>
      </c>
      <c r="Q2798" s="116">
        <v>450.85</v>
      </c>
      <c r="R2798">
        <v>5300</v>
      </c>
    </row>
    <row r="2799" spans="1:18" x14ac:dyDescent="0.25">
      <c r="A2799" s="169">
        <v>46162</v>
      </c>
      <c r="B2799">
        <v>485.05</v>
      </c>
      <c r="C2799">
        <v>483.2</v>
      </c>
      <c r="D2799">
        <v>470.4</v>
      </c>
      <c r="E2799">
        <v>483</v>
      </c>
      <c r="F2799">
        <v>483.2</v>
      </c>
      <c r="G2799">
        <v>1039</v>
      </c>
      <c r="H2799" s="116"/>
      <c r="I2799" s="116"/>
      <c r="L2799" s="169">
        <v>46128</v>
      </c>
      <c r="M2799" s="116">
        <v>459.6</v>
      </c>
      <c r="N2799" s="116">
        <v>464.9</v>
      </c>
      <c r="O2799" s="116">
        <v>455</v>
      </c>
      <c r="P2799" s="116">
        <v>456.7</v>
      </c>
      <c r="Q2799" s="116">
        <v>459.6</v>
      </c>
      <c r="R2799">
        <v>5290</v>
      </c>
    </row>
    <row r="2800" spans="1:18" x14ac:dyDescent="0.25">
      <c r="A2800" s="169">
        <v>46163</v>
      </c>
      <c r="B2800">
        <v>491</v>
      </c>
      <c r="C2800">
        <v>483.45</v>
      </c>
      <c r="D2800">
        <v>482</v>
      </c>
      <c r="E2800">
        <v>489.45</v>
      </c>
      <c r="F2800">
        <v>483.45</v>
      </c>
      <c r="G2800">
        <v>985</v>
      </c>
      <c r="H2800" s="116"/>
      <c r="I2800" s="116"/>
      <c r="L2800" s="169">
        <v>46129</v>
      </c>
      <c r="M2800" s="116">
        <v>459.5</v>
      </c>
      <c r="N2800" s="116">
        <v>461.2</v>
      </c>
      <c r="O2800" s="116">
        <v>451</v>
      </c>
      <c r="P2800" s="116">
        <v>451</v>
      </c>
      <c r="Q2800" s="116">
        <v>459.5</v>
      </c>
      <c r="R2800">
        <v>9936</v>
      </c>
    </row>
    <row r="2801" spans="1:18" x14ac:dyDescent="0.25">
      <c r="A2801" s="169">
        <v>46164</v>
      </c>
      <c r="B2801">
        <v>498</v>
      </c>
      <c r="C2801">
        <v>496.95</v>
      </c>
      <c r="D2801">
        <v>486.95</v>
      </c>
      <c r="E2801">
        <v>489.4</v>
      </c>
      <c r="F2801">
        <v>496.95</v>
      </c>
      <c r="G2801">
        <v>610</v>
      </c>
      <c r="H2801" s="116"/>
      <c r="I2801" s="116"/>
      <c r="L2801" s="169">
        <v>46132</v>
      </c>
      <c r="M2801" s="116">
        <v>490.3</v>
      </c>
      <c r="N2801" s="116">
        <v>509</v>
      </c>
      <c r="O2801" s="116">
        <v>464.4</v>
      </c>
      <c r="P2801" s="116">
        <v>465</v>
      </c>
      <c r="Q2801" s="116">
        <v>490.3</v>
      </c>
      <c r="R2801">
        <v>89928</v>
      </c>
    </row>
    <row r="2802" spans="1:18" x14ac:dyDescent="0.25">
      <c r="A2802" s="169">
        <v>46167</v>
      </c>
      <c r="B2802">
        <v>516</v>
      </c>
      <c r="C2802">
        <v>512</v>
      </c>
      <c r="D2802">
        <v>494</v>
      </c>
      <c r="E2802">
        <v>496.45</v>
      </c>
      <c r="F2802">
        <v>512</v>
      </c>
      <c r="G2802">
        <v>1823</v>
      </c>
      <c r="H2802" s="116"/>
      <c r="I2802" s="116"/>
      <c r="L2802" s="169">
        <v>46133</v>
      </c>
      <c r="M2802" s="116">
        <v>501</v>
      </c>
      <c r="N2802" s="116">
        <v>505</v>
      </c>
      <c r="O2802" s="116">
        <v>490.3</v>
      </c>
      <c r="P2802" s="116">
        <v>490.3</v>
      </c>
      <c r="Q2802" s="116">
        <v>501</v>
      </c>
      <c r="R2802">
        <v>57283</v>
      </c>
    </row>
    <row r="2803" spans="1:18" x14ac:dyDescent="0.25">
      <c r="A2803" s="169">
        <v>46168</v>
      </c>
      <c r="B2803">
        <v>525.35</v>
      </c>
      <c r="C2803">
        <v>519.20000000000005</v>
      </c>
      <c r="D2803">
        <v>511.55</v>
      </c>
      <c r="E2803">
        <v>520.4</v>
      </c>
      <c r="F2803">
        <v>519.20000000000005</v>
      </c>
      <c r="G2803">
        <v>2380</v>
      </c>
      <c r="H2803" s="116"/>
      <c r="I2803" s="116"/>
      <c r="L2803" s="169">
        <v>46134</v>
      </c>
      <c r="M2803" s="116">
        <v>538.4</v>
      </c>
      <c r="N2803" s="116">
        <v>548</v>
      </c>
      <c r="O2803" s="116">
        <v>503.95</v>
      </c>
      <c r="P2803" s="116">
        <v>505</v>
      </c>
      <c r="Q2803" s="116">
        <v>538.4</v>
      </c>
      <c r="R2803">
        <v>619334</v>
      </c>
    </row>
    <row r="2804" spans="1:18" x14ac:dyDescent="0.25">
      <c r="A2804" s="169">
        <v>46169</v>
      </c>
      <c r="B2804">
        <v>517</v>
      </c>
      <c r="C2804">
        <v>515.5</v>
      </c>
      <c r="D2804">
        <v>511.95</v>
      </c>
      <c r="E2804">
        <v>517</v>
      </c>
      <c r="F2804">
        <v>515.5</v>
      </c>
      <c r="G2804">
        <v>827</v>
      </c>
      <c r="H2804" s="116"/>
      <c r="I2804" s="116"/>
      <c r="L2804" s="169">
        <v>46135</v>
      </c>
      <c r="M2804" s="116">
        <v>530.15</v>
      </c>
      <c r="N2804" s="116">
        <v>576.95000000000005</v>
      </c>
      <c r="O2804" s="116">
        <v>525</v>
      </c>
      <c r="P2804" s="116">
        <v>555</v>
      </c>
      <c r="Q2804" s="116">
        <v>530.15</v>
      </c>
      <c r="R2804">
        <v>800272</v>
      </c>
    </row>
    <row r="2805" spans="1:18" x14ac:dyDescent="0.25">
      <c r="A2805" s="169">
        <v>46171</v>
      </c>
      <c r="B2805">
        <v>521.54999999999995</v>
      </c>
      <c r="C2805">
        <v>515</v>
      </c>
      <c r="D2805">
        <v>511.95</v>
      </c>
      <c r="E2805">
        <v>515.4</v>
      </c>
      <c r="F2805">
        <v>515</v>
      </c>
      <c r="G2805">
        <v>324</v>
      </c>
      <c r="H2805" s="116"/>
      <c r="I2805" s="116"/>
      <c r="L2805" s="169">
        <v>46136</v>
      </c>
      <c r="M2805" s="116">
        <v>513.20000000000005</v>
      </c>
      <c r="N2805" s="116">
        <v>541.29999999999995</v>
      </c>
      <c r="O2805" s="116">
        <v>510</v>
      </c>
      <c r="P2805" s="116">
        <v>536</v>
      </c>
      <c r="Q2805" s="116">
        <v>513.20000000000005</v>
      </c>
      <c r="R2805">
        <v>88312</v>
      </c>
    </row>
    <row r="2806" spans="1:18" x14ac:dyDescent="0.25">
      <c r="A2806" s="169">
        <v>46174</v>
      </c>
      <c r="B2806">
        <v>555.75</v>
      </c>
      <c r="C2806">
        <v>525.75</v>
      </c>
      <c r="D2806">
        <v>519.1</v>
      </c>
      <c r="E2806">
        <v>530</v>
      </c>
      <c r="F2806">
        <v>525.75</v>
      </c>
      <c r="G2806">
        <v>13178</v>
      </c>
      <c r="H2806" s="116"/>
      <c r="I2806" s="116"/>
      <c r="L2806" s="169">
        <v>46139</v>
      </c>
      <c r="M2806" s="116">
        <v>527.70000000000005</v>
      </c>
      <c r="N2806" s="116">
        <v>543</v>
      </c>
      <c r="O2806" s="116">
        <v>520</v>
      </c>
      <c r="P2806" s="116">
        <v>520</v>
      </c>
      <c r="Q2806" s="116">
        <v>527.70000000000005</v>
      </c>
      <c r="R2806">
        <v>99964</v>
      </c>
    </row>
    <row r="2807" spans="1:18" x14ac:dyDescent="0.25">
      <c r="A2807" s="169">
        <v>46175</v>
      </c>
      <c r="B2807">
        <v>530</v>
      </c>
      <c r="C2807">
        <v>528.65</v>
      </c>
      <c r="D2807">
        <v>521.5</v>
      </c>
      <c r="E2807">
        <v>523</v>
      </c>
      <c r="F2807">
        <v>528.65</v>
      </c>
      <c r="G2807">
        <v>2559</v>
      </c>
      <c r="H2807" s="116"/>
      <c r="I2807" s="116"/>
      <c r="L2807" s="169">
        <v>46140</v>
      </c>
      <c r="M2807" s="116">
        <v>515.35</v>
      </c>
      <c r="N2807" s="116">
        <v>534.70000000000005</v>
      </c>
      <c r="O2807" s="116">
        <v>512.1</v>
      </c>
      <c r="P2807" s="116">
        <v>531.65</v>
      </c>
      <c r="Q2807" s="116">
        <v>515.35</v>
      </c>
      <c r="R2807">
        <v>52318</v>
      </c>
    </row>
    <row r="2808" spans="1:18" x14ac:dyDescent="0.25">
      <c r="A2808" s="169">
        <v>46176</v>
      </c>
      <c r="B2808">
        <v>532.9</v>
      </c>
      <c r="C2808">
        <v>532.45000000000005</v>
      </c>
      <c r="D2808">
        <v>515.25</v>
      </c>
      <c r="E2808">
        <v>523</v>
      </c>
      <c r="F2808">
        <v>532.45000000000005</v>
      </c>
      <c r="G2808">
        <v>1799</v>
      </c>
      <c r="H2808" s="116"/>
      <c r="I2808" s="116"/>
      <c r="L2808" s="169">
        <v>46141</v>
      </c>
      <c r="M2808" s="116">
        <v>520.25</v>
      </c>
      <c r="N2808" s="116">
        <v>549</v>
      </c>
      <c r="O2808" s="116">
        <v>516.29999999999995</v>
      </c>
      <c r="P2808" s="116">
        <v>523.1</v>
      </c>
      <c r="Q2808" s="116">
        <v>520.25</v>
      </c>
      <c r="R2808">
        <v>118500</v>
      </c>
    </row>
    <row r="2809" spans="1:18" x14ac:dyDescent="0.25">
      <c r="A2809" s="169">
        <v>46177</v>
      </c>
      <c r="B2809">
        <v>535.4</v>
      </c>
      <c r="C2809">
        <v>527.6</v>
      </c>
      <c r="D2809">
        <v>522.4</v>
      </c>
      <c r="E2809">
        <v>534</v>
      </c>
      <c r="F2809">
        <v>527.6</v>
      </c>
      <c r="G2809">
        <v>1866</v>
      </c>
      <c r="H2809" s="116"/>
      <c r="I2809" s="116"/>
      <c r="L2809" s="169">
        <v>46142</v>
      </c>
      <c r="M2809" s="116">
        <v>517.79999999999995</v>
      </c>
      <c r="N2809" s="116">
        <v>526.70000000000005</v>
      </c>
      <c r="O2809" s="116">
        <v>512.45000000000005</v>
      </c>
      <c r="P2809" s="116">
        <v>512.45000000000005</v>
      </c>
      <c r="Q2809" s="116">
        <v>517.79999999999995</v>
      </c>
      <c r="R2809">
        <v>21962</v>
      </c>
    </row>
    <row r="2810" spans="1:18" x14ac:dyDescent="0.25">
      <c r="A2810" s="169">
        <v>46178</v>
      </c>
      <c r="B2810">
        <v>535.4</v>
      </c>
      <c r="C2810">
        <v>528.35</v>
      </c>
      <c r="D2810">
        <v>487.15</v>
      </c>
      <c r="E2810">
        <v>487.15</v>
      </c>
      <c r="F2810">
        <v>528.35</v>
      </c>
      <c r="G2810">
        <v>1925</v>
      </c>
      <c r="H2810" s="116"/>
      <c r="I2810" s="116"/>
      <c r="L2810" s="169">
        <v>46146</v>
      </c>
      <c r="M2810" s="116">
        <v>525.85</v>
      </c>
      <c r="N2810" s="116">
        <v>534.79999999999995</v>
      </c>
      <c r="O2810" s="116">
        <v>515</v>
      </c>
      <c r="P2810" s="116">
        <v>520.35</v>
      </c>
      <c r="Q2810" s="116">
        <v>525.85</v>
      </c>
      <c r="R2810">
        <v>30124</v>
      </c>
    </row>
    <row r="2811" spans="1:18" x14ac:dyDescent="0.25">
      <c r="A2811" s="169">
        <v>46181</v>
      </c>
      <c r="B2811">
        <v>527.04999999999995</v>
      </c>
      <c r="C2811">
        <v>519.20000000000005</v>
      </c>
      <c r="D2811">
        <v>516.70000000000005</v>
      </c>
      <c r="E2811">
        <v>523.25</v>
      </c>
      <c r="F2811">
        <v>519.20000000000005</v>
      </c>
      <c r="G2811">
        <v>931</v>
      </c>
      <c r="H2811" s="116"/>
      <c r="I2811" s="116"/>
      <c r="L2811" s="169">
        <v>46147</v>
      </c>
      <c r="M2811" s="116">
        <v>526.1</v>
      </c>
      <c r="N2811" s="116">
        <v>530.04999999999995</v>
      </c>
      <c r="O2811" s="116">
        <v>518.29999999999995</v>
      </c>
      <c r="P2811" s="116">
        <v>530.04999999999995</v>
      </c>
      <c r="Q2811" s="116">
        <v>526.1</v>
      </c>
      <c r="R2811">
        <v>16803</v>
      </c>
    </row>
    <row r="2812" spans="1:18" x14ac:dyDescent="0.25">
      <c r="A2812" s="169">
        <v>46182</v>
      </c>
      <c r="B2812">
        <v>536.75</v>
      </c>
      <c r="C2812">
        <v>531.25</v>
      </c>
      <c r="D2812">
        <v>522</v>
      </c>
      <c r="E2812">
        <v>525.1</v>
      </c>
      <c r="F2812">
        <v>531.25</v>
      </c>
      <c r="G2812">
        <v>1003</v>
      </c>
      <c r="H2812" s="116"/>
      <c r="I2812" s="116"/>
      <c r="L2812" s="169">
        <v>46148</v>
      </c>
      <c r="M2812" s="116">
        <v>528.54999999999995</v>
      </c>
      <c r="N2812" s="116">
        <v>534.9</v>
      </c>
      <c r="O2812" s="116">
        <v>518.70000000000005</v>
      </c>
      <c r="P2812" s="116">
        <v>534.9</v>
      </c>
      <c r="Q2812" s="116">
        <v>528.54999999999995</v>
      </c>
      <c r="R2812">
        <v>37004</v>
      </c>
    </row>
    <row r="2813" spans="1:18" x14ac:dyDescent="0.25">
      <c r="A2813" s="169">
        <v>46183</v>
      </c>
      <c r="B2813">
        <v>546.6</v>
      </c>
      <c r="C2813">
        <v>529.70000000000005</v>
      </c>
      <c r="D2813">
        <v>525.35</v>
      </c>
      <c r="E2813">
        <v>538.79999999999995</v>
      </c>
      <c r="F2813">
        <v>529.70000000000005</v>
      </c>
      <c r="G2813">
        <v>1162</v>
      </c>
      <c r="H2813" s="116"/>
      <c r="I2813" s="116"/>
      <c r="L2813" s="169">
        <v>46149</v>
      </c>
      <c r="M2813" s="116">
        <v>527.5</v>
      </c>
      <c r="N2813" s="116">
        <v>543</v>
      </c>
      <c r="O2813" s="116">
        <v>524.70000000000005</v>
      </c>
      <c r="P2813" s="116">
        <v>535.65</v>
      </c>
      <c r="Q2813" s="116">
        <v>527.5</v>
      </c>
      <c r="R2813">
        <v>48037</v>
      </c>
    </row>
    <row r="2814" spans="1:18" x14ac:dyDescent="0.25">
      <c r="A2814" s="169">
        <v>46184</v>
      </c>
      <c r="B2814">
        <v>538.15</v>
      </c>
      <c r="C2814">
        <v>526.15</v>
      </c>
      <c r="D2814">
        <v>523.04999999999995</v>
      </c>
      <c r="E2814">
        <v>523.04999999999995</v>
      </c>
      <c r="F2814">
        <v>526.15</v>
      </c>
      <c r="G2814">
        <v>2069</v>
      </c>
      <c r="H2814" s="116"/>
      <c r="I2814" s="116"/>
      <c r="L2814" s="169">
        <v>46150</v>
      </c>
      <c r="M2814" s="116">
        <v>523</v>
      </c>
      <c r="N2814" s="116">
        <v>535</v>
      </c>
      <c r="O2814" s="116">
        <v>520.1</v>
      </c>
      <c r="P2814" s="116">
        <v>530.15</v>
      </c>
      <c r="Q2814" s="116">
        <v>523</v>
      </c>
      <c r="R2814">
        <v>28204</v>
      </c>
    </row>
    <row r="2815" spans="1:18" x14ac:dyDescent="0.25">
      <c r="A2815" s="169">
        <v>46185</v>
      </c>
      <c r="B2815">
        <v>544.1</v>
      </c>
      <c r="C2815">
        <v>541.35</v>
      </c>
      <c r="D2815">
        <v>525.95000000000005</v>
      </c>
      <c r="E2815">
        <v>525.95000000000005</v>
      </c>
      <c r="F2815">
        <v>541.35</v>
      </c>
      <c r="G2815">
        <v>2456</v>
      </c>
      <c r="H2815" s="116"/>
      <c r="I2815" s="116"/>
      <c r="L2815" s="169">
        <v>46153</v>
      </c>
      <c r="M2815" s="116">
        <v>511.5</v>
      </c>
      <c r="N2815" s="116">
        <v>528.1</v>
      </c>
      <c r="O2815" s="116">
        <v>506.55</v>
      </c>
      <c r="P2815" s="116">
        <v>523</v>
      </c>
      <c r="Q2815" s="116">
        <v>511.5</v>
      </c>
      <c r="R2815">
        <v>26359</v>
      </c>
    </row>
    <row r="2816" spans="1:18" x14ac:dyDescent="0.25">
      <c r="A2816" s="169">
        <v>46188</v>
      </c>
      <c r="B2816">
        <v>555.15</v>
      </c>
      <c r="C2816">
        <v>530.45000000000005</v>
      </c>
      <c r="D2816">
        <v>528.79999999999995</v>
      </c>
      <c r="E2816">
        <v>553</v>
      </c>
      <c r="F2816">
        <v>530.45000000000005</v>
      </c>
      <c r="G2816">
        <v>3553</v>
      </c>
      <c r="H2816" s="116"/>
      <c r="I2816" s="116"/>
      <c r="L2816" s="169">
        <v>46154</v>
      </c>
      <c r="M2816" s="116">
        <v>492.35</v>
      </c>
      <c r="N2816" s="116">
        <v>517.4</v>
      </c>
      <c r="O2816" s="116">
        <v>489.55</v>
      </c>
      <c r="P2816" s="116">
        <v>505</v>
      </c>
      <c r="Q2816" s="116">
        <v>492.35</v>
      </c>
      <c r="R2816">
        <v>22449</v>
      </c>
    </row>
    <row r="2817" spans="1:18" x14ac:dyDescent="0.25">
      <c r="A2817" s="169">
        <v>46189</v>
      </c>
      <c r="B2817">
        <v>569.4</v>
      </c>
      <c r="C2817">
        <v>527.25</v>
      </c>
      <c r="D2817">
        <v>522.95000000000005</v>
      </c>
      <c r="E2817">
        <v>555.54999999999995</v>
      </c>
      <c r="F2817">
        <v>527.25</v>
      </c>
      <c r="G2817">
        <v>1105</v>
      </c>
      <c r="H2817" s="116"/>
      <c r="I2817" s="116"/>
      <c r="L2817" s="169">
        <v>46155</v>
      </c>
      <c r="M2817" s="116">
        <v>514.4</v>
      </c>
      <c r="N2817" s="116">
        <v>521</v>
      </c>
      <c r="O2817" s="116">
        <v>491.6</v>
      </c>
      <c r="P2817" s="116">
        <v>499</v>
      </c>
      <c r="Q2817" s="116">
        <v>514.4</v>
      </c>
      <c r="R2817">
        <v>23674</v>
      </c>
    </row>
    <row r="2818" spans="1:18" x14ac:dyDescent="0.25">
      <c r="A2818" s="169">
        <v>46190</v>
      </c>
      <c r="B2818">
        <v>530.65</v>
      </c>
      <c r="C2818">
        <v>524.04999999999995</v>
      </c>
      <c r="D2818">
        <v>520.65</v>
      </c>
      <c r="E2818">
        <v>526.75</v>
      </c>
      <c r="F2818">
        <v>524.04999999999995</v>
      </c>
      <c r="G2818">
        <v>641</v>
      </c>
      <c r="H2818" s="116"/>
      <c r="I2818" s="116"/>
      <c r="L2818" s="169">
        <v>46156</v>
      </c>
      <c r="M2818" s="116">
        <v>505.55</v>
      </c>
      <c r="N2818" s="116">
        <v>518.54999999999995</v>
      </c>
      <c r="O2818" s="116">
        <v>502.05</v>
      </c>
      <c r="P2818" s="116">
        <v>518.54999999999995</v>
      </c>
      <c r="Q2818" s="116">
        <v>505.55</v>
      </c>
      <c r="R2818">
        <v>14094</v>
      </c>
    </row>
    <row r="2819" spans="1:18" x14ac:dyDescent="0.25">
      <c r="H2819" s="116"/>
      <c r="I2819" s="116"/>
      <c r="L2819" s="169">
        <v>46157</v>
      </c>
      <c r="M2819" s="116">
        <v>496.3</v>
      </c>
      <c r="N2819" s="116">
        <v>509.75</v>
      </c>
      <c r="O2819" s="116">
        <v>495</v>
      </c>
      <c r="P2819" s="116">
        <v>504.15</v>
      </c>
      <c r="Q2819" s="116">
        <v>496.3</v>
      </c>
      <c r="R2819">
        <v>18788</v>
      </c>
    </row>
    <row r="2820" spans="1:18" x14ac:dyDescent="0.25">
      <c r="H2820" s="116"/>
      <c r="I2820" s="116"/>
      <c r="L2820" s="169">
        <v>46160</v>
      </c>
      <c r="M2820" s="116">
        <v>485.4</v>
      </c>
      <c r="N2820" s="116">
        <v>505</v>
      </c>
      <c r="O2820" s="116">
        <v>477</v>
      </c>
      <c r="P2820" s="116">
        <v>488.05</v>
      </c>
      <c r="Q2820" s="116">
        <v>485.4</v>
      </c>
      <c r="R2820">
        <v>26221</v>
      </c>
    </row>
    <row r="2821" spans="1:18" x14ac:dyDescent="0.25">
      <c r="H2821" s="116"/>
      <c r="I2821" s="116"/>
      <c r="L2821" s="169">
        <v>46161</v>
      </c>
      <c r="M2821" s="116">
        <v>486.1</v>
      </c>
      <c r="N2821" s="116">
        <v>497.9</v>
      </c>
      <c r="O2821" s="116">
        <v>483.2</v>
      </c>
      <c r="P2821" s="116">
        <v>485</v>
      </c>
      <c r="Q2821" s="116">
        <v>486.1</v>
      </c>
      <c r="R2821">
        <v>17178</v>
      </c>
    </row>
    <row r="2822" spans="1:18" x14ac:dyDescent="0.25">
      <c r="H2822" s="116"/>
      <c r="I2822" s="116"/>
      <c r="L2822" s="169">
        <v>46162</v>
      </c>
      <c r="M2822" s="116">
        <v>483.45</v>
      </c>
      <c r="N2822" s="116">
        <v>487.4</v>
      </c>
      <c r="O2822" s="116">
        <v>469.8</v>
      </c>
      <c r="P2822" s="116">
        <v>482.95</v>
      </c>
      <c r="Q2822" s="116">
        <v>483.45</v>
      </c>
      <c r="R2822">
        <v>20672</v>
      </c>
    </row>
    <row r="2823" spans="1:18" x14ac:dyDescent="0.25">
      <c r="H2823" s="116"/>
      <c r="I2823" s="116"/>
      <c r="L2823" s="169">
        <v>46163</v>
      </c>
      <c r="M2823" s="116">
        <v>484.8</v>
      </c>
      <c r="N2823" s="116">
        <v>494.5</v>
      </c>
      <c r="O2823" s="116">
        <v>481.5</v>
      </c>
      <c r="P2823" s="116">
        <v>484</v>
      </c>
      <c r="Q2823" s="116">
        <v>484.8</v>
      </c>
      <c r="R2823">
        <v>21207</v>
      </c>
    </row>
    <row r="2824" spans="1:18" x14ac:dyDescent="0.25">
      <c r="H2824" s="116"/>
      <c r="I2824" s="116"/>
      <c r="L2824" s="169">
        <v>46164</v>
      </c>
      <c r="M2824" s="116">
        <v>495.75</v>
      </c>
      <c r="N2824" s="116">
        <v>498.55</v>
      </c>
      <c r="O2824" s="116">
        <v>481.25</v>
      </c>
      <c r="P2824" s="116">
        <v>481.25</v>
      </c>
      <c r="Q2824" s="116">
        <v>495.75</v>
      </c>
      <c r="R2824">
        <v>21364</v>
      </c>
    </row>
    <row r="2825" spans="1:18" x14ac:dyDescent="0.25">
      <c r="H2825" s="116"/>
      <c r="I2825" s="116"/>
      <c r="L2825" s="169">
        <v>46167</v>
      </c>
      <c r="M2825" s="116">
        <v>513.85</v>
      </c>
      <c r="N2825" s="116">
        <v>518.79999999999995</v>
      </c>
      <c r="O2825" s="116">
        <v>495.7</v>
      </c>
      <c r="P2825" s="116">
        <v>495.7</v>
      </c>
      <c r="Q2825" s="116">
        <v>513.85</v>
      </c>
      <c r="R2825">
        <v>57290</v>
      </c>
    </row>
    <row r="2826" spans="1:18" x14ac:dyDescent="0.25">
      <c r="H2826" s="116"/>
      <c r="I2826" s="116"/>
      <c r="L2826" s="169">
        <v>46168</v>
      </c>
      <c r="M2826" s="116">
        <v>519.95000000000005</v>
      </c>
      <c r="N2826" s="116">
        <v>531.85</v>
      </c>
      <c r="O2826" s="116">
        <v>510</v>
      </c>
      <c r="P2826" s="116">
        <v>510</v>
      </c>
      <c r="Q2826" s="116">
        <v>519.95000000000005</v>
      </c>
      <c r="R2826">
        <v>29776</v>
      </c>
    </row>
    <row r="2827" spans="1:18" x14ac:dyDescent="0.25">
      <c r="H2827" s="116"/>
      <c r="I2827" s="116"/>
      <c r="L2827" s="169">
        <v>46169</v>
      </c>
      <c r="M2827" s="116">
        <v>515.9</v>
      </c>
      <c r="N2827" s="116">
        <v>520</v>
      </c>
      <c r="O2827" s="116">
        <v>510.4</v>
      </c>
      <c r="P2827" s="116">
        <v>520</v>
      </c>
      <c r="Q2827" s="116">
        <v>515.9</v>
      </c>
      <c r="R2827">
        <v>12136</v>
      </c>
    </row>
    <row r="2828" spans="1:18" x14ac:dyDescent="0.25">
      <c r="H2828" s="116"/>
      <c r="I2828" s="116"/>
      <c r="L2828" s="169">
        <v>46171</v>
      </c>
      <c r="M2828" s="116">
        <v>515.95000000000005</v>
      </c>
      <c r="N2828" s="116">
        <v>525</v>
      </c>
      <c r="O2828" s="116">
        <v>511.85</v>
      </c>
      <c r="P2828" s="116">
        <v>516</v>
      </c>
      <c r="Q2828" s="116">
        <v>515.95000000000005</v>
      </c>
      <c r="R2828">
        <v>31310</v>
      </c>
    </row>
    <row r="2829" spans="1:18" x14ac:dyDescent="0.25">
      <c r="H2829" s="116"/>
      <c r="I2829" s="116"/>
      <c r="L2829" s="169">
        <v>46174</v>
      </c>
      <c r="M2829" s="116">
        <v>525.75</v>
      </c>
      <c r="N2829" s="116">
        <v>553</v>
      </c>
      <c r="O2829" s="116">
        <v>516</v>
      </c>
      <c r="P2829" s="116">
        <v>516</v>
      </c>
      <c r="Q2829" s="116">
        <v>525.75</v>
      </c>
      <c r="R2829">
        <v>195831</v>
      </c>
    </row>
    <row r="2830" spans="1:18" x14ac:dyDescent="0.25">
      <c r="H2830" s="116"/>
      <c r="I2830" s="116"/>
      <c r="L2830" s="169">
        <v>46175</v>
      </c>
      <c r="M2830" s="116">
        <v>527.20000000000005</v>
      </c>
      <c r="N2830" s="116">
        <v>531.20000000000005</v>
      </c>
      <c r="O2830" s="116">
        <v>518.95000000000005</v>
      </c>
      <c r="P2830" s="116">
        <v>525</v>
      </c>
      <c r="Q2830" s="116">
        <v>527.20000000000005</v>
      </c>
      <c r="R2830">
        <v>32615</v>
      </c>
    </row>
    <row r="2831" spans="1:18" x14ac:dyDescent="0.25">
      <c r="H2831" s="116"/>
      <c r="I2831" s="116"/>
      <c r="L2831" s="169">
        <v>46176</v>
      </c>
      <c r="M2831" s="116">
        <v>532.04999999999995</v>
      </c>
      <c r="N2831" s="116">
        <v>535.15</v>
      </c>
      <c r="O2831" s="116">
        <v>516</v>
      </c>
      <c r="P2831" s="116">
        <v>527.20000000000005</v>
      </c>
      <c r="Q2831" s="116">
        <v>532.04999999999995</v>
      </c>
      <c r="R2831">
        <v>34349</v>
      </c>
    </row>
    <row r="2832" spans="1:18" x14ac:dyDescent="0.25">
      <c r="H2832" s="116"/>
      <c r="I2832" s="116"/>
      <c r="L2832" s="169">
        <v>46177</v>
      </c>
      <c r="M2832" s="116">
        <v>527.35</v>
      </c>
      <c r="N2832" s="116">
        <v>539.70000000000005</v>
      </c>
      <c r="O2832" s="116">
        <v>523</v>
      </c>
      <c r="P2832" s="116">
        <v>528.70000000000005</v>
      </c>
      <c r="Q2832" s="116">
        <v>527.35</v>
      </c>
      <c r="R2832">
        <v>23633</v>
      </c>
    </row>
    <row r="2833" spans="8:18" x14ac:dyDescent="0.25">
      <c r="H2833" s="116"/>
      <c r="I2833" s="116"/>
      <c r="L2833" s="169">
        <v>46178</v>
      </c>
      <c r="M2833" s="116">
        <v>526.4</v>
      </c>
      <c r="N2833" s="116">
        <v>536.75</v>
      </c>
      <c r="O2833" s="116">
        <v>521.04999999999995</v>
      </c>
      <c r="P2833" s="116">
        <v>521.04999999999995</v>
      </c>
      <c r="Q2833" s="116">
        <v>526.4</v>
      </c>
      <c r="R2833">
        <v>24596</v>
      </c>
    </row>
    <row r="2834" spans="8:18" x14ac:dyDescent="0.25">
      <c r="H2834" s="116"/>
      <c r="I2834" s="116"/>
      <c r="L2834" s="169">
        <v>46181</v>
      </c>
      <c r="M2834" s="116">
        <v>523.6</v>
      </c>
      <c r="N2834" s="116">
        <v>529.9</v>
      </c>
      <c r="O2834" s="116">
        <v>515.85</v>
      </c>
      <c r="P2834" s="116">
        <v>515.85</v>
      </c>
      <c r="Q2834" s="116">
        <v>523.6</v>
      </c>
      <c r="R2834">
        <v>26126</v>
      </c>
    </row>
    <row r="2835" spans="8:18" x14ac:dyDescent="0.25">
      <c r="H2835" s="116"/>
      <c r="I2835" s="116"/>
      <c r="L2835" s="169">
        <v>46182</v>
      </c>
      <c r="M2835" s="116">
        <v>531.45000000000005</v>
      </c>
      <c r="N2835" s="116">
        <v>534.20000000000005</v>
      </c>
      <c r="O2835" s="116">
        <v>520.5</v>
      </c>
      <c r="P2835" s="116">
        <v>531.45000000000005</v>
      </c>
      <c r="Q2835" s="116">
        <v>531.45000000000005</v>
      </c>
      <c r="R2835">
        <v>19857</v>
      </c>
    </row>
    <row r="2836" spans="8:18" x14ac:dyDescent="0.25">
      <c r="H2836" s="116"/>
      <c r="I2836" s="116"/>
      <c r="L2836" s="169">
        <v>46183</v>
      </c>
      <c r="M2836" s="116">
        <v>528.15</v>
      </c>
      <c r="N2836" s="116">
        <v>549.95000000000005</v>
      </c>
      <c r="O2836" s="116">
        <v>525</v>
      </c>
      <c r="P2836" s="116">
        <v>531.45000000000005</v>
      </c>
      <c r="Q2836" s="116">
        <v>528.15</v>
      </c>
      <c r="R2836">
        <v>29569</v>
      </c>
    </row>
    <row r="2837" spans="8:18" x14ac:dyDescent="0.25">
      <c r="H2837" s="116"/>
      <c r="I2837" s="116"/>
      <c r="L2837" s="169">
        <v>46184</v>
      </c>
      <c r="M2837" s="116">
        <v>529.35</v>
      </c>
      <c r="N2837" s="116">
        <v>540</v>
      </c>
      <c r="O2837" s="116">
        <v>516.54999999999995</v>
      </c>
      <c r="P2837" s="116">
        <v>528.70000000000005</v>
      </c>
      <c r="Q2837" s="116">
        <v>529.35</v>
      </c>
      <c r="R2837">
        <v>19046</v>
      </c>
    </row>
    <row r="2838" spans="8:18" x14ac:dyDescent="0.25">
      <c r="H2838" s="116"/>
      <c r="I2838" s="116"/>
      <c r="L2838" s="169">
        <v>46185</v>
      </c>
      <c r="M2838" s="116">
        <v>542.25</v>
      </c>
      <c r="N2838" s="116">
        <v>544.79999999999995</v>
      </c>
      <c r="O2838" s="116">
        <v>525.5</v>
      </c>
      <c r="P2838" s="116">
        <v>530</v>
      </c>
      <c r="Q2838" s="116">
        <v>542.25</v>
      </c>
      <c r="R2838">
        <v>49603</v>
      </c>
    </row>
    <row r="2839" spans="8:18" x14ac:dyDescent="0.25">
      <c r="H2839" s="116"/>
      <c r="I2839" s="116"/>
      <c r="L2839" s="169">
        <v>46188</v>
      </c>
      <c r="M2839" s="116">
        <v>531.6</v>
      </c>
      <c r="N2839" s="116">
        <v>560.25</v>
      </c>
      <c r="O2839" s="116">
        <v>528.4</v>
      </c>
      <c r="P2839" s="116">
        <v>552</v>
      </c>
      <c r="Q2839" s="116">
        <v>531.6</v>
      </c>
      <c r="R2839">
        <v>58920</v>
      </c>
    </row>
    <row r="2840" spans="8:18" x14ac:dyDescent="0.25">
      <c r="H2840" s="116"/>
      <c r="I2840" s="116"/>
      <c r="L2840" s="169">
        <v>46189</v>
      </c>
      <c r="M2840" s="116">
        <v>526.25</v>
      </c>
      <c r="N2840" s="116">
        <v>536</v>
      </c>
      <c r="O2840" s="116">
        <v>523</v>
      </c>
      <c r="P2840" s="116">
        <v>535.54999999999995</v>
      </c>
      <c r="Q2840" s="116">
        <v>526.25</v>
      </c>
      <c r="R2840">
        <v>25971</v>
      </c>
    </row>
    <row r="2841" spans="8:18" x14ac:dyDescent="0.25">
      <c r="H2841" s="116"/>
      <c r="I2841" s="116"/>
      <c r="L2841" s="169">
        <v>46190</v>
      </c>
      <c r="M2841" s="116">
        <v>524.65</v>
      </c>
      <c r="N2841" s="116">
        <v>529.29999999999995</v>
      </c>
      <c r="O2841" s="116">
        <v>521.54999999999995</v>
      </c>
      <c r="P2841" s="116">
        <v>527</v>
      </c>
      <c r="Q2841" s="116">
        <v>524.65</v>
      </c>
      <c r="R2841">
        <v>12405</v>
      </c>
    </row>
    <row r="2842" spans="8:18" x14ac:dyDescent="0.25">
      <c r="H2842" s="116"/>
      <c r="I2842" s="116"/>
    </row>
    <row r="2843" spans="8:18" x14ac:dyDescent="0.25">
      <c r="H2843" s="116"/>
      <c r="I2843" s="116"/>
    </row>
    <row r="2844" spans="8:18" x14ac:dyDescent="0.25">
      <c r="H2844" s="116"/>
      <c r="I2844" s="116"/>
    </row>
    <row r="2845" spans="8:18" x14ac:dyDescent="0.25">
      <c r="H2845" s="116"/>
      <c r="I2845" s="116"/>
    </row>
    <row r="2846" spans="8:18" x14ac:dyDescent="0.25">
      <c r="H2846" s="116"/>
      <c r="I2846" s="116"/>
    </row>
    <row r="2847" spans="8:18" x14ac:dyDescent="0.25">
      <c r="H2847" s="116"/>
      <c r="I2847" s="116"/>
    </row>
    <row r="2848" spans="8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Sheet1</vt:lpstr>
      <vt:lpstr>QTR Raw</vt:lpstr>
      <vt:lpstr>Sheet3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2026-06-17T16:20:45Z</dcterms:modified>
  <cp:category/>
  <cp:contentStatus/>
</cp:coreProperties>
</file>