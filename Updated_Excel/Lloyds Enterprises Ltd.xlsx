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D74D7DE-EAA7-40CC-A27E-029B17E40536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7" i="2"/>
  <c r="AE91" i="2"/>
  <c r="AE42" i="2"/>
  <c r="AF76" i="2"/>
  <c r="AF92" i="2"/>
  <c r="AC8" i="2"/>
  <c r="AC74" i="2"/>
  <c r="AC98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C68" i="2"/>
  <c r="AC92" i="2"/>
  <c r="AC55" i="2"/>
  <c r="AD77" i="2"/>
  <c r="AD93" i="2"/>
  <c r="AE11" i="2"/>
  <c r="AE77" i="2"/>
  <c r="AE105" i="2"/>
  <c r="AF59" i="2"/>
  <c r="AF60" i="2"/>
  <c r="AC84" i="2"/>
  <c r="AE93" i="2"/>
  <c r="AB5" i="2"/>
  <c r="AB113" i="2" s="1"/>
  <c r="AE24" i="2"/>
  <c r="AB26" i="2"/>
  <c r="AD60" i="2"/>
  <c r="AD104" i="2"/>
  <c r="AC71" i="2"/>
  <c r="AF66" i="2"/>
  <c r="AE87" i="2"/>
  <c r="AC70" i="2"/>
  <c r="AF21" i="2"/>
  <c r="AC52" i="2"/>
  <c r="AB61" i="2"/>
  <c r="AC93" i="2"/>
  <c r="AE60" i="2"/>
  <c r="AF30" i="2"/>
  <c r="AC88" i="2"/>
  <c r="AB90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E58" i="2"/>
  <c r="AB78" i="2"/>
  <c r="AB94" i="2"/>
  <c r="AC24" i="2"/>
  <c r="AC78" i="2"/>
  <c r="AC106" i="2"/>
  <c r="AE64" i="2"/>
  <c r="AB8" i="2"/>
  <c r="AB43" i="2"/>
  <c r="AE15" i="2"/>
  <c r="AB88" i="2"/>
  <c r="AB108" i="2"/>
  <c r="AC96" i="2"/>
  <c r="AF80" i="2"/>
  <c r="AE109" i="2"/>
  <c r="AE22" i="2"/>
  <c r="AB67" i="2"/>
  <c r="AC81" i="2"/>
  <c r="AF57" i="2"/>
  <c r="AE59" i="2"/>
  <c r="AE35" i="2"/>
  <c r="AB86" i="2"/>
  <c r="AF83" i="2"/>
  <c r="AE82" i="2"/>
  <c r="AC64" i="2"/>
  <c r="AB96" i="2"/>
  <c r="AF72" i="2"/>
  <c r="AE69" i="2"/>
  <c r="AB29" i="2"/>
  <c r="AE36" i="2"/>
  <c r="AB10" i="2"/>
  <c r="AD68" i="2"/>
  <c r="AE9" i="2"/>
  <c r="AE98" i="2"/>
  <c r="AF98" i="2"/>
  <c r="AD109" i="2"/>
  <c r="AF40" i="2"/>
  <c r="AC25" i="2"/>
  <c r="AF47" i="2"/>
  <c r="AE73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F26" i="2"/>
  <c r="AD59" i="2"/>
  <c r="AC18" i="2"/>
  <c r="AC45" i="2"/>
  <c r="AE76" i="2"/>
  <c r="AE88" i="2"/>
  <c r="AB72" i="2"/>
  <c r="AC72" i="2"/>
  <c r="AC60" i="2"/>
  <c r="AF96" i="2"/>
  <c r="AE27" i="2"/>
  <c r="AE81" i="2"/>
  <c r="AF54" i="2"/>
  <c r="AB99" i="2"/>
  <c r="AE5" i="2"/>
  <c r="AD95" i="2"/>
  <c r="AB70" i="2"/>
  <c r="AC90" i="2"/>
  <c r="AD20" i="2"/>
  <c r="AD55" i="2"/>
  <c r="AD9" i="2"/>
  <c r="AF10" i="2"/>
  <c r="AB69" i="2"/>
  <c r="AB93" i="2"/>
  <c r="AD50" i="2"/>
  <c r="AD83" i="2"/>
  <c r="AE97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5" i="2"/>
  <c r="AE99" i="2"/>
  <c r="AE63" i="2"/>
  <c r="AD81" i="2"/>
  <c r="AD97" i="2"/>
  <c r="AC43" i="2"/>
  <c r="AC82" i="2"/>
  <c r="AC110" i="2"/>
  <c r="AC26" i="2"/>
  <c r="AD19" i="2"/>
  <c r="AF94" i="2"/>
  <c r="AC108" i="2"/>
  <c r="AD105" i="2"/>
  <c r="AE89" i="2"/>
  <c r="AF19" i="2"/>
  <c r="AF27" i="2"/>
  <c r="AE10" i="2"/>
  <c r="AF8" i="2"/>
  <c r="AB83" i="2"/>
  <c r="AD42" i="2"/>
  <c r="AE83" i="2"/>
  <c r="AC66" i="2"/>
  <c r="AD47" i="2"/>
  <c r="AC23" i="2"/>
  <c r="AC35" i="2"/>
  <c r="AD44" i="2"/>
  <c r="AC30" i="2"/>
  <c r="AC95" i="2"/>
  <c r="AB13" i="2"/>
  <c r="AE12" i="2"/>
  <c r="AB47" i="2"/>
  <c r="AF82" i="2"/>
  <c r="AD73" i="2"/>
  <c r="AF5" i="2"/>
  <c r="AC13" i="2"/>
  <c r="AB77" i="2"/>
  <c r="AB85" i="2"/>
  <c r="AD15" i="2"/>
  <c r="AC10" i="2"/>
  <c r="AC34" i="2"/>
  <c r="AE84" i="2"/>
  <c r="AB62" i="2"/>
  <c r="AC36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16" i="2"/>
  <c r="AC76" i="2"/>
  <c r="AC104" i="2"/>
  <c r="AB66" i="2"/>
  <c r="AB82" i="2"/>
  <c r="AB98" i="2"/>
  <c r="AE46" i="2"/>
  <c r="AE85" i="2"/>
  <c r="AB19" i="2"/>
  <c r="AB54" i="2"/>
  <c r="AC21" i="2"/>
  <c r="AC33" i="2"/>
  <c r="AB6" i="2"/>
  <c r="AB41" i="2"/>
  <c r="AD66" i="2"/>
  <c r="AD82" i="2"/>
  <c r="AD90" i="2"/>
  <c r="AD98" i="2"/>
  <c r="AF6" i="2"/>
  <c r="AB64" i="2"/>
  <c r="AC53" i="2"/>
  <c r="AE80" i="2"/>
  <c r="AE92" i="2"/>
  <c r="AE50" i="2"/>
  <c r="AF78" i="2"/>
  <c r="AD85" i="2"/>
  <c r="AF11" i="2"/>
  <c r="AE34" i="2"/>
  <c r="AF24" i="2"/>
  <c r="AB75" i="2"/>
  <c r="AD7" i="2"/>
  <c r="AE29" i="2"/>
  <c r="AB106" i="2"/>
  <c r="AD36" i="2"/>
  <c r="AC11" i="2"/>
  <c r="AF75" i="2"/>
  <c r="AF99" i="2"/>
  <c r="AF45" i="2"/>
  <c r="AC57" i="2"/>
  <c r="AC51" i="2"/>
  <c r="AF88" i="2"/>
  <c r="AB40" i="2"/>
  <c r="AB56" i="2"/>
  <c r="AD76" i="2"/>
  <c r="AC59" i="2"/>
  <c r="AD61" i="2"/>
  <c r="AE23" i="2"/>
  <c r="AF13" i="2"/>
  <c r="AF12" i="2"/>
  <c r="AE72" i="2"/>
  <c r="AD67" i="2"/>
  <c r="AE61" i="2"/>
  <c r="AB74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13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19" i="2"/>
  <c r="AE79" i="2"/>
  <c r="AE107" i="2"/>
  <c r="AF68" i="2"/>
  <c r="AF84" i="2"/>
  <c r="AF104" i="2"/>
  <c r="AC62" i="2"/>
  <c r="AC86" i="2"/>
  <c r="AB11" i="2"/>
  <c r="AB27" i="2"/>
  <c r="AB35" i="2"/>
  <c r="AB46" i="2"/>
  <c r="AC9" i="2"/>
  <c r="AC48" i="2"/>
  <c r="AB22" i="2"/>
  <c r="AB57" i="2"/>
  <c r="AD74" i="2"/>
  <c r="AD110" i="2"/>
  <c r="AB36" i="2"/>
  <c r="AE68" i="2"/>
  <c r="AD54" i="2"/>
  <c r="AC32" i="2"/>
  <c r="AC80" i="2"/>
  <c r="AD69" i="2"/>
  <c r="AE65" i="2"/>
  <c r="AF35" i="2"/>
  <c r="AE49" i="2"/>
  <c r="AF43" i="2"/>
  <c r="AE56" i="2"/>
  <c r="AE94" i="2"/>
  <c r="AE7" i="2"/>
  <c r="AD28" i="2"/>
  <c r="AC50" i="2"/>
  <c r="AD25" i="2"/>
  <c r="AF67" i="2"/>
  <c r="AF91" i="2"/>
  <c r="AC6" i="2"/>
  <c r="AE70" i="2"/>
  <c r="AB24" i="2"/>
  <c r="AC20" i="2"/>
  <c r="AB48" i="2"/>
  <c r="AB45" i="2"/>
  <c r="AD84" i="2"/>
  <c r="AC83" i="2"/>
  <c r="AC94" i="2"/>
  <c r="AF29" i="2"/>
  <c r="AF48" i="2"/>
  <c r="AC40" i="2"/>
  <c r="AF46" i="2"/>
  <c r="AB59" i="2"/>
  <c r="AB91" i="2"/>
  <c r="AC69" i="2"/>
  <c r="AF22" i="2"/>
  <c r="AD79" i="2"/>
  <c r="AD12" i="2"/>
  <c r="AB80" i="2"/>
  <c r="AF108" i="2"/>
  <c r="AB21" i="2"/>
  <c r="AE51" i="2"/>
  <c r="AD92" i="2"/>
  <c r="AB12" i="2"/>
  <c r="AE33" i="2"/>
  <c r="AD27" i="2"/>
  <c r="AD89" i="2"/>
  <c r="AF28" i="2"/>
  <c r="AB105" i="2"/>
  <c r="AC99" i="2"/>
  <c r="AD99" i="2"/>
  <c r="AB110" i="2"/>
  <c r="AE54" i="2"/>
  <c r="AF56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74" i="1"/>
  <c r="AA253" i="1"/>
  <c r="AA231" i="1"/>
  <c r="AA180" i="1"/>
  <c r="AA173" i="1"/>
  <c r="AA10" i="1"/>
  <c r="AA252" i="1"/>
  <c r="AA194" i="1"/>
  <c r="AA183" i="1"/>
  <c r="AA154" i="1"/>
  <c r="AA156" i="1" s="1"/>
  <c r="AA148" i="1"/>
  <c r="AA120" i="1"/>
  <c r="AA26" i="1"/>
  <c r="AA27" i="1" s="1"/>
  <c r="AA161" i="1"/>
  <c r="AA134" i="1"/>
  <c r="AA138" i="1" s="1"/>
  <c r="AA179" i="1"/>
  <c r="AA128" i="1"/>
  <c r="AF111" i="2"/>
  <c r="AF113" i="2"/>
  <c r="B1" i="9"/>
  <c r="AF112" i="2"/>
  <c r="AD111" i="2"/>
  <c r="AC111" i="2"/>
  <c r="AE113" i="2"/>
  <c r="AD112" i="2"/>
  <c r="AE111" i="2"/>
  <c r="AD113" i="2"/>
  <c r="AB112" i="2"/>
  <c r="AA73" i="1" s="1"/>
  <c r="A1" i="9"/>
  <c r="AB111" i="2"/>
  <c r="AC112" i="2"/>
  <c r="AE112" i="2"/>
  <c r="L1" i="9"/>
  <c r="AA37" i="1" l="1"/>
  <c r="AA244" i="1"/>
  <c r="AA16" i="1"/>
  <c r="AA98" i="1"/>
  <c r="AA185" i="1"/>
  <c r="AA184" i="1" s="1"/>
  <c r="AA182" i="1"/>
  <c r="AA157" i="1"/>
  <c r="AA248" i="1"/>
  <c r="AA246" i="1"/>
  <c r="AA129" i="1"/>
  <c r="AA168" i="1"/>
  <c r="AA109" i="1" s="1"/>
  <c r="AA33" i="1"/>
  <c r="AA175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65" i="1" l="1"/>
  <c r="AA166" i="1" s="1"/>
  <c r="AA28" i="1"/>
  <c r="AA17" i="1"/>
  <c r="AA186" i="1"/>
  <c r="AA181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112" i="1"/>
  <c r="AA34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28" i="3"/>
  <c r="BP15" i="3"/>
  <c r="BP23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E5" i="3"/>
  <c r="BE85" i="3" s="1"/>
  <c r="BM9" i="3"/>
  <c r="BK14" i="3"/>
  <c r="BI19" i="3"/>
  <c r="BG24" i="3"/>
  <c r="BI45" i="3"/>
  <c r="BN21" i="3"/>
  <c r="BF41" i="3"/>
  <c r="BK21" i="3"/>
  <c r="BE42" i="3"/>
  <c r="BJ42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AA28" i="2"/>
  <c r="Z59" i="2"/>
  <c r="AA85" i="2"/>
  <c r="Y31" i="2"/>
  <c r="AA65" i="2"/>
  <c r="AA92" i="2"/>
  <c r="AA33" i="2"/>
  <c r="BD46" i="3"/>
  <c r="BA24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M5" i="3"/>
  <c r="BK10" i="3"/>
  <c r="BI15" i="3"/>
  <c r="BG20" i="3"/>
  <c r="BE25" i="3"/>
  <c r="BF5" i="3"/>
  <c r="BL24" i="3"/>
  <c r="BH46" i="3"/>
  <c r="BM24" i="3"/>
  <c r="BN14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9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Z61" i="2"/>
  <c r="BA32" i="3"/>
  <c r="Y45" i="2"/>
  <c r="AA97" i="2"/>
  <c r="Y66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Z87" i="2"/>
  <c r="Z24" i="2"/>
  <c r="AA25" i="2"/>
  <c r="BK19" i="3"/>
  <c r="C4" i="2"/>
  <c r="BD18" i="3"/>
  <c r="AA87" i="2"/>
  <c r="AA30" i="2"/>
  <c r="AA58" i="2"/>
  <c r="BC45" i="3"/>
  <c r="Z35" i="2"/>
  <c r="AA21" i="2"/>
  <c r="BC22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P92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D45" i="3"/>
  <c r="AA108" i="2"/>
  <c r="Y11" i="2"/>
  <c r="AA84" i="2"/>
  <c r="BB12" i="3"/>
  <c r="BB35" i="3"/>
  <c r="Z28" i="2"/>
  <c r="BA30" i="3"/>
  <c r="FD8" i="4" a="1"/>
  <c r="EX15" i="4" a="1"/>
  <c r="EY9" i="4" a="1"/>
  <c r="FB16" i="4" a="1"/>
  <c r="FB8" i="4" a="1"/>
  <c r="EX7" i="4" a="1"/>
  <c r="FE7" i="4" a="1"/>
  <c r="EX12" i="4" a="1"/>
  <c r="Y28" i="2"/>
  <c r="BB30" i="3"/>
  <c r="BB8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39" i="1" s="1"/>
  <c r="BI8" i="3"/>
  <c r="BG29" i="3"/>
  <c r="BN30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BG5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Z18" i="2"/>
  <c r="Y77" i="2"/>
  <c r="AA52" i="2"/>
  <c r="BC31" i="3"/>
  <c r="AA31" i="2"/>
  <c r="BB36" i="3"/>
  <c r="Z7" i="2"/>
  <c r="BB29" i="3"/>
  <c r="FF13" i="4" a="1"/>
  <c r="FF16" i="4" a="1"/>
  <c r="FD15" i="4" a="1"/>
  <c r="EZ16" i="4" a="1"/>
  <c r="EZ13" i="4" a="1"/>
  <c r="FB7" i="4" a="1"/>
  <c r="FE6" i="4" a="1"/>
  <c r="BN9" i="3"/>
  <c r="Y88" i="2"/>
  <c r="AA29" i="2"/>
  <c r="BA45" i="3"/>
  <c r="BC12" i="3"/>
  <c r="AA66" i="2"/>
  <c r="Y62" i="2"/>
  <c r="BA15" i="3"/>
  <c r="Z23" i="2"/>
  <c r="Y81" i="2"/>
  <c r="BB33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EY6" i="4" a="1"/>
  <c r="BI33" i="3"/>
  <c r="BK35" i="3"/>
  <c r="BJ40" i="3"/>
  <c r="Y83" i="2"/>
  <c r="Z13" i="2"/>
  <c r="BA41" i="3"/>
  <c r="Z90" i="2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F14" i="3"/>
  <c r="CL23" i="1" s="1"/>
  <c r="BH33" i="3"/>
  <c r="BL25" i="3"/>
  <c r="BF24" i="3"/>
  <c r="BT9" i="3"/>
  <c r="BP14" i="3"/>
  <c r="BH26" i="3"/>
  <c r="BF45" i="3"/>
  <c r="CL63" i="1" s="1"/>
  <c r="CL65" i="1" s="1"/>
  <c r="BI9" i="3"/>
  <c r="BJ38" i="3"/>
  <c r="BD37" i="3"/>
  <c r="Z95" i="2"/>
  <c r="Z73" i="2"/>
  <c r="Y57" i="2"/>
  <c r="BC23" i="3"/>
  <c r="BA34" i="3"/>
  <c r="Z56" i="2"/>
  <c r="Z82" i="2"/>
  <c r="BC46" i="3"/>
  <c r="EX5" i="4" a="1"/>
  <c r="FF12" i="4" a="1"/>
  <c r="EZ9" i="4" a="1"/>
  <c r="FF6" i="4" a="1"/>
  <c r="FB15" i="4" a="1"/>
  <c r="Z83" i="2"/>
  <c r="BB23" i="3"/>
  <c r="FC12" i="4" a="1"/>
  <c r="FF14" i="4" a="1"/>
  <c r="FD5" i="4" a="1"/>
  <c r="FC7" i="4" a="1"/>
  <c r="Z93" i="2"/>
  <c r="BG14" i="3"/>
  <c r="BL9" i="3"/>
  <c r="AA40" i="2"/>
  <c r="BB37" i="3"/>
  <c r="Y61" i="2"/>
  <c r="AA56" i="2"/>
  <c r="Z45" i="2"/>
  <c r="Y48" i="2"/>
  <c r="BD12" i="3"/>
  <c r="Z8" i="2"/>
  <c r="Y54" i="2"/>
  <c r="FE5" i="4" a="1"/>
  <c r="EY13" i="4" a="1"/>
  <c r="BE19" i="3"/>
  <c r="BT19" i="3"/>
  <c r="Y94" i="2"/>
  <c r="BC15" i="3"/>
  <c r="Z29" i="2"/>
  <c r="AA20" i="2"/>
  <c r="AA32" i="2"/>
  <c r="Z71" i="2"/>
  <c r="Z63" i="2"/>
  <c r="FA9" i="4" a="1"/>
  <c r="BM23" i="3"/>
  <c r="BP26" i="3"/>
  <c r="Z48" i="2"/>
  <c r="Z20" i="2"/>
  <c r="BC13" i="3"/>
  <c r="Y109" i="2"/>
  <c r="Y34" i="2"/>
  <c r="Z88" i="2"/>
  <c r="BC5" i="3"/>
  <c r="BD15" i="3"/>
  <c r="Y41" i="2"/>
  <c r="EY11" i="4" a="1"/>
  <c r="FF11" i="4" a="1"/>
  <c r="FF8" i="4" a="1"/>
  <c r="FE15" i="4" a="1"/>
  <c r="FA11" i="4" a="1"/>
  <c r="EX6" i="4" a="1"/>
  <c r="FA14" i="4" a="1"/>
  <c r="FE16" i="4" a="1"/>
  <c r="FB13" i="4" a="1"/>
  <c r="Z49" i="2"/>
  <c r="Y52" i="2"/>
  <c r="FF15" i="4" a="1"/>
  <c r="FC8" i="4" a="1"/>
  <c r="EY16" i="4" a="1"/>
  <c r="BK40" i="3"/>
  <c r="BM35" i="3"/>
  <c r="AA14" i="2"/>
  <c r="Y20" i="2"/>
  <c r="BA6" i="3"/>
  <c r="Z31" i="2"/>
  <c r="Y30" i="2"/>
  <c r="Z58" i="2"/>
  <c r="BD17" i="3"/>
  <c r="BC26" i="3"/>
  <c r="Z17" i="2"/>
  <c r="FD7" i="4" a="1"/>
  <c r="BH20" i="3"/>
  <c r="BF13" i="3"/>
  <c r="Z108" i="2"/>
  <c r="Y19" i="2"/>
  <c r="BA36" i="3"/>
  <c r="Y47" i="2"/>
  <c r="AA82" i="2"/>
  <c r="Z16" i="2"/>
  <c r="BD24" i="3"/>
  <c r="BD27" i="3"/>
  <c r="Z42" i="2"/>
  <c r="EY14" i="4" a="1"/>
  <c r="FD6" i="4" a="1"/>
  <c r="FD16" i="4" a="1"/>
  <c r="FB11" i="4" a="1"/>
  <c r="Z94" i="2"/>
  <c r="BJ39" i="3"/>
  <c r="BL28" i="3"/>
  <c r="AA78" i="2"/>
  <c r="Y58" i="2"/>
  <c r="BC39" i="3"/>
  <c r="Z85" i="2"/>
  <c r="Y74" i="2"/>
  <c r="BC33" i="3"/>
  <c r="BA18" i="3"/>
  <c r="BD5" i="3"/>
  <c r="Z69" i="2"/>
  <c r="EY7" i="4" a="1"/>
  <c r="BA11" i="3"/>
  <c r="AA57" i="2"/>
  <c r="EX14" i="4" a="1"/>
  <c r="BA23" i="3"/>
  <c r="BE20" i="3"/>
  <c r="BI6" i="3"/>
  <c r="AA47" i="2"/>
  <c r="Z5" i="2"/>
  <c r="BB5" i="3"/>
  <c r="Y92" i="2"/>
  <c r="BB13" i="3"/>
  <c r="BD25" i="3"/>
  <c r="Z26" i="2"/>
  <c r="Y18" i="2"/>
  <c r="AA59" i="2"/>
  <c r="EZ8" i="4" a="1"/>
  <c r="FF9" i="4" a="1"/>
  <c r="FA13" i="4" a="1"/>
  <c r="BI40" i="3"/>
  <c r="BE22" i="3"/>
  <c r="BC37" i="3"/>
  <c r="BC42" i="3"/>
  <c r="AV10" i="3"/>
  <c r="AA75" i="2"/>
  <c r="FA16" i="4" a="1"/>
  <c r="Z33" i="2"/>
  <c r="AA45" i="2"/>
  <c r="FE14" i="4" a="1"/>
  <c r="FC6" i="4" a="1"/>
  <c r="BF36" i="3"/>
  <c r="BI38" i="3"/>
  <c r="BB32" i="3"/>
  <c r="AA50" i="2"/>
  <c r="BD35" i="3"/>
  <c r="AA12" i="2"/>
  <c r="BA7" i="3"/>
  <c r="BB31" i="3"/>
  <c r="AA49" i="2"/>
  <c r="Z78" i="2"/>
  <c r="AA15" i="2"/>
  <c r="EX16" i="4" a="1"/>
  <c r="FE9" i="4" a="1"/>
  <c r="FE11" i="4" a="1"/>
  <c r="BH17" i="3"/>
  <c r="BH7" i="3"/>
  <c r="BC16" i="3"/>
  <c r="Z77" i="2"/>
  <c r="BB21" i="3"/>
  <c r="Y55" i="2"/>
  <c r="BB27" i="3"/>
  <c r="BA10" i="3"/>
  <c r="BC35" i="3"/>
  <c r="Y95" i="2"/>
  <c r="EY12" i="4" a="1"/>
  <c r="BJ36" i="3"/>
  <c r="BD39" i="3"/>
  <c r="Z70" i="2"/>
  <c r="AA88" i="2"/>
  <c r="AA13" i="2"/>
  <c r="BC36" i="3"/>
  <c r="Y87" i="2"/>
  <c r="BG66" i="3"/>
  <c r="BP60" i="3" l="1"/>
  <c r="AA52" i="1"/>
  <c r="AA54" i="1"/>
  <c r="AA193" i="1"/>
  <c r="AA195" i="1" s="1"/>
  <c r="BH59" i="3"/>
  <c r="CL194" i="1"/>
  <c r="CL253" i="1"/>
  <c r="CL10" i="1"/>
  <c r="CL231" i="1"/>
  <c r="CL252" i="1"/>
  <c r="CL26" i="1"/>
  <c r="CL27" i="1" s="1"/>
  <c r="CK9" i="1"/>
  <c r="CK35" i="1"/>
  <c r="CK14" i="1"/>
  <c r="CK25" i="1"/>
  <c r="CK46" i="1"/>
  <c r="CK21" i="1"/>
  <c r="CK63" i="1"/>
  <c r="CK39" i="1"/>
  <c r="CK13" i="1"/>
  <c r="CK47" i="1"/>
  <c r="CK22" i="1"/>
  <c r="CK32" i="1"/>
  <c r="CK8" i="1"/>
  <c r="CK15" i="1"/>
  <c r="CK36" i="1"/>
  <c r="CK24" i="1"/>
  <c r="CK64" i="1"/>
  <c r="CK65" i="1" s="1"/>
  <c r="CK51" i="1"/>
  <c r="CK20" i="1"/>
  <c r="CK23" i="1"/>
  <c r="CK45" i="1"/>
  <c r="CK10" i="1"/>
  <c r="CL12" i="1" s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CH144" i="1" s="1"/>
  <c r="Z132" i="1"/>
  <c r="CH132" i="1" s="1"/>
  <c r="Y146" i="1"/>
  <c r="Z13" i="1"/>
  <c r="Z8" i="1"/>
  <c r="Z253" i="1" s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K84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HG9" i="4" a="1"/>
  <c r="FV14" i="4" a="1"/>
  <c r="FM11" i="4" a="1"/>
  <c r="FY11" i="4" a="1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V48" i="3"/>
  <c r="BH61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BP50" i="3"/>
  <c r="BH62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BG63" i="3"/>
  <c r="BA48" i="3"/>
  <c r="BA50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T49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G79" i="3"/>
  <c r="BU58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BF79" i="3"/>
  <c r="CL143" i="1" s="1"/>
  <c r="BM66" i="3"/>
  <c r="BF63" i="3"/>
  <c r="CL125" i="1" s="1"/>
  <c r="BG93" i="3"/>
  <c r="BU55" i="3"/>
  <c r="BA79" i="3"/>
  <c r="BH84" i="3"/>
  <c r="BE93" i="3"/>
  <c r="BF85" i="3"/>
  <c r="CL147" i="1" s="1"/>
  <c r="BR57" i="3"/>
  <c r="BO50" i="3"/>
  <c r="BS57" i="3"/>
  <c r="BU70" i="3"/>
  <c r="BV79" i="3"/>
  <c r="BT59" i="3"/>
  <c r="BN67" i="3"/>
  <c r="BP69" i="3"/>
  <c r="BO96" i="3"/>
  <c r="BE79" i="3"/>
  <c r="BM85" i="3"/>
  <c r="BJ96" i="3"/>
  <c r="BJ81" i="3"/>
  <c r="BK95" i="3"/>
  <c r="HF7" i="4" a="1"/>
  <c r="GH9" i="4" a="1"/>
  <c r="GA5" i="4" a="1"/>
  <c r="GJ9" i="4" a="1"/>
  <c r="GS9" i="4" a="1"/>
  <c r="FV7" i="4" a="1"/>
  <c r="FU14" i="4" a="1"/>
  <c r="FH7" i="4" a="1"/>
  <c r="FP11" i="4" a="1"/>
  <c r="FZ5" i="4" a="1"/>
  <c r="FT6" i="4" a="1"/>
  <c r="FV13" i="4" a="1"/>
  <c r="FR7" i="4" a="1"/>
  <c r="FT9" i="4" a="1"/>
  <c r="GL13" i="4" a="1"/>
  <c r="GE11" i="4" a="1"/>
  <c r="HE6" i="4" a="1"/>
  <c r="HG11" i="4" a="1"/>
  <c r="FJ13" i="4" a="1"/>
  <c r="FJ14" i="4" a="1"/>
  <c r="FL16" i="4" a="1"/>
  <c r="GD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A87" i="3"/>
  <c r="BN84" i="3"/>
  <c r="BK72" i="3"/>
  <c r="BG60" i="3"/>
  <c r="BU79" i="3"/>
  <c r="BA97" i="3"/>
  <c r="BL77" i="3"/>
  <c r="BE76" i="3"/>
  <c r="BQ68" i="3"/>
  <c r="BV59" i="3"/>
  <c r="BO62" i="3"/>
  <c r="BS56" i="3"/>
  <c r="BR81" i="3"/>
  <c r="BV54" i="3"/>
  <c r="BT67" i="3"/>
  <c r="BN95" i="3"/>
  <c r="BP95" i="3"/>
  <c r="BS62" i="3"/>
  <c r="BE54" i="3"/>
  <c r="BM83" i="3"/>
  <c r="BJ95" i="3"/>
  <c r="BJ85" i="3"/>
  <c r="BK97" i="3"/>
  <c r="GR5" i="4" a="1"/>
  <c r="GX9" i="4" a="1"/>
  <c r="FH5" i="4" a="1"/>
  <c r="GX6" i="4" a="1"/>
  <c r="FG5" i="4" a="1"/>
  <c r="HF8" i="4" a="1"/>
  <c r="GS14" i="4" a="1"/>
  <c r="FU8" i="4" a="1"/>
  <c r="FX11" i="4" a="1"/>
  <c r="GJ5" i="4" a="1"/>
  <c r="GR6" i="4" a="1"/>
  <c r="GT13" i="4" a="1"/>
  <c r="GM7" i="4" a="1"/>
  <c r="FL7" i="4" a="1"/>
  <c r="FM14" i="4" a="1"/>
  <c r="GK11" i="4" a="1"/>
  <c r="GU12" i="4" a="1"/>
  <c r="FN7" i="4" a="1"/>
  <c r="FH12" i="4" a="1"/>
  <c r="FR13" i="4" a="1"/>
  <c r="FY14" i="4" a="1"/>
  <c r="FQ9" i="4" a="1"/>
  <c r="FO14" i="4" a="1"/>
  <c r="GN15" i="4" a="1"/>
  <c r="FP16" i="4" a="1"/>
  <c r="GT16" i="4" a="1"/>
  <c r="GY14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B78" i="3"/>
  <c r="BU76" i="3"/>
  <c r="BU90" i="3"/>
  <c r="BR96" i="3"/>
  <c r="BN70" i="3"/>
  <c r="BI60" i="3"/>
  <c r="BJ61" i="3"/>
  <c r="GC5" i="4" a="1"/>
  <c r="HH6" i="4" a="1"/>
  <c r="HA7" i="4" a="1"/>
  <c r="FQ12" i="4" a="1"/>
  <c r="GV6" i="4" a="1"/>
  <c r="GV14" i="4" a="1"/>
  <c r="GF11" i="4" a="1"/>
  <c r="HF5" i="4" a="1"/>
  <c r="GB13" i="4" a="1"/>
  <c r="GX13" i="4" a="1"/>
  <c r="HB12" i="4" a="1"/>
  <c r="GF16" i="4" a="1"/>
  <c r="GL14" i="4" a="1"/>
  <c r="FQ16" i="4" a="1"/>
  <c r="BC95" i="3"/>
  <c r="GE8" i="4" a="1"/>
  <c r="GT11" i="4" a="1"/>
  <c r="FU13" i="4" a="1"/>
  <c r="GF15" i="4" a="1"/>
  <c r="BA93" i="3"/>
  <c r="BP94" i="3"/>
  <c r="BB65" i="3"/>
  <c r="BH68" i="3"/>
  <c r="BI73" i="3"/>
  <c r="BC60" i="3"/>
  <c r="BL93" i="3"/>
  <c r="BE88" i="3"/>
  <c r="BQ63" i="3"/>
  <c r="BV60" i="3"/>
  <c r="BO82" i="3"/>
  <c r="BS50" i="3"/>
  <c r="BR88" i="3"/>
  <c r="BV57" i="3"/>
  <c r="BT72" i="3"/>
  <c r="BN59" i="3"/>
  <c r="BP90" i="3"/>
  <c r="BS66" i="3"/>
  <c r="BE89" i="3"/>
  <c r="BF74" i="3"/>
  <c r="CL137" i="1" s="1"/>
  <c r="BJ89" i="3"/>
  <c r="BK69" i="3"/>
  <c r="BK47" i="3"/>
  <c r="FN6" i="4" a="1"/>
  <c r="HH9" i="4" a="1"/>
  <c r="FV5" i="4" a="1"/>
  <c r="GR7" i="4" a="1"/>
  <c r="FU5" i="4" a="1"/>
  <c r="GB9" i="4" a="1"/>
  <c r="FI7" i="4" a="1"/>
  <c r="GS8" i="4" a="1"/>
  <c r="HD5" i="4" a="1"/>
  <c r="FM6" i="4" a="1"/>
  <c r="GL7" i="4" a="1"/>
  <c r="FP14" i="4" a="1"/>
  <c r="FL8" i="4" a="1"/>
  <c r="HG8" i="4" a="1"/>
  <c r="GK14" i="4" a="1"/>
  <c r="GN11" i="4" a="1"/>
  <c r="HF12" i="4" a="1"/>
  <c r="GI7" i="4" a="1"/>
  <c r="FM12" i="4" a="1"/>
  <c r="FZ13" i="4" a="1"/>
  <c r="GB14" i="4" a="1"/>
  <c r="GL9" i="4" a="1"/>
  <c r="FZ14" i="4" a="1"/>
  <c r="GP15" i="4" a="1"/>
  <c r="FT16" i="4" a="1"/>
  <c r="GV16" i="4" a="1"/>
  <c r="FV15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C48" i="3"/>
  <c r="BD49" i="3"/>
  <c r="BF47" i="3"/>
  <c r="BS77" i="3"/>
  <c r="BT62" i="3"/>
  <c r="BJ84" i="3"/>
  <c r="BK76" i="3"/>
  <c r="GK5" i="4" a="1"/>
  <c r="GF8" i="4" a="1"/>
  <c r="GD5" i="4" a="1"/>
  <c r="GO6" i="4" a="1"/>
  <c r="FW12" i="4" a="1"/>
  <c r="GZ14" i="4" a="1"/>
  <c r="HF15" i="4" a="1"/>
  <c r="HH16" i="4" a="1"/>
  <c r="GL12" i="4" a="1"/>
  <c r="GY9" i="4" a="1"/>
  <c r="BD97" i="3"/>
  <c r="BO63" i="3"/>
  <c r="FG9" i="4" a="1"/>
  <c r="FH8" i="4" a="1"/>
  <c r="FZ15" i="4" a="1"/>
  <c r="GN5" i="4" a="1"/>
  <c r="FS11" i="4" a="1"/>
  <c r="GI14" i="4" a="1"/>
  <c r="BA55" i="3"/>
  <c r="BG78" i="3"/>
  <c r="BB92" i="3"/>
  <c r="BH76" i="3"/>
  <c r="BI83" i="3"/>
  <c r="BD92" i="3"/>
  <c r="BL66" i="3"/>
  <c r="BE92" i="3"/>
  <c r="BQ74" i="3"/>
  <c r="BV83" i="3"/>
  <c r="BO87" i="3"/>
  <c r="BF91" i="3"/>
  <c r="CL154" i="1" s="1"/>
  <c r="BR48" i="3"/>
  <c r="BV72" i="3"/>
  <c r="BT77" i="3"/>
  <c r="BN50" i="3"/>
  <c r="BP74" i="3"/>
  <c r="BS70" i="3"/>
  <c r="BE91" i="3"/>
  <c r="BF58" i="3"/>
  <c r="CL119" i="1" s="1"/>
  <c r="BJ97" i="3"/>
  <c r="BK83" i="3"/>
  <c r="BK96" i="3"/>
  <c r="GY6" i="4" a="1"/>
  <c r="FZ11" i="4" a="1"/>
  <c r="HB5" i="4" a="1"/>
  <c r="GR8" i="4" a="1"/>
  <c r="FX5" i="4" a="1"/>
  <c r="GB7" i="4" a="1"/>
  <c r="GP8" i="4" a="1"/>
  <c r="GP5" i="4" a="1"/>
  <c r="FH9" i="4" a="1"/>
  <c r="GK6" i="4" a="1"/>
  <c r="FJ6" i="4" a="1"/>
  <c r="GN14" i="4" a="1"/>
  <c r="HH5" i="4" a="1"/>
  <c r="GC9" i="4" a="1"/>
  <c r="FG15" i="4" a="1"/>
  <c r="GS11" i="4" a="1"/>
  <c r="FI13" i="4" a="1"/>
  <c r="GT7" i="4" a="1"/>
  <c r="FP12" i="4" a="1"/>
  <c r="GE13" i="4" a="1"/>
  <c r="GG14" i="4" a="1"/>
  <c r="HC9" i="4" a="1"/>
  <c r="GE14" i="4" a="1"/>
  <c r="GT15" i="4" a="1"/>
  <c r="FV16" i="4" a="1"/>
  <c r="GX16" i="4" a="1"/>
  <c r="GP6" i="4" a="1"/>
  <c r="FX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L72" i="3"/>
  <c r="HB6" i="4" a="1"/>
  <c r="FG8" i="4" a="1"/>
  <c r="BD66" i="3"/>
  <c r="BL69" i="3"/>
  <c r="BS97" i="3"/>
  <c r="BN72" i="3"/>
  <c r="BM69" i="3"/>
  <c r="BK86" i="3"/>
  <c r="FK13" i="4" a="1"/>
  <c r="GZ6" i="4" a="1"/>
  <c r="HH14" i="4" a="1"/>
  <c r="HH15" i="4" a="1"/>
  <c r="GQ16" i="4" a="1"/>
  <c r="BD56" i="3"/>
  <c r="BQ77" i="3"/>
  <c r="BG61" i="3"/>
  <c r="BB97" i="3"/>
  <c r="BE90" i="3"/>
  <c r="BI95" i="3"/>
  <c r="BD61" i="3"/>
  <c r="BL76" i="3"/>
  <c r="BI82" i="3"/>
  <c r="BQ92" i="3"/>
  <c r="BT69" i="3"/>
  <c r="BO95" i="3"/>
  <c r="BU71" i="3"/>
  <c r="BR59" i="3"/>
  <c r="BV80" i="3"/>
  <c r="BT55" i="3"/>
  <c r="BN48" i="3"/>
  <c r="BF69" i="3"/>
  <c r="BS54" i="3"/>
  <c r="BI63" i="3"/>
  <c r="BF64" i="3"/>
  <c r="CL149" i="1" s="1"/>
  <c r="BJ54" i="3"/>
  <c r="BK75" i="3"/>
  <c r="BK71" i="3"/>
  <c r="FO8" i="4" a="1"/>
  <c r="HE8" i="4" a="1"/>
  <c r="GE7" i="4" a="1"/>
  <c r="HB9" i="4" a="1"/>
  <c r="GF6" i="4" a="1"/>
  <c r="FJ9" i="4" a="1"/>
  <c r="GO9" i="4" a="1"/>
  <c r="FR6" i="4" a="1"/>
  <c r="GG12" i="4" a="1"/>
  <c r="FZ7" i="4" a="1"/>
  <c r="GV8" i="4" a="1"/>
  <c r="GE6" i="4" a="1"/>
  <c r="FP7" i="4" a="1"/>
  <c r="GV9" i="4" a="1"/>
  <c r="GV5" i="4" a="1"/>
  <c r="HA11" i="4" a="1"/>
  <c r="FL13" i="4" a="1"/>
  <c r="FM8" i="4" a="1"/>
  <c r="FX12" i="4" a="1"/>
  <c r="GH13" i="4" a="1"/>
  <c r="GJ14" i="4" a="1"/>
  <c r="FQ11" i="4" a="1"/>
  <c r="GP14" i="4" a="1"/>
  <c r="GX15" i="4" a="1"/>
  <c r="FX16" i="4" a="1"/>
  <c r="GZ16" i="4" a="1"/>
  <c r="GJ7" i="4" a="1"/>
  <c r="GS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FP9" i="4" a="1"/>
  <c r="GN12" i="4" a="1"/>
  <c r="GP13" i="4" a="1"/>
  <c r="GR14" i="4" a="1"/>
  <c r="GR11" i="4" a="1"/>
  <c r="FP15" i="4" a="1"/>
  <c r="HB15" i="4" a="1"/>
  <c r="HD16" i="4" a="1"/>
  <c r="HB8" i="4" a="1"/>
  <c r="HH11" i="4" a="1"/>
  <c r="GM14" i="4" a="1"/>
  <c r="FM16" i="4" a="1"/>
  <c r="GL8" i="4" a="1"/>
  <c r="BC81" i="3"/>
  <c r="BD87" i="3"/>
  <c r="Y113" i="2"/>
  <c r="BM72" i="3"/>
  <c r="GU15" i="4" a="1"/>
  <c r="BC76" i="3"/>
  <c r="BD62" i="3"/>
  <c r="BF92" i="3"/>
  <c r="CL155" i="1" s="1"/>
  <c r="BU91" i="3"/>
  <c r="BV55" i="3"/>
  <c r="BO85" i="3"/>
  <c r="GV7" i="4" a="1"/>
  <c r="HD8" i="4" a="1"/>
  <c r="HA12" i="4" a="1"/>
  <c r="GJ11" i="4" a="1"/>
  <c r="BC59" i="3"/>
  <c r="BA65" i="3"/>
  <c r="BP73" i="3"/>
  <c r="BG65" i="3"/>
  <c r="BB74" i="3"/>
  <c r="BF88" i="3"/>
  <c r="CL127" i="1" s="1"/>
  <c r="BI97" i="3"/>
  <c r="BQ57" i="3"/>
  <c r="BL82" i="3"/>
  <c r="BI57" i="3"/>
  <c r="BQ82" i="3"/>
  <c r="BT84" i="3"/>
  <c r="BS73" i="3"/>
  <c r="BU67" i="3"/>
  <c r="BR60" i="3"/>
  <c r="BV76" i="3"/>
  <c r="BT78" i="3"/>
  <c r="BN58" i="3"/>
  <c r="BF55" i="3"/>
  <c r="BS94" i="3"/>
  <c r="BI65" i="3"/>
  <c r="BF57" i="3"/>
  <c r="CL118" i="1" s="1"/>
  <c r="BJ92" i="3"/>
  <c r="BK59" i="3"/>
  <c r="BK93" i="3"/>
  <c r="GK8" i="4" a="1"/>
  <c r="GX11" i="4" a="1"/>
  <c r="GW5" i="4" a="1"/>
  <c r="GB11" i="4" a="1"/>
  <c r="FW7" i="4" a="1"/>
  <c r="GZ9" i="4" a="1"/>
  <c r="FY5" i="4" a="1"/>
  <c r="FK7" i="4" a="1"/>
  <c r="HH12" i="4" a="1"/>
  <c r="HC7" i="4" a="1"/>
  <c r="FU9" i="4" a="1"/>
  <c r="FZ8" i="4" a="1"/>
  <c r="GA8" i="4" a="1"/>
  <c r="FH11" i="4" a="1"/>
  <c r="FR8" i="4" a="1"/>
  <c r="FJ12" i="4" a="1"/>
  <c r="FQ13" i="4" a="1"/>
  <c r="FK9" i="4" a="1"/>
  <c r="GK12" i="4" a="1"/>
  <c r="GM13" i="4" a="1"/>
  <c r="GO14" i="4" a="1"/>
  <c r="GG11" i="4" a="1"/>
  <c r="HF14" i="4" a="1"/>
  <c r="GZ15" i="4" a="1"/>
  <c r="FZ16" i="4" a="1"/>
  <c r="HB16" i="4" a="1"/>
  <c r="FV8" i="4" a="1"/>
  <c r="HH13" i="4" a="1"/>
  <c r="GD15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FI6" i="4" a="1"/>
  <c r="HE12" i="4" a="1"/>
  <c r="HG6" i="4" a="1"/>
  <c r="FX9" i="4" a="1"/>
  <c r="FK6" i="4" a="1"/>
  <c r="FJ11" i="4" a="1"/>
  <c r="GF5" i="4" a="1"/>
  <c r="HG7" i="4" a="1"/>
  <c r="GD13" i="4" a="1"/>
  <c r="GZ5" i="4" a="1"/>
  <c r="GR9" i="4" a="1"/>
  <c r="GD9" i="4" a="1"/>
  <c r="GO8" i="4" a="1"/>
  <c r="FT11" i="4" a="1"/>
  <c r="FN9" i="4" a="1"/>
  <c r="FO12" i="4" a="1"/>
  <c r="FT13" i="4" a="1"/>
  <c r="GB16" i="4" a="1"/>
  <c r="FK14" i="4" a="1"/>
  <c r="GD12" i="4" a="1"/>
  <c r="GQ15" i="4" a="1"/>
  <c r="GK16" i="4" a="1"/>
  <c r="BC70" i="3"/>
  <c r="BC91" i="3"/>
  <c r="BD71" i="3"/>
  <c r="BB57" i="3"/>
  <c r="BV63" i="3"/>
  <c r="BG90" i="3"/>
  <c r="GQ13" i="4" a="1"/>
  <c r="FO11" i="4" a="1"/>
  <c r="GV12" i="4" a="1"/>
  <c r="GC15" i="4" a="1"/>
  <c r="HC14" i="4" a="1"/>
  <c r="BB93" i="3"/>
  <c r="BH69" i="3"/>
  <c r="BJ47" i="3"/>
  <c r="FP5" i="4" a="1"/>
  <c r="GP7" i="4" a="1"/>
  <c r="GH16" i="4" a="1"/>
  <c r="GQ14" i="4" a="1"/>
  <c r="HG12" i="4" a="1"/>
  <c r="GW15" i="4" a="1"/>
  <c r="FS16" i="4" a="1"/>
  <c r="GC11" i="4" a="1"/>
  <c r="BC97" i="3"/>
  <c r="BD68" i="3"/>
  <c r="BH87" i="3"/>
  <c r="BG81" i="3"/>
  <c r="BB85" i="3"/>
  <c r="BF90" i="3"/>
  <c r="CL126" i="1" s="1"/>
  <c r="BI84" i="3"/>
  <c r="BQ60" i="3"/>
  <c r="BL92" i="3"/>
  <c r="BI54" i="3"/>
  <c r="BQ83" i="3"/>
  <c r="BT91" i="3"/>
  <c r="BS88" i="3"/>
  <c r="BU69" i="3"/>
  <c r="BR75" i="3"/>
  <c r="BV58" i="3"/>
  <c r="BT79" i="3"/>
  <c r="BN60" i="3"/>
  <c r="BF48" i="3"/>
  <c r="BS58" i="3"/>
  <c r="BI71" i="3"/>
  <c r="BF70" i="3"/>
  <c r="CL133" i="1" s="1"/>
  <c r="BJ94" i="3"/>
  <c r="BK58" i="3"/>
  <c r="FM5" i="4" a="1"/>
  <c r="BO54" i="3"/>
  <c r="GQ11" i="4" a="1"/>
  <c r="FU11" i="4" a="1"/>
  <c r="HE13" i="4" a="1"/>
  <c r="GO16" i="4" a="1"/>
  <c r="BC61" i="3"/>
  <c r="BB75" i="3"/>
  <c r="BU87" i="3"/>
  <c r="BR90" i="3"/>
  <c r="BT89" i="3"/>
  <c r="BH97" i="3"/>
  <c r="BJ67" i="3"/>
  <c r="GF14" i="4" a="1"/>
  <c r="FW8" i="4" a="1"/>
  <c r="GY5" i="4" a="1"/>
  <c r="FS7" i="4" a="1"/>
  <c r="FZ12" i="4" a="1"/>
  <c r="GG13" i="4" a="1"/>
  <c r="HC13" i="4" a="1"/>
  <c r="GO11" i="4" a="1"/>
  <c r="FN15" i="4" a="1"/>
  <c r="BC92" i="3"/>
  <c r="BD77" i="3"/>
  <c r="BH70" i="3"/>
  <c r="BE56" i="3"/>
  <c r="BB47" i="3"/>
  <c r="BP93" i="3"/>
  <c r="BI78" i="3"/>
  <c r="BH65" i="3"/>
  <c r="BL89" i="3"/>
  <c r="BI59" i="3"/>
  <c r="BQ78" i="3"/>
  <c r="BN88" i="3"/>
  <c r="BS75" i="3"/>
  <c r="BU80" i="3"/>
  <c r="BR95" i="3"/>
  <c r="BV74" i="3"/>
  <c r="BT82" i="3"/>
  <c r="BN74" i="3"/>
  <c r="AA112" i="2"/>
  <c r="BP63" i="3"/>
  <c r="BI75" i="3"/>
  <c r="BJ82" i="3"/>
  <c r="BJ50" i="3"/>
  <c r="BK80" i="3"/>
  <c r="FS5" i="4" a="1"/>
  <c r="FG6" i="4" a="1"/>
  <c r="GA13" i="4" a="1"/>
  <c r="GC7" i="4" a="1"/>
  <c r="GU11" i="4" a="1"/>
  <c r="GI6" i="4" a="1"/>
  <c r="GS5" i="4" a="1"/>
  <c r="FP6" i="4" a="1"/>
  <c r="HA5" i="4" a="1"/>
  <c r="HB13" i="4" a="1"/>
  <c r="GT6" i="4" a="1"/>
  <c r="HD9" i="4" a="1"/>
  <c r="FW5" i="4" a="1"/>
  <c r="HA8" i="4" a="1"/>
  <c r="GD11" i="4" a="1"/>
  <c r="HE9" i="4" a="1"/>
  <c r="FR12" i="4" a="1"/>
  <c r="FY13" i="4" a="1"/>
  <c r="GF9" i="4" a="1"/>
  <c r="GS12" i="4" a="1"/>
  <c r="GU13" i="4" a="1"/>
  <c r="GW14" i="4" a="1"/>
  <c r="FV12" i="4" a="1"/>
  <c r="FS15" i="4" a="1"/>
  <c r="HD15" i="4" a="1"/>
  <c r="GD16" i="4" a="1"/>
  <c r="HF16" i="4" a="1"/>
  <c r="GQ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H58" i="3"/>
  <c r="BL79" i="3"/>
  <c r="BO59" i="3"/>
  <c r="BC71" i="3"/>
  <c r="BM59" i="3"/>
  <c r="BB89" i="3"/>
  <c r="BC58" i="3"/>
  <c r="BM67" i="3"/>
  <c r="BB60" i="3"/>
  <c r="BD83" i="3"/>
  <c r="BA64" i="3"/>
  <c r="BH85" i="3"/>
  <c r="BE94" i="3"/>
  <c r="BF61" i="3"/>
  <c r="BR89" i="3"/>
  <c r="BO71" i="3"/>
  <c r="BS96" i="3"/>
  <c r="BU92" i="3"/>
  <c r="BR94" i="3"/>
  <c r="BV70" i="3"/>
  <c r="BT48" i="3"/>
  <c r="BN63" i="3"/>
  <c r="BO56" i="3"/>
  <c r="BH93" i="3"/>
  <c r="BM75" i="3"/>
  <c r="BJ60" i="3"/>
  <c r="BJ77" i="3"/>
  <c r="BK90" i="3"/>
  <c r="HG5" i="4" a="1"/>
  <c r="FQ7" i="4" a="1"/>
  <c r="FT7" i="4" a="1"/>
  <c r="HC5" i="4" a="1"/>
  <c r="GC14" i="4" a="1"/>
  <c r="GM8" i="4" a="1"/>
  <c r="HF11" i="4" a="1"/>
  <c r="FI8" i="4" a="1"/>
  <c r="FZ9" i="4" a="1"/>
  <c r="GZ7" i="4" a="1"/>
  <c r="GI8" i="4" a="1"/>
  <c r="GY7" i="4" a="1"/>
  <c r="FU6" i="4" a="1"/>
  <c r="GW6" i="4" a="1"/>
  <c r="GP11" i="4" a="1"/>
  <c r="FW11" i="4" a="1"/>
  <c r="GE12" i="4" a="1"/>
  <c r="GO13" i="4" a="1"/>
  <c r="GY11" i="4" a="1"/>
  <c r="HD12" i="4" a="1"/>
  <c r="HF13" i="4" a="1"/>
  <c r="FY7" i="4" a="1"/>
  <c r="GF13" i="4" a="1"/>
  <c r="GH15" i="4" a="1"/>
  <c r="FH16" i="4" a="1"/>
  <c r="GJ16" i="4" a="1"/>
  <c r="FH13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Z112" i="2"/>
  <c r="BP67" i="3"/>
  <c r="BR61" i="3"/>
  <c r="BF83" i="3"/>
  <c r="CL160" i="1" s="1"/>
  <c r="BG77" i="3"/>
  <c r="BU54" i="3"/>
  <c r="BA74" i="3"/>
  <c r="BH82" i="3"/>
  <c r="BE80" i="3"/>
  <c r="BF93" i="3"/>
  <c r="BR54" i="3"/>
  <c r="BO94" i="3"/>
  <c r="BS92" i="3"/>
  <c r="BU94" i="3"/>
  <c r="BR73" i="3"/>
  <c r="BV97" i="3"/>
  <c r="BT97" i="3"/>
  <c r="BN73" i="3"/>
  <c r="BO60" i="3"/>
  <c r="BH89" i="3"/>
  <c r="BM47" i="3"/>
  <c r="BJ70" i="3"/>
  <c r="BJ79" i="3"/>
  <c r="BK92" i="3"/>
  <c r="GN6" i="4" a="1"/>
  <c r="GB8" i="4" a="1"/>
  <c r="FY9" i="4" a="1"/>
  <c r="GG6" i="4" a="1"/>
  <c r="FW15" i="4" a="1"/>
  <c r="GX5" i="4" a="1"/>
  <c r="FS13" i="4" a="1"/>
  <c r="HE5" i="4" a="1"/>
  <c r="GT9" i="4" a="1"/>
  <c r="FQ5" i="4" a="1"/>
  <c r="GW8" i="4" a="1"/>
  <c r="HC11" i="4" a="1"/>
  <c r="GS6" i="4" a="1"/>
  <c r="HB7" i="4" a="1"/>
  <c r="FN13" i="4" a="1"/>
  <c r="GA11" i="4" a="1"/>
  <c r="GH12" i="4" a="1"/>
  <c r="GZ13" i="4" a="1"/>
  <c r="HB11" i="4" a="1"/>
  <c r="FG13" i="4" a="1"/>
  <c r="FL14" i="4" a="1"/>
  <c r="FN8" i="4" a="1"/>
  <c r="HA13" i="4" a="1"/>
  <c r="GJ15" i="4" a="1"/>
  <c r="FJ16" i="4" a="1"/>
  <c r="GN16" i="4" a="1"/>
  <c r="FN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GM12" i="4" a="1"/>
  <c r="FT14" i="4" a="1"/>
  <c r="GT8" i="4" a="1"/>
  <c r="GL15" i="4" a="1"/>
  <c r="GR16" i="4" a="1"/>
  <c r="CH140" i="1" l="1"/>
  <c r="CI140" i="1" s="1"/>
  <c r="AA202" i="1"/>
  <c r="CL156" i="1"/>
  <c r="CL185" i="1" s="1"/>
  <c r="CL184" i="1" s="1"/>
  <c r="CL98" i="1"/>
  <c r="CL99" i="1" s="1"/>
  <c r="X252" i="1"/>
  <c r="X180" i="1"/>
  <c r="CL16" i="1"/>
  <c r="Y252" i="1"/>
  <c r="X10" i="1"/>
  <c r="Y179" i="1"/>
  <c r="X148" i="1"/>
  <c r="CL161" i="1"/>
  <c r="CL148" i="1"/>
  <c r="CL120" i="1"/>
  <c r="CL138" i="1"/>
  <c r="CL128" i="1"/>
  <c r="CK26" i="1"/>
  <c r="CK27" i="1" s="1"/>
  <c r="Z183" i="1"/>
  <c r="Y148" i="1"/>
  <c r="Z148" i="1"/>
  <c r="CO20" i="1"/>
  <c r="CS20" i="1" s="1"/>
  <c r="Y26" i="1"/>
  <c r="Z131" i="1"/>
  <c r="X179" i="1"/>
  <c r="Y183" i="1"/>
  <c r="CJ149" i="1"/>
  <c r="CJ159" i="1"/>
  <c r="CJ150" i="1"/>
  <c r="KC16" i="4" s="1"/>
  <c r="JU16" i="4" s="1"/>
  <c r="JZ16" i="4" s="1"/>
  <c r="CJ160" i="1"/>
  <c r="CJ161" i="1" s="1"/>
  <c r="CJ143" i="1"/>
  <c r="JY9" i="4" s="1"/>
  <c r="KA16" i="4" s="1"/>
  <c r="JS16" i="4" s="1"/>
  <c r="JX16" i="4" s="1"/>
  <c r="KG9" i="4" s="1"/>
  <c r="Z73" i="1"/>
  <c r="CJ140" i="1"/>
  <c r="CJ202" i="1" s="1"/>
  <c r="CJ134" i="1"/>
  <c r="CK33" i="1" s="1"/>
  <c r="JX9" i="4" s="1"/>
  <c r="JV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J137" i="1"/>
  <c r="KF16" i="4" s="1"/>
  <c r="JU9" i="4" s="1"/>
  <c r="CJ124" i="1"/>
  <c r="CK124" i="1" s="1"/>
  <c r="CJ152" i="1"/>
  <c r="KA8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CJ117" i="1"/>
  <c r="CJ151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55" i="1"/>
  <c r="KE9" i="4" s="1"/>
  <c r="CJ73" i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KD16" i="4" s="1"/>
  <c r="KB15" i="4" s="1"/>
  <c r="JW14" i="4" s="1"/>
  <c r="JT14" i="4" s="1"/>
  <c r="KC7" i="4" s="1"/>
  <c r="KH9" i="4" s="1"/>
  <c r="CJ144" i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JS14" i="4" s="1"/>
  <c r="CJ154" i="1"/>
  <c r="JR16" i="4" s="1"/>
  <c r="JR21" i="4" s="1"/>
  <c r="CL77" i="1" s="1"/>
  <c r="JU14" i="4" s="1"/>
  <c r="KC9" i="4" s="1"/>
  <c r="JZ9" i="4" s="1"/>
  <c r="CK74" i="1"/>
  <c r="CJ142" i="1"/>
  <c r="CH73" i="1"/>
  <c r="CJ74" i="1"/>
  <c r="CG73" i="1"/>
  <c r="CG74" i="1"/>
  <c r="JR9" i="4" s="1"/>
  <c r="JT9" i="4" s="1"/>
  <c r="CJ133" i="1"/>
  <c r="CK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JW8" i="4" s="1"/>
  <c r="X73" i="1"/>
  <c r="KE7" i="4" s="1"/>
  <c r="KB8" i="4" s="1"/>
  <c r="JX8" i="4" s="1"/>
  <c r="KB9" i="4" s="1"/>
  <c r="Z74" i="1"/>
  <c r="CJ153" i="1"/>
  <c r="CJ183" i="1" s="1"/>
  <c r="CK183" i="1" s="1"/>
  <c r="KB16" i="4" s="1"/>
  <c r="CJ147" i="1"/>
  <c r="Y74" i="1"/>
  <c r="CI74" i="1"/>
  <c r="Z154" i="1"/>
  <c r="CH154" i="1" s="1"/>
  <c r="Y231" i="1"/>
  <c r="Z231" i="1"/>
  <c r="Z179" i="1"/>
  <c r="Z180" i="1"/>
  <c r="CK16" i="1"/>
  <c r="CK98" i="1"/>
  <c r="CK99" i="1" s="1"/>
  <c r="CK17" i="1"/>
  <c r="Y10" i="1"/>
  <c r="Y16" i="1" s="1"/>
  <c r="Y173" i="1"/>
  <c r="Z252" i="1"/>
  <c r="X183" i="1"/>
  <c r="Y134" i="1"/>
  <c r="Y138" i="1" s="1"/>
  <c r="Y161" i="1"/>
  <c r="Z209" i="1" s="1"/>
  <c r="X173" i="1"/>
  <c r="CH159" i="1"/>
  <c r="CH161" i="1" s="1"/>
  <c r="CI209" i="1" s="1"/>
  <c r="Z161" i="1"/>
  <c r="AA209" i="1" s="1"/>
  <c r="X253" i="1"/>
  <c r="X194" i="1"/>
  <c r="Y194" i="1"/>
  <c r="Y253" i="1"/>
  <c r="CH119" i="1"/>
  <c r="CH120" i="1" s="1"/>
  <c r="Z120" i="1"/>
  <c r="CG194" i="1"/>
  <c r="CG253" i="1"/>
  <c r="Y156" i="1"/>
  <c r="CH253" i="1"/>
  <c r="CG252" i="1"/>
  <c r="X134" i="1"/>
  <c r="CH179" i="1"/>
  <c r="CI179" i="1" s="1"/>
  <c r="CI231" i="1"/>
  <c r="CI10" i="1"/>
  <c r="CJ98" i="1"/>
  <c r="Y202" i="1"/>
  <c r="Y180" i="1"/>
  <c r="JU21" i="4"/>
  <c r="CG10" i="1"/>
  <c r="CK11" i="1" s="1"/>
  <c r="Z173" i="1"/>
  <c r="Z10" i="1"/>
  <c r="X156" i="1"/>
  <c r="X157" i="1" s="1"/>
  <c r="Y120" i="1"/>
  <c r="X128" i="1"/>
  <c r="X161" i="1"/>
  <c r="X120" i="1"/>
  <c r="X175" i="1" s="1"/>
  <c r="Y128" i="1"/>
  <c r="Z26" i="1"/>
  <c r="X26" i="1"/>
  <c r="X27" i="1" s="1"/>
  <c r="KF15" i="4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48" i="1"/>
  <c r="CH182" i="1" s="1"/>
  <c r="CH128" i="1"/>
  <c r="X98" i="1"/>
  <c r="X16" i="1"/>
  <c r="JP15" i="4"/>
  <c r="JP14" i="4"/>
  <c r="JP8" i="4"/>
  <c r="JP7" i="4"/>
  <c r="CM124" i="1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X182" i="1" l="1"/>
  <c r="Y196" i="1"/>
  <c r="Y182" i="1"/>
  <c r="Z196" i="1"/>
  <c r="Z134" i="1"/>
  <c r="CH131" i="1"/>
  <c r="KB21" i="4"/>
  <c r="JT16" i="4" s="1"/>
  <c r="JT21" i="4" s="1"/>
  <c r="JR8" i="4" s="1"/>
  <c r="KB7" i="4" s="1"/>
  <c r="KA7" i="4" s="1"/>
  <c r="CJ131" i="1"/>
  <c r="CK131" i="1" s="1"/>
  <c r="CJ179" i="1"/>
  <c r="CK179" i="1" s="1"/>
  <c r="CW163" i="1"/>
  <c r="JZ21" i="4"/>
  <c r="JW9" i="4" s="1"/>
  <c r="JW21" i="4" s="1"/>
  <c r="KA9" i="4" s="1"/>
  <c r="JS9" i="4" s="1"/>
  <c r="JQ9" i="4" s="1"/>
  <c r="Z182" i="1"/>
  <c r="AA196" i="1"/>
  <c r="Z175" i="1"/>
  <c r="AA207" i="1"/>
  <c r="AA188" i="1"/>
  <c r="AA11" i="1"/>
  <c r="AA206" i="1"/>
  <c r="AA249" i="1"/>
  <c r="KG21" i="4"/>
  <c r="JY16" i="4" s="1"/>
  <c r="JQ16" i="4" s="1"/>
  <c r="KE21" i="4"/>
  <c r="KH16" i="4" s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H156" i="1"/>
  <c r="CH185" i="1" s="1"/>
  <c r="Z156" i="1"/>
  <c r="AA197" i="1" s="1"/>
  <c r="AA198" i="1" s="1"/>
  <c r="AA199" i="1" s="1"/>
  <c r="Y98" i="1"/>
  <c r="Y188" i="1"/>
  <c r="Y27" i="1"/>
  <c r="JS8" i="4"/>
  <c r="KB14" i="4"/>
  <c r="KB19" i="4" s="1"/>
  <c r="JY15" i="4"/>
  <c r="KD8" i="4"/>
  <c r="KD14" i="4"/>
  <c r="JT8" i="4"/>
  <c r="JU7" i="4"/>
  <c r="JU19" i="4" s="1"/>
  <c r="CL28" i="1"/>
  <c r="CL17" i="1"/>
  <c r="CL248" i="1"/>
  <c r="CL246" i="1"/>
  <c r="CL182" i="1"/>
  <c r="CL157" i="1"/>
  <c r="CL165" i="1" s="1"/>
  <c r="CL92" i="1"/>
  <c r="CL94" i="1" s="1"/>
  <c r="CL129" i="1"/>
  <c r="CL168" i="1"/>
  <c r="CL109" i="1" s="1"/>
  <c r="JV15" i="4"/>
  <c r="KC21" i="4"/>
  <c r="JQ8" i="4"/>
  <c r="KC15" i="4"/>
  <c r="JX21" i="4"/>
  <c r="KG15" i="4"/>
  <c r="JU15" i="4"/>
  <c r="KF8" i="4"/>
  <c r="KF20" i="4" s="1"/>
  <c r="JT7" i="4"/>
  <c r="JT19" i="4" s="1"/>
  <c r="JY7" i="4"/>
  <c r="KG8" i="4"/>
  <c r="CJ120" i="1"/>
  <c r="JY14" i="4"/>
  <c r="KH15" i="4"/>
  <c r="KF14" i="4"/>
  <c r="KC8" i="4"/>
  <c r="JY8" i="4"/>
  <c r="KA14" i="4"/>
  <c r="KA19" i="4" s="1"/>
  <c r="JQ15" i="4"/>
  <c r="JQ20" i="4" s="1"/>
  <c r="CK79" i="1" s="1"/>
  <c r="KH7" i="4"/>
  <c r="JQ7" i="4"/>
  <c r="CL102" i="1"/>
  <c r="CK28" i="1"/>
  <c r="CL19" i="1"/>
  <c r="CI16" i="1"/>
  <c r="CL244" i="1"/>
  <c r="CL225" i="1"/>
  <c r="CL188" i="1"/>
  <c r="CL11" i="1"/>
  <c r="CM133" i="1"/>
  <c r="CN133" i="1" s="1"/>
  <c r="CO133" i="1" s="1"/>
  <c r="CP133" i="1" s="1"/>
  <c r="KG7" i="4"/>
  <c r="JQ14" i="4"/>
  <c r="KD15" i="4"/>
  <c r="KF7" i="4"/>
  <c r="JW7" i="4"/>
  <c r="JW19" i="4" s="1"/>
  <c r="KE14" i="4"/>
  <c r="KE19" i="4" s="1"/>
  <c r="CJ148" i="1"/>
  <c r="KH8" i="4"/>
  <c r="JZ15" i="4"/>
  <c r="CJ128" i="1"/>
  <c r="JR7" i="4"/>
  <c r="JS21" i="4"/>
  <c r="JX15" i="4"/>
  <c r="JX20" i="4" s="1"/>
  <c r="JW15" i="4"/>
  <c r="JW20" i="4" s="1"/>
  <c r="JR14" i="4"/>
  <c r="JR19" i="4" s="1"/>
  <c r="CL78" i="1" s="1"/>
  <c r="KC14" i="4"/>
  <c r="KC19" i="4" s="1"/>
  <c r="JV8" i="4"/>
  <c r="CJ156" i="1"/>
  <c r="CJ185" i="1" s="1"/>
  <c r="CJ184" i="1" s="1"/>
  <c r="CK184" i="1" s="1"/>
  <c r="KE8" i="4"/>
  <c r="JR15" i="4"/>
  <c r="JR20" i="4" s="1"/>
  <c r="CL79" i="1" s="1"/>
  <c r="JT15" i="4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JX14" i="4"/>
  <c r="JZ7" i="4"/>
  <c r="JV14" i="4"/>
  <c r="JZ14" i="4"/>
  <c r="JZ19" i="4" s="1"/>
  <c r="JS7" i="4"/>
  <c r="JS19" i="4" s="1"/>
  <c r="JV7" i="4"/>
  <c r="JX7" i="4"/>
  <c r="KD7" i="4"/>
  <c r="KA15" i="4"/>
  <c r="KA20" i="4" s="1"/>
  <c r="KH14" i="4"/>
  <c r="JS15" i="4"/>
  <c r="JZ8" i="4"/>
  <c r="KG14" i="4"/>
  <c r="Y11" i="1"/>
  <c r="CK140" i="1"/>
  <c r="CJ138" i="1"/>
  <c r="Y33" i="1"/>
  <c r="Z248" i="1"/>
  <c r="Z27" i="1"/>
  <c r="CG27" i="1"/>
  <c r="CG16" i="1"/>
  <c r="CK18" i="1" s="1"/>
  <c r="X129" i="1"/>
  <c r="CI27" i="1"/>
  <c r="Y185" i="1"/>
  <c r="Y157" i="1"/>
  <c r="Y165" i="1" s="1"/>
  <c r="X138" i="1"/>
  <c r="X33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I206" i="1"/>
  <c r="X185" i="1"/>
  <c r="Y197" i="1"/>
  <c r="KB20" i="4"/>
  <c r="Y249" i="1"/>
  <c r="Y206" i="1"/>
  <c r="Y168" i="1"/>
  <c r="Y109" i="1" s="1"/>
  <c r="CK128" i="1"/>
  <c r="Y37" i="1"/>
  <c r="Y129" i="1"/>
  <c r="CK20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Y246" i="1"/>
  <c r="Y244" i="1"/>
  <c r="CH168" i="1"/>
  <c r="CI249" i="1"/>
  <c r="CH248" i="1"/>
  <c r="Y18" i="1"/>
  <c r="X28" i="1"/>
  <c r="X17" i="1"/>
  <c r="Y28" i="1"/>
  <c r="Y17" i="1"/>
  <c r="CH129" i="1"/>
  <c r="CM179" i="1"/>
  <c r="CN124" i="1"/>
  <c r="CM180" i="1"/>
  <c r="CM18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Z181" i="1" l="1"/>
  <c r="Y181" i="1"/>
  <c r="Y198" i="1"/>
  <c r="CI131" i="1"/>
  <c r="CI134" i="1" s="1"/>
  <c r="CJ33" i="1" s="1"/>
  <c r="CH134" i="1"/>
  <c r="X181" i="1"/>
  <c r="Z138" i="1"/>
  <c r="AA203" i="1" s="1"/>
  <c r="AA201" i="1" s="1"/>
  <c r="Z33" i="1"/>
  <c r="JY19" i="4"/>
  <c r="AA213" i="1"/>
  <c r="CX163" i="1"/>
  <c r="CL206" i="1"/>
  <c r="CL249" i="1"/>
  <c r="JV20" i="4"/>
  <c r="JY21" i="4"/>
  <c r="KA21" i="4"/>
  <c r="Z197" i="1"/>
  <c r="Z198" i="1" s="1"/>
  <c r="Z185" i="1"/>
  <c r="AA205" i="1"/>
  <c r="AA210" i="1" s="1"/>
  <c r="AA211" i="1" s="1"/>
  <c r="CH157" i="1"/>
  <c r="Z157" i="1"/>
  <c r="CH186" i="1"/>
  <c r="JQ21" i="4"/>
  <c r="CK77" i="1" s="1"/>
  <c r="JV16" i="4"/>
  <c r="JV21" i="4" s="1"/>
  <c r="KE15" i="4" s="1"/>
  <c r="CL166" i="1"/>
  <c r="KG19" i="4"/>
  <c r="JQ19" i="4"/>
  <c r="CK78" i="1" s="1"/>
  <c r="KH20" i="4"/>
  <c r="JZ20" i="4"/>
  <c r="KH21" i="4"/>
  <c r="JT20" i="4"/>
  <c r="JV19" i="4"/>
  <c r="CH184" i="1"/>
  <c r="CI184" i="1" s="1"/>
  <c r="CI17" i="1"/>
  <c r="CI28" i="1"/>
  <c r="KC20" i="4"/>
  <c r="KG20" i="4"/>
  <c r="KF19" i="4"/>
  <c r="JY20" i="4"/>
  <c r="CL31" i="1"/>
  <c r="KD20" i="4"/>
  <c r="CJ129" i="1"/>
  <c r="JX19" i="4"/>
  <c r="KD19" i="4"/>
  <c r="JS20" i="4"/>
  <c r="CK29" i="1"/>
  <c r="CK34" i="1"/>
  <c r="CK38" i="1" s="1"/>
  <c r="CL232" i="1"/>
  <c r="CL233" i="1" s="1"/>
  <c r="CL250" i="1"/>
  <c r="CL34" i="1"/>
  <c r="CL38" i="1" s="1"/>
  <c r="CL29" i="1"/>
  <c r="CL181" i="1"/>
  <c r="CL186" i="1"/>
  <c r="KH19" i="4"/>
  <c r="CJ92" i="1"/>
  <c r="CJ248" i="1"/>
  <c r="CL103" i="1"/>
  <c r="CL107" i="1"/>
  <c r="CL110" i="1" s="1"/>
  <c r="CL95" i="1"/>
  <c r="CL104" i="1"/>
  <c r="CL96" i="1"/>
  <c r="CL108" i="1"/>
  <c r="CL111" i="1" s="1"/>
  <c r="CK202" i="1"/>
  <c r="CL202" i="1"/>
  <c r="AB133" i="1"/>
  <c r="CQ133" i="1"/>
  <c r="CR133" i="1" s="1"/>
  <c r="CS133" i="1" s="1"/>
  <c r="CT133" i="1" s="1"/>
  <c r="CJ244" i="1"/>
  <c r="CJ157" i="1"/>
  <c r="CJ165" i="1" s="1"/>
  <c r="CJ182" i="1"/>
  <c r="CJ206" i="1"/>
  <c r="CJ249" i="1"/>
  <c r="CJ246" i="1"/>
  <c r="CK104" i="1"/>
  <c r="CK108" i="1"/>
  <c r="Y203" i="1"/>
  <c r="Y201" i="1" s="1"/>
  <c r="X165" i="1"/>
  <c r="X166" i="1" s="1"/>
  <c r="X244" i="1"/>
  <c r="X246" i="1"/>
  <c r="Z18" i="1"/>
  <c r="Z17" i="1"/>
  <c r="Z28" i="1"/>
  <c r="CH96" i="1"/>
  <c r="CG28" i="1"/>
  <c r="CK30" i="1" s="1"/>
  <c r="CG17" i="1"/>
  <c r="CK185" i="1"/>
  <c r="Y184" i="1"/>
  <c r="Y186" i="1"/>
  <c r="CM140" i="1"/>
  <c r="Y16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Y250" i="1"/>
  <c r="Y251" i="1" s="1"/>
  <c r="X232" i="1"/>
  <c r="X233" i="1" s="1"/>
  <c r="X34" i="1"/>
  <c r="X112" i="1"/>
  <c r="X29" i="1"/>
  <c r="Y30" i="1"/>
  <c r="Y112" i="1"/>
  <c r="Y34" i="1"/>
  <c r="Y29" i="1"/>
  <c r="Y232" i="1"/>
  <c r="Y233" i="1" s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I34" i="1"/>
  <c r="CI232" i="1"/>
  <c r="CI233" i="1" s="1"/>
  <c r="CI29" i="1"/>
  <c r="CL251" i="1" l="1"/>
  <c r="CI138" i="1"/>
  <c r="CJ203" i="1" s="1"/>
  <c r="CJ201" i="1" s="1"/>
  <c r="Z186" i="1"/>
  <c r="AA189" i="1" s="1"/>
  <c r="AA190" i="1" s="1"/>
  <c r="Z184" i="1"/>
  <c r="Z203" i="1"/>
  <c r="Z201" i="1" s="1"/>
  <c r="Z165" i="1"/>
  <c r="Z166" i="1" s="1"/>
  <c r="Z246" i="1"/>
  <c r="Z244" i="1"/>
  <c r="CI33" i="1"/>
  <c r="CH138" i="1"/>
  <c r="CL189" i="1"/>
  <c r="CY163" i="1"/>
  <c r="CJ166" i="1"/>
  <c r="CK40" i="1"/>
  <c r="CK41" i="1"/>
  <c r="CK103" i="1"/>
  <c r="CK107" i="1"/>
  <c r="CI185" i="1"/>
  <c r="CI152" i="1"/>
  <c r="AA250" i="1"/>
  <c r="AA251" i="1" s="1"/>
  <c r="AA30" i="1"/>
  <c r="CK102" i="1"/>
  <c r="JU8" i="4"/>
  <c r="JU20" i="4" s="1"/>
  <c r="KE20" i="4"/>
  <c r="KD9" i="4"/>
  <c r="AC133" i="1"/>
  <c r="CU133" i="1"/>
  <c r="CV133" i="1" s="1"/>
  <c r="CW133" i="1" s="1"/>
  <c r="CX133" i="1" s="1"/>
  <c r="CJ181" i="1"/>
  <c r="CK181" i="1" s="1"/>
  <c r="CK182" i="1" s="1"/>
  <c r="CK186" i="1" s="1"/>
  <c r="CJ186" i="1"/>
  <c r="CL40" i="1"/>
  <c r="CL41" i="1"/>
  <c r="CJ94" i="1"/>
  <c r="CJ96" i="1"/>
  <c r="CJ95" i="1"/>
  <c r="CK31" i="1"/>
  <c r="CL226" i="1"/>
  <c r="CL112" i="1"/>
  <c r="CI38" i="1"/>
  <c r="Y189" i="1"/>
  <c r="Y190" i="1" s="1"/>
  <c r="Z250" i="1"/>
  <c r="Z251" i="1" s="1"/>
  <c r="Z34" i="1"/>
  <c r="Z112" i="1"/>
  <c r="Z189" i="1"/>
  <c r="Z190" i="1" s="1"/>
  <c r="Z30" i="1"/>
  <c r="Z29" i="1"/>
  <c r="Z232" i="1"/>
  <c r="Z233" i="1" s="1"/>
  <c r="CI250" i="1"/>
  <c r="CI251" i="1" s="1"/>
  <c r="CK112" i="1"/>
  <c r="CG29" i="1"/>
  <c r="CG34" i="1"/>
  <c r="CG38" i="1" s="1"/>
  <c r="CG41" i="1" s="1"/>
  <c r="CG232" i="1"/>
  <c r="CG233" i="1" s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I203" i="1"/>
  <c r="CI201" i="1" s="1"/>
  <c r="CH110" i="1"/>
  <c r="CH111" i="1"/>
  <c r="CK194" i="1"/>
  <c r="CK132" i="1"/>
  <c r="CH246" i="1"/>
  <c r="CH165" i="1"/>
  <c r="CH166" i="1" s="1"/>
  <c r="X38" i="1"/>
  <c r="X55" i="1"/>
  <c r="Y55" i="1"/>
  <c r="Y38" i="1"/>
  <c r="CN27" i="1"/>
  <c r="CO27" i="1" s="1"/>
  <c r="CP124" i="1"/>
  <c r="CO179" i="1"/>
  <c r="CO180" i="1"/>
  <c r="CO18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L55" i="1" l="1"/>
  <c r="CK42" i="1"/>
  <c r="CK43" i="1"/>
  <c r="CK48" i="1"/>
  <c r="CG40" i="1"/>
  <c r="CZ163" i="1"/>
  <c r="KD21" i="4"/>
  <c r="KF9" i="4"/>
  <c r="KF21" i="4" s="1"/>
  <c r="CY133" i="1"/>
  <c r="CZ133" i="1" s="1"/>
  <c r="DA133" i="1" s="1"/>
  <c r="DB133" i="1" s="1"/>
  <c r="AE133" i="1" s="1"/>
  <c r="AD133" i="1"/>
  <c r="CI41" i="1"/>
  <c r="CI40" i="1"/>
  <c r="CL44" i="1"/>
  <c r="CL234" i="1"/>
  <c r="CL48" i="1"/>
  <c r="CL42" i="1"/>
  <c r="CL245" i="1" s="1"/>
  <c r="CL113" i="1"/>
  <c r="CL114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Z38" i="1"/>
  <c r="Z55" i="1"/>
  <c r="CN202" i="1"/>
  <c r="CO140" i="1"/>
  <c r="CM17" i="1"/>
  <c r="CH41" i="1"/>
  <c r="CL43" i="1" s="1"/>
  <c r="CH40" i="1"/>
  <c r="CJ41" i="1"/>
  <c r="CJ40" i="1"/>
  <c r="CN184" i="1"/>
  <c r="CM185" i="1"/>
  <c r="CM181" i="1"/>
  <c r="CO125" i="1"/>
  <c r="CN128" i="1"/>
  <c r="CN249" i="1" s="1"/>
  <c r="CM206" i="1"/>
  <c r="Y40" i="1"/>
  <c r="Y41" i="1"/>
  <c r="X40" i="1"/>
  <c r="X41" i="1"/>
  <c r="CP27" i="1"/>
  <c r="CQ27" i="1" s="1"/>
  <c r="CR27" i="1" s="1"/>
  <c r="CS27" i="1" s="1"/>
  <c r="CP183" i="1"/>
  <c r="CP180" i="1"/>
  <c r="CP179" i="1"/>
  <c r="CQ124" i="1"/>
  <c r="DA117" i="1"/>
  <c r="DA163" i="1"/>
  <c r="CE65" i="1"/>
  <c r="AB45" i="1"/>
  <c r="CG42" i="1"/>
  <c r="CG245" i="1" s="1"/>
  <c r="CG234" i="1"/>
  <c r="CG48" i="1"/>
  <c r="AC45" i="1"/>
  <c r="CV45" i="1"/>
  <c r="CW45" i="1" s="1"/>
  <c r="CX45" i="1" s="1"/>
  <c r="CY45" i="1" s="1"/>
  <c r="AB35" i="1"/>
  <c r="CN46" i="1"/>
  <c r="CO46" i="1" s="1"/>
  <c r="CP46" i="1" s="1"/>
  <c r="CQ46" i="1" s="1"/>
  <c r="CK52" i="1" l="1"/>
  <c r="CK66" i="1"/>
  <c r="CI42" i="1"/>
  <c r="CI245" i="1" s="1"/>
  <c r="CK138" i="1"/>
  <c r="CI234" i="1"/>
  <c r="CI48" i="1"/>
  <c r="CL193" i="1"/>
  <c r="CL195" i="1" s="1"/>
  <c r="CL66" i="1"/>
  <c r="CL52" i="1"/>
  <c r="CM131" i="1"/>
  <c r="CN131" i="1" s="1"/>
  <c r="CO131" i="1" s="1"/>
  <c r="CP131" i="1" s="1"/>
  <c r="CK44" i="1"/>
  <c r="CL227" i="1"/>
  <c r="CK203" i="1"/>
  <c r="CK201" i="1" s="1"/>
  <c r="CL203" i="1"/>
  <c r="CL201" i="1" s="1"/>
  <c r="CI119" i="1"/>
  <c r="CN17" i="1"/>
  <c r="Z41" i="1"/>
  <c r="AA43" i="1" s="1"/>
  <c r="Z40" i="1"/>
  <c r="CP140" i="1"/>
  <c r="CP202" i="1" s="1"/>
  <c r="CO202" i="1"/>
  <c r="CJ227" i="1"/>
  <c r="CI44" i="1"/>
  <c r="CH44" i="1"/>
  <c r="CH42" i="1"/>
  <c r="CH245" i="1" s="1"/>
  <c r="CH234" i="1"/>
  <c r="CH48" i="1"/>
  <c r="CJ44" i="1"/>
  <c r="CJ42" i="1"/>
  <c r="CJ245" i="1" s="1"/>
  <c r="CJ234" i="1"/>
  <c r="CJ48" i="1"/>
  <c r="CL54" i="1" s="1"/>
  <c r="CN185" i="1"/>
  <c r="CO18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S14" i="3"/>
  <c r="AS6" i="6" a="1"/>
  <c r="AU31" i="3"/>
  <c r="AZ40" i="3"/>
  <c r="EP8" i="4" a="1"/>
  <c r="AX14" i="3"/>
  <c r="AL6" i="6" a="1"/>
  <c r="AX37" i="3"/>
  <c r="AW24" i="3"/>
  <c r="M5" i="6" a="1"/>
  <c r="AZ13" i="3"/>
  <c r="AR5" i="6" a="1"/>
  <c r="EW16" i="4" a="1"/>
  <c r="C6" i="4" a="1"/>
  <c r="EN13" i="4" a="1"/>
  <c r="EW7" i="4" a="1"/>
  <c r="EW11" i="4" a="1"/>
  <c r="EW8" i="4" a="1"/>
  <c r="EO8" i="4" a="1"/>
  <c r="AX5" i="6" a="1"/>
  <c r="AT33" i="3"/>
  <c r="EP11" i="4" a="1"/>
  <c r="AZ46" i="3"/>
  <c r="ER11" i="4" a="1"/>
  <c r="EN7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Z28" i="3"/>
  <c r="AX28" i="3"/>
  <c r="AY20" i="3"/>
  <c r="AT5" i="3"/>
  <c r="AR7" i="3"/>
  <c r="AW41" i="3"/>
  <c r="AX10" i="3"/>
  <c r="AW22" i="3"/>
  <c r="AU11" i="3"/>
  <c r="AT41" i="3"/>
  <c r="AX15" i="3"/>
  <c r="AU33" i="3"/>
  <c r="U5" i="6" a="1"/>
  <c r="AW26" i="3"/>
  <c r="ET7" i="4" a="1"/>
  <c r="EL15" i="4" a="1"/>
  <c r="AU14" i="3"/>
  <c r="T6" i="6" a="1"/>
  <c r="AS21" i="3"/>
  <c r="EU11" i="4" a="1"/>
  <c r="EP6" i="4" a="1"/>
  <c r="ER15" i="4" a="1"/>
  <c r="EV14" i="4" a="1"/>
  <c r="ET6" i="4" a="1"/>
  <c r="EQ6" i="4" a="1"/>
  <c r="EO15" i="4" a="1"/>
  <c r="ES9" i="4" a="1"/>
  <c r="ER7" i="4" a="1"/>
  <c r="EL12" i="4" a="1"/>
  <c r="EV11" i="4" a="1"/>
  <c r="AX46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EM16" i="4" a="1"/>
  <c r="AY32" i="3"/>
  <c r="AW27" i="3"/>
  <c r="AG5" i="6" a="1"/>
  <c r="AB5" i="3"/>
  <c r="AF22" i="3"/>
  <c r="AV24" i="3"/>
  <c r="AU24" i="3"/>
  <c r="AF8" i="3"/>
  <c r="AT15" i="3"/>
  <c r="AV37" i="3"/>
  <c r="V6" i="6" a="1"/>
  <c r="AU32" i="3"/>
  <c r="AQ5" i="6" a="1"/>
  <c r="EQ11" i="4" a="1"/>
  <c r="EQ13" i="4" a="1"/>
  <c r="EU8" i="4" a="1"/>
  <c r="EL16" i="4" a="1"/>
  <c r="EN8" i="4" a="1"/>
  <c r="EO5" i="4" a="1"/>
  <c r="EW13" i="4" a="1"/>
  <c r="EN15" i="4" a="1"/>
  <c r="AW18" i="3"/>
  <c r="AY37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P14" i="4" a="1"/>
  <c r="N5" i="6" a="1"/>
  <c r="AT46" i="3"/>
  <c r="EW6" i="4" a="1"/>
  <c r="ES5" i="4" a="1"/>
  <c r="EL6" i="4" a="1"/>
  <c r="EU7" i="4" a="1"/>
  <c r="EM6" i="4" a="1"/>
  <c r="AT35" i="3"/>
  <c r="AY42" i="3"/>
  <c r="ET15" i="4" a="1"/>
  <c r="EL13" i="4" a="1"/>
  <c r="ES13" i="4" a="1"/>
  <c r="AS39" i="3"/>
  <c r="K6" i="6" a="1"/>
  <c r="AT20" i="3"/>
  <c r="Q6" i="6" a="1"/>
  <c r="AY6" i="6" a="1"/>
  <c r="AX33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W42" i="3"/>
  <c r="F6" i="6" a="1"/>
  <c r="AE5" i="6" a="1"/>
  <c r="AY9" i="3"/>
  <c r="AV9" i="3"/>
  <c r="AS33" i="3"/>
  <c r="AD5" i="6" a="1"/>
  <c r="AT12" i="3"/>
  <c r="AV19" i="3"/>
  <c r="EL8" i="4" a="1"/>
  <c r="EU13" i="4" a="1"/>
  <c r="EN6" i="4" a="1"/>
  <c r="EQ7" i="4" a="1"/>
  <c r="AX13" i="3"/>
  <c r="EO12" i="4" a="1"/>
  <c r="ER6" i="4" a="1"/>
  <c r="AX9" i="3"/>
  <c r="EM5" i="4" a="1"/>
  <c r="EQ8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S12" i="4" a="1"/>
  <c r="AZ24" i="3"/>
  <c r="AU12" i="3"/>
  <c r="AU7" i="3"/>
  <c r="ET12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W15" i="3"/>
  <c r="AX42" i="3"/>
  <c r="AY15" i="3"/>
  <c r="EV13" i="4" a="1"/>
  <c r="EO6" i="4" a="1"/>
  <c r="EW9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J6" i="6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B131" i="1" l="1"/>
  <c r="CQ131" i="1"/>
  <c r="CR131" i="1" s="1"/>
  <c r="CS131" i="1" s="1"/>
  <c r="CT131" i="1" s="1"/>
  <c r="CJ54" i="1"/>
  <c r="CH193" i="1"/>
  <c r="CH195" i="1" s="1"/>
  <c r="CH66" i="1"/>
  <c r="CH52" i="1"/>
  <c r="CJ66" i="1"/>
  <c r="CL69" i="1" s="1"/>
  <c r="CJ193" i="1"/>
  <c r="CJ195" i="1" s="1"/>
  <c r="CJ52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F55" i="3"/>
  <c r="AT83" i="3"/>
  <c r="AF76" i="3"/>
  <c r="AZ55" i="3"/>
  <c r="AS55" i="3"/>
  <c r="AV92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W65" i="3"/>
  <c r="AU57" i="3"/>
  <c r="AX70" i="3"/>
  <c r="AT79" i="3"/>
  <c r="AY84" i="3"/>
  <c r="AV66" i="3"/>
  <c r="AF92" i="3"/>
  <c r="AT57" i="3"/>
  <c r="AZ75" i="3"/>
  <c r="C88" i="3"/>
  <c r="AF83" i="3"/>
  <c r="AW67" i="3"/>
  <c r="AS63" i="3"/>
  <c r="AU71" i="3"/>
  <c r="AS56" i="3"/>
  <c r="AZ50" i="3"/>
  <c r="C64" i="3"/>
  <c r="AY58" i="3"/>
  <c r="AU50" i="3"/>
  <c r="AS80" i="3"/>
  <c r="AV76" i="3"/>
  <c r="AU62" i="3"/>
  <c r="AX83" i="3"/>
  <c r="AS59" i="3"/>
  <c r="AS64" i="3"/>
  <c r="AT55" i="3"/>
  <c r="C65" i="3"/>
  <c r="AU87" i="3"/>
  <c r="AW56" i="3"/>
  <c r="AY64" i="3"/>
  <c r="AY70" i="3"/>
  <c r="C82" i="3"/>
  <c r="AT74" i="3"/>
  <c r="AV78" i="3"/>
  <c r="AS68" i="3"/>
  <c r="AU96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C84" i="3"/>
  <c r="AZ68" i="3"/>
  <c r="AX57" i="3"/>
  <c r="AF59" i="3"/>
  <c r="AZ66" i="3"/>
  <c r="AS70" i="3"/>
  <c r="AS65" i="3"/>
  <c r="AX60" i="3"/>
  <c r="AZ76" i="3"/>
  <c r="AT91" i="3"/>
  <c r="C57" i="3"/>
  <c r="AT75" i="3"/>
  <c r="AY59" i="3"/>
  <c r="AY92" i="3"/>
  <c r="AF71" i="3"/>
  <c r="AF96" i="3"/>
  <c r="AX94" i="3"/>
  <c r="AV63" i="3"/>
  <c r="AU61" i="3"/>
  <c r="AF82" i="3"/>
  <c r="C58" i="3"/>
  <c r="AU83" i="3"/>
  <c r="AS69" i="3"/>
  <c r="AT60" i="3"/>
  <c r="C81" i="3"/>
  <c r="AF90" i="3"/>
  <c r="C96" i="3"/>
  <c r="AZ59" i="3"/>
  <c r="AT56" i="3"/>
  <c r="C92" i="3"/>
  <c r="AZ86" i="3"/>
  <c r="AW85" i="3"/>
  <c r="AZ70" i="3"/>
  <c r="AV88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F66" i="3"/>
  <c r="AU81" i="3"/>
  <c r="AS48" i="3"/>
  <c r="AW88" i="3"/>
  <c r="AS50" i="3"/>
  <c r="AU69" i="3"/>
  <c r="AF64" i="3"/>
  <c r="AT62" i="3"/>
  <c r="AZ74" i="3"/>
  <c r="AF61" i="3"/>
  <c r="AF95" i="3"/>
  <c r="AZ67" i="3"/>
  <c r="AV67" i="3"/>
  <c r="AF74" i="3"/>
  <c r="AS62" i="3"/>
  <c r="C59" i="3"/>
  <c r="AW83" i="3"/>
  <c r="AZ81" i="3"/>
  <c r="AT93" i="3"/>
  <c r="AF79" i="3"/>
  <c r="AV95" i="3"/>
  <c r="AU76" i="3"/>
  <c r="AT95" i="3"/>
  <c r="AW80" i="3"/>
  <c r="AW66" i="3"/>
  <c r="AW71" i="3"/>
  <c r="AV61" i="3"/>
  <c r="AF47" i="3"/>
  <c r="AV86" i="3"/>
  <c r="AV80" i="3"/>
  <c r="AY67" i="3"/>
  <c r="AU65" i="3"/>
  <c r="AX65" i="3"/>
  <c r="AS91" i="3"/>
  <c r="AX91" i="3"/>
  <c r="AW91" i="3"/>
  <c r="AU59" i="3"/>
  <c r="AS87" i="3"/>
  <c r="AY78" i="3"/>
  <c r="AU56" i="3"/>
  <c r="AV60" i="3"/>
  <c r="AZ83" i="3"/>
  <c r="AF87" i="3"/>
  <c r="AX77" i="3"/>
  <c r="AY79" i="3"/>
  <c r="AS72" i="3"/>
  <c r="AW57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S97" i="3"/>
  <c r="AY63" i="3"/>
  <c r="AU79" i="3"/>
  <c r="AY57" i="3"/>
  <c r="AT97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T89" i="3"/>
  <c r="AW78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Z80" i="3"/>
  <c r="AV73" i="3"/>
  <c r="AT58" i="3"/>
  <c r="AX80" i="3"/>
  <c r="AY97" i="3"/>
  <c r="AY65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X47" i="3"/>
  <c r="AZ87" i="3"/>
  <c r="AT88" i="3"/>
  <c r="AX61" i="3"/>
  <c r="AV50" i="3"/>
  <c r="AY74" i="3"/>
  <c r="C78" i="3"/>
  <c r="AS57" i="3"/>
  <c r="AS82" i="3"/>
  <c r="AX90" i="3"/>
  <c r="AU86" i="3"/>
  <c r="AT48" i="3"/>
  <c r="AV54" i="3"/>
  <c r="AY83" i="3"/>
  <c r="AU97" i="3"/>
  <c r="AS79" i="3"/>
  <c r="AU60" i="3"/>
  <c r="CJ69" i="1" l="1"/>
  <c r="AC131" i="1"/>
  <c r="CU131" i="1"/>
  <c r="CV131" i="1" s="1"/>
  <c r="CW131" i="1" s="1"/>
  <c r="CX131" i="1" s="1"/>
  <c r="CL85" i="1"/>
  <c r="CL86" i="1"/>
  <c r="CL87" i="1"/>
  <c r="CK69" i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AD46" i="1"/>
  <c r="CZ46" i="1"/>
  <c r="DA46" i="1" s="1"/>
  <c r="DB46" i="1" s="1"/>
  <c r="AE35" i="1"/>
  <c r="U8" i="1"/>
  <c r="V8" i="1"/>
  <c r="W8" i="1"/>
  <c r="CJ85" i="1" l="1"/>
  <c r="CJ86" i="1"/>
  <c r="CJ87" i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I112" i="1" l="1"/>
  <c r="CG31" i="1"/>
  <c r="CI226" i="1"/>
  <c r="CG250" i="1"/>
  <c r="CF29" i="1"/>
  <c r="CF232" i="1"/>
  <c r="CF233" i="1" s="1"/>
  <c r="CJ30" i="1"/>
  <c r="CF34" i="1"/>
  <c r="CG226" i="1"/>
  <c r="CF30" i="1"/>
  <c r="CS185" i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F38" i="1" l="1"/>
  <c r="CI55" i="1"/>
  <c r="CU184" i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41" i="1" l="1"/>
  <c r="CF40" i="1"/>
  <c r="CF234" i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J43" i="1" l="1"/>
  <c r="CG44" i="1"/>
  <c r="CI227" i="1"/>
  <c r="CF48" i="1"/>
  <c r="CV185" i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Z249" i="1" s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CZ206" i="1" l="1"/>
  <c r="DA184" i="1"/>
  <c r="CZ185" i="1"/>
  <c r="DB125" i="1"/>
  <c r="DB128" i="1" s="1"/>
  <c r="DA128" i="1"/>
  <c r="DA249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A206" i="1" l="1"/>
  <c r="DB184" i="1"/>
  <c r="DB185" i="1" s="1"/>
  <c r="DA185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X28" i="2"/>
  <c r="M14" i="2"/>
  <c r="D16" i="2"/>
  <c r="M18" i="2"/>
  <c r="I16" i="2"/>
  <c r="I9" i="2"/>
  <c r="F35" i="2"/>
  <c r="N35" i="2"/>
  <c r="O22" i="2"/>
  <c r="V10" i="2"/>
  <c r="U13" i="2"/>
  <c r="G25" i="2"/>
  <c r="V22" i="2"/>
  <c r="Q13" i="2"/>
  <c r="H15" i="2"/>
  <c r="E23" i="2"/>
  <c r="T10" i="2"/>
  <c r="AR49" i="3"/>
  <c r="J8" i="2"/>
  <c r="R11" i="2"/>
  <c r="AR95" i="3"/>
  <c r="C11" i="2"/>
  <c r="V27" i="2"/>
  <c r="AR59" i="3"/>
  <c r="AA46" i="3"/>
  <c r="D37" i="3"/>
  <c r="D36" i="3"/>
  <c r="E20" i="3"/>
  <c r="AE45" i="3"/>
  <c r="D15" i="3"/>
  <c r="AR25" i="3"/>
  <c r="AR38" i="3"/>
  <c r="AL45" i="3"/>
  <c r="D22" i="3"/>
  <c r="M45" i="3"/>
  <c r="E29" i="3"/>
  <c r="E15" i="3"/>
  <c r="D35" i="3"/>
  <c r="F41" i="3"/>
  <c r="AZ15" i="4" a="1"/>
  <c r="DL9" i="4" a="1"/>
  <c r="BF13" i="4" a="1"/>
  <c r="AV9" i="4" a="1"/>
  <c r="AI14" i="4" a="1"/>
  <c r="DV5" i="4" a="1"/>
  <c r="BE11" i="4" a="1"/>
  <c r="C15" i="4" a="1"/>
  <c r="DY11" i="4" a="1"/>
  <c r="CO6" i="4" a="1"/>
  <c r="CB13" i="4" a="1"/>
  <c r="BN11" i="4" a="1"/>
  <c r="CW14" i="4" a="1"/>
  <c r="BM15" i="4" a="1"/>
  <c r="DF7" i="4" a="1"/>
  <c r="BS7" i="4" a="1"/>
  <c r="V14" i="4" a="1"/>
  <c r="CO13" i="4" a="1"/>
  <c r="DE15" i="4" a="1"/>
  <c r="BI6" i="4" a="1"/>
  <c r="CW7" i="4" a="1"/>
  <c r="AD7" i="4" a="1"/>
  <c r="DW6" i="4" a="1"/>
  <c r="CN7" i="4" a="1"/>
  <c r="BI7" i="4" a="1"/>
  <c r="DG5" i="4" a="1"/>
  <c r="CF12" i="4" a="1"/>
  <c r="CG8" i="4" a="1"/>
  <c r="DA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T35" i="2"/>
  <c r="G17" i="2"/>
  <c r="Q16" i="2"/>
  <c r="F6" i="2"/>
  <c r="U11" i="2"/>
  <c r="I19" i="2"/>
  <c r="X16" i="2"/>
  <c r="K35" i="2"/>
  <c r="D23" i="2"/>
  <c r="P19" i="2"/>
  <c r="K20" i="2"/>
  <c r="D33" i="2"/>
  <c r="S7" i="2"/>
  <c r="C18" i="2"/>
  <c r="S21" i="2"/>
  <c r="R17" i="2"/>
  <c r="AR55" i="3"/>
  <c r="V17" i="2"/>
  <c r="C23" i="2"/>
  <c r="AR58" i="3"/>
  <c r="I34" i="2"/>
  <c r="H25" i="2"/>
  <c r="AR82" i="3"/>
  <c r="AJ46" i="3"/>
  <c r="F22" i="3"/>
  <c r="AR13" i="3"/>
  <c r="G26" i="3"/>
  <c r="D40" i="3"/>
  <c r="E17" i="3"/>
  <c r="D11" i="3"/>
  <c r="AK46" i="3"/>
  <c r="AR46" i="3"/>
  <c r="AN46" i="3"/>
  <c r="F9" i="3"/>
  <c r="G19" i="3"/>
  <c r="D25" i="3"/>
  <c r="E19" i="3"/>
  <c r="F38" i="3"/>
  <c r="BB8" i="4" a="1"/>
  <c r="BF11" i="4" a="1"/>
  <c r="AJ12" i="4" a="1"/>
  <c r="CF16" i="4" a="1"/>
  <c r="CM16" i="4" a="1"/>
  <c r="DM6" i="4" a="1"/>
  <c r="DG8" i="4" a="1"/>
  <c r="L9" i="4" a="1"/>
  <c r="K7" i="4" a="1"/>
  <c r="BW15" i="4" a="1"/>
  <c r="T7" i="4" a="1"/>
  <c r="AP9" i="4" a="1"/>
  <c r="CQ13" i="4" a="1"/>
  <c r="CY16" i="4" a="1"/>
  <c r="CX6" i="4" a="1"/>
  <c r="DO12" i="4" a="1"/>
  <c r="DL6" i="4" a="1"/>
  <c r="P16" i="4" a="1"/>
  <c r="AV16" i="4" a="1"/>
  <c r="BY5" i="4" a="1"/>
  <c r="DX6" i="4" a="1"/>
  <c r="DX13" i="4" a="1"/>
  <c r="DL11" i="4" a="1"/>
  <c r="AF8" i="4" a="1"/>
  <c r="BO5" i="4" a="1"/>
  <c r="EE11" i="4" a="1"/>
  <c r="CE5" i="4" a="1"/>
  <c r="A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Q69" i="2"/>
  <c r="Q6" i="2"/>
  <c r="P7" i="2"/>
  <c r="O15" i="2"/>
  <c r="V24" i="2"/>
  <c r="D24" i="2"/>
  <c r="R21" i="2"/>
  <c r="J19" i="2"/>
  <c r="N31" i="2"/>
  <c r="V18" i="2"/>
  <c r="L18" i="2"/>
  <c r="T16" i="2"/>
  <c r="X21" i="2"/>
  <c r="G11" i="2"/>
  <c r="W14" i="2"/>
  <c r="N21" i="2"/>
  <c r="AF50" i="3"/>
  <c r="W70" i="2"/>
  <c r="C65" i="2"/>
  <c r="AR83" i="3"/>
  <c r="N20" i="2"/>
  <c r="E22" i="2"/>
  <c r="AR66" i="3"/>
  <c r="E40" i="3"/>
  <c r="G11" i="3"/>
  <c r="AD17" i="3"/>
  <c r="T46" i="3"/>
  <c r="D29" i="3"/>
  <c r="E21" i="3"/>
  <c r="K46" i="3"/>
  <c r="E33" i="3"/>
  <c r="D8" i="3"/>
  <c r="E36" i="3"/>
  <c r="D38" i="3"/>
  <c r="G12" i="3"/>
  <c r="AR29" i="3"/>
  <c r="F40" i="3"/>
  <c r="AD11" i="3"/>
  <c r="DT7" i="4" a="1"/>
  <c r="CI7" i="4" a="1"/>
  <c r="CC11" i="4" a="1"/>
  <c r="BX9" i="4" a="1"/>
  <c r="AX11" i="4" a="1"/>
  <c r="S11" i="4" a="1"/>
  <c r="BH5" i="4" a="1"/>
  <c r="W11" i="4" a="1"/>
  <c r="C9" i="4" a="1"/>
  <c r="CQ14" i="4" a="1"/>
  <c r="T16" i="4" a="1"/>
  <c r="DE14" i="4" a="1"/>
  <c r="R13" i="4" a="1"/>
  <c r="C8" i="2"/>
  <c r="Q58" i="2"/>
  <c r="S25" i="2"/>
  <c r="Q30" i="2"/>
  <c r="G33" i="2"/>
  <c r="J15" i="2"/>
  <c r="L32" i="2"/>
  <c r="S20" i="2"/>
  <c r="P8" i="2"/>
  <c r="X20" i="2"/>
  <c r="K9" i="2"/>
  <c r="P30" i="2"/>
  <c r="N6" i="2"/>
  <c r="J35" i="2"/>
  <c r="U5" i="2"/>
  <c r="R36" i="2"/>
  <c r="AR93" i="3"/>
  <c r="D11" i="2"/>
  <c r="I6" i="2"/>
  <c r="V19" i="2"/>
  <c r="X29" i="2"/>
  <c r="U9" i="2"/>
  <c r="AR81" i="3"/>
  <c r="G17" i="3"/>
  <c r="E25" i="3"/>
  <c r="F19" i="3"/>
  <c r="X45" i="3"/>
  <c r="AN45" i="3"/>
  <c r="E22" i="3"/>
  <c r="C46" i="3"/>
  <c r="G9" i="3"/>
  <c r="F11" i="3"/>
  <c r="AD5" i="3"/>
  <c r="AR14" i="3"/>
  <c r="F23" i="3"/>
  <c r="G20" i="3"/>
  <c r="AM45" i="3"/>
  <c r="F28" i="3"/>
  <c r="E16" i="4" a="1"/>
  <c r="DM5" i="4" a="1"/>
  <c r="BJ11" i="4" a="1"/>
  <c r="CF7" i="4" a="1"/>
  <c r="BW11" i="4" a="1"/>
  <c r="BX8" i="4" a="1"/>
  <c r="AD8" i="4" a="1"/>
  <c r="BZ8" i="4" a="1"/>
  <c r="BV13" i="4" a="1"/>
  <c r="EI14" i="4" a="1"/>
  <c r="V15" i="4" a="1"/>
  <c r="DG15" i="4" a="1"/>
  <c r="DN9" i="4" a="1"/>
  <c r="AK13" i="4" a="1"/>
  <c r="CN8" i="4" a="1"/>
  <c r="AA12" i="4" a="1"/>
  <c r="DC7" i="4" a="1"/>
  <c r="X19" i="2"/>
  <c r="N11" i="2"/>
  <c r="Q56" i="2"/>
  <c r="I31" i="2"/>
  <c r="U34" i="2"/>
  <c r="W12" i="2"/>
  <c r="N14" i="2"/>
  <c r="J7" i="2"/>
  <c r="D10" i="2"/>
  <c r="I24" i="2"/>
  <c r="H27" i="2"/>
  <c r="K59" i="2"/>
  <c r="P32" i="2"/>
  <c r="E15" i="2"/>
  <c r="T6" i="2"/>
  <c r="E36" i="2"/>
  <c r="T8" i="2"/>
  <c r="R26" i="2"/>
  <c r="K19" i="2"/>
  <c r="N8" i="2"/>
  <c r="R30" i="2"/>
  <c r="C30" i="2"/>
  <c r="O14" i="2"/>
  <c r="AQ6" i="3"/>
  <c r="E11" i="3"/>
  <c r="G5" i="3"/>
  <c r="E14" i="3"/>
  <c r="W46" i="3"/>
  <c r="AB45" i="3"/>
  <c r="E42" i="3"/>
  <c r="Q45" i="3"/>
  <c r="P45" i="3"/>
  <c r="E24" i="3"/>
  <c r="AO46" i="3"/>
  <c r="E7" i="3"/>
  <c r="F7" i="3"/>
  <c r="K45" i="3"/>
  <c r="F35" i="3"/>
  <c r="X13" i="4" a="1"/>
  <c r="DZ14" i="4" a="1"/>
  <c r="BL13" i="4" a="1"/>
  <c r="J9" i="4" a="1"/>
  <c r="CR13" i="4" a="1"/>
  <c r="DU7" i="4" a="1"/>
  <c r="BO8" i="4" a="1"/>
  <c r="AI7" i="4" a="1"/>
  <c r="CX14" i="4" a="1"/>
  <c r="CN16" i="4" a="1"/>
  <c r="EH16" i="4" a="1"/>
  <c r="CT8" i="4" a="1"/>
  <c r="EG16" i="4" a="1"/>
  <c r="U16" i="4" a="1"/>
  <c r="BL12" i="4" a="1"/>
  <c r="CJ5" i="4" a="1"/>
  <c r="D13" i="4" a="1"/>
  <c r="BT9" i="4" a="1"/>
  <c r="CC8" i="4" a="1"/>
  <c r="X5" i="4" a="1"/>
  <c r="DQ9" i="4" a="1"/>
  <c r="DD13" i="4" a="1"/>
  <c r="BH14" i="4" a="1"/>
  <c r="CM6" i="4" a="1"/>
  <c r="AP16" i="4" a="1"/>
  <c r="G12" i="4" a="1"/>
  <c r="CL9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T26" i="2"/>
  <c r="I14" i="2"/>
  <c r="O17" i="2"/>
  <c r="R29" i="2"/>
  <c r="K10" i="2"/>
  <c r="C27" i="2"/>
  <c r="X34" i="2"/>
  <c r="G26" i="2"/>
  <c r="D36" i="2"/>
  <c r="M35" i="2"/>
  <c r="E25" i="2"/>
  <c r="T14" i="2"/>
  <c r="D27" i="2"/>
  <c r="J20" i="2"/>
  <c r="C14" i="2"/>
  <c r="C7" i="2"/>
  <c r="J5" i="2"/>
  <c r="W74" i="2"/>
  <c r="M30" i="2"/>
  <c r="X26" i="2"/>
  <c r="N32" i="2"/>
  <c r="P10" i="2"/>
  <c r="E45" i="2"/>
  <c r="AR19" i="3"/>
  <c r="F36" i="3"/>
  <c r="E26" i="3"/>
  <c r="E18" i="3"/>
  <c r="F14" i="3"/>
  <c r="D30" i="3"/>
  <c r="AD45" i="3"/>
  <c r="D32" i="3"/>
  <c r="H46" i="3"/>
  <c r="F27" i="3"/>
  <c r="G16" i="3"/>
  <c r="F30" i="3"/>
  <c r="Y45" i="3"/>
  <c r="D41" i="3"/>
  <c r="G25" i="3"/>
  <c r="BV7" i="4" a="1"/>
  <c r="CK15" i="4" a="1"/>
  <c r="F12" i="4" a="1"/>
  <c r="AT14" i="4" a="1"/>
  <c r="D14" i="4" a="1"/>
  <c r="CR8" i="4" a="1"/>
  <c r="BU7" i="4" a="1"/>
  <c r="DS12" i="4" a="1"/>
  <c r="AF16" i="4" a="1"/>
  <c r="DC9" i="4" a="1"/>
  <c r="DM12" i="4" a="1"/>
  <c r="EG5" i="4" a="1"/>
  <c r="AB11" i="4" a="1"/>
  <c r="R14" i="4" a="1"/>
  <c r="BX16" i="4" a="1"/>
  <c r="DY16" i="4" a="1"/>
  <c r="K14" i="4" a="1"/>
  <c r="CJ9" i="4" a="1"/>
  <c r="CA8" i="4" a="1"/>
  <c r="DI16" i="4" a="1"/>
  <c r="W13" i="4" a="1"/>
  <c r="CP14" i="4" a="1"/>
  <c r="CF14" i="4" a="1"/>
  <c r="BK12" i="4" a="1"/>
  <c r="X6" i="4" a="1"/>
  <c r="AH15" i="4" a="1"/>
  <c r="DU5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V34" i="2"/>
  <c r="U12" i="2"/>
  <c r="W21" i="2"/>
  <c r="I8" i="2"/>
  <c r="G31" i="2"/>
  <c r="D7" i="2"/>
  <c r="R23" i="2"/>
  <c r="C59" i="2"/>
  <c r="K16" i="2"/>
  <c r="G27" i="2"/>
  <c r="T19" i="2"/>
  <c r="F19" i="2"/>
  <c r="G8" i="2"/>
  <c r="H10" i="2"/>
  <c r="Q25" i="2"/>
  <c r="Q59" i="2"/>
  <c r="M24" i="2"/>
  <c r="H14" i="2"/>
  <c r="R7" i="2"/>
  <c r="AR79" i="3"/>
  <c r="M21" i="2"/>
  <c r="U32" i="2"/>
  <c r="I26" i="2"/>
  <c r="J46" i="3"/>
  <c r="F18" i="3"/>
  <c r="AQ46" i="3"/>
  <c r="AR33" i="3"/>
  <c r="F42" i="3"/>
  <c r="E23" i="3"/>
  <c r="AD8" i="3"/>
  <c r="AQ45" i="3"/>
  <c r="AR45" i="3"/>
  <c r="AD12" i="3"/>
  <c r="E16" i="3"/>
  <c r="E34" i="3"/>
  <c r="Q46" i="3"/>
  <c r="J45" i="3"/>
  <c r="EH5" i="4" a="1"/>
  <c r="CX7" i="4" a="1"/>
  <c r="BN7" i="4" a="1"/>
  <c r="AK9" i="4" a="1"/>
  <c r="CT11" i="4" a="1"/>
  <c r="BU12" i="4" a="1"/>
  <c r="DT12" i="4" a="1"/>
  <c r="AN8" i="4" a="1"/>
  <c r="BP7" i="4" a="1"/>
  <c r="Q12" i="4" a="1"/>
  <c r="EG14" i="4" a="1"/>
  <c r="AC16" i="4" a="1"/>
  <c r="AH8" i="4" a="1"/>
  <c r="EA5" i="4" a="1"/>
  <c r="DH8" i="4" a="1"/>
  <c r="P7" i="4" a="1"/>
  <c r="BH12" i="4" a="1"/>
  <c r="R11" i="4" a="1"/>
  <c r="CH7" i="4" a="1"/>
  <c r="DQ8" i="4" a="1"/>
  <c r="CB9" i="4" a="1"/>
  <c r="BZ9" i="4" a="1"/>
  <c r="BQ9" i="4" a="1"/>
  <c r="BE7" i="4" a="1"/>
  <c r="DB16" i="4" a="1"/>
  <c r="BE6" i="4" a="1"/>
  <c r="DG16" i="4" a="1"/>
  <c r="EA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T5" i="2"/>
  <c r="N9" i="2"/>
  <c r="K33" i="2"/>
  <c r="T12" i="2"/>
  <c r="P23" i="2"/>
  <c r="T30" i="2"/>
  <c r="S9" i="2"/>
  <c r="Q8" i="2"/>
  <c r="P6" i="2"/>
  <c r="O11" i="2"/>
  <c r="N7" i="2"/>
  <c r="N30" i="2"/>
  <c r="S8" i="2"/>
  <c r="L6" i="2"/>
  <c r="Q32" i="2"/>
  <c r="Q36" i="2"/>
  <c r="AR97" i="3"/>
  <c r="E5" i="2"/>
  <c r="E20" i="2"/>
  <c r="P12" i="2"/>
  <c r="H35" i="2"/>
  <c r="S11" i="2"/>
  <c r="F18" i="2"/>
  <c r="W45" i="3"/>
  <c r="AI46" i="3"/>
  <c r="C45" i="3"/>
  <c r="AD18" i="3"/>
  <c r="E6" i="3"/>
  <c r="AH46" i="3"/>
  <c r="U45" i="3"/>
  <c r="G18" i="3"/>
  <c r="E38" i="3"/>
  <c r="N46" i="3"/>
  <c r="AR20" i="3"/>
  <c r="F15" i="3"/>
  <c r="AD6" i="3"/>
  <c r="G22" i="3"/>
  <c r="AD9" i="4" a="1"/>
  <c r="DO14" i="4" a="1"/>
  <c r="CI15" i="4" a="1"/>
  <c r="BC9" i="4" a="1"/>
  <c r="BR12" i="4" a="1"/>
  <c r="E14" i="4" a="1"/>
  <c r="DK5" i="4" a="1"/>
  <c r="BS6" i="4" a="1"/>
  <c r="AJ14" i="4" a="1"/>
  <c r="DF5" i="4" a="1"/>
  <c r="CM8" i="4" a="1"/>
  <c r="AK14" i="4" a="1"/>
  <c r="BN16" i="4" a="1"/>
  <c r="DM15" i="4" a="1"/>
  <c r="R6" i="4" a="1"/>
  <c r="DQ13" i="4" a="1"/>
  <c r="DZ16" i="4" a="1"/>
  <c r="BP11" i="4" a="1"/>
  <c r="AQ15" i="4" a="1"/>
  <c r="O7" i="4" a="1"/>
  <c r="J7" i="4" a="1"/>
  <c r="AX6" i="4" a="1"/>
  <c r="BR13" i="4" a="1"/>
  <c r="BD5" i="4" a="1"/>
  <c r="BC5" i="4" a="1"/>
  <c r="EI6" i="4" a="1"/>
  <c r="U9" i="4" a="1"/>
  <c r="CQ8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K26" i="2"/>
  <c r="F75" i="2"/>
  <c r="K32" i="2"/>
  <c r="V28" i="2"/>
  <c r="O12" i="2"/>
  <c r="D28" i="2"/>
  <c r="C22" i="2"/>
  <c r="S15" i="2"/>
  <c r="X63" i="2"/>
  <c r="G24" i="2"/>
  <c r="L21" i="2"/>
  <c r="L36" i="2"/>
  <c r="W15" i="2"/>
  <c r="P31" i="2"/>
  <c r="J32" i="2"/>
  <c r="T11" i="2"/>
  <c r="P18" i="2"/>
  <c r="J23" i="2"/>
  <c r="AR74" i="3"/>
  <c r="I11" i="2"/>
  <c r="H5" i="2"/>
  <c r="E21" i="2"/>
  <c r="G13" i="2"/>
  <c r="H45" i="3"/>
  <c r="AR12" i="3"/>
  <c r="AR21" i="3"/>
  <c r="L46" i="3"/>
  <c r="D21" i="3"/>
  <c r="AR32" i="3"/>
  <c r="F31" i="3"/>
  <c r="AD46" i="3"/>
  <c r="AD7" i="3"/>
  <c r="D6" i="3"/>
  <c r="AR8" i="3"/>
  <c r="AR28" i="3"/>
  <c r="AB46" i="3"/>
  <c r="F26" i="3"/>
  <c r="R16" i="4" a="1"/>
  <c r="AL12" i="4" a="1"/>
  <c r="BU6" i="4" a="1"/>
  <c r="AI9" i="4" a="1"/>
  <c r="DG12" i="4" a="1"/>
  <c r="DL15" i="4" a="1"/>
  <c r="DL14" i="4" a="1"/>
  <c r="DF15" i="4" a="1"/>
  <c r="BL9" i="4" a="1"/>
  <c r="AM7" i="4" a="1"/>
  <c r="BB13" i="4" a="1"/>
  <c r="BG8" i="4" a="1"/>
  <c r="BZ5" i="4" a="1"/>
  <c r="AQ12" i="4" a="1"/>
  <c r="DG13" i="4" a="1"/>
  <c r="BT13" i="4" a="1"/>
  <c r="V12" i="4" a="1"/>
  <c r="AE7" i="4" a="1"/>
  <c r="CN14" i="4" a="1"/>
  <c r="BE8" i="4" a="1"/>
  <c r="CX15" i="4" a="1"/>
  <c r="CI13" i="4" a="1"/>
  <c r="CU9" i="4" a="1"/>
  <c r="EC11" i="4" a="1"/>
  <c r="AU11" i="4" a="1"/>
  <c r="BS12" i="4" a="1"/>
  <c r="CS1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O8" i="2"/>
  <c r="G16" i="2"/>
  <c r="L12" i="2"/>
  <c r="X8" i="2"/>
  <c r="K23" i="2"/>
  <c r="O18" i="2"/>
  <c r="F5" i="2"/>
  <c r="H16" i="2"/>
  <c r="O5" i="2"/>
  <c r="P11" i="2"/>
  <c r="S31" i="2"/>
  <c r="P35" i="2"/>
  <c r="Q20" i="2"/>
  <c r="D13" i="2"/>
  <c r="J17" i="2"/>
  <c r="AR70" i="3"/>
  <c r="F26" i="2"/>
  <c r="C26" i="2"/>
  <c r="AR48" i="3"/>
  <c r="P21" i="2"/>
  <c r="I21" i="2"/>
  <c r="L27" i="2"/>
  <c r="AR61" i="3"/>
  <c r="F10" i="3"/>
  <c r="D24" i="3"/>
  <c r="G31" i="3"/>
  <c r="E10" i="3"/>
  <c r="G46" i="3"/>
  <c r="AR30" i="3"/>
  <c r="AD14" i="3"/>
  <c r="D42" i="3"/>
  <c r="F24" i="3"/>
  <c r="G28" i="3"/>
  <c r="AR31" i="3"/>
  <c r="G29" i="3"/>
  <c r="E27" i="3"/>
  <c r="L45" i="3"/>
  <c r="F11" i="4" a="1"/>
  <c r="AX8" i="4" a="1"/>
  <c r="Y16" i="4" a="1"/>
  <c r="AM11" i="4" a="1"/>
  <c r="Z15" i="4" a="1"/>
  <c r="EG12" i="4" a="1"/>
  <c r="AG12" i="4" a="1"/>
  <c r="DB14" i="4" a="1"/>
  <c r="DP14" i="4" a="1"/>
  <c r="BG5" i="4" a="1"/>
  <c r="DH15" i="4" a="1"/>
  <c r="DI14" i="4" a="1"/>
  <c r="BA5" i="4" a="1"/>
  <c r="Q14" i="4" a="1"/>
  <c r="AE6" i="4" a="1"/>
  <c r="AG15" i="4" a="1"/>
  <c r="AQ13" i="4" a="1"/>
  <c r="CV6" i="4" a="1"/>
  <c r="DY8" i="4" a="1"/>
  <c r="AG9" i="4" a="1"/>
  <c r="X15" i="4" a="1"/>
  <c r="AD5" i="4" a="1"/>
  <c r="C7" i="4" a="1"/>
  <c r="DZ12" i="4" a="1"/>
  <c r="CP13" i="4" a="1"/>
  <c r="T8" i="4" a="1"/>
  <c r="EE12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D19" i="2"/>
  <c r="D32" i="2"/>
  <c r="R33" i="2"/>
  <c r="U25" i="2"/>
  <c r="K17" i="2"/>
  <c r="W31" i="2"/>
  <c r="G32" i="2"/>
  <c r="N19" i="2"/>
  <c r="V36" i="2"/>
  <c r="E10" i="2"/>
  <c r="H18" i="2"/>
  <c r="I22" i="2"/>
  <c r="I36" i="2"/>
  <c r="I25" i="2"/>
  <c r="P25" i="2"/>
  <c r="AR57" i="3"/>
  <c r="U28" i="2"/>
  <c r="N13" i="2"/>
  <c r="AR54" i="3"/>
  <c r="M9" i="2"/>
  <c r="F30" i="2"/>
  <c r="J34" i="2"/>
  <c r="AR37" i="3"/>
  <c r="AR22" i="3"/>
  <c r="AR36" i="3"/>
  <c r="AA45" i="3"/>
  <c r="AI45" i="3"/>
  <c r="V45" i="3"/>
  <c r="D10" i="3"/>
  <c r="E35" i="3"/>
  <c r="G6" i="3"/>
  <c r="E13" i="3"/>
  <c r="AD9" i="3"/>
  <c r="AR18" i="3"/>
  <c r="F21" i="3"/>
  <c r="D31" i="3"/>
  <c r="D28" i="3"/>
  <c r="ED16" i="4" a="1"/>
  <c r="DA11" i="4" a="1"/>
  <c r="BK8" i="4" a="1"/>
  <c r="BV14" i="4" a="1"/>
  <c r="DK7" i="4" a="1"/>
  <c r="AS6" i="4" a="1"/>
  <c r="BT7" i="4" a="1"/>
  <c r="DR16" i="4" a="1"/>
  <c r="DV7" i="4" a="1"/>
  <c r="CQ6" i="4" a="1"/>
  <c r="CT14" i="4" a="1"/>
  <c r="CG12" i="4" a="1"/>
  <c r="BY13" i="4" a="1"/>
  <c r="G23" i="2"/>
  <c r="M15" i="2"/>
  <c r="S45" i="3"/>
  <c r="D5" i="3"/>
  <c r="EK5" i="4" a="1"/>
  <c r="CO9" i="4" a="1"/>
  <c r="AM5" i="4" a="1"/>
  <c r="AY9" i="4" a="1"/>
  <c r="EJ7" i="4" a="1"/>
  <c r="BB16" i="4" a="1"/>
  <c r="D7" i="4" a="1"/>
  <c r="DL5" i="4" a="1"/>
  <c r="D9" i="4" a="1"/>
  <c r="BH16" i="4" a="1"/>
  <c r="BV11" i="4" a="1"/>
  <c r="CS5" i="4" a="1"/>
  <c r="EB16" i="4" a="1"/>
  <c r="DV6" i="4" a="1"/>
  <c r="AE15" i="4" a="1"/>
  <c r="CC14" i="4" a="1"/>
  <c r="R5" i="4" a="1"/>
  <c r="Y7" i="4" a="1"/>
  <c r="AZ13" i="4" a="1"/>
  <c r="DA12" i="4" a="1"/>
  <c r="DY5" i="4" a="1"/>
  <c r="CQ12" i="4" a="1"/>
  <c r="DU16" i="4" a="1"/>
  <c r="ED7" i="4" a="1"/>
  <c r="AA7" i="4" a="1"/>
  <c r="CV7" i="4" a="1"/>
  <c r="Q8" i="4" a="1"/>
  <c r="P12" i="4" a="1"/>
  <c r="AY13" i="4" a="1"/>
  <c r="DL7" i="4" a="1"/>
  <c r="DV8" i="4" a="1"/>
  <c r="BY16" i="4" a="1"/>
  <c r="AR15" i="4" a="1"/>
  <c r="BX14" i="4" a="1"/>
  <c r="CP6" i="4" a="1"/>
  <c r="EK9" i="4" a="1"/>
  <c r="BN12" i="4" a="1"/>
  <c r="DH7" i="4" a="1"/>
  <c r="CS16" i="4" a="1"/>
  <c r="ED8" i="4" a="1"/>
  <c r="BR9" i="4" a="1"/>
  <c r="EE9" i="4" a="1"/>
  <c r="CR15" i="4" a="1"/>
  <c r="DN5" i="4" a="1"/>
  <c r="H8" i="4" a="1"/>
  <c r="CV16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BL8" i="4" a="1"/>
  <c r="AP15" i="4" a="1"/>
  <c r="DR12" i="4" a="1"/>
  <c r="T12" i="4" a="1"/>
  <c r="DJ6" i="4" a="1"/>
  <c r="U12" i="4" a="1"/>
  <c r="DH6" i="4" a="1"/>
  <c r="BW12" i="4" a="1"/>
  <c r="Y12" i="4" a="1"/>
  <c r="D12" i="4" a="1"/>
  <c r="F13" i="4" a="1"/>
  <c r="BJ7" i="4" a="1"/>
  <c r="AZ5" i="4" a="1"/>
  <c r="AX9" i="4" a="1"/>
  <c r="AV5" i="4" a="1"/>
  <c r="AP13" i="4" a="1"/>
  <c r="AP14" i="4" a="1"/>
  <c r="AF11" i="4" a="1"/>
  <c r="AQ9" i="4" a="1"/>
  <c r="CO7" i="4" a="1"/>
  <c r="BK5" i="4" a="1"/>
  <c r="DM8" i="4" a="1"/>
  <c r="E13" i="4" a="1"/>
  <c r="CL15" i="4" a="1"/>
  <c r="X11" i="4" a="1"/>
  <c r="AW13" i="4" a="1"/>
  <c r="BY9" i="4" a="1"/>
  <c r="CX12" i="4" a="1"/>
  <c r="C14" i="4" a="1"/>
  <c r="BZ16" i="4" a="1"/>
  <c r="AQ8" i="4" a="1"/>
  <c r="N15" i="4" a="1"/>
  <c r="DJ5" i="4" a="1"/>
  <c r="DV12" i="4" a="1"/>
  <c r="AM8" i="4" a="1"/>
  <c r="CW6" i="4" a="1"/>
  <c r="EI11" i="4" a="1"/>
  <c r="O14" i="4" a="1"/>
  <c r="AM13" i="4" a="1"/>
  <c r="AR6" i="4" a="1"/>
  <c r="BQ13" i="4" a="1"/>
  <c r="Q7" i="4" a="1"/>
  <c r="DZ15" i="4" a="1"/>
  <c r="AH16" i="4" a="1"/>
  <c r="EF12" i="4" a="1"/>
  <c r="BD8" i="4" a="1"/>
  <c r="CK16" i="4" a="1"/>
  <c r="DN11" i="4" a="1"/>
  <c r="DO7" i="4" a="1"/>
  <c r="AS12" i="4" a="1"/>
  <c r="L17" i="2"/>
  <c r="U26" i="2"/>
  <c r="D26" i="3"/>
  <c r="DO5" i="4" a="1"/>
  <c r="EE14" i="4" a="1"/>
  <c r="I11" i="4" a="1"/>
  <c r="AY7" i="4" a="1"/>
  <c r="DJ13" i="4" a="1"/>
  <c r="BP6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U15" i="4" a="1"/>
  <c r="M12" i="4" a="1"/>
  <c r="CR12" i="4" a="1"/>
  <c r="U7" i="4" a="1"/>
  <c r="DR9" i="4" a="1"/>
  <c r="DO13" i="4" a="1"/>
  <c r="D8" i="2"/>
  <c r="S18" i="2"/>
  <c r="D17" i="3"/>
  <c r="BY8" i="4" a="1"/>
  <c r="BA9" i="4" a="1"/>
  <c r="DA7" i="4" a="1"/>
  <c r="BI5" i="4" a="1"/>
  <c r="ED9" i="4" a="1"/>
  <c r="AI8" i="4" a="1"/>
  <c r="CC16" i="4" a="1"/>
  <c r="CH14" i="4" a="1"/>
  <c r="BM13" i="4" a="1"/>
  <c r="BG7" i="4" a="1"/>
  <c r="CG7" i="4" a="1"/>
  <c r="BO16" i="4" a="1"/>
  <c r="J14" i="4" a="1"/>
  <c r="AP7" i="4" a="1"/>
  <c r="CL6" i="4" a="1"/>
  <c r="CB15" i="4" a="1"/>
  <c r="AJ7" i="4" a="1"/>
  <c r="DL16" i="4" a="1"/>
  <c r="AE11" i="4" a="1"/>
  <c r="CS6" i="4" a="1"/>
  <c r="BB5" i="4" a="1"/>
  <c r="BX13" i="4" a="1"/>
  <c r="BZ7" i="4" a="1"/>
  <c r="DR7" i="4" a="1"/>
  <c r="CJ14" i="4" a="1"/>
  <c r="I9" i="4" a="1"/>
  <c r="DB6" i="4" a="1"/>
  <c r="CU14" i="4" a="1"/>
  <c r="BH8" i="4" a="1"/>
  <c r="CA7" i="4" a="1"/>
  <c r="DS9" i="4" a="1"/>
  <c r="AR14" i="4" a="1"/>
  <c r="O16" i="4" a="1"/>
  <c r="BQ14" i="4" a="1"/>
  <c r="DA15" i="4" a="1"/>
  <c r="AJ11" i="4" a="1"/>
  <c r="W16" i="4" a="1"/>
  <c r="S6" i="4" a="1"/>
  <c r="D20" i="2"/>
  <c r="AR69" i="3"/>
  <c r="AR40" i="3"/>
  <c r="AK11" i="4" a="1"/>
  <c r="M7" i="4" a="1"/>
  <c r="AC15" i="4" a="1"/>
  <c r="C8" i="4" a="1"/>
  <c r="AB9" i="4" a="1"/>
  <c r="DP12" i="4" a="1"/>
  <c r="BG11" i="4" a="1"/>
  <c r="BQ8" i="4" a="1"/>
  <c r="X9" i="4" a="1"/>
  <c r="DZ11" i="4" a="1"/>
  <c r="BC15" i="4" a="1"/>
  <c r="AW5" i="4" a="1"/>
  <c r="BI15" i="4" a="1"/>
  <c r="BZ13" i="4" a="1"/>
  <c r="BW6" i="4" a="1"/>
  <c r="CQ15" i="4" a="1"/>
  <c r="CP15" i="4" a="1"/>
  <c r="CN12" i="4" a="1"/>
  <c r="AH9" i="4" a="1"/>
  <c r="AL7" i="4" a="1"/>
  <c r="AE13" i="4" a="1"/>
  <c r="DJ9" i="4" a="1"/>
  <c r="AY16" i="4" a="1"/>
  <c r="DJ7" i="4" a="1"/>
  <c r="DI5" i="4" a="1"/>
  <c r="AV14" i="4" a="1"/>
  <c r="DX14" i="4" a="1"/>
  <c r="BG6" i="4" a="1"/>
  <c r="DL12" i="4" a="1"/>
  <c r="DX15" i="4" a="1"/>
  <c r="CC5" i="4" a="1"/>
  <c r="CH5" i="4" a="1"/>
  <c r="CV11" i="4" a="1"/>
  <c r="EF9" i="4" a="1"/>
  <c r="CL5" i="4" a="1"/>
  <c r="E15" i="4" a="1"/>
  <c r="CJ7" i="4" a="1"/>
  <c r="G13" i="4" a="1"/>
  <c r="EI8" i="4" a="1"/>
  <c r="AB7" i="4" a="1"/>
  <c r="CT16" i="4" a="1"/>
  <c r="AL9" i="4" a="1"/>
  <c r="CP16" i="4" a="1"/>
  <c r="CK7" i="4" a="1"/>
  <c r="CE9" i="4" a="1"/>
  <c r="AU14" i="4" a="1"/>
  <c r="CJ16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CH9" i="4" a="1"/>
  <c r="D5" i="4" a="1"/>
  <c r="AH14" i="4" a="1"/>
  <c r="DU8" i="4" a="1"/>
  <c r="BF12" i="4" a="1"/>
  <c r="V5" i="4" a="1"/>
  <c r="U14" i="4" a="1"/>
  <c r="AK15" i="4" a="1"/>
  <c r="CV5" i="4" a="1"/>
  <c r="CY9" i="4" a="1"/>
  <c r="Y9" i="4" a="1"/>
  <c r="BZ12" i="4" a="1"/>
  <c r="DZ8" i="4" a="1"/>
  <c r="BM12" i="4" a="1"/>
  <c r="BG13" i="4" a="1"/>
  <c r="Z13" i="4" a="1"/>
  <c r="X12" i="4" a="1"/>
  <c r="DW11" i="4" a="1"/>
  <c r="BL5" i="4" a="1"/>
  <c r="Z12" i="4" a="1"/>
  <c r="DB15" i="4" a="1"/>
  <c r="AC8" i="4" a="1"/>
  <c r="AW16" i="4" a="1"/>
  <c r="DD15" i="4" a="1"/>
  <c r="O13" i="4" a="1"/>
  <c r="CK13" i="4" a="1"/>
  <c r="H12" i="4" a="1"/>
  <c r="AY14" i="4" a="1"/>
  <c r="AH6" i="4" a="1"/>
  <c r="T13" i="4" a="1"/>
  <c r="AZ16" i="4" a="1"/>
  <c r="AP6" i="4" a="1"/>
  <c r="DH16" i="4" a="1"/>
  <c r="L15" i="4" a="1"/>
  <c r="CC9" i="4" a="1"/>
  <c r="EJ9" i="4" a="1"/>
  <c r="BM7" i="4" a="1"/>
  <c r="AQ6" i="4" a="1"/>
  <c r="AW8" i="4" a="1"/>
  <c r="AZ11" i="4" a="1"/>
  <c r="L8" i="4" a="1"/>
  <c r="P15" i="4" a="1"/>
  <c r="I20" i="2"/>
  <c r="V20" i="2"/>
  <c r="D23" i="3"/>
  <c r="CZ16" i="4" a="1"/>
  <c r="ED14" i="4" a="1"/>
  <c r="BH6" i="4" a="1"/>
  <c r="AK7" i="4" a="1"/>
  <c r="CM13" i="4" a="1"/>
  <c r="CR5" i="4" a="1"/>
  <c r="EG6" i="4" a="1"/>
  <c r="CP8" i="4" a="1"/>
  <c r="BP5" i="4" a="1"/>
  <c r="DS5" i="4" a="1"/>
  <c r="BS14" i="4" a="1"/>
  <c r="BD11" i="4" a="1"/>
  <c r="AL6" i="4" a="1"/>
  <c r="CQ11" i="4" a="1"/>
  <c r="AR16" i="4" a="1"/>
  <c r="Y11" i="4" a="1"/>
  <c r="EH8" i="4" a="1"/>
  <c r="CF8" i="4" a="1"/>
  <c r="AQ16" i="4" a="1"/>
  <c r="H14" i="4" a="1"/>
  <c r="AV12" i="4" a="1"/>
  <c r="CG6" i="4" a="1"/>
  <c r="CU5" i="4" a="1"/>
  <c r="BL11" i="4" a="1"/>
  <c r="H15" i="4" a="1"/>
  <c r="EA14" i="4" a="1"/>
  <c r="BT8" i="4" a="1"/>
  <c r="CW11" i="4" a="1"/>
  <c r="N6" i="4" a="1"/>
  <c r="P11" i="4" a="1"/>
  <c r="DD11" i="4" a="1"/>
  <c r="J15" i="4" a="1"/>
  <c r="DU9" i="4" a="1"/>
  <c r="AT16" i="4" a="1"/>
  <c r="BG16" i="4" a="1"/>
  <c r="AW11" i="4" a="1"/>
  <c r="AX12" i="4" a="1"/>
  <c r="CK9" i="4" a="1"/>
  <c r="EC16" i="4" a="1"/>
  <c r="DQ12" i="4" a="1"/>
  <c r="AC13" i="4" a="1"/>
  <c r="BF16" i="4" a="1"/>
  <c r="BO7" i="4" a="1"/>
  <c r="EH15" i="4" a="1"/>
  <c r="AY15" i="4" a="1"/>
  <c r="DV11" i="4" a="1"/>
  <c r="AM14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DJ8" i="4" a="1"/>
  <c r="CY13" i="4" a="1"/>
  <c r="BD16" i="4" a="1"/>
  <c r="BE13" i="4" a="1"/>
  <c r="DH5" i="4" a="1"/>
  <c r="AD15" i="4" a="1"/>
  <c r="CN6" i="4" a="1"/>
  <c r="DK15" i="4" a="1"/>
  <c r="CX9" i="4" a="1"/>
  <c r="BC6" i="4" a="1"/>
  <c r="AV7" i="4" a="1"/>
  <c r="AP12" i="4" a="1"/>
  <c r="BP13" i="4" a="1"/>
  <c r="Q16" i="4" a="1"/>
  <c r="CN5" i="4" a="1"/>
  <c r="BI12" i="4" a="1"/>
  <c r="CP11" i="4" a="1"/>
  <c r="DT15" i="4" a="1"/>
  <c r="BA8" i="4" a="1"/>
  <c r="Q6" i="4" a="1"/>
  <c r="DW8" i="4" a="1"/>
  <c r="EH12" i="4" a="1"/>
  <c r="DP9" i="4" a="1"/>
  <c r="EF5" i="4" a="1"/>
  <c r="CK11" i="4" a="1"/>
  <c r="CR14" i="4" a="1"/>
  <c r="I12" i="4" a="1"/>
  <c r="CO16" i="4" a="1"/>
  <c r="J25" i="2"/>
  <c r="J16" i="2"/>
  <c r="F6" i="3"/>
  <c r="AN7" i="4" a="1"/>
  <c r="BU8" i="4" a="1"/>
  <c r="AO5" i="4" a="1"/>
  <c r="AF9" i="4" a="1"/>
  <c r="EK8" i="4" a="1"/>
  <c r="AZ8" i="4" a="1"/>
  <c r="BK11" i="4" a="1"/>
  <c r="BA7" i="4" a="1"/>
  <c r="CJ13" i="4" a="1"/>
  <c r="BE5" i="4" a="1"/>
  <c r="AA6" i="4" a="1"/>
  <c r="E9" i="4" a="1"/>
  <c r="DN15" i="4" a="1"/>
  <c r="AO7" i="4" a="1"/>
  <c r="BR6" i="4" a="1"/>
  <c r="BR11" i="4" a="1"/>
  <c r="G6" i="4" a="1"/>
  <c r="AB16" i="4" a="1"/>
  <c r="AQ7" i="4" a="1"/>
  <c r="DZ9" i="4" a="1"/>
  <c r="BR7" i="4" a="1"/>
  <c r="CY14" i="4" a="1"/>
  <c r="K6" i="4" a="1"/>
  <c r="AN12" i="4" a="1"/>
  <c r="AB14" i="4" a="1"/>
  <c r="O9" i="4" a="1"/>
  <c r="DR8" i="4" a="1"/>
  <c r="AD6" i="4" a="1"/>
  <c r="AP5" i="4" a="1"/>
  <c r="M11" i="4" a="1"/>
  <c r="CS13" i="4" a="1"/>
  <c r="EA11" i="4" a="1"/>
  <c r="CD13" i="4" a="1"/>
  <c r="CH16" i="4" a="1"/>
  <c r="CB8" i="4" a="1"/>
  <c r="CU16" i="4" a="1"/>
  <c r="BN13" i="4" a="1"/>
  <c r="CR7" i="4" a="1"/>
  <c r="AV6" i="4" a="1"/>
  <c r="CG11" i="4" a="1"/>
  <c r="M15" i="4" a="1"/>
  <c r="CP5" i="4" a="1"/>
  <c r="AF14" i="4" a="1"/>
  <c r="S8" i="4" a="1"/>
  <c r="BS5" i="4" a="1"/>
  <c r="DD7" i="4" a="1"/>
  <c r="DI11" i="4" a="1"/>
  <c r="H9" i="4" a="1"/>
  <c r="AT11" i="4" a="1"/>
  <c r="DD14" i="4" a="1"/>
  <c r="BS8" i="4" a="1"/>
  <c r="CL14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V7" i="4" a="1"/>
  <c r="CS11" i="4" a="1"/>
  <c r="CC15" i="4" a="1"/>
  <c r="EE5" i="4" a="1"/>
  <c r="DA16" i="4" a="1"/>
  <c r="DU12" i="4" a="1"/>
  <c r="EG15" i="4" a="1"/>
  <c r="C12" i="4" a="1"/>
  <c r="EI15" i="4" a="1"/>
  <c r="DE7" i="4" a="1"/>
  <c r="AQ11" i="4" a="1"/>
  <c r="AL16" i="4" a="1"/>
  <c r="BF6" i="4" a="1"/>
  <c r="Q11" i="4" a="1"/>
  <c r="DV14" i="4" a="1"/>
  <c r="E7" i="4" a="1"/>
  <c r="EE7" i="4" a="1"/>
  <c r="CA13" i="4" a="1"/>
  <c r="BF8" i="4" a="1"/>
  <c r="E45" i="3"/>
  <c r="AA11" i="4" a="1"/>
  <c r="U8" i="4" a="1"/>
  <c r="EJ6" i="4" a="1"/>
  <c r="DW9" i="4" a="1"/>
  <c r="BW9" i="4" a="1"/>
  <c r="N16" i="4" a="1"/>
  <c r="DY15" i="4" a="1"/>
  <c r="BQ5" i="4" a="1"/>
  <c r="I15" i="4" a="1"/>
  <c r="X14" i="4" a="1"/>
  <c r="AG13" i="4" a="1"/>
  <c r="P13" i="4" a="1"/>
  <c r="R12" i="4" a="1"/>
  <c r="CW12" i="4" a="1"/>
  <c r="CB6" i="4" a="1"/>
  <c r="EI7" i="4" a="1"/>
  <c r="AJ15" i="4" a="1"/>
  <c r="H6" i="2"/>
  <c r="AR91" i="3"/>
  <c r="O46" i="3"/>
  <c r="AH13" i="4" a="1"/>
  <c r="X7" i="4" a="1"/>
  <c r="BR5" i="4" a="1"/>
  <c r="AL5" i="4" a="1"/>
  <c r="EB8" i="4" a="1"/>
  <c r="AR12" i="4" a="1"/>
  <c r="W12" i="4" a="1"/>
  <c r="BC8" i="4" a="1"/>
  <c r="BL16" i="4" a="1"/>
  <c r="M6" i="4" a="1"/>
  <c r="BV9" i="4" a="1"/>
  <c r="BS13" i="4" a="1"/>
  <c r="DT11" i="4" a="1"/>
  <c r="DX5" i="4" a="1"/>
  <c r="EE6" i="4" a="1"/>
  <c r="AB6" i="4" a="1"/>
  <c r="C16" i="4" a="1"/>
  <c r="AU15" i="4" a="1"/>
  <c r="BJ14" i="4" a="1"/>
  <c r="BN6" i="4" a="1"/>
  <c r="CI11" i="4" a="1"/>
  <c r="BZ6" i="4" a="1"/>
  <c r="CP7" i="4" a="1"/>
  <c r="D16" i="4" a="1"/>
  <c r="AH7" i="4" a="1"/>
  <c r="AK16" i="4" a="1"/>
  <c r="EF6" i="4" a="1"/>
  <c r="CZ5" i="4" a="1"/>
  <c r="CV15" i="4" a="1"/>
  <c r="BA14" i="4" a="1"/>
  <c r="CE8" i="4" a="1"/>
  <c r="AA14" i="4" a="1"/>
  <c r="DX16" i="4" a="1"/>
  <c r="BN15" i="4" a="1"/>
  <c r="L14" i="4" a="1"/>
  <c r="DM14" i="4" a="1"/>
  <c r="DY6" i="4" a="1"/>
  <c r="AY8" i="4" a="1"/>
  <c r="CH11" i="4" a="1"/>
  <c r="DU13" i="4" a="1"/>
  <c r="S14" i="4" a="1"/>
  <c r="AM12" i="4" a="1"/>
  <c r="BH13" i="4" a="1"/>
  <c r="EF16" i="4" a="1"/>
  <c r="DM9" i="4" a="1"/>
  <c r="AF5" i="4" a="1"/>
  <c r="DY12" i="4" a="1"/>
  <c r="CU7" i="4" a="1"/>
  <c r="H7" i="4" a="1"/>
  <c r="Y15" i="4" a="1"/>
  <c r="BU16" i="4" a="1"/>
  <c r="DC6" i="4" a="1"/>
  <c r="DB5" i="4" a="1"/>
  <c r="EI13" i="4" a="1"/>
  <c r="DW13" i="4" a="1"/>
  <c r="EK14" i="4" a="1"/>
  <c r="BH9" i="4" a="1"/>
  <c r="DC5" i="4" a="1"/>
  <c r="BR8" i="4" a="1"/>
  <c r="BU11" i="4" a="1"/>
  <c r="BN5" i="4" a="1"/>
  <c r="CY11" i="4" a="1"/>
  <c r="DU15" i="4" a="1"/>
  <c r="AO16" i="4" a="1"/>
  <c r="BG14" i="4" a="1"/>
  <c r="DK12" i="4" a="1"/>
  <c r="BW14" i="4" a="1"/>
  <c r="AE8" i="4" a="1"/>
  <c r="EJ8" i="4" a="1"/>
  <c r="Q9" i="4" a="1"/>
  <c r="DV13" i="4" a="1"/>
  <c r="DU14" i="4" a="1"/>
  <c r="DV9" i="4" a="1"/>
  <c r="T14" i="4" a="1"/>
  <c r="CZ6" i="4" a="1"/>
  <c r="N5" i="4" a="1"/>
  <c r="P9" i="4" a="1"/>
  <c r="AE12" i="4" a="1"/>
  <c r="CK5" i="4" a="1"/>
  <c r="AQ5" i="4" a="1"/>
  <c r="G7" i="4" a="1"/>
  <c r="BM5" i="4" a="1"/>
  <c r="I8" i="4" a="1"/>
  <c r="BK9" i="4" a="1"/>
  <c r="F6" i="4" a="1"/>
  <c r="CW5" i="4" a="1"/>
  <c r="CD7" i="4" a="1"/>
  <c r="AT9" i="4" a="1"/>
  <c r="CW16" i="4" a="1"/>
  <c r="EG11" i="4" a="1"/>
  <c r="DR13" i="4" a="1"/>
  <c r="G5" i="4" a="1"/>
  <c r="P28" i="2"/>
  <c r="X35" i="2"/>
  <c r="G10" i="3"/>
  <c r="CZ12" i="4" a="1"/>
  <c r="BK6" i="4" a="1"/>
  <c r="CU6" i="4" a="1"/>
  <c r="DP16" i="4" a="1"/>
  <c r="AH5" i="4" a="1"/>
  <c r="ED6" i="4" a="1"/>
  <c r="AD12" i="4" a="1"/>
  <c r="I13" i="4" a="1"/>
  <c r="AC6" i="4" a="1"/>
  <c r="BW16" i="4" a="1"/>
  <c r="CG14" i="4" a="1"/>
  <c r="AG14" i="4" a="1"/>
  <c r="AX13" i="4" a="1"/>
  <c r="CA11" i="4" a="1"/>
  <c r="BN9" i="4" a="1"/>
  <c r="DX12" i="4" a="1"/>
  <c r="BT5" i="4" a="1"/>
  <c r="AX14" i="4" a="1"/>
  <c r="DD6" i="4" a="1"/>
  <c r="DB13" i="4" a="1"/>
  <c r="EE15" i="4" a="1"/>
  <c r="S12" i="4" a="1"/>
  <c r="DO15" i="4" a="1"/>
  <c r="EE13" i="4" a="1"/>
  <c r="CA16" i="4" a="1"/>
  <c r="EG8" i="4" a="1"/>
  <c r="CC12" i="4" a="1"/>
  <c r="CZ7" i="4" a="1"/>
  <c r="EB7" i="4" a="1"/>
  <c r="CE16" i="4" a="1"/>
  <c r="DJ12" i="4" a="1"/>
  <c r="DE5" i="4" a="1"/>
  <c r="CX16" i="4" a="1"/>
  <c r="CR11" i="4" a="1"/>
  <c r="H11" i="4" a="1"/>
  <c r="AN16" i="4" a="1"/>
  <c r="BI11" i="4" a="1"/>
  <c r="DI6" i="4" a="1"/>
  <c r="DY13" i="4" a="1"/>
  <c r="T11" i="4" a="1"/>
  <c r="BT12" i="4" a="1"/>
  <c r="AU9" i="4" a="1"/>
  <c r="BD13" i="4" a="1"/>
  <c r="BY6" i="4" a="1"/>
  <c r="CJ15" i="4" a="1"/>
  <c r="T24" i="2"/>
  <c r="I13" i="2"/>
  <c r="G24" i="3"/>
  <c r="BQ7" i="4" a="1"/>
  <c r="M5" i="4" a="1"/>
  <c r="DE12" i="4" a="1"/>
  <c r="BI16" i="4" a="1"/>
  <c r="DN12" i="4" a="1"/>
  <c r="DS6" i="4" a="1"/>
  <c r="BG12" i="4" a="1"/>
  <c r="AW14" i="4" a="1"/>
  <c r="AZ6" i="4" a="1"/>
  <c r="EI12" i="4" a="1"/>
  <c r="N12" i="4" a="1"/>
  <c r="G11" i="4" a="1"/>
  <c r="DN6" i="4" a="1"/>
  <c r="V8" i="4" a="1"/>
  <c r="DQ7" i="4" a="1"/>
  <c r="O8" i="4" a="1"/>
  <c r="AY5" i="4" a="1"/>
  <c r="AC5" i="4" a="1"/>
  <c r="CE11" i="4" a="1"/>
  <c r="N11" i="4" a="1"/>
  <c r="BW13" i="4" a="1"/>
  <c r="BX6" i="4" a="1"/>
  <c r="BQ16" i="4" a="1"/>
  <c r="DN8" i="4" a="1"/>
  <c r="DA13" i="4" a="1"/>
  <c r="CG5" i="4" a="1"/>
  <c r="DU6" i="4" a="1"/>
  <c r="BD14" i="4" a="1"/>
  <c r="W7" i="4" a="1"/>
  <c r="DQ6" i="4" a="1"/>
  <c r="BD9" i="4" a="1"/>
  <c r="EC5" i="4" a="1"/>
  <c r="AW9" i="4" a="1"/>
  <c r="CX8" i="4" a="1"/>
  <c r="AI6" i="4" a="1"/>
  <c r="BC7" i="4" a="1"/>
  <c r="AF12" i="4" a="1"/>
  <c r="BJ13" i="4" a="1"/>
  <c r="AD13" i="4" a="1"/>
  <c r="AG8" i="4" a="1"/>
  <c r="BB7" i="4" a="1"/>
  <c r="CL7" i="4" a="1"/>
  <c r="AN5" i="4" a="1"/>
  <c r="CU12" i="4" a="1"/>
  <c r="CZ13" i="4" a="1"/>
  <c r="CB16" i="4" a="1"/>
  <c r="AU6" i="4" a="1"/>
  <c r="ED13" i="4" a="1"/>
  <c r="BA13" i="4" a="1"/>
  <c r="CU15" i="4" a="1"/>
  <c r="AN6" i="4" a="1"/>
  <c r="EB13" i="4" a="1"/>
  <c r="AG6" i="4" a="1"/>
  <c r="BL6" i="4" a="1"/>
  <c r="DS7" i="4" a="1"/>
  <c r="CX13" i="4" a="1"/>
  <c r="BW5" i="4" a="1"/>
  <c r="BY12" i="4" a="1"/>
  <c r="BH11" i="4" a="1"/>
  <c r="M32" i="2"/>
  <c r="CM11" i="4" a="1"/>
  <c r="EH9" i="4" a="1"/>
  <c r="T5" i="4" a="1"/>
  <c r="Q15" i="4" a="1"/>
  <c r="DB9" i="4" a="1"/>
  <c r="BQ12" i="4" a="1"/>
  <c r="Z14" i="4" a="1"/>
  <c r="AD14" i="4" a="1"/>
  <c r="BF15" i="4" a="1"/>
  <c r="BC11" i="4" a="1"/>
  <c r="DS8" i="4" a="1"/>
  <c r="DK9" i="4" a="1"/>
  <c r="S7" i="4" a="1"/>
  <c r="BF5" i="4" a="1"/>
  <c r="CK8" i="4" a="1"/>
  <c r="BA11" i="4" a="1"/>
  <c r="O5" i="4" a="1"/>
  <c r="DB11" i="4" a="1"/>
  <c r="AN14" i="4" a="1"/>
  <c r="CM5" i="4" a="1"/>
  <c r="X27" i="2"/>
  <c r="AR86" i="3"/>
  <c r="E12" i="3"/>
  <c r="D6" i="4" a="1"/>
  <c r="CV9" i="4" a="1"/>
  <c r="DG11" i="4" a="1"/>
  <c r="AK6" i="4" a="1"/>
  <c r="DR11" i="4" a="1"/>
  <c r="DJ14" i="4" a="1"/>
  <c r="DZ6" i="4" a="1"/>
  <c r="AY11" i="4" a="1"/>
  <c r="L6" i="4" a="1"/>
  <c r="BY14" i="4" a="1"/>
  <c r="AN13" i="4" a="1"/>
  <c r="EB6" i="4" a="1"/>
  <c r="AX15" i="4" a="1"/>
  <c r="DG7" i="4" a="1"/>
  <c r="L11" i="4" a="1"/>
  <c r="CR16" i="4" a="1"/>
  <c r="DG9" i="4" a="1"/>
  <c r="EK12" i="4" a="1"/>
  <c r="AC9" i="4" a="1"/>
  <c r="CM14" i="4" a="1"/>
  <c r="BY11" i="4" a="1"/>
  <c r="DC8" i="4" a="1"/>
  <c r="AS11" i="4" a="1"/>
  <c r="BT14" i="4" a="1"/>
  <c r="DF9" i="4" a="1"/>
  <c r="AT13" i="4" a="1"/>
  <c r="BZ14" i="4" a="1"/>
  <c r="EE8" i="4" a="1"/>
  <c r="EB11" i="4" a="1"/>
  <c r="X16" i="4" a="1"/>
  <c r="BL14" i="4" a="1"/>
  <c r="M13" i="4" a="1"/>
  <c r="CH12" i="4" a="1"/>
  <c r="Y14" i="4" a="1"/>
  <c r="CC7" i="4" a="1"/>
  <c r="Z6" i="4" a="1"/>
  <c r="AS16" i="4" a="1"/>
  <c r="EB12" i="4" a="1"/>
  <c r="AU8" i="4" a="1"/>
  <c r="ED15" i="4" a="1"/>
  <c r="AX7" i="4" a="1"/>
  <c r="AE14" i="4" a="1"/>
  <c r="AA15" i="4" a="1"/>
  <c r="BL15" i="4" a="1"/>
  <c r="DY9" i="4" a="1"/>
  <c r="CF5" i="4" a="1"/>
  <c r="BE16" i="4" a="1"/>
  <c r="AT12" i="4" a="1"/>
  <c r="EH14" i="4" a="1"/>
  <c r="DK11" i="4" a="1"/>
  <c r="G7" i="3"/>
  <c r="CV14" i="4" a="1"/>
  <c r="DR14" i="4" a="1"/>
  <c r="H5" i="4" a="1"/>
  <c r="P5" i="4" a="1"/>
  <c r="DD8" i="4" a="1"/>
  <c r="EK7" i="4" a="1"/>
  <c r="AE5" i="4" a="1"/>
  <c r="CA14" i="4" a="1"/>
  <c r="CZ14" i="4" a="1"/>
  <c r="DN16" i="4" a="1"/>
  <c r="W15" i="4" a="1"/>
  <c r="CC6" i="4" a="1"/>
  <c r="DN7" i="4" a="1"/>
  <c r="AO6" i="4" a="1"/>
  <c r="EG13" i="4" a="1"/>
  <c r="CO12" i="4" a="1"/>
  <c r="CE14" i="4" a="1"/>
  <c r="CL13" i="4" a="1"/>
  <c r="AG5" i="4" a="1"/>
  <c r="EC6" i="4" a="1"/>
  <c r="DT8" i="4" a="1"/>
  <c r="H11" i="2"/>
  <c r="E5" i="3"/>
  <c r="AR23" i="3"/>
  <c r="AZ7" i="4" a="1"/>
  <c r="AO11" i="4" a="1"/>
  <c r="M14" i="4" a="1"/>
  <c r="EF13" i="4" a="1"/>
  <c r="DF11" i="4" a="1"/>
  <c r="CH8" i="4" a="1"/>
  <c r="DO6" i="4" a="1"/>
  <c r="DA14" i="4" a="1"/>
  <c r="EF15" i="4" a="1"/>
  <c r="AT15" i="4" a="1"/>
  <c r="AJ5" i="4" a="1"/>
  <c r="AH12" i="4" a="1"/>
  <c r="BB15" i="4" a="1"/>
  <c r="AS8" i="4" a="1"/>
  <c r="J12" i="4" a="1"/>
  <c r="AW12" i="4" a="1"/>
  <c r="CM9" i="4" a="1"/>
  <c r="EG9" i="4" a="1"/>
  <c r="DS15" i="4" a="1"/>
  <c r="BX15" i="4" a="1"/>
  <c r="AO15" i="4" a="1"/>
  <c r="DZ5" i="4" a="1"/>
  <c r="DD16" i="4" a="1"/>
  <c r="DM7" i="4" a="1"/>
  <c r="AD89" i="3"/>
  <c r="G64" i="3"/>
  <c r="D56" i="3"/>
  <c r="E90" i="3"/>
  <c r="D69" i="3"/>
  <c r="F85" i="3"/>
  <c r="F57" i="3"/>
  <c r="D85" i="3"/>
  <c r="F77" i="3"/>
  <c r="AD65" i="3"/>
  <c r="F73" i="3"/>
  <c r="E85" i="3"/>
  <c r="AD63" i="3"/>
  <c r="F61" i="3"/>
  <c r="G76" i="3"/>
  <c r="E93" i="3"/>
  <c r="D86" i="3"/>
  <c r="AD74" i="3"/>
  <c r="G68" i="3"/>
  <c r="D76" i="3"/>
  <c r="F67" i="3"/>
  <c r="F66" i="3"/>
  <c r="E74" i="3"/>
  <c r="D66" i="3"/>
  <c r="D88" i="3"/>
  <c r="E57" i="3"/>
  <c r="AD57" i="3"/>
  <c r="E80" i="3"/>
  <c r="D73" i="3"/>
  <c r="AD86" i="3"/>
  <c r="G65" i="3"/>
  <c r="D93" i="3"/>
  <c r="AD72" i="3"/>
  <c r="F89" i="3"/>
  <c r="E82" i="3"/>
  <c r="E62" i="3"/>
  <c r="D77" i="3"/>
  <c r="D63" i="3"/>
  <c r="AD61" i="3"/>
  <c r="E56" i="3"/>
  <c r="G81" i="3"/>
  <c r="D91" i="3"/>
  <c r="E78" i="3"/>
  <c r="E75" i="3"/>
  <c r="E61" i="3"/>
  <c r="E65" i="3"/>
  <c r="G95" i="3"/>
  <c r="E64" i="3"/>
  <c r="D84" i="3"/>
  <c r="D57" i="3"/>
  <c r="E96" i="3"/>
  <c r="G87" i="3"/>
  <c r="D78" i="3"/>
  <c r="E77" i="3"/>
  <c r="D55" i="3"/>
  <c r="AD80" i="3"/>
  <c r="AD71" i="3"/>
  <c r="G88" i="3"/>
  <c r="F94" i="3"/>
  <c r="E87" i="3"/>
  <c r="D92" i="3"/>
  <c r="F49" i="3"/>
  <c r="E83" i="3"/>
  <c r="AD77" i="3"/>
  <c r="AD90" i="3"/>
  <c r="F58" i="3"/>
  <c r="F82" i="3"/>
  <c r="AD76" i="3"/>
  <c r="G83" i="3"/>
  <c r="G85" i="3"/>
  <c r="E79" i="3"/>
  <c r="E89" i="3"/>
  <c r="D97" i="3"/>
  <c r="E91" i="3"/>
  <c r="D70" i="3"/>
  <c r="F96" i="3"/>
  <c r="AD94" i="3"/>
  <c r="D60" i="3"/>
  <c r="E71" i="3"/>
  <c r="F79" i="3"/>
  <c r="E69" i="3"/>
  <c r="AD54" i="3"/>
  <c r="F86" i="3"/>
  <c r="G82" i="3"/>
  <c r="G72" i="3"/>
  <c r="F74" i="3"/>
  <c r="D89" i="3"/>
  <c r="F64" i="3"/>
  <c r="E73" i="3"/>
  <c r="AD81" i="3"/>
  <c r="G89" i="3"/>
  <c r="E70" i="3"/>
  <c r="F88" i="3"/>
  <c r="G58" i="3"/>
  <c r="E81" i="3"/>
  <c r="D82" i="3"/>
  <c r="F55" i="3"/>
  <c r="F60" i="3"/>
  <c r="E97" i="3"/>
  <c r="AD95" i="3"/>
  <c r="D64" i="3"/>
  <c r="G73" i="3"/>
  <c r="E72" i="3"/>
  <c r="F48" i="3"/>
  <c r="D59" i="3"/>
  <c r="F95" i="3"/>
  <c r="E54" i="3"/>
  <c r="F83" i="3"/>
  <c r="G77" i="3"/>
  <c r="F59" i="3"/>
  <c r="D74" i="3"/>
  <c r="G91" i="3"/>
  <c r="E92" i="3"/>
  <c r="AD82" i="3"/>
  <c r="F63" i="3"/>
  <c r="AD75" i="3"/>
  <c r="G56" i="3"/>
  <c r="E86" i="3"/>
  <c r="AD67" i="3"/>
  <c r="G84" i="3"/>
  <c r="F69" i="3"/>
  <c r="D81" i="3"/>
  <c r="F80" i="3"/>
  <c r="E59" i="3"/>
  <c r="AD68" i="3"/>
  <c r="AD62" i="3"/>
  <c r="AD59" i="3"/>
  <c r="F54" i="3"/>
  <c r="D68" i="3"/>
  <c r="AD66" i="3"/>
  <c r="G62" i="3"/>
  <c r="F47" i="3"/>
  <c r="F75" i="3"/>
  <c r="D61" i="3"/>
  <c r="G92" i="3"/>
  <c r="AD60" i="3"/>
  <c r="AD88" i="3"/>
  <c r="F70" i="3"/>
  <c r="F56" i="3"/>
  <c r="F84" i="3"/>
  <c r="F78" i="3"/>
  <c r="G75" i="3"/>
  <c r="F90" i="3"/>
  <c r="F97" i="3"/>
  <c r="F71" i="3"/>
  <c r="E95" i="3" l="1"/>
  <c r="F91" i="3"/>
  <c r="AD58" i="3"/>
  <c r="F76" i="3"/>
  <c r="F65" i="3"/>
  <c r="AD79" i="3"/>
  <c r="AD87" i="3"/>
  <c r="E67" i="3"/>
  <c r="E84" i="3"/>
  <c r="G63" i="3"/>
  <c r="E55" i="3"/>
  <c r="F93" i="3"/>
  <c r="G55" i="3"/>
  <c r="G74" i="3"/>
  <c r="E76" i="3"/>
  <c r="G79" i="3"/>
  <c r="G67" i="3"/>
  <c r="F62" i="3"/>
  <c r="G59" i="3"/>
  <c r="D90" i="3"/>
  <c r="D83" i="3"/>
  <c r="G96" i="3"/>
  <c r="E66" i="3"/>
  <c r="F50" i="3"/>
  <c r="F81" i="3"/>
  <c r="D71" i="3"/>
  <c r="AD73" i="3"/>
  <c r="F87" i="3"/>
  <c r="G57" i="3"/>
  <c r="G97" i="3"/>
  <c r="G61" i="3"/>
  <c r="F92" i="3"/>
  <c r="AD78" i="3"/>
  <c r="F68" i="3"/>
  <c r="F72" i="3"/>
  <c r="AD85" i="3"/>
  <c r="D94" i="3"/>
  <c r="AD97" i="3"/>
  <c r="G54" i="3"/>
  <c r="G80" i="3"/>
  <c r="AD93" i="3"/>
  <c r="AD55" i="3"/>
  <c r="D96" i="3"/>
  <c r="D62" i="3"/>
  <c r="G86" i="3"/>
  <c r="G78" i="3"/>
  <c r="G93" i="3"/>
  <c r="G71" i="3"/>
  <c r="G66" i="3"/>
  <c r="G69" i="3"/>
  <c r="AD91" i="3"/>
  <c r="G70" i="3"/>
  <c r="G60" i="3"/>
  <c r="G94" i="3"/>
  <c r="AD92" i="3"/>
  <c r="AD84" i="3"/>
  <c r="AD64" i="3"/>
  <c r="AD96" i="3"/>
  <c r="AD56" i="3"/>
  <c r="AD69" i="3"/>
  <c r="AD70" i="3"/>
  <c r="AD83" i="3"/>
  <c r="G90" i="3"/>
  <c r="D79" i="3"/>
  <c r="D58" i="3"/>
  <c r="D87" i="3"/>
  <c r="D54" i="3"/>
  <c r="D75" i="3"/>
  <c r="D67" i="3"/>
  <c r="D95" i="3"/>
  <c r="D65" i="3"/>
  <c r="D72" i="3"/>
  <c r="D80" i="3"/>
  <c r="E68" i="3"/>
  <c r="E58" i="3"/>
  <c r="E63" i="3"/>
  <c r="E88" i="3"/>
  <c r="E94" i="3"/>
  <c r="E60" i="3"/>
  <c r="IX16" i="4" s="1"/>
  <c r="BX35" i="1"/>
  <c r="G13" i="1"/>
  <c r="IG16" i="4" s="1"/>
  <c r="JE9" i="4" s="1"/>
  <c r="IC16" i="4" s="1"/>
  <c r="HV16" i="4" s="1"/>
  <c r="IY9" i="4" s="1"/>
  <c r="IT16" i="4" s="1"/>
  <c r="AK14" i="1"/>
  <c r="W32" i="1"/>
  <c r="JH9" i="4" s="1"/>
  <c r="L45" i="1"/>
  <c r="IK16" i="4" s="1"/>
  <c r="H24" i="1"/>
  <c r="IV16" i="4" s="1"/>
  <c r="IJ9" i="4" s="1"/>
  <c r="IM16" i="4" s="1"/>
  <c r="JB16" i="4" s="1"/>
  <c r="AM13" i="1"/>
  <c r="W51" i="1"/>
  <c r="II9" i="4" s="1"/>
  <c r="JD9" i="4" s="1"/>
  <c r="IH9" i="4" s="1"/>
  <c r="JA9" i="4" s="1"/>
  <c r="BX154" i="1"/>
  <c r="BY154" i="1" s="1"/>
  <c r="G8" i="1"/>
  <c r="G231" i="1" s="1"/>
  <c r="JI7" i="4" s="1"/>
  <c r="IM9" i="4" s="1"/>
  <c r="IW16" i="4" s="1"/>
  <c r="HV7" i="4" s="1"/>
  <c r="IV8" i="4" s="1"/>
  <c r="IU16" i="4" s="1"/>
  <c r="HS9" i="4" s="1"/>
  <c r="AL8" i="1"/>
  <c r="AL231" i="1" s="1"/>
  <c r="I36" i="1"/>
  <c r="IS16" i="4" s="1"/>
  <c r="JB9" i="4" s="1"/>
  <c r="IV9" i="4" s="1"/>
  <c r="II16" i="4" s="1"/>
  <c r="JF9" i="4" s="1"/>
  <c r="AJ35" i="1"/>
  <c r="IO9" i="4" s="1"/>
  <c r="IA16" i="4" s="1"/>
  <c r="IR7" i="4" s="1"/>
  <c r="IE16" i="4" s="1"/>
  <c r="BX132" i="1"/>
  <c r="HS16" i="4" s="1"/>
  <c r="JC9" i="4" s="1"/>
  <c r="HQ9" i="4" s="1"/>
  <c r="IB7" i="4" s="1"/>
  <c r="IO16" i="4" s="1"/>
  <c r="AJ21" i="1"/>
  <c r="R25" i="1"/>
  <c r="IQ9" i="4" s="1"/>
  <c r="AJ47" i="1"/>
  <c r="K21" i="1"/>
  <c r="IN16" i="4" s="1"/>
  <c r="IA9" i="4" s="1"/>
  <c r="JG9" i="4" s="1"/>
  <c r="JI9" i="4" s="1"/>
  <c r="JF16" i="4" s="1"/>
  <c r="IH16" i="4" s="1"/>
  <c r="IF16" i="4" s="1"/>
  <c r="IE9" i="4" s="1"/>
  <c r="IS9" i="4" s="1"/>
  <c r="L23" i="1"/>
  <c r="F35" i="1"/>
  <c r="AJ32" i="1"/>
  <c r="AJ194" i="1" s="1"/>
  <c r="AL22" i="1"/>
  <c r="BX25" i="1"/>
  <c r="AM8" i="1"/>
  <c r="AM231" i="1" s="1"/>
  <c r="AK46" i="1"/>
  <c r="AJ13" i="1"/>
  <c r="E39" i="1"/>
  <c r="M24" i="1"/>
  <c r="BX118" i="1"/>
  <c r="BY118" i="1" s="1"/>
  <c r="O36" i="1"/>
  <c r="H36" i="1"/>
  <c r="G25" i="1"/>
  <c r="M22" i="1"/>
  <c r="F45" i="1"/>
  <c r="J21" i="1"/>
  <c r="T36" i="1"/>
  <c r="Q46" i="1"/>
  <c r="C45" i="1"/>
  <c r="C22" i="1"/>
  <c r="HW16" i="4" s="1"/>
  <c r="IZ16" i="4" s="1"/>
  <c r="HZ9" i="4" s="1"/>
  <c r="IT9" i="4" s="1"/>
  <c r="HY9" i="4" s="1"/>
  <c r="AM39" i="1"/>
  <c r="AM32" i="1"/>
  <c r="AM194" i="1" s="1"/>
  <c r="AJ51" i="1"/>
  <c r="BJ23" i="1"/>
  <c r="AK13" i="1"/>
  <c r="AL13" i="1"/>
  <c r="K32" i="1"/>
  <c r="K194" i="1" s="1"/>
  <c r="BX133" i="1"/>
  <c r="I21" i="1"/>
  <c r="C24" i="1"/>
  <c r="O51" i="1"/>
  <c r="O13" i="1"/>
  <c r="N25" i="1"/>
  <c r="J35" i="1"/>
  <c r="K15" i="1"/>
  <c r="HW9" i="4" s="1"/>
  <c r="IR16" i="4" s="1"/>
  <c r="IU9" i="4" s="1"/>
  <c r="IV15" i="4" s="1"/>
  <c r="HT16" i="4" s="1"/>
  <c r="AL47" i="1"/>
  <c r="BX32" i="1"/>
  <c r="BX194" i="1" s="1"/>
  <c r="BX8" i="1"/>
  <c r="BX253" i="1" s="1"/>
  <c r="AJ8" i="1"/>
  <c r="AJ231" i="1" s="1"/>
  <c r="AJ22" i="1"/>
  <c r="BX22" i="1"/>
  <c r="BX14" i="1"/>
  <c r="F24" i="1"/>
  <c r="H13" i="1"/>
  <c r="BX137" i="1"/>
  <c r="BY137" i="1" s="1"/>
  <c r="I35" i="1"/>
  <c r="O25" i="1"/>
  <c r="S13" i="1"/>
  <c r="I45" i="1"/>
  <c r="V23" i="1"/>
  <c r="W132" i="1"/>
  <c r="R23" i="1"/>
  <c r="N15" i="1"/>
  <c r="J45" i="1"/>
  <c r="E159" i="1"/>
  <c r="JI16" i="4" s="1"/>
  <c r="HP7" i="4" s="1"/>
  <c r="IC9" i="4" s="1"/>
  <c r="IC8" i="4" s="1"/>
  <c r="IT8" i="4" s="1"/>
  <c r="HU9" i="4" s="1"/>
  <c r="BJ8" i="1"/>
  <c r="BJ231" i="1" s="1"/>
  <c r="AL24" i="1"/>
  <c r="BX9" i="1"/>
  <c r="AM25" i="1"/>
  <c r="AK8" i="1"/>
  <c r="BJ25" i="1"/>
  <c r="E25" i="1"/>
  <c r="R13" i="1"/>
  <c r="G51" i="1"/>
  <c r="O15" i="1"/>
  <c r="P45" i="1"/>
  <c r="K8" i="1"/>
  <c r="K231" i="1" s="1"/>
  <c r="M39" i="1"/>
  <c r="M9" i="1"/>
  <c r="N13" i="1"/>
  <c r="O8" i="1"/>
  <c r="S39" i="1"/>
  <c r="O35" i="1"/>
  <c r="S15" i="1"/>
  <c r="J46" i="1"/>
  <c r="JH8" i="4" s="1"/>
  <c r="JC16" i="4" s="1"/>
  <c r="AK45" i="1"/>
  <c r="AK20" i="1"/>
  <c r="BJ14" i="1"/>
  <c r="AK35" i="1"/>
  <c r="AL51" i="1"/>
  <c r="AL25" i="1"/>
  <c r="T45" i="1"/>
  <c r="BX143" i="1"/>
  <c r="BY143" i="1" s="1"/>
  <c r="Q9" i="1"/>
  <c r="G20" i="1"/>
  <c r="P36" i="1"/>
  <c r="E22" i="1"/>
  <c r="S22" i="1"/>
  <c r="F32" i="1"/>
  <c r="Q35" i="1"/>
  <c r="C9" i="1"/>
  <c r="T15" i="1"/>
  <c r="IF9" i="4" s="1"/>
  <c r="HY16" i="4" s="1"/>
  <c r="JE16" i="4" s="1"/>
  <c r="AM36" i="1"/>
  <c r="AM20" i="1"/>
  <c r="AL23" i="1"/>
  <c r="AK25" i="1"/>
  <c r="AK47" i="1"/>
  <c r="D122" i="1"/>
  <c r="M45" i="1"/>
  <c r="L39" i="1"/>
  <c r="B9" i="1"/>
  <c r="B20" i="1"/>
  <c r="C32" i="1"/>
  <c r="S20" i="1"/>
  <c r="D36" i="1"/>
  <c r="L51" i="1"/>
  <c r="B32" i="1"/>
  <c r="Q47" i="1"/>
  <c r="N21" i="1"/>
  <c r="H20" i="1"/>
  <c r="HR16" i="4" s="1"/>
  <c r="IL16" i="4" s="1"/>
  <c r="IR9" i="4" s="1"/>
  <c r="IB16" i="4" s="1"/>
  <c r="IL9" i="4" s="1"/>
  <c r="HU16" i="4" s="1"/>
  <c r="JH16" i="4" s="1"/>
  <c r="JH21" i="4" s="1"/>
  <c r="CB77" i="1" s="1"/>
  <c r="AL46" i="1"/>
  <c r="AK51" i="1"/>
  <c r="AK23" i="1"/>
  <c r="AK15" i="1"/>
  <c r="N20" i="1"/>
  <c r="B39" i="1"/>
  <c r="Q39" i="1"/>
  <c r="J22" i="1"/>
  <c r="S8" i="1"/>
  <c r="S231" i="1" s="1"/>
  <c r="D23" i="1"/>
  <c r="O45" i="1"/>
  <c r="G32" i="1"/>
  <c r="G194" i="1" s="1"/>
  <c r="I9" i="1"/>
  <c r="M20" i="1"/>
  <c r="V15" i="1"/>
  <c r="P127" i="1"/>
  <c r="M13" i="1"/>
  <c r="W22" i="1"/>
  <c r="AL32" i="1"/>
  <c r="AL194" i="1" s="1"/>
  <c r="AM9" i="1"/>
  <c r="AL35" i="1"/>
  <c r="BX23" i="1"/>
  <c r="AL15" i="1"/>
  <c r="AK36" i="1"/>
  <c r="AM21" i="1"/>
  <c r="BX144" i="1"/>
  <c r="W47" i="1"/>
  <c r="U22" i="1"/>
  <c r="H8" i="1"/>
  <c r="H231" i="1" s="1"/>
  <c r="C13" i="1"/>
  <c r="I51" i="1"/>
  <c r="M8" i="1"/>
  <c r="M231" i="1" s="1"/>
  <c r="O39" i="1"/>
  <c r="K45" i="1"/>
  <c r="I23" i="1"/>
  <c r="F46" i="1"/>
  <c r="P39" i="1"/>
  <c r="R36" i="1"/>
  <c r="BJ15" i="1"/>
  <c r="BX39" i="1"/>
  <c r="AM14" i="1"/>
  <c r="AK22" i="1"/>
  <c r="AJ39" i="1"/>
  <c r="BJ21" i="1"/>
  <c r="AM15" i="1"/>
  <c r="BX151" i="1"/>
  <c r="BY151" i="1" s="1"/>
  <c r="BX160" i="1"/>
  <c r="BL74" i="1"/>
  <c r="V20" i="1"/>
  <c r="F13" i="1"/>
  <c r="K25" i="1"/>
  <c r="U25" i="1"/>
  <c r="I22" i="1"/>
  <c r="N23" i="1"/>
  <c r="O9" i="1"/>
  <c r="P8" i="1"/>
  <c r="IG9" i="4" s="1"/>
  <c r="HP9" i="4" s="1"/>
  <c r="IB15" i="4" s="1"/>
  <c r="IX7" i="4" s="1"/>
  <c r="IQ16" i="4" s="1"/>
  <c r="JG16" i="4" s="1"/>
  <c r="JG21" i="4" s="1"/>
  <c r="CA77" i="1" s="1"/>
  <c r="ID16" i="4" s="1"/>
  <c r="IB9" i="4" s="1"/>
  <c r="IM15" i="4" s="1"/>
  <c r="HR7" i="4" s="1"/>
  <c r="HR9" i="4" s="1"/>
  <c r="AJ36" i="1"/>
  <c r="AJ37" i="1" s="1"/>
  <c r="AJ15" i="1"/>
  <c r="AK21" i="1"/>
  <c r="BX145" i="1"/>
  <c r="G36" i="1"/>
  <c r="BX119" i="1"/>
  <c r="BY119" i="1" s="1"/>
  <c r="B35" i="1"/>
  <c r="U21" i="1"/>
  <c r="Q21" i="1"/>
  <c r="B25" i="1"/>
  <c r="R9" i="1"/>
  <c r="C46" i="1"/>
  <c r="O22" i="1"/>
  <c r="C35" i="1"/>
  <c r="J51" i="1"/>
  <c r="H22" i="1"/>
  <c r="T13" i="1"/>
  <c r="E8" i="1"/>
  <c r="F21" i="1"/>
  <c r="S51" i="1"/>
  <c r="IC14" i="4" s="1"/>
  <c r="JE7" i="4" s="1"/>
  <c r="HT9" i="4" s="1"/>
  <c r="HT21" i="4" s="1"/>
  <c r="AN77" i="1" s="1"/>
  <c r="IW9" i="4" s="1"/>
  <c r="IG14" i="4" s="1"/>
  <c r="JA16" i="4" s="1"/>
  <c r="HX16" i="4" s="1"/>
  <c r="ID9" i="4" s="1"/>
  <c r="AJ46" i="1"/>
  <c r="AK24" i="1"/>
  <c r="AK39" i="1"/>
  <c r="BX36" i="1"/>
  <c r="AJ24" i="1"/>
  <c r="AK9" i="1"/>
  <c r="U32" i="1"/>
  <c r="U194" i="1" s="1"/>
  <c r="B13" i="1"/>
  <c r="BX164" i="1"/>
  <c r="BY164" i="1" s="1"/>
  <c r="Q13" i="1"/>
  <c r="BX73" i="1"/>
  <c r="D35" i="1"/>
  <c r="G23" i="1"/>
  <c r="P24" i="1"/>
  <c r="F36" i="1"/>
  <c r="T24" i="1"/>
  <c r="M51" i="1"/>
  <c r="E51" i="1"/>
  <c r="L25" i="1"/>
  <c r="L20" i="1"/>
  <c r="IX9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IP9" i="4" s="1"/>
  <c r="HY7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D46" i="1"/>
  <c r="W9" i="1"/>
  <c r="W10" i="1" s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P16" i="4" s="1"/>
  <c r="HX14" i="4" s="1"/>
  <c r="HQ14" i="4" s="1"/>
  <c r="HP8" i="4" s="1"/>
  <c r="IN7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H194" i="1" s="1"/>
  <c r="W46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BJ144" i="1"/>
  <c r="AJ127" i="1"/>
  <c r="AK127" i="1" s="1"/>
  <c r="BJ127" i="1"/>
  <c r="BK127" i="1" s="1"/>
  <c r="AJ122" i="1"/>
  <c r="AK122" i="1" s="1"/>
  <c r="AL145" i="1"/>
  <c r="AL142" i="1"/>
  <c r="AM142" i="1" s="1"/>
  <c r="AL125" i="1"/>
  <c r="AM125" i="1" s="1"/>
  <c r="AL164" i="1"/>
  <c r="AM164" i="1" s="1"/>
  <c r="AL149" i="1"/>
  <c r="AM149" i="1" s="1"/>
  <c r="AL119" i="1"/>
  <c r="BJ159" i="1"/>
  <c r="AJ153" i="1"/>
  <c r="AJ151" i="1"/>
  <c r="AK151" i="1" s="1"/>
  <c r="AJ149" i="1"/>
  <c r="AK149" i="1" s="1"/>
  <c r="BJ124" i="1"/>
  <c r="BK124" i="1" s="1"/>
  <c r="AL133" i="1"/>
  <c r="AL163" i="1"/>
  <c r="AM163" i="1" s="1"/>
  <c r="BJ131" i="1"/>
  <c r="BJ145" i="1"/>
  <c r="BJ164" i="1"/>
  <c r="AJ142" i="1"/>
  <c r="AK142" i="1" s="1"/>
  <c r="AJ154" i="1"/>
  <c r="AK154" i="1" s="1"/>
  <c r="AL151" i="1"/>
  <c r="AM151" i="1" s="1"/>
  <c r="AL122" i="1"/>
  <c r="AM122" i="1" s="1"/>
  <c r="BJ126" i="1"/>
  <c r="BK126" i="1" s="1"/>
  <c r="AL153" i="1"/>
  <c r="AL146" i="1"/>
  <c r="AM146" i="1" s="1"/>
  <c r="AL159" i="1"/>
  <c r="BJ140" i="1"/>
  <c r="BK140" i="1" s="1"/>
  <c r="BL202" i="1" s="1"/>
  <c r="BJ135" i="1"/>
  <c r="BK135" i="1" s="1"/>
  <c r="BJ125" i="1"/>
  <c r="BK125" i="1" s="1"/>
  <c r="AJ133" i="1"/>
  <c r="AJ144" i="1"/>
  <c r="AJ145" i="1"/>
  <c r="AJ146" i="1"/>
  <c r="AK146" i="1" s="1"/>
  <c r="AJ125" i="1"/>
  <c r="AK125" i="1" s="1"/>
  <c r="AL117" i="1"/>
  <c r="AM117" i="1" s="1"/>
  <c r="AJ117" i="1"/>
  <c r="AK117" i="1" s="1"/>
  <c r="AL126" i="1"/>
  <c r="AM126" i="1" s="1"/>
  <c r="AL118" i="1"/>
  <c r="AM118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51" i="1"/>
  <c r="BK151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AJ131" i="1"/>
  <c r="AJ147" i="1"/>
  <c r="AK147" i="1" s="1"/>
  <c r="AL137" i="1"/>
  <c r="AM137" i="1" s="1"/>
  <c r="BJ137" i="1"/>
  <c r="BK137" i="1" s="1"/>
  <c r="JC8" i="4"/>
  <c r="ID15" i="4"/>
  <c r="IE14" i="4"/>
  <c r="JD7" i="4"/>
  <c r="IZ7" i="4"/>
  <c r="IX14" i="4"/>
  <c r="IW14" i="4"/>
  <c r="HZ14" i="4"/>
  <c r="IH15" i="4"/>
  <c r="IK8" i="4"/>
  <c r="HX7" i="4"/>
  <c r="HV15" i="4"/>
  <c r="IU8" i="4"/>
  <c r="JA7" i="4"/>
  <c r="JI15" i="4"/>
  <c r="JG14" i="4"/>
  <c r="IW7" i="4"/>
  <c r="IP8" i="4"/>
  <c r="JD14" i="4"/>
  <c r="JE8" i="4"/>
  <c r="HY14" i="4"/>
  <c r="HU14" i="4"/>
  <c r="IE8" i="4"/>
  <c r="IT15" i="4"/>
  <c r="IW15" i="4"/>
  <c r="IA8" i="4"/>
  <c r="HT14" i="4"/>
  <c r="IO7" i="4"/>
  <c r="HY15" i="4"/>
  <c r="IV21" i="4"/>
  <c r="BP77" i="1" s="1"/>
  <c r="IO8" i="4"/>
  <c r="W253" i="1"/>
  <c r="W194" i="1"/>
  <c r="IJ15" i="4"/>
  <c r="II14" i="4"/>
  <c r="JC15" i="4"/>
  <c r="IA7" i="4"/>
  <c r="IB8" i="4"/>
  <c r="IE15" i="4"/>
  <c r="JG8" i="4"/>
  <c r="HS15" i="4"/>
  <c r="ID7" i="4"/>
  <c r="HQ15" i="4"/>
  <c r="IC7" i="4"/>
  <c r="IR15" i="4"/>
  <c r="JA15" i="4"/>
  <c r="HU15" i="4"/>
  <c r="IM8" i="4"/>
  <c r="JD15" i="4"/>
  <c r="HR14" i="4"/>
  <c r="JD8" i="4"/>
  <c r="IP7" i="4"/>
  <c r="HW15" i="4"/>
  <c r="JH15" i="4"/>
  <c r="JB14" i="4"/>
  <c r="CP77" i="1"/>
  <c r="CN63" i="1"/>
  <c r="CM65" i="1"/>
  <c r="HS21" i="4" l="1"/>
  <c r="AM77" i="1" s="1"/>
  <c r="G10" i="1"/>
  <c r="O231" i="1"/>
  <c r="AM10" i="1"/>
  <c r="BX180" i="1"/>
  <c r="BY180" i="1" s="1"/>
  <c r="HU21" i="4"/>
  <c r="AO77" i="1" s="1"/>
  <c r="IJ16" i="4" s="1"/>
  <c r="IJ21" i="4" s="1"/>
  <c r="BD77" i="1" s="1"/>
  <c r="HX9" i="4" s="1"/>
  <c r="HR21" i="4"/>
  <c r="AL77" i="1" s="1"/>
  <c r="IP16" i="4" s="1"/>
  <c r="AL155" i="1"/>
  <c r="AM155" i="1" s="1"/>
  <c r="AL74" i="1"/>
  <c r="BJ163" i="1"/>
  <c r="BK163" i="1" s="1"/>
  <c r="BJ154" i="1"/>
  <c r="BK154" i="1" s="1"/>
  <c r="AJ124" i="1"/>
  <c r="AK124" i="1" s="1"/>
  <c r="AJ163" i="1"/>
  <c r="AK163" i="1" s="1"/>
  <c r="AL150" i="1"/>
  <c r="AM150" i="1" s="1"/>
  <c r="AL131" i="1"/>
  <c r="BJ160" i="1"/>
  <c r="BJ147" i="1"/>
  <c r="BK147" i="1" s="1"/>
  <c r="BJ149" i="1"/>
  <c r="AJ150" i="1"/>
  <c r="AK150" i="1" s="1"/>
  <c r="AL135" i="1"/>
  <c r="AM135" i="1" s="1"/>
  <c r="BJ155" i="1"/>
  <c r="BK155" i="1" s="1"/>
  <c r="AJ152" i="1"/>
  <c r="AK152" i="1" s="1"/>
  <c r="BJ119" i="1"/>
  <c r="AL183" i="1"/>
  <c r="AM183" i="1" s="1"/>
  <c r="AL152" i="1"/>
  <c r="AM152" i="1" s="1"/>
  <c r="AL144" i="1"/>
  <c r="BJ152" i="1"/>
  <c r="BK152" i="1" s="1"/>
  <c r="BJ142" i="1"/>
  <c r="BK142" i="1" s="1"/>
  <c r="BJ132" i="1"/>
  <c r="AJ179" i="1"/>
  <c r="AJ160" i="1"/>
  <c r="AJ119" i="1"/>
  <c r="AL154" i="1"/>
  <c r="AM154" i="1" s="1"/>
  <c r="BJ146" i="1"/>
  <c r="BK146" i="1" s="1"/>
  <c r="AL124" i="1"/>
  <c r="AM124" i="1" s="1"/>
  <c r="BJ183" i="1"/>
  <c r="BK183" i="1" s="1"/>
  <c r="BJ133" i="1"/>
  <c r="AJ164" i="1"/>
  <c r="AK164" i="1" s="1"/>
  <c r="AJ126" i="1"/>
  <c r="AK126" i="1" s="1"/>
  <c r="BJ117" i="1"/>
  <c r="AJ135" i="1"/>
  <c r="AK135" i="1" s="1"/>
  <c r="AJ143" i="1"/>
  <c r="AK143" i="1" s="1"/>
  <c r="AJ137" i="1"/>
  <c r="AK137" i="1" s="1"/>
  <c r="BJ143" i="1"/>
  <c r="AL143" i="1"/>
  <c r="C194" i="1"/>
  <c r="C253" i="1"/>
  <c r="X11" i="1"/>
  <c r="C231" i="1"/>
  <c r="IE21" i="4"/>
  <c r="AY77" i="1" s="1"/>
  <c r="IZ9" i="4" s="1"/>
  <c r="HV9" i="4" s="1"/>
  <c r="JC21" i="4"/>
  <c r="BW77" i="1" s="1"/>
  <c r="IP14" i="4" s="1"/>
  <c r="HS14" i="4" s="1"/>
  <c r="HZ16" i="4" s="1"/>
  <c r="HZ21" i="4" s="1"/>
  <c r="AT77" i="1" s="1"/>
  <c r="HQ16" i="4" s="1"/>
  <c r="HW7" i="4" s="1"/>
  <c r="IA15" i="4" s="1"/>
  <c r="JF8" i="4" s="1"/>
  <c r="IY16" i="4" s="1"/>
  <c r="IY21" i="4" s="1"/>
  <c r="BS77" i="1" s="1"/>
  <c r="IK9" i="4" s="1"/>
  <c r="C10" i="1"/>
  <c r="IX21" i="4"/>
  <c r="BR77" i="1" s="1"/>
  <c r="JD16" i="4" s="1"/>
  <c r="JD21" i="4" s="1"/>
  <c r="BX77" i="1" s="1"/>
  <c r="U26" i="1"/>
  <c r="B252" i="1"/>
  <c r="S10" i="1"/>
  <c r="BY120" i="1"/>
  <c r="AJ159" i="1"/>
  <c r="HV21" i="4"/>
  <c r="AP77" i="1" s="1"/>
  <c r="AL252" i="1"/>
  <c r="IU21" i="4"/>
  <c r="BO77" i="1" s="1"/>
  <c r="Q253" i="1"/>
  <c r="HX21" i="4"/>
  <c r="AR77" i="1" s="1"/>
  <c r="JE21" i="4"/>
  <c r="BY77" i="1" s="1"/>
  <c r="D194" i="1"/>
  <c r="D253" i="1"/>
  <c r="IW21" i="4"/>
  <c r="BQ77" i="1" s="1"/>
  <c r="N10" i="1"/>
  <c r="H253" i="1"/>
  <c r="HY21" i="4"/>
  <c r="AS77" i="1" s="1"/>
  <c r="IH21" i="4"/>
  <c r="BB77" i="1" s="1"/>
  <c r="IF21" i="4"/>
  <c r="AZ77" i="1" s="1"/>
  <c r="IR21" i="4"/>
  <c r="BL77" i="1" s="1"/>
  <c r="BL94" i="1" s="1"/>
  <c r="IC21" i="4"/>
  <c r="AW77" i="1" s="1"/>
  <c r="IG21" i="4"/>
  <c r="BA77" i="1" s="1"/>
  <c r="IO21" i="4"/>
  <c r="BI77" i="1" s="1"/>
  <c r="R10" i="1"/>
  <c r="R98" i="1" s="1"/>
  <c r="F194" i="1"/>
  <c r="F10" i="1"/>
  <c r="R194" i="1"/>
  <c r="V194" i="1"/>
  <c r="V253" i="1"/>
  <c r="JB21" i="4"/>
  <c r="BV77" i="1" s="1"/>
  <c r="B231" i="1"/>
  <c r="B10" i="1"/>
  <c r="BX231" i="1"/>
  <c r="AM26" i="1"/>
  <c r="HW21" i="4"/>
  <c r="AQ77" i="1" s="1"/>
  <c r="AL10" i="1"/>
  <c r="C252" i="1"/>
  <c r="IS21" i="4"/>
  <c r="BM77" i="1" s="1"/>
  <c r="IQ21" i="4"/>
  <c r="BK77" i="1" s="1"/>
  <c r="IL21" i="4"/>
  <c r="BF77" i="1" s="1"/>
  <c r="H10" i="1"/>
  <c r="IT21" i="4"/>
  <c r="BN77" i="1" s="1"/>
  <c r="JI21" i="4"/>
  <c r="CC77" i="1" s="1"/>
  <c r="CC85" i="1" s="1"/>
  <c r="G26" i="1"/>
  <c r="G253" i="1"/>
  <c r="K253" i="1"/>
  <c r="O252" i="1"/>
  <c r="O10" i="1"/>
  <c r="Q231" i="1"/>
  <c r="K10" i="1"/>
  <c r="L252" i="1"/>
  <c r="O253" i="1"/>
  <c r="BY140" i="1"/>
  <c r="BZ202" i="1" s="1"/>
  <c r="E231" i="1"/>
  <c r="S252" i="1"/>
  <c r="D231" i="1"/>
  <c r="IY7" i="4"/>
  <c r="II15" i="4"/>
  <c r="II7" i="4"/>
  <c r="D10" i="1"/>
  <c r="Q183" i="1"/>
  <c r="Q10" i="1"/>
  <c r="AM252" i="1"/>
  <c r="D252" i="1"/>
  <c r="IV14" i="4"/>
  <c r="P183" i="1"/>
  <c r="IF15" i="4"/>
  <c r="JB7" i="4"/>
  <c r="JB19" i="4" s="1"/>
  <c r="BV78" i="1" s="1"/>
  <c r="BV107" i="1" s="1"/>
  <c r="IE7" i="4"/>
  <c r="JG15" i="4"/>
  <c r="IN14" i="4"/>
  <c r="JB8" i="4"/>
  <c r="JC7" i="4"/>
  <c r="IK7" i="4"/>
  <c r="IM21" i="4"/>
  <c r="BG77" i="1" s="1"/>
  <c r="IL8" i="4"/>
  <c r="IT7" i="4"/>
  <c r="HS8" i="4"/>
  <c r="HS20" i="4" s="1"/>
  <c r="AM79" i="1" s="1"/>
  <c r="IC15" i="4"/>
  <c r="IC20" i="4" s="1"/>
  <c r="AW79" i="1" s="1"/>
  <c r="AW108" i="1" s="1"/>
  <c r="IY14" i="4"/>
  <c r="IJ7" i="4"/>
  <c r="E26" i="1"/>
  <c r="IL7" i="4"/>
  <c r="II21" i="4"/>
  <c r="BC77" i="1" s="1"/>
  <c r="IS8" i="4"/>
  <c r="HT15" i="4"/>
  <c r="IA21" i="4"/>
  <c r="AU77" i="1" s="1"/>
  <c r="HQ21" i="4"/>
  <c r="AK77" i="1" s="1"/>
  <c r="IN8" i="4"/>
  <c r="IY8" i="4"/>
  <c r="IF14" i="4"/>
  <c r="IZ8" i="4"/>
  <c r="JF21" i="4"/>
  <c r="BZ77" i="1" s="1"/>
  <c r="BZ94" i="1" s="1"/>
  <c r="H252" i="1"/>
  <c r="IS15" i="4"/>
  <c r="IZ15" i="4"/>
  <c r="IZ20" i="4" s="1"/>
  <c r="BT79" i="1" s="1"/>
  <c r="BT108" i="1" s="1"/>
  <c r="JH14" i="4"/>
  <c r="IG8" i="4"/>
  <c r="IS14" i="4"/>
  <c r="HP14" i="4"/>
  <c r="HP19" i="4" s="1"/>
  <c r="AJ78" i="1" s="1"/>
  <c r="HT7" i="4"/>
  <c r="HT19" i="4" s="1"/>
  <c r="AN78" i="1" s="1"/>
  <c r="AN107" i="1" s="1"/>
  <c r="HR8" i="4"/>
  <c r="IL15" i="4"/>
  <c r="IL20" i="4" s="1"/>
  <c r="BF79" i="1" s="1"/>
  <c r="BF108" i="1" s="1"/>
  <c r="II8" i="4"/>
  <c r="IU15" i="4"/>
  <c r="IU20" i="4" s="1"/>
  <c r="BO79" i="1" s="1"/>
  <c r="BO108" i="1" s="1"/>
  <c r="IT14" i="4"/>
  <c r="IT19" i="4" s="1"/>
  <c r="BN78" i="1" s="1"/>
  <c r="BN107" i="1" s="1"/>
  <c r="IM7" i="4"/>
  <c r="AL26" i="1"/>
  <c r="AL27" i="1" s="1"/>
  <c r="S26" i="1"/>
  <c r="B253" i="1"/>
  <c r="IB21" i="4"/>
  <c r="AV77" i="1" s="1"/>
  <c r="IH14" i="4"/>
  <c r="JI14" i="4"/>
  <c r="AM16" i="1"/>
  <c r="IQ7" i="4"/>
  <c r="JA21" i="4"/>
  <c r="BU77" i="1" s="1"/>
  <c r="IK15" i="4"/>
  <c r="IK20" i="4" s="1"/>
  <c r="BE79" i="1" s="1"/>
  <c r="BE108" i="1" s="1"/>
  <c r="IW8" i="4"/>
  <c r="IW20" i="4" s="1"/>
  <c r="BQ79" i="1" s="1"/>
  <c r="BQ108" i="1" s="1"/>
  <c r="IY15" i="4"/>
  <c r="IY20" i="4" s="1"/>
  <c r="BS79" i="1" s="1"/>
  <c r="BS108" i="1" s="1"/>
  <c r="BX252" i="1"/>
  <c r="F252" i="1"/>
  <c r="HW8" i="4"/>
  <c r="HW20" i="4" s="1"/>
  <c r="AQ79" i="1" s="1"/>
  <c r="AQ108" i="1" s="1"/>
  <c r="IU14" i="4"/>
  <c r="D26" i="1"/>
  <c r="D27" i="1" s="1"/>
  <c r="L10" i="1"/>
  <c r="N252" i="1"/>
  <c r="IP21" i="4"/>
  <c r="BJ77" i="1" s="1"/>
  <c r="BX26" i="1"/>
  <c r="F26" i="1"/>
  <c r="B26" i="1"/>
  <c r="U16" i="1"/>
  <c r="W26" i="1"/>
  <c r="W27" i="1" s="1"/>
  <c r="R253" i="1"/>
  <c r="K252" i="1"/>
  <c r="E10" i="1"/>
  <c r="L253" i="1"/>
  <c r="R26" i="1"/>
  <c r="J252" i="1"/>
  <c r="M252" i="1"/>
  <c r="BJ179" i="1"/>
  <c r="BK179" i="1" s="1"/>
  <c r="BJ180" i="1"/>
  <c r="BK180" i="1" s="1"/>
  <c r="F231" i="1"/>
  <c r="F253" i="1"/>
  <c r="J231" i="1"/>
  <c r="J10" i="1"/>
  <c r="I26" i="1"/>
  <c r="IZ14" i="4"/>
  <c r="IZ19" i="4" s="1"/>
  <c r="BT78" i="1" s="1"/>
  <c r="BT107" i="1" s="1"/>
  <c r="IO15" i="4"/>
  <c r="HV8" i="4"/>
  <c r="HV20" i="4" s="1"/>
  <c r="AP79" i="1" s="1"/>
  <c r="AP108" i="1" s="1"/>
  <c r="H26" i="1"/>
  <c r="V26" i="1"/>
  <c r="V27" i="1" s="1"/>
  <c r="JG7" i="4"/>
  <c r="JG19" i="4" s="1"/>
  <c r="CA78" i="1" s="1"/>
  <c r="IL14" i="4"/>
  <c r="IL19" i="4" s="1"/>
  <c r="BF78" i="1" s="1"/>
  <c r="BF107" i="1" s="1"/>
  <c r="G252" i="1"/>
  <c r="HQ7" i="4"/>
  <c r="HQ19" i="4" s="1"/>
  <c r="AK78" i="1" s="1"/>
  <c r="BX161" i="1"/>
  <c r="BY209" i="1" s="1"/>
  <c r="N26" i="1"/>
  <c r="JF7" i="4"/>
  <c r="HT8" i="4"/>
  <c r="JE15" i="4"/>
  <c r="JE20" i="4" s="1"/>
  <c r="BY79" i="1" s="1"/>
  <c r="BY108" i="1" s="1"/>
  <c r="IO14" i="4"/>
  <c r="IO19" i="4" s="1"/>
  <c r="BI78" i="1" s="1"/>
  <c r="BI107" i="1" s="1"/>
  <c r="HZ15" i="4"/>
  <c r="JA14" i="4"/>
  <c r="JA19" i="4" s="1"/>
  <c r="BU78" i="1" s="1"/>
  <c r="BU107" i="1" s="1"/>
  <c r="IX15" i="4"/>
  <c r="JF14" i="4"/>
  <c r="JF19" i="4" s="1"/>
  <c r="BZ78" i="1" s="1"/>
  <c r="HV14" i="4"/>
  <c r="HV19" i="4" s="1"/>
  <c r="AP78" i="1" s="1"/>
  <c r="AP107" i="1" s="1"/>
  <c r="IR14" i="4"/>
  <c r="IR19" i="4" s="1"/>
  <c r="BL78" i="1" s="1"/>
  <c r="IZ21" i="4"/>
  <c r="BT77" i="1" s="1"/>
  <c r="ID14" i="4"/>
  <c r="ID19" i="4" s="1"/>
  <c r="AX78" i="1" s="1"/>
  <c r="AX107" i="1" s="1"/>
  <c r="HU8" i="4"/>
  <c r="HU20" i="4" s="1"/>
  <c r="AO79" i="1" s="1"/>
  <c r="AO108" i="1" s="1"/>
  <c r="JA8" i="4"/>
  <c r="JA20" i="4" s="1"/>
  <c r="BU79" i="1" s="1"/>
  <c r="BU108" i="1" s="1"/>
  <c r="HW14" i="4"/>
  <c r="HW19" i="4" s="1"/>
  <c r="AQ78" i="1" s="1"/>
  <c r="AQ107" i="1" s="1"/>
  <c r="HY8" i="4"/>
  <c r="IF7" i="4"/>
  <c r="IQ14" i="4"/>
  <c r="IQ19" i="4" s="1"/>
  <c r="BK78" i="1" s="1"/>
  <c r="BK107" i="1" s="1"/>
  <c r="HQ8" i="4"/>
  <c r="IP15" i="4"/>
  <c r="IP20" i="4" s="1"/>
  <c r="BJ79" i="1" s="1"/>
  <c r="BJ108" i="1" s="1"/>
  <c r="IG15" i="4"/>
  <c r="IG20" i="4" s="1"/>
  <c r="BA79" i="1" s="1"/>
  <c r="BA108" i="1" s="1"/>
  <c r="IJ8" i="4"/>
  <c r="IJ20" i="4" s="1"/>
  <c r="BD79" i="1" s="1"/>
  <c r="BD108" i="1" s="1"/>
  <c r="HU7" i="4"/>
  <c r="HU19" i="4" s="1"/>
  <c r="AO78" i="1" s="1"/>
  <c r="AO107" i="1" s="1"/>
  <c r="BY128" i="1"/>
  <c r="IH7" i="4"/>
  <c r="AM253" i="1"/>
  <c r="JC14" i="4"/>
  <c r="JC19" i="4" s="1"/>
  <c r="BW78" i="1" s="1"/>
  <c r="BW107" i="1" s="1"/>
  <c r="IR8" i="4"/>
  <c r="IR20" i="4" s="1"/>
  <c r="BL79" i="1" s="1"/>
  <c r="BL96" i="1" s="1"/>
  <c r="HS7" i="4"/>
  <c r="HS19" i="4" s="1"/>
  <c r="AM78" i="1" s="1"/>
  <c r="HX15" i="4"/>
  <c r="IH8" i="4"/>
  <c r="IH20" i="4" s="1"/>
  <c r="BB79" i="1" s="1"/>
  <c r="BB108" i="1" s="1"/>
  <c r="IX8" i="4"/>
  <c r="IM14" i="4"/>
  <c r="IB14" i="4"/>
  <c r="IB19" i="4" s="1"/>
  <c r="AV78" i="1" s="1"/>
  <c r="AV107" i="1" s="1"/>
  <c r="IA14" i="4"/>
  <c r="IA19" i="4" s="1"/>
  <c r="AU78" i="1" s="1"/>
  <c r="AU107" i="1" s="1"/>
  <c r="JE14" i="4"/>
  <c r="JE19" i="4" s="1"/>
  <c r="BY78" i="1" s="1"/>
  <c r="JI8" i="4"/>
  <c r="JI20" i="4" s="1"/>
  <c r="CC79" i="1" s="1"/>
  <c r="IS7" i="4"/>
  <c r="ID8" i="4"/>
  <c r="ID20" i="4" s="1"/>
  <c r="AX79" i="1" s="1"/>
  <c r="AX108" i="1" s="1"/>
  <c r="AJ26" i="1"/>
  <c r="BX183" i="1"/>
  <c r="BY183" i="1" s="1"/>
  <c r="JF15" i="4"/>
  <c r="JF20" i="4" s="1"/>
  <c r="BZ79" i="1" s="1"/>
  <c r="AJ33" i="1"/>
  <c r="Q26" i="1"/>
  <c r="IN15" i="4"/>
  <c r="IN20" i="4" s="1"/>
  <c r="BH79" i="1" s="1"/>
  <c r="BH108" i="1" s="1"/>
  <c r="W188" i="1"/>
  <c r="L26" i="1"/>
  <c r="C26" i="1"/>
  <c r="HP21" i="4"/>
  <c r="AJ77" i="1" s="1"/>
  <c r="AK26" i="1"/>
  <c r="AK10" i="1"/>
  <c r="HZ8" i="4"/>
  <c r="HX8" i="4"/>
  <c r="HR15" i="4"/>
  <c r="HR20" i="4" s="1"/>
  <c r="AL79" i="1" s="1"/>
  <c r="IF8" i="4"/>
  <c r="JB15" i="4"/>
  <c r="JB20" i="4" s="1"/>
  <c r="BV79" i="1" s="1"/>
  <c r="BV108" i="1" s="1"/>
  <c r="HZ7" i="4"/>
  <c r="HZ19" i="4" s="1"/>
  <c r="AT78" i="1" s="1"/>
  <c r="AT107" i="1" s="1"/>
  <c r="IJ14" i="4"/>
  <c r="IJ19" i="4" s="1"/>
  <c r="BD78" i="1" s="1"/>
  <c r="BD107" i="1" s="1"/>
  <c r="P26" i="1"/>
  <c r="T26" i="1"/>
  <c r="IV7" i="4"/>
  <c r="IU7" i="4"/>
  <c r="M26" i="1"/>
  <c r="U98" i="1"/>
  <c r="S253" i="1"/>
  <c r="M10" i="1"/>
  <c r="IQ15" i="4"/>
  <c r="O26" i="1"/>
  <c r="AJ183" i="1"/>
  <c r="J26" i="1"/>
  <c r="JH7" i="4"/>
  <c r="JH19" i="4" s="1"/>
  <c r="CB78" i="1" s="1"/>
  <c r="I252" i="1"/>
  <c r="AL180" i="1"/>
  <c r="AM180" i="1" s="1"/>
  <c r="AJ10" i="1"/>
  <c r="AJ16" i="1" s="1"/>
  <c r="AJ17" i="1" s="1"/>
  <c r="V188" i="1"/>
  <c r="K26" i="1"/>
  <c r="BX134" i="1"/>
  <c r="ID21" i="4"/>
  <c r="AX77" i="1" s="1"/>
  <c r="IQ8" i="4"/>
  <c r="IK14" i="4"/>
  <c r="HP15" i="4"/>
  <c r="HP20" i="4" s="1"/>
  <c r="AJ79" i="1" s="1"/>
  <c r="IG7" i="4"/>
  <c r="M253" i="1"/>
  <c r="J253" i="1"/>
  <c r="P253" i="1"/>
  <c r="P10" i="1"/>
  <c r="CA98" i="1"/>
  <c r="CA99" i="1" s="1"/>
  <c r="CA102" i="1" s="1"/>
  <c r="G183" i="1"/>
  <c r="P231" i="1"/>
  <c r="BX179" i="1"/>
  <c r="BY179" i="1" s="1"/>
  <c r="U253" i="1"/>
  <c r="W98" i="1"/>
  <c r="W16" i="1"/>
  <c r="W17" i="1" s="1"/>
  <c r="W11" i="1"/>
  <c r="T10" i="1"/>
  <c r="U11" i="1" s="1"/>
  <c r="V16" i="1"/>
  <c r="L194" i="1"/>
  <c r="T253" i="1"/>
  <c r="AK231" i="1"/>
  <c r="X188" i="1"/>
  <c r="N253" i="1"/>
  <c r="AM98" i="1"/>
  <c r="AM99" i="1" s="1"/>
  <c r="BX156" i="1"/>
  <c r="BX185" i="1" s="1"/>
  <c r="P252" i="1"/>
  <c r="T252" i="1"/>
  <c r="AL253" i="1"/>
  <c r="I253" i="1"/>
  <c r="BX128" i="1"/>
  <c r="BX120" i="1"/>
  <c r="I10" i="1"/>
  <c r="BX10" i="1"/>
  <c r="V11" i="1"/>
  <c r="R252" i="1"/>
  <c r="BX148" i="1"/>
  <c r="BX182" i="1" s="1"/>
  <c r="BK128" i="1"/>
  <c r="AL161" i="1"/>
  <c r="AM209" i="1" s="1"/>
  <c r="BJ128" i="1"/>
  <c r="AJ202" i="1"/>
  <c r="AL120" i="1"/>
  <c r="AJ134" i="1"/>
  <c r="AK33" i="1" s="1"/>
  <c r="AJ180" i="1"/>
  <c r="AK180" i="1" s="1"/>
  <c r="CB94" i="1"/>
  <c r="CB102" i="1"/>
  <c r="CB85" i="1"/>
  <c r="IX19" i="4"/>
  <c r="BR78" i="1" s="1"/>
  <c r="BR107" i="1" s="1"/>
  <c r="HX19" i="4"/>
  <c r="AR78" i="1" s="1"/>
  <c r="AR107" i="1" s="1"/>
  <c r="JD19" i="4"/>
  <c r="BX78" i="1" s="1"/>
  <c r="II19" i="4"/>
  <c r="BC78" i="1" s="1"/>
  <c r="BC107" i="1" s="1"/>
  <c r="JC20" i="4"/>
  <c r="BW79" i="1" s="1"/>
  <c r="BW108" i="1" s="1"/>
  <c r="IC19" i="4"/>
  <c r="AW78" i="1" s="1"/>
  <c r="AW107" i="1" s="1"/>
  <c r="CA94" i="1"/>
  <c r="IM20" i="4"/>
  <c r="BG79" i="1" s="1"/>
  <c r="BG108" i="1" s="1"/>
  <c r="HR19" i="4"/>
  <c r="AL78" i="1" s="1"/>
  <c r="JH20" i="4"/>
  <c r="CB79" i="1" s="1"/>
  <c r="IV20" i="4"/>
  <c r="BP79" i="1" s="1"/>
  <c r="BP108" i="1" s="1"/>
  <c r="IE20" i="4"/>
  <c r="AY79" i="1" s="1"/>
  <c r="AY108" i="1" s="1"/>
  <c r="IT20" i="4"/>
  <c r="BN79" i="1" s="1"/>
  <c r="BN108" i="1" s="1"/>
  <c r="IW19" i="4"/>
  <c r="BQ78" i="1" s="1"/>
  <c r="BQ107" i="1" s="1"/>
  <c r="HY19" i="4"/>
  <c r="AS78" i="1" s="1"/>
  <c r="AS107" i="1" s="1"/>
  <c r="IB20" i="4"/>
  <c r="AV79" i="1" s="1"/>
  <c r="AV108" i="1" s="1"/>
  <c r="JD20" i="4"/>
  <c r="BX79" i="1" s="1"/>
  <c r="BX108" i="1" s="1"/>
  <c r="G98" i="1"/>
  <c r="G16" i="1"/>
  <c r="AL202" i="1"/>
  <c r="AK202" i="1"/>
  <c r="BK202" i="1"/>
  <c r="CM32" i="1"/>
  <c r="AB77" i="1"/>
  <c r="CQ77" i="1"/>
  <c r="AC140" i="1"/>
  <c r="CN65" i="1"/>
  <c r="CO63" i="1"/>
  <c r="AM102" i="1" l="1"/>
  <c r="H16" i="1"/>
  <c r="H17" i="1" s="1"/>
  <c r="AL179" i="1"/>
  <c r="AM179" i="1" s="1"/>
  <c r="B16" i="1"/>
  <c r="AL16" i="1"/>
  <c r="AL17" i="1" s="1"/>
  <c r="HT20" i="4"/>
  <c r="AN79" i="1" s="1"/>
  <c r="AN108" i="1" s="1"/>
  <c r="C27" i="1"/>
  <c r="IF20" i="4"/>
  <c r="AZ79" i="1" s="1"/>
  <c r="AZ108" i="1" s="1"/>
  <c r="IV19" i="4"/>
  <c r="BP78" i="1" s="1"/>
  <c r="BP107" i="1" s="1"/>
  <c r="BJ161" i="1"/>
  <c r="BK209" i="1" s="1"/>
  <c r="BJ134" i="1"/>
  <c r="BK117" i="1"/>
  <c r="BJ120" i="1"/>
  <c r="AJ161" i="1"/>
  <c r="AK209" i="1" s="1"/>
  <c r="AM128" i="1"/>
  <c r="BJ156" i="1"/>
  <c r="BJ185" i="1" s="1"/>
  <c r="BJ184" i="1" s="1"/>
  <c r="AL134" i="1"/>
  <c r="AM134" i="1" s="1"/>
  <c r="AM138" i="1" s="1"/>
  <c r="BK149" i="1"/>
  <c r="AJ128" i="1"/>
  <c r="AL156" i="1"/>
  <c r="AL185" i="1" s="1"/>
  <c r="AL184" i="1" s="1"/>
  <c r="AL128" i="1"/>
  <c r="AI196" i="1"/>
  <c r="AI198" i="1" s="1"/>
  <c r="AJ148" i="1"/>
  <c r="AK128" i="1"/>
  <c r="AJ120" i="1"/>
  <c r="AJ156" i="1"/>
  <c r="BK143" i="1"/>
  <c r="BJ148" i="1"/>
  <c r="AM143" i="1"/>
  <c r="AL148" i="1"/>
  <c r="HX20" i="4"/>
  <c r="AR79" i="1" s="1"/>
  <c r="AR108" i="1" s="1"/>
  <c r="B27" i="1"/>
  <c r="S98" i="1"/>
  <c r="S16" i="1"/>
  <c r="S17" i="1" s="1"/>
  <c r="R11" i="1"/>
  <c r="II20" i="4"/>
  <c r="BC79" i="1" s="1"/>
  <c r="BC108" i="1" s="1"/>
  <c r="IK21" i="4"/>
  <c r="BE77" i="1" s="1"/>
  <c r="IN9" i="4"/>
  <c r="IN21" i="4" s="1"/>
  <c r="BH77" i="1" s="1"/>
  <c r="IF19" i="4"/>
  <c r="AZ78" i="1" s="1"/>
  <c r="AZ107" i="1" s="1"/>
  <c r="IS19" i="4"/>
  <c r="BM78" i="1" s="1"/>
  <c r="BM107" i="1" s="1"/>
  <c r="IM19" i="4"/>
  <c r="BG78" i="1" s="1"/>
  <c r="BG107" i="1" s="1"/>
  <c r="P188" i="1"/>
  <c r="IS20" i="4"/>
  <c r="BM79" i="1" s="1"/>
  <c r="BM108" i="1" s="1"/>
  <c r="E27" i="1"/>
  <c r="JG20" i="4"/>
  <c r="CA79" i="1" s="1"/>
  <c r="HQ20" i="4"/>
  <c r="AK79" i="1" s="1"/>
  <c r="N98" i="1"/>
  <c r="N16" i="1"/>
  <c r="IO20" i="4"/>
  <c r="BI79" i="1" s="1"/>
  <c r="BI108" i="1" s="1"/>
  <c r="HY20" i="4"/>
  <c r="AS79" i="1" s="1"/>
  <c r="AS108" i="1" s="1"/>
  <c r="IN19" i="4"/>
  <c r="BH78" i="1" s="1"/>
  <c r="BH107" i="1" s="1"/>
  <c r="JI19" i="4"/>
  <c r="CC78" i="1" s="1"/>
  <c r="O16" i="1"/>
  <c r="O17" i="1" s="1"/>
  <c r="O98" i="1"/>
  <c r="O11" i="1"/>
  <c r="R188" i="1"/>
  <c r="CC102" i="1"/>
  <c r="IE19" i="4"/>
  <c r="AY78" i="1" s="1"/>
  <c r="AY107" i="1" s="1"/>
  <c r="CC94" i="1"/>
  <c r="IG19" i="4"/>
  <c r="BA78" i="1" s="1"/>
  <c r="BA107" i="1" s="1"/>
  <c r="AM27" i="1"/>
  <c r="IP19" i="4"/>
  <c r="BJ78" i="1" s="1"/>
  <c r="BJ107" i="1" s="1"/>
  <c r="IY19" i="4"/>
  <c r="BS78" i="1" s="1"/>
  <c r="BS107" i="1" s="1"/>
  <c r="R16" i="1"/>
  <c r="H98" i="1"/>
  <c r="F98" i="1"/>
  <c r="F16" i="1"/>
  <c r="F17" i="1" s="1"/>
  <c r="S11" i="1"/>
  <c r="S188" i="1"/>
  <c r="H11" i="1"/>
  <c r="IA20" i="4"/>
  <c r="AU79" i="1" s="1"/>
  <c r="AU108" i="1" s="1"/>
  <c r="BY92" i="1"/>
  <c r="BZ207" i="1"/>
  <c r="G188" i="1"/>
  <c r="G11" i="1"/>
  <c r="C16" i="1"/>
  <c r="C188" i="1"/>
  <c r="C11" i="1"/>
  <c r="H188" i="1"/>
  <c r="K98" i="1"/>
  <c r="K16" i="1"/>
  <c r="Q188" i="1"/>
  <c r="Q16" i="1"/>
  <c r="Q17" i="1" s="1"/>
  <c r="Q98" i="1"/>
  <c r="Q11" i="1"/>
  <c r="AM12" i="1"/>
  <c r="P98" i="1"/>
  <c r="P16" i="1"/>
  <c r="P11" i="1"/>
  <c r="O188" i="1"/>
  <c r="D188" i="1"/>
  <c r="D11" i="1"/>
  <c r="D16" i="1"/>
  <c r="BY202" i="1"/>
  <c r="IH19" i="4"/>
  <c r="BB78" i="1" s="1"/>
  <c r="BB107" i="1" s="1"/>
  <c r="IU19" i="4"/>
  <c r="BO78" i="1" s="1"/>
  <c r="BO107" i="1" s="1"/>
  <c r="IQ20" i="4"/>
  <c r="BK79" i="1" s="1"/>
  <c r="BK108" i="1" s="1"/>
  <c r="AK27" i="1"/>
  <c r="I16" i="1"/>
  <c r="I98" i="1"/>
  <c r="J11" i="1"/>
  <c r="J188" i="1"/>
  <c r="IX20" i="4"/>
  <c r="BR79" i="1" s="1"/>
  <c r="BR108" i="1" s="1"/>
  <c r="AJ27" i="1"/>
  <c r="IK19" i="4"/>
  <c r="BE78" i="1" s="1"/>
  <c r="BE107" i="1" s="1"/>
  <c r="BX27" i="1"/>
  <c r="AM28" i="1"/>
  <c r="AM17" i="1"/>
  <c r="L98" i="1"/>
  <c r="L188" i="1"/>
  <c r="L11" i="1"/>
  <c r="L16" i="1"/>
  <c r="U17" i="1"/>
  <c r="V18" i="1"/>
  <c r="F11" i="1"/>
  <c r="E188" i="1"/>
  <c r="E98" i="1"/>
  <c r="E11" i="1"/>
  <c r="F188" i="1"/>
  <c r="E16" i="1"/>
  <c r="J98" i="1"/>
  <c r="K11" i="1"/>
  <c r="J16" i="1"/>
  <c r="K188" i="1"/>
  <c r="BZ249" i="1"/>
  <c r="BZ251" i="1" s="1"/>
  <c r="BZ206" i="1"/>
  <c r="BY129" i="1"/>
  <c r="AL12" i="1"/>
  <c r="AK16" i="1"/>
  <c r="N11" i="1"/>
  <c r="M16" i="1"/>
  <c r="M188" i="1"/>
  <c r="M98" i="1"/>
  <c r="N188" i="1"/>
  <c r="BY134" i="1"/>
  <c r="BX138" i="1"/>
  <c r="V17" i="1"/>
  <c r="V28" i="1"/>
  <c r="BX92" i="1"/>
  <c r="BX94" i="1" s="1"/>
  <c r="BY207" i="1"/>
  <c r="I11" i="1"/>
  <c r="I188" i="1"/>
  <c r="BX95" i="1"/>
  <c r="CC188" i="1"/>
  <c r="BX168" i="1"/>
  <c r="CB11" i="1"/>
  <c r="BY12" i="1"/>
  <c r="HZ20" i="4"/>
  <c r="AT79" i="1" s="1"/>
  <c r="AT108" i="1" s="1"/>
  <c r="BY33" i="1"/>
  <c r="BX184" i="1"/>
  <c r="AM225" i="1"/>
  <c r="BX16" i="1"/>
  <c r="W28" i="1"/>
  <c r="AK12" i="1"/>
  <c r="BK249" i="1"/>
  <c r="BX186" i="1"/>
  <c r="CB189" i="1" s="1"/>
  <c r="BY249" i="1"/>
  <c r="AJ28" i="1"/>
  <c r="AJ29" i="1" s="1"/>
  <c r="BY206" i="1"/>
  <c r="W18" i="1"/>
  <c r="M11" i="1"/>
  <c r="BX181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BX248" i="1"/>
  <c r="BX129" i="1"/>
  <c r="U188" i="1"/>
  <c r="X18" i="1"/>
  <c r="T98" i="1"/>
  <c r="T16" i="1"/>
  <c r="U18" i="1" s="1"/>
  <c r="BX157" i="1"/>
  <c r="T11" i="1"/>
  <c r="T188" i="1"/>
  <c r="BL206" i="1"/>
  <c r="BL249" i="1"/>
  <c r="AL92" i="1"/>
  <c r="AL96" i="1" s="1"/>
  <c r="AL248" i="1"/>
  <c r="AK134" i="1"/>
  <c r="AJ138" i="1"/>
  <c r="BK206" i="1"/>
  <c r="AL108" i="1"/>
  <c r="AM103" i="1"/>
  <c r="AM107" i="1"/>
  <c r="BZ95" i="1"/>
  <c r="BZ89" i="1"/>
  <c r="BZ107" i="1"/>
  <c r="BZ110" i="1" s="1"/>
  <c r="AM108" i="1"/>
  <c r="AM104" i="1"/>
  <c r="BX89" i="1"/>
  <c r="BX107" i="1"/>
  <c r="BL107" i="1"/>
  <c r="BL110" i="1" s="1"/>
  <c r="BL95" i="1"/>
  <c r="CB86" i="1"/>
  <c r="CB103" i="1"/>
  <c r="CB95" i="1"/>
  <c r="CB107" i="1"/>
  <c r="CB110" i="1" s="1"/>
  <c r="CB113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CC87" i="1"/>
  <c r="CB104" i="1"/>
  <c r="BL108" i="1"/>
  <c r="BL111" i="1" s="1"/>
  <c r="CB87" i="1"/>
  <c r="CA103" i="1"/>
  <c r="CA107" i="1"/>
  <c r="CA95" i="1"/>
  <c r="BY107" i="1"/>
  <c r="BY89" i="1"/>
  <c r="G17" i="1"/>
  <c r="H18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B17" i="1" l="1"/>
  <c r="B28" i="1"/>
  <c r="B29" i="1" s="1"/>
  <c r="AL28" i="1"/>
  <c r="AM250" i="1" s="1"/>
  <c r="AM19" i="1"/>
  <c r="BK134" i="1"/>
  <c r="BJ138" i="1"/>
  <c r="BJ92" i="1"/>
  <c r="BJ248" i="1"/>
  <c r="AJ168" i="1"/>
  <c r="AK37" i="1" s="1"/>
  <c r="AJ206" i="1"/>
  <c r="AM33" i="1"/>
  <c r="AL138" i="1"/>
  <c r="AM206" i="1"/>
  <c r="AL168" i="1"/>
  <c r="AJ157" i="1"/>
  <c r="BJ129" i="1"/>
  <c r="BJ168" i="1"/>
  <c r="BJ109" i="1" s="1"/>
  <c r="AL249" i="1"/>
  <c r="AL129" i="1"/>
  <c r="AJ196" i="1"/>
  <c r="AJ182" i="1"/>
  <c r="BJ182" i="1"/>
  <c r="BJ157" i="1"/>
  <c r="AL182" i="1"/>
  <c r="AL157" i="1"/>
  <c r="I17" i="1"/>
  <c r="I18" i="1"/>
  <c r="D17" i="1"/>
  <c r="D28" i="1"/>
  <c r="Q18" i="1"/>
  <c r="P17" i="1"/>
  <c r="E18" i="1"/>
  <c r="BZ205" i="1"/>
  <c r="AK206" i="1"/>
  <c r="AJ129" i="1"/>
  <c r="AJ197" i="1"/>
  <c r="AM249" i="1"/>
  <c r="AL206" i="1"/>
  <c r="AJ185" i="1"/>
  <c r="B112" i="1"/>
  <c r="C18" i="1"/>
  <c r="C28" i="1"/>
  <c r="D18" i="1"/>
  <c r="C17" i="1"/>
  <c r="BY94" i="1"/>
  <c r="BY95" i="1"/>
  <c r="BY96" i="1"/>
  <c r="K17" i="1"/>
  <c r="BY205" i="1"/>
  <c r="V34" i="1"/>
  <c r="V38" i="1" s="1"/>
  <c r="V112" i="1"/>
  <c r="V232" i="1"/>
  <c r="V233" i="1" s="1"/>
  <c r="V29" i="1"/>
  <c r="BX96" i="1"/>
  <c r="BX109" i="1"/>
  <c r="BY37" i="1"/>
  <c r="CA108" i="1"/>
  <c r="CA104" i="1"/>
  <c r="CC95" i="1"/>
  <c r="CC103" i="1"/>
  <c r="CA96" i="1"/>
  <c r="R18" i="1"/>
  <c r="G18" i="1"/>
  <c r="S18" i="1"/>
  <c r="N17" i="1"/>
  <c r="CC107" i="1"/>
  <c r="CC86" i="1"/>
  <c r="CF90" i="1" s="1"/>
  <c r="O18" i="1"/>
  <c r="P18" i="1"/>
  <c r="R17" i="1"/>
  <c r="L18" i="1"/>
  <c r="L17" i="1"/>
  <c r="BX165" i="1"/>
  <c r="J17" i="1"/>
  <c r="K18" i="1"/>
  <c r="J18" i="1"/>
  <c r="M17" i="1"/>
  <c r="M18" i="1"/>
  <c r="N18" i="1"/>
  <c r="BZ33" i="1"/>
  <c r="BY138" i="1"/>
  <c r="BZ203" i="1" s="1"/>
  <c r="BZ201" i="1" s="1"/>
  <c r="BX246" i="1"/>
  <c r="BY203" i="1"/>
  <c r="BY201" i="1" s="1"/>
  <c r="AM34" i="1"/>
  <c r="AM38" i="1" s="1"/>
  <c r="AM29" i="1"/>
  <c r="AM232" i="1"/>
  <c r="AM233" i="1" s="1"/>
  <c r="E28" i="1"/>
  <c r="F18" i="1"/>
  <c r="E17" i="1"/>
  <c r="AL19" i="1"/>
  <c r="AK28" i="1"/>
  <c r="AK17" i="1"/>
  <c r="AK19" i="1"/>
  <c r="BX17" i="1"/>
  <c r="CB18" i="1"/>
  <c r="BY19" i="1"/>
  <c r="BX28" i="1"/>
  <c r="W232" i="1"/>
  <c r="W233" i="1" s="1"/>
  <c r="W112" i="1"/>
  <c r="W250" i="1"/>
  <c r="W30" i="1"/>
  <c r="W34" i="1"/>
  <c r="W38" i="1" s="1"/>
  <c r="X30" i="1"/>
  <c r="W29" i="1"/>
  <c r="AJ232" i="1"/>
  <c r="AJ233" i="1" s="1"/>
  <c r="X250" i="1"/>
  <c r="AJ34" i="1"/>
  <c r="AJ38" i="1" s="1"/>
  <c r="T18" i="1"/>
  <c r="T17" i="1"/>
  <c r="AK138" i="1"/>
  <c r="AL33" i="1"/>
  <c r="AL94" i="1"/>
  <c r="AL95" i="1"/>
  <c r="AJ203" i="1"/>
  <c r="AJ20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J246" i="1" l="1"/>
  <c r="AL34" i="1"/>
  <c r="AL38" i="1" s="1"/>
  <c r="AL232" i="1"/>
  <c r="AL233" i="1" s="1"/>
  <c r="AL29" i="1"/>
  <c r="AM31" i="1"/>
  <c r="AJ165" i="1"/>
  <c r="AJ166" i="1" s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BJ110" i="1"/>
  <c r="BJ111" i="1"/>
  <c r="AL109" i="1"/>
  <c r="AM37" i="1"/>
  <c r="BJ186" i="1"/>
  <c r="BJ181" i="1"/>
  <c r="AL181" i="1"/>
  <c r="AL186" i="1"/>
  <c r="D29" i="1"/>
  <c r="D34" i="1"/>
  <c r="D38" i="1" s="1"/>
  <c r="D232" i="1"/>
  <c r="D233" i="1" s="1"/>
  <c r="D112" i="1"/>
  <c r="AM251" i="1"/>
  <c r="D250" i="1"/>
  <c r="C250" i="1"/>
  <c r="C29" i="1"/>
  <c r="D30" i="1"/>
  <c r="C30" i="1"/>
  <c r="BX166" i="1"/>
  <c r="CE90" i="1"/>
  <c r="V41" i="1"/>
  <c r="V40" i="1"/>
  <c r="BX110" i="1"/>
  <c r="BX111" i="1"/>
  <c r="AJ41" i="1"/>
  <c r="AJ40" i="1"/>
  <c r="AL41" i="1"/>
  <c r="AL40" i="1"/>
  <c r="AM41" i="1"/>
  <c r="AM42" i="1" s="1"/>
  <c r="AM245" i="1" s="1"/>
  <c r="AM40" i="1"/>
  <c r="E29" i="1"/>
  <c r="E30" i="1"/>
  <c r="AL250" i="1"/>
  <c r="AL251" i="1" s="1"/>
  <c r="AM226" i="1"/>
  <c r="AK232" i="1"/>
  <c r="AK233" i="1" s="1"/>
  <c r="AL31" i="1"/>
  <c r="AK29" i="1"/>
  <c r="AK34" i="1"/>
  <c r="AK38" i="1" s="1"/>
  <c r="AK41" i="1" s="1"/>
  <c r="AM112" i="1"/>
  <c r="AK31" i="1"/>
  <c r="BX29" i="1"/>
  <c r="BX34" i="1"/>
  <c r="CB30" i="1"/>
  <c r="BX232" i="1"/>
  <c r="BX233" i="1" s="1"/>
  <c r="BY31" i="1"/>
  <c r="BY250" i="1"/>
  <c r="BY251" i="1" s="1"/>
  <c r="CA112" i="1"/>
  <c r="W40" i="1"/>
  <c r="W41" i="1"/>
  <c r="AL203" i="1"/>
  <c r="AL201" i="1" s="1"/>
  <c r="AK203" i="1"/>
  <c r="AK201" i="1" s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111" i="1" l="1"/>
  <c r="AL110" i="1"/>
  <c r="D41" i="1"/>
  <c r="D40" i="1"/>
  <c r="AJ42" i="1"/>
  <c r="AL234" i="1"/>
  <c r="AM44" i="1"/>
  <c r="AK40" i="1"/>
  <c r="AJ48" i="1"/>
  <c r="AJ234" i="1"/>
  <c r="AL48" i="1"/>
  <c r="AL42" i="1"/>
  <c r="AL245" i="1" s="1"/>
  <c r="V42" i="1"/>
  <c r="V245" i="1" s="1"/>
  <c r="V48" i="1"/>
  <c r="BX38" i="1"/>
  <c r="CA55" i="1"/>
  <c r="W48" i="1"/>
  <c r="W52" i="1" s="1"/>
  <c r="W234" i="1"/>
  <c r="W42" i="1"/>
  <c r="W245" i="1" s="1"/>
  <c r="W43" i="1"/>
  <c r="X43" i="1"/>
  <c r="AK234" i="1"/>
  <c r="AK48" i="1"/>
  <c r="AK119" i="1" s="1"/>
  <c r="AK120" i="1" s="1"/>
  <c r="AK129" i="1" s="1"/>
  <c r="AK42" i="1"/>
  <c r="AK44" i="1"/>
  <c r="AL44" i="1"/>
  <c r="D234" i="1"/>
  <c r="D42" i="1"/>
  <c r="D48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193" i="1" l="1"/>
  <c r="AJ195" i="1" s="1"/>
  <c r="AJ199" i="1" s="1"/>
  <c r="AJ213" i="1" s="1"/>
  <c r="AJ207" i="1"/>
  <c r="AJ205" i="1" s="1"/>
  <c r="AJ52" i="1"/>
  <c r="AJ66" i="1"/>
  <c r="AL193" i="1"/>
  <c r="AL195" i="1" s="1"/>
  <c r="AL66" i="1"/>
  <c r="AL52" i="1"/>
  <c r="BX40" i="1"/>
  <c r="BX41" i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J210" i="1" l="1"/>
  <c r="AJ211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M65" i="2"/>
  <c r="V87" i="2"/>
  <c r="I60" i="2"/>
  <c r="I109" i="2"/>
  <c r="V78" i="2"/>
  <c r="K47" i="2"/>
  <c r="E94" i="2"/>
  <c r="S55" i="2"/>
  <c r="Q48" i="2"/>
  <c r="I47" i="2"/>
  <c r="H73" i="2"/>
  <c r="R89" i="2"/>
  <c r="E111" i="2"/>
  <c r="W80" i="2"/>
  <c r="W67" i="2"/>
  <c r="L73" i="2"/>
  <c r="F112" i="2"/>
  <c r="V41" i="2"/>
  <c r="R72" i="2"/>
  <c r="X107" i="2"/>
  <c r="N75" i="2"/>
  <c r="M109" i="2"/>
  <c r="N79" i="2"/>
  <c r="X87" i="2"/>
  <c r="I81" i="2"/>
  <c r="P49" i="2"/>
  <c r="F85" i="2"/>
  <c r="U43" i="2"/>
  <c r="N71" i="2"/>
  <c r="H88" i="2"/>
  <c r="L42" i="2"/>
  <c r="D41" i="2"/>
  <c r="G79" i="2"/>
  <c r="I40" i="2"/>
  <c r="R97" i="2"/>
  <c r="K63" i="2"/>
  <c r="J81" i="2"/>
  <c r="V83" i="2"/>
  <c r="G83" i="2"/>
  <c r="N47" i="2"/>
  <c r="AP84" i="3"/>
  <c r="AB48" i="3"/>
  <c r="AP71" i="3"/>
  <c r="AP58" i="3"/>
  <c r="S82" i="2"/>
  <c r="V88" i="2"/>
  <c r="N112" i="2"/>
  <c r="I113" i="2"/>
  <c r="J82" i="2"/>
  <c r="S63" i="2"/>
  <c r="U62" i="2"/>
  <c r="N90" i="2"/>
  <c r="W107" i="2"/>
  <c r="J99" i="2"/>
  <c r="U63" i="2"/>
  <c r="V94" i="2"/>
  <c r="E57" i="2"/>
  <c r="U109" i="2"/>
  <c r="W51" i="2"/>
  <c r="J40" i="2"/>
  <c r="J70" i="2"/>
  <c r="O80" i="2"/>
  <c r="J97" i="2"/>
  <c r="O112" i="2"/>
  <c r="D60" i="2"/>
  <c r="D104" i="2"/>
  <c r="E40" i="2"/>
  <c r="T91" i="2"/>
  <c r="J49" i="2"/>
  <c r="O52" i="2"/>
  <c r="C80" i="2"/>
  <c r="T52" i="2"/>
  <c r="D106" i="2"/>
  <c r="J90" i="2"/>
  <c r="S42" i="2"/>
  <c r="C66" i="2"/>
  <c r="R99" i="2"/>
  <c r="H77" i="2"/>
  <c r="K106" i="2"/>
  <c r="G60" i="2"/>
  <c r="M111" i="2"/>
  <c r="F82" i="2"/>
  <c r="F69" i="2"/>
  <c r="L83" i="2"/>
  <c r="AP70" i="3"/>
  <c r="AB77" i="3"/>
  <c r="AP78" i="3"/>
  <c r="AB75" i="3"/>
  <c r="AP74" i="3"/>
  <c r="AB69" i="3"/>
  <c r="AB74" i="3"/>
  <c r="AI6" i="3"/>
  <c r="AI12" i="3"/>
  <c r="AJ17" i="3"/>
  <c r="AM32" i="3"/>
  <c r="AO39" i="3"/>
  <c r="E49" i="3"/>
  <c r="AJ22" i="3"/>
  <c r="AD37" i="3"/>
  <c r="AI24" i="3"/>
  <c r="W37" i="3"/>
  <c r="AA34" i="3"/>
  <c r="H14" i="3"/>
  <c r="N40" i="3"/>
  <c r="AE21" i="3"/>
  <c r="W21" i="3"/>
  <c r="AQ18" i="3"/>
  <c r="U1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N68" i="2"/>
  <c r="U97" i="2"/>
  <c r="C73" i="2"/>
  <c r="X40" i="2"/>
  <c r="L59" i="2"/>
  <c r="T85" i="2"/>
  <c r="O87" i="2"/>
  <c r="P99" i="2"/>
  <c r="T68" i="2"/>
  <c r="I63" i="2"/>
  <c r="K72" i="2"/>
  <c r="O46" i="2"/>
  <c r="C60" i="2"/>
  <c r="X89" i="2"/>
  <c r="Q64" i="2"/>
  <c r="N43" i="2"/>
  <c r="X55" i="2"/>
  <c r="X76" i="2"/>
  <c r="O65" i="2"/>
  <c r="J85" i="2"/>
  <c r="C93" i="2"/>
  <c r="E74" i="2"/>
  <c r="K55" i="2"/>
  <c r="O97" i="2"/>
  <c r="X53" i="2"/>
  <c r="D67" i="2"/>
  <c r="W64" i="2"/>
  <c r="O91" i="2"/>
  <c r="V44" i="2"/>
  <c r="H90" i="2"/>
  <c r="R65" i="2"/>
  <c r="T57" i="2"/>
  <c r="N44" i="2"/>
  <c r="R40" i="2"/>
  <c r="G69" i="2"/>
  <c r="Q47" i="2"/>
  <c r="C108" i="2"/>
  <c r="K111" i="2"/>
  <c r="M47" i="2"/>
  <c r="E42" i="2"/>
  <c r="AB73" i="3"/>
  <c r="AP97" i="3"/>
  <c r="C47" i="3"/>
  <c r="AB63" i="3"/>
  <c r="AP54" i="3"/>
  <c r="AB64" i="3"/>
  <c r="H20" i="3"/>
  <c r="AG39" i="3"/>
  <c r="Z19" i="3"/>
  <c r="R18" i="3"/>
  <c r="AQ39" i="3"/>
  <c r="AL41" i="3"/>
  <c r="Z6" i="3"/>
  <c r="P34" i="3"/>
  <c r="AD24" i="3"/>
  <c r="S36" i="3"/>
  <c r="H28" i="3"/>
  <c r="AB41" i="3"/>
  <c r="E47" i="3"/>
  <c r="AN9" i="3"/>
  <c r="O17" i="3"/>
  <c r="N34" i="3"/>
  <c r="L29" i="3"/>
  <c r="AJ41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M55" i="2"/>
  <c r="I54" i="2"/>
  <c r="D63" i="2"/>
  <c r="T65" i="2"/>
  <c r="Q76" i="2"/>
  <c r="W68" i="2"/>
  <c r="D49" i="2"/>
  <c r="E99" i="2"/>
  <c r="F68" i="2"/>
  <c r="Q88" i="2"/>
  <c r="M94" i="2"/>
  <c r="L76" i="2"/>
  <c r="N52" i="2"/>
  <c r="C107" i="2"/>
  <c r="J73" i="2"/>
  <c r="T41" i="2"/>
  <c r="G104" i="2"/>
  <c r="M81" i="2"/>
  <c r="E72" i="2"/>
  <c r="M72" i="2"/>
  <c r="Q61" i="2"/>
  <c r="N109" i="2"/>
  <c r="V70" i="2"/>
  <c r="C97" i="2"/>
  <c r="F98" i="2"/>
  <c r="T86" i="2"/>
  <c r="W86" i="2"/>
  <c r="E97" i="2"/>
  <c r="P57" i="2"/>
  <c r="I75" i="2"/>
  <c r="J60" i="2"/>
  <c r="E87" i="2"/>
  <c r="P56" i="2"/>
  <c r="N70" i="2"/>
  <c r="H109" i="2"/>
  <c r="E78" i="2"/>
  <c r="N57" i="2"/>
  <c r="O47" i="2"/>
  <c r="L97" i="2"/>
  <c r="V95" i="2"/>
  <c r="AP96" i="3"/>
  <c r="AB72" i="3"/>
  <c r="AB79" i="3"/>
  <c r="AP47" i="3"/>
  <c r="AB56" i="3"/>
  <c r="AP67" i="3"/>
  <c r="T23" i="3"/>
  <c r="AN8" i="3"/>
  <c r="V16" i="3"/>
  <c r="AM16" i="3"/>
  <c r="AP10" i="3"/>
  <c r="R25" i="3"/>
  <c r="N15" i="3"/>
  <c r="W22" i="3"/>
  <c r="AE31" i="3"/>
  <c r="S12" i="3"/>
  <c r="K38" i="3"/>
  <c r="Q27" i="3"/>
  <c r="I9" i="3"/>
  <c r="Z34" i="3"/>
  <c r="K29" i="3"/>
  <c r="AL30" i="3"/>
  <c r="W40" i="3"/>
  <c r="AJ33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L107" i="2"/>
  <c r="T51" i="2"/>
  <c r="L68" i="2"/>
  <c r="T72" i="2"/>
  <c r="N48" i="2"/>
  <c r="W72" i="2"/>
  <c r="L77" i="2"/>
  <c r="L89" i="2"/>
  <c r="W85" i="2"/>
  <c r="N66" i="2"/>
  <c r="R49" i="2"/>
  <c r="W61" i="2"/>
  <c r="X51" i="2"/>
  <c r="S76" i="2"/>
  <c r="L56" i="2"/>
  <c r="U95" i="2"/>
  <c r="G88" i="2"/>
  <c r="L96" i="2"/>
  <c r="C68" i="2"/>
  <c r="E88" i="2"/>
  <c r="M70" i="2"/>
  <c r="Q42" i="2"/>
  <c r="P93" i="2"/>
  <c r="X43" i="2"/>
  <c r="W76" i="2"/>
  <c r="E113" i="2"/>
  <c r="H63" i="2"/>
  <c r="L106" i="2"/>
  <c r="G67" i="2"/>
  <c r="O70" i="2"/>
  <c r="X78" i="2"/>
  <c r="H45" i="2"/>
  <c r="G55" i="2"/>
  <c r="I44" i="2"/>
  <c r="S66" i="2"/>
  <c r="R50" i="2"/>
  <c r="W112" i="2"/>
  <c r="O108" i="2"/>
  <c r="H55" i="2"/>
  <c r="C87" i="2"/>
  <c r="AP75" i="3"/>
  <c r="AB47" i="3"/>
  <c r="AP61" i="3"/>
  <c r="AP92" i="3"/>
  <c r="AP76" i="3"/>
  <c r="AB91" i="3"/>
  <c r="C28" i="3"/>
  <c r="H17" i="3"/>
  <c r="L32" i="3"/>
  <c r="G36" i="3"/>
  <c r="Q34" i="3"/>
  <c r="S31" i="3"/>
  <c r="X31" i="3"/>
  <c r="Q36" i="3"/>
  <c r="AC39" i="3"/>
  <c r="AE24" i="3"/>
  <c r="AP41" i="3"/>
  <c r="X7" i="3"/>
  <c r="AO7" i="3"/>
  <c r="S33" i="3"/>
  <c r="J37" i="3"/>
  <c r="X24" i="3"/>
  <c r="L33" i="3"/>
  <c r="AJ24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H75" i="2"/>
  <c r="D48" i="2"/>
  <c r="T50" i="2"/>
  <c r="C53" i="2"/>
  <c r="U81" i="2"/>
  <c r="N72" i="2"/>
  <c r="L69" i="2"/>
  <c r="E85" i="2"/>
  <c r="J63" i="2"/>
  <c r="W66" i="2"/>
  <c r="U50" i="2"/>
  <c r="S93" i="2"/>
  <c r="I97" i="2"/>
  <c r="R113" i="2"/>
  <c r="K84" i="2"/>
  <c r="Q112" i="2"/>
  <c r="F61" i="2"/>
  <c r="V112" i="2"/>
  <c r="H69" i="2"/>
  <c r="J69" i="2"/>
  <c r="V82" i="2"/>
  <c r="G56" i="2"/>
  <c r="O79" i="2"/>
  <c r="K112" i="2"/>
  <c r="D43" i="2"/>
  <c r="V59" i="2"/>
  <c r="R45" i="2"/>
  <c r="E73" i="2"/>
  <c r="V97" i="2"/>
  <c r="X80" i="2"/>
  <c r="K83" i="2"/>
  <c r="L61" i="2"/>
  <c r="J95" i="2"/>
  <c r="C79" i="2"/>
  <c r="S54" i="2"/>
  <c r="C95" i="2"/>
  <c r="S64" i="2"/>
  <c r="F97" i="2"/>
  <c r="C91" i="2"/>
  <c r="AB83" i="3"/>
  <c r="AB57" i="3"/>
  <c r="AP48" i="3"/>
  <c r="AB94" i="3"/>
  <c r="AB62" i="3"/>
  <c r="AB49" i="3"/>
  <c r="AB66" i="3"/>
  <c r="H34" i="3"/>
  <c r="AP12" i="3"/>
  <c r="AN33" i="3"/>
  <c r="AJ31" i="3"/>
  <c r="AH31" i="3"/>
  <c r="AD50" i="3"/>
  <c r="AH21" i="3"/>
  <c r="AB19" i="3"/>
  <c r="I23" i="3"/>
  <c r="AJ25" i="3"/>
  <c r="I68" i="2"/>
  <c r="G113" i="2"/>
  <c r="Q97" i="2"/>
  <c r="E47" i="2"/>
  <c r="N59" i="2"/>
  <c r="R108" i="2"/>
  <c r="J110" i="2"/>
  <c r="I56" i="2"/>
  <c r="G53" i="2"/>
  <c r="G95" i="2"/>
  <c r="E71" i="2"/>
  <c r="H79" i="2"/>
  <c r="X88" i="2"/>
  <c r="O63" i="2"/>
  <c r="F44" i="2"/>
  <c r="H71" i="2"/>
  <c r="F43" i="2"/>
  <c r="V104" i="2"/>
  <c r="I42" i="2"/>
  <c r="N42" i="2"/>
  <c r="L64" i="2"/>
  <c r="C90" i="2"/>
  <c r="S83" i="2"/>
  <c r="G49" i="2"/>
  <c r="C40" i="2"/>
  <c r="K85" i="2"/>
  <c r="V68" i="2"/>
  <c r="H57" i="2"/>
  <c r="D75" i="2"/>
  <c r="I93" i="2"/>
  <c r="T62" i="2"/>
  <c r="N46" i="2"/>
  <c r="U85" i="2"/>
  <c r="K58" i="2"/>
  <c r="X109" i="2"/>
  <c r="S95" i="2"/>
  <c r="O109" i="2"/>
  <c r="U40" i="2"/>
  <c r="U51" i="2"/>
  <c r="AP68" i="3"/>
  <c r="AB59" i="3"/>
  <c r="AP88" i="3"/>
  <c r="AB50" i="3"/>
  <c r="AP82" i="3"/>
  <c r="AB97" i="3"/>
  <c r="AP49" i="3"/>
  <c r="AM33" i="3"/>
  <c r="T8" i="3"/>
  <c r="AH23" i="3"/>
  <c r="AK31" i="3"/>
  <c r="X30" i="3"/>
  <c r="AN22" i="3"/>
  <c r="AL27" i="3"/>
  <c r="P10" i="3"/>
  <c r="H5" i="3"/>
  <c r="AE32" i="3"/>
  <c r="AH13" i="3"/>
  <c r="M29" i="3"/>
  <c r="I36" i="3"/>
  <c r="U19" i="3"/>
  <c r="AM22" i="3"/>
  <c r="P30" i="3"/>
  <c r="P25" i="3"/>
  <c r="X14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C50" i="2"/>
  <c r="T43" i="2"/>
  <c r="F46" i="2"/>
  <c r="N81" i="2"/>
  <c r="F111" i="2"/>
  <c r="C69" i="2"/>
  <c r="H44" i="2"/>
  <c r="S84" i="2"/>
  <c r="E89" i="2"/>
  <c r="V54" i="2"/>
  <c r="G110" i="2"/>
  <c r="K66" i="2"/>
  <c r="R111" i="2"/>
  <c r="Q79" i="2"/>
  <c r="L49" i="2"/>
  <c r="D71" i="2"/>
  <c r="O92" i="2"/>
  <c r="U89" i="2"/>
  <c r="X56" i="2"/>
  <c r="R96" i="2"/>
  <c r="V81" i="2"/>
  <c r="U93" i="2"/>
  <c r="S52" i="2"/>
  <c r="X111" i="2"/>
  <c r="W45" i="2"/>
  <c r="C110" i="2"/>
  <c r="R107" i="2"/>
  <c r="D56" i="2"/>
  <c r="F45" i="2"/>
  <c r="M87" i="2"/>
  <c r="F96" i="2"/>
  <c r="E49" i="2"/>
  <c r="I70" i="2"/>
  <c r="V51" i="2"/>
  <c r="W81" i="2"/>
  <c r="T75" i="2"/>
  <c r="R75" i="2"/>
  <c r="O72" i="2"/>
  <c r="J79" i="2"/>
  <c r="U83" i="2"/>
  <c r="I48" i="2"/>
  <c r="C58" i="2"/>
  <c r="O78" i="2"/>
  <c r="L51" i="2"/>
  <c r="W87" i="2"/>
  <c r="T80" i="2"/>
  <c r="T104" i="2"/>
  <c r="R74" i="2"/>
  <c r="M49" i="2"/>
  <c r="X69" i="2"/>
  <c r="G91" i="2"/>
  <c r="O86" i="2"/>
  <c r="J89" i="2"/>
  <c r="R47" i="2"/>
  <c r="L60" i="2"/>
  <c r="P44" i="2"/>
  <c r="O60" i="2"/>
  <c r="G105" i="2"/>
  <c r="D64" i="2"/>
  <c r="W53" i="2"/>
  <c r="E59" i="2"/>
  <c r="D58" i="2"/>
  <c r="G54" i="2"/>
  <c r="Q111" i="2"/>
  <c r="M68" i="2"/>
  <c r="C78" i="2"/>
  <c r="G85" i="2"/>
  <c r="N110" i="2"/>
  <c r="J88" i="2"/>
  <c r="S111" i="2"/>
  <c r="X74" i="2"/>
  <c r="C51" i="2"/>
  <c r="L46" i="2"/>
  <c r="V45" i="2"/>
  <c r="X54" i="2"/>
  <c r="E77" i="2"/>
  <c r="U64" i="2"/>
  <c r="L109" i="2"/>
  <c r="V79" i="2"/>
  <c r="AB68" i="3"/>
  <c r="AP66" i="3"/>
  <c r="AB92" i="3"/>
  <c r="AB96" i="3"/>
  <c r="AB87" i="3"/>
  <c r="AP50" i="3"/>
  <c r="AP60" i="3"/>
  <c r="W5" i="3"/>
  <c r="L19" i="3"/>
  <c r="C23" i="3"/>
  <c r="O23" i="3"/>
  <c r="I38" i="3"/>
  <c r="AQ29" i="3"/>
  <c r="Y17" i="3"/>
  <c r="AK37" i="3"/>
  <c r="AK21" i="3"/>
  <c r="AH16" i="3"/>
  <c r="AA25" i="3"/>
  <c r="O38" i="3"/>
  <c r="R35" i="3"/>
  <c r="Y6" i="3"/>
  <c r="G37" i="3"/>
  <c r="S35" i="3"/>
  <c r="Q33" i="3"/>
  <c r="AI21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W65" i="2"/>
  <c r="X57" i="2"/>
  <c r="F83" i="2"/>
  <c r="P112" i="2"/>
  <c r="V58" i="2"/>
  <c r="D44" i="2"/>
  <c r="W105" i="2"/>
  <c r="T48" i="2"/>
  <c r="U111" i="2"/>
  <c r="K67" i="2"/>
  <c r="F90" i="2"/>
  <c r="W89" i="2"/>
  <c r="V69" i="2"/>
  <c r="R83" i="2"/>
  <c r="U90" i="2"/>
  <c r="F91" i="2"/>
  <c r="J87" i="2"/>
  <c r="C54" i="2"/>
  <c r="O55" i="2"/>
  <c r="E56" i="2"/>
  <c r="M90" i="2"/>
  <c r="J48" i="2"/>
  <c r="C104" i="2"/>
  <c r="D73" i="2"/>
  <c r="C44" i="2"/>
  <c r="I51" i="2"/>
  <c r="V91" i="2"/>
  <c r="M56" i="2"/>
  <c r="M64" i="2"/>
  <c r="I88" i="2"/>
  <c r="S58" i="2"/>
  <c r="K77" i="2"/>
  <c r="D113" i="2"/>
  <c r="W52" i="2"/>
  <c r="I79" i="2"/>
  <c r="C56" i="2"/>
  <c r="O62" i="2"/>
  <c r="M42" i="2"/>
  <c r="N77" i="2"/>
  <c r="AB60" i="3"/>
  <c r="AB78" i="3"/>
  <c r="AP55" i="3"/>
  <c r="AB71" i="3"/>
  <c r="AB54" i="3"/>
  <c r="AB67" i="3"/>
  <c r="AP69" i="3"/>
  <c r="P32" i="3"/>
  <c r="N24" i="3"/>
  <c r="AQ13" i="3"/>
  <c r="AO33" i="3"/>
  <c r="W26" i="3"/>
  <c r="AE10" i="3"/>
  <c r="AC20" i="3"/>
  <c r="L25" i="3"/>
  <c r="AD35" i="3"/>
  <c r="W33" i="3"/>
  <c r="Z15" i="3"/>
  <c r="G42" i="3"/>
  <c r="L37" i="3"/>
  <c r="Z25" i="3"/>
  <c r="N39" i="3"/>
  <c r="AE25" i="3"/>
  <c r="AD20" i="3"/>
  <c r="AI30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M80" i="2"/>
  <c r="T95" i="2"/>
  <c r="C96" i="2"/>
  <c r="U96" i="2"/>
  <c r="I66" i="2"/>
  <c r="X99" i="2"/>
  <c r="D79" i="2"/>
  <c r="L62" i="2"/>
  <c r="M89" i="2"/>
  <c r="R82" i="2"/>
  <c r="F51" i="2"/>
  <c r="Q94" i="2"/>
  <c r="Q105" i="2"/>
  <c r="R80" i="2"/>
  <c r="C86" i="2"/>
  <c r="L98" i="2"/>
  <c r="I43" i="2"/>
  <c r="W58" i="2"/>
  <c r="L80" i="2"/>
  <c r="U46" i="2"/>
  <c r="U106" i="2"/>
  <c r="H42" i="2"/>
  <c r="R73" i="2"/>
  <c r="W110" i="2"/>
  <c r="T61" i="2"/>
  <c r="S56" i="2"/>
  <c r="Q50" i="2"/>
  <c r="X97" i="2"/>
  <c r="G42" i="2"/>
  <c r="K73" i="2"/>
  <c r="C61" i="2"/>
  <c r="G70" i="2"/>
  <c r="Q73" i="2"/>
  <c r="N55" i="2"/>
  <c r="F81" i="2"/>
  <c r="O61" i="2"/>
  <c r="X68" i="2"/>
  <c r="M59" i="2"/>
  <c r="U113" i="2"/>
  <c r="AB89" i="3"/>
  <c r="AB55" i="3"/>
  <c r="AP59" i="3"/>
  <c r="AP91" i="3"/>
  <c r="AB82" i="3"/>
  <c r="AP72" i="3"/>
  <c r="AB84" i="3"/>
  <c r="I22" i="3"/>
  <c r="M35" i="3"/>
  <c r="U21" i="3"/>
  <c r="AP25" i="3"/>
  <c r="T24" i="3"/>
  <c r="Y40" i="3"/>
  <c r="V8" i="3"/>
  <c r="I28" i="3"/>
  <c r="V24" i="3"/>
  <c r="H38" i="3"/>
  <c r="X27" i="3"/>
  <c r="AA9" i="3"/>
  <c r="AP19" i="3"/>
  <c r="AA12" i="3"/>
  <c r="I16" i="3"/>
  <c r="H13" i="3"/>
  <c r="Q35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O45" i="2"/>
  <c r="H108" i="2"/>
  <c r="N63" i="2"/>
  <c r="S98" i="2"/>
  <c r="AP95" i="3"/>
  <c r="AJ38" i="3"/>
  <c r="Z10" i="3"/>
  <c r="G41" i="3"/>
  <c r="AI11" i="3"/>
  <c r="AO20" i="3"/>
  <c r="I26" i="3"/>
  <c r="AH24" i="3"/>
  <c r="AP34" i="3"/>
  <c r="AA31" i="3"/>
  <c r="H21" i="3"/>
  <c r="Y28" i="3"/>
  <c r="AP14" i="3"/>
  <c r="Z9" i="3"/>
  <c r="AC6" i="3"/>
  <c r="S27" i="3"/>
  <c r="AP15" i="3"/>
  <c r="AG8" i="3"/>
  <c r="K21" i="3"/>
  <c r="AB42" i="3"/>
  <c r="Z31" i="3"/>
  <c r="X25" i="3"/>
  <c r="O30" i="3"/>
  <c r="L36" i="3"/>
  <c r="W27" i="3"/>
  <c r="AK20" i="3"/>
  <c r="W41" i="3"/>
  <c r="AQ40" i="3"/>
  <c r="C39" i="3"/>
  <c r="AE30" i="3"/>
  <c r="U26" i="3"/>
  <c r="J32" i="3"/>
  <c r="M8" i="3"/>
  <c r="AH28" i="3"/>
  <c r="AB35" i="3"/>
  <c r="T19" i="3"/>
  <c r="P42" i="3"/>
  <c r="AD36" i="3"/>
  <c r="AM7" i="3"/>
  <c r="AM34" i="3"/>
  <c r="AH19" i="3"/>
  <c r="P37" i="3"/>
  <c r="Z41" i="3"/>
  <c r="AL28" i="3"/>
  <c r="U29" i="3"/>
  <c r="C29" i="3"/>
  <c r="U5" i="3"/>
  <c r="Y5" i="3"/>
  <c r="K17" i="3"/>
  <c r="Z5" i="3"/>
  <c r="W20" i="3"/>
  <c r="T29" i="3"/>
  <c r="AN39" i="3"/>
  <c r="AB8" i="3"/>
  <c r="K34" i="3"/>
  <c r="AG11" i="3"/>
  <c r="AN18" i="3"/>
  <c r="D49" i="3"/>
  <c r="D47" i="3"/>
  <c r="AB32" i="3"/>
  <c r="AN26" i="3"/>
  <c r="P9" i="3"/>
  <c r="AK19" i="3"/>
  <c r="AH12" i="3"/>
  <c r="S18" i="3"/>
  <c r="AD39" i="3"/>
  <c r="AH39" i="3"/>
  <c r="X39" i="3"/>
  <c r="V42" i="3"/>
  <c r="C36" i="3"/>
  <c r="R19" i="3"/>
  <c r="AC34" i="3"/>
  <c r="K37" i="3"/>
  <c r="AL19" i="3"/>
  <c r="Q18" i="3"/>
  <c r="N18" i="3"/>
  <c r="L10" i="3"/>
  <c r="M18" i="3"/>
  <c r="Q7" i="3"/>
  <c r="AM36" i="3"/>
  <c r="W39" i="3"/>
  <c r="AO19" i="3"/>
  <c r="AG40" i="3"/>
  <c r="L21" i="3"/>
  <c r="Y41" i="3"/>
  <c r="R84" i="2"/>
  <c r="Q72" i="2"/>
  <c r="U107" i="2"/>
  <c r="F93" i="2"/>
  <c r="C49" i="3"/>
  <c r="H41" i="3"/>
  <c r="AG42" i="3"/>
  <c r="AI16" i="3"/>
  <c r="N14" i="3"/>
  <c r="Y13" i="3"/>
  <c r="W34" i="3"/>
  <c r="H27" i="3"/>
  <c r="M32" i="3"/>
  <c r="O42" i="3"/>
  <c r="T30" i="3"/>
  <c r="N21" i="3"/>
  <c r="J8" i="3"/>
  <c r="AC19" i="3"/>
  <c r="L16" i="3"/>
  <c r="AG21" i="3"/>
  <c r="R28" i="3"/>
  <c r="R14" i="3"/>
  <c r="V27" i="3"/>
  <c r="AC9" i="3"/>
  <c r="AK36" i="3"/>
  <c r="H18" i="3"/>
  <c r="V7" i="3"/>
  <c r="AM30" i="3"/>
  <c r="K24" i="3"/>
  <c r="AI42" i="3"/>
  <c r="V11" i="3"/>
  <c r="N42" i="3"/>
  <c r="P40" i="3"/>
  <c r="S19" i="3"/>
  <c r="AB27" i="3"/>
  <c r="AO17" i="3"/>
  <c r="Y20" i="3"/>
  <c r="AN40" i="3"/>
  <c r="AL36" i="3"/>
  <c r="O25" i="3"/>
  <c r="L42" i="3"/>
  <c r="W42" i="3"/>
  <c r="AG31" i="3"/>
  <c r="AK33" i="3"/>
  <c r="AQ26" i="3"/>
  <c r="AB14" i="3"/>
  <c r="X17" i="3"/>
  <c r="N38" i="3"/>
  <c r="AD27" i="3"/>
  <c r="W17" i="3"/>
  <c r="AI8" i="3"/>
  <c r="K11" i="3"/>
  <c r="S8" i="3"/>
  <c r="AG12" i="3"/>
  <c r="AL24" i="3"/>
  <c r="AL23" i="3"/>
  <c r="AH5" i="3"/>
  <c r="K7" i="3"/>
  <c r="AO42" i="3"/>
  <c r="V14" i="3"/>
  <c r="I32" i="3"/>
  <c r="V36" i="3"/>
  <c r="AK25" i="3"/>
  <c r="P14" i="3"/>
  <c r="P38" i="3"/>
  <c r="Q11" i="3"/>
  <c r="AG35" i="3"/>
  <c r="N25" i="3"/>
  <c r="AG24" i="3"/>
  <c r="S10" i="3"/>
  <c r="J31" i="3"/>
  <c r="V17" i="3"/>
  <c r="M14" i="3"/>
  <c r="U17" i="3"/>
  <c r="V19" i="3"/>
  <c r="N41" i="3"/>
  <c r="AC11" i="3"/>
  <c r="K8" i="3"/>
  <c r="S37" i="3"/>
  <c r="L35" i="3"/>
  <c r="X18" i="3"/>
  <c r="AO8" i="3"/>
  <c r="AK15" i="3"/>
  <c r="X67" i="2"/>
  <c r="H58" i="2"/>
  <c r="Q51" i="2"/>
  <c r="AB61" i="3"/>
  <c r="AB86" i="3"/>
  <c r="Y22" i="3"/>
  <c r="U30" i="3"/>
  <c r="AE9" i="3"/>
  <c r="Q16" i="3"/>
  <c r="AP36" i="3"/>
  <c r="T34" i="3"/>
  <c r="M36" i="3"/>
  <c r="J25" i="3"/>
  <c r="AE11" i="3"/>
  <c r="V29" i="3"/>
  <c r="AL22" i="3"/>
  <c r="L30" i="3"/>
  <c r="AP28" i="3"/>
  <c r="C34" i="3"/>
  <c r="Q5" i="3"/>
  <c r="P35" i="3"/>
  <c r="AG38" i="3"/>
  <c r="AK41" i="3"/>
  <c r="C9" i="3"/>
  <c r="AJ11" i="3"/>
  <c r="H37" i="3"/>
  <c r="W9" i="3"/>
  <c r="AB33" i="3"/>
  <c r="AH41" i="3"/>
  <c r="N8" i="3"/>
  <c r="AD19" i="3"/>
  <c r="X21" i="3"/>
  <c r="U36" i="3"/>
  <c r="AC31" i="3"/>
  <c r="C6" i="3"/>
  <c r="AO9" i="3"/>
  <c r="N9" i="3"/>
  <c r="S39" i="3"/>
  <c r="AD47" i="3"/>
  <c r="AL29" i="3"/>
  <c r="AK35" i="3"/>
  <c r="Y8" i="3"/>
  <c r="AK14" i="3"/>
  <c r="Z21" i="3"/>
  <c r="X9" i="3"/>
  <c r="Q12" i="3"/>
  <c r="AL18" i="3"/>
  <c r="U18" i="3"/>
  <c r="AA20" i="3"/>
  <c r="S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A24" i="3"/>
  <c r="U20" i="3"/>
  <c r="AB15" i="3"/>
  <c r="W8" i="3"/>
  <c r="AE15" i="3"/>
  <c r="X42" i="3"/>
  <c r="U13" i="3"/>
  <c r="AL16" i="3"/>
  <c r="AC33" i="3"/>
  <c r="AI23" i="3"/>
  <c r="S38" i="3"/>
  <c r="R42" i="3"/>
  <c r="I21" i="3"/>
  <c r="AA5" i="3"/>
  <c r="L38" i="3"/>
  <c r="U6" i="3"/>
  <c r="S24" i="3"/>
  <c r="Y7" i="3"/>
  <c r="N28" i="3"/>
  <c r="Z23" i="3"/>
  <c r="I30" i="3"/>
  <c r="Z7" i="3"/>
  <c r="M27" i="3"/>
  <c r="H23" i="3"/>
  <c r="AO28" i="3"/>
  <c r="R41" i="3"/>
  <c r="U27" i="3"/>
  <c r="C31" i="3"/>
  <c r="AI39" i="3"/>
  <c r="S22" i="3"/>
  <c r="O31" i="3"/>
  <c r="O12" i="3"/>
  <c r="AE26" i="3"/>
  <c r="AM6" i="3"/>
  <c r="T15" i="3"/>
  <c r="W30" i="3"/>
  <c r="AD23" i="3"/>
  <c r="AE22" i="3"/>
  <c r="AH20" i="3"/>
  <c r="AP32" i="3"/>
  <c r="AI33" i="3"/>
  <c r="V15" i="3"/>
  <c r="AQ37" i="3"/>
  <c r="H7" i="3"/>
  <c r="AE41" i="3"/>
  <c r="P23" i="3"/>
  <c r="K10" i="3"/>
  <c r="AI18" i="3"/>
  <c r="AD25" i="3"/>
  <c r="AO12" i="3"/>
  <c r="AL25" i="3"/>
  <c r="AJ39" i="3"/>
  <c r="R34" i="3"/>
  <c r="AK8" i="3"/>
  <c r="U40" i="3"/>
  <c r="AD34" i="3"/>
  <c r="V10" i="3"/>
  <c r="X41" i="3"/>
  <c r="J22" i="3"/>
  <c r="AI26" i="3"/>
  <c r="S15" i="3"/>
  <c r="I17" i="3"/>
  <c r="S72" i="2"/>
  <c r="U86" i="2"/>
  <c r="H97" i="2"/>
  <c r="AB81" i="3"/>
  <c r="AB70" i="3"/>
  <c r="P39" i="3"/>
  <c r="R36" i="3"/>
  <c r="I19" i="3"/>
  <c r="AH17" i="3"/>
  <c r="K36" i="3"/>
  <c r="AN12" i="3"/>
  <c r="AJ16" i="3"/>
  <c r="P8" i="3"/>
  <c r="L31" i="3"/>
  <c r="AM5" i="3"/>
  <c r="Y38" i="3"/>
  <c r="T28" i="3"/>
  <c r="L14" i="3"/>
  <c r="AO11" i="3"/>
  <c r="R26" i="3"/>
  <c r="N32" i="3"/>
  <c r="AG23" i="3"/>
  <c r="C24" i="3"/>
  <c r="T10" i="3"/>
  <c r="AA32" i="3"/>
  <c r="AN24" i="3"/>
  <c r="AQ22" i="3"/>
  <c r="AP22" i="3"/>
  <c r="I18" i="3"/>
  <c r="Z36" i="3"/>
  <c r="K6" i="3"/>
  <c r="R37" i="3"/>
  <c r="AG34" i="3"/>
  <c r="AA13" i="3"/>
  <c r="M37" i="3"/>
  <c r="I10" i="3"/>
  <c r="O10" i="3"/>
  <c r="I24" i="3"/>
  <c r="AN38" i="3"/>
  <c r="AJ18" i="3"/>
  <c r="AE36" i="3"/>
  <c r="AL6" i="3"/>
  <c r="L17" i="3"/>
  <c r="AQ27" i="3"/>
  <c r="I12" i="3"/>
  <c r="X33" i="3"/>
  <c r="N6" i="3"/>
  <c r="S29" i="3"/>
  <c r="I27" i="3"/>
  <c r="Y35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H33" i="3"/>
  <c r="AN30" i="3"/>
  <c r="H42" i="3"/>
  <c r="AL39" i="3"/>
  <c r="AL21" i="3"/>
  <c r="Y32" i="3"/>
  <c r="Z20" i="3"/>
  <c r="AD26" i="3"/>
  <c r="Q30" i="3"/>
  <c r="R13" i="3"/>
  <c r="AK42" i="3"/>
  <c r="T9" i="3"/>
  <c r="Q24" i="3"/>
  <c r="AQ31" i="3"/>
  <c r="R31" i="3"/>
  <c r="P28" i="3"/>
  <c r="C13" i="3"/>
  <c r="AG41" i="3"/>
  <c r="AQ35" i="3"/>
  <c r="V35" i="3"/>
  <c r="V28" i="3"/>
  <c r="H8" i="3"/>
  <c r="AH18" i="3"/>
  <c r="AE27" i="3"/>
  <c r="O33" i="3"/>
  <c r="W14" i="3"/>
  <c r="Q17" i="3"/>
  <c r="T5" i="3"/>
  <c r="AO22" i="3"/>
  <c r="AH8" i="3"/>
  <c r="K20" i="3"/>
  <c r="AO23" i="3"/>
  <c r="R38" i="3"/>
  <c r="AL38" i="3"/>
  <c r="AJ12" i="3"/>
  <c r="L9" i="3"/>
  <c r="L15" i="3"/>
  <c r="T7" i="3"/>
  <c r="Q21" i="3"/>
  <c r="Q42" i="3"/>
  <c r="K39" i="3"/>
  <c r="AO36" i="3"/>
  <c r="AJ9" i="3"/>
  <c r="AK16" i="3"/>
  <c r="AO27" i="3"/>
  <c r="AI40" i="3"/>
  <c r="N27" i="3"/>
  <c r="AO5" i="3"/>
  <c r="J19" i="3"/>
  <c r="T31" i="3"/>
  <c r="AB17" i="3"/>
  <c r="S28" i="3"/>
  <c r="AO26" i="3"/>
  <c r="U77" i="2"/>
  <c r="F77" i="2"/>
  <c r="P92" i="2"/>
  <c r="AP93" i="3"/>
  <c r="AP64" i="3"/>
  <c r="M17" i="3"/>
  <c r="AN31" i="3"/>
  <c r="I37" i="3"/>
  <c r="AM25" i="3"/>
  <c r="Q31" i="3"/>
  <c r="AO21" i="3"/>
  <c r="AC29" i="3"/>
  <c r="AK29" i="3"/>
  <c r="O15" i="3"/>
  <c r="AH11" i="3"/>
  <c r="AE19" i="3"/>
  <c r="AM9" i="3"/>
  <c r="AA14" i="3"/>
  <c r="AL17" i="3"/>
  <c r="AN10" i="3"/>
  <c r="Y26" i="3"/>
  <c r="V22" i="3"/>
  <c r="L12" i="3"/>
  <c r="K14" i="3"/>
  <c r="Y9" i="3"/>
  <c r="R8" i="3"/>
  <c r="AJ37" i="3"/>
  <c r="AJ6" i="3"/>
  <c r="AO40" i="3"/>
  <c r="AC32" i="3"/>
  <c r="O40" i="3"/>
  <c r="P61" i="2"/>
  <c r="P110" i="2"/>
  <c r="H76" i="2"/>
  <c r="C48" i="3"/>
  <c r="AB76" i="3"/>
  <c r="T17" i="3"/>
  <c r="AH33" i="3"/>
  <c r="C38" i="3"/>
  <c r="AA8" i="3"/>
  <c r="O5" i="3"/>
  <c r="S42" i="3"/>
  <c r="Y25" i="3"/>
  <c r="C12" i="3"/>
  <c r="AQ36" i="3"/>
  <c r="L20" i="3"/>
  <c r="S40" i="3"/>
  <c r="AB30" i="3"/>
  <c r="W6" i="3"/>
  <c r="C15" i="3"/>
  <c r="O6" i="3"/>
  <c r="AE8" i="3"/>
  <c r="AG32" i="3"/>
  <c r="AK34" i="3"/>
  <c r="AP31" i="3"/>
  <c r="AB26" i="3"/>
  <c r="T14" i="3"/>
  <c r="V47" i="2"/>
  <c r="F59" i="2"/>
  <c r="W96" i="2"/>
  <c r="AP90" i="3"/>
  <c r="AB95" i="3"/>
  <c r="AL20" i="3"/>
  <c r="P5" i="3"/>
  <c r="K40" i="3"/>
  <c r="V31" i="3"/>
  <c r="X28" i="3"/>
  <c r="Y34" i="3"/>
  <c r="AA17" i="3"/>
  <c r="AC37" i="3"/>
  <c r="O8" i="3"/>
  <c r="AJ23" i="3"/>
  <c r="I15" i="3"/>
  <c r="Q19" i="3"/>
  <c r="J17" i="3"/>
  <c r="C30" i="3"/>
  <c r="N36" i="3"/>
  <c r="K19" i="3"/>
  <c r="T26" i="3"/>
  <c r="AE33" i="3"/>
  <c r="AL42" i="3"/>
  <c r="AI32" i="3"/>
  <c r="AP33" i="3"/>
  <c r="I42" i="3"/>
  <c r="W10" i="3"/>
  <c r="AO41" i="3"/>
  <c r="AK13" i="3"/>
  <c r="S21" i="3"/>
  <c r="P29" i="3"/>
  <c r="AM29" i="3"/>
  <c r="T21" i="3"/>
  <c r="AA11" i="3"/>
  <c r="AD33" i="3"/>
  <c r="J20" i="3"/>
  <c r="X32" i="3"/>
  <c r="H16" i="3"/>
  <c r="P15" i="3"/>
  <c r="AP20" i="3"/>
  <c r="Q15" i="3"/>
  <c r="I20" i="3"/>
  <c r="L13" i="3"/>
  <c r="AJ26" i="3"/>
  <c r="AG19" i="3"/>
  <c r="AN21" i="3"/>
  <c r="AC12" i="3"/>
  <c r="AO35" i="3"/>
  <c r="K30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AG15" i="3"/>
  <c r="AM12" i="3"/>
  <c r="I13" i="3"/>
  <c r="N35" i="3"/>
  <c r="AQ32" i="3"/>
  <c r="G50" i="3"/>
  <c r="H25" i="3"/>
  <c r="AM24" i="3"/>
  <c r="AB29" i="3"/>
  <c r="AN19" i="3"/>
  <c r="AP17" i="3"/>
  <c r="AN29" i="3"/>
  <c r="AL7" i="3"/>
  <c r="O26" i="3"/>
  <c r="Y23" i="3"/>
  <c r="AB25" i="3"/>
  <c r="P31" i="3"/>
  <c r="O93" i="2"/>
  <c r="T74" i="2"/>
  <c r="P45" i="2"/>
  <c r="AP83" i="3"/>
  <c r="C21" i="3"/>
  <c r="M10" i="3"/>
  <c r="X12" i="3"/>
  <c r="U15" i="3"/>
  <c r="M11" i="3"/>
  <c r="AM11" i="3"/>
  <c r="AB38" i="3"/>
  <c r="AL10" i="3"/>
  <c r="Z24" i="3"/>
  <c r="M7" i="3"/>
  <c r="AI31" i="3"/>
  <c r="C8" i="3"/>
  <c r="AC16" i="3"/>
  <c r="AD48" i="3"/>
  <c r="Y36" i="3"/>
  <c r="V32" i="3"/>
  <c r="AM23" i="3"/>
  <c r="AE23" i="3"/>
  <c r="U14" i="3"/>
  <c r="Q14" i="3"/>
  <c r="AB7" i="3"/>
  <c r="Q6" i="3"/>
  <c r="AA7" i="3"/>
  <c r="AB28" i="3"/>
  <c r="T37" i="3"/>
  <c r="N7" i="3"/>
  <c r="AJ35" i="3"/>
  <c r="AG5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AL14" i="3"/>
  <c r="AH9" i="3"/>
  <c r="AJ40" i="3"/>
  <c r="AJ27" i="3"/>
  <c r="H29" i="3"/>
  <c r="AC24" i="3"/>
  <c r="C52" i="2"/>
  <c r="P48" i="2"/>
  <c r="N92" i="2"/>
  <c r="AP79" i="3"/>
  <c r="R29" i="3"/>
  <c r="W28" i="3"/>
  <c r="M34" i="3"/>
  <c r="J12" i="3"/>
  <c r="AG17" i="3"/>
  <c r="Z11" i="3"/>
  <c r="AM41" i="3"/>
  <c r="AH36" i="3"/>
  <c r="AM26" i="3"/>
  <c r="R40" i="3"/>
  <c r="C17" i="3"/>
  <c r="W7" i="3"/>
  <c r="R17" i="3"/>
  <c r="X38" i="3"/>
  <c r="AJ20" i="3"/>
  <c r="Y16" i="3"/>
  <c r="AH35" i="3"/>
  <c r="AP11" i="3"/>
  <c r="AO31" i="3"/>
  <c r="C40" i="3"/>
  <c r="U33" i="3"/>
  <c r="E50" i="3"/>
  <c r="D50" i="3"/>
  <c r="X26" i="3"/>
  <c r="N29" i="3"/>
  <c r="Q40" i="3"/>
  <c r="AO38" i="3"/>
  <c r="W13" i="3"/>
  <c r="AE28" i="3"/>
  <c r="AD40" i="3"/>
  <c r="AI20" i="3"/>
  <c r="AD30" i="3"/>
  <c r="J23" i="3"/>
  <c r="U9" i="3"/>
  <c r="R21" i="3"/>
  <c r="Z38" i="3"/>
  <c r="U35" i="3"/>
  <c r="V6" i="3"/>
  <c r="C14" i="3"/>
  <c r="U34" i="3"/>
  <c r="O32" i="3"/>
  <c r="W23" i="3"/>
  <c r="AP42" i="3"/>
  <c r="G33" i="3"/>
  <c r="AN42" i="3"/>
  <c r="Y12" i="3"/>
  <c r="Q37" i="3"/>
  <c r="C4" i="3"/>
  <c r="Y10" i="3"/>
  <c r="AP24" i="3"/>
  <c r="AP29" i="3"/>
  <c r="C10" i="3"/>
  <c r="Q20" i="3"/>
  <c r="AP27" i="3"/>
  <c r="C18" i="3"/>
  <c r="V37" i="3"/>
  <c r="X23" i="3"/>
  <c r="N23" i="3"/>
  <c r="G47" i="3"/>
  <c r="V20" i="3"/>
  <c r="N33" i="3"/>
  <c r="U42" i="3"/>
  <c r="AB31" i="3"/>
  <c r="X20" i="3"/>
  <c r="L41" i="3"/>
  <c r="AO13" i="3"/>
  <c r="U59" i="2"/>
  <c r="J45" i="2"/>
  <c r="T110" i="2"/>
  <c r="AP63" i="3"/>
  <c r="K13" i="3"/>
  <c r="J41" i="3"/>
  <c r="AK12" i="3"/>
  <c r="AD28" i="3"/>
  <c r="T32" i="3"/>
  <c r="AP37" i="3"/>
  <c r="R15" i="3"/>
  <c r="AN20" i="3"/>
  <c r="P22" i="3"/>
  <c r="S11" i="3"/>
  <c r="AH7" i="3"/>
  <c r="AJ15" i="3"/>
  <c r="P6" i="3"/>
  <c r="O9" i="3"/>
  <c r="AC25" i="3"/>
  <c r="U28" i="3"/>
  <c r="AH40" i="3"/>
  <c r="X5" i="3"/>
  <c r="AG30" i="3"/>
  <c r="AQ21" i="3"/>
  <c r="AL15" i="3"/>
  <c r="Y24" i="3"/>
  <c r="X13" i="3"/>
  <c r="Y37" i="3"/>
  <c r="X29" i="3"/>
  <c r="AE20" i="3"/>
  <c r="AQ42" i="3"/>
  <c r="R10" i="3"/>
  <c r="P17" i="3"/>
  <c r="AQ30" i="3"/>
  <c r="AJ28" i="3"/>
  <c r="G49" i="3"/>
  <c r="J13" i="3"/>
  <c r="R23" i="3"/>
  <c r="AQ15" i="3"/>
  <c r="I33" i="3"/>
  <c r="Z13" i="3"/>
  <c r="AM17" i="3"/>
  <c r="AI25" i="3"/>
  <c r="C20" i="3"/>
  <c r="R27" i="3"/>
  <c r="Y14" i="3"/>
  <c r="U10" i="3"/>
  <c r="Z18" i="3"/>
  <c r="Z42" i="3"/>
  <c r="AN11" i="3"/>
  <c r="AA22" i="3"/>
  <c r="AH38" i="3"/>
  <c r="K12" i="3"/>
  <c r="V21" i="3"/>
  <c r="K27" i="3"/>
  <c r="K65" i="2"/>
  <c r="R59" i="2"/>
  <c r="F67" i="2"/>
  <c r="AP87" i="3"/>
  <c r="J36" i="3"/>
  <c r="O29" i="3"/>
  <c r="C7" i="3"/>
  <c r="N19" i="3"/>
  <c r="X34" i="3"/>
  <c r="AH15" i="3"/>
  <c r="AK17" i="3"/>
  <c r="L5" i="3"/>
  <c r="AL9" i="3"/>
  <c r="P20" i="3"/>
  <c r="AA6" i="3"/>
  <c r="R6" i="3"/>
  <c r="Q38" i="3"/>
  <c r="AI34" i="3"/>
  <c r="L23" i="3"/>
  <c r="W16" i="3"/>
  <c r="AQ12" i="3"/>
  <c r="L22" i="3"/>
  <c r="P16" i="3"/>
  <c r="AJ34" i="3"/>
  <c r="L18" i="3"/>
  <c r="AQ14" i="3"/>
  <c r="AA41" i="3"/>
  <c r="AE6" i="3"/>
  <c r="AL8" i="3"/>
  <c r="Z26" i="3"/>
  <c r="AA10" i="3"/>
  <c r="AH32" i="3"/>
  <c r="R9" i="3"/>
  <c r="Q28" i="3"/>
  <c r="Y33" i="3"/>
  <c r="AQ24" i="3"/>
  <c r="U25" i="3"/>
  <c r="AH25" i="3"/>
  <c r="U39" i="3"/>
  <c r="AB36" i="3"/>
  <c r="AI22" i="3"/>
  <c r="Z22" i="3"/>
  <c r="AL26" i="3"/>
  <c r="J6" i="3"/>
  <c r="J40" i="3"/>
  <c r="S6" i="3"/>
  <c r="AG20" i="3"/>
  <c r="O36" i="3"/>
  <c r="AM31" i="3"/>
  <c r="M28" i="3"/>
  <c r="AM28" i="3"/>
  <c r="AK32" i="3"/>
  <c r="J33" i="3"/>
  <c r="AI7" i="3"/>
  <c r="AK38" i="3"/>
  <c r="T39" i="3"/>
  <c r="AJ10" i="3"/>
  <c r="H31" i="3"/>
  <c r="AI29" i="3"/>
  <c r="AE16" i="3"/>
  <c r="M24" i="3"/>
  <c r="S25" i="3"/>
  <c r="K16" i="3"/>
  <c r="V109" i="2"/>
  <c r="N67" i="2"/>
  <c r="D42" i="2"/>
  <c r="AP94" i="3"/>
  <c r="C37" i="3"/>
  <c r="S16" i="3"/>
  <c r="AB20" i="3"/>
  <c r="AQ38" i="3"/>
  <c r="T33" i="3"/>
  <c r="W29" i="3"/>
  <c r="AG28" i="3"/>
  <c r="AB37" i="3"/>
  <c r="O41" i="3"/>
  <c r="AI5" i="3"/>
  <c r="Q23" i="3"/>
  <c r="AK22" i="3"/>
  <c r="AE42" i="3"/>
  <c r="AC7" i="3"/>
  <c r="C33" i="3"/>
  <c r="AQ19" i="3"/>
  <c r="AJ36" i="3"/>
  <c r="AB24" i="3"/>
  <c r="AC17" i="3"/>
  <c r="K15" i="3"/>
  <c r="I40" i="3"/>
  <c r="AB13" i="3"/>
  <c r="T11" i="3"/>
  <c r="M30" i="3"/>
  <c r="N30" i="3"/>
  <c r="AJ32" i="3"/>
  <c r="X22" i="3"/>
  <c r="L27" i="3"/>
  <c r="AD21" i="3"/>
  <c r="AA33" i="3"/>
  <c r="H15" i="3"/>
  <c r="AM37" i="3"/>
  <c r="AE17" i="3"/>
  <c r="G38" i="3"/>
  <c r="J9" i="3"/>
  <c r="X40" i="3"/>
  <c r="AC28" i="3"/>
  <c r="J5" i="3"/>
  <c r="AH26" i="3"/>
  <c r="Z32" i="3"/>
  <c r="W38" i="3"/>
  <c r="AI37" i="3"/>
  <c r="AM10" i="3"/>
  <c r="Y29" i="3"/>
  <c r="AK6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L5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S13" i="3"/>
  <c r="Z33" i="3"/>
  <c r="C11" i="3"/>
  <c r="L7" i="3"/>
  <c r="K22" i="3"/>
  <c r="M41" i="3"/>
  <c r="R22" i="3"/>
  <c r="AN36" i="3"/>
  <c r="AA28" i="3"/>
  <c r="AC41" i="3"/>
  <c r="J10" i="3"/>
  <c r="V39" i="3"/>
  <c r="H22" i="3"/>
  <c r="T18" i="3"/>
  <c r="AN15" i="3"/>
  <c r="AQ7" i="3"/>
  <c r="M40" i="3"/>
  <c r="AN41" i="3"/>
  <c r="AD49" i="3"/>
  <c r="AL11" i="3"/>
  <c r="V23" i="3"/>
  <c r="AK56" i="3"/>
  <c r="H81" i="3"/>
  <c r="M61" i="3"/>
  <c r="M91" i="3"/>
  <c r="T49" i="3"/>
  <c r="N85" i="3"/>
  <c r="J48" i="3"/>
  <c r="W48" i="3"/>
  <c r="AK48" i="3"/>
  <c r="J66" i="3"/>
  <c r="AL68" i="3"/>
  <c r="AC76" i="3"/>
  <c r="R84" i="3"/>
  <c r="AG58" i="3"/>
  <c r="J69" i="3"/>
  <c r="U66" i="3"/>
  <c r="I81" i="3"/>
  <c r="H77" i="3"/>
  <c r="W50" i="3"/>
  <c r="AN76" i="3"/>
  <c r="AH48" i="3"/>
  <c r="AK80" i="3"/>
  <c r="AI63" i="3"/>
  <c r="L88" i="3"/>
  <c r="O74" i="3"/>
  <c r="AJ70" i="3"/>
  <c r="L56" i="3"/>
  <c r="AE47" i="3"/>
  <c r="O84" i="3"/>
  <c r="AE49" i="3"/>
  <c r="U85" i="3"/>
  <c r="T65" i="3"/>
  <c r="W74" i="3"/>
  <c r="AM75" i="3"/>
  <c r="AC58" i="3"/>
  <c r="AG47" i="3"/>
  <c r="R55" i="3"/>
  <c r="AN83" i="3"/>
  <c r="S59" i="3"/>
  <c r="U67" i="3"/>
  <c r="Y89" i="3"/>
  <c r="I66" i="3"/>
  <c r="Y88" i="3"/>
  <c r="AL50" i="3"/>
  <c r="Z89" i="3"/>
  <c r="AN58" i="3"/>
  <c r="W80" i="3"/>
  <c r="Z86" i="3"/>
  <c r="Y79" i="3"/>
  <c r="Q61" i="3"/>
  <c r="AO89" i="3"/>
  <c r="AK59" i="3"/>
  <c r="AN77" i="3"/>
  <c r="AI83" i="3"/>
  <c r="L60" i="3"/>
  <c r="H65" i="3"/>
  <c r="AJ55" i="3"/>
  <c r="H74" i="3"/>
  <c r="AA56" i="3"/>
  <c r="W62" i="3"/>
  <c r="AC87" i="3"/>
  <c r="X68" i="3"/>
  <c r="U83" i="3"/>
  <c r="AH61" i="3"/>
  <c r="AC48" i="3"/>
  <c r="P67" i="3"/>
  <c r="J77" i="3"/>
  <c r="I84" i="3"/>
  <c r="Z56" i="3"/>
  <c r="AN84" i="3"/>
  <c r="AL69" i="3"/>
  <c r="Y93" i="3"/>
  <c r="I74" i="3"/>
  <c r="N66" i="3"/>
  <c r="M66" i="3"/>
  <c r="W61" i="3"/>
  <c r="U92" i="3"/>
  <c r="AN66" i="3"/>
  <c r="K78" i="3"/>
  <c r="AL47" i="3"/>
  <c r="AK60" i="3"/>
  <c r="AK95" i="3"/>
  <c r="AI90" i="3"/>
  <c r="AA89" i="3"/>
  <c r="N96" i="3"/>
  <c r="AE93" i="3"/>
  <c r="K86" i="3"/>
  <c r="Q81" i="3"/>
  <c r="AC73" i="3"/>
  <c r="AH74" i="3"/>
  <c r="AL85" i="3"/>
  <c r="AE65" i="3"/>
  <c r="AO63" i="3"/>
  <c r="I68" i="3"/>
  <c r="P76" i="3"/>
  <c r="Z55" i="3"/>
  <c r="AL77" i="3"/>
  <c r="AN63" i="3"/>
  <c r="U79" i="3"/>
  <c r="V49" i="3"/>
  <c r="N93" i="3"/>
  <c r="AE74" i="3"/>
  <c r="AM74" i="3"/>
  <c r="AK49" i="3"/>
  <c r="J83" i="3"/>
  <c r="J79" i="3"/>
  <c r="H73" i="3"/>
  <c r="AN82" i="3"/>
  <c r="J94" i="3"/>
  <c r="M93" i="3"/>
  <c r="T96" i="3"/>
  <c r="W67" i="3"/>
  <c r="N92" i="3"/>
  <c r="T69" i="3"/>
  <c r="AG59" i="3"/>
  <c r="R90" i="3"/>
  <c r="AN91" i="3"/>
  <c r="S82" i="3"/>
  <c r="U91" i="3"/>
  <c r="I62" i="3"/>
  <c r="X62" i="3"/>
  <c r="AL86" i="3"/>
  <c r="AC63" i="3"/>
  <c r="R82" i="3"/>
  <c r="W97" i="3"/>
  <c r="AL57" i="3"/>
  <c r="Y82" i="3"/>
  <c r="AJ89" i="3"/>
  <c r="AK94" i="3"/>
  <c r="AI61" i="3"/>
  <c r="M74" i="3"/>
  <c r="L57" i="3"/>
  <c r="AA82" i="3"/>
  <c r="M78" i="3"/>
  <c r="K47" i="3"/>
  <c r="AE54" i="3"/>
  <c r="W84" i="3"/>
  <c r="AC81" i="3"/>
  <c r="U80" i="3"/>
  <c r="T93" i="3"/>
  <c r="AK86" i="3"/>
  <c r="M82" i="3"/>
  <c r="AE73" i="3"/>
  <c r="AE97" i="3"/>
  <c r="N49" i="3"/>
  <c r="L92" i="3"/>
  <c r="J86" i="3"/>
  <c r="AI70" i="3"/>
  <c r="Q57" i="3"/>
  <c r="AC97" i="3"/>
  <c r="AC78" i="3"/>
  <c r="V57" i="3"/>
  <c r="M47" i="3"/>
  <c r="X47" i="3"/>
  <c r="AJ97" i="3"/>
  <c r="AG67" i="3"/>
  <c r="U65" i="3"/>
  <c r="AE70" i="3"/>
  <c r="K77" i="3"/>
  <c r="AH57" i="3"/>
  <c r="K61" i="3"/>
  <c r="X88" i="3"/>
  <c r="W64" i="3"/>
  <c r="K59" i="3"/>
  <c r="Y58" i="3"/>
  <c r="L47" i="3"/>
  <c r="AM69" i="3"/>
  <c r="AK81" i="3"/>
  <c r="L97" i="3"/>
  <c r="O59" i="3"/>
  <c r="AE81" i="3"/>
  <c r="P93" i="3"/>
  <c r="AA79" i="3"/>
  <c r="Z60" i="3"/>
  <c r="W69" i="3"/>
  <c r="N82" i="3"/>
  <c r="T57" i="3"/>
  <c r="AL78" i="3"/>
  <c r="U76" i="3"/>
  <c r="I69" i="3"/>
  <c r="X84" i="3"/>
  <c r="K82" i="3"/>
  <c r="T92" i="3"/>
  <c r="AC70" i="3"/>
  <c r="AG54" i="3"/>
  <c r="AN73" i="3"/>
  <c r="N57" i="3"/>
  <c r="P97" i="3"/>
  <c r="AI79" i="3"/>
  <c r="O79" i="3"/>
  <c r="AA94" i="3"/>
  <c r="P70" i="3"/>
  <c r="J78" i="3"/>
  <c r="O56" i="3"/>
  <c r="AN80" i="3"/>
  <c r="AL84" i="3"/>
  <c r="AO90" i="3"/>
  <c r="I89" i="3"/>
  <c r="AK79" i="3"/>
  <c r="P48" i="3"/>
  <c r="AI89" i="3"/>
  <c r="AM59" i="3"/>
  <c r="AE80" i="3"/>
  <c r="L70" i="3"/>
  <c r="M67" i="3"/>
  <c r="V56" i="3"/>
  <c r="AG62" i="3"/>
  <c r="T55" i="3"/>
  <c r="Y54" i="3"/>
  <c r="N78" i="3"/>
  <c r="AO48" i="3"/>
  <c r="S55" i="3"/>
  <c r="Y62" i="3"/>
  <c r="I64" i="3"/>
  <c r="AJ83" i="3"/>
  <c r="AA80" i="3"/>
  <c r="U61" i="3"/>
  <c r="N87" i="3"/>
  <c r="AG75" i="3"/>
  <c r="AC94" i="3"/>
  <c r="Y85" i="3"/>
  <c r="AN69" i="3"/>
  <c r="AM50" i="3"/>
  <c r="AK61" i="3"/>
  <c r="H66" i="3"/>
  <c r="H61" i="3"/>
  <c r="L73" i="3"/>
  <c r="AJ87" i="3"/>
  <c r="AJ63" i="3"/>
  <c r="AJ93" i="3"/>
  <c r="AJ84" i="3"/>
  <c r="Q63" i="3"/>
  <c r="M83" i="3"/>
  <c r="AO74" i="3"/>
  <c r="W68" i="3"/>
  <c r="N88" i="3"/>
  <c r="M49" i="3"/>
  <c r="AL73" i="3"/>
  <c r="S56" i="3"/>
  <c r="W70" i="3"/>
  <c r="AO47" i="3"/>
  <c r="AL59" i="3"/>
  <c r="Z83" i="3"/>
  <c r="R96" i="3"/>
  <c r="M85" i="3"/>
  <c r="AM82" i="3"/>
  <c r="I50" i="3"/>
  <c r="L67" i="3"/>
  <c r="AE64" i="3"/>
  <c r="AL54" i="3"/>
  <c r="L77" i="3"/>
  <c r="H62" i="3"/>
  <c r="AE82" i="3"/>
  <c r="H48" i="3"/>
  <c r="U56" i="3"/>
  <c r="AO54" i="3"/>
  <c r="Z74" i="3"/>
  <c r="I79" i="3"/>
  <c r="N47" i="3"/>
  <c r="AM61" i="3"/>
  <c r="U97" i="3"/>
  <c r="Y75" i="3"/>
  <c r="I47" i="3"/>
  <c r="AH68" i="3"/>
  <c r="AN74" i="3"/>
  <c r="AL56" i="3"/>
  <c r="Z84" i="3"/>
  <c r="AN92" i="3"/>
  <c r="M80" i="3"/>
  <c r="N95" i="3"/>
  <c r="R89" i="3"/>
  <c r="AM93" i="3"/>
  <c r="AI93" i="3"/>
  <c r="AK57" i="3"/>
  <c r="AJ91" i="3"/>
  <c r="M50" i="3"/>
  <c r="P75" i="3"/>
  <c r="P57" i="3"/>
  <c r="AN85" i="3"/>
  <c r="M65" i="3"/>
  <c r="M71" i="3"/>
  <c r="AA50" i="3"/>
  <c r="V65" i="3"/>
  <c r="W66" i="3"/>
  <c r="AK71" i="3"/>
  <c r="AL65" i="3"/>
  <c r="Z78" i="3"/>
  <c r="AL67" i="3"/>
  <c r="Y49" i="3"/>
  <c r="I88" i="3"/>
  <c r="K50" i="3"/>
  <c r="R58" i="3"/>
  <c r="M58" i="3"/>
  <c r="AK66" i="3"/>
  <c r="AG63" i="3"/>
  <c r="R92" i="3"/>
  <c r="AC61" i="3"/>
  <c r="R73" i="3"/>
  <c r="AK55" i="3"/>
  <c r="O49" i="3"/>
  <c r="L89" i="3"/>
  <c r="AE48" i="3"/>
  <c r="M68" i="3"/>
  <c r="M89" i="3"/>
  <c r="AL82" i="3"/>
  <c r="AG48" i="3"/>
  <c r="AL81" i="3"/>
  <c r="Y55" i="3"/>
  <c r="AK90" i="3"/>
  <c r="AK64" i="3"/>
  <c r="M55" i="3"/>
  <c r="W90" i="3"/>
  <c r="AG78" i="3"/>
  <c r="S90" i="3"/>
  <c r="R87" i="3"/>
  <c r="Y72" i="3"/>
  <c r="AE94" i="3"/>
  <c r="Z66" i="3"/>
  <c r="Q92" i="3"/>
  <c r="AJ71" i="3"/>
  <c r="Y66" i="3"/>
  <c r="Z50" i="3"/>
  <c r="AJ49" i="3"/>
  <c r="AK50" i="3"/>
  <c r="AE61" i="3"/>
  <c r="AM84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H81" i="3"/>
  <c r="K81" i="3"/>
  <c r="I94" i="3"/>
  <c r="AO75" i="3"/>
  <c r="I85" i="3"/>
  <c r="V82" i="3"/>
  <c r="P83" i="3"/>
  <c r="AM94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I97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K65" i="3"/>
  <c r="S63" i="3"/>
  <c r="X83" i="3"/>
  <c r="O64" i="3"/>
  <c r="AJ88" i="3"/>
  <c r="Y67" i="3"/>
  <c r="J74" i="3"/>
  <c r="K85" i="3"/>
  <c r="N86" i="3"/>
  <c r="AK89" i="3"/>
  <c r="AA87" i="3"/>
  <c r="AL89" i="3"/>
  <c r="AK96" i="3"/>
  <c r="H92" i="3"/>
  <c r="H76" i="3"/>
  <c r="O47" i="3"/>
  <c r="J80" i="3"/>
  <c r="AE85" i="3"/>
  <c r="AJ67" i="3"/>
  <c r="Q75" i="3"/>
  <c r="AA95" i="3"/>
  <c r="H88" i="3"/>
  <c r="AC82" i="3"/>
  <c r="Y84" i="3"/>
  <c r="AC86" i="3"/>
  <c r="M60" i="3"/>
  <c r="H96" i="3"/>
  <c r="Z48" i="3"/>
  <c r="AN94" i="3"/>
  <c r="I54" i="3"/>
  <c r="Y91" i="3"/>
  <c r="H59" i="3"/>
  <c r="AN67" i="3"/>
  <c r="AN89" i="3"/>
  <c r="AL66" i="3"/>
  <c r="AI91" i="3"/>
  <c r="AK73" i="3"/>
  <c r="S68" i="3"/>
  <c r="R67" i="3"/>
  <c r="Z96" i="3"/>
  <c r="AE63" i="3"/>
  <c r="Q66" i="3"/>
  <c r="AK76" i="3"/>
  <c r="AO85" i="3"/>
  <c r="Q64" i="3"/>
  <c r="AC49" i="3"/>
  <c r="AA92" i="3"/>
  <c r="V59" i="3"/>
  <c r="J76" i="3"/>
  <c r="R77" i="3"/>
  <c r="L95" i="3"/>
  <c r="AN68" i="3"/>
  <c r="X75" i="3"/>
  <c r="M69" i="3"/>
  <c r="Y68" i="3"/>
  <c r="AO87" i="3"/>
  <c r="P60" i="3"/>
  <c r="M94" i="3"/>
  <c r="O90" i="3"/>
  <c r="W96" i="3"/>
  <c r="S79" i="3"/>
  <c r="Y94" i="3"/>
  <c r="T58" i="3"/>
  <c r="AJ65" i="3"/>
  <c r="AJ74" i="3"/>
  <c r="AI56" i="3"/>
  <c r="M76" i="3"/>
  <c r="AC71" i="3"/>
  <c r="Z97" i="3"/>
  <c r="Z72" i="3"/>
  <c r="W76" i="3"/>
  <c r="J70" i="3"/>
  <c r="L91" i="3"/>
  <c r="J58" i="3"/>
  <c r="AK63" i="3"/>
  <c r="N60" i="3"/>
  <c r="AL64" i="3"/>
  <c r="P81" i="3"/>
  <c r="AC80" i="3"/>
  <c r="AN87" i="3"/>
  <c r="K70" i="3"/>
  <c r="M54" i="3"/>
  <c r="AQ71" i="3"/>
  <c r="AG89" i="3"/>
  <c r="J63" i="3"/>
  <c r="V75" i="3"/>
  <c r="M64" i="3"/>
  <c r="V73" i="3"/>
  <c r="W65" i="3"/>
  <c r="Y57" i="3"/>
  <c r="U72" i="3"/>
  <c r="AJ78" i="3"/>
  <c r="X87" i="3"/>
  <c r="AE77" i="3"/>
  <c r="AQ59" i="3"/>
  <c r="AM97" i="3"/>
  <c r="T79" i="3"/>
  <c r="L85" i="3"/>
  <c r="AA73" i="3"/>
  <c r="AO80" i="3"/>
  <c r="Y48" i="3"/>
  <c r="O60" i="3"/>
  <c r="AN86" i="3"/>
  <c r="AQ62" i="3"/>
  <c r="AL58" i="3"/>
  <c r="Y86" i="3"/>
  <c r="O77" i="3"/>
  <c r="V78" i="3"/>
  <c r="AO55" i="3"/>
  <c r="V89" i="3"/>
  <c r="L84" i="3"/>
  <c r="V67" i="3"/>
  <c r="W49" i="3"/>
  <c r="Z59" i="3"/>
  <c r="AM95" i="3"/>
  <c r="H55" i="3"/>
  <c r="AJ68" i="3"/>
  <c r="X64" i="3"/>
  <c r="AO92" i="3"/>
  <c r="Z62" i="3"/>
  <c r="AL96" i="3"/>
  <c r="R78" i="3"/>
  <c r="R66" i="3"/>
  <c r="AK67" i="3"/>
  <c r="Z67" i="3"/>
  <c r="AO76" i="3"/>
  <c r="AJ62" i="3"/>
  <c r="V93" i="3"/>
  <c r="AJ92" i="3"/>
  <c r="P58" i="3"/>
  <c r="AN78" i="3"/>
  <c r="AK85" i="3"/>
  <c r="Z76" i="3"/>
  <c r="R54" i="3"/>
  <c r="S85" i="3"/>
  <c r="Q74" i="3"/>
  <c r="O63" i="3"/>
  <c r="AG70" i="3"/>
  <c r="S65" i="3"/>
  <c r="S93" i="3"/>
  <c r="AE56" i="3"/>
  <c r="X56" i="3"/>
  <c r="AA66" i="3"/>
  <c r="N74" i="3"/>
  <c r="T82" i="3"/>
  <c r="H57" i="3"/>
  <c r="AN97" i="3"/>
  <c r="S77" i="3"/>
  <c r="T72" i="3"/>
  <c r="AC64" i="3"/>
  <c r="Q95" i="3"/>
  <c r="K72" i="3"/>
  <c r="V97" i="3"/>
  <c r="N97" i="3"/>
  <c r="X86" i="3"/>
  <c r="AJ86" i="3"/>
  <c r="AA81" i="3"/>
  <c r="N80" i="3"/>
  <c r="L80" i="3"/>
  <c r="P86" i="3"/>
  <c r="AC65" i="3"/>
  <c r="AH77" i="3"/>
  <c r="AJ54" i="3"/>
  <c r="AH73" i="3"/>
  <c r="H91" i="3"/>
  <c r="W81" i="3"/>
  <c r="S75" i="3"/>
  <c r="AH50" i="3"/>
  <c r="AQ92" i="3"/>
  <c r="AI96" i="3"/>
  <c r="J97" i="3"/>
  <c r="AK47" i="3"/>
  <c r="AL55" i="3"/>
  <c r="Z69" i="3"/>
  <c r="V50" i="3"/>
  <c r="AH92" i="3"/>
  <c r="P85" i="3"/>
  <c r="Z95" i="3"/>
  <c r="AL97" i="3"/>
  <c r="AA68" i="3"/>
  <c r="T56" i="3"/>
  <c r="AC66" i="3"/>
  <c r="AK88" i="3"/>
  <c r="Z91" i="3"/>
  <c r="AK87" i="3"/>
  <c r="AN61" i="3"/>
  <c r="AJ90" i="3"/>
  <c r="Y60" i="3"/>
  <c r="L69" i="3"/>
  <c r="AN90" i="3"/>
  <c r="V55" i="3"/>
  <c r="T59" i="3"/>
  <c r="R56" i="3"/>
  <c r="AC50" i="3"/>
  <c r="N76" i="3"/>
  <c r="AH91" i="3"/>
  <c r="U75" i="3"/>
  <c r="L74" i="3"/>
  <c r="AK72" i="3"/>
  <c r="H83" i="3"/>
  <c r="J62" i="3"/>
  <c r="Q89" i="3"/>
  <c r="R83" i="3"/>
  <c r="AI67" i="3"/>
  <c r="X48" i="3"/>
  <c r="M88" i="3"/>
  <c r="AL49" i="3"/>
  <c r="AH47" i="3"/>
  <c r="AL79" i="3"/>
  <c r="K76" i="3"/>
  <c r="AH87" i="3"/>
  <c r="N55" i="3"/>
  <c r="AQ60" i="3"/>
  <c r="H94" i="3"/>
  <c r="U90" i="3"/>
  <c r="AH93" i="3"/>
  <c r="AA49" i="3"/>
  <c r="R50" i="3"/>
  <c r="AN47" i="3"/>
  <c r="AG83" i="3"/>
  <c r="AE76" i="3"/>
  <c r="Y90" i="3"/>
  <c r="AO91" i="3"/>
  <c r="X63" i="3"/>
  <c r="U84" i="3"/>
  <c r="P47" i="3"/>
  <c r="AQ74" i="3"/>
  <c r="T76" i="3"/>
  <c r="AQ93" i="3"/>
  <c r="Q54" i="3"/>
  <c r="H63" i="3"/>
  <c r="H89" i="3"/>
  <c r="J87" i="3"/>
  <c r="T80" i="3"/>
  <c r="AL61" i="3"/>
  <c r="H47" i="3"/>
  <c r="AO49" i="3"/>
  <c r="K54" i="3"/>
  <c r="S58" i="3"/>
  <c r="O83" i="3"/>
  <c r="U69" i="3"/>
  <c r="AE90" i="3"/>
  <c r="AI49" i="3"/>
  <c r="AK75" i="3"/>
  <c r="J96" i="3"/>
  <c r="AJ82" i="3"/>
  <c r="AH84" i="3"/>
  <c r="H93" i="3"/>
  <c r="U95" i="3"/>
  <c r="Y71" i="3"/>
  <c r="AI75" i="3"/>
  <c r="AN48" i="3"/>
  <c r="AK84" i="3"/>
  <c r="N89" i="3"/>
  <c r="AN93" i="3"/>
  <c r="AK68" i="3"/>
  <c r="AJ95" i="3"/>
  <c r="AA59" i="3"/>
  <c r="AC75" i="3"/>
  <c r="AO58" i="3"/>
  <c r="AJ66" i="3"/>
  <c r="Q97" i="3"/>
  <c r="AN88" i="3"/>
  <c r="N64" i="3"/>
  <c r="AK70" i="3"/>
  <c r="Q65" i="3"/>
  <c r="AQ63" i="3"/>
  <c r="AJ81" i="3"/>
  <c r="W73" i="3"/>
  <c r="Q49" i="3"/>
  <c r="Q77" i="3"/>
  <c r="I86" i="3"/>
  <c r="AE58" i="3"/>
  <c r="Y61" i="3"/>
  <c r="P56" i="3"/>
  <c r="M70" i="3"/>
  <c r="AN55" i="3"/>
  <c r="V69" i="3"/>
  <c r="I75" i="3"/>
  <c r="N61" i="3"/>
  <c r="M73" i="3"/>
  <c r="AG94" i="3"/>
  <c r="AN56" i="3"/>
  <c r="AC62" i="3"/>
  <c r="AM77" i="3"/>
  <c r="M97" i="3"/>
  <c r="J72" i="3"/>
  <c r="AC84" i="3"/>
  <c r="AH71" i="3"/>
  <c r="I57" i="3"/>
  <c r="AC69" i="3"/>
  <c r="P62" i="3"/>
  <c r="AA91" i="3"/>
  <c r="S95" i="3"/>
  <c r="AM96" i="3"/>
  <c r="M90" i="3"/>
  <c r="AG80" i="3"/>
  <c r="J67" i="3"/>
  <c r="AH60" i="3"/>
  <c r="AE87" i="3"/>
  <c r="W79" i="3"/>
  <c r="W63" i="3"/>
  <c r="N75" i="3"/>
  <c r="AC90" i="3"/>
  <c r="AJ80" i="3"/>
  <c r="H56" i="3"/>
  <c r="AJ61" i="3"/>
  <c r="AJ72" i="3"/>
  <c r="K80" i="3"/>
  <c r="R88" i="3"/>
  <c r="U88" i="3"/>
  <c r="Q62" i="3"/>
  <c r="AK62" i="3"/>
  <c r="AC91" i="3"/>
  <c r="Q50" i="3"/>
  <c r="AC47" i="3"/>
  <c r="AA77" i="3"/>
  <c r="P49" i="3"/>
  <c r="J93" i="3"/>
  <c r="N70" i="3"/>
  <c r="AM64" i="3"/>
  <c r="AO61" i="3"/>
  <c r="N63" i="3"/>
  <c r="U55" i="3"/>
  <c r="U93" i="3"/>
  <c r="AI64" i="3" l="1"/>
  <c r="Q58" i="3"/>
  <c r="AN75" i="3"/>
  <c r="AH76" i="3"/>
  <c r="Y80" i="3"/>
  <c r="X81" i="3"/>
  <c r="H79" i="3"/>
  <c r="Q55" i="3"/>
  <c r="AN72" i="3"/>
  <c r="AJ79" i="3"/>
  <c r="AA48" i="3"/>
  <c r="O55" i="3"/>
  <c r="AC67" i="3"/>
  <c r="L76" i="3"/>
  <c r="AH90" i="3"/>
  <c r="Y92" i="3"/>
  <c r="AC83" i="3"/>
  <c r="AO73" i="3"/>
  <c r="AJ57" i="3"/>
  <c r="W82" i="3"/>
  <c r="AM71" i="3"/>
  <c r="U74" i="3"/>
  <c r="K75" i="3"/>
  <c r="R86" i="3"/>
  <c r="AI77" i="3"/>
  <c r="AE96" i="3"/>
  <c r="AJ60" i="3"/>
  <c r="P54" i="3"/>
  <c r="T94" i="3"/>
  <c r="AJ64" i="3"/>
  <c r="H90" i="3"/>
  <c r="V88" i="3"/>
  <c r="H49" i="3"/>
  <c r="AM47" i="3"/>
  <c r="AC56" i="3"/>
  <c r="AM76" i="3"/>
  <c r="AO83" i="3"/>
  <c r="Y70" i="3"/>
  <c r="AE92" i="3"/>
  <c r="X70" i="3"/>
  <c r="H86" i="3"/>
  <c r="Z81" i="3"/>
  <c r="AE50" i="3"/>
  <c r="L65" i="3"/>
  <c r="AE66" i="3"/>
  <c r="AE95" i="3"/>
  <c r="AO72" i="3"/>
  <c r="AO93" i="3"/>
  <c r="S49" i="3"/>
  <c r="AA64" i="3"/>
  <c r="N90" i="3"/>
  <c r="AJ56" i="3"/>
  <c r="W58" i="3"/>
  <c r="Y97" i="3"/>
  <c r="S86" i="3"/>
  <c r="N94" i="3"/>
  <c r="L61" i="3"/>
  <c r="J68" i="3"/>
  <c r="Z92" i="3"/>
  <c r="AM60" i="3"/>
  <c r="AN70" i="3"/>
  <c r="U47" i="3"/>
  <c r="AJ85" i="3"/>
  <c r="AH83" i="3"/>
  <c r="S81" i="3"/>
  <c r="Z88" i="3"/>
  <c r="Q48" i="3"/>
  <c r="H78" i="3"/>
  <c r="U87" i="3"/>
  <c r="K56" i="3"/>
  <c r="R72" i="3"/>
  <c r="Q78" i="3"/>
  <c r="AI65" i="3"/>
  <c r="H64" i="3"/>
  <c r="Q96" i="3"/>
  <c r="AG81" i="3"/>
  <c r="U63" i="3"/>
  <c r="AJ96" i="3"/>
  <c r="P68" i="3"/>
  <c r="AO77" i="3"/>
  <c r="AN79" i="3"/>
  <c r="X73" i="3"/>
  <c r="AA54" i="3"/>
  <c r="S78" i="3"/>
  <c r="AG87" i="3"/>
  <c r="S57" i="3"/>
  <c r="N65" i="3"/>
  <c r="AC59" i="3"/>
  <c r="T97" i="3"/>
  <c r="AA71" i="3"/>
  <c r="AM85" i="3"/>
  <c r="P90" i="3"/>
  <c r="R60" i="3"/>
  <c r="AJ77" i="3"/>
  <c r="U59" i="3"/>
  <c r="AG50" i="3"/>
  <c r="AM73" i="3"/>
  <c r="T87" i="3"/>
  <c r="X69" i="3"/>
  <c r="U60" i="3"/>
  <c r="Q76" i="3"/>
  <c r="T54" i="3"/>
  <c r="V96" i="3"/>
  <c r="AO81" i="3"/>
  <c r="T84" i="3"/>
  <c r="AI47" i="3"/>
  <c r="H80" i="3"/>
  <c r="Q60" i="3"/>
  <c r="N84" i="3"/>
  <c r="AA74" i="3"/>
  <c r="H50" i="3"/>
  <c r="AO95" i="3"/>
  <c r="AG55" i="3"/>
  <c r="X61" i="3"/>
  <c r="W47" i="3"/>
  <c r="AA58" i="3"/>
  <c r="Z93" i="3"/>
  <c r="Z73" i="3"/>
  <c r="Z47" i="3"/>
  <c r="Y56" i="3"/>
  <c r="W85" i="3"/>
  <c r="P94" i="3"/>
  <c r="H72" i="3"/>
  <c r="P96" i="3"/>
  <c r="AG84" i="3"/>
  <c r="V86" i="3"/>
  <c r="V77" i="3"/>
  <c r="O94" i="3"/>
  <c r="Q85" i="3"/>
  <c r="W57" i="3"/>
  <c r="R70" i="3"/>
  <c r="AO67" i="3"/>
  <c r="H71" i="3"/>
  <c r="AI80" i="3"/>
  <c r="J47" i="3"/>
  <c r="AN54" i="3"/>
  <c r="U77" i="3"/>
  <c r="AG60" i="3"/>
  <c r="L49" i="3"/>
  <c r="AO66" i="3"/>
  <c r="V95" i="3"/>
  <c r="P78" i="3"/>
  <c r="L86" i="3"/>
  <c r="O91" i="3"/>
  <c r="V60" i="3"/>
  <c r="AG64" i="3"/>
  <c r="AG66" i="3"/>
  <c r="Z61" i="3"/>
  <c r="T70" i="3"/>
  <c r="N72" i="3"/>
  <c r="AG97" i="3"/>
  <c r="L81" i="3"/>
  <c r="N69" i="3"/>
  <c r="X92" i="3"/>
  <c r="AO96" i="3"/>
  <c r="AG92" i="3"/>
  <c r="AA57" i="3"/>
  <c r="AN65" i="3"/>
  <c r="O65" i="3"/>
  <c r="Q91" i="3"/>
  <c r="AI72" i="3"/>
  <c r="N81" i="3"/>
  <c r="AN81" i="3"/>
  <c r="AN50" i="3"/>
  <c r="W91" i="3"/>
  <c r="O95" i="3"/>
  <c r="K63" i="3"/>
  <c r="P79" i="3"/>
  <c r="V64" i="3"/>
  <c r="V71" i="3"/>
  <c r="AM62" i="3"/>
  <c r="P80" i="3"/>
  <c r="X50" i="3"/>
  <c r="AA97" i="3"/>
  <c r="AA55" i="3"/>
  <c r="AG86" i="3"/>
  <c r="V85" i="3"/>
  <c r="AA72" i="3"/>
  <c r="X60" i="3"/>
  <c r="AI50" i="3"/>
  <c r="AH72" i="3"/>
  <c r="AO79" i="3"/>
  <c r="X82" i="3"/>
  <c r="R71" i="3"/>
  <c r="V48" i="3"/>
  <c r="P89" i="3"/>
  <c r="AA93" i="3"/>
  <c r="AG93" i="3"/>
  <c r="X78" i="3"/>
  <c r="X55" i="3"/>
  <c r="R76" i="3"/>
  <c r="S54" i="3"/>
  <c r="X79" i="3"/>
  <c r="AO65" i="3"/>
  <c r="K67" i="3"/>
  <c r="AO56" i="3"/>
  <c r="P71" i="3"/>
  <c r="AL88" i="3"/>
  <c r="AH95" i="3"/>
  <c r="O54" i="3"/>
  <c r="T48" i="3"/>
  <c r="Q69" i="3"/>
  <c r="AH65" i="3"/>
  <c r="P72" i="3"/>
  <c r="AL75" i="3"/>
  <c r="AI85" i="3"/>
  <c r="AE86" i="3"/>
  <c r="AE69" i="3"/>
  <c r="AE83" i="3"/>
  <c r="AE60" i="3"/>
  <c r="AE71" i="3"/>
  <c r="AE67" i="3"/>
  <c r="AC85" i="3"/>
  <c r="AC79" i="3"/>
  <c r="AC92" i="3"/>
  <c r="AC89" i="3"/>
  <c r="AC60" i="3"/>
  <c r="AJ48" i="3"/>
  <c r="AJ50" i="3"/>
  <c r="BP74" i="1" s="1"/>
  <c r="AJ76" i="3"/>
  <c r="BP143" i="1" s="1"/>
  <c r="BQ143" i="1" s="1"/>
  <c r="M63" i="3"/>
  <c r="M79" i="3"/>
  <c r="M81" i="3"/>
  <c r="M84" i="3"/>
  <c r="M87" i="3"/>
  <c r="AN96" i="3"/>
  <c r="BT163" i="1" s="1"/>
  <c r="BU163" i="1" s="1"/>
  <c r="AN59" i="3"/>
  <c r="AN62" i="3"/>
  <c r="BT124" i="1" s="1"/>
  <c r="H70" i="3"/>
  <c r="AN133" i="1" s="1"/>
  <c r="H67" i="3"/>
  <c r="N91" i="3"/>
  <c r="AT154" i="1" s="1"/>
  <c r="AU154" i="1" s="1"/>
  <c r="N68" i="3"/>
  <c r="AT131" i="1" s="1"/>
  <c r="N83" i="3"/>
  <c r="AT160" i="1" s="1"/>
  <c r="N54" i="3"/>
  <c r="W94" i="3"/>
  <c r="W89" i="3"/>
  <c r="W93" i="3"/>
  <c r="W87" i="3"/>
  <c r="W95" i="3"/>
  <c r="W88" i="3"/>
  <c r="W56" i="3"/>
  <c r="W54" i="3"/>
  <c r="W72" i="3"/>
  <c r="U70" i="3"/>
  <c r="U82" i="3"/>
  <c r="U89" i="3"/>
  <c r="U62" i="3"/>
  <c r="U94" i="3"/>
  <c r="U49" i="3"/>
  <c r="BA73" i="1" s="1"/>
  <c r="U78" i="3"/>
  <c r="Y64" i="3"/>
  <c r="Y77" i="3"/>
  <c r="Y65" i="3"/>
  <c r="Y63" i="3"/>
  <c r="Y74" i="3"/>
  <c r="Y69" i="3"/>
  <c r="Z49" i="3"/>
  <c r="BF73" i="1" s="1"/>
  <c r="Z87" i="3"/>
  <c r="BF152" i="1" s="1"/>
  <c r="BG152" i="1" s="1"/>
  <c r="Z63" i="3"/>
  <c r="BF125" i="1" s="1"/>
  <c r="BG125" i="1" s="1"/>
  <c r="Z82" i="3"/>
  <c r="BF145" i="1" s="1"/>
  <c r="Z85" i="3"/>
  <c r="BF147" i="1" s="1"/>
  <c r="BG147" i="1" s="1"/>
  <c r="Z54" i="3"/>
  <c r="Z57" i="3"/>
  <c r="BF118" i="1" s="1"/>
  <c r="BG118" i="1" s="1"/>
  <c r="Z68" i="3"/>
  <c r="BF131" i="1" s="1"/>
  <c r="Z71" i="3"/>
  <c r="Z65" i="3"/>
  <c r="BF150" i="1" s="1"/>
  <c r="BG150" i="1" s="1"/>
  <c r="AH75" i="3"/>
  <c r="BN137" i="1" s="1"/>
  <c r="BO137" i="1" s="1"/>
  <c r="AH64" i="3"/>
  <c r="BN149" i="1" s="1"/>
  <c r="BO149" i="1" s="1"/>
  <c r="AH79" i="3"/>
  <c r="BN143" i="1" s="1"/>
  <c r="AH70" i="3"/>
  <c r="BN133" i="1" s="1"/>
  <c r="AH94" i="3"/>
  <c r="AH97" i="3"/>
  <c r="AH63" i="3"/>
  <c r="BN125" i="1" s="1"/>
  <c r="BO125" i="1" s="1"/>
  <c r="AH66" i="3"/>
  <c r="BN151" i="1" s="1"/>
  <c r="BO151" i="1" s="1"/>
  <c r="AH88" i="3"/>
  <c r="BN127" i="1" s="1"/>
  <c r="BO127" i="1" s="1"/>
  <c r="AH56" i="3"/>
  <c r="BN117" i="1" s="1"/>
  <c r="BO117" i="1" s="1"/>
  <c r="AH85" i="3"/>
  <c r="BN147" i="1" s="1"/>
  <c r="BO147" i="1" s="1"/>
  <c r="AH59" i="3"/>
  <c r="AH58" i="3"/>
  <c r="BN119" i="1" s="1"/>
  <c r="Q84" i="3"/>
  <c r="Q83" i="3"/>
  <c r="Q80" i="3"/>
  <c r="Q59" i="3"/>
  <c r="Q93" i="3"/>
  <c r="Q90" i="3"/>
  <c r="Q71" i="3"/>
  <c r="S62" i="3"/>
  <c r="S92" i="3"/>
  <c r="S97" i="3"/>
  <c r="S83" i="3"/>
  <c r="S74" i="3"/>
  <c r="S84" i="3"/>
  <c r="S60" i="3"/>
  <c r="S72" i="3"/>
  <c r="S64" i="3"/>
  <c r="S91" i="3"/>
  <c r="S71" i="3"/>
  <c r="AQ90" i="3"/>
  <c r="AQ69" i="3"/>
  <c r="AQ83" i="3"/>
  <c r="AQ89" i="3"/>
  <c r="AQ95" i="3"/>
  <c r="AQ58" i="3"/>
  <c r="AQ82" i="3"/>
  <c r="AQ75" i="3"/>
  <c r="AQ68" i="3"/>
  <c r="AQ50" i="3"/>
  <c r="BW74" i="1" s="1"/>
  <c r="AQ66" i="3"/>
  <c r="R49" i="3"/>
  <c r="AX73" i="1" s="1"/>
  <c r="R95" i="3"/>
  <c r="AX164" i="1" s="1"/>
  <c r="AY164" i="1" s="1"/>
  <c r="R57" i="3"/>
  <c r="AX118" i="1" s="1"/>
  <c r="AY118" i="1" s="1"/>
  <c r="R81" i="3"/>
  <c r="AX144" i="1" s="1"/>
  <c r="R69" i="3"/>
  <c r="AX132" i="1" s="1"/>
  <c r="R94" i="3"/>
  <c r="R85" i="3"/>
  <c r="AX147" i="1" s="1"/>
  <c r="AY147" i="1" s="1"/>
  <c r="R97" i="3"/>
  <c r="R47" i="3"/>
  <c r="R79" i="3"/>
  <c r="AX143" i="1" s="1"/>
  <c r="AA75" i="3"/>
  <c r="AA62" i="3"/>
  <c r="AA70" i="3"/>
  <c r="AA84" i="3"/>
  <c r="AA86" i="3"/>
  <c r="AA76" i="3"/>
  <c r="AA67" i="3"/>
  <c r="AA63" i="3"/>
  <c r="AA83" i="3"/>
  <c r="AM67" i="3"/>
  <c r="AM57" i="3"/>
  <c r="AM56" i="3"/>
  <c r="AM55" i="3"/>
  <c r="AM86" i="3"/>
  <c r="AM70" i="3"/>
  <c r="AM91" i="3"/>
  <c r="AM63" i="3"/>
  <c r="V62" i="3"/>
  <c r="BB124" i="1" s="1"/>
  <c r="V87" i="3"/>
  <c r="BB152" i="1" s="1"/>
  <c r="BC152" i="1" s="1"/>
  <c r="V66" i="3"/>
  <c r="BB151" i="1" s="1"/>
  <c r="BC151" i="1" s="1"/>
  <c r="V84" i="3"/>
  <c r="BB146" i="1" s="1"/>
  <c r="BC146" i="1" s="1"/>
  <c r="V61" i="3"/>
  <c r="V83" i="3"/>
  <c r="BB160" i="1" s="1"/>
  <c r="V72" i="3"/>
  <c r="BB135" i="1" s="1"/>
  <c r="BC135" i="1" s="1"/>
  <c r="V94" i="3"/>
  <c r="V90" i="3"/>
  <c r="BB126" i="1" s="1"/>
  <c r="BC126" i="1" s="1"/>
  <c r="V76" i="3"/>
  <c r="BB143" i="1" s="1"/>
  <c r="T85" i="3"/>
  <c r="AZ147" i="1" s="1"/>
  <c r="BA147" i="1" s="1"/>
  <c r="T88" i="3"/>
  <c r="AZ127" i="1" s="1"/>
  <c r="BA127" i="1" s="1"/>
  <c r="T75" i="3"/>
  <c r="AZ137" i="1" s="1"/>
  <c r="BA137" i="1" s="1"/>
  <c r="T78" i="3"/>
  <c r="AZ142" i="1" s="1"/>
  <c r="BA142" i="1" s="1"/>
  <c r="T91" i="3"/>
  <c r="AZ154" i="1" s="1"/>
  <c r="BA154" i="1" s="1"/>
  <c r="T83" i="3"/>
  <c r="AZ160" i="1" s="1"/>
  <c r="T68" i="3"/>
  <c r="AZ131" i="1" s="1"/>
  <c r="T89" i="3"/>
  <c r="AZ153" i="1" s="1"/>
  <c r="T71" i="3"/>
  <c r="T47" i="3"/>
  <c r="T81" i="3"/>
  <c r="AZ144" i="1" s="1"/>
  <c r="T73" i="3"/>
  <c r="AO68" i="3"/>
  <c r="AO57" i="3"/>
  <c r="AO94" i="3"/>
  <c r="O86" i="3"/>
  <c r="O72" i="3"/>
  <c r="O62" i="3"/>
  <c r="O70" i="3"/>
  <c r="O73" i="3"/>
  <c r="O93" i="3"/>
  <c r="O92" i="3"/>
  <c r="O57" i="3"/>
  <c r="O71" i="3"/>
  <c r="O80" i="3"/>
  <c r="O48" i="3"/>
  <c r="O85" i="3"/>
  <c r="O97" i="3"/>
  <c r="O89" i="3"/>
  <c r="O82" i="3"/>
  <c r="P61" i="3"/>
  <c r="P88" i="3"/>
  <c r="AV127" i="1" s="1"/>
  <c r="AW127" i="1" s="1"/>
  <c r="P95" i="3"/>
  <c r="AV164" i="1" s="1"/>
  <c r="AW164" i="1" s="1"/>
  <c r="P73" i="3"/>
  <c r="P55" i="3"/>
  <c r="P65" i="3"/>
  <c r="AV150" i="1" s="1"/>
  <c r="AW150" i="1" s="1"/>
  <c r="P77" i="3"/>
  <c r="AV140" i="1" s="1"/>
  <c r="P87" i="3"/>
  <c r="AV152" i="1" s="1"/>
  <c r="AW152" i="1" s="1"/>
  <c r="P66" i="3"/>
  <c r="AV151" i="1" s="1"/>
  <c r="AW151" i="1" s="1"/>
  <c r="P84" i="3"/>
  <c r="AV146" i="1" s="1"/>
  <c r="AW146" i="1" s="1"/>
  <c r="P69" i="3"/>
  <c r="AV132" i="1" s="1"/>
  <c r="K79" i="3"/>
  <c r="K92" i="3"/>
  <c r="K87" i="3"/>
  <c r="K57" i="3"/>
  <c r="K88" i="3"/>
  <c r="K71" i="3"/>
  <c r="K69" i="3"/>
  <c r="K58" i="3"/>
  <c r="K65" i="3"/>
  <c r="K95" i="3"/>
  <c r="K49" i="3"/>
  <c r="AQ73" i="1" s="1"/>
  <c r="K94" i="3"/>
  <c r="K93" i="3"/>
  <c r="K73" i="3"/>
  <c r="AG82" i="3"/>
  <c r="AG88" i="3"/>
  <c r="AG57" i="3"/>
  <c r="AG95" i="3"/>
  <c r="AG91" i="3"/>
  <c r="AG71" i="3"/>
  <c r="AG90" i="3"/>
  <c r="AG49" i="3"/>
  <c r="BM73" i="1" s="1"/>
  <c r="AG69" i="3"/>
  <c r="AG77" i="3"/>
  <c r="AG79" i="3"/>
  <c r="AG72" i="3"/>
  <c r="X80" i="3"/>
  <c r="BD159" i="1" s="1"/>
  <c r="X97" i="3"/>
  <c r="X49" i="3"/>
  <c r="BD73" i="1" s="1"/>
  <c r="X54" i="3"/>
  <c r="X90" i="3"/>
  <c r="BD126" i="1" s="1"/>
  <c r="BE126" i="1" s="1"/>
  <c r="X96" i="3"/>
  <c r="BD163" i="1" s="1"/>
  <c r="BE163" i="1" s="1"/>
  <c r="X95" i="3"/>
  <c r="BD164" i="1" s="1"/>
  <c r="BE164" i="1" s="1"/>
  <c r="X72" i="3"/>
  <c r="BD135" i="1" s="1"/>
  <c r="BE135" i="1" s="1"/>
  <c r="X76" i="3"/>
  <c r="BD143" i="1" s="1"/>
  <c r="X71" i="3"/>
  <c r="X57" i="3"/>
  <c r="BD118" i="1" s="1"/>
  <c r="BE118" i="1" s="1"/>
  <c r="X65" i="3"/>
  <c r="BD150" i="1" s="1"/>
  <c r="BE150" i="1" s="1"/>
  <c r="X85" i="3"/>
  <c r="BD147" i="1" s="1"/>
  <c r="BE147" i="1" s="1"/>
  <c r="X74" i="3"/>
  <c r="BD137" i="1" s="1"/>
  <c r="BE137" i="1" s="1"/>
  <c r="L79" i="3"/>
  <c r="AR143" i="1" s="1"/>
  <c r="AS143" i="1" s="1"/>
  <c r="L82" i="3"/>
  <c r="AR145" i="1" s="1"/>
  <c r="L58" i="3"/>
  <c r="AR119" i="1" s="1"/>
  <c r="L64" i="3"/>
  <c r="AR149" i="1" s="1"/>
  <c r="AS149" i="1" s="1"/>
  <c r="L71" i="3"/>
  <c r="L87" i="3"/>
  <c r="AR152" i="1" s="1"/>
  <c r="AS152" i="1" s="1"/>
  <c r="L83" i="3"/>
  <c r="AR160" i="1" s="1"/>
  <c r="AI58" i="3"/>
  <c r="AI57" i="3"/>
  <c r="AI95" i="3"/>
  <c r="AI86" i="3"/>
  <c r="AI69" i="3"/>
  <c r="AI68" i="3"/>
  <c r="AI88" i="3"/>
  <c r="AI92" i="3"/>
  <c r="AI62" i="3"/>
  <c r="AI76" i="3"/>
  <c r="AI66" i="3"/>
  <c r="AI54" i="3"/>
  <c r="AI87" i="3"/>
  <c r="J92" i="3"/>
  <c r="AP155" i="1" s="1"/>
  <c r="AQ155" i="1" s="1"/>
  <c r="J59" i="3"/>
  <c r="J56" i="3"/>
  <c r="AP117" i="1" s="1"/>
  <c r="AQ117" i="1" s="1"/>
  <c r="J75" i="3"/>
  <c r="AP137" i="1" s="1"/>
  <c r="AQ137" i="1" s="1"/>
  <c r="J90" i="3"/>
  <c r="AP126" i="1" s="1"/>
  <c r="AQ126" i="1" s="1"/>
  <c r="J60" i="3"/>
  <c r="AP122" i="1" s="1"/>
  <c r="AQ122" i="1" s="1"/>
  <c r="J71" i="3"/>
  <c r="J84" i="3"/>
  <c r="AP146" i="1" s="1"/>
  <c r="AQ146" i="1" s="1"/>
  <c r="J73" i="3"/>
  <c r="I78" i="3"/>
  <c r="I55" i="3"/>
  <c r="I91" i="3"/>
  <c r="I65" i="3"/>
  <c r="I93" i="3"/>
  <c r="I87" i="3"/>
  <c r="I59" i="3"/>
  <c r="I90" i="3"/>
  <c r="I61" i="3"/>
  <c r="I83" i="3"/>
  <c r="I70" i="3"/>
  <c r="I63" i="3"/>
  <c r="I82" i="3"/>
  <c r="I77" i="3"/>
  <c r="I73" i="3"/>
  <c r="I72" i="3"/>
  <c r="AL80" i="3"/>
  <c r="BR159" i="1" s="1"/>
  <c r="AL71" i="3"/>
  <c r="AL90" i="3"/>
  <c r="BR126" i="1" s="1"/>
  <c r="BS126" i="1" s="1"/>
  <c r="AL48" i="3"/>
  <c r="AL70" i="3"/>
  <c r="BR133" i="1" s="1"/>
  <c r="AL74" i="3"/>
  <c r="BR137" i="1" s="1"/>
  <c r="BS137" i="1" s="1"/>
  <c r="AL94" i="3"/>
  <c r="AQ97" i="3"/>
  <c r="AQ81" i="3"/>
  <c r="AQ48" i="3"/>
  <c r="AQ57" i="3"/>
  <c r="AQ73" i="3"/>
  <c r="AQ70" i="3"/>
  <c r="AQ85" i="3"/>
  <c r="AQ80" i="3"/>
  <c r="AQ84" i="3"/>
  <c r="AQ61" i="3"/>
  <c r="AQ64" i="3"/>
  <c r="AQ77" i="3"/>
  <c r="AQ55" i="3"/>
  <c r="AQ86" i="3"/>
  <c r="AQ96" i="3"/>
  <c r="AQ79" i="3"/>
  <c r="AQ65" i="3"/>
  <c r="AQ47" i="3"/>
  <c r="AQ67" i="3"/>
  <c r="AQ76" i="3"/>
  <c r="AQ49" i="3"/>
  <c r="BW73" i="1" s="1"/>
  <c r="AQ56" i="3"/>
  <c r="AQ88" i="3"/>
  <c r="AQ54" i="3"/>
  <c r="AQ87" i="3"/>
  <c r="BB35" i="1"/>
  <c r="BR15" i="1"/>
  <c r="BJ73" i="1"/>
  <c r="BT24" i="1"/>
  <c r="AZ25" i="1"/>
  <c r="AP13" i="1"/>
  <c r="BG32" i="1"/>
  <c r="BG194" i="1" s="1"/>
  <c r="AI15" i="1"/>
  <c r="BW21" i="1"/>
  <c r="BW9" i="1"/>
  <c r="AI46" i="1"/>
  <c r="BM39" i="1"/>
  <c r="AP46" i="1"/>
  <c r="AX20" i="1"/>
  <c r="AI20" i="1"/>
  <c r="BD15" i="1"/>
  <c r="AX15" i="1"/>
  <c r="BM23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BQ8" i="1"/>
  <c r="BE39" i="1"/>
  <c r="BS13" i="1"/>
  <c r="BN47" i="1"/>
  <c r="BI32" i="1"/>
  <c r="BK21" i="1"/>
  <c r="AN24" i="1"/>
  <c r="BJ22" i="1"/>
  <c r="BJ26" i="1" s="1"/>
  <c r="AZ15" i="1"/>
  <c r="AQ24" i="1"/>
  <c r="BI21" i="1"/>
  <c r="BK51" i="1"/>
  <c r="AW35" i="1"/>
  <c r="BM32" i="1"/>
  <c r="BC39" i="1"/>
  <c r="BH9" i="1"/>
  <c r="AY20" i="1"/>
  <c r="C118" i="1"/>
  <c r="M137" i="1"/>
  <c r="AQ20" i="1"/>
  <c r="AY36" i="1"/>
  <c r="BK20" i="1"/>
  <c r="BO39" i="1"/>
  <c r="BP13" i="1"/>
  <c r="BS32" i="1"/>
  <c r="BS194" i="1" s="1"/>
  <c r="AS32" i="1"/>
  <c r="BM9" i="1"/>
  <c r="AY8" i="1"/>
  <c r="AP8" i="1"/>
  <c r="AP231" i="1" s="1"/>
  <c r="BR47" i="1"/>
  <c r="BN36" i="1"/>
  <c r="BA36" i="1"/>
  <c r="AW32" i="1"/>
  <c r="AW194" i="1" s="1"/>
  <c r="BG13" i="1"/>
  <c r="BF47" i="1"/>
  <c r="BK8" i="1"/>
  <c r="BW23" i="1"/>
  <c r="AR25" i="1"/>
  <c r="BP45" i="1"/>
  <c r="AV20" i="1"/>
  <c r="BW14" i="1"/>
  <c r="BC20" i="1"/>
  <c r="AR35" i="1"/>
  <c r="BO45" i="1"/>
  <c r="AX8" i="1"/>
  <c r="BG8" i="1"/>
  <c r="AV9" i="1"/>
  <c r="BQ21" i="1"/>
  <c r="BN24" i="1"/>
  <c r="BD45" i="1"/>
  <c r="AU39" i="1"/>
  <c r="BV152" i="1"/>
  <c r="BW152" i="1" s="1"/>
  <c r="E137" i="1"/>
  <c r="BB22" i="1"/>
  <c r="AQ14" i="1"/>
  <c r="BT15" i="1"/>
  <c r="BF51" i="1"/>
  <c r="BF25" i="1"/>
  <c r="BA13" i="1"/>
  <c r="BE23" i="1"/>
  <c r="AI9" i="1"/>
  <c r="BO36" i="1"/>
  <c r="BS21" i="1"/>
  <c r="BW24" i="1"/>
  <c r="AX35" i="1"/>
  <c r="AM73" i="1"/>
  <c r="BP32" i="1"/>
  <c r="AV21" i="1"/>
  <c r="AX13" i="1"/>
  <c r="BW51" i="1"/>
  <c r="BK9" i="1"/>
  <c r="BK10" i="1" s="1"/>
  <c r="BD39" i="1"/>
  <c r="BR24" i="1"/>
  <c r="BW22" i="1"/>
  <c r="BA32" i="1"/>
  <c r="BI36" i="1"/>
  <c r="AV8" i="1"/>
  <c r="AV231" i="1" s="1"/>
  <c r="BP24" i="1"/>
  <c r="AY15" i="1"/>
  <c r="BT9" i="1"/>
  <c r="AX24" i="1"/>
  <c r="BJ32" i="1"/>
  <c r="BJ253" i="1" s="1"/>
  <c r="BQ14" i="1"/>
  <c r="BV125" i="1"/>
  <c r="BW125" i="1" s="1"/>
  <c r="S67" i="1"/>
  <c r="I122" i="1"/>
  <c r="BD9" i="1"/>
  <c r="BA51" i="1"/>
  <c r="BB9" i="1"/>
  <c r="AT35" i="1"/>
  <c r="BD35" i="1"/>
  <c r="AI25" i="1"/>
  <c r="AW9" i="1"/>
  <c r="AI13" i="1"/>
  <c r="BV39" i="1"/>
  <c r="BE13" i="1"/>
  <c r="BE14" i="1"/>
  <c r="BT51" i="1"/>
  <c r="BV51" i="1"/>
  <c r="BC35" i="1"/>
  <c r="BA45" i="1"/>
  <c r="AI23" i="1"/>
  <c r="BB8" i="1"/>
  <c r="BA46" i="1"/>
  <c r="AX22" i="1"/>
  <c r="AP35" i="1"/>
  <c r="BO9" i="1"/>
  <c r="BK32" i="1"/>
  <c r="AT39" i="1"/>
  <c r="BD47" i="1"/>
  <c r="AJ74" i="1"/>
  <c r="AK74" i="1"/>
  <c r="BV15" i="1"/>
  <c r="BN46" i="1"/>
  <c r="BE20" i="1"/>
  <c r="BP9" i="1"/>
  <c r="AX21" i="1"/>
  <c r="AI21" i="1"/>
  <c r="BS47" i="1"/>
  <c r="BF15" i="1"/>
  <c r="BM21" i="1"/>
  <c r="AP14" i="1"/>
  <c r="AS45" i="1"/>
  <c r="BC32" i="1"/>
  <c r="BC194" i="1" s="1"/>
  <c r="AX39" i="1"/>
  <c r="BV143" i="1"/>
  <c r="BW143" i="1" s="1"/>
  <c r="O125" i="1"/>
  <c r="B151" i="1"/>
  <c r="AN39" i="1"/>
  <c r="BR23" i="1"/>
  <c r="BD8" i="1"/>
  <c r="BN8" i="1"/>
  <c r="BQ32" i="1"/>
  <c r="BQ194" i="1" s="1"/>
  <c r="BE22" i="1"/>
  <c r="AZ8" i="1"/>
  <c r="AP47" i="1"/>
  <c r="AV14" i="1"/>
  <c r="AM45" i="1"/>
  <c r="BO21" i="1"/>
  <c r="BG24" i="1"/>
  <c r="AR45" i="1"/>
  <c r="AT21" i="1"/>
  <c r="BP51" i="1"/>
  <c r="BC36" i="1"/>
  <c r="BE51" i="1"/>
  <c r="AN47" i="1"/>
  <c r="AS51" i="1"/>
  <c r="BP46" i="1"/>
  <c r="BH32" i="1"/>
  <c r="BH194" i="1" s="1"/>
  <c r="AW8" i="1"/>
  <c r="AW23" i="1"/>
  <c r="BA23" i="1"/>
  <c r="BK35" i="1"/>
  <c r="BS35" i="1"/>
  <c r="BI20" i="1"/>
  <c r="BR13" i="1"/>
  <c r="BS15" i="1"/>
  <c r="AS15" i="1"/>
  <c r="BA24" i="1"/>
  <c r="BD14" i="1"/>
  <c r="AS13" i="1"/>
  <c r="AI22" i="1"/>
  <c r="BV160" i="1"/>
  <c r="O122" i="1"/>
  <c r="N172" i="1"/>
  <c r="BH36" i="1"/>
  <c r="BE35" i="1"/>
  <c r="AU47" i="1"/>
  <c r="BT39" i="1"/>
  <c r="BV21" i="1"/>
  <c r="BH39" i="1"/>
  <c r="AN36" i="1"/>
  <c r="AM74" i="1"/>
  <c r="AT46" i="1"/>
  <c r="BS14" i="1"/>
  <c r="BM24" i="1"/>
  <c r="AP15" i="1"/>
  <c r="BP39" i="1"/>
  <c r="AW13" i="1"/>
  <c r="BW15" i="1"/>
  <c r="BW32" i="1"/>
  <c r="BW194" i="1" s="1"/>
  <c r="BG47" i="1"/>
  <c r="AN14" i="1"/>
  <c r="AY9" i="1"/>
  <c r="AY10" i="1" s="1"/>
  <c r="AQ32" i="1"/>
  <c r="BQ35" i="1"/>
  <c r="BS25" i="1"/>
  <c r="BV46" i="1"/>
  <c r="BI13" i="1"/>
  <c r="AT15" i="1"/>
  <c r="AZ51" i="1"/>
  <c r="AO15" i="1"/>
  <c r="BU46" i="1"/>
  <c r="BI14" i="1"/>
  <c r="BT22" i="1"/>
  <c r="BP47" i="1"/>
  <c r="AO9" i="1"/>
  <c r="AW24" i="1"/>
  <c r="BV9" i="1"/>
  <c r="AV24" i="1"/>
  <c r="AN20" i="1"/>
  <c r="AP9" i="1"/>
  <c r="AP10" i="1" s="1"/>
  <c r="BG15" i="1"/>
  <c r="AZ22" i="1"/>
  <c r="BS39" i="1"/>
  <c r="AV39" i="1"/>
  <c r="AY22" i="1"/>
  <c r="BC13" i="1"/>
  <c r="AO51" i="1"/>
  <c r="BR51" i="1"/>
  <c r="AZ47" i="1"/>
  <c r="AP21" i="1"/>
  <c r="AO24" i="1"/>
  <c r="BP35" i="1"/>
  <c r="BG21" i="1"/>
  <c r="BE45" i="1"/>
  <c r="BD32" i="1"/>
  <c r="BR9" i="1"/>
  <c r="BH164" i="1"/>
  <c r="BI164" i="1" s="1"/>
  <c r="BV126" i="1"/>
  <c r="BW126" i="1" s="1"/>
  <c r="U124" i="1"/>
  <c r="AZ23" i="1"/>
  <c r="BH47" i="1"/>
  <c r="BQ45" i="1"/>
  <c r="AU8" i="1"/>
  <c r="AI24" i="1"/>
  <c r="BC8" i="1"/>
  <c r="BC231" i="1" s="1"/>
  <c r="AR9" i="1"/>
  <c r="AI14" i="1"/>
  <c r="BE36" i="1"/>
  <c r="AY51" i="1"/>
  <c r="AZ21" i="1"/>
  <c r="G144" i="1"/>
  <c r="G179" i="1" s="1"/>
  <c r="O67" i="1"/>
  <c r="BP8" i="1"/>
  <c r="AQ23" i="1"/>
  <c r="AR14" i="1"/>
  <c r="BE47" i="1"/>
  <c r="BT13" i="1"/>
  <c r="BR21" i="1"/>
  <c r="BG23" i="1"/>
  <c r="BN15" i="1"/>
  <c r="AU24" i="1"/>
  <c r="BQ39" i="1"/>
  <c r="BI39" i="1"/>
  <c r="BU22" i="1"/>
  <c r="BS36" i="1"/>
  <c r="AS21" i="1"/>
  <c r="BV149" i="1"/>
  <c r="BW149" i="1" s="1"/>
  <c r="E145" i="1"/>
  <c r="E180" i="1" s="1"/>
  <c r="T145" i="1"/>
  <c r="T180" i="1" s="1"/>
  <c r="BU47" i="1"/>
  <c r="AY32" i="1"/>
  <c r="AY194" i="1" s="1"/>
  <c r="BH21" i="1"/>
  <c r="BQ20" i="1"/>
  <c r="AW51" i="1"/>
  <c r="AW22" i="1"/>
  <c r="AR24" i="1"/>
  <c r="BP14" i="1"/>
  <c r="BU35" i="1"/>
  <c r="AQ9" i="1"/>
  <c r="AW21" i="1"/>
  <c r="BC23" i="1"/>
  <c r="BN25" i="1"/>
  <c r="BB32" i="1"/>
  <c r="BB194" i="1" s="1"/>
  <c r="BB46" i="1"/>
  <c r="BW46" i="1"/>
  <c r="AV32" i="1"/>
  <c r="BQ51" i="1"/>
  <c r="BJ47" i="1"/>
  <c r="BF9" i="1"/>
  <c r="BR22" i="1"/>
  <c r="AN51" i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BE46" i="1"/>
  <c r="AY39" i="1"/>
  <c r="AT8" i="1"/>
  <c r="AO14" i="1"/>
  <c r="AR21" i="1"/>
  <c r="BR8" i="1"/>
  <c r="BR231" i="1" s="1"/>
  <c r="BP25" i="1"/>
  <c r="AU13" i="1"/>
  <c r="AO13" i="1"/>
  <c r="BM45" i="1"/>
  <c r="AQ8" i="1"/>
  <c r="AO25" i="1"/>
  <c r="AZ13" i="1"/>
  <c r="BM35" i="1"/>
  <c r="AX47" i="1"/>
  <c r="BU15" i="1"/>
  <c r="AR23" i="1"/>
  <c r="AZ32" i="1"/>
  <c r="BP20" i="1"/>
  <c r="BT14" i="1"/>
  <c r="BN21" i="1"/>
  <c r="BH133" i="1"/>
  <c r="BH144" i="1"/>
  <c r="T135" i="1"/>
  <c r="T131" i="1" s="1"/>
  <c r="R142" i="1"/>
  <c r="AO21" i="1"/>
  <c r="AY24" i="1"/>
  <c r="BO47" i="1"/>
  <c r="BB13" i="1"/>
  <c r="BJ45" i="1"/>
  <c r="AX45" i="1"/>
  <c r="BR36" i="1"/>
  <c r="BR252" i="1" s="1"/>
  <c r="BU14" i="1"/>
  <c r="BJ36" i="1"/>
  <c r="BJ252" i="1" s="1"/>
  <c r="BO25" i="1"/>
  <c r="AQ13" i="1"/>
  <c r="AV35" i="1"/>
  <c r="BB24" i="1"/>
  <c r="BN9" i="1"/>
  <c r="BJ35" i="1"/>
  <c r="AZ24" i="1"/>
  <c r="BS8" i="1"/>
  <c r="BK47" i="1"/>
  <c r="AU14" i="1"/>
  <c r="BU32" i="1"/>
  <c r="BU194" i="1" s="1"/>
  <c r="AN35" i="1"/>
  <c r="BF35" i="1"/>
  <c r="AT32" i="1"/>
  <c r="AT194" i="1" s="1"/>
  <c r="BA8" i="1"/>
  <c r="AO22" i="1"/>
  <c r="AX51" i="1"/>
  <c r="BO35" i="1"/>
  <c r="BR20" i="1"/>
  <c r="BD51" i="1"/>
  <c r="BK24" i="1"/>
  <c r="BH24" i="1"/>
  <c r="BA9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AP32" i="1"/>
  <c r="BG25" i="1"/>
  <c r="BK46" i="1"/>
  <c r="BG9" i="1"/>
  <c r="BA25" i="1"/>
  <c r="BR25" i="1"/>
  <c r="AW14" i="1"/>
  <c r="BF22" i="1"/>
  <c r="BQ23" i="1"/>
  <c r="BQ46" i="1"/>
  <c r="BR39" i="1"/>
  <c r="AI8" i="1"/>
  <c r="BD22" i="1"/>
  <c r="BP15" i="1"/>
  <c r="AV46" i="1"/>
  <c r="AI45" i="1"/>
  <c r="BV32" i="1"/>
  <c r="BV194" i="1" s="1"/>
  <c r="BB39" i="1"/>
  <c r="BK15" i="1"/>
  <c r="AP36" i="1"/>
  <c r="AZ45" i="1"/>
  <c r="AW20" i="1"/>
  <c r="P150" i="1"/>
  <c r="W137" i="1"/>
  <c r="BQ24" i="1"/>
  <c r="BU8" i="1"/>
  <c r="BU231" i="1" s="1"/>
  <c r="BD25" i="1"/>
  <c r="AR46" i="1"/>
  <c r="BI15" i="1"/>
  <c r="BA21" i="1"/>
  <c r="AS23" i="1"/>
  <c r="BB21" i="1"/>
  <c r="AY13" i="1"/>
  <c r="AT36" i="1"/>
  <c r="BM46" i="1"/>
  <c r="AW15" i="1"/>
  <c r="AV23" i="1"/>
  <c r="BQ36" i="1"/>
  <c r="BB23" i="1"/>
  <c r="BU51" i="1"/>
  <c r="BR35" i="1"/>
  <c r="BM14" i="1"/>
  <c r="AQ15" i="1"/>
  <c r="BC21" i="1"/>
  <c r="BD21" i="1"/>
  <c r="BH23" i="1"/>
  <c r="BW47" i="1"/>
  <c r="BC51" i="1"/>
  <c r="AR51" i="1"/>
  <c r="AU36" i="1"/>
  <c r="BE9" i="1"/>
  <c r="BU21" i="1"/>
  <c r="AT51" i="1"/>
  <c r="BB15" i="1"/>
  <c r="BO51" i="1"/>
  <c r="AN25" i="1"/>
  <c r="AX23" i="1"/>
  <c r="AX32" i="1"/>
  <c r="BM22" i="1"/>
  <c r="AR20" i="1"/>
  <c r="AT22" i="1"/>
  <c r="AU51" i="1"/>
  <c r="BC45" i="1"/>
  <c r="AT23" i="1"/>
  <c r="BO20" i="1"/>
  <c r="BM51" i="1"/>
  <c r="AI73" i="1"/>
  <c r="E172" i="1"/>
  <c r="T78" i="1"/>
  <c r="P142" i="1"/>
  <c r="AR22" i="1"/>
  <c r="AS25" i="1"/>
  <c r="AR13" i="1"/>
  <c r="AT25" i="1"/>
  <c r="AW25" i="1"/>
  <c r="BI45" i="1"/>
  <c r="BB51" i="1"/>
  <c r="AY25" i="1"/>
  <c r="BN14" i="1"/>
  <c r="BT47" i="1"/>
  <c r="AJ73" i="1"/>
  <c r="BT25" i="1"/>
  <c r="BM15" i="1"/>
  <c r="AQ45" i="1"/>
  <c r="AZ39" i="1"/>
  <c r="BC9" i="1"/>
  <c r="AQ21" i="1"/>
  <c r="AI39" i="1"/>
  <c r="BA39" i="1"/>
  <c r="BR32" i="1"/>
  <c r="BS45" i="1"/>
  <c r="AV51" i="1"/>
  <c r="BH46" i="1"/>
  <c r="BN32" i="1"/>
  <c r="BA47" i="1"/>
  <c r="BQ9" i="1"/>
  <c r="BQ10" i="1" s="1"/>
  <c r="BD36" i="1"/>
  <c r="BH51" i="1"/>
  <c r="AQ22" i="1"/>
  <c r="BV24" i="1"/>
  <c r="BI8" i="1"/>
  <c r="BI231" i="1" s="1"/>
  <c r="BV23" i="1"/>
  <c r="BE32" i="1"/>
  <c r="BE194" i="1" s="1"/>
  <c r="AN22" i="1"/>
  <c r="BV45" i="1"/>
  <c r="AO47" i="1"/>
  <c r="BU9" i="1"/>
  <c r="BO15" i="1"/>
  <c r="BF13" i="1"/>
  <c r="BV164" i="1"/>
  <c r="BW164" i="1" s="1"/>
  <c r="M132" i="1"/>
  <c r="G79" i="1"/>
  <c r="N122" i="1"/>
  <c r="AI36" i="1"/>
  <c r="BV8" i="1"/>
  <c r="BV231" i="1" s="1"/>
  <c r="AS9" i="1"/>
  <c r="AY45" i="1"/>
  <c r="BN51" i="1"/>
  <c r="AW46" i="1"/>
  <c r="AO20" i="1"/>
  <c r="BG14" i="1"/>
  <c r="AO32" i="1"/>
  <c r="AO194" i="1" s="1"/>
  <c r="BV36" i="1"/>
  <c r="BA22" i="1"/>
  <c r="AS46" i="1"/>
  <c r="BH146" i="1"/>
  <c r="BI146" i="1" s="1"/>
  <c r="BV135" i="1"/>
  <c r="BW135" i="1" s="1"/>
  <c r="BH145" i="1"/>
  <c r="BV154" i="1"/>
  <c r="BW154" i="1" s="1"/>
  <c r="BH153" i="1"/>
  <c r="T74" i="1"/>
  <c r="W136" i="1"/>
  <c r="P143" i="1"/>
  <c r="J143" i="1"/>
  <c r="F118" i="1"/>
  <c r="P149" i="1"/>
  <c r="R127" i="1"/>
  <c r="V67" i="1"/>
  <c r="Q143" i="1"/>
  <c r="G118" i="1"/>
  <c r="T77" i="1"/>
  <c r="K147" i="1"/>
  <c r="H119" i="1"/>
  <c r="B135" i="1"/>
  <c r="Q147" i="1"/>
  <c r="E150" i="1"/>
  <c r="C146" i="1"/>
  <c r="S171" i="1"/>
  <c r="L147" i="1"/>
  <c r="BS46" i="1"/>
  <c r="BT20" i="1"/>
  <c r="BI22" i="1"/>
  <c r="AZ9" i="1"/>
  <c r="BG20" i="1"/>
  <c r="BO46" i="1"/>
  <c r="BU25" i="1"/>
  <c r="BT32" i="1"/>
  <c r="BT194" i="1" s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I51" i="1"/>
  <c r="AQ46" i="1"/>
  <c r="BS23" i="1"/>
  <c r="BJ9" i="1"/>
  <c r="BJ10" i="1" s="1"/>
  <c r="BJ16" i="1" s="1"/>
  <c r="BK36" i="1"/>
  <c r="BK252" i="1" s="1"/>
  <c r="BF36" i="1"/>
  <c r="AM51" i="1"/>
  <c r="BF24" i="1"/>
  <c r="BJ46" i="1"/>
  <c r="AR36" i="1"/>
  <c r="BI9" i="1"/>
  <c r="BK13" i="1"/>
  <c r="BC47" i="1"/>
  <c r="BV132" i="1"/>
  <c r="BH142" i="1"/>
  <c r="BI142" i="1" s="1"/>
  <c r="BH122" i="1"/>
  <c r="BI122" i="1" s="1"/>
  <c r="M145" i="1"/>
  <c r="M180" i="1" s="1"/>
  <c r="L118" i="1"/>
  <c r="B127" i="1"/>
  <c r="H146" i="1"/>
  <c r="V151" i="1"/>
  <c r="C74" i="1"/>
  <c r="J145" i="1"/>
  <c r="J180" i="1" s="1"/>
  <c r="L133" i="1"/>
  <c r="L127" i="1"/>
  <c r="H150" i="1"/>
  <c r="C143" i="1"/>
  <c r="B63" i="1"/>
  <c r="I125" i="1"/>
  <c r="D127" i="1"/>
  <c r="B153" i="1"/>
  <c r="B183" i="1" s="1"/>
  <c r="I126" i="1"/>
  <c r="I154" i="1" s="1"/>
  <c r="Q164" i="1"/>
  <c r="J137" i="1"/>
  <c r="S125" i="1"/>
  <c r="O73" i="1"/>
  <c r="E164" i="1"/>
  <c r="W155" i="1"/>
  <c r="AU25" i="1"/>
  <c r="AR8" i="1"/>
  <c r="AU46" i="1"/>
  <c r="BD24" i="1"/>
  <c r="BD13" i="1"/>
  <c r="AN15" i="1"/>
  <c r="BW8" i="1"/>
  <c r="BO22" i="1"/>
  <c r="AY46" i="1"/>
  <c r="BE8" i="1"/>
  <c r="AX46" i="1"/>
  <c r="BG36" i="1"/>
  <c r="BG252" i="1" s="1"/>
  <c r="BN20" i="1"/>
  <c r="BQ22" i="1"/>
  <c r="BE21" i="1"/>
  <c r="BW39" i="1"/>
  <c r="AU35" i="1"/>
  <c r="AI35" i="1"/>
  <c r="BV122" i="1"/>
  <c r="BW122" i="1" s="1"/>
  <c r="BV74" i="1"/>
  <c r="BH152" i="1"/>
  <c r="BI152" i="1" s="1"/>
  <c r="BH163" i="1"/>
  <c r="BI163" i="1" s="1"/>
  <c r="BH155" i="1"/>
  <c r="BI155" i="1" s="1"/>
  <c r="BV151" i="1"/>
  <c r="BW151" i="1" s="1"/>
  <c r="BH131" i="1"/>
  <c r="U146" i="1"/>
  <c r="T133" i="1"/>
  <c r="D145" i="1"/>
  <c r="D180" i="1" s="1"/>
  <c r="W153" i="1"/>
  <c r="U122" i="1"/>
  <c r="B150" i="1"/>
  <c r="M67" i="1"/>
  <c r="F170" i="1"/>
  <c r="B160" i="1"/>
  <c r="L136" i="1"/>
  <c r="F153" i="1"/>
  <c r="F183" i="1" s="1"/>
  <c r="C133" i="1"/>
  <c r="Q124" i="1"/>
  <c r="N135" i="1"/>
  <c r="N131" i="1" s="1"/>
  <c r="L163" i="1"/>
  <c r="S147" i="1"/>
  <c r="V126" i="1"/>
  <c r="V154" i="1" s="1"/>
  <c r="K150" i="1"/>
  <c r="N160" i="1"/>
  <c r="H125" i="1"/>
  <c r="T164" i="1"/>
  <c r="I146" i="1"/>
  <c r="N142" i="1"/>
  <c r="Q159" i="1"/>
  <c r="S159" i="1"/>
  <c r="U150" i="1"/>
  <c r="D163" i="1"/>
  <c r="L126" i="1"/>
  <c r="L154" i="1" s="1"/>
  <c r="E122" i="1"/>
  <c r="C127" i="1"/>
  <c r="Q78" i="1"/>
  <c r="B67" i="1"/>
  <c r="V122" i="1"/>
  <c r="R151" i="1"/>
  <c r="T172" i="1"/>
  <c r="W127" i="1"/>
  <c r="C140" i="1"/>
  <c r="K163" i="1"/>
  <c r="P146" i="1"/>
  <c r="F67" i="1"/>
  <c r="U153" i="1"/>
  <c r="U183" i="1" s="1"/>
  <c r="S119" i="1"/>
  <c r="B149" i="1"/>
  <c r="BU45" i="1"/>
  <c r="AU9" i="1"/>
  <c r="BT8" i="1"/>
  <c r="BQ15" i="1"/>
  <c r="BV47" i="1"/>
  <c r="AW39" i="1"/>
  <c r="BO13" i="1"/>
  <c r="BF14" i="1"/>
  <c r="BD23" i="1"/>
  <c r="AV36" i="1"/>
  <c r="AS39" i="1"/>
  <c r="AV13" i="1"/>
  <c r="BN35" i="1"/>
  <c r="BV73" i="1"/>
  <c r="BV145" i="1"/>
  <c r="BH74" i="1"/>
  <c r="BV127" i="1"/>
  <c r="BW127" i="1" s="1"/>
  <c r="BV131" i="1"/>
  <c r="T150" i="1"/>
  <c r="R171" i="1"/>
  <c r="T170" i="1"/>
  <c r="H172" i="1"/>
  <c r="C159" i="1"/>
  <c r="G155" i="1"/>
  <c r="U136" i="1"/>
  <c r="J170" i="1"/>
  <c r="F163" i="1"/>
  <c r="R164" i="1"/>
  <c r="K133" i="1"/>
  <c r="M118" i="1"/>
  <c r="H118" i="1"/>
  <c r="E119" i="1"/>
  <c r="G140" i="1"/>
  <c r="N132" i="1"/>
  <c r="G146" i="1"/>
  <c r="D140" i="1"/>
  <c r="F171" i="1"/>
  <c r="H127" i="1"/>
  <c r="I67" i="1"/>
  <c r="Q79" i="1"/>
  <c r="D124" i="1"/>
  <c r="F74" i="1"/>
  <c r="H136" i="1"/>
  <c r="BP36" i="1"/>
  <c r="AO35" i="1"/>
  <c r="BN22" i="1"/>
  <c r="BJ74" i="1"/>
  <c r="BV14" i="1"/>
  <c r="AN45" i="1"/>
  <c r="BH151" i="1"/>
  <c r="BI151" i="1" s="1"/>
  <c r="BH73" i="1"/>
  <c r="BH124" i="1"/>
  <c r="BI124" i="1" s="1"/>
  <c r="BH118" i="1"/>
  <c r="BI118" i="1" s="1"/>
  <c r="BH160" i="1"/>
  <c r="R133" i="1"/>
  <c r="B171" i="1"/>
  <c r="R153" i="1"/>
  <c r="R183" i="1" s="1"/>
  <c r="B146" i="1"/>
  <c r="I171" i="1"/>
  <c r="J164" i="1"/>
  <c r="W147" i="1"/>
  <c r="D143" i="1"/>
  <c r="Q122" i="1"/>
  <c r="C119" i="1"/>
  <c r="J73" i="1"/>
  <c r="N146" i="1"/>
  <c r="F127" i="1"/>
  <c r="U73" i="1"/>
  <c r="P73" i="1"/>
  <c r="Q74" i="1"/>
  <c r="R172" i="1"/>
  <c r="T149" i="1"/>
  <c r="I132" i="1"/>
  <c r="D170" i="1"/>
  <c r="M142" i="1"/>
  <c r="S149" i="1"/>
  <c r="C125" i="1"/>
  <c r="G159" i="1"/>
  <c r="AQ51" i="1"/>
  <c r="BB36" i="1"/>
  <c r="BB252" i="1" s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W45" i="1"/>
  <c r="AN21" i="1"/>
  <c r="AI32" i="1"/>
  <c r="BH154" i="1"/>
  <c r="BI154" i="1" s="1"/>
  <c r="BV155" i="1"/>
  <c r="BW155" i="1" s="1"/>
  <c r="B126" i="1"/>
  <c r="B154" i="1" s="1"/>
  <c r="N79" i="1"/>
  <c r="V73" i="1"/>
  <c r="Q149" i="1"/>
  <c r="G122" i="1"/>
  <c r="W160" i="1"/>
  <c r="F137" i="1"/>
  <c r="K77" i="1"/>
  <c r="G132" i="1"/>
  <c r="D74" i="1"/>
  <c r="V144" i="1"/>
  <c r="V179" i="1" s="1"/>
  <c r="W119" i="1"/>
  <c r="O172" i="1"/>
  <c r="P118" i="1"/>
  <c r="B136" i="1"/>
  <c r="T171" i="1"/>
  <c r="K127" i="1"/>
  <c r="R144" i="1"/>
  <c r="R179" i="1" s="1"/>
  <c r="W150" i="1"/>
  <c r="Q163" i="1"/>
  <c r="V170" i="1"/>
  <c r="K145" i="1"/>
  <c r="K180" i="1" s="1"/>
  <c r="V142" i="1"/>
  <c r="M125" i="1"/>
  <c r="S142" i="1"/>
  <c r="K136" i="1"/>
  <c r="S150" i="1"/>
  <c r="K78" i="1"/>
  <c r="BI47" i="1"/>
  <c r="AV15" i="1"/>
  <c r="BA35" i="1"/>
  <c r="BG35" i="1"/>
  <c r="BV25" i="1"/>
  <c r="BR45" i="1"/>
  <c r="AO23" i="1"/>
  <c r="BN39" i="1"/>
  <c r="BC15" i="1"/>
  <c r="AS8" i="1"/>
  <c r="BM8" i="1"/>
  <c r="BU36" i="1"/>
  <c r="BT23" i="1"/>
  <c r="AZ20" i="1"/>
  <c r="AP24" i="1"/>
  <c r="BH14" i="1"/>
  <c r="BK25" i="1"/>
  <c r="BH13" i="1"/>
  <c r="BM47" i="1"/>
  <c r="AP25" i="1"/>
  <c r="BU23" i="1"/>
  <c r="AS36" i="1"/>
  <c r="BD20" i="1"/>
  <c r="AM46" i="1"/>
  <c r="AS35" i="1"/>
  <c r="BV35" i="1"/>
  <c r="AQ39" i="1"/>
  <c r="BF45" i="1"/>
  <c r="AY14" i="1"/>
  <c r="AT24" i="1"/>
  <c r="AX36" i="1"/>
  <c r="BV13" i="1"/>
  <c r="BS20" i="1"/>
  <c r="BB20" i="1"/>
  <c r="AZ35" i="1"/>
  <c r="BH117" i="1"/>
  <c r="BI117" i="1" s="1"/>
  <c r="BH143" i="1"/>
  <c r="BI143" i="1" s="1"/>
  <c r="BH135" i="1"/>
  <c r="BI135" i="1" s="1"/>
  <c r="BV163" i="1"/>
  <c r="BW163" i="1" s="1"/>
  <c r="U171" i="1"/>
  <c r="N124" i="1"/>
  <c r="M155" i="1"/>
  <c r="D160" i="1"/>
  <c r="O127" i="1"/>
  <c r="D126" i="1"/>
  <c r="D154" i="1" s="1"/>
  <c r="H159" i="1"/>
  <c r="O155" i="1"/>
  <c r="V135" i="1"/>
  <c r="V131" i="1" s="1"/>
  <c r="S135" i="1"/>
  <c r="S131" i="1" s="1"/>
  <c r="L142" i="1"/>
  <c r="D142" i="1"/>
  <c r="S117" i="1"/>
  <c r="I143" i="1"/>
  <c r="B78" i="1"/>
  <c r="M151" i="1"/>
  <c r="K144" i="1"/>
  <c r="K179" i="1" s="1"/>
  <c r="E136" i="1"/>
  <c r="C163" i="1"/>
  <c r="V136" i="1"/>
  <c r="P144" i="1"/>
  <c r="P179" i="1" s="1"/>
  <c r="C132" i="1"/>
  <c r="H153" i="1"/>
  <c r="H183" i="1" s="1"/>
  <c r="BN45" i="1"/>
  <c r="AP39" i="1"/>
  <c r="AY35" i="1"/>
  <c r="BI23" i="1"/>
  <c r="BU39" i="1"/>
  <c r="AP22" i="1"/>
  <c r="AO46" i="1"/>
  <c r="BS9" i="1"/>
  <c r="BH8" i="1"/>
  <c r="BH231" i="1" s="1"/>
  <c r="AN46" i="1"/>
  <c r="AR47" i="1"/>
  <c r="BW35" i="1"/>
  <c r="AR32" i="1"/>
  <c r="AR194" i="1" s="1"/>
  <c r="AV25" i="1"/>
  <c r="BH22" i="1"/>
  <c r="AP45" i="1"/>
  <c r="BH15" i="1"/>
  <c r="BV20" i="1"/>
  <c r="BB25" i="1"/>
  <c r="BN23" i="1"/>
  <c r="AZ46" i="1"/>
  <c r="BE25" i="1"/>
  <c r="BC14" i="1"/>
  <c r="BH45" i="1"/>
  <c r="AN8" i="1"/>
  <c r="AN98" i="1" s="1"/>
  <c r="AN99" i="1" s="1"/>
  <c r="BB14" i="1"/>
  <c r="AR39" i="1"/>
  <c r="AT45" i="1"/>
  <c r="AU21" i="1"/>
  <c r="AN32" i="1"/>
  <c r="AV45" i="1"/>
  <c r="BF8" i="1"/>
  <c r="BF231" i="1" s="1"/>
  <c r="AX25" i="1"/>
  <c r="AN9" i="1"/>
  <c r="BH149" i="1"/>
  <c r="BI149" i="1" s="1"/>
  <c r="BH125" i="1"/>
  <c r="BI125" i="1" s="1"/>
  <c r="D118" i="1"/>
  <c r="L124" i="1"/>
  <c r="B79" i="1"/>
  <c r="P124" i="1"/>
  <c r="S155" i="1"/>
  <c r="V133" i="1"/>
  <c r="C137" i="1"/>
  <c r="B172" i="1"/>
  <c r="I170" i="1"/>
  <c r="W144" i="1"/>
  <c r="M119" i="1"/>
  <c r="P133" i="1"/>
  <c r="J142" i="1"/>
  <c r="H132" i="1"/>
  <c r="S136" i="1"/>
  <c r="N126" i="1"/>
  <c r="N154" i="1" s="1"/>
  <c r="S170" i="1"/>
  <c r="B143" i="1"/>
  <c r="M136" i="1"/>
  <c r="AS14" i="1"/>
  <c r="BU20" i="1"/>
  <c r="AO8" i="1"/>
  <c r="AO231" i="1" s="1"/>
  <c r="AN13" i="1"/>
  <c r="BF39" i="1"/>
  <c r="AZ14" i="1"/>
  <c r="BC46" i="1"/>
  <c r="BI35" i="1"/>
  <c r="BO32" i="1"/>
  <c r="BO194" i="1" s="1"/>
  <c r="AU15" i="1"/>
  <c r="BG22" i="1"/>
  <c r="AX9" i="1"/>
  <c r="BM13" i="1"/>
  <c r="AU20" i="1"/>
  <c r="BT36" i="1"/>
  <c r="AP51" i="1"/>
  <c r="BE15" i="1"/>
  <c r="BS22" i="1"/>
  <c r="BK45" i="1"/>
  <c r="BD46" i="1"/>
  <c r="BA15" i="1"/>
  <c r="BW25" i="1"/>
  <c r="BC22" i="1"/>
  <c r="BK22" i="1"/>
  <c r="AN23" i="1"/>
  <c r="BG45" i="1"/>
  <c r="AK73" i="1"/>
  <c r="BP21" i="1"/>
  <c r="BO14" i="1"/>
  <c r="BO8" i="1"/>
  <c r="BH137" i="1"/>
  <c r="BI137" i="1" s="1"/>
  <c r="BH132" i="1"/>
  <c r="BV137" i="1"/>
  <c r="BW137" i="1" s="1"/>
  <c r="BV142" i="1"/>
  <c r="BW142" i="1" s="1"/>
  <c r="BH140" i="1"/>
  <c r="BV133" i="1"/>
  <c r="K164" i="1"/>
  <c r="J77" i="1"/>
  <c r="G145" i="1"/>
  <c r="G180" i="1" s="1"/>
  <c r="R118" i="1"/>
  <c r="C77" i="1"/>
  <c r="S151" i="1"/>
  <c r="B147" i="1"/>
  <c r="N151" i="1"/>
  <c r="I163" i="1"/>
  <c r="C63" i="1"/>
  <c r="N73" i="1"/>
  <c r="N147" i="1"/>
  <c r="V150" i="1"/>
  <c r="D155" i="1"/>
  <c r="T132" i="1"/>
  <c r="V78" i="1"/>
  <c r="R132" i="1"/>
  <c r="H74" i="1"/>
  <c r="M73" i="1"/>
  <c r="BV119" i="1"/>
  <c r="BV146" i="1"/>
  <c r="BW146" i="1" s="1"/>
  <c r="M124" i="1"/>
  <c r="F164" i="1"/>
  <c r="U164" i="1"/>
  <c r="J132" i="1"/>
  <c r="F146" i="1"/>
  <c r="C117" i="1"/>
  <c r="K118" i="1"/>
  <c r="M140" i="1"/>
  <c r="T119" i="1"/>
  <c r="E170" i="1"/>
  <c r="O163" i="1"/>
  <c r="W126" i="1"/>
  <c r="W154" i="1" s="1"/>
  <c r="M146" i="1"/>
  <c r="M159" i="1"/>
  <c r="W78" i="1"/>
  <c r="Q142" i="1"/>
  <c r="U117" i="1"/>
  <c r="E73" i="1"/>
  <c r="K143" i="1"/>
  <c r="V137" i="1"/>
  <c r="V147" i="1"/>
  <c r="G143" i="1"/>
  <c r="H124" i="1"/>
  <c r="P125" i="1"/>
  <c r="J124" i="1"/>
  <c r="U160" i="1"/>
  <c r="U126" i="1"/>
  <c r="U154" i="1" s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T161" i="1" s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G77" i="1"/>
  <c r="Q119" i="1"/>
  <c r="R124" i="1"/>
  <c r="R74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K137" i="1"/>
  <c r="W73" i="1"/>
  <c r="O145" i="1"/>
  <c r="O180" i="1" s="1"/>
  <c r="D125" i="1"/>
  <c r="F133" i="1"/>
  <c r="F135" i="1"/>
  <c r="F131" i="1" s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BK23" i="1"/>
  <c r="BC25" i="1"/>
  <c r="AR15" i="1"/>
  <c r="AU32" i="1"/>
  <c r="AU194" i="1" s="1"/>
  <c r="BU2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B132" i="1"/>
  <c r="K160" i="1"/>
  <c r="W170" i="1"/>
  <c r="L79" i="1"/>
  <c r="F150" i="1"/>
  <c r="T79" i="1"/>
  <c r="V146" i="1"/>
  <c r="F160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I25" i="1"/>
  <c r="BV140" i="1"/>
  <c r="BW140" i="1" s="1"/>
  <c r="BX202" i="1" s="1"/>
  <c r="BV147" i="1"/>
  <c r="BW147" i="1" s="1"/>
  <c r="BV144" i="1"/>
  <c r="BV150" i="1"/>
  <c r="BW150" i="1" s="1"/>
  <c r="BH159" i="1"/>
  <c r="BH127" i="1"/>
  <c r="BI127" i="1" s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S143" i="1"/>
  <c r="H133" i="1"/>
  <c r="F79" i="1"/>
  <c r="H155" i="1"/>
  <c r="G119" i="1"/>
  <c r="P74" i="1"/>
  <c r="T151" i="1"/>
  <c r="G164" i="1"/>
  <c r="P147" i="1"/>
  <c r="B159" i="1"/>
  <c r="B161" i="1" s="1"/>
  <c r="C209" i="1" s="1"/>
  <c r="I135" i="1"/>
  <c r="I131" i="1" s="1"/>
  <c r="R159" i="1"/>
  <c r="R161" i="1" s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S161" i="1"/>
  <c r="T209" i="1" s="1"/>
  <c r="H202" i="1"/>
  <c r="AX140" i="1"/>
  <c r="AY140" i="1" s="1"/>
  <c r="BT131" i="1"/>
  <c r="BP155" i="1"/>
  <c r="BQ155" i="1" s="1"/>
  <c r="BP73" i="1"/>
  <c r="BI73" i="1"/>
  <c r="BF74" i="1"/>
  <c r="AZ117" i="1"/>
  <c r="BA117" i="1" s="1"/>
  <c r="BT151" i="1"/>
  <c r="BU151" i="1" s="1"/>
  <c r="AX151" i="1"/>
  <c r="AY151" i="1" s="1"/>
  <c r="AP125" i="1"/>
  <c r="AQ125" i="1" s="1"/>
  <c r="BF154" i="1"/>
  <c r="BG154" i="1" s="1"/>
  <c r="AP143" i="1"/>
  <c r="AQ143" i="1" s="1"/>
  <c r="AN117" i="1"/>
  <c r="AR164" i="1"/>
  <c r="AS164" i="1" s="1"/>
  <c r="AT151" i="1"/>
  <c r="AU151" i="1" s="1"/>
  <c r="AX74" i="1"/>
  <c r="BF151" i="1"/>
  <c r="BG151" i="1" s="1"/>
  <c r="BN122" i="1"/>
  <c r="BO122" i="1" s="1"/>
  <c r="BP127" i="1"/>
  <c r="BQ127" i="1" s="1"/>
  <c r="BF124" i="1"/>
  <c r="BG124" i="1" s="1"/>
  <c r="BF163" i="1"/>
  <c r="BG163" i="1" s="1"/>
  <c r="AW73" i="1"/>
  <c r="BP126" i="1"/>
  <c r="BQ126" i="1" s="1"/>
  <c r="BD152" i="1"/>
  <c r="BE152" i="1" s="1"/>
  <c r="BG73" i="1"/>
  <c r="BD160" i="1"/>
  <c r="BT117" i="1"/>
  <c r="BU117" i="1" s="1"/>
  <c r="BN152" i="1"/>
  <c r="BO152" i="1" s="1"/>
  <c r="BD149" i="1"/>
  <c r="BE149" i="1" s="1"/>
  <c r="BT152" i="1"/>
  <c r="BU152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AX152" i="1"/>
  <c r="AY152" i="1" s="1"/>
  <c r="BF117" i="1"/>
  <c r="BG117" i="1" s="1"/>
  <c r="BP131" i="1"/>
  <c r="AV144" i="1"/>
  <c r="BN155" i="1"/>
  <c r="BO155" i="1" s="1"/>
  <c r="BR149" i="1"/>
  <c r="BS149" i="1" s="1"/>
  <c r="BP119" i="1"/>
  <c r="BR73" i="1"/>
  <c r="BB74" i="1"/>
  <c r="AT125" i="1"/>
  <c r="AU125" i="1" s="1"/>
  <c r="BF132" i="1"/>
  <c r="AT122" i="1"/>
  <c r="AU122" i="1" s="1"/>
  <c r="BB132" i="1"/>
  <c r="AN122" i="1"/>
  <c r="AO122" i="1" s="1"/>
  <c r="AP140" i="1"/>
  <c r="AN118" i="1"/>
  <c r="AO118" i="1" s="1"/>
  <c r="BE74" i="1"/>
  <c r="AX160" i="1"/>
  <c r="BB119" i="1"/>
  <c r="AZ145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D131" i="1"/>
  <c r="BT153" i="1"/>
  <c r="BA74" i="1"/>
  <c r="BR146" i="1"/>
  <c r="BS146" i="1" s="1"/>
  <c r="BP145" i="1"/>
  <c r="BC73" i="1"/>
  <c r="BD151" i="1"/>
  <c r="BE151" i="1" s="1"/>
  <c r="BR145" i="1"/>
  <c r="BT159" i="1"/>
  <c r="AV149" i="1"/>
  <c r="AW149" i="1" s="1"/>
  <c r="BN142" i="1"/>
  <c r="BO142" i="1" s="1"/>
  <c r="AP124" i="1"/>
  <c r="AQ124" i="1" s="1"/>
  <c r="BP132" i="1"/>
  <c r="AP150" i="1"/>
  <c r="AQ150" i="1" s="1"/>
  <c r="AV117" i="1"/>
  <c r="AW117" i="1" s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R154" i="1"/>
  <c r="AS154" i="1" s="1"/>
  <c r="AV133" i="1"/>
  <c r="AR118" i="1"/>
  <c r="AS118" i="1" s="1"/>
  <c r="BP159" i="1"/>
  <c r="AN150" i="1"/>
  <c r="AO150" i="1" s="1"/>
  <c r="AR124" i="1"/>
  <c r="AN160" i="1"/>
  <c r="AR153" i="1"/>
  <c r="AR122" i="1"/>
  <c r="AS122" i="1" s="1"/>
  <c r="AR146" i="1"/>
  <c r="AS146" i="1" s="1"/>
  <c r="BB131" i="1"/>
  <c r="AV73" i="1"/>
  <c r="AU73" i="1"/>
  <c r="AT149" i="1"/>
  <c r="AU149" i="1" s="1"/>
  <c r="AT153" i="1"/>
  <c r="BT140" i="1"/>
  <c r="AP133" i="1"/>
  <c r="BN73" i="1"/>
  <c r="AV160" i="1"/>
  <c r="BT127" i="1"/>
  <c r="BU127" i="1" s="1"/>
  <c r="AR147" i="1"/>
  <c r="AS147" i="1" s="1"/>
  <c r="BB145" i="1"/>
  <c r="AT118" i="1"/>
  <c r="AU118" i="1" s="1"/>
  <c r="BO73" i="1"/>
  <c r="AX163" i="1"/>
  <c r="AY163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S73" i="1"/>
  <c r="BQ74" i="1"/>
  <c r="AZ122" i="1"/>
  <c r="BA122" i="1" s="1"/>
  <c r="BT119" i="1"/>
  <c r="BB154" i="1"/>
  <c r="BC154" i="1" s="1"/>
  <c r="AX119" i="1"/>
  <c r="AX145" i="1"/>
  <c r="AZ155" i="1"/>
  <c r="BA155" i="1" s="1"/>
  <c r="BF153" i="1"/>
  <c r="BF135" i="1"/>
  <c r="BG135" i="1" s="1"/>
  <c r="AQ74" i="1"/>
  <c r="BR74" i="1"/>
  <c r="BD146" i="1"/>
  <c r="BE146" i="1" s="1"/>
  <c r="BD124" i="1"/>
  <c r="BE124" i="1" s="1"/>
  <c r="AV154" i="1"/>
  <c r="AW154" i="1" s="1"/>
  <c r="BN74" i="1"/>
  <c r="BR164" i="1"/>
  <c r="BS164" i="1" s="1"/>
  <c r="AN164" i="1"/>
  <c r="AO164" i="1" s="1"/>
  <c r="AO73" i="1"/>
  <c r="AX149" i="1"/>
  <c r="AX137" i="1"/>
  <c r="AY137" i="1" s="1"/>
  <c r="BE73" i="1"/>
  <c r="BN163" i="1"/>
  <c r="BO163" i="1" s="1"/>
  <c r="BN124" i="1"/>
  <c r="BN145" i="1"/>
  <c r="BN154" i="1"/>
  <c r="BO154" i="1" s="1"/>
  <c r="BR142" i="1"/>
  <c r="BS142" i="1" s="1"/>
  <c r="AZ151" i="1"/>
  <c r="BA151" i="1" s="1"/>
  <c r="BF142" i="1"/>
  <c r="BG142" i="1" s="1"/>
  <c r="BT154" i="1"/>
  <c r="BU154" i="1" s="1"/>
  <c r="BT160" i="1"/>
  <c r="BP151" i="1"/>
  <c r="BQ151" i="1" s="1"/>
  <c r="AP118" i="1"/>
  <c r="AQ118" i="1" s="1"/>
  <c r="AZ118" i="1"/>
  <c r="BA118" i="1" s="1"/>
  <c r="AX126" i="1"/>
  <c r="AY126" i="1" s="1"/>
  <c r="AX142" i="1"/>
  <c r="AY142" i="1" s="1"/>
  <c r="BR155" i="1"/>
  <c r="BS155" i="1" s="1"/>
  <c r="BR150" i="1"/>
  <c r="BS150" i="1" s="1"/>
  <c r="AZ132" i="1"/>
  <c r="AP149" i="1"/>
  <c r="AQ149" i="1" s="1"/>
  <c r="AW74" i="1"/>
  <c r="AS73" i="1"/>
  <c r="AT127" i="1"/>
  <c r="AU127" i="1" s="1"/>
  <c r="AT145" i="1"/>
  <c r="AT155" i="1"/>
  <c r="AU155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K73" i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AP144" i="1"/>
  <c r="AN152" i="1"/>
  <c r="AO152" i="1" s="1"/>
  <c r="BP125" i="1"/>
  <c r="BQ125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R117" i="1"/>
  <c r="AV124" i="1"/>
  <c r="AP153" i="1"/>
  <c r="BP133" i="1"/>
  <c r="AN147" i="1"/>
  <c r="AO147" i="1" s="1"/>
  <c r="AR137" i="1"/>
  <c r="AS137" i="1" s="1"/>
  <c r="BI74" i="1"/>
  <c r="AS74" i="1"/>
  <c r="AP160" i="1"/>
  <c r="AN154" i="1"/>
  <c r="AO154" i="1" s="1"/>
  <c r="BP154" i="1"/>
  <c r="BQ154" i="1" s="1"/>
  <c r="AN151" i="1"/>
  <c r="AO151" i="1" s="1"/>
  <c r="AR127" i="1"/>
  <c r="AS127" i="1" s="1"/>
  <c r="BQ73" i="1"/>
  <c r="BS74" i="1"/>
  <c r="AP73" i="1"/>
  <c r="BR124" i="1"/>
  <c r="BS124" i="1" s="1"/>
  <c r="AN132" i="1"/>
  <c r="AR163" i="1"/>
  <c r="AS163" i="1" s="1"/>
  <c r="AV145" i="1"/>
  <c r="AR126" i="1"/>
  <c r="AS126" i="1" s="1"/>
  <c r="AX153" i="1"/>
  <c r="BB73" i="1"/>
  <c r="BR154" i="1"/>
  <c r="BS154" i="1" s="1"/>
  <c r="BT132" i="1"/>
  <c r="AX117" i="1"/>
  <c r="AX154" i="1"/>
  <c r="AY154" i="1" s="1"/>
  <c r="BB125" i="1"/>
  <c r="BC125" i="1" s="1"/>
  <c r="BT125" i="1"/>
  <c r="BU125" i="1" s="1"/>
  <c r="AX124" i="1"/>
  <c r="BR140" i="1"/>
  <c r="AT164" i="1"/>
  <c r="AU164" i="1" s="1"/>
  <c r="AT152" i="1"/>
  <c r="AU152" i="1" s="1"/>
  <c r="BC74" i="1"/>
  <c r="AZ124" i="1"/>
  <c r="BA124" i="1" s="1"/>
  <c r="AT74" i="1"/>
  <c r="BB144" i="1"/>
  <c r="BT155" i="1"/>
  <c r="BU155" i="1" s="1"/>
  <c r="AN140" i="1"/>
  <c r="BP150" i="1"/>
  <c r="BQ150" i="1" s="1"/>
  <c r="BT73" i="1"/>
  <c r="AP145" i="1"/>
  <c r="BD127" i="1"/>
  <c r="BE127" i="1" s="1"/>
  <c r="AX159" i="1"/>
  <c r="AX125" i="1"/>
  <c r="AY125" i="1" s="1"/>
  <c r="BU73" i="1"/>
  <c r="AZ74" i="1"/>
  <c r="BF146" i="1"/>
  <c r="BG146" i="1" s="1"/>
  <c r="BN140" i="1"/>
  <c r="BR152" i="1"/>
  <c r="BS152" i="1" s="1"/>
  <c r="BR119" i="1"/>
  <c r="BR125" i="1"/>
  <c r="BS125" i="1" s="1"/>
  <c r="BR117" i="1"/>
  <c r="AZ119" i="1"/>
  <c r="BF149" i="1"/>
  <c r="BG149" i="1" s="1"/>
  <c r="BT164" i="1"/>
  <c r="BU164" i="1" s="1"/>
  <c r="BP160" i="1"/>
  <c r="AP132" i="1"/>
  <c r="BN131" i="1"/>
  <c r="BR147" i="1"/>
  <c r="BS147" i="1" s="1"/>
  <c r="AX146" i="1"/>
  <c r="AY146" i="1" s="1"/>
  <c r="BN118" i="1"/>
  <c r="BO118" i="1" s="1"/>
  <c r="BR160" i="1"/>
  <c r="BR122" i="1"/>
  <c r="BS122" i="1" s="1"/>
  <c r="BB159" i="1"/>
  <c r="BF133" i="1"/>
  <c r="BT118" i="1"/>
  <c r="BU118" i="1" s="1"/>
  <c r="AX127" i="1"/>
  <c r="AY127" i="1" s="1"/>
  <c r="BR131" i="1"/>
  <c r="BR163" i="1"/>
  <c r="BS163" i="1" s="1"/>
  <c r="BR153" i="1"/>
  <c r="BB155" i="1"/>
  <c r="BC155" i="1" s="1"/>
  <c r="AZ159" i="1"/>
  <c r="AP151" i="1"/>
  <c r="AQ151" i="1" s="1"/>
  <c r="AT140" i="1"/>
  <c r="AU140" i="1" s="1"/>
  <c r="AT124" i="1"/>
  <c r="AU124" i="1" s="1"/>
  <c r="AT142" i="1"/>
  <c r="BU74" i="1"/>
  <c r="AZ125" i="1"/>
  <c r="BA125" i="1" s="1"/>
  <c r="BF159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P135" i="1"/>
  <c r="BQ135" i="1" s="1"/>
  <c r="AP135" i="1"/>
  <c r="AQ135" i="1" s="1"/>
  <c r="AN124" i="1"/>
  <c r="BP164" i="1"/>
  <c r="BQ164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R132" i="1"/>
  <c r="AR131" i="1"/>
  <c r="AR159" i="1"/>
  <c r="AN144" i="1"/>
  <c r="AV119" i="1"/>
  <c r="BT149" i="1"/>
  <c r="BU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73" i="1"/>
  <c r="AN125" i="1"/>
  <c r="AO125" i="1" s="1"/>
  <c r="AO74" i="1"/>
  <c r="AV147" i="1"/>
  <c r="AW147" i="1" s="1"/>
  <c r="AV137" i="1"/>
  <c r="AW137" i="1" s="1"/>
  <c r="BF137" i="1"/>
  <c r="BG137" i="1" s="1"/>
  <c r="AT137" i="1"/>
  <c r="AU137" i="1" s="1"/>
  <c r="BP137" i="1"/>
  <c r="BQ137" i="1" s="1"/>
  <c r="BB137" i="1"/>
  <c r="BC137" i="1" s="1"/>
  <c r="BF143" i="1"/>
  <c r="AZ143" i="1"/>
  <c r="BR143" i="1"/>
  <c r="AZ231" i="1"/>
  <c r="AY252" i="1"/>
  <c r="AW10" i="1"/>
  <c r="BN252" i="1"/>
  <c r="BN231" i="1"/>
  <c r="BD231" i="1"/>
  <c r="AZ98" i="1"/>
  <c r="AZ99" i="1" s="1"/>
  <c r="AZ102" i="1" s="1"/>
  <c r="AW253" i="1"/>
  <c r="AY231" i="1"/>
  <c r="BP194" i="1"/>
  <c r="BK253" i="1"/>
  <c r="BK194" i="1"/>
  <c r="BK33" i="1"/>
  <c r="BK203" i="1"/>
  <c r="BK201" i="1" s="1"/>
  <c r="BK231" i="1"/>
  <c r="AV10" i="1"/>
  <c r="AY98" i="1"/>
  <c r="AY99" i="1" s="1"/>
  <c r="AQ194" i="1"/>
  <c r="BB231" i="1"/>
  <c r="BB10" i="1"/>
  <c r="AX231" i="1"/>
  <c r="BA194" i="1"/>
  <c r="AW231" i="1"/>
  <c r="CQ134" i="1"/>
  <c r="DB77" i="1"/>
  <c r="CY65" i="1"/>
  <c r="CZ63" i="1"/>
  <c r="G202" i="1" l="1"/>
  <c r="BF180" i="1"/>
  <c r="BG180" i="1" s="1"/>
  <c r="AX179" i="1"/>
  <c r="AZ179" i="1"/>
  <c r="BA179" i="1" s="1"/>
  <c r="AP252" i="1"/>
  <c r="T173" i="1"/>
  <c r="BM98" i="1"/>
  <c r="BM99" i="1" s="1"/>
  <c r="AX10" i="1"/>
  <c r="S202" i="1"/>
  <c r="AV179" i="1"/>
  <c r="AW179" i="1" s="1"/>
  <c r="AZ180" i="1"/>
  <c r="BA180" i="1" s="1"/>
  <c r="BC252" i="1"/>
  <c r="BC253" i="1"/>
  <c r="BD74" i="1"/>
  <c r="AX122" i="1"/>
  <c r="AY122" i="1" s="1"/>
  <c r="BT144" i="1"/>
  <c r="BB127" i="1"/>
  <c r="BC127" i="1" s="1"/>
  <c r="BN126" i="1"/>
  <c r="BO126" i="1" s="1"/>
  <c r="BN10" i="1"/>
  <c r="AW252" i="1"/>
  <c r="AQ252" i="1"/>
  <c r="BM74" i="1"/>
  <c r="AN74" i="1"/>
  <c r="AS252" i="1"/>
  <c r="AX252" i="1"/>
  <c r="H161" i="1"/>
  <c r="L128" i="1"/>
  <c r="P128" i="1"/>
  <c r="M161" i="1"/>
  <c r="BT74" i="1"/>
  <c r="AT144" i="1"/>
  <c r="J120" i="1"/>
  <c r="W134" i="1"/>
  <c r="BP117" i="1"/>
  <c r="BQ117" i="1" s="1"/>
  <c r="AV159" i="1"/>
  <c r="AV126" i="1"/>
  <c r="AW126" i="1" s="1"/>
  <c r="AN126" i="1"/>
  <c r="AO126" i="1" s="1"/>
  <c r="AV153" i="1"/>
  <c r="AV183" i="1" s="1"/>
  <c r="AR73" i="1"/>
  <c r="BO74" i="1"/>
  <c r="AR144" i="1"/>
  <c r="BP149" i="1"/>
  <c r="BQ149" i="1" s="1"/>
  <c r="BB140" i="1"/>
  <c r="BC140" i="1" s="1"/>
  <c r="AT135" i="1"/>
  <c r="AU135" i="1" s="1"/>
  <c r="AT126" i="1"/>
  <c r="AU126" i="1" s="1"/>
  <c r="BD122" i="1"/>
  <c r="BE122" i="1" s="1"/>
  <c r="AX135" i="1"/>
  <c r="AY135" i="1" s="1"/>
  <c r="AZ133" i="1"/>
  <c r="BT135" i="1"/>
  <c r="BU135" i="1" s="1"/>
  <c r="AT150" i="1"/>
  <c r="AY73" i="1"/>
  <c r="BB149" i="1"/>
  <c r="BC149" i="1" s="1"/>
  <c r="BD145" i="1"/>
  <c r="BB122" i="1"/>
  <c r="BC122" i="1" s="1"/>
  <c r="AT146" i="1"/>
  <c r="AU146" i="1" s="1"/>
  <c r="BD142" i="1"/>
  <c r="BE142" i="1" s="1"/>
  <c r="BP122" i="1"/>
  <c r="BQ122" i="1" s="1"/>
  <c r="BT150" i="1"/>
  <c r="BU150" i="1" s="1"/>
  <c r="AN159" i="1"/>
  <c r="AV163" i="1"/>
  <c r="AW163" i="1" s="1"/>
  <c r="AR150" i="1"/>
  <c r="AS150" i="1" s="1"/>
  <c r="AN135" i="1"/>
  <c r="AO135" i="1" s="1"/>
  <c r="AV142" i="1"/>
  <c r="AW142" i="1" s="1"/>
  <c r="AN143" i="1"/>
  <c r="AO143" i="1" s="1"/>
  <c r="AN142" i="1"/>
  <c r="AZ146" i="1"/>
  <c r="BA146" i="1" s="1"/>
  <c r="BK74" i="1"/>
  <c r="BF144" i="1"/>
  <c r="BD144" i="1"/>
  <c r="BB147" i="1"/>
  <c r="BC147" i="1" s="1"/>
  <c r="AV131" i="1"/>
  <c r="BB163" i="1"/>
  <c r="BC163" i="1" s="1"/>
  <c r="BF127" i="1"/>
  <c r="BG127" i="1" s="1"/>
  <c r="BD133" i="1"/>
  <c r="BB164" i="1"/>
  <c r="BC164" i="1" s="1"/>
  <c r="AX133" i="1"/>
  <c r="BN160" i="1"/>
  <c r="BP163" i="1"/>
  <c r="BQ163" i="1" s="1"/>
  <c r="BP147" i="1"/>
  <c r="BQ147" i="1" s="1"/>
  <c r="BD155" i="1"/>
  <c r="BE155" i="1" s="1"/>
  <c r="BT133" i="1"/>
  <c r="BN135" i="1"/>
  <c r="BO135" i="1" s="1"/>
  <c r="BF155" i="1"/>
  <c r="BG155" i="1" s="1"/>
  <c r="BP118" i="1"/>
  <c r="BQ118" i="1" s="1"/>
  <c r="AP131" i="1"/>
  <c r="BD132" i="1"/>
  <c r="AN149" i="1"/>
  <c r="AO149" i="1" s="1"/>
  <c r="AT132" i="1"/>
  <c r="AN73" i="1"/>
  <c r="AV143" i="1"/>
  <c r="BT137" i="1"/>
  <c r="BU137" i="1" s="1"/>
  <c r="BT143" i="1"/>
  <c r="AZ152" i="1"/>
  <c r="BA152" i="1" s="1"/>
  <c r="BP140" i="1"/>
  <c r="BQ140" i="1" s="1"/>
  <c r="BQ252" i="1"/>
  <c r="BV252" i="1"/>
  <c r="AO252" i="1"/>
  <c r="BJ28" i="1"/>
  <c r="BF252" i="1"/>
  <c r="H156" i="1"/>
  <c r="H185" i="1" s="1"/>
  <c r="B65" i="1"/>
  <c r="B156" i="1"/>
  <c r="B185" i="1" s="1"/>
  <c r="B184" i="1" s="1"/>
  <c r="Q128" i="1"/>
  <c r="AZ26" i="1"/>
  <c r="M128" i="1"/>
  <c r="N202" i="1"/>
  <c r="E173" i="1"/>
  <c r="Q148" i="1"/>
  <c r="H128" i="1"/>
  <c r="J128" i="1"/>
  <c r="G173" i="1"/>
  <c r="E202" i="1"/>
  <c r="D65" i="1"/>
  <c r="V161" i="1"/>
  <c r="W209" i="1" s="1"/>
  <c r="D173" i="1"/>
  <c r="R128" i="1"/>
  <c r="R37" i="1" s="1"/>
  <c r="K202" i="1"/>
  <c r="B134" i="1"/>
  <c r="D156" i="1"/>
  <c r="BV183" i="1"/>
  <c r="W173" i="1"/>
  <c r="D161" i="1"/>
  <c r="J161" i="1"/>
  <c r="K209" i="1" s="1"/>
  <c r="G134" i="1"/>
  <c r="G161" i="1"/>
  <c r="BN164" i="1"/>
  <c r="BO164" i="1" s="1"/>
  <c r="BR127" i="1"/>
  <c r="BS127" i="1" s="1"/>
  <c r="AV135" i="1"/>
  <c r="AW135" i="1" s="1"/>
  <c r="AR179" i="1"/>
  <c r="AS179" i="1" s="1"/>
  <c r="BB180" i="1"/>
  <c r="BC180" i="1" s="1"/>
  <c r="BB183" i="1"/>
  <c r="BP183" i="1"/>
  <c r="BQ183" i="1" s="1"/>
  <c r="BN179" i="1"/>
  <c r="BO179" i="1" s="1"/>
  <c r="AX180" i="1"/>
  <c r="AY180" i="1" s="1"/>
  <c r="BF183" i="1"/>
  <c r="BG183" i="1" s="1"/>
  <c r="BN150" i="1"/>
  <c r="BO150" i="1" s="1"/>
  <c r="BI194" i="1"/>
  <c r="BD252" i="1"/>
  <c r="AZ10" i="1"/>
  <c r="BH252" i="1"/>
  <c r="AT26" i="1"/>
  <c r="AV26" i="1"/>
  <c r="AN26" i="1"/>
  <c r="BS252" i="1"/>
  <c r="BQ26" i="1"/>
  <c r="BF10" i="1"/>
  <c r="AT10" i="1"/>
  <c r="AT16" i="1" s="1"/>
  <c r="BP26" i="1"/>
  <c r="AV252" i="1"/>
  <c r="BV180" i="1"/>
  <c r="BW180" i="1" s="1"/>
  <c r="BP252" i="1"/>
  <c r="B173" i="1"/>
  <c r="AS26" i="1"/>
  <c r="BT26" i="1"/>
  <c r="AM48" i="1"/>
  <c r="V134" i="1"/>
  <c r="U202" i="1"/>
  <c r="L161" i="1"/>
  <c r="U161" i="1"/>
  <c r="V209" i="1" s="1"/>
  <c r="C161" i="1"/>
  <c r="F134" i="1"/>
  <c r="F33" i="1" s="1"/>
  <c r="U128" i="1"/>
  <c r="H134" i="1"/>
  <c r="H138" i="1" s="1"/>
  <c r="E120" i="1"/>
  <c r="J202" i="1"/>
  <c r="N156" i="1"/>
  <c r="N185" i="1" s="1"/>
  <c r="N184" i="1" s="1"/>
  <c r="W202" i="1"/>
  <c r="N173" i="1"/>
  <c r="M120" i="1"/>
  <c r="N161" i="1"/>
  <c r="O209" i="1" s="1"/>
  <c r="R156" i="1"/>
  <c r="F161" i="1"/>
  <c r="H148" i="1"/>
  <c r="F120" i="1"/>
  <c r="AX194" i="1"/>
  <c r="AX253" i="1"/>
  <c r="BN253" i="1"/>
  <c r="BN33" i="1"/>
  <c r="BN194" i="1"/>
  <c r="BF194" i="1"/>
  <c r="BF253" i="1"/>
  <c r="AN33" i="1"/>
  <c r="AN194" i="1"/>
  <c r="BI140" i="1"/>
  <c r="BJ202" i="1" s="1"/>
  <c r="BI202" i="1"/>
  <c r="BW117" i="1"/>
  <c r="BV120" i="1"/>
  <c r="BV161" i="1"/>
  <c r="BV10" i="1"/>
  <c r="BV134" i="1"/>
  <c r="BH202" i="1"/>
  <c r="BS98" i="1"/>
  <c r="BS99" i="1" s="1"/>
  <c r="BK26" i="1"/>
  <c r="AS253" i="1"/>
  <c r="BH98" i="1"/>
  <c r="BH99" i="1" s="1"/>
  <c r="BH103" i="1" s="1"/>
  <c r="BF26" i="1"/>
  <c r="AI10" i="1"/>
  <c r="BR26" i="1"/>
  <c r="AI26" i="1"/>
  <c r="BM26" i="1"/>
  <c r="O128" i="1"/>
  <c r="BI26" i="1"/>
  <c r="BG26" i="1"/>
  <c r="BR10" i="1"/>
  <c r="BE252" i="1"/>
  <c r="AW26" i="1"/>
  <c r="BC26" i="1"/>
  <c r="BM252" i="1"/>
  <c r="BH26" i="1"/>
  <c r="AT252" i="1"/>
  <c r="AO26" i="1"/>
  <c r="C128" i="1"/>
  <c r="BB26" i="1"/>
  <c r="AU252" i="1"/>
  <c r="BE10" i="1"/>
  <c r="BR253" i="1"/>
  <c r="AI37" i="1"/>
  <c r="P156" i="1"/>
  <c r="C148" i="1"/>
  <c r="I128" i="1"/>
  <c r="BN26" i="1"/>
  <c r="BE26" i="1"/>
  <c r="BH134" i="1"/>
  <c r="F173" i="1"/>
  <c r="N134" i="1"/>
  <c r="N148" i="1"/>
  <c r="D202" i="1"/>
  <c r="R173" i="1"/>
  <c r="K128" i="1"/>
  <c r="D148" i="1"/>
  <c r="AX26" i="1"/>
  <c r="I173" i="1"/>
  <c r="BU26" i="1"/>
  <c r="AU26" i="1"/>
  <c r="BT252" i="1"/>
  <c r="R120" i="1"/>
  <c r="M202" i="1"/>
  <c r="U120" i="1"/>
  <c r="K148" i="1"/>
  <c r="V148" i="1"/>
  <c r="E148" i="1"/>
  <c r="G120" i="1"/>
  <c r="C202" i="1"/>
  <c r="B148" i="1"/>
  <c r="F202" i="1"/>
  <c r="S120" i="1"/>
  <c r="O134" i="1"/>
  <c r="L173" i="1"/>
  <c r="F156" i="1"/>
  <c r="Q134" i="1"/>
  <c r="U148" i="1"/>
  <c r="V173" i="1"/>
  <c r="E156" i="1"/>
  <c r="K173" i="1"/>
  <c r="N128" i="1"/>
  <c r="AZ252" i="1"/>
  <c r="S173" i="1"/>
  <c r="J156" i="1"/>
  <c r="C65" i="1"/>
  <c r="P173" i="1"/>
  <c r="J134" i="1"/>
  <c r="D134" i="1"/>
  <c r="U134" i="1"/>
  <c r="V128" i="1"/>
  <c r="O202" i="1"/>
  <c r="O173" i="1"/>
  <c r="S128" i="1"/>
  <c r="B120" i="1"/>
  <c r="W128" i="1"/>
  <c r="H120" i="1"/>
  <c r="I120" i="1"/>
  <c r="U173" i="1"/>
  <c r="I134" i="1"/>
  <c r="P120" i="1"/>
  <c r="M148" i="1"/>
  <c r="M182" i="1" s="1"/>
  <c r="M181" i="1" s="1"/>
  <c r="L202" i="1"/>
  <c r="O161" i="1"/>
  <c r="P209" i="1" s="1"/>
  <c r="M173" i="1"/>
  <c r="V156" i="1"/>
  <c r="B128" i="1"/>
  <c r="AZ183" i="1"/>
  <c r="BA183" i="1" s="1"/>
  <c r="BR179" i="1"/>
  <c r="BS179" i="1" s="1"/>
  <c r="BT183" i="1"/>
  <c r="BU183" i="1" s="1"/>
  <c r="BP180" i="1"/>
  <c r="BQ180" i="1" s="1"/>
  <c r="BR180" i="1"/>
  <c r="BS180" i="1" s="1"/>
  <c r="AR183" i="1"/>
  <c r="AS183" i="1" s="1"/>
  <c r="R202" i="1"/>
  <c r="BT180" i="1"/>
  <c r="BU180" i="1" s="1"/>
  <c r="AP179" i="1"/>
  <c r="AQ179" i="1" s="1"/>
  <c r="AP183" i="1"/>
  <c r="AQ183" i="1" s="1"/>
  <c r="AV180" i="1"/>
  <c r="AW180" i="1" s="1"/>
  <c r="AX183" i="1"/>
  <c r="AY183" i="1" s="1"/>
  <c r="BB179" i="1"/>
  <c r="BC179" i="1" s="1"/>
  <c r="AP180" i="1"/>
  <c r="AQ180" i="1" s="1"/>
  <c r="BR183" i="1"/>
  <c r="BS183" i="1" s="1"/>
  <c r="AN180" i="1"/>
  <c r="AO180" i="1" s="1"/>
  <c r="Q156" i="1"/>
  <c r="BD194" i="1"/>
  <c r="BD253" i="1"/>
  <c r="AU10" i="1"/>
  <c r="AX98" i="1"/>
  <c r="AX99" i="1" s="1"/>
  <c r="AU231" i="1"/>
  <c r="AU253" i="1"/>
  <c r="BP231" i="1"/>
  <c r="BP253" i="1"/>
  <c r="BP10" i="1"/>
  <c r="AV194" i="1"/>
  <c r="AV253" i="1"/>
  <c r="AQ231" i="1"/>
  <c r="AQ10" i="1"/>
  <c r="AR98" i="1"/>
  <c r="AR99" i="1" s="1"/>
  <c r="AQ253" i="1"/>
  <c r="AZ253" i="1"/>
  <c r="AZ194" i="1"/>
  <c r="BS231" i="1"/>
  <c r="BS10" i="1"/>
  <c r="BA231" i="1"/>
  <c r="BA10" i="1"/>
  <c r="AP194" i="1"/>
  <c r="AP253" i="1"/>
  <c r="AI231" i="1"/>
  <c r="AI179" i="1"/>
  <c r="AI180" i="1"/>
  <c r="AI182" i="1"/>
  <c r="AI181" i="1" s="1"/>
  <c r="AL98" i="1"/>
  <c r="AL99" i="1" s="1"/>
  <c r="AI183" i="1"/>
  <c r="AI185" i="1"/>
  <c r="AI184" i="1" s="1"/>
  <c r="AR231" i="1"/>
  <c r="AR252" i="1"/>
  <c r="BW10" i="1"/>
  <c r="BW231" i="1"/>
  <c r="BZ98" i="1"/>
  <c r="BZ99" i="1" s="1"/>
  <c r="BW252" i="1"/>
  <c r="BY98" i="1"/>
  <c r="BY99" i="1" s="1"/>
  <c r="BE231" i="1"/>
  <c r="BE253" i="1"/>
  <c r="BG98" i="1"/>
  <c r="BG99" i="1" s="1"/>
  <c r="BT231" i="1"/>
  <c r="BT10" i="1"/>
  <c r="BT253" i="1"/>
  <c r="AI194" i="1"/>
  <c r="AI203" i="1"/>
  <c r="AI201" i="1" s="1"/>
  <c r="AI33" i="1"/>
  <c r="AS231" i="1"/>
  <c r="AS10" i="1"/>
  <c r="AT183" i="1"/>
  <c r="AU183" i="1" s="1"/>
  <c r="AV98" i="1"/>
  <c r="AV99" i="1" s="1"/>
  <c r="BQ231" i="1"/>
  <c r="T128" i="1"/>
  <c r="I148" i="1"/>
  <c r="I182" i="1" s="1"/>
  <c r="I181" i="1" s="1"/>
  <c r="K120" i="1"/>
  <c r="L156" i="1"/>
  <c r="L185" i="1" s="1"/>
  <c r="L184" i="1" s="1"/>
  <c r="O148" i="1"/>
  <c r="Q173" i="1"/>
  <c r="F148" i="1"/>
  <c r="K156" i="1"/>
  <c r="K185" i="1" s="1"/>
  <c r="U156" i="1"/>
  <c r="G128" i="1"/>
  <c r="Q161" i="1"/>
  <c r="R148" i="1"/>
  <c r="V120" i="1"/>
  <c r="P134" i="1"/>
  <c r="P33" i="1" s="1"/>
  <c r="C134" i="1"/>
  <c r="H173" i="1"/>
  <c r="F128" i="1"/>
  <c r="L134" i="1"/>
  <c r="T120" i="1"/>
  <c r="BO98" i="1"/>
  <c r="BO99" i="1" s="1"/>
  <c r="BS26" i="1"/>
  <c r="J148" i="1"/>
  <c r="AP26" i="1"/>
  <c r="AP27" i="1" s="1"/>
  <c r="P148" i="1"/>
  <c r="BD26" i="1"/>
  <c r="D128" i="1"/>
  <c r="AQ26" i="1"/>
  <c r="AY26" i="1"/>
  <c r="AY27" i="1" s="1"/>
  <c r="BA26" i="1"/>
  <c r="BV26" i="1"/>
  <c r="BW26" i="1"/>
  <c r="BO252" i="1"/>
  <c r="AR26" i="1"/>
  <c r="BM253" i="1"/>
  <c r="BO26" i="1"/>
  <c r="T148" i="1"/>
  <c r="AW98" i="1"/>
  <c r="AW99" i="1" s="1"/>
  <c r="BC10" i="1"/>
  <c r="BW253" i="1"/>
  <c r="BV148" i="1"/>
  <c r="BV182" i="1" s="1"/>
  <c r="BW128" i="1"/>
  <c r="BQ253" i="1"/>
  <c r="AO253" i="1"/>
  <c r="BI128" i="1"/>
  <c r="T134" i="1"/>
  <c r="BT98" i="1"/>
  <c r="BT99" i="1" s="1"/>
  <c r="BT104" i="1" s="1"/>
  <c r="BA252" i="1"/>
  <c r="BM10" i="1"/>
  <c r="AT231" i="1"/>
  <c r="BN183" i="1"/>
  <c r="BO183" i="1" s="1"/>
  <c r="M156" i="1"/>
  <c r="Q120" i="1"/>
  <c r="D120" i="1"/>
  <c r="O120" i="1"/>
  <c r="BD10" i="1"/>
  <c r="AO10" i="1"/>
  <c r="BI98" i="1"/>
  <c r="BI99" i="1" s="1"/>
  <c r="BF98" i="1"/>
  <c r="BF99" i="1" s="1"/>
  <c r="BH180" i="1"/>
  <c r="BI180" i="1" s="1"/>
  <c r="AT253" i="1"/>
  <c r="AT98" i="1"/>
  <c r="AT99" i="1" s="1"/>
  <c r="AR10" i="1"/>
  <c r="BM231" i="1"/>
  <c r="BN98" i="1"/>
  <c r="BN99" i="1" s="1"/>
  <c r="BN180" i="1"/>
  <c r="BO180" i="1" s="1"/>
  <c r="L148" i="1"/>
  <c r="L182" i="1" s="1"/>
  <c r="C173" i="1"/>
  <c r="M134" i="1"/>
  <c r="K161" i="1"/>
  <c r="J173" i="1"/>
  <c r="G156" i="1"/>
  <c r="BE98" i="1"/>
  <c r="BE99" i="1" s="1"/>
  <c r="BG231" i="1"/>
  <c r="E134" i="1"/>
  <c r="BK98" i="1"/>
  <c r="BK99" i="1" s="1"/>
  <c r="BK104" i="1" s="1"/>
  <c r="BL98" i="1"/>
  <c r="BL99" i="1" s="1"/>
  <c r="BL104" i="1" s="1"/>
  <c r="BA253" i="1"/>
  <c r="AN231" i="1"/>
  <c r="BH179" i="1"/>
  <c r="BI179" i="1" s="1"/>
  <c r="BI10" i="1"/>
  <c r="BM37" i="1"/>
  <c r="BK37" i="1"/>
  <c r="BI252" i="1"/>
  <c r="BS253" i="1"/>
  <c r="BJ194" i="1"/>
  <c r="BD98" i="1"/>
  <c r="BD99" i="1" s="1"/>
  <c r="BV98" i="1"/>
  <c r="BV99" i="1" s="1"/>
  <c r="BB253" i="1"/>
  <c r="BC98" i="1"/>
  <c r="BC99" i="1" s="1"/>
  <c r="G148" i="1"/>
  <c r="G182" i="1" s="1"/>
  <c r="G181" i="1" s="1"/>
  <c r="V202" i="1"/>
  <c r="AY253" i="1"/>
  <c r="BB98" i="1"/>
  <c r="BB99" i="1" s="1"/>
  <c r="BG10" i="1"/>
  <c r="BK11" i="1" s="1"/>
  <c r="BG253" i="1"/>
  <c r="BV253" i="1"/>
  <c r="AU98" i="1"/>
  <c r="AU99" i="1" s="1"/>
  <c r="BD183" i="1"/>
  <c r="BE183" i="1" s="1"/>
  <c r="BD180" i="1"/>
  <c r="BE180" i="1" s="1"/>
  <c r="AT179" i="1"/>
  <c r="AU179" i="1" s="1"/>
  <c r="BP179" i="1"/>
  <c r="BQ179" i="1" s="1"/>
  <c r="AT180" i="1"/>
  <c r="AU180" i="1" s="1"/>
  <c r="BJ98" i="1"/>
  <c r="BJ99" i="1" s="1"/>
  <c r="BH10" i="1"/>
  <c r="AW16" i="1"/>
  <c r="BA98" i="1"/>
  <c r="BA99" i="1" s="1"/>
  <c r="BA104" i="1" s="1"/>
  <c r="BH183" i="1"/>
  <c r="BI183" i="1" s="1"/>
  <c r="BH253" i="1"/>
  <c r="BI253" i="1"/>
  <c r="AS98" i="1"/>
  <c r="AS99" i="1" s="1"/>
  <c r="BH161" i="1"/>
  <c r="BI209" i="1" s="1"/>
  <c r="S156" i="1"/>
  <c r="BH120" i="1"/>
  <c r="BH92" i="1" s="1"/>
  <c r="BH96" i="1" s="1"/>
  <c r="BH128" i="1"/>
  <c r="BH129" i="1" s="1"/>
  <c r="E128" i="1"/>
  <c r="C156" i="1"/>
  <c r="T156" i="1"/>
  <c r="T197" i="1" s="1"/>
  <c r="S134" i="1"/>
  <c r="BV156" i="1"/>
  <c r="BV185" i="1" s="1"/>
  <c r="BV184" i="1" s="1"/>
  <c r="BJ17" i="1"/>
  <c r="BV128" i="1"/>
  <c r="BX98" i="1"/>
  <c r="BX99" i="1" s="1"/>
  <c r="BW98" i="1"/>
  <c r="BW99" i="1" s="1"/>
  <c r="K134" i="1"/>
  <c r="O156" i="1"/>
  <c r="BV179" i="1"/>
  <c r="BW179" i="1" s="1"/>
  <c r="BH156" i="1"/>
  <c r="BH185" i="1" s="1"/>
  <c r="BU98" i="1"/>
  <c r="BU99" i="1" s="1"/>
  <c r="BU104" i="1" s="1"/>
  <c r="BU10" i="1"/>
  <c r="BU252" i="1"/>
  <c r="BW202" i="1"/>
  <c r="BU253" i="1"/>
  <c r="BJ27" i="1"/>
  <c r="AP98" i="1"/>
  <c r="AP99" i="1" s="1"/>
  <c r="AP102" i="1" s="1"/>
  <c r="AN10" i="1"/>
  <c r="BQ98" i="1"/>
  <c r="BQ99" i="1" s="1"/>
  <c r="BQ102" i="1" s="1"/>
  <c r="N120" i="1"/>
  <c r="BM194" i="1"/>
  <c r="AN179" i="1"/>
  <c r="AO179" i="1" s="1"/>
  <c r="AS194" i="1"/>
  <c r="AN253" i="1"/>
  <c r="BM33" i="1"/>
  <c r="I156" i="1"/>
  <c r="I202" i="1"/>
  <c r="I161" i="1"/>
  <c r="BM203" i="1"/>
  <c r="BM201" i="1" s="1"/>
  <c r="BO231" i="1"/>
  <c r="AR253" i="1"/>
  <c r="P202" i="1"/>
  <c r="Q202" i="1"/>
  <c r="C120" i="1"/>
  <c r="AR134" i="1"/>
  <c r="BO10" i="1"/>
  <c r="AN252" i="1"/>
  <c r="BR98" i="1"/>
  <c r="BR99" i="1" s="1"/>
  <c r="BH148" i="1"/>
  <c r="BH182" i="1" s="1"/>
  <c r="BO253" i="1"/>
  <c r="BP98" i="1"/>
  <c r="BP99" i="1" s="1"/>
  <c r="BP102" i="1" s="1"/>
  <c r="T202" i="1"/>
  <c r="AN183" i="1"/>
  <c r="AO183" i="1" s="1"/>
  <c r="AQ98" i="1"/>
  <c r="AQ99" i="1" s="1"/>
  <c r="AQ104" i="1" s="1"/>
  <c r="AO98" i="1"/>
  <c r="AO99" i="1" s="1"/>
  <c r="BR194" i="1"/>
  <c r="S148" i="1"/>
  <c r="S182" i="1" s="1"/>
  <c r="L120" i="1"/>
  <c r="R134" i="1"/>
  <c r="U209" i="1"/>
  <c r="R168" i="1"/>
  <c r="R109" i="1" s="1"/>
  <c r="D54" i="1"/>
  <c r="N209" i="1"/>
  <c r="B33" i="1"/>
  <c r="B138" i="1"/>
  <c r="I209" i="1"/>
  <c r="BD161" i="1"/>
  <c r="BE209" i="1" s="1"/>
  <c r="J175" i="1"/>
  <c r="J54" i="1"/>
  <c r="W138" i="1"/>
  <c r="X203" i="1" s="1"/>
  <c r="X201" i="1" s="1"/>
  <c r="W33" i="1"/>
  <c r="S209" i="1"/>
  <c r="AN161" i="1"/>
  <c r="AO209" i="1" s="1"/>
  <c r="AV161" i="1"/>
  <c r="AW209" i="1" s="1"/>
  <c r="BR134" i="1"/>
  <c r="AX161" i="1"/>
  <c r="AY209" i="1" s="1"/>
  <c r="P168" i="1"/>
  <c r="P109" i="1" s="1"/>
  <c r="P37" i="1"/>
  <c r="H209" i="1"/>
  <c r="L3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E117" i="1"/>
  <c r="BD120" i="1"/>
  <c r="AU150" i="1"/>
  <c r="AY149" i="1"/>
  <c r="AX156" i="1"/>
  <c r="AX185" i="1" s="1"/>
  <c r="BO124" i="1"/>
  <c r="AW124" i="1"/>
  <c r="BS140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N134" i="1"/>
  <c r="BB134" i="1"/>
  <c r="AT161" i="1"/>
  <c r="AU209" i="1" s="1"/>
  <c r="AZ120" i="1"/>
  <c r="BR161" i="1"/>
  <c r="BN120" i="1"/>
  <c r="AS202" i="1"/>
  <c r="BT120" i="1"/>
  <c r="BE202" i="1"/>
  <c r="BR156" i="1"/>
  <c r="BR185" i="1" s="1"/>
  <c r="AZ128" i="1"/>
  <c r="AP128" i="1"/>
  <c r="AP120" i="1"/>
  <c r="AP92" i="1" s="1"/>
  <c r="BP128" i="1"/>
  <c r="BA128" i="1"/>
  <c r="AP156" i="1"/>
  <c r="AV156" i="1"/>
  <c r="AV185" i="1" s="1"/>
  <c r="AV184" i="1" s="1"/>
  <c r="BF120" i="1"/>
  <c r="BQ128" i="1"/>
  <c r="BD128" i="1"/>
  <c r="AV120" i="1"/>
  <c r="BC143" i="1"/>
  <c r="BG143" i="1"/>
  <c r="BE143" i="1"/>
  <c r="BO143" i="1"/>
  <c r="BN148" i="1"/>
  <c r="AY143" i="1"/>
  <c r="AX148" i="1"/>
  <c r="BS143" i="1"/>
  <c r="BR148" i="1"/>
  <c r="BA143" i="1"/>
  <c r="AU202" i="1"/>
  <c r="AV202" i="1"/>
  <c r="BB202" i="1"/>
  <c r="BA202" i="1"/>
  <c r="AY202" i="1"/>
  <c r="AZ202" i="1"/>
  <c r="BK12" i="1"/>
  <c r="BL12" i="1"/>
  <c r="BK16" i="1"/>
  <c r="AY16" i="1"/>
  <c r="AP16" i="1"/>
  <c r="AP11" i="1"/>
  <c r="BQ16" i="1"/>
  <c r="BC202" i="1"/>
  <c r="BD202" i="1"/>
  <c r="AY179" i="1"/>
  <c r="AW183" i="1"/>
  <c r="BG202" i="1"/>
  <c r="AY12" i="1"/>
  <c r="AZ104" i="1"/>
  <c r="AZ103" i="1"/>
  <c r="AY225" i="1"/>
  <c r="BB16" i="1"/>
  <c r="BN11" i="1"/>
  <c r="BN16" i="1"/>
  <c r="AN102" i="1"/>
  <c r="AN103" i="1"/>
  <c r="AN104" i="1"/>
  <c r="BM104" i="1"/>
  <c r="BM102" i="1"/>
  <c r="BM103" i="1"/>
  <c r="AX12" i="1"/>
  <c r="AX16" i="1"/>
  <c r="BB11" i="1"/>
  <c r="AY102" i="1"/>
  <c r="AY103" i="1"/>
  <c r="AY104" i="1"/>
  <c r="AV16" i="1"/>
  <c r="AW12" i="1"/>
  <c r="BJ29" i="1"/>
  <c r="BJ34" i="1"/>
  <c r="BJ38" i="1" s="1"/>
  <c r="BJ232" i="1"/>
  <c r="BJ233" i="1" s="1"/>
  <c r="CQ138" i="1"/>
  <c r="CR32" i="1"/>
  <c r="AE77" i="1"/>
  <c r="AB125" i="1"/>
  <c r="AB128" i="1" s="1"/>
  <c r="AB249" i="1" s="1"/>
  <c r="AD142" i="1"/>
  <c r="CZ65" i="1"/>
  <c r="DA63" i="1"/>
  <c r="AU27" i="1" l="1"/>
  <c r="AT156" i="1"/>
  <c r="AT185" i="1" s="1"/>
  <c r="AT184" i="1" s="1"/>
  <c r="AX184" i="1"/>
  <c r="BO128" i="1"/>
  <c r="BN128" i="1"/>
  <c r="AW128" i="1"/>
  <c r="AI186" i="1"/>
  <c r="BP156" i="1"/>
  <c r="BP185" i="1" s="1"/>
  <c r="BB156" i="1"/>
  <c r="BB185" i="1" s="1"/>
  <c r="AT128" i="1"/>
  <c r="AU128" i="1"/>
  <c r="BB148" i="1"/>
  <c r="BF148" i="1"/>
  <c r="BD148" i="1"/>
  <c r="BU143" i="1"/>
  <c r="BT148" i="1"/>
  <c r="AZ148" i="1"/>
  <c r="BQ12" i="1"/>
  <c r="BA12" i="1"/>
  <c r="AW225" i="1"/>
  <c r="AU12" i="1"/>
  <c r="AT17" i="1"/>
  <c r="AT28" i="1"/>
  <c r="BC183" i="1"/>
  <c r="BW183" i="1"/>
  <c r="AZ225" i="1"/>
  <c r="AQ11" i="1"/>
  <c r="AX11" i="1"/>
  <c r="BW16" i="1"/>
  <c r="BZ244" i="1"/>
  <c r="CA11" i="1"/>
  <c r="BY225" i="1"/>
  <c r="BZ225" i="1"/>
  <c r="BX12" i="1"/>
  <c r="AV27" i="1"/>
  <c r="BA188" i="1"/>
  <c r="AZ11" i="1"/>
  <c r="BT11" i="1"/>
  <c r="AV12" i="1"/>
  <c r="BB225" i="1"/>
  <c r="BV138" i="1"/>
  <c r="BW33" i="1"/>
  <c r="BW134" i="1"/>
  <c r="BF11" i="1"/>
  <c r="H244" i="1"/>
  <c r="BT179" i="1"/>
  <c r="BU179" i="1" s="1"/>
  <c r="BD179" i="1"/>
  <c r="BE179" i="1" s="1"/>
  <c r="D248" i="1"/>
  <c r="M54" i="1"/>
  <c r="M248" i="1"/>
  <c r="J37" i="1"/>
  <c r="H197" i="1"/>
  <c r="M249" i="1"/>
  <c r="M251" i="1" s="1"/>
  <c r="BW12" i="1"/>
  <c r="H184" i="1"/>
  <c r="B107" i="1"/>
  <c r="M175" i="1"/>
  <c r="H168" i="1"/>
  <c r="H109" i="1" s="1"/>
  <c r="Q249" i="1"/>
  <c r="Q251" i="1" s="1"/>
  <c r="R249" i="1"/>
  <c r="R251" i="1" s="1"/>
  <c r="M168" i="1"/>
  <c r="M109" i="1" s="1"/>
  <c r="F207" i="1"/>
  <c r="E207" i="1"/>
  <c r="E54" i="1"/>
  <c r="E175" i="1"/>
  <c r="B66" i="1"/>
  <c r="B108" i="1"/>
  <c r="J168" i="1"/>
  <c r="J109" i="1" s="1"/>
  <c r="H37" i="1"/>
  <c r="Q206" i="1"/>
  <c r="R206" i="1"/>
  <c r="Q37" i="1"/>
  <c r="M37" i="1"/>
  <c r="BN161" i="1"/>
  <c r="BO209" i="1" s="1"/>
  <c r="BS128" i="1"/>
  <c r="AV128" i="1"/>
  <c r="AO142" i="1"/>
  <c r="AN148" i="1"/>
  <c r="BR202" i="1"/>
  <c r="BD156" i="1"/>
  <c r="BD185" i="1" s="1"/>
  <c r="BP120" i="1"/>
  <c r="BP92" i="1" s="1"/>
  <c r="BP94" i="1" s="1"/>
  <c r="AN156" i="1"/>
  <c r="AN185" i="1" s="1"/>
  <c r="BG128" i="1"/>
  <c r="BF156" i="1"/>
  <c r="BF185" i="1" s="1"/>
  <c r="AZ156" i="1"/>
  <c r="AZ185" i="1" s="1"/>
  <c r="AW143" i="1"/>
  <c r="AV148" i="1"/>
  <c r="BF179" i="1"/>
  <c r="BG179" i="1" s="1"/>
  <c r="R175" i="1"/>
  <c r="U196" i="1"/>
  <c r="Q207" i="1"/>
  <c r="D107" i="1"/>
  <c r="AZ16" i="1"/>
  <c r="R54" i="1"/>
  <c r="R207" i="1"/>
  <c r="E209" i="1"/>
  <c r="G175" i="1"/>
  <c r="G207" i="1"/>
  <c r="J248" i="1"/>
  <c r="J129" i="1"/>
  <c r="J55" i="1" s="1"/>
  <c r="G209" i="1"/>
  <c r="F248" i="1"/>
  <c r="F175" i="1"/>
  <c r="F54" i="1"/>
  <c r="U54" i="1"/>
  <c r="G138" i="1"/>
  <c r="G33" i="1"/>
  <c r="V196" i="1"/>
  <c r="V182" i="1"/>
  <c r="V181" i="1" s="1"/>
  <c r="J207" i="1"/>
  <c r="D33" i="1"/>
  <c r="D138" i="1"/>
  <c r="C182" i="1"/>
  <c r="C181" i="1" s="1"/>
  <c r="D196" i="1"/>
  <c r="B175" i="1"/>
  <c r="B54" i="1"/>
  <c r="B248" i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37" i="1"/>
  <c r="K175" i="1"/>
  <c r="C168" i="1"/>
  <c r="C109" i="1" s="1"/>
  <c r="D209" i="1"/>
  <c r="W249" i="1"/>
  <c r="W251" i="1" s="1"/>
  <c r="W206" i="1"/>
  <c r="W37" i="1"/>
  <c r="X249" i="1"/>
  <c r="X251" i="1" s="1"/>
  <c r="R248" i="1"/>
  <c r="BT156" i="1"/>
  <c r="BT185" i="1" s="1"/>
  <c r="BT184" i="1" s="1"/>
  <c r="AX134" i="1"/>
  <c r="AR156" i="1"/>
  <c r="BP184" i="1"/>
  <c r="BF128" i="1"/>
  <c r="BP148" i="1"/>
  <c r="BP182" i="1" s="1"/>
  <c r="BQ202" i="1"/>
  <c r="BR128" i="1"/>
  <c r="AM52" i="1"/>
  <c r="AM119" i="1"/>
  <c r="AM120" i="1" s="1"/>
  <c r="AM129" i="1" s="1"/>
  <c r="AM193" i="1"/>
  <c r="AM195" i="1" s="1"/>
  <c r="AM66" i="1"/>
  <c r="AM69" i="1" s="1"/>
  <c r="AT27" i="1"/>
  <c r="AZ12" i="1"/>
  <c r="BQ27" i="1"/>
  <c r="BQ28" i="1"/>
  <c r="BM16" i="1"/>
  <c r="BJ11" i="1"/>
  <c r="BF16" i="1"/>
  <c r="AY188" i="1"/>
  <c r="BD11" i="1"/>
  <c r="AT11" i="1"/>
  <c r="AR16" i="1"/>
  <c r="BH104" i="1"/>
  <c r="BH102" i="1"/>
  <c r="BW188" i="1"/>
  <c r="H246" i="1"/>
  <c r="R129" i="1"/>
  <c r="R55" i="1" s="1"/>
  <c r="L196" i="1"/>
  <c r="C249" i="1"/>
  <c r="C251" i="1" s="1"/>
  <c r="E196" i="1"/>
  <c r="BS27" i="1"/>
  <c r="AQ27" i="1"/>
  <c r="BW27" i="1"/>
  <c r="AR27" i="1"/>
  <c r="BH138" i="1"/>
  <c r="F138" i="1"/>
  <c r="BV168" i="1"/>
  <c r="H33" i="1"/>
  <c r="O58" i="1"/>
  <c r="O129" i="1"/>
  <c r="O55" i="1" s="1"/>
  <c r="J249" i="1"/>
  <c r="J251" i="1" s="1"/>
  <c r="X206" i="1"/>
  <c r="U248" i="1"/>
  <c r="U175" i="1"/>
  <c r="S129" i="1"/>
  <c r="S55" i="1" s="1"/>
  <c r="S207" i="1"/>
  <c r="S54" i="1"/>
  <c r="Q182" i="1"/>
  <c r="Q181" i="1" s="1"/>
  <c r="H182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K33" i="1"/>
  <c r="K138" i="1"/>
  <c r="M206" i="1"/>
  <c r="D185" i="1"/>
  <c r="E197" i="1"/>
  <c r="N196" i="1"/>
  <c r="K197" i="1"/>
  <c r="J185" i="1"/>
  <c r="U168" i="1"/>
  <c r="U109" i="1" s="1"/>
  <c r="U37" i="1"/>
  <c r="H157" i="1"/>
  <c r="H165" i="1" s="1"/>
  <c r="Q185" i="1"/>
  <c r="Q157" i="1"/>
  <c r="R197" i="1"/>
  <c r="P206" i="1"/>
  <c r="P249" i="1"/>
  <c r="P251" i="1" s="1"/>
  <c r="L168" i="1"/>
  <c r="L109" i="1" s="1"/>
  <c r="L249" i="1"/>
  <c r="L251" i="1" s="1"/>
  <c r="L206" i="1"/>
  <c r="M209" i="1"/>
  <c r="Q129" i="1"/>
  <c r="Q55" i="1" s="1"/>
  <c r="N182" i="1"/>
  <c r="N157" i="1"/>
  <c r="G185" i="1"/>
  <c r="M129" i="1"/>
  <c r="M55" i="1" s="1"/>
  <c r="V138" i="1"/>
  <c r="V33" i="1"/>
  <c r="R185" i="1"/>
  <c r="BI134" i="1"/>
  <c r="BB184" i="1"/>
  <c r="BN156" i="1"/>
  <c r="BN185" i="1" s="1"/>
  <c r="AZ27" i="1"/>
  <c r="BK27" i="1"/>
  <c r="AW27" i="1"/>
  <c r="BE27" i="1"/>
  <c r="AS12" i="1"/>
  <c r="AT12" i="1"/>
  <c r="AQ12" i="1"/>
  <c r="AQ188" i="1"/>
  <c r="BM27" i="1"/>
  <c r="BV92" i="1"/>
  <c r="BA11" i="1"/>
  <c r="AI27" i="1"/>
  <c r="BH27" i="1"/>
  <c r="AS16" i="1"/>
  <c r="AW11" i="1"/>
  <c r="BT225" i="1"/>
  <c r="BR27" i="1"/>
  <c r="BS12" i="1"/>
  <c r="BE16" i="1"/>
  <c r="BF12" i="1"/>
  <c r="BF27" i="1"/>
  <c r="BR16" i="1"/>
  <c r="BR12" i="1"/>
  <c r="BZ11" i="1"/>
  <c r="AX27" i="1"/>
  <c r="BR11" i="1"/>
  <c r="BB27" i="1"/>
  <c r="BN27" i="1"/>
  <c r="BI33" i="1"/>
  <c r="M196" i="1"/>
  <c r="AP181" i="1"/>
  <c r="BR184" i="1"/>
  <c r="C37" i="1"/>
  <c r="C129" i="1"/>
  <c r="C55" i="1" s="1"/>
  <c r="P185" i="1"/>
  <c r="P184" i="1" s="1"/>
  <c r="Q197" i="1"/>
  <c r="I129" i="1"/>
  <c r="I55" i="1" s="1"/>
  <c r="I249" i="1"/>
  <c r="I251" i="1" s="1"/>
  <c r="N33" i="1"/>
  <c r="N138" i="1"/>
  <c r="U207" i="1"/>
  <c r="U129" i="1"/>
  <c r="U55" i="1" s="1"/>
  <c r="E182" i="1"/>
  <c r="E181" i="1" s="1"/>
  <c r="F196" i="1"/>
  <c r="G54" i="1"/>
  <c r="G248" i="1"/>
  <c r="B157" i="1"/>
  <c r="C196" i="1"/>
  <c r="B182" i="1"/>
  <c r="S248" i="1"/>
  <c r="S175" i="1"/>
  <c r="O138" i="1"/>
  <c r="O33" i="1"/>
  <c r="F185" i="1"/>
  <c r="F184" i="1" s="1"/>
  <c r="G197" i="1"/>
  <c r="Q33" i="1"/>
  <c r="Q138" i="1"/>
  <c r="U182" i="1"/>
  <c r="U157" i="1"/>
  <c r="E185" i="1"/>
  <c r="F197" i="1"/>
  <c r="E157" i="1"/>
  <c r="N249" i="1"/>
  <c r="N251" i="1" s="1"/>
  <c r="N168" i="1"/>
  <c r="N109" i="1" s="1"/>
  <c r="N129" i="1"/>
  <c r="N55" i="1" s="1"/>
  <c r="O249" i="1"/>
  <c r="O251" i="1" s="1"/>
  <c r="O206" i="1"/>
  <c r="N206" i="1"/>
  <c r="N37" i="1"/>
  <c r="C66" i="1"/>
  <c r="C107" i="1"/>
  <c r="C108" i="1"/>
  <c r="J138" i="1"/>
  <c r="J33" i="1"/>
  <c r="U138" i="1"/>
  <c r="U33" i="1"/>
  <c r="V206" i="1"/>
  <c r="V168" i="1"/>
  <c r="V109" i="1" s="1"/>
  <c r="V37" i="1"/>
  <c r="V249" i="1"/>
  <c r="V251" i="1" s="1"/>
  <c r="S249" i="1"/>
  <c r="S251" i="1" s="1"/>
  <c r="S206" i="1"/>
  <c r="S37" i="1"/>
  <c r="S168" i="1"/>
  <c r="S109" i="1" s="1"/>
  <c r="H207" i="1"/>
  <c r="H248" i="1"/>
  <c r="H129" i="1"/>
  <c r="H55" i="1" s="1"/>
  <c r="H175" i="1"/>
  <c r="H54" i="1"/>
  <c r="I54" i="1"/>
  <c r="I175" i="1"/>
  <c r="I207" i="1"/>
  <c r="I33" i="1"/>
  <c r="I138" i="1"/>
  <c r="P54" i="1"/>
  <c r="P175" i="1"/>
  <c r="P248" i="1"/>
  <c r="P129" i="1"/>
  <c r="P55" i="1" s="1"/>
  <c r="V157" i="1"/>
  <c r="V185" i="1"/>
  <c r="T206" i="1"/>
  <c r="U206" i="1"/>
  <c r="T168" i="1"/>
  <c r="T109" i="1" s="1"/>
  <c r="K129" i="1"/>
  <c r="K55" i="1" s="1"/>
  <c r="K207" i="1"/>
  <c r="F157" i="1"/>
  <c r="G196" i="1"/>
  <c r="F182" i="1"/>
  <c r="V197" i="1"/>
  <c r="U185" i="1"/>
  <c r="U184" i="1" s="1"/>
  <c r="G37" i="1"/>
  <c r="G129" i="1"/>
  <c r="G55" i="1" s="1"/>
  <c r="G168" i="1"/>
  <c r="G109" i="1" s="1"/>
  <c r="Q248" i="1"/>
  <c r="R209" i="1"/>
  <c r="Q168" i="1"/>
  <c r="Q109" i="1" s="1"/>
  <c r="C138" i="1"/>
  <c r="C33" i="1"/>
  <c r="F168" i="1"/>
  <c r="F109" i="1" s="1"/>
  <c r="F37" i="1"/>
  <c r="L138" i="1"/>
  <c r="L33" i="1"/>
  <c r="T54" i="1"/>
  <c r="T175" i="1"/>
  <c r="T207" i="1"/>
  <c r="T205" i="1" s="1"/>
  <c r="T248" i="1"/>
  <c r="K196" i="1"/>
  <c r="J182" i="1"/>
  <c r="J181" i="1" s="1"/>
  <c r="D168" i="1"/>
  <c r="D109" i="1" s="1"/>
  <c r="D129" i="1"/>
  <c r="D55" i="1" s="1"/>
  <c r="D249" i="1"/>
  <c r="D251" i="1" s="1"/>
  <c r="S185" i="1"/>
  <c r="S197" i="1"/>
  <c r="D197" i="1"/>
  <c r="C197" i="1"/>
  <c r="S138" i="1"/>
  <c r="S33" i="1"/>
  <c r="P197" i="1"/>
  <c r="O185" i="1"/>
  <c r="O184" i="1" s="1"/>
  <c r="O197" i="1"/>
  <c r="BU11" i="1"/>
  <c r="BU27" i="1"/>
  <c r="BU16" i="1"/>
  <c r="BY11" i="1"/>
  <c r="BU188" i="1"/>
  <c r="BU225" i="1"/>
  <c r="J197" i="1"/>
  <c r="I185" i="1"/>
  <c r="I197" i="1"/>
  <c r="J209" i="1"/>
  <c r="I248" i="1"/>
  <c r="BV181" i="1"/>
  <c r="BW209" i="1"/>
  <c r="BV248" i="1"/>
  <c r="BV16" i="1"/>
  <c r="BV12" i="1"/>
  <c r="BV27" i="1"/>
  <c r="BV11" i="1"/>
  <c r="BV188" i="1"/>
  <c r="BS102" i="1"/>
  <c r="BS103" i="1"/>
  <c r="BS104" i="1"/>
  <c r="AX104" i="1"/>
  <c r="AX103" i="1"/>
  <c r="AX102" i="1"/>
  <c r="BG102" i="1"/>
  <c r="BG104" i="1"/>
  <c r="BG103" i="1"/>
  <c r="BO102" i="1"/>
  <c r="BO103" i="1"/>
  <c r="BO104" i="1"/>
  <c r="BX206" i="1"/>
  <c r="BX249" i="1"/>
  <c r="BJ249" i="1"/>
  <c r="BJ206" i="1"/>
  <c r="BI249" i="1"/>
  <c r="BF103" i="1"/>
  <c r="BF102" i="1"/>
  <c r="BN103" i="1"/>
  <c r="BN104" i="1"/>
  <c r="BN102" i="1"/>
  <c r="BC102" i="1"/>
  <c r="BC103" i="1"/>
  <c r="BC104" i="1"/>
  <c r="AU103" i="1"/>
  <c r="AU102" i="1"/>
  <c r="BJ102" i="1"/>
  <c r="BJ103" i="1"/>
  <c r="BJ104" i="1"/>
  <c r="BW103" i="1"/>
  <c r="BW104" i="1"/>
  <c r="BW102" i="1"/>
  <c r="AR138" i="1"/>
  <c r="AS33" i="1"/>
  <c r="AS134" i="1"/>
  <c r="BR104" i="1"/>
  <c r="BR103" i="1"/>
  <c r="P196" i="1"/>
  <c r="BD27" i="1"/>
  <c r="BH184" i="1"/>
  <c r="BH181" i="1"/>
  <c r="AR225" i="1"/>
  <c r="AL244" i="1"/>
  <c r="AJ12" i="1"/>
  <c r="AM11" i="1"/>
  <c r="AL225" i="1"/>
  <c r="AI16" i="1"/>
  <c r="N58" i="1"/>
  <c r="AZ188" i="1"/>
  <c r="Q58" i="1"/>
  <c r="AU188" i="1"/>
  <c r="AV188" i="1"/>
  <c r="AX225" i="1"/>
  <c r="AU16" i="1"/>
  <c r="AY11" i="1"/>
  <c r="BP27" i="1"/>
  <c r="BP11" i="1"/>
  <c r="BS225" i="1"/>
  <c r="BP188" i="1"/>
  <c r="BP16" i="1"/>
  <c r="AQ16" i="1"/>
  <c r="AU11" i="1"/>
  <c r="AS225" i="1"/>
  <c r="AT225" i="1"/>
  <c r="P58" i="1"/>
  <c r="AR104" i="1"/>
  <c r="AR102" i="1"/>
  <c r="AR103" i="1"/>
  <c r="W58" i="1"/>
  <c r="BS188" i="1"/>
  <c r="BT12" i="1"/>
  <c r="BS16" i="1"/>
  <c r="BW11" i="1"/>
  <c r="BV225" i="1"/>
  <c r="BA16" i="1"/>
  <c r="BB12" i="1"/>
  <c r="R58" i="1"/>
  <c r="BF188" i="1"/>
  <c r="BE11" i="1"/>
  <c r="BB188" i="1"/>
  <c r="BA225" i="1"/>
  <c r="AL104" i="1"/>
  <c r="AL103" i="1"/>
  <c r="AL102" i="1"/>
  <c r="X58" i="1"/>
  <c r="CB188" i="1"/>
  <c r="CA188" i="1"/>
  <c r="BX188" i="1"/>
  <c r="BZ104" i="1"/>
  <c r="BZ102" i="1"/>
  <c r="BZ103" i="1"/>
  <c r="BY104" i="1"/>
  <c r="BY102" i="1"/>
  <c r="BY103" i="1"/>
  <c r="BU12" i="1"/>
  <c r="BT16" i="1"/>
  <c r="BW225" i="1"/>
  <c r="BT27" i="1"/>
  <c r="BX11" i="1"/>
  <c r="AX188" i="1"/>
  <c r="AV225" i="1"/>
  <c r="AS27" i="1"/>
  <c r="AS188" i="1"/>
  <c r="AW188" i="1"/>
  <c r="AV102" i="1"/>
  <c r="AV104" i="1"/>
  <c r="AV103" i="1"/>
  <c r="H206" i="1"/>
  <c r="H249" i="1"/>
  <c r="H251" i="1" s="1"/>
  <c r="R196" i="1"/>
  <c r="R157" i="1"/>
  <c r="P182" i="1"/>
  <c r="Q196" i="1"/>
  <c r="AW104" i="1"/>
  <c r="AW103" i="1"/>
  <c r="BC16" i="1"/>
  <c r="BC188" i="1"/>
  <c r="BC12" i="1"/>
  <c r="BE225" i="1"/>
  <c r="T138" i="1"/>
  <c r="T33" i="1"/>
  <c r="BM12" i="1"/>
  <c r="BP225" i="1"/>
  <c r="BN12" i="1"/>
  <c r="BM188" i="1"/>
  <c r="BR188" i="1"/>
  <c r="U58" i="1"/>
  <c r="M185" i="1"/>
  <c r="N197" i="1"/>
  <c r="M157" i="1"/>
  <c r="Q175" i="1"/>
  <c r="D175" i="1"/>
  <c r="D207" i="1"/>
  <c r="BE12" i="1"/>
  <c r="BE188" i="1"/>
  <c r="AO16" i="1"/>
  <c r="AO27" i="1"/>
  <c r="BI103" i="1"/>
  <c r="BI104" i="1"/>
  <c r="AT103" i="1"/>
  <c r="AT104" i="1"/>
  <c r="AT102" i="1"/>
  <c r="AV11" i="1"/>
  <c r="AU225" i="1"/>
  <c r="AR12" i="1"/>
  <c r="AR188" i="1"/>
  <c r="M33" i="1"/>
  <c r="M138" i="1"/>
  <c r="L209" i="1"/>
  <c r="K248" i="1"/>
  <c r="K168" i="1"/>
  <c r="K109" i="1" s="1"/>
  <c r="BE104" i="1"/>
  <c r="BE103" i="1"/>
  <c r="BE102" i="1"/>
  <c r="E138" i="1"/>
  <c r="E33" i="1"/>
  <c r="BI27" i="1"/>
  <c r="BJ12" i="1"/>
  <c r="BL244" i="1"/>
  <c r="BI11" i="1"/>
  <c r="BL225" i="1"/>
  <c r="BJ188" i="1"/>
  <c r="BI188" i="1"/>
  <c r="BD102" i="1"/>
  <c r="BD103" i="1"/>
  <c r="BD104" i="1"/>
  <c r="BV104" i="1"/>
  <c r="BV103" i="1"/>
  <c r="BV102" i="1"/>
  <c r="BB103" i="1"/>
  <c r="BB104" i="1"/>
  <c r="BB102" i="1"/>
  <c r="BH225" i="1"/>
  <c r="T58" i="1"/>
  <c r="BG12" i="1"/>
  <c r="BH12" i="1"/>
  <c r="BI225" i="1"/>
  <c r="BG27" i="1"/>
  <c r="BJ225" i="1"/>
  <c r="BJ244" i="1"/>
  <c r="BG16" i="1"/>
  <c r="BK188" i="1"/>
  <c r="BK225" i="1"/>
  <c r="BL188" i="1"/>
  <c r="BL11" i="1"/>
  <c r="BH16" i="1"/>
  <c r="AW28" i="1"/>
  <c r="AW17" i="1"/>
  <c r="AS104" i="1"/>
  <c r="AS102" i="1"/>
  <c r="BX104" i="1"/>
  <c r="BX103" i="1"/>
  <c r="BX102" i="1"/>
  <c r="BY188" i="1"/>
  <c r="BX244" i="1"/>
  <c r="BZ188" i="1"/>
  <c r="BX225" i="1"/>
  <c r="AN225" i="1"/>
  <c r="AR11" i="1"/>
  <c r="AN27" i="1"/>
  <c r="AO12" i="1"/>
  <c r="AN11" i="1"/>
  <c r="AN16" i="1"/>
  <c r="AN188" i="1"/>
  <c r="AN12" i="1"/>
  <c r="C207" i="1"/>
  <c r="C248" i="1"/>
  <c r="BO188" i="1"/>
  <c r="BO12" i="1"/>
  <c r="BQ225" i="1"/>
  <c r="AO102" i="1"/>
  <c r="AO104" i="1"/>
  <c r="AO103" i="1"/>
  <c r="AR181" i="1"/>
  <c r="BL103" i="1"/>
  <c r="BF104" i="1"/>
  <c r="BL102" i="1"/>
  <c r="BV186" i="1"/>
  <c r="BZ189" i="1" s="1"/>
  <c r="BH188" i="1"/>
  <c r="AT188" i="1"/>
  <c r="AP225" i="1"/>
  <c r="L197" i="1"/>
  <c r="I157" i="1"/>
  <c r="BU102" i="1"/>
  <c r="O182" i="1"/>
  <c r="O181" i="1" s="1"/>
  <c r="T185" i="1"/>
  <c r="T184" i="1" s="1"/>
  <c r="F206" i="1"/>
  <c r="F205" i="1" s="1"/>
  <c r="BK102" i="1"/>
  <c r="D206" i="1"/>
  <c r="AU104" i="1"/>
  <c r="M197" i="1"/>
  <c r="H196" i="1"/>
  <c r="H198" i="1" s="1"/>
  <c r="H199" i="1" s="1"/>
  <c r="C185" i="1"/>
  <c r="O196" i="1"/>
  <c r="L207" i="1"/>
  <c r="G206" i="1"/>
  <c r="G205" i="1" s="1"/>
  <c r="U249" i="1"/>
  <c r="U251" i="1" s="1"/>
  <c r="P138" i="1"/>
  <c r="U197" i="1"/>
  <c r="U198" i="1" s="1"/>
  <c r="U199" i="1" s="1"/>
  <c r="AO188" i="1"/>
  <c r="AO11" i="1"/>
  <c r="BI16" i="1"/>
  <c r="BA27" i="1"/>
  <c r="AW102" i="1"/>
  <c r="BI12" i="1"/>
  <c r="BI206" i="1"/>
  <c r="BQ188" i="1"/>
  <c r="BP104" i="1"/>
  <c r="G157" i="1"/>
  <c r="G165" i="1" s="1"/>
  <c r="V175" i="1"/>
  <c r="P207" i="1"/>
  <c r="T157" i="1"/>
  <c r="S196" i="1"/>
  <c r="K54" i="1"/>
  <c r="T249" i="1"/>
  <c r="T251" i="1" s="1"/>
  <c r="O54" i="1"/>
  <c r="D37" i="1"/>
  <c r="BV157" i="1"/>
  <c r="BV165" i="1" s="1"/>
  <c r="AQ225" i="1"/>
  <c r="AP104" i="1"/>
  <c r="BA102" i="1"/>
  <c r="S58" i="1"/>
  <c r="BF225" i="1"/>
  <c r="BD16" i="1"/>
  <c r="BP103" i="1"/>
  <c r="BM11" i="1"/>
  <c r="V129" i="1"/>
  <c r="T182" i="1"/>
  <c r="R182" i="1"/>
  <c r="R181" i="1" s="1"/>
  <c r="V248" i="1"/>
  <c r="Q54" i="1"/>
  <c r="I196" i="1"/>
  <c r="T129" i="1"/>
  <c r="T55" i="1" s="1"/>
  <c r="O175" i="1"/>
  <c r="J196" i="1"/>
  <c r="BU103" i="1"/>
  <c r="AS11" i="1"/>
  <c r="BK103" i="1"/>
  <c r="G249" i="1"/>
  <c r="G251" i="1" s="1"/>
  <c r="AO225" i="1"/>
  <c r="BN188" i="1"/>
  <c r="BD188" i="1"/>
  <c r="BA103" i="1"/>
  <c r="BG11" i="1"/>
  <c r="AP188" i="1"/>
  <c r="BD225" i="1"/>
  <c r="AP12" i="1"/>
  <c r="BT102" i="1"/>
  <c r="BH11" i="1"/>
  <c r="BC27" i="1"/>
  <c r="BM225" i="1"/>
  <c r="V54" i="1"/>
  <c r="P157" i="1"/>
  <c r="V207" i="1"/>
  <c r="T37" i="1"/>
  <c r="O248" i="1"/>
  <c r="BG225" i="1"/>
  <c r="BQ11" i="1"/>
  <c r="F129" i="1"/>
  <c r="F55" i="1" s="1"/>
  <c r="L157" i="1"/>
  <c r="BG188" i="1"/>
  <c r="BD12" i="1"/>
  <c r="BN225" i="1"/>
  <c r="AS103" i="1"/>
  <c r="BO225" i="1"/>
  <c r="BC11" i="1"/>
  <c r="BT103" i="1"/>
  <c r="BI102" i="1"/>
  <c r="BC225" i="1"/>
  <c r="BH248" i="1"/>
  <c r="BH168" i="1"/>
  <c r="E129" i="1"/>
  <c r="E55" i="1" s="1"/>
  <c r="C157" i="1"/>
  <c r="E206" i="1"/>
  <c r="BW249" i="1"/>
  <c r="BW206" i="1"/>
  <c r="F249" i="1"/>
  <c r="F251" i="1" s="1"/>
  <c r="E37" i="1"/>
  <c r="BV129" i="1"/>
  <c r="BH95" i="1"/>
  <c r="E168" i="1"/>
  <c r="E109" i="1" s="1"/>
  <c r="O157" i="1"/>
  <c r="BH94" i="1"/>
  <c r="L54" i="1"/>
  <c r="L175" i="1"/>
  <c r="N54" i="1"/>
  <c r="N175" i="1"/>
  <c r="R138" i="1"/>
  <c r="R33" i="1"/>
  <c r="BH157" i="1"/>
  <c r="BR102" i="1"/>
  <c r="AP103" i="1"/>
  <c r="BT188" i="1"/>
  <c r="V58" i="1"/>
  <c r="T196" i="1"/>
  <c r="T198" i="1" s="1"/>
  <c r="T199" i="1" s="1"/>
  <c r="BQ103" i="1"/>
  <c r="BS11" i="1"/>
  <c r="BO16" i="1"/>
  <c r="N248" i="1"/>
  <c r="BR225" i="1"/>
  <c r="BO27" i="1"/>
  <c r="S157" i="1"/>
  <c r="BH186" i="1"/>
  <c r="BL189" i="1" s="1"/>
  <c r="BQ104" i="1"/>
  <c r="AQ103" i="1"/>
  <c r="BP12" i="1"/>
  <c r="M207" i="1"/>
  <c r="O207" i="1"/>
  <c r="BO11" i="1"/>
  <c r="L129" i="1"/>
  <c r="L55" i="1" s="1"/>
  <c r="N207" i="1"/>
  <c r="C175" i="1"/>
  <c r="C54" i="1"/>
  <c r="AQ102" i="1"/>
  <c r="L248" i="1"/>
  <c r="I168" i="1"/>
  <c r="I109" i="1" s="1"/>
  <c r="S181" i="1"/>
  <c r="AX202" i="1"/>
  <c r="AW202" i="1"/>
  <c r="BV202" i="1"/>
  <c r="BU202" i="1"/>
  <c r="L181" i="1"/>
  <c r="L186" i="1"/>
  <c r="AR202" i="1"/>
  <c r="AQ202" i="1"/>
  <c r="BB168" i="1"/>
  <c r="BS33" i="1"/>
  <c r="BS134" i="1"/>
  <c r="BR138" i="1"/>
  <c r="AQ249" i="1"/>
  <c r="AN92" i="1"/>
  <c r="AN95" i="1" s="1"/>
  <c r="AN248" i="1"/>
  <c r="AR206" i="1"/>
  <c r="AR249" i="1"/>
  <c r="AO134" i="1"/>
  <c r="AO33" i="1"/>
  <c r="AN138" i="1"/>
  <c r="BC33" i="1"/>
  <c r="BB138" i="1"/>
  <c r="BC134" i="1"/>
  <c r="BT129" i="1"/>
  <c r="K184" i="1"/>
  <c r="BN129" i="1"/>
  <c r="BC206" i="1"/>
  <c r="BC249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BN92" i="1"/>
  <c r="BP249" i="1"/>
  <c r="BP206" i="1"/>
  <c r="BP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BT202" i="1"/>
  <c r="BS202" i="1"/>
  <c r="BV249" i="1"/>
  <c r="BU249" i="1"/>
  <c r="BU206" i="1"/>
  <c r="BV206" i="1"/>
  <c r="BT168" i="1"/>
  <c r="AP202" i="1"/>
  <c r="AO202" i="1"/>
  <c r="AZ168" i="1"/>
  <c r="AZ249" i="1"/>
  <c r="AZ129" i="1"/>
  <c r="AZ206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B206" i="1"/>
  <c r="BA249" i="1"/>
  <c r="BB249" i="1"/>
  <c r="BA206" i="1"/>
  <c r="AU206" i="1"/>
  <c r="AU249" i="1"/>
  <c r="AY206" i="1"/>
  <c r="AY249" i="1"/>
  <c r="AQ209" i="1"/>
  <c r="AP248" i="1"/>
  <c r="AZ92" i="1"/>
  <c r="AZ248" i="1"/>
  <c r="BS209" i="1"/>
  <c r="BR248" i="1"/>
  <c r="BT92" i="1"/>
  <c r="BT248" i="1"/>
  <c r="AP168" i="1"/>
  <c r="AP129" i="1"/>
  <c r="AP95" i="1"/>
  <c r="AP94" i="1"/>
  <c r="AP96" i="1"/>
  <c r="AP185" i="1"/>
  <c r="AP157" i="1"/>
  <c r="BF92" i="1"/>
  <c r="BF248" i="1"/>
  <c r="BQ249" i="1"/>
  <c r="BQ206" i="1"/>
  <c r="BB182" i="1"/>
  <c r="BB157" i="1"/>
  <c r="BD182" i="1"/>
  <c r="AX182" i="1"/>
  <c r="AX157" i="1"/>
  <c r="BF182" i="1"/>
  <c r="BT182" i="1"/>
  <c r="BR182" i="1"/>
  <c r="BR186" i="1" s="1"/>
  <c r="BR157" i="1"/>
  <c r="BN182" i="1"/>
  <c r="AZ182" i="1"/>
  <c r="BL19" i="1"/>
  <c r="BK17" i="1"/>
  <c r="BK28" i="1"/>
  <c r="BK19" i="1"/>
  <c r="AY28" i="1"/>
  <c r="AY17" i="1"/>
  <c r="AZ19" i="1"/>
  <c r="AT18" i="1"/>
  <c r="AP28" i="1"/>
  <c r="AP18" i="1"/>
  <c r="AP17" i="1"/>
  <c r="BQ17" i="1"/>
  <c r="AS17" i="1"/>
  <c r="AS28" i="1"/>
  <c r="AT19" i="1"/>
  <c r="AW18" i="1"/>
  <c r="BE28" i="1"/>
  <c r="BE17" i="1"/>
  <c r="AT34" i="1"/>
  <c r="AT38" i="1" s="1"/>
  <c r="AT29" i="1"/>
  <c r="AT232" i="1"/>
  <c r="AT233" i="1" s="1"/>
  <c r="BR28" i="1"/>
  <c r="BR19" i="1"/>
  <c r="BR17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V28" i="1"/>
  <c r="AV17" i="1"/>
  <c r="AW19" i="1"/>
  <c r="AZ18" i="1"/>
  <c r="BW17" i="1"/>
  <c r="X59" i="1"/>
  <c r="CA18" i="1"/>
  <c r="BX19" i="1"/>
  <c r="BW28" i="1"/>
  <c r="BW138" i="1"/>
  <c r="BX33" i="1"/>
  <c r="AY19" i="1"/>
  <c r="BV244" i="1"/>
  <c r="BV246" i="1"/>
  <c r="BR96" i="1"/>
  <c r="BR94" i="1"/>
  <c r="BR95" i="1"/>
  <c r="BH246" i="1"/>
  <c r="BH244" i="1"/>
  <c r="BJ33" i="1"/>
  <c r="BI138" i="1"/>
  <c r="BJ203" i="1" s="1"/>
  <c r="BJ201" i="1" s="1"/>
  <c r="BB17" i="1"/>
  <c r="BB28" i="1"/>
  <c r="BF18" i="1"/>
  <c r="BJ41" i="1"/>
  <c r="BJ40" i="1"/>
  <c r="CR194" i="1"/>
  <c r="CR132" i="1"/>
  <c r="CQ203" i="1"/>
  <c r="CQ201" i="1" s="1"/>
  <c r="AB206" i="1"/>
  <c r="DB63" i="1"/>
  <c r="DB65" i="1" s="1"/>
  <c r="DA65" i="1"/>
  <c r="H205" i="1" l="1"/>
  <c r="G166" i="1"/>
  <c r="P205" i="1"/>
  <c r="S198" i="1"/>
  <c r="S199" i="1" s="1"/>
  <c r="I198" i="1"/>
  <c r="I199" i="1" s="1"/>
  <c r="K198" i="1"/>
  <c r="K199" i="1" s="1"/>
  <c r="E198" i="1"/>
  <c r="E199" i="1" s="1"/>
  <c r="BF184" i="1"/>
  <c r="AZ184" i="1"/>
  <c r="F244" i="1"/>
  <c r="L198" i="1"/>
  <c r="L199" i="1" s="1"/>
  <c r="F246" i="1"/>
  <c r="D110" i="1"/>
  <c r="D113" i="1" s="1"/>
  <c r="AZ17" i="1"/>
  <c r="AZ28" i="1"/>
  <c r="E205" i="1"/>
  <c r="B69" i="1"/>
  <c r="B68" i="1"/>
  <c r="D111" i="1"/>
  <c r="D114" i="1" s="1"/>
  <c r="R205" i="1"/>
  <c r="D165" i="1"/>
  <c r="J205" i="1"/>
  <c r="G244" i="1"/>
  <c r="G246" i="1"/>
  <c r="H203" i="1"/>
  <c r="H201" i="1" s="1"/>
  <c r="B110" i="1"/>
  <c r="B113" i="1" s="1"/>
  <c r="B111" i="1"/>
  <c r="B114" i="1" s="1"/>
  <c r="Q205" i="1"/>
  <c r="AM86" i="1"/>
  <c r="AM87" i="1"/>
  <c r="BQ34" i="1"/>
  <c r="BQ38" i="1" s="1"/>
  <c r="BQ232" i="1"/>
  <c r="BQ233" i="1" s="1"/>
  <c r="AR17" i="1"/>
  <c r="BM17" i="1"/>
  <c r="BQ18" i="1"/>
  <c r="BM19" i="1"/>
  <c r="BF19" i="1"/>
  <c r="BW37" i="1"/>
  <c r="AM85" i="1"/>
  <c r="BQ29" i="1"/>
  <c r="AS19" i="1"/>
  <c r="BM28" i="1"/>
  <c r="BF17" i="1"/>
  <c r="BJ18" i="1"/>
  <c r="BV109" i="1"/>
  <c r="AV18" i="1"/>
  <c r="BP181" i="1"/>
  <c r="BD184" i="1"/>
  <c r="BH206" i="1"/>
  <c r="BR249" i="1"/>
  <c r="AV168" i="1"/>
  <c r="AV249" i="1"/>
  <c r="AN246" i="1"/>
  <c r="AV206" i="1"/>
  <c r="BN168" i="1"/>
  <c r="AY134" i="1"/>
  <c r="AX138" i="1"/>
  <c r="AY33" i="1"/>
  <c r="AR185" i="1"/>
  <c r="AR157" i="1"/>
  <c r="BN248" i="1"/>
  <c r="BF206" i="1"/>
  <c r="BF168" i="1"/>
  <c r="BR129" i="1"/>
  <c r="BS249" i="1"/>
  <c r="BS206" i="1"/>
  <c r="BR168" i="1"/>
  <c r="AW249" i="1"/>
  <c r="AW206" i="1"/>
  <c r="AN182" i="1"/>
  <c r="AN157" i="1"/>
  <c r="BT249" i="1"/>
  <c r="BT206" i="1"/>
  <c r="AN184" i="1"/>
  <c r="BG249" i="1"/>
  <c r="BH249" i="1"/>
  <c r="BP186" i="1"/>
  <c r="BP189" i="1" s="1"/>
  <c r="BR206" i="1"/>
  <c r="BF249" i="1"/>
  <c r="BF129" i="1"/>
  <c r="BP96" i="1"/>
  <c r="AV129" i="1"/>
  <c r="BP248" i="1"/>
  <c r="BP129" i="1"/>
  <c r="BP157" i="1"/>
  <c r="BG206" i="1"/>
  <c r="BP95" i="1"/>
  <c r="AV182" i="1"/>
  <c r="AV186" i="1" s="1"/>
  <c r="AV157" i="1"/>
  <c r="BD157" i="1"/>
  <c r="BF157" i="1"/>
  <c r="BT157" i="1"/>
  <c r="BN157" i="1"/>
  <c r="AZ157" i="1"/>
  <c r="AM54" i="1"/>
  <c r="AM207" i="1"/>
  <c r="AM205" i="1" s="1"/>
  <c r="AM55" i="1"/>
  <c r="AM92" i="1"/>
  <c r="BN184" i="1"/>
  <c r="BF28" i="1"/>
  <c r="AR28" i="1"/>
  <c r="O59" i="1"/>
  <c r="S205" i="1"/>
  <c r="L246" i="1"/>
  <c r="L244" i="1"/>
  <c r="K205" i="1"/>
  <c r="L203" i="1"/>
  <c r="L201" i="1" s="1"/>
  <c r="O203" i="1"/>
  <c r="O201" i="1" s="1"/>
  <c r="V165" i="1"/>
  <c r="U205" i="1"/>
  <c r="G198" i="1"/>
  <c r="G199" i="1" s="1"/>
  <c r="BT18" i="1"/>
  <c r="N198" i="1"/>
  <c r="N199" i="1" s="1"/>
  <c r="N203" i="1"/>
  <c r="N201" i="1" s="1"/>
  <c r="BA18" i="1"/>
  <c r="T203" i="1"/>
  <c r="T201" i="1" s="1"/>
  <c r="S246" i="1"/>
  <c r="S244" i="1"/>
  <c r="M198" i="1"/>
  <c r="M199" i="1" s="1"/>
  <c r="L205" i="1"/>
  <c r="P198" i="1"/>
  <c r="P199" i="1" s="1"/>
  <c r="V205" i="1"/>
  <c r="L165" i="1"/>
  <c r="L166" i="1" s="1"/>
  <c r="F165" i="1"/>
  <c r="F166" i="1" s="1"/>
  <c r="I205" i="1"/>
  <c r="O165" i="1"/>
  <c r="O166" i="1" s="1"/>
  <c r="C205" i="1"/>
  <c r="D198" i="1"/>
  <c r="D199" i="1" s="1"/>
  <c r="C165" i="1"/>
  <c r="C244" i="1" s="1"/>
  <c r="R203" i="1"/>
  <c r="R201" i="1" s="1"/>
  <c r="BH165" i="1"/>
  <c r="BH166" i="1" s="1"/>
  <c r="J198" i="1"/>
  <c r="J199" i="1" s="1"/>
  <c r="S165" i="1"/>
  <c r="S166" i="1" s="1"/>
  <c r="M205" i="1"/>
  <c r="O205" i="1"/>
  <c r="H166" i="1"/>
  <c r="J165" i="1"/>
  <c r="J166" i="1" s="1"/>
  <c r="B165" i="1"/>
  <c r="N165" i="1"/>
  <c r="N166" i="1" s="1"/>
  <c r="F198" i="1"/>
  <c r="F199" i="1" s="1"/>
  <c r="U165" i="1"/>
  <c r="U166" i="1" s="1"/>
  <c r="N246" i="1"/>
  <c r="N244" i="1"/>
  <c r="J246" i="1"/>
  <c r="J244" i="1"/>
  <c r="U244" i="1"/>
  <c r="U246" i="1"/>
  <c r="C68" i="1"/>
  <c r="C69" i="1"/>
  <c r="W203" i="1"/>
  <c r="W201" i="1" s="1"/>
  <c r="K203" i="1"/>
  <c r="K201" i="1" s="1"/>
  <c r="I165" i="1"/>
  <c r="I166" i="1" s="1"/>
  <c r="Q198" i="1"/>
  <c r="Q199" i="1" s="1"/>
  <c r="V198" i="1"/>
  <c r="V199" i="1" s="1"/>
  <c r="G203" i="1"/>
  <c r="G201" i="1" s="1"/>
  <c r="I203" i="1"/>
  <c r="I201" i="1" s="1"/>
  <c r="I244" i="1"/>
  <c r="I246" i="1"/>
  <c r="J203" i="1"/>
  <c r="J201" i="1" s="1"/>
  <c r="C110" i="1"/>
  <c r="C113" i="1" s="1"/>
  <c r="C111" i="1"/>
  <c r="C114" i="1" s="1"/>
  <c r="K165" i="1"/>
  <c r="K166" i="1" s="1"/>
  <c r="C198" i="1"/>
  <c r="C199" i="1" s="1"/>
  <c r="H181" i="1"/>
  <c r="H186" i="1"/>
  <c r="D184" i="1"/>
  <c r="D186" i="1"/>
  <c r="Q165" i="1"/>
  <c r="Q166" i="1" s="1"/>
  <c r="R198" i="1"/>
  <c r="R199" i="1" s="1"/>
  <c r="D69" i="1"/>
  <c r="D68" i="1"/>
  <c r="B186" i="1"/>
  <c r="B181" i="1"/>
  <c r="J184" i="1"/>
  <c r="J186" i="1"/>
  <c r="K244" i="1"/>
  <c r="K246" i="1"/>
  <c r="V203" i="1"/>
  <c r="V201" i="1" s="1"/>
  <c r="V244" i="1"/>
  <c r="V246" i="1"/>
  <c r="Q186" i="1"/>
  <c r="Q184" i="1"/>
  <c r="K186" i="1"/>
  <c r="N186" i="1"/>
  <c r="N181" i="1"/>
  <c r="G186" i="1"/>
  <c r="G184" i="1"/>
  <c r="R184" i="1"/>
  <c r="BV96" i="1"/>
  <c r="BV94" i="1"/>
  <c r="BV95" i="1"/>
  <c r="D205" i="1"/>
  <c r="O198" i="1"/>
  <c r="O199" i="1" s="1"/>
  <c r="T165" i="1"/>
  <c r="T166" i="1" s="1"/>
  <c r="BV166" i="1"/>
  <c r="N205" i="1"/>
  <c r="O244" i="1"/>
  <c r="O246" i="1"/>
  <c r="Q246" i="1"/>
  <c r="Q244" i="1"/>
  <c r="U181" i="1"/>
  <c r="U186" i="1"/>
  <c r="E184" i="1"/>
  <c r="E186" i="1"/>
  <c r="V184" i="1"/>
  <c r="V186" i="1"/>
  <c r="V189" i="1" s="1"/>
  <c r="V190" i="1" s="1"/>
  <c r="F181" i="1"/>
  <c r="F186" i="1"/>
  <c r="C203" i="1"/>
  <c r="C201" i="1" s="1"/>
  <c r="D203" i="1"/>
  <c r="D201" i="1" s="1"/>
  <c r="D213" i="1" s="1"/>
  <c r="S184" i="1"/>
  <c r="S186" i="1"/>
  <c r="BU17" i="1"/>
  <c r="BU28" i="1"/>
  <c r="BY18" i="1"/>
  <c r="BV19" i="1"/>
  <c r="BU18" i="1"/>
  <c r="I184" i="1"/>
  <c r="I186" i="1"/>
  <c r="BW19" i="1"/>
  <c r="BV18" i="1"/>
  <c r="BZ18" i="1"/>
  <c r="BV28" i="1"/>
  <c r="BV17" i="1"/>
  <c r="AR244" i="1"/>
  <c r="AR246" i="1"/>
  <c r="AM18" i="1"/>
  <c r="AJ19" i="1"/>
  <c r="AI17" i="1"/>
  <c r="AI28" i="1"/>
  <c r="N59" i="1"/>
  <c r="Q59" i="1"/>
  <c r="AU17" i="1"/>
  <c r="AU19" i="1"/>
  <c r="AY18" i="1"/>
  <c r="AV19" i="1"/>
  <c r="AU28" i="1"/>
  <c r="AQ19" i="1"/>
  <c r="AQ18" i="1"/>
  <c r="AQ17" i="1"/>
  <c r="AR19" i="1"/>
  <c r="AU18" i="1"/>
  <c r="AQ28" i="1"/>
  <c r="P59" i="1"/>
  <c r="BS19" i="1"/>
  <c r="BW18" i="1"/>
  <c r="BS17" i="1"/>
  <c r="BS28" i="1"/>
  <c r="BB19" i="1"/>
  <c r="R59" i="1"/>
  <c r="BA28" i="1"/>
  <c r="BA19" i="1"/>
  <c r="BT19" i="1"/>
  <c r="BX18" i="1"/>
  <c r="BT28" i="1"/>
  <c r="BT17" i="1"/>
  <c r="BU19" i="1"/>
  <c r="P181" i="1"/>
  <c r="P186" i="1"/>
  <c r="Q189" i="1" s="1"/>
  <c r="Q190" i="1" s="1"/>
  <c r="BC19" i="1"/>
  <c r="BG18" i="1"/>
  <c r="BC17" i="1"/>
  <c r="BC28" i="1"/>
  <c r="BC18" i="1"/>
  <c r="T244" i="1"/>
  <c r="T246" i="1"/>
  <c r="U203" i="1"/>
  <c r="U201" i="1" s="1"/>
  <c r="AP19" i="1"/>
  <c r="AO18" i="1"/>
  <c r="AS18" i="1"/>
  <c r="AO28" i="1"/>
  <c r="AO17" i="1"/>
  <c r="AZ29" i="1"/>
  <c r="AZ232" i="1"/>
  <c r="AZ233" i="1" s="1"/>
  <c r="AZ34" i="1"/>
  <c r="AZ38" i="1" s="1"/>
  <c r="BG28" i="1"/>
  <c r="BH19" i="1"/>
  <c r="BK18" i="1"/>
  <c r="BG17" i="1"/>
  <c r="BG19" i="1"/>
  <c r="BO28" i="1"/>
  <c r="BO17" i="1"/>
  <c r="BO18" i="1"/>
  <c r="BO19" i="1"/>
  <c r="BS18" i="1"/>
  <c r="BP19" i="1"/>
  <c r="V59" i="1"/>
  <c r="P165" i="1"/>
  <c r="P166" i="1" s="1"/>
  <c r="M165" i="1"/>
  <c r="M166" i="1" s="1"/>
  <c r="AS138" i="1"/>
  <c r="AT33" i="1"/>
  <c r="E203" i="1"/>
  <c r="E201" i="1" s="1"/>
  <c r="E165" i="1"/>
  <c r="E244" i="1"/>
  <c r="E246" i="1"/>
  <c r="F203" i="1"/>
  <c r="F201" i="1" s="1"/>
  <c r="BE18" i="1"/>
  <c r="BA17" i="1"/>
  <c r="BQ19" i="1"/>
  <c r="BP17" i="1"/>
  <c r="BP28" i="1"/>
  <c r="BP18" i="1"/>
  <c r="M186" i="1"/>
  <c r="M184" i="1"/>
  <c r="M244" i="1"/>
  <c r="M203" i="1"/>
  <c r="M201" i="1" s="1"/>
  <c r="M246" i="1"/>
  <c r="BH17" i="1"/>
  <c r="BH28" i="1"/>
  <c r="BL18" i="1"/>
  <c r="AW34" i="1"/>
  <c r="AW38" i="1" s="1"/>
  <c r="AW29" i="1"/>
  <c r="AW232" i="1"/>
  <c r="AW233" i="1" s="1"/>
  <c r="AR18" i="1"/>
  <c r="AN17" i="1"/>
  <c r="AO19" i="1"/>
  <c r="AN28" i="1"/>
  <c r="AN19" i="1"/>
  <c r="AN18" i="1"/>
  <c r="C186" i="1"/>
  <c r="C184" i="1"/>
  <c r="P244" i="1"/>
  <c r="P203" i="1"/>
  <c r="P201" i="1" s="1"/>
  <c r="BI18" i="1"/>
  <c r="BI17" i="1"/>
  <c r="BM18" i="1"/>
  <c r="BI28" i="1"/>
  <c r="BJ19" i="1"/>
  <c r="T59" i="1"/>
  <c r="BI19" i="1"/>
  <c r="BE19" i="1"/>
  <c r="BD17" i="1"/>
  <c r="BD28" i="1"/>
  <c r="BD19" i="1"/>
  <c r="S59" i="1"/>
  <c r="BD18" i="1"/>
  <c r="BH18" i="1"/>
  <c r="V55" i="1"/>
  <c r="T181" i="1"/>
  <c r="T186" i="1"/>
  <c r="BI37" i="1"/>
  <c r="BH109" i="1"/>
  <c r="Q203" i="1"/>
  <c r="Q201" i="1" s="1"/>
  <c r="P246" i="1"/>
  <c r="BV189" i="1"/>
  <c r="R186" i="1"/>
  <c r="O186" i="1"/>
  <c r="E166" i="1"/>
  <c r="R246" i="1"/>
  <c r="R244" i="1"/>
  <c r="S203" i="1"/>
  <c r="S201" i="1" s="1"/>
  <c r="R165" i="1"/>
  <c r="R166" i="1" s="1"/>
  <c r="BS138" i="1"/>
  <c r="BT33" i="1"/>
  <c r="BR246" i="1"/>
  <c r="BR244" i="1"/>
  <c r="AP33" i="1"/>
  <c r="AO138" i="1"/>
  <c r="AN94" i="1"/>
  <c r="AN96" i="1"/>
  <c r="BR165" i="1"/>
  <c r="BB109" i="1"/>
  <c r="BC37" i="1"/>
  <c r="BN203" i="1"/>
  <c r="BN201" i="1" s="1"/>
  <c r="BN246" i="1"/>
  <c r="BN244" i="1"/>
  <c r="BN96" i="1"/>
  <c r="BN95" i="1"/>
  <c r="BN94" i="1"/>
  <c r="BP109" i="1"/>
  <c r="BQ37" i="1"/>
  <c r="BB165" i="1"/>
  <c r="BB166" i="1" s="1"/>
  <c r="BF246" i="1"/>
  <c r="BF244" i="1"/>
  <c r="AP246" i="1"/>
  <c r="AP244" i="1"/>
  <c r="BD33" i="1"/>
  <c r="BC138" i="1"/>
  <c r="AN244" i="1"/>
  <c r="AN203" i="1"/>
  <c r="AN201" i="1" s="1"/>
  <c r="BT246" i="1"/>
  <c r="BT244" i="1"/>
  <c r="AW138" i="1"/>
  <c r="AX33" i="1"/>
  <c r="BA138" i="1"/>
  <c r="BB33" i="1"/>
  <c r="AZ244" i="1"/>
  <c r="AZ246" i="1"/>
  <c r="BR33" i="1"/>
  <c r="BQ138" i="1"/>
  <c r="BB246" i="1"/>
  <c r="BB244" i="1"/>
  <c r="BG138" i="1"/>
  <c r="BH33" i="1"/>
  <c r="AV244" i="1"/>
  <c r="AV246" i="1"/>
  <c r="BE138" i="1"/>
  <c r="BF33" i="1"/>
  <c r="BD244" i="1"/>
  <c r="BD246" i="1"/>
  <c r="AU37" i="1"/>
  <c r="AT109" i="1"/>
  <c r="AP165" i="1"/>
  <c r="AP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1" i="1"/>
  <c r="AT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AS232" i="1"/>
  <c r="AS233" i="1" s="1"/>
  <c r="AS34" i="1"/>
  <c r="AS38" i="1" s="1"/>
  <c r="AW30" i="1"/>
  <c r="AT31" i="1"/>
  <c r="AS29" i="1"/>
  <c r="AT250" i="1"/>
  <c r="AT251" i="1" s="1"/>
  <c r="BE232" i="1"/>
  <c r="BE233" i="1" s="1"/>
  <c r="BE29" i="1"/>
  <c r="BE34" i="1"/>
  <c r="BE38" i="1" s="1"/>
  <c r="BR250" i="1"/>
  <c r="BR29" i="1"/>
  <c r="BR31" i="1"/>
  <c r="BR232" i="1"/>
  <c r="BR233" i="1" s="1"/>
  <c r="BR34" i="1"/>
  <c r="AY112" i="1"/>
  <c r="AY226" i="1"/>
  <c r="AY31" i="1"/>
  <c r="AY250" i="1"/>
  <c r="AY251" i="1" s="1"/>
  <c r="AZ112" i="1"/>
  <c r="BI203" i="1"/>
  <c r="BI201" i="1" s="1"/>
  <c r="AV34" i="1"/>
  <c r="AZ30" i="1"/>
  <c r="AV29" i="1"/>
  <c r="AV232" i="1"/>
  <c r="AV233" i="1" s="1"/>
  <c r="AW250" i="1"/>
  <c r="AW31" i="1"/>
  <c r="BN34" i="1"/>
  <c r="BR30" i="1"/>
  <c r="BN29" i="1"/>
  <c r="BN31" i="1"/>
  <c r="BN232" i="1"/>
  <c r="BN233" i="1" s="1"/>
  <c r="BN250" i="1"/>
  <c r="BN251" i="1" s="1"/>
  <c r="BN30" i="1"/>
  <c r="AX250" i="1"/>
  <c r="AX251" i="1" s="1"/>
  <c r="AX232" i="1"/>
  <c r="AX233" i="1" s="1"/>
  <c r="AX30" i="1"/>
  <c r="BB30" i="1"/>
  <c r="AZ226" i="1"/>
  <c r="AX34" i="1"/>
  <c r="AX31" i="1"/>
  <c r="AX29" i="1"/>
  <c r="BB34" i="1"/>
  <c r="BB232" i="1"/>
  <c r="BB233" i="1" s="1"/>
  <c r="BB29" i="1"/>
  <c r="BW232" i="1"/>
  <c r="BW233" i="1" s="1"/>
  <c r="BX31" i="1"/>
  <c r="X60" i="1"/>
  <c r="BW29" i="1"/>
  <c r="BZ112" i="1"/>
  <c r="BZ226" i="1"/>
  <c r="BW34" i="1"/>
  <c r="CA30" i="1"/>
  <c r="BX250" i="1"/>
  <c r="BX251" i="1" s="1"/>
  <c r="BJ234" i="1"/>
  <c r="BJ42" i="1"/>
  <c r="BJ245" i="1" s="1"/>
  <c r="BJ48" i="1"/>
  <c r="BQ40" i="1"/>
  <c r="BQ41" i="1"/>
  <c r="AT41" i="1"/>
  <c r="AT40" i="1"/>
  <c r="CR134" i="1"/>
  <c r="AE142" i="1"/>
  <c r="AC124" i="1"/>
  <c r="N210" i="1" l="1"/>
  <c r="N211" i="1" s="1"/>
  <c r="AS31" i="1"/>
  <c r="AR29" i="1"/>
  <c r="AR34" i="1"/>
  <c r="AR38" i="1" s="1"/>
  <c r="AR232" i="1"/>
  <c r="AR233" i="1" s="1"/>
  <c r="E189" i="1"/>
  <c r="E190" i="1" s="1"/>
  <c r="C166" i="1"/>
  <c r="B87" i="1"/>
  <c r="B85" i="1"/>
  <c r="B86" i="1"/>
  <c r="H210" i="1"/>
  <c r="H211" i="1" s="1"/>
  <c r="D244" i="1"/>
  <c r="D166" i="1"/>
  <c r="H213" i="1"/>
  <c r="E210" i="1"/>
  <c r="E211" i="1" s="1"/>
  <c r="E213" i="1"/>
  <c r="BM112" i="1"/>
  <c r="U60" i="1"/>
  <c r="BQ30" i="1"/>
  <c r="BM232" i="1"/>
  <c r="BM233" i="1" s="1"/>
  <c r="BF31" i="1"/>
  <c r="BV111" i="1"/>
  <c r="BN226" i="1"/>
  <c r="AW251" i="1"/>
  <c r="AV30" i="1"/>
  <c r="BM226" i="1"/>
  <c r="AS250" i="1"/>
  <c r="AS251" i="1" s="1"/>
  <c r="BF250" i="1"/>
  <c r="BF251" i="1" s="1"/>
  <c r="BM34" i="1"/>
  <c r="BM38" i="1" s="1"/>
  <c r="BM29" i="1"/>
  <c r="BM31" i="1"/>
  <c r="BM250" i="1"/>
  <c r="BM251" i="1" s="1"/>
  <c r="BV110" i="1"/>
  <c r="BR251" i="1"/>
  <c r="BN112" i="1"/>
  <c r="BF30" i="1"/>
  <c r="AR165" i="1"/>
  <c r="AR166" i="1" s="1"/>
  <c r="AW37" i="1"/>
  <c r="AV109" i="1"/>
  <c r="BR166" i="1"/>
  <c r="AN165" i="1"/>
  <c r="AN166" i="1" s="1"/>
  <c r="BP165" i="1"/>
  <c r="BP166" i="1" s="1"/>
  <c r="BN109" i="1"/>
  <c r="BO37" i="1"/>
  <c r="AZ33" i="1"/>
  <c r="AY138" i="1"/>
  <c r="BF165" i="1"/>
  <c r="BF166" i="1" s="1"/>
  <c r="BT165" i="1"/>
  <c r="BT166" i="1" s="1"/>
  <c r="BG37" i="1"/>
  <c r="BF109" i="1"/>
  <c r="BN165" i="1"/>
  <c r="BN166" i="1" s="1"/>
  <c r="AZ165" i="1"/>
  <c r="AZ166" i="1" s="1"/>
  <c r="BS37" i="1"/>
  <c r="BR109" i="1"/>
  <c r="AN181" i="1"/>
  <c r="AN186" i="1"/>
  <c r="AX246" i="1"/>
  <c r="AX244" i="1"/>
  <c r="BD165" i="1"/>
  <c r="BD166" i="1" s="1"/>
  <c r="AR186" i="1"/>
  <c r="AR184" i="1"/>
  <c r="AV165" i="1"/>
  <c r="AV166" i="1" s="1"/>
  <c r="AX165" i="1"/>
  <c r="AX166" i="1" s="1"/>
  <c r="AV181" i="1"/>
  <c r="AZ189" i="1"/>
  <c r="AM94" i="1"/>
  <c r="AM95" i="1"/>
  <c r="AM96" i="1"/>
  <c r="BF232" i="1"/>
  <c r="BF233" i="1" s="1"/>
  <c r="BF34" i="1"/>
  <c r="BF38" i="1" s="1"/>
  <c r="BF29" i="1"/>
  <c r="BJ30" i="1"/>
  <c r="L189" i="1"/>
  <c r="L190" i="1" s="1"/>
  <c r="K189" i="1"/>
  <c r="K190" i="1" s="1"/>
  <c r="H189" i="1"/>
  <c r="H190" i="1" s="1"/>
  <c r="BO29" i="1"/>
  <c r="BP31" i="1"/>
  <c r="BL30" i="1"/>
  <c r="BH34" i="1"/>
  <c r="BH38" i="1" s="1"/>
  <c r="BH232" i="1"/>
  <c r="BH233" i="1" s="1"/>
  <c r="BI250" i="1"/>
  <c r="BI251" i="1" s="1"/>
  <c r="BO226" i="1"/>
  <c r="BO112" i="1"/>
  <c r="AW41" i="1"/>
  <c r="M189" i="1"/>
  <c r="M190" i="1" s="1"/>
  <c r="N189" i="1"/>
  <c r="N190" i="1" s="1"/>
  <c r="BL112" i="1"/>
  <c r="BO30" i="1"/>
  <c r="BO34" i="1"/>
  <c r="BO38" i="1" s="1"/>
  <c r="BO232" i="1"/>
  <c r="BO233" i="1" s="1"/>
  <c r="BP250" i="1"/>
  <c r="BP251" i="1" s="1"/>
  <c r="BR112" i="1"/>
  <c r="BH29" i="1"/>
  <c r="BH30" i="1"/>
  <c r="BP226" i="1"/>
  <c r="BQ112" i="1"/>
  <c r="BO31" i="1"/>
  <c r="BO250" i="1"/>
  <c r="BO251" i="1" s="1"/>
  <c r="BP112" i="1"/>
  <c r="BQ226" i="1"/>
  <c r="AW40" i="1"/>
  <c r="T213" i="1"/>
  <c r="M210" i="1"/>
  <c r="M211" i="1" s="1"/>
  <c r="V166" i="1"/>
  <c r="T210" i="1"/>
  <c r="T211" i="1" s="1"/>
  <c r="J213" i="1"/>
  <c r="M213" i="1"/>
  <c r="B244" i="1"/>
  <c r="B166" i="1"/>
  <c r="C87" i="1"/>
  <c r="C85" i="1"/>
  <c r="C70" i="1"/>
  <c r="C86" i="1"/>
  <c r="B89" i="1"/>
  <c r="D70" i="1"/>
  <c r="K210" i="1"/>
  <c r="K211" i="1" s="1"/>
  <c r="K213" i="1"/>
  <c r="N213" i="1"/>
  <c r="J210" i="1"/>
  <c r="J211" i="1" s="1"/>
  <c r="I210" i="1"/>
  <c r="I211" i="1" s="1"/>
  <c r="I213" i="1"/>
  <c r="G210" i="1"/>
  <c r="G211" i="1" s="1"/>
  <c r="G213" i="1"/>
  <c r="V210" i="1"/>
  <c r="V211" i="1" s="1"/>
  <c r="V213" i="1"/>
  <c r="R210" i="1"/>
  <c r="R211" i="1" s="1"/>
  <c r="R213" i="1"/>
  <c r="L213" i="1"/>
  <c r="L210" i="1"/>
  <c r="L211" i="1" s="1"/>
  <c r="D85" i="1"/>
  <c r="D86" i="1"/>
  <c r="D87" i="1"/>
  <c r="C89" i="1"/>
  <c r="D210" i="1"/>
  <c r="D211" i="1" s="1"/>
  <c r="BA31" i="1"/>
  <c r="C210" i="1"/>
  <c r="C211" i="1" s="1"/>
  <c r="C213" i="1"/>
  <c r="BV232" i="1"/>
  <c r="BV233" i="1" s="1"/>
  <c r="BV29" i="1"/>
  <c r="BV34" i="1"/>
  <c r="BV38" i="1" s="1"/>
  <c r="BZ30" i="1"/>
  <c r="BA34" i="1"/>
  <c r="BA38" i="1" s="1"/>
  <c r="BA232" i="1"/>
  <c r="BA233" i="1" s="1"/>
  <c r="BA29" i="1"/>
  <c r="BA250" i="1"/>
  <c r="BA251" i="1" s="1"/>
  <c r="O210" i="1"/>
  <c r="O211" i="1" s="1"/>
  <c r="O213" i="1"/>
  <c r="F189" i="1"/>
  <c r="F190" i="1" s="1"/>
  <c r="G189" i="1"/>
  <c r="G190" i="1" s="1"/>
  <c r="BV31" i="1"/>
  <c r="BX112" i="1"/>
  <c r="BU29" i="1"/>
  <c r="BU232" i="1"/>
  <c r="BU233" i="1" s="1"/>
  <c r="BY30" i="1"/>
  <c r="BU30" i="1"/>
  <c r="BX226" i="1"/>
  <c r="BU34" i="1"/>
  <c r="BU38" i="1" s="1"/>
  <c r="I189" i="1"/>
  <c r="I190" i="1" s="1"/>
  <c r="J189" i="1"/>
  <c r="J190" i="1" s="1"/>
  <c r="BY226" i="1"/>
  <c r="BW250" i="1"/>
  <c r="BW251" i="1" s="1"/>
  <c r="BW31" i="1"/>
  <c r="BY112" i="1"/>
  <c r="BV250" i="1"/>
  <c r="BV251" i="1" s="1"/>
  <c r="BV30" i="1"/>
  <c r="AM30" i="1"/>
  <c r="AL112" i="1"/>
  <c r="AI29" i="1"/>
  <c r="AI34" i="1"/>
  <c r="AL226" i="1"/>
  <c r="AI232" i="1"/>
  <c r="AI233" i="1" s="1"/>
  <c r="N60" i="1"/>
  <c r="AJ31" i="1"/>
  <c r="AW226" i="1"/>
  <c r="AX226" i="1"/>
  <c r="AV226" i="1"/>
  <c r="AV112" i="1"/>
  <c r="AX112" i="1"/>
  <c r="AU226" i="1"/>
  <c r="AU31" i="1"/>
  <c r="AU29" i="1"/>
  <c r="AY30" i="1"/>
  <c r="AV250" i="1"/>
  <c r="AV251" i="1" s="1"/>
  <c r="AV31" i="1"/>
  <c r="AU232" i="1"/>
  <c r="AU233" i="1" s="1"/>
  <c r="AU34" i="1"/>
  <c r="AU38" i="1" s="1"/>
  <c r="Q60" i="1"/>
  <c r="AU112" i="1"/>
  <c r="AU250" i="1"/>
  <c r="AU251" i="1" s="1"/>
  <c r="AW112" i="1"/>
  <c r="AQ30" i="1"/>
  <c r="AQ250" i="1"/>
  <c r="AQ251" i="1" s="1"/>
  <c r="AQ34" i="1"/>
  <c r="AU30" i="1"/>
  <c r="AR31" i="1"/>
  <c r="AQ232" i="1"/>
  <c r="AQ233" i="1" s="1"/>
  <c r="AQ31" i="1"/>
  <c r="AT112" i="1"/>
  <c r="AS112" i="1"/>
  <c r="AQ29" i="1"/>
  <c r="P60" i="1"/>
  <c r="AS226" i="1"/>
  <c r="AR250" i="1"/>
  <c r="AR251" i="1" s="1"/>
  <c r="AT226" i="1"/>
  <c r="BT31" i="1"/>
  <c r="BS226" i="1"/>
  <c r="BW30" i="1"/>
  <c r="BS34" i="1"/>
  <c r="BS38" i="1" s="1"/>
  <c r="BS232" i="1"/>
  <c r="BS233" i="1" s="1"/>
  <c r="BS250" i="1"/>
  <c r="BS251" i="1" s="1"/>
  <c r="BV112" i="1"/>
  <c r="BS29" i="1"/>
  <c r="BS30" i="1"/>
  <c r="BS31" i="1"/>
  <c r="BU112" i="1"/>
  <c r="BT226" i="1"/>
  <c r="BV226" i="1"/>
  <c r="BT112" i="1"/>
  <c r="BA226" i="1"/>
  <c r="BB226" i="1"/>
  <c r="BE30" i="1"/>
  <c r="BC112" i="1"/>
  <c r="R60" i="1"/>
  <c r="BB112" i="1"/>
  <c r="BB250" i="1"/>
  <c r="BB251" i="1" s="1"/>
  <c r="BA112" i="1"/>
  <c r="BD112" i="1"/>
  <c r="BA30" i="1"/>
  <c r="BC226" i="1"/>
  <c r="BB31" i="1"/>
  <c r="BT232" i="1"/>
  <c r="BT233" i="1" s="1"/>
  <c r="BW226" i="1"/>
  <c r="BX30" i="1"/>
  <c r="BT34" i="1"/>
  <c r="BU31" i="1"/>
  <c r="BW112" i="1"/>
  <c r="BT30" i="1"/>
  <c r="BT250" i="1"/>
  <c r="BT251" i="1" s="1"/>
  <c r="BT29" i="1"/>
  <c r="BU250" i="1"/>
  <c r="BU251" i="1" s="1"/>
  <c r="BC250" i="1"/>
  <c r="BC251" i="1" s="1"/>
  <c r="BC29" i="1"/>
  <c r="BE112" i="1"/>
  <c r="BC31" i="1"/>
  <c r="BC30" i="1"/>
  <c r="BE226" i="1"/>
  <c r="BC232" i="1"/>
  <c r="BC233" i="1" s="1"/>
  <c r="BC34" i="1"/>
  <c r="BG30" i="1"/>
  <c r="U210" i="1"/>
  <c r="U211" i="1" s="1"/>
  <c r="U213" i="1"/>
  <c r="AS30" i="1"/>
  <c r="AP250" i="1"/>
  <c r="AP251" i="1" s="1"/>
  <c r="AR226" i="1"/>
  <c r="AR112" i="1"/>
  <c r="AP31" i="1"/>
  <c r="AO232" i="1"/>
  <c r="AO233" i="1" s="1"/>
  <c r="AO30" i="1"/>
  <c r="AO29" i="1"/>
  <c r="AO250" i="1"/>
  <c r="AO251" i="1" s="1"/>
  <c r="AO34" i="1"/>
  <c r="AO38" i="1" s="1"/>
  <c r="AO40" i="1" s="1"/>
  <c r="AZ41" i="1"/>
  <c r="AZ40" i="1"/>
  <c r="BG226" i="1"/>
  <c r="BH112" i="1"/>
  <c r="BG34" i="1"/>
  <c r="BH226" i="1"/>
  <c r="BG250" i="1"/>
  <c r="BG251" i="1" s="1"/>
  <c r="BI112" i="1"/>
  <c r="BH31" i="1"/>
  <c r="BK30" i="1"/>
  <c r="BG232" i="1"/>
  <c r="BG233" i="1" s="1"/>
  <c r="BH250" i="1"/>
  <c r="BH251" i="1" s="1"/>
  <c r="BG29" i="1"/>
  <c r="BG112" i="1"/>
  <c r="BJ226" i="1"/>
  <c r="BJ112" i="1"/>
  <c r="BG31" i="1"/>
  <c r="T60" i="1"/>
  <c r="BI226" i="1"/>
  <c r="AS203" i="1"/>
  <c r="AS201" i="1" s="1"/>
  <c r="AT203" i="1"/>
  <c r="AT201" i="1" s="1"/>
  <c r="F213" i="1"/>
  <c r="F210" i="1"/>
  <c r="F211" i="1" s="1"/>
  <c r="P213" i="1"/>
  <c r="P210" i="1"/>
  <c r="P211" i="1" s="1"/>
  <c r="Q213" i="1"/>
  <c r="Q210" i="1"/>
  <c r="Q211" i="1" s="1"/>
  <c r="S210" i="1"/>
  <c r="S211" i="1" s="1"/>
  <c r="S213" i="1"/>
  <c r="BS112" i="1"/>
  <c r="BR226" i="1"/>
  <c r="V60" i="1"/>
  <c r="BQ31" i="1"/>
  <c r="BP29" i="1"/>
  <c r="BP30" i="1"/>
  <c r="BP232" i="1"/>
  <c r="BP233" i="1" s="1"/>
  <c r="BP34" i="1"/>
  <c r="BQ250" i="1"/>
  <c r="BQ251" i="1" s="1"/>
  <c r="BI31" i="1"/>
  <c r="BK112" i="1"/>
  <c r="AN34" i="1"/>
  <c r="AN250" i="1"/>
  <c r="AN251" i="1" s="1"/>
  <c r="AN29" i="1"/>
  <c r="AN30" i="1"/>
  <c r="AP112" i="1"/>
  <c r="AP226" i="1"/>
  <c r="O60" i="1"/>
  <c r="AQ112" i="1"/>
  <c r="AQ226" i="1"/>
  <c r="AO226" i="1"/>
  <c r="AN31" i="1"/>
  <c r="AN232" i="1"/>
  <c r="AN233" i="1" s="1"/>
  <c r="AN226" i="1"/>
  <c r="AR30" i="1"/>
  <c r="AO112" i="1"/>
  <c r="AN112" i="1"/>
  <c r="AO31" i="1"/>
  <c r="C189" i="1"/>
  <c r="C190" i="1" s="1"/>
  <c r="D189" i="1"/>
  <c r="D190" i="1" s="1"/>
  <c r="BI232" i="1"/>
  <c r="BI233" i="1" s="1"/>
  <c r="BI34" i="1"/>
  <c r="BI29" i="1"/>
  <c r="BJ31" i="1"/>
  <c r="BJ250" i="1"/>
  <c r="BJ251" i="1" s="1"/>
  <c r="BM30" i="1"/>
  <c r="BL226" i="1"/>
  <c r="BI30" i="1"/>
  <c r="BK226" i="1"/>
  <c r="BD30" i="1"/>
  <c r="BD250" i="1"/>
  <c r="BD251" i="1" s="1"/>
  <c r="S60" i="1"/>
  <c r="BD226" i="1"/>
  <c r="BE250" i="1"/>
  <c r="BE251" i="1" s="1"/>
  <c r="BD232" i="1"/>
  <c r="BD233" i="1" s="1"/>
  <c r="BD31" i="1"/>
  <c r="BF112" i="1"/>
  <c r="BF226" i="1"/>
  <c r="BD29" i="1"/>
  <c r="BD34" i="1"/>
  <c r="BE31" i="1"/>
  <c r="U189" i="1"/>
  <c r="U190" i="1" s="1"/>
  <c r="T189" i="1"/>
  <c r="T190" i="1" s="1"/>
  <c r="BH110" i="1"/>
  <c r="BH111" i="1"/>
  <c r="R189" i="1"/>
  <c r="R190" i="1" s="1"/>
  <c r="S189" i="1"/>
  <c r="S190" i="1" s="1"/>
  <c r="P189" i="1"/>
  <c r="P190" i="1" s="1"/>
  <c r="O189" i="1"/>
  <c r="O190" i="1" s="1"/>
  <c r="BT203" i="1"/>
  <c r="BT201" i="1" s="1"/>
  <c r="BS203" i="1"/>
  <c r="BS201" i="1" s="1"/>
  <c r="AP203" i="1"/>
  <c r="AP201" i="1" s="1"/>
  <c r="AO203" i="1"/>
  <c r="AO201" i="1" s="1"/>
  <c r="BB111" i="1"/>
  <c r="BB110" i="1"/>
  <c r="BP110" i="1"/>
  <c r="BP111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BE203" i="1"/>
  <c r="BE201" i="1" s="1"/>
  <c r="BF203" i="1"/>
  <c r="BF201" i="1" s="1"/>
  <c r="AT111" i="1"/>
  <c r="AT110" i="1"/>
  <c r="AN111" i="1"/>
  <c r="AN110" i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K41" i="1"/>
  <c r="BK40" i="1"/>
  <c r="AY40" i="1"/>
  <c r="AY41" i="1"/>
  <c r="AP40" i="1"/>
  <c r="AP41" i="1"/>
  <c r="AP43" i="1" s="1"/>
  <c r="AS40" i="1"/>
  <c r="AS41" i="1"/>
  <c r="BM40" i="1"/>
  <c r="BM41" i="1"/>
  <c r="BE40" i="1"/>
  <c r="BE41" i="1"/>
  <c r="BR38" i="1"/>
  <c r="AX38" i="1"/>
  <c r="AZ55" i="1"/>
  <c r="BN38" i="1"/>
  <c r="BZ55" i="1"/>
  <c r="BW38" i="1"/>
  <c r="BB38" i="1"/>
  <c r="AV38" i="1"/>
  <c r="BN55" i="1"/>
  <c r="BZ113" i="1"/>
  <c r="BZ114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CR138" i="1"/>
  <c r="CS32" i="1"/>
  <c r="AR40" i="1" l="1"/>
  <c r="AR41" i="1"/>
  <c r="BH113" i="1"/>
  <c r="BH114" i="1"/>
  <c r="BV114" i="1"/>
  <c r="AQ38" i="1"/>
  <c r="AT55" i="1"/>
  <c r="BT38" i="1"/>
  <c r="BT55" i="1"/>
  <c r="BS40" i="1"/>
  <c r="BS41" i="1"/>
  <c r="BB114" i="1"/>
  <c r="BB113" i="1"/>
  <c r="AW234" i="1"/>
  <c r="BT114" i="1"/>
  <c r="BT113" i="1"/>
  <c r="BD114" i="1"/>
  <c r="BD113" i="1"/>
  <c r="BH41" i="1"/>
  <c r="BH40" i="1"/>
  <c r="AW48" i="1"/>
  <c r="AW42" i="1"/>
  <c r="AW245" i="1" s="1"/>
  <c r="AV110" i="1"/>
  <c r="AV111" i="1"/>
  <c r="BN111" i="1"/>
  <c r="BN114" i="1" s="1"/>
  <c r="BN110" i="1"/>
  <c r="BN113" i="1" s="1"/>
  <c r="AY203" i="1"/>
  <c r="AY201" i="1" s="1"/>
  <c r="AZ203" i="1"/>
  <c r="AZ201" i="1" s="1"/>
  <c r="BF111" i="1"/>
  <c r="BF110" i="1"/>
  <c r="AR189" i="1"/>
  <c r="AV189" i="1"/>
  <c r="BR110" i="1"/>
  <c r="BR111" i="1"/>
  <c r="BF40" i="1"/>
  <c r="BF41" i="1"/>
  <c r="AV113" i="1"/>
  <c r="BP114" i="1"/>
  <c r="BR113" i="1"/>
  <c r="AT113" i="1"/>
  <c r="BL113" i="1"/>
  <c r="BO40" i="1"/>
  <c r="AV114" i="1"/>
  <c r="BP113" i="1"/>
  <c r="BR114" i="1"/>
  <c r="BL114" i="1"/>
  <c r="AT114" i="1"/>
  <c r="BO41" i="1"/>
  <c r="AX113" i="1"/>
  <c r="AX114" i="1"/>
  <c r="BU41" i="1"/>
  <c r="BY43" i="1" s="1"/>
  <c r="BU40" i="1"/>
  <c r="BV113" i="1"/>
  <c r="BV55" i="1"/>
  <c r="AL114" i="1"/>
  <c r="AL113" i="1"/>
  <c r="AI38" i="1"/>
  <c r="AL55" i="1"/>
  <c r="AU41" i="1"/>
  <c r="AU40" i="1"/>
  <c r="BC38" i="1"/>
  <c r="BX113" i="1"/>
  <c r="BX114" i="1"/>
  <c r="AZ234" i="1"/>
  <c r="AZ48" i="1"/>
  <c r="AZ42" i="1"/>
  <c r="AZ245" i="1" s="1"/>
  <c r="AR55" i="1"/>
  <c r="AO41" i="1"/>
  <c r="BX55" i="1"/>
  <c r="BB55" i="1"/>
  <c r="AV55" i="1"/>
  <c r="AX55" i="1"/>
  <c r="BJ113" i="1"/>
  <c r="BJ114" i="1"/>
  <c r="BY55" i="1"/>
  <c r="BG38" i="1"/>
  <c r="BH55" i="1"/>
  <c r="BV40" i="1"/>
  <c r="BV41" i="1"/>
  <c r="BA41" i="1"/>
  <c r="BA40" i="1"/>
  <c r="BF114" i="1"/>
  <c r="BF113" i="1"/>
  <c r="AN114" i="1"/>
  <c r="AN113" i="1"/>
  <c r="AP113" i="1"/>
  <c r="AP114" i="1"/>
  <c r="BP38" i="1"/>
  <c r="BR55" i="1"/>
  <c r="BP55" i="1"/>
  <c r="AN55" i="1"/>
  <c r="AP55" i="1"/>
  <c r="AN38" i="1"/>
  <c r="BI38" i="1"/>
  <c r="BL55" i="1"/>
  <c r="BJ55" i="1"/>
  <c r="BD38" i="1"/>
  <c r="BD55" i="1"/>
  <c r="BF55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K44" i="1"/>
  <c r="BK234" i="1"/>
  <c r="AS48" i="1"/>
  <c r="AS42" i="1"/>
  <c r="AS245" i="1" s="1"/>
  <c r="AS234" i="1"/>
  <c r="AT44" i="1"/>
  <c r="AW43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R41" i="1"/>
  <c r="BR40" i="1"/>
  <c r="BW41" i="1"/>
  <c r="BW40" i="1"/>
  <c r="BN41" i="1"/>
  <c r="BN40" i="1"/>
  <c r="AV40" i="1"/>
  <c r="AV41" i="1"/>
  <c r="AX41" i="1"/>
  <c r="AX40" i="1"/>
  <c r="BB41" i="1"/>
  <c r="BB40" i="1"/>
  <c r="BQ193" i="1"/>
  <c r="BQ195" i="1" s="1"/>
  <c r="BQ119" i="1"/>
  <c r="BQ120" i="1" s="1"/>
  <c r="BQ66" i="1"/>
  <c r="BQ52" i="1"/>
  <c r="AT66" i="1"/>
  <c r="AT193" i="1"/>
  <c r="AT195" i="1" s="1"/>
  <c r="AT52" i="1"/>
  <c r="CS194" i="1"/>
  <c r="CS132" i="1"/>
  <c r="CR203" i="1"/>
  <c r="CR201" i="1" s="1"/>
  <c r="AC125" i="1"/>
  <c r="AC128" i="1" s="1"/>
  <c r="AC249" i="1" s="1"/>
  <c r="AR234" i="1" l="1"/>
  <c r="AR48" i="1"/>
  <c r="AR42" i="1"/>
  <c r="AR245" i="1" s="1"/>
  <c r="AS44" i="1"/>
  <c r="BU42" i="1"/>
  <c r="BU245" i="1" s="1"/>
  <c r="BU234" i="1"/>
  <c r="BU48" i="1"/>
  <c r="BU43" i="1"/>
  <c r="BC41" i="1"/>
  <c r="BC40" i="1"/>
  <c r="BS43" i="1"/>
  <c r="BE43" i="1"/>
  <c r="BO234" i="1"/>
  <c r="BO42" i="1"/>
  <c r="BO245" i="1" s="1"/>
  <c r="BO48" i="1"/>
  <c r="BO43" i="1"/>
  <c r="AI41" i="1"/>
  <c r="AI40" i="1"/>
  <c r="AU42" i="1"/>
  <c r="AU245" i="1" s="1"/>
  <c r="AU234" i="1"/>
  <c r="AY43" i="1"/>
  <c r="AU48" i="1"/>
  <c r="AP44" i="1"/>
  <c r="AO48" i="1"/>
  <c r="AO234" i="1"/>
  <c r="AS43" i="1"/>
  <c r="AO42" i="1"/>
  <c r="AO245" i="1" s="1"/>
  <c r="BW43" i="1"/>
  <c r="AQ41" i="1"/>
  <c r="AQ40" i="1"/>
  <c r="BT41" i="1"/>
  <c r="BT40" i="1"/>
  <c r="BH48" i="1"/>
  <c r="BL43" i="1"/>
  <c r="BH234" i="1"/>
  <c r="BH42" i="1"/>
  <c r="BH245" i="1" s="1"/>
  <c r="BS234" i="1"/>
  <c r="BS42" i="1"/>
  <c r="BS245" i="1" s="1"/>
  <c r="BS48" i="1"/>
  <c r="AW193" i="1"/>
  <c r="AW195" i="1" s="1"/>
  <c r="AW66" i="1"/>
  <c r="AW119" i="1"/>
  <c r="AW120" i="1" s="1"/>
  <c r="AW52" i="1"/>
  <c r="BJ43" i="1"/>
  <c r="BF42" i="1"/>
  <c r="BF245" i="1" s="1"/>
  <c r="BF48" i="1"/>
  <c r="BF234" i="1"/>
  <c r="BV44" i="1"/>
  <c r="BI41" i="1"/>
  <c r="BI44" i="1" s="1"/>
  <c r="BI40" i="1"/>
  <c r="AU227" i="1"/>
  <c r="AU44" i="1"/>
  <c r="AZ66" i="1"/>
  <c r="AZ52" i="1"/>
  <c r="BG40" i="1"/>
  <c r="BG41" i="1"/>
  <c r="AZ193" i="1"/>
  <c r="AZ195" i="1" s="1"/>
  <c r="AO43" i="1"/>
  <c r="BZ43" i="1"/>
  <c r="BV234" i="1"/>
  <c r="BV48" i="1"/>
  <c r="BV42" i="1"/>
  <c r="BV245" i="1" s="1"/>
  <c r="BA43" i="1"/>
  <c r="BA48" i="1"/>
  <c r="BA44" i="1"/>
  <c r="BA42" i="1"/>
  <c r="BA245" i="1" s="1"/>
  <c r="BA234" i="1"/>
  <c r="AN41" i="1"/>
  <c r="AN40" i="1"/>
  <c r="BP41" i="1"/>
  <c r="BP40" i="1"/>
  <c r="BD41" i="1"/>
  <c r="BD40" i="1"/>
  <c r="BK52" i="1"/>
  <c r="BK193" i="1"/>
  <c r="BK195" i="1" s="1"/>
  <c r="BK119" i="1"/>
  <c r="BK120" i="1" s="1"/>
  <c r="BK66" i="1"/>
  <c r="AP193" i="1"/>
  <c r="AP195" i="1" s="1"/>
  <c r="AP66" i="1"/>
  <c r="AP52" i="1"/>
  <c r="BS44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M66" i="1"/>
  <c r="BM52" i="1"/>
  <c r="BM119" i="1"/>
  <c r="BM120" i="1" s="1"/>
  <c r="BM193" i="1"/>
  <c r="BM195" i="1" s="1"/>
  <c r="BE66" i="1"/>
  <c r="BE193" i="1"/>
  <c r="BE195" i="1" s="1"/>
  <c r="BE52" i="1"/>
  <c r="BE119" i="1"/>
  <c r="BE120" i="1" s="1"/>
  <c r="BR42" i="1"/>
  <c r="BR245" i="1" s="1"/>
  <c r="BR234" i="1"/>
  <c r="BR48" i="1"/>
  <c r="BR207" i="1" s="1"/>
  <c r="BR205" i="1" s="1"/>
  <c r="BV43" i="1"/>
  <c r="BR44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BN234" i="1"/>
  <c r="BR43" i="1"/>
  <c r="BN48" i="1"/>
  <c r="BN43" i="1"/>
  <c r="BN42" i="1"/>
  <c r="BN245" i="1" s="1"/>
  <c r="BO44" i="1"/>
  <c r="BN227" i="1"/>
  <c r="BN44" i="1"/>
  <c r="BO227" i="1"/>
  <c r="BB42" i="1"/>
  <c r="BB245" i="1" s="1"/>
  <c r="BF43" i="1"/>
  <c r="BB234" i="1"/>
  <c r="BB48" i="1"/>
  <c r="BB227" i="1"/>
  <c r="BB44" i="1"/>
  <c r="BB43" i="1"/>
  <c r="AX48" i="1"/>
  <c r="AX234" i="1"/>
  <c r="AX42" i="1"/>
  <c r="AX245" i="1" s="1"/>
  <c r="AZ227" i="1"/>
  <c r="AX44" i="1"/>
  <c r="AY44" i="1"/>
  <c r="AX43" i="1"/>
  <c r="BA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CS134" i="1"/>
  <c r="AC206" i="1"/>
  <c r="CA226" i="1"/>
  <c r="CB226" i="1"/>
  <c r="BU226" i="1"/>
  <c r="AR66" i="1" l="1"/>
  <c r="AR193" i="1"/>
  <c r="AR195" i="1" s="1"/>
  <c r="AR52" i="1"/>
  <c r="BU119" i="1"/>
  <c r="BU120" i="1" s="1"/>
  <c r="BU52" i="1"/>
  <c r="BU193" i="1"/>
  <c r="BU195" i="1" s="1"/>
  <c r="BU66" i="1"/>
  <c r="BI43" i="1"/>
  <c r="BK227" i="1"/>
  <c r="BM43" i="1"/>
  <c r="BL227" i="1"/>
  <c r="BI48" i="1"/>
  <c r="BI234" i="1"/>
  <c r="BJ44" i="1"/>
  <c r="BI42" i="1"/>
  <c r="BI245" i="1" s="1"/>
  <c r="BC43" i="1"/>
  <c r="BC48" i="1"/>
  <c r="BC234" i="1"/>
  <c r="BC42" i="1"/>
  <c r="BC245" i="1" s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X43" i="1"/>
  <c r="BT42" i="1"/>
  <c r="BT245" i="1" s="1"/>
  <c r="BT234" i="1"/>
  <c r="BT48" i="1"/>
  <c r="BU44" i="1"/>
  <c r="BW227" i="1"/>
  <c r="BV227" i="1"/>
  <c r="AR44" i="1"/>
  <c r="AQ234" i="1"/>
  <c r="AQ48" i="1"/>
  <c r="AQ42" i="1"/>
  <c r="AQ245" i="1" s="1"/>
  <c r="AQ44" i="1"/>
  <c r="AU43" i="1"/>
  <c r="AT227" i="1"/>
  <c r="AR227" i="1"/>
  <c r="BC44" i="1"/>
  <c r="BC227" i="1"/>
  <c r="BH52" i="1"/>
  <c r="BH193" i="1"/>
  <c r="BH195" i="1" s="1"/>
  <c r="BT44" i="1"/>
  <c r="BH227" i="1"/>
  <c r="AQ43" i="1"/>
  <c r="AS227" i="1"/>
  <c r="BH66" i="1"/>
  <c r="BT227" i="1"/>
  <c r="BG43" i="1"/>
  <c r="BK43" i="1"/>
  <c r="BG48" i="1"/>
  <c r="BF66" i="1"/>
  <c r="BF193" i="1"/>
  <c r="BF195" i="1" s="1"/>
  <c r="BF52" i="1"/>
  <c r="BS227" i="1"/>
  <c r="BG42" i="1"/>
  <c r="BG245" i="1" s="1"/>
  <c r="BH44" i="1"/>
  <c r="BG234" i="1"/>
  <c r="BJ227" i="1"/>
  <c r="BG44" i="1"/>
  <c r="BI227" i="1"/>
  <c r="BF227" i="1"/>
  <c r="BD44" i="1"/>
  <c r="AN42" i="1"/>
  <c r="AN245" i="1" s="1"/>
  <c r="AQ227" i="1"/>
  <c r="AO44" i="1"/>
  <c r="BR227" i="1"/>
  <c r="AN227" i="1"/>
  <c r="AN43" i="1"/>
  <c r="AP227" i="1"/>
  <c r="AR43" i="1"/>
  <c r="AO227" i="1"/>
  <c r="AN48" i="1"/>
  <c r="AN44" i="1"/>
  <c r="AN234" i="1"/>
  <c r="BV52" i="1"/>
  <c r="BV66" i="1"/>
  <c r="BV193" i="1"/>
  <c r="BV195" i="1" s="1"/>
  <c r="BA119" i="1"/>
  <c r="BA120" i="1" s="1"/>
  <c r="BA54" i="1" s="1"/>
  <c r="BA66" i="1"/>
  <c r="BA193" i="1"/>
  <c r="BA195" i="1" s="1"/>
  <c r="BA52" i="1"/>
  <c r="BT43" i="1"/>
  <c r="BQ227" i="1"/>
  <c r="BP227" i="1"/>
  <c r="BD227" i="1"/>
  <c r="BE227" i="1"/>
  <c r="BG227" i="1"/>
  <c r="BP44" i="1"/>
  <c r="BP234" i="1"/>
  <c r="BP42" i="1"/>
  <c r="BP245" i="1" s="1"/>
  <c r="BP43" i="1"/>
  <c r="BP48" i="1"/>
  <c r="BS54" i="1" s="1"/>
  <c r="BQ44" i="1"/>
  <c r="BD43" i="1"/>
  <c r="BD234" i="1"/>
  <c r="BD42" i="1"/>
  <c r="BD245" i="1" s="1"/>
  <c r="BD48" i="1"/>
  <c r="BH43" i="1"/>
  <c r="BE44" i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BM54" i="1"/>
  <c r="BM207" i="1"/>
  <c r="BM205" i="1" s="1"/>
  <c r="BM129" i="1"/>
  <c r="BM55" i="1" s="1"/>
  <c r="BM92" i="1"/>
  <c r="AX207" i="1"/>
  <c r="AX205" i="1" s="1"/>
  <c r="BF207" i="1"/>
  <c r="BF205" i="1" s="1"/>
  <c r="BE92" i="1"/>
  <c r="BE129" i="1"/>
  <c r="BE55" i="1" s="1"/>
  <c r="BE207" i="1"/>
  <c r="BE205" i="1" s="1"/>
  <c r="AY54" i="1"/>
  <c r="BR52" i="1"/>
  <c r="BR193" i="1"/>
  <c r="BR195" i="1" s="1"/>
  <c r="BR66" i="1"/>
  <c r="AW54" i="1"/>
  <c r="BN207" i="1"/>
  <c r="BN205" i="1" s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AV193" i="1"/>
  <c r="AV195" i="1" s="1"/>
  <c r="AV52" i="1"/>
  <c r="AV66" i="1"/>
  <c r="AV54" i="1"/>
  <c r="Q61" i="1"/>
  <c r="AX54" i="1"/>
  <c r="AX52" i="1"/>
  <c r="AX66" i="1"/>
  <c r="AX193" i="1"/>
  <c r="AX195" i="1" s="1"/>
  <c r="AZ54" i="1"/>
  <c r="BB66" i="1"/>
  <c r="BB52" i="1"/>
  <c r="BB193" i="1"/>
  <c r="BB195" i="1" s="1"/>
  <c r="BB54" i="1"/>
  <c r="R61" i="1"/>
  <c r="BS92" i="1"/>
  <c r="BS129" i="1"/>
  <c r="BS55" i="1" s="1"/>
  <c r="BS207" i="1"/>
  <c r="BS205" i="1" s="1"/>
  <c r="BQ94" i="1"/>
  <c r="BQ95" i="1"/>
  <c r="BQ96" i="1"/>
  <c r="AW95" i="1"/>
  <c r="AW94" i="1"/>
  <c r="AW96" i="1"/>
  <c r="CS138" i="1"/>
  <c r="CT32" i="1"/>
  <c r="AD124" i="1"/>
  <c r="W59" i="1"/>
  <c r="BU92" i="1" l="1"/>
  <c r="BU129" i="1"/>
  <c r="BU55" i="1" s="1"/>
  <c r="AU69" i="1"/>
  <c r="BL54" i="1"/>
  <c r="BI52" i="1"/>
  <c r="BI193" i="1"/>
  <c r="BI195" i="1" s="1"/>
  <c r="BI66" i="1"/>
  <c r="BI119" i="1"/>
  <c r="BI120" i="1" s="1"/>
  <c r="BC66" i="1"/>
  <c r="BC119" i="1"/>
  <c r="BC120" i="1" s="1"/>
  <c r="BC193" i="1"/>
  <c r="BC195" i="1" s="1"/>
  <c r="BC52" i="1"/>
  <c r="BO207" i="1"/>
  <c r="BO205" i="1" s="1"/>
  <c r="BO129" i="1"/>
  <c r="BO5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BT54" i="1"/>
  <c r="BV54" i="1"/>
  <c r="BO54" i="1"/>
  <c r="BU54" i="1"/>
  <c r="BT193" i="1"/>
  <c r="BT195" i="1" s="1"/>
  <c r="BT52" i="1"/>
  <c r="BT66" i="1"/>
  <c r="AQ119" i="1"/>
  <c r="AQ120" i="1" s="1"/>
  <c r="AQ193" i="1"/>
  <c r="AQ195" i="1" s="1"/>
  <c r="AQ52" i="1"/>
  <c r="AQ66" i="1"/>
  <c r="AS54" i="1"/>
  <c r="AR54" i="1"/>
  <c r="AT54" i="1"/>
  <c r="P61" i="1"/>
  <c r="BT207" i="1"/>
  <c r="BT205" i="1" s="1"/>
  <c r="BF54" i="1"/>
  <c r="BG52" i="1"/>
  <c r="BG66" i="1"/>
  <c r="BG119" i="1"/>
  <c r="BG120" i="1" s="1"/>
  <c r="BJ54" i="1"/>
  <c r="BH54" i="1"/>
  <c r="BG193" i="1"/>
  <c r="BG195" i="1" s="1"/>
  <c r="T61" i="1"/>
  <c r="AO54" i="1"/>
  <c r="S61" i="1"/>
  <c r="BP207" i="1"/>
  <c r="BP205" i="1" s="1"/>
  <c r="BD54" i="1"/>
  <c r="BE54" i="1"/>
  <c r="BR54" i="1"/>
  <c r="V61" i="1"/>
  <c r="BP54" i="1"/>
  <c r="AN52" i="1"/>
  <c r="AP54" i="1"/>
  <c r="AN66" i="1"/>
  <c r="AN193" i="1"/>
  <c r="AN195" i="1" s="1"/>
  <c r="AN54" i="1"/>
  <c r="O61" i="1"/>
  <c r="AN207" i="1"/>
  <c r="AN205" i="1" s="1"/>
  <c r="BA129" i="1"/>
  <c r="BA55" i="1" s="1"/>
  <c r="BA92" i="1"/>
  <c r="BA207" i="1"/>
  <c r="BA205" i="1" s="1"/>
  <c r="BB207" i="1"/>
  <c r="BB205" i="1" s="1"/>
  <c r="BP52" i="1"/>
  <c r="BQ54" i="1"/>
  <c r="BP66" i="1"/>
  <c r="BP193" i="1"/>
  <c r="BP195" i="1" s="1"/>
  <c r="BD66" i="1"/>
  <c r="BD52" i="1"/>
  <c r="BD193" i="1"/>
  <c r="BD195" i="1" s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T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O69" i="1"/>
  <c r="BN69" i="1"/>
  <c r="BB69" i="1"/>
  <c r="BC69" i="1"/>
  <c r="BZ69" i="1"/>
  <c r="BX69" i="1"/>
  <c r="BY69" i="1"/>
  <c r="BW69" i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BV69" i="1" l="1"/>
  <c r="BR89" i="1" s="1"/>
  <c r="BU69" i="1"/>
  <c r="BU85" i="1" s="1"/>
  <c r="BH207" i="1"/>
  <c r="BH205" i="1" s="1"/>
  <c r="BV86" i="1"/>
  <c r="BG129" i="1"/>
  <c r="BG55" i="1" s="1"/>
  <c r="BV85" i="1"/>
  <c r="BJ69" i="1"/>
  <c r="BF89" i="1" s="1"/>
  <c r="BH69" i="1"/>
  <c r="BI69" i="1"/>
  <c r="BG207" i="1"/>
  <c r="BG205" i="1" s="1"/>
  <c r="BG92" i="1"/>
  <c r="BG54" i="1"/>
  <c r="BV87" i="1"/>
  <c r="AQ69" i="1"/>
  <c r="AN69" i="1"/>
  <c r="AP69" i="1"/>
  <c r="AO69" i="1"/>
  <c r="BA96" i="1"/>
  <c r="BA95" i="1"/>
  <c r="BA94" i="1"/>
  <c r="BR69" i="1"/>
  <c r="BR86" i="1" s="1"/>
  <c r="BS69" i="1"/>
  <c r="BQ69" i="1"/>
  <c r="BP69" i="1"/>
  <c r="BE69" i="1"/>
  <c r="BE86" i="1" s="1"/>
  <c r="BG69" i="1"/>
  <c r="BG70" i="1" s="1"/>
  <c r="BD69" i="1"/>
  <c r="BF69" i="1"/>
  <c r="BL85" i="1"/>
  <c r="BL86" i="1"/>
  <c r="BP89" i="1"/>
  <c r="BT87" i="1"/>
  <c r="BT85" i="1"/>
  <c r="BT86" i="1"/>
  <c r="BH89" i="1"/>
  <c r="BL87" i="1"/>
  <c r="BK85" i="1"/>
  <c r="BK86" i="1"/>
  <c r="BK87" i="1"/>
  <c r="BG89" i="1"/>
  <c r="BV89" i="1"/>
  <c r="BZ70" i="1"/>
  <c r="BY70" i="1"/>
  <c r="BI95" i="1"/>
  <c r="BI96" i="1"/>
  <c r="BI94" i="1"/>
  <c r="BQ89" i="1"/>
  <c r="BU87" i="1"/>
  <c r="BU86" i="1"/>
  <c r="BW85" i="1"/>
  <c r="BC95" i="1"/>
  <c r="BC94" i="1"/>
  <c r="BC96" i="1"/>
  <c r="AW89" i="1"/>
  <c r="BA87" i="1"/>
  <c r="AX70" i="1"/>
  <c r="CD70" i="1"/>
  <c r="BZ87" i="1"/>
  <c r="BX86" i="1"/>
  <c r="BT89" i="1"/>
  <c r="BX87" i="1"/>
  <c r="CB70" i="1"/>
  <c r="BX85" i="1"/>
  <c r="BO85" i="1"/>
  <c r="BK89" i="1"/>
  <c r="BO86" i="1"/>
  <c r="BO70" i="1"/>
  <c r="BO87" i="1"/>
  <c r="AP89" i="1"/>
  <c r="CA70" i="1"/>
  <c r="BS89" i="1"/>
  <c r="BW87" i="1"/>
  <c r="BJ86" i="1"/>
  <c r="BJ85" i="1"/>
  <c r="AW85" i="1"/>
  <c r="AW86" i="1"/>
  <c r="AS89" i="1"/>
  <c r="BA70" i="1"/>
  <c r="AW87" i="1"/>
  <c r="AV89" i="1"/>
  <c r="AZ87" i="1"/>
  <c r="AZ86" i="1"/>
  <c r="AZ85" i="1"/>
  <c r="AY87" i="1"/>
  <c r="AU89" i="1"/>
  <c r="BC70" i="1"/>
  <c r="AY70" i="1"/>
  <c r="AT86" i="1"/>
  <c r="BJ87" i="1"/>
  <c r="BW86" i="1"/>
  <c r="BC87" i="1"/>
  <c r="AY89" i="1"/>
  <c r="BC86" i="1"/>
  <c r="BC85" i="1"/>
  <c r="BM70" i="1"/>
  <c r="BI87" i="1"/>
  <c r="BI85" i="1"/>
  <c r="BI86" i="1"/>
  <c r="BE89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AT87" i="1"/>
  <c r="AT85" i="1"/>
  <c r="AY85" i="1"/>
  <c r="BZ86" i="1"/>
  <c r="CC90" i="1" s="1"/>
  <c r="BZ85" i="1"/>
  <c r="CC70" i="1"/>
  <c r="BY87" i="1"/>
  <c r="BU89" i="1"/>
  <c r="BY86" i="1"/>
  <c r="BY85" i="1"/>
  <c r="AX89" i="1"/>
  <c r="BB87" i="1"/>
  <c r="BB86" i="1"/>
  <c r="BB85" i="1"/>
  <c r="BH87" i="1"/>
  <c r="BH85" i="1"/>
  <c r="BD89" i="1"/>
  <c r="BL70" i="1"/>
  <c r="BH86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N70" i="1" l="1"/>
  <c r="BG94" i="1"/>
  <c r="BG96" i="1"/>
  <c r="BG95" i="1"/>
  <c r="BN89" i="1"/>
  <c r="BR85" i="1"/>
  <c r="BR87" i="1"/>
  <c r="BV70" i="1"/>
  <c r="AQ86" i="1"/>
  <c r="AQ85" i="1"/>
  <c r="BS87" i="1"/>
  <c r="BO89" i="1"/>
  <c r="BS86" i="1"/>
  <c r="BS85" i="1"/>
  <c r="BT70" i="1"/>
  <c r="BE70" i="1"/>
  <c r="BQ86" i="1"/>
  <c r="BM89" i="1"/>
  <c r="BU70" i="1"/>
  <c r="AN87" i="1"/>
  <c r="AR70" i="1"/>
  <c r="AN86" i="1"/>
  <c r="AN85" i="1"/>
  <c r="AU70" i="1"/>
  <c r="AQ70" i="1"/>
  <c r="AQ87" i="1"/>
  <c r="BQ85" i="1"/>
  <c r="BQ70" i="1"/>
  <c r="BQ87" i="1"/>
  <c r="BD70" i="1"/>
  <c r="AZ89" i="1"/>
  <c r="BD85" i="1"/>
  <c r="BF70" i="1"/>
  <c r="AT70" i="1"/>
  <c r="AP87" i="1"/>
  <c r="AP70" i="1"/>
  <c r="AL89" i="1"/>
  <c r="AP86" i="1"/>
  <c r="AP85" i="1"/>
  <c r="BR70" i="1"/>
  <c r="BH70" i="1"/>
  <c r="BD87" i="1"/>
  <c r="BD86" i="1"/>
  <c r="AM89" i="1"/>
  <c r="BS70" i="1"/>
  <c r="AO87" i="1"/>
  <c r="AO85" i="1"/>
  <c r="AS70" i="1"/>
  <c r="AO86" i="1"/>
  <c r="BC89" i="1"/>
  <c r="BA89" i="1"/>
  <c r="BW70" i="1"/>
  <c r="BE87" i="1"/>
  <c r="BI70" i="1"/>
  <c r="BE85" i="1"/>
  <c r="BJ70" i="1"/>
  <c r="BG85" i="1"/>
  <c r="BG86" i="1"/>
  <c r="BG87" i="1"/>
  <c r="BK70" i="1"/>
  <c r="BF86" i="1"/>
  <c r="BF87" i="1"/>
  <c r="BF85" i="1"/>
  <c r="BB89" i="1"/>
  <c r="BP70" i="1"/>
  <c r="BL89" i="1"/>
  <c r="BP86" i="1"/>
  <c r="BP87" i="1"/>
  <c r="BP85" i="1"/>
  <c r="CB90" i="1"/>
  <c r="BH90" i="1"/>
  <c r="BM90" i="1"/>
  <c r="BN90" i="1"/>
  <c r="BB90" i="1"/>
  <c r="AW90" i="1"/>
  <c r="BL90" i="1"/>
  <c r="BY90" i="1"/>
  <c r="AZ90" i="1"/>
  <c r="AV90" i="1"/>
  <c r="BE90" i="1"/>
  <c r="AU90" i="1"/>
  <c r="BA90" i="1"/>
  <c r="BP90" i="1"/>
  <c r="BO90" i="1"/>
  <c r="AY90" i="1"/>
  <c r="AX90" i="1"/>
  <c r="CA90" i="1"/>
  <c r="BC90" i="1"/>
  <c r="BZ90" i="1"/>
  <c r="BF90" i="1"/>
  <c r="BK90" i="1"/>
  <c r="BX90" i="1"/>
  <c r="BW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R90" i="1" l="1"/>
  <c r="BS90" i="1"/>
  <c r="AT90" i="1"/>
  <c r="AP90" i="1"/>
  <c r="AO90" i="1"/>
  <c r="BD90" i="1"/>
  <c r="BV90" i="1"/>
  <c r="BU90" i="1"/>
  <c r="AQ90" i="1"/>
  <c r="BT90" i="1"/>
  <c r="BG90" i="1"/>
  <c r="AR90" i="1"/>
  <c r="BJ90" i="1"/>
  <c r="AS90" i="1"/>
  <c r="BQ90" i="1"/>
  <c r="BI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1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Y253" i="1" l="1"/>
  <c r="CY10" i="1"/>
  <c r="CY231" i="1"/>
  <c r="CU148" i="1"/>
  <c r="CU156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U157" i="1"/>
  <c r="CY145" i="1"/>
  <c r="CY16" i="1"/>
  <c r="CY153" i="1"/>
  <c r="CY146" i="1"/>
  <c r="CY152" i="1"/>
  <c r="CY156" i="1" s="1"/>
  <c r="CY26" i="1"/>
  <c r="CY23" i="1" s="1"/>
  <c r="CY144" i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57" i="1" s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30" i="1" l="1"/>
  <c r="CY29" i="1"/>
  <c r="CY34" i="1"/>
  <c r="CY232" i="1"/>
  <c r="CY233" i="1" s="1"/>
  <c r="CY250" i="1"/>
  <c r="CY251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1" i="1" s="1"/>
  <c r="CK114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AA65" i="1"/>
  <c r="AA66" i="1"/>
  <c r="AA69" i="1"/>
  <c r="AA70" i="1"/>
  <c r="AA107" i="1"/>
  <c r="AA110" i="1"/>
  <c r="AA87" i="1"/>
  <c r="AA86" i="1"/>
  <c r="AA85" i="1"/>
  <c r="AA113" i="1"/>
  <c r="AA108" i="1"/>
  <c r="AA111" i="1"/>
  <c r="AA114" i="1"/>
  <c r="AA92" i="1"/>
  <c r="AA99" i="1"/>
  <c r="AA103" i="1"/>
  <c r="AA102" i="1"/>
  <c r="AA104" i="1"/>
  <c r="AA95" i="1"/>
  <c r="AA96" i="1"/>
  <c r="AA94" i="1"/>
  <c r="AA6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Z65" i="1"/>
  <c r="Y63" i="1"/>
  <c r="Z108" i="1"/>
  <c r="Z111" i="1"/>
  <c r="Z114" i="1"/>
  <c r="Z99" i="1"/>
  <c r="Z107" i="1"/>
  <c r="Z110" i="1"/>
  <c r="Z113" i="1"/>
  <c r="Z92" i="1"/>
  <c r="Z66" i="1"/>
  <c r="X63" i="1"/>
  <c r="Y65" i="1"/>
  <c r="AC65" i="1"/>
  <c r="AD63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X65" i="1"/>
  <c r="Z68" i="1"/>
  <c r="Z69" i="1"/>
  <c r="Z96" i="1"/>
  <c r="Z94" i="1"/>
  <c r="Z95" i="1"/>
  <c r="Z104" i="1"/>
  <c r="M65" i="1"/>
  <c r="M66" i="1"/>
  <c r="V65" i="1"/>
  <c r="V66" i="1"/>
  <c r="V68" i="1"/>
  <c r="M92" i="1"/>
  <c r="AB66" i="1"/>
  <c r="Y94" i="1"/>
  <c r="AE108" i="1"/>
  <c r="I65" i="1"/>
  <c r="I66" i="1"/>
  <c r="I69" i="1"/>
  <c r="I85" i="1"/>
  <c r="H65" i="1"/>
  <c r="X107" i="1"/>
  <c r="X110" i="1"/>
  <c r="X113" i="1"/>
  <c r="AE99" i="1"/>
  <c r="V108" i="1"/>
  <c r="AD92" i="1"/>
  <c r="H66" i="1"/>
  <c r="H69" i="1"/>
  <c r="H87" i="1"/>
  <c r="Z103" i="1"/>
  <c r="Y69" i="1"/>
  <c r="Z87" i="1"/>
  <c r="Q65" i="1"/>
  <c r="R65" i="1"/>
  <c r="N65" i="1"/>
  <c r="R107" i="1"/>
  <c r="R110" i="1"/>
  <c r="N66" i="1"/>
  <c r="N108" i="1"/>
  <c r="Q107" i="1"/>
  <c r="Q110" i="1"/>
  <c r="N107" i="1"/>
  <c r="Y89" i="1"/>
  <c r="AD99" i="1"/>
  <c r="Q108" i="1"/>
  <c r="R92" i="1"/>
  <c r="AE92" i="1"/>
  <c r="AE107" i="1"/>
  <c r="I107" i="1"/>
  <c r="I110" i="1"/>
  <c r="I113" i="1"/>
  <c r="AE66" i="1"/>
  <c r="N99" i="1"/>
  <c r="L65" i="1"/>
  <c r="L92" i="1"/>
  <c r="L96" i="1"/>
  <c r="M108" i="1"/>
  <c r="Z70" i="1"/>
  <c r="I99" i="1"/>
  <c r="I102" i="1"/>
  <c r="AD107" i="1"/>
  <c r="AD110" i="1"/>
  <c r="AD113" i="1"/>
  <c r="Z89" i="1"/>
  <c r="T65" i="1"/>
  <c r="K65" i="1"/>
  <c r="AB99" i="1"/>
  <c r="AB107" i="1"/>
  <c r="M99" i="1"/>
  <c r="Z102" i="1"/>
  <c r="X99" i="1"/>
  <c r="X92" i="1"/>
  <c r="X108" i="1"/>
  <c r="X111" i="1"/>
  <c r="X114" i="1"/>
  <c r="Y68" i="1"/>
  <c r="Y103" i="1"/>
  <c r="Y102" i="1"/>
  <c r="Y95" i="1"/>
  <c r="Y96" i="1"/>
  <c r="Z85" i="1"/>
  <c r="X96" i="1"/>
  <c r="X104" i="1"/>
  <c r="X102" i="1"/>
  <c r="P65" i="1"/>
  <c r="T92" i="1"/>
  <c r="AD66" i="1"/>
  <c r="F65" i="1"/>
  <c r="F66" i="1"/>
  <c r="F69" i="1"/>
  <c r="E89" i="1"/>
  <c r="AB108" i="1"/>
  <c r="AB111" i="1"/>
  <c r="AB114" i="1"/>
  <c r="S65" i="1"/>
  <c r="S107" i="1"/>
  <c r="S110" i="1"/>
  <c r="V107" i="1"/>
  <c r="M68" i="1"/>
  <c r="M107" i="1"/>
  <c r="G65" i="1"/>
  <c r="G92" i="1"/>
  <c r="G96" i="1"/>
  <c r="W65" i="1"/>
  <c r="W66" i="1"/>
  <c r="W69" i="1"/>
  <c r="W70" i="1"/>
  <c r="AC66" i="1"/>
  <c r="AD108" i="1"/>
  <c r="V92" i="1"/>
  <c r="E65" i="1"/>
  <c r="E66" i="1"/>
  <c r="E69" i="1"/>
  <c r="J65" i="1"/>
  <c r="J99" i="1"/>
  <c r="J102" i="1"/>
  <c r="T66" i="1"/>
  <c r="T69" i="1"/>
  <c r="S89" i="1"/>
  <c r="K99" i="1"/>
  <c r="O65" i="1"/>
  <c r="N92" i="1"/>
  <c r="Y87" i="1"/>
  <c r="M110" i="1"/>
  <c r="AD69" i="1"/>
  <c r="AE68" i="1"/>
  <c r="I87" i="1"/>
  <c r="O108" i="1"/>
  <c r="H68" i="1"/>
  <c r="AE111" i="1"/>
  <c r="I86" i="1"/>
  <c r="F99" i="1"/>
  <c r="K92" i="1"/>
  <c r="G95" i="1"/>
  <c r="V111" i="1"/>
  <c r="S92" i="1"/>
  <c r="I103" i="1"/>
  <c r="U65" i="1"/>
  <c r="U66" i="1"/>
  <c r="U69" i="1"/>
  <c r="AB104" i="1"/>
  <c r="R95" i="1"/>
  <c r="L95" i="1"/>
  <c r="Z86" i="1"/>
  <c r="G94" i="1"/>
  <c r="U92" i="1"/>
  <c r="U94" i="1"/>
  <c r="T95" i="1"/>
  <c r="W68" i="1"/>
  <c r="Q92" i="1"/>
  <c r="Q94" i="1"/>
  <c r="M104" i="1"/>
  <c r="Q95" i="1"/>
  <c r="AE110" i="1"/>
  <c r="I104" i="1"/>
  <c r="G66" i="1"/>
  <c r="G69" i="1"/>
  <c r="G87" i="1"/>
  <c r="S113" i="1"/>
  <c r="G89" i="1"/>
  <c r="E86" i="1"/>
  <c r="U108" i="1"/>
  <c r="U111" i="1"/>
  <c r="AE104" i="1"/>
  <c r="AC89" i="1"/>
  <c r="AD111" i="1"/>
  <c r="L107" i="1"/>
  <c r="F87" i="1"/>
  <c r="W108" i="1"/>
  <c r="W111" i="1"/>
  <c r="H108" i="1"/>
  <c r="H111" i="1"/>
  <c r="H114" i="1"/>
  <c r="G107" i="1"/>
  <c r="V94" i="1"/>
  <c r="AC92" i="1"/>
  <c r="J66" i="1"/>
  <c r="J69" i="1"/>
  <c r="J104" i="1"/>
  <c r="P92" i="1"/>
  <c r="F108" i="1"/>
  <c r="F111" i="1"/>
  <c r="K108" i="1"/>
  <c r="K111" i="1"/>
  <c r="AE69" i="1"/>
  <c r="W87" i="1"/>
  <c r="E85" i="1"/>
  <c r="R94" i="1"/>
  <c r="AC107" i="1"/>
  <c r="AC110" i="1"/>
  <c r="AC113" i="1"/>
  <c r="AC99" i="1"/>
  <c r="N94" i="1"/>
  <c r="M94" i="1"/>
  <c r="X95" i="1"/>
  <c r="N69" i="1"/>
  <c r="J92" i="1"/>
  <c r="J94" i="1"/>
  <c r="I89" i="1"/>
  <c r="N86" i="1"/>
  <c r="I92" i="1"/>
  <c r="AD68" i="1"/>
  <c r="N111" i="1"/>
  <c r="AB68" i="1"/>
  <c r="M96" i="1"/>
  <c r="AE70" i="1"/>
  <c r="I96" i="1"/>
  <c r="J68" i="1"/>
  <c r="O99" i="1"/>
  <c r="O102" i="1"/>
  <c r="E68" i="1"/>
  <c r="P66" i="1"/>
  <c r="P68" i="1"/>
  <c r="L66" i="1"/>
  <c r="L69" i="1"/>
  <c r="L70" i="1"/>
  <c r="Q99" i="1"/>
  <c r="Q103" i="1"/>
  <c r="I108" i="1"/>
  <c r="Q66" i="1"/>
  <c r="Q69" i="1"/>
  <c r="Q86" i="1"/>
  <c r="R66" i="1"/>
  <c r="R69" i="1"/>
  <c r="R70" i="1"/>
  <c r="K66" i="1"/>
  <c r="K69" i="1"/>
  <c r="K70" i="1"/>
  <c r="Q70" i="1"/>
  <c r="H70" i="1"/>
  <c r="V69" i="1"/>
  <c r="V70" i="1"/>
  <c r="O66" i="1"/>
  <c r="O68" i="1"/>
  <c r="O69" i="1"/>
  <c r="S66" i="1"/>
  <c r="S69" i="1"/>
  <c r="S70" i="1"/>
  <c r="T70" i="1"/>
  <c r="M69" i="1"/>
  <c r="M70" i="1"/>
  <c r="E87" i="1"/>
  <c r="T107" i="1"/>
  <c r="G99" i="1"/>
  <c r="G104" i="1"/>
  <c r="L94" i="1"/>
  <c r="AD96" i="1"/>
  <c r="F68" i="1"/>
  <c r="V99" i="1"/>
  <c r="J95" i="1"/>
  <c r="M89" i="1"/>
  <c r="M95" i="1"/>
  <c r="T86" i="1"/>
  <c r="AE102" i="1"/>
  <c r="AC102" i="1"/>
  <c r="U95" i="1"/>
  <c r="AE114" i="1"/>
  <c r="I94" i="1"/>
  <c r="AC103" i="1"/>
  <c r="O107" i="1"/>
  <c r="P108" i="1"/>
  <c r="P111" i="1"/>
  <c r="P114" i="1"/>
  <c r="H89" i="1"/>
  <c r="Y104" i="1"/>
  <c r="G108" i="1"/>
  <c r="T85" i="1"/>
  <c r="K102" i="1"/>
  <c r="K85" i="1"/>
  <c r="V86" i="1"/>
  <c r="R108" i="1"/>
  <c r="R87" i="1"/>
  <c r="R99" i="1"/>
  <c r="R104" i="1"/>
  <c r="H107" i="1"/>
  <c r="H86" i="1"/>
  <c r="H99" i="1"/>
  <c r="H103" i="1"/>
  <c r="G102" i="1"/>
  <c r="Q102" i="1"/>
  <c r="Q85" i="1"/>
  <c r="U99" i="1"/>
  <c r="U102" i="1"/>
  <c r="L87" i="1"/>
  <c r="L99" i="1"/>
  <c r="L104" i="1"/>
  <c r="L108" i="1"/>
  <c r="P69" i="1"/>
  <c r="H92" i="1"/>
  <c r="F107" i="1"/>
  <c r="H96" i="1"/>
  <c r="N68" i="1"/>
  <c r="P85" i="1"/>
  <c r="J107" i="1"/>
  <c r="J89" i="1"/>
  <c r="K89" i="1"/>
  <c r="K86" i="1"/>
  <c r="K107" i="1"/>
  <c r="W99" i="1"/>
  <c r="W103" i="1"/>
  <c r="W107" i="1"/>
  <c r="U103" i="1"/>
  <c r="U89" i="1"/>
  <c r="H104" i="1"/>
  <c r="Q104" i="1"/>
  <c r="E70" i="1"/>
  <c r="S108" i="1"/>
  <c r="E99" i="1"/>
  <c r="E104" i="1"/>
  <c r="P86" i="1"/>
  <c r="N110" i="1"/>
  <c r="N95" i="1"/>
  <c r="J108" i="1"/>
  <c r="J111" i="1"/>
  <c r="L68" i="1"/>
  <c r="S99" i="1"/>
  <c r="AC68" i="1"/>
  <c r="O86" i="1"/>
  <c r="E92" i="1"/>
  <c r="AC108" i="1"/>
  <c r="T94" i="1"/>
  <c r="Q89" i="1"/>
  <c r="R85" i="1"/>
  <c r="V114" i="1"/>
  <c r="T68" i="1"/>
  <c r="K68" i="1"/>
  <c r="AD103" i="1"/>
  <c r="U87" i="1"/>
  <c r="S111" i="1"/>
  <c r="R89" i="1"/>
  <c r="W86" i="1"/>
  <c r="Q111" i="1"/>
  <c r="E107" i="1"/>
  <c r="E110" i="1"/>
  <c r="AD102" i="1"/>
  <c r="R68" i="1"/>
  <c r="L103" i="1"/>
  <c r="AE94" i="1"/>
  <c r="AB92" i="1"/>
  <c r="H110" i="1"/>
  <c r="AC69" i="1"/>
  <c r="F70" i="1"/>
  <c r="F92" i="1"/>
  <c r="M103" i="1"/>
  <c r="F95" i="1"/>
  <c r="AB69" i="1"/>
  <c r="AC87" i="1"/>
  <c r="X66" i="1"/>
  <c r="X69" i="1"/>
  <c r="X70" i="1"/>
  <c r="T87" i="1"/>
  <c r="M111" i="1"/>
  <c r="M114" i="1"/>
  <c r="I111" i="1"/>
  <c r="G103" i="1"/>
  <c r="O70" i="1"/>
  <c r="AD89" i="1"/>
  <c r="O92" i="1"/>
  <c r="AB87" i="1"/>
  <c r="T99" i="1"/>
  <c r="U68" i="1"/>
  <c r="X89" i="1"/>
  <c r="J103" i="1"/>
  <c r="N70" i="1"/>
  <c r="AD104" i="1"/>
  <c r="AE103" i="1"/>
  <c r="O89" i="1"/>
  <c r="G86" i="1"/>
  <c r="U85" i="1"/>
  <c r="AB89" i="1"/>
  <c r="F94" i="1"/>
  <c r="N87" i="1"/>
  <c r="G111" i="1"/>
  <c r="G114" i="1"/>
  <c r="AE95" i="1"/>
  <c r="K110" i="1"/>
  <c r="K113" i="1"/>
  <c r="P94" i="1"/>
  <c r="U70" i="1"/>
  <c r="J86" i="1"/>
  <c r="AB110" i="1"/>
  <c r="AC85" i="1"/>
  <c r="T104" i="1"/>
  <c r="W110" i="1"/>
  <c r="Y70" i="1"/>
  <c r="AC96" i="1"/>
  <c r="AE87" i="1"/>
  <c r="P107" i="1"/>
  <c r="AE96" i="1"/>
  <c r="V95" i="1"/>
  <c r="P96" i="1"/>
  <c r="M85" i="1"/>
  <c r="S95" i="1"/>
  <c r="AD85" i="1"/>
  <c r="R103" i="1"/>
  <c r="P89" i="1"/>
  <c r="H95" i="1"/>
  <c r="AB102" i="1"/>
  <c r="V96" i="1"/>
  <c r="G70" i="1"/>
  <c r="AB94" i="1"/>
  <c r="W92" i="1"/>
  <c r="E95" i="1"/>
  <c r="O104" i="1"/>
  <c r="V104" i="1"/>
  <c r="S96" i="1"/>
  <c r="F89" i="1"/>
  <c r="G68" i="1"/>
  <c r="O87" i="1"/>
  <c r="N113" i="1"/>
  <c r="E108" i="1"/>
  <c r="E111" i="1"/>
  <c r="L110" i="1"/>
  <c r="L113" i="1"/>
  <c r="M86" i="1"/>
  <c r="P99" i="1"/>
  <c r="R96" i="1"/>
  <c r="L85" i="1"/>
  <c r="V110" i="1"/>
  <c r="I95" i="1"/>
  <c r="AC70" i="1"/>
  <c r="W94" i="1"/>
  <c r="R113" i="1"/>
  <c r="N96" i="1"/>
  <c r="H85" i="1"/>
  <c r="AD70" i="1"/>
  <c r="Q96" i="1"/>
  <c r="I114" i="1"/>
  <c r="AD86" i="1"/>
  <c r="N104" i="1"/>
  <c r="Q68" i="1"/>
  <c r="S94" i="1"/>
  <c r="K114" i="1"/>
  <c r="F114" i="1"/>
  <c r="F110" i="1"/>
  <c r="AE113" i="1"/>
  <c r="H113" i="1"/>
  <c r="U107" i="1"/>
  <c r="U110" i="1"/>
  <c r="U113" i="1"/>
  <c r="AB85" i="1"/>
  <c r="K103" i="1"/>
  <c r="N102" i="1"/>
  <c r="V89" i="1"/>
  <c r="F85" i="1"/>
  <c r="H94" i="1"/>
  <c r="X86" i="1"/>
  <c r="G85" i="1"/>
  <c r="AD95" i="1"/>
  <c r="J96" i="1"/>
  <c r="W95" i="1"/>
  <c r="X103" i="1"/>
  <c r="AB103" i="1"/>
  <c r="X94" i="1"/>
  <c r="F103" i="1"/>
  <c r="S86" i="1"/>
  <c r="W85" i="1"/>
  <c r="AC111" i="1"/>
  <c r="AC114" i="1"/>
  <c r="S87" i="1"/>
  <c r="Y86" i="1"/>
  <c r="S103" i="1"/>
  <c r="S102" i="1"/>
  <c r="V85" i="1"/>
  <c r="J87" i="1"/>
  <c r="K95" i="1"/>
  <c r="T96" i="1"/>
  <c r="V87" i="1"/>
  <c r="V113" i="1"/>
  <c r="F86" i="1"/>
  <c r="W89" i="1"/>
  <c r="K96" i="1"/>
  <c r="T110" i="1"/>
  <c r="T113" i="1"/>
  <c r="T89" i="1"/>
  <c r="AE86" i="1"/>
  <c r="N103" i="1"/>
  <c r="U86" i="1"/>
  <c r="O96" i="1"/>
  <c r="G110" i="1"/>
  <c r="G113" i="1"/>
  <c r="P104" i="1"/>
  <c r="AD114" i="1"/>
  <c r="F113" i="1"/>
  <c r="AA89" i="1"/>
  <c r="O94" i="1"/>
  <c r="Y85" i="1"/>
  <c r="T102" i="1"/>
  <c r="N85" i="1"/>
  <c r="M113" i="1"/>
  <c r="U114" i="1"/>
  <c r="AC86" i="1"/>
  <c r="P70" i="1"/>
  <c r="S68" i="1"/>
  <c r="S114" i="1"/>
  <c r="S85" i="1"/>
  <c r="W114" i="1"/>
  <c r="U104" i="1"/>
  <c r="N114" i="1"/>
  <c r="P95" i="1"/>
  <c r="AC94" i="1"/>
  <c r="W102" i="1"/>
  <c r="AB95" i="1"/>
  <c r="AB86" i="1"/>
  <c r="J85" i="1"/>
  <c r="J70" i="1"/>
  <c r="O95" i="1"/>
  <c r="AB70" i="1"/>
  <c r="O85" i="1"/>
  <c r="E102" i="1"/>
  <c r="AC95" i="1"/>
  <c r="P102" i="1"/>
  <c r="K94" i="1"/>
  <c r="F104" i="1"/>
  <c r="X68" i="1"/>
  <c r="E114" i="1"/>
  <c r="P103" i="1"/>
  <c r="F102" i="1"/>
  <c r="I68" i="1"/>
  <c r="O111" i="1"/>
  <c r="D89" i="1"/>
  <c r="E94" i="1"/>
  <c r="W104" i="1"/>
  <c r="AE85" i="1"/>
  <c r="L111" i="1"/>
  <c r="L114" i="1"/>
  <c r="K87" i="1"/>
  <c r="L89" i="1"/>
  <c r="I70" i="1"/>
  <c r="R111" i="1"/>
  <c r="L86" i="1"/>
  <c r="O110" i="1"/>
  <c r="X87" i="1"/>
  <c r="T108" i="1"/>
  <c r="T111" i="1"/>
  <c r="K104" i="1"/>
  <c r="Q113" i="1"/>
  <c r="M102" i="1"/>
  <c r="AD87" i="1"/>
  <c r="E113" i="1"/>
  <c r="R86" i="1"/>
  <c r="AB96" i="1"/>
  <c r="AD94" i="1"/>
  <c r="U96" i="1"/>
  <c r="N89" i="1"/>
  <c r="M87" i="1"/>
  <c r="O103" i="1"/>
  <c r="Q114" i="1"/>
  <c r="J110" i="1"/>
  <c r="J113" i="1"/>
  <c r="E103" i="1"/>
  <c r="AC104" i="1"/>
  <c r="H102" i="1"/>
  <c r="E96" i="1"/>
  <c r="R114" i="1"/>
  <c r="Q87" i="1"/>
  <c r="R102" i="1"/>
  <c r="J114" i="1"/>
  <c r="P110" i="1"/>
  <c r="P113" i="1"/>
  <c r="V103" i="1"/>
  <c r="V102" i="1"/>
  <c r="AB113" i="1"/>
  <c r="T103" i="1"/>
  <c r="F96" i="1"/>
  <c r="X85" i="1"/>
  <c r="S104" i="1"/>
  <c r="L102" i="1"/>
  <c r="W96" i="1"/>
  <c r="P87" i="1"/>
  <c r="W113" i="1"/>
  <c r="T114" i="1"/>
  <c r="O113" i="1"/>
  <c r="O1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<sst xmlns="http://schemas.openxmlformats.org/spreadsheetml/2006/main" count="663" uniqueCount="524">
  <si>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</si>
  <si>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</si>
  <si>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</si>
  <si>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</si>
  <si>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</si>
  <si>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</si>
  <si>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</si>
  <si>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</si>
  <si>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</si>
  <si>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</si>
  <si>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</si>
  <si>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</si>
  <si>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</si>
  <si>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</si>
  <si>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</si>
  <si>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</si>
  <si>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</si>
  <si>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</si>
  <si>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</si>
  <si>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</si>
  <si>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</si>
  <si>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</si>
  <si>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</si>
  <si>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</si>
  <si>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</si>
  <si>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</si>
  <si>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</si>
  <si>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</si>
  <si>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</si>
  <si>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</si>
  <si>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</si>
  <si>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</si>
  <si>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</si>
  <si>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</si>
  <si>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</si>
  <si>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</si>
  <si>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</si>
  <si>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</si>
  <si>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</si>
  <si>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</si>
  <si>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</si>
  <si>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</si>
  <si>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</si>
  <si>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</si>
  <si>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</si>
  <si>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</si>
  <si>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</si>
  <si>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</si>
  <si>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</si>
  <si>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</si>
  <si>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</si>
  <si>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</si>
  <si>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</si>
  <si>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</si>
  <si>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</si>
  <si>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</si>
  <si>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</si>
  <si>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</si>
  <si>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</si>
  <si>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</si>
  <si>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</si>
  <si>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</si>
  <si>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</si>
  <si>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</si>
  <si>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</si>
  <si>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</si>
  <si>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</si>
  <si>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</si>
  <si>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</si>
  <si>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</si>
  <si>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</si>
  <si>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</si>
  <si>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</si>
  <si>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</si>
  <si>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</si>
  <si>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</si>
  <si>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</si>
  <si>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</si>
  <si>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</si>
  <si>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</si>
  <si>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</si>
  <si>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</si>
  <si>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</si>
  <si>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</si>
  <si>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</si>
  <si>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</si>
  <si>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</si>
  <si>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</si>
  <si>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</si>
  <si>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</si>
  <si>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</si>
  <si>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</si>
  <si>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</si>
  <si>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</si>
  <si>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</si>
  <si>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</si>
  <si>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</si>
  <si>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</si>
  <si>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</si>
  <si>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</si>
  <si>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</si>
  <si>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</si>
  <si>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</si>
  <si>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</si>
  <si>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</si>
  <si>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</si>
  <si>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</si>
  <si>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</si>
  <si>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</si>
  <si>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</si>
  <si>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</si>
  <si>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</si>
  <si>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</si>
  <si>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</si>
  <si>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</si>
  <si>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</si>
  <si>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</si>
  <si>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</si>
  <si>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</si>
  <si>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</si>
  <si>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</si>
  <si>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</si>
  <si>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</si>
  <si>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</si>
  <si>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</si>
  <si>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</si>
  <si>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</si>
  <si>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</si>
  <si>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</si>
  <si>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</si>
  <si>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</si>
  <si>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</si>
  <si>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</si>
  <si>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</si>
  <si>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</si>
  <si>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</si>
  <si>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</si>
  <si>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</si>
  <si>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</si>
  <si>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</si>
  <si>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</si>
  <si>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</si>
  <si>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</si>
  <si>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</si>
  <si>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</si>
  <si>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</si>
  <si>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</si>
  <si>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</si>
  <si>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</si>
  <si>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</si>
  <si>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</si>
  <si>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</si>
  <si>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</si>
  <si>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</si>
  <si>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</si>
  <si>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</si>
  <si>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</si>
  <si>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</si>
  <si>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</si>
  <si>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</si>
  <si>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</si>
  <si>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</si>
  <si>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</si>
  <si>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</si>
  <si>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</si>
  <si>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</si>
  <si>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</si>
  <si>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</si>
  <si>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</si>
  <si>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</si>
  <si>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</si>
  <si>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</si>
  <si>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</si>
  <si>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</si>
  <si>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</si>
  <si>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</si>
  <si>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</si>
  <si>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</si>
  <si>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</si>
  <si>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</si>
  <si>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</si>
  <si>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</si>
  <si>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</si>
  <si>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</si>
  <si>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</si>
  <si>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</si>
  <si>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</si>
  <si>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</si>
  <si>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</si>
  <si>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</si>
  <si>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</si>
  <si>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</si>
  <si>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</si>
  <si>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</si>
  <si>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</si>
  <si>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</si>
  <si>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</si>
  <si>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</si>
  <si>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</si>
  <si>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</si>
  <si>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</si>
  <si>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</si>
  <si>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</si>
  <si>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</si>
  <si>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</si>
  <si>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</si>
  <si>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</si>
  <si>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</si>
  <si>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</si>
  <si>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</si>
  <si>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</si>
  <si>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</si>
  <si>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</si>
  <si>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</si>
  <si>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</si>
  <si>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</si>
  <si>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</si>
  <si>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</si>
  <si>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</si>
  <si>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</si>
  <si>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</si>
  <si>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</si>
  <si>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</si>
  <si>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</si>
  <si>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</si>
  <si>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</si>
  <si>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</si>
  <si>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</si>
  <si>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</si>
  <si>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</si>
  <si>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</si>
  <si>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</si>
  <si>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</si>
  <si>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</si>
  <si>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</si>
  <si>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</si>
  <si>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</si>
  <si>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</si>
  <si>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</si>
  <si>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</si>
  <si>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</si>
  <si>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</si>
  <si>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</si>
  <si>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</si>
  <si>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</si>
  <si>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</si>
  <si>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</si>
  <si>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</si>
  <si>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</si>
  <si>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</si>
  <si>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</si>
  <si>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</si>
  <si>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</si>
  <si>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</si>
  <si>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</si>
  <si>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</si>
  <si>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</si>
  <si>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</si>
  <si>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</si>
  <si>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</si>
  <si>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</si>
  <si>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</si>
  <si>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</si>
  <si>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</si>
  <si>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</si>
  <si>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</si>
  <si>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</si>
  <si>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</si>
  <si>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</si>
  <si>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</si>
  <si>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</si>
  <si>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</si>
  <si>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</si>
  <si>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</si>
  <si>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</si>
  <si>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</si>
  <si>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</si>
  <si>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</si>
  <si>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</si>
  <si>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</si>
  <si>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</si>
  <si>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</si>
  <si>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</si>
  <si>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</si>
  <si>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</si>
  <si>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</si>
  <si>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</si>
  <si>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</si>
  <si>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</si>
  <si>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</si>
  <si>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</si>
  <si>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</si>
  <si>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</si>
  <si>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</si>
  <si>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</si>
  <si>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</si>
  <si>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</si>
  <si>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</si>
  <si>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</si>
  <si>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</si>
  <si>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</si>
  <si>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</si>
  <si>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</si>
  <si>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</si>
  <si>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</si>
  <si>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</si>
  <si>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</si>
  <si>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</si>
  <si>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</si>
  <si>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</si>
  <si>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</si>
  <si>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</si>
  <si>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</si>
  <si>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</si>
  <si>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</si>
  <si>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</si>
  <si>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</si>
  <si>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</si>
  <si>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</si>
  <si>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</si>
  <si>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</si>
  <si>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</si>
  <si>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</si>
  <si>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</si>
  <si>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</si>
  <si>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</si>
  <si>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</si>
  <si>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</si>
  <si>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</si>
  <si>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</si>
  <si>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</si>
  <si>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</si>
  <si>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</si>
  <si>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</si>
  <si>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</si>
  <si>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</si>
  <si>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</si>
  <si>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</si>
  <si>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</si>
  <si>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</si>
  <si>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</si>
  <si>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</si>
  <si>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</si>
  <si>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</si>
  <si>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</si>
  <si>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</si>
  <si>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</si>
  <si>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</si>
  <si>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</si>
  <si>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</si>
  <si>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</si>
  <si>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</si>
  <si>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</si>
  <si>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</si>
  <si>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</si>
  <si>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</si>
  <si>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</si>
  <si>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</si>
  <si>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</si>
  <si>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</si>
  <si>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</si>
  <si>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</si>
  <si>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</si>
  <si>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</si>
  <si>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</si>
  <si>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</si>
  <si>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</si>
  <si>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</si>
  <si>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</si>
  <si>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</si>
  <si>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</si>
  <si>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</si>
  <si>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</si>
  <si>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</si>
  <si>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</si>
  <si>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</si>
  <si>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</si>
  <si>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</si>
  <si>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</si>
  <si>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</si>
  <si>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</si>
  <si>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</si>
  <si>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</si>
  <si>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</si>
  <si>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</si>
  <si>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</si>
  <si>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</si>
  <si>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</si>
  <si>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</si>
  <si>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</si>
  <si>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</si>
  <si>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</si>
  <si>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</si>
  <si>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</si>
  <si>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</si>
  <si>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</si>
  <si>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</si>
  <si>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</si>
  <si>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</si>
  <si>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</si>
  <si>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</si>
  <si>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</si>
  <si>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</si>
  <si>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</si>
  <si>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</si>
  <si>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</si>
  <si>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</si>
  <si>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</si>
  <si>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</si>
  <si>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</si>
  <si>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</si>
  <si>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</si>
  <si>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</si>
  <si>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</si>
  <si>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</si>
  <si>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</si>
  <si>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</si>
  <si>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</si>
  <si>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</si>
  <si>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</si>
  <si>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</si>
  <si>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</si>
  <si>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</si>
  <si>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</si>
  <si>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</si>
  <si>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</si>
  <si>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</si>
  <si>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</si>
  <si>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</si>
  <si>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</si>
  <si>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</si>
  <si>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</si>
  <si>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</si>
  <si>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</si>
  <si>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</si>
  <si>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</si>
  <si>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</si>
  <si>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</si>
  <si>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</si>
  <si>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</si>
  <si>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</si>
  <si>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</si>
  <si>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</si>
  <si>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</si>
  <si>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</si>
  <si>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</si>
  <si>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</si>
  <si>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</si>
  <si>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</si>
  <si>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</si>
  <si>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</si>
  <si>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</si>
  <si>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</si>
  <si>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</si>
  <si>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</si>
  <si>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</si>
  <si>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</si>
  <si>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</si>
  <si>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</si>
  <si>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</si>
  <si>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</si>
  <si>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</si>
  <si>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</si>
  <si>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</si>
  <si>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</si>
  <si>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</si>
  <si>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</si>
  <si>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</si>
  <si>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</si>
  <si>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</si>
  <si>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</si>
  <si>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</si>
  <si>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</si>
  <si>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</si>
  <si>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</si>
  <si>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</si>
  <si>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</si>
  <si>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</si>
  <si>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</si>
  <si>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</si>
  <si>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</si>
  <si>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</si>
  <si>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</si>
  <si>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</si>
  <si>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</si>
  <si>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</si>
  <si>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</si>
  <si>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</si>
  <si>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</si>
  <si>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</si>
  <si>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</si>
  <si>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</si>
  <si>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</si>
  <si>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</si>
  <si>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</si>
  <si>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</si>
  <si>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</si>
  <si>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</si>
  <si>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</si>
  <si>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</si>
  <si>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</si>
  <si>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</si>
  <si>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</si>
  <si>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</si>
  <si>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</si>
  <si>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</si>
  <si>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</si>
  <si>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</si>
  <si>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</si>
  <si>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</si>
  <si>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</si>
  <si>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</si>
  <si>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</si>
  <si>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</si>
  <si>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</si>
  <si>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Lloyds Enterprises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</si>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</sst>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Lloyds Enterprises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38.068714946</v>
      </c>
      <c r="H8" s="25">
        <f>'Annual Raw'!I6</f>
        <v>77.784954361999993</v>
      </c>
      <c r="I8" s="25">
        <f>'Annual Raw'!J6</f>
        <v>258.92859601999999</v>
      </c>
      <c r="J8" s="25">
        <f>'Annual Raw'!K6</f>
        <v>307.43178460000001</v>
      </c>
      <c r="K8" s="25">
        <f>'Annual Raw'!L6</f>
        <v>352.45209999999997</v>
      </c>
      <c r="L8" s="25">
        <f>'Annual Raw'!M6</f>
        <v>699.32500000000005</v>
      </c>
      <c r="M8" s="25">
        <f>'Annual Raw'!N6</f>
        <v>993.02760000000001</v>
      </c>
      <c r="N8" s="25">
        <f>'Annual Raw'!O6</f>
        <v>80.783799999999999</v>
      </c>
      <c r="O8" s="25">
        <f>'Annual Raw'!P6</f>
        <v>0</v>
      </c>
      <c r="P8" s="25">
        <f>'Annual Raw'!Q6</f>
        <v>293.58608779999997</v>
      </c>
      <c r="Q8" s="25">
        <f>'Annual Raw'!R6</f>
        <v>131.95302100000001</v>
      </c>
      <c r="R8" s="25">
        <f>'Annual Raw'!S6</f>
        <v>47.351212799999999</v>
      </c>
      <c r="S8" s="25">
        <f>'Annual Raw'!T6</f>
        <v>242.7654</v>
      </c>
      <c r="T8" s="25">
        <f>'Annual Raw'!U6</f>
        <v>14.578900000000001</v>
      </c>
      <c r="U8" s="25">
        <f>'Annual Raw'!V6</f>
        <v>0.56899999999999995</v>
      </c>
      <c r="V8" s="25">
        <f>'Annual Raw'!W6</f>
        <v>0.80489999999999995</v>
      </c>
      <c r="W8" s="25">
        <f>'Annual Raw'!X6</f>
        <v>47.8247</v>
      </c>
      <c r="X8" s="25">
        <f>'Annual Raw'!Y6</f>
        <v>380.29899999999998</v>
      </c>
      <c r="Y8" s="25">
        <f>'Annual Raw'!Z6</f>
        <v>958.43740000000003</v>
      </c>
      <c r="Z8" s="25">
        <f>'Annual Raw'!AA6</f>
        <v>1488.29</v>
      </c>
      <c r="AA8" s="25">
        <f>'Annual Raw'!AB6</f>
        <v>1756.29</v>
      </c>
      <c r="AB8" s="17">
        <f>+SUM(CM8:CP8)</f>
        <v>2116.1927842744462</v>
      </c>
      <c r="AC8" s="17">
        <f>+SUM(CQ8:CT8)</f>
        <v>2558.6285798580407</v>
      </c>
      <c r="AD8" s="17">
        <f>+SUM(CU8:CX8)</f>
        <v>3096.953827160045</v>
      </c>
      <c r="AE8" s="17">
        <f>+SUM(CY8:DB8)</f>
        <v>3749.5254009977161</v>
      </c>
      <c r="AI8" s="25">
        <f>'QTR Raw'!C6+'QTR Raw'!C8</f>
        <v>80.784000000000006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118.465</v>
      </c>
      <c r="AT8" s="25">
        <f>'QTR Raw'!N6+'QTR Raw'!N8</f>
        <v>175.12100000000001</v>
      </c>
      <c r="AU8" s="25">
        <f>'QTR Raw'!O6+'QTR Raw'!O8</f>
        <v>0</v>
      </c>
      <c r="AV8" s="25">
        <f>'QTR Raw'!P6+'QTR Raw'!P8</f>
        <v>10.765000000000001</v>
      </c>
      <c r="AW8" s="25">
        <f>'QTR Raw'!Q6+'QTR Raw'!Q8</f>
        <v>12.837</v>
      </c>
      <c r="AX8" s="25">
        <f>'QTR Raw'!R6+'QTR Raw'!R8</f>
        <v>108.351</v>
      </c>
      <c r="AY8" s="25">
        <f>'QTR Raw'!S6+'QTR Raw'!S8</f>
        <v>0</v>
      </c>
      <c r="AZ8" s="25">
        <f>'QTR Raw'!T6+'QTR Raw'!T8</f>
        <v>10.374000000000001</v>
      </c>
      <c r="BA8" s="25">
        <f>'QTR Raw'!U6+'QTR Raw'!U8</f>
        <v>21.081</v>
      </c>
      <c r="BB8" s="25">
        <f>'QTR Raw'!V6+'QTR Raw'!V8</f>
        <v>15.896000000000001</v>
      </c>
      <c r="BC8" s="25">
        <f>'QTR Raw'!W6+'QTR Raw'!W8</f>
        <v>0</v>
      </c>
      <c r="BD8" s="25">
        <f>'QTR Raw'!X6+'QTR Raw'!X8</f>
        <v>30.587</v>
      </c>
      <c r="BE8" s="25">
        <f>'QTR Raw'!Y6+'QTR Raw'!Y8</f>
        <v>109.396</v>
      </c>
      <c r="BF8" s="25">
        <f>'QTR Raw'!Z6+'QTR Raw'!Z8</f>
        <v>102.783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12.106999999999999</v>
      </c>
      <c r="BJ8" s="25">
        <f>'QTR Raw'!AD6+'QTR Raw'!AD8</f>
        <v>2.472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0</v>
      </c>
      <c r="BN8" s="25">
        <f>'QTR Raw'!AH6+'QTR Raw'!AH8</f>
        <v>0.56899999999999995</v>
      </c>
      <c r="BO8" s="25">
        <f>'QTR Raw'!AI6+'QTR Raw'!AI8</f>
        <v>0</v>
      </c>
      <c r="BP8" s="25">
        <f>'QTR Raw'!AJ6+'QTR Raw'!AJ8</f>
        <v>0</v>
      </c>
      <c r="BQ8" s="25">
        <f>'QTR Raw'!AK6+'QTR Raw'!AK8</f>
        <v>0</v>
      </c>
      <c r="BR8" s="25">
        <f>'QTR Raw'!AL6+'QTR Raw'!AL8</f>
        <v>0.80500000000000005</v>
      </c>
      <c r="BS8" s="25">
        <f>'QTR Raw'!AM6+'QTR Raw'!AM8</f>
        <v>1.867</v>
      </c>
      <c r="BT8" s="25">
        <f>'QTR Raw'!AN6+'QTR Raw'!AN8</f>
        <v>7.3650000000000002</v>
      </c>
      <c r="BU8" s="25">
        <f>'QTR Raw'!AO6+'QTR Raw'!AO8</f>
        <v>19.285</v>
      </c>
      <c r="BV8" s="25">
        <f>'QTR Raw'!AP6+'QTR Raw'!AP8</f>
        <v>19.306999999999999</v>
      </c>
      <c r="BW8" s="25">
        <f>'QTR Raw'!AQ6+'QTR Raw'!AQ8</f>
        <v>50.771000000000001</v>
      </c>
      <c r="BX8" s="25">
        <f>'QTR Raw'!AR6+'QTR Raw'!AR8</f>
        <v>29.58</v>
      </c>
      <c r="BY8" s="25">
        <f>'QTR Raw'!AS6+'QTR Raw'!AS8</f>
        <v>58.408999999999999</v>
      </c>
      <c r="BZ8" s="25">
        <f>'QTR Raw'!AT6+'QTR Raw'!AT8</f>
        <v>241.53899999999999</v>
      </c>
      <c r="CA8" s="25">
        <f>'QTR Raw'!AU6+'QTR Raw'!AU8</f>
        <v>151.25700000000001</v>
      </c>
      <c r="CB8" s="25">
        <f>'QTR Raw'!AV6+'QTR Raw'!AV8</f>
        <v>149.32</v>
      </c>
      <c r="CC8" s="25">
        <f>'QTR Raw'!AW6+'QTR Raw'!AW8</f>
        <v>324.15800000000002</v>
      </c>
      <c r="CD8" s="25">
        <f>'QTR Raw'!AX6+'QTR Raw'!AX8</f>
        <v>333.702</v>
      </c>
      <c r="CE8" s="25">
        <f>'QTR Raw'!AY6+'QTR Raw'!AY8</f>
        <v>323.18</v>
      </c>
      <c r="CF8" s="25">
        <f>'QTR Raw'!AZ6+'QTR Raw'!AZ8</f>
        <v>385.48</v>
      </c>
      <c r="CG8" s="25">
        <f>'QTR Raw'!BA6+'QTR Raw'!BA8</f>
        <v>290.3</v>
      </c>
      <c r="CH8" s="25">
        <f>'QTR Raw'!BB6+'QTR Raw'!BB8</f>
        <v>489.32</v>
      </c>
      <c r="CI8" s="25">
        <f>'QTR Raw'!BC6+'QTR Raw'!BC8</f>
        <v>330.9</v>
      </c>
      <c r="CJ8" s="25">
        <f>'QTR Raw'!BD6+'QTR Raw'!BD8</f>
        <v>406.57</v>
      </c>
      <c r="CK8" s="25">
        <f>'QTR Raw'!BE6+'QTR Raw'!BE8</f>
        <v>299.18</v>
      </c>
      <c r="CL8" s="25">
        <f>'QTR Raw'!BF6+'QTR Raw'!BF8</f>
        <v>719.64</v>
      </c>
      <c r="CM8" s="17">
        <f t="shared" ref="CM8:DB8" si="33">+CI10+(CM11*CI10)</f>
        <v>378.87071335398872</v>
      </c>
      <c r="CN8" s="17">
        <f t="shared" si="33"/>
        <v>477.81778459615703</v>
      </c>
      <c r="CO8" s="17">
        <f t="shared" si="33"/>
        <v>360.62369012752578</v>
      </c>
      <c r="CP8" s="17">
        <f t="shared" si="33"/>
        <v>898.8805961967746</v>
      </c>
      <c r="CQ8" s="17">
        <f t="shared" si="33"/>
        <v>452.24423766412735</v>
      </c>
      <c r="CR8" s="17">
        <f t="shared" si="33"/>
        <v>576.17040473406087</v>
      </c>
      <c r="CS8" s="17">
        <f t="shared" si="33"/>
        <v>437.61182637949219</v>
      </c>
      <c r="CT8" s="17">
        <f t="shared" si="33"/>
        <v>1092.6021110803601</v>
      </c>
      <c r="CU8" s="17">
        <f t="shared" si="33"/>
        <v>545.91544909469303</v>
      </c>
      <c r="CV8" s="17">
        <f t="shared" si="33"/>
        <v>697.44888982783834</v>
      </c>
      <c r="CW8" s="17">
        <f t="shared" si="33"/>
        <v>530.23413987150423</v>
      </c>
      <c r="CX8" s="17">
        <f t="shared" si="33"/>
        <v>1323.3553483660096</v>
      </c>
      <c r="CY8" s="17">
        <f t="shared" si="33"/>
        <v>660.62129407399345</v>
      </c>
      <c r="CZ8" s="17">
        <f t="shared" si="33"/>
        <v>844.51596880850252</v>
      </c>
      <c r="DA8" s="17">
        <f t="shared" si="33"/>
        <v>642.0911273186905</v>
      </c>
      <c r="DB8" s="17">
        <f t="shared" si="33"/>
        <v>1602.2970107965295</v>
      </c>
      <c r="DE8" s="119"/>
      <c r="DF8" s="25">
        <v>559.72710455004642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4.0000000000000002E-4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38.068714946</v>
      </c>
      <c r="H10" s="26">
        <f t="shared" si="34"/>
        <v>77.784954361999993</v>
      </c>
      <c r="I10" s="26">
        <f t="shared" si="34"/>
        <v>258.92859601999999</v>
      </c>
      <c r="J10" s="26">
        <f t="shared" si="34"/>
        <v>307.43178460000001</v>
      </c>
      <c r="K10" s="26">
        <f t="shared" si="34"/>
        <v>352.45209999999997</v>
      </c>
      <c r="L10" s="26">
        <f t="shared" si="34"/>
        <v>699.32500000000005</v>
      </c>
      <c r="M10" s="26">
        <f t="shared" si="34"/>
        <v>993.02760000000001</v>
      </c>
      <c r="N10" s="26">
        <f t="shared" si="34"/>
        <v>80.783799999999999</v>
      </c>
      <c r="O10" s="26">
        <f t="shared" si="34"/>
        <v>0</v>
      </c>
      <c r="P10" s="26">
        <f t="shared" si="34"/>
        <v>293.58608779999997</v>
      </c>
      <c r="Q10" s="26">
        <f t="shared" si="34"/>
        <v>131.95302100000001</v>
      </c>
      <c r="R10" s="26">
        <f t="shared" si="34"/>
        <v>47.351212799999999</v>
      </c>
      <c r="S10" s="26">
        <f t="shared" si="34"/>
        <v>242.7654</v>
      </c>
      <c r="T10" s="26">
        <f t="shared" si="34"/>
        <v>14.578900000000001</v>
      </c>
      <c r="U10" s="26">
        <f t="shared" si="34"/>
        <v>0.56859999999999999</v>
      </c>
      <c r="V10" s="26">
        <f>+V8-V9</f>
        <v>0.80489999999999995</v>
      </c>
      <c r="W10" s="26">
        <f>+W8-W9</f>
        <v>47.8247</v>
      </c>
      <c r="X10" s="26">
        <f>+X8-X9</f>
        <v>380.29899999999998</v>
      </c>
      <c r="Y10" s="26">
        <f>+Y8-Y9</f>
        <v>958.43740000000003</v>
      </c>
      <c r="Z10" s="26">
        <f>+Z8-Z9</f>
        <v>1488.29</v>
      </c>
      <c r="AA10" s="26">
        <f>+AA8-AA9</f>
        <v>1756.29</v>
      </c>
      <c r="AB10" s="27">
        <f t="shared" ref="AB10:AD10" si="35">+AB8-AB9</f>
        <v>2116.1927842744462</v>
      </c>
      <c r="AC10" s="27">
        <f t="shared" si="35"/>
        <v>2558.6285798580407</v>
      </c>
      <c r="AD10" s="27">
        <f t="shared" si="35"/>
        <v>3096.953827160045</v>
      </c>
      <c r="AE10" s="27">
        <f t="shared" ref="AE10" si="36">+AE8-AE9</f>
        <v>3749.5254009977161</v>
      </c>
      <c r="AI10" s="26">
        <f t="shared" ref="AI10" si="37">+AI8-AI9</f>
        <v>80.784000000000006</v>
      </c>
      <c r="AJ10" s="26">
        <f t="shared" ref="AJ10" si="38">+AJ8-AJ9</f>
        <v>0</v>
      </c>
      <c r="AK10" s="26">
        <f t="shared" ref="AK10:AM10" si="39">+AK8-AK9</f>
        <v>0</v>
      </c>
      <c r="AL10" s="26">
        <f t="shared" si="39"/>
        <v>0</v>
      </c>
      <c r="AM10" s="26">
        <f t="shared" si="39"/>
        <v>0</v>
      </c>
      <c r="AN10" s="26">
        <f t="shared" ref="AN10:AO10" si="40">+AN8-AN9</f>
        <v>0</v>
      </c>
      <c r="AO10" s="26">
        <f t="shared" si="40"/>
        <v>0</v>
      </c>
      <c r="AP10" s="26">
        <f t="shared" ref="AP10:AW10" si="41">+AP8-AP9</f>
        <v>0</v>
      </c>
      <c r="AQ10" s="26">
        <f t="shared" si="41"/>
        <v>0</v>
      </c>
      <c r="AR10" s="26">
        <f t="shared" si="41"/>
        <v>0</v>
      </c>
      <c r="AS10" s="26">
        <f t="shared" si="41"/>
        <v>118.465</v>
      </c>
      <c r="AT10" s="26">
        <f t="shared" si="41"/>
        <v>175.12100000000001</v>
      </c>
      <c r="AU10" s="26">
        <f t="shared" si="41"/>
        <v>0</v>
      </c>
      <c r="AV10" s="26">
        <f t="shared" si="41"/>
        <v>10.765000000000001</v>
      </c>
      <c r="AW10" s="26">
        <f t="shared" si="41"/>
        <v>12.837</v>
      </c>
      <c r="AX10" s="26">
        <f t="shared" ref="AX10:CF10" si="42">+AX8-AX9</f>
        <v>108.351</v>
      </c>
      <c r="AY10" s="26">
        <f t="shared" si="42"/>
        <v>0</v>
      </c>
      <c r="AZ10" s="26">
        <f t="shared" si="42"/>
        <v>10.374000000000001</v>
      </c>
      <c r="BA10" s="26">
        <f t="shared" si="42"/>
        <v>21.081</v>
      </c>
      <c r="BB10" s="26">
        <f t="shared" si="42"/>
        <v>15.896000000000001</v>
      </c>
      <c r="BC10" s="26">
        <f t="shared" si="42"/>
        <v>0</v>
      </c>
      <c r="BD10" s="26">
        <f t="shared" si="42"/>
        <v>30.587</v>
      </c>
      <c r="BE10" s="26">
        <f t="shared" si="42"/>
        <v>109.396</v>
      </c>
      <c r="BF10" s="26">
        <f t="shared" si="42"/>
        <v>102.783</v>
      </c>
      <c r="BG10" s="26">
        <f t="shared" si="42"/>
        <v>0</v>
      </c>
      <c r="BH10" s="26">
        <f t="shared" si="42"/>
        <v>0</v>
      </c>
      <c r="BI10" s="26">
        <f t="shared" si="42"/>
        <v>12.106999999999999</v>
      </c>
      <c r="BJ10" s="26">
        <f t="shared" si="42"/>
        <v>2.472</v>
      </c>
      <c r="BK10" s="26">
        <f t="shared" si="42"/>
        <v>0</v>
      </c>
      <c r="BL10" s="26">
        <f t="shared" si="42"/>
        <v>0</v>
      </c>
      <c r="BM10" s="26">
        <f t="shared" si="42"/>
        <v>0</v>
      </c>
      <c r="BN10" s="26">
        <f t="shared" si="42"/>
        <v>0.56899999999999995</v>
      </c>
      <c r="BO10" s="26">
        <f t="shared" si="42"/>
        <v>0</v>
      </c>
      <c r="BP10" s="26">
        <f t="shared" si="42"/>
        <v>0</v>
      </c>
      <c r="BQ10" s="26">
        <f t="shared" si="42"/>
        <v>0</v>
      </c>
      <c r="BR10" s="26">
        <f t="shared" si="42"/>
        <v>0.80500000000000005</v>
      </c>
      <c r="BS10" s="26">
        <f t="shared" si="42"/>
        <v>1.867</v>
      </c>
      <c r="BT10" s="26">
        <f t="shared" si="42"/>
        <v>7.3650000000000002</v>
      </c>
      <c r="BU10" s="26">
        <f t="shared" si="42"/>
        <v>19.285</v>
      </c>
      <c r="BV10" s="26">
        <f t="shared" si="42"/>
        <v>19.306999999999999</v>
      </c>
      <c r="BW10" s="26">
        <f t="shared" si="42"/>
        <v>50.771000000000001</v>
      </c>
      <c r="BX10" s="26">
        <f t="shared" si="42"/>
        <v>29.58</v>
      </c>
      <c r="BY10" s="26">
        <f t="shared" si="42"/>
        <v>58.408999999999999</v>
      </c>
      <c r="BZ10" s="26">
        <f t="shared" si="42"/>
        <v>241.53899999999999</v>
      </c>
      <c r="CA10" s="26">
        <f t="shared" si="42"/>
        <v>151.25700000000001</v>
      </c>
      <c r="CB10" s="26">
        <f t="shared" si="42"/>
        <v>149.32</v>
      </c>
      <c r="CC10" s="26">
        <f t="shared" si="42"/>
        <v>324.15800000000002</v>
      </c>
      <c r="CD10" s="26">
        <f t="shared" si="42"/>
        <v>333.702</v>
      </c>
      <c r="CE10" s="26">
        <f t="shared" si="42"/>
        <v>323.18</v>
      </c>
      <c r="CF10" s="26">
        <f t="shared" si="42"/>
        <v>385.48</v>
      </c>
      <c r="CG10" s="26">
        <f t="shared" ref="CG10:CH10" si="43">+CG8-CG9</f>
        <v>290.3</v>
      </c>
      <c r="CH10" s="26">
        <f t="shared" si="43"/>
        <v>489.32</v>
      </c>
      <c r="CI10" s="26">
        <f t="shared" ref="CI10:CJ10" si="44">+CI8-CI9</f>
        <v>330.9</v>
      </c>
      <c r="CJ10" s="26">
        <f t="shared" si="44"/>
        <v>406.57</v>
      </c>
      <c r="CK10" s="26">
        <f t="shared" ref="CK10:CL10" si="45">+CK8-CK9</f>
        <v>299.18</v>
      </c>
      <c r="CL10" s="26">
        <f t="shared" si="45"/>
        <v>719.64</v>
      </c>
      <c r="CM10" s="27">
        <f t="shared" ref="CM10:DB10" si="46">+CM8-CM9</f>
        <v>378.87071335398872</v>
      </c>
      <c r="CN10" s="27">
        <f t="shared" si="46"/>
        <v>477.81778459615703</v>
      </c>
      <c r="CO10" s="27">
        <f t="shared" si="46"/>
        <v>360.62369012752578</v>
      </c>
      <c r="CP10" s="27">
        <f t="shared" si="46"/>
        <v>898.8805961967746</v>
      </c>
      <c r="CQ10" s="27">
        <f t="shared" si="46"/>
        <v>452.24423766412735</v>
      </c>
      <c r="CR10" s="27">
        <f t="shared" si="46"/>
        <v>576.17040473406087</v>
      </c>
      <c r="CS10" s="27">
        <f t="shared" si="46"/>
        <v>437.61182637949219</v>
      </c>
      <c r="CT10" s="27">
        <f t="shared" si="46"/>
        <v>1092.6021110803601</v>
      </c>
      <c r="CU10" s="27">
        <f t="shared" si="46"/>
        <v>545.91544909469303</v>
      </c>
      <c r="CV10" s="27">
        <f t="shared" si="46"/>
        <v>697.44888982783834</v>
      </c>
      <c r="CW10" s="27">
        <f t="shared" si="46"/>
        <v>530.23413987150423</v>
      </c>
      <c r="CX10" s="27">
        <f t="shared" si="46"/>
        <v>1323.3553483660096</v>
      </c>
      <c r="CY10" s="27">
        <f t="shared" si="46"/>
        <v>660.62129407399345</v>
      </c>
      <c r="CZ10" s="27">
        <f t="shared" si="46"/>
        <v>844.51596880850252</v>
      </c>
      <c r="DA10" s="27">
        <f t="shared" si="46"/>
        <v>642.0911273186905</v>
      </c>
      <c r="DB10" s="27">
        <f t="shared" si="46"/>
        <v>1602.2970107965295</v>
      </c>
      <c r="DE10" s="121"/>
      <c r="DF10" s="26">
        <v>559.72710455004642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>
        <f t="shared" si="50"/>
        <v>1.0432776486502626</v>
      </c>
      <c r="I11" s="39">
        <f t="shared" si="50"/>
        <v>2.328774801550741</v>
      </c>
      <c r="J11" s="39">
        <f t="shared" si="50"/>
        <v>0.1873226415527065</v>
      </c>
      <c r="K11" s="39">
        <f>K10/J10-1</f>
        <v>0.14644001581871557</v>
      </c>
      <c r="L11" s="39">
        <f t="shared" si="50"/>
        <v>0.98417033123082565</v>
      </c>
      <c r="M11" s="39">
        <f t="shared" si="50"/>
        <v>0.4199801236907017</v>
      </c>
      <c r="N11" s="39">
        <f t="shared" si="50"/>
        <v>-0.91864898820536312</v>
      </c>
      <c r="O11" s="39">
        <f t="shared" si="50"/>
        <v>-1</v>
      </c>
      <c r="P11" s="39" t="e">
        <f t="shared" si="50"/>
        <v>#DIV/0!</v>
      </c>
      <c r="Q11" s="39">
        <f t="shared" si="50"/>
        <v>-0.55054743230922254</v>
      </c>
      <c r="R11" s="39">
        <f t="shared" si="50"/>
        <v>-0.64115097599773785</v>
      </c>
      <c r="S11" s="39">
        <f t="shared" ref="S11:AA11" si="51">S10/R10-1</f>
        <v>4.1269098644924256</v>
      </c>
      <c r="T11" s="39">
        <f t="shared" si="51"/>
        <v>-0.93994654921994647</v>
      </c>
      <c r="U11" s="39">
        <f t="shared" si="51"/>
        <v>-0.9609984292367737</v>
      </c>
      <c r="V11" s="39">
        <f t="shared" si="51"/>
        <v>0.41558213155117829</v>
      </c>
      <c r="W11" s="39">
        <f t="shared" si="51"/>
        <v>58.416946204497457</v>
      </c>
      <c r="X11" s="39">
        <f t="shared" si="51"/>
        <v>6.9519369698084876</v>
      </c>
      <c r="Y11" s="39">
        <f t="shared" si="51"/>
        <v>1.5202206684740167</v>
      </c>
      <c r="Z11" s="39">
        <f t="shared" si="51"/>
        <v>0.55282963707384525</v>
      </c>
      <c r="AA11" s="39">
        <f t="shared" si="51"/>
        <v>0.18007243212008417</v>
      </c>
      <c r="AB11" s="40">
        <f t="shared" ref="AB11" si="52">AB10/AA10-1</f>
        <v>0.20492218498906567</v>
      </c>
      <c r="AC11" s="40">
        <f t="shared" ref="AC11" si="53">AC10/AB10-1</f>
        <v>0.20907159256536589</v>
      </c>
      <c r="AD11" s="40">
        <f t="shared" ref="AD11" si="54">AD10/AC10-1</f>
        <v>0.21039601118340978</v>
      </c>
      <c r="AE11" s="40">
        <f t="shared" ref="AE11" si="55">AE10/AD10-1</f>
        <v>0.2107140145631714</v>
      </c>
      <c r="AM11" s="39">
        <f t="shared" ref="AM11:CI11" si="56">+IF(AI10&lt;0,1-AM10/AI10,AM10/AI10-1)</f>
        <v>-1</v>
      </c>
      <c r="AN11" s="39" t="e">
        <f t="shared" si="56"/>
        <v>#DIV/0!</v>
      </c>
      <c r="AO11" s="39" t="e">
        <f t="shared" si="56"/>
        <v>#DIV/0!</v>
      </c>
      <c r="AP11" s="39" t="e">
        <f t="shared" si="56"/>
        <v>#DIV/0!</v>
      </c>
      <c r="AQ11" s="39" t="e">
        <f t="shared" si="56"/>
        <v>#DIV/0!</v>
      </c>
      <c r="AR11" s="39" t="e">
        <f t="shared" si="56"/>
        <v>#DIV/0!</v>
      </c>
      <c r="AS11" s="39" t="e">
        <f t="shared" si="56"/>
        <v>#DIV/0!</v>
      </c>
      <c r="AT11" s="39" t="e">
        <f t="shared" si="56"/>
        <v>#DIV/0!</v>
      </c>
      <c r="AU11" s="39" t="e">
        <f t="shared" si="56"/>
        <v>#DIV/0!</v>
      </c>
      <c r="AV11" s="39" t="e">
        <f t="shared" si="56"/>
        <v>#DIV/0!</v>
      </c>
      <c r="AW11" s="39">
        <f t="shared" si="56"/>
        <v>-0.89163888068205799</v>
      </c>
      <c r="AX11" s="39">
        <f t="shared" si="56"/>
        <v>-0.38127922978968831</v>
      </c>
      <c r="AY11" s="39" t="e">
        <f t="shared" si="56"/>
        <v>#DIV/0!</v>
      </c>
      <c r="AZ11" s="39">
        <f t="shared" si="56"/>
        <v>-3.6321411983279095E-2</v>
      </c>
      <c r="BA11" s="39">
        <f t="shared" si="56"/>
        <v>0.64220612292591728</v>
      </c>
      <c r="BB11" s="39">
        <f t="shared" si="56"/>
        <v>-0.85329161705937184</v>
      </c>
      <c r="BC11" s="39" t="e">
        <f t="shared" si="56"/>
        <v>#DIV/0!</v>
      </c>
      <c r="BD11" s="39">
        <f t="shared" si="56"/>
        <v>1.9484287642182379</v>
      </c>
      <c r="BE11" s="39">
        <f t="shared" si="56"/>
        <v>4.1893173948104927</v>
      </c>
      <c r="BF11" s="39">
        <f t="shared" si="56"/>
        <v>5.4659662808253646</v>
      </c>
      <c r="BG11" s="39" t="e">
        <f t="shared" si="56"/>
        <v>#DIV/0!</v>
      </c>
      <c r="BH11" s="39">
        <f t="shared" si="56"/>
        <v>-1</v>
      </c>
      <c r="BI11" s="39">
        <f t="shared" si="56"/>
        <v>-0.88932867746535527</v>
      </c>
      <c r="BJ11" s="39">
        <f t="shared" si="56"/>
        <v>-0.97594933014214413</v>
      </c>
      <c r="BK11" s="39" t="e">
        <f t="shared" si="56"/>
        <v>#DIV/0!</v>
      </c>
      <c r="BL11" s="39" t="e">
        <f t="shared" si="56"/>
        <v>#DIV/0!</v>
      </c>
      <c r="BM11" s="39">
        <f t="shared" si="56"/>
        <v>-1</v>
      </c>
      <c r="BN11" s="39">
        <f t="shared" si="56"/>
        <v>-0.76982200647249188</v>
      </c>
      <c r="BO11" s="39" t="e">
        <f t="shared" si="56"/>
        <v>#DIV/0!</v>
      </c>
      <c r="BP11" s="39" t="e">
        <f t="shared" si="56"/>
        <v>#DIV/0!</v>
      </c>
      <c r="BQ11" s="39" t="e">
        <f t="shared" si="56"/>
        <v>#DIV/0!</v>
      </c>
      <c r="BR11" s="39">
        <f t="shared" si="56"/>
        <v>0.41476274165202121</v>
      </c>
      <c r="BS11" s="39" t="e">
        <f t="shared" si="56"/>
        <v>#DIV/0!</v>
      </c>
      <c r="BT11" s="39" t="e">
        <f t="shared" si="56"/>
        <v>#DIV/0!</v>
      </c>
      <c r="BU11" s="39" t="e">
        <f t="shared" si="56"/>
        <v>#DIV/0!</v>
      </c>
      <c r="BV11" s="39">
        <f t="shared" si="56"/>
        <v>22.983850931677015</v>
      </c>
      <c r="BW11" s="39">
        <f t="shared" si="56"/>
        <v>26.193893947509373</v>
      </c>
      <c r="BX11" s="39">
        <f t="shared" si="56"/>
        <v>3.0162932790224026</v>
      </c>
      <c r="BY11" s="39">
        <f t="shared" si="56"/>
        <v>2.0287269898885145</v>
      </c>
      <c r="BZ11" s="39">
        <f t="shared" si="56"/>
        <v>11.510436629201845</v>
      </c>
      <c r="CA11" s="39">
        <f t="shared" si="56"/>
        <v>1.979200724823226</v>
      </c>
      <c r="CB11" s="39">
        <f t="shared" si="56"/>
        <v>4.0480054090601758</v>
      </c>
      <c r="CC11" s="39">
        <f t="shared" si="56"/>
        <v>4.5497954082418808</v>
      </c>
      <c r="CD11" s="39">
        <f t="shared" si="56"/>
        <v>0.3815657098853602</v>
      </c>
      <c r="CE11" s="39">
        <f t="shared" si="56"/>
        <v>1.1366283874465313</v>
      </c>
      <c r="CF11" s="39">
        <f t="shared" si="56"/>
        <v>1.5815697830163411</v>
      </c>
      <c r="CG11" s="39">
        <f t="shared" si="56"/>
        <v>-0.10444906496214812</v>
      </c>
      <c r="CH11" s="39">
        <f t="shared" si="56"/>
        <v>0.46633822991771101</v>
      </c>
      <c r="CI11" s="39">
        <f t="shared" si="56"/>
        <v>2.3887616807970691E-2</v>
      </c>
      <c r="CJ11" s="39">
        <f>+IF(CF10&lt;0,1-CJ10/CF10,CJ10/CF10-1)</f>
        <v>5.4711009650306064E-2</v>
      </c>
      <c r="CK11" s="39">
        <f>+IF(CG10&lt;0,1-CK10/CG10,CK10/CG10-1)</f>
        <v>3.0589045814674476E-2</v>
      </c>
      <c r="CL11" s="39">
        <f>+IF(CH10&lt;0,1-CL10/CH10,CL10/CH10-1)</f>
        <v>0.4706940243603368</v>
      </c>
      <c r="CM11" s="40">
        <f t="shared" ref="CM11" si="57">+AVERAGE(CI11:CL11)</f>
        <v>0.14497042415832201</v>
      </c>
      <c r="CN11" s="40">
        <f t="shared" ref="CN11" si="58">+AVERAGE(CJ11:CM11)</f>
        <v>0.17524112599590985</v>
      </c>
      <c r="CO11" s="40">
        <f t="shared" ref="CO11" si="59">+AVERAGE(CK11:CN11)</f>
        <v>0.20537365508231081</v>
      </c>
      <c r="CP11" s="40">
        <f t="shared" ref="CP11" si="60">+AVERAGE(CL11:CO11)</f>
        <v>0.24906980739921991</v>
      </c>
      <c r="CQ11" s="40">
        <f t="shared" ref="CQ11" si="61">+AVERAGE(CM11:CP11)</f>
        <v>0.19366375315894063</v>
      </c>
      <c r="CR11" s="40">
        <f t="shared" ref="CR11" si="62">+AVERAGE(CN11:CQ11)</f>
        <v>0.20583708540909529</v>
      </c>
      <c r="CS11" s="40">
        <f t="shared" ref="CS11" si="63">+AVERAGE(CO11:CR11)</f>
        <v>0.21348607526239166</v>
      </c>
      <c r="CT11" s="40">
        <f t="shared" ref="CT11" si="64">+AVERAGE(CP11:CS11)</f>
        <v>0.21551418030741187</v>
      </c>
      <c r="CU11" s="40">
        <f t="shared" ref="CU11" si="65">+AVERAGE(CQ11:CT11)</f>
        <v>0.20712527353445986</v>
      </c>
      <c r="CV11" s="40">
        <f t="shared" ref="CV11" si="66">+AVERAGE(CR11:CU11)</f>
        <v>0.21049065362833966</v>
      </c>
      <c r="CW11" s="40">
        <f t="shared" ref="CW11" si="67">+AVERAGE(CS11:CV11)</f>
        <v>0.21165404568315074</v>
      </c>
      <c r="CX11" s="40">
        <f t="shared" ref="CX11" si="68">+AVERAGE(CT11:CW11)</f>
        <v>0.21119603828834052</v>
      </c>
      <c r="CY11" s="40">
        <f t="shared" ref="CY11" si="69">+AVERAGE(CU11:CX11)</f>
        <v>0.21011650278357269</v>
      </c>
      <c r="CZ11" s="40">
        <f t="shared" ref="CZ11" si="70">+AVERAGE(CV11:CY11)</f>
        <v>0.21086431009585088</v>
      </c>
      <c r="DA11" s="40">
        <f t="shared" ref="DA11" si="71">+AVERAGE(CW11:CZ11)</f>
        <v>0.21095772421272874</v>
      </c>
      <c r="DB11" s="40">
        <f t="shared" ref="DB11" si="72">+AVERAGE(CX11:DA11)</f>
        <v>0.21078364384512321</v>
      </c>
      <c r="DE11" s="122"/>
      <c r="DF11" s="39">
        <v>0.14388297389049837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-1</v>
      </c>
      <c r="AK12" s="39" t="e">
        <f t="shared" si="73"/>
        <v>#DIV/0!</v>
      </c>
      <c r="AL12" s="39" t="e">
        <f t="shared" si="73"/>
        <v>#DIV/0!</v>
      </c>
      <c r="AM12" s="39" t="e">
        <f t="shared" ref="AM12:CI12" si="74">+IF(AL10&lt;0,1-AM10/AL10,AM10/AL10-1)</f>
        <v>#DIV/0!</v>
      </c>
      <c r="AN12" s="39" t="e">
        <f t="shared" si="74"/>
        <v>#DIV/0!</v>
      </c>
      <c r="AO12" s="39" t="e">
        <f t="shared" si="74"/>
        <v>#DIV/0!</v>
      </c>
      <c r="AP12" s="39" t="e">
        <f t="shared" si="74"/>
        <v>#DIV/0!</v>
      </c>
      <c r="AQ12" s="39" t="e">
        <f t="shared" si="74"/>
        <v>#DIV/0!</v>
      </c>
      <c r="AR12" s="39" t="e">
        <f t="shared" si="74"/>
        <v>#DIV/0!</v>
      </c>
      <c r="AS12" s="39" t="e">
        <f t="shared" si="74"/>
        <v>#DIV/0!</v>
      </c>
      <c r="AT12" s="39">
        <f t="shared" si="74"/>
        <v>0.47825096019921509</v>
      </c>
      <c r="AU12" s="39">
        <f t="shared" si="74"/>
        <v>-1</v>
      </c>
      <c r="AV12" s="39" t="e">
        <f t="shared" si="74"/>
        <v>#DIV/0!</v>
      </c>
      <c r="AW12" s="39">
        <f t="shared" si="74"/>
        <v>0.19247561542034353</v>
      </c>
      <c r="AX12" s="39">
        <f t="shared" si="74"/>
        <v>7.4405234867959802</v>
      </c>
      <c r="AY12" s="39">
        <f t="shared" si="74"/>
        <v>-1</v>
      </c>
      <c r="AZ12" s="39" t="e">
        <f t="shared" si="74"/>
        <v>#DIV/0!</v>
      </c>
      <c r="BA12" s="39">
        <f t="shared" si="74"/>
        <v>1.0320994794679001</v>
      </c>
      <c r="BB12" s="39">
        <f t="shared" si="74"/>
        <v>-0.24595607419002885</v>
      </c>
      <c r="BC12" s="39">
        <f t="shared" si="74"/>
        <v>-1</v>
      </c>
      <c r="BD12" s="39" t="e">
        <f t="shared" si="74"/>
        <v>#DIV/0!</v>
      </c>
      <c r="BE12" s="39">
        <f t="shared" si="74"/>
        <v>2.576552129989865</v>
      </c>
      <c r="BF12" s="39">
        <f t="shared" si="74"/>
        <v>-6.0450107865004155E-2</v>
      </c>
      <c r="BG12" s="39">
        <f t="shared" si="74"/>
        <v>-1</v>
      </c>
      <c r="BH12" s="39" t="e">
        <f t="shared" si="74"/>
        <v>#DIV/0!</v>
      </c>
      <c r="BI12" s="39" t="e">
        <f t="shared" si="74"/>
        <v>#DIV/0!</v>
      </c>
      <c r="BJ12" s="39">
        <f t="shared" si="74"/>
        <v>-0.79582059965309326</v>
      </c>
      <c r="BK12" s="39">
        <f t="shared" si="74"/>
        <v>-1</v>
      </c>
      <c r="BL12" s="39" t="e">
        <f t="shared" si="74"/>
        <v>#DIV/0!</v>
      </c>
      <c r="BM12" s="39" t="e">
        <f t="shared" si="74"/>
        <v>#DIV/0!</v>
      </c>
      <c r="BN12" s="39" t="e">
        <f t="shared" si="74"/>
        <v>#DIV/0!</v>
      </c>
      <c r="BO12" s="39">
        <f t="shared" si="74"/>
        <v>-1</v>
      </c>
      <c r="BP12" s="39" t="e">
        <f t="shared" si="74"/>
        <v>#DIV/0!</v>
      </c>
      <c r="BQ12" s="39" t="e">
        <f t="shared" si="74"/>
        <v>#DIV/0!</v>
      </c>
      <c r="BR12" s="39" t="e">
        <f t="shared" si="74"/>
        <v>#DIV/0!</v>
      </c>
      <c r="BS12" s="39">
        <f t="shared" si="74"/>
        <v>1.319254658385093</v>
      </c>
      <c r="BT12" s="39">
        <f t="shared" si="74"/>
        <v>2.9448312801285486</v>
      </c>
      <c r="BU12" s="39">
        <f t="shared" si="74"/>
        <v>1.6184657162253901</v>
      </c>
      <c r="BV12" s="39">
        <f t="shared" si="74"/>
        <v>1.140782991962519E-3</v>
      </c>
      <c r="BW12" s="39">
        <f t="shared" si="74"/>
        <v>1.629667996063604</v>
      </c>
      <c r="BX12" s="39">
        <f t="shared" si="74"/>
        <v>-0.41738393965058795</v>
      </c>
      <c r="BY12" s="39">
        <f t="shared" si="74"/>
        <v>0.97461122379986476</v>
      </c>
      <c r="BZ12" s="39">
        <f t="shared" si="74"/>
        <v>3.1353044907462886</v>
      </c>
      <c r="CA12" s="39">
        <f t="shared" si="74"/>
        <v>-0.37377814762833328</v>
      </c>
      <c r="CB12" s="39">
        <f t="shared" si="74"/>
        <v>-1.2806018894993332E-2</v>
      </c>
      <c r="CC12" s="39">
        <f t="shared" si="74"/>
        <v>1.1708947227431024</v>
      </c>
      <c r="CD12" s="39">
        <f t="shared" si="74"/>
        <v>2.9442432394079399E-2</v>
      </c>
      <c r="CE12" s="39">
        <f t="shared" si="74"/>
        <v>-3.1531126574009138E-2</v>
      </c>
      <c r="CF12" s="39">
        <f t="shared" si="74"/>
        <v>0.19277182993997166</v>
      </c>
      <c r="CG12" s="39">
        <f t="shared" si="74"/>
        <v>-0.2469129397115285</v>
      </c>
      <c r="CH12" s="39">
        <f t="shared" si="74"/>
        <v>0.68556665518429205</v>
      </c>
      <c r="CI12" s="39">
        <f t="shared" si="74"/>
        <v>-0.32375541567890131</v>
      </c>
      <c r="CJ12" s="39">
        <f>+IF(CI10&lt;0,1-CJ10/CI10,CJ10/CI10-1)</f>
        <v>0.2286793593230585</v>
      </c>
      <c r="CK12" s="39">
        <f>+IF(CJ10&lt;0,1-CK10/CJ10,CK10/CJ10-1)</f>
        <v>-0.26413655705044636</v>
      </c>
      <c r="CL12" s="39">
        <f>+IF(CK10&lt;0,1-CL10/CK10,CL10/CK10-1)</f>
        <v>1.4053746908215787</v>
      </c>
      <c r="CM12" s="40">
        <f t="shared" ref="CM12" si="75">+CM10/CL10-1</f>
        <v>-0.47352743961704635</v>
      </c>
      <c r="CN12" s="40">
        <f t="shared" ref="CN12" si="76">+CN10/CM10-1</f>
        <v>0.26116315607039153</v>
      </c>
      <c r="CO12" s="40">
        <f t="shared" ref="CO12" si="77">+CO10/CN10-1</f>
        <v>-0.24526942748202973</v>
      </c>
      <c r="CP12" s="40">
        <f t="shared" ref="CP12" si="78">+CP10/CO10-1</f>
        <v>1.4925722319543326</v>
      </c>
      <c r="CQ12" s="40">
        <f t="shared" ref="CQ12" si="79">+CQ10/CP10-1</f>
        <v>-0.49688063177956698</v>
      </c>
      <c r="CR12" s="40">
        <f t="shared" ref="CR12" si="80">+CR10/CQ10-1</f>
        <v>0.27402486698342621</v>
      </c>
      <c r="CS12" s="40">
        <f t="shared" ref="CS12" si="81">+CS10/CR10-1</f>
        <v>-0.24048194286987412</v>
      </c>
      <c r="CT12" s="40">
        <f t="shared" ref="CT12" si="82">+CT10/CS10-1</f>
        <v>1.4967380797722489</v>
      </c>
      <c r="CU12" s="40">
        <f t="shared" ref="CU12" si="83">+CU10/CT10-1</f>
        <v>-0.50035292485853411</v>
      </c>
      <c r="CV12" s="40">
        <f t="shared" ref="CV12" si="84">+CV10/CU10-1</f>
        <v>0.2775767584237403</v>
      </c>
      <c r="CW12" s="40">
        <f t="shared" ref="CW12" si="85">+CW10/CV10-1</f>
        <v>-0.2397519766611288</v>
      </c>
      <c r="CX12" s="40">
        <f t="shared" ref="CX12" si="86">+CX10/CW10-1</f>
        <v>1.4957943083157725</v>
      </c>
      <c r="CY12" s="40">
        <f t="shared" ref="CY12" si="87">+CY10/CX10-1</f>
        <v>-0.50079825884280871</v>
      </c>
      <c r="CZ12" s="40">
        <f t="shared" ref="CZ12" si="88">+CZ10/CY10-1</f>
        <v>0.27836625368287304</v>
      </c>
      <c r="DA12" s="40">
        <f t="shared" ref="DA12" si="89">+DA10/CZ10-1</f>
        <v>-0.2396933260781392</v>
      </c>
      <c r="DB12" s="40">
        <f t="shared" ref="DB12" si="90">+DB10/DA10-1</f>
        <v>1.4954355271775279</v>
      </c>
      <c r="DE12" s="122"/>
      <c r="DF12" s="39">
        <v>0.87087072849136438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0.12650919999999999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-26.006699999999999</v>
      </c>
      <c r="X13" s="23">
        <f>'Annual Raw'!Y11</f>
        <v>-48.976999999999997</v>
      </c>
      <c r="Y13" s="23">
        <f>'Annual Raw'!Z11</f>
        <v>-0.84140000000000004</v>
      </c>
      <c r="Z13" s="23">
        <f>'Annual Raw'!AA11</f>
        <v>87.27</v>
      </c>
      <c r="AA13" s="23">
        <f>'Annual Raw'!AB11</f>
        <v>-17.989999999999998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-0.191</v>
      </c>
      <c r="BT13" s="23">
        <f>'QTR Raw'!AN10</f>
        <v>-0.65100000000000002</v>
      </c>
      <c r="BU13" s="23">
        <f>'QTR Raw'!AO10</f>
        <v>-9.9619999999999997</v>
      </c>
      <c r="BV13" s="23">
        <f>'QTR Raw'!AP10</f>
        <v>-15.202</v>
      </c>
      <c r="BW13" s="23">
        <f>'QTR Raw'!AQ10</f>
        <v>-0.45400000000000001</v>
      </c>
      <c r="BX13" s="23">
        <f>'QTR Raw'!AR10</f>
        <v>-26.597999999999999</v>
      </c>
      <c r="BY13" s="23">
        <f>'QTR Raw'!AS10</f>
        <v>-52.725999999999999</v>
      </c>
      <c r="BZ13" s="23">
        <f>'QTR Raw'!AT10</f>
        <v>30.800999999999998</v>
      </c>
      <c r="CA13" s="23">
        <f>'QTR Raw'!AU10</f>
        <v>-24.263000000000002</v>
      </c>
      <c r="CB13" s="23">
        <f>'QTR Raw'!AV10</f>
        <v>-6.306</v>
      </c>
      <c r="CC13" s="23">
        <f>'QTR Raw'!AW10</f>
        <v>-17.456</v>
      </c>
      <c r="CD13" s="23">
        <f>'QTR Raw'!AX10</f>
        <v>47.183999999999997</v>
      </c>
      <c r="CE13" s="23">
        <f>'QTR Raw'!AY10</f>
        <v>29.13</v>
      </c>
      <c r="CF13" s="23">
        <f>'QTR Raw'!AZ10</f>
        <v>23.82</v>
      </c>
      <c r="CG13" s="23">
        <f>'QTR Raw'!BA10</f>
        <v>11</v>
      </c>
      <c r="CH13" s="23">
        <f>'QTR Raw'!BB10</f>
        <v>23.32</v>
      </c>
      <c r="CI13" s="23">
        <f>'QTR Raw'!BC10</f>
        <v>8.68</v>
      </c>
      <c r="CJ13" s="23">
        <f>'QTR Raw'!BD10</f>
        <v>6.68</v>
      </c>
      <c r="CK13" s="23">
        <f>'QTR Raw'!BE10</f>
        <v>-12.88</v>
      </c>
      <c r="CL13" s="23">
        <f>'QTR Raw'!BF10</f>
        <v>-20.47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-17.990000000000002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78.475999999999999</v>
      </c>
      <c r="AJ14" s="23">
        <f>'QTR Raw'!D12</f>
        <v>0.122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0.249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117.029</v>
      </c>
      <c r="AT14" s="23">
        <f>'QTR Raw'!N12</f>
        <v>173.90299999999999</v>
      </c>
      <c r="AU14" s="23">
        <f>'QTR Raw'!O12</f>
        <v>0</v>
      </c>
      <c r="AV14" s="23">
        <f>'QTR Raw'!P12</f>
        <v>10.744</v>
      </c>
      <c r="AW14" s="23">
        <f>'QTR Raw'!Q12</f>
        <v>12.760999999999999</v>
      </c>
      <c r="AX14" s="23">
        <f>'QTR Raw'!R12</f>
        <v>107.97</v>
      </c>
      <c r="AY14" s="23">
        <f>'QTR Raw'!S12</f>
        <v>0</v>
      </c>
      <c r="AZ14" s="23">
        <f>'QTR Raw'!T12</f>
        <v>10.343</v>
      </c>
      <c r="BA14" s="23">
        <f>'QTR Raw'!U12</f>
        <v>21.042000000000002</v>
      </c>
      <c r="BB14" s="23">
        <f>'QTR Raw'!V12</f>
        <v>15.864000000000001</v>
      </c>
      <c r="BC14" s="23">
        <f>'QTR Raw'!W12</f>
        <v>0</v>
      </c>
      <c r="BD14" s="23">
        <f>'QTR Raw'!X12</f>
        <v>30.2</v>
      </c>
      <c r="BE14" s="23">
        <f>'QTR Raw'!Y12</f>
        <v>108.72</v>
      </c>
      <c r="BF14" s="23">
        <f>'QTR Raw'!Z12</f>
        <v>102.59099999999999</v>
      </c>
      <c r="BG14" s="23">
        <f>'QTR Raw'!AA12</f>
        <v>0</v>
      </c>
      <c r="BH14" s="23">
        <f>'QTR Raw'!AB12</f>
        <v>0</v>
      </c>
      <c r="BI14" s="23">
        <f>'QTR Raw'!AC12</f>
        <v>10.637</v>
      </c>
      <c r="BJ14" s="23">
        <f>'QTR Raw'!AD12</f>
        <v>2.1579999999999999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0.56699999999999995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0.80300000000000005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1.04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68.36</v>
      </c>
      <c r="CA14" s="23">
        <f>'QTR Raw'!AU12</f>
        <v>33.094999999999999</v>
      </c>
      <c r="CB14" s="23">
        <f>'QTR Raw'!AV12</f>
        <v>25.507999999999999</v>
      </c>
      <c r="CC14" s="23">
        <f>'QTR Raw'!AW12</f>
        <v>161.93799999999999</v>
      </c>
      <c r="CD14" s="23">
        <f>'QTR Raw'!AX12</f>
        <v>160.374</v>
      </c>
      <c r="CE14" s="23">
        <f>'QTR Raw'!AY12</f>
        <v>170.36</v>
      </c>
      <c r="CF14" s="23">
        <f>'QTR Raw'!AZ12</f>
        <v>168.9</v>
      </c>
      <c r="CG14" s="23">
        <f>'QTR Raw'!BA12</f>
        <v>36.409999999999997</v>
      </c>
      <c r="CH14" s="23">
        <f>'QTR Raw'!BB12</f>
        <v>217.39</v>
      </c>
      <c r="CI14" s="23">
        <f>'QTR Raw'!BC12</f>
        <v>109.56</v>
      </c>
      <c r="CJ14" s="23">
        <f>'QTR Raw'!BD12</f>
        <v>108.6</v>
      </c>
      <c r="CK14" s="23">
        <f>'QTR Raw'!BE12</f>
        <v>75.37</v>
      </c>
      <c r="CL14" s="23">
        <f>'QTR Raw'!BF12</f>
        <v>241.2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534.73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38.042428196000003</v>
      </c>
      <c r="H15" s="23">
        <f>'Annual Raw'!I12</f>
        <v>76.591600650999993</v>
      </c>
      <c r="I15" s="23">
        <f>'Annual Raw'!J12</f>
        <v>257.59680696200002</v>
      </c>
      <c r="J15" s="23">
        <f>'Annual Raw'!K12</f>
        <v>306.51565719299998</v>
      </c>
      <c r="K15" s="23">
        <f>'Annual Raw'!L12</f>
        <v>345.39890000000003</v>
      </c>
      <c r="L15" s="23">
        <f>'Annual Raw'!M12</f>
        <v>678.87909999999999</v>
      </c>
      <c r="M15" s="23">
        <f>'Annual Raw'!N12</f>
        <v>965.23350000000005</v>
      </c>
      <c r="N15" s="23">
        <f>'Annual Raw'!O12</f>
        <v>78.475800000000007</v>
      </c>
      <c r="O15" s="23">
        <f>'Annual Raw'!P12</f>
        <v>0</v>
      </c>
      <c r="P15" s="23">
        <f>'Annual Raw'!Q12</f>
        <v>290.93261419999999</v>
      </c>
      <c r="Q15" s="23">
        <f>'Annual Raw'!R12</f>
        <v>131.47484259999999</v>
      </c>
      <c r="R15" s="23">
        <f>'Annual Raw'!S12</f>
        <v>47.248071199999998</v>
      </c>
      <c r="S15" s="23">
        <f>'Annual Raw'!T12</f>
        <v>241.51079999999999</v>
      </c>
      <c r="T15" s="23">
        <f>'Annual Raw'!U12</f>
        <v>12.795400000000001</v>
      </c>
      <c r="U15" s="23">
        <f>'Annual Raw'!V12</f>
        <v>0.56699999999999995</v>
      </c>
      <c r="V15" s="23">
        <f>'Annual Raw'!W12</f>
        <v>0.80310000000000004</v>
      </c>
      <c r="W15" s="23">
        <f>'Annual Raw'!X12</f>
        <v>37.497100000000003</v>
      </c>
      <c r="X15" s="23">
        <f>'Annual Raw'!Y12</f>
        <v>247.91370000000001</v>
      </c>
      <c r="Y15" s="23">
        <f>'Annual Raw'!Z12</f>
        <v>629.92219999999998</v>
      </c>
      <c r="Z15" s="23">
        <f>'Annual Raw'!AA12</f>
        <v>868.04</v>
      </c>
      <c r="AA15" s="23">
        <f>'Annual Raw'!AB12</f>
        <v>1087.49</v>
      </c>
      <c r="AB15" s="24">
        <f>+SUM(CM15:CP15)</f>
        <v>1426.3650486676734</v>
      </c>
      <c r="AC15" s="24">
        <f>+SUM(CQ15:CT15)</f>
        <v>1723.2252809402753</v>
      </c>
      <c r="AD15" s="24">
        <f>+SUM(CU15:CX15)</f>
        <v>2086.1092301994568</v>
      </c>
      <c r="AE15" s="24">
        <f>+SUM(CY15:DB15)</f>
        <v>2525.8623609310525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0.35299999999999998</v>
      </c>
      <c r="BT15" s="23">
        <f>'QTR Raw'!AN11</f>
        <v>1.1140000000000001</v>
      </c>
      <c r="BU15" s="23">
        <f>'QTR Raw'!AO11</f>
        <v>16.395</v>
      </c>
      <c r="BV15" s="23">
        <f>'QTR Raw'!AP11</f>
        <v>18.594000000000001</v>
      </c>
      <c r="BW15" s="23">
        <f>'QTR Raw'!AQ11</f>
        <v>24.95</v>
      </c>
      <c r="BX15" s="23">
        <f>'QTR Raw'!AR11</f>
        <v>31.827000000000002</v>
      </c>
      <c r="BY15" s="23">
        <f>'QTR Raw'!AS11</f>
        <v>67.998000000000005</v>
      </c>
      <c r="BZ15" s="23">
        <f>'QTR Raw'!AT11</f>
        <v>104.88</v>
      </c>
      <c r="CA15" s="23">
        <f>'QTR Raw'!AU11</f>
        <v>105.113</v>
      </c>
      <c r="CB15" s="23">
        <f>'QTR Raw'!AV11</f>
        <v>75.596000000000004</v>
      </c>
      <c r="CC15" s="23">
        <f>'QTR Raw'!AW11</f>
        <v>103.11199999999999</v>
      </c>
      <c r="CD15" s="23">
        <f>'QTR Raw'!AX11</f>
        <v>52.646000000000001</v>
      </c>
      <c r="CE15" s="23">
        <f>'QTR Raw'!AY11</f>
        <v>48.83</v>
      </c>
      <c r="CF15" s="23">
        <f>'QTR Raw'!AZ11</f>
        <v>117.48</v>
      </c>
      <c r="CG15" s="23">
        <f>'QTR Raw'!BA11</f>
        <v>152.33000000000001</v>
      </c>
      <c r="CH15" s="23">
        <f>'QTR Raw'!BB11</f>
        <v>110.61</v>
      </c>
      <c r="CI15" s="23">
        <f>'QTR Raw'!BC11</f>
        <v>115.02</v>
      </c>
      <c r="CJ15" s="23">
        <f>'QTR Raw'!BD11</f>
        <v>145.52000000000001</v>
      </c>
      <c r="CK15" s="23">
        <f>'QTR Raw'!BE11</f>
        <v>123.14</v>
      </c>
      <c r="CL15" s="23">
        <f>'QTR Raw'!BF11</f>
        <v>298.74</v>
      </c>
      <c r="CM15" s="24">
        <f t="shared" ref="CM15:DB15" si="91">+CM10-CM16</f>
        <v>254.66737878919329</v>
      </c>
      <c r="CN15" s="24">
        <f t="shared" si="91"/>
        <v>317.26485390876508</v>
      </c>
      <c r="CO15" s="24">
        <f t="shared" si="91"/>
        <v>241.48008144489546</v>
      </c>
      <c r="CP15" s="24">
        <f t="shared" si="91"/>
        <v>612.95273452481956</v>
      </c>
      <c r="CQ15" s="24">
        <f t="shared" si="91"/>
        <v>303.87270020748167</v>
      </c>
      <c r="CR15" s="24">
        <f t="shared" si="91"/>
        <v>387.10490145938741</v>
      </c>
      <c r="CS15" s="24">
        <f t="shared" si="91"/>
        <v>294.87429943486978</v>
      </c>
      <c r="CT15" s="24">
        <f t="shared" si="91"/>
        <v>737.37337983853649</v>
      </c>
      <c r="CU15" s="24">
        <f t="shared" si="91"/>
        <v>367.46720997851264</v>
      </c>
      <c r="CV15" s="24">
        <f t="shared" si="91"/>
        <v>469.67670422927108</v>
      </c>
      <c r="CW15" s="24">
        <f t="shared" si="91"/>
        <v>357.27792299240133</v>
      </c>
      <c r="CX15" s="24">
        <f t="shared" si="91"/>
        <v>891.68739299927188</v>
      </c>
      <c r="CY15" s="24">
        <f t="shared" si="91"/>
        <v>444.95514137626702</v>
      </c>
      <c r="CZ15" s="24">
        <f t="shared" si="91"/>
        <v>568.90416603040421</v>
      </c>
      <c r="DA15" s="24">
        <f t="shared" si="91"/>
        <v>432.57763621964875</v>
      </c>
      <c r="DB15" s="24">
        <f t="shared" si="91"/>
        <v>1079.4254173047325</v>
      </c>
      <c r="DE15" s="123"/>
      <c r="DF15" s="23">
        <v>375.6952666834818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0</v>
      </c>
      <c r="G16" s="31">
        <f t="shared" si="92"/>
        <v>-0.10022245000000396</v>
      </c>
      <c r="H16" s="31">
        <f t="shared" si="92"/>
        <v>1.1933537110000003</v>
      </c>
      <c r="I16" s="31">
        <f t="shared" si="92"/>
        <v>1.3317890579999698</v>
      </c>
      <c r="J16" s="31">
        <f t="shared" si="92"/>
        <v>0.91612740700003314</v>
      </c>
      <c r="K16" s="31">
        <f t="shared" si="92"/>
        <v>7.0531999999999471</v>
      </c>
      <c r="L16" s="31">
        <f t="shared" si="92"/>
        <v>20.445900000000051</v>
      </c>
      <c r="M16" s="31">
        <f t="shared" si="92"/>
        <v>27.794099999999958</v>
      </c>
      <c r="N16" s="31">
        <f t="shared" si="92"/>
        <v>2.3079999999999927</v>
      </c>
      <c r="O16" s="31">
        <f t="shared" si="92"/>
        <v>0</v>
      </c>
      <c r="P16" s="31">
        <f t="shared" si="92"/>
        <v>2.6534735999999839</v>
      </c>
      <c r="Q16" s="31">
        <f t="shared" si="92"/>
        <v>0.47817840000001866</v>
      </c>
      <c r="R16" s="31">
        <f t="shared" si="92"/>
        <v>0.10314160000000072</v>
      </c>
      <c r="S16" s="31">
        <f t="shared" si="92"/>
        <v>1.2546000000000106</v>
      </c>
      <c r="T16" s="31">
        <f t="shared" si="92"/>
        <v>1.7835000000000001</v>
      </c>
      <c r="U16" s="31">
        <f t="shared" ref="U16:Z16" si="93">U10-U13-U15-U14</f>
        <v>1.6000000000000458E-3</v>
      </c>
      <c r="V16" s="31">
        <f t="shared" si="93"/>
        <v>1.7999999999999128E-3</v>
      </c>
      <c r="W16" s="31">
        <f t="shared" si="93"/>
        <v>36.334299999999999</v>
      </c>
      <c r="X16" s="31">
        <f t="shared" si="93"/>
        <v>181.36229999999995</v>
      </c>
      <c r="Y16" s="31">
        <f t="shared" si="93"/>
        <v>329.35660000000007</v>
      </c>
      <c r="Z16" s="31">
        <f t="shared" si="93"/>
        <v>532.98</v>
      </c>
      <c r="AA16" s="31">
        <f t="shared" ref="AA16" si="94">AA10-AA13-AA15-AA14</f>
        <v>686.79</v>
      </c>
      <c r="AB16" s="32">
        <f t="shared" ref="AA16:AD16" si="95">AB10-AB13-AB15-AB14</f>
        <v>689.82773560677288</v>
      </c>
      <c r="AC16" s="32">
        <f t="shared" si="95"/>
        <v>835.40329891776537</v>
      </c>
      <c r="AD16" s="32">
        <f t="shared" si="95"/>
        <v>1010.8445969605882</v>
      </c>
      <c r="AE16" s="32">
        <f t="shared" ref="AE16" si="96">AE10-AE13-AE15-AE14</f>
        <v>1223.6630400666636</v>
      </c>
      <c r="AI16" s="31">
        <f t="shared" ref="AI16" si="97">AI10-AI13-AI15-AI14</f>
        <v>2.3080000000000069</v>
      </c>
      <c r="AJ16" s="31">
        <f t="shared" ref="AJ16" si="98">AJ10-AJ13-AJ15-AJ14</f>
        <v>-0.122</v>
      </c>
      <c r="AK16" s="31">
        <f t="shared" ref="AK16:AM16" si="99">AK10-AK13-AK15-AK14</f>
        <v>0</v>
      </c>
      <c r="AL16" s="31">
        <f t="shared" si="99"/>
        <v>0</v>
      </c>
      <c r="AM16" s="31">
        <f t="shared" si="99"/>
        <v>0</v>
      </c>
      <c r="AN16" s="31">
        <f t="shared" ref="AN16:AO16" si="100">AN10-AN13-AN15-AN14</f>
        <v>-0.249</v>
      </c>
      <c r="AO16" s="31">
        <f t="shared" si="100"/>
        <v>0</v>
      </c>
      <c r="AP16" s="31">
        <f t="shared" ref="AP16:CD16" si="101">AP10-AP13-AP15-AP14</f>
        <v>0</v>
      </c>
      <c r="AQ16" s="31">
        <f t="shared" si="101"/>
        <v>0</v>
      </c>
      <c r="AR16" s="31">
        <f t="shared" si="101"/>
        <v>0</v>
      </c>
      <c r="AS16" s="31">
        <f t="shared" si="101"/>
        <v>1.436000000000007</v>
      </c>
      <c r="AT16" s="31">
        <f t="shared" si="101"/>
        <v>1.2180000000000177</v>
      </c>
      <c r="AU16" s="31">
        <f t="shared" si="101"/>
        <v>0</v>
      </c>
      <c r="AV16" s="31">
        <f t="shared" si="101"/>
        <v>2.1000000000000796E-2</v>
      </c>
      <c r="AW16" s="31">
        <f t="shared" si="101"/>
        <v>7.6000000000000512E-2</v>
      </c>
      <c r="AX16" s="31">
        <f t="shared" si="101"/>
        <v>0.38100000000000023</v>
      </c>
      <c r="AY16" s="31">
        <f t="shared" si="101"/>
        <v>0</v>
      </c>
      <c r="AZ16" s="31">
        <f t="shared" si="101"/>
        <v>3.1000000000000583E-2</v>
      </c>
      <c r="BA16" s="31">
        <f t="shared" si="101"/>
        <v>3.8999999999997925E-2</v>
      </c>
      <c r="BB16" s="31">
        <f t="shared" si="101"/>
        <v>3.2000000000000028E-2</v>
      </c>
      <c r="BC16" s="31">
        <f t="shared" si="101"/>
        <v>0</v>
      </c>
      <c r="BD16" s="31">
        <f t="shared" si="101"/>
        <v>0.38700000000000045</v>
      </c>
      <c r="BE16" s="31">
        <f t="shared" si="101"/>
        <v>0.67600000000000193</v>
      </c>
      <c r="BF16" s="31">
        <f t="shared" si="101"/>
        <v>0.19200000000000728</v>
      </c>
      <c r="BG16" s="31">
        <f t="shared" si="101"/>
        <v>0</v>
      </c>
      <c r="BH16" s="31">
        <f t="shared" si="101"/>
        <v>0</v>
      </c>
      <c r="BI16" s="31">
        <f t="shared" si="101"/>
        <v>1.4699999999999989</v>
      </c>
      <c r="BJ16" s="31">
        <f t="shared" si="101"/>
        <v>0.31400000000000006</v>
      </c>
      <c r="BK16" s="31">
        <f t="shared" si="101"/>
        <v>0</v>
      </c>
      <c r="BL16" s="31">
        <f t="shared" si="101"/>
        <v>0</v>
      </c>
      <c r="BM16" s="31">
        <f t="shared" si="101"/>
        <v>0</v>
      </c>
      <c r="BN16" s="31">
        <f t="shared" si="101"/>
        <v>2.0000000000000018E-3</v>
      </c>
      <c r="BO16" s="31">
        <f t="shared" si="101"/>
        <v>0</v>
      </c>
      <c r="BP16" s="31">
        <f t="shared" si="101"/>
        <v>0</v>
      </c>
      <c r="BQ16" s="31">
        <f t="shared" si="101"/>
        <v>0</v>
      </c>
      <c r="BR16" s="31">
        <f t="shared" si="101"/>
        <v>2.0000000000000018E-3</v>
      </c>
      <c r="BS16" s="31">
        <f t="shared" si="101"/>
        <v>1.7049999999999998</v>
      </c>
      <c r="BT16" s="31">
        <f t="shared" si="101"/>
        <v>6.9020000000000001</v>
      </c>
      <c r="BU16" s="31">
        <f t="shared" si="101"/>
        <v>12.852</v>
      </c>
      <c r="BV16" s="31">
        <f t="shared" si="101"/>
        <v>14.875</v>
      </c>
      <c r="BW16" s="31">
        <f t="shared" si="101"/>
        <v>26.275000000000002</v>
      </c>
      <c r="BX16" s="31">
        <f t="shared" si="101"/>
        <v>24.350999999999996</v>
      </c>
      <c r="BY16" s="31">
        <f t="shared" si="101"/>
        <v>43.136999999999986</v>
      </c>
      <c r="BZ16" s="31">
        <f t="shared" si="101"/>
        <v>37.498000000000005</v>
      </c>
      <c r="CA16" s="31">
        <f t="shared" si="101"/>
        <v>37.312000000000012</v>
      </c>
      <c r="CB16" s="31">
        <f t="shared" si="101"/>
        <v>54.522000000000006</v>
      </c>
      <c r="CC16" s="31">
        <f t="shared" si="101"/>
        <v>76.56400000000005</v>
      </c>
      <c r="CD16" s="31">
        <f t="shared" si="101"/>
        <v>73.498000000000019</v>
      </c>
      <c r="CE16" s="31">
        <f t="shared" ref="CE16:CF16" si="102">CE10-CE13-CE15-CE14</f>
        <v>74.860000000000014</v>
      </c>
      <c r="CF16" s="31">
        <f t="shared" si="102"/>
        <v>75.28</v>
      </c>
      <c r="CG16" s="31">
        <f t="shared" ref="CG16:CH16" si="103">CG10-CG13-CG15-CG14</f>
        <v>90.56</v>
      </c>
      <c r="CH16" s="31">
        <f t="shared" si="103"/>
        <v>138</v>
      </c>
      <c r="CI16" s="31">
        <f t="shared" ref="CI16:CJ16" si="104">CI10-CI13-CI15-CI14</f>
        <v>97.639999999999986</v>
      </c>
      <c r="CJ16" s="31">
        <f t="shared" si="104"/>
        <v>145.76999999999998</v>
      </c>
      <c r="CK16" s="31">
        <f t="shared" ref="CK16:CL16" si="105">CK10-CK13-CK15-CK14</f>
        <v>113.55000000000001</v>
      </c>
      <c r="CL16" s="31">
        <f t="shared" si="105"/>
        <v>200.17000000000002</v>
      </c>
      <c r="CM16" s="32">
        <f t="shared" ref="CM16:DB16" si="106">+CM17*CM10</f>
        <v>124.20333456479543</v>
      </c>
      <c r="CN16" s="32">
        <f t="shared" si="106"/>
        <v>160.55293068739195</v>
      </c>
      <c r="CO16" s="32">
        <f t="shared" si="106"/>
        <v>119.14360868263033</v>
      </c>
      <c r="CP16" s="32">
        <f t="shared" si="106"/>
        <v>285.92786167195504</v>
      </c>
      <c r="CQ16" s="32">
        <f t="shared" si="106"/>
        <v>148.37153745664568</v>
      </c>
      <c r="CR16" s="32">
        <f t="shared" si="106"/>
        <v>189.06550327467349</v>
      </c>
      <c r="CS16" s="32">
        <f t="shared" si="106"/>
        <v>142.7375269446224</v>
      </c>
      <c r="CT16" s="32">
        <f t="shared" si="106"/>
        <v>355.22873124182371</v>
      </c>
      <c r="CU16" s="32">
        <f t="shared" si="106"/>
        <v>178.44823911618036</v>
      </c>
      <c r="CV16" s="32">
        <f t="shared" si="106"/>
        <v>227.77218559856723</v>
      </c>
      <c r="CW16" s="32">
        <f t="shared" si="106"/>
        <v>172.9562168791029</v>
      </c>
      <c r="CX16" s="32">
        <f t="shared" si="106"/>
        <v>431.66795536673777</v>
      </c>
      <c r="CY16" s="32">
        <f t="shared" si="106"/>
        <v>215.66615269772643</v>
      </c>
      <c r="CZ16" s="32">
        <f t="shared" si="106"/>
        <v>275.61180277809837</v>
      </c>
      <c r="DA16" s="32">
        <f t="shared" si="106"/>
        <v>209.51349109904172</v>
      </c>
      <c r="DB16" s="32">
        <f t="shared" si="106"/>
        <v>522.87159349179706</v>
      </c>
      <c r="DE16" s="124"/>
      <c r="DF16" s="31">
        <v>184.03183786656459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>
        <f t="shared" si="107"/>
        <v>-2.6326722649337719E-3</v>
      </c>
      <c r="H17" s="41">
        <f t="shared" si="107"/>
        <v>1.5341703556786879E-2</v>
      </c>
      <c r="I17" s="41">
        <f t="shared" si="107"/>
        <v>5.1434607010231526E-3</v>
      </c>
      <c r="J17" s="41">
        <f t="shared" si="107"/>
        <v>2.9799371857142489E-3</v>
      </c>
      <c r="K17" s="41">
        <f t="shared" si="107"/>
        <v>2.0011797347781295E-2</v>
      </c>
      <c r="L17" s="41">
        <f t="shared" si="107"/>
        <v>2.923662102741937E-2</v>
      </c>
      <c r="M17" s="41">
        <f t="shared" si="107"/>
        <v>2.7989252262474836E-2</v>
      </c>
      <c r="N17" s="41">
        <f t="shared" si="107"/>
        <v>2.8570084596168943E-2</v>
      </c>
      <c r="O17" s="41" t="e">
        <f t="shared" si="107"/>
        <v>#DIV/0!</v>
      </c>
      <c r="P17" s="41">
        <f t="shared" si="107"/>
        <v>9.0381448926408706E-3</v>
      </c>
      <c r="Q17" s="41">
        <f t="shared" si="107"/>
        <v>3.6238533712692994E-3</v>
      </c>
      <c r="R17" s="41">
        <f t="shared" si="107"/>
        <v>2.1782250950075077E-3</v>
      </c>
      <c r="S17" s="41">
        <f t="shared" si="107"/>
        <v>5.1679522699693229E-3</v>
      </c>
      <c r="T17" s="41">
        <f t="shared" si="107"/>
        <v>0.1223343324942211</v>
      </c>
      <c r="U17" s="41">
        <f t="shared" si="107"/>
        <v>2.8139289482941362E-3</v>
      </c>
      <c r="V17" s="41">
        <f>V16/V10</f>
        <v>2.2363026462913567E-3</v>
      </c>
      <c r="W17" s="41">
        <f>W16/W10</f>
        <v>0.75973921425539526</v>
      </c>
      <c r="X17" s="41">
        <f>X16/X10</f>
        <v>0.47689397027076053</v>
      </c>
      <c r="Y17" s="41">
        <f>Y16/Y10</f>
        <v>0.34363913595191514</v>
      </c>
      <c r="Z17" s="41">
        <f>Z16/Z10</f>
        <v>0.35811568981851655</v>
      </c>
      <c r="AA17" s="41">
        <f>AA16/AA10</f>
        <v>0.39104589788702321</v>
      </c>
      <c r="AB17" s="42">
        <f t="shared" ref="AA17:AD17" si="108">AB16/AB10</f>
        <v>0.32597584715954214</v>
      </c>
      <c r="AC17" s="42">
        <f t="shared" si="108"/>
        <v>0.32650432559622067</v>
      </c>
      <c r="AD17" s="42">
        <f t="shared" si="108"/>
        <v>0.32639963440706138</v>
      </c>
      <c r="AE17" s="42">
        <f t="shared" ref="AE17" si="109">AE16/AE10</f>
        <v>0.32635144697007717</v>
      </c>
      <c r="AI17" s="41">
        <f t="shared" ref="AI17" si="110">AI16/AI10</f>
        <v>2.8570013864131594E-2</v>
      </c>
      <c r="AJ17" s="41" t="e">
        <f t="shared" ref="AJ17" si="111">AJ16/AJ10</f>
        <v>#DIV/0!</v>
      </c>
      <c r="AK17" s="41" t="e">
        <f t="shared" ref="AK17:AM17" si="112">AK16/AK10</f>
        <v>#DIV/0!</v>
      </c>
      <c r="AL17" s="41" t="e">
        <f t="shared" si="112"/>
        <v>#DIV/0!</v>
      </c>
      <c r="AM17" s="41" t="e">
        <f t="shared" si="112"/>
        <v>#DIV/0!</v>
      </c>
      <c r="AN17" s="41" t="e">
        <f t="shared" ref="AN17:AO17" si="113">AN16/AN10</f>
        <v>#DIV/0!</v>
      </c>
      <c r="AO17" s="41" t="e">
        <f t="shared" si="113"/>
        <v>#DIV/0!</v>
      </c>
      <c r="AP17" s="41" t="e">
        <f t="shared" ref="AP17:CD17" si="114">AP16/AP10</f>
        <v>#DIV/0!</v>
      </c>
      <c r="AQ17" s="41" t="e">
        <f t="shared" si="114"/>
        <v>#DIV/0!</v>
      </c>
      <c r="AR17" s="41" t="e">
        <f t="shared" si="114"/>
        <v>#DIV/0!</v>
      </c>
      <c r="AS17" s="41">
        <f t="shared" si="114"/>
        <v>1.2121723715865505E-2</v>
      </c>
      <c r="AT17" s="41">
        <f t="shared" si="114"/>
        <v>6.955190982235241E-3</v>
      </c>
      <c r="AU17" s="41" t="e">
        <f t="shared" si="114"/>
        <v>#DIV/0!</v>
      </c>
      <c r="AV17" s="41">
        <f t="shared" si="114"/>
        <v>1.9507663725035573E-3</v>
      </c>
      <c r="AW17" s="41">
        <f t="shared" si="114"/>
        <v>5.9203863831113592E-3</v>
      </c>
      <c r="AX17" s="41">
        <f t="shared" si="114"/>
        <v>3.5163496414430898E-3</v>
      </c>
      <c r="AY17" s="41" t="e">
        <f t="shared" si="114"/>
        <v>#DIV/0!</v>
      </c>
      <c r="AZ17" s="41">
        <f t="shared" si="114"/>
        <v>2.9882398303451496E-3</v>
      </c>
      <c r="BA17" s="41">
        <f t="shared" si="114"/>
        <v>1.8500071154118839E-3</v>
      </c>
      <c r="BB17" s="41">
        <f t="shared" si="114"/>
        <v>2.0130850528434843E-3</v>
      </c>
      <c r="BC17" s="41" t="e">
        <f t="shared" si="114"/>
        <v>#DIV/0!</v>
      </c>
      <c r="BD17" s="41">
        <f t="shared" si="114"/>
        <v>1.26524340406055E-2</v>
      </c>
      <c r="BE17" s="41">
        <f t="shared" si="114"/>
        <v>6.1793849866540089E-3</v>
      </c>
      <c r="BF17" s="41">
        <f t="shared" si="114"/>
        <v>1.8680131928432452E-3</v>
      </c>
      <c r="BG17" s="41" t="e">
        <f t="shared" si="114"/>
        <v>#DIV/0!</v>
      </c>
      <c r="BH17" s="41" t="e">
        <f t="shared" si="114"/>
        <v>#DIV/0!</v>
      </c>
      <c r="BI17" s="41">
        <f t="shared" si="114"/>
        <v>0.12141736185677698</v>
      </c>
      <c r="BJ17" s="41">
        <f t="shared" si="114"/>
        <v>0.12702265372168287</v>
      </c>
      <c r="BK17" s="41" t="e">
        <f t="shared" si="114"/>
        <v>#DIV/0!</v>
      </c>
      <c r="BL17" s="41" t="e">
        <f t="shared" si="114"/>
        <v>#DIV/0!</v>
      </c>
      <c r="BM17" s="41" t="e">
        <f t="shared" si="114"/>
        <v>#DIV/0!</v>
      </c>
      <c r="BN17" s="41">
        <f t="shared" si="114"/>
        <v>3.5149384885764532E-3</v>
      </c>
      <c r="BO17" s="41" t="e">
        <f t="shared" si="114"/>
        <v>#DIV/0!</v>
      </c>
      <c r="BP17" s="41" t="e">
        <f t="shared" si="114"/>
        <v>#DIV/0!</v>
      </c>
      <c r="BQ17" s="41" t="e">
        <f t="shared" si="114"/>
        <v>#DIV/0!</v>
      </c>
      <c r="BR17" s="41">
        <f t="shared" si="114"/>
        <v>2.4844720496894433E-3</v>
      </c>
      <c r="BS17" s="41">
        <f t="shared" si="114"/>
        <v>0.91322978039635772</v>
      </c>
      <c r="BT17" s="41">
        <f t="shared" si="114"/>
        <v>0.9371350984385608</v>
      </c>
      <c r="BU17" s="41">
        <f t="shared" si="114"/>
        <v>0.66642468239564434</v>
      </c>
      <c r="BV17" s="41">
        <f t="shared" si="114"/>
        <v>0.77044595224529966</v>
      </c>
      <c r="BW17" s="41">
        <f t="shared" si="114"/>
        <v>0.51751984400543616</v>
      </c>
      <c r="BX17" s="41">
        <f t="shared" si="114"/>
        <v>0.82322515212981739</v>
      </c>
      <c r="BY17" s="41">
        <f t="shared" si="114"/>
        <v>0.73853344518824127</v>
      </c>
      <c r="BZ17" s="41">
        <f t="shared" si="114"/>
        <v>0.15524615072514172</v>
      </c>
      <c r="CA17" s="41">
        <f t="shared" si="114"/>
        <v>0.24667949251935456</v>
      </c>
      <c r="CB17" s="41">
        <f t="shared" si="114"/>
        <v>0.3651352799357086</v>
      </c>
      <c r="CC17" s="41">
        <f t="shared" si="114"/>
        <v>0.23619346121335905</v>
      </c>
      <c r="CD17" s="41">
        <f t="shared" si="114"/>
        <v>0.22025040305422208</v>
      </c>
      <c r="CE17" s="41">
        <f t="shared" ref="CE17:CF17" si="115">CE16/CE10</f>
        <v>0.23163562101615204</v>
      </c>
      <c r="CF17" s="41">
        <f t="shared" si="115"/>
        <v>0.19528899034969388</v>
      </c>
      <c r="CG17" s="41">
        <f t="shared" ref="CG17:CH17" si="116">CG16/CG10</f>
        <v>0.31195315191181539</v>
      </c>
      <c r="CH17" s="41">
        <f t="shared" si="116"/>
        <v>0.28202403335240744</v>
      </c>
      <c r="CI17" s="41">
        <f t="shared" ref="CI17:CJ17" si="117">CI16/CI10</f>
        <v>0.29507404049561797</v>
      </c>
      <c r="CJ17" s="41">
        <f t="shared" si="117"/>
        <v>0.35853604545342743</v>
      </c>
      <c r="CK17" s="41">
        <f t="shared" ref="CK17:CL17" si="118">CK16/CK10</f>
        <v>0.37953740223276961</v>
      </c>
      <c r="CL17" s="41">
        <f t="shared" si="118"/>
        <v>0.27815296537157469</v>
      </c>
      <c r="CM17" s="42">
        <f t="shared" ref="CM17:DB17" si="119">AVERAGE(CI17:CL17)</f>
        <v>0.32782511338834741</v>
      </c>
      <c r="CN17" s="42">
        <f t="shared" si="119"/>
        <v>0.33601288161152976</v>
      </c>
      <c r="CO17" s="42">
        <f t="shared" si="119"/>
        <v>0.33038209065105539</v>
      </c>
      <c r="CP17" s="42">
        <f t="shared" si="119"/>
        <v>0.31809326275562677</v>
      </c>
      <c r="CQ17" s="42">
        <f t="shared" si="119"/>
        <v>0.32807833710163981</v>
      </c>
      <c r="CR17" s="42">
        <f t="shared" si="119"/>
        <v>0.32814164302996296</v>
      </c>
      <c r="CS17" s="42">
        <f t="shared" si="119"/>
        <v>0.32617383338457123</v>
      </c>
      <c r="CT17" s="42">
        <f t="shared" si="119"/>
        <v>0.32512176906795021</v>
      </c>
      <c r="CU17" s="42">
        <f t="shared" si="119"/>
        <v>0.32687889564603106</v>
      </c>
      <c r="CV17" s="42">
        <f t="shared" si="119"/>
        <v>0.32657903528212889</v>
      </c>
      <c r="CW17" s="42">
        <f t="shared" si="119"/>
        <v>0.32618838334517036</v>
      </c>
      <c r="CX17" s="42">
        <f t="shared" si="119"/>
        <v>0.32619202083532017</v>
      </c>
      <c r="CY17" s="42">
        <f t="shared" si="119"/>
        <v>0.32645958377716261</v>
      </c>
      <c r="CZ17" s="42">
        <f t="shared" si="119"/>
        <v>0.3263547558099455</v>
      </c>
      <c r="DA17" s="42">
        <f t="shared" si="119"/>
        <v>0.3262986859418997</v>
      </c>
      <c r="DB17" s="42">
        <f t="shared" si="119"/>
        <v>0.32632626159108202</v>
      </c>
      <c r="DE17" s="125"/>
      <c r="DF17" s="41">
        <v>0.3287885049170598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>
        <f t="shared" si="120"/>
        <v>12.907049877546928</v>
      </c>
      <c r="I18" s="39">
        <f t="shared" si="120"/>
        <v>0.11600529308612462</v>
      </c>
      <c r="J18" s="39">
        <f t="shared" si="120"/>
        <v>-0.31210772344395254</v>
      </c>
      <c r="K18" s="39">
        <f t="shared" si="120"/>
        <v>6.6989291512372491</v>
      </c>
      <c r="L18" s="39">
        <f t="shared" si="120"/>
        <v>1.8988118868031822</v>
      </c>
      <c r="M18" s="39">
        <f t="shared" si="120"/>
        <v>0.3593972385661619</v>
      </c>
      <c r="N18" s="39">
        <f t="shared" si="120"/>
        <v>-0.91696079383754125</v>
      </c>
      <c r="O18" s="39">
        <f t="shared" si="120"/>
        <v>-1</v>
      </c>
      <c r="P18" s="39" t="e">
        <f t="shared" si="120"/>
        <v>#DIV/0!</v>
      </c>
      <c r="Q18" s="39">
        <f t="shared" si="120"/>
        <v>-0.8197915366484062</v>
      </c>
      <c r="R18" s="39">
        <f t="shared" si="120"/>
        <v>-0.78430309691948297</v>
      </c>
      <c r="S18" s="39">
        <f t="shared" si="120"/>
        <v>11.163860168932825</v>
      </c>
      <c r="T18" s="39">
        <f t="shared" si="120"/>
        <v>0.42156862745096846</v>
      </c>
      <c r="U18" s="39">
        <f t="shared" si="120"/>
        <v>-0.99910288758059995</v>
      </c>
      <c r="V18" s="39">
        <f t="shared" si="120"/>
        <v>0.12499999999991318</v>
      </c>
      <c r="W18" s="39">
        <f t="shared" si="120"/>
        <v>20184.722222223201</v>
      </c>
      <c r="X18" s="39">
        <f t="shared" si="120"/>
        <v>3.9914901346661402</v>
      </c>
      <c r="Y18" s="39">
        <f t="shared" si="120"/>
        <v>0.81601468441897884</v>
      </c>
      <c r="Z18" s="39">
        <f t="shared" si="120"/>
        <v>0.61824599841023353</v>
      </c>
      <c r="AA18" s="39">
        <f t="shared" si="120"/>
        <v>0.28858493752110759</v>
      </c>
      <c r="AB18" s="40">
        <f t="shared" si="120"/>
        <v>4.4230923670596223E-3</v>
      </c>
      <c r="AC18" s="40">
        <f t="shared" si="120"/>
        <v>0.2110317631443801</v>
      </c>
      <c r="AD18" s="40">
        <f t="shared" si="120"/>
        <v>0.21000790668423353</v>
      </c>
      <c r="AE18" s="40">
        <f t="shared" si="120"/>
        <v>0.2105352729252139</v>
      </c>
      <c r="AM18" s="39">
        <f>+IF(AI16&lt;0,1-AM16/AI16,AM16/AI16-1)</f>
        <v>-1</v>
      </c>
      <c r="AN18" s="39">
        <f t="shared" ref="AN18" si="121">+IF(AJ16&lt;0,1-AN16/AJ16,AN16/AJ16-1)</f>
        <v>-1.040983606557377</v>
      </c>
      <c r="AO18" s="39" t="e">
        <f t="shared" ref="AO18" si="122">+IF(AK16&lt;0,1-AO16/AK16,AO16/AK16-1)</f>
        <v>#DIV/0!</v>
      </c>
      <c r="AP18" s="39" t="e">
        <f t="shared" ref="AP18" si="123">+IF(AL16&lt;0,1-AP16/AL16,AP16/AL16-1)</f>
        <v>#DIV/0!</v>
      </c>
      <c r="AQ18" s="39" t="e">
        <f t="shared" ref="AQ18" si="124">+IF(AM16&lt;0,1-AQ16/AM16,AQ16/AM16-1)</f>
        <v>#DIV/0!</v>
      </c>
      <c r="AR18" s="39">
        <f t="shared" ref="AR18" si="125">+IF(AN16&lt;0,1-AR16/AN16,AR16/AN16-1)</f>
        <v>1</v>
      </c>
      <c r="AS18" s="39" t="e">
        <f t="shared" ref="AS18" si="126">+IF(AO16&lt;0,1-AS16/AO16,AS16/AO16-1)</f>
        <v>#DIV/0!</v>
      </c>
      <c r="AT18" s="39" t="e">
        <f t="shared" ref="AT18" si="127">+IF(AP16&lt;0,1-AT16/AP16,AT16/AP16-1)</f>
        <v>#DIV/0!</v>
      </c>
      <c r="AU18" s="39" t="e">
        <f t="shared" ref="AU18" si="128">+IF(AQ16&lt;0,1-AU16/AQ16,AU16/AQ16-1)</f>
        <v>#DIV/0!</v>
      </c>
      <c r="AV18" s="39" t="e">
        <f t="shared" ref="AV18" si="129">+IF(AR16&lt;0,1-AV16/AR16,AV16/AR16-1)</f>
        <v>#DIV/0!</v>
      </c>
      <c r="AW18" s="39">
        <f t="shared" ref="AW18" si="130">+IF(AS16&lt;0,1-AW16/AS16,AW16/AS16-1)</f>
        <v>-0.94707520891364894</v>
      </c>
      <c r="AX18" s="39">
        <f t="shared" ref="AX18" si="131">+IF(AT16&lt;0,1-AX16/AT16,AX16/AT16-1)</f>
        <v>-0.68719211822660542</v>
      </c>
      <c r="AY18" s="39" t="e">
        <f t="shared" ref="AY18" si="132">+IF(AU16&lt;0,1-AY16/AU16,AY16/AU16-1)</f>
        <v>#DIV/0!</v>
      </c>
      <c r="AZ18" s="39">
        <f t="shared" ref="AZ18" si="133">+IF(AV16&lt;0,1-AZ16/AV16,AZ16/AV16-1)</f>
        <v>0.47619047619044808</v>
      </c>
      <c r="BA18" s="39">
        <f t="shared" ref="BA18" si="134">+IF(AW16&lt;0,1-BA16/AW16,BA16/AW16-1)</f>
        <v>-0.48684210526318861</v>
      </c>
      <c r="BB18" s="39">
        <f t="shared" ref="BB18" si="135">+IF(AX16&lt;0,1-BB16/AX16,BB16/AX16-1)</f>
        <v>-0.91601049868766404</v>
      </c>
      <c r="BC18" s="39" t="e">
        <f t="shared" ref="BC18" si="136">+IF(AY16&lt;0,1-BC16/AY16,BC16/AY16-1)</f>
        <v>#DIV/0!</v>
      </c>
      <c r="BD18" s="39">
        <f t="shared" ref="BD18" si="137">+IF(AZ16&lt;0,1-BD16/AZ16,BD16/AZ16-1)</f>
        <v>11.483870967741716</v>
      </c>
      <c r="BE18" s="39">
        <f t="shared" ref="BE18" si="138">+IF(BA16&lt;0,1-BE16/BA16,BE16/BA16-1)</f>
        <v>16.333333333334306</v>
      </c>
      <c r="BF18" s="39">
        <f t="shared" ref="BF18" si="139">+IF(BB16&lt;0,1-BF16/BB16,BF16/BB16-1)</f>
        <v>5.000000000000222</v>
      </c>
      <c r="BG18" s="39" t="e">
        <f t="shared" ref="BG18" si="140">+IF(BC16&lt;0,1-BG16/BC16,BG16/BC16-1)</f>
        <v>#DIV/0!</v>
      </c>
      <c r="BH18" s="39">
        <f t="shared" ref="BH18" si="141">+IF(BD16&lt;0,1-BH16/BD16,BH16/BD16-1)</f>
        <v>-1</v>
      </c>
      <c r="BI18" s="39">
        <f t="shared" ref="BI18" si="142">+IF(BE16&lt;0,1-BI16/BE16,BI16/BE16-1)</f>
        <v>1.1745562130177434</v>
      </c>
      <c r="BJ18" s="39">
        <f t="shared" ref="BJ18" si="143">+IF(BF16&lt;0,1-BJ16/BF16,BJ16/BF16-1)</f>
        <v>0.63541666666660501</v>
      </c>
      <c r="BK18" s="39" t="e">
        <f t="shared" ref="BK18" si="144">+IF(BG16&lt;0,1-BK16/BG16,BK16/BG16-1)</f>
        <v>#DIV/0!</v>
      </c>
      <c r="BL18" s="39" t="e">
        <f t="shared" ref="BL18" si="145">+IF(BH16&lt;0,1-BL16/BH16,BL16/BH16-1)</f>
        <v>#DIV/0!</v>
      </c>
      <c r="BM18" s="39">
        <f t="shared" ref="BM18" si="146">+IF(BI16&lt;0,1-BM16/BI16,BM16/BI16-1)</f>
        <v>-1</v>
      </c>
      <c r="BN18" s="39">
        <f t="shared" ref="BN18" si="147">+IF(BJ16&lt;0,1-BN16/BJ16,BN16/BJ16-1)</f>
        <v>-0.99363057324840764</v>
      </c>
      <c r="BO18" s="39" t="e">
        <f t="shared" ref="BO18" si="148">+IF(BK16&lt;0,1-BO16/BK16,BO16/BK16-1)</f>
        <v>#DIV/0!</v>
      </c>
      <c r="BP18" s="39" t="e">
        <f t="shared" ref="BP18" si="149">+IF(BL16&lt;0,1-BP16/BL16,BP16/BL16-1)</f>
        <v>#DIV/0!</v>
      </c>
      <c r="BQ18" s="39" t="e">
        <f t="shared" ref="BQ18" si="150">+IF(BM16&lt;0,1-BQ16/BM16,BQ16/BM16-1)</f>
        <v>#DIV/0!</v>
      </c>
      <c r="BR18" s="39">
        <f t="shared" ref="BR18" si="151">+IF(BN16&lt;0,1-BR16/BN16,BR16/BN16-1)</f>
        <v>0</v>
      </c>
      <c r="BS18" s="39" t="e">
        <f t="shared" ref="BS18" si="152">+IF(BO16&lt;0,1-BS16/BO16,BS16/BO16-1)</f>
        <v>#DIV/0!</v>
      </c>
      <c r="BT18" s="39" t="e">
        <f t="shared" ref="BT18" si="153">+IF(BP16&lt;0,1-BT16/BP16,BT16/BP16-1)</f>
        <v>#DIV/0!</v>
      </c>
      <c r="BU18" s="39" t="e">
        <f t="shared" ref="BU18" si="154">+IF(BQ16&lt;0,1-BU16/BQ16,BU16/BQ16-1)</f>
        <v>#DIV/0!</v>
      </c>
      <c r="BV18" s="39">
        <f t="shared" ref="BV18" si="155">+IF(BR16&lt;0,1-BV16/BR16,BV16/BR16-1)</f>
        <v>7436.4999999999936</v>
      </c>
      <c r="BW18" s="39">
        <f t="shared" ref="BW18" si="156">+IF(BS16&lt;0,1-BW16/BS16,BW16/BS16-1)</f>
        <v>14.410557184750736</v>
      </c>
      <c r="BX18" s="39">
        <f t="shared" ref="BX18" si="157">+IF(BT16&lt;0,1-BX16/BT16,BX16/BT16-1)</f>
        <v>2.5281077948420743</v>
      </c>
      <c r="BY18" s="39">
        <f t="shared" ref="BY18" si="158">+IF(BU16&lt;0,1-BY16/BU16,BY16/BU16-1)</f>
        <v>2.3564425770308111</v>
      </c>
      <c r="BZ18" s="39">
        <f t="shared" ref="BZ18" si="159">+IF(BV16&lt;0,1-BZ16/BV16,BZ16/BV16-1)</f>
        <v>1.5208739495798325</v>
      </c>
      <c r="CA18" s="39">
        <f t="shared" ref="CA18" si="160">+IF(BW16&lt;0,1-CA16/BW16,CA16/BW16-1)</f>
        <v>0.42005708848715551</v>
      </c>
      <c r="CB18" s="39">
        <f t="shared" ref="CB18" si="161">+IF(BX16&lt;0,1-CB16/BX16,CB16/BX16-1)</f>
        <v>1.2390045583343605</v>
      </c>
      <c r="CC18" s="39">
        <f t="shared" ref="CC18" si="162">+IF(BY16&lt;0,1-CC16/BY16,CC16/BY16-1)</f>
        <v>0.77490321533718332</v>
      </c>
      <c r="CD18" s="39">
        <f t="shared" ref="CD18" si="163">+IF(BZ16&lt;0,1-CD16/BZ16,CD16/BZ16-1)</f>
        <v>0.96005120273081257</v>
      </c>
      <c r="CE18" s="39">
        <f t="shared" ref="CE18" si="164">+IF(CA16&lt;0,1-CE16/CA16,CE16/CA16-1)</f>
        <v>1.0063250428816466</v>
      </c>
      <c r="CF18" s="39">
        <f t="shared" ref="CF18" si="165">+IF(CB16&lt;0,1-CF16/CB16,CF16/CB16-1)</f>
        <v>0.38072704596309737</v>
      </c>
      <c r="CG18" s="39">
        <f t="shared" ref="CG18" si="166">+IF(CC16&lt;0,1-CG16/CC16,CG16/CC16-1)</f>
        <v>0.18280131654563436</v>
      </c>
      <c r="CH18" s="39">
        <f t="shared" ref="CH18:CL18" si="167">+IF(CD16&lt;0,1-CH16/CD16,CH16/CD16-1)</f>
        <v>0.87760211162208446</v>
      </c>
      <c r="CI18" s="39">
        <f t="shared" si="167"/>
        <v>0.30430136254341389</v>
      </c>
      <c r="CJ18" s="39">
        <f t="shared" si="167"/>
        <v>0.93637088204038221</v>
      </c>
      <c r="CK18" s="39">
        <f t="shared" si="167"/>
        <v>0.25386484098939932</v>
      </c>
      <c r="CL18" s="39">
        <f t="shared" si="167"/>
        <v>0.45050724637681161</v>
      </c>
      <c r="CM18" s="40">
        <f t="shared" ref="CM18" si="168">+CM16/CI16-1</f>
        <v>0.27205381569843756</v>
      </c>
      <c r="CN18" s="40">
        <f t="shared" ref="CN18" si="169">+CN16/CJ16-1</f>
        <v>0.10141270966174099</v>
      </c>
      <c r="CO18" s="40">
        <f t="shared" ref="CO18" si="170">+CO16/CK16-1</f>
        <v>4.9261194915282358E-2</v>
      </c>
      <c r="CP18" s="40">
        <f t="shared" ref="CP18" si="171">+CP16/CL16-1</f>
        <v>0.42842514698483791</v>
      </c>
      <c r="CQ18" s="40">
        <f t="shared" ref="CQ18" si="172">+CQ16/CM16-1</f>
        <v>0.19458578126372283</v>
      </c>
      <c r="CR18" s="40">
        <f t="shared" ref="CR18" si="173">+CR16/CN16-1</f>
        <v>0.17758986064725013</v>
      </c>
      <c r="CS18" s="40">
        <f t="shared" ref="CS18" si="174">+CS16/CO16-1</f>
        <v>0.19802923986330279</v>
      </c>
      <c r="CT18" s="40">
        <f t="shared" ref="CT18" si="175">+CT16/CP16-1</f>
        <v>0.24237186668215482</v>
      </c>
      <c r="CU18" s="40">
        <f t="shared" ref="CU18" si="176">+CU16/CQ16-1</f>
        <v>0.20271207116340029</v>
      </c>
      <c r="CV18" s="40">
        <f t="shared" ref="CV18" si="177">+CV16/CR16-1</f>
        <v>0.20472630730345798</v>
      </c>
      <c r="CW18" s="40">
        <f t="shared" ref="CW18" si="178">+CW16/CS16-1</f>
        <v>0.21170809514028077</v>
      </c>
      <c r="CX18" s="40">
        <f t="shared" ref="CX18" si="179">+CX16/CT16-1</f>
        <v>0.2151831127445536</v>
      </c>
      <c r="CY18" s="40">
        <f t="shared" ref="CY18" si="180">+CY16/CU16-1</f>
        <v>0.20856419635116152</v>
      </c>
      <c r="CZ18" s="40">
        <f t="shared" ref="CZ18" si="181">+CZ16/CV16-1</f>
        <v>0.21003274413779893</v>
      </c>
      <c r="DA18" s="40">
        <f t="shared" ref="DA18" si="182">+DA16/CW16-1</f>
        <v>0.2113672169731402</v>
      </c>
      <c r="DB18" s="40">
        <f t="shared" ref="DB18" si="183">+DB16/CX16-1</f>
        <v>0.21128192860082518</v>
      </c>
      <c r="DE18" s="122"/>
      <c r="DF18" s="39">
        <v>0.33364135505365944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-1.0528596187175041</v>
      </c>
      <c r="AK19" s="39">
        <f t="shared" ref="AK19" si="184">+IF(AJ16&lt;0,1-AK16/AJ16,AK16/AJ16-1)</f>
        <v>1</v>
      </c>
      <c r="AL19" s="39" t="e">
        <f t="shared" ref="AL19" si="185">+IF(AK16&lt;0,1-AL16/AK16,AL16/AK16-1)</f>
        <v>#DIV/0!</v>
      </c>
      <c r="AM19" s="39" t="e">
        <f t="shared" ref="AM19" si="186">+IF(AL16&lt;0,1-AM16/AL16,AM16/AL16-1)</f>
        <v>#DIV/0!</v>
      </c>
      <c r="AN19" s="39" t="e">
        <f t="shared" ref="AN19" si="187">+IF(AM16&lt;0,1-AN16/AM16,AN16/AM16-1)</f>
        <v>#DIV/0!</v>
      </c>
      <c r="AO19" s="39">
        <f t="shared" ref="AO19" si="188">+IF(AN16&lt;0,1-AO16/AN16,AO16/AN16-1)</f>
        <v>1</v>
      </c>
      <c r="AP19" s="39" t="e">
        <f t="shared" ref="AP19" si="189">+IF(AO16&lt;0,1-AP16/AO16,AP16/AO16-1)</f>
        <v>#DIV/0!</v>
      </c>
      <c r="AQ19" s="39" t="e">
        <f t="shared" ref="AQ19" si="190">+IF(AP16&lt;0,1-AQ16/AP16,AQ16/AP16-1)</f>
        <v>#DIV/0!</v>
      </c>
      <c r="AR19" s="39" t="e">
        <f t="shared" ref="AR19" si="191">+IF(AQ16&lt;0,1-AR16/AQ16,AR16/AQ16-1)</f>
        <v>#DIV/0!</v>
      </c>
      <c r="AS19" s="39" t="e">
        <f t="shared" ref="AS19" si="192">+IF(AR16&lt;0,1-AS16/AR16,AS16/AR16-1)</f>
        <v>#DIV/0!</v>
      </c>
      <c r="AT19" s="39">
        <f t="shared" ref="AT19" si="193">+IF(AS16&lt;0,1-AT16/AS16,AT16/AS16-1)</f>
        <v>-0.15181058495820909</v>
      </c>
      <c r="AU19" s="39">
        <f t="shared" ref="AU19" si="194">+IF(AT16&lt;0,1-AU16/AT16,AU16/AT16-1)</f>
        <v>-1</v>
      </c>
      <c r="AV19" s="39" t="e">
        <f t="shared" ref="AV19" si="195">+IF(AU16&lt;0,1-AV16/AU16,AV16/AU16-1)</f>
        <v>#DIV/0!</v>
      </c>
      <c r="AW19" s="39">
        <f t="shared" ref="AW19" si="196">+IF(AV16&lt;0,1-AW16/AV16,AW16/AV16-1)</f>
        <v>2.6190476190475063</v>
      </c>
      <c r="AX19" s="39">
        <f t="shared" ref="AX19" si="197">+IF(AW16&lt;0,1-AX16/AW16,AX16/AW16-1)</f>
        <v>4.0131578947368114</v>
      </c>
      <c r="AY19" s="39">
        <f t="shared" ref="AY19" si="198">+IF(AX16&lt;0,1-AY16/AX16,AY16/AX16-1)</f>
        <v>-1</v>
      </c>
      <c r="AZ19" s="39" t="e">
        <f t="shared" ref="AZ19" si="199">+IF(AY16&lt;0,1-AZ16/AY16,AZ16/AY16-1)</f>
        <v>#DIV/0!</v>
      </c>
      <c r="BA19" s="39">
        <f t="shared" ref="BA19" si="200">+IF(AZ16&lt;0,1-BA16/AZ16,BA16/AZ16-1)</f>
        <v>0.25806451612894166</v>
      </c>
      <c r="BB19" s="39">
        <f t="shared" ref="BB19" si="201">+IF(BA16&lt;0,1-BB16/BA16,BB16/BA16-1)</f>
        <v>-0.17948717948713511</v>
      </c>
      <c r="BC19" s="39">
        <f t="shared" ref="BC19" si="202">+IF(BB16&lt;0,1-BC16/BB16,BC16/BB16-1)</f>
        <v>-1</v>
      </c>
      <c r="BD19" s="39" t="e">
        <f t="shared" ref="BD19" si="203">+IF(BC16&lt;0,1-BD16/BC16,BD16/BC16-1)</f>
        <v>#DIV/0!</v>
      </c>
      <c r="BE19" s="39">
        <f t="shared" ref="BE19" si="204">+IF(BD16&lt;0,1-BE16/BD16,BE16/BD16-1)</f>
        <v>0.74677002583979624</v>
      </c>
      <c r="BF19" s="39">
        <f t="shared" ref="BF19" si="205">+IF(BE16&lt;0,1-BF16/BE16,BF16/BE16-1)</f>
        <v>-0.71597633136093686</v>
      </c>
      <c r="BG19" s="39">
        <f t="shared" ref="BG19" si="206">+IF(BF16&lt;0,1-BG16/BF16,BG16/BF16-1)</f>
        <v>-1</v>
      </c>
      <c r="BH19" s="39" t="e">
        <f t="shared" ref="BH19" si="207">+IF(BG16&lt;0,1-BH16/BG16,BH16/BG16-1)</f>
        <v>#DIV/0!</v>
      </c>
      <c r="BI19" s="39" t="e">
        <f t="shared" ref="BI19" si="208">+IF(BH16&lt;0,1-BI16/BH16,BI16/BH16-1)</f>
        <v>#DIV/0!</v>
      </c>
      <c r="BJ19" s="39">
        <f t="shared" ref="BJ19" si="209">+IF(BI16&lt;0,1-BJ16/BI16,BJ16/BI16-1)</f>
        <v>-0.78639455782312906</v>
      </c>
      <c r="BK19" s="39">
        <f t="shared" ref="BK19" si="210">+IF(BJ16&lt;0,1-BK16/BJ16,BK16/BJ16-1)</f>
        <v>-1</v>
      </c>
      <c r="BL19" s="39" t="e">
        <f t="shared" ref="BL19" si="211">+IF(BK16&lt;0,1-BL16/BK16,BL16/BK16-1)</f>
        <v>#DIV/0!</v>
      </c>
      <c r="BM19" s="39" t="e">
        <f t="shared" ref="BM19" si="212">+IF(BL16&lt;0,1-BM16/BL16,BM16/BL16-1)</f>
        <v>#DIV/0!</v>
      </c>
      <c r="BN19" s="39" t="e">
        <f t="shared" ref="BN19" si="213">+IF(BM16&lt;0,1-BN16/BM16,BN16/BM16-1)</f>
        <v>#DIV/0!</v>
      </c>
      <c r="BO19" s="39">
        <f t="shared" ref="BO19" si="214">+IF(BN16&lt;0,1-BO16/BN16,BO16/BN16-1)</f>
        <v>-1</v>
      </c>
      <c r="BP19" s="39" t="e">
        <f t="shared" ref="BP19" si="215">+IF(BO16&lt;0,1-BP16/BO16,BP16/BO16-1)</f>
        <v>#DIV/0!</v>
      </c>
      <c r="BQ19" s="39" t="e">
        <f t="shared" ref="BQ19" si="216">+IF(BP16&lt;0,1-BQ16/BP16,BQ16/BP16-1)</f>
        <v>#DIV/0!</v>
      </c>
      <c r="BR19" s="39" t="e">
        <f t="shared" ref="BR19" si="217">+IF(BQ16&lt;0,1-BR16/BQ16,BR16/BQ16-1)</f>
        <v>#DIV/0!</v>
      </c>
      <c r="BS19" s="39">
        <f t="shared" ref="BS19" si="218">+IF(BR16&lt;0,1-BS16/BR16,BS16/BR16-1)</f>
        <v>851.4999999999992</v>
      </c>
      <c r="BT19" s="39">
        <f t="shared" ref="BT19" si="219">+IF(BS16&lt;0,1-BT16/BS16,BT16/BS16-1)</f>
        <v>3.0480938416422294</v>
      </c>
      <c r="BU19" s="39">
        <f t="shared" ref="BU19" si="220">+IF(BT16&lt;0,1-BU16/BT16,BU16/BT16-1)</f>
        <v>0.86206896551724133</v>
      </c>
      <c r="BV19" s="39">
        <f t="shared" ref="BV19" si="221">+IF(BU16&lt;0,1-BV16/BU16,BV16/BU16-1)</f>
        <v>0.15740740740740744</v>
      </c>
      <c r="BW19" s="39">
        <f t="shared" ref="BW19" si="222">+IF(BV16&lt;0,1-BW16/BV16,BW16/BV16-1)</f>
        <v>0.7663865546218489</v>
      </c>
      <c r="BX19" s="39">
        <f t="shared" ref="BX19" si="223">+IF(BW16&lt;0,1-BX16/BW16,BX16/BW16-1)</f>
        <v>-7.3225499524262827E-2</v>
      </c>
      <c r="BY19" s="39">
        <f t="shared" ref="BY19" si="224">+IF(BX16&lt;0,1-BY16/BX16,BY16/BX16-1)</f>
        <v>0.77146729087101118</v>
      </c>
      <c r="BZ19" s="39">
        <f t="shared" ref="BZ19" si="225">+IF(BY16&lt;0,1-BZ16/BY16,BZ16/BY16-1)</f>
        <v>-0.13072304518163025</v>
      </c>
      <c r="CA19" s="39">
        <f t="shared" ref="CA19" si="226">+IF(BZ16&lt;0,1-CA16/BZ16,CA16/BZ16-1)</f>
        <v>-4.9602645474423612E-3</v>
      </c>
      <c r="CB19" s="39">
        <f t="shared" ref="CB19" si="227">+IF(CA16&lt;0,1-CB16/CA16,CB16/CA16-1)</f>
        <v>0.46124571183533414</v>
      </c>
      <c r="CC19" s="39">
        <f t="shared" ref="CC19" si="228">+IF(CB16&lt;0,1-CC16/CB16,CC16/CB16-1)</f>
        <v>0.40427717251751671</v>
      </c>
      <c r="CD19" s="39">
        <f t="shared" ref="CD19" si="229">+IF(CC16&lt;0,1-CD16/CC16,CD16/CC16-1)</f>
        <v>-4.0044929731989254E-2</v>
      </c>
      <c r="CE19" s="39">
        <f t="shared" ref="CE19" si="230">+IF(CD16&lt;0,1-CE16/CD16,CE16/CD16-1)</f>
        <v>1.8531116492965793E-2</v>
      </c>
      <c r="CF19" s="39">
        <f t="shared" ref="CF19" si="231">+IF(CE16&lt;0,1-CF16/CE16,CF16/CE16-1)</f>
        <v>5.6104728827142125E-3</v>
      </c>
      <c r="CG19" s="39">
        <f t="shared" ref="CG19" si="232">+IF(CF16&lt;0,1-CG16/CF16,CG16/CF16-1)</f>
        <v>0.20297555791710953</v>
      </c>
      <c r="CH19" s="39">
        <f t="shared" ref="CH19:CL19" si="233">+IF(CG16&lt;0,1-CH16/CG16,CH16/CG16-1)</f>
        <v>0.52385159010600701</v>
      </c>
      <c r="CI19" s="39">
        <f t="shared" si="233"/>
        <v>-0.2924637681159421</v>
      </c>
      <c r="CJ19" s="39">
        <f t="shared" si="233"/>
        <v>0.49293322408848828</v>
      </c>
      <c r="CK19" s="39">
        <f t="shared" si="233"/>
        <v>-0.221033134389792</v>
      </c>
      <c r="CL19" s="39">
        <f t="shared" si="233"/>
        <v>0.76283575517393221</v>
      </c>
      <c r="CM19" s="40">
        <f t="shared" ref="CM19" si="234">+CM16/CL16-1</f>
        <v>-0.37951074304443511</v>
      </c>
      <c r="CN19" s="40">
        <f t="shared" ref="CN19" si="235">+CN16/CM16-1</f>
        <v>0.29266199856843111</v>
      </c>
      <c r="CO19" s="40">
        <f t="shared" ref="CO19" si="236">+CO16/CN16-1</f>
        <v>-0.25791694880605165</v>
      </c>
      <c r="CP19" s="40">
        <f t="shared" ref="CP19" si="237">+CP16/CO16-1</f>
        <v>1.3998590006921607</v>
      </c>
      <c r="CQ19" s="40">
        <f t="shared" ref="CQ19" si="238">+CQ16/CP16-1</f>
        <v>-0.48108751421058682</v>
      </c>
      <c r="CR19" s="40">
        <f t="shared" ref="CR19" si="239">+CR16/CQ16-1</f>
        <v>0.27427070255923325</v>
      </c>
      <c r="CS19" s="40">
        <f t="shared" ref="CS19" si="240">+CS16/CR16-1</f>
        <v>-0.24503664353166543</v>
      </c>
      <c r="CT19" s="40">
        <f t="shared" ref="CT19" si="241">+CT16/CS16-1</f>
        <v>1.4886849229189818</v>
      </c>
      <c r="CU19" s="40">
        <f t="shared" ref="CU19" si="242">+CU16/CT16-1</f>
        <v>-0.49765257305524413</v>
      </c>
      <c r="CV19" s="40">
        <f t="shared" ref="CV19" si="243">+CV16/CU16-1</f>
        <v>0.27640478116611766</v>
      </c>
      <c r="CW19" s="40">
        <f t="shared" ref="CW19" si="244">+CW16/CV16-1</f>
        <v>-0.24066138091186295</v>
      </c>
      <c r="CX19" s="40">
        <f t="shared" ref="CX19" si="245">+CX16/CW16-1</f>
        <v>1.4958221401690084</v>
      </c>
      <c r="CY19" s="40">
        <f t="shared" ref="CY19" si="246">+CY16/CX16-1</f>
        <v>-0.50038878258984942</v>
      </c>
      <c r="CZ19" s="40">
        <f t="shared" ref="CZ19" si="247">+CZ16/CY16-1</f>
        <v>0.27795576325039106</v>
      </c>
      <c r="DA19" s="40">
        <f t="shared" ref="DA19" si="248">+DA16/CZ16-1</f>
        <v>-0.23982395170599413</v>
      </c>
      <c r="DB19" s="40">
        <f t="shared" ref="DB19" si="249">+DB16/DA16-1</f>
        <v>1.4956464175599269</v>
      </c>
      <c r="DE19" s="122"/>
      <c r="DF19" s="39">
        <v>0.62071191428062145</v>
      </c>
    </row>
    <row r="20" spans="1:110" s="23" customFormat="1" outlineLevel="1" x14ac:dyDescent="0.2">
      <c r="A20" s="23" t="s">
        <v>8</v>
      </c>
      <c r="B20" s="23">
        <f>'Annual Raw'!C14</f>
        <v>2.97585E-2</v>
      </c>
      <c r="C20" s="23">
        <f>'Annual Raw'!D14</f>
        <v>2.9450400000000002E-2</v>
      </c>
      <c r="D20" s="23">
        <f>'Annual Raw'!E14</f>
        <v>3.1604300000000002E-2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0.15709129999999999</v>
      </c>
      <c r="I20" s="23">
        <f>'Annual Raw'!J14</f>
        <v>0.19995599999999999</v>
      </c>
      <c r="J20" s="23">
        <f>'Annual Raw'!K14</f>
        <v>0.40825159999999999</v>
      </c>
      <c r="K20" s="23">
        <f>'Annual Raw'!L14</f>
        <v>0.43730000000000002</v>
      </c>
      <c r="L20" s="23">
        <f>'Annual Raw'!M14</f>
        <v>0.54059999999999997</v>
      </c>
      <c r="M20" s="23">
        <f>'Annual Raw'!N14</f>
        <v>0.54120000000000001</v>
      </c>
      <c r="N20" s="23">
        <f>'Annual Raw'!O14</f>
        <v>0.50360000000000005</v>
      </c>
      <c r="O20" s="23">
        <f>'Annual Raw'!P14</f>
        <v>0.76912820000000004</v>
      </c>
      <c r="P20" s="23">
        <f>'Annual Raw'!Q14</f>
        <v>1.1099216999999999</v>
      </c>
      <c r="Q20" s="23">
        <f>'Annual Raw'!R14</f>
        <v>0.83582259999999997</v>
      </c>
      <c r="R20" s="23">
        <f>'Annual Raw'!S14</f>
        <v>0.78439270000000005</v>
      </c>
      <c r="S20" s="23">
        <f>'Annual Raw'!T14</f>
        <v>1.403</v>
      </c>
      <c r="T20" s="23">
        <f>'Annual Raw'!U14</f>
        <v>1.3994</v>
      </c>
      <c r="U20" s="23">
        <f>'Annual Raw'!V14</f>
        <v>1.411</v>
      </c>
      <c r="V20" s="23">
        <f>'Annual Raw'!W14</f>
        <v>0.97370000000000001</v>
      </c>
      <c r="W20" s="23">
        <f>'Annual Raw'!X14</f>
        <v>12.5185</v>
      </c>
      <c r="X20" s="23">
        <f>'Annual Raw'!Y14</f>
        <v>19.021100000000001</v>
      </c>
      <c r="Y20" s="23">
        <f>'Annual Raw'!Z14</f>
        <v>36.142699999999998</v>
      </c>
      <c r="Z20" s="23">
        <f>'Annual Raw'!AA14</f>
        <v>60.63</v>
      </c>
      <c r="AA20" s="23">
        <f>'Annual Raw'!AB14</f>
        <v>112.02</v>
      </c>
      <c r="AB20" s="76">
        <f t="shared" ref="AB20:AB25" si="250">+SUM(CM20:CP20)</f>
        <v>127.1909</v>
      </c>
      <c r="AC20" s="76">
        <f t="shared" ref="AC20:AC25" si="251">+SUM(CQ20:CT20)</f>
        <v>136.09426300000001</v>
      </c>
      <c r="AD20" s="76">
        <f t="shared" ref="AD20:AD25" si="252">+SUM(CU20:CX20)</f>
        <v>145.62086141000003</v>
      </c>
      <c r="AE20" s="76">
        <f t="shared" ref="AE20:AE25" si="253">+SUM(CY20:DB20)</f>
        <v>155.81432170870002</v>
      </c>
      <c r="AI20" s="23">
        <f>'QTR Raw'!C16</f>
        <v>0.109</v>
      </c>
      <c r="AJ20" s="23">
        <f>'QTR Raw'!D16</f>
        <v>0.107</v>
      </c>
      <c r="AK20" s="23">
        <f>'QTR Raw'!E16</f>
        <v>0.17199999999999999</v>
      </c>
      <c r="AL20" s="23">
        <f>'QTR Raw'!F16</f>
        <v>0.115</v>
      </c>
      <c r="AM20" s="23">
        <f>'QTR Raw'!G16</f>
        <v>0.188</v>
      </c>
      <c r="AN20" s="23">
        <f>'QTR Raw'!H16</f>
        <v>0.18</v>
      </c>
      <c r="AO20" s="23">
        <f>'QTR Raw'!I16</f>
        <v>0.19500000000000001</v>
      </c>
      <c r="AP20" s="23">
        <f>'QTR Raw'!J16</f>
        <v>0.20699999999999999</v>
      </c>
      <c r="AQ20" s="23">
        <f>'QTR Raw'!K16</f>
        <v>0.191</v>
      </c>
      <c r="AR20" s="23">
        <f>'QTR Raw'!L16</f>
        <v>0.17799999999999999</v>
      </c>
      <c r="AS20" s="23">
        <f>'QTR Raw'!M16</f>
        <v>0.214</v>
      </c>
      <c r="AT20" s="23">
        <f>'QTR Raw'!N16</f>
        <v>0.52700000000000002</v>
      </c>
      <c r="AU20" s="23">
        <f>'QTR Raw'!O16</f>
        <v>0.217</v>
      </c>
      <c r="AV20" s="23">
        <f>'QTR Raw'!P16</f>
        <v>0.19800000000000001</v>
      </c>
      <c r="AW20" s="23">
        <f>'QTR Raw'!Q16</f>
        <v>0.22700000000000001</v>
      </c>
      <c r="AX20" s="23">
        <f>'QTR Raw'!R16</f>
        <v>0.19500000000000001</v>
      </c>
      <c r="AY20" s="23">
        <f>'QTR Raw'!S16</f>
        <v>0.185</v>
      </c>
      <c r="AZ20" s="23">
        <f>'QTR Raw'!T16</f>
        <v>0.182</v>
      </c>
      <c r="BA20" s="23">
        <f>'QTR Raw'!U16</f>
        <v>0.184</v>
      </c>
      <c r="BB20" s="23">
        <f>'QTR Raw'!V16</f>
        <v>0.23499999999999999</v>
      </c>
      <c r="BC20" s="23">
        <f>'QTR Raw'!W16</f>
        <v>0.314</v>
      </c>
      <c r="BD20" s="23">
        <f>'QTR Raw'!X16</f>
        <v>0.307</v>
      </c>
      <c r="BE20" s="23">
        <f>'QTR Raw'!Y16</f>
        <v>0.311</v>
      </c>
      <c r="BF20" s="23">
        <f>'QTR Raw'!Z16</f>
        <v>0.47099999999999997</v>
      </c>
      <c r="BG20" s="23">
        <f>'QTR Raw'!AA16</f>
        <v>0.35</v>
      </c>
      <c r="BH20" s="23">
        <f>'QTR Raw'!AB16</f>
        <v>0.36099999999999999</v>
      </c>
      <c r="BI20" s="23">
        <f>'QTR Raw'!AC16</f>
        <v>0.35599999999999998</v>
      </c>
      <c r="BJ20" s="23">
        <f>'QTR Raw'!AD16</f>
        <v>0.33200000000000002</v>
      </c>
      <c r="BK20" s="23">
        <f>'QTR Raw'!AE16</f>
        <v>0.34</v>
      </c>
      <c r="BL20" s="23">
        <f>'QTR Raw'!AF16</f>
        <v>0.34</v>
      </c>
      <c r="BM20" s="23">
        <f>'QTR Raw'!AG16</f>
        <v>0.34100000000000003</v>
      </c>
      <c r="BN20" s="23">
        <f>'QTR Raw'!AH16</f>
        <v>0.38900000000000001</v>
      </c>
      <c r="BO20" s="23">
        <f>'QTR Raw'!AI16</f>
        <v>0.219</v>
      </c>
      <c r="BP20" s="23">
        <f>'QTR Raw'!AJ16</f>
        <v>0.23599999999999999</v>
      </c>
      <c r="BQ20" s="23">
        <f>'QTR Raw'!AK16</f>
        <v>0.25900000000000001</v>
      </c>
      <c r="BR20" s="23">
        <f>'QTR Raw'!AL16</f>
        <v>0.25900000000000001</v>
      </c>
      <c r="BS20" s="23">
        <f>'QTR Raw'!AM16</f>
        <v>1.7010000000000001</v>
      </c>
      <c r="BT20" s="23">
        <f>'QTR Raw'!AN16</f>
        <v>3.8159999999999998</v>
      </c>
      <c r="BU20" s="23">
        <f>'QTR Raw'!AO16</f>
        <v>4.1210000000000004</v>
      </c>
      <c r="BV20" s="23">
        <f>'QTR Raw'!AP16</f>
        <v>3.5409999999999999</v>
      </c>
      <c r="BW20" s="23">
        <f>'QTR Raw'!AQ16</f>
        <v>3.9820000000000002</v>
      </c>
      <c r="BX20" s="23">
        <f>'QTR Raw'!AR16</f>
        <v>4.3739999999999997</v>
      </c>
      <c r="BY20" s="23">
        <f>'QTR Raw'!AS16</f>
        <v>5.673</v>
      </c>
      <c r="BZ20" s="23">
        <f>'QTR Raw'!AT16</f>
        <v>5.99</v>
      </c>
      <c r="CA20" s="23">
        <f>'QTR Raw'!AU16</f>
        <v>7.4260000000000002</v>
      </c>
      <c r="CB20" s="23">
        <f>'QTR Raw'!AV16</f>
        <v>7.4020000000000001</v>
      </c>
      <c r="CC20" s="23">
        <f>'QTR Raw'!AW16</f>
        <v>8.4730000000000008</v>
      </c>
      <c r="CD20" s="23">
        <f>'QTR Raw'!AX16</f>
        <v>15.925000000000001</v>
      </c>
      <c r="CE20" s="23">
        <f>'QTR Raw'!AY16</f>
        <v>12.02</v>
      </c>
      <c r="CF20" s="23">
        <f>'QTR Raw'!AZ16</f>
        <v>12.55</v>
      </c>
      <c r="CG20" s="23">
        <f>'QTR Raw'!BA16</f>
        <v>19.059999999999999</v>
      </c>
      <c r="CH20" s="23">
        <f>'QTR Raw'!BB16</f>
        <v>22.29</v>
      </c>
      <c r="CI20" s="23">
        <f>'QTR Raw'!BC16</f>
        <v>25.45</v>
      </c>
      <c r="CJ20" s="23">
        <f>'QTR Raw'!BD16</f>
        <v>27.47</v>
      </c>
      <c r="CK20" s="23">
        <f>'QTR Raw'!BE16</f>
        <v>30.52</v>
      </c>
      <c r="CL20" s="23">
        <f>'QTR Raw'!BF16</f>
        <v>35.43</v>
      </c>
      <c r="CM20" s="24">
        <f t="shared" ref="CM20:DB20" si="254">CI20*107%</f>
        <v>27.2315</v>
      </c>
      <c r="CN20" s="24">
        <f t="shared" si="254"/>
        <v>29.392900000000001</v>
      </c>
      <c r="CO20" s="24">
        <f t="shared" si="254"/>
        <v>32.656400000000005</v>
      </c>
      <c r="CP20" s="24">
        <f t="shared" si="254"/>
        <v>37.9101</v>
      </c>
      <c r="CQ20" s="24">
        <f t="shared" si="254"/>
        <v>29.137705000000004</v>
      </c>
      <c r="CR20" s="24">
        <f t="shared" si="254"/>
        <v>31.450403000000001</v>
      </c>
      <c r="CS20" s="24">
        <f t="shared" si="254"/>
        <v>34.94234800000001</v>
      </c>
      <c r="CT20" s="24">
        <f t="shared" si="254"/>
        <v>40.563807000000004</v>
      </c>
      <c r="CU20" s="24">
        <f t="shared" si="254"/>
        <v>31.177344350000006</v>
      </c>
      <c r="CV20" s="24">
        <f t="shared" si="254"/>
        <v>33.651931210000001</v>
      </c>
      <c r="CW20" s="24">
        <f t="shared" si="254"/>
        <v>37.388312360000015</v>
      </c>
      <c r="CX20" s="24">
        <f t="shared" si="254"/>
        <v>43.403273490000004</v>
      </c>
      <c r="CY20" s="24">
        <f t="shared" si="254"/>
        <v>33.35975845450001</v>
      </c>
      <c r="CZ20" s="24">
        <f t="shared" si="254"/>
        <v>36.0075663947</v>
      </c>
      <c r="DA20" s="24">
        <f t="shared" si="254"/>
        <v>40.005494225200017</v>
      </c>
      <c r="DB20" s="24">
        <f t="shared" si="254"/>
        <v>46.441502634300008</v>
      </c>
      <c r="DE20" s="123"/>
      <c r="DF20" s="23">
        <v>23.84816</v>
      </c>
    </row>
    <row r="21" spans="1:110" s="23" customFormat="1" outlineLevel="1" x14ac:dyDescent="0.2">
      <c r="A21" s="23" t="s">
        <v>10</v>
      </c>
      <c r="B21" s="23">
        <f>'Annual Raw'!C17</f>
        <v>2.7402625E-2</v>
      </c>
      <c r="C21" s="23">
        <f>'Annual Raw'!D17</f>
        <v>2.4444515E-2</v>
      </c>
      <c r="D21" s="23">
        <f>'Annual Raw'!E17</f>
        <v>2.2501997999999999E-2</v>
      </c>
      <c r="E21" s="23">
        <f>'Annual Raw'!F17</f>
        <v>20.735023504000001</v>
      </c>
      <c r="F21" s="23">
        <f>'Annual Raw'!G17</f>
        <v>5.955187274</v>
      </c>
      <c r="G21" s="23">
        <f>'Annual Raw'!H17</f>
        <v>2.0559142600000002</v>
      </c>
      <c r="H21" s="23">
        <f>'Annual Raw'!I17</f>
        <v>0.92840123100000005</v>
      </c>
      <c r="I21" s="23">
        <f>'Annual Raw'!J17</f>
        <v>1.9283585560000001</v>
      </c>
      <c r="J21" s="23">
        <f>'Annual Raw'!K17</f>
        <v>4.1624793909999998</v>
      </c>
      <c r="K21" s="23">
        <f>'Annual Raw'!L17</f>
        <v>6.5740999999999996</v>
      </c>
      <c r="L21" s="23">
        <f>'Annual Raw'!M17</f>
        <v>23.7729</v>
      </c>
      <c r="M21" s="23">
        <f>'Annual Raw'!N17</f>
        <v>0.51929999999999998</v>
      </c>
      <c r="N21" s="23">
        <f>'Annual Raw'!O17</f>
        <v>0.92259999999999998</v>
      </c>
      <c r="O21" s="23">
        <f>'Annual Raw'!P17</f>
        <v>0.85416250000000005</v>
      </c>
      <c r="P21" s="23">
        <f>'Annual Raw'!Q17</f>
        <v>0.60570409999999997</v>
      </c>
      <c r="Q21" s="23">
        <f>'Annual Raw'!R17</f>
        <v>1.5146538000000001</v>
      </c>
      <c r="R21" s="23">
        <f>'Annual Raw'!S17</f>
        <v>0.39752150000000003</v>
      </c>
      <c r="S21" s="23">
        <f>'Annual Raw'!T17</f>
        <v>0.46210000000000001</v>
      </c>
      <c r="T21" s="23">
        <f>'Annual Raw'!U17</f>
        <v>0.41149999999999998</v>
      </c>
      <c r="U21" s="23">
        <f>'Annual Raw'!V17</f>
        <v>0.3579</v>
      </c>
      <c r="V21" s="23">
        <f>'Annual Raw'!W17</f>
        <v>0.38100000000000001</v>
      </c>
      <c r="W21" s="23">
        <f>'Annual Raw'!X17</f>
        <v>7.7411000000000003</v>
      </c>
      <c r="X21" s="23">
        <f>'Annual Raw'!Y17</f>
        <v>15.151999999999999</v>
      </c>
      <c r="Y21" s="23">
        <f>'Annual Raw'!Z17</f>
        <v>21.206199999999999</v>
      </c>
      <c r="Z21" s="23">
        <f>'Annual Raw'!AA17</f>
        <v>41.88</v>
      </c>
      <c r="AA21" s="23">
        <f>'Annual Raw'!AB17</f>
        <v>46.48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103.390853346</v>
      </c>
      <c r="C22" s="23">
        <f>'Annual Raw'!D19-'Annual Raw'!D20</f>
        <v>0.783601777</v>
      </c>
      <c r="D22" s="23">
        <f>'Annual Raw'!E19-'Annual Raw'!E20</f>
        <v>0.63752200000000003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11.25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0.88719999999999999</v>
      </c>
      <c r="N22" s="23">
        <f>'Annual Raw'!O19-'Annual Raw'!O20</f>
        <v>0.42409999999999998</v>
      </c>
      <c r="O22" s="23">
        <f>'Annual Raw'!P19-'Annual Raw'!P20</f>
        <v>0</v>
      </c>
      <c r="P22" s="23">
        <f>'Annual Raw'!Q19-'Annual Raw'!Q20</f>
        <v>0.31687850000000001</v>
      </c>
      <c r="Q22" s="23">
        <f>'Annual Raw'!R19-'Annual Raw'!R20</f>
        <v>3.1500004000000001</v>
      </c>
      <c r="R22" s="23">
        <f>'Annual Raw'!S19-'Annual Raw'!S20</f>
        <v>3.9999999999999998E-7</v>
      </c>
      <c r="S22" s="23">
        <f>'Annual Raw'!T19-'Annual Raw'!T20</f>
        <v>5.3291000000000004</v>
      </c>
      <c r="T22" s="23">
        <f>'Annual Raw'!U19-'Annual Raw'!U20</f>
        <v>8.0060000000000002</v>
      </c>
      <c r="U22" s="23">
        <f>'Annual Raw'!V19-'Annual Raw'!V20</f>
        <v>2.9999999999999997E-4</v>
      </c>
      <c r="V22" s="23">
        <f>'Annual Raw'!W19-'Annual Raw'!W20</f>
        <v>2.9999999999999997E-4</v>
      </c>
      <c r="W22" s="23">
        <f>'Annual Raw'!X19-'Annual Raw'!X20</f>
        <v>1.6316999999999999</v>
      </c>
      <c r="X22" s="23">
        <f>'Annual Raw'!Y19-'Annual Raw'!Y20</f>
        <v>5.5315000000000003</v>
      </c>
      <c r="Y22" s="23">
        <f>'Annual Raw'!Z19-'Annual Raw'!Z20</f>
        <v>7.2587000000000002</v>
      </c>
      <c r="Z22" s="23">
        <f>'Annual Raw'!AA19-'Annual Raw'!AA20</f>
        <v>17.72</v>
      </c>
      <c r="AA22" s="23">
        <f>'Annual Raw'!AB19-'Annual Raw'!AB20</f>
        <v>10.25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10.6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0.87570000000000003</v>
      </c>
      <c r="N23" s="23">
        <f>'Annual Raw'!O15+'Annual Raw'!O16</f>
        <v>2.47E-2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8.51</v>
      </c>
      <c r="X23" s="23">
        <f>'Annual Raw'!Y15+'Annual Raw'!Y16</f>
        <v>85.664100000000005</v>
      </c>
      <c r="Y23" s="23">
        <f>'Annual Raw'!Z15+'Annual Raw'!Z16</f>
        <v>157.37370000000001</v>
      </c>
      <c r="Z23" s="23">
        <f>'Annual Raw'!AA15+'Annual Raw'!AA16</f>
        <v>267.02999999999997</v>
      </c>
      <c r="AA23" s="23">
        <f>'Annual Raw'!AB15+'Annual Raw'!AB16</f>
        <v>362.92</v>
      </c>
      <c r="AB23" s="76">
        <f t="shared" si="250"/>
        <v>418.99178048909971</v>
      </c>
      <c r="AC23" s="76">
        <f t="shared" si="251"/>
        <v>524.89590857052394</v>
      </c>
      <c r="AD23" s="76">
        <f t="shared" si="252"/>
        <v>654.01370669221342</v>
      </c>
      <c r="AE23" s="76">
        <f t="shared" si="253"/>
        <v>812.12782758232822</v>
      </c>
      <c r="AI23" s="23">
        <f>'QTR Raw'!C14</f>
        <v>0.76800000000000002</v>
      </c>
      <c r="AJ23" s="23">
        <f>'QTR Raw'!D14</f>
        <v>0</v>
      </c>
      <c r="AK23" s="23">
        <f>'QTR Raw'!E14</f>
        <v>0.16400000000000001</v>
      </c>
      <c r="AL23" s="23">
        <f>'QTR Raw'!F14</f>
        <v>0.436</v>
      </c>
      <c r="AM23" s="23">
        <f>'QTR Raw'!G14</f>
        <v>0.20699999999999999</v>
      </c>
      <c r="AN23" s="23">
        <f>'QTR Raw'!H14</f>
        <v>0</v>
      </c>
      <c r="AO23" s="23">
        <f>'QTR Raw'!I14</f>
        <v>0.39200000000000002</v>
      </c>
      <c r="AP23" s="23">
        <f>'QTR Raw'!J14</f>
        <v>-0.02</v>
      </c>
      <c r="AQ23" s="23">
        <f>'QTR Raw'!K14</f>
        <v>0.215</v>
      </c>
      <c r="AR23" s="23">
        <f>'QTR Raw'!L14</f>
        <v>0.20200000000000001</v>
      </c>
      <c r="AS23" s="23">
        <f>'QTR Raw'!M14</f>
        <v>0.106</v>
      </c>
      <c r="AT23" s="23">
        <f>'QTR Raw'!N14</f>
        <v>0.42399999999999999</v>
      </c>
      <c r="AU23" s="23">
        <f>'QTR Raw'!O14</f>
        <v>0.30599999999999999</v>
      </c>
      <c r="AV23" s="23">
        <f>'QTR Raw'!P14</f>
        <v>0.37</v>
      </c>
      <c r="AW23" s="23">
        <f>'QTR Raw'!Q14</f>
        <v>0.38200000000000001</v>
      </c>
      <c r="AX23" s="23">
        <f>'QTR Raw'!R14</f>
        <v>3.6139999999999999</v>
      </c>
      <c r="AY23" s="23">
        <f>'QTR Raw'!S14</f>
        <v>9.0999999999999998E-2</v>
      </c>
      <c r="AZ23" s="23">
        <f>'QTR Raw'!T14</f>
        <v>6.5000000000000002E-2</v>
      </c>
      <c r="BA23" s="23">
        <f>'QTR Raw'!U14</f>
        <v>1.042</v>
      </c>
      <c r="BB23" s="23">
        <f>'QTR Raw'!V14</f>
        <v>9.1999999999999998E-2</v>
      </c>
      <c r="BC23" s="23">
        <f>'QTR Raw'!W14</f>
        <v>0.11</v>
      </c>
      <c r="BD23" s="23">
        <f>'QTR Raw'!X14</f>
        <v>0.06</v>
      </c>
      <c r="BE23" s="23">
        <f>'QTR Raw'!Y14</f>
        <v>0.124</v>
      </c>
      <c r="BF23" s="23">
        <f>'QTR Raw'!Z14</f>
        <v>5.5019999999999998</v>
      </c>
      <c r="BG23" s="23">
        <f>'QTR Raw'!AA14</f>
        <v>9.0999999999999998E-2</v>
      </c>
      <c r="BH23" s="23">
        <f>'QTR Raw'!AB14</f>
        <v>2.9849999999999999</v>
      </c>
      <c r="BI23" s="23">
        <f>'QTR Raw'!AC14</f>
        <v>2.4590000000000001</v>
      </c>
      <c r="BJ23" s="23">
        <f>'QTR Raw'!AD14</f>
        <v>2.8879999999999999</v>
      </c>
      <c r="BK23" s="23">
        <f>'QTR Raw'!AE14</f>
        <v>0.10199999999999999</v>
      </c>
      <c r="BL23" s="23">
        <f>'QTR Raw'!AF14</f>
        <v>0.06</v>
      </c>
      <c r="BM23" s="23">
        <f>'QTR Raw'!AG14</f>
        <v>7.5999999999999998E-2</v>
      </c>
      <c r="BN23" s="23">
        <f>'QTR Raw'!AH14</f>
        <v>0.126</v>
      </c>
      <c r="BO23" s="23">
        <f>'QTR Raw'!AI14</f>
        <v>7.8E-2</v>
      </c>
      <c r="BP23" s="23">
        <f>'QTR Raw'!AJ14</f>
        <v>3.7999999999999999E-2</v>
      </c>
      <c r="BQ23" s="23">
        <f>'QTR Raw'!AK14</f>
        <v>0.04</v>
      </c>
      <c r="BR23" s="23">
        <f>'QTR Raw'!AL14</f>
        <v>0.249</v>
      </c>
      <c r="BS23" s="23">
        <f>'QTR Raw'!AM14</f>
        <v>2.5609999999999999</v>
      </c>
      <c r="BT23" s="23">
        <f>'QTR Raw'!AN14</f>
        <v>2.7170000000000001</v>
      </c>
      <c r="BU23" s="23">
        <f>'QTR Raw'!AO14</f>
        <v>6.2539999999999996</v>
      </c>
      <c r="BV23" s="23">
        <f>'QTR Raw'!AP14</f>
        <v>7.5970000000000004</v>
      </c>
      <c r="BW23" s="23">
        <f>'QTR Raw'!AQ14</f>
        <v>16.170999999999999</v>
      </c>
      <c r="BX23" s="23">
        <f>'QTR Raw'!AR14</f>
        <v>13.689</v>
      </c>
      <c r="BY23" s="23">
        <f>'QTR Raw'!AS14</f>
        <v>18.018999999999998</v>
      </c>
      <c r="BZ23" s="23">
        <f>'QTR Raw'!AT14</f>
        <v>13.115</v>
      </c>
      <c r="CA23" s="23">
        <f>'QTR Raw'!AU14</f>
        <v>18.457000000000001</v>
      </c>
      <c r="CB23" s="23">
        <f>'QTR Raw'!AV14</f>
        <v>22.274999999999999</v>
      </c>
      <c r="CC23" s="23">
        <f>'QTR Raw'!AW14</f>
        <v>30.49</v>
      </c>
      <c r="CD23" s="23">
        <f>'QTR Raw'!AX14</f>
        <v>42.338000000000001</v>
      </c>
      <c r="CE23" s="23">
        <f>'QTR Raw'!AY14</f>
        <v>40.130000000000003</v>
      </c>
      <c r="CF23" s="23">
        <f>'QTR Raw'!AZ14</f>
        <v>33.57</v>
      </c>
      <c r="CG23" s="23">
        <f>'QTR Raw'!BA14</f>
        <v>30.12</v>
      </c>
      <c r="CH23" s="23">
        <f>'QTR Raw'!BB14</f>
        <v>90.92</v>
      </c>
      <c r="CI23" s="23">
        <f>'QTR Raw'!BC14</f>
        <v>49.78</v>
      </c>
      <c r="CJ23" s="23">
        <f>'QTR Raw'!BD14</f>
        <v>94.59</v>
      </c>
      <c r="CK23" s="23">
        <f>'QTR Raw'!BE14</f>
        <v>58.49</v>
      </c>
      <c r="CL23" s="23">
        <f>'QTR Raw'!BF14</f>
        <v>119.48</v>
      </c>
      <c r="CM23" s="24">
        <f t="shared" ref="CM23:DB23" si="255">CM26-CM20-CM21-CM22-CM24-CM25</f>
        <v>71.307294801485838</v>
      </c>
      <c r="CN23" s="24">
        <f t="shared" si="255"/>
        <v>98.791044991876419</v>
      </c>
      <c r="CO23" s="24">
        <f t="shared" si="255"/>
        <v>61.207515443024064</v>
      </c>
      <c r="CP23" s="24">
        <f t="shared" si="255"/>
        <v>187.68592525271342</v>
      </c>
      <c r="CQ23" s="24">
        <f t="shared" si="255"/>
        <v>88.401887345986523</v>
      </c>
      <c r="CR23" s="24">
        <f t="shared" si="255"/>
        <v>118.27165339101612</v>
      </c>
      <c r="CS23" s="24">
        <f t="shared" si="255"/>
        <v>77.853930697139603</v>
      </c>
      <c r="CT23" s="24">
        <f t="shared" si="255"/>
        <v>240.36843713638166</v>
      </c>
      <c r="CU23" s="24">
        <f t="shared" si="255"/>
        <v>110.02867164244992</v>
      </c>
      <c r="CV23" s="24">
        <f t="shared" si="255"/>
        <v>146.53272541255927</v>
      </c>
      <c r="CW23" s="24">
        <f t="shared" si="255"/>
        <v>99.39667768922115</v>
      </c>
      <c r="CX23" s="24">
        <f t="shared" si="255"/>
        <v>298.0556319479831</v>
      </c>
      <c r="CY23" s="24">
        <f t="shared" si="255"/>
        <v>137.24624375609585</v>
      </c>
      <c r="CZ23" s="24">
        <f t="shared" si="255"/>
        <v>182.00318670292648</v>
      </c>
      <c r="DA23" s="24">
        <f t="shared" si="255"/>
        <v>125.71752423102745</v>
      </c>
      <c r="DB23" s="24">
        <f t="shared" si="255"/>
        <v>367.16087289227846</v>
      </c>
      <c r="DE23" s="123"/>
      <c r="DF23" s="23">
        <v>123.98002813907996</v>
      </c>
    </row>
    <row r="24" spans="1:110" s="23" customFormat="1" outlineLevel="1" x14ac:dyDescent="0.2">
      <c r="A24" s="23" t="s">
        <v>7</v>
      </c>
      <c r="B24" s="23">
        <f>'Annual Raw'!C13</f>
        <v>4.0552000000000001E-3</v>
      </c>
      <c r="C24" s="23">
        <f>'Annual Raw'!D13</f>
        <v>1.4505E-3</v>
      </c>
      <c r="D24" s="23">
        <f>'Annual Raw'!E13</f>
        <v>1.1950999999999999E-3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1.6999999999999999E-3</v>
      </c>
      <c r="N24" s="23">
        <f>'Annual Raw'!O13</f>
        <v>3.8E-3</v>
      </c>
      <c r="O24" s="23">
        <f>'Annual Raw'!P13</f>
        <v>3.1126999999999999E-3</v>
      </c>
      <c r="P24" s="23">
        <f>'Annual Raw'!Q13</f>
        <v>3.4456999999999999E-3</v>
      </c>
      <c r="Q24" s="23">
        <f>'Annual Raw'!R13</f>
        <v>2.294E-3</v>
      </c>
      <c r="R24" s="23">
        <f>'Annual Raw'!S13</f>
        <v>1.7799999999999999E-3</v>
      </c>
      <c r="S24" s="23">
        <f>'Annual Raw'!T13</f>
        <v>1.5E-3</v>
      </c>
      <c r="T24" s="23">
        <f>'Annual Raw'!U13</f>
        <v>1.8E-3</v>
      </c>
      <c r="U24" s="23">
        <f>'Annual Raw'!V13</f>
        <v>1.4E-3</v>
      </c>
      <c r="V24" s="23">
        <f>'Annual Raw'!W13</f>
        <v>6.9999999999999999E-4</v>
      </c>
      <c r="W24" s="23">
        <f>'Annual Raw'!X13</f>
        <v>0.76429999999999998</v>
      </c>
      <c r="X24" s="23">
        <f>'Annual Raw'!Y13</f>
        <v>1.9487000000000001</v>
      </c>
      <c r="Y24" s="23">
        <f>'Annual Raw'!Z13</f>
        <v>10.038600000000001</v>
      </c>
      <c r="Z24" s="23">
        <f>'Annual Raw'!AA13</f>
        <v>3.99</v>
      </c>
      <c r="AA24" s="23">
        <f>'Annual Raw'!AB13</f>
        <v>7.09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1.12575E-3</v>
      </c>
      <c r="C25" s="23">
        <f>'Annual Raw'!D18</f>
        <v>1.1594999999999999E-3</v>
      </c>
      <c r="D25" s="23">
        <f>'Annual Raw'!E18</f>
        <v>1.2061000000000001E-3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1.5442</v>
      </c>
      <c r="N25" s="23">
        <f>'Annual Raw'!O18</f>
        <v>0.1138</v>
      </c>
      <c r="O25" s="23">
        <f>'Annual Raw'!P18</f>
        <v>5.6890299999999998E-2</v>
      </c>
      <c r="P25" s="23">
        <f>'Annual Raw'!Q18</f>
        <v>1.87282E-2</v>
      </c>
      <c r="Q25" s="23">
        <f>'Annual Raw'!R18</f>
        <v>4.6131000000000002E-3</v>
      </c>
      <c r="R25" s="23">
        <f>'Annual Raw'!S18</f>
        <v>0.89198069999999996</v>
      </c>
      <c r="S25" s="23">
        <f>'Annual Raw'!T18</f>
        <v>3.2000000000000002E-3</v>
      </c>
      <c r="T25" s="23">
        <f>'Annual Raw'!U18</f>
        <v>2.8E-3</v>
      </c>
      <c r="U25" s="23">
        <f>'Annual Raw'!V18</f>
        <v>3.0000000000000001E-3</v>
      </c>
      <c r="V25" s="23">
        <f>'Annual Raw'!W18</f>
        <v>2.1299999999999999E-2</v>
      </c>
      <c r="W25" s="23">
        <f>'Annual Raw'!X18</f>
        <v>1.141</v>
      </c>
      <c r="X25" s="23">
        <f>'Annual Raw'!Y18</f>
        <v>3.7957999999999998</v>
      </c>
      <c r="Y25" s="23">
        <f>'Annual Raw'!Z18</f>
        <v>8.2226999999999997</v>
      </c>
      <c r="Z25" s="23">
        <f>'Annual Raw'!AA18</f>
        <v>23.67</v>
      </c>
      <c r="AA25" s="23">
        <f>'Annual Raw'!AB18</f>
        <v>32.1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103.45319542099999</v>
      </c>
      <c r="C26" s="22">
        <f t="shared" si="256"/>
        <v>0.84010669199999999</v>
      </c>
      <c r="D26" s="22">
        <f t="shared" si="256"/>
        <v>0.69402949800000002</v>
      </c>
      <c r="E26" s="22">
        <f t="shared" si="256"/>
        <v>20.735023504000001</v>
      </c>
      <c r="F26" s="22">
        <f t="shared" ref="F26:AE26" si="257">+SUM(F20:F25)</f>
        <v>5.955187274</v>
      </c>
      <c r="G26" s="22">
        <f t="shared" si="257"/>
        <v>13.30591426</v>
      </c>
      <c r="H26" s="22">
        <f t="shared" si="257"/>
        <v>1.0854925310000001</v>
      </c>
      <c r="I26" s="22">
        <f t="shared" si="257"/>
        <v>2.1283145559999999</v>
      </c>
      <c r="J26" s="22">
        <f t="shared" si="257"/>
        <v>4.5707309909999996</v>
      </c>
      <c r="K26" s="22">
        <f t="shared" si="257"/>
        <v>7.0114000000000001</v>
      </c>
      <c r="L26" s="22">
        <f t="shared" si="257"/>
        <v>24.313500000000001</v>
      </c>
      <c r="M26" s="22">
        <f t="shared" si="257"/>
        <v>4.3693</v>
      </c>
      <c r="N26" s="22">
        <f t="shared" si="257"/>
        <v>1.9925999999999999</v>
      </c>
      <c r="O26" s="22">
        <f t="shared" si="257"/>
        <v>1.6832937000000001</v>
      </c>
      <c r="P26" s="22">
        <f t="shared" si="257"/>
        <v>2.0546781999999997</v>
      </c>
      <c r="Q26" s="22">
        <f t="shared" si="257"/>
        <v>5.5073838999999998</v>
      </c>
      <c r="R26" s="22">
        <f t="shared" si="257"/>
        <v>2.0756752999999999</v>
      </c>
      <c r="S26" s="22">
        <f t="shared" si="257"/>
        <v>7.1989000000000001</v>
      </c>
      <c r="T26" s="22">
        <f t="shared" si="257"/>
        <v>9.8215000000000003</v>
      </c>
      <c r="U26" s="22">
        <f t="shared" si="257"/>
        <v>1.7735999999999998</v>
      </c>
      <c r="V26" s="22">
        <f t="shared" si="257"/>
        <v>1.377</v>
      </c>
      <c r="W26" s="22">
        <f t="shared" si="257"/>
        <v>32.306599999999996</v>
      </c>
      <c r="X26" s="22">
        <f t="shared" si="257"/>
        <v>131.11320000000001</v>
      </c>
      <c r="Y26" s="22">
        <f t="shared" si="257"/>
        <v>240.24260000000004</v>
      </c>
      <c r="Z26" s="22">
        <f t="shared" ref="Z26:AA26" si="258">+SUM(Z20:Z25)</f>
        <v>414.92</v>
      </c>
      <c r="AA26" s="22">
        <f t="shared" si="258"/>
        <v>570.86000000000013</v>
      </c>
      <c r="AB26" s="21">
        <f t="shared" si="257"/>
        <v>546.18268048909977</v>
      </c>
      <c r="AC26" s="21">
        <f t="shared" si="257"/>
        <v>660.9901715705239</v>
      </c>
      <c r="AD26" s="21">
        <f t="shared" si="257"/>
        <v>799.63456810221351</v>
      </c>
      <c r="AE26" s="21">
        <f t="shared" si="257"/>
        <v>967.94214929102827</v>
      </c>
      <c r="AI26" s="22">
        <f t="shared" ref="AI26:BN26" si="259">+SUM(AI20:AI25)</f>
        <v>0.877</v>
      </c>
      <c r="AJ26" s="22">
        <f t="shared" si="259"/>
        <v>0.107</v>
      </c>
      <c r="AK26" s="22">
        <f t="shared" si="259"/>
        <v>0.33599999999999997</v>
      </c>
      <c r="AL26" s="22">
        <f t="shared" si="259"/>
        <v>0.55100000000000005</v>
      </c>
      <c r="AM26" s="22">
        <f t="shared" si="259"/>
        <v>10.995000000000001</v>
      </c>
      <c r="AN26" s="22">
        <f t="shared" si="259"/>
        <v>0.18</v>
      </c>
      <c r="AO26" s="22">
        <f t="shared" si="259"/>
        <v>0.58699999999999997</v>
      </c>
      <c r="AP26" s="22">
        <f t="shared" si="259"/>
        <v>0.187</v>
      </c>
      <c r="AQ26" s="22">
        <f t="shared" si="259"/>
        <v>0.40600000000000003</v>
      </c>
      <c r="AR26" s="22">
        <f t="shared" si="259"/>
        <v>0.38</v>
      </c>
      <c r="AS26" s="22">
        <f t="shared" si="259"/>
        <v>0.32</v>
      </c>
      <c r="AT26" s="22">
        <f t="shared" si="259"/>
        <v>0.95100000000000007</v>
      </c>
      <c r="AU26" s="22">
        <f t="shared" si="259"/>
        <v>0.52300000000000002</v>
      </c>
      <c r="AV26" s="22">
        <f t="shared" si="259"/>
        <v>0.56800000000000006</v>
      </c>
      <c r="AW26" s="22">
        <f t="shared" si="259"/>
        <v>0.60899999999999999</v>
      </c>
      <c r="AX26" s="22">
        <f t="shared" si="259"/>
        <v>3.8089999999999997</v>
      </c>
      <c r="AY26" s="22">
        <f t="shared" si="259"/>
        <v>0.27600000000000002</v>
      </c>
      <c r="AZ26" s="22">
        <f t="shared" si="259"/>
        <v>0.247</v>
      </c>
      <c r="BA26" s="22">
        <f t="shared" si="259"/>
        <v>1.226</v>
      </c>
      <c r="BB26" s="22">
        <f t="shared" si="259"/>
        <v>0.32699999999999996</v>
      </c>
      <c r="BC26" s="22">
        <f t="shared" si="259"/>
        <v>0.42399999999999999</v>
      </c>
      <c r="BD26" s="22">
        <f t="shared" si="259"/>
        <v>0.36699999999999999</v>
      </c>
      <c r="BE26" s="22">
        <f t="shared" si="259"/>
        <v>0.435</v>
      </c>
      <c r="BF26" s="22">
        <f t="shared" si="259"/>
        <v>5.9729999999999999</v>
      </c>
      <c r="BG26" s="22">
        <f t="shared" si="259"/>
        <v>0.44099999999999995</v>
      </c>
      <c r="BH26" s="22">
        <f t="shared" si="259"/>
        <v>3.3460000000000001</v>
      </c>
      <c r="BI26" s="22">
        <f t="shared" si="259"/>
        <v>2.8149999999999999</v>
      </c>
      <c r="BJ26" s="22">
        <f t="shared" si="259"/>
        <v>3.2199999999999998</v>
      </c>
      <c r="BK26" s="22">
        <f t="shared" si="259"/>
        <v>0.442</v>
      </c>
      <c r="BL26" s="22">
        <f t="shared" si="259"/>
        <v>0.4</v>
      </c>
      <c r="BM26" s="22">
        <f t="shared" si="259"/>
        <v>0.41700000000000004</v>
      </c>
      <c r="BN26" s="22">
        <f t="shared" si="259"/>
        <v>0.51500000000000001</v>
      </c>
      <c r="BO26" s="22">
        <f t="shared" ref="BO26:CH26" si="260">+SUM(BO20:BO25)</f>
        <v>0.29699999999999999</v>
      </c>
      <c r="BP26" s="22">
        <f t="shared" si="260"/>
        <v>0.27399999999999997</v>
      </c>
      <c r="BQ26" s="22">
        <f t="shared" si="260"/>
        <v>0.29899999999999999</v>
      </c>
      <c r="BR26" s="22">
        <f t="shared" si="260"/>
        <v>0.50800000000000001</v>
      </c>
      <c r="BS26" s="22">
        <f t="shared" si="260"/>
        <v>4.2620000000000005</v>
      </c>
      <c r="BT26" s="22">
        <f t="shared" si="260"/>
        <v>6.5329999999999995</v>
      </c>
      <c r="BU26" s="22">
        <f t="shared" si="260"/>
        <v>10.375</v>
      </c>
      <c r="BV26" s="22">
        <f t="shared" si="260"/>
        <v>11.138</v>
      </c>
      <c r="BW26" s="22">
        <f t="shared" si="260"/>
        <v>20.152999999999999</v>
      </c>
      <c r="BX26" s="22">
        <f t="shared" si="260"/>
        <v>18.062999999999999</v>
      </c>
      <c r="BY26" s="22">
        <f t="shared" si="260"/>
        <v>23.692</v>
      </c>
      <c r="BZ26" s="22">
        <f t="shared" si="260"/>
        <v>19.105</v>
      </c>
      <c r="CA26" s="22">
        <f t="shared" si="260"/>
        <v>25.883000000000003</v>
      </c>
      <c r="CB26" s="22">
        <f t="shared" si="260"/>
        <v>29.677</v>
      </c>
      <c r="CC26" s="22">
        <f t="shared" si="260"/>
        <v>38.963000000000001</v>
      </c>
      <c r="CD26" s="22">
        <f t="shared" si="260"/>
        <v>58.263000000000005</v>
      </c>
      <c r="CE26" s="22">
        <f t="shared" si="260"/>
        <v>52.150000000000006</v>
      </c>
      <c r="CF26" s="22">
        <f t="shared" si="260"/>
        <v>46.120000000000005</v>
      </c>
      <c r="CG26" s="22">
        <f t="shared" si="260"/>
        <v>49.18</v>
      </c>
      <c r="CH26" s="22">
        <f t="shared" si="260"/>
        <v>113.21000000000001</v>
      </c>
      <c r="CI26" s="22">
        <f t="shared" ref="CI26:CJ26" si="261">+SUM(CI20:CI25)</f>
        <v>75.23</v>
      </c>
      <c r="CJ26" s="22">
        <f t="shared" si="261"/>
        <v>122.06</v>
      </c>
      <c r="CK26" s="22">
        <f t="shared" ref="CK26:CL26" si="262">+SUM(CK20:CK25)</f>
        <v>89.01</v>
      </c>
      <c r="CL26" s="22">
        <f t="shared" si="262"/>
        <v>154.91</v>
      </c>
      <c r="CM26" s="21">
        <f t="shared" ref="CM26:DB26" si="263">CM27*CM10</f>
        <v>98.538794801485835</v>
      </c>
      <c r="CN26" s="21">
        <f t="shared" si="263"/>
        <v>128.18394499187642</v>
      </c>
      <c r="CO26" s="21">
        <f t="shared" si="263"/>
        <v>93.863915443024069</v>
      </c>
      <c r="CP26" s="21">
        <f t="shared" si="263"/>
        <v>225.59602525271342</v>
      </c>
      <c r="CQ26" s="21">
        <f t="shared" si="263"/>
        <v>117.53959234598653</v>
      </c>
      <c r="CR26" s="21">
        <f t="shared" si="263"/>
        <v>149.72205639101611</v>
      </c>
      <c r="CS26" s="21">
        <f t="shared" si="263"/>
        <v>112.79627869713961</v>
      </c>
      <c r="CT26" s="21">
        <f t="shared" si="263"/>
        <v>280.93224413638166</v>
      </c>
      <c r="CU26" s="21">
        <f t="shared" si="263"/>
        <v>141.20601599244992</v>
      </c>
      <c r="CV26" s="21">
        <f t="shared" si="263"/>
        <v>180.18465662255929</v>
      </c>
      <c r="CW26" s="21">
        <f t="shared" si="263"/>
        <v>136.78499004922116</v>
      </c>
      <c r="CX26" s="21">
        <f t="shared" si="263"/>
        <v>341.45890543798311</v>
      </c>
      <c r="CY26" s="21">
        <f t="shared" si="263"/>
        <v>170.60600221059585</v>
      </c>
      <c r="CZ26" s="21">
        <f t="shared" si="263"/>
        <v>218.01075309762649</v>
      </c>
      <c r="DA26" s="21">
        <f t="shared" si="263"/>
        <v>165.72301845622746</v>
      </c>
      <c r="DB26" s="21">
        <f t="shared" si="263"/>
        <v>413.60237552657844</v>
      </c>
      <c r="DE26" s="126"/>
      <c r="DF26" s="22">
        <v>147.82818813907997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>
        <f t="shared" si="265"/>
        <v>0.34952359907273661</v>
      </c>
      <c r="H27" s="44">
        <f t="shared" si="265"/>
        <v>1.3955044904291823E-2</v>
      </c>
      <c r="I27" s="44">
        <f t="shared" si="265"/>
        <v>8.219696814930422E-3</v>
      </c>
      <c r="J27" s="44">
        <f t="shared" si="265"/>
        <v>1.4867464003264936E-2</v>
      </c>
      <c r="K27" s="44">
        <f t="shared" si="265"/>
        <v>1.9893199671671698E-2</v>
      </c>
      <c r="L27" s="44">
        <f t="shared" si="265"/>
        <v>3.4767096843384693E-2</v>
      </c>
      <c r="M27" s="44">
        <f t="shared" si="265"/>
        <v>4.399978409462134E-3</v>
      </c>
      <c r="N27" s="44">
        <f t="shared" si="265"/>
        <v>2.4665836467212484E-2</v>
      </c>
      <c r="O27" s="44" t="e">
        <f t="shared" si="265"/>
        <v>#DIV/0!</v>
      </c>
      <c r="P27" s="44">
        <f t="shared" si="265"/>
        <v>6.9985543776846498E-3</v>
      </c>
      <c r="Q27" s="44">
        <f t="shared" si="265"/>
        <v>4.1737459728186134E-2</v>
      </c>
      <c r="R27" s="44">
        <f t="shared" si="265"/>
        <v>4.3835736769132973E-2</v>
      </c>
      <c r="S27" s="44">
        <f t="shared" si="265"/>
        <v>2.9653731544940096E-2</v>
      </c>
      <c r="T27" s="44">
        <f t="shared" si="265"/>
        <v>0.67367908415586908</v>
      </c>
      <c r="U27" s="44">
        <f t="shared" si="265"/>
        <v>3.1192402391839602</v>
      </c>
      <c r="V27" s="44">
        <f t="shared" si="265"/>
        <v>1.7107715244129706</v>
      </c>
      <c r="W27" s="44">
        <f t="shared" si="265"/>
        <v>0.67552122647920421</v>
      </c>
      <c r="X27" s="44">
        <f t="shared" si="265"/>
        <v>0.34476346243350631</v>
      </c>
      <c r="Y27" s="44">
        <f t="shared" si="265"/>
        <v>0.25066071086124148</v>
      </c>
      <c r="Z27" s="44">
        <f t="shared" ref="Z27:AA27" si="266">Z26/Z10</f>
        <v>0.27878975199725864</v>
      </c>
      <c r="AA27" s="44">
        <f t="shared" si="266"/>
        <v>0.32503743686976533</v>
      </c>
      <c r="AB27" s="52">
        <f t="shared" si="265"/>
        <v>0.25809684474298161</v>
      </c>
      <c r="AC27" s="52">
        <f t="shared" si="265"/>
        <v>0.25833768010486202</v>
      </c>
      <c r="AD27" s="52">
        <f t="shared" si="265"/>
        <v>0.25820035193598312</v>
      </c>
      <c r="AE27" s="52">
        <f t="shared" si="265"/>
        <v>0.25815057794606944</v>
      </c>
      <c r="AI27" s="44">
        <f t="shared" ref="AI27:BN27" si="267">AI26/AI10</f>
        <v>1.0856110120816002E-2</v>
      </c>
      <c r="AJ27" s="44" t="e">
        <f t="shared" si="267"/>
        <v>#DIV/0!</v>
      </c>
      <c r="AK27" s="44" t="e">
        <f t="shared" si="267"/>
        <v>#DIV/0!</v>
      </c>
      <c r="AL27" s="44" t="e">
        <f t="shared" si="267"/>
        <v>#DIV/0!</v>
      </c>
      <c r="AM27" s="44" t="e">
        <f t="shared" si="267"/>
        <v>#DIV/0!</v>
      </c>
      <c r="AN27" s="44" t="e">
        <f t="shared" si="267"/>
        <v>#DIV/0!</v>
      </c>
      <c r="AO27" s="44" t="e">
        <f t="shared" si="267"/>
        <v>#DIV/0!</v>
      </c>
      <c r="AP27" s="44" t="e">
        <f t="shared" si="267"/>
        <v>#DIV/0!</v>
      </c>
      <c r="AQ27" s="44" t="e">
        <f t="shared" si="267"/>
        <v>#DIV/0!</v>
      </c>
      <c r="AR27" s="44" t="e">
        <f t="shared" si="267"/>
        <v>#DIV/0!</v>
      </c>
      <c r="AS27" s="44">
        <f t="shared" si="267"/>
        <v>2.7012197695521884E-3</v>
      </c>
      <c r="AT27" s="44">
        <f t="shared" si="267"/>
        <v>5.4305308900702946E-3</v>
      </c>
      <c r="AU27" s="44" t="e">
        <f t="shared" si="267"/>
        <v>#DIV/0!</v>
      </c>
      <c r="AV27" s="44">
        <f t="shared" si="267"/>
        <v>5.2763585694379937E-2</v>
      </c>
      <c r="AW27" s="44">
        <f t="shared" si="267"/>
        <v>4.7440990885720964E-2</v>
      </c>
      <c r="AX27" s="44">
        <f t="shared" si="267"/>
        <v>3.5154267150280104E-2</v>
      </c>
      <c r="AY27" s="44" t="e">
        <f t="shared" si="267"/>
        <v>#DIV/0!</v>
      </c>
      <c r="AZ27" s="44">
        <f t="shared" si="267"/>
        <v>2.3809523809523808E-2</v>
      </c>
      <c r="BA27" s="44">
        <f t="shared" si="267"/>
        <v>5.815663393577155E-2</v>
      </c>
      <c r="BB27" s="44">
        <f t="shared" si="267"/>
        <v>2.0571212883744333E-2</v>
      </c>
      <c r="BC27" s="44" t="e">
        <f t="shared" si="267"/>
        <v>#DIV/0!</v>
      </c>
      <c r="BD27" s="44">
        <f t="shared" si="267"/>
        <v>1.1998561480367476E-2</v>
      </c>
      <c r="BE27" s="44">
        <f t="shared" si="267"/>
        <v>3.9763793922995352E-3</v>
      </c>
      <c r="BF27" s="44">
        <f t="shared" si="267"/>
        <v>5.8112722921105628E-2</v>
      </c>
      <c r="BG27" s="44" t="e">
        <f t="shared" si="267"/>
        <v>#DIV/0!</v>
      </c>
      <c r="BH27" s="44" t="e">
        <f t="shared" si="267"/>
        <v>#DIV/0!</v>
      </c>
      <c r="BI27" s="44">
        <f t="shared" si="267"/>
        <v>0.23251011811348807</v>
      </c>
      <c r="BJ27" s="44">
        <f t="shared" si="267"/>
        <v>1.3025889967637541</v>
      </c>
      <c r="BK27" s="44" t="e">
        <f t="shared" si="267"/>
        <v>#DIV/0!</v>
      </c>
      <c r="BL27" s="44" t="e">
        <f t="shared" si="267"/>
        <v>#DIV/0!</v>
      </c>
      <c r="BM27" s="44" t="e">
        <f t="shared" si="267"/>
        <v>#DIV/0!</v>
      </c>
      <c r="BN27" s="44">
        <f t="shared" si="267"/>
        <v>0.90509666080843598</v>
      </c>
      <c r="BO27" s="44" t="e">
        <f t="shared" ref="BO27:CH27" si="268">BO26/BO10</f>
        <v>#DIV/0!</v>
      </c>
      <c r="BP27" s="44" t="e">
        <f t="shared" si="268"/>
        <v>#DIV/0!</v>
      </c>
      <c r="BQ27" s="44" t="e">
        <f t="shared" si="268"/>
        <v>#DIV/0!</v>
      </c>
      <c r="BR27" s="44">
        <f t="shared" si="268"/>
        <v>0.63105590062111794</v>
      </c>
      <c r="BS27" s="44">
        <f t="shared" si="268"/>
        <v>2.2828066416711303</v>
      </c>
      <c r="BT27" s="44">
        <f t="shared" si="268"/>
        <v>0.88703326544467065</v>
      </c>
      <c r="BU27" s="44">
        <f t="shared" si="268"/>
        <v>0.53798288825512053</v>
      </c>
      <c r="BV27" s="44">
        <f t="shared" si="268"/>
        <v>0.57688921116693426</v>
      </c>
      <c r="BW27" s="44">
        <f t="shared" si="268"/>
        <v>0.39693919757341789</v>
      </c>
      <c r="BX27" s="44">
        <f t="shared" si="268"/>
        <v>0.61064908722109534</v>
      </c>
      <c r="BY27" s="44">
        <f t="shared" si="268"/>
        <v>0.40562242120221198</v>
      </c>
      <c r="BZ27" s="44">
        <f t="shared" si="268"/>
        <v>7.9096957427164979E-2</v>
      </c>
      <c r="CA27" s="44">
        <f t="shared" si="268"/>
        <v>0.17111935315390364</v>
      </c>
      <c r="CB27" s="44">
        <f t="shared" si="268"/>
        <v>0.19874765604071792</v>
      </c>
      <c r="CC27" s="44">
        <f t="shared" si="268"/>
        <v>0.12019755798098458</v>
      </c>
      <c r="CD27" s="44">
        <f t="shared" si="268"/>
        <v>0.17459589693798661</v>
      </c>
      <c r="CE27" s="44">
        <f t="shared" si="268"/>
        <v>0.1613651834890773</v>
      </c>
      <c r="CF27" s="44">
        <f t="shared" si="268"/>
        <v>0.11964304244059355</v>
      </c>
      <c r="CG27" s="44">
        <f t="shared" si="268"/>
        <v>0.16941095418532551</v>
      </c>
      <c r="CH27" s="44">
        <f t="shared" si="268"/>
        <v>0.23136188996975396</v>
      </c>
      <c r="CI27" s="44">
        <f t="shared" ref="CI27:CJ27" si="269">CI26/CI10</f>
        <v>0.22734965246297978</v>
      </c>
      <c r="CJ27" s="44">
        <f t="shared" si="269"/>
        <v>0.30021890449369115</v>
      </c>
      <c r="CK27" s="44">
        <f t="shared" ref="CK27:CL27" si="270">CK26/CK10</f>
        <v>0.29751320275419479</v>
      </c>
      <c r="CL27" s="44">
        <f t="shared" si="270"/>
        <v>0.21526040798176865</v>
      </c>
      <c r="CM27" s="52">
        <f t="shared" ref="CM27:DB27" si="271">AVERAGE(CI27:CL27)</f>
        <v>0.26008554192315858</v>
      </c>
      <c r="CN27" s="52">
        <f t="shared" si="271"/>
        <v>0.26826951428820334</v>
      </c>
      <c r="CO27" s="52">
        <f t="shared" si="271"/>
        <v>0.26028216673683136</v>
      </c>
      <c r="CP27" s="52">
        <f t="shared" si="271"/>
        <v>0.25097440773249047</v>
      </c>
      <c r="CQ27" s="52">
        <f t="shared" si="271"/>
        <v>0.25990290767017094</v>
      </c>
      <c r="CR27" s="52">
        <f t="shared" si="271"/>
        <v>0.25985724910692404</v>
      </c>
      <c r="CS27" s="52">
        <f t="shared" si="271"/>
        <v>0.25775418281160417</v>
      </c>
      <c r="CT27" s="52">
        <f t="shared" si="271"/>
        <v>0.25712218683029736</v>
      </c>
      <c r="CU27" s="52">
        <f t="shared" si="271"/>
        <v>0.25865913160474913</v>
      </c>
      <c r="CV27" s="52">
        <f t="shared" si="271"/>
        <v>0.25834818758839367</v>
      </c>
      <c r="CW27" s="52">
        <f t="shared" si="271"/>
        <v>0.25797092220876111</v>
      </c>
      <c r="CX27" s="52">
        <f t="shared" si="271"/>
        <v>0.25802510705805032</v>
      </c>
      <c r="CY27" s="52">
        <f t="shared" si="271"/>
        <v>0.25825083711498859</v>
      </c>
      <c r="CZ27" s="52">
        <f t="shared" si="271"/>
        <v>0.25814876349254839</v>
      </c>
      <c r="DA27" s="52">
        <f t="shared" si="271"/>
        <v>0.2580989074685871</v>
      </c>
      <c r="DB27" s="52">
        <f t="shared" si="271"/>
        <v>0.25813090378354359</v>
      </c>
      <c r="DE27" s="128"/>
      <c r="DF27" s="44">
        <v>0.26410761054338461</v>
      </c>
    </row>
    <row r="28" spans="1:110" s="26" customFormat="1" x14ac:dyDescent="0.2">
      <c r="A28" s="34" t="s">
        <v>13</v>
      </c>
      <c r="B28" s="26">
        <f t="shared" ref="B28:E28" si="272">B16-B26</f>
        <v>-103.45319542099999</v>
      </c>
      <c r="C28" s="26">
        <f t="shared" si="272"/>
        <v>-0.84010669199999999</v>
      </c>
      <c r="D28" s="26">
        <f t="shared" si="272"/>
        <v>-0.69402949800000002</v>
      </c>
      <c r="E28" s="26">
        <f t="shared" si="272"/>
        <v>-20.735023504000001</v>
      </c>
      <c r="F28" s="26">
        <f t="shared" ref="F28:AE28" si="273">F16-F26</f>
        <v>-5.955187274</v>
      </c>
      <c r="G28" s="26">
        <f t="shared" si="273"/>
        <v>-13.406136710000004</v>
      </c>
      <c r="H28" s="26">
        <f t="shared" si="273"/>
        <v>0.10786118000000022</v>
      </c>
      <c r="I28" s="26">
        <f t="shared" si="273"/>
        <v>-0.79652549800003003</v>
      </c>
      <c r="J28" s="26">
        <f t="shared" si="273"/>
        <v>-3.6546035839999664</v>
      </c>
      <c r="K28" s="26">
        <f t="shared" si="273"/>
        <v>4.1799999999946991E-2</v>
      </c>
      <c r="L28" s="26">
        <f t="shared" si="273"/>
        <v>-3.8675999999999497</v>
      </c>
      <c r="M28" s="26">
        <f t="shared" si="273"/>
        <v>23.424799999999959</v>
      </c>
      <c r="N28" s="26">
        <f t="shared" si="273"/>
        <v>0.3153999999999928</v>
      </c>
      <c r="O28" s="26">
        <f t="shared" si="273"/>
        <v>-1.6832937000000001</v>
      </c>
      <c r="P28" s="26">
        <f t="shared" si="273"/>
        <v>0.59879539999998421</v>
      </c>
      <c r="Q28" s="26">
        <f t="shared" si="273"/>
        <v>-5.0292054999999811</v>
      </c>
      <c r="R28" s="26">
        <f t="shared" si="273"/>
        <v>-1.9725336999999992</v>
      </c>
      <c r="S28" s="26">
        <f t="shared" si="273"/>
        <v>-5.9442999999999895</v>
      </c>
      <c r="T28" s="26">
        <f t="shared" si="273"/>
        <v>-8.0380000000000003</v>
      </c>
      <c r="U28" s="26">
        <f t="shared" si="273"/>
        <v>-1.7719999999999998</v>
      </c>
      <c r="V28" s="26">
        <f t="shared" si="273"/>
        <v>-1.3752</v>
      </c>
      <c r="W28" s="26">
        <f t="shared" si="273"/>
        <v>4.0277000000000029</v>
      </c>
      <c r="X28" s="26">
        <f t="shared" si="273"/>
        <v>50.249099999999942</v>
      </c>
      <c r="Y28" s="26">
        <f t="shared" si="273"/>
        <v>89.114000000000033</v>
      </c>
      <c r="Z28" s="26">
        <f t="shared" ref="Z28:AA28" si="274">Z16-Z26</f>
        <v>118.06</v>
      </c>
      <c r="AA28" s="26">
        <f t="shared" si="274"/>
        <v>115.92999999999984</v>
      </c>
      <c r="AB28" s="27">
        <f t="shared" si="273"/>
        <v>143.64505511767311</v>
      </c>
      <c r="AC28" s="27">
        <f t="shared" si="273"/>
        <v>174.41312734724147</v>
      </c>
      <c r="AD28" s="27">
        <f t="shared" si="273"/>
        <v>211.2100288583747</v>
      </c>
      <c r="AE28" s="27">
        <f t="shared" si="273"/>
        <v>255.72089077563533</v>
      </c>
      <c r="AI28" s="26">
        <f t="shared" ref="AI28:BN28" si="275">AI16-AI26</f>
        <v>1.4310000000000069</v>
      </c>
      <c r="AJ28" s="26">
        <f t="shared" si="275"/>
        <v>-0.22899999999999998</v>
      </c>
      <c r="AK28" s="26">
        <f t="shared" si="275"/>
        <v>-0.33599999999999997</v>
      </c>
      <c r="AL28" s="26">
        <f t="shared" si="275"/>
        <v>-0.55100000000000005</v>
      </c>
      <c r="AM28" s="26">
        <f t="shared" si="275"/>
        <v>-10.995000000000001</v>
      </c>
      <c r="AN28" s="26">
        <f t="shared" si="275"/>
        <v>-0.42899999999999999</v>
      </c>
      <c r="AO28" s="26">
        <f t="shared" si="275"/>
        <v>-0.58699999999999997</v>
      </c>
      <c r="AP28" s="26">
        <f t="shared" si="275"/>
        <v>-0.187</v>
      </c>
      <c r="AQ28" s="26">
        <f t="shared" si="275"/>
        <v>-0.40600000000000003</v>
      </c>
      <c r="AR28" s="26">
        <f t="shared" si="275"/>
        <v>-0.38</v>
      </c>
      <c r="AS28" s="26">
        <f t="shared" si="275"/>
        <v>1.116000000000007</v>
      </c>
      <c r="AT28" s="26">
        <f t="shared" si="275"/>
        <v>0.26700000000001767</v>
      </c>
      <c r="AU28" s="26">
        <f t="shared" si="275"/>
        <v>-0.52300000000000002</v>
      </c>
      <c r="AV28" s="26">
        <f t="shared" si="275"/>
        <v>-0.54699999999999926</v>
      </c>
      <c r="AW28" s="26">
        <f t="shared" si="275"/>
        <v>-0.53299999999999947</v>
      </c>
      <c r="AX28" s="26">
        <f t="shared" si="275"/>
        <v>-3.4279999999999995</v>
      </c>
      <c r="AY28" s="26">
        <f t="shared" si="275"/>
        <v>-0.27600000000000002</v>
      </c>
      <c r="AZ28" s="26">
        <f t="shared" si="275"/>
        <v>-0.21599999999999941</v>
      </c>
      <c r="BA28" s="26">
        <f t="shared" si="275"/>
        <v>-1.1870000000000021</v>
      </c>
      <c r="BB28" s="26">
        <f t="shared" si="275"/>
        <v>-0.29499999999999993</v>
      </c>
      <c r="BC28" s="26">
        <f t="shared" si="275"/>
        <v>-0.42399999999999999</v>
      </c>
      <c r="BD28" s="26">
        <f t="shared" si="275"/>
        <v>2.0000000000000462E-2</v>
      </c>
      <c r="BE28" s="26">
        <f t="shared" si="275"/>
        <v>0.24100000000000193</v>
      </c>
      <c r="BF28" s="26">
        <f t="shared" si="275"/>
        <v>-5.7809999999999926</v>
      </c>
      <c r="BG28" s="26">
        <f t="shared" si="275"/>
        <v>-0.44099999999999995</v>
      </c>
      <c r="BH28" s="26">
        <f t="shared" si="275"/>
        <v>-3.3460000000000001</v>
      </c>
      <c r="BI28" s="26">
        <f t="shared" si="275"/>
        <v>-1.3450000000000011</v>
      </c>
      <c r="BJ28" s="26">
        <f t="shared" si="275"/>
        <v>-2.9059999999999997</v>
      </c>
      <c r="BK28" s="26">
        <f t="shared" si="275"/>
        <v>-0.442</v>
      </c>
      <c r="BL28" s="26">
        <f t="shared" si="275"/>
        <v>-0.4</v>
      </c>
      <c r="BM28" s="26">
        <f t="shared" si="275"/>
        <v>-0.41700000000000004</v>
      </c>
      <c r="BN28" s="26">
        <f t="shared" si="275"/>
        <v>-0.51300000000000001</v>
      </c>
      <c r="BO28" s="26">
        <f t="shared" ref="BO28:CT28" si="276">BO16-BO26</f>
        <v>-0.29699999999999999</v>
      </c>
      <c r="BP28" s="26">
        <f t="shared" si="276"/>
        <v>-0.27399999999999997</v>
      </c>
      <c r="BQ28" s="26">
        <f t="shared" si="276"/>
        <v>-0.29899999999999999</v>
      </c>
      <c r="BR28" s="26">
        <f t="shared" si="276"/>
        <v>-0.50600000000000001</v>
      </c>
      <c r="BS28" s="26">
        <f t="shared" si="276"/>
        <v>-2.5570000000000004</v>
      </c>
      <c r="BT28" s="26">
        <f t="shared" si="276"/>
        <v>0.36900000000000066</v>
      </c>
      <c r="BU28" s="26">
        <f t="shared" si="276"/>
        <v>2.4770000000000003</v>
      </c>
      <c r="BV28" s="26">
        <f t="shared" si="276"/>
        <v>3.7370000000000001</v>
      </c>
      <c r="BW28" s="26">
        <f t="shared" si="276"/>
        <v>6.1220000000000034</v>
      </c>
      <c r="BX28" s="26">
        <f t="shared" si="276"/>
        <v>6.2879999999999967</v>
      </c>
      <c r="BY28" s="26">
        <f t="shared" si="276"/>
        <v>19.444999999999986</v>
      </c>
      <c r="BZ28" s="26">
        <f t="shared" si="276"/>
        <v>18.393000000000004</v>
      </c>
      <c r="CA28" s="26">
        <f t="shared" si="276"/>
        <v>11.429000000000009</v>
      </c>
      <c r="CB28" s="26">
        <f t="shared" si="276"/>
        <v>24.845000000000006</v>
      </c>
      <c r="CC28" s="26">
        <f t="shared" si="276"/>
        <v>37.601000000000049</v>
      </c>
      <c r="CD28" s="26">
        <f t="shared" si="276"/>
        <v>15.235000000000014</v>
      </c>
      <c r="CE28" s="26">
        <f t="shared" si="276"/>
        <v>22.710000000000008</v>
      </c>
      <c r="CF28" s="26">
        <f t="shared" si="276"/>
        <v>29.159999999999997</v>
      </c>
      <c r="CG28" s="26">
        <f t="shared" si="276"/>
        <v>41.38</v>
      </c>
      <c r="CH28" s="26">
        <f t="shared" si="276"/>
        <v>24.789999999999992</v>
      </c>
      <c r="CI28" s="26">
        <f t="shared" ref="CI28:CJ28" si="277">CI16-CI26</f>
        <v>22.409999999999982</v>
      </c>
      <c r="CJ28" s="26">
        <f t="shared" si="277"/>
        <v>23.70999999999998</v>
      </c>
      <c r="CK28" s="26">
        <f t="shared" ref="CK28:CL28" si="278">CK16-CK26</f>
        <v>24.540000000000006</v>
      </c>
      <c r="CL28" s="26">
        <f t="shared" si="278"/>
        <v>45.260000000000019</v>
      </c>
      <c r="CM28" s="27">
        <f t="shared" si="276"/>
        <v>25.664539763309591</v>
      </c>
      <c r="CN28" s="27">
        <f t="shared" si="276"/>
        <v>32.368985695515534</v>
      </c>
      <c r="CO28" s="27">
        <f t="shared" si="276"/>
        <v>25.27969323960626</v>
      </c>
      <c r="CP28" s="27">
        <f t="shared" si="276"/>
        <v>60.331836419241625</v>
      </c>
      <c r="CQ28" s="27">
        <f t="shared" si="276"/>
        <v>30.831945110659149</v>
      </c>
      <c r="CR28" s="27">
        <f t="shared" si="276"/>
        <v>39.343446883657379</v>
      </c>
      <c r="CS28" s="27">
        <f t="shared" si="276"/>
        <v>29.94124824748279</v>
      </c>
      <c r="CT28" s="27">
        <f t="shared" si="276"/>
        <v>74.296487105442054</v>
      </c>
      <c r="CU28" s="27">
        <f t="shared" ref="CU28:DB28" si="279">CU16-CU26</f>
        <v>37.24222312373044</v>
      </c>
      <c r="CV28" s="27">
        <f t="shared" si="279"/>
        <v>47.587528976007945</v>
      </c>
      <c r="CW28" s="27">
        <f t="shared" si="279"/>
        <v>36.171226829881732</v>
      </c>
      <c r="CX28" s="27">
        <f t="shared" si="279"/>
        <v>90.209049928754666</v>
      </c>
      <c r="CY28" s="27">
        <f t="shared" si="279"/>
        <v>45.060150487130585</v>
      </c>
      <c r="CZ28" s="27">
        <f t="shared" si="279"/>
        <v>57.601049680471874</v>
      </c>
      <c r="DA28" s="27">
        <f t="shared" si="279"/>
        <v>43.790472642814251</v>
      </c>
      <c r="DB28" s="27">
        <f t="shared" si="279"/>
        <v>109.26921796521862</v>
      </c>
      <c r="DE28" s="121"/>
      <c r="DF28" s="26">
        <v>36.203649727484617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 t="e">
        <f t="shared" ref="F29:AE29" si="281">F28/F10</f>
        <v>#DIV/0!</v>
      </c>
      <c r="G29" s="166">
        <f t="shared" si="281"/>
        <v>-0.35215627133767036</v>
      </c>
      <c r="H29" s="166">
        <f t="shared" si="281"/>
        <v>1.3866586524950545E-3</v>
      </c>
      <c r="I29" s="166">
        <f t="shared" si="281"/>
        <v>-3.0762361139072695E-3</v>
      </c>
      <c r="J29" s="166">
        <f t="shared" si="281"/>
        <v>-1.1887526817550688E-2</v>
      </c>
      <c r="K29" s="166">
        <f t="shared" si="281"/>
        <v>1.1859767610959616E-4</v>
      </c>
      <c r="L29" s="166">
        <f t="shared" si="281"/>
        <v>-5.5304758159653231E-3</v>
      </c>
      <c r="M29" s="166">
        <f t="shared" si="281"/>
        <v>2.3589273853012703E-2</v>
      </c>
      <c r="N29" s="166">
        <f t="shared" si="281"/>
        <v>3.9042481289564591E-3</v>
      </c>
      <c r="O29" s="166" t="e">
        <f t="shared" si="281"/>
        <v>#DIV/0!</v>
      </c>
      <c r="P29" s="166">
        <f t="shared" si="281"/>
        <v>2.0395905149562209E-3</v>
      </c>
      <c r="Q29" s="166">
        <f t="shared" si="281"/>
        <v>-3.8113606356916838E-2</v>
      </c>
      <c r="R29" s="166">
        <f t="shared" si="281"/>
        <v>-4.1657511674125465E-2</v>
      </c>
      <c r="S29" s="166">
        <f t="shared" si="281"/>
        <v>-2.4485779274970771E-2</v>
      </c>
      <c r="T29" s="166">
        <f t="shared" si="281"/>
        <v>-0.55134475166164798</v>
      </c>
      <c r="U29" s="166">
        <f t="shared" si="281"/>
        <v>-3.1164263102356662</v>
      </c>
      <c r="V29" s="166">
        <f t="shared" si="281"/>
        <v>-1.7085352217666792</v>
      </c>
      <c r="W29" s="166">
        <f t="shared" si="281"/>
        <v>8.4217987776191022E-2</v>
      </c>
      <c r="X29" s="166">
        <f t="shared" si="281"/>
        <v>0.13213050783725422</v>
      </c>
      <c r="Y29" s="166">
        <f t="shared" si="281"/>
        <v>9.2978425090673666E-2</v>
      </c>
      <c r="Z29" s="166">
        <f t="shared" ref="Z29:AA29" si="282">Z28/Z10</f>
        <v>7.9325937821257964E-2</v>
      </c>
      <c r="AA29" s="166">
        <f t="shared" si="282"/>
        <v>6.600846101725788E-2</v>
      </c>
      <c r="AB29" s="167">
        <f t="shared" si="281"/>
        <v>6.7879002416560544E-2</v>
      </c>
      <c r="AC29" s="167">
        <f t="shared" si="281"/>
        <v>6.8166645491358646E-2</v>
      </c>
      <c r="AD29" s="167">
        <f t="shared" si="281"/>
        <v>6.8199282471078232E-2</v>
      </c>
      <c r="AE29" s="167">
        <f t="shared" si="281"/>
        <v>6.8200869024007738E-2</v>
      </c>
      <c r="AI29" s="166">
        <f t="shared" ref="AI29:BN29" si="283">AI28/AI10</f>
        <v>1.7713903743315593E-2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>
        <f t="shared" si="283"/>
        <v>9.4205039463133161E-3</v>
      </c>
      <c r="AT29" s="166">
        <f t="shared" si="283"/>
        <v>1.5246600921649468E-3</v>
      </c>
      <c r="AU29" s="166" t="e">
        <f t="shared" si="283"/>
        <v>#DIV/0!</v>
      </c>
      <c r="AV29" s="166">
        <f t="shared" si="283"/>
        <v>-5.0812819321876382E-2</v>
      </c>
      <c r="AW29" s="166">
        <f t="shared" si="283"/>
        <v>-4.1520604502609602E-2</v>
      </c>
      <c r="AX29" s="166">
        <f t="shared" si="283"/>
        <v>-3.1637917508837016E-2</v>
      </c>
      <c r="AY29" s="166" t="e">
        <f t="shared" si="283"/>
        <v>#DIV/0!</v>
      </c>
      <c r="AZ29" s="166">
        <f t="shared" si="283"/>
        <v>-2.0821283979178658E-2</v>
      </c>
      <c r="BA29" s="166">
        <f t="shared" si="283"/>
        <v>-5.6306626820359668E-2</v>
      </c>
      <c r="BB29" s="166">
        <f t="shared" si="283"/>
        <v>-1.8558127830900849E-2</v>
      </c>
      <c r="BC29" s="166" t="e">
        <f t="shared" si="283"/>
        <v>#DIV/0!</v>
      </c>
      <c r="BD29" s="166">
        <f t="shared" si="283"/>
        <v>6.538725602380247E-4</v>
      </c>
      <c r="BE29" s="166">
        <f t="shared" si="283"/>
        <v>2.2030055943544733E-3</v>
      </c>
      <c r="BF29" s="166">
        <f t="shared" si="283"/>
        <v>-5.6244709728262385E-2</v>
      </c>
      <c r="BG29" s="166" t="e">
        <f t="shared" si="283"/>
        <v>#DIV/0!</v>
      </c>
      <c r="BH29" s="166" t="e">
        <f t="shared" si="283"/>
        <v>#DIV/0!</v>
      </c>
      <c r="BI29" s="166">
        <f t="shared" si="283"/>
        <v>-0.11109275625671108</v>
      </c>
      <c r="BJ29" s="166">
        <f t="shared" si="283"/>
        <v>-1.1755663430420711</v>
      </c>
      <c r="BK29" s="166" t="e">
        <f t="shared" si="283"/>
        <v>#DIV/0!</v>
      </c>
      <c r="BL29" s="166" t="e">
        <f t="shared" si="283"/>
        <v>#DIV/0!</v>
      </c>
      <c r="BM29" s="166" t="e">
        <f t="shared" si="283"/>
        <v>#DIV/0!</v>
      </c>
      <c r="BN29" s="166">
        <f t="shared" si="283"/>
        <v>-0.90158172231985945</v>
      </c>
      <c r="BO29" s="166" t="e">
        <f t="shared" ref="BO29:CT29" si="284">BO28/BO10</f>
        <v>#DIV/0!</v>
      </c>
      <c r="BP29" s="166" t="e">
        <f t="shared" si="284"/>
        <v>#DIV/0!</v>
      </c>
      <c r="BQ29" s="166" t="e">
        <f t="shared" si="284"/>
        <v>#DIV/0!</v>
      </c>
      <c r="BR29" s="166">
        <f t="shared" si="284"/>
        <v>-0.62857142857142856</v>
      </c>
      <c r="BS29" s="166">
        <f t="shared" si="284"/>
        <v>-1.3695768612747725</v>
      </c>
      <c r="BT29" s="166">
        <f t="shared" si="284"/>
        <v>5.0101832993890108E-2</v>
      </c>
      <c r="BU29" s="166">
        <f t="shared" si="284"/>
        <v>0.12844179414052373</v>
      </c>
      <c r="BV29" s="166">
        <f t="shared" si="284"/>
        <v>0.19355674107836537</v>
      </c>
      <c r="BW29" s="166">
        <f t="shared" si="284"/>
        <v>0.12058064643201834</v>
      </c>
      <c r="BX29" s="166">
        <f t="shared" si="284"/>
        <v>0.21257606490872202</v>
      </c>
      <c r="BY29" s="166">
        <f t="shared" si="284"/>
        <v>0.33291102398602934</v>
      </c>
      <c r="BZ29" s="166">
        <f t="shared" si="284"/>
        <v>7.6149193297976744E-2</v>
      </c>
      <c r="CA29" s="166">
        <f t="shared" si="284"/>
        <v>7.5560139365450918E-2</v>
      </c>
      <c r="CB29" s="166">
        <f t="shared" si="284"/>
        <v>0.16638762389499068</v>
      </c>
      <c r="CC29" s="166">
        <f t="shared" si="284"/>
        <v>0.11599590323237448</v>
      </c>
      <c r="CD29" s="166">
        <f t="shared" si="284"/>
        <v>4.5654506116235484E-2</v>
      </c>
      <c r="CE29" s="166">
        <f t="shared" si="284"/>
        <v>7.0270437527074722E-2</v>
      </c>
      <c r="CF29" s="166">
        <f t="shared" si="284"/>
        <v>7.5645947909100328E-2</v>
      </c>
      <c r="CG29" s="166">
        <f t="shared" si="284"/>
        <v>0.14254219772648985</v>
      </c>
      <c r="CH29" s="166">
        <f t="shared" si="284"/>
        <v>5.0662143382653464E-2</v>
      </c>
      <c r="CI29" s="166">
        <f t="shared" ref="CI29:CJ29" si="285">CI28/CI10</f>
        <v>6.7724388032638208E-2</v>
      </c>
      <c r="CJ29" s="166">
        <f t="shared" si="285"/>
        <v>5.831714095973628E-2</v>
      </c>
      <c r="CK29" s="166">
        <f t="shared" ref="CK29:CL29" si="286">CK28/CK10</f>
        <v>8.2024199478574797E-2</v>
      </c>
      <c r="CL29" s="166">
        <f t="shared" si="286"/>
        <v>6.2892557389806036E-2</v>
      </c>
      <c r="CM29" s="167">
        <f t="shared" si="284"/>
        <v>6.773957146518883E-2</v>
      </c>
      <c r="CN29" s="167">
        <f t="shared" si="284"/>
        <v>6.7743367323326434E-2</v>
      </c>
      <c r="CO29" s="167">
        <f t="shared" si="284"/>
        <v>7.0099923914224024E-2</v>
      </c>
      <c r="CP29" s="167">
        <f t="shared" si="284"/>
        <v>6.711885502313629E-2</v>
      </c>
      <c r="CQ29" s="167">
        <f t="shared" si="284"/>
        <v>6.817542943146887E-2</v>
      </c>
      <c r="CR29" s="167">
        <f t="shared" si="284"/>
        <v>6.8284393923038922E-2</v>
      </c>
      <c r="CS29" s="167">
        <f t="shared" si="284"/>
        <v>6.8419650572967075E-2</v>
      </c>
      <c r="CT29" s="167">
        <f t="shared" si="284"/>
        <v>6.7999582237652845E-2</v>
      </c>
      <c r="CU29" s="167">
        <f t="shared" ref="CU29:DB29" si="287">CU28/CU10</f>
        <v>6.821976404128198E-2</v>
      </c>
      <c r="CV29" s="167">
        <f t="shared" si="287"/>
        <v>6.8230847693735205E-2</v>
      </c>
      <c r="CW29" s="167">
        <f t="shared" si="287"/>
        <v>6.8217461136409266E-2</v>
      </c>
      <c r="CX29" s="167">
        <f t="shared" si="287"/>
        <v>6.8166913777269841E-2</v>
      </c>
      <c r="CY29" s="167">
        <f t="shared" si="287"/>
        <v>6.8208746662174025E-2</v>
      </c>
      <c r="CZ29" s="167">
        <f t="shared" si="287"/>
        <v>6.8205992317397074E-2</v>
      </c>
      <c r="DA29" s="167">
        <f t="shared" si="287"/>
        <v>6.81997784733126E-2</v>
      </c>
      <c r="DB29" s="167">
        <f t="shared" si="287"/>
        <v>6.8195357807538437E-2</v>
      </c>
      <c r="DE29" s="169"/>
      <c r="DF29" s="168">
        <v>6.4680894373675218E-2</v>
      </c>
    </row>
    <row r="30" spans="1:110" s="38" customFormat="1" x14ac:dyDescent="0.2">
      <c r="A30" s="39" t="s">
        <v>449</v>
      </c>
      <c r="B30" s="39"/>
      <c r="C30" s="39">
        <f t="shared" ref="C30:E30" si="288">+IF(B28&lt;0,1-C28/B28,C28/B28-1)</f>
        <v>0.99187935482726064</v>
      </c>
      <c r="D30" s="39">
        <f t="shared" si="288"/>
        <v>0.17387933626887475</v>
      </c>
      <c r="E30" s="39">
        <f t="shared" si="288"/>
        <v>-28.87628560998138</v>
      </c>
      <c r="F30" s="39">
        <f t="shared" ref="F30:Y30" si="289">+IF(E28&lt;0,1-F28/E28,F28/E28-1)</f>
        <v>0.71279573071855051</v>
      </c>
      <c r="G30" s="39">
        <f t="shared" si="289"/>
        <v>-1.2511696262736209</v>
      </c>
      <c r="H30" s="39">
        <f t="shared" si="289"/>
        <v>1.0080456571742658</v>
      </c>
      <c r="I30" s="39">
        <f t="shared" si="289"/>
        <v>-8.3847282034187671</v>
      </c>
      <c r="J30" s="39">
        <f t="shared" si="289"/>
        <v>-3.5881815374099029</v>
      </c>
      <c r="K30" s="39">
        <f t="shared" si="289"/>
        <v>1.0114376290175355</v>
      </c>
      <c r="L30" s="39">
        <f t="shared" si="289"/>
        <v>-93.526315789589816</v>
      </c>
      <c r="M30" s="39">
        <f t="shared" si="289"/>
        <v>7.0566759747647803</v>
      </c>
      <c r="N30" s="39">
        <f t="shared" si="289"/>
        <v>-0.98653563744407669</v>
      </c>
      <c r="O30" s="39">
        <f t="shared" si="289"/>
        <v>-6.3370123652505974</v>
      </c>
      <c r="P30" s="39">
        <f t="shared" si="289"/>
        <v>1.355728415070991</v>
      </c>
      <c r="Q30" s="39">
        <f t="shared" si="289"/>
        <v>-9.398871300614724</v>
      </c>
      <c r="R30" s="39">
        <f t="shared" si="289"/>
        <v>0.60778423152523664</v>
      </c>
      <c r="S30" s="39">
        <f t="shared" si="289"/>
        <v>-2.0135353327550205</v>
      </c>
      <c r="T30" s="39">
        <f t="shared" si="289"/>
        <v>-0.35221977356459377</v>
      </c>
      <c r="U30" s="39">
        <f t="shared" si="289"/>
        <v>0.7795471510325952</v>
      </c>
      <c r="V30" s="39">
        <f t="shared" si="289"/>
        <v>0.22392776523702029</v>
      </c>
      <c r="W30" s="39">
        <f t="shared" si="289"/>
        <v>3.9288103548574775</v>
      </c>
      <c r="X30" s="39">
        <f t="shared" si="289"/>
        <v>11.475879534225465</v>
      </c>
      <c r="Y30" s="39">
        <f t="shared" si="289"/>
        <v>0.7734446985120158</v>
      </c>
      <c r="Z30" s="39">
        <f t="shared" ref="Z30:AE30" si="290">+IF(Y28&lt;0,1-Z28/Y28,Z28/Y28-1)</f>
        <v>0.32481989361940844</v>
      </c>
      <c r="AA30" s="39">
        <f t="shared" si="290"/>
        <v>-1.8041673725225915E-2</v>
      </c>
      <c r="AB30" s="40">
        <f t="shared" si="290"/>
        <v>0.23906715360711916</v>
      </c>
      <c r="AC30" s="40">
        <f t="shared" si="290"/>
        <v>0.21419513678604085</v>
      </c>
      <c r="AD30" s="40">
        <f t="shared" si="290"/>
        <v>0.21097552730577318</v>
      </c>
      <c r="AE30" s="40">
        <f t="shared" si="290"/>
        <v>0.21074217998950728</v>
      </c>
      <c r="AI30" s="39"/>
      <c r="AJ30" s="39"/>
      <c r="AK30" s="39"/>
      <c r="AL30" s="39"/>
      <c r="AM30" s="39">
        <f>+IF(AI28&lt;0,1-AM28/AI28,AM28/AI28-1)</f>
        <v>-8.6834381551362316</v>
      </c>
      <c r="AN30" s="39">
        <f t="shared" ref="AN30" si="291">+IF(AJ28&lt;0,1-AN28/AJ28,AN28/AJ28-1)</f>
        <v>-0.8733624454148472</v>
      </c>
      <c r="AO30" s="39">
        <f t="shared" ref="AO30" si="292">+IF(AK28&lt;0,1-AO28/AK28,AO28/AK28-1)</f>
        <v>-0.74702380952380953</v>
      </c>
      <c r="AP30" s="39">
        <f t="shared" ref="AP30" si="293">+IF(AL28&lt;0,1-AP28/AL28,AP28/AL28-1)</f>
        <v>0.66061705989110708</v>
      </c>
      <c r="AQ30" s="39">
        <f t="shared" ref="AQ30" si="294">+IF(AM28&lt;0,1-AQ28/AM28,AQ28/AM28-1)</f>
        <v>0.96307412460209185</v>
      </c>
      <c r="AR30" s="39">
        <f t="shared" ref="AR30" si="295">+IF(AN28&lt;0,1-AR28/AN28,AR28/AN28-1)</f>
        <v>0.11421911421911424</v>
      </c>
      <c r="AS30" s="39">
        <f t="shared" ref="AS30" si="296">+IF(AO28&lt;0,1-AS28/AO28,AS28/AO28-1)</f>
        <v>2.9011925042589555</v>
      </c>
      <c r="AT30" s="39">
        <f t="shared" ref="AT30" si="297">+IF(AP28&lt;0,1-AT28/AP28,AT28/AP28-1)</f>
        <v>2.4278074866311106</v>
      </c>
      <c r="AU30" s="39">
        <f t="shared" ref="AU30" si="298">+IF(AQ28&lt;0,1-AU28/AQ28,AU28/AQ28-1)</f>
        <v>-0.28817733990147776</v>
      </c>
      <c r="AV30" s="39">
        <f t="shared" ref="AV30" si="299">+IF(AR28&lt;0,1-AV28/AR28,AV28/AR28-1)</f>
        <v>-0.43947368421052446</v>
      </c>
      <c r="AW30" s="39">
        <f t="shared" ref="AW30" si="300">+IF(AS28&lt;0,1-AW28/AS28,AW28/AS28-1)</f>
        <v>-1.4775985663082403</v>
      </c>
      <c r="AX30" s="39">
        <f t="shared" ref="AX30" si="301">+IF(AT28&lt;0,1-AX28/AT28,AX28/AT28-1)</f>
        <v>-13.838951310860573</v>
      </c>
      <c r="AY30" s="39">
        <f t="shared" ref="AY30" si="302">+IF(AU28&lt;0,1-AY28/AU28,AY28/AU28-1)</f>
        <v>0.47227533460803062</v>
      </c>
      <c r="AZ30" s="39">
        <f t="shared" ref="AZ30" si="303">+IF(AV28&lt;0,1-AZ28/AV28,AZ28/AV28-1)</f>
        <v>0.60511882998171895</v>
      </c>
      <c r="BA30" s="39">
        <f t="shared" ref="BA30" si="304">+IF(AW28&lt;0,1-BA28/AW28,BA28/AW28-1)</f>
        <v>-1.2270168855534771</v>
      </c>
      <c r="BB30" s="39">
        <f t="shared" ref="BB30" si="305">+IF(AX28&lt;0,1-BB28/AX28,BB28/AX28-1)</f>
        <v>0.91394399066511089</v>
      </c>
      <c r="BC30" s="39">
        <f t="shared" ref="BC30" si="306">+IF(AY28&lt;0,1-BC28/AY28,BC28/AY28-1)</f>
        <v>-0.53623188405797095</v>
      </c>
      <c r="BD30" s="39">
        <f t="shared" ref="BD30" si="307">+IF(AZ28&lt;0,1-BD28/AZ28,BD28/AZ28-1)</f>
        <v>1.092592592592595</v>
      </c>
      <c r="BE30" s="39">
        <f t="shared" ref="BE30" si="308">+IF(BA28&lt;0,1-BE28/BA28,BE28/BA28-1)</f>
        <v>1.2030328559393442</v>
      </c>
      <c r="BF30" s="39">
        <f t="shared" ref="BF30" si="309">+IF(BB28&lt;0,1-BF28/BB28,BF28/BB28-1)</f>
        <v>-18.596610169491505</v>
      </c>
      <c r="BG30" s="39">
        <f t="shared" ref="BG30" si="310">+IF(BC28&lt;0,1-BG28/BC28,BG28/BC28-1)</f>
        <v>-4.0094339622641417E-2</v>
      </c>
      <c r="BH30" s="39">
        <f t="shared" ref="BH30" si="311">+IF(BD28&lt;0,1-BH28/BD28,BH28/BD28-1)</f>
        <v>-168.29999999999615</v>
      </c>
      <c r="BI30" s="39">
        <f t="shared" ref="BI30" si="312">+IF(BE28&lt;0,1-BI28/BE28,BI28/BE28-1)</f>
        <v>-6.5809128630704992</v>
      </c>
      <c r="BJ30" s="39">
        <f t="shared" ref="BJ30" si="313">+IF(BF28&lt;0,1-BJ28/BF28,BJ28/BF28-1)</f>
        <v>0.49731880297526321</v>
      </c>
      <c r="BK30" s="39">
        <f t="shared" ref="BK30" si="314">+IF(BG28&lt;0,1-BK28/BG28,BK28/BG28-1)</f>
        <v>-2.2675736961452753E-3</v>
      </c>
      <c r="BL30" s="39">
        <f t="shared" ref="BL30" si="315">+IF(BH28&lt;0,1-BL28/BH28,BL28/BH28-1)</f>
        <v>0.88045427375971308</v>
      </c>
      <c r="BM30" s="39">
        <f t="shared" ref="BM30" si="316">+IF(BI28&lt;0,1-BM28/BI28,BM28/BI28-1)</f>
        <v>0.68996282527881059</v>
      </c>
      <c r="BN30" s="39">
        <f t="shared" ref="BN30" si="317">+IF(BJ28&lt;0,1-BN28/BJ28,BN28/BJ28-1)</f>
        <v>0.82346868547832064</v>
      </c>
      <c r="BO30" s="39">
        <f t="shared" ref="BO30" si="318">+IF(BK28&lt;0,1-BO28/BK28,BO28/BK28-1)</f>
        <v>0.32805429864253399</v>
      </c>
      <c r="BP30" s="39">
        <f t="shared" ref="BP30" si="319">+IF(BL28&lt;0,1-BP28/BL28,BP28/BL28-1)</f>
        <v>0.31500000000000017</v>
      </c>
      <c r="BQ30" s="39">
        <f t="shared" ref="BQ30" si="320">+IF(BM28&lt;0,1-BQ28/BM28,BQ28/BM28-1)</f>
        <v>0.28297362110311763</v>
      </c>
      <c r="BR30" s="39">
        <f t="shared" ref="BR30" si="321">+IF(BN28&lt;0,1-BR28/BN28,BR28/BN28-1)</f>
        <v>1.3645224171540016E-2</v>
      </c>
      <c r="BS30" s="39">
        <f t="shared" ref="BS30" si="322">+IF(BO28&lt;0,1-BS28/BO28,BS28/BO28-1)</f>
        <v>-7.6094276094276108</v>
      </c>
      <c r="BT30" s="39">
        <f t="shared" ref="BT30" si="323">+IF(BP28&lt;0,1-BT28/BP28,BT28/BP28-1)</f>
        <v>2.3467153284671558</v>
      </c>
      <c r="BU30" s="39">
        <f t="shared" ref="BU30" si="324">+IF(BQ28&lt;0,1-BU28/BQ28,BU28/BQ28-1)</f>
        <v>9.2842809364548504</v>
      </c>
      <c r="BV30" s="39">
        <f t="shared" ref="BV30" si="325">+IF(BR28&lt;0,1-BV28/BR28,BV28/BR28-1)</f>
        <v>8.3853754940711465</v>
      </c>
      <c r="BW30" s="39">
        <f t="shared" ref="BW30" si="326">+IF(BS28&lt;0,1-BW28/BS28,BW28/BS28-1)</f>
        <v>3.3942119671490039</v>
      </c>
      <c r="BX30" s="39">
        <f t="shared" ref="BX30" si="327">+IF(BT28&lt;0,1-BX28/BT28,BX28/BT28-1)</f>
        <v>16.040650406504025</v>
      </c>
      <c r="BY30" s="39">
        <f t="shared" ref="BY30" si="328">+IF(BU28&lt;0,1-BY28/BU28,BY28/BU28-1)</f>
        <v>6.8502220427936953</v>
      </c>
      <c r="BZ30" s="39">
        <f t="shared" ref="BZ30" si="329">+IF(BV28&lt;0,1-BZ28/BV28,BZ28/BV28-1)</f>
        <v>3.9218624565159228</v>
      </c>
      <c r="CA30" s="39">
        <f t="shared" ref="CA30" si="330">+IF(BW28&lt;0,1-CA28/BW28,CA28/BW28-1)</f>
        <v>0.86687357072852045</v>
      </c>
      <c r="CB30" s="39">
        <f t="shared" ref="CB30" si="331">+IF(BX28&lt;0,1-CB28/BX28,CB28/BX28-1)</f>
        <v>2.9511768447837179</v>
      </c>
      <c r="CC30" s="39">
        <f t="shared" ref="CC30" si="332">+IF(BY28&lt;0,1-CC28/BY28,CC28/BY28-1)</f>
        <v>0.93371046541527769</v>
      </c>
      <c r="CD30" s="39">
        <f t="shared" ref="CD30" si="333">+IF(BZ28&lt;0,1-CD28/BZ28,CD28/BZ28-1)</f>
        <v>-0.17169575381938729</v>
      </c>
      <c r="CE30" s="39">
        <f t="shared" ref="CE30" si="334">+IF(CA28&lt;0,1-CE28/CA28,CE28/CA28-1)</f>
        <v>0.98705048560678876</v>
      </c>
      <c r="CF30" s="39">
        <f t="shared" ref="CF30" si="335">+IF(CB28&lt;0,1-CF28/CB28,CF28/CB28-1)</f>
        <v>0.17367679613604303</v>
      </c>
      <c r="CG30" s="39">
        <f t="shared" ref="CG30" si="336">+IF(CC28&lt;0,1-CG28/CC28,CG28/CC28-1)</f>
        <v>0.10050264620621663</v>
      </c>
      <c r="CH30" s="39">
        <f t="shared" ref="CH30:CL30" si="337">+IF(CD28&lt;0,1-CH28/CD28,CH28/CD28-1)</f>
        <v>0.62717426977354584</v>
      </c>
      <c r="CI30" s="39">
        <f t="shared" si="337"/>
        <v>-1.3210039630120018E-2</v>
      </c>
      <c r="CJ30" s="39">
        <f t="shared" si="337"/>
        <v>-0.18689986282578941</v>
      </c>
      <c r="CK30" s="39">
        <f t="shared" si="337"/>
        <v>-0.40695988400193317</v>
      </c>
      <c r="CL30" s="39">
        <f t="shared" si="337"/>
        <v>0.82573618394514048</v>
      </c>
      <c r="CM30" s="40">
        <f t="shared" ref="CM30" si="338">+CM28/CI28-1</f>
        <v>0.14522712018338302</v>
      </c>
      <c r="CN30" s="40">
        <f t="shared" ref="CN30" si="339">+CN28/CJ28-1</f>
        <v>0.3652039517298844</v>
      </c>
      <c r="CO30" s="40">
        <f t="shared" ref="CO30" si="340">+CO28/CK28-1</f>
        <v>3.0142348802210783E-2</v>
      </c>
      <c r="CP30" s="40">
        <f t="shared" ref="CP30" si="341">+CP28/CL28-1</f>
        <v>0.33300566547153343</v>
      </c>
      <c r="CQ30" s="40">
        <f t="shared" ref="CQ30" si="342">+CQ28/CM28-1</f>
        <v>0.20134416572460645</v>
      </c>
      <c r="CR30" s="40">
        <f t="shared" ref="CR30" si="343">+CR28/CN28-1</f>
        <v>0.21546739999048237</v>
      </c>
      <c r="CS30" s="40">
        <f t="shared" ref="CS30" si="344">+CS28/CO28-1</f>
        <v>0.18439919201919608</v>
      </c>
      <c r="CT30" s="40">
        <f t="shared" ref="CT30" si="345">+CT28/CP28-1</f>
        <v>0.23146404145832844</v>
      </c>
      <c r="CU30" s="40">
        <f t="shared" ref="CU30" si="346">+CU28/CQ28-1</f>
        <v>0.20791026936718127</v>
      </c>
      <c r="CV30" s="40">
        <f t="shared" ref="CV30" si="347">+CV28/CR28-1</f>
        <v>0.20954142926849206</v>
      </c>
      <c r="CW30" s="40">
        <f t="shared" ref="CW30" si="348">+CW28/CS28-1</f>
        <v>0.2080734420590733</v>
      </c>
      <c r="CX30" s="40">
        <f t="shared" ref="CX30" si="349">+CX28/CT28-1</f>
        <v>0.21417651686181882</v>
      </c>
      <c r="CY30" s="40">
        <f t="shared" ref="CY30" si="350">+CY28/CU28-1</f>
        <v>0.20992107096900514</v>
      </c>
      <c r="CZ30" s="40">
        <f t="shared" ref="CZ30" si="351">+CZ28/CV28-1</f>
        <v>0.21042321213006066</v>
      </c>
      <c r="DA30" s="40">
        <f t="shared" ref="DA30" si="352">+DA28/CW28-1</f>
        <v>0.21064383159484423</v>
      </c>
      <c r="DB30" s="40">
        <f t="shared" ref="DB30" si="353">+DB28/CX28-1</f>
        <v>0.21128886792973978</v>
      </c>
      <c r="DE30" s="122"/>
      <c r="DF30" s="38">
        <v>0.46053129447654428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-1.1600279524807819</v>
      </c>
      <c r="AK31" s="39">
        <f t="shared" ref="AK31:AM31" si="354">+IF(AJ28&lt;0,1-AK28/AJ28,AK28/AJ28-1)</f>
        <v>-0.4672489082969431</v>
      </c>
      <c r="AL31" s="39">
        <f t="shared" si="354"/>
        <v>-0.63988095238095277</v>
      </c>
      <c r="AM31" s="39">
        <f t="shared" si="354"/>
        <v>-18.954627949183305</v>
      </c>
      <c r="AN31" s="39">
        <f t="shared" ref="AN31" si="355">+IF(AM28&lt;0,1-AN28/AM28,AN28/AM28-1)</f>
        <v>0.9609822646657572</v>
      </c>
      <c r="AO31" s="39">
        <f t="shared" ref="AO31" si="356">+IF(AN28&lt;0,1-AO28/AN28,AO28/AN28-1)</f>
        <v>-0.36829836829836826</v>
      </c>
      <c r="AP31" s="39">
        <f t="shared" ref="AP31" si="357">+IF(AO28&lt;0,1-AP28/AO28,AP28/AO28-1)</f>
        <v>0.68143100511073251</v>
      </c>
      <c r="AQ31" s="39">
        <f t="shared" ref="AQ31" si="358">+IF(AP28&lt;0,1-AQ28/AP28,AQ28/AP28-1)</f>
        <v>-1.1711229946524067</v>
      </c>
      <c r="AR31" s="39">
        <f t="shared" ref="AR31" si="359">+IF(AQ28&lt;0,1-AR28/AQ28,AR28/AQ28-1)</f>
        <v>6.4039408866995107E-2</v>
      </c>
      <c r="AS31" s="39">
        <f t="shared" ref="AS31" si="360">+IF(AR28&lt;0,1-AS28/AR28,AS28/AR28-1)</f>
        <v>3.9368421052631764</v>
      </c>
      <c r="AT31" s="39">
        <f t="shared" ref="AT31" si="361">+IF(AS28&lt;0,1-AT28/AS28,AT28/AS28-1)</f>
        <v>-0.76075268817202868</v>
      </c>
      <c r="AU31" s="39">
        <f t="shared" ref="AU31" si="362">+IF(AT28&lt;0,1-AU28/AT28,AU28/AT28-1)</f>
        <v>-2.9588014981272113</v>
      </c>
      <c r="AV31" s="39">
        <f t="shared" ref="AV31" si="363">+IF(AU28&lt;0,1-AV28/AU28,AV28/AU28-1)</f>
        <v>-4.5889101338430605E-2</v>
      </c>
      <c r="AW31" s="39">
        <f t="shared" ref="AW31" si="364">+IF(AV28&lt;0,1-AW28/AV28,AW28/AV28-1)</f>
        <v>2.559414990859199E-2</v>
      </c>
      <c r="AX31" s="39">
        <f t="shared" ref="AX31" si="365">+IF(AW28&lt;0,1-AX28/AW28,AX28/AW28-1)</f>
        <v>-5.4315196998123882</v>
      </c>
      <c r="AY31" s="39">
        <f t="shared" ref="AY31" si="366">+IF(AX28&lt;0,1-AY28/AX28,AY28/AX28-1)</f>
        <v>0.91948658109684944</v>
      </c>
      <c r="AZ31" s="39">
        <f t="shared" ref="AZ31" si="367">+IF(AY28&lt;0,1-AZ28/AY28,AZ28/AY28-1)</f>
        <v>0.21739130434782827</v>
      </c>
      <c r="BA31" s="39">
        <f t="shared" ref="BA31" si="368">+IF(AZ28&lt;0,1-BA28/AZ28,BA28/AZ28-1)</f>
        <v>-4.4953703703703951</v>
      </c>
      <c r="BB31" s="39">
        <f t="shared" ref="BB31" si="369">+IF(BA28&lt;0,1-BB28/BA28,BB28/BA28-1)</f>
        <v>0.75147430497051437</v>
      </c>
      <c r="BC31" s="39">
        <f t="shared" ref="BC31" si="370">+IF(BB28&lt;0,1-BC28/BB28,BC28/BB28-1)</f>
        <v>-0.43728813559322055</v>
      </c>
      <c r="BD31" s="39">
        <f t="shared" ref="BD31" si="371">+IF(BC28&lt;0,1-BD28/BC28,BD28/BC28-1)</f>
        <v>1.0471698113207557</v>
      </c>
      <c r="BE31" s="39">
        <f t="shared" ref="BE31" si="372">+IF(BD28&lt;0,1-BE28/BD28,BE28/BD28-1)</f>
        <v>11.049999999999818</v>
      </c>
      <c r="BF31" s="39">
        <f t="shared" ref="BF31" si="373">+IF(BE28&lt;0,1-BF28/BE28,BF28/BE28-1)</f>
        <v>-24.987551867219693</v>
      </c>
      <c r="BG31" s="39">
        <f t="shared" ref="BG31" si="374">+IF(BF28&lt;0,1-BG28/BF28,BG28/BF28-1)</f>
        <v>0.9237156201349247</v>
      </c>
      <c r="BH31" s="39">
        <f t="shared" ref="BH31" si="375">+IF(BG28&lt;0,1-BH28/BG28,BH28/BG28-1)</f>
        <v>-6.5873015873015888</v>
      </c>
      <c r="BI31" s="39">
        <f t="shared" ref="BI31" si="376">+IF(BH28&lt;0,1-BI28/BH28,BI28/BH28-1)</f>
        <v>0.59802749551703493</v>
      </c>
      <c r="BJ31" s="39">
        <f t="shared" ref="BJ31" si="377">+IF(BI28&lt;0,1-BJ28/BI28,BJ28/BI28-1)</f>
        <v>-1.1605947955390317</v>
      </c>
      <c r="BK31" s="39">
        <f t="shared" ref="BK31" si="378">+IF(BJ28&lt;0,1-BK28/BJ28,BK28/BJ28-1)</f>
        <v>0.84790089470061936</v>
      </c>
      <c r="BL31" s="39">
        <f t="shared" ref="BL31" si="379">+IF(BK28&lt;0,1-BL28/BK28,BL28/BK28-1)</f>
        <v>9.5022624434389136E-2</v>
      </c>
      <c r="BM31" s="39">
        <f t="shared" ref="BM31" si="380">+IF(BL28&lt;0,1-BM28/BL28,BM28/BL28-1)</f>
        <v>-4.2499999999999982E-2</v>
      </c>
      <c r="BN31" s="39">
        <f t="shared" ref="BN31" si="381">+IF(BM28&lt;0,1-BN28/BM28,BN28/BM28-1)</f>
        <v>-0.2302158273381294</v>
      </c>
      <c r="BO31" s="39">
        <f t="shared" ref="BO31" si="382">+IF(BN28&lt;0,1-BO28/BN28,BO28/BN28-1)</f>
        <v>0.42105263157894746</v>
      </c>
      <c r="BP31" s="39">
        <f t="shared" ref="BP31" si="383">+IF(BO28&lt;0,1-BP28/BO28,BP28/BO28-1)</f>
        <v>7.7441077441077533E-2</v>
      </c>
      <c r="BQ31" s="39">
        <f t="shared" ref="BQ31" si="384">+IF(BP28&lt;0,1-BQ28/BP28,BQ28/BP28-1)</f>
        <v>-9.1240875912408814E-2</v>
      </c>
      <c r="BR31" s="39">
        <f t="shared" ref="BR31" si="385">+IF(BQ28&lt;0,1-BR28/BQ28,BR28/BQ28-1)</f>
        <v>-0.69230769230769229</v>
      </c>
      <c r="BS31" s="39">
        <f t="shared" ref="BS31" si="386">+IF(BR28&lt;0,1-BS28/BR28,BS28/BR28-1)</f>
        <v>-4.0533596837944668</v>
      </c>
      <c r="BT31" s="39">
        <f t="shared" ref="BT31" si="387">+IF(BS28&lt;0,1-BT28/BS28,BT28/BS28-1)</f>
        <v>1.1443097379741887</v>
      </c>
      <c r="BU31" s="39">
        <f t="shared" ref="BU31" si="388">+IF(BT28&lt;0,1-BU28/BT28,BU28/BT28-1)</f>
        <v>5.7127371273712626</v>
      </c>
      <c r="BV31" s="39">
        <f t="shared" ref="BV31" si="389">+IF(BU28&lt;0,1-BV28/BU28,BV28/BU28-1)</f>
        <v>0.50867985466289856</v>
      </c>
      <c r="BW31" s="39">
        <f t="shared" ref="BW31" si="390">+IF(BV28&lt;0,1-BW28/BV28,BW28/BV28-1)</f>
        <v>0.63821246989563907</v>
      </c>
      <c r="BX31" s="39">
        <f t="shared" ref="BX31" si="391">+IF(BW28&lt;0,1-BX28/BW28,BX28/BW28-1)</f>
        <v>2.7115321790263547E-2</v>
      </c>
      <c r="BY31" s="39">
        <f t="shared" ref="BY31" si="392">+IF(BX28&lt;0,1-BY28/BX28,BY28/BX28-1)</f>
        <v>2.092398218829516</v>
      </c>
      <c r="BZ31" s="39">
        <f t="shared" ref="BZ31" si="393">+IF(BY28&lt;0,1-BZ28/BY28,BZ28/BY28-1)</f>
        <v>-5.4101311391102191E-2</v>
      </c>
      <c r="CA31" s="39">
        <f t="shared" ref="CA31" si="394">+IF(BZ28&lt;0,1-CA28/BZ28,CA28/BZ28-1)</f>
        <v>-0.37862230196270286</v>
      </c>
      <c r="CB31" s="39">
        <f t="shared" ref="CB31" si="395">+IF(CA28&lt;0,1-CB28/CA28,CB28/CA28-1)</f>
        <v>1.1738559804007336</v>
      </c>
      <c r="CC31" s="39">
        <f t="shared" ref="CC31" si="396">+IF(CB28&lt;0,1-CC28/CB28,CC28/CB28-1)</f>
        <v>0.51342322398873175</v>
      </c>
      <c r="CD31" s="39">
        <f t="shared" ref="CD31" si="397">+IF(CC28&lt;0,1-CD28/CC28,CD28/CC28-1)</f>
        <v>-0.59482460572857121</v>
      </c>
      <c r="CE31" s="39">
        <f t="shared" ref="CE31" si="398">+IF(CD28&lt;0,1-CE28/CD28,CE28/CD28-1)</f>
        <v>0.49064653757794474</v>
      </c>
      <c r="CF31" s="39">
        <f t="shared" ref="CF31" si="399">+IF(CE28&lt;0,1-CF28/CE28,CF28/CE28-1)</f>
        <v>0.28401585204755553</v>
      </c>
      <c r="CG31" s="39">
        <f t="shared" ref="CG31" si="400">+IF(CF28&lt;0,1-CG28/CF28,CG28/CF28-1)</f>
        <v>0.41906721536351199</v>
      </c>
      <c r="CH31" s="39">
        <f t="shared" ref="CH31:CI31" si="401">+IF(CG28&lt;0,1-CH28/CG28,CH28/CG28-1)</f>
        <v>-0.40091831802803313</v>
      </c>
      <c r="CI31" s="39">
        <f t="shared" si="401"/>
        <v>-9.6006454215409875E-2</v>
      </c>
      <c r="CJ31" s="39">
        <f>+IF(CI28&gt;1,CJ28/CI28-1,1-CJ28/CI28)</f>
        <v>5.8009817045961531E-2</v>
      </c>
      <c r="CK31" s="39">
        <f>+IF(CJ28&gt;1,CK28/CJ28-1,1-CK28/CJ28)</f>
        <v>3.5006326444539271E-2</v>
      </c>
      <c r="CL31" s="39">
        <f>+IF(CK28&gt;1,CL28/CK28-1,1-CL28/CK28)</f>
        <v>0.84433577832110873</v>
      </c>
      <c r="CM31" s="40">
        <f t="shared" ref="CM31" si="402">+CM28/CL28-1</f>
        <v>-0.43295316475232926</v>
      </c>
      <c r="CN31" s="40">
        <f t="shared" ref="CN31" si="403">+CN28/CM28-1</f>
        <v>0.26123382667437189</v>
      </c>
      <c r="CO31" s="40">
        <f t="shared" ref="CO31" si="404">+CO28/CN28-1</f>
        <v>-0.2190149707684983</v>
      </c>
      <c r="CP31" s="40">
        <f t="shared" ref="CP31" si="405">+CP28/CO28-1</f>
        <v>1.3865731220471611</v>
      </c>
      <c r="CQ31" s="40">
        <f t="shared" ref="CQ31" si="406">+CQ28/CP28-1</f>
        <v>-0.48896060619785942</v>
      </c>
      <c r="CR31" s="40">
        <f t="shared" ref="CR31" si="407">+CR28/CQ28-1</f>
        <v>0.27606113537272914</v>
      </c>
      <c r="CS31" s="40">
        <f t="shared" ref="CS31" si="408">+CS28/CR28-1</f>
        <v>-0.2389775014878045</v>
      </c>
      <c r="CT31" s="40">
        <f t="shared" ref="CT31" si="409">+CT28/CS28-1</f>
        <v>1.4814091413736663</v>
      </c>
      <c r="CU31" s="40">
        <f t="shared" ref="CU31" si="410">+CU28/CT28-1</f>
        <v>-0.49873507382824123</v>
      </c>
      <c r="CV31" s="40">
        <f t="shared" ref="CV31" si="411">+CV28/CU28-1</f>
        <v>0.27778432608351888</v>
      </c>
      <c r="CW31" s="40">
        <f t="shared" ref="CW31" si="412">+CW28/CV28-1</f>
        <v>-0.23990113359073417</v>
      </c>
      <c r="CX31" s="40">
        <f t="shared" ref="CX31" si="413">+CX28/CW28-1</f>
        <v>1.4939449898401365</v>
      </c>
      <c r="CY31" s="40">
        <f t="shared" ref="CY31" si="414">+CY28/CX28-1</f>
        <v>-0.50049190715656344</v>
      </c>
      <c r="CZ31" s="40">
        <f t="shared" ref="CZ31" si="415">+CZ28/CY28-1</f>
        <v>0.27831463183690519</v>
      </c>
      <c r="DA31" s="40">
        <f t="shared" ref="DA31" si="416">+DA28/CZ28-1</f>
        <v>-0.23976259311711356</v>
      </c>
      <c r="DB31" s="40">
        <f t="shared" ref="DB31" si="417">+DB28/DA28-1</f>
        <v>1.4952737746517339</v>
      </c>
      <c r="DE31" s="122"/>
      <c r="DF31" s="38">
        <v>0.47529134993824806</v>
      </c>
    </row>
    <row r="32" spans="1:110" s="23" customFormat="1" x14ac:dyDescent="0.2">
      <c r="A32" s="23" t="s">
        <v>15</v>
      </c>
      <c r="B32" s="23">
        <f>'Annual Raw'!C27</f>
        <v>9.1718000000000008E-3</v>
      </c>
      <c r="C32" s="23">
        <f>'Annual Raw'!D27</f>
        <v>8.8862000000000003E-3</v>
      </c>
      <c r="D32" s="23">
        <f>'Annual Raw'!E27</f>
        <v>8.7080000000000005E-3</v>
      </c>
      <c r="E32" s="23">
        <f>'Annual Raw'!F27</f>
        <v>7.7799000000000002E-3</v>
      </c>
      <c r="F32" s="23">
        <f>'Annual Raw'!G27</f>
        <v>7.7799000000000002E-3</v>
      </c>
      <c r="G32" s="23">
        <f>'Annual Raw'!H27</f>
        <v>3.7495500000000001E-2</v>
      </c>
      <c r="H32" s="23">
        <f>'Annual Raw'!I27</f>
        <v>9.3325000000000005E-3</v>
      </c>
      <c r="I32" s="23">
        <f>'Annual Raw'!J27</f>
        <v>8.7291999999999995E-3</v>
      </c>
      <c r="J32" s="23">
        <f>'Annual Raw'!K27</f>
        <v>9.0755000000000002E-3</v>
      </c>
      <c r="K32" s="23">
        <f>'Annual Raw'!L27</f>
        <v>9.1000000000000004E-3</v>
      </c>
      <c r="L32" s="23">
        <f>'Annual Raw'!M27</f>
        <v>9.5999999999999992E-3</v>
      </c>
      <c r="M32" s="23">
        <f>'Annual Raw'!N27</f>
        <v>1.11E-2</v>
      </c>
      <c r="N32" s="23">
        <f>'Annual Raw'!O27</f>
        <v>1.09E-2</v>
      </c>
      <c r="O32" s="23">
        <f>'Annual Raw'!P27</f>
        <v>3.5883E-3</v>
      </c>
      <c r="P32" s="23">
        <f>'Annual Raw'!Q27</f>
        <v>1.5941E-3</v>
      </c>
      <c r="Q32" s="23">
        <f>'Annual Raw'!R27</f>
        <v>5.0277000000000004E-3</v>
      </c>
      <c r="R32" s="23">
        <f>'Annual Raw'!S27</f>
        <v>1.9845000000000002E-3</v>
      </c>
      <c r="S32" s="23">
        <f>'Annual Raw'!T27</f>
        <v>2E-3</v>
      </c>
      <c r="T32" s="23">
        <f>'Annual Raw'!U27</f>
        <v>8.0000000000000004E-4</v>
      </c>
      <c r="U32" s="23">
        <f>'Annual Raw'!V27</f>
        <v>4.0000000000000002E-4</v>
      </c>
      <c r="V32" s="23">
        <f>'Annual Raw'!W27</f>
        <v>4.0000000000000002E-4</v>
      </c>
      <c r="W32" s="23">
        <f>'Annual Raw'!X27</f>
        <v>1.1655</v>
      </c>
      <c r="X32" s="23">
        <f>'Annual Raw'!Y27</f>
        <v>2.3835999999999999</v>
      </c>
      <c r="Y32" s="23">
        <f>'Annual Raw'!Z27</f>
        <v>5.3811999999999998</v>
      </c>
      <c r="Z32" s="23">
        <f>'Annual Raw'!AA27</f>
        <v>10.69</v>
      </c>
      <c r="AA32" s="23">
        <f>'Annual Raw'!AB27</f>
        <v>22.83</v>
      </c>
      <c r="AB32" s="76">
        <f>+SUM(CM32:CP32)</f>
        <v>33.347419643569047</v>
      </c>
      <c r="AC32" s="76">
        <f>+SUM(CQ32:CT32)</f>
        <v>27.537637516802974</v>
      </c>
      <c r="AD32" s="76">
        <f>+SUM(CU32:CX32)</f>
        <v>22.740034704696399</v>
      </c>
      <c r="AE32" s="76">
        <f>+SUM(CY32:DB32)</f>
        <v>18.778269488632279</v>
      </c>
      <c r="AI32" s="23">
        <f>'QTR Raw'!C28</f>
        <v>3.0000000000000001E-3</v>
      </c>
      <c r="AJ32" s="23">
        <f>'QTR Raw'!D28</f>
        <v>3.0000000000000001E-3</v>
      </c>
      <c r="AK32" s="23">
        <f>'QTR Raw'!E28</f>
        <v>1.0999999999999999E-2</v>
      </c>
      <c r="AL32" s="23">
        <f>'QTR Raw'!F28</f>
        <v>-6.0000000000000001E-3</v>
      </c>
      <c r="AM32" s="23">
        <f>'QTR Raw'!G28</f>
        <v>1E-3</v>
      </c>
      <c r="AN32" s="23">
        <f>'QTR Raw'!H28</f>
        <v>1E-3</v>
      </c>
      <c r="AO32" s="23">
        <f>'QTR Raw'!I28</f>
        <v>1E-3</v>
      </c>
      <c r="AP32" s="23">
        <f>'QTR Raw'!J28</f>
        <v>1E-3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1E-3</v>
      </c>
      <c r="AW32" s="23">
        <f>'QTR Raw'!Q28</f>
        <v>2E-3</v>
      </c>
      <c r="AX32" s="23">
        <f>'QTR Raw'!R28</f>
        <v>2E-3</v>
      </c>
      <c r="AY32" s="23">
        <f>'QTR Raw'!S28</f>
        <v>1E-3</v>
      </c>
      <c r="AZ32" s="23">
        <f>'QTR Raw'!T28</f>
        <v>1E-3</v>
      </c>
      <c r="BA32" s="23">
        <f>'QTR Raw'!U28</f>
        <v>1E-3</v>
      </c>
      <c r="BB32" s="23">
        <f>'QTR Raw'!V28</f>
        <v>1E-3</v>
      </c>
      <c r="BC32" s="23">
        <f>'QTR Raw'!W28</f>
        <v>1E-3</v>
      </c>
      <c r="BD32" s="23">
        <f>'QTR Raw'!X28</f>
        <v>1E-3</v>
      </c>
      <c r="BE32" s="23">
        <f>'QTR Raw'!Y28</f>
        <v>1E-3</v>
      </c>
      <c r="BF32" s="23">
        <f>'QTR Raw'!Z28</f>
        <v>1E-3</v>
      </c>
      <c r="BG32" s="23">
        <f>'QTR Raw'!AA28</f>
        <v>1E-3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0.14099999999999999</v>
      </c>
      <c r="BT32" s="23">
        <f>'QTR Raw'!AN28</f>
        <v>0.32800000000000001</v>
      </c>
      <c r="BU32" s="23">
        <f>'QTR Raw'!AO28</f>
        <v>0.34699999999999998</v>
      </c>
      <c r="BV32" s="23">
        <f>'QTR Raw'!AP28</f>
        <v>0.34899999999999998</v>
      </c>
      <c r="BW32" s="23">
        <f>'QTR Raw'!AQ28</f>
        <v>0.4</v>
      </c>
      <c r="BX32" s="23">
        <f>'QTR Raw'!AR28</f>
        <v>0.57999999999999996</v>
      </c>
      <c r="BY32" s="23">
        <f>'QTR Raw'!AS28</f>
        <v>0.628</v>
      </c>
      <c r="BZ32" s="23">
        <f>'QTR Raw'!AT28</f>
        <v>0.77500000000000002</v>
      </c>
      <c r="CA32" s="23">
        <f>'QTR Raw'!AU28</f>
        <v>0.67400000000000004</v>
      </c>
      <c r="CB32" s="23">
        <f>'QTR Raw'!AV28</f>
        <v>0.78400000000000003</v>
      </c>
      <c r="CC32" s="23">
        <f>'QTR Raw'!AW28</f>
        <v>1.0900000000000001</v>
      </c>
      <c r="CD32" s="23">
        <f>'QTR Raw'!AX28</f>
        <v>2.8330000000000002</v>
      </c>
      <c r="CE32" s="23">
        <f>'QTR Raw'!AY28</f>
        <v>2.2400000000000002</v>
      </c>
      <c r="CF32" s="23">
        <f>'QTR Raw'!AZ28</f>
        <v>2.36</v>
      </c>
      <c r="CG32" s="23">
        <f>'QTR Raw'!BA28</f>
        <v>2.83</v>
      </c>
      <c r="CH32" s="23">
        <f>'QTR Raw'!BB28</f>
        <v>3.25</v>
      </c>
      <c r="CI32" s="23">
        <f>'QTR Raw'!BC28</f>
        <v>3.34</v>
      </c>
      <c r="CJ32" s="23">
        <f>'QTR Raw'!BD28</f>
        <v>5.94</v>
      </c>
      <c r="CK32" s="23">
        <f>'QTR Raw'!BE28</f>
        <v>6.52</v>
      </c>
      <c r="CL32" s="23">
        <f>'QTR Raw'!BF28</f>
        <v>7.03</v>
      </c>
      <c r="CM32" s="24">
        <f t="shared" ref="CM32:DB32" si="418">CM33*CL134</f>
        <v>8.9445114331294846</v>
      </c>
      <c r="CN32" s="24">
        <f t="shared" si="418"/>
        <v>8.5265380525465275</v>
      </c>
      <c r="CO32" s="24">
        <f t="shared" si="418"/>
        <v>8.128096398003839</v>
      </c>
      <c r="CP32" s="24">
        <f t="shared" si="418"/>
        <v>7.7482737598891962</v>
      </c>
      <c r="CQ32" s="24">
        <f t="shared" si="418"/>
        <v>7.3862000791392548</v>
      </c>
      <c r="CR32" s="24">
        <f t="shared" si="418"/>
        <v>7.0410459541967603</v>
      </c>
      <c r="CS32" s="24">
        <f t="shared" si="418"/>
        <v>6.7120207411018171</v>
      </c>
      <c r="CT32" s="24">
        <f t="shared" si="418"/>
        <v>6.3983707423651399</v>
      </c>
      <c r="CU32" s="24">
        <f t="shared" si="418"/>
        <v>6.0993774804745069</v>
      </c>
      <c r="CV32" s="24">
        <f t="shared" si="418"/>
        <v>5.8143560520795594</v>
      </c>
      <c r="CW32" s="24">
        <f t="shared" si="418"/>
        <v>5.5426535590848829</v>
      </c>
      <c r="CX32" s="24">
        <f t="shared" si="418"/>
        <v>5.2836476130574521</v>
      </c>
      <c r="CY32" s="24">
        <f t="shared" si="418"/>
        <v>5.036744909522529</v>
      </c>
      <c r="CZ32" s="24">
        <f t="shared" si="418"/>
        <v>4.801379868882119</v>
      </c>
      <c r="DA32" s="24">
        <f t="shared" si="418"/>
        <v>4.5770133408427593</v>
      </c>
      <c r="DB32" s="24">
        <f t="shared" si="418"/>
        <v>4.3631313693848712</v>
      </c>
      <c r="DE32" s="123"/>
      <c r="DF32" s="23">
        <v>6.2491641182466857</v>
      </c>
    </row>
    <row r="33" spans="1:110" s="46" customFormat="1" x14ac:dyDescent="0.2">
      <c r="A33" s="46" t="s">
        <v>483</v>
      </c>
      <c r="B33" s="46">
        <f t="shared" ref="B33:D33" si="419">+B32/B134</f>
        <v>4.1787346853517527E-3</v>
      </c>
      <c r="C33" s="46">
        <f t="shared" si="419"/>
        <v>4.0824813014642761E-3</v>
      </c>
      <c r="D33" s="46">
        <f t="shared" si="419"/>
        <v>4.0618342904080911E-3</v>
      </c>
      <c r="E33" s="46">
        <f t="shared" ref="E33:AE33" si="420">+E32/E134</f>
        <v>3.7858394160583925E-2</v>
      </c>
      <c r="F33" s="46">
        <f t="shared" si="420"/>
        <v>3.9348048074019773E-2</v>
      </c>
      <c r="G33" s="46">
        <f t="shared" si="420"/>
        <v>0.60757764558902438</v>
      </c>
      <c r="H33" s="46">
        <f t="shared" si="420"/>
        <v>0.17224800020671599</v>
      </c>
      <c r="I33" s="46">
        <f t="shared" si="420"/>
        <v>0.19205569025376543</v>
      </c>
      <c r="J33" s="46">
        <f t="shared" si="420"/>
        <v>0.23317806114452624</v>
      </c>
      <c r="K33" s="46">
        <f t="shared" si="420"/>
        <v>0.30536912751677919</v>
      </c>
      <c r="L33" s="46">
        <f t="shared" si="420"/>
        <v>0.37354085603112835</v>
      </c>
      <c r="M33" s="46">
        <f t="shared" si="420"/>
        <v>3.1960840771667151E-2</v>
      </c>
      <c r="N33" s="46">
        <f t="shared" si="420"/>
        <v>1.1978021978021982</v>
      </c>
      <c r="O33" s="46">
        <f t="shared" si="420"/>
        <v>0.64648229889199338</v>
      </c>
      <c r="P33" s="46">
        <f t="shared" si="420"/>
        <v>0.40291679304418171</v>
      </c>
      <c r="Q33" s="46">
        <f t="shared" si="420"/>
        <v>0.78222920621090974</v>
      </c>
      <c r="R33" s="46">
        <f t="shared" si="420"/>
        <v>0.44666771703166858</v>
      </c>
      <c r="S33" s="46">
        <f t="shared" si="420"/>
        <v>0.79999999999999982</v>
      </c>
      <c r="T33" s="46">
        <f t="shared" si="420"/>
        <v>0.2051282051282052</v>
      </c>
      <c r="U33" s="46">
        <f t="shared" si="420"/>
        <v>0.11428571428571431</v>
      </c>
      <c r="V33" s="46">
        <f t="shared" si="420"/>
        <v>0.12903225806451618</v>
      </c>
      <c r="W33" s="46">
        <f t="shared" si="420"/>
        <v>8.9690412244992218E-2</v>
      </c>
      <c r="X33" s="46">
        <f t="shared" si="420"/>
        <v>7.3606976543103123E-2</v>
      </c>
      <c r="Y33" s="46">
        <f t="shared" si="420"/>
        <v>6.7934408679525868E-2</v>
      </c>
      <c r="Z33" s="46">
        <f t="shared" si="420"/>
        <v>9.3714385903392664E-2</v>
      </c>
      <c r="AA33" s="46">
        <f t="shared" ref="AA33" si="421">+AA32/AA134</f>
        <v>8.537771129394163E-2</v>
      </c>
      <c r="AB33" s="110">
        <f t="shared" si="420"/>
        <v>0.21097605498006325</v>
      </c>
      <c r="AC33" s="110">
        <f t="shared" si="420"/>
        <v>0.21097605498006325</v>
      </c>
      <c r="AD33" s="110">
        <f t="shared" si="420"/>
        <v>0.21097605498006319</v>
      </c>
      <c r="AE33" s="110">
        <f t="shared" si="420"/>
        <v>0.21097605498006328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3.2163742690058478E-2</v>
      </c>
      <c r="AL33" s="46">
        <f t="shared" si="422"/>
        <v>-1.7543859649122806E-2</v>
      </c>
      <c r="AM33" s="46">
        <f t="shared" si="422"/>
        <v>0.11111111111111112</v>
      </c>
      <c r="AN33" s="46">
        <f t="shared" si="422"/>
        <v>0.11111111111111112</v>
      </c>
      <c r="AO33" s="46">
        <f t="shared" si="422"/>
        <v>0.14285714285714285</v>
      </c>
      <c r="AP33" s="46">
        <f t="shared" si="422"/>
        <v>0.14285714285714285</v>
      </c>
      <c r="AQ33" s="46">
        <f t="shared" si="422"/>
        <v>0</v>
      </c>
      <c r="AR33" s="46">
        <f t="shared" si="422"/>
        <v>0</v>
      </c>
      <c r="AS33" s="46">
        <f t="shared" si="422"/>
        <v>0</v>
      </c>
      <c r="AT33" s="46">
        <f t="shared" si="422"/>
        <v>0</v>
      </c>
      <c r="AU33" s="46">
        <f t="shared" si="422"/>
        <v>0</v>
      </c>
      <c r="AV33" s="46">
        <f t="shared" si="422"/>
        <v>0.25</v>
      </c>
      <c r="AW33" s="46">
        <f t="shared" si="422"/>
        <v>0.25</v>
      </c>
      <c r="AX33" s="46">
        <f t="shared" si="422"/>
        <v>0.25</v>
      </c>
      <c r="AY33" s="46">
        <f t="shared" si="422"/>
        <v>0.16666666666666666</v>
      </c>
      <c r="AZ33" s="46">
        <f t="shared" si="422"/>
        <v>0.16666666666666666</v>
      </c>
      <c r="BA33" s="46">
        <f t="shared" si="422"/>
        <v>0.2</v>
      </c>
      <c r="BB33" s="46">
        <f t="shared" si="422"/>
        <v>0.2</v>
      </c>
      <c r="BC33" s="46">
        <f t="shared" si="422"/>
        <v>0.25</v>
      </c>
      <c r="BD33" s="46">
        <f t="shared" si="422"/>
        <v>0.25</v>
      </c>
      <c r="BE33" s="46">
        <f t="shared" si="422"/>
        <v>0.25</v>
      </c>
      <c r="BF33" s="46">
        <f t="shared" si="422"/>
        <v>0.25</v>
      </c>
      <c r="BG33" s="46">
        <f t="shared" si="422"/>
        <v>0.33333333333333331</v>
      </c>
      <c r="BH33" s="46">
        <f t="shared" si="422"/>
        <v>0</v>
      </c>
      <c r="BI33" s="46">
        <f t="shared" si="422"/>
        <v>0</v>
      </c>
      <c r="BJ33" s="46">
        <f t="shared" si="422"/>
        <v>0</v>
      </c>
      <c r="BK33" s="46">
        <f t="shared" si="422"/>
        <v>0</v>
      </c>
      <c r="BL33" s="46">
        <f t="shared" si="422"/>
        <v>0</v>
      </c>
      <c r="BM33" s="46">
        <f t="shared" si="422"/>
        <v>0</v>
      </c>
      <c r="BN33" s="46">
        <f t="shared" si="422"/>
        <v>0</v>
      </c>
      <c r="BO33" s="46">
        <f t="shared" ref="BO33:CL33" si="423">+BO32/BN134</f>
        <v>0</v>
      </c>
      <c r="BP33" s="46">
        <f t="shared" si="423"/>
        <v>0</v>
      </c>
      <c r="BQ33" s="46">
        <f t="shared" si="423"/>
        <v>0</v>
      </c>
      <c r="BR33" s="46">
        <f t="shared" si="423"/>
        <v>0</v>
      </c>
      <c r="BS33" s="46">
        <f t="shared" si="423"/>
        <v>46.999999999999993</v>
      </c>
      <c r="BT33" s="46">
        <f t="shared" si="423"/>
        <v>109.33333333333333</v>
      </c>
      <c r="BU33" s="46">
        <f t="shared" si="423"/>
        <v>3.4630738522954091E-2</v>
      </c>
      <c r="BV33" s="46">
        <f t="shared" si="423"/>
        <v>3.4830339321357283E-2</v>
      </c>
      <c r="BW33" s="46">
        <f t="shared" si="423"/>
        <v>3.9250318908841134E-2</v>
      </c>
      <c r="BX33" s="46">
        <f t="shared" si="423"/>
        <v>5.6912962417819637E-2</v>
      </c>
      <c r="BY33" s="46">
        <f t="shared" si="423"/>
        <v>2.8393163938873318E-2</v>
      </c>
      <c r="BZ33" s="46">
        <f t="shared" si="423"/>
        <v>3.5039334478705129E-2</v>
      </c>
      <c r="CA33" s="46">
        <f t="shared" si="423"/>
        <v>2.4038804479634784E-2</v>
      </c>
      <c r="CB33" s="46">
        <f t="shared" si="423"/>
        <v>2.7962051501533632E-2</v>
      </c>
      <c r="CC33" s="46">
        <f t="shared" si="423"/>
        <v>5.0360377009794871E-2</v>
      </c>
      <c r="CD33" s="46">
        <f t="shared" si="423"/>
        <v>0.13089077804472374</v>
      </c>
      <c r="CE33" s="46">
        <f t="shared" si="423"/>
        <v>3.4908909564106166E-2</v>
      </c>
      <c r="CF33" s="46">
        <f t="shared" si="423"/>
        <v>3.6779029719326131E-2</v>
      </c>
      <c r="CG33" s="46">
        <f t="shared" si="423"/>
        <v>4.4779189544138356E-2</v>
      </c>
      <c r="CH33" s="46">
        <f t="shared" si="423"/>
        <v>5.1424864317473382E-2</v>
      </c>
      <c r="CI33" s="46">
        <f t="shared" si="423"/>
        <v>2.9280266503024462E-2</v>
      </c>
      <c r="CJ33" s="46">
        <f t="shared" si="423"/>
        <v>5.3643998916282867E-2</v>
      </c>
      <c r="CK33" s="46">
        <f t="shared" si="423"/>
        <v>4.1539245667686027E-2</v>
      </c>
      <c r="CL33" s="46">
        <f t="shared" si="423"/>
        <v>4.6729593193299647E-2</v>
      </c>
      <c r="CM33" s="47">
        <f t="shared" ref="CM33" si="424">CL33</f>
        <v>4.6729593193299647E-2</v>
      </c>
      <c r="CN33" s="47">
        <f t="shared" ref="CN33" si="425">CM33</f>
        <v>4.6729593193299647E-2</v>
      </c>
      <c r="CO33" s="47">
        <f t="shared" ref="CO33" si="426">CN33</f>
        <v>4.6729593193299647E-2</v>
      </c>
      <c r="CP33" s="47">
        <f t="shared" ref="CP33" si="427">CO33</f>
        <v>4.6729593193299647E-2</v>
      </c>
      <c r="CQ33" s="47">
        <f t="shared" ref="CQ33" si="428">CP33</f>
        <v>4.6729593193299647E-2</v>
      </c>
      <c r="CR33" s="47">
        <f t="shared" ref="CR33" si="429">CQ33</f>
        <v>4.6729593193299647E-2</v>
      </c>
      <c r="CS33" s="47">
        <f t="shared" ref="CS33" si="430">CR33</f>
        <v>4.6729593193299647E-2</v>
      </c>
      <c r="CT33" s="47">
        <f t="shared" ref="CT33" si="431">CS33</f>
        <v>4.6729593193299647E-2</v>
      </c>
      <c r="CU33" s="47">
        <f t="shared" ref="CU33" si="432">CT33</f>
        <v>4.6729593193299647E-2</v>
      </c>
      <c r="CV33" s="47">
        <f t="shared" ref="CV33" si="433">CU33</f>
        <v>4.6729593193299647E-2</v>
      </c>
      <c r="CW33" s="47">
        <f t="shared" ref="CW33" si="434">CV33</f>
        <v>4.6729593193299647E-2</v>
      </c>
      <c r="CX33" s="47">
        <f t="shared" ref="CX33" si="435">CW33</f>
        <v>4.6729593193299647E-2</v>
      </c>
      <c r="CY33" s="47">
        <f t="shared" ref="CY33" si="436">CX33</f>
        <v>4.6729593193299647E-2</v>
      </c>
      <c r="CZ33" s="47">
        <f t="shared" ref="CZ33" si="437">CY33</f>
        <v>4.6729593193299647E-2</v>
      </c>
      <c r="DA33" s="47">
        <f t="shared" ref="DA33" si="438">CZ33</f>
        <v>4.6729593193299647E-2</v>
      </c>
      <c r="DB33" s="47">
        <f t="shared" ref="DB33" si="439">DA33</f>
        <v>4.6729593193299647E-2</v>
      </c>
      <c r="DE33" s="130"/>
      <c r="DF33" s="46">
        <v>4.1539245667686027E-2</v>
      </c>
    </row>
    <row r="34" spans="1:110" s="26" customFormat="1" x14ac:dyDescent="0.2">
      <c r="A34" s="34" t="s">
        <v>16</v>
      </c>
      <c r="B34" s="26">
        <f>B28-B32</f>
        <v>-103.46236722099999</v>
      </c>
      <c r="C34" s="26">
        <f t="shared" ref="C34:T34" si="440">C28-C32</f>
        <v>-0.84899289199999994</v>
      </c>
      <c r="D34" s="26">
        <f>D28-D32</f>
        <v>-0.70273749800000007</v>
      </c>
      <c r="E34" s="26">
        <f t="shared" si="440"/>
        <v>-20.742803404</v>
      </c>
      <c r="F34" s="26">
        <f t="shared" si="440"/>
        <v>-5.9629671740000001</v>
      </c>
      <c r="G34" s="26">
        <f t="shared" si="440"/>
        <v>-13.443632210000004</v>
      </c>
      <c r="H34" s="26">
        <f t="shared" si="440"/>
        <v>9.8528680000000229E-2</v>
      </c>
      <c r="I34" s="26">
        <f t="shared" si="440"/>
        <v>-0.80525469800003002</v>
      </c>
      <c r="J34" s="26">
        <f t="shared" si="440"/>
        <v>-3.6636790839999662</v>
      </c>
      <c r="K34" s="26">
        <f t="shared" si="440"/>
        <v>3.2699999999946994E-2</v>
      </c>
      <c r="L34" s="26">
        <f t="shared" si="440"/>
        <v>-3.8771999999999496</v>
      </c>
      <c r="M34" s="26">
        <f t="shared" si="440"/>
        <v>23.41369999999996</v>
      </c>
      <c r="N34" s="26">
        <f t="shared" si="440"/>
        <v>0.30449999999999278</v>
      </c>
      <c r="O34" s="26">
        <f t="shared" si="440"/>
        <v>-1.6868820000000002</v>
      </c>
      <c r="P34" s="26">
        <f t="shared" si="440"/>
        <v>0.59720129999998417</v>
      </c>
      <c r="Q34" s="26">
        <f t="shared" si="440"/>
        <v>-5.0342331999999814</v>
      </c>
      <c r="R34" s="26">
        <f t="shared" si="440"/>
        <v>-1.9745181999999992</v>
      </c>
      <c r="S34" s="26">
        <f t="shared" si="440"/>
        <v>-5.9462999999999893</v>
      </c>
      <c r="T34" s="26">
        <f t="shared" si="440"/>
        <v>-8.0388000000000002</v>
      </c>
      <c r="U34" s="26">
        <f t="shared" ref="U34:Z34" si="441">U28-U32</f>
        <v>-1.7723999999999998</v>
      </c>
      <c r="V34" s="26">
        <f t="shared" si="441"/>
        <v>-1.3755999999999999</v>
      </c>
      <c r="W34" s="26">
        <f t="shared" si="441"/>
        <v>2.8622000000000032</v>
      </c>
      <c r="X34" s="26">
        <f t="shared" si="441"/>
        <v>47.86549999999994</v>
      </c>
      <c r="Y34" s="26">
        <f t="shared" si="441"/>
        <v>83.732800000000026</v>
      </c>
      <c r="Z34" s="26">
        <f t="shared" si="441"/>
        <v>107.37</v>
      </c>
      <c r="AA34" s="26">
        <f t="shared" ref="AA34" si="442">AA28-AA32</f>
        <v>93.099999999999838</v>
      </c>
      <c r="AB34" s="27">
        <f t="shared" ref="AA34:AD34" si="443">AB28-AB32</f>
        <v>110.29763547410406</v>
      </c>
      <c r="AC34" s="27">
        <f t="shared" si="443"/>
        <v>146.87548983043848</v>
      </c>
      <c r="AD34" s="27">
        <f t="shared" si="443"/>
        <v>188.4699941536783</v>
      </c>
      <c r="AE34" s="27">
        <f t="shared" ref="AE34" si="444">AE28-AE32</f>
        <v>236.94262128700305</v>
      </c>
      <c r="AI34" s="26">
        <f t="shared" ref="AI34" si="445">AI28-AI32</f>
        <v>1.428000000000007</v>
      </c>
      <c r="AJ34" s="26">
        <f t="shared" ref="AJ34" si="446">AJ28-AJ32</f>
        <v>-0.23199999999999998</v>
      </c>
      <c r="AK34" s="26">
        <f t="shared" ref="AK34:AM34" si="447">AK28-AK32</f>
        <v>-0.34699999999999998</v>
      </c>
      <c r="AL34" s="26">
        <f t="shared" si="447"/>
        <v>-0.54500000000000004</v>
      </c>
      <c r="AM34" s="26">
        <f t="shared" si="447"/>
        <v>-10.996</v>
      </c>
      <c r="AN34" s="26">
        <f t="shared" ref="AN34:AO34" si="448">AN28-AN32</f>
        <v>-0.43</v>
      </c>
      <c r="AO34" s="26">
        <f t="shared" si="448"/>
        <v>-0.58799999999999997</v>
      </c>
      <c r="AP34" s="26">
        <f t="shared" ref="AP34:CD34" si="449">AP28-AP32</f>
        <v>-0.188</v>
      </c>
      <c r="AQ34" s="26">
        <f t="shared" si="449"/>
        <v>-0.40600000000000003</v>
      </c>
      <c r="AR34" s="26">
        <f t="shared" si="449"/>
        <v>-0.38</v>
      </c>
      <c r="AS34" s="26">
        <f t="shared" si="449"/>
        <v>1.116000000000007</v>
      </c>
      <c r="AT34" s="26">
        <f t="shared" si="449"/>
        <v>0.26700000000001767</v>
      </c>
      <c r="AU34" s="26">
        <f t="shared" si="449"/>
        <v>-0.52300000000000002</v>
      </c>
      <c r="AV34" s="26">
        <f t="shared" si="449"/>
        <v>-0.54799999999999927</v>
      </c>
      <c r="AW34" s="26">
        <f t="shared" si="449"/>
        <v>-0.53499999999999948</v>
      </c>
      <c r="AX34" s="26">
        <f t="shared" si="449"/>
        <v>-3.4299999999999993</v>
      </c>
      <c r="AY34" s="26">
        <f t="shared" si="449"/>
        <v>-0.27700000000000002</v>
      </c>
      <c r="AZ34" s="26">
        <f t="shared" si="449"/>
        <v>-0.21699999999999942</v>
      </c>
      <c r="BA34" s="26">
        <f t="shared" si="449"/>
        <v>-1.1880000000000019</v>
      </c>
      <c r="BB34" s="26">
        <f t="shared" si="449"/>
        <v>-0.29599999999999993</v>
      </c>
      <c r="BC34" s="26">
        <f t="shared" si="449"/>
        <v>-0.42499999999999999</v>
      </c>
      <c r="BD34" s="26">
        <f t="shared" si="449"/>
        <v>1.9000000000000461E-2</v>
      </c>
      <c r="BE34" s="26">
        <f t="shared" si="449"/>
        <v>0.24000000000000193</v>
      </c>
      <c r="BF34" s="26">
        <f t="shared" si="449"/>
        <v>-5.7819999999999929</v>
      </c>
      <c r="BG34" s="26">
        <f t="shared" si="449"/>
        <v>-0.44199999999999995</v>
      </c>
      <c r="BH34" s="26">
        <f t="shared" si="449"/>
        <v>-3.3460000000000001</v>
      </c>
      <c r="BI34" s="26">
        <f t="shared" si="449"/>
        <v>-1.3450000000000011</v>
      </c>
      <c r="BJ34" s="26">
        <f t="shared" si="449"/>
        <v>-2.9059999999999997</v>
      </c>
      <c r="BK34" s="26">
        <f t="shared" si="449"/>
        <v>-0.442</v>
      </c>
      <c r="BL34" s="26">
        <f t="shared" si="449"/>
        <v>-0.4</v>
      </c>
      <c r="BM34" s="26">
        <f t="shared" si="449"/>
        <v>-0.41700000000000004</v>
      </c>
      <c r="BN34" s="26">
        <f t="shared" si="449"/>
        <v>-0.51300000000000001</v>
      </c>
      <c r="BO34" s="26">
        <f t="shared" si="449"/>
        <v>-0.29699999999999999</v>
      </c>
      <c r="BP34" s="26">
        <f t="shared" si="449"/>
        <v>-0.27399999999999997</v>
      </c>
      <c r="BQ34" s="26">
        <f t="shared" si="449"/>
        <v>-0.29899999999999999</v>
      </c>
      <c r="BR34" s="26">
        <f t="shared" si="449"/>
        <v>-0.50600000000000001</v>
      </c>
      <c r="BS34" s="26">
        <f t="shared" si="449"/>
        <v>-2.6980000000000004</v>
      </c>
      <c r="BT34" s="26">
        <f t="shared" si="449"/>
        <v>4.1000000000000647E-2</v>
      </c>
      <c r="BU34" s="26">
        <f t="shared" si="449"/>
        <v>2.1300000000000003</v>
      </c>
      <c r="BV34" s="26">
        <f t="shared" si="449"/>
        <v>3.3879999999999999</v>
      </c>
      <c r="BW34" s="26">
        <f t="shared" si="449"/>
        <v>5.7220000000000031</v>
      </c>
      <c r="BX34" s="26">
        <f t="shared" si="449"/>
        <v>5.7079999999999966</v>
      </c>
      <c r="BY34" s="26">
        <f t="shared" si="449"/>
        <v>18.816999999999986</v>
      </c>
      <c r="BZ34" s="26">
        <f t="shared" si="449"/>
        <v>17.618000000000006</v>
      </c>
      <c r="CA34" s="26">
        <f t="shared" si="449"/>
        <v>10.75500000000001</v>
      </c>
      <c r="CB34" s="26">
        <f t="shared" si="449"/>
        <v>24.061000000000007</v>
      </c>
      <c r="CC34" s="26">
        <f t="shared" si="449"/>
        <v>36.511000000000045</v>
      </c>
      <c r="CD34" s="26">
        <f t="shared" si="449"/>
        <v>12.402000000000013</v>
      </c>
      <c r="CE34" s="26">
        <f t="shared" ref="CE34:CF34" si="450">CE28-CE32</f>
        <v>20.470000000000006</v>
      </c>
      <c r="CF34" s="26">
        <f t="shared" si="450"/>
        <v>26.799999999999997</v>
      </c>
      <c r="CG34" s="26">
        <f t="shared" ref="CG34:CH34" si="451">CG28-CG32</f>
        <v>38.550000000000004</v>
      </c>
      <c r="CH34" s="26">
        <f t="shared" si="451"/>
        <v>21.539999999999992</v>
      </c>
      <c r="CI34" s="26">
        <f t="shared" ref="CI34:CJ34" si="452">CI28-CI32</f>
        <v>19.069999999999983</v>
      </c>
      <c r="CJ34" s="26">
        <f t="shared" si="452"/>
        <v>17.769999999999978</v>
      </c>
      <c r="CK34" s="26">
        <f t="shared" ref="CK34:CL34" si="453">CK28-CK32</f>
        <v>18.020000000000007</v>
      </c>
      <c r="CL34" s="26">
        <f t="shared" si="453"/>
        <v>38.230000000000018</v>
      </c>
      <c r="CM34" s="27">
        <f t="shared" ref="CM34:DB34" si="454">CM28-CM32</f>
        <v>16.720028330180106</v>
      </c>
      <c r="CN34" s="27">
        <f t="shared" si="454"/>
        <v>23.842447642969006</v>
      </c>
      <c r="CO34" s="27">
        <f t="shared" si="454"/>
        <v>17.151596841602419</v>
      </c>
      <c r="CP34" s="27">
        <f t="shared" si="454"/>
        <v>52.583562659352431</v>
      </c>
      <c r="CQ34" s="27">
        <f t="shared" si="454"/>
        <v>23.445745031519895</v>
      </c>
      <c r="CR34" s="27">
        <f t="shared" si="454"/>
        <v>32.302400929460617</v>
      </c>
      <c r="CS34" s="27">
        <f t="shared" si="454"/>
        <v>23.229227506380973</v>
      </c>
      <c r="CT34" s="27">
        <f t="shared" si="454"/>
        <v>67.898116363076909</v>
      </c>
      <c r="CU34" s="27">
        <f t="shared" si="454"/>
        <v>31.142845643255932</v>
      </c>
      <c r="CV34" s="27">
        <f t="shared" si="454"/>
        <v>41.773172923928385</v>
      </c>
      <c r="CW34" s="27">
        <f t="shared" si="454"/>
        <v>30.628573270796849</v>
      </c>
      <c r="CX34" s="27">
        <f t="shared" si="454"/>
        <v>84.925402315697212</v>
      </c>
      <c r="CY34" s="27">
        <f t="shared" si="454"/>
        <v>40.02340557760806</v>
      </c>
      <c r="CZ34" s="27">
        <f t="shared" si="454"/>
        <v>52.799669811589752</v>
      </c>
      <c r="DA34" s="27">
        <f t="shared" si="454"/>
        <v>39.21345930197149</v>
      </c>
      <c r="DB34" s="27">
        <f t="shared" si="454"/>
        <v>104.90608659583374</v>
      </c>
      <c r="DE34" s="121"/>
      <c r="DF34" s="26">
        <v>29.954485609237931</v>
      </c>
    </row>
    <row r="35" spans="1:110" s="23" customFormat="1" x14ac:dyDescent="0.2">
      <c r="A35" s="23" t="s">
        <v>17</v>
      </c>
      <c r="B35" s="23">
        <f>'Annual Raw'!C23</f>
        <v>3.8103150000000002E-2</v>
      </c>
      <c r="C35" s="23">
        <f>'Annual Raw'!D23</f>
        <v>3.2277699999999999E-2</v>
      </c>
      <c r="D35" s="23">
        <f>'Annual Raw'!E23</f>
        <v>0.39466972</v>
      </c>
      <c r="E35" s="23">
        <f>'Annual Raw'!F23</f>
        <v>0</v>
      </c>
      <c r="F35" s="23">
        <f>'Annual Raw'!G23</f>
        <v>0</v>
      </c>
      <c r="G35" s="23">
        <f>'Annual Raw'!H23</f>
        <v>0.11209230000000001</v>
      </c>
      <c r="H35" s="23">
        <f>'Annual Raw'!I23</f>
        <v>9.2930919999999993E-3</v>
      </c>
      <c r="I35" s="23">
        <f>'Annual Raw'!J23</f>
        <v>0.85409719100000003</v>
      </c>
      <c r="J35" s="23">
        <f>'Annual Raw'!K23</f>
        <v>3.7580398559999999</v>
      </c>
      <c r="K35" s="23">
        <f>'Annual Raw'!L23</f>
        <v>1.2035</v>
      </c>
      <c r="L35" s="23">
        <f>'Annual Raw'!M23</f>
        <v>0.49080000000000001</v>
      </c>
      <c r="M35" s="23">
        <f>'Annual Raw'!N23</f>
        <v>3.3115999999999999</v>
      </c>
      <c r="N35" s="23">
        <f>'Annual Raw'!O23</f>
        <v>10.8832</v>
      </c>
      <c r="O35" s="23">
        <f>'Annual Raw'!P23</f>
        <v>2.5413386</v>
      </c>
      <c r="P35" s="23">
        <f>'Annual Raw'!Q23</f>
        <v>0.212476</v>
      </c>
      <c r="Q35" s="23">
        <f>'Annual Raw'!R23</f>
        <v>1.5333190000000001</v>
      </c>
      <c r="R35" s="23">
        <f>'Annual Raw'!S23</f>
        <v>0.29585840000000002</v>
      </c>
      <c r="S35" s="23">
        <f>'Annual Raw'!T23</f>
        <v>6.3E-3</v>
      </c>
      <c r="T35" s="23">
        <f>'Annual Raw'!U23</f>
        <v>2.8999999999999998E-3</v>
      </c>
      <c r="U35" s="23">
        <f>'Annual Raw'!V23</f>
        <v>0.25230000000000002</v>
      </c>
      <c r="V35" s="23">
        <f>'Annual Raw'!W23</f>
        <v>1.1603000000000001</v>
      </c>
      <c r="W35" s="23">
        <f>'Annual Raw'!X23</f>
        <v>159.2927</v>
      </c>
      <c r="X35" s="23">
        <f>'Annual Raw'!Y23</f>
        <v>16.772400000000001</v>
      </c>
      <c r="Y35" s="23">
        <f>'Annual Raw'!Z23</f>
        <v>135.3167</v>
      </c>
      <c r="Z35" s="23">
        <f>'Annual Raw'!AA23</f>
        <v>82.64</v>
      </c>
      <c r="AA35" s="23">
        <f>'Annual Raw'!AB23</f>
        <v>427.42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9.3379999999999992</v>
      </c>
      <c r="AJ35" s="23">
        <f>'QTR Raw'!D23</f>
        <v>0.32800000000000001</v>
      </c>
      <c r="AK35" s="23">
        <f>'QTR Raw'!E23</f>
        <v>0</v>
      </c>
      <c r="AL35" s="23">
        <f>'QTR Raw'!F23</f>
        <v>1.2170000000000001</v>
      </c>
      <c r="AM35" s="23">
        <f>'QTR Raw'!G23</f>
        <v>1E-3</v>
      </c>
      <c r="AN35" s="23">
        <f>'QTR Raw'!H23</f>
        <v>0.115</v>
      </c>
      <c r="AO35" s="23">
        <f>'QTR Raw'!I23</f>
        <v>0.35499999999999998</v>
      </c>
      <c r="AP35" s="23">
        <f>'QTR Raw'!J23</f>
        <v>12.670999999999999</v>
      </c>
      <c r="AQ35" s="23">
        <f>'QTR Raw'!K23</f>
        <v>0.19600000000000001</v>
      </c>
      <c r="AR35" s="23">
        <f>'QTR Raw'!L23</f>
        <v>0.316</v>
      </c>
      <c r="AS35" s="23">
        <f>'QTR Raw'!M23</f>
        <v>0.01</v>
      </c>
      <c r="AT35" s="23">
        <f>'QTR Raw'!N23</f>
        <v>-0.31</v>
      </c>
      <c r="AU35" s="23">
        <f>'QTR Raw'!O23</f>
        <v>0.78400000000000003</v>
      </c>
      <c r="AV35" s="23">
        <f>'QTR Raw'!P23</f>
        <v>0.16500000000000001</v>
      </c>
      <c r="AW35" s="23">
        <f>'QTR Raw'!Q23</f>
        <v>0</v>
      </c>
      <c r="AX35" s="23">
        <f>'QTR Raw'!R23</f>
        <v>0.58399999999999996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0.29599999999999999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6.0000000000000001E-3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3.0000000000000001E-3</v>
      </c>
      <c r="BK35" s="23">
        <f>'QTR Raw'!AE23</f>
        <v>0</v>
      </c>
      <c r="BL35" s="23">
        <f>'QTR Raw'!AF23</f>
        <v>0</v>
      </c>
      <c r="BM35" s="23">
        <f>'QTR Raw'!AG23</f>
        <v>0</v>
      </c>
      <c r="BN35" s="23">
        <f>'QTR Raw'!AH23</f>
        <v>0.252</v>
      </c>
      <c r="BO35" s="23">
        <f>'QTR Raw'!AI23</f>
        <v>1E-3</v>
      </c>
      <c r="BP35" s="23">
        <f>'QTR Raw'!AJ23</f>
        <v>0</v>
      </c>
      <c r="BQ35" s="23">
        <f>'QTR Raw'!AK23</f>
        <v>1.125</v>
      </c>
      <c r="BR35" s="23">
        <f>'QTR Raw'!AL23</f>
        <v>3.4000000000000002E-2</v>
      </c>
      <c r="BS35" s="23">
        <f>'QTR Raw'!AM23</f>
        <v>1.056</v>
      </c>
      <c r="BT35" s="23">
        <f>'QTR Raw'!AN23</f>
        <v>1.75</v>
      </c>
      <c r="BU35" s="23">
        <f>'QTR Raw'!AO23</f>
        <v>1.5069999999999999</v>
      </c>
      <c r="BV35" s="23">
        <f>'QTR Raw'!AP23</f>
        <v>154.98099999999999</v>
      </c>
      <c r="BW35" s="23">
        <f>'QTR Raw'!AQ23</f>
        <v>2.64</v>
      </c>
      <c r="BX35" s="23">
        <f>'QTR Raw'!AR23</f>
        <v>11.018000000000001</v>
      </c>
      <c r="BY35" s="23">
        <f>'QTR Raw'!AS23</f>
        <v>2.9039999999999999</v>
      </c>
      <c r="BZ35" s="23">
        <f>'QTR Raw'!AT23</f>
        <v>0.21</v>
      </c>
      <c r="CA35" s="23">
        <f>'QTR Raw'!AU23</f>
        <v>8</v>
      </c>
      <c r="CB35" s="23">
        <f>'QTR Raw'!AV23</f>
        <v>15.131</v>
      </c>
      <c r="CC35" s="23">
        <f>'QTR Raw'!AW23</f>
        <v>63.448</v>
      </c>
      <c r="CD35" s="23">
        <f>'QTR Raw'!AX23</f>
        <v>48.738</v>
      </c>
      <c r="CE35" s="23">
        <f>'QTR Raw'!AY23</f>
        <v>3.56</v>
      </c>
      <c r="CF35" s="23">
        <f>'QTR Raw'!AZ23</f>
        <v>23.65</v>
      </c>
      <c r="CG35" s="23">
        <f>'QTR Raw'!BA23</f>
        <v>18.09</v>
      </c>
      <c r="CH35" s="23">
        <f>'QTR Raw'!BB23</f>
        <v>37.35</v>
      </c>
      <c r="CI35" s="23">
        <f>'QTR Raw'!BC23</f>
        <v>282.11</v>
      </c>
      <c r="CJ35" s="23">
        <f>'QTR Raw'!BD23</f>
        <v>40.090000000000003</v>
      </c>
      <c r="CK35" s="23">
        <f>'QTR Raw'!BE23</f>
        <v>34.43</v>
      </c>
      <c r="CL35" s="23">
        <f>'QTR Raw'!BF23</f>
        <v>70.790000000000006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427.42000000000007</v>
      </c>
    </row>
    <row r="36" spans="1:110" s="23" customFormat="1" x14ac:dyDescent="0.2">
      <c r="A36" s="23" t="s">
        <v>18</v>
      </c>
      <c r="B36" s="23">
        <f>'Annual Raw'!C25</f>
        <v>1.4059000000000001E-4</v>
      </c>
      <c r="C36" s="23">
        <f>'Annual Raw'!D25</f>
        <v>2.341E-4</v>
      </c>
      <c r="D36" s="23">
        <f>'Annual Raw'!E25</f>
        <v>1.673E-4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9.2636999999999997E-2</v>
      </c>
      <c r="I36" s="23">
        <f>'Annual Raw'!J25</f>
        <v>0</v>
      </c>
      <c r="J36" s="23">
        <f>'Annual Raw'!K25</f>
        <v>0</v>
      </c>
      <c r="K36" s="23">
        <f>'Annual Raw'!L25</f>
        <v>5.9999999999999995E-4</v>
      </c>
      <c r="L36" s="23">
        <f>'Annual Raw'!M25</f>
        <v>0</v>
      </c>
      <c r="M36" s="23">
        <f>'Annual Raw'!N25</f>
        <v>25.322299999999998</v>
      </c>
      <c r="N36" s="23">
        <f>'Annual Raw'!O25</f>
        <v>9.0916999999999994</v>
      </c>
      <c r="O36" s="23">
        <f>'Annual Raw'!P25</f>
        <v>5.262E-4</v>
      </c>
      <c r="P36" s="23">
        <f>'Annual Raw'!Q25</f>
        <v>0.35449320000000001</v>
      </c>
      <c r="Q36" s="23">
        <f>'Annual Raw'!R25</f>
        <v>1.4858327</v>
      </c>
      <c r="R36" s="23">
        <f>'Annual Raw'!S25</f>
        <v>1.9697241000000001</v>
      </c>
      <c r="S36" s="23">
        <f>'Annual Raw'!T25</f>
        <v>1.1000000000000001E-3</v>
      </c>
      <c r="T36" s="23">
        <f>'Annual Raw'!U25</f>
        <v>4.0000000000000002E-4</v>
      </c>
      <c r="U36" s="23">
        <f>'Annual Raw'!V25</f>
        <v>1.6000000000000001E-3</v>
      </c>
      <c r="V36" s="23">
        <f>'Annual Raw'!W25</f>
        <v>2.4400000000000002E-2</v>
      </c>
      <c r="W36" s="23">
        <f>'Annual Raw'!X25</f>
        <v>1.0216000000000001</v>
      </c>
      <c r="X36" s="23">
        <f>'Annual Raw'!Y25</f>
        <v>4.7126000000000001</v>
      </c>
      <c r="Y36" s="23">
        <f>'Annual Raw'!Z25</f>
        <v>6.2971000000000004</v>
      </c>
      <c r="Z36" s="23">
        <f>'Annual Raw'!AA25</f>
        <v>26.86</v>
      </c>
      <c r="AA36" s="23">
        <f>'Annual Raw'!AB25</f>
        <v>47.91</v>
      </c>
      <c r="AB36" s="76">
        <f t="shared" si="455"/>
        <v>-559.7365512402065</v>
      </c>
      <c r="AC36" s="76">
        <f t="shared" si="456"/>
        <v>-716.19270885744186</v>
      </c>
      <c r="AD36" s="76">
        <f t="shared" si="457"/>
        <v>-948.98772597101856</v>
      </c>
      <c r="AE36" s="76">
        <f t="shared" si="458"/>
        <v>-1291.3240796723462</v>
      </c>
      <c r="AI36" s="23">
        <f>'QTR Raw'!C25</f>
        <v>9.0909999999999993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2.1999999999999999E-2</v>
      </c>
      <c r="AN36" s="23">
        <f>'QTR Raw'!H25</f>
        <v>5.5E-2</v>
      </c>
      <c r="AO36" s="23">
        <f>'QTR Raw'!I25</f>
        <v>0.01</v>
      </c>
      <c r="AP36" s="23">
        <f>'QTR Raw'!J25</f>
        <v>0</v>
      </c>
      <c r="AQ36" s="23">
        <f>'QTR Raw'!K25</f>
        <v>0</v>
      </c>
      <c r="AR36" s="23">
        <f>'QTR Raw'!L25</f>
        <v>7.5999999999999998E-2</v>
      </c>
      <c r="AS36" s="23">
        <f>'QTR Raw'!M25</f>
        <v>0.126</v>
      </c>
      <c r="AT36" s="23">
        <f>'QTR Raw'!N25</f>
        <v>0.151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1.4850000000000001</v>
      </c>
      <c r="AY36" s="23">
        <f>'QTR Raw'!S25</f>
        <v>0</v>
      </c>
      <c r="AZ36" s="23">
        <f>'QTR Raw'!T25</f>
        <v>0</v>
      </c>
      <c r="BA36" s="23">
        <f>'QTR Raw'!U25</f>
        <v>1.9690000000000001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2.4E-2</v>
      </c>
      <c r="BS36" s="23">
        <f>'QTR Raw'!AM25</f>
        <v>7.1999999999999995E-2</v>
      </c>
      <c r="BT36" s="23">
        <f>'QTR Raw'!AN25</f>
        <v>0.19700000000000001</v>
      </c>
      <c r="BU36" s="23">
        <f>'QTR Raw'!AO25</f>
        <v>0.14699999999999999</v>
      </c>
      <c r="BV36" s="23">
        <f>'QTR Raw'!AP25</f>
        <v>0.60399999999999998</v>
      </c>
      <c r="BW36" s="23">
        <f>'QTR Raw'!AQ25</f>
        <v>0.75</v>
      </c>
      <c r="BX36" s="23">
        <f>'QTR Raw'!AR25</f>
        <v>1.079</v>
      </c>
      <c r="BY36" s="23">
        <f>'QTR Raw'!AS25</f>
        <v>0.98099999999999998</v>
      </c>
      <c r="BZ36" s="23">
        <f>'QTR Raw'!AT25</f>
        <v>1.9019999999999999</v>
      </c>
      <c r="CA36" s="23">
        <f>'QTR Raw'!AU25</f>
        <v>1.5289999999999999</v>
      </c>
      <c r="CB36" s="23">
        <f>'QTR Raw'!AV25</f>
        <v>1.742</v>
      </c>
      <c r="CC36" s="23">
        <f>'QTR Raw'!AW25</f>
        <v>0.99099999999999999</v>
      </c>
      <c r="CD36" s="23">
        <f>'QTR Raw'!AX25</f>
        <v>2.0329999999999999</v>
      </c>
      <c r="CE36" s="23">
        <f>'QTR Raw'!AY25</f>
        <v>2.41</v>
      </c>
      <c r="CF36" s="23">
        <f>'QTR Raw'!AZ25</f>
        <v>4</v>
      </c>
      <c r="CG36" s="23">
        <f>'QTR Raw'!BA25</f>
        <v>3.42</v>
      </c>
      <c r="CH36" s="23">
        <f>'QTR Raw'!BB25</f>
        <v>17.03</v>
      </c>
      <c r="CI36" s="23">
        <f>'QTR Raw'!BC25</f>
        <v>13.64</v>
      </c>
      <c r="CJ36" s="23">
        <f>'QTR Raw'!BD25</f>
        <v>4.33</v>
      </c>
      <c r="CK36" s="23">
        <f>'QTR Raw'!BE25</f>
        <v>12.57</v>
      </c>
      <c r="CL36" s="23">
        <f>'QTR Raw'!BF25</f>
        <v>17.36</v>
      </c>
      <c r="CM36" s="24">
        <f t="shared" ref="CM36:DB36" si="459">CM37*CL168</f>
        <v>-38.121396251122214</v>
      </c>
      <c r="CN36" s="24">
        <f t="shared" si="459"/>
        <v>-163.64993787073971</v>
      </c>
      <c r="CO36" s="24">
        <f t="shared" si="459"/>
        <v>-149.58200156521553</v>
      </c>
      <c r="CP36" s="24">
        <f t="shared" si="459"/>
        <v>-208.38321555312908</v>
      </c>
      <c r="CQ36" s="24">
        <f t="shared" si="459"/>
        <v>-46.230174599182227</v>
      </c>
      <c r="CR36" s="24">
        <f t="shared" si="459"/>
        <v>-210.63000579925568</v>
      </c>
      <c r="CS36" s="24">
        <f t="shared" si="459"/>
        <v>-193.44040696334631</v>
      </c>
      <c r="CT36" s="24">
        <f t="shared" si="459"/>
        <v>-265.8921214956577</v>
      </c>
      <c r="CU36" s="24">
        <f t="shared" si="459"/>
        <v>-71.136316785005633</v>
      </c>
      <c r="CV36" s="24">
        <f t="shared" si="459"/>
        <v>-274.63063059742342</v>
      </c>
      <c r="CW36" s="24">
        <f t="shared" si="459"/>
        <v>-256.1596984363099</v>
      </c>
      <c r="CX36" s="24">
        <f t="shared" si="459"/>
        <v>-347.06108015227966</v>
      </c>
      <c r="CY36" s="24">
        <f t="shared" si="459"/>
        <v>-114.92669516509086</v>
      </c>
      <c r="CZ36" s="24">
        <f t="shared" si="459"/>
        <v>-365.66186631330362</v>
      </c>
      <c r="DA36" s="24">
        <f t="shared" si="459"/>
        <v>-347.75583915035196</v>
      </c>
      <c r="DB36" s="24">
        <f t="shared" si="459"/>
        <v>-462.97967904359996</v>
      </c>
      <c r="DE36" s="123"/>
      <c r="DF36" s="23">
        <v>108.3171493321598</v>
      </c>
    </row>
    <row r="37" spans="1:110" s="46" customFormat="1" x14ac:dyDescent="0.2">
      <c r="A37" s="46" t="s">
        <v>482</v>
      </c>
      <c r="B37" s="46">
        <f t="shared" ref="B37:D37" si="460">+B36/B128</f>
        <v>3.1823430542788002E-6</v>
      </c>
      <c r="C37" s="46">
        <f t="shared" si="460"/>
        <v>4.8411638192323772E-6</v>
      </c>
      <c r="D37" s="46">
        <f t="shared" si="460"/>
        <v>3.5516775058482496E-6</v>
      </c>
      <c r="E37" s="46">
        <f t="shared" ref="E37:AE37" si="461">+E36/E128</f>
        <v>0</v>
      </c>
      <c r="F37" s="46">
        <f t="shared" si="461"/>
        <v>0</v>
      </c>
      <c r="G37" s="46">
        <f t="shared" si="461"/>
        <v>0</v>
      </c>
      <c r="H37" s="46">
        <f t="shared" si="461"/>
        <v>5.5328687145199504E-4</v>
      </c>
      <c r="I37" s="46">
        <f t="shared" si="461"/>
        <v>0</v>
      </c>
      <c r="J37" s="46" t="e">
        <f t="shared" si="461"/>
        <v>#DIV/0!</v>
      </c>
      <c r="K37" s="46" t="e">
        <f t="shared" si="461"/>
        <v>#DIV/0!</v>
      </c>
      <c r="L37" s="46" t="e">
        <f t="shared" si="461"/>
        <v>#DIV/0!</v>
      </c>
      <c r="M37" s="46" t="e">
        <f t="shared" si="461"/>
        <v>#DIV/0!</v>
      </c>
      <c r="N37" s="46" t="e">
        <f t="shared" si="461"/>
        <v>#DIV/0!</v>
      </c>
      <c r="O37" s="46" t="e">
        <f t="shared" si="461"/>
        <v>#DIV/0!</v>
      </c>
      <c r="P37" s="46" t="e">
        <f t="shared" si="461"/>
        <v>#DIV/0!</v>
      </c>
      <c r="Q37" s="46" t="e">
        <f t="shared" si="461"/>
        <v>#DIV/0!</v>
      </c>
      <c r="R37" s="46" t="e">
        <f t="shared" si="461"/>
        <v>#DIV/0!</v>
      </c>
      <c r="S37" s="46" t="e">
        <f t="shared" si="461"/>
        <v>#DIV/0!</v>
      </c>
      <c r="T37" s="46" t="e">
        <f t="shared" si="461"/>
        <v>#DIV/0!</v>
      </c>
      <c r="U37" s="46" t="e">
        <f t="shared" si="461"/>
        <v>#DIV/0!</v>
      </c>
      <c r="V37" s="46">
        <f t="shared" si="461"/>
        <v>1.1512692271397566E-2</v>
      </c>
      <c r="W37" s="46">
        <f t="shared" si="461"/>
        <v>4.810426986608405E-2</v>
      </c>
      <c r="X37" s="46">
        <f t="shared" si="461"/>
        <v>7.350092488325885E-2</v>
      </c>
      <c r="Y37" s="46">
        <f t="shared" si="461"/>
        <v>5.7313785489475806E-2</v>
      </c>
      <c r="Z37" s="46">
        <f t="shared" si="461"/>
        <v>4.6701672636227702E-2</v>
      </c>
      <c r="AA37" s="46">
        <f t="shared" ref="AA37" si="462">+AA36/AA128</f>
        <v>6.6231665675933471E-2</v>
      </c>
      <c r="AB37" s="110">
        <f t="shared" si="461"/>
        <v>-0.77379010912839419</v>
      </c>
      <c r="AC37" s="110">
        <f t="shared" si="461"/>
        <v>-0.99007798064260588</v>
      </c>
      <c r="AD37" s="110">
        <f t="shared" si="461"/>
        <v>-1.3118980963697948</v>
      </c>
      <c r="AE37" s="110">
        <f t="shared" si="461"/>
        <v>-1.7851501716581366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0</v>
      </c>
      <c r="AL37" s="46" t="e">
        <f t="shared" si="463"/>
        <v>#DIV/0!</v>
      </c>
      <c r="AM37" s="46">
        <f t="shared" si="463"/>
        <v>-1.4989293361884367E-2</v>
      </c>
      <c r="AN37" s="46" t="e">
        <f t="shared" si="463"/>
        <v>#DIV/0!</v>
      </c>
      <c r="AO37" s="46">
        <f t="shared" si="463"/>
        <v>4.9285714285714279</v>
      </c>
      <c r="AP37" s="46" t="e">
        <f t="shared" si="463"/>
        <v>#DIV/0!</v>
      </c>
      <c r="AQ37" s="46">
        <f t="shared" si="463"/>
        <v>2.1538461538461542</v>
      </c>
      <c r="AR37" s="46" t="e">
        <f t="shared" si="463"/>
        <v>#DIV/0!</v>
      </c>
      <c r="AS37" s="46">
        <f t="shared" si="463"/>
        <v>3.0044030044030046E-2</v>
      </c>
      <c r="AT37" s="46" t="e">
        <f t="shared" si="463"/>
        <v>#DIV/0!</v>
      </c>
      <c r="AU37" s="46">
        <f t="shared" si="463"/>
        <v>8.4400904295403173E-2</v>
      </c>
      <c r="AV37" s="46">
        <f t="shared" si="463"/>
        <v>-2.0928462709284792E-2</v>
      </c>
      <c r="AW37" s="46">
        <f t="shared" si="463"/>
        <v>0</v>
      </c>
      <c r="AX37" s="46">
        <f t="shared" si="463"/>
        <v>-0.66997296903200632</v>
      </c>
      <c r="AY37" s="46">
        <f t="shared" si="463"/>
        <v>0</v>
      </c>
      <c r="AZ37" s="46">
        <f t="shared" si="463"/>
        <v>0</v>
      </c>
      <c r="BA37" s="46">
        <f t="shared" si="463"/>
        <v>-328.16666666666669</v>
      </c>
      <c r="BB37" s="46">
        <f t="shared" si="463"/>
        <v>0.21661187360527387</v>
      </c>
      <c r="BC37" s="46">
        <f t="shared" si="463"/>
        <v>0</v>
      </c>
      <c r="BD37" s="46">
        <f t="shared" si="463"/>
        <v>0</v>
      </c>
      <c r="BE37" s="46">
        <f t="shared" si="463"/>
        <v>0</v>
      </c>
      <c r="BF37" s="46">
        <f t="shared" si="463"/>
        <v>8.9931185898480892E-4</v>
      </c>
      <c r="BG37" s="46">
        <f t="shared" si="463"/>
        <v>0</v>
      </c>
      <c r="BH37" s="46">
        <f t="shared" si="463"/>
        <v>0</v>
      </c>
      <c r="BI37" s="46">
        <f t="shared" si="463"/>
        <v>0</v>
      </c>
      <c r="BJ37" s="46" t="e">
        <f t="shared" si="463"/>
        <v>#DIV/0!</v>
      </c>
      <c r="BK37" s="46">
        <f t="shared" si="463"/>
        <v>0</v>
      </c>
      <c r="BL37" s="46">
        <f t="shared" si="463"/>
        <v>0</v>
      </c>
      <c r="BM37" s="46">
        <f t="shared" si="463"/>
        <v>0</v>
      </c>
      <c r="BN37" s="46" t="e">
        <f t="shared" si="463"/>
        <v>#DIV/0!</v>
      </c>
      <c r="BO37" s="46">
        <f t="shared" ref="BO37:CL37" si="464">(BO36-BO35)/BN168</f>
        <v>2.564102564102564E-2</v>
      </c>
      <c r="BP37" s="46">
        <f t="shared" si="464"/>
        <v>0</v>
      </c>
      <c r="BQ37" s="46">
        <f t="shared" si="464"/>
        <v>56.25</v>
      </c>
      <c r="BR37" s="46" t="e">
        <f t="shared" si="464"/>
        <v>#DIV/0!</v>
      </c>
      <c r="BS37" s="46">
        <f t="shared" si="464"/>
        <v>0.19874772773177135</v>
      </c>
      <c r="BT37" s="46">
        <f t="shared" si="464"/>
        <v>0.37813489164840519</v>
      </c>
      <c r="BU37" s="46">
        <f t="shared" si="464"/>
        <v>9.5505617977528073E-2</v>
      </c>
      <c r="BV37" s="46">
        <f t="shared" si="464"/>
        <v>-9.5017176625348547</v>
      </c>
      <c r="BW37" s="46">
        <f t="shared" si="464"/>
        <v>0.30867221950024493</v>
      </c>
      <c r="BX37" s="46">
        <f t="shared" si="464"/>
        <v>-0.12970094830979878</v>
      </c>
      <c r="BY37" s="46">
        <f t="shared" si="464"/>
        <v>8.3329722234259211E-3</v>
      </c>
      <c r="BZ37" s="46">
        <f t="shared" si="464"/>
        <v>-1.1029770162280454E-2</v>
      </c>
      <c r="CA37" s="46">
        <f t="shared" si="464"/>
        <v>-0.30166425807654662</v>
      </c>
      <c r="CB37" s="46">
        <f t="shared" si="464"/>
        <v>0.35617344567724318</v>
      </c>
      <c r="CC37" s="46">
        <f t="shared" si="464"/>
        <v>1.3452152749359236</v>
      </c>
      <c r="CD37" s="46">
        <f t="shared" si="464"/>
        <v>-0.35912687927994363</v>
      </c>
      <c r="CE37" s="46">
        <f t="shared" si="464"/>
        <v>1.3356717267331793E-2</v>
      </c>
      <c r="CF37" s="46">
        <f t="shared" si="464"/>
        <v>0.19066823026927107</v>
      </c>
      <c r="CG37" s="46">
        <f t="shared" si="464"/>
        <v>-6.4120776093047255E-2</v>
      </c>
      <c r="CH37" s="46">
        <f t="shared" si="464"/>
        <v>-0.12498484288518834</v>
      </c>
      <c r="CI37" s="46">
        <f t="shared" si="464"/>
        <v>-0.70720720720720731</v>
      </c>
      <c r="CJ37" s="46">
        <f t="shared" si="464"/>
        <v>0.20033201008819485</v>
      </c>
      <c r="CK37" s="46">
        <f t="shared" si="464"/>
        <v>-0.31722536641996824</v>
      </c>
      <c r="CL37" s="46">
        <f t="shared" si="464"/>
        <v>0.15647892722733031</v>
      </c>
      <c r="CM37" s="47">
        <f t="shared" ref="CM37" si="465">+CL37</f>
        <v>0.15647892722733031</v>
      </c>
      <c r="CN37" s="47">
        <f t="shared" ref="CN37" si="466">+CM37</f>
        <v>0.15647892722733031</v>
      </c>
      <c r="CO37" s="47">
        <f t="shared" ref="CO37" si="467">+CN37</f>
        <v>0.15647892722733031</v>
      </c>
      <c r="CP37" s="47">
        <f t="shared" ref="CP37" si="468">+CO37</f>
        <v>0.15647892722733031</v>
      </c>
      <c r="CQ37" s="47">
        <f t="shared" ref="CQ37" si="469">+CP37</f>
        <v>0.15647892722733031</v>
      </c>
      <c r="CR37" s="47">
        <f t="shared" ref="CR37" si="470">+CQ37</f>
        <v>0.15647892722733031</v>
      </c>
      <c r="CS37" s="47">
        <f t="shared" ref="CS37" si="471">+CR37</f>
        <v>0.15647892722733031</v>
      </c>
      <c r="CT37" s="47">
        <f t="shared" ref="CT37" si="472">+CS37</f>
        <v>0.15647892722733031</v>
      </c>
      <c r="CU37" s="47">
        <f t="shared" ref="CU37" si="473">+CT37</f>
        <v>0.15647892722733031</v>
      </c>
      <c r="CV37" s="47">
        <f t="shared" ref="CV37" si="474">+CU37</f>
        <v>0.15647892722733031</v>
      </c>
      <c r="CW37" s="47">
        <f t="shared" ref="CW37" si="475">+CV37</f>
        <v>0.15647892722733031</v>
      </c>
      <c r="CX37" s="47">
        <f t="shared" ref="CX37" si="476">+CW37</f>
        <v>0.15647892722733031</v>
      </c>
      <c r="CY37" s="47">
        <f t="shared" ref="CY37" si="477">+CX37</f>
        <v>0.15647892722733031</v>
      </c>
      <c r="CZ37" s="47">
        <f t="shared" ref="CZ37" si="478">+CY37</f>
        <v>0.15647892722733031</v>
      </c>
      <c r="DA37" s="47">
        <f t="shared" ref="DA37" si="479">+CZ37</f>
        <v>0.15647892722733031</v>
      </c>
      <c r="DB37" s="47">
        <f t="shared" ref="DB37" si="480">+DA37</f>
        <v>0.15647892722733031</v>
      </c>
      <c r="DE37" s="130"/>
      <c r="DF37" s="46">
        <v>-0.31722536641996824</v>
      </c>
    </row>
    <row r="38" spans="1:110" s="26" customFormat="1" x14ac:dyDescent="0.2">
      <c r="A38" s="26" t="s">
        <v>20</v>
      </c>
      <c r="B38" s="26">
        <f>B34+B35-B36</f>
        <v>-103.424404661</v>
      </c>
      <c r="C38" s="26">
        <f t="shared" ref="C38:T38" si="481">C34+C35-C36</f>
        <v>-0.81694929199999999</v>
      </c>
      <c r="D38" s="26">
        <f>D34+D35-D36</f>
        <v>-0.30823507800000005</v>
      </c>
      <c r="E38" s="26">
        <f t="shared" si="481"/>
        <v>-20.742803404</v>
      </c>
      <c r="F38" s="26">
        <f t="shared" si="481"/>
        <v>-5.9629671740000001</v>
      </c>
      <c r="G38" s="26">
        <f t="shared" si="481"/>
        <v>-13.331539910000004</v>
      </c>
      <c r="H38" s="26">
        <f t="shared" si="481"/>
        <v>1.5184772000000235E-2</v>
      </c>
      <c r="I38" s="26">
        <f t="shared" si="481"/>
        <v>4.8842492999970011E-2</v>
      </c>
      <c r="J38" s="26">
        <f t="shared" si="481"/>
        <v>9.4360772000033677E-2</v>
      </c>
      <c r="K38" s="26">
        <f t="shared" si="481"/>
        <v>1.235599999999947</v>
      </c>
      <c r="L38" s="26">
        <f t="shared" si="481"/>
        <v>-3.3863999999999495</v>
      </c>
      <c r="M38" s="26">
        <f t="shared" si="481"/>
        <v>1.4029999999999596</v>
      </c>
      <c r="N38" s="26">
        <f t="shared" si="481"/>
        <v>2.095999999999993</v>
      </c>
      <c r="O38" s="26">
        <f t="shared" si="481"/>
        <v>0.85393039999999976</v>
      </c>
      <c r="P38" s="26">
        <f t="shared" si="481"/>
        <v>0.45518409999998416</v>
      </c>
      <c r="Q38" s="26">
        <f t="shared" si="481"/>
        <v>-4.9867468999999813</v>
      </c>
      <c r="R38" s="26">
        <f t="shared" si="481"/>
        <v>-3.6483838999999993</v>
      </c>
      <c r="S38" s="26">
        <f t="shared" si="481"/>
        <v>-5.9410999999999889</v>
      </c>
      <c r="T38" s="26">
        <f t="shared" si="481"/>
        <v>-8.0363000000000007</v>
      </c>
      <c r="U38" s="26">
        <f t="shared" ref="U38:Z38" si="482">U34+U35-U36</f>
        <v>-1.5216999999999998</v>
      </c>
      <c r="V38" s="26">
        <f t="shared" si="482"/>
        <v>-0.23969999999999983</v>
      </c>
      <c r="W38" s="26">
        <f t="shared" si="482"/>
        <v>161.13329999999999</v>
      </c>
      <c r="X38" s="26">
        <f t="shared" si="482"/>
        <v>59.925299999999943</v>
      </c>
      <c r="Y38" s="26">
        <f t="shared" si="482"/>
        <v>212.75240000000002</v>
      </c>
      <c r="Z38" s="26">
        <f t="shared" si="482"/>
        <v>163.14999999999998</v>
      </c>
      <c r="AA38" s="26">
        <f t="shared" ref="AA38" si="483">AA34+AA35-AA36</f>
        <v>472.6099999999999</v>
      </c>
      <c r="AB38" s="27">
        <f t="shared" ref="AB38:AD38" si="484">AB34+AB35-AB36</f>
        <v>670.03418671431052</v>
      </c>
      <c r="AC38" s="27">
        <f t="shared" si="484"/>
        <v>863.06819868788034</v>
      </c>
      <c r="AD38" s="27">
        <f t="shared" si="484"/>
        <v>1137.4577201246968</v>
      </c>
      <c r="AE38" s="27">
        <f t="shared" ref="AE38" si="485">AE34+AE35-AE36</f>
        <v>1528.2667009593492</v>
      </c>
      <c r="AI38" s="26">
        <f>AI34+AI35-AI36</f>
        <v>1.675000000000006</v>
      </c>
      <c r="AJ38" s="26">
        <f t="shared" ref="AJ38" si="486">AJ34+AJ35-AJ36</f>
        <v>9.600000000000003E-2</v>
      </c>
      <c r="AK38" s="26">
        <f t="shared" ref="AK38:AM38" si="487">AK34+AK35-AK36</f>
        <v>-0.34699999999999998</v>
      </c>
      <c r="AL38" s="26">
        <f t="shared" si="487"/>
        <v>0.67200000000000004</v>
      </c>
      <c r="AM38" s="26">
        <f t="shared" si="487"/>
        <v>-11.017000000000001</v>
      </c>
      <c r="AN38" s="26">
        <f t="shared" ref="AN38:AO38" si="488">AN34+AN35-AN36</f>
        <v>-0.37</v>
      </c>
      <c r="AO38" s="26">
        <f t="shared" si="488"/>
        <v>-0.24299999999999999</v>
      </c>
      <c r="AP38" s="26">
        <f t="shared" ref="AP38:CD38" si="489">AP34+AP35-AP36</f>
        <v>12.482999999999999</v>
      </c>
      <c r="AQ38" s="26">
        <f t="shared" si="489"/>
        <v>-0.21000000000000002</v>
      </c>
      <c r="AR38" s="26">
        <f t="shared" si="489"/>
        <v>-0.14000000000000001</v>
      </c>
      <c r="AS38" s="26">
        <f t="shared" si="489"/>
        <v>1.0000000000000071</v>
      </c>
      <c r="AT38" s="26">
        <f t="shared" si="489"/>
        <v>-0.19399999999998233</v>
      </c>
      <c r="AU38" s="26">
        <f t="shared" si="489"/>
        <v>0.26100000000000001</v>
      </c>
      <c r="AV38" s="26">
        <f t="shared" si="489"/>
        <v>-0.38299999999999923</v>
      </c>
      <c r="AW38" s="26">
        <f t="shared" si="489"/>
        <v>-0.53499999999999948</v>
      </c>
      <c r="AX38" s="26">
        <f t="shared" si="489"/>
        <v>-4.3309999999999995</v>
      </c>
      <c r="AY38" s="26">
        <f t="shared" si="489"/>
        <v>-0.27700000000000002</v>
      </c>
      <c r="AZ38" s="26">
        <f t="shared" si="489"/>
        <v>-0.21699999999999942</v>
      </c>
      <c r="BA38" s="26">
        <f t="shared" si="489"/>
        <v>-3.1570000000000018</v>
      </c>
      <c r="BB38" s="26">
        <f t="shared" si="489"/>
        <v>5.5511151231257827E-17</v>
      </c>
      <c r="BC38" s="26">
        <f t="shared" si="489"/>
        <v>-0.42499999999999999</v>
      </c>
      <c r="BD38" s="26">
        <f t="shared" si="489"/>
        <v>1.9000000000000461E-2</v>
      </c>
      <c r="BE38" s="26">
        <f t="shared" si="489"/>
        <v>0.24000000000000193</v>
      </c>
      <c r="BF38" s="26">
        <f t="shared" si="489"/>
        <v>-5.7759999999999927</v>
      </c>
      <c r="BG38" s="26">
        <f t="shared" si="489"/>
        <v>-0.44199999999999995</v>
      </c>
      <c r="BH38" s="26">
        <f t="shared" si="489"/>
        <v>-3.3460000000000001</v>
      </c>
      <c r="BI38" s="26">
        <f t="shared" si="489"/>
        <v>-1.3450000000000011</v>
      </c>
      <c r="BJ38" s="26">
        <f t="shared" si="489"/>
        <v>-2.9029999999999996</v>
      </c>
      <c r="BK38" s="26">
        <f t="shared" si="489"/>
        <v>-0.442</v>
      </c>
      <c r="BL38" s="26">
        <f t="shared" si="489"/>
        <v>-0.4</v>
      </c>
      <c r="BM38" s="26">
        <f t="shared" si="489"/>
        <v>-0.41700000000000004</v>
      </c>
      <c r="BN38" s="26">
        <f t="shared" si="489"/>
        <v>-0.26100000000000001</v>
      </c>
      <c r="BO38" s="26">
        <f t="shared" si="489"/>
        <v>-0.29599999999999999</v>
      </c>
      <c r="BP38" s="26">
        <f t="shared" si="489"/>
        <v>-0.27399999999999997</v>
      </c>
      <c r="BQ38" s="26">
        <f t="shared" si="489"/>
        <v>0.82600000000000007</v>
      </c>
      <c r="BR38" s="26">
        <f t="shared" si="489"/>
        <v>-0.496</v>
      </c>
      <c r="BS38" s="26">
        <f t="shared" si="489"/>
        <v>-1.7140000000000004</v>
      </c>
      <c r="BT38" s="26">
        <f t="shared" si="489"/>
        <v>1.5940000000000005</v>
      </c>
      <c r="BU38" s="26">
        <f t="shared" si="489"/>
        <v>3.4900000000000007</v>
      </c>
      <c r="BV38" s="26">
        <f t="shared" si="489"/>
        <v>157.76499999999999</v>
      </c>
      <c r="BW38" s="26">
        <f t="shared" si="489"/>
        <v>7.6120000000000037</v>
      </c>
      <c r="BX38" s="26">
        <f t="shared" si="489"/>
        <v>15.646999999999998</v>
      </c>
      <c r="BY38" s="26">
        <f t="shared" si="489"/>
        <v>20.739999999999984</v>
      </c>
      <c r="BZ38" s="26">
        <f t="shared" si="489"/>
        <v>15.926000000000007</v>
      </c>
      <c r="CA38" s="26">
        <f t="shared" si="489"/>
        <v>17.22600000000001</v>
      </c>
      <c r="CB38" s="26">
        <f t="shared" si="489"/>
        <v>37.45000000000001</v>
      </c>
      <c r="CC38" s="26">
        <f t="shared" si="489"/>
        <v>98.968000000000046</v>
      </c>
      <c r="CD38" s="26">
        <f t="shared" si="489"/>
        <v>59.107000000000014</v>
      </c>
      <c r="CE38" s="26">
        <f t="shared" ref="CE38:CF38" si="490">CE34+CE35-CE36</f>
        <v>21.620000000000005</v>
      </c>
      <c r="CF38" s="26">
        <f t="shared" si="490"/>
        <v>46.449999999999996</v>
      </c>
      <c r="CG38" s="26">
        <f t="shared" ref="CG38:CH38" si="491">CG34+CG35-CG36</f>
        <v>53.22</v>
      </c>
      <c r="CH38" s="26">
        <f t="shared" si="491"/>
        <v>41.859999999999992</v>
      </c>
      <c r="CI38" s="26">
        <f t="shared" ref="CI38:CJ38" si="492">CI34+CI35-CI36</f>
        <v>287.54000000000002</v>
      </c>
      <c r="CJ38" s="26">
        <f t="shared" si="492"/>
        <v>53.529999999999987</v>
      </c>
      <c r="CK38" s="26">
        <f t="shared" ref="CK38:CL38" si="493">CK34+CK35-CK36</f>
        <v>39.880000000000003</v>
      </c>
      <c r="CL38" s="26">
        <f t="shared" si="493"/>
        <v>91.660000000000025</v>
      </c>
      <c r="CM38" s="27">
        <f t="shared" ref="CM38:DB38" si="494">CM34+CM35-CM36</f>
        <v>54.84142458130232</v>
      </c>
      <c r="CN38" s="27">
        <f t="shared" si="494"/>
        <v>187.49238551370871</v>
      </c>
      <c r="CO38" s="27">
        <f t="shared" si="494"/>
        <v>166.73359840681795</v>
      </c>
      <c r="CP38" s="27">
        <f t="shared" si="494"/>
        <v>260.96677821248153</v>
      </c>
      <c r="CQ38" s="27">
        <f t="shared" si="494"/>
        <v>69.675919630702126</v>
      </c>
      <c r="CR38" s="27">
        <f t="shared" si="494"/>
        <v>242.9324067287163</v>
      </c>
      <c r="CS38" s="27">
        <f t="shared" si="494"/>
        <v>216.66963446972727</v>
      </c>
      <c r="CT38" s="27">
        <f t="shared" si="494"/>
        <v>333.7902378587346</v>
      </c>
      <c r="CU38" s="27">
        <f t="shared" si="494"/>
        <v>102.27916242826157</v>
      </c>
      <c r="CV38" s="27">
        <f t="shared" si="494"/>
        <v>316.40380352135179</v>
      </c>
      <c r="CW38" s="27">
        <f t="shared" si="494"/>
        <v>286.78827170710673</v>
      </c>
      <c r="CX38" s="27">
        <f t="shared" si="494"/>
        <v>431.98648246797688</v>
      </c>
      <c r="CY38" s="27">
        <f t="shared" si="494"/>
        <v>154.95010074269891</v>
      </c>
      <c r="CZ38" s="27">
        <f t="shared" si="494"/>
        <v>418.46153612489337</v>
      </c>
      <c r="DA38" s="27">
        <f t="shared" si="494"/>
        <v>386.96929845232347</v>
      </c>
      <c r="DB38" s="27">
        <f t="shared" si="494"/>
        <v>567.88576563943366</v>
      </c>
      <c r="DE38" s="121"/>
      <c r="DF38" s="26">
        <v>-78.362663722921866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1E-4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1.2880600000000001E-2</v>
      </c>
      <c r="H39" s="23">
        <f>'Annual Raw'!I30</f>
        <v>6.2823999999999996E-3</v>
      </c>
      <c r="I39" s="23">
        <f>'Annual Raw'!J30</f>
        <v>5.6084000000000004E-3</v>
      </c>
      <c r="J39" s="23">
        <f>'Annual Raw'!K30</f>
        <v>1.2735099999999999E-2</v>
      </c>
      <c r="K39" s="23">
        <f>'Annual Raw'!L30</f>
        <v>2.8E-3</v>
      </c>
      <c r="L39" s="23">
        <f>'Annual Raw'!M30</f>
        <v>-6.1999999999999998E-3</v>
      </c>
      <c r="M39" s="23">
        <f>'Annual Raw'!N30</f>
        <v>0.22</v>
      </c>
      <c r="N39" s="23">
        <f>'Annual Raw'!O30</f>
        <v>0.67879999999999996</v>
      </c>
      <c r="O39" s="23">
        <f>'Annual Raw'!P30</f>
        <v>0.1</v>
      </c>
      <c r="P39" s="23">
        <f>'Annual Raw'!Q30</f>
        <v>4.8000000000000001E-2</v>
      </c>
      <c r="Q39" s="23">
        <f>'Annual Raw'!R30</f>
        <v>0.3461109</v>
      </c>
      <c r="R39" s="23">
        <f>'Annual Raw'!S30</f>
        <v>0</v>
      </c>
      <c r="S39" s="23">
        <f>'Annual Raw'!T30</f>
        <v>0</v>
      </c>
      <c r="T39" s="23">
        <f>'Annual Raw'!U30</f>
        <v>0</v>
      </c>
      <c r="U39" s="23">
        <f>'Annual Raw'!V30</f>
        <v>-0.69240000000000002</v>
      </c>
      <c r="V39" s="23">
        <f>'Annual Raw'!W30</f>
        <v>0</v>
      </c>
      <c r="W39" s="23">
        <f>'Annual Raw'!X30</f>
        <v>6.1603000000000003</v>
      </c>
      <c r="X39" s="23">
        <f>'Annual Raw'!Y30</f>
        <v>12.3964</v>
      </c>
      <c r="Y39" s="23">
        <f>'Annual Raw'!Z30</f>
        <v>37.953200000000002</v>
      </c>
      <c r="Z39" s="23">
        <f>'Annual Raw'!AA30</f>
        <v>36.840000000000003</v>
      </c>
      <c r="AA39" s="23">
        <f>'Annual Raw'!AB30</f>
        <v>93.99</v>
      </c>
      <c r="AB39" s="24">
        <f>+SUM(CM39:CP39)</f>
        <v>156.76261831591341</v>
      </c>
      <c r="AC39" s="24">
        <f>+SUM(CQ39:CT39)</f>
        <v>203.84019762839023</v>
      </c>
      <c r="AD39" s="24">
        <f>+SUM(CU39:CX39)</f>
        <v>268.86908915054636</v>
      </c>
      <c r="AE39" s="24">
        <f>+SUM(CY39:DB39)</f>
        <v>361.26071773814635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0.67900000000000005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0.1</v>
      </c>
      <c r="AQ39" s="23">
        <f>'QTR Raw'!K29</f>
        <v>0</v>
      </c>
      <c r="AR39" s="23">
        <f>'QTR Raw'!L29</f>
        <v>0</v>
      </c>
      <c r="AS39" s="23">
        <f>'QTR Raw'!M29</f>
        <v>0.125</v>
      </c>
      <c r="AT39" s="23">
        <f>'QTR Raw'!N29</f>
        <v>-7.6999999999999999E-2</v>
      </c>
      <c r="AU39" s="23">
        <f>'QTR Raw'!O29</f>
        <v>5.2999999999999999E-2</v>
      </c>
      <c r="AV39" s="23">
        <f>'QTR Raw'!P29</f>
        <v>-5.2999999999999999E-2</v>
      </c>
      <c r="AW39" s="23">
        <f>'QTR Raw'!Q29</f>
        <v>0</v>
      </c>
      <c r="AX39" s="23">
        <f>'QTR Raw'!R29</f>
        <v>0.34599999999999997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-0.69199999999999995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0</v>
      </c>
      <c r="BU39" s="23">
        <f>'QTR Raw'!AO29</f>
        <v>0</v>
      </c>
      <c r="BV39" s="23">
        <f>'QTR Raw'!AP29</f>
        <v>6.16</v>
      </c>
      <c r="BW39" s="23">
        <f>'QTR Raw'!AQ29</f>
        <v>0</v>
      </c>
      <c r="BX39" s="23">
        <f>'QTR Raw'!AR29</f>
        <v>0</v>
      </c>
      <c r="BY39" s="23">
        <f>'QTR Raw'!AS29</f>
        <v>6.7</v>
      </c>
      <c r="BZ39" s="23">
        <f>'QTR Raw'!AT29</f>
        <v>5.6959999999999997</v>
      </c>
      <c r="CA39" s="23">
        <f>'QTR Raw'!AU29</f>
        <v>2.04</v>
      </c>
      <c r="CB39" s="23">
        <f>'QTR Raw'!AV29</f>
        <v>5.8689999999999998</v>
      </c>
      <c r="CC39" s="23">
        <f>'QTR Raw'!AW29</f>
        <v>23.69</v>
      </c>
      <c r="CD39" s="23">
        <f>'QTR Raw'!AX29</f>
        <v>6.3529999999999998</v>
      </c>
      <c r="CE39" s="23">
        <f>'QTR Raw'!AY29</f>
        <v>4.4400000000000004</v>
      </c>
      <c r="CF39" s="23">
        <f>'QTR Raw'!AZ29</f>
        <v>5.87</v>
      </c>
      <c r="CG39" s="23">
        <f>'QTR Raw'!BA29</f>
        <v>11.9</v>
      </c>
      <c r="CH39" s="23">
        <f>'QTR Raw'!BB29</f>
        <v>14.63</v>
      </c>
      <c r="CI39" s="23">
        <f>'QTR Raw'!BC29</f>
        <v>52.2</v>
      </c>
      <c r="CJ39" s="23">
        <f>'QTR Raw'!BD29</f>
        <v>2.15</v>
      </c>
      <c r="CK39" s="23">
        <f>'QTR Raw'!BE29</f>
        <v>11.78</v>
      </c>
      <c r="CL39" s="23">
        <f>'QTR Raw'!BF29</f>
        <v>27.86</v>
      </c>
      <c r="CM39" s="24">
        <f t="shared" ref="CM39:DB39" si="495">+CM38*CM40</f>
        <v>11.256749302346787</v>
      </c>
      <c r="CN39" s="24">
        <f t="shared" si="495"/>
        <v>39.596512346519013</v>
      </c>
      <c r="CO39" s="24">
        <f t="shared" si="495"/>
        <v>42.341392275057139</v>
      </c>
      <c r="CP39" s="24">
        <f t="shared" si="495"/>
        <v>63.567964391990458</v>
      </c>
      <c r="CQ39" s="24">
        <f t="shared" si="495"/>
        <v>15.920647051326956</v>
      </c>
      <c r="CR39" s="24">
        <f t="shared" si="495"/>
        <v>56.920183866400734</v>
      </c>
      <c r="CS39" s="24">
        <f t="shared" si="495"/>
        <v>52.018755214970589</v>
      </c>
      <c r="CT39" s="24">
        <f t="shared" si="495"/>
        <v>78.98061149569196</v>
      </c>
      <c r="CU39" s="24">
        <f t="shared" si="495"/>
        <v>24.022845735745449</v>
      </c>
      <c r="CV39" s="24">
        <f t="shared" si="495"/>
        <v>74.820059345175821</v>
      </c>
      <c r="CW39" s="24">
        <f t="shared" si="495"/>
        <v>67.97213324685201</v>
      </c>
      <c r="CX39" s="24">
        <f t="shared" si="495"/>
        <v>102.05405082277308</v>
      </c>
      <c r="CY39" s="24">
        <f t="shared" si="495"/>
        <v>36.591489731153906</v>
      </c>
      <c r="CZ39" s="24">
        <f t="shared" si="495"/>
        <v>98.953127413672945</v>
      </c>
      <c r="DA39" s="24">
        <f t="shared" si="495"/>
        <v>91.506068490885411</v>
      </c>
      <c r="DB39" s="24">
        <f t="shared" si="495"/>
        <v>134.2100321024341</v>
      </c>
      <c r="DE39" s="123"/>
      <c r="DF39" s="23">
        <v>-16.976443553235281</v>
      </c>
    </row>
    <row r="40" spans="1:110" s="90" customFormat="1" x14ac:dyDescent="0.2">
      <c r="A40" s="90" t="s">
        <v>106</v>
      </c>
      <c r="B40" s="90">
        <f t="shared" ref="B40:E40" si="496">B39/B38</f>
        <v>0</v>
      </c>
      <c r="C40" s="90">
        <f t="shared" si="496"/>
        <v>-1.224066181086794E-4</v>
      </c>
      <c r="D40" s="90">
        <f t="shared" si="496"/>
        <v>0</v>
      </c>
      <c r="E40" s="90">
        <f t="shared" si="496"/>
        <v>0</v>
      </c>
      <c r="F40" s="90">
        <f t="shared" ref="F40:T40" si="497">F39/F38</f>
        <v>0</v>
      </c>
      <c r="G40" s="90">
        <f t="shared" si="497"/>
        <v>-9.6617495705340439E-4</v>
      </c>
      <c r="H40" s="90">
        <f t="shared" si="497"/>
        <v>0.41373028189029787</v>
      </c>
      <c r="I40" s="90">
        <f t="shared" si="497"/>
        <v>0.11482624361544043</v>
      </c>
      <c r="J40" s="90">
        <f t="shared" si="497"/>
        <v>0.13496180383089124</v>
      </c>
      <c r="K40" s="90">
        <f t="shared" si="497"/>
        <v>2.2661055357721918E-3</v>
      </c>
      <c r="L40" s="90">
        <f t="shared" si="497"/>
        <v>1.8308528230569609E-3</v>
      </c>
      <c r="M40" s="90">
        <f t="shared" si="497"/>
        <v>0.15680684248040366</v>
      </c>
      <c r="N40" s="90">
        <f t="shared" si="497"/>
        <v>0.32385496183206214</v>
      </c>
      <c r="O40" s="90">
        <f t="shared" si="497"/>
        <v>0.11710556270159726</v>
      </c>
      <c r="P40" s="90">
        <f t="shared" si="497"/>
        <v>0.10545183805849473</v>
      </c>
      <c r="Q40" s="90">
        <f t="shared" si="497"/>
        <v>-6.9406149327530794E-2</v>
      </c>
      <c r="R40" s="90">
        <f t="shared" si="497"/>
        <v>0</v>
      </c>
      <c r="S40" s="90">
        <f t="shared" si="497"/>
        <v>0</v>
      </c>
      <c r="T40" s="90">
        <f t="shared" si="497"/>
        <v>0</v>
      </c>
      <c r="U40" s="90">
        <f t="shared" ref="U40:Z40" si="498">U39/U38</f>
        <v>0.45501741473352175</v>
      </c>
      <c r="V40" s="90">
        <f t="shared" si="498"/>
        <v>0</v>
      </c>
      <c r="W40" s="90">
        <f t="shared" si="498"/>
        <v>3.8231079485121951E-2</v>
      </c>
      <c r="X40" s="90">
        <f t="shared" si="498"/>
        <v>0.206864212611368</v>
      </c>
      <c r="Y40" s="90">
        <f t="shared" si="498"/>
        <v>0.17839140710046045</v>
      </c>
      <c r="Z40" s="90">
        <f t="shared" si="498"/>
        <v>0.22580447441005216</v>
      </c>
      <c r="AA40" s="90">
        <f t="shared" ref="AA40" si="499">AA39/AA38</f>
        <v>0.19887433613338698</v>
      </c>
      <c r="AB40" s="91">
        <f t="shared" ref="AA40:AD40" si="500">AB39/AB38</f>
        <v>0.23396211928325672</v>
      </c>
      <c r="AC40" s="91">
        <f t="shared" si="500"/>
        <v>0.23618086952837306</v>
      </c>
      <c r="AD40" s="91">
        <f t="shared" si="500"/>
        <v>0.23637721595583427</v>
      </c>
      <c r="AE40" s="91">
        <f t="shared" ref="AE40" si="501">AE39/AE38</f>
        <v>0.23638591190357658</v>
      </c>
      <c r="AI40" s="90">
        <f t="shared" ref="AI40" si="502">AI39/AI38</f>
        <v>0</v>
      </c>
      <c r="AJ40" s="90">
        <f t="shared" ref="AJ40" si="503">AJ39/AJ38</f>
        <v>0</v>
      </c>
      <c r="AK40" s="90">
        <f t="shared" ref="AK40:AM40" si="504">AK39/AK38</f>
        <v>0</v>
      </c>
      <c r="AL40" s="90">
        <f t="shared" si="504"/>
        <v>1.0104166666666667</v>
      </c>
      <c r="AM40" s="90">
        <f t="shared" si="504"/>
        <v>0</v>
      </c>
      <c r="AN40" s="90">
        <f t="shared" ref="AN40:AO40" si="505">AN39/AN38</f>
        <v>0</v>
      </c>
      <c r="AO40" s="90">
        <f t="shared" si="505"/>
        <v>0</v>
      </c>
      <c r="AP40" s="90">
        <f t="shared" ref="AP40:CD40" si="506">AP39/AP38</f>
        <v>8.0108948169510547E-3</v>
      </c>
      <c r="AQ40" s="90">
        <f t="shared" si="506"/>
        <v>0</v>
      </c>
      <c r="AR40" s="90">
        <f t="shared" si="506"/>
        <v>0</v>
      </c>
      <c r="AS40" s="90">
        <f t="shared" si="506"/>
        <v>0.12499999999999911</v>
      </c>
      <c r="AT40" s="90">
        <f t="shared" si="506"/>
        <v>0.39690721649488153</v>
      </c>
      <c r="AU40" s="90">
        <f t="shared" si="506"/>
        <v>0.20306513409961685</v>
      </c>
      <c r="AV40" s="90">
        <f t="shared" si="506"/>
        <v>0.1383812010443867</v>
      </c>
      <c r="AW40" s="90">
        <f t="shared" si="506"/>
        <v>0</v>
      </c>
      <c r="AX40" s="90">
        <f t="shared" si="506"/>
        <v>-7.9889171092126537E-2</v>
      </c>
      <c r="AY40" s="90">
        <f t="shared" si="506"/>
        <v>0</v>
      </c>
      <c r="AZ40" s="90">
        <f t="shared" si="506"/>
        <v>0</v>
      </c>
      <c r="BA40" s="90">
        <f t="shared" si="506"/>
        <v>0</v>
      </c>
      <c r="BB40" s="90">
        <f t="shared" si="506"/>
        <v>0</v>
      </c>
      <c r="BC40" s="90">
        <f t="shared" si="506"/>
        <v>0</v>
      </c>
      <c r="BD40" s="90">
        <f t="shared" si="506"/>
        <v>0</v>
      </c>
      <c r="BE40" s="90">
        <f t="shared" si="506"/>
        <v>0</v>
      </c>
      <c r="BF40" s="90">
        <f t="shared" si="506"/>
        <v>0</v>
      </c>
      <c r="BG40" s="90">
        <f t="shared" si="506"/>
        <v>0</v>
      </c>
      <c r="BH40" s="90">
        <f t="shared" si="506"/>
        <v>0</v>
      </c>
      <c r="BI40" s="90">
        <f t="shared" si="506"/>
        <v>0</v>
      </c>
      <c r="BJ40" s="90">
        <f t="shared" si="506"/>
        <v>0</v>
      </c>
      <c r="BK40" s="90">
        <f t="shared" si="506"/>
        <v>0</v>
      </c>
      <c r="BL40" s="90">
        <f t="shared" si="506"/>
        <v>0</v>
      </c>
      <c r="BM40" s="90">
        <f t="shared" si="506"/>
        <v>0</v>
      </c>
      <c r="BN40" s="90">
        <f t="shared" si="506"/>
        <v>2.6513409961685821</v>
      </c>
      <c r="BO40" s="90">
        <f t="shared" si="506"/>
        <v>0</v>
      </c>
      <c r="BP40" s="90">
        <f t="shared" si="506"/>
        <v>0</v>
      </c>
      <c r="BQ40" s="90">
        <f t="shared" si="506"/>
        <v>0</v>
      </c>
      <c r="BR40" s="90">
        <f t="shared" si="506"/>
        <v>0</v>
      </c>
      <c r="BS40" s="90">
        <f t="shared" si="506"/>
        <v>0</v>
      </c>
      <c r="BT40" s="90">
        <f t="shared" si="506"/>
        <v>0</v>
      </c>
      <c r="BU40" s="90">
        <f t="shared" si="506"/>
        <v>0</v>
      </c>
      <c r="BV40" s="90">
        <f t="shared" si="506"/>
        <v>3.9045415649858972E-2</v>
      </c>
      <c r="BW40" s="90">
        <f t="shared" si="506"/>
        <v>0</v>
      </c>
      <c r="BX40" s="90">
        <f t="shared" si="506"/>
        <v>0</v>
      </c>
      <c r="BY40" s="90">
        <f t="shared" si="506"/>
        <v>0.32304725168756054</v>
      </c>
      <c r="BZ40" s="90">
        <f t="shared" si="506"/>
        <v>0.35765415044581172</v>
      </c>
      <c r="CA40" s="90">
        <f t="shared" si="506"/>
        <v>0.11842563566701492</v>
      </c>
      <c r="CB40" s="90">
        <f t="shared" si="506"/>
        <v>0.15671562082777032</v>
      </c>
      <c r="CC40" s="90">
        <f t="shared" si="506"/>
        <v>0.2393703015115996</v>
      </c>
      <c r="CD40" s="90">
        <f t="shared" si="506"/>
        <v>0.10748303923393165</v>
      </c>
      <c r="CE40" s="90">
        <f t="shared" ref="CE40:CF40" si="507">CE39/CE38</f>
        <v>0.20536540240518036</v>
      </c>
      <c r="CF40" s="90">
        <f t="shared" si="507"/>
        <v>0.12637244348762111</v>
      </c>
      <c r="CG40" s="90">
        <f t="shared" ref="CG40:CH40" si="508">CG39/CG38</f>
        <v>0.22360015031942879</v>
      </c>
      <c r="CH40" s="90">
        <f t="shared" si="508"/>
        <v>0.34949832775919742</v>
      </c>
      <c r="CI40" s="90">
        <f t="shared" ref="CI40:CJ40" si="509">CI39/CI38</f>
        <v>0.18153995965778674</v>
      </c>
      <c r="CJ40" s="90">
        <f t="shared" si="509"/>
        <v>4.016439379787036E-2</v>
      </c>
      <c r="CK40" s="90">
        <f t="shared" ref="CK40:CL40" si="510">CK39/CK38</f>
        <v>0.29538615847542626</v>
      </c>
      <c r="CL40" s="90">
        <f t="shared" si="510"/>
        <v>0.30394937813659167</v>
      </c>
      <c r="CM40" s="91">
        <f t="shared" ref="CM40:DB40" si="511">AVERAGE(CI40:CL40)</f>
        <v>0.20525997251691874</v>
      </c>
      <c r="CN40" s="91">
        <f t="shared" si="511"/>
        <v>0.21118997573170176</v>
      </c>
      <c r="CO40" s="91">
        <f t="shared" si="511"/>
        <v>0.25394637121515962</v>
      </c>
      <c r="CP40" s="91">
        <f t="shared" si="511"/>
        <v>0.24358642440009295</v>
      </c>
      <c r="CQ40" s="91">
        <f t="shared" si="511"/>
        <v>0.22849568596596825</v>
      </c>
      <c r="CR40" s="91">
        <f t="shared" si="511"/>
        <v>0.23430461432823063</v>
      </c>
      <c r="CS40" s="91">
        <f t="shared" si="511"/>
        <v>0.24008327397736284</v>
      </c>
      <c r="CT40" s="91">
        <f t="shared" si="511"/>
        <v>0.23661749966791368</v>
      </c>
      <c r="CU40" s="91">
        <f t="shared" si="511"/>
        <v>0.23487526848486887</v>
      </c>
      <c r="CV40" s="91">
        <f t="shared" si="511"/>
        <v>0.23647016411459401</v>
      </c>
      <c r="CW40" s="91">
        <f t="shared" si="511"/>
        <v>0.23701155156118484</v>
      </c>
      <c r="CX40" s="91">
        <f t="shared" si="511"/>
        <v>0.23624362095714033</v>
      </c>
      <c r="CY40" s="91">
        <f t="shared" si="511"/>
        <v>0.23615015127944702</v>
      </c>
      <c r="CZ40" s="91">
        <f t="shared" si="511"/>
        <v>0.23646887197809155</v>
      </c>
      <c r="DA40" s="91">
        <f t="shared" si="511"/>
        <v>0.23646854894396593</v>
      </c>
      <c r="DB40" s="91">
        <f t="shared" si="511"/>
        <v>0.23633279828966122</v>
      </c>
      <c r="DE40" s="127"/>
      <c r="DF40" s="90">
        <v>0.21663943958389842</v>
      </c>
    </row>
    <row r="41" spans="1:110" s="26" customFormat="1" x14ac:dyDescent="0.2">
      <c r="A41" s="26" t="s">
        <v>22</v>
      </c>
      <c r="B41" s="26">
        <f t="shared" ref="B41:E41" si="512">B38-B39</f>
        <v>-103.424404661</v>
      </c>
      <c r="C41" s="26">
        <f t="shared" si="512"/>
        <v>-0.81704929199999998</v>
      </c>
      <c r="D41" s="26">
        <f t="shared" si="512"/>
        <v>-0.30823507800000005</v>
      </c>
      <c r="E41" s="26">
        <f t="shared" si="512"/>
        <v>-20.742803404</v>
      </c>
      <c r="F41" s="26">
        <f t="shared" ref="F41:T41" si="513">F38-F39</f>
        <v>-5.9629671740000001</v>
      </c>
      <c r="G41" s="26">
        <f t="shared" si="513"/>
        <v>-13.344420510000004</v>
      </c>
      <c r="H41" s="26">
        <f t="shared" si="513"/>
        <v>8.9023720000002346E-3</v>
      </c>
      <c r="I41" s="26">
        <f t="shared" si="513"/>
        <v>4.3234092999970011E-2</v>
      </c>
      <c r="J41" s="26">
        <f t="shared" si="513"/>
        <v>8.1625672000033678E-2</v>
      </c>
      <c r="K41" s="26">
        <f t="shared" si="513"/>
        <v>1.232799999999947</v>
      </c>
      <c r="L41" s="26">
        <f t="shared" si="513"/>
        <v>-3.3801999999999492</v>
      </c>
      <c r="M41" s="26">
        <f t="shared" si="513"/>
        <v>1.1829999999999596</v>
      </c>
      <c r="N41" s="26">
        <f t="shared" si="513"/>
        <v>1.4171999999999931</v>
      </c>
      <c r="O41" s="26">
        <f t="shared" si="513"/>
        <v>0.75393039999999978</v>
      </c>
      <c r="P41" s="26">
        <f t="shared" si="513"/>
        <v>0.40718409999998417</v>
      </c>
      <c r="Q41" s="26">
        <f t="shared" si="513"/>
        <v>-5.3328577999999816</v>
      </c>
      <c r="R41" s="26">
        <f t="shared" si="513"/>
        <v>-3.6483838999999993</v>
      </c>
      <c r="S41" s="26">
        <f t="shared" si="513"/>
        <v>-5.9410999999999889</v>
      </c>
      <c r="T41" s="26">
        <f t="shared" si="513"/>
        <v>-8.0363000000000007</v>
      </c>
      <c r="U41" s="26">
        <f t="shared" ref="U41:Z41" si="514">U38-U39</f>
        <v>-0.82929999999999982</v>
      </c>
      <c r="V41" s="26">
        <f t="shared" si="514"/>
        <v>-0.23969999999999983</v>
      </c>
      <c r="W41" s="26">
        <f t="shared" si="514"/>
        <v>154.97299999999998</v>
      </c>
      <c r="X41" s="26">
        <f t="shared" si="514"/>
        <v>47.528899999999943</v>
      </c>
      <c r="Y41" s="26">
        <f t="shared" si="514"/>
        <v>174.79920000000001</v>
      </c>
      <c r="Z41" s="26">
        <f t="shared" si="514"/>
        <v>126.30999999999997</v>
      </c>
      <c r="AA41" s="26">
        <f t="shared" ref="AA41" si="515">AA38-AA39</f>
        <v>378.61999999999989</v>
      </c>
      <c r="AB41" s="27">
        <f t="shared" ref="AA41:AD41" si="516">AB38-AB39</f>
        <v>513.27156839839711</v>
      </c>
      <c r="AC41" s="27">
        <f t="shared" si="516"/>
        <v>659.22800105949011</v>
      </c>
      <c r="AD41" s="27">
        <f t="shared" si="516"/>
        <v>868.58863097415042</v>
      </c>
      <c r="AE41" s="27">
        <f t="shared" ref="AE41" si="517">AE38-AE39</f>
        <v>1167.0059832212028</v>
      </c>
      <c r="AI41" s="26">
        <f>AI38-AI39</f>
        <v>1.675000000000006</v>
      </c>
      <c r="AJ41" s="26">
        <f t="shared" ref="AJ41" si="518">AJ38-AJ39</f>
        <v>9.600000000000003E-2</v>
      </c>
      <c r="AK41" s="26">
        <f t="shared" ref="AK41:AM41" si="519">AK38-AK39</f>
        <v>-0.34699999999999998</v>
      </c>
      <c r="AL41" s="26">
        <f t="shared" si="519"/>
        <v>-7.0000000000000062E-3</v>
      </c>
      <c r="AM41" s="26">
        <f t="shared" si="519"/>
        <v>-11.017000000000001</v>
      </c>
      <c r="AN41" s="26">
        <f t="shared" ref="AN41:AO41" si="520">AN38-AN39</f>
        <v>-0.37</v>
      </c>
      <c r="AO41" s="26">
        <f t="shared" si="520"/>
        <v>-0.24299999999999999</v>
      </c>
      <c r="AP41" s="26">
        <f t="shared" ref="AP41:CD41" si="521">AP38-AP39</f>
        <v>12.382999999999999</v>
      </c>
      <c r="AQ41" s="26">
        <f t="shared" si="521"/>
        <v>-0.21000000000000002</v>
      </c>
      <c r="AR41" s="26">
        <f t="shared" si="521"/>
        <v>-0.14000000000000001</v>
      </c>
      <c r="AS41" s="26">
        <f t="shared" si="521"/>
        <v>0.87500000000000711</v>
      </c>
      <c r="AT41" s="26">
        <f t="shared" si="521"/>
        <v>-0.11699999999998233</v>
      </c>
      <c r="AU41" s="26">
        <f t="shared" si="521"/>
        <v>0.20800000000000002</v>
      </c>
      <c r="AV41" s="26">
        <f t="shared" si="521"/>
        <v>-0.32999999999999924</v>
      </c>
      <c r="AW41" s="26">
        <f t="shared" si="521"/>
        <v>-0.53499999999999948</v>
      </c>
      <c r="AX41" s="26">
        <f t="shared" si="521"/>
        <v>-4.6769999999999996</v>
      </c>
      <c r="AY41" s="26">
        <f t="shared" si="521"/>
        <v>-0.27700000000000002</v>
      </c>
      <c r="AZ41" s="26">
        <f t="shared" si="521"/>
        <v>-0.21699999999999942</v>
      </c>
      <c r="BA41" s="26">
        <f t="shared" si="521"/>
        <v>-3.1570000000000018</v>
      </c>
      <c r="BB41" s="26">
        <f t="shared" si="521"/>
        <v>5.5511151231257827E-17</v>
      </c>
      <c r="BC41" s="26">
        <f t="shared" si="521"/>
        <v>-0.42499999999999999</v>
      </c>
      <c r="BD41" s="26">
        <f t="shared" si="521"/>
        <v>1.9000000000000461E-2</v>
      </c>
      <c r="BE41" s="26">
        <f t="shared" si="521"/>
        <v>0.24000000000000193</v>
      </c>
      <c r="BF41" s="26">
        <f t="shared" si="521"/>
        <v>-5.7759999999999927</v>
      </c>
      <c r="BG41" s="26">
        <f t="shared" si="521"/>
        <v>-0.44199999999999995</v>
      </c>
      <c r="BH41" s="26">
        <f t="shared" si="521"/>
        <v>-3.3460000000000001</v>
      </c>
      <c r="BI41" s="26">
        <f t="shared" si="521"/>
        <v>-1.3450000000000011</v>
      </c>
      <c r="BJ41" s="26">
        <f t="shared" si="521"/>
        <v>-2.9029999999999996</v>
      </c>
      <c r="BK41" s="26">
        <f t="shared" si="521"/>
        <v>-0.442</v>
      </c>
      <c r="BL41" s="26">
        <f t="shared" si="521"/>
        <v>-0.4</v>
      </c>
      <c r="BM41" s="26">
        <f t="shared" si="521"/>
        <v>-0.41700000000000004</v>
      </c>
      <c r="BN41" s="26">
        <f t="shared" si="521"/>
        <v>0.43099999999999994</v>
      </c>
      <c r="BO41" s="26">
        <f t="shared" si="521"/>
        <v>-0.29599999999999999</v>
      </c>
      <c r="BP41" s="26">
        <f t="shared" si="521"/>
        <v>-0.27399999999999997</v>
      </c>
      <c r="BQ41" s="26">
        <f t="shared" si="521"/>
        <v>0.82600000000000007</v>
      </c>
      <c r="BR41" s="26">
        <f t="shared" si="521"/>
        <v>-0.496</v>
      </c>
      <c r="BS41" s="26">
        <f t="shared" si="521"/>
        <v>-1.7140000000000004</v>
      </c>
      <c r="BT41" s="26">
        <f t="shared" si="521"/>
        <v>1.5940000000000005</v>
      </c>
      <c r="BU41" s="26">
        <f t="shared" si="521"/>
        <v>3.4900000000000007</v>
      </c>
      <c r="BV41" s="26">
        <f t="shared" si="521"/>
        <v>151.60499999999999</v>
      </c>
      <c r="BW41" s="26">
        <f t="shared" si="521"/>
        <v>7.6120000000000037</v>
      </c>
      <c r="BX41" s="26">
        <f t="shared" si="521"/>
        <v>15.646999999999998</v>
      </c>
      <c r="BY41" s="26">
        <f t="shared" si="521"/>
        <v>14.039999999999985</v>
      </c>
      <c r="BZ41" s="26">
        <f t="shared" si="521"/>
        <v>10.230000000000008</v>
      </c>
      <c r="CA41" s="26">
        <f t="shared" si="521"/>
        <v>15.186000000000011</v>
      </c>
      <c r="CB41" s="26">
        <f t="shared" si="521"/>
        <v>31.58100000000001</v>
      </c>
      <c r="CC41" s="26">
        <f t="shared" si="521"/>
        <v>75.278000000000048</v>
      </c>
      <c r="CD41" s="26">
        <f t="shared" si="521"/>
        <v>52.754000000000012</v>
      </c>
      <c r="CE41" s="26">
        <f t="shared" ref="CE41:CF41" si="522">CE38-CE39</f>
        <v>17.180000000000003</v>
      </c>
      <c r="CF41" s="26">
        <f t="shared" si="522"/>
        <v>40.58</v>
      </c>
      <c r="CG41" s="26">
        <f t="shared" ref="CG41:CH41" si="523">CG38-CG39</f>
        <v>41.32</v>
      </c>
      <c r="CH41" s="26">
        <f t="shared" si="523"/>
        <v>27.22999999999999</v>
      </c>
      <c r="CI41" s="26">
        <f t="shared" ref="CI41:CJ41" si="524">CI38-CI39</f>
        <v>235.34000000000003</v>
      </c>
      <c r="CJ41" s="26">
        <f t="shared" si="524"/>
        <v>51.379999999999988</v>
      </c>
      <c r="CK41" s="26">
        <f t="shared" ref="CK41:CL41" si="525">CK38-CK39</f>
        <v>28.1</v>
      </c>
      <c r="CL41" s="26">
        <f t="shared" si="525"/>
        <v>63.800000000000026</v>
      </c>
      <c r="CM41" s="27">
        <f t="shared" ref="CM41:DB41" si="526">CM38-CM39</f>
        <v>43.58467527895553</v>
      </c>
      <c r="CN41" s="27">
        <f t="shared" si="526"/>
        <v>147.89587316718971</v>
      </c>
      <c r="CO41" s="27">
        <f t="shared" si="526"/>
        <v>124.39220613176082</v>
      </c>
      <c r="CP41" s="27">
        <f t="shared" si="526"/>
        <v>197.39881382049106</v>
      </c>
      <c r="CQ41" s="27">
        <f t="shared" si="526"/>
        <v>53.755272579375173</v>
      </c>
      <c r="CR41" s="27">
        <f t="shared" si="526"/>
        <v>186.01222286231558</v>
      </c>
      <c r="CS41" s="27">
        <f t="shared" si="526"/>
        <v>164.65087925475669</v>
      </c>
      <c r="CT41" s="27">
        <f t="shared" si="526"/>
        <v>254.80962636304264</v>
      </c>
      <c r="CU41" s="27">
        <f t="shared" si="526"/>
        <v>78.256316692516123</v>
      </c>
      <c r="CV41" s="27">
        <f t="shared" si="526"/>
        <v>241.58374417617597</v>
      </c>
      <c r="CW41" s="27">
        <f t="shared" si="526"/>
        <v>218.81613846025471</v>
      </c>
      <c r="CX41" s="27">
        <f t="shared" si="526"/>
        <v>329.93243164520379</v>
      </c>
      <c r="CY41" s="27">
        <f t="shared" si="526"/>
        <v>118.35861101154501</v>
      </c>
      <c r="CZ41" s="27">
        <f t="shared" si="526"/>
        <v>319.50840871122045</v>
      </c>
      <c r="DA41" s="27">
        <f t="shared" si="526"/>
        <v>295.46322996143806</v>
      </c>
      <c r="DB41" s="27">
        <f t="shared" si="526"/>
        <v>433.67573353699959</v>
      </c>
      <c r="DE41" s="121"/>
      <c r="DF41" s="26">
        <v>-61.386220169686581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>
        <f t="shared" si="528"/>
        <v>-0.3505350923699132</v>
      </c>
      <c r="H42" s="45">
        <f t="shared" si="528"/>
        <v>1.1444850836538227E-4</v>
      </c>
      <c r="I42" s="45">
        <f t="shared" si="528"/>
        <v>1.669730329694081E-4</v>
      </c>
      <c r="J42" s="45">
        <f t="shared" si="528"/>
        <v>2.6550823984005745E-4</v>
      </c>
      <c r="K42" s="45">
        <f t="shared" si="528"/>
        <v>3.4977802657437623E-3</v>
      </c>
      <c r="L42" s="45">
        <f t="shared" si="528"/>
        <v>-4.8335180352482021E-3</v>
      </c>
      <c r="M42" s="45">
        <f t="shared" si="528"/>
        <v>1.1913062637936343E-3</v>
      </c>
      <c r="N42" s="45">
        <f t="shared" si="528"/>
        <v>1.7543121269363329E-2</v>
      </c>
      <c r="O42" s="45" t="e">
        <f t="shared" si="528"/>
        <v>#DIV/0!</v>
      </c>
      <c r="P42" s="45">
        <f t="shared" si="528"/>
        <v>1.3869325452416216E-3</v>
      </c>
      <c r="Q42" s="45">
        <f t="shared" si="528"/>
        <v>-4.0414821575020868E-2</v>
      </c>
      <c r="R42" s="45">
        <f t="shared" si="528"/>
        <v>-7.7049428816319557E-2</v>
      </c>
      <c r="S42" s="45">
        <f t="shared" si="528"/>
        <v>-2.4472597824895925E-2</v>
      </c>
      <c r="T42" s="45">
        <f t="shared" si="528"/>
        <v>-0.55122814478458593</v>
      </c>
      <c r="U42" s="45">
        <f t="shared" si="528"/>
        <v>-1.4584945480126623</v>
      </c>
      <c r="V42" s="45">
        <f t="shared" si="528"/>
        <v>-0.29780096906447989</v>
      </c>
      <c r="W42" s="45">
        <f t="shared" si="528"/>
        <v>3.240438518171572</v>
      </c>
      <c r="X42" s="45">
        <f t="shared" si="528"/>
        <v>0.12497771490327333</v>
      </c>
      <c r="Y42" s="45">
        <f t="shared" si="528"/>
        <v>0.18237936040475883</v>
      </c>
      <c r="Z42" s="45">
        <f t="shared" ref="Z42:AA42" si="529">+Z41/Z10</f>
        <v>8.4869212317491866E-2</v>
      </c>
      <c r="AA42" s="45">
        <f t="shared" si="529"/>
        <v>0.21557943164283797</v>
      </c>
      <c r="AB42" s="48">
        <f t="shared" si="528"/>
        <v>0.24254480603683581</v>
      </c>
      <c r="AC42" s="48">
        <f t="shared" si="528"/>
        <v>0.25764896329582382</v>
      </c>
      <c r="AD42" s="48">
        <f t="shared" si="528"/>
        <v>0.28046547654559634</v>
      </c>
      <c r="AE42" s="48">
        <f t="shared" si="528"/>
        <v>0.31124098610204709</v>
      </c>
      <c r="AI42" s="45">
        <f t="shared" ref="AI42:BN42" si="530">+AI41/AI10</f>
        <v>2.0734303822539189E-2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>
        <f t="shared" si="530"/>
        <v>7.3861478073693251E-3</v>
      </c>
      <c r="AT42" s="45">
        <f t="shared" si="530"/>
        <v>-6.6810947858898892E-4</v>
      </c>
      <c r="AU42" s="45" t="e">
        <f t="shared" si="530"/>
        <v>#DIV/0!</v>
      </c>
      <c r="AV42" s="45">
        <f t="shared" si="530"/>
        <v>-3.0654900139340382E-2</v>
      </c>
      <c r="AW42" s="45">
        <f t="shared" si="530"/>
        <v>-4.1676404144270429E-2</v>
      </c>
      <c r="AX42" s="45">
        <f t="shared" si="530"/>
        <v>-4.3165268433147823E-2</v>
      </c>
      <c r="AY42" s="45" t="e">
        <f t="shared" si="530"/>
        <v>#DIV/0!</v>
      </c>
      <c r="AZ42" s="45">
        <f t="shared" si="530"/>
        <v>-2.0917678812415599E-2</v>
      </c>
      <c r="BA42" s="45">
        <f t="shared" si="530"/>
        <v>-0.14975570418860595</v>
      </c>
      <c r="BB42" s="45">
        <f t="shared" si="530"/>
        <v>3.4921459003056007E-18</v>
      </c>
      <c r="BC42" s="45" t="e">
        <f t="shared" si="530"/>
        <v>#DIV/0!</v>
      </c>
      <c r="BD42" s="45">
        <f t="shared" si="530"/>
        <v>6.2117893222612421E-4</v>
      </c>
      <c r="BE42" s="45">
        <f t="shared" si="530"/>
        <v>2.1938644923032097E-3</v>
      </c>
      <c r="BF42" s="45">
        <f t="shared" si="530"/>
        <v>-5.6196063551365423E-2</v>
      </c>
      <c r="BG42" s="45" t="e">
        <f t="shared" si="530"/>
        <v>#DIV/0!</v>
      </c>
      <c r="BH42" s="45" t="e">
        <f t="shared" si="530"/>
        <v>#DIV/0!</v>
      </c>
      <c r="BI42" s="45">
        <f t="shared" si="530"/>
        <v>-0.11109275625671108</v>
      </c>
      <c r="BJ42" s="45">
        <f t="shared" si="530"/>
        <v>-1.1743527508090614</v>
      </c>
      <c r="BK42" s="45" t="e">
        <f t="shared" si="530"/>
        <v>#DIV/0!</v>
      </c>
      <c r="BL42" s="45" t="e">
        <f t="shared" si="530"/>
        <v>#DIV/0!</v>
      </c>
      <c r="BM42" s="45" t="e">
        <f t="shared" si="530"/>
        <v>#DIV/0!</v>
      </c>
      <c r="BN42" s="45">
        <f t="shared" si="530"/>
        <v>0.75746924428822493</v>
      </c>
      <c r="BO42" s="45" t="e">
        <f t="shared" ref="BO42:CT42" si="531">+BO41/BO10</f>
        <v>#DIV/0!</v>
      </c>
      <c r="BP42" s="45" t="e">
        <f t="shared" si="531"/>
        <v>#DIV/0!</v>
      </c>
      <c r="BQ42" s="45" t="e">
        <f t="shared" si="531"/>
        <v>#DIV/0!</v>
      </c>
      <c r="BR42" s="45">
        <f t="shared" si="531"/>
        <v>-0.61614906832298133</v>
      </c>
      <c r="BS42" s="45">
        <f t="shared" si="531"/>
        <v>-0.91805034815211595</v>
      </c>
      <c r="BT42" s="45">
        <f t="shared" si="531"/>
        <v>0.21642905634759002</v>
      </c>
      <c r="BU42" s="45">
        <f t="shared" si="531"/>
        <v>0.18096966554316829</v>
      </c>
      <c r="BV42" s="45">
        <f t="shared" si="531"/>
        <v>7.8523333505982285</v>
      </c>
      <c r="BW42" s="45">
        <f t="shared" si="531"/>
        <v>0.14992810856591368</v>
      </c>
      <c r="BX42" s="45">
        <f t="shared" si="531"/>
        <v>0.52897227856659901</v>
      </c>
      <c r="BY42" s="45">
        <f t="shared" si="531"/>
        <v>0.24037391497885574</v>
      </c>
      <c r="BZ42" s="45">
        <f t="shared" si="531"/>
        <v>4.2353408766286224E-2</v>
      </c>
      <c r="CA42" s="45">
        <f t="shared" si="531"/>
        <v>0.10039865923560569</v>
      </c>
      <c r="CB42" s="45">
        <f t="shared" si="531"/>
        <v>0.21149879453522644</v>
      </c>
      <c r="CC42" s="45">
        <f t="shared" si="531"/>
        <v>0.2322262600336874</v>
      </c>
      <c r="CD42" s="45">
        <f t="shared" si="531"/>
        <v>0.15808715560589992</v>
      </c>
      <c r="CE42" s="45">
        <f t="shared" si="531"/>
        <v>5.3159230150380599E-2</v>
      </c>
      <c r="CF42" s="45">
        <f t="shared" si="531"/>
        <v>0.10527135000518832</v>
      </c>
      <c r="CG42" s="45">
        <f t="shared" si="531"/>
        <v>0.14233551498449878</v>
      </c>
      <c r="CH42" s="45">
        <f t="shared" si="531"/>
        <v>5.5648655276710514E-2</v>
      </c>
      <c r="CI42" s="45">
        <f t="shared" ref="CI42:CJ42" si="532">+CI41/CI10</f>
        <v>0.71121184647929903</v>
      </c>
      <c r="CJ42" s="45">
        <f t="shared" si="532"/>
        <v>0.12637430208820127</v>
      </c>
      <c r="CK42" s="45">
        <f t="shared" ref="CK42:CL42" si="533">+CK41/CK10</f>
        <v>9.3923390600976001E-2</v>
      </c>
      <c r="CL42" s="45">
        <f t="shared" si="533"/>
        <v>8.8655438830526415E-2</v>
      </c>
      <c r="CM42" s="48">
        <f t="shared" si="531"/>
        <v>0.11503838576784699</v>
      </c>
      <c r="CN42" s="48">
        <f t="shared" si="531"/>
        <v>0.30952358395824181</v>
      </c>
      <c r="CO42" s="48">
        <f t="shared" si="531"/>
        <v>0.34493631321828178</v>
      </c>
      <c r="CP42" s="48">
        <f t="shared" si="531"/>
        <v>0.21960515629739807</v>
      </c>
      <c r="CQ42" s="48">
        <f t="shared" si="531"/>
        <v>0.1188633665229763</v>
      </c>
      <c r="CR42" s="48">
        <f t="shared" si="531"/>
        <v>0.32284237672389993</v>
      </c>
      <c r="CS42" s="48">
        <f t="shared" si="531"/>
        <v>0.37624869651482695</v>
      </c>
      <c r="CT42" s="48">
        <f t="shared" si="531"/>
        <v>0.23321355851224559</v>
      </c>
      <c r="CU42" s="48">
        <f t="shared" ref="CU42:DB42" si="534">+CU41/CU10</f>
        <v>0.14334878564490303</v>
      </c>
      <c r="CV42" s="48">
        <f t="shared" si="534"/>
        <v>0.3463820040430628</v>
      </c>
      <c r="CW42" s="48">
        <f t="shared" si="534"/>
        <v>0.41267832831979118</v>
      </c>
      <c r="CX42" s="48">
        <f t="shared" si="534"/>
        <v>0.24931507025122332</v>
      </c>
      <c r="CY42" s="48">
        <f t="shared" si="534"/>
        <v>0.17916257328255022</v>
      </c>
      <c r="CZ42" s="48">
        <f t="shared" si="534"/>
        <v>0.3783331760582378</v>
      </c>
      <c r="DA42" s="48">
        <f t="shared" si="534"/>
        <v>0.46015778351472242</v>
      </c>
      <c r="DB42" s="48">
        <f t="shared" si="534"/>
        <v>0.27065876714168735</v>
      </c>
      <c r="DE42" s="129"/>
      <c r="DF42" s="45">
        <v>-0.10967169477889364</v>
      </c>
    </row>
    <row r="43" spans="1:110" s="39" customFormat="1" x14ac:dyDescent="0.2">
      <c r="A43" s="39" t="s">
        <v>451</v>
      </c>
      <c r="C43" s="39">
        <f t="shared" ref="C43:E43" si="535">+IF(B41&lt;0,1-C41/B41,C41/B41-1)</f>
        <v>0.9921000338877648</v>
      </c>
      <c r="D43" s="39">
        <f t="shared" si="535"/>
        <v>0.62274604357652386</v>
      </c>
      <c r="E43" s="39">
        <f t="shared" si="535"/>
        <v>-66.295401738798844</v>
      </c>
      <c r="F43" s="39">
        <f t="shared" ref="F43:AE43" si="536">+IF(E41&lt;0,1-F41/E41,F41/E41-1)</f>
        <v>0.71252838597264467</v>
      </c>
      <c r="G43" s="39">
        <f t="shared" si="536"/>
        <v>-1.2378826045169178</v>
      </c>
      <c r="H43" s="39">
        <f t="shared" si="536"/>
        <v>1.0006671231615738</v>
      </c>
      <c r="I43" s="39">
        <f t="shared" si="536"/>
        <v>3.8564689276036628</v>
      </c>
      <c r="J43" s="39">
        <f t="shared" si="536"/>
        <v>0.88799316317542032</v>
      </c>
      <c r="K43" s="39">
        <f t="shared" si="536"/>
        <v>14.103091586179387</v>
      </c>
      <c r="L43" s="39">
        <f t="shared" si="536"/>
        <v>-3.7418883841662023</v>
      </c>
      <c r="M43" s="39">
        <f t="shared" si="536"/>
        <v>1.3499792911661965</v>
      </c>
      <c r="N43" s="39">
        <f t="shared" si="536"/>
        <v>0.19797125950975603</v>
      </c>
      <c r="O43" s="39">
        <f t="shared" si="536"/>
        <v>-0.46801411233417767</v>
      </c>
      <c r="P43" s="39">
        <f t="shared" si="536"/>
        <v>-0.45991818342915436</v>
      </c>
      <c r="Q43" s="39">
        <f t="shared" si="536"/>
        <v>-14.0969205329977</v>
      </c>
      <c r="R43" s="39">
        <f t="shared" si="536"/>
        <v>0.31586701974314557</v>
      </c>
      <c r="S43" s="39">
        <f t="shared" si="536"/>
        <v>-0.6284196408168532</v>
      </c>
      <c r="T43" s="39">
        <f t="shared" si="536"/>
        <v>-0.35266196495598723</v>
      </c>
      <c r="U43" s="39">
        <f t="shared" si="536"/>
        <v>0.89680574393688639</v>
      </c>
      <c r="V43" s="39">
        <f t="shared" si="536"/>
        <v>0.71096105148920796</v>
      </c>
      <c r="W43" s="39">
        <f t="shared" si="536"/>
        <v>647.5289945765544</v>
      </c>
      <c r="X43" s="39">
        <f t="shared" si="536"/>
        <v>-0.69330851180528252</v>
      </c>
      <c r="Y43" s="39">
        <f t="shared" si="536"/>
        <v>2.6777455400819337</v>
      </c>
      <c r="Z43" s="39">
        <f t="shared" ref="Z43:AA43" si="537">+IF(Y41&lt;0,1-Z41/Y41,Z41/Y41-1)</f>
        <v>-0.27739943889903407</v>
      </c>
      <c r="AA43" s="39">
        <f t="shared" si="537"/>
        <v>1.9975457208455385</v>
      </c>
      <c r="AB43" s="40">
        <f t="shared" si="536"/>
        <v>0.35563775922665797</v>
      </c>
      <c r="AC43" s="40">
        <f t="shared" si="536"/>
        <v>0.28436492813450132</v>
      </c>
      <c r="AD43" s="40">
        <f t="shared" si="536"/>
        <v>0.31758455280750009</v>
      </c>
      <c r="AE43" s="40">
        <f t="shared" si="536"/>
        <v>0.34356580503749812</v>
      </c>
      <c r="AM43" s="39">
        <f>+IF(AI41&lt;0,1-AM41/AI41,AM41/AI41-1)</f>
        <v>-7.5773134328357976</v>
      </c>
      <c r="AN43" s="39">
        <f t="shared" ref="AN43" si="538">+IF(AJ41&lt;0,1-AN41/AJ41,AN41/AJ41-1)</f>
        <v>-4.8541666666666661</v>
      </c>
      <c r="AO43" s="39">
        <f t="shared" ref="AO43" si="539">+IF(AK41&lt;0,1-AO41/AK41,AO41/AK41-1)</f>
        <v>0.29971181556195958</v>
      </c>
      <c r="AP43" s="39">
        <f t="shared" ref="AP43" si="540">+IF(AL41&lt;0,1-AP41/AL41,AP41/AL41-1)</f>
        <v>1769.9999999999984</v>
      </c>
      <c r="AQ43" s="39">
        <f t="shared" ref="AQ43" si="541">+IF(AM41&lt;0,1-AQ41/AM41,AQ41/AM41-1)</f>
        <v>0.98093854951438686</v>
      </c>
      <c r="AR43" s="39">
        <f t="shared" ref="AR43" si="542">+IF(AN41&lt;0,1-AR41/AN41,AR41/AN41-1)</f>
        <v>0.6216216216216216</v>
      </c>
      <c r="AS43" s="39">
        <f t="shared" ref="AS43" si="543">+IF(AO41&lt;0,1-AS41/AO41,AS41/AO41-1)</f>
        <v>4.6008230452675196</v>
      </c>
      <c r="AT43" s="39">
        <f t="shared" ref="AT43" si="544">+IF(AP41&lt;0,1-AT41/AP41,AT41/AP41-1)</f>
        <v>-1.0094484373738175</v>
      </c>
      <c r="AU43" s="39">
        <f t="shared" ref="AU43" si="545">+IF(AQ41&lt;0,1-AU41/AQ41,AU41/AQ41-1)</f>
        <v>1.9904761904761905</v>
      </c>
      <c r="AV43" s="39">
        <f t="shared" ref="AV43" si="546">+IF(AR41&lt;0,1-AV41/AR41,AV41/AR41-1)</f>
        <v>-1.3571428571428514</v>
      </c>
      <c r="AW43" s="39">
        <f t="shared" ref="AW43" si="547">+IF(AS41&lt;0,1-AW41/AS41,AW41/AS41-1)</f>
        <v>-1.6114285714285659</v>
      </c>
      <c r="AX43" s="39">
        <f t="shared" ref="AX43" si="548">+IF(AT41&lt;0,1-AX41/AT41,AX41/AT41-1)</f>
        <v>-38.974358974365011</v>
      </c>
      <c r="AY43" s="39">
        <f t="shared" ref="AY43" si="549">+IF(AU41&lt;0,1-AY41/AU41,AY41/AU41-1)</f>
        <v>-2.3317307692307692</v>
      </c>
      <c r="AZ43" s="39">
        <f t="shared" ref="AZ43" si="550">+IF(AV41&lt;0,1-AZ41/AV41,AZ41/AV41-1)</f>
        <v>0.34242424242424263</v>
      </c>
      <c r="BA43" s="39">
        <f t="shared" ref="BA43" si="551">+IF(AW41&lt;0,1-BA41/AW41,BA41/AW41-1)</f>
        <v>-4.9009345794392614</v>
      </c>
      <c r="BB43" s="39">
        <f t="shared" ref="BB43" si="552">+IF(AX41&lt;0,1-BB41/AX41,BB41/AX41-1)</f>
        <v>1</v>
      </c>
      <c r="BC43" s="39">
        <f t="shared" ref="BC43" si="553">+IF(AY41&lt;0,1-BC41/AY41,BC41/AY41-1)</f>
        <v>-0.53429602888086625</v>
      </c>
      <c r="BD43" s="39">
        <f t="shared" ref="BD43" si="554">+IF(AZ41&lt;0,1-BD41/AZ41,BD41/AZ41-1)</f>
        <v>1.0875576036866383</v>
      </c>
      <c r="BE43" s="39">
        <f t="shared" ref="BE43" si="555">+IF(BA41&lt;0,1-BE41/BA41,BE41/BA41-1)</f>
        <v>1.0760215394361741</v>
      </c>
      <c r="BF43" s="39">
        <f t="shared" ref="BF43" si="556">+IF(BB41&lt;0,1-BF41/BB41,BF41/BB41-1)</f>
        <v>-1.0405116579076781E+17</v>
      </c>
      <c r="BG43" s="39">
        <f t="shared" ref="BG43" si="557">+IF(BC41&lt;0,1-BG41/BC41,BG41/BC41-1)</f>
        <v>-3.9999999999999813E-2</v>
      </c>
      <c r="BH43" s="39">
        <f t="shared" ref="BH43" si="558">+IF(BD41&lt;0,1-BH41/BD41,BH41/BD41-1)</f>
        <v>-177.10526315789048</v>
      </c>
      <c r="BI43" s="39">
        <f t="shared" ref="BI43" si="559">+IF(BE41&lt;0,1-BI41/BE41,BI41/BE41-1)</f>
        <v>-6.6041666666666261</v>
      </c>
      <c r="BJ43" s="39">
        <f t="shared" ref="BJ43" si="560">+IF(BF41&lt;0,1-BJ41/BF41,BJ41/BF41-1)</f>
        <v>0.49740304709141214</v>
      </c>
      <c r="BK43" s="39">
        <f t="shared" ref="BK43" si="561">+IF(BG41&lt;0,1-BK41/BG41,BK41/BG41-1)</f>
        <v>-2.2204460492503131E-16</v>
      </c>
      <c r="BL43" s="39">
        <f t="shared" ref="BL43" si="562">+IF(BH41&lt;0,1-BL41/BH41,BL41/BH41-1)</f>
        <v>0.88045427375971308</v>
      </c>
      <c r="BM43" s="39">
        <f t="shared" ref="BM43" si="563">+IF(BI41&lt;0,1-BM41/BI41,BM41/BI41-1)</f>
        <v>0.68996282527881059</v>
      </c>
      <c r="BN43" s="39">
        <f t="shared" ref="BN43" si="564">+IF(BJ41&lt;0,1-BN41/BJ41,BN41/BJ41-1)</f>
        <v>1.1484671029968998</v>
      </c>
      <c r="BO43" s="39">
        <f t="shared" ref="BO43" si="565">+IF(BK41&lt;0,1-BO41/BK41,BO41/BK41-1)</f>
        <v>0.33031674208144801</v>
      </c>
      <c r="BP43" s="39">
        <f t="shared" ref="BP43" si="566">+IF(BL41&lt;0,1-BP41/BL41,BP41/BL41-1)</f>
        <v>0.31500000000000017</v>
      </c>
      <c r="BQ43" s="39">
        <f t="shared" ref="BQ43" si="567">+IF(BM41&lt;0,1-BQ41/BM41,BQ41/BM41-1)</f>
        <v>2.9808153477218227</v>
      </c>
      <c r="BR43" s="39">
        <f t="shared" ref="BR43" si="568">+IF(BN41&lt;0,1-BR41/BN41,BR41/BN41-1)</f>
        <v>-2.1508120649651974</v>
      </c>
      <c r="BS43" s="39">
        <f t="shared" ref="BS43" si="569">+IF(BO41&lt;0,1-BS41/BO41,BS41/BO41-1)</f>
        <v>-4.7905405405405421</v>
      </c>
      <c r="BT43" s="39">
        <f t="shared" ref="BT43" si="570">+IF(BP41&lt;0,1-BT41/BP41,BT41/BP41-1)</f>
        <v>6.817518248175185</v>
      </c>
      <c r="BU43" s="39">
        <f t="shared" ref="BU43" si="571">+IF(BQ41&lt;0,1-BU41/BQ41,BU41/BQ41-1)</f>
        <v>3.2251815980629548</v>
      </c>
      <c r="BV43" s="39">
        <f t="shared" ref="BV43" si="572">+IF(BR41&lt;0,1-BV41/BR41,BV41/BR41-1)</f>
        <v>306.65524193548384</v>
      </c>
      <c r="BW43" s="39">
        <f t="shared" ref="BW43" si="573">+IF(BS41&lt;0,1-BW41/BS41,BW41/BS41-1)</f>
        <v>5.4410735122520428</v>
      </c>
      <c r="BX43" s="39">
        <f t="shared" ref="BX43" si="574">+IF(BT41&lt;0,1-BX41/BT41,BX41/BT41-1)</f>
        <v>8.8161856963613516</v>
      </c>
      <c r="BY43" s="39">
        <f t="shared" ref="BY43" si="575">+IF(BU41&lt;0,1-BY41/BU41,BY41/BU41-1)</f>
        <v>3.0229226361031465</v>
      </c>
      <c r="BZ43" s="39">
        <f t="shared" ref="BZ43" si="576">+IF(BV41&lt;0,1-BZ41/BV41,BZ41/BV41-1)</f>
        <v>-0.93252201444543381</v>
      </c>
      <c r="CA43" s="39">
        <f t="shared" ref="CA43" si="577">+IF(BW41&lt;0,1-CA41/BW41,CA41/BW41-1)</f>
        <v>0.99500788229111969</v>
      </c>
      <c r="CB43" s="39">
        <f t="shared" ref="CB43" si="578">+IF(BX41&lt;0,1-CB41/BX41,CB41/BX41-1)</f>
        <v>1.0183421742187009</v>
      </c>
      <c r="CC43" s="39">
        <f t="shared" ref="CC43" si="579">+IF(BY41&lt;0,1-CC41/BY41,CC41/BY41-1)</f>
        <v>4.3616809116809208</v>
      </c>
      <c r="CD43" s="39">
        <f t="shared" ref="CD43" si="580">+IF(BZ41&lt;0,1-CD41/BZ41,CD41/BZ41-1)</f>
        <v>4.1567937438905158</v>
      </c>
      <c r="CE43" s="39">
        <f t="shared" ref="CE43" si="581">+IF(CA41&lt;0,1-CE41/CA41,CE41/CA41-1)</f>
        <v>0.13130514947978345</v>
      </c>
      <c r="CF43" s="39">
        <f t="shared" ref="CF43" si="582">+IF(CB41&lt;0,1-CF41/CB41,CF41/CB41-1)</f>
        <v>0.28494981159557908</v>
      </c>
      <c r="CG43" s="39">
        <f t="shared" ref="CG43" si="583">+IF(CC41&lt;0,1-CG41/CC41,CG41/CC41-1)</f>
        <v>-0.45110125136161994</v>
      </c>
      <c r="CH43" s="39">
        <f t="shared" ref="CH43:CL43" si="584">+IF(CD41&lt;0,1-CH41/CD41,CH41/CD41-1)</f>
        <v>-0.4838306100011377</v>
      </c>
      <c r="CI43" s="39">
        <f t="shared" si="584"/>
        <v>12.698486612339929</v>
      </c>
      <c r="CJ43" s="39">
        <f t="shared" si="584"/>
        <v>0.26614095613602728</v>
      </c>
      <c r="CK43" s="39">
        <f t="shared" si="584"/>
        <v>-0.31994191674733785</v>
      </c>
      <c r="CL43" s="39">
        <f t="shared" si="584"/>
        <v>1.343004039662139</v>
      </c>
      <c r="CM43" s="40">
        <f t="shared" ref="CM43" si="585">+CM41/CI41-1</f>
        <v>-0.81480124382189378</v>
      </c>
      <c r="CN43" s="40">
        <f t="shared" ref="CN43" si="586">+CN41/CJ41-1</f>
        <v>1.8784716459164992</v>
      </c>
      <c r="CO43" s="40">
        <f t="shared" ref="CO43" si="587">+CO41/CK41-1</f>
        <v>3.4267689014861498</v>
      </c>
      <c r="CP43" s="40">
        <f t="shared" ref="CP43" si="588">+CP41/CL41-1</f>
        <v>2.0940252949920217</v>
      </c>
      <c r="CQ43" s="40">
        <f t="shared" ref="CQ43" si="589">+CQ41/CM41-1</f>
        <v>0.23335260008993175</v>
      </c>
      <c r="CR43" s="40">
        <f t="shared" ref="CR43" si="590">+CR41/CN41-1</f>
        <v>0.25772422772092529</v>
      </c>
      <c r="CS43" s="40">
        <f t="shared" ref="CS43" si="591">+CS41/CO41-1</f>
        <v>0.32364305107952185</v>
      </c>
      <c r="CT43" s="40">
        <f t="shared" ref="CT43" si="592">+CT41/CP41-1</f>
        <v>0.2908366642707354</v>
      </c>
      <c r="CU43" s="40">
        <f t="shared" ref="CU43" si="593">+CU41/CQ41-1</f>
        <v>0.45578866848759159</v>
      </c>
      <c r="CV43" s="40">
        <f t="shared" ref="CV43" si="594">+CV41/CR41-1</f>
        <v>0.2987519876852065</v>
      </c>
      <c r="CW43" s="40">
        <f t="shared" ref="CW43" si="595">+CW41/CS41-1</f>
        <v>0.32897036110988886</v>
      </c>
      <c r="CX43" s="40">
        <f t="shared" ref="CX43" si="596">+CX41/CT41-1</f>
        <v>0.29481933769303192</v>
      </c>
      <c r="CY43" s="40">
        <f t="shared" ref="CY43" si="597">+CY41/CU41-1</f>
        <v>0.51244801715621735</v>
      </c>
      <c r="CZ43" s="40">
        <f t="shared" ref="CZ43" si="598">+CZ41/CV41-1</f>
        <v>0.322557566117601</v>
      </c>
      <c r="DA43" s="40">
        <f t="shared" ref="DA43" si="599">+DA41/CW41-1</f>
        <v>0.35028079757062969</v>
      </c>
      <c r="DB43" s="40">
        <f t="shared" ref="DB43" si="600">+DB41/CX41-1</f>
        <v>0.31443802409627075</v>
      </c>
      <c r="DE43" s="122"/>
      <c r="DF43" s="39">
        <v>-3.2543599034038384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-0.94268656716417931</v>
      </c>
      <c r="AK44" s="39">
        <f t="shared" ref="AK44:AM44" si="601">+IF(AJ41&lt;0,1-AK41/AJ41,AK41/AJ41-1)</f>
        <v>-4.6145833333333321</v>
      </c>
      <c r="AL44" s="39">
        <f t="shared" si="601"/>
        <v>0.97982708933717577</v>
      </c>
      <c r="AM44" s="39">
        <f t="shared" si="601"/>
        <v>-1572.8571428571415</v>
      </c>
      <c r="AN44" s="39">
        <f t="shared" ref="AN44" si="602">+IF(AM41&lt;0,1-AN41/AM41,AN41/AM41-1)</f>
        <v>0.96641553962058635</v>
      </c>
      <c r="AO44" s="39">
        <f t="shared" ref="AO44" si="603">+IF(AN41&lt;0,1-AO41/AN41,AO41/AN41-1)</f>
        <v>0.34324324324324329</v>
      </c>
      <c r="AP44" s="39">
        <f t="shared" ref="AP44" si="604">+IF(AO41&lt;0,1-AP41/AO41,AP41/AO41-1)</f>
        <v>51.958847736625515</v>
      </c>
      <c r="AQ44" s="39">
        <f t="shared" ref="AQ44" si="605">+IF(AP41&lt;0,1-AQ41/AP41,AQ41/AP41-1)</f>
        <v>-1.0169587337478803</v>
      </c>
      <c r="AR44" s="39">
        <f t="shared" ref="AR44" si="606">+IF(AQ41&lt;0,1-AR41/AQ41,AR41/AQ41-1)</f>
        <v>0.33333333333333337</v>
      </c>
      <c r="AS44" s="39">
        <f t="shared" ref="AS44" si="607">+IF(AR41&lt;0,1-AS41/AR41,AS41/AR41-1)</f>
        <v>7.2500000000000497</v>
      </c>
      <c r="AT44" s="39">
        <f t="shared" ref="AT44" si="608">+IF(AS41&lt;0,1-AT41/AS41,AT41/AS41-1)</f>
        <v>-1.1337142857142644</v>
      </c>
      <c r="AU44" s="39">
        <f t="shared" ref="AU44" si="609">+IF(AT41&lt;0,1-AU41/AT41,AU41/AT41-1)</f>
        <v>2.7777777777780468</v>
      </c>
      <c r="AV44" s="39">
        <f t="shared" ref="AV44" si="610">+IF(AU41&lt;0,1-AV41/AU41,AV41/AU41-1)</f>
        <v>-2.5865384615384577</v>
      </c>
      <c r="AW44" s="39">
        <f t="shared" ref="AW44" si="611">+IF(AV41&lt;0,1-AW41/AV41,AW41/AV41-1)</f>
        <v>-0.62121212121212332</v>
      </c>
      <c r="AX44" s="39">
        <f t="shared" ref="AX44" si="612">+IF(AW41&lt;0,1-AX41/AW41,AX41/AW41-1)</f>
        <v>-7.7420560747663636</v>
      </c>
      <c r="AY44" s="39">
        <f t="shared" ref="AY44" si="613">+IF(AX41&lt;0,1-AY41/AX41,AY41/AX41-1)</f>
        <v>0.94077400042762449</v>
      </c>
      <c r="AZ44" s="39">
        <f t="shared" ref="AZ44" si="614">+IF(AY41&lt;0,1-AZ41/AY41,AZ41/AY41-1)</f>
        <v>0.21660649819494804</v>
      </c>
      <c r="BA44" s="39">
        <f t="shared" ref="BA44" si="615">+IF(AZ41&lt;0,1-BA41/AZ41,BA41/AZ41-1)</f>
        <v>-13.548387096774242</v>
      </c>
      <c r="BB44" s="39">
        <f t="shared" ref="BB44" si="616">+IF(BA41&lt;0,1-BB41/BA41,BB41/BA41-1)</f>
        <v>1</v>
      </c>
      <c r="BC44" s="39">
        <f t="shared" ref="BC44" si="617">+IF(BB41&lt;0,1-BC41/BB41,BC41/BB41-1)</f>
        <v>-7656119366529844</v>
      </c>
      <c r="BD44" s="39">
        <f t="shared" ref="BD44" si="618">+IF(BC41&lt;0,1-BD41/BC41,BD41/BC41-1)</f>
        <v>1.0447058823529423</v>
      </c>
      <c r="BE44" s="39">
        <f t="shared" ref="BE44" si="619">+IF(BD41&lt;0,1-BE41/BD41,BE41/BD41-1)</f>
        <v>11.631578947368217</v>
      </c>
      <c r="BF44" s="39">
        <f t="shared" ref="BF44" si="620">+IF(BE41&lt;0,1-BF41/BE41,BF41/BE41-1)</f>
        <v>-25.066666666666443</v>
      </c>
      <c r="BG44" s="39">
        <f t="shared" ref="BG44" si="621">+IF(BF41&lt;0,1-BG41/BF41,BG41/BF41-1)</f>
        <v>0.92347645429362868</v>
      </c>
      <c r="BH44" s="39">
        <f t="shared" ref="BH44" si="622">+IF(BG41&lt;0,1-BH41/BG41,BH41/BG41-1)</f>
        <v>-6.5701357466063355</v>
      </c>
      <c r="BI44" s="39">
        <f t="shared" ref="BI44" si="623">+IF(BH41&lt;0,1-BI41/BH41,BI41/BH41-1)</f>
        <v>0.59802749551703493</v>
      </c>
      <c r="BJ44" s="39">
        <f t="shared" ref="BJ44" si="624">+IF(BI41&lt;0,1-BJ41/BI41,BJ41/BI41-1)</f>
        <v>-1.1583643122676559</v>
      </c>
      <c r="BK44" s="39">
        <f t="shared" ref="BK44" si="625">+IF(BJ41&lt;0,1-BK41/BJ41,BK41/BJ41-1)</f>
        <v>0.84774371339993104</v>
      </c>
      <c r="BL44" s="39">
        <f t="shared" ref="BL44" si="626">+IF(BK41&lt;0,1-BL41/BK41,BL41/BK41-1)</f>
        <v>9.5022624434389136E-2</v>
      </c>
      <c r="BM44" s="39">
        <f t="shared" ref="BM44" si="627">+IF(BL41&lt;0,1-BM41/BL41,BM41/BL41-1)</f>
        <v>-4.2499999999999982E-2</v>
      </c>
      <c r="BN44" s="39">
        <f t="shared" ref="BN44" si="628">+IF(BM41&lt;0,1-BN41/BM41,BN41/BM41-1)</f>
        <v>2.0335731414868103</v>
      </c>
      <c r="BO44" s="39">
        <f t="shared" ref="BO44" si="629">+IF(BN41&lt;0,1-BO41/BN41,BO41/BN41-1)</f>
        <v>-1.6867749419953597</v>
      </c>
      <c r="BP44" s="39">
        <f t="shared" ref="BP44" si="630">+IF(BO41&lt;0,1-BP41/BO41,BP41/BO41-1)</f>
        <v>7.4324324324324342E-2</v>
      </c>
      <c r="BQ44" s="39">
        <f t="shared" ref="BQ44" si="631">+IF(BP41&lt;0,1-BQ41/BP41,BQ41/BP41-1)</f>
        <v>4.014598540145986</v>
      </c>
      <c r="BR44" s="39">
        <f t="shared" ref="BR44" si="632">+IF(BQ41&lt;0,1-BR41/BQ41,BR41/BQ41-1)</f>
        <v>-1.6004842615012107</v>
      </c>
      <c r="BS44" s="39">
        <f t="shared" ref="BS44" si="633">+IF(BR41&lt;0,1-BS41/BR41,BS41/BR41-1)</f>
        <v>-2.4556451612903234</v>
      </c>
      <c r="BT44" s="39">
        <f t="shared" ref="BT44" si="634">+IF(BS41&lt;0,1-BT41/BS41,BT41/BS41-1)</f>
        <v>1.9299883313885648</v>
      </c>
      <c r="BU44" s="39">
        <f t="shared" ref="BU44" si="635">+IF(BT41&lt;0,1-BU41/BT41,BU41/BT41-1)</f>
        <v>1.1894604767879544</v>
      </c>
      <c r="BV44" s="39">
        <f t="shared" ref="BV44" si="636">+IF(BU41&lt;0,1-BV41/BU41,BV41/BU41-1)</f>
        <v>42.439828080229212</v>
      </c>
      <c r="BW44" s="39">
        <f t="shared" ref="BW44" si="637">+IF(BV41&lt;0,1-BW41/BV41,BW41/BV41-1)</f>
        <v>-0.94979057418950563</v>
      </c>
      <c r="BX44" s="39">
        <f t="shared" ref="BX44" si="638">+IF(BW41&lt;0,1-BX41/BW41,BX41/BW41-1)</f>
        <v>1.0555701523909606</v>
      </c>
      <c r="BY44" s="39">
        <f t="shared" ref="BY44" si="639">+IF(BX41&lt;0,1-BY41/BX41,BY41/BX41-1)</f>
        <v>-0.10270339362178138</v>
      </c>
      <c r="BZ44" s="39">
        <f t="shared" ref="BZ44" si="640">+IF(BY41&lt;0,1-BZ41/BY41,BZ41/BY41-1)</f>
        <v>-0.27136752136752007</v>
      </c>
      <c r="CA44" s="39">
        <f t="shared" ref="CA44" si="641">+IF(BZ41&lt;0,1-CA41/BZ41,CA41/BZ41-1)</f>
        <v>0.48445747800586503</v>
      </c>
      <c r="CB44" s="39">
        <f t="shared" ref="CB44" si="642">+IF(CA41&lt;0,1-CB41/CA41,CB41/CA41-1)</f>
        <v>1.0796128012643216</v>
      </c>
      <c r="CC44" s="39">
        <f t="shared" ref="CC44" si="643">+IF(CB41&lt;0,1-CC41/CB41,CC41/CB41-1)</f>
        <v>1.3836483961875818</v>
      </c>
      <c r="CD44" s="39">
        <f t="shared" ref="CD44" si="644">+IF(CC41&lt;0,1-CD41/CC41,CD41/CC41-1)</f>
        <v>-0.29921092483859857</v>
      </c>
      <c r="CE44" s="39">
        <f t="shared" ref="CE44" si="645">+IF(CD41&lt;0,1-CE41/CD41,CE41/CD41-1)</f>
        <v>-0.67433749099594342</v>
      </c>
      <c r="CF44" s="39">
        <f t="shared" ref="CF44" si="646">+IF(CE41&lt;0,1-CF41/CE41,CF41/CE41-1)</f>
        <v>1.3620488940628634</v>
      </c>
      <c r="CG44" s="39">
        <f t="shared" ref="CG44" si="647">+IF(CF41&lt;0,1-CG41/CF41,CG41/CF41-1)</f>
        <v>1.8235584031542684E-2</v>
      </c>
      <c r="CH44" s="39">
        <f t="shared" ref="CH44:CL44" si="648">+IF(CG41&lt;0,1-CH41/CG41,CH41/CG41-1)</f>
        <v>-0.34099709583736715</v>
      </c>
      <c r="CI44" s="39">
        <f t="shared" si="648"/>
        <v>7.6426735218509041</v>
      </c>
      <c r="CJ44" s="39">
        <f t="shared" si="648"/>
        <v>-0.78167757287328976</v>
      </c>
      <c r="CK44" s="39">
        <f t="shared" si="648"/>
        <v>-0.45309458933437119</v>
      </c>
      <c r="CL44" s="39">
        <f t="shared" si="648"/>
        <v>1.2704626334519582</v>
      </c>
      <c r="CM44" s="40">
        <f t="shared" ref="CM44" si="649">+CM41/CL41-1</f>
        <v>-0.31685461945210791</v>
      </c>
      <c r="CN44" s="40">
        <f t="shared" ref="CN44" si="650">+CN41/CM41-1</f>
        <v>2.3932998747979637</v>
      </c>
      <c r="CO44" s="40">
        <f t="shared" ref="CO44" si="651">+CO41/CN41-1</f>
        <v>-0.1589203710157554</v>
      </c>
      <c r="CP44" s="40">
        <f t="shared" ref="CP44" si="652">+CP41/CO41-1</f>
        <v>0.58690660740753287</v>
      </c>
      <c r="CQ44" s="40">
        <f t="shared" ref="CQ44" si="653">+CQ41/CP41-1</f>
        <v>-0.72768188653727828</v>
      </c>
      <c r="CR44" s="40">
        <f t="shared" ref="CR44" si="654">+CR41/CQ41-1</f>
        <v>2.460353076763762</v>
      </c>
      <c r="CS44" s="40">
        <f t="shared" ref="CS44" si="655">+CS41/CR41-1</f>
        <v>-0.11483838684821457</v>
      </c>
      <c r="CT44" s="40">
        <f t="shared" ref="CT44" si="656">+CT41/CS41-1</f>
        <v>0.54757525448004141</v>
      </c>
      <c r="CU44" s="40">
        <f t="shared" ref="CU44" si="657">+CU41/CT41-1</f>
        <v>-0.69288320143360815</v>
      </c>
      <c r="CV44" s="40">
        <f t="shared" ref="CV44" si="658">+CV41/CU41-1</f>
        <v>2.0870829906984278</v>
      </c>
      <c r="CW44" s="40">
        <f t="shared" ref="CW44" si="659">+CW41/CV41-1</f>
        <v>-9.4243119683242838E-2</v>
      </c>
      <c r="CX44" s="40">
        <f t="shared" ref="CX44" si="660">+CX41/CW41-1</f>
        <v>0.50780666347026315</v>
      </c>
      <c r="CY44" s="40">
        <f t="shared" ref="CY44" si="661">+CY41/CX41-1</f>
        <v>-0.6412640902825123</v>
      </c>
      <c r="CZ44" s="40">
        <f t="shared" ref="CZ44" si="662">+CZ41/CY41-1</f>
        <v>1.6994944092412063</v>
      </c>
      <c r="DA44" s="40">
        <f t="shared" ref="DA44" si="663">+DA41/CZ41-1</f>
        <v>-7.5256794795391491E-2</v>
      </c>
      <c r="DB44" s="40">
        <f t="shared" ref="DB44" si="664">+DB41/DA41-1</f>
        <v>0.46778241608473614</v>
      </c>
      <c r="DE44" s="122"/>
      <c r="DF44" s="39">
        <v>-3.1845629953625116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-2.6850999999999998</v>
      </c>
      <c r="X45" s="75">
        <f>'Annual Raw'!Y32</f>
        <v>-18.952000000000002</v>
      </c>
      <c r="Y45" s="75">
        <f>'Annual Raw'!Z32</f>
        <v>-57.234299999999998</v>
      </c>
      <c r="Z45" s="75">
        <f>'Annual Raw'!AA32</f>
        <v>-66.290000000000006</v>
      </c>
      <c r="AA45" s="75">
        <f>'Annual Raw'!AB32</f>
        <v>-133.52000000000001</v>
      </c>
      <c r="AB45" s="76">
        <f t="shared" ref="AB45:AB46" si="665">+SUM(CM45:CP45)</f>
        <v>-121.64</v>
      </c>
      <c r="AC45" s="76">
        <f t="shared" ref="AC45:AC46" si="666">+SUM(CQ45:CT45)</f>
        <v>-121.64</v>
      </c>
      <c r="AD45" s="76">
        <f t="shared" ref="AD45:AD46" si="667">+SUM(CU45:CX45)</f>
        <v>-121.64</v>
      </c>
      <c r="AE45" s="76">
        <f t="shared" ref="AE45:AE46" si="668">+SUM(CY45:DB45)</f>
        <v>-121.64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0.55700000000000005</v>
      </c>
      <c r="BT45" s="75">
        <f>'QTR Raw'!AN34</f>
        <v>-0.91</v>
      </c>
      <c r="BU45" s="75">
        <f>'QTR Raw'!AO34</f>
        <v>-1.748</v>
      </c>
      <c r="BV45" s="75">
        <f>'QTR Raw'!AP34</f>
        <v>-0.58399999999999996</v>
      </c>
      <c r="BW45" s="75">
        <f>'QTR Raw'!AQ34</f>
        <v>-5.1859999999999999</v>
      </c>
      <c r="BX45" s="75">
        <f>'QTR Raw'!AR34</f>
        <v>-3.887</v>
      </c>
      <c r="BY45" s="75">
        <f>'QTR Raw'!AS34</f>
        <v>-6.5759999999999996</v>
      </c>
      <c r="BZ45" s="75">
        <f>'QTR Raw'!AT34</f>
        <v>-3.3029999999999999</v>
      </c>
      <c r="CA45" s="75">
        <f>'QTR Raw'!AU34</f>
        <v>-7.0469999999999997</v>
      </c>
      <c r="CB45" s="75">
        <f>'QTR Raw'!AV34</f>
        <v>-10.411</v>
      </c>
      <c r="CC45" s="75">
        <f>'QTR Raw'!AW34</f>
        <v>-15.093999999999999</v>
      </c>
      <c r="CD45" s="75">
        <f>'QTR Raw'!AX34</f>
        <v>-24.681000000000001</v>
      </c>
      <c r="CE45" s="75">
        <f>'QTR Raw'!AY34</f>
        <v>-10.79</v>
      </c>
      <c r="CF45" s="75">
        <f>'QTR Raw'!AZ34</f>
        <v>-18.39</v>
      </c>
      <c r="CG45" s="75">
        <f>'QTR Raw'!BA34</f>
        <v>-21.98</v>
      </c>
      <c r="CH45" s="75">
        <f>'QTR Raw'!BB34</f>
        <v>-15.13</v>
      </c>
      <c r="CI45" s="75">
        <f>'QTR Raw'!BC34</f>
        <v>-18.940000000000001</v>
      </c>
      <c r="CJ45" s="75">
        <f>'QTR Raw'!BD34</f>
        <v>-38.380000000000003</v>
      </c>
      <c r="CK45" s="75">
        <f>'QTR Raw'!BE34</f>
        <v>-45.79</v>
      </c>
      <c r="CL45" s="75">
        <f>'QTR Raw'!BF34</f>
        <v>-30.41</v>
      </c>
      <c r="CM45" s="76">
        <f t="shared" ref="CM45:CM46" si="669">+CL45</f>
        <v>-30.41</v>
      </c>
      <c r="CN45" s="76">
        <f t="shared" ref="CN45:CN46" si="670">+CM45</f>
        <v>-30.41</v>
      </c>
      <c r="CO45" s="76">
        <f t="shared" ref="CO45:CO46" si="671">+CN45</f>
        <v>-30.41</v>
      </c>
      <c r="CP45" s="76">
        <f t="shared" ref="CP45:CP46" si="672">+CO45</f>
        <v>-30.41</v>
      </c>
      <c r="CQ45" s="76">
        <f t="shared" ref="CQ45:CQ46" si="673">+CP45</f>
        <v>-30.41</v>
      </c>
      <c r="CR45" s="76">
        <f t="shared" ref="CR45:CR46" si="674">+CQ45</f>
        <v>-30.41</v>
      </c>
      <c r="CS45" s="76">
        <f t="shared" ref="CS45:CS46" si="675">+CR45</f>
        <v>-30.41</v>
      </c>
      <c r="CT45" s="76">
        <f t="shared" ref="CT45:CT46" si="676">+CS45</f>
        <v>-30.41</v>
      </c>
      <c r="CU45" s="76">
        <f t="shared" ref="CU45:CU46" si="677">+CT45</f>
        <v>-30.41</v>
      </c>
      <c r="CV45" s="76">
        <f t="shared" ref="CV45:CV46" si="678">+CU45</f>
        <v>-30.41</v>
      </c>
      <c r="CW45" s="76">
        <f t="shared" ref="CW45:CW46" si="679">+CV45</f>
        <v>-30.41</v>
      </c>
      <c r="CX45" s="76">
        <f t="shared" ref="CX45:CX46" si="680">+CW45</f>
        <v>-30.41</v>
      </c>
      <c r="CY45" s="76">
        <f t="shared" ref="CY45:CY46" si="681">+CX45</f>
        <v>-30.41</v>
      </c>
      <c r="CZ45" s="76">
        <f t="shared" ref="CZ45:CZ46" si="682">+CY45</f>
        <v>-30.41</v>
      </c>
      <c r="DA45" s="76">
        <f t="shared" ref="DA45:DA46" si="683">+CZ45</f>
        <v>-30.41</v>
      </c>
      <c r="DB45" s="76">
        <f t="shared" ref="DB45:DB46" si="684">+DA45</f>
        <v>-30.41</v>
      </c>
      <c r="DE45" s="131"/>
      <c r="DF45" s="75">
        <v>-45.79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2.2607392000000002</v>
      </c>
      <c r="Q46" s="75">
        <f>'Annual Raw'!R33+'Annual Raw'!R28</f>
        <v>2.8135907000000002</v>
      </c>
      <c r="R46" s="75">
        <f>'Annual Raw'!S33+'Annual Raw'!S28</f>
        <v>2.3930050999999999</v>
      </c>
      <c r="S46" s="75">
        <f>'Annual Raw'!T33+'Annual Raw'!T28</f>
        <v>2.2757000000000001</v>
      </c>
      <c r="T46" s="75">
        <f>'Annual Raw'!U33+'Annual Raw'!U28</f>
        <v>-35.9373</v>
      </c>
      <c r="U46" s="75">
        <f>'Annual Raw'!V33+'Annual Raw'!V28</f>
        <v>0.30270000000000002</v>
      </c>
      <c r="V46" s="75">
        <f>'Annual Raw'!W33+'Annual Raw'!W28</f>
        <v>1.452</v>
      </c>
      <c r="W46" s="75">
        <f>'Annual Raw'!X33+'Annual Raw'!X28</f>
        <v>-1.2383999999999999</v>
      </c>
      <c r="X46" s="75">
        <f>'Annual Raw'!Y33+'Annual Raw'!Y28</f>
        <v>22.677399999999999</v>
      </c>
      <c r="Y46" s="75">
        <f>'Annual Raw'!Z33+'Annual Raw'!Z28</f>
        <v>1E-3</v>
      </c>
      <c r="Z46" s="75">
        <f>'Annual Raw'!AA33+'Annual Raw'!AA28</f>
        <v>-2.92</v>
      </c>
      <c r="AA46" s="75">
        <f>'Annual Raw'!AB33+'Annual Raw'!AB28</f>
        <v>42.43</v>
      </c>
      <c r="AB46" s="76">
        <f t="shared" si="665"/>
        <v>32.840000000000003</v>
      </c>
      <c r="AC46" s="76">
        <f t="shared" si="666"/>
        <v>32.840000000000003</v>
      </c>
      <c r="AD46" s="76">
        <f t="shared" si="667"/>
        <v>32.840000000000003</v>
      </c>
      <c r="AE46" s="76">
        <f t="shared" si="668"/>
        <v>32.840000000000003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1.0860000000000001</v>
      </c>
      <c r="BH46" s="75">
        <f>'QTR Raw'!AB35</f>
        <v>4.53</v>
      </c>
      <c r="BI46" s="75">
        <f>'QTR Raw'!AC35</f>
        <v>-22.283999999999999</v>
      </c>
      <c r="BJ46" s="75">
        <f>'QTR Raw'!AD35</f>
        <v>-19.268000000000001</v>
      </c>
      <c r="BK46" s="75">
        <f>'QTR Raw'!AE35</f>
        <v>-0.122</v>
      </c>
      <c r="BL46" s="75">
        <f>'QTR Raw'!AF35</f>
        <v>0.33600000000000002</v>
      </c>
      <c r="BM46" s="75">
        <f>'QTR Raw'!AG35</f>
        <v>0.38700000000000001</v>
      </c>
      <c r="BN46" s="75">
        <f>'QTR Raw'!AH35</f>
        <v>-0.29899999999999999</v>
      </c>
      <c r="BO46" s="75">
        <f>'QTR Raw'!AI35</f>
        <v>0.58899999999999997</v>
      </c>
      <c r="BP46" s="75">
        <f>'QTR Raw'!AJ35</f>
        <v>0.55300000000000005</v>
      </c>
      <c r="BQ46" s="75">
        <f>'QTR Raw'!AK35</f>
        <v>0.38500000000000001</v>
      </c>
      <c r="BR46" s="75">
        <f>'QTR Raw'!AL35</f>
        <v>-7.5999999999999998E-2</v>
      </c>
      <c r="BS46" s="75">
        <f>'QTR Raw'!AM35</f>
        <v>0.313</v>
      </c>
      <c r="BT46" s="75">
        <f>'QTR Raw'!AN35</f>
        <v>0.02</v>
      </c>
      <c r="BU46" s="75">
        <f>'QTR Raw'!AO35</f>
        <v>-0.40699999999999997</v>
      </c>
      <c r="BV46" s="75">
        <f>'QTR Raw'!AP35</f>
        <v>-1.165</v>
      </c>
      <c r="BW46" s="75">
        <f>'QTR Raw'!AQ35</f>
        <v>-0.24399999999999999</v>
      </c>
      <c r="BX46" s="75">
        <f>'QTR Raw'!AR35</f>
        <v>-0.39100000000000001</v>
      </c>
      <c r="BY46" s="75">
        <f>'QTR Raw'!AS35</f>
        <v>-0.186</v>
      </c>
      <c r="BZ46" s="75">
        <f>'QTR Raw'!AT35</f>
        <v>23.498999999999999</v>
      </c>
      <c r="CA46" s="75">
        <f>'QTR Raw'!AU35</f>
        <v>-0.15</v>
      </c>
      <c r="CB46" s="75">
        <f>'QTR Raw'!AV35</f>
        <v>7.6390000000000002</v>
      </c>
      <c r="CC46" s="75">
        <f>'QTR Raw'!AW35</f>
        <v>-0.38500000000000001</v>
      </c>
      <c r="CD46" s="75">
        <f>'QTR Raw'!AX35</f>
        <v>-7.1020000000000003</v>
      </c>
      <c r="CE46" s="75">
        <f>'QTR Raw'!AY35</f>
        <v>-0.24</v>
      </c>
      <c r="CF46" s="75">
        <f>'QTR Raw'!AZ35</f>
        <v>-0.12</v>
      </c>
      <c r="CG46" s="75">
        <f>'QTR Raw'!BA35</f>
        <v>0.1</v>
      </c>
      <c r="CH46" s="75">
        <f>'QTR Raw'!BB35</f>
        <v>-2.67</v>
      </c>
      <c r="CI46" s="75">
        <f>'QTR Raw'!BC35</f>
        <v>13.33</v>
      </c>
      <c r="CJ46" s="75">
        <f>'QTR Raw'!BD35</f>
        <v>10.46</v>
      </c>
      <c r="CK46" s="75">
        <f>'QTR Raw'!BE35</f>
        <v>10.43</v>
      </c>
      <c r="CL46" s="75">
        <f>'QTR Raw'!BF35</f>
        <v>8.2100000000000009</v>
      </c>
      <c r="CM46" s="76">
        <f t="shared" si="669"/>
        <v>8.2100000000000009</v>
      </c>
      <c r="CN46" s="76">
        <f t="shared" si="670"/>
        <v>8.2100000000000009</v>
      </c>
      <c r="CO46" s="76">
        <f t="shared" si="671"/>
        <v>8.2100000000000009</v>
      </c>
      <c r="CP46" s="76">
        <f t="shared" si="672"/>
        <v>8.2100000000000009</v>
      </c>
      <c r="CQ46" s="76">
        <f t="shared" si="673"/>
        <v>8.2100000000000009</v>
      </c>
      <c r="CR46" s="76">
        <f t="shared" si="674"/>
        <v>8.2100000000000009</v>
      </c>
      <c r="CS46" s="76">
        <f t="shared" si="675"/>
        <v>8.2100000000000009</v>
      </c>
      <c r="CT46" s="76">
        <f t="shared" si="676"/>
        <v>8.2100000000000009</v>
      </c>
      <c r="CU46" s="76">
        <f t="shared" si="677"/>
        <v>8.2100000000000009</v>
      </c>
      <c r="CV46" s="76">
        <f t="shared" si="678"/>
        <v>8.2100000000000009</v>
      </c>
      <c r="CW46" s="76">
        <f t="shared" si="679"/>
        <v>8.2100000000000009</v>
      </c>
      <c r="CX46" s="76">
        <f t="shared" si="680"/>
        <v>8.2100000000000009</v>
      </c>
      <c r="CY46" s="76">
        <f t="shared" si="681"/>
        <v>8.2100000000000009</v>
      </c>
      <c r="CZ46" s="76">
        <f t="shared" si="682"/>
        <v>8.2100000000000009</v>
      </c>
      <c r="DA46" s="76">
        <f t="shared" si="683"/>
        <v>8.2100000000000009</v>
      </c>
      <c r="DB46" s="76">
        <f t="shared" si="684"/>
        <v>8.2100000000000009</v>
      </c>
      <c r="DE46" s="131"/>
      <c r="DF46" s="75">
        <v>10.43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-2.5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-4.09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-2.5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-0.6</v>
      </c>
      <c r="CL47" s="75">
        <f>'QTR Raw'!BF26+'QTR Raw'!BF31+'QTR Raw'!BF32+'QTR Raw'!BF33+'QTR Raw'!BF36+'QTR Raw'!BF37+'QTR Raw'!BF39</f>
        <v>-3.49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-4.09</v>
      </c>
    </row>
    <row r="48" spans="1:110" s="26" customFormat="1" x14ac:dyDescent="0.2">
      <c r="A48" s="35" t="s">
        <v>25</v>
      </c>
      <c r="B48" s="26">
        <f>B41+B45+B46+B47</f>
        <v>-103.424404661</v>
      </c>
      <c r="C48" s="26">
        <f>C41+C45+C46+C47</f>
        <v>-0.81704929199999998</v>
      </c>
      <c r="D48" s="26">
        <f>D41+D45+D46+D47</f>
        <v>-0.30823507800000005</v>
      </c>
      <c r="E48" s="26">
        <f t="shared" ref="E48:U48" si="685">E41+E45+E46+E47</f>
        <v>-20.742803404</v>
      </c>
      <c r="F48" s="26">
        <f t="shared" si="685"/>
        <v>-5.9629671740000001</v>
      </c>
      <c r="G48" s="26">
        <f t="shared" si="685"/>
        <v>-13.344420510000004</v>
      </c>
      <c r="H48" s="26">
        <f t="shared" si="685"/>
        <v>8.9023720000002346E-3</v>
      </c>
      <c r="I48" s="26">
        <f t="shared" si="685"/>
        <v>4.3234092999970011E-2</v>
      </c>
      <c r="J48" s="26">
        <f t="shared" si="685"/>
        <v>8.1625672000033678E-2</v>
      </c>
      <c r="K48" s="26">
        <f t="shared" si="685"/>
        <v>1.232799999999947</v>
      </c>
      <c r="L48" s="26">
        <f t="shared" si="685"/>
        <v>-3.3801999999999492</v>
      </c>
      <c r="M48" s="26">
        <f t="shared" si="685"/>
        <v>1.1829999999999596</v>
      </c>
      <c r="N48" s="26">
        <f t="shared" si="685"/>
        <v>1.4171999999999931</v>
      </c>
      <c r="O48" s="26">
        <f t="shared" si="685"/>
        <v>0.75393039999999978</v>
      </c>
      <c r="P48" s="26">
        <f t="shared" si="685"/>
        <v>2.6679232999999845</v>
      </c>
      <c r="Q48" s="26">
        <f t="shared" si="685"/>
        <v>-2.5192670999999813</v>
      </c>
      <c r="R48" s="26">
        <f t="shared" si="685"/>
        <v>-1.2553787999999995</v>
      </c>
      <c r="S48" s="26">
        <f t="shared" si="685"/>
        <v>-3.6653999999999889</v>
      </c>
      <c r="T48" s="26">
        <f t="shared" si="685"/>
        <v>-43.973600000000005</v>
      </c>
      <c r="U48" s="26">
        <f t="shared" si="685"/>
        <v>-0.52659999999999973</v>
      </c>
      <c r="V48" s="26">
        <f>V41+V45+V46+V47</f>
        <v>1.2123000000000002</v>
      </c>
      <c r="W48" s="26">
        <f>W41+W45+W46+W47</f>
        <v>151.04949999999997</v>
      </c>
      <c r="X48" s="26">
        <f>X41+X45+X46+X47</f>
        <v>48.754299999999944</v>
      </c>
      <c r="Y48" s="26">
        <f>Y41+Y45+Y46+Y47</f>
        <v>117.56590000000003</v>
      </c>
      <c r="Z48" s="26">
        <f>Z41+Z45+Z46+Z47</f>
        <v>57.099999999999966</v>
      </c>
      <c r="AA48" s="26">
        <f>AA41+AA45+AA46+AA47</f>
        <v>283.43999999999988</v>
      </c>
      <c r="AB48" s="27">
        <f t="shared" ref="AA48:AD48" si="686">AB41+AB45+AB46+AB47</f>
        <v>424.47156839839715</v>
      </c>
      <c r="AC48" s="27">
        <f t="shared" si="686"/>
        <v>570.42800105949016</v>
      </c>
      <c r="AD48" s="27">
        <f t="shared" si="686"/>
        <v>779.78863097415046</v>
      </c>
      <c r="AE48" s="27">
        <f t="shared" ref="AE48" si="687">AE41+AE45+AE46+AE47</f>
        <v>1078.2059832212026</v>
      </c>
      <c r="AI48" s="26">
        <f t="shared" ref="AI48" si="688">AI41+AI45+AI46+AI47</f>
        <v>1.675000000000006</v>
      </c>
      <c r="AJ48" s="26">
        <f t="shared" ref="AJ48" si="689">AJ41+AJ45+AJ46+AJ47</f>
        <v>9.600000000000003E-2</v>
      </c>
      <c r="AK48" s="26">
        <f t="shared" ref="AK48:AM48" si="690">AK41+AK45+AK46+AK47</f>
        <v>-0.34699999999999998</v>
      </c>
      <c r="AL48" s="26">
        <f t="shared" si="690"/>
        <v>-7.0000000000000062E-3</v>
      </c>
      <c r="AM48" s="26">
        <f t="shared" si="690"/>
        <v>-11.017000000000001</v>
      </c>
      <c r="AN48" s="26">
        <f t="shared" ref="AN48:AO48" si="691">AN41+AN45+AN46+AN47</f>
        <v>-0.37</v>
      </c>
      <c r="AO48" s="26">
        <f t="shared" si="691"/>
        <v>-0.24299999999999999</v>
      </c>
      <c r="AP48" s="26">
        <f t="shared" ref="AP48:CD48" si="692">AP41+AP45+AP46+AP47</f>
        <v>12.382999999999999</v>
      </c>
      <c r="AQ48" s="26">
        <f t="shared" si="692"/>
        <v>-0.21000000000000002</v>
      </c>
      <c r="AR48" s="26">
        <f t="shared" si="692"/>
        <v>-0.14000000000000001</v>
      </c>
      <c r="AS48" s="26">
        <f t="shared" si="692"/>
        <v>0.87500000000000711</v>
      </c>
      <c r="AT48" s="26">
        <f t="shared" si="692"/>
        <v>-0.11699999999998233</v>
      </c>
      <c r="AU48" s="26">
        <f t="shared" si="692"/>
        <v>0.20800000000000002</v>
      </c>
      <c r="AV48" s="26">
        <f t="shared" si="692"/>
        <v>-0.32999999999999924</v>
      </c>
      <c r="AW48" s="26">
        <f t="shared" si="692"/>
        <v>-0.53499999999999948</v>
      </c>
      <c r="AX48" s="26">
        <f t="shared" si="692"/>
        <v>-4.6769999999999996</v>
      </c>
      <c r="AY48" s="26">
        <f t="shared" si="692"/>
        <v>-0.27700000000000002</v>
      </c>
      <c r="AZ48" s="26">
        <f t="shared" si="692"/>
        <v>-0.21699999999999942</v>
      </c>
      <c r="BA48" s="26">
        <f t="shared" si="692"/>
        <v>-3.1570000000000018</v>
      </c>
      <c r="BB48" s="26">
        <f t="shared" si="692"/>
        <v>5.5511151231257827E-17</v>
      </c>
      <c r="BC48" s="26">
        <f t="shared" si="692"/>
        <v>-0.42499999999999999</v>
      </c>
      <c r="BD48" s="26">
        <f t="shared" si="692"/>
        <v>1.9000000000000461E-2</v>
      </c>
      <c r="BE48" s="26">
        <f t="shared" si="692"/>
        <v>0.24000000000000193</v>
      </c>
      <c r="BF48" s="26">
        <f t="shared" si="692"/>
        <v>-5.7759999999999927</v>
      </c>
      <c r="BG48" s="26">
        <f t="shared" si="692"/>
        <v>0.64400000000000013</v>
      </c>
      <c r="BH48" s="26">
        <f t="shared" si="692"/>
        <v>1.1840000000000002</v>
      </c>
      <c r="BI48" s="26">
        <f t="shared" si="692"/>
        <v>-23.629000000000001</v>
      </c>
      <c r="BJ48" s="26">
        <f t="shared" si="692"/>
        <v>-22.170999999999999</v>
      </c>
      <c r="BK48" s="26">
        <f t="shared" si="692"/>
        <v>-0.56400000000000006</v>
      </c>
      <c r="BL48" s="26">
        <f t="shared" si="692"/>
        <v>-6.4000000000000001E-2</v>
      </c>
      <c r="BM48" s="26">
        <f t="shared" si="692"/>
        <v>-3.0000000000000027E-2</v>
      </c>
      <c r="BN48" s="26">
        <f t="shared" si="692"/>
        <v>0.13199999999999995</v>
      </c>
      <c r="BO48" s="26">
        <f t="shared" si="692"/>
        <v>0.29299999999999998</v>
      </c>
      <c r="BP48" s="26">
        <f t="shared" si="692"/>
        <v>0.27900000000000008</v>
      </c>
      <c r="BQ48" s="26">
        <f t="shared" si="692"/>
        <v>1.2110000000000001</v>
      </c>
      <c r="BR48" s="26">
        <f t="shared" si="692"/>
        <v>-0.57199999999999995</v>
      </c>
      <c r="BS48" s="26">
        <f t="shared" si="692"/>
        <v>-0.84400000000000053</v>
      </c>
      <c r="BT48" s="26">
        <f t="shared" si="692"/>
        <v>0.70400000000000051</v>
      </c>
      <c r="BU48" s="26">
        <f t="shared" si="692"/>
        <v>1.3350000000000006</v>
      </c>
      <c r="BV48" s="26">
        <f t="shared" si="692"/>
        <v>149.85599999999999</v>
      </c>
      <c r="BW48" s="26">
        <f t="shared" si="692"/>
        <v>-0.31799999999999606</v>
      </c>
      <c r="BX48" s="26">
        <f t="shared" si="692"/>
        <v>11.368999999999998</v>
      </c>
      <c r="BY48" s="26">
        <f t="shared" si="692"/>
        <v>7.2779999999999854</v>
      </c>
      <c r="BZ48" s="26">
        <f t="shared" si="692"/>
        <v>30.426000000000005</v>
      </c>
      <c r="CA48" s="26">
        <f t="shared" si="692"/>
        <v>7.9890000000000096</v>
      </c>
      <c r="CB48" s="26">
        <f t="shared" si="692"/>
        <v>28.809000000000008</v>
      </c>
      <c r="CC48" s="26">
        <f t="shared" si="692"/>
        <v>59.799000000000049</v>
      </c>
      <c r="CD48" s="26">
        <f t="shared" si="692"/>
        <v>20.971000000000011</v>
      </c>
      <c r="CE48" s="26">
        <f t="shared" ref="CE48:CF48" si="693">CE41+CE45+CE46+CE47</f>
        <v>6.1500000000000039</v>
      </c>
      <c r="CF48" s="26">
        <f t="shared" si="693"/>
        <v>22.069999999999997</v>
      </c>
      <c r="CG48" s="26">
        <f t="shared" ref="CG48:CH48" si="694">CG41+CG45+CG46+CG47</f>
        <v>19.440000000000001</v>
      </c>
      <c r="CH48" s="26">
        <f t="shared" si="694"/>
        <v>9.4299999999999891</v>
      </c>
      <c r="CI48" s="26">
        <f t="shared" ref="CI48:CJ48" si="695">CI41+CI45+CI46+CI47</f>
        <v>229.73000000000005</v>
      </c>
      <c r="CJ48" s="26">
        <f t="shared" si="695"/>
        <v>23.459999999999987</v>
      </c>
      <c r="CK48" s="26">
        <f t="shared" ref="CK48:CL48" si="696">CK41+CK45+CK46+CK47</f>
        <v>-7.8599999999999977</v>
      </c>
      <c r="CL48" s="26">
        <f t="shared" si="696"/>
        <v>38.110000000000028</v>
      </c>
      <c r="CM48" s="27">
        <f t="shared" ref="CM48:DB48" si="697">CM41+CM45+CM46+CM47</f>
        <v>21.38467527895553</v>
      </c>
      <c r="CN48" s="27">
        <f t="shared" si="697"/>
        <v>125.69587316718972</v>
      </c>
      <c r="CO48" s="27">
        <f t="shared" si="697"/>
        <v>102.19220613176083</v>
      </c>
      <c r="CP48" s="27">
        <f t="shared" si="697"/>
        <v>175.19881382049107</v>
      </c>
      <c r="CQ48" s="27">
        <f t="shared" si="697"/>
        <v>31.555272579375174</v>
      </c>
      <c r="CR48" s="27">
        <f t="shared" si="697"/>
        <v>163.81222286231559</v>
      </c>
      <c r="CS48" s="27">
        <f t="shared" si="697"/>
        <v>142.4508792547567</v>
      </c>
      <c r="CT48" s="27">
        <f t="shared" si="697"/>
        <v>232.60962636304265</v>
      </c>
      <c r="CU48" s="27">
        <f t="shared" si="697"/>
        <v>56.056316692516127</v>
      </c>
      <c r="CV48" s="27">
        <f t="shared" si="697"/>
        <v>219.38374417617598</v>
      </c>
      <c r="CW48" s="27">
        <f t="shared" si="697"/>
        <v>196.61613846025472</v>
      </c>
      <c r="CX48" s="27">
        <f t="shared" si="697"/>
        <v>307.73243164520375</v>
      </c>
      <c r="CY48" s="27">
        <f t="shared" si="697"/>
        <v>96.15861101154502</v>
      </c>
      <c r="CZ48" s="27">
        <f t="shared" si="697"/>
        <v>297.30840871122041</v>
      </c>
      <c r="DA48" s="27">
        <f t="shared" si="697"/>
        <v>273.26322996143801</v>
      </c>
      <c r="DB48" s="27">
        <f t="shared" si="697"/>
        <v>411.47573353699954</v>
      </c>
      <c r="DE48" s="121"/>
      <c r="DF48" s="26">
        <v>-96.74622016968658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-103.424404661</v>
      </c>
      <c r="C51" s="22">
        <f>'Annual Raw'!D35</f>
        <v>-0.81704929199999998</v>
      </c>
      <c r="D51" s="22">
        <f>'Annual Raw'!E35</f>
        <v>-0.308235078</v>
      </c>
      <c r="E51" s="22">
        <f>'Annual Raw'!F35</f>
        <v>-20.742803404</v>
      </c>
      <c r="F51" s="22">
        <f>'Annual Raw'!G35</f>
        <v>-5.9629671740000001</v>
      </c>
      <c r="G51" s="22">
        <f>'Annual Raw'!H35</f>
        <v>-13.344420510000001</v>
      </c>
      <c r="H51" s="22">
        <f>'Annual Raw'!I35</f>
        <v>8.9023720000000004E-3</v>
      </c>
      <c r="I51" s="22">
        <f>'Annual Raw'!J35</f>
        <v>4.3234093000000001E-2</v>
      </c>
      <c r="J51" s="22">
        <f>'Annual Raw'!K35</f>
        <v>8.1625671999999996E-2</v>
      </c>
      <c r="K51" s="22">
        <f>'Annual Raw'!L35</f>
        <v>1.2327999999999999</v>
      </c>
      <c r="L51" s="22">
        <f>'Annual Raw'!M35</f>
        <v>-3.3801999999999999</v>
      </c>
      <c r="M51" s="22">
        <f>'Annual Raw'!N35</f>
        <v>1.1830000000000001</v>
      </c>
      <c r="N51" s="22">
        <f>'Annual Raw'!O35</f>
        <v>1.4172</v>
      </c>
      <c r="O51" s="22">
        <f>'Annual Raw'!P35</f>
        <v>0.7539304</v>
      </c>
      <c r="P51" s="22">
        <f>'Annual Raw'!Q35</f>
        <v>2.6679233</v>
      </c>
      <c r="Q51" s="22">
        <f>'Annual Raw'!R35</f>
        <v>-2.5192671</v>
      </c>
      <c r="R51" s="22">
        <f>'Annual Raw'!S35</f>
        <v>-1.2553787999999999</v>
      </c>
      <c r="S51" s="22">
        <f>'Annual Raw'!T35</f>
        <v>-3.6654</v>
      </c>
      <c r="T51" s="22">
        <f>'Annual Raw'!U35</f>
        <v>-43.973599999999998</v>
      </c>
      <c r="U51" s="22">
        <f>'Annual Raw'!V35</f>
        <v>-0.52659999999999996</v>
      </c>
      <c r="V51" s="22">
        <f>'Annual Raw'!W35</f>
        <v>1.2122999999999999</v>
      </c>
      <c r="W51" s="22">
        <f>'Annual Raw'!X35</f>
        <v>151.04949999999999</v>
      </c>
      <c r="X51" s="22">
        <f>'Annual Raw'!Y35</f>
        <v>48.754300000000001</v>
      </c>
      <c r="Y51" s="22">
        <f>'Annual Raw'!Z35</f>
        <v>117.5659</v>
      </c>
      <c r="Z51" s="22">
        <f>'Annual Raw'!AA35</f>
        <v>57.1</v>
      </c>
      <c r="AA51" s="22">
        <f>'Annual Raw'!AB35</f>
        <v>283.44</v>
      </c>
      <c r="AB51" s="21">
        <f t="shared" ref="AA51:AD51" si="698">+AB48</f>
        <v>424.47156839839715</v>
      </c>
      <c r="AC51" s="21">
        <f t="shared" si="698"/>
        <v>570.42800105949016</v>
      </c>
      <c r="AD51" s="21">
        <f t="shared" si="698"/>
        <v>779.78863097415046</v>
      </c>
      <c r="AE51" s="21">
        <f t="shared" ref="AE51" si="699">+AE48</f>
        <v>1078.2059832212026</v>
      </c>
      <c r="AI51" s="22">
        <f>'QTR Raw'!C42</f>
        <v>1.675</v>
      </c>
      <c r="AJ51" s="22">
        <f>'QTR Raw'!D42</f>
        <v>9.6000000000000002E-2</v>
      </c>
      <c r="AK51" s="22">
        <f>'QTR Raw'!E42</f>
        <v>-0.34799999999999998</v>
      </c>
      <c r="AL51" s="22">
        <f>'QTR Raw'!F42</f>
        <v>-7.0000000000000001E-3</v>
      </c>
      <c r="AM51" s="22">
        <f>'QTR Raw'!G42</f>
        <v>-11.016999999999999</v>
      </c>
      <c r="AN51" s="22">
        <f>'QTR Raw'!H42</f>
        <v>-0.37</v>
      </c>
      <c r="AO51" s="22">
        <f>'QTR Raw'!I42</f>
        <v>-0.24299999999999999</v>
      </c>
      <c r="AP51" s="22">
        <f>'QTR Raw'!J42</f>
        <v>12.382999999999999</v>
      </c>
      <c r="AQ51" s="22">
        <f>'QTR Raw'!K42</f>
        <v>-0.21099999999999999</v>
      </c>
      <c r="AR51" s="22">
        <f>'QTR Raw'!L42</f>
        <v>-0.14000000000000001</v>
      </c>
      <c r="AS51" s="22">
        <f>'QTR Raw'!M42</f>
        <v>0.874</v>
      </c>
      <c r="AT51" s="22">
        <f>'QTR Raw'!N42</f>
        <v>-0.11700000000000001</v>
      </c>
      <c r="AU51" s="22">
        <f>'QTR Raw'!O42</f>
        <v>0.20899999999999999</v>
      </c>
      <c r="AV51" s="22">
        <f>'QTR Raw'!P42</f>
        <v>-0.33</v>
      </c>
      <c r="AW51" s="22">
        <f>'QTR Raw'!Q42</f>
        <v>-0.53500000000000003</v>
      </c>
      <c r="AX51" s="22">
        <f>'QTR Raw'!R42</f>
        <v>-4.6760000000000002</v>
      </c>
      <c r="AY51" s="22">
        <f>'QTR Raw'!S42</f>
        <v>-0.27700000000000002</v>
      </c>
      <c r="AZ51" s="22">
        <f>'QTR Raw'!T42</f>
        <v>-0.217</v>
      </c>
      <c r="BA51" s="22">
        <f>'QTR Raw'!U42</f>
        <v>-3.157</v>
      </c>
      <c r="BB51" s="22">
        <f>'QTR Raw'!V42</f>
        <v>3.0000000000000001E-3</v>
      </c>
      <c r="BC51" s="22">
        <f>'QTR Raw'!W42</f>
        <v>-0.42499999999999999</v>
      </c>
      <c r="BD51" s="22">
        <f>'QTR Raw'!X42</f>
        <v>1.9E-2</v>
      </c>
      <c r="BE51" s="22">
        <f>'QTR Raw'!Y42</f>
        <v>0.24</v>
      </c>
      <c r="BF51" s="22">
        <f>'QTR Raw'!Z42</f>
        <v>-5.7750000000000004</v>
      </c>
      <c r="BG51" s="22">
        <f>'QTR Raw'!AA42</f>
        <v>0.64400000000000002</v>
      </c>
      <c r="BH51" s="22">
        <f>'QTR Raw'!AB42</f>
        <v>1.1839999999999999</v>
      </c>
      <c r="BI51" s="22">
        <f>'QTR Raw'!AC42</f>
        <v>-23.629000000000001</v>
      </c>
      <c r="BJ51" s="22">
        <f>'QTR Raw'!AD42</f>
        <v>-22.172000000000001</v>
      </c>
      <c r="BK51" s="22">
        <f>'QTR Raw'!AE42</f>
        <v>-0.56399999999999995</v>
      </c>
      <c r="BL51" s="22">
        <f>'QTR Raw'!AF42</f>
        <v>-6.4000000000000001E-2</v>
      </c>
      <c r="BM51" s="22">
        <f>'QTR Raw'!AG42</f>
        <v>-3.1E-2</v>
      </c>
      <c r="BN51" s="22">
        <f>'QTR Raw'!AH42</f>
        <v>0.13200000000000001</v>
      </c>
      <c r="BO51" s="22">
        <f>'QTR Raw'!AI42</f>
        <v>0.29299999999999998</v>
      </c>
      <c r="BP51" s="22">
        <f>'QTR Raw'!AJ42</f>
        <v>0.27900000000000003</v>
      </c>
      <c r="BQ51" s="22">
        <f>'QTR Raw'!AK42</f>
        <v>1.2110000000000001</v>
      </c>
      <c r="BR51" s="22">
        <f>'QTR Raw'!AL42</f>
        <v>-0.57099999999999995</v>
      </c>
      <c r="BS51" s="22">
        <f>'QTR Raw'!AM42</f>
        <v>-0.84499999999999997</v>
      </c>
      <c r="BT51" s="22">
        <f>'QTR Raw'!AN42</f>
        <v>0.70299999999999996</v>
      </c>
      <c r="BU51" s="22">
        <f>'QTR Raw'!AO42</f>
        <v>1.335</v>
      </c>
      <c r="BV51" s="22">
        <f>'QTR Raw'!AP42</f>
        <v>149.85599999999999</v>
      </c>
      <c r="BW51" s="22">
        <f>'QTR Raw'!AQ42</f>
        <v>-0.32</v>
      </c>
      <c r="BX51" s="22">
        <f>'QTR Raw'!AR42</f>
        <v>11.371</v>
      </c>
      <c r="BY51" s="22">
        <f>'QTR Raw'!AS42</f>
        <v>7.2789999999999999</v>
      </c>
      <c r="BZ51" s="22">
        <f>'QTR Raw'!AT42</f>
        <v>30.425000000000001</v>
      </c>
      <c r="CA51" s="22">
        <f>'QTR Raw'!AU42</f>
        <v>7.9880000000000004</v>
      </c>
      <c r="CB51" s="22">
        <f>'QTR Raw'!AV42</f>
        <v>28.81</v>
      </c>
      <c r="CC51" s="22">
        <f>'QTR Raw'!AW42</f>
        <v>59.798999999999999</v>
      </c>
      <c r="CD51" s="22">
        <f>'QTR Raw'!AX42</f>
        <v>20.971</v>
      </c>
      <c r="CE51" s="22">
        <f>'QTR Raw'!AY42</f>
        <v>6.15</v>
      </c>
      <c r="CF51" s="22">
        <f>'QTR Raw'!AZ42</f>
        <v>22.07</v>
      </c>
      <c r="CG51" s="22">
        <f>'QTR Raw'!BA42</f>
        <v>19.440000000000001</v>
      </c>
      <c r="CH51" s="22">
        <f>'QTR Raw'!BB42</f>
        <v>9.43</v>
      </c>
      <c r="CI51" s="22">
        <f>'QTR Raw'!BC42</f>
        <v>229.73</v>
      </c>
      <c r="CJ51" s="22">
        <f>'QTR Raw'!BD42</f>
        <v>23.46</v>
      </c>
      <c r="CK51" s="22">
        <f>'QTR Raw'!BE42</f>
        <v>-7.86</v>
      </c>
      <c r="CL51" s="22">
        <f>'QTR Raw'!BF42</f>
        <v>38.11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283.43999999999988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-2.3418766925686896E-16</v>
      </c>
      <c r="I52" s="25">
        <f t="shared" si="700"/>
        <v>2.9989899452687041E-14</v>
      </c>
      <c r="J52" s="25">
        <f t="shared" si="700"/>
        <v>-3.3681391009565687E-14</v>
      </c>
      <c r="K52" s="25">
        <f t="shared" si="700"/>
        <v>5.2846615972157451E-14</v>
      </c>
      <c r="L52" s="25">
        <f t="shared" si="700"/>
        <v>-5.0626169922907138E-14</v>
      </c>
      <c r="M52" s="25">
        <f t="shared" si="700"/>
        <v>4.0412118096355698E-14</v>
      </c>
      <c r="N52" s="25">
        <f t="shared" si="700"/>
        <v>6.8833827526759706E-15</v>
      </c>
      <c r="O52" s="25">
        <f t="shared" si="700"/>
        <v>0</v>
      </c>
      <c r="P52" s="25">
        <f t="shared" si="700"/>
        <v>1.5543122344752192E-14</v>
      </c>
      <c r="Q52" s="25">
        <f t="shared" si="700"/>
        <v>-1.865174681370263E-14</v>
      </c>
      <c r="R52" s="25">
        <f t="shared" si="700"/>
        <v>0</v>
      </c>
      <c r="S52" s="25">
        <f t="shared" si="700"/>
        <v>-1.1102230246251565E-14</v>
      </c>
      <c r="T52" s="25">
        <f t="shared" si="700"/>
        <v>0</v>
      </c>
      <c r="U52" s="25">
        <f t="shared" si="700"/>
        <v>0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5.6843418860808015E-14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-5.9952043329758453E-15</v>
      </c>
      <c r="AJ52" s="25">
        <f t="shared" ref="AJ52" si="707">AJ51-AJ48</f>
        <v>0</v>
      </c>
      <c r="AK52" s="25">
        <f t="shared" ref="AK52:AM52" si="708">AK51-AK48</f>
        <v>-1.0000000000000009E-3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-9.9999999999997313E-4</v>
      </c>
      <c r="AR52" s="25">
        <f t="shared" si="710"/>
        <v>0</v>
      </c>
      <c r="AS52" s="25">
        <f t="shared" si="710"/>
        <v>-1.0000000000071063E-3</v>
      </c>
      <c r="AT52" s="25">
        <f t="shared" si="710"/>
        <v>-1.7680301667155618E-14</v>
      </c>
      <c r="AU52" s="25">
        <f t="shared" si="710"/>
        <v>9.9999999999997313E-4</v>
      </c>
      <c r="AV52" s="25">
        <f t="shared" si="710"/>
        <v>-7.7715611723760958E-16</v>
      </c>
      <c r="AW52" s="25">
        <f t="shared" si="710"/>
        <v>0</v>
      </c>
      <c r="AX52" s="25">
        <f t="shared" si="710"/>
        <v>9.9999999999944578E-4</v>
      </c>
      <c r="AY52" s="25">
        <f t="shared" si="710"/>
        <v>0</v>
      </c>
      <c r="AZ52" s="25">
        <f t="shared" si="710"/>
        <v>-5.8286708792820718E-16</v>
      </c>
      <c r="BA52" s="25">
        <f t="shared" si="710"/>
        <v>0</v>
      </c>
      <c r="BB52" s="25">
        <f t="shared" si="710"/>
        <v>2.9999999999999446E-3</v>
      </c>
      <c r="BC52" s="25">
        <f t="shared" si="710"/>
        <v>0</v>
      </c>
      <c r="BD52" s="25">
        <f t="shared" si="710"/>
        <v>-4.6143644460983069E-16</v>
      </c>
      <c r="BE52" s="25">
        <f t="shared" si="710"/>
        <v>-1.9428902930940239E-15</v>
      </c>
      <c r="BF52" s="25">
        <f t="shared" si="710"/>
        <v>9.9999999999234035E-4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-1.0000000000012221E-3</v>
      </c>
      <c r="BK52" s="25">
        <f t="shared" si="710"/>
        <v>0</v>
      </c>
      <c r="BL52" s="25">
        <f t="shared" si="710"/>
        <v>0</v>
      </c>
      <c r="BM52" s="25">
        <f t="shared" si="710"/>
        <v>-9.9999999999997313E-4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1.0000000000000009E-3</v>
      </c>
      <c r="BS52" s="25">
        <f t="shared" si="710"/>
        <v>-9.9999999999944578E-4</v>
      </c>
      <c r="BT52" s="25">
        <f t="shared" si="710"/>
        <v>-1.000000000000556E-3</v>
      </c>
      <c r="BU52" s="25">
        <f t="shared" si="710"/>
        <v>0</v>
      </c>
      <c r="BV52" s="25">
        <f t="shared" si="710"/>
        <v>0</v>
      </c>
      <c r="BW52" s="25">
        <f t="shared" si="710"/>
        <v>-2.0000000000039431E-3</v>
      </c>
      <c r="BX52" s="25">
        <f t="shared" si="710"/>
        <v>2.0000000000024443E-3</v>
      </c>
      <c r="BY52" s="25">
        <f t="shared" si="710"/>
        <v>1.0000000000145448E-3</v>
      </c>
      <c r="BZ52" s="25">
        <f t="shared" si="710"/>
        <v>-1.0000000000047748E-3</v>
      </c>
      <c r="CA52" s="25">
        <f t="shared" si="710"/>
        <v>-1.0000000000092157E-3</v>
      </c>
      <c r="CB52" s="25">
        <f t="shared" si="710"/>
        <v>9.9999999999056399E-4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0</v>
      </c>
      <c r="CF52" s="25">
        <f t="shared" si="711"/>
        <v>0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0</v>
      </c>
      <c r="CJ52" s="25">
        <f t="shared" si="713"/>
        <v>0</v>
      </c>
      <c r="CK52" s="25">
        <f t="shared" ref="CK52:CL52" si="714">CK51-CK48</f>
        <v>0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5">(B48-B47)/B120</f>
        <v>-1.3130353173056277</v>
      </c>
      <c r="C54" s="39">
        <f t="shared" si="715"/>
        <v>-1.0481660084504341E-2</v>
      </c>
      <c r="D54" s="39">
        <f t="shared" si="715"/>
        <v>-3.9699458863012779E-3</v>
      </c>
      <c r="E54" s="39">
        <f t="shared" si="715"/>
        <v>-0.36455266689255056</v>
      </c>
      <c r="F54" s="39">
        <f t="shared" si="715"/>
        <v>-0.11706699402067194</v>
      </c>
      <c r="G54" s="39">
        <f t="shared" si="715"/>
        <v>-6.2748487965294697E-2</v>
      </c>
      <c r="H54" s="39">
        <f t="shared" si="715"/>
        <v>4.1859217407946613E-5</v>
      </c>
      <c r="I54" s="39">
        <f t="shared" si="715"/>
        <v>1.9845881727146376E-4</v>
      </c>
      <c r="J54" s="39">
        <f t="shared" si="715"/>
        <v>3.7454855099951098E-4</v>
      </c>
      <c r="K54" s="39">
        <f t="shared" si="715"/>
        <v>1.6197172458236864E-3</v>
      </c>
      <c r="L54" s="39">
        <f t="shared" si="715"/>
        <v>-4.4728129271994184E-3</v>
      </c>
      <c r="M54" s="39">
        <f t="shared" si="715"/>
        <v>3.2102894253662243E-3</v>
      </c>
      <c r="N54" s="39">
        <f t="shared" si="715"/>
        <v>3.8311006872300242E-3</v>
      </c>
      <c r="O54" s="39">
        <f t="shared" si="715"/>
        <v>2.0339455273752985E-3</v>
      </c>
      <c r="P54" s="39">
        <f t="shared" si="715"/>
        <v>5.9279663475459866E-3</v>
      </c>
      <c r="Q54" s="39">
        <f t="shared" si="715"/>
        <v>-5.6317230165266949E-3</v>
      </c>
      <c r="R54" s="39">
        <f t="shared" si="715"/>
        <v>-2.7064902565067553E-3</v>
      </c>
      <c r="S54" s="39">
        <f t="shared" si="715"/>
        <v>-9.2511990542343495E-3</v>
      </c>
      <c r="T54" s="39">
        <f t="shared" si="715"/>
        <v>-0.13106096145627</v>
      </c>
      <c r="U54" s="39">
        <f t="shared" si="715"/>
        <v>-1.6861451762671695E-3</v>
      </c>
      <c r="V54" s="39">
        <f t="shared" si="715"/>
        <v>3.7035464290547698E-3</v>
      </c>
      <c r="W54" s="39">
        <f t="shared" si="715"/>
        <v>0.20441264831976438</v>
      </c>
      <c r="X54" s="39">
        <f t="shared" si="715"/>
        <v>5.0341206168396942E-2</v>
      </c>
      <c r="Y54" s="39">
        <f t="shared" si="715"/>
        <v>7.5852623349009149E-2</v>
      </c>
      <c r="Z54" s="39">
        <f t="shared" si="715"/>
        <v>2.1948960019065981E-2</v>
      </c>
      <c r="AA54" s="39">
        <f t="shared" ref="AA54" si="716">(AA48-AA47)/AA120</f>
        <v>6.9408268740087681E-2</v>
      </c>
      <c r="AB54" s="40">
        <f t="shared" si="715"/>
        <v>9.2941941342659248E-2</v>
      </c>
      <c r="AC54" s="40">
        <f t="shared" si="715"/>
        <v>0.11103243974462848</v>
      </c>
      <c r="AD54" s="40">
        <f t="shared" si="715"/>
        <v>0.13178164091004135</v>
      </c>
      <c r="AE54" s="40">
        <f t="shared" si="715"/>
        <v>0.1541288572620477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3.8305579584775253E-3</v>
      </c>
      <c r="AM54" s="39">
        <f t="shared" si="717"/>
        <v>-3.1415173459124049E-2</v>
      </c>
      <c r="AN54" s="39">
        <f t="shared" si="717"/>
        <v>-3.2747242939302826E-2</v>
      </c>
      <c r="AO54" s="39">
        <f t="shared" si="717"/>
        <v>-3.2479185913126485E-2</v>
      </c>
      <c r="AP54" s="39">
        <f t="shared" si="717"/>
        <v>2.0314346298904115E-3</v>
      </c>
      <c r="AQ54" s="39">
        <f t="shared" si="717"/>
        <v>3.1204111600587364E-2</v>
      </c>
      <c r="AR54" s="39">
        <f t="shared" si="717"/>
        <v>2.6873387368824126E-2</v>
      </c>
      <c r="AS54" s="39">
        <f t="shared" si="717"/>
        <v>2.9363124119936586E-2</v>
      </c>
      <c r="AT54" s="39">
        <f t="shared" si="717"/>
        <v>9.2865092967523322E-4</v>
      </c>
      <c r="AU54" s="39">
        <f t="shared" si="717"/>
        <v>1.8791732547690837E-3</v>
      </c>
      <c r="AV54" s="39">
        <f t="shared" si="717"/>
        <v>1.4480050088224159E-3</v>
      </c>
      <c r="AW54" s="39">
        <f t="shared" si="717"/>
        <v>-1.7643438418928653E-3</v>
      </c>
      <c r="AX54" s="39">
        <f t="shared" si="717"/>
        <v>-1.1923914960623581E-2</v>
      </c>
      <c r="AY54" s="39">
        <f t="shared" si="717"/>
        <v>-1.3016170338028977E-2</v>
      </c>
      <c r="AZ54" s="39">
        <f t="shared" si="717"/>
        <v>-1.3162052874268483E-2</v>
      </c>
      <c r="BA54" s="39">
        <f t="shared" si="717"/>
        <v>-1.9351150891575002E-2</v>
      </c>
      <c r="BB54" s="39">
        <f t="shared" si="717"/>
        <v>-7.8712317367373753E-3</v>
      </c>
      <c r="BC54" s="39">
        <f t="shared" si="717"/>
        <v>-8.1978179432734347E-3</v>
      </c>
      <c r="BD54" s="39">
        <f t="shared" si="717"/>
        <v>-8.2868751991478241E-3</v>
      </c>
      <c r="BE54" s="39">
        <f t="shared" si="717"/>
        <v>-3.8586972944952552E-4</v>
      </c>
      <c r="BF54" s="39">
        <f t="shared" si="717"/>
        <v>-1.4997173201954506E-2</v>
      </c>
      <c r="BG54" s="39">
        <f t="shared" si="717"/>
        <v>-1.2279136806668457E-2</v>
      </c>
      <c r="BH54" s="39">
        <f t="shared" si="717"/>
        <v>-9.5628133446119968E-3</v>
      </c>
      <c r="BI54" s="39">
        <f t="shared" si="717"/>
        <v>-7.5735397104824451E-2</v>
      </c>
      <c r="BJ54" s="39">
        <f t="shared" si="717"/>
        <v>-0.13105588025786763</v>
      </c>
      <c r="BK54" s="39">
        <f t="shared" si="717"/>
        <v>-0.13488298498016163</v>
      </c>
      <c r="BL54" s="39">
        <f t="shared" si="717"/>
        <v>-0.13826251652789193</v>
      </c>
      <c r="BM54" s="39">
        <f t="shared" si="717"/>
        <v>-6.7990803118838719E-2</v>
      </c>
      <c r="BN54" s="39">
        <f t="shared" si="717"/>
        <v>-1.6842240081969845E-3</v>
      </c>
      <c r="BO54" s="39">
        <f t="shared" si="717"/>
        <v>1.0588510027095066E-3</v>
      </c>
      <c r="BP54" s="39">
        <f t="shared" si="717"/>
        <v>2.0481777599499198E-3</v>
      </c>
      <c r="BQ54" s="39">
        <f t="shared" si="717"/>
        <v>5.798040474258517E-3</v>
      </c>
      <c r="BR54" s="39">
        <f t="shared" ref="BR54:CW54" si="718">(SUM(BO48:BR48)-SUM(BO47:BR47))/BR120</f>
        <v>3.6995851332278355E-3</v>
      </c>
      <c r="BS54" s="39">
        <f t="shared" si="718"/>
        <v>2.2665318999050423E-4</v>
      </c>
      <c r="BT54" s="39">
        <f t="shared" si="718"/>
        <v>7.8079525326557077E-4</v>
      </c>
      <c r="BU54" s="39">
        <f t="shared" si="718"/>
        <v>9.7278846769421141E-4</v>
      </c>
      <c r="BV54" s="39">
        <f t="shared" si="718"/>
        <v>0.1900990572508372</v>
      </c>
      <c r="BW54" s="39">
        <f t="shared" si="718"/>
        <v>0.19398493968698419</v>
      </c>
      <c r="BX54" s="39">
        <f t="shared" si="718"/>
        <v>0.20392621906762512</v>
      </c>
      <c r="BY54" s="39">
        <f t="shared" si="718"/>
        <v>0.20939630414327057</v>
      </c>
      <c r="BZ54" s="39">
        <f t="shared" si="718"/>
        <v>4.6454654710178414E-2</v>
      </c>
      <c r="CA54" s="39">
        <f t="shared" si="718"/>
        <v>5.1346008316214095E-2</v>
      </c>
      <c r="CB54" s="39">
        <f t="shared" si="718"/>
        <v>5.1786697362494374E-2</v>
      </c>
      <c r="CC54" s="39">
        <f t="shared" si="718"/>
        <v>8.4770670120946551E-2</v>
      </c>
      <c r="CD54" s="39">
        <f t="shared" si="718"/>
        <v>7.5853943994745598E-2</v>
      </c>
      <c r="CE54" s="39">
        <f t="shared" si="718"/>
        <v>7.4372331428542091E-2</v>
      </c>
      <c r="CF54" s="39">
        <f t="shared" si="718"/>
        <v>4.1240241909454627E-2</v>
      </c>
      <c r="CG54" s="39">
        <f t="shared" si="718"/>
        <v>2.5779351051949728E-2</v>
      </c>
      <c r="CH54" s="39">
        <f t="shared" si="718"/>
        <v>2.1945116068099429E-2</v>
      </c>
      <c r="CI54" s="39">
        <f t="shared" si="718"/>
        <v>9.9133942258107816E-2</v>
      </c>
      <c r="CJ54" s="39">
        <f t="shared" si="718"/>
        <v>8.5220165690770996E-2</v>
      </c>
      <c r="CK54" s="39">
        <f t="shared" si="718"/>
        <v>7.7336822212530909E-2</v>
      </c>
      <c r="CL54" s="39">
        <f t="shared" si="718"/>
        <v>6.9408268740087722E-2</v>
      </c>
      <c r="CM54" s="40">
        <f t="shared" si="718"/>
        <v>1.9016608277919164E-2</v>
      </c>
      <c r="CN54" s="40">
        <f t="shared" si="718"/>
        <v>4.2292419988257966E-2</v>
      </c>
      <c r="CO54" s="40">
        <f t="shared" si="718"/>
        <v>6.6229928126672832E-2</v>
      </c>
      <c r="CP54" s="40">
        <f t="shared" si="718"/>
        <v>9.2941941342659248E-2</v>
      </c>
      <c r="CQ54" s="40">
        <f t="shared" si="718"/>
        <v>9.4515846988113453E-2</v>
      </c>
      <c r="CR54" s="40">
        <f t="shared" si="718"/>
        <v>9.9268358448313235E-2</v>
      </c>
      <c r="CS54" s="40">
        <f t="shared" si="718"/>
        <v>0.10459322031707849</v>
      </c>
      <c r="CT54" s="40">
        <f t="shared" si="718"/>
        <v>0.11103243974462845</v>
      </c>
      <c r="CU54" s="40">
        <f t="shared" si="718"/>
        <v>0.11455161044386357</v>
      </c>
      <c r="CV54" s="40">
        <f t="shared" si="718"/>
        <v>0.12017532296041407</v>
      </c>
      <c r="CW54" s="40">
        <f t="shared" si="718"/>
        <v>0.12561905272490295</v>
      </c>
      <c r="CX54" s="40">
        <f t="shared" ref="CX54:DB54" si="719">(SUM(CU48:CX48)-SUM(CU47:CX47))/CX120</f>
        <v>0.13178164091004135</v>
      </c>
      <c r="CY54" s="40">
        <f t="shared" si="719"/>
        <v>0.13634315134615288</v>
      </c>
      <c r="CZ54" s="40">
        <f t="shared" si="719"/>
        <v>0.14226776054289836</v>
      </c>
      <c r="DA54" s="40">
        <f t="shared" si="719"/>
        <v>0.14800447002953088</v>
      </c>
      <c r="DB54" s="40">
        <f t="shared" si="719"/>
        <v>0.15412885726204775</v>
      </c>
      <c r="DE54" s="122"/>
      <c r="DF54" s="38">
        <v>4.6544677473996897E-2</v>
      </c>
    </row>
    <row r="55" spans="1:110" s="38" customFormat="1" x14ac:dyDescent="0.2">
      <c r="A55" s="38" t="s">
        <v>351</v>
      </c>
      <c r="B55" s="39">
        <f t="shared" ref="B55:AE55" si="720">+B34/B129</f>
        <v>-0.84152991128254384</v>
      </c>
      <c r="C55" s="39">
        <f t="shared" si="720"/>
        <v>-6.7216874180192039E-3</v>
      </c>
      <c r="D55" s="39">
        <f t="shared" si="720"/>
        <v>-5.6333181409920193E-3</v>
      </c>
      <c r="E55" s="39">
        <f t="shared" si="720"/>
        <v>-0.19944267935397247</v>
      </c>
      <c r="F55" s="39">
        <f t="shared" si="720"/>
        <v>-3.2261895092078677E-2</v>
      </c>
      <c r="G55" s="39">
        <f t="shared" si="720"/>
        <v>-3.5147882024161289E-2</v>
      </c>
      <c r="H55" s="39">
        <f t="shared" si="720"/>
        <v>2.5921475801414832E-4</v>
      </c>
      <c r="I55" s="39">
        <f t="shared" si="720"/>
        <v>-1.8229789545086172E-3</v>
      </c>
      <c r="J55" s="39">
        <f t="shared" si="720"/>
        <v>-1.6811202390331768E-2</v>
      </c>
      <c r="K55" s="39">
        <f t="shared" si="720"/>
        <v>4.2962973668357366E-5</v>
      </c>
      <c r="L55" s="39">
        <f t="shared" si="720"/>
        <v>-5.1304627777461745E-3</v>
      </c>
      <c r="M55" s="39">
        <f t="shared" si="720"/>
        <v>6.3537407877176322E-2</v>
      </c>
      <c r="N55" s="39">
        <f t="shared" si="720"/>
        <v>8.2315139660000028E-4</v>
      </c>
      <c r="O55" s="39">
        <f t="shared" si="720"/>
        <v>-4.550852570887047E-3</v>
      </c>
      <c r="P55" s="39">
        <f t="shared" si="720"/>
        <v>1.3269456468672251E-3</v>
      </c>
      <c r="Q55" s="39">
        <f t="shared" si="720"/>
        <v>-1.1253831315862833E-2</v>
      </c>
      <c r="R55" s="39">
        <f t="shared" si="720"/>
        <v>-4.2568938312446073E-3</v>
      </c>
      <c r="S55" s="39">
        <f t="shared" si="720"/>
        <v>-1.5008022299392638E-2</v>
      </c>
      <c r="T55" s="39">
        <f t="shared" si="720"/>
        <v>-2.3959213185972109E-2</v>
      </c>
      <c r="U55" s="39">
        <f t="shared" si="720"/>
        <v>-5.6751304793314326E-3</v>
      </c>
      <c r="V55" s="39">
        <f t="shared" si="720"/>
        <v>-4.175389424269163E-3</v>
      </c>
      <c r="W55" s="39">
        <f t="shared" si="720"/>
        <v>3.5083379717707657E-3</v>
      </c>
      <c r="X55" s="39">
        <f t="shared" si="720"/>
        <v>4.1000049852250552E-2</v>
      </c>
      <c r="Y55" s="39">
        <f t="shared" si="720"/>
        <v>4.0985119516845026E-2</v>
      </c>
      <c r="Z55" s="39">
        <f t="shared" si="720"/>
        <v>2.9014997973246859E-2</v>
      </c>
      <c r="AA55" s="39">
        <f t="shared" ref="AA55" si="721">+AA34/AA129</f>
        <v>1.5123211123925834E-2</v>
      </c>
      <c r="AB55" s="40">
        <f t="shared" si="720"/>
        <v>1.676110263792005E-2</v>
      </c>
      <c r="AC55" s="40">
        <f t="shared" si="720"/>
        <v>2.0539155177375156E-2</v>
      </c>
      <c r="AD55" s="40">
        <f t="shared" si="720"/>
        <v>2.376434591247957E-2</v>
      </c>
      <c r="AE55" s="40">
        <f t="shared" si="720"/>
        <v>2.6300674243627982E-2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8.217993079584966E-4</v>
      </c>
      <c r="AM55" s="39">
        <f t="shared" si="722"/>
        <v>-3.3769570050960845E-2</v>
      </c>
      <c r="AN55" s="39">
        <f t="shared" si="722"/>
        <v>-3.4356574271896111E-2</v>
      </c>
      <c r="AO55" s="39">
        <f t="shared" si="722"/>
        <v>-3.5052513180626917E-2</v>
      </c>
      <c r="AP55" s="39">
        <f t="shared" si="722"/>
        <v>-3.2918413484625306E-2</v>
      </c>
      <c r="AQ55" s="39">
        <f t="shared" si="722"/>
        <v>-4.3512999913621836E-3</v>
      </c>
      <c r="AR55" s="39">
        <f t="shared" si="722"/>
        <v>-3.5271456991177613E-3</v>
      </c>
      <c r="AS55" s="39">
        <f t="shared" si="722"/>
        <v>3.2001730797836251E-4</v>
      </c>
      <c r="AT55" s="39">
        <f t="shared" si="722"/>
        <v>1.3588348162159401E-3</v>
      </c>
      <c r="AU55" s="39">
        <f t="shared" si="722"/>
        <v>1.0920135136672873E-3</v>
      </c>
      <c r="AV55" s="39">
        <f t="shared" si="722"/>
        <v>7.0037600314276974E-4</v>
      </c>
      <c r="AW55" s="39">
        <f t="shared" si="722"/>
        <v>-3.0093945251044663E-3</v>
      </c>
      <c r="AX55" s="39">
        <f t="shared" si="722"/>
        <v>-1.1257749482883456E-2</v>
      </c>
      <c r="AY55" s="39">
        <f t="shared" si="722"/>
        <v>-1.0714462264849425E-2</v>
      </c>
      <c r="AZ55" s="39">
        <f t="shared" si="722"/>
        <v>-1.0285593018991091E-2</v>
      </c>
      <c r="BA55" s="39">
        <f t="shared" si="722"/>
        <v>-1.187837216111088E-2</v>
      </c>
      <c r="BB55" s="39">
        <f t="shared" si="722"/>
        <v>-4.2643923240938192E-3</v>
      </c>
      <c r="BC55" s="39">
        <f t="shared" si="722"/>
        <v>-4.5876706889706039E-3</v>
      </c>
      <c r="BD55" s="39">
        <f t="shared" si="722"/>
        <v>-4.395788416050911E-3</v>
      </c>
      <c r="BE55" s="39">
        <f t="shared" si="722"/>
        <v>-1.0739265964197738E-3</v>
      </c>
      <c r="BF55" s="39">
        <f t="shared" si="722"/>
        <v>-1.5012316762912387E-2</v>
      </c>
      <c r="BG55" s="39">
        <f t="shared" si="722"/>
        <v>-1.5030792335681794E-2</v>
      </c>
      <c r="BH55" s="39">
        <f t="shared" si="722"/>
        <v>-2.4061771441539932E-2</v>
      </c>
      <c r="BI55" s="39">
        <f t="shared" si="722"/>
        <v>-2.9976134438088213E-2</v>
      </c>
      <c r="BJ55" s="39">
        <f t="shared" si="722"/>
        <v>-2.3959752146661469E-2</v>
      </c>
      <c r="BK55" s="39">
        <f t="shared" si="722"/>
        <v>-2.4000095534650715E-2</v>
      </c>
      <c r="BL55" s="39">
        <f t="shared" si="722"/>
        <v>-1.5166946598530065E-2</v>
      </c>
      <c r="BM55" s="39">
        <f t="shared" si="722"/>
        <v>-1.2404472162160554E-2</v>
      </c>
      <c r="BN55" s="39">
        <f t="shared" si="722"/>
        <v>-5.6738497006179767E-3</v>
      </c>
      <c r="BO55" s="39">
        <f t="shared" si="722"/>
        <v>-5.2046845359769419E-3</v>
      </c>
      <c r="BP55" s="39">
        <f t="shared" si="722"/>
        <v>-4.5612979490872851E-3</v>
      </c>
      <c r="BQ55" s="39">
        <f t="shared" si="722"/>
        <v>-4.1873054704436186E-3</v>
      </c>
      <c r="BR55" s="39">
        <f t="shared" ref="BR55:CW55" si="723">+SUM(BO34:BR34)/BR129</f>
        <v>-4.1766200338136236E-3</v>
      </c>
      <c r="BS55" s="39">
        <f t="shared" si="723"/>
        <v>-1.1493903088472927E-2</v>
      </c>
      <c r="BT55" s="39">
        <f t="shared" si="723"/>
        <v>-4.996103558749675E-3</v>
      </c>
      <c r="BU55" s="39">
        <f t="shared" si="723"/>
        <v>-1.4878830434626041E-3</v>
      </c>
      <c r="BV55" s="39">
        <f t="shared" si="723"/>
        <v>3.5171141224240926E-3</v>
      </c>
      <c r="BW55" s="39">
        <f t="shared" si="723"/>
        <v>1.3873499169262598E-2</v>
      </c>
      <c r="BX55" s="39">
        <f t="shared" si="723"/>
        <v>1.8782443712513797E-2</v>
      </c>
      <c r="BY55" s="39">
        <f t="shared" si="723"/>
        <v>3.6977385912643865E-2</v>
      </c>
      <c r="BZ55" s="39">
        <f t="shared" si="723"/>
        <v>4.0999614544520099E-2</v>
      </c>
      <c r="CA55" s="39">
        <f t="shared" si="723"/>
        <v>4.5002760670694093E-2</v>
      </c>
      <c r="CB55" s="39">
        <f t="shared" si="723"/>
        <v>4.4331855210770904E-2</v>
      </c>
      <c r="CC55" s="39">
        <f t="shared" si="723"/>
        <v>5.3355752607350419E-2</v>
      </c>
      <c r="CD55" s="39">
        <f t="shared" si="723"/>
        <v>4.0983237445215565E-2</v>
      </c>
      <c r="CE55" s="39">
        <f t="shared" si="723"/>
        <v>4.5601213377605254E-2</v>
      </c>
      <c r="CF55" s="39">
        <f t="shared" si="723"/>
        <v>3.1460924807202376E-2</v>
      </c>
      <c r="CG55" s="39">
        <f t="shared" si="723"/>
        <v>3.1924869200734181E-2</v>
      </c>
      <c r="CH55" s="39">
        <f t="shared" si="723"/>
        <v>2.90122956357249E-2</v>
      </c>
      <c r="CI55" s="39">
        <f t="shared" si="723"/>
        <v>2.6960254234484997E-2</v>
      </c>
      <c r="CJ55" s="39">
        <f t="shared" si="723"/>
        <v>2.0169084889936673E-2</v>
      </c>
      <c r="CK55" s="39">
        <f t="shared" si="723"/>
        <v>1.5923268188269713E-2</v>
      </c>
      <c r="CL55" s="39">
        <f t="shared" si="723"/>
        <v>1.5121586718864214E-2</v>
      </c>
      <c r="CM55" s="40">
        <f t="shared" si="723"/>
        <v>1.4688830988655196E-2</v>
      </c>
      <c r="CN55" s="40">
        <f t="shared" si="723"/>
        <v>1.5359305548849502E-2</v>
      </c>
      <c r="CO55" s="40">
        <f t="shared" si="723"/>
        <v>1.4978686875979311E-2</v>
      </c>
      <c r="CP55" s="40">
        <f t="shared" si="723"/>
        <v>1.6761102637920036E-2</v>
      </c>
      <c r="CQ55" s="40">
        <f t="shared" si="723"/>
        <v>1.7698292091163036E-2</v>
      </c>
      <c r="CR55" s="40">
        <f t="shared" si="723"/>
        <v>1.8518954240834176E-2</v>
      </c>
      <c r="CS55" s="40">
        <f t="shared" si="723"/>
        <v>1.9016120399230053E-2</v>
      </c>
      <c r="CT55" s="40">
        <f t="shared" si="723"/>
        <v>2.0539155177375139E-2</v>
      </c>
      <c r="CU55" s="40">
        <f t="shared" si="723"/>
        <v>2.1447397229042198E-2</v>
      </c>
      <c r="CV55" s="40">
        <f t="shared" si="723"/>
        <v>2.2089099299582991E-2</v>
      </c>
      <c r="CW55" s="40">
        <f t="shared" si="723"/>
        <v>2.2490024132191568E-2</v>
      </c>
      <c r="CX55" s="40">
        <f t="shared" ref="CX55:DB55" si="724">+SUM(CU34:CX34)/CX129</f>
        <v>2.3764345912479581E-2</v>
      </c>
      <c r="CY55" s="40">
        <f t="shared" si="724"/>
        <v>2.458600495604113E-2</v>
      </c>
      <c r="CZ55" s="40">
        <f t="shared" si="724"/>
        <v>2.5032515878557694E-2</v>
      </c>
      <c r="DA55" s="40">
        <f t="shared" si="724"/>
        <v>2.5235413947141124E-2</v>
      </c>
      <c r="DB55" s="40">
        <f t="shared" si="724"/>
        <v>2.6300674243627978E-2</v>
      </c>
      <c r="DE55" s="122"/>
      <c r="DF55" s="38">
        <v>1.804078426169467E-2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-2.0000000000663931E-4</v>
      </c>
      <c r="O58" s="9">
        <f>O10-SUM(AM10:AP10)</f>
        <v>0</v>
      </c>
      <c r="P58" s="9">
        <f>P10-SUM(AQ10:AT10)</f>
        <v>8.779999996022525E-5</v>
      </c>
      <c r="Q58" s="9">
        <f>Q10-SUM(AU10:AX10)</f>
        <v>2.1000000003823516E-5</v>
      </c>
      <c r="R58" s="9">
        <f>R10-SUM(AY10:BB10)</f>
        <v>2.1279999999990196E-4</v>
      </c>
      <c r="S58" s="9">
        <f>S10-SUM(BC10:BF10)</f>
        <v>-6.0000000001991793E-4</v>
      </c>
      <c r="T58" s="9">
        <f>T10-SUM(BG10:BJ10)</f>
        <v>-9.9999999997990585E-5</v>
      </c>
      <c r="U58" s="9">
        <f>U10-SUM(BK10:BN10)</f>
        <v>-3.9999999999995595E-4</v>
      </c>
      <c r="V58" s="9">
        <f>V10-SUM(BO10:BR10)</f>
        <v>-1.0000000000010001E-4</v>
      </c>
      <c r="W58" s="9">
        <f>W10-SUM(BS10:BV10)</f>
        <v>7.0000000000192131E-4</v>
      </c>
      <c r="X58" s="9">
        <f>X10-SUM(BW10:BZ10)</f>
        <v>0</v>
      </c>
      <c r="Y58" s="9">
        <f>Y10-SUM(CA10:CD10)</f>
        <v>4.0000000001327862E-4</v>
      </c>
      <c r="Z58" s="9">
        <f>Z10-SUM(CE10:CH10)</f>
        <v>9.9999999999909051E-3</v>
      </c>
      <c r="AA58" s="9">
        <f>AA10-SUM(CF10:CI10)</f>
        <v>260.28999999999996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0.12199999999998568</v>
      </c>
      <c r="O59" s="9">
        <f>O16-SUM(AM16:AP16)</f>
        <v>0.249</v>
      </c>
      <c r="P59" s="9">
        <f>P16-SUM(AQ16:AT16)</f>
        <v>-5.2640000004089416E-4</v>
      </c>
      <c r="Q59" s="9">
        <f>Q16-SUM(AU16:AX16)</f>
        <v>1.7840000001712042E-4</v>
      </c>
      <c r="R59" s="9">
        <f>R16-SUM(AY16:BB16)</f>
        <v>1.1416000000021853E-3</v>
      </c>
      <c r="S59" s="9">
        <f>S16-SUM(BC16:BF16)</f>
        <v>-3.9999999999906777E-4</v>
      </c>
      <c r="T59" s="9">
        <f>T16-SUM(BG16:BJ16)</f>
        <v>-4.9999999999883471E-4</v>
      </c>
      <c r="U59" s="9">
        <f>U16-SUM(BK16:BN16)</f>
        <v>-3.9999999999995595E-4</v>
      </c>
      <c r="V59" s="9">
        <f>V16-SUM(BO16:BR16)</f>
        <v>-2.00000000000089E-4</v>
      </c>
      <c r="W59" s="9">
        <f>W16-SUM(BS16:BV16)</f>
        <v>2.9999999999574811E-4</v>
      </c>
      <c r="X59" s="9">
        <f>X16-SUM(BW16:BZ16)</f>
        <v>50.101299999999981</v>
      </c>
      <c r="Y59" s="9">
        <f>Y16-SUM(CA16:CD16)</f>
        <v>87.460599999999971</v>
      </c>
      <c r="Z59" s="9">
        <f>Z16-SUM(CE16:CH16)</f>
        <v>154.27999999999997</v>
      </c>
      <c r="AA59" s="9">
        <f>AA16-SUM(CF16:CI16)</f>
        <v>285.30999999999995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3.9999999998574509E-4</v>
      </c>
      <c r="O60" s="9">
        <f>O28-SUM(AM28:AP28)</f>
        <v>10.5147063</v>
      </c>
      <c r="P60" s="9">
        <f>P28-SUM(AQ28:AT28)</f>
        <v>1.7953999999595904E-3</v>
      </c>
      <c r="Q60" s="9">
        <f>Q28-SUM(AU28:AX28)</f>
        <v>1.7945000000176847E-3</v>
      </c>
      <c r="R60" s="9">
        <f>R28-SUM(AY28:BB28)</f>
        <v>1.4663000000023629E-3</v>
      </c>
      <c r="S60" s="9">
        <f>S28-SUM(BC28:BF28)</f>
        <v>-2.9999999999930083E-4</v>
      </c>
      <c r="T60" s="9">
        <f>T28-SUM(BG28:BJ28)</f>
        <v>0</v>
      </c>
      <c r="U60" s="9">
        <f>U28-SUM(BK28:BN28)</f>
        <v>0</v>
      </c>
      <c r="V60" s="9">
        <f>V28-SUM(BO28:BR28)</f>
        <v>7.9999999999991189E-4</v>
      </c>
      <c r="W60" s="9">
        <f>W28-SUM(BS28:BV28)</f>
        <v>1.7000000000022553E-3</v>
      </c>
      <c r="X60" s="9">
        <f>X28-SUM(BW28:BZ28)</f>
        <v>1.0999999999512511E-3</v>
      </c>
      <c r="Y60" s="9">
        <f>Y28-SUM(CA28:CD28)</f>
        <v>3.999999999962256E-3</v>
      </c>
      <c r="Z60" s="9">
        <f>Z28-SUM(CE28:CH28)</f>
        <v>2.0000000000010232E-2</v>
      </c>
      <c r="AA60" s="9">
        <f>AA28-SUM(CF28:CI28)</f>
        <v>-1.8100000000001302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-1.4210854715202004E-13</v>
      </c>
    </row>
    <row r="61" spans="1:110" s="9" customFormat="1" x14ac:dyDescent="0.2">
      <c r="A61" s="9" t="s">
        <v>456</v>
      </c>
      <c r="N61" s="9">
        <f>N48-SUM(AI48:AL48)</f>
        <v>1.9999999998709939E-4</v>
      </c>
      <c r="O61" s="9">
        <f>O48-SUM(AM48:AP48)</f>
        <v>9.3040000000144119E-4</v>
      </c>
      <c r="P61" s="9">
        <f>P48-SUM(AQ48:AT48)</f>
        <v>2.2599232999999597</v>
      </c>
      <c r="Q61" s="9">
        <f>Q48-SUM(AU48:AX48)</f>
        <v>2.8147329000000165</v>
      </c>
      <c r="R61" s="9">
        <f>R48-SUM(AY48:BB48)</f>
        <v>2.3956212000000017</v>
      </c>
      <c r="S61" s="9">
        <f>S48-SUM(BC48:BF48)</f>
        <v>2.2766000000000015</v>
      </c>
      <c r="T61" s="9">
        <f>T48-SUM(BG48:BJ48)</f>
        <v>-1.6000000000033765E-3</v>
      </c>
      <c r="U61" s="9">
        <f>U48-SUM(BK48:BN48)</f>
        <v>-5.9999999999948983E-4</v>
      </c>
      <c r="V61" s="9">
        <f>V48-SUM(BO48:BR48)</f>
        <v>1.2999999999998568E-3</v>
      </c>
      <c r="W61" s="9">
        <f>W41-SUM(BS41:BV41)</f>
        <v>-2.0000000000095497E-3</v>
      </c>
      <c r="X61" s="9">
        <f>X41-SUM(BW41:BZ41)</f>
        <v>-1.0000000005305765E-4</v>
      </c>
      <c r="Y61" s="9">
        <f>Y41-SUM(CA41:CD41)</f>
        <v>1.9999999992137418E-4</v>
      </c>
      <c r="Z61" s="9">
        <f>Z41-SUM(CE41:CH41)</f>
        <v>0</v>
      </c>
      <c r="AA61" s="9">
        <f>AA41-SUM(CF41:CI41)</f>
        <v>34.149999999999864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205.81</v>
      </c>
      <c r="C63" s="3">
        <f>'Annual Raw'!D104</f>
        <v>205.81</v>
      </c>
      <c r="D63" s="3">
        <f>'Annual Raw'!E104</f>
        <v>205.81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139.93</v>
      </c>
      <c r="AJ63" s="3">
        <f t="shared" si="730"/>
        <v>139.93</v>
      </c>
      <c r="AK63" s="3">
        <f t="shared" si="730"/>
        <v>139.93</v>
      </c>
      <c r="AL63" s="3">
        <f t="shared" si="730"/>
        <v>139.93</v>
      </c>
      <c r="AM63" s="3">
        <f t="shared" si="730"/>
        <v>139.93</v>
      </c>
      <c r="AN63" s="3">
        <f t="shared" si="730"/>
        <v>139.93</v>
      </c>
      <c r="AO63" s="3">
        <f t="shared" si="730"/>
        <v>139.93</v>
      </c>
      <c r="AP63" s="3">
        <f t="shared" si="730"/>
        <v>139.93</v>
      </c>
      <c r="AQ63" s="3">
        <f t="shared" si="730"/>
        <v>139.93</v>
      </c>
      <c r="AR63" s="3">
        <f t="shared" si="730"/>
        <v>139.93</v>
      </c>
      <c r="AS63" s="3">
        <f t="shared" si="730"/>
        <v>139.93</v>
      </c>
      <c r="AT63" s="3">
        <f t="shared" si="730"/>
        <v>139.93</v>
      </c>
      <c r="AU63" s="3">
        <f t="shared" si="730"/>
        <v>139.93</v>
      </c>
      <c r="AV63" s="3">
        <f t="shared" si="730"/>
        <v>139.93</v>
      </c>
      <c r="AW63" s="3">
        <f t="shared" si="730"/>
        <v>139.93</v>
      </c>
      <c r="AX63" s="3">
        <f t="shared" si="730"/>
        <v>139.93</v>
      </c>
      <c r="AY63" s="3">
        <f t="shared" si="730"/>
        <v>139.93</v>
      </c>
      <c r="AZ63" s="3">
        <f t="shared" si="730"/>
        <v>139.93</v>
      </c>
      <c r="BA63" s="3">
        <f t="shared" si="730"/>
        <v>139.93</v>
      </c>
      <c r="BB63" s="3">
        <f t="shared" si="730"/>
        <v>139.93</v>
      </c>
      <c r="BC63" s="3">
        <f t="shared" si="730"/>
        <v>139.93</v>
      </c>
      <c r="BD63" s="3">
        <f t="shared" si="730"/>
        <v>139.93</v>
      </c>
      <c r="BE63" s="3">
        <f t="shared" si="730"/>
        <v>139.93</v>
      </c>
      <c r="BF63" s="3">
        <f t="shared" si="730"/>
        <v>139.93</v>
      </c>
      <c r="BG63" s="3">
        <f t="shared" si="730"/>
        <v>139.93</v>
      </c>
      <c r="BH63" s="3">
        <f t="shared" si="730"/>
        <v>139.93</v>
      </c>
      <c r="BI63" s="3">
        <f t="shared" si="730"/>
        <v>139.93</v>
      </c>
      <c r="BJ63" s="3">
        <f t="shared" si="730"/>
        <v>139.93</v>
      </c>
      <c r="BK63" s="3">
        <f t="shared" si="730"/>
        <v>139.93</v>
      </c>
      <c r="BL63" s="3">
        <f t="shared" si="730"/>
        <v>139.93</v>
      </c>
      <c r="BM63" s="3">
        <f t="shared" si="730"/>
        <v>139.93</v>
      </c>
      <c r="BN63" s="3">
        <f t="shared" si="730"/>
        <v>139.93</v>
      </c>
      <c r="BO63" s="3">
        <f t="shared" si="730"/>
        <v>139.93</v>
      </c>
      <c r="BP63" s="3">
        <f t="shared" si="730"/>
        <v>139.93</v>
      </c>
      <c r="BQ63" s="3">
        <f t="shared" si="730"/>
        <v>139.93</v>
      </c>
      <c r="BR63" s="3">
        <f t="shared" si="730"/>
        <v>139.93</v>
      </c>
      <c r="BS63" s="3">
        <f t="shared" si="730"/>
        <v>139.93</v>
      </c>
      <c r="BT63" s="3">
        <f t="shared" si="730"/>
        <v>139.93</v>
      </c>
      <c r="BU63" s="3">
        <f t="shared" si="730"/>
        <v>139.93</v>
      </c>
      <c r="BV63" s="3">
        <f t="shared" si="730"/>
        <v>139.93</v>
      </c>
      <c r="BW63" s="3">
        <f t="shared" si="730"/>
        <v>139.93</v>
      </c>
      <c r="BX63" s="3">
        <f t="shared" si="730"/>
        <v>139.93</v>
      </c>
      <c r="BY63" s="3">
        <f t="shared" si="730"/>
        <v>139.93</v>
      </c>
      <c r="BZ63" s="3">
        <f t="shared" si="730"/>
        <v>139.93</v>
      </c>
      <c r="CA63" s="3">
        <f t="shared" si="730"/>
        <v>139.93</v>
      </c>
      <c r="CB63" s="3">
        <f t="shared" si="730"/>
        <v>139.93</v>
      </c>
      <c r="CC63" s="3">
        <f t="shared" si="730"/>
        <v>139.93</v>
      </c>
      <c r="CD63" s="3">
        <f t="shared" si="730"/>
        <v>139.93</v>
      </c>
      <c r="CE63" s="3">
        <f t="shared" si="730"/>
        <v>139.93</v>
      </c>
      <c r="CF63" s="3">
        <f t="shared" si="730"/>
        <v>139.93</v>
      </c>
      <c r="CG63" s="3">
        <f t="shared" si="730"/>
        <v>139.93</v>
      </c>
      <c r="CH63" s="3">
        <f t="shared" si="730"/>
        <v>139.93</v>
      </c>
      <c r="CI63" s="3">
        <f>+CJ63</f>
        <v>139.93</v>
      </c>
      <c r="CJ63" s="3">
        <f>'QTR Raw'!BD45</f>
        <v>139.93</v>
      </c>
      <c r="CK63" s="3">
        <f>'QTR Raw'!BE45</f>
        <v>139.93</v>
      </c>
      <c r="CL63" s="3">
        <f>'QTR Raw'!BF45</f>
        <v>151.04</v>
      </c>
      <c r="CM63" s="37">
        <f t="shared" ref="CM63:CM64" si="731">+CL63</f>
        <v>151.04</v>
      </c>
      <c r="CN63" s="37">
        <f t="shared" ref="CN63:CN64" si="732">+CM63</f>
        <v>151.04</v>
      </c>
      <c r="CO63" s="37">
        <f t="shared" ref="CO63:CO64" si="733">+CN63</f>
        <v>151.04</v>
      </c>
      <c r="CP63" s="37">
        <f t="shared" ref="CP63:CP64" si="734">+CO63</f>
        <v>151.04</v>
      </c>
      <c r="CQ63" s="37">
        <f t="shared" ref="CQ63:CQ64" si="735">+CP63</f>
        <v>151.04</v>
      </c>
      <c r="CR63" s="37">
        <f t="shared" ref="CR63:CR64" si="736">+CQ63</f>
        <v>151.04</v>
      </c>
      <c r="CS63" s="37">
        <f t="shared" ref="CS63:CS64" si="737">+CR63</f>
        <v>151.04</v>
      </c>
      <c r="CT63" s="37">
        <f t="shared" ref="CT63:CT64" si="738">+CS63</f>
        <v>151.04</v>
      </c>
      <c r="CU63" s="37">
        <f t="shared" ref="CU63:CU64" si="739">+CT63</f>
        <v>151.04</v>
      </c>
      <c r="CV63" s="37">
        <f t="shared" ref="CV63:CV64" si="740">+CU63</f>
        <v>151.04</v>
      </c>
      <c r="CW63" s="37">
        <f t="shared" ref="CW63:CW64" si="741">+CV63</f>
        <v>151.04</v>
      </c>
      <c r="CX63" s="37">
        <f t="shared" ref="CX63:CX64" si="742">+CW63</f>
        <v>151.04</v>
      </c>
      <c r="CY63" s="37">
        <f t="shared" ref="CY63:CY64" si="743">+CX63</f>
        <v>151.04</v>
      </c>
      <c r="CZ63" s="37">
        <f t="shared" ref="CZ63:CZ64" si="744">+CY63</f>
        <v>151.04</v>
      </c>
      <c r="DA63" s="37">
        <f t="shared" ref="DA63:DA64" si="745">+CZ63</f>
        <v>151.04</v>
      </c>
      <c r="DB63" s="37">
        <f t="shared" ref="DB63:DB64" si="746">+DA63</f>
        <v>151.04</v>
      </c>
      <c r="DE63" s="134"/>
      <c r="DF63" s="3">
        <v>139.93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1</v>
      </c>
      <c r="AJ64" s="3">
        <f t="shared" si="748"/>
        <v>1</v>
      </c>
      <c r="AK64" s="3">
        <f t="shared" si="748"/>
        <v>1</v>
      </c>
      <c r="AL64" s="3">
        <f t="shared" si="748"/>
        <v>1</v>
      </c>
      <c r="AM64" s="3">
        <f t="shared" si="748"/>
        <v>1</v>
      </c>
      <c r="AN64" s="3">
        <f t="shared" si="748"/>
        <v>1</v>
      </c>
      <c r="AO64" s="3">
        <f t="shared" si="748"/>
        <v>1</v>
      </c>
      <c r="AP64" s="3">
        <f t="shared" si="748"/>
        <v>1</v>
      </c>
      <c r="AQ64" s="3">
        <f t="shared" si="748"/>
        <v>1</v>
      </c>
      <c r="AR64" s="3">
        <f t="shared" si="748"/>
        <v>1</v>
      </c>
      <c r="AS64" s="3">
        <f t="shared" si="748"/>
        <v>1</v>
      </c>
      <c r="AT64" s="3">
        <f t="shared" si="748"/>
        <v>1</v>
      </c>
      <c r="AU64" s="3">
        <f t="shared" si="748"/>
        <v>1</v>
      </c>
      <c r="AV64" s="3">
        <f t="shared" si="748"/>
        <v>1</v>
      </c>
      <c r="AW64" s="3">
        <f t="shared" si="748"/>
        <v>1</v>
      </c>
      <c r="AX64" s="3">
        <f t="shared" si="748"/>
        <v>1</v>
      </c>
      <c r="AY64" s="3">
        <f t="shared" si="748"/>
        <v>1</v>
      </c>
      <c r="AZ64" s="3">
        <f t="shared" si="748"/>
        <v>1</v>
      </c>
      <c r="BA64" s="3">
        <f t="shared" si="748"/>
        <v>1</v>
      </c>
      <c r="BB64" s="3">
        <f t="shared" si="748"/>
        <v>1</v>
      </c>
      <c r="BC64" s="3">
        <f t="shared" si="748"/>
        <v>1</v>
      </c>
      <c r="BD64" s="3">
        <f t="shared" si="748"/>
        <v>1</v>
      </c>
      <c r="BE64" s="3">
        <f t="shared" si="748"/>
        <v>1</v>
      </c>
      <c r="BF64" s="3">
        <f t="shared" si="748"/>
        <v>1</v>
      </c>
      <c r="BG64" s="3">
        <f t="shared" si="748"/>
        <v>1</v>
      </c>
      <c r="BH64" s="3">
        <f t="shared" si="748"/>
        <v>1</v>
      </c>
      <c r="BI64" s="3">
        <f t="shared" si="748"/>
        <v>1</v>
      </c>
      <c r="BJ64" s="3">
        <f t="shared" si="748"/>
        <v>1</v>
      </c>
      <c r="BK64" s="3">
        <f t="shared" si="748"/>
        <v>1</v>
      </c>
      <c r="BL64" s="3">
        <f t="shared" si="748"/>
        <v>1</v>
      </c>
      <c r="BM64" s="3">
        <f t="shared" si="748"/>
        <v>1</v>
      </c>
      <c r="BN64" s="3">
        <f t="shared" si="748"/>
        <v>1</v>
      </c>
      <c r="BO64" s="3">
        <f t="shared" si="748"/>
        <v>1</v>
      </c>
      <c r="BP64" s="3">
        <f t="shared" si="748"/>
        <v>1</v>
      </c>
      <c r="BQ64" s="3">
        <f t="shared" si="748"/>
        <v>1</v>
      </c>
      <c r="BR64" s="3">
        <f t="shared" si="748"/>
        <v>1</v>
      </c>
      <c r="BS64" s="3">
        <f t="shared" si="748"/>
        <v>1</v>
      </c>
      <c r="BT64" s="3">
        <f t="shared" si="748"/>
        <v>1</v>
      </c>
      <c r="BU64" s="3">
        <f t="shared" si="748"/>
        <v>1</v>
      </c>
      <c r="BV64" s="3">
        <f t="shared" si="748"/>
        <v>1</v>
      </c>
      <c r="BW64" s="3">
        <f t="shared" si="748"/>
        <v>1</v>
      </c>
      <c r="BX64" s="3">
        <f t="shared" si="748"/>
        <v>1</v>
      </c>
      <c r="BY64" s="3">
        <f t="shared" si="748"/>
        <v>1</v>
      </c>
      <c r="BZ64" s="3">
        <f t="shared" si="748"/>
        <v>1</v>
      </c>
      <c r="CA64" s="3">
        <f t="shared" si="748"/>
        <v>1</v>
      </c>
      <c r="CB64" s="3">
        <f t="shared" si="748"/>
        <v>1</v>
      </c>
      <c r="CC64" s="3">
        <f t="shared" si="748"/>
        <v>1</v>
      </c>
      <c r="CD64" s="3">
        <f t="shared" si="748"/>
        <v>1</v>
      </c>
      <c r="CE64" s="3">
        <f t="shared" si="748"/>
        <v>1</v>
      </c>
      <c r="CF64" s="3">
        <f t="shared" si="748"/>
        <v>1</v>
      </c>
      <c r="CG64" s="3">
        <f t="shared" si="748"/>
        <v>1</v>
      </c>
      <c r="CH64" s="3">
        <f t="shared" si="748"/>
        <v>1</v>
      </c>
      <c r="CI64" s="3">
        <f>CJ64</f>
        <v>1</v>
      </c>
      <c r="CJ64" s="3">
        <f>'QTR Raw'!BD46</f>
        <v>1</v>
      </c>
      <c r="CK64" s="3">
        <f>'QTR Raw'!BE46</f>
        <v>1</v>
      </c>
      <c r="CL64" s="3">
        <f>'QTR Raw'!BF46</f>
        <v>1</v>
      </c>
      <c r="CM64" s="37">
        <f t="shared" si="731"/>
        <v>1</v>
      </c>
      <c r="CN64" s="37">
        <f t="shared" si="732"/>
        <v>1</v>
      </c>
      <c r="CO64" s="37">
        <f t="shared" si="733"/>
        <v>1</v>
      </c>
      <c r="CP64" s="37">
        <f t="shared" si="734"/>
        <v>1</v>
      </c>
      <c r="CQ64" s="37">
        <f t="shared" si="735"/>
        <v>1</v>
      </c>
      <c r="CR64" s="37">
        <f t="shared" si="736"/>
        <v>1</v>
      </c>
      <c r="CS64" s="37">
        <f t="shared" si="737"/>
        <v>1</v>
      </c>
      <c r="CT64" s="37">
        <f t="shared" si="738"/>
        <v>1</v>
      </c>
      <c r="CU64" s="37">
        <f t="shared" si="739"/>
        <v>1</v>
      </c>
      <c r="CV64" s="37">
        <f t="shared" si="740"/>
        <v>1</v>
      </c>
      <c r="CW64" s="37">
        <f t="shared" si="741"/>
        <v>1</v>
      </c>
      <c r="CX64" s="37">
        <f t="shared" si="742"/>
        <v>1</v>
      </c>
      <c r="CY64" s="37">
        <f t="shared" si="743"/>
        <v>1</v>
      </c>
      <c r="CZ64" s="37">
        <f t="shared" si="744"/>
        <v>1</v>
      </c>
      <c r="DA64" s="37">
        <f t="shared" si="745"/>
        <v>1</v>
      </c>
      <c r="DB64" s="37">
        <f t="shared" si="746"/>
        <v>1</v>
      </c>
      <c r="DE64" s="134"/>
      <c r="DF64" s="3">
        <v>1</v>
      </c>
    </row>
    <row r="65" spans="1:110" s="3" customFormat="1" x14ac:dyDescent="0.2">
      <c r="A65" s="3" t="s">
        <v>29</v>
      </c>
      <c r="B65" s="3">
        <f>B63/B64</f>
        <v>20.581</v>
      </c>
      <c r="C65" s="3">
        <f t="shared" ref="C65:W65" si="749">C63/C64</f>
        <v>20.581</v>
      </c>
      <c r="D65" s="3">
        <f t="shared" si="749"/>
        <v>20.581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139.93</v>
      </c>
      <c r="AJ65" s="3">
        <f t="shared" ref="AJ65" si="755">AJ63/AJ64</f>
        <v>139.93</v>
      </c>
      <c r="AK65" s="3">
        <f t="shared" ref="AK65:AM65" si="756">AK63/AK64</f>
        <v>139.93</v>
      </c>
      <c r="AL65" s="3">
        <f t="shared" si="756"/>
        <v>139.93</v>
      </c>
      <c r="AM65" s="3">
        <f t="shared" si="756"/>
        <v>139.93</v>
      </c>
      <c r="AN65" s="3">
        <f t="shared" ref="AN65:AO65" si="757">AN63/AN64</f>
        <v>139.93</v>
      </c>
      <c r="AO65" s="3">
        <f t="shared" si="757"/>
        <v>139.93</v>
      </c>
      <c r="AP65" s="3">
        <f t="shared" ref="AP65:CD65" si="758">AP63/AP64</f>
        <v>139.93</v>
      </c>
      <c r="AQ65" s="3">
        <f t="shared" si="758"/>
        <v>139.93</v>
      </c>
      <c r="AR65" s="3">
        <f t="shared" si="758"/>
        <v>139.93</v>
      </c>
      <c r="AS65" s="3">
        <f t="shared" si="758"/>
        <v>139.93</v>
      </c>
      <c r="AT65" s="3">
        <f t="shared" si="758"/>
        <v>139.93</v>
      </c>
      <c r="AU65" s="3">
        <f t="shared" si="758"/>
        <v>139.93</v>
      </c>
      <c r="AV65" s="3">
        <f t="shared" si="758"/>
        <v>139.93</v>
      </c>
      <c r="AW65" s="3">
        <f t="shared" si="758"/>
        <v>139.93</v>
      </c>
      <c r="AX65" s="3">
        <f t="shared" si="758"/>
        <v>139.93</v>
      </c>
      <c r="AY65" s="3">
        <f t="shared" si="758"/>
        <v>139.93</v>
      </c>
      <c r="AZ65" s="3">
        <f t="shared" si="758"/>
        <v>139.93</v>
      </c>
      <c r="BA65" s="3">
        <f t="shared" si="758"/>
        <v>139.93</v>
      </c>
      <c r="BB65" s="3">
        <f t="shared" si="758"/>
        <v>139.93</v>
      </c>
      <c r="BC65" s="3">
        <f t="shared" si="758"/>
        <v>139.93</v>
      </c>
      <c r="BD65" s="3">
        <f t="shared" si="758"/>
        <v>139.93</v>
      </c>
      <c r="BE65" s="3">
        <f t="shared" si="758"/>
        <v>139.93</v>
      </c>
      <c r="BF65" s="3">
        <f t="shared" si="758"/>
        <v>139.93</v>
      </c>
      <c r="BG65" s="3">
        <f t="shared" si="758"/>
        <v>139.93</v>
      </c>
      <c r="BH65" s="3">
        <f t="shared" si="758"/>
        <v>139.93</v>
      </c>
      <c r="BI65" s="3">
        <f t="shared" si="758"/>
        <v>139.93</v>
      </c>
      <c r="BJ65" s="3">
        <f t="shared" si="758"/>
        <v>139.93</v>
      </c>
      <c r="BK65" s="3">
        <f t="shared" si="758"/>
        <v>139.93</v>
      </c>
      <c r="BL65" s="3">
        <f t="shared" si="758"/>
        <v>139.93</v>
      </c>
      <c r="BM65" s="3">
        <f t="shared" si="758"/>
        <v>139.93</v>
      </c>
      <c r="BN65" s="3">
        <f t="shared" si="758"/>
        <v>139.93</v>
      </c>
      <c r="BO65" s="3">
        <f t="shared" si="758"/>
        <v>139.93</v>
      </c>
      <c r="BP65" s="3">
        <f t="shared" si="758"/>
        <v>139.93</v>
      </c>
      <c r="BQ65" s="3">
        <f t="shared" si="758"/>
        <v>139.93</v>
      </c>
      <c r="BR65" s="3">
        <f t="shared" si="758"/>
        <v>139.93</v>
      </c>
      <c r="BS65" s="3">
        <f t="shared" si="758"/>
        <v>139.93</v>
      </c>
      <c r="BT65" s="3">
        <f t="shared" si="758"/>
        <v>139.93</v>
      </c>
      <c r="BU65" s="3">
        <f t="shared" si="758"/>
        <v>139.93</v>
      </c>
      <c r="BV65" s="3">
        <f t="shared" si="758"/>
        <v>139.93</v>
      </c>
      <c r="BW65" s="3">
        <f t="shared" si="758"/>
        <v>139.93</v>
      </c>
      <c r="BX65" s="3">
        <f t="shared" si="758"/>
        <v>139.93</v>
      </c>
      <c r="BY65" s="3">
        <f t="shared" si="758"/>
        <v>139.93</v>
      </c>
      <c r="BZ65" s="3">
        <f t="shared" si="758"/>
        <v>139.93</v>
      </c>
      <c r="CA65" s="3">
        <f t="shared" si="758"/>
        <v>139.93</v>
      </c>
      <c r="CB65" s="3">
        <f t="shared" si="758"/>
        <v>139.93</v>
      </c>
      <c r="CC65" s="3">
        <f t="shared" si="758"/>
        <v>139.93</v>
      </c>
      <c r="CD65" s="3">
        <f t="shared" si="758"/>
        <v>139.93</v>
      </c>
      <c r="CE65" s="3">
        <f t="shared" ref="CE65:CF65" si="759">CE63/CE64</f>
        <v>139.93</v>
      </c>
      <c r="CF65" s="3">
        <f t="shared" si="759"/>
        <v>139.93</v>
      </c>
      <c r="CG65" s="3">
        <f t="shared" ref="CG65:CH65" si="760">CG63/CG64</f>
        <v>139.93</v>
      </c>
      <c r="CH65" s="3">
        <f t="shared" si="760"/>
        <v>139.93</v>
      </c>
      <c r="CI65" s="3">
        <f t="shared" ref="CI65:CJ65" si="761">CI63/CI64</f>
        <v>139.93</v>
      </c>
      <c r="CJ65" s="3">
        <f t="shared" si="761"/>
        <v>139.93</v>
      </c>
      <c r="CK65" s="3">
        <f t="shared" ref="CK65:CL65" si="762">CK63/CK64</f>
        <v>139.93</v>
      </c>
      <c r="CL65" s="3">
        <f t="shared" si="762"/>
        <v>151.04</v>
      </c>
      <c r="CM65" s="37">
        <f t="shared" ref="CM65:DB65" si="763">CM63/CM64</f>
        <v>151.04</v>
      </c>
      <c r="CN65" s="37">
        <f t="shared" si="763"/>
        <v>151.04</v>
      </c>
      <c r="CO65" s="37">
        <f t="shared" si="763"/>
        <v>151.04</v>
      </c>
      <c r="CP65" s="37">
        <f t="shared" si="763"/>
        <v>151.04</v>
      </c>
      <c r="CQ65" s="37">
        <f t="shared" si="763"/>
        <v>151.04</v>
      </c>
      <c r="CR65" s="37">
        <f t="shared" si="763"/>
        <v>151.04</v>
      </c>
      <c r="CS65" s="37">
        <f t="shared" si="763"/>
        <v>151.04</v>
      </c>
      <c r="CT65" s="37">
        <f t="shared" si="763"/>
        <v>151.04</v>
      </c>
      <c r="CU65" s="37">
        <f t="shared" si="763"/>
        <v>151.04</v>
      </c>
      <c r="CV65" s="37">
        <f t="shared" si="763"/>
        <v>151.04</v>
      </c>
      <c r="CW65" s="37">
        <f t="shared" si="763"/>
        <v>151.04</v>
      </c>
      <c r="CX65" s="37">
        <f t="shared" si="763"/>
        <v>151.04</v>
      </c>
      <c r="CY65" s="37">
        <f t="shared" si="763"/>
        <v>151.04</v>
      </c>
      <c r="CZ65" s="37">
        <f t="shared" si="763"/>
        <v>151.04</v>
      </c>
      <c r="DA65" s="37">
        <f t="shared" si="763"/>
        <v>151.04</v>
      </c>
      <c r="DB65" s="37">
        <f t="shared" si="763"/>
        <v>151.04</v>
      </c>
      <c r="DE65" s="134"/>
      <c r="DF65" s="3">
        <v>139.93</v>
      </c>
    </row>
    <row r="66" spans="1:110" s="53" customFormat="1" x14ac:dyDescent="0.2">
      <c r="A66" s="53" t="s">
        <v>30</v>
      </c>
      <c r="B66" s="53">
        <f t="shared" ref="B66:AE66" si="764">(B48-B47)/B65</f>
        <v>-5.0252370954278218</v>
      </c>
      <c r="C66" s="53">
        <f t="shared" si="764"/>
        <v>-3.9699202759827024E-2</v>
      </c>
      <c r="D66" s="53">
        <f t="shared" si="764"/>
        <v>-1.497668130800253E-2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1.1970270849710613E-2</v>
      </c>
      <c r="AJ66" s="53">
        <f t="shared" si="766"/>
        <v>6.8605731437147168E-4</v>
      </c>
      <c r="AK66" s="53">
        <f t="shared" si="766"/>
        <v>-2.4798113342385476E-3</v>
      </c>
      <c r="AL66" s="53">
        <f t="shared" si="766"/>
        <v>-5.002501250625317E-5</v>
      </c>
      <c r="AM66" s="53">
        <f t="shared" si="766"/>
        <v>-7.8732223254484396E-2</v>
      </c>
      <c r="AN66" s="53">
        <f t="shared" si="766"/>
        <v>-2.6441792324733795E-3</v>
      </c>
      <c r="AO66" s="53">
        <f t="shared" si="766"/>
        <v>-1.7365825770027869E-3</v>
      </c>
      <c r="AP66" s="53">
        <f t="shared" si="766"/>
        <v>8.849424712356177E-2</v>
      </c>
      <c r="AQ66" s="53">
        <f t="shared" si="766"/>
        <v>-1.5007503751875938E-3</v>
      </c>
      <c r="AR66" s="53">
        <f t="shared" si="766"/>
        <v>-1.0005002501250627E-3</v>
      </c>
      <c r="AS66" s="53">
        <f t="shared" si="766"/>
        <v>6.2531265632816916E-3</v>
      </c>
      <c r="AT66" s="53">
        <f t="shared" si="766"/>
        <v>-8.3613235189010447E-4</v>
      </c>
      <c r="AU66" s="53">
        <f t="shared" si="766"/>
        <v>1.4864575144715214E-3</v>
      </c>
      <c r="AV66" s="53">
        <f t="shared" si="766"/>
        <v>-2.3583220181519274E-3</v>
      </c>
      <c r="AW66" s="53">
        <f t="shared" si="766"/>
        <v>-3.8233402415493423E-3</v>
      </c>
      <c r="AX66" s="53">
        <f t="shared" si="766"/>
        <v>-3.342385478453512E-2</v>
      </c>
      <c r="AY66" s="53">
        <f t="shared" si="766"/>
        <v>-1.9795612091760167E-3</v>
      </c>
      <c r="AZ66" s="53">
        <f t="shared" si="766"/>
        <v>-1.5507753876938426E-3</v>
      </c>
      <c r="BA66" s="53">
        <f t="shared" si="766"/>
        <v>-2.2561280640320171E-2</v>
      </c>
      <c r="BB66" s="53">
        <f t="shared" si="766"/>
        <v>3.9670657636859731E-19</v>
      </c>
      <c r="BC66" s="53">
        <f t="shared" si="766"/>
        <v>-3.037232902165368E-3</v>
      </c>
      <c r="BD66" s="53">
        <f t="shared" si="766"/>
        <v>1.3578217680269034E-4</v>
      </c>
      <c r="BE66" s="53">
        <f t="shared" si="766"/>
        <v>1.7151432859286923E-3</v>
      </c>
      <c r="BF66" s="53">
        <f t="shared" si="766"/>
        <v>-4.1277781748016815E-2</v>
      </c>
      <c r="BG66" s="53">
        <f t="shared" si="766"/>
        <v>4.602301150575288E-3</v>
      </c>
      <c r="BH66" s="53">
        <f t="shared" si="766"/>
        <v>8.4613735439148154E-3</v>
      </c>
      <c r="BI66" s="53">
        <f t="shared" si="766"/>
        <v>-0.16886300293003645</v>
      </c>
      <c r="BJ66" s="53">
        <f t="shared" si="766"/>
        <v>-0.15844350746801972</v>
      </c>
      <c r="BK66" s="53">
        <f t="shared" si="766"/>
        <v>-4.030586721932395E-3</v>
      </c>
      <c r="BL66" s="53">
        <f t="shared" si="766"/>
        <v>-4.5737154291431429E-4</v>
      </c>
      <c r="BM66" s="53">
        <f t="shared" si="766"/>
        <v>-2.1439291074108499E-4</v>
      </c>
      <c r="BN66" s="53">
        <f t="shared" si="766"/>
        <v>9.4332880726077288E-4</v>
      </c>
      <c r="BO66" s="53">
        <f t="shared" ref="BO66:CT66" si="767">(BO48-BO47)/BO65</f>
        <v>2.0939040949045948E-3</v>
      </c>
      <c r="BP66" s="53">
        <f t="shared" si="767"/>
        <v>1.9938540698920893E-3</v>
      </c>
      <c r="BQ66" s="53">
        <f t="shared" si="767"/>
        <v>8.6543271635817903E-3</v>
      </c>
      <c r="BR66" s="53">
        <f t="shared" si="767"/>
        <v>-4.0877581647966836E-3</v>
      </c>
      <c r="BS66" s="53">
        <f t="shared" si="767"/>
        <v>-6.031587222182523E-3</v>
      </c>
      <c r="BT66" s="53">
        <f t="shared" si="767"/>
        <v>5.0310869720574612E-3</v>
      </c>
      <c r="BU66" s="53">
        <f t="shared" si="767"/>
        <v>9.5404845279782793E-3</v>
      </c>
      <c r="BV66" s="53">
        <f t="shared" si="767"/>
        <v>1.0709354677338669</v>
      </c>
      <c r="BW66" s="53">
        <f t="shared" si="767"/>
        <v>1.5593511041234931E-2</v>
      </c>
      <c r="BX66" s="53">
        <f t="shared" si="767"/>
        <v>8.1247766740513094E-2</v>
      </c>
      <c r="BY66" s="53">
        <f t="shared" si="767"/>
        <v>5.2011720145787074E-2</v>
      </c>
      <c r="BZ66" s="53">
        <f t="shared" si="767"/>
        <v>0.21743729007360826</v>
      </c>
      <c r="CA66" s="53">
        <f t="shared" si="767"/>
        <v>5.7092832130350955E-2</v>
      </c>
      <c r="CB66" s="53">
        <f t="shared" si="767"/>
        <v>0.2058815121846638</v>
      </c>
      <c r="CC66" s="53">
        <f t="shared" si="767"/>
        <v>0.42734938898020469</v>
      </c>
      <c r="CD66" s="53">
        <f t="shared" si="767"/>
        <v>0.14986779103837641</v>
      </c>
      <c r="CE66" s="53">
        <f t="shared" si="767"/>
        <v>4.3950546701922416E-2</v>
      </c>
      <c r="CF66" s="53">
        <f t="shared" si="767"/>
        <v>0.15772171800185805</v>
      </c>
      <c r="CG66" s="53">
        <f t="shared" si="767"/>
        <v>0.13892660616022298</v>
      </c>
      <c r="CH66" s="53">
        <f t="shared" si="767"/>
        <v>6.7390838276280909E-2</v>
      </c>
      <c r="CI66" s="53">
        <f t="shared" si="767"/>
        <v>1.6417494461516475</v>
      </c>
      <c r="CJ66" s="53">
        <f t="shared" si="767"/>
        <v>0.16765525619952823</v>
      </c>
      <c r="CK66" s="53">
        <f t="shared" ref="CK66:CL66" si="768">(CK48-CK47)/CK65</f>
        <v>-5.1883084399342513E-2</v>
      </c>
      <c r="CL66" s="53">
        <f t="shared" si="768"/>
        <v>0.27542372881355953</v>
      </c>
      <c r="CM66" s="54">
        <f t="shared" si="767"/>
        <v>0.14158286069223736</v>
      </c>
      <c r="CN66" s="54">
        <f t="shared" si="767"/>
        <v>0.83220255010056754</v>
      </c>
      <c r="CO66" s="54">
        <f t="shared" si="767"/>
        <v>0.67659034780032334</v>
      </c>
      <c r="CP66" s="54">
        <f t="shared" si="767"/>
        <v>1.1599497737055817</v>
      </c>
      <c r="CQ66" s="54">
        <f t="shared" si="767"/>
        <v>0.20891997205624455</v>
      </c>
      <c r="CR66" s="54">
        <f t="shared" si="767"/>
        <v>1.0845618568744413</v>
      </c>
      <c r="CS66" s="54">
        <f t="shared" si="767"/>
        <v>0.94313346964219213</v>
      </c>
      <c r="CT66" s="54">
        <f t="shared" si="767"/>
        <v>1.5400531406451448</v>
      </c>
      <c r="CU66" s="54">
        <f t="shared" ref="CU66:DB66" si="769">(CU48-CU47)/CU65</f>
        <v>0.37113557132227309</v>
      </c>
      <c r="CV66" s="54">
        <f t="shared" si="769"/>
        <v>1.4524877130308262</v>
      </c>
      <c r="CW66" s="54">
        <f t="shared" si="769"/>
        <v>1.3017487980684237</v>
      </c>
      <c r="CX66" s="54">
        <f t="shared" si="769"/>
        <v>2.0374234086679275</v>
      </c>
      <c r="CY66" s="54">
        <f t="shared" si="769"/>
        <v>0.63664334620991148</v>
      </c>
      <c r="CZ66" s="54">
        <f t="shared" si="769"/>
        <v>1.9684084263189912</v>
      </c>
      <c r="DA66" s="54">
        <f t="shared" si="769"/>
        <v>1.8092110034523174</v>
      </c>
      <c r="DB66" s="54">
        <f t="shared" si="769"/>
        <v>2.7242831934388212</v>
      </c>
      <c r="DE66" s="132"/>
      <c r="DF66" s="53">
        <v>-0.69139012484589846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0.18348623853210999</v>
      </c>
      <c r="X67" s="3">
        <f>'Annual Raw'!Y110</f>
        <v>9.1743119266055106E-2</v>
      </c>
      <c r="Y67" s="3">
        <f>'Annual Raw'!Z110</f>
        <v>9.1743119266055106E-2</v>
      </c>
      <c r="Z67" s="3">
        <f>'Annual Raw'!AA110</f>
        <v>9.1425962815405007E-2</v>
      </c>
      <c r="AA67" s="3">
        <f>'Annual Raw'!AB110</f>
        <v>0.15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0</v>
      </c>
      <c r="C68" s="3">
        <f t="shared" ref="C68:U68" si="770">C67/C66</f>
        <v>0</v>
      </c>
      <c r="D68" s="3">
        <f t="shared" si="770"/>
        <v>0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-5.0252370954278218</v>
      </c>
      <c r="C69" s="3">
        <f t="shared" ref="C69:U69" si="776">+C66</f>
        <v>-3.9699202759827024E-2</v>
      </c>
      <c r="D69" s="3">
        <f t="shared" si="776"/>
        <v>-1.497668130800253E-2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1.0126491817337284E-2</v>
      </c>
      <c r="AM69" s="3">
        <f t="shared" ref="AM69" si="782">SUM(AJ66:AM66)</f>
        <v>-8.0576002286857726E-2</v>
      </c>
      <c r="AN69" s="3">
        <f t="shared" ref="AN69" si="783">SUM(AK66:AN66)</f>
        <v>-8.3906238833702587E-2</v>
      </c>
      <c r="AO69" s="3">
        <f t="shared" ref="AO69" si="784">SUM(AL66:AO66)</f>
        <v>-8.3163010076466828E-2</v>
      </c>
      <c r="AP69" s="3">
        <f t="shared" ref="AP69" si="785">SUM(AM66:AP66)</f>
        <v>5.3812620596011967E-3</v>
      </c>
      <c r="AQ69" s="3">
        <f t="shared" ref="AQ69" si="786">SUM(AN66:AQ66)</f>
        <v>8.2612734938898008E-2</v>
      </c>
      <c r="AR69" s="3">
        <f t="shared" ref="AR69" si="787">SUM(AO66:AR66)</f>
        <v>8.4256413921246318E-2</v>
      </c>
      <c r="AS69" s="3">
        <f t="shared" ref="AS69" si="788">SUM(AP66:AS66)</f>
        <v>9.2246123061530808E-2</v>
      </c>
      <c r="AT69" s="3">
        <f t="shared" ref="AT69" si="789">SUM(AQ66:AT66)</f>
        <v>2.9157435860789303E-3</v>
      </c>
      <c r="AU69" s="3">
        <f t="shared" ref="AU69" si="790">SUM(AR66:AU66)</f>
        <v>5.9029514757380462E-3</v>
      </c>
      <c r="AV69" s="3">
        <f t="shared" ref="AV69" si="791">SUM(AS66:AV66)</f>
        <v>4.5451297077111815E-3</v>
      </c>
      <c r="AW69" s="3">
        <f t="shared" ref="AW69" si="792">SUM(AT66:AW66)</f>
        <v>-5.5313370971198528E-3</v>
      </c>
      <c r="AX69" s="3">
        <f t="shared" ref="AX69" si="793">SUM(AU66:AX66)</f>
        <v>-3.8119059529764868E-2</v>
      </c>
      <c r="AY69" s="3">
        <f t="shared" ref="AY69" si="794">SUM(AV66:AY66)</f>
        <v>-4.1585078253412407E-2</v>
      </c>
      <c r="AZ69" s="3">
        <f t="shared" ref="AZ69" si="795">SUM(AW66:AZ66)</f>
        <v>-4.0777531622954319E-2</v>
      </c>
      <c r="BA69" s="3">
        <f t="shared" ref="BA69" si="796">SUM(AX66:BA66)</f>
        <v>-5.9515472021725149E-2</v>
      </c>
      <c r="BB69" s="3">
        <f t="shared" ref="BB69" si="797">SUM(AY66:BB66)</f>
        <v>-2.6091617237190029E-2</v>
      </c>
      <c r="BC69" s="3">
        <f t="shared" ref="BC69" si="798">SUM(AZ66:BC66)</f>
        <v>-2.7149288930179382E-2</v>
      </c>
      <c r="BD69" s="3">
        <f t="shared" ref="BD69" si="799">SUM(BA66:BD66)</f>
        <v>-2.5462731365682847E-2</v>
      </c>
      <c r="BE69" s="3">
        <f t="shared" ref="BE69" si="800">SUM(BB66:BE66)</f>
        <v>-1.186307439433985E-3</v>
      </c>
      <c r="BF69" s="3">
        <f t="shared" ref="BF69" si="801">SUM(BC66:BF66)</f>
        <v>-4.2464089187450801E-2</v>
      </c>
      <c r="BG69" s="3">
        <f t="shared" ref="BG69" si="802">SUM(BD66:BG66)</f>
        <v>-3.4824555134710139E-2</v>
      </c>
      <c r="BH69" s="3">
        <f t="shared" ref="BH69" si="803">SUM(BE66:BH66)</f>
        <v>-2.649896376759802E-2</v>
      </c>
      <c r="BI69" s="3">
        <f t="shared" ref="BI69" si="804">SUM(BF66:BI66)</f>
        <v>-0.19707710998356315</v>
      </c>
      <c r="BJ69" s="3">
        <f t="shared" ref="BJ69" si="805">SUM(BG66:BJ66)</f>
        <v>-0.31424283570356604</v>
      </c>
      <c r="BK69" s="3">
        <f t="shared" ref="BK69" si="806">SUM(BH66:BK66)</f>
        <v>-0.32287572357607375</v>
      </c>
      <c r="BL69" s="3">
        <f t="shared" ref="BL69" si="807">SUM(BI66:BL66)</f>
        <v>-0.33179446866290285</v>
      </c>
      <c r="BM69" s="3">
        <f t="shared" ref="BM69" si="808">SUM(BJ66:BM66)</f>
        <v>-0.16314585864360751</v>
      </c>
      <c r="BN69" s="3">
        <f t="shared" ref="BN69" si="809">SUM(BK66:BN66)</f>
        <v>-3.7590223683270211E-3</v>
      </c>
      <c r="BO69" s="3">
        <f t="shared" ref="BO69" si="810">SUM(BL66:BO66)</f>
        <v>2.3654684485099682E-3</v>
      </c>
      <c r="BP69" s="3">
        <f t="shared" ref="BP69" si="811">SUM(BM66:BP66)</f>
        <v>4.816694061316372E-3</v>
      </c>
      <c r="BQ69" s="3">
        <f t="shared" ref="BQ69" si="812">SUM(BN66:BQ66)</f>
        <v>1.3685414135639246E-2</v>
      </c>
      <c r="BR69" s="3">
        <f t="shared" ref="BR69" si="813">SUM(BO66:BR66)</f>
        <v>8.6543271635817903E-3</v>
      </c>
      <c r="BS69" s="3">
        <f t="shared" ref="BS69" si="814">SUM(BP66:BS66)</f>
        <v>5.2883584649467217E-4</v>
      </c>
      <c r="BT69" s="3">
        <f t="shared" ref="BT69" si="815">SUM(BQ66:BT66)</f>
        <v>3.5660687486600449E-3</v>
      </c>
      <c r="BU69" s="3">
        <f t="shared" ref="BU69" si="816">SUM(BR66:BU66)</f>
        <v>4.452226113056533E-3</v>
      </c>
      <c r="BV69" s="3">
        <f t="shared" ref="BV69" si="817">SUM(BS66:BV66)</f>
        <v>1.0794754520117202</v>
      </c>
      <c r="BW69" s="3">
        <f t="shared" ref="BW69" si="818">SUM(BT66:BW66)</f>
        <v>1.1011005502751374</v>
      </c>
      <c r="BX69" s="3">
        <f t="shared" ref="BX69" si="819">SUM(BU66:BX66)</f>
        <v>1.1773172300435932</v>
      </c>
      <c r="BY69" s="3">
        <f t="shared" ref="BY69" si="820">SUM(BV66:BY66)</f>
        <v>1.219788465661402</v>
      </c>
      <c r="BZ69" s="3">
        <f t="shared" ref="BZ69" si="821">SUM(BW66:BZ66)</f>
        <v>0.36629028800114338</v>
      </c>
      <c r="CA69" s="3">
        <f t="shared" ref="CA69" si="822">SUM(BX66:CA66)</f>
        <v>0.40778960909025935</v>
      </c>
      <c r="CB69" s="3">
        <f t="shared" ref="CB69" si="823">SUM(BY66:CB66)</f>
        <v>0.53242335453441003</v>
      </c>
      <c r="CC69" s="3">
        <f t="shared" ref="CC69" si="824">SUM(BZ66:CC66)</f>
        <v>0.90776102336882769</v>
      </c>
      <c r="CD69" s="3">
        <f t="shared" ref="CD69" si="825">SUM(CA66:CD66)</f>
        <v>0.8401915243335959</v>
      </c>
      <c r="CE69" s="3">
        <f t="shared" ref="CE69" si="826">SUM(CB66:CE66)</f>
        <v>0.82704923890516735</v>
      </c>
      <c r="CF69" s="3">
        <f t="shared" ref="CF69" si="827">SUM(CC66:CF66)</f>
        <v>0.77888944472236166</v>
      </c>
      <c r="CG69" s="3">
        <f t="shared" ref="CG69" si="828">SUM(CD66:CG66)</f>
        <v>0.49046666190237986</v>
      </c>
      <c r="CH69" s="3">
        <f t="shared" ref="CH69:CL69" si="829">SUM(CE66:CH66)</f>
        <v>0.40798970914028432</v>
      </c>
      <c r="CI69" s="3">
        <f t="shared" si="829"/>
        <v>2.0057886085900094</v>
      </c>
      <c r="CJ69" s="3">
        <f t="shared" si="829"/>
        <v>2.0157221467876796</v>
      </c>
      <c r="CK69" s="3">
        <f t="shared" si="829"/>
        <v>1.824912456228114</v>
      </c>
      <c r="CL69" s="3">
        <f t="shared" si="829"/>
        <v>2.0329453467653926</v>
      </c>
      <c r="CM69" s="37">
        <f t="shared" ref="CM69" si="830">SUM(CJ66:CM66)</f>
        <v>0.53277876130598267</v>
      </c>
      <c r="CN69" s="37">
        <f t="shared" ref="CN69" si="831">SUM(CK66:CN66)</f>
        <v>1.197326055207022</v>
      </c>
      <c r="CO69" s="37">
        <f t="shared" ref="CO69" si="832">SUM(CL66:CO66)</f>
        <v>1.9257994874066879</v>
      </c>
      <c r="CP69" s="37">
        <f t="shared" ref="CP69" si="833">SUM(CM66:CP66)</f>
        <v>2.8103255322987097</v>
      </c>
      <c r="CQ69" s="37">
        <f t="shared" ref="CQ69" si="834">SUM(CN66:CQ66)</f>
        <v>2.8776626436627173</v>
      </c>
      <c r="CR69" s="37">
        <f t="shared" ref="CR69" si="835">SUM(CO66:CR66)</f>
        <v>3.1300219504365909</v>
      </c>
      <c r="CS69" s="37">
        <f t="shared" ref="CS69" si="836">SUM(CP66:CS66)</f>
        <v>3.3965650722784595</v>
      </c>
      <c r="CT69" s="37">
        <f t="shared" ref="CT69" si="837">SUM(CQ66:CT66)</f>
        <v>3.7766684392180228</v>
      </c>
      <c r="CU69" s="37">
        <f t="shared" ref="CU69" si="838">SUM(CR66:CU66)</f>
        <v>3.9388840384840513</v>
      </c>
      <c r="CV69" s="37">
        <f t="shared" ref="CV69" si="839">SUM(CS66:CV66)</f>
        <v>4.3068098946404367</v>
      </c>
      <c r="CW69" s="37">
        <f t="shared" ref="CW69" si="840">SUM(CT66:CW66)</f>
        <v>4.6654252230666682</v>
      </c>
      <c r="CX69" s="37">
        <f t="shared" ref="CX69" si="841">SUM(CU66:CX66)</f>
        <v>5.1627954910894509</v>
      </c>
      <c r="CY69" s="37">
        <f t="shared" ref="CY69" si="842">SUM(CV66:CY66)</f>
        <v>5.4283032659770889</v>
      </c>
      <c r="CZ69" s="37">
        <f t="shared" ref="CZ69" si="843">SUM(CW66:CZ66)</f>
        <v>5.9442239792652538</v>
      </c>
      <c r="DA69" s="37">
        <f t="shared" ref="DA69" si="844">SUM(CX66:DA66)</f>
        <v>6.451686184649148</v>
      </c>
      <c r="DB69" s="37">
        <f t="shared" ref="DB69" si="845">SUM(CY66:DB66)</f>
        <v>7.1385459694200408</v>
      </c>
      <c r="DE69" s="134"/>
      <c r="DF69" s="3">
        <v>1.0661314931059347</v>
      </c>
    </row>
    <row r="70" spans="1:110" s="97" customFormat="1" x14ac:dyDescent="0.2">
      <c r="A70" s="97" t="s">
        <v>425</v>
      </c>
      <c r="C70" s="101">
        <f t="shared" ref="C70:AA70" si="846">+C69/B69-1</f>
        <v>-0.9921000338877648</v>
      </c>
      <c r="D70" s="101">
        <f t="shared" si="846"/>
        <v>-0.62274604357652374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>
        <f t="shared" ref="AP70:CL70" si="851">+IF(AL69&lt;0,1-AP69/AL69,AP69/AL69-1)</f>
        <v>-0.46859562455893289</v>
      </c>
      <c r="AQ70" s="176">
        <f t="shared" si="851"/>
        <v>2.0252771618625274</v>
      </c>
      <c r="AR70" s="176">
        <f t="shared" si="851"/>
        <v>2.0041734094199808</v>
      </c>
      <c r="AS70" s="176">
        <f t="shared" si="851"/>
        <v>2.1092205894990119</v>
      </c>
      <c r="AT70" s="176">
        <f t="shared" si="851"/>
        <v>-0.45816733067725479</v>
      </c>
      <c r="AU70" s="176">
        <f t="shared" si="851"/>
        <v>-0.92854671280276602</v>
      </c>
      <c r="AV70" s="176">
        <f t="shared" si="851"/>
        <v>-0.94605597964376376</v>
      </c>
      <c r="AW70" s="176">
        <f t="shared" si="851"/>
        <v>-1.0599628137589077</v>
      </c>
      <c r="AX70" s="176">
        <f t="shared" si="851"/>
        <v>-14.073529411763909</v>
      </c>
      <c r="AY70" s="176">
        <f t="shared" si="851"/>
        <v>-8.044794188861772</v>
      </c>
      <c r="AZ70" s="176">
        <f t="shared" si="851"/>
        <v>-9.9716981132071822</v>
      </c>
      <c r="BA70" s="176">
        <f t="shared" si="851"/>
        <v>-9.7596899224808844</v>
      </c>
      <c r="BB70" s="176">
        <f t="shared" si="851"/>
        <v>0.31552305961754745</v>
      </c>
      <c r="BC70" s="176">
        <f t="shared" si="851"/>
        <v>0.34713868362261524</v>
      </c>
      <c r="BD70" s="176">
        <f t="shared" si="851"/>
        <v>0.37556957588503292</v>
      </c>
      <c r="BE70" s="176">
        <f t="shared" si="851"/>
        <v>0.98006724303554305</v>
      </c>
      <c r="BF70" s="176">
        <f t="shared" si="851"/>
        <v>-0.62749931525609126</v>
      </c>
      <c r="BG70" s="176">
        <f t="shared" si="851"/>
        <v>-0.28270597525664343</v>
      </c>
      <c r="BH70" s="176">
        <f t="shared" si="851"/>
        <v>-4.069604266067639E-2</v>
      </c>
      <c r="BI70" s="176">
        <f t="shared" si="851"/>
        <v>-165.1265060240988</v>
      </c>
      <c r="BJ70" s="176">
        <f t="shared" si="851"/>
        <v>-6.4002019522046556</v>
      </c>
      <c r="BK70" s="176">
        <f t="shared" si="851"/>
        <v>-8.2714959983583203</v>
      </c>
      <c r="BL70" s="176">
        <f t="shared" si="851"/>
        <v>-11.521035598705531</v>
      </c>
      <c r="BM70" s="176">
        <f t="shared" si="851"/>
        <v>0.17217246255937901</v>
      </c>
      <c r="BN70" s="176">
        <f t="shared" si="851"/>
        <v>0.98803784226325841</v>
      </c>
      <c r="BO70" s="176">
        <f t="shared" si="851"/>
        <v>1.0073262505533422</v>
      </c>
      <c r="BP70" s="176">
        <f t="shared" si="851"/>
        <v>1.0145171017489445</v>
      </c>
      <c r="BQ70" s="176">
        <f t="shared" si="851"/>
        <v>1.0838845328310482</v>
      </c>
      <c r="BR70" s="176">
        <f t="shared" si="851"/>
        <v>3.3022813688212924</v>
      </c>
      <c r="BS70" s="176">
        <f t="shared" si="851"/>
        <v>-0.77643504531722196</v>
      </c>
      <c r="BT70" s="176">
        <f t="shared" si="851"/>
        <v>-0.25964391691394639</v>
      </c>
      <c r="BU70" s="176">
        <f t="shared" si="851"/>
        <v>-0.67467362924281948</v>
      </c>
      <c r="BV70" s="176">
        <f t="shared" si="851"/>
        <v>123.73245251857971</v>
      </c>
      <c r="BW70" s="176">
        <f t="shared" si="851"/>
        <v>2081.1216216216362</v>
      </c>
      <c r="BX70" s="176">
        <f t="shared" si="851"/>
        <v>329.14428857715427</v>
      </c>
      <c r="BY70" s="176">
        <f t="shared" si="851"/>
        <v>272.9727126805775</v>
      </c>
      <c r="BZ70" s="176">
        <f t="shared" si="851"/>
        <v>-0.66067751951327702</v>
      </c>
      <c r="CA70" s="176">
        <f t="shared" si="851"/>
        <v>-0.62965270611447521</v>
      </c>
      <c r="CB70" s="176">
        <f t="shared" si="851"/>
        <v>-0.54776559711548978</v>
      </c>
      <c r="CC70" s="176">
        <f t="shared" si="851"/>
        <v>-0.2558045522453638</v>
      </c>
      <c r="CD70" s="176">
        <f t="shared" si="851"/>
        <v>1.2937859721002845</v>
      </c>
      <c r="CE70" s="176">
        <f t="shared" si="851"/>
        <v>1.0281273001296851</v>
      </c>
      <c r="CF70" s="176">
        <f t="shared" si="851"/>
        <v>0.46291374728195311</v>
      </c>
      <c r="CG70" s="176">
        <f t="shared" si="851"/>
        <v>-0.45969627547766956</v>
      </c>
      <c r="CH70" s="176">
        <f t="shared" si="851"/>
        <v>-0.51440868263473094</v>
      </c>
      <c r="CI70" s="176">
        <f t="shared" si="851"/>
        <v>1.4252348158197155</v>
      </c>
      <c r="CJ70" s="176">
        <f t="shared" si="851"/>
        <v>1.5879438480594534</v>
      </c>
      <c r="CK70" s="176">
        <f t="shared" si="851"/>
        <v>2.720767583162127</v>
      </c>
      <c r="CL70" s="176">
        <f t="shared" si="851"/>
        <v>3.9828348637744169</v>
      </c>
      <c r="CM70" s="102">
        <f t="shared" ref="CM70:DB70" si="852">+IF(CI69&lt;0,1-CM69/CI69,CM69/CI69-1)</f>
        <v>-0.73437940617256503</v>
      </c>
      <c r="CN70" s="102">
        <f t="shared" si="852"/>
        <v>-0.40600639968404384</v>
      </c>
      <c r="CO70" s="102">
        <f t="shared" si="852"/>
        <v>5.5283216920495981E-2</v>
      </c>
      <c r="CP70" s="102">
        <f t="shared" si="852"/>
        <v>0.38239108924900611</v>
      </c>
      <c r="CQ70" s="102">
        <f t="shared" si="852"/>
        <v>4.4012337815584077</v>
      </c>
      <c r="CR70" s="102">
        <f t="shared" si="852"/>
        <v>1.6141767623150898</v>
      </c>
      <c r="CS70" s="102">
        <f t="shared" si="852"/>
        <v>0.76371688459234544</v>
      </c>
      <c r="CT70" s="102">
        <f t="shared" si="852"/>
        <v>0.34385443814720329</v>
      </c>
      <c r="CU70" s="102">
        <f t="shared" si="852"/>
        <v>0.3687789453563608</v>
      </c>
      <c r="CV70" s="102">
        <f t="shared" si="852"/>
        <v>0.37596795256969417</v>
      </c>
      <c r="CW70" s="102">
        <f t="shared" si="852"/>
        <v>0.37357157121592866</v>
      </c>
      <c r="CX70" s="102">
        <f t="shared" si="852"/>
        <v>0.36702376027439465</v>
      </c>
      <c r="CY70" s="102">
        <f t="shared" si="852"/>
        <v>0.37813228643975694</v>
      </c>
      <c r="CZ70" s="102">
        <f t="shared" si="852"/>
        <v>0.38019186467052557</v>
      </c>
      <c r="DA70" s="102">
        <f t="shared" si="852"/>
        <v>0.38287205906782029</v>
      </c>
      <c r="DB70" s="102">
        <f t="shared" si="852"/>
        <v>0.38269005265472322</v>
      </c>
      <c r="DE70" s="135"/>
      <c r="DF70" s="97">
        <v>1.613179068302359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84.53</v>
      </c>
      <c r="C73" s="3">
        <f>'Annual Raw'!D112</f>
        <v>0</v>
      </c>
      <c r="D73" s="3">
        <f>'Annual Raw'!E112</f>
        <v>84.53</v>
      </c>
      <c r="E73" s="3">
        <f>'Annual Raw'!F112</f>
        <v>84.53</v>
      </c>
      <c r="F73" s="3">
        <f>'Annual Raw'!G112</f>
        <v>84.52</v>
      </c>
      <c r="G73" s="3">
        <f>'Annual Raw'!H112</f>
        <v>74.87</v>
      </c>
      <c r="H73" s="3">
        <f>'Annual Raw'!I112</f>
        <v>74.87</v>
      </c>
      <c r="I73" s="3">
        <f>'Annual Raw'!J112</f>
        <v>74.87</v>
      </c>
      <c r="J73" s="3">
        <f>'Annual Raw'!K112</f>
        <v>74.87</v>
      </c>
      <c r="K73" s="3">
        <f>'Annual Raw'!L112</f>
        <v>74.87</v>
      </c>
      <c r="L73" s="3">
        <f>'Annual Raw'!M112</f>
        <v>74.87</v>
      </c>
      <c r="M73" s="3">
        <f>'Annual Raw'!N112</f>
        <v>74.87</v>
      </c>
      <c r="N73" s="3">
        <f>'Annual Raw'!O112</f>
        <v>73.760000000000005</v>
      </c>
      <c r="O73" s="3">
        <f>'Annual Raw'!P112</f>
        <v>80.36</v>
      </c>
      <c r="P73" s="3">
        <f>'Annual Raw'!Q112</f>
        <v>68</v>
      </c>
      <c r="Q73" s="3">
        <f>'Annual Raw'!R112</f>
        <v>68</v>
      </c>
      <c r="R73" s="3">
        <f>'Annual Raw'!S112</f>
        <v>68</v>
      </c>
      <c r="S73" s="3">
        <f>'Annual Raw'!T112</f>
        <v>68</v>
      </c>
      <c r="T73" s="3">
        <f>'Annual Raw'!U112</f>
        <v>68</v>
      </c>
      <c r="U73" s="3">
        <f>'Annual Raw'!V112</f>
        <v>68</v>
      </c>
      <c r="V73" s="3">
        <f>'Annual Raw'!W112</f>
        <v>68</v>
      </c>
      <c r="W73" s="3">
        <f>'Annual Raw'!X112</f>
        <v>60.91</v>
      </c>
      <c r="X73" s="3">
        <f>'Annual Raw'!Y112</f>
        <v>60.91</v>
      </c>
      <c r="Y73" s="3">
        <f>'Annual Raw'!Z112</f>
        <v>73.91</v>
      </c>
      <c r="Z73" s="3">
        <f>'Annual Raw'!AA112</f>
        <v>73.91</v>
      </c>
      <c r="AA73" s="3">
        <f>'Annual Raw'!AB112</f>
        <v>62.72</v>
      </c>
      <c r="AB73" s="37"/>
      <c r="AC73" s="37"/>
      <c r="AD73" s="37"/>
      <c r="AE73" s="37"/>
      <c r="AI73" s="3">
        <f>'QTR Raw'!C49</f>
        <v>73.760000000000005</v>
      </c>
      <c r="AJ73" s="3">
        <f>'QTR Raw'!D49</f>
        <v>73.760000000000005</v>
      </c>
      <c r="AK73" s="3">
        <f>'QTR Raw'!E49</f>
        <v>73.760000000000005</v>
      </c>
      <c r="AL73" s="3">
        <f>'QTR Raw'!F49</f>
        <v>73.760000000000005</v>
      </c>
      <c r="AM73" s="3">
        <f>'QTR Raw'!G49</f>
        <v>73.760000000000005</v>
      </c>
      <c r="AN73" s="3">
        <f>'QTR Raw'!H49</f>
        <v>73.760000000000005</v>
      </c>
      <c r="AO73" s="3">
        <f>'QTR Raw'!I49</f>
        <v>80.36</v>
      </c>
      <c r="AP73" s="3">
        <f>'QTR Raw'!J49</f>
        <v>80.36</v>
      </c>
      <c r="AQ73" s="3">
        <f>'QTR Raw'!K49</f>
        <v>74.23</v>
      </c>
      <c r="AR73" s="3">
        <f>'QTR Raw'!L49</f>
        <v>68</v>
      </c>
      <c r="AS73" s="3">
        <f>'QTR Raw'!M49</f>
        <v>68</v>
      </c>
      <c r="AT73" s="3">
        <f>'QTR Raw'!N49</f>
        <v>68</v>
      </c>
      <c r="AU73" s="3">
        <f>'QTR Raw'!O49</f>
        <v>68</v>
      </c>
      <c r="AV73" s="3">
        <f>'QTR Raw'!P49</f>
        <v>68</v>
      </c>
      <c r="AW73" s="3">
        <f>'QTR Raw'!Q49</f>
        <v>68</v>
      </c>
      <c r="AX73" s="3">
        <f>'QTR Raw'!R49</f>
        <v>68</v>
      </c>
      <c r="AY73" s="3">
        <f>'QTR Raw'!S49</f>
        <v>68</v>
      </c>
      <c r="AZ73" s="3">
        <f>'QTR Raw'!T49</f>
        <v>68</v>
      </c>
      <c r="BA73" s="3">
        <f>'QTR Raw'!U49</f>
        <v>68</v>
      </c>
      <c r="BB73" s="3">
        <f>'QTR Raw'!V49</f>
        <v>68</v>
      </c>
      <c r="BC73" s="3">
        <f>'QTR Raw'!W49</f>
        <v>68</v>
      </c>
      <c r="BD73" s="3">
        <f>'QTR Raw'!X49</f>
        <v>68</v>
      </c>
      <c r="BE73" s="3">
        <f>'QTR Raw'!Y49</f>
        <v>68</v>
      </c>
      <c r="BF73" s="3">
        <f>'QTR Raw'!Z49</f>
        <v>68</v>
      </c>
      <c r="BG73" s="3">
        <f>'QTR Raw'!AA49</f>
        <v>68</v>
      </c>
      <c r="BH73" s="3">
        <f>'QTR Raw'!AB49</f>
        <v>68</v>
      </c>
      <c r="BI73" s="3">
        <f>'QTR Raw'!AC49</f>
        <v>68</v>
      </c>
      <c r="BJ73" s="3">
        <f>'QTR Raw'!AD49</f>
        <v>68</v>
      </c>
      <c r="BK73" s="3">
        <f>'QTR Raw'!AE49</f>
        <v>68</v>
      </c>
      <c r="BL73" s="3">
        <f>'QTR Raw'!AF49</f>
        <v>68</v>
      </c>
      <c r="BM73" s="3">
        <f>'QTR Raw'!AG49</f>
        <v>68</v>
      </c>
      <c r="BN73" s="3">
        <f>'QTR Raw'!AH49</f>
        <v>68</v>
      </c>
      <c r="BO73" s="3">
        <f>'QTR Raw'!AI49</f>
        <v>68</v>
      </c>
      <c r="BP73" s="3">
        <f>'QTR Raw'!AJ49</f>
        <v>68</v>
      </c>
      <c r="BQ73" s="3">
        <f>'QTR Raw'!AK49</f>
        <v>68</v>
      </c>
      <c r="BR73" s="3">
        <f>'QTR Raw'!AL49</f>
        <v>68</v>
      </c>
      <c r="BS73" s="3">
        <f>'QTR Raw'!AM49</f>
        <v>60.91</v>
      </c>
      <c r="BT73" s="3">
        <f>'QTR Raw'!AN49</f>
        <v>60.91</v>
      </c>
      <c r="BU73" s="3">
        <f>'QTR Raw'!AO49</f>
        <v>60.91</v>
      </c>
      <c r="BV73" s="3">
        <f>'QTR Raw'!AP49</f>
        <v>60.91</v>
      </c>
      <c r="BW73" s="3">
        <f>'QTR Raw'!AQ49</f>
        <v>60.91</v>
      </c>
      <c r="BX73" s="3">
        <f>'QTR Raw'!AR49</f>
        <v>60.91</v>
      </c>
      <c r="BY73" s="3">
        <f>'QTR Raw'!AS49</f>
        <v>60.91</v>
      </c>
      <c r="BZ73" s="3">
        <f>'QTR Raw'!AT49</f>
        <v>60.91</v>
      </c>
      <c r="CA73" s="3">
        <f>'QTR Raw'!AU49</f>
        <v>73.91</v>
      </c>
      <c r="CB73" s="3">
        <f>'QTR Raw'!AV49</f>
        <v>73.91</v>
      </c>
      <c r="CC73" s="3">
        <f>'QTR Raw'!AW49</f>
        <v>73.91</v>
      </c>
      <c r="CD73" s="3">
        <f>'QTR Raw'!AX49</f>
        <v>73.91</v>
      </c>
      <c r="CE73" s="3">
        <f>'QTR Raw'!AY49</f>
        <v>73.91</v>
      </c>
      <c r="CF73" s="3">
        <f>'QTR Raw'!AZ49</f>
        <v>73.91</v>
      </c>
      <c r="CG73" s="3">
        <f>'QTR Raw'!BA49</f>
        <v>73.91</v>
      </c>
      <c r="CH73" s="3">
        <f>'QTR Raw'!BB49</f>
        <v>73.91</v>
      </c>
      <c r="CI73" s="3">
        <f>'QTR Raw'!BC49</f>
        <v>73.91</v>
      </c>
      <c r="CJ73" s="3">
        <f>'QTR Raw'!BD49</f>
        <v>62.72</v>
      </c>
      <c r="CK73" s="3">
        <f>'QTR Raw'!BE49</f>
        <v>62.72</v>
      </c>
      <c r="CL73" s="3">
        <f>'QTR Raw'!BF49</f>
        <v>62.72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9.86</v>
      </c>
      <c r="O74" s="3">
        <f>'Annual Raw'!P113</f>
        <v>5.96</v>
      </c>
      <c r="P74" s="3">
        <f>'Annual Raw'!Q113</f>
        <v>6.45</v>
      </c>
      <c r="Q74" s="3">
        <f>'Annual Raw'!R113</f>
        <v>6.45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6.49</v>
      </c>
      <c r="AK74" s="3">
        <f>'QTR Raw'!E50</f>
        <v>9.86</v>
      </c>
      <c r="AL74" s="3">
        <f>'QTR Raw'!F50</f>
        <v>9.86</v>
      </c>
      <c r="AM74" s="3">
        <f>'QTR Raw'!G50</f>
        <v>9.86</v>
      </c>
      <c r="AN74" s="3">
        <f>'QTR Raw'!H50</f>
        <v>6.49</v>
      </c>
      <c r="AO74" s="3">
        <f>'QTR Raw'!I50</f>
        <v>5.96</v>
      </c>
      <c r="AP74" s="3">
        <f>'QTR Raw'!J50</f>
        <v>5.96</v>
      </c>
      <c r="AQ74" s="3">
        <f>'QTR Raw'!K50</f>
        <v>6.45</v>
      </c>
      <c r="AR74" s="3">
        <f>'QTR Raw'!L50</f>
        <v>6.45</v>
      </c>
      <c r="AS74" s="3">
        <f>'QTR Raw'!M50</f>
        <v>6.45</v>
      </c>
      <c r="AT74" s="3">
        <f>'QTR Raw'!N50</f>
        <v>6.45</v>
      </c>
      <c r="AU74" s="3">
        <f>'QTR Raw'!O50</f>
        <v>6.45</v>
      </c>
      <c r="AV74" s="3">
        <f>'QTR Raw'!P50</f>
        <v>6.45</v>
      </c>
      <c r="AW74" s="3">
        <f>'QTR Raw'!Q50</f>
        <v>6.45</v>
      </c>
      <c r="AX74" s="3">
        <f>'QTR Raw'!R50</f>
        <v>6.45</v>
      </c>
      <c r="AY74" s="3">
        <f>'QTR Raw'!S50</f>
        <v>6.45</v>
      </c>
      <c r="AZ74" s="3">
        <f>'QTR Raw'!T50</f>
        <v>6.45</v>
      </c>
      <c r="BA74" s="3">
        <f>'QTR Raw'!U50</f>
        <v>6.45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9.0968833001328004</v>
      </c>
      <c r="J77" s="13">
        <f>'Annual Raw'!K106</f>
        <v>44.6250124501992</v>
      </c>
      <c r="K77" s="13">
        <f>'Annual Raw'!L106</f>
        <v>44.780436586985402</v>
      </c>
      <c r="L77" s="13">
        <f>'Annual Raw'!M106</f>
        <v>21.795949535192602</v>
      </c>
      <c r="M77" s="13">
        <f>'Annual Raw'!N106</f>
        <v>19.364018924302801</v>
      </c>
      <c r="N77" s="13">
        <f>'Annual Raw'!O106</f>
        <v>4.9004316069057099</v>
      </c>
      <c r="O77" s="13">
        <f>'Annual Raw'!P106</f>
        <v>6.1163969123506003</v>
      </c>
      <c r="P77" s="13">
        <f>'Annual Raw'!Q106</f>
        <v>3.5656125498007998</v>
      </c>
      <c r="Q77" s="13">
        <f>'Annual Raw'!R106</f>
        <v>3.5016143758300098</v>
      </c>
      <c r="R77" s="13">
        <f>'Annual Raw'!S106</f>
        <v>2.07536935590969</v>
      </c>
      <c r="S77" s="13">
        <f>'Annual Raw'!T106</f>
        <v>1.2525356905710501</v>
      </c>
      <c r="T77" s="13">
        <f>'Annual Raw'!U106</f>
        <v>3.0444845617529901</v>
      </c>
      <c r="U77" s="13">
        <f>'Annual Raw'!V106</f>
        <v>1.08796895750332</v>
      </c>
      <c r="V77" s="13">
        <f>'Annual Raw'!W106</f>
        <v>2.1302249335989401</v>
      </c>
      <c r="W77" s="13">
        <f>'Annual Raw'!X106</f>
        <v>5.4672725763612204</v>
      </c>
      <c r="X77" s="13">
        <f>'Annual Raw'!Y106</f>
        <v>6.5095285524568398</v>
      </c>
      <c r="Y77" s="13">
        <f>'Annual Raw'!Z106</f>
        <v>25.279278718459501</v>
      </c>
      <c r="Z77" s="13">
        <f>'Annual Raw'!AA106</f>
        <v>40.583984893758299</v>
      </c>
      <c r="AA77" s="13">
        <f>'Annual Raw'!AB106</f>
        <v>41.39</v>
      </c>
      <c r="AB77" s="37">
        <f>+CP77</f>
        <v>41.39</v>
      </c>
      <c r="AC77" s="37">
        <f>+CT77</f>
        <v>41.39</v>
      </c>
      <c r="AD77" s="37">
        <f>+CX77</f>
        <v>41.39</v>
      </c>
      <c r="AE77" s="37">
        <f>+DB77</f>
        <v>41.39</v>
      </c>
      <c r="AJ77" s="13">
        <f>'QTR Share Price'!HP21</f>
        <v>10.0751411022576</v>
      </c>
      <c r="AK77" s="13">
        <f>'QTR Share Price'!HQ21</f>
        <v>6.9483731739707801</v>
      </c>
      <c r="AL77" s="13">
        <f>'QTR Share Price'!HR21</f>
        <v>4.9004316069057099</v>
      </c>
      <c r="AM77" s="13">
        <f>'QTR Share Price'!HS21</f>
        <v>7.1037973107569696</v>
      </c>
      <c r="AN77" s="13">
        <f>'QTR Share Price'!HT21</f>
        <v>9.0420277224435601</v>
      </c>
      <c r="AO77" s="13">
        <f>'QTR Share Price'!HU21</f>
        <v>6.1438247011952196</v>
      </c>
      <c r="AP77" s="13">
        <f>'QTR Share Price'!HV21</f>
        <v>6.1163969123506003</v>
      </c>
      <c r="AQ77" s="13">
        <f>'QTR Share Price'!HW21</f>
        <v>4.2604498671978801</v>
      </c>
      <c r="AR77" s="13">
        <f>'QTR Share Price'!HX21</f>
        <v>3.9496015936254998</v>
      </c>
      <c r="AS77" s="13">
        <f>'QTR Share Price'!HY21</f>
        <v>3.5656125498007998</v>
      </c>
      <c r="AT77" s="13">
        <f>'QTR Share Price'!HZ21</f>
        <v>3.5656125498007998</v>
      </c>
      <c r="AU77" s="13">
        <f>'QTR Share Price'!IA21</f>
        <v>2.3770750332005299</v>
      </c>
      <c r="AV77" s="13">
        <f>'QTR Share Price'!IB21</f>
        <v>3.3004772576361199</v>
      </c>
      <c r="AW77" s="13">
        <f>'QTR Share Price'!IC21</f>
        <v>3.4741865869853901</v>
      </c>
      <c r="AX77" s="13">
        <f>'QTR Share Price'!ID21</f>
        <v>3.5016143758300098</v>
      </c>
      <c r="AY77" s="13">
        <f>'QTR Share Price'!IE21</f>
        <v>2.8799178286852598</v>
      </c>
      <c r="AZ77" s="13">
        <f>'QTR Share Price'!IF21</f>
        <v>2.7647211155378502</v>
      </c>
      <c r="BA77" s="13">
        <f>'QTR Share Price'!IG21</f>
        <v>3.2639068725099598</v>
      </c>
      <c r="BB77" s="13">
        <f>'QTR Share Price'!IH21</f>
        <v>2.07536935590969</v>
      </c>
      <c r="BC77" s="13">
        <f>'QTR Share Price'!II21</f>
        <v>2.7244936918990699</v>
      </c>
      <c r="BD77" s="13">
        <f>'QTR Share Price'!IJ21</f>
        <v>2.55992695883134</v>
      </c>
      <c r="BE77" s="13">
        <f>'QTR Share Price'!IK21</f>
        <v>2.6513529216467502</v>
      </c>
      <c r="BF77" s="13">
        <f>'QTR Share Price'!IL21</f>
        <v>1.2525356905710501</v>
      </c>
      <c r="BG77" s="13">
        <f>'QTR Share Price'!IM21</f>
        <v>1.91994521912351</v>
      </c>
      <c r="BH77" s="13">
        <f>'QTR Share Price'!IN21</f>
        <v>1.21596530544489</v>
      </c>
      <c r="BI77" s="13">
        <f>'QTR Share Price'!IO21</f>
        <v>1.4171024236387799</v>
      </c>
      <c r="BJ77" s="13">
        <f>'QTR Share Price'!IP21</f>
        <v>3.0444845617529901</v>
      </c>
      <c r="BK77" s="13">
        <f>'QTR Share Price'!IQ21</f>
        <v>1.62738213811421</v>
      </c>
      <c r="BL77" s="13">
        <f>'QTR Share Price'!IR21</f>
        <v>2.4502158034528598</v>
      </c>
      <c r="BM77" s="13">
        <f>'QTR Share Price'!IS21</f>
        <v>1.5725265604249701</v>
      </c>
      <c r="BN77" s="13">
        <f>'QTR Share Price'!IT21</f>
        <v>1.08796895750332</v>
      </c>
      <c r="BO77" s="13">
        <f>'QTR Share Price'!IU21</f>
        <v>1.4171024236387799</v>
      </c>
      <c r="BP77" s="13">
        <f>'QTR Share Price'!IV21</f>
        <v>1.4171024236387799</v>
      </c>
      <c r="BQ77" s="13">
        <f>'QTR Share Price'!IW21</f>
        <v>1.64566733067729</v>
      </c>
      <c r="BR77" s="13">
        <f>'QTR Share Price'!IX21</f>
        <v>2.1302249335989401</v>
      </c>
      <c r="BS77" s="13">
        <f>'QTR Share Price'!IY21</f>
        <v>5.72326527224436</v>
      </c>
      <c r="BT77" s="13">
        <f>'QTR Share Price'!IZ21</f>
        <v>3.1541957171314698</v>
      </c>
      <c r="BU77" s="13">
        <f>'QTR Share Price'!JA21</f>
        <v>7.6249252988047802</v>
      </c>
      <c r="BV77" s="13">
        <f>'QTR Share Price'!JB21</f>
        <v>5.4672725763612204</v>
      </c>
      <c r="BW77" s="13">
        <f>'QTR Share Price'!JC21</f>
        <v>6.49124335989376</v>
      </c>
      <c r="BX77" s="13">
        <f>'QTR Share Price'!JD21</f>
        <v>4.0227423638778204</v>
      </c>
      <c r="BY77" s="13">
        <f>'QTR Share Price'!JE21</f>
        <v>6.6649526892430302</v>
      </c>
      <c r="BZ77" s="13">
        <f>'QTR Share Price'!JF21</f>
        <v>6.5095285524568398</v>
      </c>
      <c r="CA77" s="13">
        <f>'QTR Share Price'!JG21</f>
        <v>13.448759130146099</v>
      </c>
      <c r="CB77" s="13">
        <f>'QTR Share Price'!JH21</f>
        <v>30.9019754316069</v>
      </c>
      <c r="CC77" s="13">
        <f>'QTR Share Price'!JI21</f>
        <v>34.851577025232402</v>
      </c>
      <c r="CD77" s="13">
        <f>'QTR Share Price'!JJ21</f>
        <v>25.279278718459501</v>
      </c>
      <c r="CE77" s="13">
        <f>'QTR Share Price'!JK21</f>
        <v>28.8174634794157</v>
      </c>
      <c r="CF77" s="13">
        <f>'QTR Share Price'!JL21</f>
        <v>45.200996015936298</v>
      </c>
      <c r="CG77" s="13">
        <f>'QTR Share Price'!JM21</f>
        <v>45.063857071713102</v>
      </c>
      <c r="CH77" s="13">
        <f>'QTR Share Price'!JN21</f>
        <v>40.583984893758299</v>
      </c>
      <c r="CI77" s="13">
        <f>'QTR Share Price'!JO21</f>
        <v>81.588529216467506</v>
      </c>
      <c r="CJ77" s="13">
        <f>'QTR Share Price'!JP21</f>
        <v>62.49</v>
      </c>
      <c r="CK77" s="13">
        <f>'QTR Share Price'!JQ21</f>
        <v>59.72</v>
      </c>
      <c r="CL77" s="13">
        <f>'QTR Share Price'!JR21</f>
        <v>41.39</v>
      </c>
      <c r="CM77" s="37">
        <f t="shared" ref="CM77" si="853">+CL77</f>
        <v>41.39</v>
      </c>
      <c r="CN77" s="37">
        <f t="shared" ref="CN77" si="854">+CM77</f>
        <v>41.39</v>
      </c>
      <c r="CO77" s="37">
        <f t="shared" ref="CO77" si="855">+CN77</f>
        <v>41.39</v>
      </c>
      <c r="CP77" s="37">
        <f t="shared" ref="CP77" si="856">+CO77</f>
        <v>41.39</v>
      </c>
      <c r="CQ77" s="37">
        <f t="shared" ref="CQ77" si="857">+CP77</f>
        <v>41.39</v>
      </c>
      <c r="CR77" s="37">
        <f t="shared" ref="CR77" si="858">+CQ77</f>
        <v>41.39</v>
      </c>
      <c r="CS77" s="37">
        <f t="shared" ref="CS77" si="859">+CR77</f>
        <v>41.39</v>
      </c>
      <c r="CT77" s="37">
        <f t="shared" ref="CT77" si="860">+CS77</f>
        <v>41.39</v>
      </c>
      <c r="CU77" s="37">
        <f t="shared" ref="CU77" si="861">+CT77</f>
        <v>41.39</v>
      </c>
      <c r="CV77" s="37">
        <f t="shared" ref="CV77" si="862">+CU77</f>
        <v>41.39</v>
      </c>
      <c r="CW77" s="37">
        <f t="shared" ref="CW77" si="863">+CV77</f>
        <v>41.39</v>
      </c>
      <c r="CX77" s="37">
        <f t="shared" ref="CX77" si="864">+CW77</f>
        <v>41.39</v>
      </c>
      <c r="CY77" s="37">
        <f t="shared" ref="CY77" si="865">+CX77</f>
        <v>41.39</v>
      </c>
      <c r="CZ77" s="37">
        <f t="shared" ref="CZ77" si="866">+CY77</f>
        <v>41.39</v>
      </c>
      <c r="DA77" s="37">
        <f t="shared" ref="DA77" si="867">+CZ77</f>
        <v>41.39</v>
      </c>
      <c r="DB77" s="37">
        <f t="shared" ref="DB77" si="868">+DA77</f>
        <v>41.39</v>
      </c>
      <c r="DE77" s="134"/>
      <c r="DF77" s="13">
        <v>41.39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9.0968833001328004</v>
      </c>
      <c r="J78" s="13">
        <f>'Annual Raw'!K107</f>
        <v>62.535358565736999</v>
      </c>
      <c r="K78" s="13">
        <f>'Annual Raw'!L107</f>
        <v>86.671812749004005</v>
      </c>
      <c r="L78" s="13">
        <f>'Annual Raw'!M107</f>
        <v>70.397991367861906</v>
      </c>
      <c r="M78" s="13">
        <f>'Annual Raw'!N107</f>
        <v>72.939633134130105</v>
      </c>
      <c r="N78" s="13">
        <f>'Annual Raw'!O107</f>
        <v>20.808549136786201</v>
      </c>
      <c r="O78" s="13">
        <f>'Annual Raw'!P107</f>
        <v>10.577983897742399</v>
      </c>
      <c r="P78" s="13">
        <f>'Annual Raw'!Q107</f>
        <v>9.3345908034528495</v>
      </c>
      <c r="Q78" s="13">
        <f>'Annual Raw'!R107</f>
        <v>4.25130727091633</v>
      </c>
      <c r="R78" s="13">
        <f>'Annual Raw'!S107</f>
        <v>3.7941774568393098</v>
      </c>
      <c r="S78" s="13">
        <f>'Annual Raw'!T107</f>
        <v>4.3701610225763599</v>
      </c>
      <c r="T78" s="13">
        <f>'Annual Raw'!U107</f>
        <v>3.51989956839309</v>
      </c>
      <c r="U78" s="13">
        <f>'Annual Raw'!V107</f>
        <v>3.29133466135458</v>
      </c>
      <c r="V78" s="13">
        <f>'Annual Raw'!W107</f>
        <v>2.8799178286852598</v>
      </c>
      <c r="W78" s="13">
        <f>'Annual Raw'!X107</f>
        <v>8.9323165670650706</v>
      </c>
      <c r="X78" s="13">
        <f>'Annual Raw'!Y107</f>
        <v>9.5540131142098303</v>
      </c>
      <c r="Y78" s="13">
        <f>'Annual Raw'!Z107</f>
        <v>43.655897244355899</v>
      </c>
      <c r="Z78" s="13">
        <f>'Annual Raw'!AA107</f>
        <v>57.753780710491398</v>
      </c>
      <c r="AA78" s="13">
        <f>'Annual Raw'!AB107</f>
        <v>88.125485557768897</v>
      </c>
      <c r="AB78" s="37">
        <f>+MAX(CM78:CP78)</f>
        <v>95.025563474976693</v>
      </c>
      <c r="AC78" s="37">
        <f>+MAX(CQ78:CT78)</f>
        <v>127.70052521328621</v>
      </c>
      <c r="AD78" s="37">
        <f>+MAX(CU78:CX78)</f>
        <v>174.56965216608165</v>
      </c>
      <c r="AE78" s="37">
        <f>+MAX(CY78:DB78)</f>
        <v>241.37572154543619</v>
      </c>
      <c r="AJ78" s="13">
        <f>'QTR Share Price'!HP19</f>
        <v>16.794949369189901</v>
      </c>
      <c r="AK78" s="13">
        <f>'QTR Share Price'!HQ19</f>
        <v>12.799634794156701</v>
      </c>
      <c r="AL78" s="13">
        <f>'QTR Share Price'!HR19</f>
        <v>11.1356822709163</v>
      </c>
      <c r="AM78" s="13">
        <f>'QTR Share Price'!HS19</f>
        <v>8.6031831009296091</v>
      </c>
      <c r="AN78" s="13">
        <f>'QTR Share Price'!HT19</f>
        <v>10.577983897742399</v>
      </c>
      <c r="AO78" s="13">
        <f>'QTR Share Price'!HU19</f>
        <v>9.8740039840637408</v>
      </c>
      <c r="AP78" s="13">
        <f>'QTR Share Price'!HV19</f>
        <v>7.2775066401062398</v>
      </c>
      <c r="AQ78" s="13">
        <f>'QTR Share Price'!HW19</f>
        <v>9.3345908034528495</v>
      </c>
      <c r="AR78" s="13">
        <f>'QTR Share Price'!HX19</f>
        <v>5.4672725763612204</v>
      </c>
      <c r="AS78" s="13">
        <f>'QTR Share Price'!HY19</f>
        <v>4.7541500664010599</v>
      </c>
      <c r="AT78" s="13">
        <f>'QTR Share Price'!HZ19</f>
        <v>3.82160524568393</v>
      </c>
      <c r="AU78" s="13">
        <f>'QTR Share Price'!IA19</f>
        <v>3.8947460159362599</v>
      </c>
      <c r="AV78" s="13">
        <f>'QTR Share Price'!IB19</f>
        <v>3.6021829349269598</v>
      </c>
      <c r="AW78" s="13">
        <f>'QTR Share Price'!IC19</f>
        <v>4.25130727091633</v>
      </c>
      <c r="AX78" s="13">
        <f>'QTR Share Price'!ID19</f>
        <v>3.9221738047808801</v>
      </c>
      <c r="AY78" s="13">
        <f>'QTR Share Price'!IE19</f>
        <v>3.7941774568393098</v>
      </c>
      <c r="AZ78" s="13">
        <f>'QTR Share Price'!IF19</f>
        <v>2.7793492695883102</v>
      </c>
      <c r="BA78" s="13">
        <f>'QTR Share Price'!IG19</f>
        <v>3.2639068725099598</v>
      </c>
      <c r="BB78" s="13">
        <f>'QTR Share Price'!IH19</f>
        <v>3.4741865869853901</v>
      </c>
      <c r="BC78" s="13">
        <f>'QTR Share Price'!II19</f>
        <v>2.9164882138114199</v>
      </c>
      <c r="BD78" s="13">
        <f>'QTR Share Price'!IJ19</f>
        <v>2.7427788844621501</v>
      </c>
      <c r="BE78" s="13">
        <f>'QTR Share Price'!IK19</f>
        <v>4.3701610225763599</v>
      </c>
      <c r="BF78" s="13">
        <f>'QTR Share Price'!IL19</f>
        <v>2.52335657370518</v>
      </c>
      <c r="BG78" s="13">
        <f>'QTR Share Price'!IM19</f>
        <v>2.1027971447543199</v>
      </c>
      <c r="BH78" s="13">
        <f>'QTR Share Price'!IN19</f>
        <v>1.91994521912351</v>
      </c>
      <c r="BI78" s="13">
        <f>'QTR Share Price'!IO19</f>
        <v>1.45367280876494</v>
      </c>
      <c r="BJ78" s="13">
        <f>'QTR Share Price'!IP19</f>
        <v>3.51989956839309</v>
      </c>
      <c r="BK78" s="13">
        <f>'QTR Share Price'!IQ19</f>
        <v>2.98962898406374</v>
      </c>
      <c r="BL78" s="13">
        <f>'QTR Share Price'!IR19</f>
        <v>2.4502158034528598</v>
      </c>
      <c r="BM78" s="13">
        <f>'QTR Share Price'!IS19</f>
        <v>3.29133466135458</v>
      </c>
      <c r="BN78" s="13">
        <f>'QTR Share Price'!IT19</f>
        <v>1.55424136786189</v>
      </c>
      <c r="BO78" s="13">
        <f>'QTR Share Price'!IU19</f>
        <v>1.4171024236387799</v>
      </c>
      <c r="BP78" s="13">
        <f>'QTR Share Price'!IV19</f>
        <v>2.3405046480743699</v>
      </c>
      <c r="BQ78" s="13">
        <f>'QTR Share Price'!IW19</f>
        <v>1.96565820053121</v>
      </c>
      <c r="BR78" s="13">
        <f>'QTR Share Price'!IX19</f>
        <v>2.8799178286852598</v>
      </c>
      <c r="BS78" s="13">
        <f>'QTR Share Price'!IY19</f>
        <v>5.7324078685259003</v>
      </c>
      <c r="BT78" s="13">
        <f>'QTR Share Price'!IZ19</f>
        <v>8.7037516600265601</v>
      </c>
      <c r="BU78" s="13">
        <f>'QTR Share Price'!JA19</f>
        <v>7.6249252988047802</v>
      </c>
      <c r="BV78" s="13">
        <f>'QTR Share Price'!JB19</f>
        <v>8.9323165670650706</v>
      </c>
      <c r="BW78" s="13">
        <f>'QTR Share Price'!JC19</f>
        <v>9.5540131142098303</v>
      </c>
      <c r="BX78" s="13">
        <f>'QTR Share Price'!JD19</f>
        <v>7.9266309760956197</v>
      </c>
      <c r="BY78" s="13">
        <f>'QTR Share Price'!JE19</f>
        <v>7.0306565405046504</v>
      </c>
      <c r="BZ78" s="13">
        <f>'QTR Share Price'!JF19</f>
        <v>9.0511703187251005</v>
      </c>
      <c r="CA78" s="13">
        <f>'QTR Share Price'!JG19</f>
        <v>16.337819555112901</v>
      </c>
      <c r="CB78" s="13">
        <f>'QTR Share Price'!JH19</f>
        <v>36.104112715803502</v>
      </c>
      <c r="CC78" s="13">
        <f>'QTR Share Price'!JI19</f>
        <v>43.655897244355899</v>
      </c>
      <c r="CD78" s="13">
        <f>'QTR Share Price'!JJ19</f>
        <v>37.9417745683931</v>
      </c>
      <c r="CE78" s="13">
        <f>'QTR Share Price'!JK19</f>
        <v>36.524672144754298</v>
      </c>
      <c r="CF78" s="13">
        <f>'QTR Share Price'!JL19</f>
        <v>46.581528054448903</v>
      </c>
      <c r="CG78" s="13">
        <f>'QTR Share Price'!JM19</f>
        <v>49.918575697211203</v>
      </c>
      <c r="CH78" s="13">
        <f>'QTR Share Price'!JN19</f>
        <v>57.753780710491398</v>
      </c>
      <c r="CI78" s="13">
        <f>'QTR Share Price'!JO19</f>
        <v>84.642156374501994</v>
      </c>
      <c r="CJ78" s="13">
        <f>'QTR Share Price'!JP19</f>
        <v>88.125485557768897</v>
      </c>
      <c r="CK78" s="13">
        <f>'QTR Share Price'!JQ19</f>
        <v>75.400000000000006</v>
      </c>
      <c r="CL78" s="13">
        <f>'QTR Share Price'!JR19</f>
        <v>68.739999999999995</v>
      </c>
      <c r="CM78" s="37">
        <f t="shared" ref="CM78:DB78" si="869">+CM69*CM86</f>
        <v>18.014853232746383</v>
      </c>
      <c r="CN78" s="37">
        <f t="shared" si="869"/>
        <v>40.485197088984421</v>
      </c>
      <c r="CO78" s="37">
        <f t="shared" si="869"/>
        <v>65.117076056650475</v>
      </c>
      <c r="CP78" s="37">
        <f t="shared" si="869"/>
        <v>95.025563474976693</v>
      </c>
      <c r="CQ78" s="37">
        <f t="shared" si="869"/>
        <v>97.302433850526455</v>
      </c>
      <c r="CR78" s="37">
        <f t="shared" si="869"/>
        <v>105.83546144776957</v>
      </c>
      <c r="CS78" s="37">
        <f t="shared" si="869"/>
        <v>114.84808651639838</v>
      </c>
      <c r="CT78" s="37">
        <f t="shared" si="869"/>
        <v>127.70052521328621</v>
      </c>
      <c r="CU78" s="37">
        <f t="shared" si="869"/>
        <v>133.18552278653067</v>
      </c>
      <c r="CV78" s="37">
        <f t="shared" si="869"/>
        <v>145.62620319755629</v>
      </c>
      <c r="CW78" s="37">
        <f t="shared" si="869"/>
        <v>157.75206664747225</v>
      </c>
      <c r="CX78" s="37">
        <f t="shared" si="869"/>
        <v>174.56965216608165</v>
      </c>
      <c r="CY78" s="37">
        <f t="shared" si="869"/>
        <v>183.54726903847586</v>
      </c>
      <c r="CZ78" s="37">
        <f t="shared" si="869"/>
        <v>200.99210093612407</v>
      </c>
      <c r="DA78" s="37">
        <f t="shared" si="869"/>
        <v>218.15092522699393</v>
      </c>
      <c r="DB78" s="37">
        <f t="shared" si="869"/>
        <v>241.37572154543619</v>
      </c>
      <c r="DE78" s="134"/>
      <c r="DF78" s="13">
        <v>68.739999999999995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3.93131640106242</v>
      </c>
      <c r="J79" s="13">
        <f>'Annual Raw'!K108</f>
        <v>9.54487051792829</v>
      </c>
      <c r="K79" s="13">
        <f>'Annual Raw'!L108</f>
        <v>35.656125498008002</v>
      </c>
      <c r="L79" s="13">
        <f>'Annual Raw'!M108</f>
        <v>21.677095783532501</v>
      </c>
      <c r="M79" s="13">
        <f>'Annual Raw'!N108</f>
        <v>17.498929282868499</v>
      </c>
      <c r="N79" s="13">
        <f>'Annual Raw'!O108</f>
        <v>4.8821464143426301</v>
      </c>
      <c r="O79" s="13">
        <f>'Annual Raw'!P108</f>
        <v>4.4341591965471503</v>
      </c>
      <c r="P79" s="13">
        <f>'Annual Raw'!Q108</f>
        <v>2.66963811420983</v>
      </c>
      <c r="Q79" s="13">
        <f>'Annual Raw'!R108</f>
        <v>1.7041799468791501</v>
      </c>
      <c r="R79" s="13">
        <f>'Annual Raw'!S108</f>
        <v>2.07536935590969</v>
      </c>
      <c r="S79" s="13">
        <f>'Annual Raw'!T108</f>
        <v>1.2525356905710501</v>
      </c>
      <c r="T79" s="13">
        <f>'Annual Raw'!U108</f>
        <v>0.99654299468791496</v>
      </c>
      <c r="U79" s="13">
        <f>'Annual Raw'!V108</f>
        <v>1.04225597609562</v>
      </c>
      <c r="V79" s="13">
        <f>'Annual Raw'!W108</f>
        <v>1.04225597609562</v>
      </c>
      <c r="W79" s="13">
        <f>'Annual Raw'!X108</f>
        <v>2.0022285856573698</v>
      </c>
      <c r="X79" s="13">
        <f>'Annual Raw'!Y108</f>
        <v>3.6204681274900401</v>
      </c>
      <c r="Y79" s="13">
        <f>'Annual Raw'!Z108</f>
        <v>6.49124335989376</v>
      </c>
      <c r="Z79" s="13">
        <f>'Annual Raw'!AA108</f>
        <v>25.507843625498001</v>
      </c>
      <c r="AA79" s="13">
        <f>'Annual Raw'!AB108</f>
        <v>37.585213313413</v>
      </c>
      <c r="AB79" s="37">
        <f>+MIN(CM79:CP79)</f>
        <v>10.708276157841389</v>
      </c>
      <c r="AC79" s="37">
        <f>+MIN(CQ79:CT79)</f>
        <v>57.83790292598939</v>
      </c>
      <c r="AD79" s="37">
        <f>+MIN(CU79:CX79)</f>
        <v>79.167303768659337</v>
      </c>
      <c r="AE79" s="37">
        <f>+MIN(CY79:DB79)</f>
        <v>109.10301735397327</v>
      </c>
      <c r="AJ79" s="13">
        <f>+'QTR Share Price'!HP20</f>
        <v>7.5517845285524601</v>
      </c>
      <c r="AK79" s="13">
        <f>+'QTR Share Price'!HQ20</f>
        <v>5.4855577689243002</v>
      </c>
      <c r="AL79" s="13">
        <f>+'QTR Share Price'!HR20</f>
        <v>4.8821464143426301</v>
      </c>
      <c r="AM79" s="13">
        <f>+'QTR Share Price'!HS20</f>
        <v>4.4341591965471503</v>
      </c>
      <c r="AN79" s="13">
        <f>+'QTR Share Price'!HT20</f>
        <v>6.8843750000000004</v>
      </c>
      <c r="AO79" s="13">
        <f>+'QTR Share Price'!HU20</f>
        <v>5.3118484395750301</v>
      </c>
      <c r="AP79" s="13">
        <f>+'QTR Share Price'!HV20</f>
        <v>4.8272908366533898</v>
      </c>
      <c r="AQ79" s="13">
        <f>+'QTR Share Price'!HW20</f>
        <v>3.93131640106242</v>
      </c>
      <c r="AR79" s="13">
        <f>+'QTR Share Price'!HX20</f>
        <v>3.7667496679946901</v>
      </c>
      <c r="AS79" s="13">
        <f>+'QTR Share Price'!HY20</f>
        <v>3.09934013944223</v>
      </c>
      <c r="AT79" s="13">
        <f>+'QTR Share Price'!HZ20</f>
        <v>2.66963811420983</v>
      </c>
      <c r="AU79" s="13">
        <f>+'QTR Share Price'!IA20</f>
        <v>1.83766185258964</v>
      </c>
      <c r="AV79" s="13">
        <f>+'QTR Share Price'!IB20</f>
        <v>1.7041799468791501</v>
      </c>
      <c r="AW79" s="13">
        <f>+'QTR Share Price'!IC20</f>
        <v>2.7427788844621501</v>
      </c>
      <c r="AX79" s="13">
        <f>+'QTR Share Price'!ID20</f>
        <v>3.2730494687915002</v>
      </c>
      <c r="AY79" s="13">
        <f>+'QTR Share Price'!IE20</f>
        <v>2.8433474435591002</v>
      </c>
      <c r="AZ79" s="13">
        <f>+'QTR Share Price'!IF20</f>
        <v>2.1210823373174001</v>
      </c>
      <c r="BA79" s="13">
        <f>+'QTR Share Price'!IG20</f>
        <v>2.5142139774236401</v>
      </c>
      <c r="BB79" s="13">
        <f>+'QTR Share Price'!IH20</f>
        <v>2.07536935590969</v>
      </c>
      <c r="BC79" s="13">
        <f>+'QTR Share Price'!II20</f>
        <v>1.90166002656043</v>
      </c>
      <c r="BD79" s="13">
        <f>+'QTR Share Price'!IJ20</f>
        <v>2.4319306108897698</v>
      </c>
      <c r="BE79" s="13">
        <f>+'QTR Share Price'!IK20</f>
        <v>2.0113711819389102</v>
      </c>
      <c r="BF79" s="13">
        <f>+'QTR Share Price'!IL20</f>
        <v>1.2525356905710501</v>
      </c>
      <c r="BG79" s="13">
        <f>+'QTR Share Price'!IM20</f>
        <v>0.99654299468791496</v>
      </c>
      <c r="BH79" s="13">
        <f>+'QTR Share Price'!IN20</f>
        <v>1.1519671314741</v>
      </c>
      <c r="BI79" s="13">
        <f>+'QTR Share Price'!IO20</f>
        <v>1.1611097277556399</v>
      </c>
      <c r="BJ79" s="13">
        <f>+'QTR Share Price'!IP20</f>
        <v>1.3531042496679899</v>
      </c>
      <c r="BK79" s="13">
        <f>+'QTR Share Price'!IQ20</f>
        <v>1.4811005976095599</v>
      </c>
      <c r="BL79" s="13">
        <f>+'QTR Share Price'!IR20</f>
        <v>1.6090969455511299</v>
      </c>
      <c r="BM79" s="13">
        <f>+'QTR Share Price'!IS20</f>
        <v>1.5725265604249701</v>
      </c>
      <c r="BN79" s="13">
        <f>+'QTR Share Price'!IT20</f>
        <v>1.04225597609562</v>
      </c>
      <c r="BO79" s="13">
        <f>+'QTR Share Price'!IU20</f>
        <v>1.04225597609562</v>
      </c>
      <c r="BP79" s="13">
        <f>+'QTR Share Price'!IV20</f>
        <v>1.23425049800797</v>
      </c>
      <c r="BQ79" s="13">
        <f>+'QTR Share Price'!IW20</f>
        <v>1.04225597609562</v>
      </c>
      <c r="BR79" s="13">
        <f>+'QTR Share Price'!IX20</f>
        <v>1.5359561752988</v>
      </c>
      <c r="BS79" s="13">
        <f>+'QTR Share Price'!IY20</f>
        <v>2.0022285856573698</v>
      </c>
      <c r="BT79" s="13">
        <f>+'QTR Share Price'!IZ20</f>
        <v>3.0810549468791502</v>
      </c>
      <c r="BU79" s="13">
        <f>+'QTR Share Price'!JA20</f>
        <v>2.0662267596281501</v>
      </c>
      <c r="BV79" s="13">
        <f>+'QTR Share Price'!JB20</f>
        <v>4.6261537184595003</v>
      </c>
      <c r="BW79" s="13">
        <f>+'QTR Share Price'!JC20</f>
        <v>5.4855577689243002</v>
      </c>
      <c r="BX79" s="13">
        <f>+'QTR Share Price'!JD20</f>
        <v>3.6204681274900401</v>
      </c>
      <c r="BY79" s="13">
        <f>+'QTR Share Price'!JE20</f>
        <v>3.93131640106242</v>
      </c>
      <c r="BZ79" s="13">
        <f>+'QTR Share Price'!JF20</f>
        <v>5.5952689243027898</v>
      </c>
      <c r="CA79" s="13">
        <f>+'QTR Share Price'!JG20</f>
        <v>6.49124335989376</v>
      </c>
      <c r="CB79" s="13">
        <f>+'QTR Share Price'!JH20</f>
        <v>13.5767554780877</v>
      </c>
      <c r="CC79" s="13">
        <f>+'QTR Share Price'!JI20</f>
        <v>29.713437915006601</v>
      </c>
      <c r="CD79" s="13">
        <f>+'QTR Share Price'!JJ20</f>
        <v>24.959287848605602</v>
      </c>
      <c r="CE79" s="13">
        <f>+'QTR Share Price'!JK20</f>
        <v>25.507843625498001</v>
      </c>
      <c r="CF79" s="13">
        <f>+'QTR Share Price'!JL20</f>
        <v>28.342048472775598</v>
      </c>
      <c r="CG79" s="13">
        <f>+'QTR Share Price'!JM20</f>
        <v>37.8503486055777</v>
      </c>
      <c r="CH79" s="13">
        <f>+'QTR Share Price'!JN20</f>
        <v>34.0561711487384</v>
      </c>
      <c r="CI79" s="13">
        <f>+'QTR Share Price'!JO20</f>
        <v>37.585213313413</v>
      </c>
      <c r="CJ79" s="13">
        <f>+'QTR Share Price'!JP20</f>
        <v>60.2</v>
      </c>
      <c r="CK79" s="13">
        <f>+'QTR Share Price'!JQ20</f>
        <v>50.66</v>
      </c>
      <c r="CL79" s="13">
        <f>+'QTR Share Price'!JR20</f>
        <v>40.86</v>
      </c>
      <c r="CM79" s="37">
        <f t="shared" ref="CM79:DB79" si="870">+CM87*CM69</f>
        <v>10.708276157841389</v>
      </c>
      <c r="CN79" s="37">
        <f t="shared" si="870"/>
        <v>24.064957129122828</v>
      </c>
      <c r="CO79" s="37">
        <f t="shared" si="870"/>
        <v>38.706484254796884</v>
      </c>
      <c r="CP79" s="37">
        <f t="shared" si="870"/>
        <v>56.48449990671439</v>
      </c>
      <c r="CQ79" s="37">
        <f t="shared" si="870"/>
        <v>57.83790292598939</v>
      </c>
      <c r="CR79" s="37">
        <f t="shared" si="870"/>
        <v>62.910051713061748</v>
      </c>
      <c r="CS79" s="37">
        <f t="shared" si="870"/>
        <v>68.267279823393039</v>
      </c>
      <c r="CT79" s="37">
        <f t="shared" si="870"/>
        <v>75.906945886163427</v>
      </c>
      <c r="CU79" s="37">
        <f t="shared" si="870"/>
        <v>79.167303768659337</v>
      </c>
      <c r="CV79" s="37">
        <f t="shared" si="870"/>
        <v>86.562215051675153</v>
      </c>
      <c r="CW79" s="37">
        <f t="shared" si="870"/>
        <v>93.769994809655444</v>
      </c>
      <c r="CX79" s="37">
        <f t="shared" si="870"/>
        <v>103.76659859624813</v>
      </c>
      <c r="CY79" s="37">
        <f t="shared" si="870"/>
        <v>109.10301735397327</v>
      </c>
      <c r="CZ79" s="37">
        <f t="shared" si="870"/>
        <v>119.47246500218256</v>
      </c>
      <c r="DA79" s="37">
        <f t="shared" si="870"/>
        <v>129.67190580120703</v>
      </c>
      <c r="DB79" s="37">
        <f t="shared" si="870"/>
        <v>143.47704367684784</v>
      </c>
      <c r="DE79" s="134"/>
      <c r="DF79" s="13">
        <v>40.86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1.2958580206566004</v>
      </c>
      <c r="AC81" s="48">
        <f t="shared" si="871"/>
        <v>2.0852989904152262</v>
      </c>
      <c r="AD81" s="48">
        <f t="shared" si="871"/>
        <v>3.2176770274482154</v>
      </c>
      <c r="AE81" s="48">
        <f t="shared" ref="AE81" si="872">+AE78/AE77-1</f>
        <v>4.831740071162991</v>
      </c>
      <c r="CM81" s="48">
        <f t="shared" ref="CM81:DB81" si="873">+CM78/CM77-1</f>
        <v>-0.56475348555819327</v>
      </c>
      <c r="CN81" s="48">
        <f t="shared" si="873"/>
        <v>-2.1860423073582491E-2</v>
      </c>
      <c r="CO81" s="48">
        <f t="shared" si="873"/>
        <v>0.57325624683861975</v>
      </c>
      <c r="CP81" s="48">
        <f t="shared" si="873"/>
        <v>1.2958580206566004</v>
      </c>
      <c r="CQ81" s="48">
        <f t="shared" si="873"/>
        <v>1.3508681771086364</v>
      </c>
      <c r="CR81" s="48">
        <f t="shared" si="873"/>
        <v>1.5570297523017533</v>
      </c>
      <c r="CS81" s="48">
        <f t="shared" si="873"/>
        <v>1.7747786063396567</v>
      </c>
      <c r="CT81" s="48">
        <f t="shared" si="873"/>
        <v>2.0852989904152262</v>
      </c>
      <c r="CU81" s="48">
        <f t="shared" si="873"/>
        <v>2.2178188641345895</v>
      </c>
      <c r="CV81" s="48">
        <f t="shared" si="873"/>
        <v>2.5183909929344357</v>
      </c>
      <c r="CW81" s="48">
        <f t="shared" si="873"/>
        <v>2.811357010086307</v>
      </c>
      <c r="CX81" s="48">
        <f t="shared" si="873"/>
        <v>3.2176770274482154</v>
      </c>
      <c r="CY81" s="48">
        <f t="shared" si="873"/>
        <v>3.434580068578784</v>
      </c>
      <c r="CZ81" s="48">
        <f t="shared" si="873"/>
        <v>3.8560546251781611</v>
      </c>
      <c r="DA81" s="48">
        <f t="shared" si="873"/>
        <v>4.2706191163806215</v>
      </c>
      <c r="DB81" s="48">
        <f t="shared" si="873"/>
        <v>4.831740071162991</v>
      </c>
      <c r="DE81" s="129"/>
      <c r="DF81" s="51">
        <v>1.1291492041016888</v>
      </c>
    </row>
    <row r="82" spans="1:110" s="51" customFormat="1" x14ac:dyDescent="0.2">
      <c r="A82" s="51" t="s">
        <v>347</v>
      </c>
      <c r="AB82" s="48">
        <f t="shared" ref="AB82:AD82" si="874">+AB79/AB77-1</f>
        <v>-0.74128349461605736</v>
      </c>
      <c r="AC82" s="48">
        <f t="shared" si="874"/>
        <v>0.39738832872648922</v>
      </c>
      <c r="AD82" s="48">
        <f t="shared" si="874"/>
        <v>0.91271572284753177</v>
      </c>
      <c r="AE82" s="48">
        <f t="shared" ref="AE82" si="875">+AE79/AE77-1</f>
        <v>1.6359752924371409</v>
      </c>
      <c r="CM82" s="48">
        <f t="shared" ref="CM82:DB82" si="876">+CM79/CM77-1</f>
        <v>-0.74128349461605736</v>
      </c>
      <c r="CN82" s="48">
        <f t="shared" si="876"/>
        <v>-0.41858040277548136</v>
      </c>
      <c r="CO82" s="48">
        <f t="shared" si="876"/>
        <v>-6.4834881498021635E-2</v>
      </c>
      <c r="CP82" s="48">
        <f t="shared" si="876"/>
        <v>0.36468953628205814</v>
      </c>
      <c r="CQ82" s="48">
        <f t="shared" si="876"/>
        <v>0.39738832872648922</v>
      </c>
      <c r="CR82" s="48">
        <f t="shared" si="876"/>
        <v>0.51993360021893564</v>
      </c>
      <c r="CS82" s="48">
        <f t="shared" si="876"/>
        <v>0.64936650938374085</v>
      </c>
      <c r="CT82" s="48">
        <f t="shared" si="876"/>
        <v>0.83394409002569292</v>
      </c>
      <c r="CU82" s="48">
        <f t="shared" si="876"/>
        <v>0.91271572284753177</v>
      </c>
      <c r="CV82" s="48">
        <f t="shared" si="876"/>
        <v>1.0913799239351327</v>
      </c>
      <c r="CW82" s="48">
        <f t="shared" si="876"/>
        <v>1.2655229478051568</v>
      </c>
      <c r="CX82" s="48">
        <f t="shared" si="876"/>
        <v>1.5070451460799257</v>
      </c>
      <c r="CY82" s="48">
        <f t="shared" si="876"/>
        <v>1.6359752924371409</v>
      </c>
      <c r="CZ82" s="48">
        <f t="shared" si="876"/>
        <v>1.8865055569505329</v>
      </c>
      <c r="DA82" s="48">
        <f t="shared" si="876"/>
        <v>2.132928383696715</v>
      </c>
      <c r="DB82" s="48">
        <f t="shared" si="876"/>
        <v>2.4664663850410204</v>
      </c>
      <c r="DE82" s="129"/>
      <c r="DF82" s="51">
        <v>-9.1925264232592396E-2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7">+B77/B69</f>
        <v>0</v>
      </c>
      <c r="C85" s="13">
        <f t="shared" si="877"/>
        <v>0</v>
      </c>
      <c r="D85" s="13">
        <f t="shared" si="877"/>
        <v>0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>
        <f t="shared" ref="AL85:BQ85" si="880">+AL77/AL69</f>
        <v>483.92194407502683</v>
      </c>
      <c r="AM85" s="13">
        <f t="shared" si="880"/>
        <v>-88.162692478423295</v>
      </c>
      <c r="AN85" s="13">
        <f t="shared" si="880"/>
        <v>-107.76347323068964</v>
      </c>
      <c r="AO85" s="13">
        <f t="shared" si="880"/>
        <v>-73.876891848263881</v>
      </c>
      <c r="AP85" s="13">
        <f t="shared" si="880"/>
        <v>1136.6101194491696</v>
      </c>
      <c r="AQ85" s="13">
        <f t="shared" si="880"/>
        <v>51.571345148529367</v>
      </c>
      <c r="AR85" s="13">
        <f t="shared" si="880"/>
        <v>46.875975487363554</v>
      </c>
      <c r="AS85" s="13">
        <f t="shared" si="880"/>
        <v>38.653251014380672</v>
      </c>
      <c r="AT85" s="13">
        <f t="shared" si="880"/>
        <v>1222.882755131362</v>
      </c>
      <c r="AU85" s="13">
        <f t="shared" si="880"/>
        <v>402.69262638709461</v>
      </c>
      <c r="AV85" s="13">
        <f t="shared" si="880"/>
        <v>726.15689097642087</v>
      </c>
      <c r="AW85" s="13">
        <f t="shared" si="880"/>
        <v>-628.09163968588837</v>
      </c>
      <c r="AX85" s="13">
        <f t="shared" si="880"/>
        <v>-91.859936184831923</v>
      </c>
      <c r="AY85" s="13">
        <f t="shared" si="880"/>
        <v>-69.253634948948019</v>
      </c>
      <c r="AZ85" s="13">
        <f t="shared" si="880"/>
        <v>-67.800109656013234</v>
      </c>
      <c r="BA85" s="13">
        <f t="shared" si="880"/>
        <v>-54.841317083371599</v>
      </c>
      <c r="BB85" s="13">
        <f t="shared" si="880"/>
        <v>-79.541614344684433</v>
      </c>
      <c r="BC85" s="13">
        <f t="shared" si="880"/>
        <v>-100.35230384507416</v>
      </c>
      <c r="BD85" s="13">
        <f t="shared" si="880"/>
        <v>-100.5362277152033</v>
      </c>
      <c r="BE85" s="13">
        <f t="shared" si="880"/>
        <v>-2234.9627369038271</v>
      </c>
      <c r="BF85" s="13">
        <f t="shared" si="880"/>
        <v>-29.496351259105911</v>
      </c>
      <c r="BG85" s="13">
        <f t="shared" si="880"/>
        <v>-55.131938130915927</v>
      </c>
      <c r="BH85" s="13">
        <f t="shared" si="880"/>
        <v>-45.88727755957494</v>
      </c>
      <c r="BI85" s="13">
        <f t="shared" si="880"/>
        <v>-7.1905987649046139</v>
      </c>
      <c r="BJ85" s="13">
        <f t="shared" si="880"/>
        <v>-9.6883181280382047</v>
      </c>
      <c r="BK85" s="13">
        <f t="shared" si="880"/>
        <v>-5.0402740722957367</v>
      </c>
      <c r="BL85" s="13">
        <f t="shared" si="880"/>
        <v>-7.3847397556896421</v>
      </c>
      <c r="BM85" s="13">
        <f t="shared" si="880"/>
        <v>-9.6387770642720252</v>
      </c>
      <c r="BN85" s="13">
        <f t="shared" si="880"/>
        <v>-289.42870004456188</v>
      </c>
      <c r="BO85" s="13">
        <f t="shared" si="880"/>
        <v>599.07897927424335</v>
      </c>
      <c r="BP85" s="13">
        <f t="shared" si="880"/>
        <v>294.20644234387908</v>
      </c>
      <c r="BQ85" s="13">
        <f t="shared" si="880"/>
        <v>120.24972824108262</v>
      </c>
      <c r="BR85" s="13">
        <f t="shared" ref="BR85:DB85" si="881">+BR77/BR69</f>
        <v>246.14564406151916</v>
      </c>
      <c r="BS85" s="13">
        <f t="shared" si="881"/>
        <v>10822.38526412377</v>
      </c>
      <c r="BT85" s="13">
        <f t="shared" si="881"/>
        <v>884.50221783207712</v>
      </c>
      <c r="BU85" s="13">
        <f t="shared" si="881"/>
        <v>1712.6096261023304</v>
      </c>
      <c r="BV85" s="13">
        <f t="shared" si="881"/>
        <v>5.0647493337364562</v>
      </c>
      <c r="BW85" s="13">
        <f t="shared" si="881"/>
        <v>5.8952321459395884</v>
      </c>
      <c r="BX85" s="13">
        <f t="shared" si="881"/>
        <v>3.4168720725584452</v>
      </c>
      <c r="BY85" s="13">
        <f t="shared" si="881"/>
        <v>5.4640233752572129</v>
      </c>
      <c r="BZ85" s="13">
        <f t="shared" si="881"/>
        <v>17.771501908990064</v>
      </c>
      <c r="CA85" s="13">
        <f t="shared" si="881"/>
        <v>32.979651345577508</v>
      </c>
      <c r="CB85" s="13">
        <f t="shared" si="881"/>
        <v>58.040232774217522</v>
      </c>
      <c r="CC85" s="13">
        <f t="shared" si="881"/>
        <v>38.392898712365223</v>
      </c>
      <c r="CD85" s="13">
        <f t="shared" si="881"/>
        <v>30.087519317110402</v>
      </c>
      <c r="CE85" s="13">
        <f t="shared" si="881"/>
        <v>34.843709568687508</v>
      </c>
      <c r="CF85" s="13">
        <f t="shared" si="881"/>
        <v>58.03262108918215</v>
      </c>
      <c r="CG85" s="13">
        <f t="shared" si="881"/>
        <v>91.879551806688127</v>
      </c>
      <c r="CH85" s="13">
        <f t="shared" si="881"/>
        <v>99.473060188887729</v>
      </c>
      <c r="CI85" s="13">
        <f t="shared" ref="CI85:CJ85" si="882">+CI77/CI69</f>
        <v>40.676534340187047</v>
      </c>
      <c r="CJ85" s="13">
        <f t="shared" si="882"/>
        <v>31.001296532652628</v>
      </c>
      <c r="CK85" s="13">
        <f t="shared" ref="CK85:CL85" si="883">+CK77/CK69</f>
        <v>32.724857456140349</v>
      </c>
      <c r="CL85" s="13">
        <f t="shared" si="883"/>
        <v>20.359622586930527</v>
      </c>
      <c r="CM85" s="37">
        <f t="shared" si="881"/>
        <v>77.687030726491585</v>
      </c>
      <c r="CN85" s="37">
        <f t="shared" si="881"/>
        <v>34.568695653118084</v>
      </c>
      <c r="CO85" s="37">
        <f t="shared" si="881"/>
        <v>21.492372529258709</v>
      </c>
      <c r="CP85" s="37">
        <f t="shared" si="881"/>
        <v>14.727831179808195</v>
      </c>
      <c r="CQ85" s="37">
        <f t="shared" si="881"/>
        <v>14.383200925636787</v>
      </c>
      <c r="CR85" s="37">
        <f t="shared" si="881"/>
        <v>13.223549436842358</v>
      </c>
      <c r="CS85" s="37">
        <f t="shared" si="881"/>
        <v>12.185840435624293</v>
      </c>
      <c r="CT85" s="37">
        <f t="shared" si="881"/>
        <v>10.959394679764369</v>
      </c>
      <c r="CU85" s="37">
        <f t="shared" si="881"/>
        <v>10.508052432010583</v>
      </c>
      <c r="CV85" s="37">
        <f t="shared" si="881"/>
        <v>9.610361500169148</v>
      </c>
      <c r="CW85" s="37">
        <f t="shared" si="881"/>
        <v>8.8716457816879561</v>
      </c>
      <c r="CX85" s="37">
        <f t="shared" si="881"/>
        <v>8.016974538587796</v>
      </c>
      <c r="CY85" s="37">
        <f t="shared" si="881"/>
        <v>7.624850339408928</v>
      </c>
      <c r="CZ85" s="37">
        <f t="shared" si="881"/>
        <v>6.9630619815769599</v>
      </c>
      <c r="DA85" s="37">
        <f t="shared" si="881"/>
        <v>6.4153771301650577</v>
      </c>
      <c r="DB85" s="37">
        <f t="shared" si="881"/>
        <v>5.7980995257725656</v>
      </c>
      <c r="DE85" s="134"/>
      <c r="DF85" s="13">
        <v>38.822603278906556</v>
      </c>
    </row>
    <row r="86" spans="1:110" s="13" customFormat="1" x14ac:dyDescent="0.2">
      <c r="A86" s="13" t="s">
        <v>461</v>
      </c>
      <c r="B86" s="13">
        <f t="shared" ref="B86:D86" si="884">+B78/B69</f>
        <v>0</v>
      </c>
      <c r="C86" s="13">
        <f t="shared" si="884"/>
        <v>0</v>
      </c>
      <c r="D86" s="13">
        <f t="shared" si="884"/>
        <v>0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>
        <f t="shared" ref="AL86:BQ86" si="887">+AL78/AL69</f>
        <v>1099.6584475436212</v>
      </c>
      <c r="AM86" s="13">
        <f t="shared" si="887"/>
        <v>-106.7710342628009</v>
      </c>
      <c r="AN86" s="13">
        <f t="shared" si="887"/>
        <v>-126.06909861264744</v>
      </c>
      <c r="AO86" s="13">
        <f t="shared" si="887"/>
        <v>-118.73071904185261</v>
      </c>
      <c r="AP86" s="13">
        <f t="shared" si="887"/>
        <v>1352.3791555777852</v>
      </c>
      <c r="AQ86" s="13">
        <f t="shared" si="887"/>
        <v>112.99215321169181</v>
      </c>
      <c r="AR86" s="13">
        <f t="shared" si="887"/>
        <v>64.888503105193024</v>
      </c>
      <c r="AS86" s="13">
        <f t="shared" si="887"/>
        <v>51.537668019174156</v>
      </c>
      <c r="AT86" s="13">
        <f t="shared" si="887"/>
        <v>1310.6794657561763</v>
      </c>
      <c r="AU86" s="13">
        <f t="shared" si="887"/>
        <v>659.7963801573178</v>
      </c>
      <c r="AV86" s="13">
        <f t="shared" si="887"/>
        <v>792.53688378036031</v>
      </c>
      <c r="AW86" s="13">
        <f t="shared" si="887"/>
        <v>-768.58582224720499</v>
      </c>
      <c r="AX86" s="13">
        <f t="shared" si="887"/>
        <v>-102.89272225402864</v>
      </c>
      <c r="AY86" s="13">
        <f t="shared" si="887"/>
        <v>-91.238915885121983</v>
      </c>
      <c r="AZ86" s="13">
        <f t="shared" si="887"/>
        <v>-68.158840394933819</v>
      </c>
      <c r="BA86" s="13">
        <f t="shared" si="887"/>
        <v>-54.841317083371599</v>
      </c>
      <c r="BB86" s="13">
        <f t="shared" si="887"/>
        <v>-133.1533632201768</v>
      </c>
      <c r="BC86" s="13">
        <f t="shared" si="887"/>
        <v>-107.42411049187467</v>
      </c>
      <c r="BD86" s="13">
        <f t="shared" si="887"/>
        <v>-107.71738683771781</v>
      </c>
      <c r="BE86" s="13">
        <f t="shared" si="887"/>
        <v>-3683.8351318621635</v>
      </c>
      <c r="BF86" s="13">
        <f t="shared" si="887"/>
        <v>-59.423306186227933</v>
      </c>
      <c r="BG86" s="13">
        <f t="shared" si="887"/>
        <v>-60.382598905288859</v>
      </c>
      <c r="BH86" s="13">
        <f t="shared" si="887"/>
        <v>-72.453596146697251</v>
      </c>
      <c r="BI86" s="13">
        <f t="shared" si="887"/>
        <v>-7.3761626039989165</v>
      </c>
      <c r="BJ86" s="13">
        <f t="shared" si="887"/>
        <v>-11.201208646530636</v>
      </c>
      <c r="BK86" s="13">
        <f t="shared" si="887"/>
        <v>-9.2593798968578831</v>
      </c>
      <c r="BL86" s="13">
        <f t="shared" si="887"/>
        <v>-7.3847397556896421</v>
      </c>
      <c r="BM86" s="13">
        <f t="shared" si="887"/>
        <v>-20.174184553127443</v>
      </c>
      <c r="BN86" s="13">
        <f t="shared" si="887"/>
        <v>-413.46957149223243</v>
      </c>
      <c r="BO86" s="13">
        <f t="shared" si="887"/>
        <v>599.07897927424335</v>
      </c>
      <c r="BP86" s="13">
        <f t="shared" si="887"/>
        <v>485.91515638730954</v>
      </c>
      <c r="BQ86" s="13">
        <f t="shared" si="887"/>
        <v>143.63161984351552</v>
      </c>
      <c r="BR86" s="13">
        <f t="shared" ref="BR86:CH86" si="888">+BR78/BR69</f>
        <v>332.772008066002</v>
      </c>
      <c r="BS86" s="13">
        <f t="shared" si="888"/>
        <v>10839.673419497769</v>
      </c>
      <c r="BT86" s="13">
        <f t="shared" si="888"/>
        <v>2440.7133663076479</v>
      </c>
      <c r="BU86" s="13">
        <f t="shared" si="888"/>
        <v>1712.6096261023304</v>
      </c>
      <c r="BV86" s="13">
        <f t="shared" si="888"/>
        <v>8.2746824399005323</v>
      </c>
      <c r="BW86" s="13">
        <f t="shared" si="888"/>
        <v>8.676785341558972</v>
      </c>
      <c r="BX86" s="13">
        <f t="shared" si="888"/>
        <v>6.7327911066094863</v>
      </c>
      <c r="BY86" s="13">
        <f t="shared" si="888"/>
        <v>5.7638326139544533</v>
      </c>
      <c r="BZ86" s="13">
        <f t="shared" si="888"/>
        <v>24.710374845365397</v>
      </c>
      <c r="CA86" s="13">
        <f t="shared" si="888"/>
        <v>40.064335115259695</v>
      </c>
      <c r="CB86" s="13">
        <f t="shared" si="888"/>
        <v>67.810911013427614</v>
      </c>
      <c r="CC86" s="13">
        <f t="shared" si="888"/>
        <v>48.091839284245516</v>
      </c>
      <c r="CD86" s="13">
        <f t="shared" si="888"/>
        <v>45.158482881015608</v>
      </c>
      <c r="CE86" s="13">
        <f t="shared" si="888"/>
        <v>44.162633162089591</v>
      </c>
      <c r="CF86" s="13">
        <f t="shared" si="888"/>
        <v>59.805057534260307</v>
      </c>
      <c r="CG86" s="13">
        <f t="shared" si="888"/>
        <v>101.77771411331267</v>
      </c>
      <c r="CH86" s="13">
        <f t="shared" si="888"/>
        <v>141.55695454228521</v>
      </c>
      <c r="CI86" s="13">
        <f t="shared" ref="CI86:CJ86" si="889">+CI78/CI69</f>
        <v>42.19894160930653</v>
      </c>
      <c r="CJ86" s="13">
        <f t="shared" si="889"/>
        <v>43.719064008007521</v>
      </c>
      <c r="CK86" s="13">
        <f t="shared" ref="CK86:CL86" si="890">+CK78/CK69</f>
        <v>41.317050438596496</v>
      </c>
      <c r="CL86" s="13">
        <f t="shared" si="890"/>
        <v>33.813009341039006</v>
      </c>
      <c r="CM86" s="60">
        <f t="shared" ref="CM86:CM87" si="891">+CL86</f>
        <v>33.813009341039006</v>
      </c>
      <c r="CN86" s="60">
        <f t="shared" ref="CN86:CN87" si="892">+CM86</f>
        <v>33.813009341039006</v>
      </c>
      <c r="CO86" s="60">
        <f t="shared" ref="CO86:CO87" si="893">+CN86</f>
        <v>33.813009341039006</v>
      </c>
      <c r="CP86" s="60">
        <f t="shared" ref="CP86:CP87" si="894">+CO86</f>
        <v>33.813009341039006</v>
      </c>
      <c r="CQ86" s="60">
        <f t="shared" ref="CQ86:CQ87" si="895">+CP86</f>
        <v>33.813009341039006</v>
      </c>
      <c r="CR86" s="60">
        <f t="shared" ref="CR86:CR87" si="896">+CQ86</f>
        <v>33.813009341039006</v>
      </c>
      <c r="CS86" s="60">
        <f t="shared" ref="CS86:CS87" si="897">+CR86</f>
        <v>33.813009341039006</v>
      </c>
      <c r="CT86" s="60">
        <f t="shared" ref="CT86:CT87" si="898">+CS86</f>
        <v>33.813009341039006</v>
      </c>
      <c r="CU86" s="60">
        <f t="shared" ref="CU86:CU87" si="899">+CT86</f>
        <v>33.813009341039006</v>
      </c>
      <c r="CV86" s="60">
        <f t="shared" ref="CV86:CV87" si="900">+CU86</f>
        <v>33.813009341039006</v>
      </c>
      <c r="CW86" s="60">
        <f t="shared" ref="CW86:CW87" si="901">+CV86</f>
        <v>33.813009341039006</v>
      </c>
      <c r="CX86" s="60">
        <f t="shared" ref="CX86:CX87" si="902">+CW86</f>
        <v>33.813009341039006</v>
      </c>
      <c r="CY86" s="60">
        <f t="shared" ref="CY86:CY87" si="903">+CX86</f>
        <v>33.813009341039006</v>
      </c>
      <c r="CZ86" s="60">
        <f t="shared" ref="CZ86:CZ87" si="904">+CY86</f>
        <v>33.813009341039006</v>
      </c>
      <c r="DA86" s="60">
        <f t="shared" ref="DA86:DA87" si="905">+CZ86</f>
        <v>33.813009341039006</v>
      </c>
      <c r="DB86" s="60">
        <f t="shared" ref="DB86:DB87" si="906">+DA86</f>
        <v>33.813009341039006</v>
      </c>
      <c r="DE86" s="136"/>
      <c r="DF86" s="13">
        <v>64.476099284659014</v>
      </c>
    </row>
    <row r="87" spans="1:110" s="13" customFormat="1" x14ac:dyDescent="0.2">
      <c r="A87" s="13" t="s">
        <v>462</v>
      </c>
      <c r="B87" s="13">
        <f t="shared" ref="B87:D87" si="907">+B79/B69</f>
        <v>0</v>
      </c>
      <c r="C87" s="13">
        <f t="shared" si="907"/>
        <v>0</v>
      </c>
      <c r="D87" s="13">
        <f t="shared" si="907"/>
        <v>0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>
        <f t="shared" ref="AL87:BQ87" si="910">+AL79/AL69</f>
        <v>482.11626517922457</v>
      </c>
      <c r="AM87" s="13">
        <f t="shared" si="910"/>
        <v>-55.030766862336378</v>
      </c>
      <c r="AN87" s="13">
        <f t="shared" si="910"/>
        <v>-82.048428051273305</v>
      </c>
      <c r="AO87" s="13">
        <f t="shared" si="910"/>
        <v>-63.872729410478108</v>
      </c>
      <c r="AP87" s="13">
        <f t="shared" si="910"/>
        <v>897.05552028275281</v>
      </c>
      <c r="AQ87" s="13">
        <f t="shared" si="910"/>
        <v>47.587292733621496</v>
      </c>
      <c r="AR87" s="13">
        <f t="shared" si="910"/>
        <v>44.705791437022654</v>
      </c>
      <c r="AS87" s="13">
        <f t="shared" si="910"/>
        <v>33.598595112500078</v>
      </c>
      <c r="AT87" s="13">
        <f t="shared" si="910"/>
        <v>915.59426794450701</v>
      </c>
      <c r="AU87" s="13">
        <f t="shared" si="910"/>
        <v>311.31237655310002</v>
      </c>
      <c r="AV87" s="13">
        <f t="shared" si="910"/>
        <v>374.94638359558155</v>
      </c>
      <c r="AW87" s="13">
        <f t="shared" si="910"/>
        <v>-495.86182080464869</v>
      </c>
      <c r="AX87" s="13">
        <f t="shared" si="910"/>
        <v>-85.863856799399102</v>
      </c>
      <c r="AY87" s="13">
        <f t="shared" si="910"/>
        <v>-68.374223711501116</v>
      </c>
      <c r="AZ87" s="13">
        <f t="shared" si="910"/>
        <v>-52.015957143502263</v>
      </c>
      <c r="BA87" s="13">
        <f t="shared" si="910"/>
        <v>-42.244712039011759</v>
      </c>
      <c r="BB87" s="13">
        <f t="shared" si="910"/>
        <v>-79.541614344684433</v>
      </c>
      <c r="BC87" s="13">
        <f t="shared" si="910"/>
        <v>-70.044561073072103</v>
      </c>
      <c r="BD87" s="13">
        <f t="shared" si="910"/>
        <v>-95.509416329442999</v>
      </c>
      <c r="BE87" s="13">
        <f t="shared" si="910"/>
        <v>-1695.4889728235898</v>
      </c>
      <c r="BF87" s="13">
        <f t="shared" si="910"/>
        <v>-29.496351259105911</v>
      </c>
      <c r="BG87" s="13">
        <f t="shared" si="910"/>
        <v>-28.616101220332492</v>
      </c>
      <c r="BH87" s="13">
        <f t="shared" si="910"/>
        <v>-43.472157688018122</v>
      </c>
      <c r="BI87" s="13">
        <f t="shared" si="910"/>
        <v>-5.8916518912443969</v>
      </c>
      <c r="BJ87" s="13">
        <f t="shared" si="910"/>
        <v>-4.3059191680169615</v>
      </c>
      <c r="BK87" s="13">
        <f t="shared" si="910"/>
        <v>-4.5872157287185864</v>
      </c>
      <c r="BL87" s="13">
        <f t="shared" si="910"/>
        <v>-4.8496798395573713</v>
      </c>
      <c r="BM87" s="13">
        <f t="shared" si="910"/>
        <v>-9.6387770642720252</v>
      </c>
      <c r="BN87" s="13">
        <f t="shared" si="910"/>
        <v>-277.26783029479105</v>
      </c>
      <c r="BO87" s="13">
        <f t="shared" si="910"/>
        <v>440.6129266920247</v>
      </c>
      <c r="BP87" s="13">
        <f t="shared" si="910"/>
        <v>256.2443207511206</v>
      </c>
      <c r="BQ87" s="13">
        <f t="shared" si="910"/>
        <v>76.15816121935255</v>
      </c>
      <c r="BR87" s="13">
        <f t="shared" ref="BR87:CH87" si="911">+BR79/BR69</f>
        <v>177.47840430186713</v>
      </c>
      <c r="BS87" s="13">
        <f t="shared" si="911"/>
        <v>3786.1060269059153</v>
      </c>
      <c r="BT87" s="13">
        <f t="shared" si="911"/>
        <v>863.99202147655194</v>
      </c>
      <c r="BU87" s="13">
        <f t="shared" si="911"/>
        <v>464.08845983108625</v>
      </c>
      <c r="BV87" s="13">
        <f t="shared" si="911"/>
        <v>4.2855571285462384</v>
      </c>
      <c r="BW87" s="13">
        <f t="shared" si="911"/>
        <v>4.9818863205123245</v>
      </c>
      <c r="BX87" s="13">
        <f t="shared" si="911"/>
        <v>3.0751848653026022</v>
      </c>
      <c r="BY87" s="13">
        <f t="shared" si="911"/>
        <v>3.2229493159953395</v>
      </c>
      <c r="BZ87" s="13">
        <f t="shared" si="911"/>
        <v>15.275504449862247</v>
      </c>
      <c r="CA87" s="13">
        <f t="shared" si="911"/>
        <v>15.918118596437804</v>
      </c>
      <c r="CB87" s="13">
        <f t="shared" si="911"/>
        <v>25.499924754353064</v>
      </c>
      <c r="CC87" s="13">
        <f t="shared" si="911"/>
        <v>32.732665481423616</v>
      </c>
      <c r="CD87" s="13">
        <f t="shared" si="911"/>
        <v>29.706664642210292</v>
      </c>
      <c r="CE87" s="13">
        <f t="shared" si="911"/>
        <v>30.841989116953687</v>
      </c>
      <c r="CF87" s="13">
        <f t="shared" si="911"/>
        <v>36.387768077763894</v>
      </c>
      <c r="CG87" s="13">
        <f t="shared" si="911"/>
        <v>77.172112899105159</v>
      </c>
      <c r="CH87" s="13">
        <f t="shared" si="911"/>
        <v>83.473113134401217</v>
      </c>
      <c r="CI87" s="13">
        <f t="shared" ref="CI87:CJ87" si="912">+CI79/CI69</f>
        <v>18.738372105839172</v>
      </c>
      <c r="CJ87" s="13">
        <f t="shared" si="912"/>
        <v>29.865227256612069</v>
      </c>
      <c r="CK87" s="13">
        <f t="shared" ref="CK87:CL87" si="913">+CK79/CK69</f>
        <v>27.760235745614033</v>
      </c>
      <c r="CL87" s="13">
        <f t="shared" si="913"/>
        <v>20.098917103212884</v>
      </c>
      <c r="CM87" s="60">
        <f t="shared" si="891"/>
        <v>20.098917103212884</v>
      </c>
      <c r="CN87" s="60">
        <f t="shared" si="892"/>
        <v>20.098917103212884</v>
      </c>
      <c r="CO87" s="60">
        <f t="shared" si="893"/>
        <v>20.098917103212884</v>
      </c>
      <c r="CP87" s="60">
        <f t="shared" si="894"/>
        <v>20.098917103212884</v>
      </c>
      <c r="CQ87" s="60">
        <f t="shared" si="895"/>
        <v>20.098917103212884</v>
      </c>
      <c r="CR87" s="60">
        <f t="shared" si="896"/>
        <v>20.098917103212884</v>
      </c>
      <c r="CS87" s="60">
        <f t="shared" si="897"/>
        <v>20.098917103212884</v>
      </c>
      <c r="CT87" s="60">
        <f t="shared" si="898"/>
        <v>20.098917103212884</v>
      </c>
      <c r="CU87" s="60">
        <f t="shared" si="899"/>
        <v>20.098917103212884</v>
      </c>
      <c r="CV87" s="60">
        <f t="shared" si="900"/>
        <v>20.098917103212884</v>
      </c>
      <c r="CW87" s="60">
        <f t="shared" si="901"/>
        <v>20.098917103212884</v>
      </c>
      <c r="CX87" s="60">
        <f t="shared" si="902"/>
        <v>20.098917103212884</v>
      </c>
      <c r="CY87" s="60">
        <f t="shared" si="903"/>
        <v>20.098917103212884</v>
      </c>
      <c r="CZ87" s="60">
        <f t="shared" si="904"/>
        <v>20.098917103212884</v>
      </c>
      <c r="DA87" s="60">
        <f t="shared" si="905"/>
        <v>20.098917103212884</v>
      </c>
      <c r="DB87" s="60">
        <f t="shared" si="906"/>
        <v>20.098917103212884</v>
      </c>
      <c r="DE87" s="136"/>
      <c r="DF87" s="13">
        <v>38.325478859051024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14">+B78/C69</f>
        <v>0</v>
      </c>
      <c r="C89" s="13">
        <f t="shared" si="914"/>
        <v>0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>
        <f t="shared" ref="AL89:BQ89" si="916">+AL78/AP69</f>
        <v>2069.343984288615</v>
      </c>
      <c r="AM89" s="13">
        <f t="shared" si="916"/>
        <v>104.1387034007855</v>
      </c>
      <c r="AN89" s="13">
        <f t="shared" si="916"/>
        <v>125.54514731222173</v>
      </c>
      <c r="AO89" s="13">
        <f t="shared" si="916"/>
        <v>107.03977203982326</v>
      </c>
      <c r="AP89" s="13">
        <f t="shared" si="916"/>
        <v>2495.9350591911875</v>
      </c>
      <c r="AQ89" s="13">
        <f t="shared" si="916"/>
        <v>1581.3429674662445</v>
      </c>
      <c r="AR89" s="13">
        <f t="shared" si="916"/>
        <v>1202.8859302047088</v>
      </c>
      <c r="AS89" s="13">
        <f t="shared" si="916"/>
        <v>-859.49382272805769</v>
      </c>
      <c r="AT89" s="13">
        <f t="shared" si="916"/>
        <v>-100.25444732443805</v>
      </c>
      <c r="AU89" s="13">
        <f t="shared" si="916"/>
        <v>-93.65729678810122</v>
      </c>
      <c r="AV89" s="13">
        <f t="shared" si="916"/>
        <v>-88.337444459223562</v>
      </c>
      <c r="AW89" s="13">
        <f t="shared" si="916"/>
        <v>-71.431967629601587</v>
      </c>
      <c r="AX89" s="13">
        <f t="shared" si="916"/>
        <v>-150.32313900383139</v>
      </c>
      <c r="AY89" s="13">
        <f t="shared" si="916"/>
        <v>-139.75236944867714</v>
      </c>
      <c r="AZ89" s="13">
        <f t="shared" si="916"/>
        <v>-109.15361866222064</v>
      </c>
      <c r="BA89" s="13">
        <f t="shared" si="916"/>
        <v>-2751.3161968091895</v>
      </c>
      <c r="BB89" s="13">
        <f t="shared" si="916"/>
        <v>-81.814696923067388</v>
      </c>
      <c r="BC89" s="13">
        <f t="shared" si="916"/>
        <v>-83.748039351248281</v>
      </c>
      <c r="BD89" s="13">
        <f t="shared" si="916"/>
        <v>-103.50513735242438</v>
      </c>
      <c r="BE89" s="13">
        <f t="shared" si="916"/>
        <v>-22.174878771770324</v>
      </c>
      <c r="BF89" s="13">
        <f t="shared" si="916"/>
        <v>-8.0299573673830142</v>
      </c>
      <c r="BG89" s="13">
        <f t="shared" si="916"/>
        <v>-6.512713688921469</v>
      </c>
      <c r="BH89" s="13">
        <f t="shared" si="916"/>
        <v>-5.7865498085627802</v>
      </c>
      <c r="BI89" s="13">
        <f t="shared" si="916"/>
        <v>-8.9102648442979575</v>
      </c>
      <c r="BJ89" s="13">
        <f t="shared" si="916"/>
        <v>-936.38697073240496</v>
      </c>
      <c r="BK89" s="13">
        <f t="shared" si="916"/>
        <v>1263.863394985013</v>
      </c>
      <c r="BL89" s="13">
        <f t="shared" si="916"/>
        <v>508.69242934296545</v>
      </c>
      <c r="BM89" s="13">
        <f t="shared" si="916"/>
        <v>240.49945648216524</v>
      </c>
      <c r="BN89" s="13">
        <f t="shared" si="916"/>
        <v>179.59124244831898</v>
      </c>
      <c r="BO89" s="13">
        <f t="shared" si="916"/>
        <v>2679.664082969944</v>
      </c>
      <c r="BP89" s="13">
        <f t="shared" si="916"/>
        <v>656.32628337684673</v>
      </c>
      <c r="BQ89" s="13">
        <f t="shared" si="916"/>
        <v>441.50008346762746</v>
      </c>
      <c r="BR89" s="13">
        <f t="shared" ref="BR89:CL89" si="917">+BR78/BV69</f>
        <v>2.6678863547273992</v>
      </c>
      <c r="BS89" s="13">
        <f t="shared" si="917"/>
        <v>5.2060712049353848</v>
      </c>
      <c r="BT89" s="13">
        <f t="shared" si="917"/>
        <v>7.3928686660810028</v>
      </c>
      <c r="BU89" s="13">
        <f t="shared" si="917"/>
        <v>6.2510226268374671</v>
      </c>
      <c r="BV89" s="13">
        <f t="shared" si="917"/>
        <v>24.385895175678773</v>
      </c>
      <c r="BW89" s="13">
        <f t="shared" si="917"/>
        <v>23.428780187714796</v>
      </c>
      <c r="BX89" s="13">
        <f t="shared" si="917"/>
        <v>14.887834856581838</v>
      </c>
      <c r="BY89" s="13">
        <f t="shared" si="917"/>
        <v>7.7450522323737845</v>
      </c>
      <c r="BZ89" s="13">
        <f t="shared" si="917"/>
        <v>10.772746518603723</v>
      </c>
      <c r="CA89" s="13">
        <f t="shared" si="917"/>
        <v>19.754349301790796</v>
      </c>
      <c r="CB89" s="13">
        <f t="shared" si="917"/>
        <v>46.353321335190209</v>
      </c>
      <c r="CC89" s="13">
        <f t="shared" si="917"/>
        <v>89.008898331697338</v>
      </c>
      <c r="CD89" s="13">
        <f t="shared" si="917"/>
        <v>92.996891143024143</v>
      </c>
      <c r="CE89" s="13">
        <f t="shared" si="917"/>
        <v>18.209631856683895</v>
      </c>
      <c r="CF89" s="13">
        <f t="shared" si="917"/>
        <v>23.109101682830019</v>
      </c>
      <c r="CG89" s="13">
        <f t="shared" si="917"/>
        <v>27.353956364782125</v>
      </c>
      <c r="CH89" s="13">
        <f t="shared" si="917"/>
        <v>28.408919503115566</v>
      </c>
      <c r="CI89" s="13">
        <f t="shared" si="917"/>
        <v>158.86923901962894</v>
      </c>
      <c r="CJ89" s="13">
        <f t="shared" si="917"/>
        <v>73.601910836669873</v>
      </c>
      <c r="CK89" s="13">
        <f t="shared" si="917"/>
        <v>39.152570396378515</v>
      </c>
      <c r="CL89" s="13">
        <f t="shared" si="917"/>
        <v>24.459799838125519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269.72111377470503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8">+CORREL(AL69:AO69,AL86:AO86)</f>
        <v>0.99983703247424016</v>
      </c>
      <c r="AP90" s="175">
        <f t="shared" si="918"/>
        <v>0.99976089284128988</v>
      </c>
      <c r="AQ90" s="175">
        <f t="shared" si="918"/>
        <v>0.36023667438418067</v>
      </c>
      <c r="AR90" s="175">
        <f t="shared" si="918"/>
        <v>3.2175664581343181E-3</v>
      </c>
      <c r="AS90" s="175">
        <f t="shared" si="918"/>
        <v>-0.99711945795200752</v>
      </c>
      <c r="AT90" s="175">
        <f t="shared" si="918"/>
        <v>-0.997381837190638</v>
      </c>
      <c r="AU90" s="175">
        <f t="shared" si="918"/>
        <v>-0.90512781354743121</v>
      </c>
      <c r="AV90" s="175">
        <f t="shared" si="918"/>
        <v>-0.85418047322612645</v>
      </c>
      <c r="AW90" s="175">
        <f t="shared" si="918"/>
        <v>0.84968803492582146</v>
      </c>
      <c r="AX90" s="175">
        <f t="shared" si="918"/>
        <v>0.45856168988637397</v>
      </c>
      <c r="AY90" s="175">
        <f t="shared" si="918"/>
        <v>0.27302610334473515</v>
      </c>
      <c r="AZ90" s="175">
        <f t="shared" si="918"/>
        <v>-0.99760967306303105</v>
      </c>
      <c r="BA90" s="175">
        <f t="shared" si="918"/>
        <v>-0.79943251818440364</v>
      </c>
      <c r="BB90" s="175">
        <f t="shared" si="918"/>
        <v>-0.90554969527191409</v>
      </c>
      <c r="BC90" s="175">
        <f t="shared" si="918"/>
        <v>-0.90476689315955572</v>
      </c>
      <c r="BD90" s="175">
        <f t="shared" si="918"/>
        <v>-0.93202538501392795</v>
      </c>
      <c r="BE90" s="175">
        <f t="shared" si="918"/>
        <v>-0.99849512468577084</v>
      </c>
      <c r="BF90" s="175">
        <f t="shared" si="918"/>
        <v>-0.89949172578208469</v>
      </c>
      <c r="BG90" s="175">
        <f t="shared" si="918"/>
        <v>-0.92609400740662329</v>
      </c>
      <c r="BH90" s="175">
        <f t="shared" si="918"/>
        <v>-0.93263882991668057</v>
      </c>
      <c r="BI90" s="175">
        <f t="shared" si="918"/>
        <v>-0.9905559298120713</v>
      </c>
      <c r="BJ90" s="175">
        <f t="shared" si="918"/>
        <v>-0.91427414976574073</v>
      </c>
      <c r="BK90" s="175">
        <f t="shared" si="918"/>
        <v>-0.89172365873016068</v>
      </c>
      <c r="BL90" s="175">
        <f t="shared" si="918"/>
        <v>0.42186638819526606</v>
      </c>
      <c r="BM90" s="175">
        <f t="shared" si="918"/>
        <v>-0.98214585200376725</v>
      </c>
      <c r="BN90" s="175">
        <f t="shared" si="918"/>
        <v>-0.8800075310157266</v>
      </c>
      <c r="BO90" s="175">
        <f t="shared" si="918"/>
        <v>0.14273764676545539</v>
      </c>
      <c r="BP90" s="175">
        <f t="shared" si="918"/>
        <v>0.29909003230903214</v>
      </c>
      <c r="BQ90" s="175">
        <f t="shared" si="918"/>
        <v>0.3840440877693671</v>
      </c>
      <c r="BR90" s="175">
        <f t="shared" si="918"/>
        <v>-0.99919275670937491</v>
      </c>
      <c r="BS90" s="175">
        <f t="shared" si="918"/>
        <v>-0.77811880835992753</v>
      </c>
      <c r="BT90" s="175">
        <f t="shared" si="918"/>
        <v>-0.81820820679039563</v>
      </c>
      <c r="BU90" s="175">
        <f t="shared" si="918"/>
        <v>-0.85658699005705008</v>
      </c>
      <c r="BV90" s="175">
        <f t="shared" si="918"/>
        <v>-0.51861793413347157</v>
      </c>
      <c r="BW90" s="175">
        <f t="shared" si="918"/>
        <v>-0.9704259734637809</v>
      </c>
      <c r="BX90" s="175">
        <f t="shared" si="918"/>
        <v>-0.99724535770022149</v>
      </c>
      <c r="BY90" s="175">
        <f t="shared" si="918"/>
        <v>-0.96685811094253327</v>
      </c>
      <c r="BZ90" s="175">
        <f t="shared" si="918"/>
        <v>-0.99989263801540784</v>
      </c>
      <c r="CA90" s="175">
        <f t="shared" si="918"/>
        <v>-0.9090504210876299</v>
      </c>
      <c r="CB90" s="175">
        <f t="shared" si="918"/>
        <v>-0.60160481381865738</v>
      </c>
      <c r="CC90" s="175">
        <f t="shared" si="918"/>
        <v>0.38685208472905613</v>
      </c>
      <c r="CD90" s="175">
        <f t="shared" si="918"/>
        <v>-0.12850109412408142</v>
      </c>
      <c r="CE90" s="175">
        <f t="shared" si="918"/>
        <v>-0.93458186467774895</v>
      </c>
      <c r="CF90" s="175">
        <f t="shared" si="918"/>
        <v>-0.5731764569410932</v>
      </c>
      <c r="CG90" s="175">
        <f t="shared" si="918"/>
        <v>-0.99280877635385634</v>
      </c>
      <c r="CH90" s="175">
        <f t="shared" si="918"/>
        <v>-0.97488307397887686</v>
      </c>
      <c r="CI90" s="175">
        <f t="shared" si="918"/>
        <v>-0.79995689669297099</v>
      </c>
      <c r="CJ90" s="175">
        <f>+CORREL(CG69:CJ69,CG86:CJ86)</f>
        <v>-0.95343104169763015</v>
      </c>
      <c r="CK90" s="175">
        <f>+CORREL(CH69:CK69,CH86:CK86)</f>
        <v>-0.99155471004822571</v>
      </c>
      <c r="CL90" s="175">
        <f>+CORREL(CI69:CL69,CI86:CL86)</f>
        <v>-0.25756293082967385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-0.96276962106787289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2.6436075180447363</v>
      </c>
      <c r="AM92" s="162">
        <f t="shared" si="920"/>
        <v>2.5648752947902524</v>
      </c>
      <c r="AN92" s="162">
        <f t="shared" si="920"/>
        <v>2.5622382619881368</v>
      </c>
      <c r="AO92" s="162">
        <f t="shared" si="920"/>
        <v>2.5605016794111339</v>
      </c>
      <c r="AP92" s="162">
        <f t="shared" si="920"/>
        <v>2.6489959265346958</v>
      </c>
      <c r="AQ92" s="162">
        <f t="shared" si="920"/>
        <v>2.6474951761595085</v>
      </c>
      <c r="AR92" s="162">
        <f t="shared" si="920"/>
        <v>3.135310512399057</v>
      </c>
      <c r="AS92" s="162">
        <f t="shared" si="920"/>
        <v>3.1415636389623387</v>
      </c>
      <c r="AT92" s="162">
        <f t="shared" si="920"/>
        <v>3.139762738512113</v>
      </c>
      <c r="AU92" s="162">
        <f t="shared" si="920"/>
        <v>3.1412491960265849</v>
      </c>
      <c r="AV92" s="162">
        <f t="shared" si="920"/>
        <v>3.1388908740084327</v>
      </c>
      <c r="AW92" s="162">
        <f t="shared" si="920"/>
        <v>3.135067533766883</v>
      </c>
      <c r="AX92" s="162">
        <f t="shared" si="920"/>
        <v>3.1968577145715709</v>
      </c>
      <c r="AY92" s="162">
        <f t="shared" si="920"/>
        <v>3.1948781533623953</v>
      </c>
      <c r="AZ92" s="162">
        <f t="shared" si="920"/>
        <v>3.0981133423854783</v>
      </c>
      <c r="BA92" s="162">
        <f t="shared" si="920"/>
        <v>3.0755520617451579</v>
      </c>
      <c r="BB92" s="162">
        <f t="shared" si="920"/>
        <v>3.3148074037018507</v>
      </c>
      <c r="BC92" s="162">
        <f t="shared" si="920"/>
        <v>3.3117701707996852</v>
      </c>
      <c r="BD92" s="162">
        <f t="shared" si="920"/>
        <v>3.0726577574501532</v>
      </c>
      <c r="BE92" s="162">
        <f t="shared" si="920"/>
        <v>3.074372900736082</v>
      </c>
      <c r="BF92" s="162">
        <f t="shared" si="920"/>
        <v>2.8314728792967907</v>
      </c>
      <c r="BG92" s="162">
        <f t="shared" si="920"/>
        <v>2.8360751804473661</v>
      </c>
      <c r="BH92" s="162">
        <f t="shared" si="920"/>
        <v>2.7710426641892369</v>
      </c>
      <c r="BI92" s="162">
        <f t="shared" si="920"/>
        <v>2.6021796612592007</v>
      </c>
      <c r="BJ92" s="162">
        <f t="shared" si="920"/>
        <v>2.3977774601586503</v>
      </c>
      <c r="BK92" s="162">
        <f t="shared" si="920"/>
        <v>2.3937468734367182</v>
      </c>
      <c r="BL92" s="162">
        <f t="shared" si="920"/>
        <v>2.3997427285071105</v>
      </c>
      <c r="BM92" s="162">
        <f t="shared" si="920"/>
        <v>2.399528335596369</v>
      </c>
      <c r="BN92" s="162">
        <f t="shared" si="920"/>
        <v>2.2319016651182735</v>
      </c>
      <c r="BO92" s="162">
        <f t="shared" si="920"/>
        <v>2.2339955692131781</v>
      </c>
      <c r="BP92" s="162">
        <f t="shared" si="920"/>
        <v>2.3516972772100333</v>
      </c>
      <c r="BQ92" s="162">
        <f t="shared" si="920"/>
        <v>2.3603516043736152</v>
      </c>
      <c r="BR92" s="162">
        <f t="shared" ref="BR92:DB92" si="921">+BR$120/BR$65</f>
        <v>2.3392696348174087</v>
      </c>
      <c r="BS92" s="162">
        <f t="shared" si="921"/>
        <v>2.3332380475952261</v>
      </c>
      <c r="BT92" s="162">
        <f t="shared" si="921"/>
        <v>4.5672264703780456</v>
      </c>
      <c r="BU92" s="162">
        <f t="shared" si="921"/>
        <v>4.5767669549060246</v>
      </c>
      <c r="BV92" s="162">
        <f t="shared" si="921"/>
        <v>5.6784892446223107</v>
      </c>
      <c r="BW92" s="162">
        <f t="shared" si="921"/>
        <v>5.6762166797684559</v>
      </c>
      <c r="BX92" s="162">
        <f t="shared" si="921"/>
        <v>5.7732509111698702</v>
      </c>
      <c r="BY92" s="162">
        <f t="shared" si="921"/>
        <v>5.8252626313156579</v>
      </c>
      <c r="BZ92" s="162">
        <f t="shared" si="921"/>
        <v>7.8848995926534693</v>
      </c>
      <c r="CA92" s="162">
        <f t="shared" si="921"/>
        <v>7.9419924247838205</v>
      </c>
      <c r="CB92" s="162">
        <f t="shared" si="921"/>
        <v>10.281083398842279</v>
      </c>
      <c r="CC92" s="162">
        <f t="shared" si="921"/>
        <v>10.708432787822483</v>
      </c>
      <c r="CD92" s="162">
        <f t="shared" si="921"/>
        <v>11.076438219109553</v>
      </c>
      <c r="CE92" s="162">
        <f t="shared" si="921"/>
        <v>11.120388765811477</v>
      </c>
      <c r="CF92" s="162">
        <f t="shared" si="921"/>
        <v>18.886636175230475</v>
      </c>
      <c r="CG92" s="162">
        <f t="shared" si="921"/>
        <v>19.025562781390697</v>
      </c>
      <c r="CH92" s="162">
        <f t="shared" si="921"/>
        <v>18.591367112127493</v>
      </c>
      <c r="CI92" s="162">
        <f t="shared" si="921"/>
        <v>20.233116558279139</v>
      </c>
      <c r="CJ92" s="162">
        <f t="shared" si="921"/>
        <v>23.653112270420923</v>
      </c>
      <c r="CK92" s="162">
        <f t="shared" si="921"/>
        <v>23.596941327806757</v>
      </c>
      <c r="CL92" s="162">
        <f t="shared" si="921"/>
        <v>27.427105402542374</v>
      </c>
      <c r="CM92" s="21">
        <f t="shared" si="921"/>
        <v>27.568688263234616</v>
      </c>
      <c r="CN92" s="21">
        <f t="shared" si="921"/>
        <v>28.400890813335181</v>
      </c>
      <c r="CO92" s="21">
        <f t="shared" si="921"/>
        <v>29.077481161135506</v>
      </c>
      <c r="CP92" s="21">
        <f t="shared" si="921"/>
        <v>30.237430934841083</v>
      </c>
      <c r="CQ92" s="21">
        <f t="shared" si="921"/>
        <v>30.446350906897326</v>
      </c>
      <c r="CR92" s="21">
        <f t="shared" si="921"/>
        <v>31.53091276377177</v>
      </c>
      <c r="CS92" s="21">
        <f t="shared" si="921"/>
        <v>32.474046233413965</v>
      </c>
      <c r="CT92" s="21">
        <f t="shared" si="921"/>
        <v>34.014099374059107</v>
      </c>
      <c r="CU92" s="21">
        <f t="shared" si="921"/>
        <v>34.385234945381377</v>
      </c>
      <c r="CV92" s="21">
        <f t="shared" si="921"/>
        <v>35.837722658412204</v>
      </c>
      <c r="CW92" s="21">
        <f t="shared" si="921"/>
        <v>37.139471456480628</v>
      </c>
      <c r="CX92" s="21">
        <f t="shared" si="921"/>
        <v>39.176894865148562</v>
      </c>
      <c r="CY92" s="21">
        <f t="shared" si="921"/>
        <v>39.81353821135847</v>
      </c>
      <c r="CZ92" s="21">
        <f t="shared" si="921"/>
        <v>41.781946637677457</v>
      </c>
      <c r="DA92" s="21">
        <f t="shared" si="921"/>
        <v>43.591157641129776</v>
      </c>
      <c r="DB92" s="21">
        <f t="shared" si="921"/>
        <v>46.315440834568598</v>
      </c>
      <c r="DE92" s="22"/>
      <c r="DF92" s="162">
        <v>22.905551202960858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>
        <f t="shared" ref="AL94:CI96" si="924">+AL77/AL$92</f>
        <v>1.8536910541585101</v>
      </c>
      <c r="AM94" s="162">
        <f t="shared" si="924"/>
        <v>2.7696462768330794</v>
      </c>
      <c r="AN94" s="162">
        <f t="shared" si="924"/>
        <v>3.5289566378684518</v>
      </c>
      <c r="AO94" s="162">
        <f t="shared" si="924"/>
        <v>2.3994613050237019</v>
      </c>
      <c r="AP94" s="162">
        <f t="shared" si="924"/>
        <v>2.3089491573329113</v>
      </c>
      <c r="AQ94" s="162">
        <f t="shared" si="924"/>
        <v>1.6092380094071201</v>
      </c>
      <c r="AR94" s="162">
        <f t="shared" si="924"/>
        <v>1.2597162475634252</v>
      </c>
      <c r="AS94" s="162">
        <f t="shared" si="924"/>
        <v>1.1349802071743245</v>
      </c>
      <c r="AT94" s="162">
        <f t="shared" si="924"/>
        <v>1.13563120743655</v>
      </c>
      <c r="AU94" s="162">
        <f t="shared" si="924"/>
        <v>0.7567292133993474</v>
      </c>
      <c r="AV94" s="162">
        <f t="shared" si="924"/>
        <v>1.0514788153247703</v>
      </c>
      <c r="AW94" s="162">
        <f t="shared" si="924"/>
        <v>1.1081696166241894</v>
      </c>
      <c r="AX94" s="162">
        <f t="shared" si="924"/>
        <v>1.0953300673562449</v>
      </c>
      <c r="AY94" s="162">
        <f t="shared" si="924"/>
        <v>0.90141710902318417</v>
      </c>
      <c r="AZ94" s="162">
        <f t="shared" si="924"/>
        <v>0.89238862817364728</v>
      </c>
      <c r="BA94" s="162">
        <f t="shared" si="924"/>
        <v>1.0612426019730337</v>
      </c>
      <c r="BB94" s="162">
        <f t="shared" si="924"/>
        <v>0.62609047922120498</v>
      </c>
      <c r="BC94" s="162">
        <f t="shared" si="924"/>
        <v>0.8226699171099765</v>
      </c>
      <c r="BD94" s="162">
        <f t="shared" si="924"/>
        <v>0.83313117206899634</v>
      </c>
      <c r="BE94" s="162">
        <f t="shared" si="924"/>
        <v>0.86240446661885084</v>
      </c>
      <c r="BF94" s="162">
        <f t="shared" si="924"/>
        <v>0.44236188865850024</v>
      </c>
      <c r="BG94" s="162">
        <f t="shared" si="924"/>
        <v>0.676972610726298</v>
      </c>
      <c r="BH94" s="162">
        <f t="shared" si="924"/>
        <v>0.43881147019461791</v>
      </c>
      <c r="BI94" s="162">
        <f t="shared" si="924"/>
        <v>0.5445828528815112</v>
      </c>
      <c r="BJ94" s="162">
        <f t="shared" si="924"/>
        <v>1.2697110604883033</v>
      </c>
      <c r="BK94" s="162">
        <f t="shared" si="924"/>
        <v>0.67984721198936404</v>
      </c>
      <c r="BL94" s="162">
        <f t="shared" si="924"/>
        <v>1.0210327025252197</v>
      </c>
      <c r="BM94" s="162">
        <f t="shared" si="924"/>
        <v>0.65534819368329766</v>
      </c>
      <c r="BN94" s="162">
        <f t="shared" si="924"/>
        <v>0.48746276527629462</v>
      </c>
      <c r="BO94" s="162">
        <f t="shared" si="924"/>
        <v>0.63433537790672023</v>
      </c>
      <c r="BP94" s="162">
        <f t="shared" si="924"/>
        <v>0.60258709204272154</v>
      </c>
      <c r="BQ94" s="162">
        <f t="shared" si="924"/>
        <v>0.69721279136038439</v>
      </c>
      <c r="BR94" s="162">
        <f t="shared" si="924"/>
        <v>0.91063676537878646</v>
      </c>
      <c r="BS94" s="162">
        <f t="shared" si="924"/>
        <v>2.4529281434198698</v>
      </c>
      <c r="BT94" s="162">
        <f t="shared" si="924"/>
        <v>0.69061513318615575</v>
      </c>
      <c r="BU94" s="162">
        <f t="shared" si="924"/>
        <v>1.6660068939344419</v>
      </c>
      <c r="BV94" s="162">
        <f t="shared" si="924"/>
        <v>0.96280407355510655</v>
      </c>
      <c r="BW94" s="162">
        <f t="shared" si="924"/>
        <v>1.1435862522708613</v>
      </c>
      <c r="BX94" s="162">
        <f t="shared" si="924"/>
        <v>0.69678980279460379</v>
      </c>
      <c r="BY94" s="162">
        <f t="shared" si="924"/>
        <v>1.1441463005312991</v>
      </c>
      <c r="BZ94" s="162">
        <f t="shared" si="924"/>
        <v>0.82556898486341002</v>
      </c>
      <c r="CA94" s="162">
        <f t="shared" si="924"/>
        <v>1.6933734522558641</v>
      </c>
      <c r="CB94" s="162">
        <f t="shared" si="924"/>
        <v>3.0057119695271295</v>
      </c>
      <c r="CC94" s="162">
        <f t="shared" si="924"/>
        <v>3.2545917517328258</v>
      </c>
      <c r="CD94" s="162">
        <f t="shared" si="924"/>
        <v>2.2822570052209192</v>
      </c>
      <c r="CE94" s="162">
        <f t="shared" si="924"/>
        <v>2.5914079162422907</v>
      </c>
      <c r="CF94" s="162">
        <f t="shared" si="924"/>
        <v>2.3932793323575901</v>
      </c>
      <c r="CG94" s="162">
        <f t="shared" si="924"/>
        <v>2.3685952205204153</v>
      </c>
      <c r="CH94" s="162">
        <f t="shared" si="924"/>
        <v>2.1829478514941818</v>
      </c>
      <c r="CI94" s="162">
        <f t="shared" si="924"/>
        <v>4.0324252065400419</v>
      </c>
      <c r="CJ94" s="162">
        <f>+CJ77/CJ$92</f>
        <v>2.6419356271413812</v>
      </c>
      <c r="CK94" s="162">
        <f>+CK77/CK$92</f>
        <v>2.5308364830159427</v>
      </c>
      <c r="CL94" s="162">
        <f>+CL77/CL$92</f>
        <v>1.5090910758728235</v>
      </c>
      <c r="CM94" s="21">
        <f t="shared" ref="CM94:DB94" si="925">+CM77/CM$92</f>
        <v>1.5013409272430773</v>
      </c>
      <c r="CN94" s="21">
        <f t="shared" si="925"/>
        <v>1.4573486540276404</v>
      </c>
      <c r="CO94" s="21">
        <f t="shared" si="925"/>
        <v>1.4234382878844818</v>
      </c>
      <c r="CP94" s="21">
        <f t="shared" si="925"/>
        <v>1.368833221618321</v>
      </c>
      <c r="CQ94" s="21">
        <f t="shared" si="925"/>
        <v>1.3594404178867785</v>
      </c>
      <c r="CR94" s="21">
        <f t="shared" si="925"/>
        <v>1.3126800454554577</v>
      </c>
      <c r="CS94" s="21">
        <f t="shared" si="925"/>
        <v>1.2745562934320154</v>
      </c>
      <c r="CT94" s="21">
        <f t="shared" si="925"/>
        <v>1.216848329418539</v>
      </c>
      <c r="CU94" s="21">
        <f t="shared" si="925"/>
        <v>1.2037143287153693</v>
      </c>
      <c r="CV94" s="21">
        <f t="shared" si="925"/>
        <v>1.1549282970491572</v>
      </c>
      <c r="CW94" s="21">
        <f t="shared" si="925"/>
        <v>1.1144477392065222</v>
      </c>
      <c r="CX94" s="21">
        <f t="shared" si="925"/>
        <v>1.0564900598291214</v>
      </c>
      <c r="CY94" s="21">
        <f t="shared" si="925"/>
        <v>1.0395961238177966</v>
      </c>
      <c r="CZ94" s="21">
        <f t="shared" si="925"/>
        <v>0.99061923464035029</v>
      </c>
      <c r="DA94" s="21">
        <f t="shared" si="925"/>
        <v>0.94950449218965205</v>
      </c>
      <c r="DB94" s="21">
        <f t="shared" si="925"/>
        <v>0.89365445419894651</v>
      </c>
      <c r="DE94" s="22"/>
      <c r="DF94" s="162">
        <v>1.8069855483176398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>
        <f t="shared" si="924"/>
        <v>4.2123054178452586</v>
      </c>
      <c r="AM95" s="162">
        <f t="shared" si="924"/>
        <v>3.3542305617759678</v>
      </c>
      <c r="AN95" s="162">
        <f t="shared" si="924"/>
        <v>4.1284153994072916</v>
      </c>
      <c r="AO95" s="162">
        <f t="shared" si="924"/>
        <v>3.8562770973595186</v>
      </c>
      <c r="AP95" s="162">
        <f t="shared" si="924"/>
        <v>2.7472698493826546</v>
      </c>
      <c r="AQ95" s="162">
        <f t="shared" si="924"/>
        <v>3.5258197588082978</v>
      </c>
      <c r="AR95" s="162">
        <f t="shared" si="924"/>
        <v>1.7437738797289992</v>
      </c>
      <c r="AS95" s="162">
        <f t="shared" si="924"/>
        <v>1.5133069428990973</v>
      </c>
      <c r="AT95" s="162">
        <f t="shared" si="924"/>
        <v>1.2171637043807113</v>
      </c>
      <c r="AU95" s="162">
        <f t="shared" si="924"/>
        <v>1.2398717111850868</v>
      </c>
      <c r="AV95" s="162">
        <f t="shared" si="924"/>
        <v>1.1475973773904706</v>
      </c>
      <c r="AW95" s="162">
        <f t="shared" si="924"/>
        <v>1.3560496624480205</v>
      </c>
      <c r="AX95" s="162">
        <f t="shared" si="924"/>
        <v>1.2268840702240991</v>
      </c>
      <c r="AY95" s="162">
        <f t="shared" si="924"/>
        <v>1.1875812706178457</v>
      </c>
      <c r="AZ95" s="162">
        <f t="shared" si="924"/>
        <v>0.89711026112694547</v>
      </c>
      <c r="BA95" s="162">
        <f t="shared" si="924"/>
        <v>1.0612426019730337</v>
      </c>
      <c r="BB95" s="162">
        <f t="shared" si="924"/>
        <v>1.0480809784319749</v>
      </c>
      <c r="BC95" s="162">
        <f t="shared" si="924"/>
        <v>0.88064330053047812</v>
      </c>
      <c r="BD95" s="162">
        <f t="shared" si="924"/>
        <v>0.89264054150249605</v>
      </c>
      <c r="BE95" s="162">
        <f t="shared" si="924"/>
        <v>1.4214804656683102</v>
      </c>
      <c r="BF95" s="162">
        <f t="shared" si="924"/>
        <v>0.89118161510763516</v>
      </c>
      <c r="BG95" s="162">
        <f t="shared" si="924"/>
        <v>0.74144619270023093</v>
      </c>
      <c r="BH95" s="162">
        <f t="shared" si="924"/>
        <v>0.69286021609676496</v>
      </c>
      <c r="BI95" s="162">
        <f t="shared" si="924"/>
        <v>0.55863660392361392</v>
      </c>
      <c r="BJ95" s="162">
        <f t="shared" si="924"/>
        <v>1.4679842591231105</v>
      </c>
      <c r="BK95" s="162">
        <f t="shared" si="924"/>
        <v>1.2489327995534925</v>
      </c>
      <c r="BL95" s="162">
        <f t="shared" si="924"/>
        <v>1.0210327025252197</v>
      </c>
      <c r="BM95" s="162">
        <f t="shared" si="924"/>
        <v>1.3716590100348054</v>
      </c>
      <c r="BN95" s="162">
        <f t="shared" si="924"/>
        <v>0.6963753789661371</v>
      </c>
      <c r="BO95" s="162">
        <f t="shared" si="924"/>
        <v>0.63433537790672023</v>
      </c>
      <c r="BP95" s="162">
        <f t="shared" si="924"/>
        <v>0.99524061653507467</v>
      </c>
      <c r="BQ95" s="162">
        <f t="shared" si="924"/>
        <v>0.83278194523601579</v>
      </c>
      <c r="BR95" s="162">
        <f t="shared" si="924"/>
        <v>1.2311183737953539</v>
      </c>
      <c r="BS95" s="162">
        <f t="shared" si="924"/>
        <v>2.4568465589844384</v>
      </c>
      <c r="BT95" s="162">
        <f t="shared" si="924"/>
        <v>1.9056974109948437</v>
      </c>
      <c r="BU95" s="162">
        <f t="shared" si="924"/>
        <v>1.6660068939344419</v>
      </c>
      <c r="BV95" s="162">
        <f t="shared" si="924"/>
        <v>1.5730093308751489</v>
      </c>
      <c r="BW95" s="162">
        <f t="shared" si="924"/>
        <v>1.6831656811592255</v>
      </c>
      <c r="BX95" s="162">
        <f t="shared" si="924"/>
        <v>1.3729926341430043</v>
      </c>
      <c r="BY95" s="162">
        <f t="shared" si="924"/>
        <v>1.2069252470625087</v>
      </c>
      <c r="BZ95" s="162">
        <f t="shared" si="924"/>
        <v>1.1479119312005279</v>
      </c>
      <c r="CA95" s="162">
        <f t="shared" si="924"/>
        <v>2.0571436840117125</v>
      </c>
      <c r="CB95" s="162">
        <f t="shared" si="924"/>
        <v>3.5117031265274119</v>
      </c>
      <c r="CC95" s="162">
        <f t="shared" si="924"/>
        <v>4.0767774434743549</v>
      </c>
      <c r="CD95" s="162">
        <f t="shared" si="924"/>
        <v>3.4254490313442365</v>
      </c>
      <c r="CE95" s="162">
        <f t="shared" si="924"/>
        <v>3.284477990288051</v>
      </c>
      <c r="CF95" s="162">
        <f t="shared" si="924"/>
        <v>2.466375040121747</v>
      </c>
      <c r="CG95" s="162">
        <f t="shared" si="924"/>
        <v>2.623763421392066</v>
      </c>
      <c r="CH95" s="162">
        <f t="shared" si="924"/>
        <v>3.1064837976771238</v>
      </c>
      <c r="CI95" s="162">
        <f t="shared" si="924"/>
        <v>4.1833474408502571</v>
      </c>
      <c r="CJ95" s="162">
        <f t="shared" ref="CJ95:CK96" si="927">+CJ78/CJ$92</f>
        <v>3.7257458786078237</v>
      </c>
      <c r="CK95" s="162">
        <f t="shared" si="927"/>
        <v>3.1953293841159089</v>
      </c>
      <c r="CL95" s="162">
        <f t="shared" ref="CL95" si="928">+CL78/CL$92</f>
        <v>2.5062797911451531</v>
      </c>
      <c r="CM95" s="94">
        <f t="shared" ref="CM95:DB95" si="929">+CL95</f>
        <v>2.5062797911451531</v>
      </c>
      <c r="CN95" s="94">
        <f t="shared" si="929"/>
        <v>2.5062797911451531</v>
      </c>
      <c r="CO95" s="94">
        <f t="shared" si="929"/>
        <v>2.5062797911451531</v>
      </c>
      <c r="CP95" s="94">
        <f t="shared" si="929"/>
        <v>2.5062797911451531</v>
      </c>
      <c r="CQ95" s="94">
        <f t="shared" si="929"/>
        <v>2.5062797911451531</v>
      </c>
      <c r="CR95" s="94">
        <f t="shared" si="929"/>
        <v>2.5062797911451531</v>
      </c>
      <c r="CS95" s="94">
        <f t="shared" si="929"/>
        <v>2.5062797911451531</v>
      </c>
      <c r="CT95" s="94">
        <f t="shared" si="929"/>
        <v>2.5062797911451531</v>
      </c>
      <c r="CU95" s="94">
        <f t="shared" si="929"/>
        <v>2.5062797911451531</v>
      </c>
      <c r="CV95" s="94">
        <f t="shared" si="929"/>
        <v>2.5062797911451531</v>
      </c>
      <c r="CW95" s="94">
        <f t="shared" si="929"/>
        <v>2.5062797911451531</v>
      </c>
      <c r="CX95" s="94">
        <f t="shared" si="929"/>
        <v>2.5062797911451531</v>
      </c>
      <c r="CY95" s="94">
        <f t="shared" si="929"/>
        <v>2.5062797911451531</v>
      </c>
      <c r="CZ95" s="94">
        <f t="shared" si="929"/>
        <v>2.5062797911451531</v>
      </c>
      <c r="DA95" s="94">
        <f t="shared" si="929"/>
        <v>2.5062797911451531</v>
      </c>
      <c r="DB95" s="94">
        <f t="shared" si="929"/>
        <v>2.5062797911451531</v>
      </c>
      <c r="DC95" s="94"/>
      <c r="DE95" s="22"/>
      <c r="DF95" s="162">
        <v>3.0010192459858551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>
        <f t="shared" si="924"/>
        <v>1.8467742964937401</v>
      </c>
      <c r="AM96" s="162">
        <f t="shared" si="924"/>
        <v>1.7288010865689134</v>
      </c>
      <c r="AN96" s="162">
        <f t="shared" si="924"/>
        <v>2.6868598061829565</v>
      </c>
      <c r="AO96" s="162">
        <f t="shared" si="924"/>
        <v>2.0745342533017408</v>
      </c>
      <c r="AP96" s="162">
        <f t="shared" si="924"/>
        <v>1.8223096488367376</v>
      </c>
      <c r="AQ96" s="162">
        <f t="shared" si="924"/>
        <v>1.4849191932297454</v>
      </c>
      <c r="AR96" s="162">
        <f t="shared" si="924"/>
        <v>1.2013960509169703</v>
      </c>
      <c r="AS96" s="162">
        <f t="shared" si="924"/>
        <v>0.98655971854383473</v>
      </c>
      <c r="AT96" s="162">
        <f t="shared" si="924"/>
        <v>0.85026746813198117</v>
      </c>
      <c r="AU96" s="162">
        <f t="shared" si="924"/>
        <v>0.58500989189718766</v>
      </c>
      <c r="AV96" s="162">
        <f t="shared" si="924"/>
        <v>0.54292424148625296</v>
      </c>
      <c r="AW96" s="162">
        <f t="shared" si="924"/>
        <v>0.87487074996646541</v>
      </c>
      <c r="AX96" s="162">
        <f t="shared" si="924"/>
        <v>1.0238333266671957</v>
      </c>
      <c r="AY96" s="162">
        <f t="shared" si="924"/>
        <v>0.88997054255939856</v>
      </c>
      <c r="AZ96" s="162">
        <f t="shared" si="924"/>
        <v>0.68463677822846014</v>
      </c>
      <c r="BA96" s="162">
        <f t="shared" si="924"/>
        <v>0.81748379703805163</v>
      </c>
      <c r="BB96" s="162">
        <f t="shared" si="924"/>
        <v>0.62609047922120498</v>
      </c>
      <c r="BC96" s="162">
        <f t="shared" si="924"/>
        <v>0.57421255959354234</v>
      </c>
      <c r="BD96" s="162">
        <f t="shared" si="924"/>
        <v>0.79147461346554548</v>
      </c>
      <c r="BE96" s="162">
        <f t="shared" si="924"/>
        <v>0.65423787122809252</v>
      </c>
      <c r="BF96" s="162">
        <f t="shared" si="924"/>
        <v>0.44236188865850024</v>
      </c>
      <c r="BG96" s="162">
        <f t="shared" si="924"/>
        <v>0.35138102175793484</v>
      </c>
      <c r="BH96" s="162">
        <f t="shared" si="924"/>
        <v>0.41571612965805682</v>
      </c>
      <c r="BI96" s="162">
        <f t="shared" si="924"/>
        <v>0.44620659558678444</v>
      </c>
      <c r="BJ96" s="162">
        <f t="shared" si="924"/>
        <v>0.56431602688368798</v>
      </c>
      <c r="BK96" s="162">
        <f t="shared" si="924"/>
        <v>0.61873735023751031</v>
      </c>
      <c r="BL96" s="162">
        <f t="shared" si="924"/>
        <v>0.67052893897178534</v>
      </c>
      <c r="BM96" s="162">
        <f t="shared" si="924"/>
        <v>0.65534819368329766</v>
      </c>
      <c r="BN96" s="162">
        <f t="shared" si="924"/>
        <v>0.46698113648317413</v>
      </c>
      <c r="BO96" s="162">
        <f t="shared" si="924"/>
        <v>0.4665434392346206</v>
      </c>
      <c r="BP96" s="162">
        <f t="shared" si="924"/>
        <v>0.5248339188759189</v>
      </c>
      <c r="BQ96" s="162">
        <f t="shared" si="924"/>
        <v>0.44156810119491141</v>
      </c>
      <c r="BR96" s="162">
        <f t="shared" si="924"/>
        <v>0.65659646602418653</v>
      </c>
      <c r="BS96" s="162">
        <f t="shared" si="924"/>
        <v>0.85813300864049669</v>
      </c>
      <c r="BT96" s="162">
        <f t="shared" si="924"/>
        <v>0.67460086922821683</v>
      </c>
      <c r="BU96" s="162">
        <f t="shared" si="924"/>
        <v>0.45145990171364891</v>
      </c>
      <c r="BV96" s="162">
        <f t="shared" si="924"/>
        <v>0.81468036993124504</v>
      </c>
      <c r="BW96" s="162">
        <f t="shared" si="924"/>
        <v>0.9664109174119947</v>
      </c>
      <c r="BX96" s="162">
        <f t="shared" si="924"/>
        <v>0.62711082251514372</v>
      </c>
      <c r="BY96" s="162">
        <f t="shared" si="924"/>
        <v>0.6748736752105059</v>
      </c>
      <c r="BZ96" s="162">
        <f t="shared" si="924"/>
        <v>0.70961828474214461</v>
      </c>
      <c r="CA96" s="162">
        <f t="shared" si="924"/>
        <v>0.81733184983117768</v>
      </c>
      <c r="CB96" s="162">
        <f t="shared" si="924"/>
        <v>1.3205568860200605</v>
      </c>
      <c r="CC96" s="162">
        <f t="shared" si="924"/>
        <v>2.7747699877050551</v>
      </c>
      <c r="CD96" s="162">
        <f t="shared" si="924"/>
        <v>2.2533676760409094</v>
      </c>
      <c r="CE96" s="162">
        <f t="shared" si="924"/>
        <v>2.2937906365215679</v>
      </c>
      <c r="CF96" s="162">
        <f t="shared" si="924"/>
        <v>1.5006403580721139</v>
      </c>
      <c r="CG96" s="162">
        <f t="shared" si="924"/>
        <v>1.98944698984673</v>
      </c>
      <c r="CH96" s="162">
        <f t="shared" si="924"/>
        <v>1.8318271563000297</v>
      </c>
      <c r="CI96" s="162">
        <f t="shared" si="924"/>
        <v>1.8576086983511988</v>
      </c>
      <c r="CJ96" s="162">
        <f t="shared" si="927"/>
        <v>2.5451196152010107</v>
      </c>
      <c r="CK96" s="162">
        <f t="shared" si="927"/>
        <v>2.1468884164364979</v>
      </c>
      <c r="CL96" s="162">
        <f t="shared" ref="CL96" si="931">+CL79/CL$92</f>
        <v>1.4897671263629757</v>
      </c>
      <c r="CM96" s="94">
        <f t="shared" ref="CM96:DB96" si="932">+CL96</f>
        <v>1.4897671263629757</v>
      </c>
      <c r="CN96" s="94">
        <f t="shared" si="932"/>
        <v>1.4897671263629757</v>
      </c>
      <c r="CO96" s="94">
        <f t="shared" si="932"/>
        <v>1.4897671263629757</v>
      </c>
      <c r="CP96" s="94">
        <f t="shared" si="932"/>
        <v>1.4897671263629757</v>
      </c>
      <c r="CQ96" s="94">
        <f t="shared" si="932"/>
        <v>1.4897671263629757</v>
      </c>
      <c r="CR96" s="94">
        <f t="shared" si="932"/>
        <v>1.4897671263629757</v>
      </c>
      <c r="CS96" s="94">
        <f t="shared" si="932"/>
        <v>1.4897671263629757</v>
      </c>
      <c r="CT96" s="94">
        <f t="shared" si="932"/>
        <v>1.4897671263629757</v>
      </c>
      <c r="CU96" s="94">
        <f t="shared" si="932"/>
        <v>1.4897671263629757</v>
      </c>
      <c r="CV96" s="94">
        <f t="shared" si="932"/>
        <v>1.4897671263629757</v>
      </c>
      <c r="CW96" s="94">
        <f t="shared" si="932"/>
        <v>1.4897671263629757</v>
      </c>
      <c r="CX96" s="94">
        <f t="shared" si="932"/>
        <v>1.4897671263629757</v>
      </c>
      <c r="CY96" s="94">
        <f t="shared" si="932"/>
        <v>1.4897671263629757</v>
      </c>
      <c r="CZ96" s="94">
        <f t="shared" si="932"/>
        <v>1.4897671263629757</v>
      </c>
      <c r="DA96" s="94">
        <f t="shared" si="932"/>
        <v>1.4897671263629757</v>
      </c>
      <c r="DB96" s="94">
        <f t="shared" si="932"/>
        <v>1.4897671263629757</v>
      </c>
      <c r="DC96" s="94"/>
      <c r="DE96" s="22"/>
      <c r="DF96" s="162">
        <v>1.7838470525310162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0</v>
      </c>
      <c r="G98" s="177">
        <f t="shared" si="933"/>
        <v>38.068714946</v>
      </c>
      <c r="H98" s="177">
        <f t="shared" si="933"/>
        <v>77.784954361999993</v>
      </c>
      <c r="I98" s="177">
        <f t="shared" si="933"/>
        <v>258.92859601999999</v>
      </c>
      <c r="J98" s="177">
        <f t="shared" si="933"/>
        <v>307.43178460000001</v>
      </c>
      <c r="K98" s="177">
        <f t="shared" si="933"/>
        <v>352.45209999999997</v>
      </c>
      <c r="L98" s="177">
        <f t="shared" si="933"/>
        <v>699.32500000000005</v>
      </c>
      <c r="M98" s="177">
        <f t="shared" si="933"/>
        <v>993.02760000000001</v>
      </c>
      <c r="N98" s="177">
        <f t="shared" si="933"/>
        <v>80.783799999999999</v>
      </c>
      <c r="O98" s="177">
        <f t="shared" si="933"/>
        <v>0</v>
      </c>
      <c r="P98" s="177">
        <f t="shared" si="933"/>
        <v>293.58608779999997</v>
      </c>
      <c r="Q98" s="177">
        <f t="shared" si="933"/>
        <v>131.95302100000001</v>
      </c>
      <c r="R98" s="177">
        <f t="shared" si="933"/>
        <v>47.351212799999999</v>
      </c>
      <c r="S98" s="177">
        <f t="shared" si="933"/>
        <v>242.7654</v>
      </c>
      <c r="T98" s="177">
        <f t="shared" si="933"/>
        <v>14.578900000000001</v>
      </c>
      <c r="U98" s="177">
        <f t="shared" si="933"/>
        <v>0.56859999999999999</v>
      </c>
      <c r="V98" s="177">
        <f t="shared" si="933"/>
        <v>0.80489999999999995</v>
      </c>
      <c r="W98" s="177">
        <f t="shared" si="933"/>
        <v>47.8247</v>
      </c>
      <c r="X98" s="177">
        <f t="shared" si="933"/>
        <v>380.29899999999998</v>
      </c>
      <c r="Y98" s="177">
        <f t="shared" si="933"/>
        <v>958.43740000000003</v>
      </c>
      <c r="Z98" s="177">
        <f>+Z10</f>
        <v>1488.29</v>
      </c>
      <c r="AA98" s="177">
        <f>+AA10</f>
        <v>1756.29</v>
      </c>
      <c r="AB98" s="178">
        <f t="shared" ref="AA98:AE98" si="934">+AB10</f>
        <v>2116.1927842744462</v>
      </c>
      <c r="AC98" s="178">
        <f t="shared" si="934"/>
        <v>2558.6285798580407</v>
      </c>
      <c r="AD98" s="178">
        <f t="shared" si="934"/>
        <v>3096.953827160045</v>
      </c>
      <c r="AE98" s="178">
        <f t="shared" si="934"/>
        <v>3749.5254009977161</v>
      </c>
      <c r="AL98" s="177">
        <f t="shared" ref="AL98:BQ98" si="935">+SUM(AI8:AL8)</f>
        <v>80.784000000000006</v>
      </c>
      <c r="AM98" s="177">
        <f t="shared" si="935"/>
        <v>0</v>
      </c>
      <c r="AN98" s="177">
        <f t="shared" si="935"/>
        <v>0</v>
      </c>
      <c r="AO98" s="177">
        <f t="shared" si="935"/>
        <v>0</v>
      </c>
      <c r="AP98" s="177">
        <f t="shared" si="935"/>
        <v>0</v>
      </c>
      <c r="AQ98" s="177">
        <f t="shared" si="935"/>
        <v>0</v>
      </c>
      <c r="AR98" s="177">
        <f t="shared" si="935"/>
        <v>0</v>
      </c>
      <c r="AS98" s="177">
        <f t="shared" si="935"/>
        <v>118.465</v>
      </c>
      <c r="AT98" s="177">
        <f t="shared" si="935"/>
        <v>293.58600000000001</v>
      </c>
      <c r="AU98" s="177">
        <f t="shared" si="935"/>
        <v>293.58600000000001</v>
      </c>
      <c r="AV98" s="177">
        <f t="shared" si="935"/>
        <v>304.351</v>
      </c>
      <c r="AW98" s="177">
        <f t="shared" si="935"/>
        <v>198.72300000000001</v>
      </c>
      <c r="AX98" s="177">
        <f t="shared" si="935"/>
        <v>131.953</v>
      </c>
      <c r="AY98" s="177">
        <f t="shared" si="935"/>
        <v>131.953</v>
      </c>
      <c r="AZ98" s="177">
        <f t="shared" si="935"/>
        <v>131.56200000000001</v>
      </c>
      <c r="BA98" s="177">
        <f t="shared" si="935"/>
        <v>139.80599999999998</v>
      </c>
      <c r="BB98" s="177">
        <f t="shared" si="935"/>
        <v>47.350999999999999</v>
      </c>
      <c r="BC98" s="177">
        <f t="shared" si="935"/>
        <v>47.350999999999999</v>
      </c>
      <c r="BD98" s="177">
        <f t="shared" si="935"/>
        <v>67.564000000000007</v>
      </c>
      <c r="BE98" s="177">
        <f t="shared" si="935"/>
        <v>155.87900000000002</v>
      </c>
      <c r="BF98" s="177">
        <f t="shared" si="935"/>
        <v>242.76600000000002</v>
      </c>
      <c r="BG98" s="177">
        <f t="shared" si="935"/>
        <v>242.76600000000002</v>
      </c>
      <c r="BH98" s="177">
        <f t="shared" si="935"/>
        <v>212.179</v>
      </c>
      <c r="BI98" s="177">
        <f t="shared" si="935"/>
        <v>114.89</v>
      </c>
      <c r="BJ98" s="177">
        <f t="shared" si="935"/>
        <v>14.578999999999999</v>
      </c>
      <c r="BK98" s="177">
        <f t="shared" si="935"/>
        <v>14.578999999999999</v>
      </c>
      <c r="BL98" s="177">
        <f t="shared" si="935"/>
        <v>14.578999999999999</v>
      </c>
      <c r="BM98" s="177">
        <f t="shared" si="935"/>
        <v>2.472</v>
      </c>
      <c r="BN98" s="177">
        <f t="shared" si="935"/>
        <v>0.56899999999999995</v>
      </c>
      <c r="BO98" s="177">
        <f t="shared" si="935"/>
        <v>0.56899999999999995</v>
      </c>
      <c r="BP98" s="177">
        <f t="shared" si="935"/>
        <v>0.56899999999999995</v>
      </c>
      <c r="BQ98" s="177">
        <f t="shared" si="935"/>
        <v>0.56899999999999995</v>
      </c>
      <c r="BR98" s="177">
        <f t="shared" ref="BR98:CW98" si="936">+SUM(BO8:BR8)</f>
        <v>0.80500000000000005</v>
      </c>
      <c r="BS98" s="177">
        <f t="shared" si="936"/>
        <v>2.6720000000000002</v>
      </c>
      <c r="BT98" s="177">
        <f t="shared" si="936"/>
        <v>10.037000000000001</v>
      </c>
      <c r="BU98" s="177">
        <f t="shared" si="936"/>
        <v>29.322000000000003</v>
      </c>
      <c r="BV98" s="177">
        <f t="shared" si="936"/>
        <v>47.823999999999998</v>
      </c>
      <c r="BW98" s="177">
        <f t="shared" si="936"/>
        <v>96.727999999999994</v>
      </c>
      <c r="BX98" s="177">
        <f t="shared" si="936"/>
        <v>118.943</v>
      </c>
      <c r="BY98" s="177">
        <f t="shared" si="936"/>
        <v>158.06700000000001</v>
      </c>
      <c r="BZ98" s="177">
        <f t="shared" si="936"/>
        <v>380.29899999999998</v>
      </c>
      <c r="CA98" s="177">
        <f t="shared" si="936"/>
        <v>480.78500000000003</v>
      </c>
      <c r="CB98" s="177">
        <f t="shared" si="936"/>
        <v>600.52499999999998</v>
      </c>
      <c r="CC98" s="177">
        <f t="shared" si="936"/>
        <v>866.274</v>
      </c>
      <c r="CD98" s="177">
        <f t="shared" si="936"/>
        <v>958.43700000000001</v>
      </c>
      <c r="CE98" s="177">
        <f t="shared" si="936"/>
        <v>1130.3600000000001</v>
      </c>
      <c r="CF98" s="177">
        <f t="shared" si="936"/>
        <v>1366.52</v>
      </c>
      <c r="CG98" s="177">
        <f t="shared" si="936"/>
        <v>1332.662</v>
      </c>
      <c r="CH98" s="177">
        <f t="shared" si="936"/>
        <v>1488.28</v>
      </c>
      <c r="CI98" s="177">
        <f t="shared" si="936"/>
        <v>1496</v>
      </c>
      <c r="CJ98" s="177">
        <f t="shared" si="936"/>
        <v>1517.09</v>
      </c>
      <c r="CK98" s="177">
        <f t="shared" si="936"/>
        <v>1525.97</v>
      </c>
      <c r="CL98" s="177">
        <f t="shared" si="936"/>
        <v>1756.29</v>
      </c>
      <c r="CM98" s="178">
        <f t="shared" si="936"/>
        <v>1804.2607133539886</v>
      </c>
      <c r="CN98" s="178">
        <f t="shared" si="936"/>
        <v>1875.5084979501457</v>
      </c>
      <c r="CO98" s="178">
        <f t="shared" si="936"/>
        <v>1936.9521880776715</v>
      </c>
      <c r="CP98" s="178">
        <f t="shared" si="936"/>
        <v>2116.1927842744462</v>
      </c>
      <c r="CQ98" s="178">
        <f t="shared" si="936"/>
        <v>2189.5663085845849</v>
      </c>
      <c r="CR98" s="178">
        <f t="shared" si="936"/>
        <v>2287.9189287224885</v>
      </c>
      <c r="CS98" s="178">
        <f t="shared" si="936"/>
        <v>2364.9070649744554</v>
      </c>
      <c r="CT98" s="178">
        <f t="shared" si="936"/>
        <v>2558.6285798580407</v>
      </c>
      <c r="CU98" s="178">
        <f t="shared" si="936"/>
        <v>2652.2997912886062</v>
      </c>
      <c r="CV98" s="178">
        <f t="shared" si="936"/>
        <v>2773.5782763823836</v>
      </c>
      <c r="CW98" s="178">
        <f t="shared" si="936"/>
        <v>2866.200589874396</v>
      </c>
      <c r="CX98" s="178">
        <f t="shared" ref="CX98:DB98" si="937">+SUM(CU8:CX8)</f>
        <v>3096.953827160045</v>
      </c>
      <c r="CY98" s="178">
        <f t="shared" si="937"/>
        <v>3211.6596721393453</v>
      </c>
      <c r="CZ98" s="178">
        <f t="shared" si="937"/>
        <v>3358.7267511200098</v>
      </c>
      <c r="DA98" s="178">
        <f t="shared" si="937"/>
        <v>3470.5837385671957</v>
      </c>
      <c r="DB98" s="178">
        <f t="shared" si="937"/>
        <v>3749.5254009977161</v>
      </c>
      <c r="DE98" s="179"/>
      <c r="DF98" s="177">
        <v>1596.3771045500466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0.57731723004359325</v>
      </c>
      <c r="AM99" s="163">
        <f t="shared" si="940"/>
        <v>0</v>
      </c>
      <c r="AN99" s="163">
        <f t="shared" si="940"/>
        <v>0</v>
      </c>
      <c r="AO99" s="163">
        <f t="shared" si="940"/>
        <v>0</v>
      </c>
      <c r="AP99" s="163">
        <f t="shared" si="940"/>
        <v>0</v>
      </c>
      <c r="AQ99" s="163">
        <f t="shared" si="940"/>
        <v>0</v>
      </c>
      <c r="AR99" s="163">
        <f t="shared" si="940"/>
        <v>0</v>
      </c>
      <c r="AS99" s="163">
        <f t="shared" si="940"/>
        <v>0.84660187236475382</v>
      </c>
      <c r="AT99" s="163">
        <f t="shared" si="940"/>
        <v>2.0980919030944043</v>
      </c>
      <c r="AU99" s="163">
        <f t="shared" si="940"/>
        <v>2.0980919030944043</v>
      </c>
      <c r="AV99" s="163">
        <f t="shared" si="940"/>
        <v>2.1750232258986637</v>
      </c>
      <c r="AW99" s="163">
        <f t="shared" si="940"/>
        <v>1.42016008004002</v>
      </c>
      <c r="AX99" s="163">
        <f t="shared" si="940"/>
        <v>0.94299292503394549</v>
      </c>
      <c r="AY99" s="163">
        <f t="shared" si="940"/>
        <v>0.94299292503394549</v>
      </c>
      <c r="AZ99" s="163">
        <f t="shared" si="940"/>
        <v>0.94019867076395347</v>
      </c>
      <c r="BA99" s="163">
        <f t="shared" si="940"/>
        <v>0.99911384263560332</v>
      </c>
      <c r="BB99" s="163">
        <f t="shared" si="940"/>
        <v>0.33839062388337021</v>
      </c>
      <c r="BC99" s="163">
        <f t="shared" si="940"/>
        <v>0.33839062388337021</v>
      </c>
      <c r="BD99" s="163">
        <f t="shared" si="940"/>
        <v>0.48284142071035518</v>
      </c>
      <c r="BE99" s="163">
        <f t="shared" si="940"/>
        <v>1.1139784177803189</v>
      </c>
      <c r="BF99" s="163">
        <f t="shared" si="940"/>
        <v>1.7349103122990066</v>
      </c>
      <c r="BG99" s="163">
        <f t="shared" si="940"/>
        <v>1.7349103122990066</v>
      </c>
      <c r="BH99" s="163">
        <f t="shared" si="940"/>
        <v>1.5163224469377545</v>
      </c>
      <c r="BI99" s="163">
        <f t="shared" si="940"/>
        <v>0.82105338383477444</v>
      </c>
      <c r="BJ99" s="163">
        <f t="shared" si="940"/>
        <v>0.10418780818980918</v>
      </c>
      <c r="BK99" s="163">
        <f t="shared" si="940"/>
        <v>0.10418780818980918</v>
      </c>
      <c r="BL99" s="163">
        <f t="shared" si="940"/>
        <v>0.10418780818980918</v>
      </c>
      <c r="BM99" s="163">
        <f t="shared" si="940"/>
        <v>1.766597584506539E-2</v>
      </c>
      <c r="BN99" s="163">
        <f t="shared" si="940"/>
        <v>4.0663188737225754E-3</v>
      </c>
      <c r="BO99" s="163">
        <f t="shared" si="940"/>
        <v>4.0663188737225754E-3</v>
      </c>
      <c r="BP99" s="163">
        <f t="shared" si="940"/>
        <v>4.0663188737225754E-3</v>
      </c>
      <c r="BQ99" s="163">
        <f t="shared" si="940"/>
        <v>4.0663188737225754E-3</v>
      </c>
      <c r="BR99" s="163">
        <f t="shared" ref="BR99:CW99" si="941">+BR98/BR65</f>
        <v>5.75287643821911E-3</v>
      </c>
      <c r="BS99" s="163">
        <f t="shared" si="941"/>
        <v>1.9095261916672622E-2</v>
      </c>
      <c r="BT99" s="163">
        <f t="shared" si="941"/>
        <v>7.1728721503608955E-2</v>
      </c>
      <c r="BU99" s="163">
        <f t="shared" si="941"/>
        <v>0.20954763095833631</v>
      </c>
      <c r="BV99" s="163">
        <f t="shared" si="941"/>
        <v>0.34177088544272133</v>
      </c>
      <c r="BW99" s="163">
        <f t="shared" si="941"/>
        <v>0.69125991567212175</v>
      </c>
      <c r="BX99" s="163">
        <f t="shared" si="941"/>
        <v>0.85001786607589502</v>
      </c>
      <c r="BY99" s="163">
        <f t="shared" si="941"/>
        <v>1.1296148074037018</v>
      </c>
      <c r="BZ99" s="163">
        <f t="shared" si="941"/>
        <v>2.7177803187307936</v>
      </c>
      <c r="CA99" s="163">
        <f t="shared" si="941"/>
        <v>3.4358965196884155</v>
      </c>
      <c r="CB99" s="163">
        <f t="shared" si="941"/>
        <v>4.291610090759665</v>
      </c>
      <c r="CC99" s="163">
        <f t="shared" si="941"/>
        <v>6.1907668119774169</v>
      </c>
      <c r="CD99" s="163">
        <f t="shared" si="941"/>
        <v>6.8494032730651035</v>
      </c>
      <c r="CE99" s="163">
        <f t="shared" si="941"/>
        <v>8.078039019509756</v>
      </c>
      <c r="CF99" s="163">
        <f t="shared" si="941"/>
        <v>9.7657400128635743</v>
      </c>
      <c r="CG99" s="163">
        <f t="shared" si="941"/>
        <v>9.5237761738011866</v>
      </c>
      <c r="CH99" s="163">
        <f t="shared" si="941"/>
        <v>10.635889373258056</v>
      </c>
      <c r="CI99" s="163">
        <f t="shared" si="941"/>
        <v>10.691059815622097</v>
      </c>
      <c r="CJ99" s="163">
        <f t="shared" si="941"/>
        <v>10.841778031873078</v>
      </c>
      <c r="CK99" s="163">
        <f t="shared" ref="CK99:CL99" si="942">+CK98/CK65</f>
        <v>10.90523833345244</v>
      </c>
      <c r="CL99" s="163">
        <f t="shared" si="942"/>
        <v>11.627979343220339</v>
      </c>
      <c r="CM99" s="50">
        <f t="shared" si="941"/>
        <v>11.945582053455963</v>
      </c>
      <c r="CN99" s="50">
        <f t="shared" si="941"/>
        <v>12.417296729013147</v>
      </c>
      <c r="CO99" s="50">
        <f t="shared" si="941"/>
        <v>12.824100821488821</v>
      </c>
      <c r="CP99" s="50">
        <f t="shared" si="941"/>
        <v>14.010810277240774</v>
      </c>
      <c r="CQ99" s="50">
        <f t="shared" si="941"/>
        <v>14.496598971031416</v>
      </c>
      <c r="CR99" s="50">
        <f t="shared" si="941"/>
        <v>15.147768331054612</v>
      </c>
      <c r="CS99" s="50">
        <f t="shared" si="941"/>
        <v>15.657488512807571</v>
      </c>
      <c r="CT99" s="50">
        <f t="shared" si="941"/>
        <v>16.940072695034697</v>
      </c>
      <c r="CU99" s="50">
        <f t="shared" si="941"/>
        <v>17.560247558849355</v>
      </c>
      <c r="CV99" s="50">
        <f t="shared" si="941"/>
        <v>18.363203630709638</v>
      </c>
      <c r="CW99" s="50">
        <f t="shared" si="941"/>
        <v>18.976433990164168</v>
      </c>
      <c r="CX99" s="50">
        <f t="shared" ref="CX99:DB99" si="943">+CX98/CX65</f>
        <v>20.504196419226993</v>
      </c>
      <c r="CY99" s="50">
        <f t="shared" si="943"/>
        <v>21.263636600498845</v>
      </c>
      <c r="CZ99" s="50">
        <f t="shared" si="943"/>
        <v>22.237332833156845</v>
      </c>
      <c r="DA99" s="50">
        <f t="shared" si="943"/>
        <v>22.97791140470866</v>
      </c>
      <c r="DB99" s="50">
        <f t="shared" si="943"/>
        <v>24.824717962114118</v>
      </c>
      <c r="DE99" s="164"/>
      <c r="DF99" s="163">
        <v>11.408397802830319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>
        <f t="shared" ref="AL102:BQ102" si="946">+AL77/AL99</f>
        <v>8.4882822682005834</v>
      </c>
      <c r="AM102" s="163" t="e">
        <f t="shared" si="946"/>
        <v>#DIV/0!</v>
      </c>
      <c r="AN102" s="163" t="e">
        <f t="shared" si="946"/>
        <v>#DIV/0!</v>
      </c>
      <c r="AO102" s="163" t="e">
        <f t="shared" si="946"/>
        <v>#DIV/0!</v>
      </c>
      <c r="AP102" s="163" t="e">
        <f t="shared" si="946"/>
        <v>#DIV/0!</v>
      </c>
      <c r="AQ102" s="163" t="e">
        <f t="shared" si="946"/>
        <v>#DIV/0!</v>
      </c>
      <c r="AR102" s="163" t="e">
        <f t="shared" si="946"/>
        <v>#DIV/0!</v>
      </c>
      <c r="AS102" s="163">
        <f t="shared" si="946"/>
        <v>4.2116757193569905</v>
      </c>
      <c r="AT102" s="163">
        <f t="shared" si="946"/>
        <v>1.6994548925821598</v>
      </c>
      <c r="AU102" s="163">
        <f t="shared" si="946"/>
        <v>1.132969928388105</v>
      </c>
      <c r="AV102" s="163">
        <f t="shared" si="946"/>
        <v>1.5174446039639173</v>
      </c>
      <c r="AW102" s="163">
        <f t="shared" si="946"/>
        <v>2.4463344913113509</v>
      </c>
      <c r="AX102" s="163">
        <f t="shared" si="946"/>
        <v>3.7132986715716449</v>
      </c>
      <c r="AY102" s="163">
        <f t="shared" si="946"/>
        <v>3.0540184896738114</v>
      </c>
      <c r="AZ102" s="163">
        <f t="shared" si="946"/>
        <v>2.9405711808669017</v>
      </c>
      <c r="BA102" s="163">
        <f t="shared" si="946"/>
        <v>3.2668017729590915</v>
      </c>
      <c r="BB102" s="163">
        <f t="shared" si="946"/>
        <v>6.1330580974518583</v>
      </c>
      <c r="BC102" s="163">
        <f t="shared" si="946"/>
        <v>8.0513273702231611</v>
      </c>
      <c r="BD102" s="163">
        <f t="shared" si="946"/>
        <v>5.3017965092248742</v>
      </c>
      <c r="BE102" s="163">
        <f t="shared" si="946"/>
        <v>2.3800756633416285</v>
      </c>
      <c r="BF102" s="163">
        <f t="shared" si="946"/>
        <v>0.7219599086429197</v>
      </c>
      <c r="BG102" s="163">
        <f t="shared" si="946"/>
        <v>1.1066538745621413</v>
      </c>
      <c r="BH102" s="163">
        <f t="shared" si="946"/>
        <v>0.80191736783990619</v>
      </c>
      <c r="BI102" s="163">
        <f t="shared" si="946"/>
        <v>1.7259564987359604</v>
      </c>
      <c r="BJ102" s="163">
        <f t="shared" si="946"/>
        <v>29.221121114349131</v>
      </c>
      <c r="BK102" s="163">
        <f t="shared" si="946"/>
        <v>15.619698373435861</v>
      </c>
      <c r="BL102" s="163">
        <f t="shared" si="946"/>
        <v>23.517298674611339</v>
      </c>
      <c r="BM102" s="163">
        <f t="shared" si="946"/>
        <v>89.01441812308498</v>
      </c>
      <c r="BN102" s="163">
        <f t="shared" si="946"/>
        <v>267.55623237862841</v>
      </c>
      <c r="BO102" s="163">
        <f t="shared" si="946"/>
        <v>348.49761360241564</v>
      </c>
      <c r="BP102" s="163">
        <f t="shared" si="946"/>
        <v>348.49761360241564</v>
      </c>
      <c r="BQ102" s="163">
        <f t="shared" si="946"/>
        <v>404.70690611893355</v>
      </c>
      <c r="BR102" s="163">
        <f t="shared" ref="BR102:DB102" si="947">+BR77/BR99</f>
        <v>370.28866454472006</v>
      </c>
      <c r="BS102" s="163">
        <f t="shared" si="947"/>
        <v>299.72174758426394</v>
      </c>
      <c r="BT102" s="163">
        <f t="shared" si="947"/>
        <v>43.973957028814041</v>
      </c>
      <c r="BU102" s="163">
        <f t="shared" si="947"/>
        <v>36.387551908524415</v>
      </c>
      <c r="BV102" s="163">
        <f t="shared" si="947"/>
        <v>15.996893852672835</v>
      </c>
      <c r="BW102" s="163">
        <f t="shared" si="947"/>
        <v>9.3904524372460294</v>
      </c>
      <c r="BX102" s="163">
        <f t="shared" si="947"/>
        <v>4.7325386023340883</v>
      </c>
      <c r="BY102" s="163">
        <f t="shared" si="947"/>
        <v>5.9001994711469017</v>
      </c>
      <c r="BZ102" s="163">
        <f t="shared" si="947"/>
        <v>2.3951636221638388</v>
      </c>
      <c r="CA102" s="163">
        <f t="shared" si="947"/>
        <v>3.9141921338672043</v>
      </c>
      <c r="CB102" s="163">
        <f t="shared" si="947"/>
        <v>7.2005552177590504</v>
      </c>
      <c r="CC102" s="163">
        <f t="shared" si="947"/>
        <v>5.6296058442718708</v>
      </c>
      <c r="CD102" s="163">
        <f t="shared" si="947"/>
        <v>3.6907271641996693</v>
      </c>
      <c r="CE102" s="163">
        <f t="shared" si="947"/>
        <v>3.5673835456621239</v>
      </c>
      <c r="CF102" s="163">
        <f t="shared" si="947"/>
        <v>4.6285274803954328</v>
      </c>
      <c r="CG102" s="163">
        <f t="shared" si="947"/>
        <v>4.731721561839997</v>
      </c>
      <c r="CH102" s="163">
        <f t="shared" si="947"/>
        <v>3.8157584635845403</v>
      </c>
      <c r="CI102" s="163">
        <f t="shared" si="947"/>
        <v>7.6314725222328192</v>
      </c>
      <c r="CJ102" s="163">
        <f t="shared" si="947"/>
        <v>5.7638147374249398</v>
      </c>
      <c r="CK102" s="163">
        <f t="shared" ref="CK102:CL102" si="948">+CK77/CK99</f>
        <v>5.4762672922796654</v>
      </c>
      <c r="CL102" s="163">
        <f t="shared" si="948"/>
        <v>3.5595178472803468</v>
      </c>
      <c r="CM102" s="50">
        <f t="shared" si="947"/>
        <v>3.4648793013836863</v>
      </c>
      <c r="CN102" s="50">
        <f t="shared" si="947"/>
        <v>3.3332536785798008</v>
      </c>
      <c r="CO102" s="50">
        <f t="shared" si="947"/>
        <v>3.227516734011048</v>
      </c>
      <c r="CP102" s="50">
        <f t="shared" si="947"/>
        <v>2.9541474890452348</v>
      </c>
      <c r="CQ102" s="50">
        <f t="shared" si="947"/>
        <v>2.8551524452535193</v>
      </c>
      <c r="CR102" s="50">
        <f t="shared" si="947"/>
        <v>2.7324156994892701</v>
      </c>
      <c r="CS102" s="50">
        <f t="shared" si="947"/>
        <v>2.6434635392606962</v>
      </c>
      <c r="CT102" s="50">
        <f t="shared" si="947"/>
        <v>2.4433189128008772</v>
      </c>
      <c r="CU102" s="50">
        <f t="shared" si="947"/>
        <v>2.3570282743048132</v>
      </c>
      <c r="CV102" s="50">
        <f t="shared" si="947"/>
        <v>2.2539640049942911</v>
      </c>
      <c r="CW102" s="50">
        <f t="shared" si="947"/>
        <v>2.1811263391980384</v>
      </c>
      <c r="CX102" s="50">
        <f t="shared" si="947"/>
        <v>2.0186111737199406</v>
      </c>
      <c r="CY102" s="50">
        <f t="shared" si="947"/>
        <v>1.9465155832765215</v>
      </c>
      <c r="CZ102" s="50">
        <f t="shared" si="947"/>
        <v>1.8612843685230849</v>
      </c>
      <c r="DA102" s="50">
        <f t="shared" si="947"/>
        <v>1.8012951338788048</v>
      </c>
      <c r="DB102" s="50">
        <f t="shared" si="947"/>
        <v>1.6672898384250225</v>
      </c>
      <c r="DE102" s="106"/>
      <c r="DF102" s="163">
        <v>3.6280291689803734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>
        <f t="shared" ref="AL103:BQ103" si="950">+AL78/AL99</f>
        <v>19.288671273634851</v>
      </c>
      <c r="AM103" s="163" t="e">
        <f t="shared" si="950"/>
        <v>#DIV/0!</v>
      </c>
      <c r="AN103" s="163" t="e">
        <f t="shared" si="950"/>
        <v>#DIV/0!</v>
      </c>
      <c r="AO103" s="163" t="e">
        <f t="shared" si="950"/>
        <v>#DIV/0!</v>
      </c>
      <c r="AP103" s="163" t="e">
        <f t="shared" si="950"/>
        <v>#DIV/0!</v>
      </c>
      <c r="AQ103" s="163" t="e">
        <f t="shared" si="950"/>
        <v>#DIV/0!</v>
      </c>
      <c r="AR103" s="163" t="e">
        <f t="shared" si="950"/>
        <v>#DIV/0!</v>
      </c>
      <c r="AS103" s="163">
        <f t="shared" si="950"/>
        <v>5.6155676258093132</v>
      </c>
      <c r="AT103" s="163">
        <f t="shared" si="950"/>
        <v>1.8214670387162615</v>
      </c>
      <c r="AU103" s="163">
        <f t="shared" si="950"/>
        <v>1.8563276518974368</v>
      </c>
      <c r="AV103" s="163">
        <f t="shared" si="950"/>
        <v>1.6561583766254406</v>
      </c>
      <c r="AW103" s="163">
        <f t="shared" si="950"/>
        <v>2.9935408906836254</v>
      </c>
      <c r="AX103" s="163">
        <f t="shared" si="950"/>
        <v>4.1592823240319552</v>
      </c>
      <c r="AY103" s="163">
        <f t="shared" si="950"/>
        <v>4.0235481689353376</v>
      </c>
      <c r="AZ103" s="163">
        <f t="shared" si="950"/>
        <v>2.9561297585434412</v>
      </c>
      <c r="BA103" s="163">
        <f t="shared" si="950"/>
        <v>3.2668017729590915</v>
      </c>
      <c r="BB103" s="163">
        <f t="shared" si="950"/>
        <v>10.266793290888591</v>
      </c>
      <c r="BC103" s="163">
        <f t="shared" si="950"/>
        <v>8.6187027889301611</v>
      </c>
      <c r="BD103" s="163">
        <f t="shared" si="950"/>
        <v>5.6804962598837943</v>
      </c>
      <c r="BE103" s="163">
        <f t="shared" si="950"/>
        <v>3.9230212657837806</v>
      </c>
      <c r="BF103" s="163">
        <f t="shared" si="950"/>
        <v>1.4544593779959543</v>
      </c>
      <c r="BG103" s="163">
        <f t="shared" si="950"/>
        <v>1.2120494816632972</v>
      </c>
      <c r="BH103" s="163">
        <f t="shared" si="950"/>
        <v>1.2661853176419569</v>
      </c>
      <c r="BI103" s="163">
        <f t="shared" si="950"/>
        <v>1.7704973116065634</v>
      </c>
      <c r="BJ103" s="163">
        <f t="shared" si="950"/>
        <v>33.784179066139323</v>
      </c>
      <c r="BK103" s="163">
        <f t="shared" si="950"/>
        <v>28.694614427604034</v>
      </c>
      <c r="BL103" s="163">
        <f t="shared" si="950"/>
        <v>23.517298674611339</v>
      </c>
      <c r="BM103" s="163">
        <f t="shared" si="950"/>
        <v>186.30924723436343</v>
      </c>
      <c r="BN103" s="163">
        <f t="shared" si="950"/>
        <v>382.22318911232736</v>
      </c>
      <c r="BO103" s="163">
        <f t="shared" si="950"/>
        <v>348.49761360241564</v>
      </c>
      <c r="BP103" s="163">
        <f t="shared" si="950"/>
        <v>575.5831553691504</v>
      </c>
      <c r="BQ103" s="163">
        <f t="shared" si="950"/>
        <v>483.39991564206014</v>
      </c>
      <c r="BR103" s="163">
        <f t="shared" ref="BR103:CJ103" si="951">+BR78/BR99</f>
        <v>500.6048469166812</v>
      </c>
      <c r="BS103" s="163">
        <f t="shared" si="951"/>
        <v>300.2005363184241</v>
      </c>
      <c r="BT103" s="163">
        <f t="shared" si="951"/>
        <v>121.34262925052469</v>
      </c>
      <c r="BU103" s="163">
        <f t="shared" si="951"/>
        <v>36.387551908524415</v>
      </c>
      <c r="BV103" s="163">
        <f t="shared" si="951"/>
        <v>26.135393468330033</v>
      </c>
      <c r="BW103" s="163">
        <f t="shared" si="951"/>
        <v>13.821158868904368</v>
      </c>
      <c r="BX103" s="163">
        <f t="shared" si="951"/>
        <v>9.3252522005083112</v>
      </c>
      <c r="BY103" s="163">
        <f t="shared" si="951"/>
        <v>6.223941554611752</v>
      </c>
      <c r="BZ103" s="163">
        <f t="shared" si="951"/>
        <v>3.3303539128401689</v>
      </c>
      <c r="CA103" s="163">
        <f t="shared" si="951"/>
        <v>4.7550383026653256</v>
      </c>
      <c r="CB103" s="163">
        <f t="shared" si="951"/>
        <v>8.412719690807851</v>
      </c>
      <c r="CC103" s="163">
        <f t="shared" si="951"/>
        <v>7.0517754214056074</v>
      </c>
      <c r="CD103" s="163">
        <f t="shared" si="951"/>
        <v>5.5394277509687617</v>
      </c>
      <c r="CE103" s="163">
        <f t="shared" si="951"/>
        <v>4.5214775586675646</v>
      </c>
      <c r="CF103" s="163">
        <f t="shared" si="951"/>
        <v>4.7698922962408421</v>
      </c>
      <c r="CG103" s="163">
        <f t="shared" si="951"/>
        <v>5.2414688025251444</v>
      </c>
      <c r="CH103" s="163">
        <f t="shared" si="951"/>
        <v>5.4300847520755919</v>
      </c>
      <c r="CI103" s="163">
        <f t="shared" si="951"/>
        <v>7.9170968860187587</v>
      </c>
      <c r="CJ103" s="163">
        <f t="shared" si="951"/>
        <v>8.1283240902639946</v>
      </c>
      <c r="CK103" s="163">
        <f t="shared" ref="CK103:CL103" si="952">+CK78/CK99</f>
        <v>6.9141084031796183</v>
      </c>
      <c r="CL103" s="163">
        <f t="shared" si="952"/>
        <v>5.9116032090372315</v>
      </c>
      <c r="CM103" s="94">
        <f t="shared" ref="CM103:DB103" si="953">+CL103</f>
        <v>5.9116032090372315</v>
      </c>
      <c r="CN103" s="94">
        <f t="shared" si="953"/>
        <v>5.9116032090372315</v>
      </c>
      <c r="CO103" s="94">
        <f t="shared" si="953"/>
        <v>5.9116032090372315</v>
      </c>
      <c r="CP103" s="94">
        <f t="shared" si="953"/>
        <v>5.9116032090372315</v>
      </c>
      <c r="CQ103" s="94">
        <f t="shared" si="953"/>
        <v>5.9116032090372315</v>
      </c>
      <c r="CR103" s="94">
        <f t="shared" si="953"/>
        <v>5.9116032090372315</v>
      </c>
      <c r="CS103" s="94">
        <f t="shared" si="953"/>
        <v>5.9116032090372315</v>
      </c>
      <c r="CT103" s="94">
        <f t="shared" si="953"/>
        <v>5.9116032090372315</v>
      </c>
      <c r="CU103" s="94">
        <f t="shared" si="953"/>
        <v>5.9116032090372315</v>
      </c>
      <c r="CV103" s="94">
        <f t="shared" si="953"/>
        <v>5.9116032090372315</v>
      </c>
      <c r="CW103" s="94">
        <f t="shared" si="953"/>
        <v>5.9116032090372315</v>
      </c>
      <c r="CX103" s="94">
        <f t="shared" si="953"/>
        <v>5.9116032090372315</v>
      </c>
      <c r="CY103" s="94">
        <f t="shared" si="953"/>
        <v>5.9116032090372315</v>
      </c>
      <c r="CZ103" s="94">
        <f t="shared" si="953"/>
        <v>5.9116032090372315</v>
      </c>
      <c r="DA103" s="94">
        <f t="shared" si="953"/>
        <v>5.9116032090372315</v>
      </c>
      <c r="DB103" s="94">
        <f t="shared" si="953"/>
        <v>5.9116032090372315</v>
      </c>
      <c r="DE103" s="164"/>
      <c r="DF103" s="163">
        <v>6.0253859646221519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>
        <f t="shared" ref="AL104:BQ104" si="954">+AL79/AL99</f>
        <v>8.4566095731699864</v>
      </c>
      <c r="AM104" s="163" t="e">
        <f t="shared" si="954"/>
        <v>#DIV/0!</v>
      </c>
      <c r="AN104" s="163" t="e">
        <f t="shared" si="954"/>
        <v>#DIV/0!</v>
      </c>
      <c r="AO104" s="163" t="e">
        <f t="shared" si="954"/>
        <v>#DIV/0!</v>
      </c>
      <c r="AP104" s="163" t="e">
        <f t="shared" si="954"/>
        <v>#DIV/0!</v>
      </c>
      <c r="AQ104" s="163" t="e">
        <f t="shared" si="954"/>
        <v>#DIV/0!</v>
      </c>
      <c r="AR104" s="163" t="e">
        <f t="shared" si="954"/>
        <v>#DIV/0!</v>
      </c>
      <c r="AS104" s="163">
        <f t="shared" si="954"/>
        <v>3.660918125287226</v>
      </c>
      <c r="AT104" s="163">
        <f t="shared" si="954"/>
        <v>1.2724123811127968</v>
      </c>
      <c r="AU104" s="163">
        <f t="shared" si="954"/>
        <v>0.87587290617695779</v>
      </c>
      <c r="AV104" s="163">
        <f t="shared" si="954"/>
        <v>0.78352264315477671</v>
      </c>
      <c r="AW104" s="163">
        <f t="shared" si="954"/>
        <v>1.9313167036668561</v>
      </c>
      <c r="AX104" s="163">
        <f t="shared" si="954"/>
        <v>3.4709162517562664</v>
      </c>
      <c r="AY104" s="163">
        <f t="shared" si="954"/>
        <v>3.015237302503353</v>
      </c>
      <c r="AZ104" s="163">
        <f t="shared" si="954"/>
        <v>2.2559937630989477</v>
      </c>
      <c r="BA104" s="163">
        <f t="shared" si="954"/>
        <v>2.5164439427556045</v>
      </c>
      <c r="BB104" s="163">
        <f t="shared" si="954"/>
        <v>6.1330580974518583</v>
      </c>
      <c r="BC104" s="163">
        <f t="shared" si="954"/>
        <v>5.6197184329074572</v>
      </c>
      <c r="BD104" s="163">
        <f t="shared" si="954"/>
        <v>5.0367066837636241</v>
      </c>
      <c r="BE104" s="163">
        <f t="shared" si="954"/>
        <v>1.8055746411557148</v>
      </c>
      <c r="BF104" s="163">
        <f t="shared" si="954"/>
        <v>0.7219599086429197</v>
      </c>
      <c r="BG104" s="163">
        <f t="shared" si="954"/>
        <v>0.57440605870130057</v>
      </c>
      <c r="BH104" s="163">
        <f t="shared" si="954"/>
        <v>0.75971119058517012</v>
      </c>
      <c r="BI104" s="163">
        <f t="shared" si="954"/>
        <v>1.4141708086417157</v>
      </c>
      <c r="BJ104" s="163">
        <f t="shared" si="954"/>
        <v>12.98716493971067</v>
      </c>
      <c r="BK104" s="163">
        <f t="shared" si="954"/>
        <v>14.215680542115766</v>
      </c>
      <c r="BL104" s="163">
        <f t="shared" si="954"/>
        <v>15.444196144520861</v>
      </c>
      <c r="BM104" s="163">
        <f t="shared" si="954"/>
        <v>89.01441812308498</v>
      </c>
      <c r="BN104" s="163">
        <f t="shared" si="954"/>
        <v>256.31437387532532</v>
      </c>
      <c r="BO104" s="163">
        <f t="shared" si="954"/>
        <v>256.31437387532532</v>
      </c>
      <c r="BP104" s="163">
        <f t="shared" si="954"/>
        <v>303.53017958920083</v>
      </c>
      <c r="BQ104" s="163">
        <f t="shared" si="954"/>
        <v>256.31437387532532</v>
      </c>
      <c r="BR104" s="163">
        <f t="shared" ref="BR104:CJ104" si="955">+BR79/BR99</f>
        <v>266.98925168889576</v>
      </c>
      <c r="BS104" s="163">
        <f t="shared" si="955"/>
        <v>104.85473278107625</v>
      </c>
      <c r="BT104" s="163">
        <f t="shared" si="955"/>
        <v>42.95427106872566</v>
      </c>
      <c r="BU104" s="163">
        <f t="shared" si="955"/>
        <v>9.860415744995807</v>
      </c>
      <c r="BV104" s="163">
        <f t="shared" si="955"/>
        <v>13.535833259953955</v>
      </c>
      <c r="BW104" s="163">
        <f t="shared" si="955"/>
        <v>7.9355936089402999</v>
      </c>
      <c r="BX104" s="163">
        <f t="shared" si="955"/>
        <v>4.2592847421006814</v>
      </c>
      <c r="BY104" s="163">
        <f t="shared" si="955"/>
        <v>3.4802273972471447</v>
      </c>
      <c r="BZ104" s="163">
        <f t="shared" si="955"/>
        <v>2.0587642370284684</v>
      </c>
      <c r="CA104" s="163">
        <f t="shared" si="955"/>
        <v>1.8892429741983088</v>
      </c>
      <c r="CB104" s="163">
        <f t="shared" si="955"/>
        <v>3.16355754389711</v>
      </c>
      <c r="CC104" s="163">
        <f t="shared" si="955"/>
        <v>4.7996377213755395</v>
      </c>
      <c r="CD104" s="163">
        <f t="shared" si="955"/>
        <v>3.6440090988300557</v>
      </c>
      <c r="CE104" s="163">
        <f t="shared" si="955"/>
        <v>3.1576776942884877</v>
      </c>
      <c r="CF104" s="163">
        <f t="shared" si="955"/>
        <v>2.902191583581279</v>
      </c>
      <c r="CG104" s="163">
        <f t="shared" si="955"/>
        <v>3.9743005205959858</v>
      </c>
      <c r="CH104" s="163">
        <f t="shared" si="955"/>
        <v>3.2020050184393831</v>
      </c>
      <c r="CI104" s="163">
        <f t="shared" si="955"/>
        <v>3.5155741303114176</v>
      </c>
      <c r="CJ104" s="163">
        <f t="shared" si="955"/>
        <v>5.5525947702509422</v>
      </c>
      <c r="CK104" s="163">
        <f t="shared" ref="CK104:CL104" si="956">+CK79/CK99</f>
        <v>4.6454738952928301</v>
      </c>
      <c r="CL104" s="163">
        <f t="shared" si="956"/>
        <v>3.5139381309464839</v>
      </c>
      <c r="CM104" s="94">
        <f t="shared" ref="CM104:DB104" si="957">+CL104</f>
        <v>3.5139381309464839</v>
      </c>
      <c r="CN104" s="94">
        <f t="shared" si="957"/>
        <v>3.5139381309464839</v>
      </c>
      <c r="CO104" s="94">
        <f t="shared" si="957"/>
        <v>3.5139381309464839</v>
      </c>
      <c r="CP104" s="94">
        <f t="shared" si="957"/>
        <v>3.5139381309464839</v>
      </c>
      <c r="CQ104" s="94">
        <f t="shared" si="957"/>
        <v>3.5139381309464839</v>
      </c>
      <c r="CR104" s="94">
        <f t="shared" si="957"/>
        <v>3.5139381309464839</v>
      </c>
      <c r="CS104" s="94">
        <f t="shared" si="957"/>
        <v>3.5139381309464839</v>
      </c>
      <c r="CT104" s="94">
        <f t="shared" si="957"/>
        <v>3.5139381309464839</v>
      </c>
      <c r="CU104" s="94">
        <f t="shared" si="957"/>
        <v>3.5139381309464839</v>
      </c>
      <c r="CV104" s="94">
        <f t="shared" si="957"/>
        <v>3.5139381309464839</v>
      </c>
      <c r="CW104" s="94">
        <f t="shared" si="957"/>
        <v>3.5139381309464839</v>
      </c>
      <c r="CX104" s="94">
        <f t="shared" si="957"/>
        <v>3.5139381309464839</v>
      </c>
      <c r="CY104" s="94">
        <f t="shared" si="957"/>
        <v>3.5139381309464839</v>
      </c>
      <c r="CZ104" s="94">
        <f t="shared" si="957"/>
        <v>3.5139381309464839</v>
      </c>
      <c r="DA104" s="94">
        <f t="shared" si="957"/>
        <v>3.5139381309464839</v>
      </c>
      <c r="DB104" s="94">
        <f t="shared" si="957"/>
        <v>3.5139381309464839</v>
      </c>
      <c r="DE104" s="164"/>
      <c r="DF104" s="163">
        <v>3.581572163434116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58">+B78*B65</f>
        <v>0</v>
      </c>
      <c r="C107" s="162">
        <f t="shared" si="958"/>
        <v>0</v>
      </c>
      <c r="D107" s="162">
        <f t="shared" si="958"/>
        <v>0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1558.216020169318</v>
      </c>
      <c r="AM107" s="162">
        <f t="shared" si="960"/>
        <v>1203.8434113130802</v>
      </c>
      <c r="AN107" s="162">
        <f t="shared" si="960"/>
        <v>1480.1772868110941</v>
      </c>
      <c r="AO107" s="162">
        <f t="shared" si="960"/>
        <v>1381.6693774900393</v>
      </c>
      <c r="AP107" s="162">
        <f t="shared" si="960"/>
        <v>1018.3415041500662</v>
      </c>
      <c r="AQ107" s="162">
        <f t="shared" si="960"/>
        <v>1306.1892911271573</v>
      </c>
      <c r="AR107" s="162">
        <f t="shared" si="960"/>
        <v>765.03545161022566</v>
      </c>
      <c r="AS107" s="162">
        <f t="shared" si="960"/>
        <v>665.24821879150034</v>
      </c>
      <c r="AT107" s="162">
        <f t="shared" si="960"/>
        <v>534.75722202855241</v>
      </c>
      <c r="AU107" s="162">
        <f t="shared" si="960"/>
        <v>544.99181000996089</v>
      </c>
      <c r="AV107" s="162">
        <f t="shared" si="960"/>
        <v>504.05345808432952</v>
      </c>
      <c r="AW107" s="162">
        <f t="shared" si="960"/>
        <v>594.88542641932213</v>
      </c>
      <c r="AX107" s="162">
        <f t="shared" si="960"/>
        <v>548.82978050298857</v>
      </c>
      <c r="AY107" s="162">
        <f t="shared" si="960"/>
        <v>530.91925153552461</v>
      </c>
      <c r="AZ107" s="162">
        <f t="shared" si="960"/>
        <v>388.91434329349227</v>
      </c>
      <c r="BA107" s="162">
        <f t="shared" si="960"/>
        <v>456.71848867031872</v>
      </c>
      <c r="BB107" s="162">
        <f t="shared" si="960"/>
        <v>486.14292911686567</v>
      </c>
      <c r="BC107" s="162">
        <f t="shared" si="960"/>
        <v>408.10419575863199</v>
      </c>
      <c r="BD107" s="162">
        <f t="shared" si="960"/>
        <v>383.79704930278871</v>
      </c>
      <c r="BE107" s="162">
        <f t="shared" si="960"/>
        <v>611.51663188911004</v>
      </c>
      <c r="BF107" s="162">
        <f t="shared" si="960"/>
        <v>353.09328535856582</v>
      </c>
      <c r="BG107" s="162">
        <f t="shared" si="960"/>
        <v>294.24440446547197</v>
      </c>
      <c r="BH107" s="162">
        <f t="shared" si="960"/>
        <v>268.65793451195276</v>
      </c>
      <c r="BI107" s="162">
        <f t="shared" si="960"/>
        <v>203.41243613047806</v>
      </c>
      <c r="BJ107" s="162">
        <f t="shared" si="960"/>
        <v>492.53954660524511</v>
      </c>
      <c r="BK107" s="162">
        <f t="shared" si="960"/>
        <v>418.33878374003916</v>
      </c>
      <c r="BL107" s="162">
        <f t="shared" si="960"/>
        <v>342.85869737715871</v>
      </c>
      <c r="BM107" s="162">
        <f t="shared" si="960"/>
        <v>460.5564591633464</v>
      </c>
      <c r="BN107" s="162">
        <f t="shared" si="960"/>
        <v>217.48499460491428</v>
      </c>
      <c r="BO107" s="162">
        <f t="shared" si="960"/>
        <v>198.29514213977447</v>
      </c>
      <c r="BP107" s="162">
        <f t="shared" si="960"/>
        <v>327.50681540504661</v>
      </c>
      <c r="BQ107" s="162">
        <f t="shared" si="960"/>
        <v>275.05455200033225</v>
      </c>
      <c r="BR107" s="162">
        <f t="shared" ref="BR107:CJ107" si="961">+BR78*BR65</f>
        <v>402.98690176792843</v>
      </c>
      <c r="BS107" s="162">
        <f t="shared" si="961"/>
        <v>802.13583304282929</v>
      </c>
      <c r="BT107" s="162">
        <f t="shared" si="961"/>
        <v>1217.9159697875166</v>
      </c>
      <c r="BU107" s="162">
        <f t="shared" si="961"/>
        <v>1066.9557970617529</v>
      </c>
      <c r="BV107" s="162">
        <f t="shared" si="961"/>
        <v>1249.8990572294153</v>
      </c>
      <c r="BW107" s="162">
        <f t="shared" si="961"/>
        <v>1336.8930550713817</v>
      </c>
      <c r="BX107" s="162">
        <f t="shared" si="961"/>
        <v>1109.1734724850601</v>
      </c>
      <c r="BY107" s="162">
        <f t="shared" si="961"/>
        <v>983.79976971281576</v>
      </c>
      <c r="BZ107" s="162">
        <f t="shared" si="961"/>
        <v>1266.5302626992034</v>
      </c>
      <c r="CA107" s="162">
        <f t="shared" si="961"/>
        <v>2286.1510903469484</v>
      </c>
      <c r="CB107" s="162">
        <f t="shared" si="961"/>
        <v>5052.0484923223839</v>
      </c>
      <c r="CC107" s="162">
        <f t="shared" si="961"/>
        <v>6108.7697014027208</v>
      </c>
      <c r="CD107" s="162">
        <f t="shared" si="961"/>
        <v>5309.1925153552465</v>
      </c>
      <c r="CE107" s="162">
        <f t="shared" si="961"/>
        <v>5110.8973732154691</v>
      </c>
      <c r="CF107" s="162">
        <f t="shared" si="961"/>
        <v>6518.1532206590355</v>
      </c>
      <c r="CG107" s="162">
        <f t="shared" si="961"/>
        <v>6985.1062973107637</v>
      </c>
      <c r="CH107" s="162">
        <f t="shared" si="961"/>
        <v>8081.4865348190615</v>
      </c>
      <c r="CI107" s="162">
        <f t="shared" si="961"/>
        <v>11843.976941484065</v>
      </c>
      <c r="CJ107" s="162">
        <f t="shared" si="961"/>
        <v>12331.399194098602</v>
      </c>
      <c r="CK107" s="162">
        <f t="shared" ref="CK107:CL107" si="962">+CK78*CK65</f>
        <v>10550.722000000002</v>
      </c>
      <c r="CL107" s="162">
        <f t="shared" si="962"/>
        <v>10382.489599999999</v>
      </c>
      <c r="CM107" s="21">
        <f t="shared" ref="CM107:DB107" si="963">+CM78*CM65</f>
        <v>2720.9634322740135</v>
      </c>
      <c r="CN107" s="21">
        <f t="shared" si="963"/>
        <v>6114.8841683202063</v>
      </c>
      <c r="CO107" s="21">
        <f t="shared" si="963"/>
        <v>9835.2831675964881</v>
      </c>
      <c r="CP107" s="21">
        <f t="shared" si="963"/>
        <v>14352.661107260479</v>
      </c>
      <c r="CQ107" s="21">
        <f t="shared" si="963"/>
        <v>14696.559608783515</v>
      </c>
      <c r="CR107" s="21">
        <f t="shared" si="963"/>
        <v>15985.388097071116</v>
      </c>
      <c r="CS107" s="21">
        <f t="shared" si="963"/>
        <v>17346.65498743681</v>
      </c>
      <c r="CT107" s="21">
        <f t="shared" si="963"/>
        <v>19287.887328214747</v>
      </c>
      <c r="CU107" s="21">
        <f t="shared" si="963"/>
        <v>20116.341361677591</v>
      </c>
      <c r="CV107" s="21">
        <f t="shared" si="963"/>
        <v>21995.381730958903</v>
      </c>
      <c r="CW107" s="21">
        <f t="shared" si="963"/>
        <v>23826.872146434205</v>
      </c>
      <c r="CX107" s="21">
        <f t="shared" si="963"/>
        <v>26367.000263164973</v>
      </c>
      <c r="CY107" s="21">
        <f t="shared" si="963"/>
        <v>27722.979515571391</v>
      </c>
      <c r="CZ107" s="21">
        <f t="shared" si="963"/>
        <v>30357.846925392179</v>
      </c>
      <c r="DA107" s="21">
        <f t="shared" si="963"/>
        <v>32949.515746285164</v>
      </c>
      <c r="DB107" s="21">
        <f t="shared" si="963"/>
        <v>36457.388982222677</v>
      </c>
      <c r="DE107" s="22"/>
      <c r="DF107" s="162">
        <v>9618.7881999999991</v>
      </c>
    </row>
    <row r="108" spans="1:110" s="162" customFormat="1" x14ac:dyDescent="0.2">
      <c r="A108" s="49" t="s">
        <v>341</v>
      </c>
      <c r="B108" s="162">
        <f t="shared" ref="B108:AE108" si="964">+B79*B65</f>
        <v>0</v>
      </c>
      <c r="C108" s="162">
        <f t="shared" si="964"/>
        <v>0</v>
      </c>
      <c r="D108" s="162">
        <f t="shared" si="964"/>
        <v>0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683.1587477589643</v>
      </c>
      <c r="AM108" s="162">
        <f t="shared" si="966"/>
        <v>620.47189637284282</v>
      </c>
      <c r="AN108" s="162">
        <f t="shared" si="966"/>
        <v>963.33059375000005</v>
      </c>
      <c r="AO108" s="162">
        <f t="shared" si="966"/>
        <v>743.28695214973402</v>
      </c>
      <c r="AP108" s="162">
        <f t="shared" si="966"/>
        <v>675.48280677290882</v>
      </c>
      <c r="AQ108" s="162">
        <f t="shared" si="966"/>
        <v>550.1091040006645</v>
      </c>
      <c r="AR108" s="162">
        <f t="shared" si="966"/>
        <v>527.08128104249704</v>
      </c>
      <c r="AS108" s="162">
        <f t="shared" si="966"/>
        <v>433.69066571215126</v>
      </c>
      <c r="AT108" s="162">
        <f t="shared" si="966"/>
        <v>373.56246132138153</v>
      </c>
      <c r="AU108" s="162">
        <f t="shared" si="966"/>
        <v>257.14402303286835</v>
      </c>
      <c r="AV108" s="162">
        <f t="shared" si="966"/>
        <v>238.46589996679947</v>
      </c>
      <c r="AW108" s="162">
        <f t="shared" si="966"/>
        <v>383.79704930278871</v>
      </c>
      <c r="AX108" s="162">
        <f t="shared" si="966"/>
        <v>457.99781216799465</v>
      </c>
      <c r="AY108" s="162">
        <f t="shared" si="966"/>
        <v>397.86960777722493</v>
      </c>
      <c r="AZ108" s="162">
        <f t="shared" si="966"/>
        <v>296.80305146082384</v>
      </c>
      <c r="BA108" s="162">
        <f t="shared" si="966"/>
        <v>351.81396186088995</v>
      </c>
      <c r="BB108" s="162">
        <f t="shared" si="966"/>
        <v>290.40643397244293</v>
      </c>
      <c r="BC108" s="162">
        <f t="shared" si="966"/>
        <v>266.09928751660095</v>
      </c>
      <c r="BD108" s="162">
        <f t="shared" si="966"/>
        <v>340.30005038180553</v>
      </c>
      <c r="BE108" s="162">
        <f t="shared" si="966"/>
        <v>281.45116948871174</v>
      </c>
      <c r="BF108" s="162">
        <f t="shared" si="966"/>
        <v>175.26731918160704</v>
      </c>
      <c r="BG108" s="162">
        <f t="shared" si="966"/>
        <v>139.44626124667994</v>
      </c>
      <c r="BH108" s="162">
        <f t="shared" si="966"/>
        <v>161.19476070717081</v>
      </c>
      <c r="BI108" s="162">
        <f t="shared" si="966"/>
        <v>162.47408420484669</v>
      </c>
      <c r="BJ108" s="162">
        <f t="shared" si="966"/>
        <v>189.33987765604184</v>
      </c>
      <c r="BK108" s="162">
        <f t="shared" si="966"/>
        <v>207.25040662350574</v>
      </c>
      <c r="BL108" s="162">
        <f t="shared" si="966"/>
        <v>225.16093559096961</v>
      </c>
      <c r="BM108" s="162">
        <f t="shared" si="966"/>
        <v>220.04364160026608</v>
      </c>
      <c r="BN108" s="162">
        <f t="shared" si="966"/>
        <v>145.84287873506011</v>
      </c>
      <c r="BO108" s="162">
        <f t="shared" si="966"/>
        <v>145.84287873506011</v>
      </c>
      <c r="BP108" s="162">
        <f t="shared" si="966"/>
        <v>172.70867218625526</v>
      </c>
      <c r="BQ108" s="162">
        <f t="shared" si="966"/>
        <v>145.84287873506011</v>
      </c>
      <c r="BR108" s="162">
        <f t="shared" ref="BR108:CJ108" si="967">+BR79*BR65</f>
        <v>214.92634760956111</v>
      </c>
      <c r="BS108" s="162">
        <f t="shared" si="967"/>
        <v>280.17184599103575</v>
      </c>
      <c r="BT108" s="162">
        <f t="shared" si="967"/>
        <v>431.13201871679951</v>
      </c>
      <c r="BU108" s="162">
        <f t="shared" si="967"/>
        <v>289.12711047476705</v>
      </c>
      <c r="BV108" s="162">
        <f t="shared" si="967"/>
        <v>647.33768982403785</v>
      </c>
      <c r="BW108" s="162">
        <f t="shared" si="967"/>
        <v>767.59409860557741</v>
      </c>
      <c r="BX108" s="162">
        <f t="shared" si="967"/>
        <v>506.61210507968133</v>
      </c>
      <c r="BY108" s="162">
        <f t="shared" si="967"/>
        <v>550.1091040006645</v>
      </c>
      <c r="BZ108" s="162">
        <f t="shared" si="967"/>
        <v>782.9459805776894</v>
      </c>
      <c r="CA108" s="162">
        <f t="shared" si="967"/>
        <v>908.31968334993383</v>
      </c>
      <c r="CB108" s="162">
        <f t="shared" si="967"/>
        <v>1899.7953940488119</v>
      </c>
      <c r="CC108" s="162">
        <f t="shared" si="967"/>
        <v>4157.8013674468739</v>
      </c>
      <c r="CD108" s="162">
        <f t="shared" si="967"/>
        <v>3492.5531486553818</v>
      </c>
      <c r="CE108" s="162">
        <f t="shared" si="967"/>
        <v>3569.3125585159355</v>
      </c>
      <c r="CF108" s="162">
        <f t="shared" si="967"/>
        <v>3965.9028427954895</v>
      </c>
      <c r="CG108" s="162">
        <f t="shared" si="967"/>
        <v>5296.3992803784877</v>
      </c>
      <c r="CH108" s="162">
        <f t="shared" si="967"/>
        <v>4765.4800288429642</v>
      </c>
      <c r="CI108" s="162">
        <f t="shared" si="967"/>
        <v>5259.2988989458818</v>
      </c>
      <c r="CJ108" s="162">
        <f t="shared" si="967"/>
        <v>8423.7860000000001</v>
      </c>
      <c r="CK108" s="162">
        <f t="shared" ref="CK108:CL108" si="968">+CK79*CK65</f>
        <v>7088.8537999999999</v>
      </c>
      <c r="CL108" s="162">
        <f t="shared" si="968"/>
        <v>6171.4943999999996</v>
      </c>
      <c r="CM108" s="21">
        <f t="shared" ref="CM108:DB108" si="969">+CM79*CM65</f>
        <v>1617.3780308803634</v>
      </c>
      <c r="CN108" s="21">
        <f t="shared" si="969"/>
        <v>3634.7711247827119</v>
      </c>
      <c r="CO108" s="21">
        <f t="shared" si="969"/>
        <v>5846.227381844521</v>
      </c>
      <c r="CP108" s="21">
        <f t="shared" si="969"/>
        <v>8531.4188659101419</v>
      </c>
      <c r="CQ108" s="21">
        <f t="shared" si="969"/>
        <v>8735.8368579414364</v>
      </c>
      <c r="CR108" s="21">
        <f t="shared" si="969"/>
        <v>9501.9342107408465</v>
      </c>
      <c r="CS108" s="21">
        <f t="shared" si="969"/>
        <v>10311.089944525283</v>
      </c>
      <c r="CT108" s="21">
        <f t="shared" si="969"/>
        <v>11464.985106646123</v>
      </c>
      <c r="CU108" s="21">
        <f t="shared" si="969"/>
        <v>11957.429561218305</v>
      </c>
      <c r="CV108" s="21">
        <f t="shared" si="969"/>
        <v>13074.356961405014</v>
      </c>
      <c r="CW108" s="21">
        <f t="shared" si="969"/>
        <v>14163.020016050357</v>
      </c>
      <c r="CX108" s="21">
        <f t="shared" si="969"/>
        <v>15672.907051977316</v>
      </c>
      <c r="CY108" s="21">
        <f t="shared" si="969"/>
        <v>16478.919741144124</v>
      </c>
      <c r="CZ108" s="21">
        <f t="shared" si="969"/>
        <v>18045.121113929654</v>
      </c>
      <c r="DA108" s="21">
        <f t="shared" si="969"/>
        <v>19585.644652214309</v>
      </c>
      <c r="DB108" s="21">
        <f t="shared" si="969"/>
        <v>21670.772676951095</v>
      </c>
      <c r="DE108" s="22"/>
      <c r="DF108" s="162">
        <v>5717.5398000000005</v>
      </c>
    </row>
    <row r="109" spans="1:110" s="162" customFormat="1" x14ac:dyDescent="0.2">
      <c r="A109" s="49" t="s">
        <v>80</v>
      </c>
      <c r="B109" s="162">
        <f>+B168</f>
        <v>44.177075424000002</v>
      </c>
      <c r="C109" s="162">
        <f t="shared" ref="C109:W109" si="970">+C168</f>
        <v>48.351250501999999</v>
      </c>
      <c r="D109" s="162">
        <f t="shared" si="970"/>
        <v>47.097471476999999</v>
      </c>
      <c r="E109" s="162">
        <f t="shared" si="970"/>
        <v>46.734656801999996</v>
      </c>
      <c r="F109" s="162">
        <f t="shared" si="970"/>
        <v>133.34095083299999</v>
      </c>
      <c r="G109" s="162">
        <f t="shared" si="970"/>
        <v>168.39714391300001</v>
      </c>
      <c r="H109" s="162">
        <f t="shared" si="970"/>
        <v>167.41743885700004</v>
      </c>
      <c r="I109" s="162">
        <f t="shared" si="970"/>
        <v>223.69373926099999</v>
      </c>
      <c r="J109" s="162">
        <f t="shared" si="970"/>
        <v>-1.468061971</v>
      </c>
      <c r="K109" s="162">
        <f t="shared" si="970"/>
        <v>-5.7047999999999996</v>
      </c>
      <c r="L109" s="162">
        <f t="shared" si="970"/>
        <v>-496.78610000000003</v>
      </c>
      <c r="M109" s="162">
        <f t="shared" si="970"/>
        <v>-3.3681999999999999</v>
      </c>
      <c r="N109" s="162">
        <f t="shared" si="970"/>
        <v>-1.4005000000000001</v>
      </c>
      <c r="O109" s="162">
        <f t="shared" si="970"/>
        <v>-9.1094700000000001E-2</v>
      </c>
      <c r="P109" s="162">
        <f t="shared" si="970"/>
        <v>-9.2897584999999996</v>
      </c>
      <c r="Q109" s="162">
        <f t="shared" si="970"/>
        <v>-5.3891000000000001E-2</v>
      </c>
      <c r="R109" s="162">
        <f t="shared" si="970"/>
        <v>-7.56246E-2</v>
      </c>
      <c r="S109" s="162">
        <f t="shared" si="970"/>
        <v>-1.32E-2</v>
      </c>
      <c r="T109" s="162">
        <f t="shared" si="970"/>
        <v>-1.54E-2</v>
      </c>
      <c r="U109" s="162">
        <f t="shared" si="970"/>
        <v>-3.9199999999999999E-2</v>
      </c>
      <c r="V109" s="162">
        <f t="shared" si="970"/>
        <v>-4.9511000000000003</v>
      </c>
      <c r="W109" s="162">
        <f t="shared" si="970"/>
        <v>-3.7460000000000022</v>
      </c>
      <c r="X109" s="162">
        <f t="shared" ref="X109:Y109" si="971">+X168</f>
        <v>21.451099999999997</v>
      </c>
      <c r="Y109" s="162">
        <f t="shared" si="971"/>
        <v>-86.100400000000008</v>
      </c>
      <c r="Z109" s="162">
        <f t="shared" ref="Z109:AA109" si="972">+Z168</f>
        <v>379.62</v>
      </c>
      <c r="AA109" s="162">
        <f t="shared" si="972"/>
        <v>-243.62</v>
      </c>
      <c r="AB109" s="21">
        <f t="shared" ref="AA109:AD109" si="973">+AB168</f>
        <v>-295.44025779279343</v>
      </c>
      <c r="AC109" s="21">
        <f t="shared" si="973"/>
        <v>-454.60636806168679</v>
      </c>
      <c r="AD109" s="21">
        <f t="shared" si="973"/>
        <v>-734.45477420820396</v>
      </c>
      <c r="AE109" s="21">
        <f t="shared" ref="AE109" si="974">+AE168</f>
        <v>-1199.606935509149</v>
      </c>
      <c r="AL109" s="162">
        <f t="shared" ref="AL109:AM109" si="975">+AL168</f>
        <v>-1.401</v>
      </c>
      <c r="AM109" s="162" t="e">
        <f t="shared" si="975"/>
        <v>#DIV/0!</v>
      </c>
      <c r="AN109" s="162">
        <f t="shared" ref="AN109:AO109" si="976">+AN168</f>
        <v>-7.0000000000000007E-2</v>
      </c>
      <c r="AO109" s="162" t="e">
        <f t="shared" si="976"/>
        <v>#DIV/0!</v>
      </c>
      <c r="AP109" s="162">
        <f t="shared" ref="AP109:CD109" si="977">+AP168</f>
        <v>-9.0999999999999998E-2</v>
      </c>
      <c r="AQ109" s="162" t="e">
        <f t="shared" si="977"/>
        <v>#DIV/0!</v>
      </c>
      <c r="AR109" s="162">
        <f t="shared" si="977"/>
        <v>3.8609999999999998</v>
      </c>
      <c r="AS109" s="162" t="e">
        <f t="shared" si="977"/>
        <v>#DIV/0!</v>
      </c>
      <c r="AT109" s="162">
        <f t="shared" si="977"/>
        <v>-9.2889999999999997</v>
      </c>
      <c r="AU109" s="162">
        <f t="shared" si="977"/>
        <v>7.8839999999999382</v>
      </c>
      <c r="AV109" s="162">
        <f t="shared" si="977"/>
        <v>0.12999999999999989</v>
      </c>
      <c r="AW109" s="162">
        <f t="shared" si="977"/>
        <v>-1.3448303762191891</v>
      </c>
      <c r="AX109" s="162">
        <f t="shared" si="977"/>
        <v>-5.3999999999999999E-2</v>
      </c>
      <c r="AY109" s="162">
        <f t="shared" si="977"/>
        <v>-6.2600000000000611</v>
      </c>
      <c r="AZ109" s="162">
        <f t="shared" si="977"/>
        <v>-6.0000000000000001E-3</v>
      </c>
      <c r="BA109" s="162">
        <f t="shared" si="977"/>
        <v>-1.3664994216309352</v>
      </c>
      <c r="BB109" s="162">
        <f t="shared" si="977"/>
        <v>-7.5999999999999998E-2</v>
      </c>
      <c r="BC109" s="162">
        <f t="shared" si="977"/>
        <v>-8.593999999999955</v>
      </c>
      <c r="BD109" s="162">
        <f t="shared" si="977"/>
        <v>-1.0999999999999999E-2</v>
      </c>
      <c r="BE109" s="162">
        <f t="shared" si="977"/>
        <v>-6.671767907934762</v>
      </c>
      <c r="BF109" s="162">
        <f t="shared" si="977"/>
        <v>-1.2999999999999999E-2</v>
      </c>
      <c r="BG109" s="162">
        <f t="shared" si="977"/>
        <v>-9.6000000000000121</v>
      </c>
      <c r="BH109" s="162">
        <f t="shared" si="977"/>
        <v>-8.0000000000000002E-3</v>
      </c>
      <c r="BI109" s="162" t="e">
        <f t="shared" si="977"/>
        <v>#DIV/0!</v>
      </c>
      <c r="BJ109" s="162">
        <f t="shared" si="977"/>
        <v>-1.4999999999999999E-2</v>
      </c>
      <c r="BK109" s="162">
        <f t="shared" si="977"/>
        <v>0.5489999999999432</v>
      </c>
      <c r="BL109" s="162">
        <f t="shared" si="977"/>
        <v>-1.9E-2</v>
      </c>
      <c r="BM109" s="162" t="e">
        <f t="shared" si="977"/>
        <v>#DIV/0!</v>
      </c>
      <c r="BN109" s="162">
        <f t="shared" si="977"/>
        <v>-3.9E-2</v>
      </c>
      <c r="BO109" s="162">
        <f t="shared" si="977"/>
        <v>-0.33400000000000829</v>
      </c>
      <c r="BP109" s="162">
        <f t="shared" si="977"/>
        <v>-0.02</v>
      </c>
      <c r="BQ109" s="162" t="e">
        <f t="shared" si="977"/>
        <v>#DIV/0!</v>
      </c>
      <c r="BR109" s="162">
        <f t="shared" si="977"/>
        <v>-4.9510000000000005</v>
      </c>
      <c r="BS109" s="162">
        <f t="shared" si="977"/>
        <v>-4.1069999999999993</v>
      </c>
      <c r="BT109" s="162">
        <f t="shared" si="977"/>
        <v>-14.24</v>
      </c>
      <c r="BU109" s="162">
        <f t="shared" si="977"/>
        <v>16.247272912423657</v>
      </c>
      <c r="BV109" s="162">
        <f t="shared" si="977"/>
        <v>-6.1230000000000011</v>
      </c>
      <c r="BW109" s="162">
        <f t="shared" si="977"/>
        <v>76.630125912881383</v>
      </c>
      <c r="BX109" s="162">
        <f t="shared" si="977"/>
        <v>-230.77</v>
      </c>
      <c r="BY109" s="162">
        <f t="shared" si="977"/>
        <v>-153.40301521298167</v>
      </c>
      <c r="BZ109" s="162">
        <f t="shared" si="977"/>
        <v>21.450999999999993</v>
      </c>
      <c r="CA109" s="162">
        <f t="shared" si="977"/>
        <v>-37.591235850111147</v>
      </c>
      <c r="CB109" s="162">
        <f t="shared" si="977"/>
        <v>-46.429000000000002</v>
      </c>
      <c r="CC109" s="162">
        <f t="shared" si="977"/>
        <v>130.05152968122138</v>
      </c>
      <c r="CD109" s="162">
        <f t="shared" si="977"/>
        <v>-86.09899999999999</v>
      </c>
      <c r="CE109" s="162">
        <f t="shared" ref="CE109:CF109" si="978">+CE168</f>
        <v>-103.05859540548155</v>
      </c>
      <c r="CF109" s="162">
        <f t="shared" si="978"/>
        <v>228.78699999999998</v>
      </c>
      <c r="CG109" s="162">
        <f t="shared" ref="CG109:CH109" si="979">+CG168</f>
        <v>162.57971391511887</v>
      </c>
      <c r="CH109" s="162">
        <f t="shared" si="979"/>
        <v>379.62</v>
      </c>
      <c r="CI109" s="162">
        <f t="shared" ref="CI109:CJ109" si="980">+CI168</f>
        <v>-178.50367489577377</v>
      </c>
      <c r="CJ109" s="162">
        <f t="shared" si="980"/>
        <v>68.909999999999968</v>
      </c>
      <c r="CK109" s="162">
        <f t="shared" ref="CK109:CL109" si="981">+CK168</f>
        <v>-341.45172737781922</v>
      </c>
      <c r="CL109" s="162">
        <f t="shared" si="981"/>
        <v>-243.62</v>
      </c>
      <c r="CM109" s="21">
        <f t="shared" ref="CM109:DB109" si="982">+CM168</f>
        <v>-1045.8273249342478</v>
      </c>
      <c r="CN109" s="21">
        <f t="shared" si="982"/>
        <v>-955.92425264971928</v>
      </c>
      <c r="CO109" s="21">
        <f t="shared" si="982"/>
        <v>-1331.7014581164208</v>
      </c>
      <c r="CP109" s="21">
        <f t="shared" si="982"/>
        <v>-295.44025779279343</v>
      </c>
      <c r="CQ109" s="21">
        <f t="shared" si="982"/>
        <v>-1346.0598786778201</v>
      </c>
      <c r="CR109" s="21">
        <f t="shared" si="982"/>
        <v>-1236.2073947651679</v>
      </c>
      <c r="CS109" s="21">
        <f t="shared" si="982"/>
        <v>-1699.2199921550682</v>
      </c>
      <c r="CT109" s="21">
        <f t="shared" si="982"/>
        <v>-454.60636806168679</v>
      </c>
      <c r="CU109" s="21">
        <f t="shared" si="982"/>
        <v>-1755.0646305137561</v>
      </c>
      <c r="CV109" s="21">
        <f t="shared" si="982"/>
        <v>-1637.0236106243547</v>
      </c>
      <c r="CW109" s="21">
        <f t="shared" si="982"/>
        <v>-2217.9413311549251</v>
      </c>
      <c r="CX109" s="21">
        <f t="shared" si="982"/>
        <v>-734.45477420820396</v>
      </c>
      <c r="CY109" s="21">
        <f t="shared" si="982"/>
        <v>-2336.8122008024466</v>
      </c>
      <c r="CZ109" s="21">
        <f t="shared" si="982"/>
        <v>-2222.3812836161469</v>
      </c>
      <c r="DA109" s="21">
        <f t="shared" si="982"/>
        <v>-2958.7350018765774</v>
      </c>
      <c r="DB109" s="21">
        <f t="shared" si="982"/>
        <v>-1199.606935509149</v>
      </c>
      <c r="DE109" s="22"/>
      <c r="DF109" s="162">
        <v>747.90642380858117</v>
      </c>
    </row>
    <row r="110" spans="1:110" s="162" customFormat="1" x14ac:dyDescent="0.2">
      <c r="A110" s="49" t="s">
        <v>342</v>
      </c>
      <c r="B110" s="162">
        <f>+B107+B109</f>
        <v>44.177075424000002</v>
      </c>
      <c r="C110" s="162">
        <f t="shared" ref="C110:W110" si="983">+C107+C109</f>
        <v>48.351250501999999</v>
      </c>
      <c r="D110" s="162">
        <f t="shared" si="983"/>
        <v>47.097471476999999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1556.8150201693179</v>
      </c>
      <c r="AM110" s="162" t="e">
        <f t="shared" ref="AM110:AO110" si="989">+AM107+AM109</f>
        <v>#DIV/0!</v>
      </c>
      <c r="AN110" s="162">
        <f t="shared" si="989"/>
        <v>1480.1072868110941</v>
      </c>
      <c r="AO110" s="162" t="e">
        <f t="shared" si="989"/>
        <v>#DIV/0!</v>
      </c>
      <c r="AP110" s="162">
        <f t="shared" ref="AP110:CD110" si="990">+AP107+AP109</f>
        <v>1018.2505041500661</v>
      </c>
      <c r="AQ110" s="162" t="e">
        <f t="shared" si="990"/>
        <v>#DIV/0!</v>
      </c>
      <c r="AR110" s="162">
        <f t="shared" si="990"/>
        <v>768.89645161022565</v>
      </c>
      <c r="AS110" s="162" t="e">
        <f t="shared" si="990"/>
        <v>#DIV/0!</v>
      </c>
      <c r="AT110" s="162">
        <f t="shared" si="990"/>
        <v>525.46822202855242</v>
      </c>
      <c r="AU110" s="162">
        <f t="shared" si="990"/>
        <v>552.87581000996079</v>
      </c>
      <c r="AV110" s="162">
        <f t="shared" si="990"/>
        <v>504.18345808432952</v>
      </c>
      <c r="AW110" s="162">
        <f t="shared" si="990"/>
        <v>593.54059604310294</v>
      </c>
      <c r="AX110" s="162">
        <f t="shared" si="990"/>
        <v>548.7757805029886</v>
      </c>
      <c r="AY110" s="162">
        <f t="shared" si="990"/>
        <v>524.6592515355245</v>
      </c>
      <c r="AZ110" s="162">
        <f t="shared" si="990"/>
        <v>388.90834329349229</v>
      </c>
      <c r="BA110" s="162">
        <f t="shared" si="990"/>
        <v>455.3519892486878</v>
      </c>
      <c r="BB110" s="162">
        <f t="shared" si="990"/>
        <v>486.06692911686565</v>
      </c>
      <c r="BC110" s="162">
        <f t="shared" si="990"/>
        <v>399.51019575863205</v>
      </c>
      <c r="BD110" s="162">
        <f t="shared" si="990"/>
        <v>383.78604930278868</v>
      </c>
      <c r="BE110" s="162">
        <f t="shared" si="990"/>
        <v>604.84486398117531</v>
      </c>
      <c r="BF110" s="162">
        <f t="shared" si="990"/>
        <v>353.08028535856585</v>
      </c>
      <c r="BG110" s="162">
        <f t="shared" si="990"/>
        <v>284.64440446547195</v>
      </c>
      <c r="BH110" s="162">
        <f t="shared" si="990"/>
        <v>268.64993451195278</v>
      </c>
      <c r="BI110" s="162" t="e">
        <f t="shared" si="990"/>
        <v>#DIV/0!</v>
      </c>
      <c r="BJ110" s="162">
        <f t="shared" si="990"/>
        <v>492.52454660524512</v>
      </c>
      <c r="BK110" s="162">
        <f t="shared" si="990"/>
        <v>418.88778374003908</v>
      </c>
      <c r="BL110" s="162">
        <f t="shared" si="990"/>
        <v>342.8396973771587</v>
      </c>
      <c r="BM110" s="162" t="e">
        <f t="shared" si="990"/>
        <v>#DIV/0!</v>
      </c>
      <c r="BN110" s="162">
        <f t="shared" si="990"/>
        <v>217.44599460491429</v>
      </c>
      <c r="BO110" s="162">
        <f t="shared" si="990"/>
        <v>197.96114213977447</v>
      </c>
      <c r="BP110" s="162">
        <f t="shared" si="990"/>
        <v>327.48681540504663</v>
      </c>
      <c r="BQ110" s="162" t="e">
        <f t="shared" si="990"/>
        <v>#DIV/0!</v>
      </c>
      <c r="BR110" s="162">
        <f t="shared" si="990"/>
        <v>398.03590176792841</v>
      </c>
      <c r="BS110" s="162">
        <f t="shared" si="990"/>
        <v>798.02883304282932</v>
      </c>
      <c r="BT110" s="162">
        <f t="shared" si="990"/>
        <v>1203.6759697875166</v>
      </c>
      <c r="BU110" s="162">
        <f t="shared" si="990"/>
        <v>1083.2030699741765</v>
      </c>
      <c r="BV110" s="162">
        <f t="shared" si="990"/>
        <v>1243.7760572294153</v>
      </c>
      <c r="BW110" s="162">
        <f t="shared" si="990"/>
        <v>1413.523180984263</v>
      </c>
      <c r="BX110" s="162">
        <f t="shared" si="990"/>
        <v>878.40347248506009</v>
      </c>
      <c r="BY110" s="162">
        <f t="shared" si="990"/>
        <v>830.39675449983406</v>
      </c>
      <c r="BZ110" s="162">
        <f t="shared" si="990"/>
        <v>1287.9812626992034</v>
      </c>
      <c r="CA110" s="162">
        <f t="shared" si="990"/>
        <v>2248.5598544968375</v>
      </c>
      <c r="CB110" s="162">
        <f t="shared" si="990"/>
        <v>5005.6194923223838</v>
      </c>
      <c r="CC110" s="162">
        <f t="shared" si="990"/>
        <v>6238.8212310839426</v>
      </c>
      <c r="CD110" s="162">
        <f t="shared" si="990"/>
        <v>5223.0935153552464</v>
      </c>
      <c r="CE110" s="162">
        <f t="shared" ref="CE110:CF110" si="991">+CE107+CE109</f>
        <v>5007.8387778099877</v>
      </c>
      <c r="CF110" s="162">
        <f t="shared" si="991"/>
        <v>6746.9402206590357</v>
      </c>
      <c r="CG110" s="162">
        <f t="shared" ref="CG110:CH110" si="992">+CG107+CG109</f>
        <v>7147.6860112258828</v>
      </c>
      <c r="CH110" s="162">
        <f t="shared" si="992"/>
        <v>8461.1065348190623</v>
      </c>
      <c r="CI110" s="162">
        <f t="shared" ref="CI110:CJ110" si="993">+CI107+CI109</f>
        <v>11665.473266588291</v>
      </c>
      <c r="CJ110" s="162">
        <f t="shared" si="993"/>
        <v>12400.309194098601</v>
      </c>
      <c r="CK110" s="162">
        <f t="shared" ref="CK110:CL110" si="994">+CK107+CK109</f>
        <v>10209.270272622183</v>
      </c>
      <c r="CL110" s="162">
        <f t="shared" si="994"/>
        <v>10138.869599999998</v>
      </c>
      <c r="CM110" s="21">
        <f t="shared" ref="CM110:DB110" si="995">+CM107+CM109</f>
        <v>1675.1361073397657</v>
      </c>
      <c r="CN110" s="21">
        <f t="shared" si="995"/>
        <v>5158.9599156704871</v>
      </c>
      <c r="CO110" s="21">
        <f t="shared" si="995"/>
        <v>8503.5817094800677</v>
      </c>
      <c r="CP110" s="21">
        <f t="shared" si="995"/>
        <v>14057.220849467685</v>
      </c>
      <c r="CQ110" s="21">
        <f t="shared" si="995"/>
        <v>13350.499730105694</v>
      </c>
      <c r="CR110" s="21">
        <f t="shared" si="995"/>
        <v>14749.180702305948</v>
      </c>
      <c r="CS110" s="21">
        <f t="shared" si="995"/>
        <v>15647.434995281743</v>
      </c>
      <c r="CT110" s="21">
        <f t="shared" si="995"/>
        <v>18833.280960153061</v>
      </c>
      <c r="CU110" s="21">
        <f t="shared" si="995"/>
        <v>18361.276731163834</v>
      </c>
      <c r="CV110" s="21">
        <f t="shared" si="995"/>
        <v>20358.358120334549</v>
      </c>
      <c r="CW110" s="21">
        <f t="shared" si="995"/>
        <v>21608.93081527928</v>
      </c>
      <c r="CX110" s="21">
        <f t="shared" si="995"/>
        <v>25632.54548895677</v>
      </c>
      <c r="CY110" s="21">
        <f t="shared" si="995"/>
        <v>25386.167314768943</v>
      </c>
      <c r="CZ110" s="21">
        <f t="shared" si="995"/>
        <v>28135.465641776034</v>
      </c>
      <c r="DA110" s="21">
        <f t="shared" si="995"/>
        <v>29990.780744408585</v>
      </c>
      <c r="DB110" s="21">
        <f t="shared" si="995"/>
        <v>35257.782046713532</v>
      </c>
      <c r="DE110" s="22"/>
      <c r="DF110" s="162">
        <v>10366.69462380858</v>
      </c>
    </row>
    <row r="111" spans="1:110" s="162" customFormat="1" x14ac:dyDescent="0.2">
      <c r="A111" s="49" t="s">
        <v>345</v>
      </c>
      <c r="B111" s="162">
        <f>+B108+B109</f>
        <v>44.177075424000002</v>
      </c>
      <c r="C111" s="162">
        <f t="shared" ref="C111:W111" si="996">+C108+C109</f>
        <v>48.351250501999999</v>
      </c>
      <c r="D111" s="162">
        <f t="shared" si="996"/>
        <v>47.097471476999999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681.75774775896434</v>
      </c>
      <c r="AM111" s="162" t="e">
        <f t="shared" si="1001"/>
        <v>#DIV/0!</v>
      </c>
      <c r="AN111" s="162">
        <f t="shared" ref="AN111:AO111" si="1002">+AN108+AN109</f>
        <v>963.26059375</v>
      </c>
      <c r="AO111" s="162" t="e">
        <f t="shared" si="1002"/>
        <v>#DIV/0!</v>
      </c>
      <c r="AP111" s="162">
        <f t="shared" ref="AP111:CD111" si="1003">+AP108+AP109</f>
        <v>675.39180677290881</v>
      </c>
      <c r="AQ111" s="162" t="e">
        <f t="shared" si="1003"/>
        <v>#DIV/0!</v>
      </c>
      <c r="AR111" s="162">
        <f t="shared" si="1003"/>
        <v>530.94228104249703</v>
      </c>
      <c r="AS111" s="162" t="e">
        <f t="shared" si="1003"/>
        <v>#DIV/0!</v>
      </c>
      <c r="AT111" s="162">
        <f t="shared" si="1003"/>
        <v>364.27346132138155</v>
      </c>
      <c r="AU111" s="162">
        <f t="shared" si="1003"/>
        <v>265.0280230328683</v>
      </c>
      <c r="AV111" s="162">
        <f t="shared" si="1003"/>
        <v>238.59589996679946</v>
      </c>
      <c r="AW111" s="162">
        <f t="shared" si="1003"/>
        <v>382.45221892656951</v>
      </c>
      <c r="AX111" s="162">
        <f t="shared" si="1003"/>
        <v>457.94381216799468</v>
      </c>
      <c r="AY111" s="162">
        <f t="shared" si="1003"/>
        <v>391.60960777722488</v>
      </c>
      <c r="AZ111" s="162">
        <f t="shared" si="1003"/>
        <v>296.79705146082387</v>
      </c>
      <c r="BA111" s="162">
        <f t="shared" si="1003"/>
        <v>350.44746243925903</v>
      </c>
      <c r="BB111" s="162">
        <f t="shared" si="1003"/>
        <v>290.3304339724429</v>
      </c>
      <c r="BC111" s="162">
        <f t="shared" si="1003"/>
        <v>257.50528751660102</v>
      </c>
      <c r="BD111" s="162">
        <f t="shared" si="1003"/>
        <v>340.28905038180551</v>
      </c>
      <c r="BE111" s="162">
        <f t="shared" si="1003"/>
        <v>274.77940158077701</v>
      </c>
      <c r="BF111" s="162">
        <f t="shared" si="1003"/>
        <v>175.25431918160703</v>
      </c>
      <c r="BG111" s="162">
        <f t="shared" si="1003"/>
        <v>129.84626124667992</v>
      </c>
      <c r="BH111" s="162">
        <f t="shared" si="1003"/>
        <v>161.18676070717081</v>
      </c>
      <c r="BI111" s="162" t="e">
        <f t="shared" si="1003"/>
        <v>#DIV/0!</v>
      </c>
      <c r="BJ111" s="162">
        <f t="shared" si="1003"/>
        <v>189.32487765604185</v>
      </c>
      <c r="BK111" s="162">
        <f t="shared" si="1003"/>
        <v>207.79940662350569</v>
      </c>
      <c r="BL111" s="162">
        <f t="shared" si="1003"/>
        <v>225.14193559096961</v>
      </c>
      <c r="BM111" s="162" t="e">
        <f t="shared" si="1003"/>
        <v>#DIV/0!</v>
      </c>
      <c r="BN111" s="162">
        <f t="shared" si="1003"/>
        <v>145.80387873506012</v>
      </c>
      <c r="BO111" s="162">
        <f t="shared" si="1003"/>
        <v>145.50887873506011</v>
      </c>
      <c r="BP111" s="162">
        <f t="shared" si="1003"/>
        <v>172.68867218625525</v>
      </c>
      <c r="BQ111" s="162" t="e">
        <f t="shared" si="1003"/>
        <v>#DIV/0!</v>
      </c>
      <c r="BR111" s="162">
        <f t="shared" si="1003"/>
        <v>209.97534760956111</v>
      </c>
      <c r="BS111" s="162">
        <f t="shared" si="1003"/>
        <v>276.06484599103578</v>
      </c>
      <c r="BT111" s="162">
        <f t="shared" si="1003"/>
        <v>416.8920187167995</v>
      </c>
      <c r="BU111" s="162">
        <f t="shared" si="1003"/>
        <v>305.37438338719073</v>
      </c>
      <c r="BV111" s="162">
        <f t="shared" si="1003"/>
        <v>641.21468982403781</v>
      </c>
      <c r="BW111" s="162">
        <f t="shared" si="1003"/>
        <v>844.22422451845875</v>
      </c>
      <c r="BX111" s="162">
        <f t="shared" si="1003"/>
        <v>275.84210507968135</v>
      </c>
      <c r="BY111" s="162">
        <f t="shared" si="1003"/>
        <v>396.7060887876828</v>
      </c>
      <c r="BZ111" s="162">
        <f t="shared" si="1003"/>
        <v>804.39698057768942</v>
      </c>
      <c r="CA111" s="162">
        <f t="shared" si="1003"/>
        <v>870.72844749982266</v>
      </c>
      <c r="CB111" s="162">
        <f t="shared" si="1003"/>
        <v>1853.3663940488118</v>
      </c>
      <c r="CC111" s="162">
        <f t="shared" si="1003"/>
        <v>4287.8528971280957</v>
      </c>
      <c r="CD111" s="162">
        <f t="shared" si="1003"/>
        <v>3406.4541486553817</v>
      </c>
      <c r="CE111" s="162">
        <f t="shared" ref="CE111:CF111" si="1004">+CE108+CE109</f>
        <v>3466.2539631104542</v>
      </c>
      <c r="CF111" s="162">
        <f t="shared" si="1004"/>
        <v>4194.6898427954893</v>
      </c>
      <c r="CG111" s="162">
        <f t="shared" ref="CG111:CH111" si="1005">+CG108+CG109</f>
        <v>5458.9789942936068</v>
      </c>
      <c r="CH111" s="162">
        <f t="shared" si="1005"/>
        <v>5145.1000288429641</v>
      </c>
      <c r="CI111" s="162">
        <f t="shared" ref="CI111:CJ111" si="1006">+CI108+CI109</f>
        <v>5080.7952240501081</v>
      </c>
      <c r="CJ111" s="162">
        <f t="shared" si="1006"/>
        <v>8492.6959999999999</v>
      </c>
      <c r="CK111" s="162">
        <f t="shared" ref="CK111:CL111" si="1007">+CK108+CK109</f>
        <v>6747.4020726221806</v>
      </c>
      <c r="CL111" s="162">
        <f t="shared" si="1007"/>
        <v>5927.8743999999997</v>
      </c>
      <c r="CM111" s="21">
        <f t="shared" ref="CM111:DB111" si="1008">+CM108+CM109</f>
        <v>571.55070594611561</v>
      </c>
      <c r="CN111" s="21">
        <f t="shared" si="1008"/>
        <v>2678.8468721329928</v>
      </c>
      <c r="CO111" s="21">
        <f t="shared" si="1008"/>
        <v>4514.5259237281007</v>
      </c>
      <c r="CP111" s="21">
        <f t="shared" si="1008"/>
        <v>8235.9786081173479</v>
      </c>
      <c r="CQ111" s="21">
        <f t="shared" si="1008"/>
        <v>7389.7769792636163</v>
      </c>
      <c r="CR111" s="21">
        <f t="shared" si="1008"/>
        <v>8265.7268159756786</v>
      </c>
      <c r="CS111" s="21">
        <f t="shared" si="1008"/>
        <v>8611.8699523702162</v>
      </c>
      <c r="CT111" s="21">
        <f t="shared" si="1008"/>
        <v>11010.378738584437</v>
      </c>
      <c r="CU111" s="21">
        <f t="shared" si="1008"/>
        <v>10202.364930704549</v>
      </c>
      <c r="CV111" s="21">
        <f t="shared" si="1008"/>
        <v>11437.33335078066</v>
      </c>
      <c r="CW111" s="21">
        <f t="shared" si="1008"/>
        <v>11945.078684895432</v>
      </c>
      <c r="CX111" s="21">
        <f t="shared" si="1008"/>
        <v>14938.452277769113</v>
      </c>
      <c r="CY111" s="21">
        <f t="shared" si="1008"/>
        <v>14142.107540341676</v>
      </c>
      <c r="CZ111" s="21">
        <f t="shared" si="1008"/>
        <v>15822.739830313507</v>
      </c>
      <c r="DA111" s="21">
        <f t="shared" si="1008"/>
        <v>16626.90965033773</v>
      </c>
      <c r="DB111" s="21">
        <f t="shared" si="1008"/>
        <v>20471.165741441946</v>
      </c>
      <c r="DE111" s="22"/>
      <c r="DF111" s="162">
        <v>6465.4462238085816</v>
      </c>
    </row>
    <row r="112" spans="1:110" s="162" customFormat="1" x14ac:dyDescent="0.2">
      <c r="A112" s="49" t="s">
        <v>13</v>
      </c>
      <c r="B112" s="162">
        <f t="shared" ref="B112:AE112" si="1009">+B28</f>
        <v>-103.45319542099999</v>
      </c>
      <c r="C112" s="162">
        <f t="shared" si="1009"/>
        <v>-0.84010669199999999</v>
      </c>
      <c r="D112" s="162">
        <f t="shared" si="1009"/>
        <v>-0.69402949800000002</v>
      </c>
      <c r="E112" s="162">
        <f t="shared" si="1009"/>
        <v>-20.735023504000001</v>
      </c>
      <c r="F112" s="162">
        <f t="shared" si="1009"/>
        <v>-5.955187274</v>
      </c>
      <c r="G112" s="162">
        <f t="shared" si="1009"/>
        <v>-13.406136710000004</v>
      </c>
      <c r="H112" s="162">
        <f t="shared" si="1009"/>
        <v>0.10786118000000022</v>
      </c>
      <c r="I112" s="162">
        <f t="shared" si="1009"/>
        <v>-0.79652549800003003</v>
      </c>
      <c r="J112" s="162">
        <f t="shared" si="1009"/>
        <v>-3.6546035839999664</v>
      </c>
      <c r="K112" s="162">
        <f t="shared" si="1009"/>
        <v>4.1799999999946991E-2</v>
      </c>
      <c r="L112" s="162">
        <f t="shared" si="1009"/>
        <v>-3.8675999999999497</v>
      </c>
      <c r="M112" s="162">
        <f t="shared" si="1009"/>
        <v>23.424799999999959</v>
      </c>
      <c r="N112" s="162">
        <f t="shared" si="1009"/>
        <v>0.3153999999999928</v>
      </c>
      <c r="O112" s="162">
        <f t="shared" si="1009"/>
        <v>-1.6832937000000001</v>
      </c>
      <c r="P112" s="162">
        <f t="shared" si="1009"/>
        <v>0.59879539999998421</v>
      </c>
      <c r="Q112" s="162">
        <f t="shared" si="1009"/>
        <v>-5.0292054999999811</v>
      </c>
      <c r="R112" s="162">
        <f t="shared" si="1009"/>
        <v>-1.9725336999999992</v>
      </c>
      <c r="S112" s="162">
        <f t="shared" si="1009"/>
        <v>-5.9442999999999895</v>
      </c>
      <c r="T112" s="162">
        <f t="shared" si="1009"/>
        <v>-8.0380000000000003</v>
      </c>
      <c r="U112" s="162">
        <f t="shared" si="1009"/>
        <v>-1.7719999999999998</v>
      </c>
      <c r="V112" s="162">
        <f t="shared" si="1009"/>
        <v>-1.3752</v>
      </c>
      <c r="W112" s="162">
        <f t="shared" si="1009"/>
        <v>4.0277000000000029</v>
      </c>
      <c r="X112" s="162">
        <f t="shared" si="1009"/>
        <v>50.249099999999942</v>
      </c>
      <c r="Y112" s="162">
        <f t="shared" si="1009"/>
        <v>89.114000000000033</v>
      </c>
      <c r="Z112" s="162">
        <f t="shared" si="1009"/>
        <v>118.06</v>
      </c>
      <c r="AA112" s="162">
        <f t="shared" ref="AA112" si="1010">+AA28</f>
        <v>115.92999999999984</v>
      </c>
      <c r="AB112" s="21">
        <f t="shared" si="1009"/>
        <v>143.64505511767311</v>
      </c>
      <c r="AC112" s="21">
        <f t="shared" si="1009"/>
        <v>174.41312734724147</v>
      </c>
      <c r="AD112" s="21">
        <f t="shared" si="1009"/>
        <v>211.2100288583747</v>
      </c>
      <c r="AE112" s="21">
        <f t="shared" si="1009"/>
        <v>255.72089077563533</v>
      </c>
      <c r="AL112" s="162">
        <f t="shared" ref="AL112:BQ112" si="1011">+SUM(AI28:AL28)</f>
        <v>0.31500000000000705</v>
      </c>
      <c r="AM112" s="162">
        <f t="shared" si="1011"/>
        <v>-12.111000000000001</v>
      </c>
      <c r="AN112" s="162">
        <f t="shared" si="1011"/>
        <v>-12.311000000000002</v>
      </c>
      <c r="AO112" s="162">
        <f t="shared" si="1011"/>
        <v>-12.562000000000001</v>
      </c>
      <c r="AP112" s="162">
        <f t="shared" si="1011"/>
        <v>-12.198</v>
      </c>
      <c r="AQ112" s="162">
        <f t="shared" si="1011"/>
        <v>-1.609</v>
      </c>
      <c r="AR112" s="162">
        <f t="shared" si="1011"/>
        <v>-1.56</v>
      </c>
      <c r="AS112" s="162">
        <f t="shared" si="1011"/>
        <v>0.14300000000000701</v>
      </c>
      <c r="AT112" s="162">
        <f t="shared" si="1011"/>
        <v>0.59700000000002462</v>
      </c>
      <c r="AU112" s="162">
        <f t="shared" si="1011"/>
        <v>0.48000000000002452</v>
      </c>
      <c r="AV112" s="162">
        <f t="shared" si="1011"/>
        <v>0.31300000000002537</v>
      </c>
      <c r="AW112" s="162">
        <f t="shared" si="1011"/>
        <v>-1.3359999999999812</v>
      </c>
      <c r="AX112" s="162">
        <f t="shared" si="1011"/>
        <v>-5.0309999999999988</v>
      </c>
      <c r="AY112" s="162">
        <f t="shared" si="1011"/>
        <v>-4.783999999999998</v>
      </c>
      <c r="AZ112" s="162">
        <f t="shared" si="1011"/>
        <v>-4.4529999999999985</v>
      </c>
      <c r="BA112" s="162">
        <f t="shared" si="1011"/>
        <v>-5.1070000000000011</v>
      </c>
      <c r="BB112" s="162">
        <f t="shared" si="1011"/>
        <v>-1.9740000000000015</v>
      </c>
      <c r="BC112" s="162">
        <f t="shared" si="1011"/>
        <v>-2.1220000000000012</v>
      </c>
      <c r="BD112" s="162">
        <f t="shared" si="1011"/>
        <v>-1.8860000000000015</v>
      </c>
      <c r="BE112" s="162">
        <f t="shared" si="1011"/>
        <v>-0.45799999999999746</v>
      </c>
      <c r="BF112" s="162">
        <f t="shared" si="1011"/>
        <v>-5.9439999999999902</v>
      </c>
      <c r="BG112" s="162">
        <f t="shared" si="1011"/>
        <v>-5.9609999999999896</v>
      </c>
      <c r="BH112" s="162">
        <f t="shared" si="1011"/>
        <v>-9.3269999999999911</v>
      </c>
      <c r="BI112" s="162">
        <f t="shared" si="1011"/>
        <v>-10.912999999999993</v>
      </c>
      <c r="BJ112" s="162">
        <f t="shared" si="1011"/>
        <v>-8.0380000000000003</v>
      </c>
      <c r="BK112" s="162">
        <f t="shared" si="1011"/>
        <v>-8.0389999999999997</v>
      </c>
      <c r="BL112" s="162">
        <f t="shared" si="1011"/>
        <v>-5.0930000000000017</v>
      </c>
      <c r="BM112" s="162">
        <f t="shared" si="1011"/>
        <v>-4.165</v>
      </c>
      <c r="BN112" s="162">
        <f t="shared" si="1011"/>
        <v>-1.7720000000000002</v>
      </c>
      <c r="BO112" s="162">
        <f t="shared" si="1011"/>
        <v>-1.627</v>
      </c>
      <c r="BP112" s="162">
        <f t="shared" si="1011"/>
        <v>-1.5010000000000001</v>
      </c>
      <c r="BQ112" s="162">
        <f t="shared" si="1011"/>
        <v>-1.383</v>
      </c>
      <c r="BR112" s="162">
        <f t="shared" ref="BR112:CW112" si="1012">+SUM(BO28:BR28)</f>
        <v>-1.3759999999999999</v>
      </c>
      <c r="BS112" s="162">
        <f t="shared" si="1012"/>
        <v>-3.6360000000000001</v>
      </c>
      <c r="BT112" s="162">
        <f t="shared" si="1012"/>
        <v>-2.9929999999999994</v>
      </c>
      <c r="BU112" s="162">
        <f t="shared" si="1012"/>
        <v>-0.21699999999999964</v>
      </c>
      <c r="BV112" s="162">
        <f t="shared" si="1012"/>
        <v>4.0260000000000007</v>
      </c>
      <c r="BW112" s="162">
        <f t="shared" si="1012"/>
        <v>12.705000000000005</v>
      </c>
      <c r="BX112" s="162">
        <f t="shared" si="1012"/>
        <v>18.624000000000002</v>
      </c>
      <c r="BY112" s="162">
        <f t="shared" si="1012"/>
        <v>35.591999999999985</v>
      </c>
      <c r="BZ112" s="162">
        <f t="shared" si="1012"/>
        <v>50.24799999999999</v>
      </c>
      <c r="CA112" s="162">
        <f t="shared" si="1012"/>
        <v>55.555</v>
      </c>
      <c r="CB112" s="162">
        <f t="shared" si="1012"/>
        <v>74.112000000000009</v>
      </c>
      <c r="CC112" s="162">
        <f t="shared" si="1012"/>
        <v>92.268000000000058</v>
      </c>
      <c r="CD112" s="162">
        <f t="shared" si="1012"/>
        <v>89.11000000000007</v>
      </c>
      <c r="CE112" s="162">
        <f t="shared" si="1012"/>
        <v>100.39100000000008</v>
      </c>
      <c r="CF112" s="162">
        <f t="shared" si="1012"/>
        <v>104.70600000000007</v>
      </c>
      <c r="CG112" s="162">
        <f t="shared" si="1012"/>
        <v>108.48500000000001</v>
      </c>
      <c r="CH112" s="162">
        <f t="shared" si="1012"/>
        <v>118.03999999999999</v>
      </c>
      <c r="CI112" s="162">
        <f t="shared" si="1012"/>
        <v>117.73999999999997</v>
      </c>
      <c r="CJ112" s="162">
        <f t="shared" si="1012"/>
        <v>112.28999999999995</v>
      </c>
      <c r="CK112" s="162">
        <f t="shared" si="1012"/>
        <v>95.44999999999996</v>
      </c>
      <c r="CL112" s="162">
        <f t="shared" si="1012"/>
        <v>115.91999999999999</v>
      </c>
      <c r="CM112" s="21">
        <f t="shared" si="1012"/>
        <v>119.1745397633096</v>
      </c>
      <c r="CN112" s="21">
        <f t="shared" si="1012"/>
        <v>127.83352545882515</v>
      </c>
      <c r="CO112" s="21">
        <f t="shared" si="1012"/>
        <v>128.57321869843139</v>
      </c>
      <c r="CP112" s="21">
        <f t="shared" si="1012"/>
        <v>143.645055117673</v>
      </c>
      <c r="CQ112" s="21">
        <f t="shared" si="1012"/>
        <v>148.81246046502258</v>
      </c>
      <c r="CR112" s="21">
        <f t="shared" si="1012"/>
        <v>155.78692165316443</v>
      </c>
      <c r="CS112" s="21">
        <f t="shared" si="1012"/>
        <v>160.44847666104096</v>
      </c>
      <c r="CT112" s="21">
        <f t="shared" si="1012"/>
        <v>174.41312734724136</v>
      </c>
      <c r="CU112" s="21">
        <f t="shared" si="1012"/>
        <v>180.82340536031265</v>
      </c>
      <c r="CV112" s="21">
        <f t="shared" si="1012"/>
        <v>189.06748745266322</v>
      </c>
      <c r="CW112" s="21">
        <f t="shared" si="1012"/>
        <v>195.29746603506217</v>
      </c>
      <c r="CX112" s="21">
        <f t="shared" ref="CX112:DB112" si="1013">+SUM(CU28:CX28)</f>
        <v>211.21002885837478</v>
      </c>
      <c r="CY112" s="21">
        <f t="shared" si="1013"/>
        <v>219.02795622177493</v>
      </c>
      <c r="CZ112" s="21">
        <f t="shared" si="1013"/>
        <v>229.04147692623886</v>
      </c>
      <c r="DA112" s="21">
        <f t="shared" si="1013"/>
        <v>236.66072273917138</v>
      </c>
      <c r="DB112" s="21">
        <f t="shared" si="1013"/>
        <v>255.72089077563533</v>
      </c>
      <c r="DE112" s="22"/>
      <c r="DF112" s="162">
        <v>106.86364972748459</v>
      </c>
    </row>
    <row r="113" spans="1:110" s="162" customFormat="1" x14ac:dyDescent="0.2">
      <c r="A113" s="49" t="s">
        <v>343</v>
      </c>
      <c r="B113" s="162">
        <f>+B110/B112</f>
        <v>-0.42702475495534559</v>
      </c>
      <c r="C113" s="162">
        <f t="shared" ref="C113:W113" si="1014">+C110/C112</f>
        <v>-57.553702359985486</v>
      </c>
      <c r="D113" s="162">
        <f t="shared" si="1014"/>
        <v>-67.86090737169215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>
        <f t="shared" ref="AL113" si="1019">+AL110/AL112</f>
        <v>4942.2699052993112</v>
      </c>
      <c r="AM113" s="162" t="e">
        <f t="shared" ref="AM113:AO113" si="1020">+AM110/AM112</f>
        <v>#DIV/0!</v>
      </c>
      <c r="AN113" s="162">
        <f t="shared" si="1020"/>
        <v>-120.22640620673332</v>
      </c>
      <c r="AO113" s="162" t="e">
        <f t="shared" si="1020"/>
        <v>#DIV/0!</v>
      </c>
      <c r="AP113" s="162">
        <f t="shared" ref="AP113:CD113" si="1021">+AP110/AP112</f>
        <v>-83.476840805875241</v>
      </c>
      <c r="AQ113" s="162" t="e">
        <f t="shared" si="1021"/>
        <v>#DIV/0!</v>
      </c>
      <c r="AR113" s="162">
        <f t="shared" si="1021"/>
        <v>-492.88234077578568</v>
      </c>
      <c r="AS113" s="162" t="e">
        <f t="shared" si="1021"/>
        <v>#DIV/0!</v>
      </c>
      <c r="AT113" s="162">
        <f t="shared" si="1021"/>
        <v>880.18127642969978</v>
      </c>
      <c r="AU113" s="162">
        <f t="shared" si="1021"/>
        <v>1151.8246041873595</v>
      </c>
      <c r="AV113" s="162">
        <f t="shared" si="1021"/>
        <v>1610.8097702373439</v>
      </c>
      <c r="AW113" s="162">
        <f t="shared" si="1021"/>
        <v>-444.26691320592164</v>
      </c>
      <c r="AX113" s="162">
        <f t="shared" si="1021"/>
        <v>-109.0788671244263</v>
      </c>
      <c r="AY113" s="162">
        <f t="shared" si="1021"/>
        <v>-109.66957598986721</v>
      </c>
      <c r="AZ113" s="162">
        <f t="shared" si="1021"/>
        <v>-87.336254950256546</v>
      </c>
      <c r="BA113" s="162">
        <f t="shared" si="1021"/>
        <v>-89.162324113704273</v>
      </c>
      <c r="BB113" s="162">
        <f t="shared" si="1021"/>
        <v>-246.23451323042821</v>
      </c>
      <c r="BC113" s="162">
        <f t="shared" si="1021"/>
        <v>-188.27059178069359</v>
      </c>
      <c r="BD113" s="162">
        <f t="shared" si="1021"/>
        <v>-203.49207280105429</v>
      </c>
      <c r="BE113" s="162">
        <f t="shared" si="1021"/>
        <v>-1320.621973758032</v>
      </c>
      <c r="BF113" s="162">
        <f t="shared" si="1021"/>
        <v>-59.401124723850344</v>
      </c>
      <c r="BG113" s="162">
        <f t="shared" si="1021"/>
        <v>-47.751116333748101</v>
      </c>
      <c r="BH113" s="162">
        <f t="shared" si="1021"/>
        <v>-28.80346676444227</v>
      </c>
      <c r="BI113" s="162" t="e">
        <f t="shared" si="1021"/>
        <v>#DIV/0!</v>
      </c>
      <c r="BJ113" s="162">
        <f t="shared" si="1021"/>
        <v>-61.274514382339525</v>
      </c>
      <c r="BK113" s="162">
        <f t="shared" si="1021"/>
        <v>-52.106951578559411</v>
      </c>
      <c r="BL113" s="162">
        <f t="shared" si="1021"/>
        <v>-67.315864397635693</v>
      </c>
      <c r="BM113" s="162" t="e">
        <f t="shared" si="1021"/>
        <v>#DIV/0!</v>
      </c>
      <c r="BN113" s="162">
        <f t="shared" si="1021"/>
        <v>-122.71218657162204</v>
      </c>
      <c r="BO113" s="162">
        <f t="shared" si="1021"/>
        <v>-121.672490559173</v>
      </c>
      <c r="BP113" s="162">
        <f t="shared" si="1021"/>
        <v>-218.17909087611366</v>
      </c>
      <c r="BQ113" s="162" t="e">
        <f t="shared" si="1021"/>
        <v>#DIV/0!</v>
      </c>
      <c r="BR113" s="162">
        <f t="shared" si="1021"/>
        <v>-289.27027744762239</v>
      </c>
      <c r="BS113" s="162">
        <f t="shared" si="1021"/>
        <v>-219.4798770744855</v>
      </c>
      <c r="BT113" s="162">
        <f t="shared" si="1021"/>
        <v>-402.16370524140223</v>
      </c>
      <c r="BU113" s="162">
        <f t="shared" si="1021"/>
        <v>-4991.7192164708677</v>
      </c>
      <c r="BV113" s="162">
        <f t="shared" si="1021"/>
        <v>308.93593075743047</v>
      </c>
      <c r="BW113" s="162">
        <f t="shared" si="1021"/>
        <v>111.25723581143349</v>
      </c>
      <c r="BX113" s="162">
        <f t="shared" si="1021"/>
        <v>47.165134905769975</v>
      </c>
      <c r="BY113" s="162">
        <f t="shared" si="1021"/>
        <v>23.330994450995572</v>
      </c>
      <c r="BZ113" s="162">
        <f t="shared" si="1021"/>
        <v>25.632488112943872</v>
      </c>
      <c r="CA113" s="162">
        <f t="shared" si="1021"/>
        <v>40.474482125764332</v>
      </c>
      <c r="CB113" s="162">
        <f t="shared" si="1021"/>
        <v>67.541282009963069</v>
      </c>
      <c r="CC113" s="162">
        <f t="shared" si="1021"/>
        <v>67.616305014565597</v>
      </c>
      <c r="CD113" s="162">
        <f t="shared" si="1021"/>
        <v>58.613999723434432</v>
      </c>
      <c r="CE113" s="162">
        <f t="shared" ref="CE113:CF113" si="1022">+CE110/CE112</f>
        <v>49.8833439034374</v>
      </c>
      <c r="CF113" s="162">
        <f t="shared" si="1022"/>
        <v>64.436997122027691</v>
      </c>
      <c r="CG113" s="162">
        <f t="shared" ref="CG113:CH113" si="1023">+CG110/CG112</f>
        <v>65.886399144820771</v>
      </c>
      <c r="CH113" s="162">
        <f t="shared" si="1023"/>
        <v>71.679994364783653</v>
      </c>
      <c r="CI113" s="162">
        <f t="shared" ref="CI113:CJ113" si="1024">+CI110/CI112</f>
        <v>99.078250947751783</v>
      </c>
      <c r="CJ113" s="162">
        <f t="shared" si="1024"/>
        <v>110.43110868375284</v>
      </c>
      <c r="CK113" s="162">
        <f t="shared" ref="CK113:CL113" si="1025">+CK110/CK112</f>
        <v>106.95935330143728</v>
      </c>
      <c r="CL113" s="162">
        <f t="shared" si="1025"/>
        <v>87.464368530020693</v>
      </c>
      <c r="CM113" s="21">
        <f t="shared" ref="CM113:DB113" si="1026">+CM110/CM112</f>
        <v>14.056157554010474</v>
      </c>
      <c r="CN113" s="21">
        <f t="shared" si="1026"/>
        <v>40.356861763404737</v>
      </c>
      <c r="CO113" s="21">
        <f t="shared" si="1026"/>
        <v>66.138047997578923</v>
      </c>
      <c r="CP113" s="21">
        <f t="shared" si="1026"/>
        <v>97.860805845019243</v>
      </c>
      <c r="CQ113" s="21">
        <f t="shared" si="1026"/>
        <v>89.713587749217027</v>
      </c>
      <c r="CR113" s="21">
        <f t="shared" si="1026"/>
        <v>94.675345951971025</v>
      </c>
      <c r="CS113" s="21">
        <f t="shared" si="1026"/>
        <v>97.52311346861886</v>
      </c>
      <c r="CT113" s="21">
        <f t="shared" si="1026"/>
        <v>107.98086845067365</v>
      </c>
      <c r="CU113" s="21">
        <f t="shared" si="1026"/>
        <v>101.54258899491886</v>
      </c>
      <c r="CV113" s="21">
        <f t="shared" si="1026"/>
        <v>107.67773134675875</v>
      </c>
      <c r="CW113" s="21">
        <f t="shared" si="1026"/>
        <v>110.64624264710011</v>
      </c>
      <c r="CX113" s="21">
        <f t="shared" si="1026"/>
        <v>121.36045635477126</v>
      </c>
      <c r="CY113" s="21">
        <f t="shared" si="1026"/>
        <v>115.90377663509032</v>
      </c>
      <c r="CZ113" s="21">
        <f t="shared" si="1026"/>
        <v>122.84004635036848</v>
      </c>
      <c r="DA113" s="21">
        <f t="shared" si="1026"/>
        <v>126.72479149597645</v>
      </c>
      <c r="DB113" s="21">
        <f t="shared" si="1026"/>
        <v>137.87603327898637</v>
      </c>
      <c r="DE113" s="22"/>
      <c r="DF113" s="162">
        <v>97.008614718334286</v>
      </c>
    </row>
    <row r="114" spans="1:110" s="162" customFormat="1" x14ac:dyDescent="0.2">
      <c r="A114" s="49" t="s">
        <v>344</v>
      </c>
      <c r="B114" s="162">
        <f>+B111/B112</f>
        <v>-0.42702475495534559</v>
      </c>
      <c r="C114" s="162">
        <f t="shared" ref="C114:W114" si="1027">+C111/C112</f>
        <v>-57.553702359985486</v>
      </c>
      <c r="D114" s="162">
        <f t="shared" si="1027"/>
        <v>-67.86090737169215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>
        <f t="shared" ref="AL114:AM114" si="1032">+AL111/AL112</f>
        <v>2164.3103103458702</v>
      </c>
      <c r="AM114" s="162" t="e">
        <f t="shared" si="1032"/>
        <v>#DIV/0!</v>
      </c>
      <c r="AN114" s="162">
        <f t="shared" ref="AN114:AO114" si="1033">+AN111/AN112</f>
        <v>-78.243895195353744</v>
      </c>
      <c r="AO114" s="162" t="e">
        <f t="shared" si="1033"/>
        <v>#DIV/0!</v>
      </c>
      <c r="AP114" s="162">
        <f t="shared" ref="AP114:CD114" si="1034">+AP111/AP112</f>
        <v>-55.369061056969073</v>
      </c>
      <c r="AQ114" s="162" t="e">
        <f t="shared" si="1034"/>
        <v>#DIV/0!</v>
      </c>
      <c r="AR114" s="162">
        <f t="shared" si="1034"/>
        <v>-340.3476160528827</v>
      </c>
      <c r="AS114" s="162" t="e">
        <f t="shared" si="1034"/>
        <v>#DIV/0!</v>
      </c>
      <c r="AT114" s="162">
        <f t="shared" si="1034"/>
        <v>610.17330204584005</v>
      </c>
      <c r="AU114" s="162">
        <f t="shared" si="1034"/>
        <v>552.14171465178072</v>
      </c>
      <c r="AV114" s="162">
        <f t="shared" si="1034"/>
        <v>762.2872203411506</v>
      </c>
      <c r="AW114" s="162">
        <f t="shared" si="1034"/>
        <v>-286.26663093306502</v>
      </c>
      <c r="AX114" s="162">
        <f t="shared" si="1034"/>
        <v>-91.024411084872753</v>
      </c>
      <c r="AY114" s="162">
        <f t="shared" si="1034"/>
        <v>-81.858195605607236</v>
      </c>
      <c r="AZ114" s="162">
        <f t="shared" si="1034"/>
        <v>-66.651033339506839</v>
      </c>
      <c r="BA114" s="162">
        <f t="shared" si="1034"/>
        <v>-68.621003023156248</v>
      </c>
      <c r="BB114" s="162">
        <f t="shared" si="1034"/>
        <v>-147.07722085736711</v>
      </c>
      <c r="BC114" s="162">
        <f t="shared" si="1034"/>
        <v>-121.35027686927468</v>
      </c>
      <c r="BD114" s="162">
        <f t="shared" si="1034"/>
        <v>-180.42897687264329</v>
      </c>
      <c r="BE114" s="162">
        <f t="shared" si="1034"/>
        <v>-599.95502528554266</v>
      </c>
      <c r="BF114" s="162">
        <f t="shared" si="1034"/>
        <v>-29.484239431629764</v>
      </c>
      <c r="BG114" s="162">
        <f t="shared" si="1034"/>
        <v>-21.782630640275144</v>
      </c>
      <c r="BH114" s="162">
        <f t="shared" si="1034"/>
        <v>-17.281736968711371</v>
      </c>
      <c r="BI114" s="162" t="e">
        <f t="shared" si="1034"/>
        <v>#DIV/0!</v>
      </c>
      <c r="BJ114" s="162">
        <f t="shared" si="1034"/>
        <v>-23.553729491918617</v>
      </c>
      <c r="BK114" s="162">
        <f t="shared" si="1034"/>
        <v>-25.848912380085295</v>
      </c>
      <c r="BL114" s="162">
        <f t="shared" si="1034"/>
        <v>-44.206152678376114</v>
      </c>
      <c r="BM114" s="162" t="e">
        <f t="shared" si="1034"/>
        <v>#DIV/0!</v>
      </c>
      <c r="BN114" s="162">
        <f t="shared" si="1034"/>
        <v>-82.282098608950392</v>
      </c>
      <c r="BO114" s="162">
        <f t="shared" si="1034"/>
        <v>-89.43385294103264</v>
      </c>
      <c r="BP114" s="162">
        <f t="shared" si="1034"/>
        <v>-115.04908206945719</v>
      </c>
      <c r="BQ114" s="162" t="e">
        <f t="shared" si="1034"/>
        <v>#DIV/0!</v>
      </c>
      <c r="BR114" s="162">
        <f t="shared" si="1034"/>
        <v>-152.59836308834383</v>
      </c>
      <c r="BS114" s="162">
        <f t="shared" si="1034"/>
        <v>-75.925425190053843</v>
      </c>
      <c r="BT114" s="162">
        <f t="shared" si="1034"/>
        <v>-139.28901393812214</v>
      </c>
      <c r="BU114" s="162">
        <f t="shared" si="1034"/>
        <v>-1407.2552229824482</v>
      </c>
      <c r="BV114" s="162">
        <f t="shared" si="1034"/>
        <v>159.26842767611467</v>
      </c>
      <c r="BW114" s="162">
        <f t="shared" si="1034"/>
        <v>66.448187683467793</v>
      </c>
      <c r="BX114" s="162">
        <f t="shared" si="1034"/>
        <v>14.811109594055054</v>
      </c>
      <c r="BY114" s="162">
        <f t="shared" si="1034"/>
        <v>11.145934164634832</v>
      </c>
      <c r="BZ114" s="162">
        <f t="shared" si="1034"/>
        <v>16.008537266710906</v>
      </c>
      <c r="CA114" s="162">
        <f t="shared" si="1034"/>
        <v>15.673268787684686</v>
      </c>
      <c r="CB114" s="162">
        <f t="shared" si="1034"/>
        <v>25.007642406746701</v>
      </c>
      <c r="CC114" s="162">
        <f t="shared" si="1034"/>
        <v>46.471722559588301</v>
      </c>
      <c r="CD114" s="162">
        <f t="shared" si="1034"/>
        <v>38.227518220798778</v>
      </c>
      <c r="CE114" s="162">
        <f t="shared" ref="CE114:CF114" si="1035">+CE111/CE112</f>
        <v>34.527536961584715</v>
      </c>
      <c r="CF114" s="162">
        <f t="shared" si="1035"/>
        <v>40.061599552991105</v>
      </c>
      <c r="CG114" s="162">
        <f t="shared" ref="CG114:CH114" si="1036">+CG111/CG112</f>
        <v>50.320127153925483</v>
      </c>
      <c r="CH114" s="162">
        <f t="shared" si="1036"/>
        <v>43.587767103041038</v>
      </c>
      <c r="CI114" s="162">
        <f t="shared" ref="CI114:CJ114" si="1037">+CI111/CI112</f>
        <v>43.15266879607703</v>
      </c>
      <c r="CJ114" s="162">
        <f t="shared" si="1037"/>
        <v>75.631810490693766</v>
      </c>
      <c r="CK114" s="162">
        <f t="shared" ref="CK114:CL114" si="1038">+CK111/CK112</f>
        <v>70.690435543448757</v>
      </c>
      <c r="CL114" s="162">
        <f t="shared" si="1038"/>
        <v>51.137632850241552</v>
      </c>
      <c r="CM114" s="21">
        <f t="shared" ref="CM114:DB114" si="1039">+CM111/CM112</f>
        <v>4.7959128441465948</v>
      </c>
      <c r="CN114" s="21">
        <f t="shared" si="1039"/>
        <v>20.955745861799318</v>
      </c>
      <c r="CO114" s="21">
        <f t="shared" si="1039"/>
        <v>35.112490528194101</v>
      </c>
      <c r="CP114" s="21">
        <f t="shared" si="1039"/>
        <v>57.335622179061389</v>
      </c>
      <c r="CQ114" s="21">
        <f t="shared" si="1039"/>
        <v>49.658321327201875</v>
      </c>
      <c r="CR114" s="21">
        <f t="shared" si="1039"/>
        <v>53.057899394007194</v>
      </c>
      <c r="CS114" s="21">
        <f t="shared" si="1039"/>
        <v>53.673740826866286</v>
      </c>
      <c r="CT114" s="21">
        <f t="shared" si="1039"/>
        <v>63.1281538611697</v>
      </c>
      <c r="CU114" s="21">
        <f t="shared" si="1039"/>
        <v>56.421705532948543</v>
      </c>
      <c r="CV114" s="21">
        <f t="shared" si="1039"/>
        <v>60.493390507684317</v>
      </c>
      <c r="CW114" s="21">
        <f t="shared" si="1039"/>
        <v>61.163510860662711</v>
      </c>
      <c r="CX114" s="21">
        <f t="shared" si="1039"/>
        <v>70.7279496078568</v>
      </c>
      <c r="CY114" s="21">
        <f t="shared" si="1039"/>
        <v>64.567591207499575</v>
      </c>
      <c r="CZ114" s="21">
        <f t="shared" si="1039"/>
        <v>69.082421414044177</v>
      </c>
      <c r="DA114" s="21">
        <f t="shared" si="1039"/>
        <v>70.256312318722138</v>
      </c>
      <c r="DB114" s="21">
        <f t="shared" si="1039"/>
        <v>80.052770344066104</v>
      </c>
      <c r="DE114" s="22"/>
      <c r="DF114" s="162">
        <v>60.501828641416068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205.81</v>
      </c>
      <c r="C117" s="23">
        <f>'Annual Raw'!D41</f>
        <v>205.81</v>
      </c>
      <c r="D117" s="23">
        <f>'Annual Raw'!E41</f>
        <v>205.81</v>
      </c>
      <c r="E117" s="23">
        <f>'Annual Raw'!F41</f>
        <v>205.81</v>
      </c>
      <c r="F117" s="23">
        <f>'Annual Raw'!G41</f>
        <v>205.81</v>
      </c>
      <c r="G117" s="23">
        <f>'Annual Raw'!H41</f>
        <v>102.905</v>
      </c>
      <c r="H117" s="23">
        <f>'Annual Raw'!I41</f>
        <v>102.905</v>
      </c>
      <c r="I117" s="23">
        <f>'Annual Raw'!J41</f>
        <v>102.905</v>
      </c>
      <c r="J117" s="23">
        <f>'Annual Raw'!K41</f>
        <v>102.905</v>
      </c>
      <c r="K117" s="23">
        <f>'Annual Raw'!L41</f>
        <v>102.905</v>
      </c>
      <c r="L117" s="23">
        <f>'Annual Raw'!M41</f>
        <v>642.85299999999995</v>
      </c>
      <c r="M117" s="23">
        <f>'Annual Raw'!N41</f>
        <v>102.905</v>
      </c>
      <c r="N117" s="23">
        <f>'Annual Raw'!O41</f>
        <v>104.45050000000001</v>
      </c>
      <c r="O117" s="23">
        <f>'Annual Raw'!P41</f>
        <v>104.4505465</v>
      </c>
      <c r="P117" s="23">
        <f>'Annual Raw'!Q41</f>
        <v>113.9505465</v>
      </c>
      <c r="Q117" s="23">
        <f>'Annual Raw'!R41</f>
        <v>113.9505465</v>
      </c>
      <c r="R117" s="23">
        <f>'Annual Raw'!S41</f>
        <v>113.9505465</v>
      </c>
      <c r="S117" s="23">
        <f>'Annual Raw'!T41</f>
        <v>113.95050000000001</v>
      </c>
      <c r="T117" s="23">
        <f>'Annual Raw'!U41</f>
        <v>113.95050000000001</v>
      </c>
      <c r="U117" s="23">
        <f>'Annual Raw'!V41</f>
        <v>113.95050000000001</v>
      </c>
      <c r="V117" s="23">
        <f>'Annual Raw'!W41</f>
        <v>113.95050000000001</v>
      </c>
      <c r="W117" s="23">
        <f>'Annual Raw'!X41</f>
        <v>127.21259999999999</v>
      </c>
      <c r="X117" s="23">
        <f>'Annual Raw'!Y41</f>
        <v>127.21259999999999</v>
      </c>
      <c r="Y117" s="23">
        <f>'Annual Raw'!Z41</f>
        <v>127.21259999999999</v>
      </c>
      <c r="Z117" s="23">
        <f>'Annual Raw'!AA41</f>
        <v>127.21</v>
      </c>
      <c r="AA117" s="23">
        <f>'Annual Raw'!AB41</f>
        <v>151.04</v>
      </c>
      <c r="AB117" s="24">
        <f>+CP117</f>
        <v>151.04</v>
      </c>
      <c r="AC117" s="24">
        <f>+CT117</f>
        <v>151.04</v>
      </c>
      <c r="AD117" s="24">
        <f>+CX117</f>
        <v>151.04</v>
      </c>
      <c r="AE117" s="24">
        <f>+DB117</f>
        <v>151.04</v>
      </c>
      <c r="AJ117" s="23">
        <f>+'QTR Raw'!D56</f>
        <v>104.45099999999999</v>
      </c>
      <c r="AK117" s="23">
        <f t="shared" ref="AK117:CE117" si="1040">+AJ117</f>
        <v>104.45099999999999</v>
      </c>
      <c r="AL117" s="23">
        <f>+'QTR Raw'!F56</f>
        <v>104.45099999999999</v>
      </c>
      <c r="AM117" s="23">
        <f t="shared" si="1040"/>
        <v>104.45099999999999</v>
      </c>
      <c r="AN117" s="23">
        <f>+'QTR Raw'!H56</f>
        <v>104.45099999999999</v>
      </c>
      <c r="AO117" s="23">
        <f t="shared" si="1040"/>
        <v>104.45099999999999</v>
      </c>
      <c r="AP117" s="23">
        <f>+'QTR Raw'!J56</f>
        <v>104.45099999999999</v>
      </c>
      <c r="AQ117" s="23">
        <f t="shared" si="1040"/>
        <v>104.45099999999999</v>
      </c>
      <c r="AR117" s="23">
        <f>+'QTR Raw'!L56</f>
        <v>113.95099999999999</v>
      </c>
      <c r="AS117" s="23">
        <f t="shared" si="1040"/>
        <v>113.95099999999999</v>
      </c>
      <c r="AT117" s="23">
        <f>+'QTR Raw'!N56</f>
        <v>113.95099999999999</v>
      </c>
      <c r="AU117" s="23">
        <f t="shared" si="1040"/>
        <v>113.95099999999999</v>
      </c>
      <c r="AV117" s="23">
        <f>+'QTR Raw'!P56</f>
        <v>113.95099999999999</v>
      </c>
      <c r="AW117" s="23">
        <f t="shared" si="1040"/>
        <v>113.95099999999999</v>
      </c>
      <c r="AX117" s="23">
        <f>+'QTR Raw'!R56</f>
        <v>113.95099999999999</v>
      </c>
      <c r="AY117" s="23">
        <f t="shared" si="1040"/>
        <v>113.95099999999999</v>
      </c>
      <c r="AZ117" s="23">
        <f>+'QTR Raw'!T56</f>
        <v>113.95099999999999</v>
      </c>
      <c r="BA117" s="23">
        <f t="shared" si="1040"/>
        <v>113.95099999999999</v>
      </c>
      <c r="BB117" s="23">
        <f>+'QTR Raw'!V56</f>
        <v>113.95099999999999</v>
      </c>
      <c r="BC117" s="23">
        <f t="shared" si="1040"/>
        <v>113.95099999999999</v>
      </c>
      <c r="BD117" s="23">
        <f>+'QTR Raw'!X56</f>
        <v>113.95099999999999</v>
      </c>
      <c r="BE117" s="23">
        <f t="shared" si="1040"/>
        <v>113.95099999999999</v>
      </c>
      <c r="BF117" s="23">
        <f>+'QTR Raw'!Z56</f>
        <v>113.95099999999999</v>
      </c>
      <c r="BG117" s="23">
        <f t="shared" si="1040"/>
        <v>113.95099999999999</v>
      </c>
      <c r="BH117" s="23">
        <f>+'QTR Raw'!AB56</f>
        <v>113.95099999999999</v>
      </c>
      <c r="BI117" s="23">
        <f t="shared" si="1040"/>
        <v>113.95099999999999</v>
      </c>
      <c r="BJ117" s="23">
        <f>+'QTR Raw'!AD56</f>
        <v>113.95099999999999</v>
      </c>
      <c r="BK117" s="23">
        <f t="shared" si="1040"/>
        <v>113.95099999999999</v>
      </c>
      <c r="BL117" s="23">
        <f>+'QTR Raw'!AF56</f>
        <v>113.95099999999999</v>
      </c>
      <c r="BM117" s="23">
        <f t="shared" si="1040"/>
        <v>113.95099999999999</v>
      </c>
      <c r="BN117" s="23">
        <f>+'QTR Raw'!AH56</f>
        <v>113.95</v>
      </c>
      <c r="BO117" s="23">
        <f t="shared" si="1040"/>
        <v>113.95</v>
      </c>
      <c r="BP117" s="23">
        <f>+'QTR Raw'!AJ56</f>
        <v>113.95</v>
      </c>
      <c r="BQ117" s="23">
        <f t="shared" si="1040"/>
        <v>113.95</v>
      </c>
      <c r="BR117" s="23">
        <f>+'QTR Raw'!AL56</f>
        <v>113.95</v>
      </c>
      <c r="BS117" s="23">
        <f t="shared" si="1040"/>
        <v>113.95</v>
      </c>
      <c r="BT117" s="23">
        <f>+'QTR Raw'!AN56</f>
        <v>127.21299999999999</v>
      </c>
      <c r="BU117" s="23">
        <f t="shared" si="1040"/>
        <v>127.21299999999999</v>
      </c>
      <c r="BV117" s="23">
        <f>+'QTR Raw'!AP56</f>
        <v>127.21299999999999</v>
      </c>
      <c r="BW117" s="23">
        <f t="shared" si="1040"/>
        <v>127.21299999999999</v>
      </c>
      <c r="BX117" s="23">
        <f>+'QTR Raw'!AR56</f>
        <v>127.21299999999999</v>
      </c>
      <c r="BY117" s="23">
        <f t="shared" si="1040"/>
        <v>127.21299999999999</v>
      </c>
      <c r="BZ117" s="23">
        <f>+'QTR Raw'!AT56</f>
        <v>127.21299999999999</v>
      </c>
      <c r="CA117" s="23">
        <f t="shared" si="1040"/>
        <v>127.21299999999999</v>
      </c>
      <c r="CB117" s="23">
        <f>+'QTR Raw'!AV56</f>
        <v>127.21299999999999</v>
      </c>
      <c r="CC117" s="23">
        <f t="shared" si="1040"/>
        <v>127.21299999999999</v>
      </c>
      <c r="CD117" s="23">
        <f>+'QTR Raw'!AX56</f>
        <v>127.21299999999999</v>
      </c>
      <c r="CE117" s="23">
        <f t="shared" si="1040"/>
        <v>127.21299999999999</v>
      </c>
      <c r="CF117" s="23">
        <f>+'QTR Raw'!AZ56</f>
        <v>127.21299999999999</v>
      </c>
      <c r="CG117" s="23">
        <f t="shared" ref="CG117:CG118" si="1041">+CF117</f>
        <v>127.21299999999999</v>
      </c>
      <c r="CH117" s="23">
        <f>Z117</f>
        <v>127.21</v>
      </c>
      <c r="CI117" s="23">
        <f>CH117</f>
        <v>127.21</v>
      </c>
      <c r="CJ117" s="23">
        <f>+'QTR Raw'!BD56</f>
        <v>139.93</v>
      </c>
      <c r="CK117" s="24">
        <f t="shared" ref="CK117:DB117" si="1042">CJ117</f>
        <v>139.93</v>
      </c>
      <c r="CL117" s="23">
        <f>+'QTR Raw'!BF56</f>
        <v>151.04</v>
      </c>
      <c r="CM117" s="24">
        <f t="shared" si="1042"/>
        <v>151.04</v>
      </c>
      <c r="CN117" s="24">
        <f t="shared" si="1042"/>
        <v>151.04</v>
      </c>
      <c r="CO117" s="24">
        <f t="shared" si="1042"/>
        <v>151.04</v>
      </c>
      <c r="CP117" s="24">
        <f t="shared" si="1042"/>
        <v>151.04</v>
      </c>
      <c r="CQ117" s="24">
        <f t="shared" si="1042"/>
        <v>151.04</v>
      </c>
      <c r="CR117" s="24">
        <f t="shared" si="1042"/>
        <v>151.04</v>
      </c>
      <c r="CS117" s="24">
        <f t="shared" si="1042"/>
        <v>151.04</v>
      </c>
      <c r="CT117" s="24">
        <f t="shared" si="1042"/>
        <v>151.04</v>
      </c>
      <c r="CU117" s="24">
        <f t="shared" si="1042"/>
        <v>151.04</v>
      </c>
      <c r="CV117" s="24">
        <f t="shared" si="1042"/>
        <v>151.04</v>
      </c>
      <c r="CW117" s="24">
        <f t="shared" si="1042"/>
        <v>151.04</v>
      </c>
      <c r="CX117" s="24">
        <f t="shared" si="1042"/>
        <v>151.04</v>
      </c>
      <c r="CY117" s="24">
        <f t="shared" si="1042"/>
        <v>151.04</v>
      </c>
      <c r="CZ117" s="24">
        <f t="shared" si="1042"/>
        <v>151.04</v>
      </c>
      <c r="DA117" s="24">
        <f t="shared" si="1042"/>
        <v>151.04</v>
      </c>
      <c r="DB117" s="24">
        <f t="shared" si="1042"/>
        <v>151.04</v>
      </c>
      <c r="DE117" s="123"/>
      <c r="DF117" s="23">
        <v>139.93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541.95690000000002</v>
      </c>
      <c r="L118" s="23">
        <f>'Annual Raw'!M42</f>
        <v>0</v>
      </c>
      <c r="M118" s="23">
        <f>'Annual Raw'!N42</f>
        <v>1.5455000000000001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15.8514</v>
      </c>
      <c r="X118" s="23">
        <f>'Annual Raw'!Y42</f>
        <v>7.1664000000000003</v>
      </c>
      <c r="Y118" s="23">
        <f>'Annual Raw'!Z42</f>
        <v>3.1467999999999998</v>
      </c>
      <c r="Z118" s="23">
        <f>'Annual Raw'!AA42</f>
        <v>4.92</v>
      </c>
      <c r="AA118" s="23">
        <f>'Annual Raw'!AB42</f>
        <v>18.12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4.92</v>
      </c>
      <c r="CI118" s="23">
        <f>CH118</f>
        <v>4.92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-127.042579735</v>
      </c>
      <c r="C119" s="23">
        <f>'Annual Raw'!D43</f>
        <v>-127.859629027</v>
      </c>
      <c r="D119" s="23">
        <f>'Annual Raw'!E43</f>
        <v>-128.16786410500001</v>
      </c>
      <c r="E119" s="23">
        <f>'Annual Raw'!F43</f>
        <v>-148.91066750900001</v>
      </c>
      <c r="F119" s="23">
        <f>'Annual Raw'!G43</f>
        <v>-154.87363468300001</v>
      </c>
      <c r="G119" s="23">
        <f>'Annual Raw'!H43</f>
        <v>109.76021222599999</v>
      </c>
      <c r="H119" s="23">
        <f>'Annual Raw'!I43</f>
        <v>109.769114598</v>
      </c>
      <c r="I119" s="23">
        <f>'Annual Raw'!J43</f>
        <v>114.944192061</v>
      </c>
      <c r="J119" s="23">
        <f>'Annual Raw'!K43</f>
        <v>115.025817733</v>
      </c>
      <c r="K119" s="23">
        <f>'Annual Raw'!L43</f>
        <v>116.2586</v>
      </c>
      <c r="L119" s="23">
        <f>'Annual Raw'!M43</f>
        <v>112.8683</v>
      </c>
      <c r="M119" s="23">
        <f>'Annual Raw'!N43</f>
        <v>264.0521</v>
      </c>
      <c r="N119" s="23">
        <f>'Annual Raw'!O43</f>
        <v>265.46929999999998</v>
      </c>
      <c r="O119" s="23">
        <f>'Annual Raw'!P43</f>
        <v>266.22329400000001</v>
      </c>
      <c r="P119" s="23">
        <f>'Annual Raw'!Q43</f>
        <v>336.10654620000003</v>
      </c>
      <c r="Q119" s="23">
        <f>'Annual Raw'!R43</f>
        <v>333.38450399999999</v>
      </c>
      <c r="R119" s="23">
        <f>'Annual Raw'!S43</f>
        <v>349.88958630000002</v>
      </c>
      <c r="S119" s="23">
        <f>'Annual Raw'!T43</f>
        <v>282.25760000000002</v>
      </c>
      <c r="T119" s="23">
        <f>'Annual Raw'!U43</f>
        <v>221.56970000000001</v>
      </c>
      <c r="U119" s="23">
        <f>'Annual Raw'!V43</f>
        <v>198.3595</v>
      </c>
      <c r="V119" s="23">
        <f>'Annual Raw'!W43</f>
        <v>213.3844</v>
      </c>
      <c r="W119" s="23">
        <f>'Annual Raw'!X43</f>
        <v>595.88</v>
      </c>
      <c r="X119" s="23">
        <f>'Annual Raw'!Y43</f>
        <v>883.75909999999999</v>
      </c>
      <c r="Y119" s="23">
        <f>'Annual Raw'!Z43</f>
        <v>1419.5659000000001</v>
      </c>
      <c r="Z119" s="23">
        <f>'Annual Raw'!AA43</f>
        <v>2469.36</v>
      </c>
      <c r="AA119" s="23">
        <f>'Annual Raw'!AB43</f>
        <v>3973.43</v>
      </c>
      <c r="AB119" s="24">
        <f t="shared" si="1043"/>
        <v>4416.021568398397</v>
      </c>
      <c r="AC119" s="24">
        <f t="shared" si="1044"/>
        <v>4986.4495694578873</v>
      </c>
      <c r="AD119" s="24">
        <f t="shared" si="1045"/>
        <v>5766.238200432038</v>
      </c>
      <c r="AE119" s="24">
        <f t="shared" si="1046"/>
        <v>6844.4441836532405</v>
      </c>
      <c r="AJ119" s="23">
        <f>+'QTR Raw'!D58</f>
        <v>265.82400000000001</v>
      </c>
      <c r="AK119" s="23">
        <f>+AJ119+AK48</f>
        <v>265.47700000000003</v>
      </c>
      <c r="AL119" s="23">
        <f>+'QTR Raw'!F58</f>
        <v>265.46899999999999</v>
      </c>
      <c r="AM119" s="23">
        <f>+AL119+AM48</f>
        <v>254.452</v>
      </c>
      <c r="AN119" s="23">
        <f>+'QTR Raw'!H58</f>
        <v>254.083</v>
      </c>
      <c r="AO119" s="23">
        <f>+AN119+AO48</f>
        <v>253.84</v>
      </c>
      <c r="AP119" s="23">
        <f>+'QTR Raw'!J58</f>
        <v>266.22300000000001</v>
      </c>
      <c r="AQ119" s="23">
        <f>+AP119+AQ48</f>
        <v>266.01300000000003</v>
      </c>
      <c r="AR119" s="23">
        <f>+'QTR Raw'!L58</f>
        <v>324.77300000000002</v>
      </c>
      <c r="AS119" s="23">
        <f>+AR119+AS48</f>
        <v>325.64800000000002</v>
      </c>
      <c r="AT119" s="23">
        <f>+'QTR Raw'!N58</f>
        <v>325.39600000000002</v>
      </c>
      <c r="AU119" s="23">
        <f>+AT119+AU48</f>
        <v>325.60400000000004</v>
      </c>
      <c r="AV119" s="23">
        <f>+'QTR Raw'!P58</f>
        <v>325.274</v>
      </c>
      <c r="AW119" s="23">
        <f>+AV119+AW48</f>
        <v>324.73899999999998</v>
      </c>
      <c r="AX119" s="23">
        <f>+'QTR Raw'!R58</f>
        <v>333.38529999999997</v>
      </c>
      <c r="AY119" s="23">
        <f>+AX119+AY48</f>
        <v>333.10829999999999</v>
      </c>
      <c r="AZ119" s="23">
        <f>+'QTR Raw'!T58</f>
        <v>319.56799999999998</v>
      </c>
      <c r="BA119" s="23">
        <f>+AZ119+BA48</f>
        <v>316.411</v>
      </c>
      <c r="BB119" s="23">
        <f>+'QTR Raw'!V58</f>
        <v>349.89</v>
      </c>
      <c r="BC119" s="23">
        <f>+BB119+BC48</f>
        <v>349.46499999999997</v>
      </c>
      <c r="BD119" s="23">
        <f>+'QTR Raw'!X58</f>
        <v>316.00599999999997</v>
      </c>
      <c r="BE119" s="23">
        <f>+BD119+BE48</f>
        <v>316.24599999999998</v>
      </c>
      <c r="BF119" s="23">
        <f>+'QTR Raw'!Z58</f>
        <v>282.25700000000001</v>
      </c>
      <c r="BG119" s="23">
        <f>+BF119+BG48</f>
        <v>282.90100000000001</v>
      </c>
      <c r="BH119" s="23">
        <f>+'QTR Raw'!AB58</f>
        <v>273.80099999999999</v>
      </c>
      <c r="BI119" s="23">
        <f>+BH119+BI48</f>
        <v>250.172</v>
      </c>
      <c r="BJ119" s="23">
        <f>+'QTR Raw'!AD58</f>
        <v>221.57</v>
      </c>
      <c r="BK119" s="23">
        <f>+BJ119+BK48</f>
        <v>221.006</v>
      </c>
      <c r="BL119" s="23">
        <f>+'QTR Raw'!AF58</f>
        <v>221.845</v>
      </c>
      <c r="BM119" s="23">
        <f>+BL119+BM48</f>
        <v>221.815</v>
      </c>
      <c r="BN119" s="23">
        <f>+'QTR Raw'!AH58</f>
        <v>198.36</v>
      </c>
      <c r="BO119" s="23">
        <f>+BN119+BO48</f>
        <v>198.65300000000002</v>
      </c>
      <c r="BP119" s="23">
        <f>+'QTR Raw'!AJ58</f>
        <v>215.12299999999999</v>
      </c>
      <c r="BQ119" s="23">
        <f>+BP119+BQ48</f>
        <v>216.334</v>
      </c>
      <c r="BR119" s="23">
        <f>+'QTR Raw'!AL58</f>
        <v>213.38399999999999</v>
      </c>
      <c r="BS119" s="23">
        <f>+BR119+BS48</f>
        <v>212.54</v>
      </c>
      <c r="BT119" s="23">
        <f>+'QTR Raw'!AN58</f>
        <v>511.87900000000002</v>
      </c>
      <c r="BU119" s="23">
        <f>+BT119+BU48</f>
        <v>513.21400000000006</v>
      </c>
      <c r="BV119" s="23">
        <f>+'QTR Raw'!AP58</f>
        <v>667.37800000000004</v>
      </c>
      <c r="BW119" s="23">
        <f>+BV119+BW48</f>
        <v>667.06000000000006</v>
      </c>
      <c r="BX119" s="23">
        <f>+'QTR Raw'!AR58</f>
        <v>680.63800000000003</v>
      </c>
      <c r="BY119" s="23">
        <f>+BX119+BY48</f>
        <v>687.91600000000005</v>
      </c>
      <c r="BZ119" s="23">
        <f>+'QTR Raw'!AT58</f>
        <v>976.12099999999998</v>
      </c>
      <c r="CA119" s="23">
        <f>+BZ119+CA48</f>
        <v>984.11</v>
      </c>
      <c r="CB119" s="23">
        <f>+'QTR Raw'!AV58</f>
        <v>1311.4190000000001</v>
      </c>
      <c r="CC119" s="23">
        <f>+CB119+CC48</f>
        <v>1371.2180000000001</v>
      </c>
      <c r="CD119" s="23">
        <f>+'QTR Raw'!AX58</f>
        <v>1422.713</v>
      </c>
      <c r="CE119" s="23">
        <f>+CD119+CE48</f>
        <v>1428.8630000000001</v>
      </c>
      <c r="CF119" s="23">
        <f>+'QTR Raw'!AZ58</f>
        <v>2515.5940000000001</v>
      </c>
      <c r="CG119" s="23">
        <f>+CF119+CG48</f>
        <v>2535.0340000000001</v>
      </c>
      <c r="CH119" s="23">
        <f t="shared" si="1048"/>
        <v>2469.36</v>
      </c>
      <c r="CI119" s="23">
        <f>CH119+CI48</f>
        <v>2699.09</v>
      </c>
      <c r="CJ119" s="23">
        <f>+'QTR Raw'!BD58</f>
        <v>3169.85</v>
      </c>
      <c r="CK119" s="24">
        <f t="shared" ref="CK119:DB119" si="1050">CJ119+CK48</f>
        <v>3161.99</v>
      </c>
      <c r="CL119" s="23">
        <f>+'QTR Raw'!BF58</f>
        <v>3991.55</v>
      </c>
      <c r="CM119" s="24">
        <f t="shared" si="1050"/>
        <v>4012.9346752789556</v>
      </c>
      <c r="CN119" s="24">
        <f t="shared" si="1050"/>
        <v>4138.6305484461454</v>
      </c>
      <c r="CO119" s="24">
        <f t="shared" si="1050"/>
        <v>4240.8227545779064</v>
      </c>
      <c r="CP119" s="24">
        <f t="shared" si="1050"/>
        <v>4416.021568398397</v>
      </c>
      <c r="CQ119" s="24">
        <f t="shared" si="1050"/>
        <v>4447.576840977772</v>
      </c>
      <c r="CR119" s="24">
        <f t="shared" si="1050"/>
        <v>4611.3890638400881</v>
      </c>
      <c r="CS119" s="24">
        <f t="shared" si="1050"/>
        <v>4753.8399430948448</v>
      </c>
      <c r="CT119" s="24">
        <f t="shared" si="1050"/>
        <v>4986.4495694578873</v>
      </c>
      <c r="CU119" s="24">
        <f t="shared" si="1050"/>
        <v>5042.5058861504031</v>
      </c>
      <c r="CV119" s="24">
        <f t="shared" si="1050"/>
        <v>5261.8896303265792</v>
      </c>
      <c r="CW119" s="24">
        <f t="shared" si="1050"/>
        <v>5458.5057687868339</v>
      </c>
      <c r="CX119" s="24">
        <f t="shared" si="1050"/>
        <v>5766.238200432038</v>
      </c>
      <c r="CY119" s="24">
        <f t="shared" si="1050"/>
        <v>5862.3968114435829</v>
      </c>
      <c r="CZ119" s="24">
        <f t="shared" si="1050"/>
        <v>6159.7052201548031</v>
      </c>
      <c r="DA119" s="24">
        <f t="shared" si="1050"/>
        <v>6432.968450116241</v>
      </c>
      <c r="DB119" s="24">
        <f t="shared" si="1050"/>
        <v>6844.4441836532405</v>
      </c>
      <c r="DE119" s="123"/>
      <c r="DF119" s="23">
        <v>3065.2437798303131</v>
      </c>
    </row>
    <row r="120" spans="1:110" s="22" customFormat="1" x14ac:dyDescent="0.2">
      <c r="A120" s="22" t="s">
        <v>44</v>
      </c>
      <c r="B120" s="22">
        <f>B117+B118+B119</f>
        <v>78.767420264999998</v>
      </c>
      <c r="C120" s="22">
        <f t="shared" ref="C120:V120" si="1051">C117+C118+C119</f>
        <v>77.950370973000005</v>
      </c>
      <c r="D120" s="22">
        <f t="shared" si="1051"/>
        <v>77.642135894999996</v>
      </c>
      <c r="E120" s="22">
        <f t="shared" si="1051"/>
        <v>56.899332490999996</v>
      </c>
      <c r="F120" s="22">
        <f t="shared" si="1051"/>
        <v>50.936365316999996</v>
      </c>
      <c r="G120" s="22">
        <f t="shared" si="1051"/>
        <v>212.66521222599999</v>
      </c>
      <c r="H120" s="22">
        <f t="shared" si="1051"/>
        <v>212.67411459800002</v>
      </c>
      <c r="I120" s="22">
        <f t="shared" si="1051"/>
        <v>217.849192061</v>
      </c>
      <c r="J120" s="22">
        <f t="shared" si="1051"/>
        <v>217.930817733</v>
      </c>
      <c r="K120" s="22">
        <f t="shared" si="1051"/>
        <v>761.12049999999999</v>
      </c>
      <c r="L120" s="22">
        <f t="shared" si="1051"/>
        <v>755.72129999999993</v>
      </c>
      <c r="M120" s="22">
        <f>M117+M118+M119</f>
        <v>368.50260000000003</v>
      </c>
      <c r="N120" s="22">
        <f t="shared" si="1051"/>
        <v>369.91980000000001</v>
      </c>
      <c r="O120" s="22">
        <f t="shared" si="1051"/>
        <v>370.67384049999998</v>
      </c>
      <c r="P120" s="22">
        <f t="shared" si="1051"/>
        <v>450.0570927</v>
      </c>
      <c r="Q120" s="22">
        <f t="shared" si="1051"/>
        <v>447.33505049999997</v>
      </c>
      <c r="R120" s="22">
        <f t="shared" si="1051"/>
        <v>463.84013279999999</v>
      </c>
      <c r="S120" s="22">
        <f t="shared" si="1051"/>
        <v>396.20810000000006</v>
      </c>
      <c r="T120" s="22">
        <f t="shared" si="1051"/>
        <v>335.52020000000005</v>
      </c>
      <c r="U120" s="22">
        <f t="shared" si="1051"/>
        <v>312.31</v>
      </c>
      <c r="V120" s="22">
        <f t="shared" si="1051"/>
        <v>327.3349</v>
      </c>
      <c r="W120" s="22">
        <f t="shared" ref="W120" si="1052">W117+W118+W119</f>
        <v>738.94399999999996</v>
      </c>
      <c r="X120" s="22">
        <f t="shared" ref="X120:Y120" si="1053">X117+X118+X119</f>
        <v>1018.1381</v>
      </c>
      <c r="Y120" s="22">
        <f t="shared" si="1053"/>
        <v>1549.9253000000001</v>
      </c>
      <c r="Z120" s="22">
        <f t="shared" ref="Z120:AA120" si="1054">Z117+Z118+Z119</f>
        <v>2601.4900000000002</v>
      </c>
      <c r="AA120" s="22">
        <f t="shared" si="1054"/>
        <v>4142.59</v>
      </c>
      <c r="AB120" s="21">
        <f t="shared" ref="AA120:AD120" si="1055">AB117+AB118+AB119</f>
        <v>4567.061568398397</v>
      </c>
      <c r="AC120" s="21">
        <f t="shared" si="1055"/>
        <v>5137.4895694578872</v>
      </c>
      <c r="AD120" s="21">
        <f t="shared" si="1055"/>
        <v>5917.2782004320379</v>
      </c>
      <c r="AE120" s="21">
        <f t="shared" ref="AE120" si="1056">AE117+AE118+AE119</f>
        <v>6995.4841836532405</v>
      </c>
      <c r="AJ120" s="22">
        <f t="shared" ref="AJ120" si="1057">AJ117+AJ118+AJ119</f>
        <v>370.27499999999998</v>
      </c>
      <c r="AK120" s="22">
        <f t="shared" ref="AK120" si="1058">AK117+AK118+AK119</f>
        <v>369.928</v>
      </c>
      <c r="AL120" s="22">
        <f t="shared" ref="AL120:AM120" si="1059">AL117+AL118+AL119</f>
        <v>369.91999999999996</v>
      </c>
      <c r="AM120" s="22">
        <f t="shared" si="1059"/>
        <v>358.90300000000002</v>
      </c>
      <c r="AN120" s="22">
        <f t="shared" ref="AN120:AO120" si="1060">AN117+AN118+AN119</f>
        <v>358.53399999999999</v>
      </c>
      <c r="AO120" s="22">
        <f t="shared" si="1060"/>
        <v>358.291</v>
      </c>
      <c r="AP120" s="22">
        <f t="shared" ref="AP120:CE120" si="1061">AP117+AP118+AP119</f>
        <v>370.67399999999998</v>
      </c>
      <c r="AQ120" s="22">
        <f t="shared" si="1061"/>
        <v>370.46400000000006</v>
      </c>
      <c r="AR120" s="22">
        <f t="shared" si="1061"/>
        <v>438.72400000000005</v>
      </c>
      <c r="AS120" s="22">
        <f t="shared" si="1061"/>
        <v>439.59900000000005</v>
      </c>
      <c r="AT120" s="22">
        <f t="shared" si="1061"/>
        <v>439.34699999999998</v>
      </c>
      <c r="AU120" s="22">
        <f t="shared" si="1061"/>
        <v>439.55500000000006</v>
      </c>
      <c r="AV120" s="22">
        <f t="shared" si="1061"/>
        <v>439.22500000000002</v>
      </c>
      <c r="AW120" s="22">
        <f t="shared" si="1061"/>
        <v>438.68999999999994</v>
      </c>
      <c r="AX120" s="22">
        <f t="shared" si="1061"/>
        <v>447.33629999999994</v>
      </c>
      <c r="AY120" s="22">
        <f t="shared" si="1061"/>
        <v>447.05930000000001</v>
      </c>
      <c r="AZ120" s="22">
        <f t="shared" si="1061"/>
        <v>433.51900000000001</v>
      </c>
      <c r="BA120" s="22">
        <f t="shared" si="1061"/>
        <v>430.36199999999997</v>
      </c>
      <c r="BB120" s="22">
        <f t="shared" si="1061"/>
        <v>463.84100000000001</v>
      </c>
      <c r="BC120" s="22">
        <f t="shared" si="1061"/>
        <v>463.41599999999994</v>
      </c>
      <c r="BD120" s="22">
        <f t="shared" si="1061"/>
        <v>429.95699999999999</v>
      </c>
      <c r="BE120" s="22">
        <f t="shared" si="1061"/>
        <v>430.197</v>
      </c>
      <c r="BF120" s="22">
        <f t="shared" si="1061"/>
        <v>396.20799999999997</v>
      </c>
      <c r="BG120" s="22">
        <f t="shared" si="1061"/>
        <v>396.85199999999998</v>
      </c>
      <c r="BH120" s="22">
        <f t="shared" si="1061"/>
        <v>387.75199999999995</v>
      </c>
      <c r="BI120" s="22">
        <f t="shared" si="1061"/>
        <v>364.12299999999999</v>
      </c>
      <c r="BJ120" s="22">
        <f t="shared" si="1061"/>
        <v>335.52099999999996</v>
      </c>
      <c r="BK120" s="22">
        <f t="shared" si="1061"/>
        <v>334.95699999999999</v>
      </c>
      <c r="BL120" s="22">
        <f t="shared" si="1061"/>
        <v>335.79599999999999</v>
      </c>
      <c r="BM120" s="22">
        <f t="shared" si="1061"/>
        <v>335.76599999999996</v>
      </c>
      <c r="BN120" s="22">
        <f t="shared" si="1061"/>
        <v>312.31</v>
      </c>
      <c r="BO120" s="22">
        <f t="shared" si="1061"/>
        <v>312.60300000000001</v>
      </c>
      <c r="BP120" s="22">
        <f t="shared" si="1061"/>
        <v>329.07299999999998</v>
      </c>
      <c r="BQ120" s="22">
        <f t="shared" si="1061"/>
        <v>330.28399999999999</v>
      </c>
      <c r="BR120" s="22">
        <f t="shared" si="1061"/>
        <v>327.334</v>
      </c>
      <c r="BS120" s="22">
        <f t="shared" si="1061"/>
        <v>326.49</v>
      </c>
      <c r="BT120" s="22">
        <f t="shared" si="1061"/>
        <v>639.09199999999998</v>
      </c>
      <c r="BU120" s="22">
        <f t="shared" si="1061"/>
        <v>640.42700000000002</v>
      </c>
      <c r="BV120" s="22">
        <f t="shared" si="1061"/>
        <v>794.59100000000001</v>
      </c>
      <c r="BW120" s="22">
        <f t="shared" si="1061"/>
        <v>794.27300000000002</v>
      </c>
      <c r="BX120" s="22">
        <f t="shared" si="1061"/>
        <v>807.851</v>
      </c>
      <c r="BY120" s="22">
        <f t="shared" si="1061"/>
        <v>815.12900000000002</v>
      </c>
      <c r="BZ120" s="22">
        <f t="shared" si="1061"/>
        <v>1103.3340000000001</v>
      </c>
      <c r="CA120" s="22">
        <f t="shared" si="1061"/>
        <v>1111.3230000000001</v>
      </c>
      <c r="CB120" s="22">
        <f t="shared" si="1061"/>
        <v>1438.6320000000001</v>
      </c>
      <c r="CC120" s="22">
        <f t="shared" si="1061"/>
        <v>1498.431</v>
      </c>
      <c r="CD120" s="22">
        <f t="shared" si="1061"/>
        <v>1549.9259999999999</v>
      </c>
      <c r="CE120" s="22">
        <f t="shared" si="1061"/>
        <v>1556.076</v>
      </c>
      <c r="CF120" s="22">
        <f t="shared" ref="CF120:CG120" si="1062">CF117+CF118+CF119</f>
        <v>2642.8070000000002</v>
      </c>
      <c r="CG120" s="22">
        <f t="shared" si="1062"/>
        <v>2662.2470000000003</v>
      </c>
      <c r="CH120" s="22">
        <f t="shared" ref="CH120:CI120" si="1063">CH117+CH118+CH119</f>
        <v>2601.4900000000002</v>
      </c>
      <c r="CI120" s="22">
        <f t="shared" si="1063"/>
        <v>2831.2200000000003</v>
      </c>
      <c r="CJ120" s="22">
        <f t="shared" ref="CJ120:DB120" si="1064">CJ117+CJ118+CJ119</f>
        <v>3309.7799999999997</v>
      </c>
      <c r="CK120" s="21">
        <f t="shared" si="1064"/>
        <v>3301.9199999999996</v>
      </c>
      <c r="CL120" s="22">
        <f t="shared" ref="CL120" si="1065">CL117+CL118+CL119</f>
        <v>4142.59</v>
      </c>
      <c r="CM120" s="21">
        <f t="shared" si="1064"/>
        <v>4163.9746752789561</v>
      </c>
      <c r="CN120" s="21">
        <f t="shared" si="1064"/>
        <v>4289.6705484461454</v>
      </c>
      <c r="CO120" s="21">
        <f t="shared" si="1064"/>
        <v>4391.8627545779063</v>
      </c>
      <c r="CP120" s="21">
        <f t="shared" si="1064"/>
        <v>4567.061568398397</v>
      </c>
      <c r="CQ120" s="21">
        <f t="shared" si="1064"/>
        <v>4598.616840977772</v>
      </c>
      <c r="CR120" s="21">
        <f t="shared" si="1064"/>
        <v>4762.429063840088</v>
      </c>
      <c r="CS120" s="21">
        <f t="shared" si="1064"/>
        <v>4904.8799430948447</v>
      </c>
      <c r="CT120" s="21">
        <f t="shared" si="1064"/>
        <v>5137.4895694578872</v>
      </c>
      <c r="CU120" s="21">
        <f t="shared" si="1064"/>
        <v>5193.545886150403</v>
      </c>
      <c r="CV120" s="21">
        <f t="shared" si="1064"/>
        <v>5412.9296303265792</v>
      </c>
      <c r="CW120" s="21">
        <f t="shared" si="1064"/>
        <v>5609.5457687868338</v>
      </c>
      <c r="CX120" s="21">
        <f t="shared" si="1064"/>
        <v>5917.2782004320379</v>
      </c>
      <c r="CY120" s="21">
        <f t="shared" si="1064"/>
        <v>6013.4368114435829</v>
      </c>
      <c r="CZ120" s="21">
        <f t="shared" si="1064"/>
        <v>6310.7452201548031</v>
      </c>
      <c r="DA120" s="21">
        <f t="shared" si="1064"/>
        <v>6584.008450116241</v>
      </c>
      <c r="DB120" s="21">
        <f t="shared" si="1064"/>
        <v>6995.4841836532405</v>
      </c>
      <c r="DE120" s="126"/>
      <c r="DF120" s="22">
        <v>3205.1737798303129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55.646700000000003</v>
      </c>
      <c r="X122" s="23">
        <f>'Annual Raw'!Y45</f>
        <v>85.195499999999996</v>
      </c>
      <c r="Y122" s="23">
        <f>'Annual Raw'!Z45</f>
        <v>383.209</v>
      </c>
      <c r="Z122" s="23">
        <f>'Annual Raw'!AA45</f>
        <v>523.87</v>
      </c>
      <c r="AA122" s="23">
        <f>'Annual Raw'!AB45</f>
        <v>1290.1400000000001</v>
      </c>
      <c r="AB122" s="24">
        <f>+CP122</f>
        <v>1290.1400000000001</v>
      </c>
      <c r="AC122" s="24">
        <f>+CT122</f>
        <v>1290.1400000000001</v>
      </c>
      <c r="AD122" s="24">
        <f>+CX122</f>
        <v>1290.1400000000001</v>
      </c>
      <c r="AE122" s="24">
        <f>+DB122</f>
        <v>1290.1400000000001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53.444000000000003</v>
      </c>
      <c r="BU122" s="23">
        <f t="shared" si="1066"/>
        <v>53.444000000000003</v>
      </c>
      <c r="BV122" s="23">
        <f>+'QTR Raw'!AP60</f>
        <v>0</v>
      </c>
      <c r="BW122" s="23">
        <f t="shared" si="1066"/>
        <v>0</v>
      </c>
      <c r="BX122" s="23">
        <f>+'QTR Raw'!AR60</f>
        <v>75.150000000000006</v>
      </c>
      <c r="BY122" s="23">
        <f t="shared" si="1066"/>
        <v>75.150000000000006</v>
      </c>
      <c r="BZ122" s="23">
        <f>+'QTR Raw'!AT60</f>
        <v>0</v>
      </c>
      <c r="CA122" s="23">
        <f t="shared" si="1066"/>
        <v>0</v>
      </c>
      <c r="CB122" s="23">
        <f>+'QTR Raw'!AV60</f>
        <v>145.465</v>
      </c>
      <c r="CC122" s="23">
        <f t="shared" si="1066"/>
        <v>145.465</v>
      </c>
      <c r="CD122" s="23">
        <f>+'QTR Raw'!AX60</f>
        <v>383.209</v>
      </c>
      <c r="CE122" s="23">
        <f t="shared" si="1066"/>
        <v>383.209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523.87</v>
      </c>
      <c r="CI122" s="23">
        <f t="shared" si="1067"/>
        <v>523.87</v>
      </c>
      <c r="CJ122" s="23">
        <f>+'QTR Raw'!BD60</f>
        <v>894.28</v>
      </c>
      <c r="CK122" s="24">
        <f t="shared" ref="CK122" si="1069">+CJ122</f>
        <v>894.28</v>
      </c>
      <c r="CL122" s="23">
        <f>+'QTR Raw'!BF60</f>
        <v>1290.1400000000001</v>
      </c>
      <c r="CM122" s="24">
        <f t="shared" ref="CM122" si="1070">+CL122</f>
        <v>1290.1400000000001</v>
      </c>
      <c r="CN122" s="24">
        <f t="shared" ref="CN122" si="1071">+CM122</f>
        <v>1290.1400000000001</v>
      </c>
      <c r="CO122" s="24">
        <f t="shared" ref="CO122" si="1072">+CN122</f>
        <v>1290.1400000000001</v>
      </c>
      <c r="CP122" s="24">
        <f t="shared" ref="CP122" si="1073">+CO122</f>
        <v>1290.1400000000001</v>
      </c>
      <c r="CQ122" s="24">
        <f t="shared" ref="CQ122" si="1074">+CP122</f>
        <v>1290.1400000000001</v>
      </c>
      <c r="CR122" s="24">
        <f t="shared" ref="CR122" si="1075">+CQ122</f>
        <v>1290.1400000000001</v>
      </c>
      <c r="CS122" s="24">
        <f t="shared" ref="CS122" si="1076">+CR122</f>
        <v>1290.1400000000001</v>
      </c>
      <c r="CT122" s="24">
        <f t="shared" ref="CT122" si="1077">+CS122</f>
        <v>1290.1400000000001</v>
      </c>
      <c r="CU122" s="24">
        <f t="shared" ref="CU122" si="1078">+CT122</f>
        <v>1290.1400000000001</v>
      </c>
      <c r="CV122" s="24">
        <f t="shared" ref="CV122" si="1079">+CU122</f>
        <v>1290.1400000000001</v>
      </c>
      <c r="CW122" s="24">
        <f t="shared" ref="CW122" si="1080">+CV122</f>
        <v>1290.1400000000001</v>
      </c>
      <c r="CX122" s="24">
        <f t="shared" ref="CX122" si="1081">+CW122</f>
        <v>1290.1400000000001</v>
      </c>
      <c r="CY122" s="24">
        <f t="shared" ref="CY122" si="1082">+CX122</f>
        <v>1290.1400000000001</v>
      </c>
      <c r="CZ122" s="24">
        <f t="shared" ref="CZ122" si="1083">+CY122</f>
        <v>1290.1400000000001</v>
      </c>
      <c r="DA122" s="24">
        <f t="shared" ref="DA122" si="1084">+CZ122</f>
        <v>1290.1400000000001</v>
      </c>
      <c r="DB122" s="24">
        <f t="shared" ref="DB122" si="1085">+DA122</f>
        <v>1290.1400000000001</v>
      </c>
      <c r="DE122" s="123"/>
      <c r="DF122" s="23">
        <v>894.28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15.737243400000001</v>
      </c>
      <c r="H124" s="23">
        <f>'Annual Raw'!I47</f>
        <v>14.987243400000001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18.860199999999999</v>
      </c>
      <c r="X124" s="23">
        <f>'Annual Raw'!Y47</f>
        <v>0.42649999999999999</v>
      </c>
      <c r="Y124" s="23">
        <f>'Annual Raw'!Z47</f>
        <v>4.6527000000000003</v>
      </c>
      <c r="Z124" s="23">
        <f>'Annual Raw'!AA47</f>
        <v>126.02</v>
      </c>
      <c r="AA124" s="23">
        <f>'Annual Raw'!AB47</f>
        <v>388.87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126.02</v>
      </c>
      <c r="CI124" s="23">
        <f t="shared" si="1092"/>
        <v>126.02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44.178140949000003</v>
      </c>
      <c r="C125" s="23">
        <f>'Annual Raw'!D48</f>
        <v>48.356140949</v>
      </c>
      <c r="D125" s="23">
        <f>'Annual Raw'!E48</f>
        <v>47.10450195</v>
      </c>
      <c r="E125" s="23">
        <f>'Annual Raw'!F48</f>
        <v>47.10450195</v>
      </c>
      <c r="F125" s="23">
        <f>'Annual Raw'!G48</f>
        <v>133.89366890700001</v>
      </c>
      <c r="G125" s="23">
        <f>'Annual Raw'!H48</f>
        <v>154.08523455</v>
      </c>
      <c r="H125" s="23">
        <f>'Annual Raw'!I48</f>
        <v>152.44308032500001</v>
      </c>
      <c r="I125" s="23">
        <f>'Annual Raw'!J48</f>
        <v>223.87543454999999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11.05</v>
      </c>
      <c r="AA125" s="23">
        <f>'Annual Raw'!AB48</f>
        <v>0.31</v>
      </c>
      <c r="AB125" s="24">
        <f t="shared" si="1086"/>
        <v>389.18</v>
      </c>
      <c r="AC125" s="24">
        <f t="shared" si="1087"/>
        <v>389.18</v>
      </c>
      <c r="AD125" s="24">
        <f t="shared" si="1088"/>
        <v>389.18</v>
      </c>
      <c r="AE125" s="24">
        <f t="shared" si="1089"/>
        <v>389.18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0</v>
      </c>
      <c r="BC125" s="23">
        <f t="shared" si="1090"/>
        <v>0</v>
      </c>
      <c r="BD125" s="23">
        <f>+'QTR Raw'!X63</f>
        <v>0</v>
      </c>
      <c r="BE125" s="23">
        <f t="shared" si="1090"/>
        <v>0</v>
      </c>
      <c r="BF125" s="23">
        <f>+'QTR Raw'!Z63</f>
        <v>0</v>
      </c>
      <c r="BG125" s="23">
        <f t="shared" si="1090"/>
        <v>0</v>
      </c>
      <c r="BH125" s="23">
        <f>+'QTR Raw'!AB63</f>
        <v>0</v>
      </c>
      <c r="BI125" s="23">
        <f t="shared" si="1090"/>
        <v>0</v>
      </c>
      <c r="BJ125" s="23">
        <f>+'QTR Raw'!AD63</f>
        <v>0</v>
      </c>
      <c r="BK125" s="23">
        <f t="shared" si="1090"/>
        <v>0</v>
      </c>
      <c r="BL125" s="23">
        <f>+'QTR Raw'!AF63</f>
        <v>0</v>
      </c>
      <c r="BM125" s="23">
        <f t="shared" si="1090"/>
        <v>0</v>
      </c>
      <c r="BN125" s="23">
        <f>+'QTR Raw'!AH63</f>
        <v>0</v>
      </c>
      <c r="BO125" s="23">
        <f t="shared" si="1090"/>
        <v>0</v>
      </c>
      <c r="BP125" s="23">
        <f>+'QTR Raw'!AJ63</f>
        <v>0</v>
      </c>
      <c r="BQ125" s="23">
        <f t="shared" si="1090"/>
        <v>0</v>
      </c>
      <c r="BR125" s="23">
        <f>+'QTR Raw'!AL63</f>
        <v>0</v>
      </c>
      <c r="BS125" s="23">
        <f t="shared" si="1090"/>
        <v>0</v>
      </c>
      <c r="BT125" s="23">
        <f>+'QTR Raw'!AN63</f>
        <v>0.40400000000000003</v>
      </c>
      <c r="BU125" s="23">
        <f t="shared" si="1090"/>
        <v>0.40400000000000003</v>
      </c>
      <c r="BV125" s="23">
        <f>+'QTR Raw'!AP63</f>
        <v>18.86</v>
      </c>
      <c r="BW125" s="23">
        <f t="shared" si="1090"/>
        <v>18.86</v>
      </c>
      <c r="BX125" s="23">
        <f>+'QTR Raw'!AR63</f>
        <v>18.901</v>
      </c>
      <c r="BY125" s="23">
        <f t="shared" si="1090"/>
        <v>18.901</v>
      </c>
      <c r="BZ125" s="23">
        <f>+'QTR Raw'!AT63</f>
        <v>0.42599999999999999</v>
      </c>
      <c r="CA125" s="23">
        <f t="shared" si="1090"/>
        <v>0.42599999999999999</v>
      </c>
      <c r="CB125" s="23">
        <f>+'QTR Raw'!AV63</f>
        <v>0.373</v>
      </c>
      <c r="CC125" s="23">
        <f t="shared" si="1090"/>
        <v>0.373</v>
      </c>
      <c r="CD125" s="23">
        <f>+'QTR Raw'!AX63</f>
        <v>4.6529999999999996</v>
      </c>
      <c r="CE125" s="23">
        <f t="shared" si="1091"/>
        <v>4.6529999999999996</v>
      </c>
      <c r="CF125" s="23">
        <f>+'QTR Raw'!AZ63</f>
        <v>4.0549999999999997</v>
      </c>
      <c r="CG125" s="23">
        <f t="shared" si="1092"/>
        <v>4.0549999999999997</v>
      </c>
      <c r="CH125" s="23">
        <f t="shared" si="1068"/>
        <v>11.05</v>
      </c>
      <c r="CI125" s="23">
        <f t="shared" si="1092"/>
        <v>11.05</v>
      </c>
      <c r="CJ125" s="23">
        <f>+'QTR Raw'!BD63</f>
        <v>161.07</v>
      </c>
      <c r="CK125" s="24">
        <f t="shared" si="1093"/>
        <v>161.07</v>
      </c>
      <c r="CL125" s="23">
        <f>+'QTR Raw'!BF63</f>
        <v>389.18</v>
      </c>
      <c r="CM125" s="24">
        <f t="shared" si="1094"/>
        <v>389.18</v>
      </c>
      <c r="CN125" s="24">
        <f t="shared" si="1095"/>
        <v>389.18</v>
      </c>
      <c r="CO125" s="24">
        <f t="shared" si="1096"/>
        <v>389.18</v>
      </c>
      <c r="CP125" s="24">
        <f t="shared" si="1097"/>
        <v>389.18</v>
      </c>
      <c r="CQ125" s="24">
        <f t="shared" si="1098"/>
        <v>389.18</v>
      </c>
      <c r="CR125" s="24">
        <f t="shared" si="1099"/>
        <v>389.18</v>
      </c>
      <c r="CS125" s="24">
        <f t="shared" si="1100"/>
        <v>389.18</v>
      </c>
      <c r="CT125" s="24">
        <f t="shared" si="1101"/>
        <v>389.18</v>
      </c>
      <c r="CU125" s="24">
        <f t="shared" si="1102"/>
        <v>389.18</v>
      </c>
      <c r="CV125" s="24">
        <f t="shared" si="1103"/>
        <v>389.18</v>
      </c>
      <c r="CW125" s="24">
        <f t="shared" si="1104"/>
        <v>389.18</v>
      </c>
      <c r="CX125" s="24">
        <f t="shared" si="1105"/>
        <v>389.18</v>
      </c>
      <c r="CY125" s="24">
        <f t="shared" si="1106"/>
        <v>389.18</v>
      </c>
      <c r="CZ125" s="24">
        <f t="shared" si="1107"/>
        <v>389.18</v>
      </c>
      <c r="DA125" s="24">
        <f t="shared" si="1108"/>
        <v>389.18</v>
      </c>
      <c r="DB125" s="24">
        <f t="shared" si="1109"/>
        <v>389.18</v>
      </c>
      <c r="DE125" s="123"/>
      <c r="DF125" s="23">
        <v>161.07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2.3769999999999998</v>
      </c>
      <c r="X126" s="23">
        <f>'Annual Raw'!Y87+'Annual Raw'!Y88+'Annual Raw'!Y89+'Annual Raw'!Y90</f>
        <v>20.985899999999997</v>
      </c>
      <c r="Y126" s="23">
        <f>'Annual Raw'!Z87+'Annual Raw'!Z88+'Annual Raw'!Z89+'Annual Raw'!Z90</f>
        <v>1.1614</v>
      </c>
      <c r="Z126" s="23">
        <f>'Annual Raw'!AA87+'Annual Raw'!AA88+'Annual Raw'!AA89+'Annual Raw'!AA90</f>
        <v>46.16</v>
      </c>
      <c r="AA126" s="23">
        <f>'Annual Raw'!AB87+'Annual Raw'!AB88+'Annual Raw'!AB89+'Annual Raw'!AB90</f>
        <v>110.93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46.16</v>
      </c>
      <c r="CI126" s="23">
        <f t="shared" si="1092"/>
        <v>46.16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2.1194000000000002</v>
      </c>
      <c r="W127" s="23">
        <f>'Annual Raw'!X56</f>
        <v>0</v>
      </c>
      <c r="X127" s="23">
        <f>'Annual Raw'!Y56</f>
        <v>42.703800000000001</v>
      </c>
      <c r="Y127" s="23">
        <f>'Annual Raw'!Z56</f>
        <v>104.0565</v>
      </c>
      <c r="Z127" s="23">
        <f>'Annual Raw'!AA56</f>
        <v>391.91</v>
      </c>
      <c r="AA127" s="23">
        <f>'Annual Raw'!AB56</f>
        <v>223.26</v>
      </c>
      <c r="AB127" s="24">
        <f t="shared" si="1086"/>
        <v>334.19</v>
      </c>
      <c r="AC127" s="24">
        <f t="shared" si="1087"/>
        <v>334.19</v>
      </c>
      <c r="AD127" s="24">
        <f t="shared" si="1088"/>
        <v>334.19</v>
      </c>
      <c r="AE127" s="24">
        <f t="shared" si="1089"/>
        <v>334.19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4.1269999999999998</v>
      </c>
      <c r="AS127" s="23">
        <f t="shared" si="1090"/>
        <v>4.1269999999999998</v>
      </c>
      <c r="AT127" s="23">
        <f>+'QTR Raw'!N88</f>
        <v>0</v>
      </c>
      <c r="AU127" s="23">
        <f t="shared" si="1090"/>
        <v>0</v>
      </c>
      <c r="AV127" s="23">
        <f>+'QTR Raw'!P88</f>
        <v>6.25</v>
      </c>
      <c r="AW127" s="23">
        <f t="shared" si="1090"/>
        <v>6.25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0</v>
      </c>
      <c r="BQ127" s="23">
        <f t="shared" si="1090"/>
        <v>0</v>
      </c>
      <c r="BR127" s="23">
        <f>+'QTR Raw'!AL88</f>
        <v>2.1190000000000002</v>
      </c>
      <c r="BS127" s="23">
        <f t="shared" si="1090"/>
        <v>2.1190000000000002</v>
      </c>
      <c r="BT127" s="23">
        <f>+'QTR Raw'!AN88</f>
        <v>0</v>
      </c>
      <c r="BU127" s="23">
        <f t="shared" si="1090"/>
        <v>0</v>
      </c>
      <c r="BV127" s="23">
        <f>+'QTR Raw'!AP88</f>
        <v>0</v>
      </c>
      <c r="BW127" s="23">
        <f t="shared" si="1090"/>
        <v>0</v>
      </c>
      <c r="BX127" s="23">
        <f>+'QTR Raw'!AR88</f>
        <v>0.43</v>
      </c>
      <c r="BY127" s="23">
        <f t="shared" si="1090"/>
        <v>0.43</v>
      </c>
      <c r="BZ127" s="23">
        <f>+'QTR Raw'!AT88</f>
        <v>63.69</v>
      </c>
      <c r="CA127" s="23">
        <f t="shared" si="1090"/>
        <v>63.69</v>
      </c>
      <c r="CB127" s="23">
        <f>+'QTR Raw'!AV88</f>
        <v>22.748999999999999</v>
      </c>
      <c r="CC127" s="23">
        <f t="shared" si="1090"/>
        <v>22.748999999999999</v>
      </c>
      <c r="CD127" s="23">
        <f>+'QTR Raw'!AX88</f>
        <v>105.218</v>
      </c>
      <c r="CE127" s="23">
        <f t="shared" si="1091"/>
        <v>105.218</v>
      </c>
      <c r="CF127" s="23">
        <f>+'QTR Raw'!AZ88</f>
        <v>410.35899999999998</v>
      </c>
      <c r="CG127" s="23">
        <f t="shared" si="1092"/>
        <v>410.35899999999998</v>
      </c>
      <c r="CH127" s="23">
        <f t="shared" si="1068"/>
        <v>391.91</v>
      </c>
      <c r="CI127" s="23">
        <f t="shared" si="1092"/>
        <v>391.91</v>
      </c>
      <c r="CJ127" s="23">
        <f>+'QTR Raw'!BD88</f>
        <v>440.74</v>
      </c>
      <c r="CK127" s="24">
        <f t="shared" si="1093"/>
        <v>440.74</v>
      </c>
      <c r="CL127" s="23">
        <f>+'QTR Raw'!BF88</f>
        <v>334.19</v>
      </c>
      <c r="CM127" s="24">
        <f t="shared" si="1094"/>
        <v>334.19</v>
      </c>
      <c r="CN127" s="24">
        <f t="shared" si="1095"/>
        <v>334.19</v>
      </c>
      <c r="CO127" s="24">
        <f t="shared" si="1096"/>
        <v>334.19</v>
      </c>
      <c r="CP127" s="24">
        <f t="shared" si="1097"/>
        <v>334.19</v>
      </c>
      <c r="CQ127" s="24">
        <f t="shared" si="1098"/>
        <v>334.19</v>
      </c>
      <c r="CR127" s="24">
        <f t="shared" si="1099"/>
        <v>334.19</v>
      </c>
      <c r="CS127" s="24">
        <f t="shared" si="1100"/>
        <v>334.19</v>
      </c>
      <c r="CT127" s="24">
        <f t="shared" si="1101"/>
        <v>334.19</v>
      </c>
      <c r="CU127" s="24">
        <f t="shared" si="1102"/>
        <v>334.19</v>
      </c>
      <c r="CV127" s="24">
        <f t="shared" si="1103"/>
        <v>334.19</v>
      </c>
      <c r="CW127" s="24">
        <f t="shared" si="1104"/>
        <v>334.19</v>
      </c>
      <c r="CX127" s="24">
        <f t="shared" si="1105"/>
        <v>334.19</v>
      </c>
      <c r="CY127" s="24">
        <f t="shared" si="1106"/>
        <v>334.19</v>
      </c>
      <c r="CZ127" s="24">
        <f t="shared" si="1107"/>
        <v>334.19</v>
      </c>
      <c r="DA127" s="24">
        <f t="shared" si="1108"/>
        <v>334.19</v>
      </c>
      <c r="DB127" s="24">
        <f t="shared" si="1109"/>
        <v>334.19</v>
      </c>
      <c r="DE127" s="123"/>
      <c r="DF127" s="23">
        <v>440.74</v>
      </c>
    </row>
    <row r="128" spans="1:110" s="22" customFormat="1" x14ac:dyDescent="0.2">
      <c r="A128" s="22" t="s">
        <v>49</v>
      </c>
      <c r="B128" s="22">
        <f>SUM(B124:B127)</f>
        <v>44.178140949000003</v>
      </c>
      <c r="C128" s="22">
        <f t="shared" ref="C128:V128" si="1110">SUM(C124:C127)</f>
        <v>48.356140949</v>
      </c>
      <c r="D128" s="22">
        <f t="shared" si="1110"/>
        <v>47.10450195</v>
      </c>
      <c r="E128" s="22">
        <f t="shared" si="1110"/>
        <v>47.10450195</v>
      </c>
      <c r="F128" s="22">
        <f t="shared" si="1110"/>
        <v>133.89366890700001</v>
      </c>
      <c r="G128" s="22">
        <f t="shared" si="1110"/>
        <v>169.82247795000001</v>
      </c>
      <c r="H128" s="22">
        <f t="shared" si="1110"/>
        <v>167.43032372500002</v>
      </c>
      <c r="I128" s="22">
        <f t="shared" si="1110"/>
        <v>223.87543454999999</v>
      </c>
      <c r="J128" s="22">
        <f t="shared" si="1110"/>
        <v>0</v>
      </c>
      <c r="K128" s="22">
        <f t="shared" si="1110"/>
        <v>0</v>
      </c>
      <c r="L128" s="22">
        <f t="shared" si="1110"/>
        <v>0</v>
      </c>
      <c r="M128" s="22">
        <f t="shared" si="1110"/>
        <v>0</v>
      </c>
      <c r="N128" s="22">
        <f t="shared" si="1110"/>
        <v>0</v>
      </c>
      <c r="O128" s="22">
        <f t="shared" si="1110"/>
        <v>0</v>
      </c>
      <c r="P128" s="22">
        <f t="shared" si="1110"/>
        <v>0</v>
      </c>
      <c r="Q128" s="22">
        <f t="shared" si="1110"/>
        <v>0</v>
      </c>
      <c r="R128" s="22">
        <f t="shared" si="1110"/>
        <v>0</v>
      </c>
      <c r="S128" s="22">
        <f t="shared" si="1110"/>
        <v>0</v>
      </c>
      <c r="T128" s="22">
        <f t="shared" si="1110"/>
        <v>0</v>
      </c>
      <c r="U128" s="22">
        <f t="shared" si="1110"/>
        <v>0</v>
      </c>
      <c r="V128" s="22">
        <f t="shared" si="1110"/>
        <v>2.1194000000000002</v>
      </c>
      <c r="W128" s="22">
        <f t="shared" ref="W128" si="1111">SUM(W124:W127)</f>
        <v>21.237199999999998</v>
      </c>
      <c r="X128" s="22">
        <f t="shared" ref="X128:Y128" si="1112">SUM(X124:X127)</f>
        <v>64.116199999999992</v>
      </c>
      <c r="Y128" s="22">
        <f t="shared" si="1112"/>
        <v>109.8706</v>
      </c>
      <c r="Z128" s="22">
        <f t="shared" ref="Z128:AA128" si="1113">SUM(Z124:Z127)</f>
        <v>575.14</v>
      </c>
      <c r="AA128" s="22">
        <f t="shared" si="1113"/>
        <v>723.37</v>
      </c>
      <c r="AB128" s="21">
        <f t="shared" ref="AA128:AD128" si="1114">SUM(AB124:AB127)</f>
        <v>723.37</v>
      </c>
      <c r="AC128" s="21">
        <f t="shared" si="1114"/>
        <v>723.37</v>
      </c>
      <c r="AD128" s="21">
        <f t="shared" si="1114"/>
        <v>723.37</v>
      </c>
      <c r="AE128" s="21">
        <f t="shared" ref="AE128" si="1115">SUM(AE124:AE127)</f>
        <v>723.37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4.1269999999999998</v>
      </c>
      <c r="AS128" s="22">
        <f t="shared" si="1120"/>
        <v>4.1269999999999998</v>
      </c>
      <c r="AT128" s="22">
        <f t="shared" si="1120"/>
        <v>0</v>
      </c>
      <c r="AU128" s="22">
        <f t="shared" si="1120"/>
        <v>0</v>
      </c>
      <c r="AV128" s="22">
        <f t="shared" si="1120"/>
        <v>6.25</v>
      </c>
      <c r="AW128" s="22">
        <f t="shared" si="1120"/>
        <v>6.25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0</v>
      </c>
      <c r="BC128" s="22">
        <f t="shared" si="1120"/>
        <v>0</v>
      </c>
      <c r="BD128" s="22">
        <f t="shared" si="1120"/>
        <v>0</v>
      </c>
      <c r="BE128" s="22">
        <f t="shared" si="1120"/>
        <v>0</v>
      </c>
      <c r="BF128" s="22">
        <f t="shared" si="1120"/>
        <v>0</v>
      </c>
      <c r="BG128" s="22">
        <f t="shared" si="1120"/>
        <v>0</v>
      </c>
      <c r="BH128" s="22">
        <f t="shared" ref="BH128" si="1121">SUM(BH124:BH127)</f>
        <v>0</v>
      </c>
      <c r="BI128" s="22">
        <f t="shared" si="1120"/>
        <v>0</v>
      </c>
      <c r="BJ128" s="22">
        <f t="shared" si="1120"/>
        <v>0</v>
      </c>
      <c r="BK128" s="22">
        <f t="shared" si="1120"/>
        <v>0</v>
      </c>
      <c r="BL128" s="22">
        <f t="shared" si="1120"/>
        <v>0</v>
      </c>
      <c r="BM128" s="22">
        <f t="shared" si="1120"/>
        <v>0</v>
      </c>
      <c r="BN128" s="22">
        <f t="shared" si="1120"/>
        <v>0</v>
      </c>
      <c r="BO128" s="22">
        <f t="shared" si="1120"/>
        <v>0</v>
      </c>
      <c r="BP128" s="22">
        <f t="shared" si="1120"/>
        <v>0</v>
      </c>
      <c r="BQ128" s="22">
        <f t="shared" si="1120"/>
        <v>0</v>
      </c>
      <c r="BR128" s="22">
        <f t="shared" si="1120"/>
        <v>2.1190000000000002</v>
      </c>
      <c r="BS128" s="22">
        <f t="shared" si="1120"/>
        <v>2.1190000000000002</v>
      </c>
      <c r="BT128" s="22">
        <f t="shared" si="1120"/>
        <v>0.40400000000000003</v>
      </c>
      <c r="BU128" s="22">
        <f t="shared" si="1120"/>
        <v>0.40400000000000003</v>
      </c>
      <c r="BV128" s="22">
        <f t="shared" si="1120"/>
        <v>18.86</v>
      </c>
      <c r="BW128" s="22">
        <f t="shared" si="1120"/>
        <v>18.86</v>
      </c>
      <c r="BX128" s="22">
        <f t="shared" si="1120"/>
        <v>19.331</v>
      </c>
      <c r="BY128" s="22">
        <f t="shared" si="1120"/>
        <v>19.331</v>
      </c>
      <c r="BZ128" s="22">
        <f t="shared" si="1120"/>
        <v>64.116</v>
      </c>
      <c r="CA128" s="22">
        <f t="shared" si="1120"/>
        <v>64.116</v>
      </c>
      <c r="CB128" s="22">
        <f t="shared" si="1120"/>
        <v>23.122</v>
      </c>
      <c r="CC128" s="22">
        <f t="shared" si="1120"/>
        <v>23.122</v>
      </c>
      <c r="CD128" s="22">
        <f t="shared" si="1120"/>
        <v>109.87100000000001</v>
      </c>
      <c r="CE128" s="22">
        <f t="shared" si="1120"/>
        <v>109.87100000000001</v>
      </c>
      <c r="CF128" s="22">
        <f t="shared" ref="CF128:CG128" si="1122">SUM(CF124:CF127)</f>
        <v>414.41399999999999</v>
      </c>
      <c r="CG128" s="22">
        <f t="shared" si="1122"/>
        <v>414.41399999999999</v>
      </c>
      <c r="CH128" s="22">
        <f t="shared" ref="CH128:CI128" si="1123">SUM(CH124:CH127)</f>
        <v>575.14</v>
      </c>
      <c r="CI128" s="22">
        <f t="shared" si="1123"/>
        <v>575.14</v>
      </c>
      <c r="CJ128" s="22">
        <f t="shared" ref="CJ128:DB128" si="1124">SUM(CJ124:CJ127)</f>
        <v>601.80999999999995</v>
      </c>
      <c r="CK128" s="21">
        <f t="shared" si="1124"/>
        <v>601.80999999999995</v>
      </c>
      <c r="CL128" s="22">
        <f t="shared" ref="CL128" si="1125">SUM(CL124:CL127)</f>
        <v>723.37</v>
      </c>
      <c r="CM128" s="21">
        <f t="shared" si="1124"/>
        <v>723.37</v>
      </c>
      <c r="CN128" s="21">
        <f t="shared" si="1124"/>
        <v>723.37</v>
      </c>
      <c r="CO128" s="21">
        <f t="shared" si="1124"/>
        <v>723.37</v>
      </c>
      <c r="CP128" s="21">
        <f t="shared" si="1124"/>
        <v>723.37</v>
      </c>
      <c r="CQ128" s="21">
        <f t="shared" si="1124"/>
        <v>723.37</v>
      </c>
      <c r="CR128" s="21">
        <f t="shared" si="1124"/>
        <v>723.37</v>
      </c>
      <c r="CS128" s="21">
        <f t="shared" si="1124"/>
        <v>723.37</v>
      </c>
      <c r="CT128" s="21">
        <f t="shared" si="1124"/>
        <v>723.37</v>
      </c>
      <c r="CU128" s="21">
        <f t="shared" si="1124"/>
        <v>723.37</v>
      </c>
      <c r="CV128" s="21">
        <f t="shared" si="1124"/>
        <v>723.37</v>
      </c>
      <c r="CW128" s="21">
        <f t="shared" si="1124"/>
        <v>723.37</v>
      </c>
      <c r="CX128" s="21">
        <f t="shared" si="1124"/>
        <v>723.37</v>
      </c>
      <c r="CY128" s="21">
        <f t="shared" si="1124"/>
        <v>723.37</v>
      </c>
      <c r="CZ128" s="21">
        <f t="shared" si="1124"/>
        <v>723.37</v>
      </c>
      <c r="DA128" s="21">
        <f t="shared" si="1124"/>
        <v>723.37</v>
      </c>
      <c r="DB128" s="21">
        <f t="shared" si="1124"/>
        <v>723.37</v>
      </c>
      <c r="DE128" s="126"/>
      <c r="DF128" s="22">
        <v>601.80999999999995</v>
      </c>
    </row>
    <row r="129" spans="1:110" s="26" customFormat="1" x14ac:dyDescent="0.2">
      <c r="A129" s="26" t="s">
        <v>437</v>
      </c>
      <c r="B129" s="26">
        <f>B128+B120+B122</f>
        <v>122.94556121400001</v>
      </c>
      <c r="C129" s="26">
        <f t="shared" ref="C129:V129" si="1126">C128+C120+C122</f>
        <v>126.306511922</v>
      </c>
      <c r="D129" s="26">
        <f>D128+D120+D122</f>
        <v>124.746637845</v>
      </c>
      <c r="E129" s="26">
        <f t="shared" si="1126"/>
        <v>104.003834441</v>
      </c>
      <c r="F129" s="26">
        <f t="shared" si="1126"/>
        <v>184.830034224</v>
      </c>
      <c r="G129" s="26">
        <f t="shared" si="1126"/>
        <v>382.487690176</v>
      </c>
      <c r="H129" s="26">
        <f t="shared" si="1126"/>
        <v>380.10443832300007</v>
      </c>
      <c r="I129" s="26">
        <f t="shared" si="1126"/>
        <v>441.72462661099996</v>
      </c>
      <c r="J129" s="26">
        <f t="shared" si="1126"/>
        <v>217.930817733</v>
      </c>
      <c r="K129" s="26">
        <f t="shared" si="1126"/>
        <v>761.12049999999999</v>
      </c>
      <c r="L129" s="26">
        <f t="shared" si="1126"/>
        <v>755.72129999999993</v>
      </c>
      <c r="M129" s="26">
        <f t="shared" si="1126"/>
        <v>368.50260000000003</v>
      </c>
      <c r="N129" s="26">
        <f t="shared" si="1126"/>
        <v>369.91980000000001</v>
      </c>
      <c r="O129" s="26">
        <f t="shared" si="1126"/>
        <v>370.67384049999998</v>
      </c>
      <c r="P129" s="26">
        <f t="shared" si="1126"/>
        <v>450.0570927</v>
      </c>
      <c r="Q129" s="26">
        <f t="shared" si="1126"/>
        <v>447.33505049999997</v>
      </c>
      <c r="R129" s="26">
        <f t="shared" si="1126"/>
        <v>463.84013279999999</v>
      </c>
      <c r="S129" s="26">
        <f t="shared" si="1126"/>
        <v>396.20810000000006</v>
      </c>
      <c r="T129" s="26">
        <f t="shared" si="1126"/>
        <v>335.52020000000005</v>
      </c>
      <c r="U129" s="26">
        <f t="shared" si="1126"/>
        <v>312.31</v>
      </c>
      <c r="V129" s="26">
        <f t="shared" si="1126"/>
        <v>329.45429999999999</v>
      </c>
      <c r="W129" s="26">
        <f t="shared" ref="W129" si="1127">W128+W120+W122</f>
        <v>815.8279</v>
      </c>
      <c r="X129" s="26">
        <f t="shared" ref="X129:Y129" si="1128">X128+X120+X122</f>
        <v>1167.4498000000001</v>
      </c>
      <c r="Y129" s="26">
        <f t="shared" si="1128"/>
        <v>2043.0049000000001</v>
      </c>
      <c r="Z129" s="26">
        <f t="shared" ref="Z129:AA129" si="1129">Z128+Z120+Z122</f>
        <v>3700.5</v>
      </c>
      <c r="AA129" s="26">
        <f t="shared" si="1129"/>
        <v>6156.1</v>
      </c>
      <c r="AB129" s="27">
        <f t="shared" ref="AA129:AD129" si="1130">AB128+AB120+AB122</f>
        <v>6580.5715683983972</v>
      </c>
      <c r="AC129" s="27">
        <f t="shared" si="1130"/>
        <v>7150.9995694578874</v>
      </c>
      <c r="AD129" s="27">
        <f t="shared" si="1130"/>
        <v>7930.7882004320381</v>
      </c>
      <c r="AE129" s="27">
        <f t="shared" ref="AE129" si="1131">AE128+AE120+AE122</f>
        <v>9008.9941836532398</v>
      </c>
      <c r="AJ129" s="26">
        <f t="shared" ref="AJ129" si="1132">AJ128+AJ120+AJ122</f>
        <v>370.27499999999998</v>
      </c>
      <c r="AK129" s="26">
        <f t="shared" ref="AK129" si="1133">AK128+AK120+AK122</f>
        <v>369.928</v>
      </c>
      <c r="AL129" s="26">
        <f t="shared" ref="AL129" si="1134">AL128+AL120+AL122</f>
        <v>369.91999999999996</v>
      </c>
      <c r="AM129" s="26">
        <f t="shared" ref="AM129:AO129" si="1135">AM128+AM120+AM122</f>
        <v>358.90300000000002</v>
      </c>
      <c r="AN129" s="26">
        <f t="shared" si="1135"/>
        <v>358.53399999999999</v>
      </c>
      <c r="AO129" s="26">
        <f t="shared" si="1135"/>
        <v>358.291</v>
      </c>
      <c r="AP129" s="26">
        <f t="shared" ref="AP129:CE129" si="1136">AP128+AP120+AP122</f>
        <v>370.67399999999998</v>
      </c>
      <c r="AQ129" s="26">
        <f t="shared" si="1136"/>
        <v>370.46400000000006</v>
      </c>
      <c r="AR129" s="26">
        <f t="shared" si="1136"/>
        <v>442.85100000000006</v>
      </c>
      <c r="AS129" s="26">
        <f t="shared" si="1136"/>
        <v>443.72600000000006</v>
      </c>
      <c r="AT129" s="26">
        <f t="shared" si="1136"/>
        <v>439.34699999999998</v>
      </c>
      <c r="AU129" s="26">
        <f t="shared" si="1136"/>
        <v>439.55500000000006</v>
      </c>
      <c r="AV129" s="26">
        <f t="shared" si="1136"/>
        <v>445.47500000000002</v>
      </c>
      <c r="AW129" s="26">
        <f t="shared" si="1136"/>
        <v>444.93999999999994</v>
      </c>
      <c r="AX129" s="26">
        <f t="shared" si="1136"/>
        <v>447.33629999999994</v>
      </c>
      <c r="AY129" s="26">
        <f t="shared" si="1136"/>
        <v>447.05930000000001</v>
      </c>
      <c r="AZ129" s="26">
        <f t="shared" si="1136"/>
        <v>433.51900000000001</v>
      </c>
      <c r="BA129" s="26">
        <f t="shared" si="1136"/>
        <v>430.36199999999997</v>
      </c>
      <c r="BB129" s="26">
        <f t="shared" si="1136"/>
        <v>463.84100000000001</v>
      </c>
      <c r="BC129" s="26">
        <f t="shared" si="1136"/>
        <v>463.41599999999994</v>
      </c>
      <c r="BD129" s="26">
        <f t="shared" si="1136"/>
        <v>429.95699999999999</v>
      </c>
      <c r="BE129" s="26">
        <f t="shared" si="1136"/>
        <v>430.197</v>
      </c>
      <c r="BF129" s="26">
        <f t="shared" si="1136"/>
        <v>396.20799999999997</v>
      </c>
      <c r="BG129" s="26">
        <f t="shared" si="1136"/>
        <v>396.85199999999998</v>
      </c>
      <c r="BH129" s="26">
        <f t="shared" ref="BH129" si="1137">BH128+BH120+BH122</f>
        <v>387.75199999999995</v>
      </c>
      <c r="BI129" s="26">
        <f t="shared" si="1136"/>
        <v>364.12299999999999</v>
      </c>
      <c r="BJ129" s="26">
        <f t="shared" si="1136"/>
        <v>335.52099999999996</v>
      </c>
      <c r="BK129" s="26">
        <f t="shared" si="1136"/>
        <v>334.95699999999999</v>
      </c>
      <c r="BL129" s="26">
        <f t="shared" si="1136"/>
        <v>335.79599999999999</v>
      </c>
      <c r="BM129" s="26">
        <f t="shared" si="1136"/>
        <v>335.76599999999996</v>
      </c>
      <c r="BN129" s="26">
        <f t="shared" si="1136"/>
        <v>312.31</v>
      </c>
      <c r="BO129" s="26">
        <f t="shared" si="1136"/>
        <v>312.60300000000001</v>
      </c>
      <c r="BP129" s="26">
        <f t="shared" si="1136"/>
        <v>329.07299999999998</v>
      </c>
      <c r="BQ129" s="26">
        <f t="shared" si="1136"/>
        <v>330.28399999999999</v>
      </c>
      <c r="BR129" s="26">
        <f t="shared" si="1136"/>
        <v>329.45300000000003</v>
      </c>
      <c r="BS129" s="26">
        <f t="shared" si="1136"/>
        <v>328.60900000000004</v>
      </c>
      <c r="BT129" s="26">
        <f t="shared" si="1136"/>
        <v>692.93999999999994</v>
      </c>
      <c r="BU129" s="26">
        <f t="shared" si="1136"/>
        <v>694.27499999999998</v>
      </c>
      <c r="BV129" s="26">
        <f t="shared" si="1136"/>
        <v>813.45100000000002</v>
      </c>
      <c r="BW129" s="26">
        <f t="shared" si="1136"/>
        <v>813.13300000000004</v>
      </c>
      <c r="BX129" s="26">
        <f t="shared" si="1136"/>
        <v>902.33199999999999</v>
      </c>
      <c r="BY129" s="26">
        <f t="shared" si="1136"/>
        <v>909.61</v>
      </c>
      <c r="BZ129" s="26">
        <f t="shared" si="1136"/>
        <v>1167.45</v>
      </c>
      <c r="CA129" s="26">
        <f t="shared" si="1136"/>
        <v>1175.4390000000001</v>
      </c>
      <c r="CB129" s="26">
        <f t="shared" si="1136"/>
        <v>1607.2190000000001</v>
      </c>
      <c r="CC129" s="26">
        <f t="shared" si="1136"/>
        <v>1667.018</v>
      </c>
      <c r="CD129" s="26">
        <f t="shared" si="1136"/>
        <v>2043.0060000000001</v>
      </c>
      <c r="CE129" s="26">
        <f t="shared" si="1136"/>
        <v>2049.1559999999999</v>
      </c>
      <c r="CF129" s="26">
        <f t="shared" ref="CF129:CG129" si="1138">CF128+CF120+CF122</f>
        <v>3057.2210000000005</v>
      </c>
      <c r="CG129" s="26">
        <f t="shared" si="1138"/>
        <v>3076.6610000000001</v>
      </c>
      <c r="CH129" s="26">
        <f t="shared" ref="CH129:CI129" si="1139">CH128+CH120+CH122</f>
        <v>3700.5</v>
      </c>
      <c r="CI129" s="26">
        <f t="shared" si="1139"/>
        <v>3930.23</v>
      </c>
      <c r="CJ129" s="26">
        <f t="shared" ref="CJ129:DB129" si="1140">CJ128+CJ120+CJ122</f>
        <v>4805.87</v>
      </c>
      <c r="CK129" s="27">
        <f t="shared" si="1140"/>
        <v>4798.0099999999993</v>
      </c>
      <c r="CL129" s="26">
        <f t="shared" ref="CL129" si="1141">CL128+CL120+CL122</f>
        <v>6156.1</v>
      </c>
      <c r="CM129" s="27">
        <f t="shared" si="1140"/>
        <v>6177.4846752789563</v>
      </c>
      <c r="CN129" s="27">
        <f t="shared" si="1140"/>
        <v>6303.1805484461456</v>
      </c>
      <c r="CO129" s="27">
        <f t="shared" si="1140"/>
        <v>6405.3727545779066</v>
      </c>
      <c r="CP129" s="27">
        <f t="shared" si="1140"/>
        <v>6580.5715683983972</v>
      </c>
      <c r="CQ129" s="27">
        <f t="shared" si="1140"/>
        <v>6612.1268409777722</v>
      </c>
      <c r="CR129" s="27">
        <f t="shared" si="1140"/>
        <v>6775.9390638400882</v>
      </c>
      <c r="CS129" s="27">
        <f t="shared" si="1140"/>
        <v>6918.389943094845</v>
      </c>
      <c r="CT129" s="27">
        <f t="shared" si="1140"/>
        <v>7150.9995694578874</v>
      </c>
      <c r="CU129" s="27">
        <f t="shared" si="1140"/>
        <v>7207.0558861504032</v>
      </c>
      <c r="CV129" s="27">
        <f t="shared" si="1140"/>
        <v>7426.4396303265794</v>
      </c>
      <c r="CW129" s="27">
        <f t="shared" si="1140"/>
        <v>7623.0557687868341</v>
      </c>
      <c r="CX129" s="27">
        <f t="shared" si="1140"/>
        <v>7930.7882004320381</v>
      </c>
      <c r="CY129" s="27">
        <f t="shared" si="1140"/>
        <v>8026.9468114435831</v>
      </c>
      <c r="CZ129" s="27">
        <f t="shared" si="1140"/>
        <v>8324.2552201548024</v>
      </c>
      <c r="DA129" s="27">
        <f t="shared" si="1140"/>
        <v>8597.5184501162403</v>
      </c>
      <c r="DB129" s="27">
        <f t="shared" si="1140"/>
        <v>9008.9941836532398</v>
      </c>
      <c r="DE129" s="121"/>
      <c r="DF129" s="26">
        <v>4701.2637798303131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2.2187862300000001</v>
      </c>
      <c r="C131" s="23">
        <f>'Annual Raw'!D62</f>
        <v>2.2080561300000001</v>
      </c>
      <c r="D131" s="23">
        <f>'Annual Raw'!E62</f>
        <v>2.1680868000000002</v>
      </c>
      <c r="E131" s="23">
        <f>'Annual Raw'!F62-E135</f>
        <v>0.2375077000000001</v>
      </c>
      <c r="F131" s="23">
        <f>'Annual Raw'!G62-F135</f>
        <v>0.2375077000000001</v>
      </c>
      <c r="G131" s="23">
        <f>'Annual Raw'!H62-G135</f>
        <v>0.68840069999999998</v>
      </c>
      <c r="H131" s="23">
        <f>'Annual Raw'!I62-H135</f>
        <v>0.6902007</v>
      </c>
      <c r="I131" s="23">
        <f>'Annual Raw'!J62-I135</f>
        <v>0.6902007</v>
      </c>
      <c r="J131" s="23">
        <f>'Annual Raw'!K62-J135</f>
        <v>0.69274570000000002</v>
      </c>
      <c r="K131" s="23">
        <f>'Annual Raw'!L62-K135</f>
        <v>0.69279999999999997</v>
      </c>
      <c r="L131" s="23">
        <f>'Annual Raw'!M62-L135</f>
        <v>0.1787</v>
      </c>
      <c r="M131" s="23">
        <f>'Annual Raw'!N62-M135</f>
        <v>0.47049999999999997</v>
      </c>
      <c r="N131" s="23">
        <f>'Annual Raw'!O62-N135</f>
        <v>0.14319999999999999</v>
      </c>
      <c r="O131" s="23">
        <f>'Annual Raw'!P62-O135</f>
        <v>0.14319899999999999</v>
      </c>
      <c r="P131" s="23">
        <f>'Annual Raw'!Q62-P135</f>
        <v>0.14319899999999999</v>
      </c>
      <c r="Q131" s="23">
        <f>'Annual Raw'!R62-Q135</f>
        <v>1.0593699999999999E-2</v>
      </c>
      <c r="R131" s="23">
        <f>'Annual Raw'!S62-R135</f>
        <v>1.0593699999999999E-2</v>
      </c>
      <c r="S131" s="23">
        <f>'Annual Raw'!T62-S135</f>
        <v>1.06E-2</v>
      </c>
      <c r="T131" s="23">
        <f>'Annual Raw'!U62-T135</f>
        <v>1.2999999999999999E-2</v>
      </c>
      <c r="U131" s="23">
        <f>'Annual Raw'!V62-U135</f>
        <v>1.2999999999999999E-2</v>
      </c>
      <c r="V131" s="23">
        <f>'Annual Raw'!W62-V135</f>
        <v>1.2999999999999999E-2</v>
      </c>
      <c r="W131" s="23">
        <f>'Annual Raw'!X62-W135</f>
        <v>56.528799999999997</v>
      </c>
      <c r="X131" s="23">
        <f>'Annual Raw'!Y62-X135</f>
        <v>65.174700000000001</v>
      </c>
      <c r="Y131" s="23">
        <f>'Annual Raw'!Z62-Y135</f>
        <v>113.5861</v>
      </c>
      <c r="Z131" s="23">
        <f>'Annual Raw'!AA62-Z135</f>
        <v>156.17999999999998</v>
      </c>
      <c r="AA131" s="23">
        <f>'Annual Raw'!AB62-AA135</f>
        <v>366.17000000000007</v>
      </c>
      <c r="AB131" s="24">
        <f t="shared" ref="AB131:AB137" si="1142">+CP131</f>
        <v>256.35000000000002</v>
      </c>
      <c r="AC131" s="24">
        <f t="shared" ref="AC131:AC137" si="1143">+CT131</f>
        <v>256.35000000000002</v>
      </c>
      <c r="AD131" s="24">
        <f t="shared" ref="AD131:AD137" si="1144">+CX131</f>
        <v>256.35000000000002</v>
      </c>
      <c r="AE131" s="24">
        <f t="shared" ref="AE131:AE137" si="1145">+DB131</f>
        <v>256.35000000000002</v>
      </c>
      <c r="AJ131" s="23">
        <f>+'QTR Raw'!D68</f>
        <v>0.34200000000000003</v>
      </c>
      <c r="AL131" s="23">
        <f>+'QTR Raw'!F68</f>
        <v>8.9999999999999993E-3</v>
      </c>
      <c r="AN131" s="23">
        <f>+'QTR Raw'!H68</f>
        <v>7.0000000000000001E-3</v>
      </c>
      <c r="AP131" s="23">
        <f>+'QTR Raw'!J68</f>
        <v>6.0000000000000001E-3</v>
      </c>
      <c r="AR131" s="23">
        <f>+'QTR Raw'!L68</f>
        <v>5.0000000000000001E-3</v>
      </c>
      <c r="AT131" s="23">
        <f>+'QTR Raw'!N68</f>
        <v>4.0000000000000001E-3</v>
      </c>
      <c r="AV131" s="23">
        <f>+'QTR Raw'!P68</f>
        <v>8.0000000000000002E-3</v>
      </c>
      <c r="AX131" s="23">
        <f>+'QTR Raw'!R68</f>
        <v>6.0000000000000001E-3</v>
      </c>
      <c r="AZ131" s="23">
        <f>+'QTR Raw'!T68</f>
        <v>5.0000000000000001E-3</v>
      </c>
      <c r="BB131" s="23">
        <f>+'QTR Raw'!V68</f>
        <v>4.0000000000000001E-3</v>
      </c>
      <c r="BD131" s="23">
        <f>+'QTR Raw'!X68</f>
        <v>4.0000000000000001E-3</v>
      </c>
      <c r="BF131" s="23">
        <f>+'QTR Raw'!Z68</f>
        <v>3.0000000000000001E-3</v>
      </c>
      <c r="BH131" s="23">
        <f>+'QTR Raw'!AB68</f>
        <v>2E-3</v>
      </c>
      <c r="BJ131" s="23">
        <f>+'QTR Raw'!AD68</f>
        <v>3.0000000000000001E-3</v>
      </c>
      <c r="BL131" s="23">
        <f>+'QTR Raw'!AF68</f>
        <v>4.0000000000000001E-3</v>
      </c>
      <c r="BN131" s="23">
        <f>+'QTR Raw'!AH68</f>
        <v>3.0000000000000001E-3</v>
      </c>
      <c r="BP131" s="23">
        <f>+'QTR Raw'!AJ68</f>
        <v>3.0000000000000001E-3</v>
      </c>
      <c r="BR131" s="23">
        <f>+'QTR Raw'!AL68</f>
        <v>3.0000000000000001E-3</v>
      </c>
      <c r="BT131" s="23">
        <f>+'QTR Raw'!AN68</f>
        <v>10.02</v>
      </c>
      <c r="BV131" s="23">
        <f>+'QTR Raw'!AP68</f>
        <v>10.191000000000001</v>
      </c>
      <c r="BX131" s="23">
        <f>+'QTR Raw'!AR68</f>
        <v>22.117999999999999</v>
      </c>
      <c r="BZ131" s="23">
        <f>+'QTR Raw'!AT68</f>
        <v>28.038</v>
      </c>
      <c r="CB131" s="23">
        <f>+'QTR Raw'!AV68</f>
        <v>21.643999999999998</v>
      </c>
      <c r="CD131" s="23">
        <f>+'QTR Raw'!AX68</f>
        <v>64.167000000000002</v>
      </c>
      <c r="CF131" s="23">
        <f>+'QTR Raw'!AZ68</f>
        <v>63.198999999999998</v>
      </c>
      <c r="CH131" s="23">
        <f t="shared" ref="CH131:CH137" si="1146">Z131</f>
        <v>156.17999999999998</v>
      </c>
      <c r="CI131" s="23">
        <f>CH131</f>
        <v>156.17999999999998</v>
      </c>
      <c r="CJ131" s="23">
        <f>+CJ132+CJ134</f>
        <v>208.35000000000002</v>
      </c>
      <c r="CK131" s="24">
        <f>+CJ131</f>
        <v>208.35000000000002</v>
      </c>
      <c r="CL131" s="23">
        <f>+CL132+CL134</f>
        <v>256.35000000000002</v>
      </c>
      <c r="CM131" s="24">
        <f t="shared" ref="CM131:DB131" si="1147">+CL131</f>
        <v>256.35000000000002</v>
      </c>
      <c r="CN131" s="24">
        <f t="shared" si="1147"/>
        <v>256.35000000000002</v>
      </c>
      <c r="CO131" s="24">
        <f t="shared" si="1147"/>
        <v>256.35000000000002</v>
      </c>
      <c r="CP131" s="24">
        <f t="shared" si="1147"/>
        <v>256.35000000000002</v>
      </c>
      <c r="CQ131" s="24">
        <f t="shared" si="1147"/>
        <v>256.35000000000002</v>
      </c>
      <c r="CR131" s="24">
        <f t="shared" si="1147"/>
        <v>256.35000000000002</v>
      </c>
      <c r="CS131" s="24">
        <f t="shared" si="1147"/>
        <v>256.35000000000002</v>
      </c>
      <c r="CT131" s="24">
        <f t="shared" si="1147"/>
        <v>256.35000000000002</v>
      </c>
      <c r="CU131" s="24">
        <f t="shared" si="1147"/>
        <v>256.35000000000002</v>
      </c>
      <c r="CV131" s="24">
        <f t="shared" si="1147"/>
        <v>256.35000000000002</v>
      </c>
      <c r="CW131" s="24">
        <f t="shared" si="1147"/>
        <v>256.35000000000002</v>
      </c>
      <c r="CX131" s="24">
        <f t="shared" si="1147"/>
        <v>256.35000000000002</v>
      </c>
      <c r="CY131" s="24">
        <f t="shared" si="1147"/>
        <v>256.35000000000002</v>
      </c>
      <c r="CZ131" s="24">
        <f t="shared" si="1147"/>
        <v>256.35000000000002</v>
      </c>
      <c r="DA131" s="24">
        <f t="shared" si="1147"/>
        <v>256.35000000000002</v>
      </c>
      <c r="DB131" s="24">
        <f t="shared" si="1147"/>
        <v>256.35000000000002</v>
      </c>
      <c r="DE131" s="123"/>
      <c r="DF131" s="23">
        <v>208.34739999999999</v>
      </c>
    </row>
    <row r="132" spans="1:110" s="23" customFormat="1" outlineLevel="1" x14ac:dyDescent="0.2">
      <c r="A132" s="23" t="s">
        <v>51</v>
      </c>
      <c r="B132" s="23">
        <f>'Annual Raw'!C63</f>
        <v>2.39113E-2</v>
      </c>
      <c r="C132" s="23">
        <f>'Annual Raw'!D63</f>
        <v>3.13897E-2</v>
      </c>
      <c r="D132" s="23">
        <f>'Annual Raw'!E63</f>
        <v>2.4227800000000001E-2</v>
      </c>
      <c r="E132" s="23">
        <f>'Annual Raw'!F63</f>
        <v>3.20077E-2</v>
      </c>
      <c r="F132" s="23">
        <f>'Annual Raw'!G63</f>
        <v>3.9787599999999999E-2</v>
      </c>
      <c r="G132" s="23">
        <f>'Annual Raw'!H63</f>
        <v>0.62668760000000001</v>
      </c>
      <c r="H132" s="23">
        <f>'Annual Raw'!I63</f>
        <v>0.63602009999999998</v>
      </c>
      <c r="I132" s="23">
        <f>'Annual Raw'!J63</f>
        <v>0.64474929999999997</v>
      </c>
      <c r="J132" s="23">
        <f>'Annual Raw'!K63</f>
        <v>0.65382479999999998</v>
      </c>
      <c r="K132" s="23">
        <f>'Annual Raw'!L63</f>
        <v>0.66300000000000003</v>
      </c>
      <c r="L132" s="23">
        <f>'Annual Raw'!M63</f>
        <v>0.153</v>
      </c>
      <c r="M132" s="23">
        <f>'Annual Raw'!N63</f>
        <v>0.1232</v>
      </c>
      <c r="N132" s="23">
        <f>'Annual Raw'!O63</f>
        <v>0.1341</v>
      </c>
      <c r="O132" s="23">
        <f>'Annual Raw'!P63</f>
        <v>0.13764850000000001</v>
      </c>
      <c r="P132" s="23">
        <f>'Annual Raw'!Q63</f>
        <v>0.13924259999999999</v>
      </c>
      <c r="Q132" s="23">
        <f>'Annual Raw'!R63</f>
        <v>4.1663000000000004E-3</v>
      </c>
      <c r="R132" s="23">
        <f>'Annual Raw'!S63</f>
        <v>6.1507999999999997E-3</v>
      </c>
      <c r="S132" s="23">
        <f>'Annual Raw'!T63</f>
        <v>8.0999999999999996E-3</v>
      </c>
      <c r="T132" s="23">
        <f>'Annual Raw'!U63</f>
        <v>9.1000000000000004E-3</v>
      </c>
      <c r="U132" s="23">
        <f>'Annual Raw'!V63</f>
        <v>9.4999999999999998E-3</v>
      </c>
      <c r="V132" s="23">
        <f>'Annual Raw'!W63</f>
        <v>9.9000000000000008E-3</v>
      </c>
      <c r="W132" s="23">
        <f>'Annual Raw'!X63</f>
        <v>43.534100000000002</v>
      </c>
      <c r="X132" s="23">
        <f>'Annual Raw'!Y63</f>
        <v>32.791899999999998</v>
      </c>
      <c r="Y132" s="23">
        <f>'Annual Raw'!Z63</f>
        <v>34.374400000000001</v>
      </c>
      <c r="Z132" s="23">
        <f>'Annual Raw'!AA63</f>
        <v>42.11</v>
      </c>
      <c r="AA132" s="23">
        <f>'Annual Raw'!AB63</f>
        <v>98.77</v>
      </c>
      <c r="AB132" s="24">
        <f t="shared" si="1142"/>
        <v>98.287419643569052</v>
      </c>
      <c r="AC132" s="24">
        <f t="shared" si="1143"/>
        <v>125.82505716037203</v>
      </c>
      <c r="AD132" s="24">
        <f t="shared" si="1144"/>
        <v>148.56509186506838</v>
      </c>
      <c r="AE132" s="24">
        <f t="shared" si="1145"/>
        <v>167.34336135370066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42.11</v>
      </c>
      <c r="CI132" s="23">
        <f t="shared" ref="CI132:DB132" si="1148">CH132+CI32</f>
        <v>45.45</v>
      </c>
      <c r="CJ132" s="23">
        <f t="shared" si="1148"/>
        <v>51.39</v>
      </c>
      <c r="CK132" s="24">
        <f t="shared" si="1148"/>
        <v>57.91</v>
      </c>
      <c r="CL132" s="23">
        <f t="shared" si="1148"/>
        <v>64.94</v>
      </c>
      <c r="CM132" s="24">
        <f t="shared" si="1148"/>
        <v>73.884511433129489</v>
      </c>
      <c r="CN132" s="24">
        <f t="shared" si="1148"/>
        <v>82.411049485676017</v>
      </c>
      <c r="CO132" s="24">
        <f t="shared" si="1148"/>
        <v>90.539145883679851</v>
      </c>
      <c r="CP132" s="24">
        <f t="shared" si="1148"/>
        <v>98.287419643569052</v>
      </c>
      <c r="CQ132" s="24">
        <f t="shared" si="1148"/>
        <v>105.67361972270831</v>
      </c>
      <c r="CR132" s="24">
        <f t="shared" si="1148"/>
        <v>112.71466567690507</v>
      </c>
      <c r="CS132" s="24">
        <f t="shared" si="1148"/>
        <v>119.42668641800688</v>
      </c>
      <c r="CT132" s="24">
        <f t="shared" si="1148"/>
        <v>125.82505716037203</v>
      </c>
      <c r="CU132" s="24">
        <f t="shared" si="1148"/>
        <v>131.92443464084653</v>
      </c>
      <c r="CV132" s="24">
        <f t="shared" si="1148"/>
        <v>137.73879069292607</v>
      </c>
      <c r="CW132" s="24">
        <f t="shared" si="1148"/>
        <v>143.28144425201094</v>
      </c>
      <c r="CX132" s="24">
        <f t="shared" si="1148"/>
        <v>148.56509186506838</v>
      </c>
      <c r="CY132" s="24">
        <f t="shared" si="1148"/>
        <v>153.60183677459091</v>
      </c>
      <c r="CZ132" s="24">
        <f t="shared" si="1148"/>
        <v>158.40321664347303</v>
      </c>
      <c r="DA132" s="24">
        <f t="shared" si="1148"/>
        <v>162.9802299843158</v>
      </c>
      <c r="DB132" s="24">
        <f t="shared" si="1148"/>
        <v>167.34336135370066</v>
      </c>
      <c r="DE132" s="123"/>
      <c r="DF132" s="23">
        <v>64.156564118246678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2.1948749300000001</v>
      </c>
      <c r="C134" s="22">
        <f t="shared" ref="C134:W134" si="1150">+C131-C132-C133</f>
        <v>2.17666643</v>
      </c>
      <c r="D134" s="22">
        <f t="shared" si="1150"/>
        <v>2.1438590000000004</v>
      </c>
      <c r="E134" s="22">
        <f t="shared" si="1150"/>
        <v>0.2055000000000001</v>
      </c>
      <c r="F134" s="22">
        <f t="shared" si="1150"/>
        <v>0.19772010000000009</v>
      </c>
      <c r="G134" s="22">
        <f t="shared" si="1150"/>
        <v>6.1713099999999965E-2</v>
      </c>
      <c r="H134" s="22">
        <f t="shared" si="1150"/>
        <v>5.4180600000000023E-2</v>
      </c>
      <c r="I134" s="22">
        <f t="shared" si="1150"/>
        <v>4.5451400000000031E-2</v>
      </c>
      <c r="J134" s="22">
        <f t="shared" si="1150"/>
        <v>3.8920900000000036E-2</v>
      </c>
      <c r="K134" s="22">
        <f t="shared" si="1150"/>
        <v>2.9799999999999938E-2</v>
      </c>
      <c r="L134" s="22">
        <f t="shared" si="1150"/>
        <v>2.5700000000000001E-2</v>
      </c>
      <c r="M134" s="22">
        <f t="shared" si="1150"/>
        <v>0.34729999999999994</v>
      </c>
      <c r="N134" s="22">
        <f t="shared" si="1150"/>
        <v>9.099999999999997E-3</v>
      </c>
      <c r="O134" s="22">
        <f t="shared" si="1150"/>
        <v>5.550499999999986E-3</v>
      </c>
      <c r="P134" s="22">
        <f t="shared" si="1150"/>
        <v>3.9563999999999988E-3</v>
      </c>
      <c r="Q134" s="22">
        <f t="shared" si="1150"/>
        <v>6.4273999999999989E-3</v>
      </c>
      <c r="R134" s="22">
        <f t="shared" si="1150"/>
        <v>4.4428999999999996E-3</v>
      </c>
      <c r="S134" s="22">
        <f t="shared" si="1150"/>
        <v>2.5000000000000005E-3</v>
      </c>
      <c r="T134" s="22">
        <f t="shared" si="1150"/>
        <v>3.899999999999999E-3</v>
      </c>
      <c r="U134" s="22">
        <f t="shared" si="1150"/>
        <v>3.4999999999999996E-3</v>
      </c>
      <c r="V134" s="22">
        <f t="shared" si="1150"/>
        <v>3.0999999999999986E-3</v>
      </c>
      <c r="W134" s="22">
        <f t="shared" si="1150"/>
        <v>12.994699999999995</v>
      </c>
      <c r="X134" s="22">
        <f t="shared" ref="X134:Y134" si="1151">+X131-X132-X133</f>
        <v>32.382800000000003</v>
      </c>
      <c r="Y134" s="22">
        <f t="shared" si="1151"/>
        <v>79.211700000000008</v>
      </c>
      <c r="Z134" s="22">
        <f t="shared" ref="Z134:AE134" si="1152">+Z131-Z132-Z133</f>
        <v>114.06999999999998</v>
      </c>
      <c r="AA134" s="22">
        <f t="shared" ref="AA134" si="1153">+AA131-AA132-AA133</f>
        <v>267.40000000000009</v>
      </c>
      <c r="AB134" s="21">
        <f t="shared" si="1152"/>
        <v>158.06258035643097</v>
      </c>
      <c r="AC134" s="21">
        <f t="shared" si="1152"/>
        <v>130.52494283962801</v>
      </c>
      <c r="AD134" s="21">
        <f t="shared" si="1152"/>
        <v>107.78490813493164</v>
      </c>
      <c r="AE134" s="21">
        <f t="shared" si="1152"/>
        <v>89.006638646299365</v>
      </c>
      <c r="AJ134" s="22">
        <f t="shared" ref="AJ134:AL134" si="1154">+AJ131-AJ132-AJ133</f>
        <v>0.34200000000000003</v>
      </c>
      <c r="AK134" s="22">
        <f t="shared" ref="AK134:CE134" si="1155">+AJ134</f>
        <v>0.34200000000000003</v>
      </c>
      <c r="AL134" s="22">
        <f t="shared" si="1154"/>
        <v>8.9999999999999993E-3</v>
      </c>
      <c r="AM134" s="22">
        <f t="shared" si="1155"/>
        <v>8.9999999999999993E-3</v>
      </c>
      <c r="AN134" s="22">
        <f t="shared" ref="AN134" si="1156">+AN131-AN132-AN133</f>
        <v>7.0000000000000001E-3</v>
      </c>
      <c r="AO134" s="22">
        <f t="shared" si="1155"/>
        <v>7.0000000000000001E-3</v>
      </c>
      <c r="AP134" s="22">
        <f t="shared" ref="AP134:CD134" si="1157">+AP131-AP132-AP133</f>
        <v>6.0000000000000001E-3</v>
      </c>
      <c r="AQ134" s="22">
        <f t="shared" si="1155"/>
        <v>6.0000000000000001E-3</v>
      </c>
      <c r="AR134" s="22">
        <f t="shared" si="1157"/>
        <v>5.0000000000000001E-3</v>
      </c>
      <c r="AS134" s="22">
        <f t="shared" si="1155"/>
        <v>5.0000000000000001E-3</v>
      </c>
      <c r="AT134" s="22">
        <f t="shared" si="1157"/>
        <v>4.0000000000000001E-3</v>
      </c>
      <c r="AU134" s="22">
        <f t="shared" si="1155"/>
        <v>4.0000000000000001E-3</v>
      </c>
      <c r="AV134" s="22">
        <f t="shared" si="1157"/>
        <v>8.0000000000000002E-3</v>
      </c>
      <c r="AW134" s="22">
        <f t="shared" si="1155"/>
        <v>8.0000000000000002E-3</v>
      </c>
      <c r="AX134" s="22">
        <f t="shared" si="1157"/>
        <v>6.0000000000000001E-3</v>
      </c>
      <c r="AY134" s="22">
        <f t="shared" si="1155"/>
        <v>6.0000000000000001E-3</v>
      </c>
      <c r="AZ134" s="22">
        <f t="shared" si="1157"/>
        <v>5.0000000000000001E-3</v>
      </c>
      <c r="BA134" s="22">
        <f t="shared" si="1155"/>
        <v>5.0000000000000001E-3</v>
      </c>
      <c r="BB134" s="22">
        <f t="shared" si="1157"/>
        <v>4.0000000000000001E-3</v>
      </c>
      <c r="BC134" s="22">
        <f t="shared" si="1155"/>
        <v>4.0000000000000001E-3</v>
      </c>
      <c r="BD134" s="22">
        <f t="shared" si="1157"/>
        <v>4.0000000000000001E-3</v>
      </c>
      <c r="BE134" s="22">
        <f t="shared" si="1155"/>
        <v>4.0000000000000001E-3</v>
      </c>
      <c r="BF134" s="22">
        <f t="shared" si="1157"/>
        <v>3.0000000000000001E-3</v>
      </c>
      <c r="BG134" s="22">
        <f t="shared" si="1155"/>
        <v>3.0000000000000001E-3</v>
      </c>
      <c r="BH134" s="22">
        <f t="shared" si="1157"/>
        <v>2E-3</v>
      </c>
      <c r="BI134" s="22">
        <f t="shared" si="1155"/>
        <v>2E-3</v>
      </c>
      <c r="BJ134" s="22">
        <f t="shared" si="1157"/>
        <v>3.0000000000000001E-3</v>
      </c>
      <c r="BK134" s="22">
        <f t="shared" si="1155"/>
        <v>3.0000000000000001E-3</v>
      </c>
      <c r="BL134" s="22">
        <f t="shared" si="1157"/>
        <v>4.0000000000000001E-3</v>
      </c>
      <c r="BM134" s="22">
        <f t="shared" si="1155"/>
        <v>4.0000000000000001E-3</v>
      </c>
      <c r="BN134" s="22">
        <f t="shared" si="1157"/>
        <v>3.0000000000000001E-3</v>
      </c>
      <c r="BO134" s="22">
        <f t="shared" si="1155"/>
        <v>3.0000000000000001E-3</v>
      </c>
      <c r="BP134" s="22">
        <f t="shared" si="1157"/>
        <v>3.0000000000000001E-3</v>
      </c>
      <c r="BQ134" s="22">
        <f t="shared" si="1155"/>
        <v>3.0000000000000001E-3</v>
      </c>
      <c r="BR134" s="22">
        <f t="shared" si="1157"/>
        <v>3.0000000000000001E-3</v>
      </c>
      <c r="BS134" s="22">
        <f t="shared" si="1155"/>
        <v>3.0000000000000001E-3</v>
      </c>
      <c r="BT134" s="22">
        <f t="shared" si="1157"/>
        <v>10.02</v>
      </c>
      <c r="BU134" s="22">
        <f t="shared" si="1155"/>
        <v>10.02</v>
      </c>
      <c r="BV134" s="22">
        <f t="shared" si="1157"/>
        <v>10.191000000000001</v>
      </c>
      <c r="BW134" s="22">
        <f t="shared" si="1155"/>
        <v>10.191000000000001</v>
      </c>
      <c r="BX134" s="22">
        <f t="shared" si="1157"/>
        <v>22.117999999999999</v>
      </c>
      <c r="BY134" s="22">
        <f t="shared" si="1155"/>
        <v>22.117999999999999</v>
      </c>
      <c r="BZ134" s="22">
        <f t="shared" si="1157"/>
        <v>28.038</v>
      </c>
      <c r="CA134" s="22">
        <f t="shared" si="1155"/>
        <v>28.038</v>
      </c>
      <c r="CB134" s="22">
        <f t="shared" si="1157"/>
        <v>21.643999999999998</v>
      </c>
      <c r="CC134" s="22">
        <f t="shared" si="1155"/>
        <v>21.643999999999998</v>
      </c>
      <c r="CD134" s="22">
        <f t="shared" si="1157"/>
        <v>64.167000000000002</v>
      </c>
      <c r="CE134" s="22">
        <f t="shared" si="1155"/>
        <v>64.167000000000002</v>
      </c>
      <c r="CF134" s="22">
        <f t="shared" ref="CF134:CI134" si="1158">+CF131-CF132-CF133</f>
        <v>63.198999999999998</v>
      </c>
      <c r="CG134" s="22">
        <f t="shared" ref="CG134:CI137" si="1159">+CF134</f>
        <v>63.198999999999998</v>
      </c>
      <c r="CH134" s="22">
        <f t="shared" si="1158"/>
        <v>114.06999999999998</v>
      </c>
      <c r="CI134" s="22">
        <f t="shared" si="1158"/>
        <v>110.72999999999998</v>
      </c>
      <c r="CJ134" s="23">
        <f>+'QTR Raw'!BD68</f>
        <v>156.96</v>
      </c>
      <c r="CK134" s="21">
        <f t="shared" ref="CK134:DB134" si="1160">+CK131-CK132-CK133</f>
        <v>150.44000000000003</v>
      </c>
      <c r="CL134" s="23">
        <f>+'QTR Raw'!BF68</f>
        <v>191.41</v>
      </c>
      <c r="CM134" s="21">
        <f t="shared" si="1160"/>
        <v>182.46548856687053</v>
      </c>
      <c r="CN134" s="21">
        <f t="shared" si="1160"/>
        <v>173.93895051432401</v>
      </c>
      <c r="CO134" s="21">
        <f t="shared" si="1160"/>
        <v>165.81085411632017</v>
      </c>
      <c r="CP134" s="21">
        <f t="shared" si="1160"/>
        <v>158.06258035643097</v>
      </c>
      <c r="CQ134" s="21">
        <f t="shared" si="1160"/>
        <v>150.67638027729171</v>
      </c>
      <c r="CR134" s="21">
        <f t="shared" si="1160"/>
        <v>143.63533432309495</v>
      </c>
      <c r="CS134" s="21">
        <f t="shared" si="1160"/>
        <v>136.92331358199314</v>
      </c>
      <c r="CT134" s="21">
        <f t="shared" si="1160"/>
        <v>130.52494283962801</v>
      </c>
      <c r="CU134" s="21">
        <f t="shared" si="1160"/>
        <v>124.4255653591535</v>
      </c>
      <c r="CV134" s="21">
        <f t="shared" si="1160"/>
        <v>118.61120930707395</v>
      </c>
      <c r="CW134" s="21">
        <f t="shared" si="1160"/>
        <v>113.06855574798908</v>
      </c>
      <c r="CX134" s="21">
        <f t="shared" si="1160"/>
        <v>107.78490813493164</v>
      </c>
      <c r="CY134" s="21">
        <f t="shared" si="1160"/>
        <v>102.74816322540912</v>
      </c>
      <c r="CZ134" s="21">
        <f t="shared" si="1160"/>
        <v>97.946783356526993</v>
      </c>
      <c r="DA134" s="21">
        <f t="shared" si="1160"/>
        <v>93.369770015684225</v>
      </c>
      <c r="DB134" s="21">
        <f t="shared" si="1160"/>
        <v>89.006638646299365</v>
      </c>
      <c r="DE134" s="126"/>
      <c r="DF134" s="22">
        <v>144.19083588175332</v>
      </c>
    </row>
    <row r="135" spans="1:110" s="23" customFormat="1" outlineLevel="1" x14ac:dyDescent="0.2">
      <c r="A135" s="23" t="s">
        <v>54</v>
      </c>
      <c r="B135" s="23">
        <f>'Annual Raw'!C86</f>
        <v>1.9305791000000001</v>
      </c>
      <c r="C135" s="23">
        <f>'Annual Raw'!D86</f>
        <v>1.9305791000000001</v>
      </c>
      <c r="D135" s="23">
        <f>'Annual Raw'!E86</f>
        <v>1.9305791000000001</v>
      </c>
      <c r="E135" s="23">
        <f>'Annual Raw'!F86</f>
        <v>1.9305791000000001</v>
      </c>
      <c r="F135" s="23">
        <f>'Annual Raw'!G86</f>
        <v>1.9305791000000001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0.95979999999999999</v>
      </c>
      <c r="X135" s="23">
        <f>'Annual Raw'!Y86</f>
        <v>0.95979999999999999</v>
      </c>
      <c r="Y135" s="23">
        <f>'Annual Raw'!Z86</f>
        <v>10.319900000000001</v>
      </c>
      <c r="Z135" s="23">
        <f>'Annual Raw'!AA86</f>
        <v>133.1</v>
      </c>
      <c r="AA135" s="23">
        <f>'Annual Raw'!AB86</f>
        <v>177.27</v>
      </c>
      <c r="AB135" s="24">
        <f t="shared" si="1142"/>
        <v>177.27</v>
      </c>
      <c r="AC135" s="24">
        <f t="shared" si="1143"/>
        <v>177.27</v>
      </c>
      <c r="AD135" s="24">
        <f t="shared" si="1144"/>
        <v>177.27</v>
      </c>
      <c r="AE135" s="24">
        <f t="shared" si="1145"/>
        <v>177.27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19.768000000000001</v>
      </c>
      <c r="BU135" s="23">
        <f t="shared" si="1161"/>
        <v>19.768000000000001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10.32</v>
      </c>
      <c r="CE135" s="23">
        <f t="shared" si="1161"/>
        <v>10.32</v>
      </c>
      <c r="CF135" s="23">
        <f>+'QTR Raw'!AZ72</f>
        <v>10.32</v>
      </c>
      <c r="CG135" s="23">
        <f t="shared" si="1159"/>
        <v>10.32</v>
      </c>
      <c r="CH135" s="23">
        <f t="shared" si="1146"/>
        <v>133.1</v>
      </c>
      <c r="CI135" s="23">
        <f t="shared" si="1159"/>
        <v>133.1</v>
      </c>
      <c r="CJ135" s="23">
        <f>+'QTR Raw'!BD72</f>
        <v>163.4</v>
      </c>
      <c r="CK135" s="24">
        <f t="shared" ref="CK135:CK137" si="1162">+CJ135</f>
        <v>163.4</v>
      </c>
      <c r="CL135" s="23">
        <f>+'QTR Raw'!BF72</f>
        <v>177.27</v>
      </c>
      <c r="CM135" s="24">
        <f t="shared" ref="CM135:CM137" si="1163">+CL135</f>
        <v>177.27</v>
      </c>
      <c r="CN135" s="24">
        <f t="shared" ref="CN135:CN137" si="1164">+CM135</f>
        <v>177.27</v>
      </c>
      <c r="CO135" s="24">
        <f t="shared" ref="CO135:CO137" si="1165">+CN135</f>
        <v>177.27</v>
      </c>
      <c r="CP135" s="24">
        <f t="shared" ref="CP135:CP137" si="1166">+CO135</f>
        <v>177.27</v>
      </c>
      <c r="CQ135" s="24">
        <f t="shared" ref="CQ135:CQ137" si="1167">+CP135</f>
        <v>177.27</v>
      </c>
      <c r="CR135" s="24">
        <f t="shared" ref="CR135:CR137" si="1168">+CQ135</f>
        <v>177.27</v>
      </c>
      <c r="CS135" s="24">
        <f t="shared" ref="CS135:CS137" si="1169">+CR135</f>
        <v>177.27</v>
      </c>
      <c r="CT135" s="24">
        <f t="shared" ref="CT135:CT137" si="1170">+CS135</f>
        <v>177.27</v>
      </c>
      <c r="CU135" s="24">
        <f t="shared" ref="CU135:CU137" si="1171">+CT135</f>
        <v>177.27</v>
      </c>
      <c r="CV135" s="24">
        <f t="shared" ref="CV135:CV137" si="1172">+CU135</f>
        <v>177.27</v>
      </c>
      <c r="CW135" s="24">
        <f t="shared" ref="CW135:CW137" si="1173">+CV135</f>
        <v>177.27</v>
      </c>
      <c r="CX135" s="24">
        <f t="shared" ref="CX135:CX137" si="1174">+CW135</f>
        <v>177.27</v>
      </c>
      <c r="CY135" s="24">
        <f t="shared" ref="CY135:CY137" si="1175">+CX135</f>
        <v>177.27</v>
      </c>
      <c r="CZ135" s="24">
        <f t="shared" ref="CZ135:CZ137" si="1176">+CY135</f>
        <v>177.27</v>
      </c>
      <c r="DA135" s="24">
        <f t="shared" ref="DA135:DA137" si="1177">+CZ135</f>
        <v>177.27</v>
      </c>
      <c r="DB135" s="24">
        <f t="shared" ref="DB135:DB137" si="1178">+DA135</f>
        <v>177.27</v>
      </c>
      <c r="DE135" s="123"/>
      <c r="DF135" s="23">
        <v>163.4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3.7362000000000002</v>
      </c>
      <c r="X137" s="23">
        <f>'Annual Raw'!Y67+'Annual Raw'!Y66+'Annual Raw'!Y69+'Annual Raw'!Y70</f>
        <v>25.553100000000001</v>
      </c>
      <c r="Y137" s="23">
        <f>'Annual Raw'!Z67+'Annual Raw'!Z66+'Annual Raw'!Z69+'Annual Raw'!Z70</f>
        <v>30.207799999999999</v>
      </c>
      <c r="Z137" s="23">
        <f>'Annual Raw'!AA67+'Annual Raw'!AA66+'Annual Raw'!AA69+'Annual Raw'!AA70</f>
        <v>69.81</v>
      </c>
      <c r="AA137" s="23">
        <f>'Annual Raw'!AB67+'Annual Raw'!AB66+'Annual Raw'!AB69+'Annual Raw'!AB70</f>
        <v>71.14</v>
      </c>
      <c r="AB137" s="24">
        <f t="shared" si="1142"/>
        <v>71.14</v>
      </c>
      <c r="AC137" s="24">
        <f t="shared" si="1143"/>
        <v>71.14</v>
      </c>
      <c r="AD137" s="24">
        <f t="shared" si="1144"/>
        <v>71.14</v>
      </c>
      <c r="AE137" s="24">
        <f t="shared" si="1145"/>
        <v>71.14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</v>
      </c>
      <c r="BC137" s="23">
        <f t="shared" si="1161"/>
        <v>0</v>
      </c>
      <c r="BD137" s="23">
        <f>+'QTR Raw'!X74+'QTR Raw'!X75</f>
        <v>0</v>
      </c>
      <c r="BE137" s="23">
        <f t="shared" si="1161"/>
        <v>0</v>
      </c>
      <c r="BF137" s="23">
        <f>+'QTR Raw'!Z74+'QTR Raw'!Z75</f>
        <v>0</v>
      </c>
      <c r="BG137" s="23">
        <f t="shared" si="1161"/>
        <v>0</v>
      </c>
      <c r="BH137" s="23">
        <f>+'QTR Raw'!AB74+'QTR Raw'!AB75</f>
        <v>0</v>
      </c>
      <c r="BI137" s="23">
        <f t="shared" si="1161"/>
        <v>0</v>
      </c>
      <c r="BJ137" s="23">
        <f>+'QTR Raw'!AD74+'QTR Raw'!AD75</f>
        <v>0</v>
      </c>
      <c r="BK137" s="23">
        <f t="shared" si="1161"/>
        <v>0</v>
      </c>
      <c r="BL137" s="23">
        <f>+'QTR Raw'!AF74+'QTR Raw'!AF75</f>
        <v>0</v>
      </c>
      <c r="BM137" s="23">
        <f t="shared" si="1161"/>
        <v>0</v>
      </c>
      <c r="BN137" s="23">
        <f>+'QTR Raw'!AH74+'QTR Raw'!AH75</f>
        <v>0</v>
      </c>
      <c r="BO137" s="23">
        <f t="shared" si="1161"/>
        <v>0</v>
      </c>
      <c r="BP137" s="23">
        <f>+'QTR Raw'!AJ74+'QTR Raw'!AJ75</f>
        <v>0</v>
      </c>
      <c r="BQ137" s="23">
        <f t="shared" si="1161"/>
        <v>0</v>
      </c>
      <c r="BR137" s="23">
        <f>+'QTR Raw'!AL74+'QTR Raw'!AL75</f>
        <v>0</v>
      </c>
      <c r="BS137" s="23">
        <f t="shared" si="1161"/>
        <v>0</v>
      </c>
      <c r="BT137" s="23">
        <f>+'QTR Raw'!AN74+'QTR Raw'!AN75</f>
        <v>0</v>
      </c>
      <c r="BU137" s="23">
        <f t="shared" si="1161"/>
        <v>0</v>
      </c>
      <c r="BV137" s="23">
        <f>+'QTR Raw'!AP74+'QTR Raw'!AP75</f>
        <v>3.7360000000000002</v>
      </c>
      <c r="BW137" s="23">
        <f t="shared" si="1161"/>
        <v>3.7360000000000002</v>
      </c>
      <c r="BX137" s="23">
        <f>+'QTR Raw'!AR74+'QTR Raw'!AR75</f>
        <v>16.321000000000002</v>
      </c>
      <c r="BY137" s="23">
        <f t="shared" si="1161"/>
        <v>16.321000000000002</v>
      </c>
      <c r="BZ137" s="23">
        <f>+'QTR Raw'!AT74+'QTR Raw'!AT75</f>
        <v>25.553000000000001</v>
      </c>
      <c r="CA137" s="23">
        <f t="shared" si="1161"/>
        <v>25.553000000000001</v>
      </c>
      <c r="CB137" s="23">
        <f>+'QTR Raw'!AV74+'QTR Raw'!AV75</f>
        <v>27.402999999999999</v>
      </c>
      <c r="CC137" s="23">
        <f t="shared" si="1161"/>
        <v>27.402999999999999</v>
      </c>
      <c r="CD137" s="23">
        <f>+'QTR Raw'!AX74+'QTR Raw'!AX75</f>
        <v>10.647</v>
      </c>
      <c r="CE137" s="23">
        <f t="shared" si="1161"/>
        <v>10.647</v>
      </c>
      <c r="CF137" s="23">
        <f>+'QTR Raw'!AZ74+'QTR Raw'!AZ75</f>
        <v>13.603</v>
      </c>
      <c r="CG137" s="23">
        <f t="shared" si="1159"/>
        <v>13.603</v>
      </c>
      <c r="CH137" s="23">
        <f t="shared" si="1146"/>
        <v>69.81</v>
      </c>
      <c r="CI137" s="23">
        <f t="shared" si="1159"/>
        <v>69.81</v>
      </c>
      <c r="CJ137" s="23">
        <f>+'QTR Raw'!BD74+'QTR Raw'!BD75</f>
        <v>132.04</v>
      </c>
      <c r="CK137" s="24">
        <f t="shared" si="1162"/>
        <v>132.04</v>
      </c>
      <c r="CL137" s="23">
        <f>+'QTR Raw'!BF74+'QTR Raw'!BF75</f>
        <v>71.14</v>
      </c>
      <c r="CM137" s="24">
        <f t="shared" si="1163"/>
        <v>71.14</v>
      </c>
      <c r="CN137" s="24">
        <f t="shared" si="1164"/>
        <v>71.14</v>
      </c>
      <c r="CO137" s="24">
        <f t="shared" si="1165"/>
        <v>71.14</v>
      </c>
      <c r="CP137" s="24">
        <f t="shared" si="1166"/>
        <v>71.14</v>
      </c>
      <c r="CQ137" s="24">
        <f t="shared" si="1167"/>
        <v>71.14</v>
      </c>
      <c r="CR137" s="24">
        <f t="shared" si="1168"/>
        <v>71.14</v>
      </c>
      <c r="CS137" s="24">
        <f t="shared" si="1169"/>
        <v>71.14</v>
      </c>
      <c r="CT137" s="24">
        <f t="shared" si="1170"/>
        <v>71.14</v>
      </c>
      <c r="CU137" s="24">
        <f t="shared" si="1171"/>
        <v>71.14</v>
      </c>
      <c r="CV137" s="24">
        <f t="shared" si="1172"/>
        <v>71.14</v>
      </c>
      <c r="CW137" s="24">
        <f t="shared" si="1173"/>
        <v>71.14</v>
      </c>
      <c r="CX137" s="24">
        <f t="shared" si="1174"/>
        <v>71.14</v>
      </c>
      <c r="CY137" s="24">
        <f t="shared" si="1175"/>
        <v>71.14</v>
      </c>
      <c r="CZ137" s="24">
        <f t="shared" si="1176"/>
        <v>71.14</v>
      </c>
      <c r="DA137" s="24">
        <f t="shared" si="1177"/>
        <v>71.14</v>
      </c>
      <c r="DB137" s="24">
        <f t="shared" si="1178"/>
        <v>71.14</v>
      </c>
      <c r="DE137" s="123"/>
      <c r="DF137" s="23">
        <v>132.04</v>
      </c>
    </row>
    <row r="138" spans="1:110" s="22" customFormat="1" x14ac:dyDescent="0.2">
      <c r="A138" s="22" t="s">
        <v>57</v>
      </c>
      <c r="B138" s="22">
        <f>B134+B137+B136</f>
        <v>2.1948749300000001</v>
      </c>
      <c r="C138" s="22">
        <f t="shared" ref="C138:D138" si="1179">C134+C137+C136</f>
        <v>2.17666643</v>
      </c>
      <c r="D138" s="22">
        <f t="shared" si="1179"/>
        <v>2.1438590000000004</v>
      </c>
      <c r="E138" s="22">
        <f t="shared" ref="E138:Y138" si="1180">E134+E137+E136+E135</f>
        <v>2.1360791000000003</v>
      </c>
      <c r="F138" s="22">
        <f t="shared" si="1180"/>
        <v>2.1282992000000003</v>
      </c>
      <c r="G138" s="22">
        <f t="shared" si="1180"/>
        <v>6.1713099999999965E-2</v>
      </c>
      <c r="H138" s="22">
        <f t="shared" si="1180"/>
        <v>5.4180600000000023E-2</v>
      </c>
      <c r="I138" s="22">
        <f t="shared" si="1180"/>
        <v>4.5451400000000031E-2</v>
      </c>
      <c r="J138" s="22">
        <f t="shared" si="1180"/>
        <v>3.8920900000000036E-2</v>
      </c>
      <c r="K138" s="22">
        <f t="shared" si="1180"/>
        <v>2.9799999999999938E-2</v>
      </c>
      <c r="L138" s="22">
        <f t="shared" si="1180"/>
        <v>2.5700000000000001E-2</v>
      </c>
      <c r="M138" s="22">
        <f t="shared" si="1180"/>
        <v>0.34729999999999994</v>
      </c>
      <c r="N138" s="22">
        <f t="shared" si="1180"/>
        <v>9.099999999999997E-3</v>
      </c>
      <c r="O138" s="22">
        <f t="shared" si="1180"/>
        <v>5.550499999999986E-3</v>
      </c>
      <c r="P138" s="22">
        <f t="shared" si="1180"/>
        <v>3.9563999999999988E-3</v>
      </c>
      <c r="Q138" s="22">
        <f t="shared" si="1180"/>
        <v>6.4273999999999989E-3</v>
      </c>
      <c r="R138" s="22">
        <f t="shared" si="1180"/>
        <v>4.4428999999999996E-3</v>
      </c>
      <c r="S138" s="22">
        <f t="shared" si="1180"/>
        <v>2.5000000000000005E-3</v>
      </c>
      <c r="T138" s="22">
        <f t="shared" si="1180"/>
        <v>3.899999999999999E-3</v>
      </c>
      <c r="U138" s="22">
        <f t="shared" si="1180"/>
        <v>3.4999999999999996E-3</v>
      </c>
      <c r="V138" s="22">
        <f t="shared" si="1180"/>
        <v>3.0999999999999986E-3</v>
      </c>
      <c r="W138" s="22">
        <f t="shared" si="1180"/>
        <v>17.690699999999996</v>
      </c>
      <c r="X138" s="22">
        <f t="shared" si="1180"/>
        <v>58.895700000000005</v>
      </c>
      <c r="Y138" s="22">
        <f t="shared" si="1180"/>
        <v>119.7394</v>
      </c>
      <c r="Z138" s="22">
        <f>Z134+Z137+Z136+Z135</f>
        <v>316.98</v>
      </c>
      <c r="AA138" s="22">
        <f>AA134+AA137+AA136+AA135</f>
        <v>515.81000000000006</v>
      </c>
      <c r="AB138" s="161">
        <f t="shared" ref="AB138:AE138" si="1181">AB134+AB137+AB136+AB135</f>
        <v>406.47258035643097</v>
      </c>
      <c r="AC138" s="161">
        <f t="shared" si="1181"/>
        <v>378.93494283962798</v>
      </c>
      <c r="AD138" s="161">
        <f t="shared" si="1181"/>
        <v>356.19490813493167</v>
      </c>
      <c r="AE138" s="161">
        <f t="shared" si="1181"/>
        <v>337.41663864629936</v>
      </c>
      <c r="AJ138" s="22">
        <f t="shared" ref="AJ138" si="1182">AJ134+AJ137+AJ135+AJ136</f>
        <v>0.34200000000000003</v>
      </c>
      <c r="AK138" s="22">
        <f t="shared" ref="AK138" si="1183">AK134+AK137+AK135+AK136</f>
        <v>0.34200000000000003</v>
      </c>
      <c r="AL138" s="22">
        <f t="shared" ref="AL138:AM138" si="1184">AL134+AL137+AL135+AL136</f>
        <v>8.9999999999999993E-3</v>
      </c>
      <c r="AM138" s="22">
        <f t="shared" si="1184"/>
        <v>8.9999999999999993E-3</v>
      </c>
      <c r="AN138" s="22">
        <f t="shared" ref="AN138:AO138" si="1185">AN134+AN137+AN135+AN136</f>
        <v>7.0000000000000001E-3</v>
      </c>
      <c r="AO138" s="22">
        <f t="shared" si="1185"/>
        <v>7.0000000000000001E-3</v>
      </c>
      <c r="AP138" s="22">
        <f t="shared" ref="AP138:CE138" si="1186">AP134+AP137+AP135+AP136</f>
        <v>6.0000000000000001E-3</v>
      </c>
      <c r="AQ138" s="22">
        <f t="shared" si="1186"/>
        <v>6.0000000000000001E-3</v>
      </c>
      <c r="AR138" s="22">
        <f t="shared" si="1186"/>
        <v>5.0000000000000001E-3</v>
      </c>
      <c r="AS138" s="22">
        <f t="shared" si="1186"/>
        <v>5.0000000000000001E-3</v>
      </c>
      <c r="AT138" s="22">
        <f t="shared" si="1186"/>
        <v>4.0000000000000001E-3</v>
      </c>
      <c r="AU138" s="22">
        <f t="shared" si="1186"/>
        <v>4.0000000000000001E-3</v>
      </c>
      <c r="AV138" s="22">
        <f t="shared" si="1186"/>
        <v>8.0000000000000002E-3</v>
      </c>
      <c r="AW138" s="22">
        <f t="shared" si="1186"/>
        <v>8.0000000000000002E-3</v>
      </c>
      <c r="AX138" s="22">
        <f t="shared" si="1186"/>
        <v>6.0000000000000001E-3</v>
      </c>
      <c r="AY138" s="22">
        <f t="shared" si="1186"/>
        <v>6.0000000000000001E-3</v>
      </c>
      <c r="AZ138" s="22">
        <f t="shared" si="1186"/>
        <v>5.0000000000000001E-3</v>
      </c>
      <c r="BA138" s="22">
        <f t="shared" si="1186"/>
        <v>5.0000000000000001E-3</v>
      </c>
      <c r="BB138" s="22">
        <f t="shared" si="1186"/>
        <v>4.0000000000000001E-3</v>
      </c>
      <c r="BC138" s="22">
        <f t="shared" si="1186"/>
        <v>4.0000000000000001E-3</v>
      </c>
      <c r="BD138" s="22">
        <f t="shared" si="1186"/>
        <v>4.0000000000000001E-3</v>
      </c>
      <c r="BE138" s="22">
        <f t="shared" si="1186"/>
        <v>4.0000000000000001E-3</v>
      </c>
      <c r="BF138" s="22">
        <f t="shared" si="1186"/>
        <v>3.0000000000000001E-3</v>
      </c>
      <c r="BG138" s="22">
        <f t="shared" si="1186"/>
        <v>3.0000000000000001E-3</v>
      </c>
      <c r="BH138" s="22">
        <f t="shared" si="1186"/>
        <v>2E-3</v>
      </c>
      <c r="BI138" s="22">
        <f t="shared" si="1186"/>
        <v>2E-3</v>
      </c>
      <c r="BJ138" s="22">
        <f t="shared" si="1186"/>
        <v>3.0000000000000001E-3</v>
      </c>
      <c r="BK138" s="22">
        <f t="shared" si="1186"/>
        <v>3.0000000000000001E-3</v>
      </c>
      <c r="BL138" s="22">
        <f t="shared" si="1186"/>
        <v>4.0000000000000001E-3</v>
      </c>
      <c r="BM138" s="22">
        <f t="shared" si="1186"/>
        <v>4.0000000000000001E-3</v>
      </c>
      <c r="BN138" s="22">
        <f t="shared" si="1186"/>
        <v>3.0000000000000001E-3</v>
      </c>
      <c r="BO138" s="22">
        <f t="shared" si="1186"/>
        <v>3.0000000000000001E-3</v>
      </c>
      <c r="BP138" s="22">
        <f t="shared" si="1186"/>
        <v>3.0000000000000001E-3</v>
      </c>
      <c r="BQ138" s="22">
        <f t="shared" si="1186"/>
        <v>3.0000000000000001E-3</v>
      </c>
      <c r="BR138" s="22">
        <f t="shared" si="1186"/>
        <v>3.0000000000000001E-3</v>
      </c>
      <c r="BS138" s="22">
        <f t="shared" si="1186"/>
        <v>3.0000000000000001E-3</v>
      </c>
      <c r="BT138" s="22">
        <f t="shared" si="1186"/>
        <v>29.788</v>
      </c>
      <c r="BU138" s="22">
        <f t="shared" si="1186"/>
        <v>29.788</v>
      </c>
      <c r="BV138" s="22">
        <f t="shared" si="1186"/>
        <v>13.927000000000001</v>
      </c>
      <c r="BW138" s="22">
        <f t="shared" si="1186"/>
        <v>13.927000000000001</v>
      </c>
      <c r="BX138" s="22">
        <f t="shared" si="1186"/>
        <v>38.439</v>
      </c>
      <c r="BY138" s="22">
        <f t="shared" si="1186"/>
        <v>38.439</v>
      </c>
      <c r="BZ138" s="22">
        <f t="shared" si="1186"/>
        <v>53.591000000000001</v>
      </c>
      <c r="CA138" s="22">
        <f t="shared" si="1186"/>
        <v>53.591000000000001</v>
      </c>
      <c r="CB138" s="22">
        <f t="shared" si="1186"/>
        <v>49.046999999999997</v>
      </c>
      <c r="CC138" s="22">
        <f t="shared" si="1186"/>
        <v>49.046999999999997</v>
      </c>
      <c r="CD138" s="22">
        <f t="shared" si="1186"/>
        <v>85.134000000000015</v>
      </c>
      <c r="CE138" s="22">
        <f t="shared" si="1186"/>
        <v>85.134000000000015</v>
      </c>
      <c r="CF138" s="22">
        <f t="shared" ref="CF138:CG138" si="1187">CF134+CF137+CF135+CF136</f>
        <v>87.121999999999986</v>
      </c>
      <c r="CG138" s="22">
        <f t="shared" si="1187"/>
        <v>87.121999999999986</v>
      </c>
      <c r="CH138" s="22">
        <f t="shared" ref="CH138:CJ138" si="1188">CH134+CH137+CH135+CH136</f>
        <v>316.98</v>
      </c>
      <c r="CI138" s="22">
        <f t="shared" si="1188"/>
        <v>313.64</v>
      </c>
      <c r="CJ138" s="22">
        <f t="shared" si="1188"/>
        <v>452.4</v>
      </c>
      <c r="CK138" s="21">
        <f t="shared" ref="CK138:DB138" si="1189">CK134+CK137+CK135+CK136</f>
        <v>445.88</v>
      </c>
      <c r="CL138" s="22">
        <f t="shared" si="1189"/>
        <v>439.82000000000005</v>
      </c>
      <c r="CM138" s="21">
        <f t="shared" si="1189"/>
        <v>430.87548856687056</v>
      </c>
      <c r="CN138" s="21">
        <f t="shared" si="1189"/>
        <v>422.34895051432397</v>
      </c>
      <c r="CO138" s="21">
        <f t="shared" si="1189"/>
        <v>414.2208541163202</v>
      </c>
      <c r="CP138" s="21">
        <f t="shared" si="1189"/>
        <v>406.47258035643097</v>
      </c>
      <c r="CQ138" s="21">
        <f t="shared" si="1189"/>
        <v>399.08638027729171</v>
      </c>
      <c r="CR138" s="21">
        <f t="shared" si="1189"/>
        <v>392.04533432309495</v>
      </c>
      <c r="CS138" s="21">
        <f t="shared" si="1189"/>
        <v>385.33331358199314</v>
      </c>
      <c r="CT138" s="21">
        <f t="shared" si="1189"/>
        <v>378.93494283962798</v>
      </c>
      <c r="CU138" s="21">
        <f t="shared" si="1189"/>
        <v>372.83556535915352</v>
      </c>
      <c r="CV138" s="21">
        <f t="shared" si="1189"/>
        <v>367.02120930707395</v>
      </c>
      <c r="CW138" s="21">
        <f t="shared" si="1189"/>
        <v>361.47855574798905</v>
      </c>
      <c r="CX138" s="21">
        <f t="shared" si="1189"/>
        <v>356.19490813493167</v>
      </c>
      <c r="CY138" s="21">
        <f t="shared" si="1189"/>
        <v>351.15816322540911</v>
      </c>
      <c r="CZ138" s="21">
        <f t="shared" si="1189"/>
        <v>346.35678335652699</v>
      </c>
      <c r="DA138" s="21">
        <f t="shared" si="1189"/>
        <v>341.77977001568422</v>
      </c>
      <c r="DB138" s="21">
        <f t="shared" si="1189"/>
        <v>337.41663864629936</v>
      </c>
      <c r="DE138" s="126"/>
      <c r="DF138" s="22">
        <v>439.63083588175334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177.08174373400001</v>
      </c>
      <c r="C140" s="23">
        <f>'Annual Raw'!D71</f>
        <v>176.4254406</v>
      </c>
      <c r="D140" s="23">
        <f>'Annual Raw'!E71</f>
        <v>184.2718668</v>
      </c>
      <c r="E140" s="23">
        <f>'Annual Raw'!F71</f>
        <v>153.16780478199999</v>
      </c>
      <c r="F140" s="23">
        <f>'Annual Raw'!G71</f>
        <v>139.98767248199999</v>
      </c>
      <c r="G140" s="23">
        <f>'Annual Raw'!H71</f>
        <v>198.79556708000001</v>
      </c>
      <c r="H140" s="23">
        <f>'Annual Raw'!I71</f>
        <v>226.25393908000001</v>
      </c>
      <c r="I140" s="23">
        <f>'Annual Raw'!J71</f>
        <v>362.09728781299998</v>
      </c>
      <c r="J140" s="23">
        <f>'Annual Raw'!K71</f>
        <v>317.400580789</v>
      </c>
      <c r="K140" s="23">
        <f>'Annual Raw'!L71</f>
        <v>340.97059999999999</v>
      </c>
      <c r="L140" s="23">
        <f>'Annual Raw'!M71</f>
        <v>0</v>
      </c>
      <c r="M140" s="23">
        <f>'Annual Raw'!N71</f>
        <v>723.55799999999999</v>
      </c>
      <c r="N140" s="23">
        <f>'Annual Raw'!O71</f>
        <v>678.76559999999995</v>
      </c>
      <c r="O140" s="23">
        <f>'Annual Raw'!P71</f>
        <v>670.08165059999999</v>
      </c>
      <c r="P140" s="23">
        <f>'Annual Raw'!Q71</f>
        <v>320.80606719999997</v>
      </c>
      <c r="Q140" s="23">
        <f>'Annual Raw'!R71</f>
        <v>335.17807310000001</v>
      </c>
      <c r="R140" s="23">
        <f>'Annual Raw'!S71</f>
        <v>330.6436478</v>
      </c>
      <c r="S140" s="23">
        <f>'Annual Raw'!T71</f>
        <v>252.79419999999999</v>
      </c>
      <c r="T140" s="23">
        <f>'Annual Raw'!U71</f>
        <v>186.1952</v>
      </c>
      <c r="U140" s="23">
        <f>'Annual Raw'!V71</f>
        <v>163.81890000000001</v>
      </c>
      <c r="V140" s="23">
        <f>'Annual Raw'!W71</f>
        <v>179.0701</v>
      </c>
      <c r="W140" s="23">
        <f>'Annual Raw'!X71</f>
        <v>350.62299999999999</v>
      </c>
      <c r="X140" s="23">
        <f>'Annual Raw'!Y71</f>
        <v>622.93960000000004</v>
      </c>
      <c r="Y140" s="23">
        <f>'Annual Raw'!Z71</f>
        <v>1229.1102000000001</v>
      </c>
      <c r="Z140" s="23">
        <f>'Annual Raw'!AA71</f>
        <v>2463.0300000000002</v>
      </c>
      <c r="AA140" s="23">
        <f>'Annual Raw'!AB71</f>
        <v>3456.93</v>
      </c>
      <c r="AB140" s="24">
        <f>+CP140</f>
        <v>3456.93</v>
      </c>
      <c r="AC140" s="24">
        <f>+CT140</f>
        <v>3456.93</v>
      </c>
      <c r="AD140" s="24">
        <f>+CX140</f>
        <v>3456.93</v>
      </c>
      <c r="AE140" s="24">
        <f>+DB140</f>
        <v>3456.93</v>
      </c>
      <c r="AJ140" s="23">
        <f>+'QTR Raw'!D77</f>
        <v>697.36599999999999</v>
      </c>
      <c r="AK140" s="23">
        <f t="shared" ref="AK140:CE140" si="1190">+AJ140</f>
        <v>697.36599999999999</v>
      </c>
      <c r="AL140" s="23">
        <f>+'QTR Raw'!F77</f>
        <v>678.76599999999996</v>
      </c>
      <c r="AM140" s="23">
        <f t="shared" si="1190"/>
        <v>678.76599999999996</v>
      </c>
      <c r="AN140" s="23">
        <f>+'QTR Raw'!H77</f>
        <v>671.65499999999997</v>
      </c>
      <c r="AO140" s="23">
        <f t="shared" si="1190"/>
        <v>671.65499999999997</v>
      </c>
      <c r="AP140" s="23">
        <f>+'QTR Raw'!J77</f>
        <v>670.08199999999999</v>
      </c>
      <c r="AQ140" s="23">
        <f t="shared" si="1190"/>
        <v>670.08199999999999</v>
      </c>
      <c r="AR140" s="23">
        <f>+'QTR Raw'!L77</f>
        <v>673.83399999999995</v>
      </c>
      <c r="AS140" s="23">
        <f t="shared" si="1190"/>
        <v>673.83399999999995</v>
      </c>
      <c r="AT140" s="23">
        <f>+'QTR Raw'!N77</f>
        <v>310.09500000000003</v>
      </c>
      <c r="AU140" s="23">
        <f t="shared" si="1190"/>
        <v>310.09500000000003</v>
      </c>
      <c r="AV140" s="23">
        <f>+'QTR Raw'!P77</f>
        <v>308.87700000000001</v>
      </c>
      <c r="AW140" s="23">
        <f t="shared" si="1190"/>
        <v>308.87700000000001</v>
      </c>
      <c r="AX140" s="23">
        <f>+'QTR Raw'!R77</f>
        <v>335.178</v>
      </c>
      <c r="AY140" s="23">
        <f t="shared" si="1190"/>
        <v>335.178</v>
      </c>
      <c r="AZ140" s="23">
        <f>+'QTR Raw'!T77</f>
        <v>321.85599999999999</v>
      </c>
      <c r="BA140" s="23">
        <f t="shared" si="1190"/>
        <v>321.85599999999999</v>
      </c>
      <c r="BB140" s="23">
        <f>+'QTR Raw'!V77</f>
        <v>330.64400000000001</v>
      </c>
      <c r="BC140" s="23">
        <f t="shared" si="1190"/>
        <v>330.64400000000001</v>
      </c>
      <c r="BD140" s="23">
        <f>+'QTR Raw'!X77</f>
        <v>297.166</v>
      </c>
      <c r="BE140" s="23">
        <f t="shared" si="1190"/>
        <v>297.166</v>
      </c>
      <c r="BF140" s="23">
        <f>+'QTR Raw'!Z77</f>
        <v>252.79400000000001</v>
      </c>
      <c r="BG140" s="23">
        <f t="shared" si="1190"/>
        <v>252.79400000000001</v>
      </c>
      <c r="BH140" s="23">
        <f>+'QTR Raw'!AB77</f>
        <v>239.58799999999999</v>
      </c>
      <c r="BI140" s="23">
        <f t="shared" si="1190"/>
        <v>239.58799999999999</v>
      </c>
      <c r="BJ140" s="23">
        <f>+'QTR Raw'!AD77</f>
        <v>186.19499999999999</v>
      </c>
      <c r="BK140" s="23">
        <f t="shared" si="1190"/>
        <v>186.19499999999999</v>
      </c>
      <c r="BL140" s="23">
        <f>+'QTR Raw'!AF77</f>
        <v>187.31299999999999</v>
      </c>
      <c r="BM140" s="23">
        <f t="shared" si="1190"/>
        <v>187.31299999999999</v>
      </c>
      <c r="BN140" s="23">
        <f>+'QTR Raw'!AH77</f>
        <v>163.81899999999999</v>
      </c>
      <c r="BO140" s="23">
        <f t="shared" si="1190"/>
        <v>163.81899999999999</v>
      </c>
      <c r="BP140" s="23">
        <f>+'QTR Raw'!AJ77</f>
        <v>181.15299999999999</v>
      </c>
      <c r="BQ140" s="23">
        <f t="shared" si="1190"/>
        <v>181.15299999999999</v>
      </c>
      <c r="BR140" s="23">
        <f>+'QTR Raw'!AL77</f>
        <v>179.07</v>
      </c>
      <c r="BS140" s="23">
        <f t="shared" si="1190"/>
        <v>179.07</v>
      </c>
      <c r="BT140" s="23">
        <f>+'QTR Raw'!AN77</f>
        <v>410.72500000000002</v>
      </c>
      <c r="BU140" s="23">
        <f t="shared" si="1190"/>
        <v>410.72500000000002</v>
      </c>
      <c r="BV140" s="23">
        <f>+'QTR Raw'!AP77</f>
        <v>350.62299999999999</v>
      </c>
      <c r="BW140" s="23">
        <f t="shared" si="1190"/>
        <v>350.62299999999999</v>
      </c>
      <c r="BX140" s="23">
        <f>+'QTR Raw'!AR77</f>
        <v>427.60199999999998</v>
      </c>
      <c r="BY140" s="23">
        <f t="shared" si="1190"/>
        <v>427.60199999999998</v>
      </c>
      <c r="BZ140" s="23">
        <f>+'QTR Raw'!AT77</f>
        <v>622.94000000000005</v>
      </c>
      <c r="CA140" s="23">
        <f t="shared" si="1190"/>
        <v>622.94000000000005</v>
      </c>
      <c r="CB140" s="23">
        <f>+'QTR Raw'!AV77</f>
        <v>1183.184</v>
      </c>
      <c r="CC140" s="23">
        <f t="shared" si="1190"/>
        <v>1183.184</v>
      </c>
      <c r="CD140" s="23">
        <f>+'QTR Raw'!AX77</f>
        <v>1248.671</v>
      </c>
      <c r="CE140" s="23">
        <f t="shared" si="1190"/>
        <v>1248.671</v>
      </c>
      <c r="CF140" s="23">
        <f>+'QTR Raw'!AZ77</f>
        <v>1979.0239999999999</v>
      </c>
      <c r="CG140" s="23">
        <f t="shared" ref="CG140:CI143" si="1191">+CF140</f>
        <v>1979.0239999999999</v>
      </c>
      <c r="CH140" s="23">
        <f t="shared" ref="CH140:CH155" si="1192">Z140</f>
        <v>2463.0300000000002</v>
      </c>
      <c r="CI140" s="23">
        <f t="shared" si="1191"/>
        <v>2463.0300000000002</v>
      </c>
      <c r="CJ140" s="23">
        <f>+'QTR Raw'!BD77</f>
        <v>2513.7800000000002</v>
      </c>
      <c r="CK140" s="24">
        <f t="shared" ref="CK140" si="1193">+CJ140</f>
        <v>2513.7800000000002</v>
      </c>
      <c r="CL140" s="23">
        <f>+'QTR Raw'!BF77</f>
        <v>3456.93</v>
      </c>
      <c r="CM140" s="24">
        <f t="shared" ref="CM140" si="1194">+CL140</f>
        <v>3456.93</v>
      </c>
      <c r="CN140" s="24">
        <f t="shared" ref="CN140" si="1195">+CM140</f>
        <v>3456.93</v>
      </c>
      <c r="CO140" s="24">
        <f t="shared" ref="CO140" si="1196">+CN140</f>
        <v>3456.93</v>
      </c>
      <c r="CP140" s="24">
        <f t="shared" ref="CP140" si="1197">+CO140</f>
        <v>3456.93</v>
      </c>
      <c r="CQ140" s="24">
        <f t="shared" ref="CQ140" si="1198">+CP140</f>
        <v>3456.93</v>
      </c>
      <c r="CR140" s="24">
        <f t="shared" ref="CR140" si="1199">+CQ140</f>
        <v>3456.93</v>
      </c>
      <c r="CS140" s="24">
        <f t="shared" ref="CS140" si="1200">+CR140</f>
        <v>3456.93</v>
      </c>
      <c r="CT140" s="24">
        <f t="shared" ref="CT140" si="1201">+CS140</f>
        <v>3456.93</v>
      </c>
      <c r="CU140" s="24">
        <f t="shared" ref="CU140" si="1202">+CT140</f>
        <v>3456.93</v>
      </c>
      <c r="CV140" s="24">
        <f t="shared" ref="CV140" si="1203">+CU140</f>
        <v>3456.93</v>
      </c>
      <c r="CW140" s="24">
        <f t="shared" ref="CW140" si="1204">+CV140</f>
        <v>3456.93</v>
      </c>
      <c r="CX140" s="24">
        <f t="shared" ref="CX140" si="1205">+CW140</f>
        <v>3456.93</v>
      </c>
      <c r="CY140" s="24">
        <f t="shared" ref="CY140" si="1206">+CX140</f>
        <v>3456.93</v>
      </c>
      <c r="CZ140" s="24">
        <f t="shared" ref="CZ140" si="1207">+CY140</f>
        <v>3456.93</v>
      </c>
      <c r="DA140" s="24">
        <f t="shared" ref="DA140" si="1208">+CZ140</f>
        <v>3456.93</v>
      </c>
      <c r="DB140" s="24">
        <f t="shared" ref="DB140" si="1209">+DA140</f>
        <v>3456.93</v>
      </c>
      <c r="DE140" s="123"/>
      <c r="DF140" s="23">
        <v>2513.7800000000002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9.6115125999999993</v>
      </c>
      <c r="P142" s="23">
        <f>'Annual Raw'!Q72+'Annual Raw'!Q61</f>
        <v>154.45270020000001</v>
      </c>
      <c r="Q142" s="23">
        <f>'Annual Raw'!R72+'Annual Raw'!R61</f>
        <v>135.56724399999999</v>
      </c>
      <c r="R142" s="23">
        <f>'Annual Raw'!S72+'Annual Raw'!S61</f>
        <v>135.515244</v>
      </c>
      <c r="S142" s="23">
        <f>'Annual Raw'!T72+'Annual Raw'!T61</f>
        <v>134.7784</v>
      </c>
      <c r="T142" s="23">
        <f>'Annual Raw'!U72+'Annual Raw'!U61</f>
        <v>149.5943</v>
      </c>
      <c r="U142" s="23">
        <f>'Annual Raw'!V72+'Annual Raw'!V61</f>
        <v>148.7636</v>
      </c>
      <c r="V142" s="23">
        <f>'Annual Raw'!W72+'Annual Raw'!W61</f>
        <v>148.86109999999999</v>
      </c>
      <c r="W142" s="23">
        <f>'Annual Raw'!X72+'Annual Raw'!X61</f>
        <v>316.93740000000003</v>
      </c>
      <c r="X142" s="23">
        <f>'Annual Raw'!Y72+'Annual Raw'!Y61</f>
        <v>251.5043</v>
      </c>
      <c r="Y142" s="23">
        <f>'Annual Raw'!Z72+'Annual Raw'!Z61</f>
        <v>234.17760000000001</v>
      </c>
      <c r="Z142" s="23">
        <f>'Annual Raw'!AA72+'Annual Raw'!AA61</f>
        <v>91.36</v>
      </c>
      <c r="AA142" s="23">
        <f>'Annual Raw'!AB72+'Annual Raw'!AB61</f>
        <v>336.45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9.6110000000000007</v>
      </c>
      <c r="AQ142" s="23">
        <f t="shared" si="1214"/>
        <v>9.6110000000000007</v>
      </c>
      <c r="AR142" s="23">
        <f>+'QTR Raw'!L78</f>
        <v>0</v>
      </c>
      <c r="AS142" s="23">
        <f t="shared" si="1214"/>
        <v>0</v>
      </c>
      <c r="AT142" s="23">
        <f>+'QTR Raw'!N78</f>
        <v>154.453</v>
      </c>
      <c r="AU142" s="23">
        <f t="shared" si="1214"/>
        <v>154.453</v>
      </c>
      <c r="AV142" s="23">
        <f>+'QTR Raw'!P78</f>
        <v>154.553</v>
      </c>
      <c r="AW142" s="23">
        <f t="shared" si="1214"/>
        <v>154.553</v>
      </c>
      <c r="AX142" s="23">
        <f>+'QTR Raw'!R78</f>
        <v>135.56700000000001</v>
      </c>
      <c r="AY142" s="23">
        <f t="shared" si="1214"/>
        <v>135.56700000000001</v>
      </c>
      <c r="AZ142" s="23">
        <f>+'QTR Raw'!T78</f>
        <v>135.56899999999999</v>
      </c>
      <c r="BA142" s="23">
        <f t="shared" si="1214"/>
        <v>135.56899999999999</v>
      </c>
      <c r="BB142" s="23">
        <f>+'QTR Raw'!V78</f>
        <v>0</v>
      </c>
      <c r="BC142" s="23">
        <f t="shared" si="1214"/>
        <v>0</v>
      </c>
      <c r="BD142" s="23">
        <f>+'QTR Raw'!X78</f>
        <v>0</v>
      </c>
      <c r="BE142" s="23">
        <f t="shared" si="1214"/>
        <v>0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0</v>
      </c>
      <c r="BO142" s="23">
        <f t="shared" si="1214"/>
        <v>0</v>
      </c>
      <c r="BP142" s="23">
        <f>+'QTR Raw'!AJ78</f>
        <v>0</v>
      </c>
      <c r="BQ142" s="23">
        <f t="shared" si="1214"/>
        <v>0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91.36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2.1000000000000001E-2</v>
      </c>
      <c r="X143" s="23">
        <f>'Annual Raw'!Y73+'Annual Raw'!Y81</f>
        <v>8.6999999999999994E-3</v>
      </c>
      <c r="Y143" s="23">
        <f>'Annual Raw'!Z73+'Annual Raw'!Z81</f>
        <v>1.0666</v>
      </c>
      <c r="Z143" s="23">
        <f>'Annual Raw'!AA73+'Annual Raw'!AA81</f>
        <v>2.82</v>
      </c>
      <c r="AA143" s="23">
        <f>'Annual Raw'!AB73+'Annual Raw'!AB81</f>
        <v>2.96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135.51499999999999</v>
      </c>
      <c r="BC143" s="23">
        <f t="shared" si="1214"/>
        <v>135.51499999999999</v>
      </c>
      <c r="BD143" s="23">
        <f>+'QTR Raw'!X79+'QTR Raw'!X76</f>
        <v>135.51599999999999</v>
      </c>
      <c r="BE143" s="23">
        <f t="shared" si="1214"/>
        <v>135.51599999999999</v>
      </c>
      <c r="BF143" s="23">
        <f>+'QTR Raw'!Z79+'QTR Raw'!Z76</f>
        <v>134.77799999999999</v>
      </c>
      <c r="BG143" s="23">
        <f t="shared" si="1214"/>
        <v>134.77799999999999</v>
      </c>
      <c r="BH143" s="23">
        <f>+'QTR Raw'!AB79+'QTR Raw'!AB76</f>
        <v>141.21299999999999</v>
      </c>
      <c r="BI143" s="23">
        <f t="shared" si="1214"/>
        <v>141.21299999999999</v>
      </c>
      <c r="BJ143" s="23">
        <f>+'QTR Raw'!AD79+'QTR Raw'!AD76</f>
        <v>149.595</v>
      </c>
      <c r="BK143" s="23">
        <f t="shared" si="1214"/>
        <v>149.595</v>
      </c>
      <c r="BL143" s="23">
        <f>+'QTR Raw'!AF79+'QTR Raw'!AF76</f>
        <v>148.69399999999999</v>
      </c>
      <c r="BM143" s="23">
        <f t="shared" si="1214"/>
        <v>148.69399999999999</v>
      </c>
      <c r="BN143" s="23">
        <f>+'QTR Raw'!AH79+'QTR Raw'!AH76</f>
        <v>148.76400000000001</v>
      </c>
      <c r="BO143" s="23">
        <f t="shared" si="1214"/>
        <v>148.76400000000001</v>
      </c>
      <c r="BP143" s="23">
        <f>+'QTR Raw'!AJ79+'QTR Raw'!AJ76</f>
        <v>148.268</v>
      </c>
      <c r="BQ143" s="23">
        <f t="shared" si="1214"/>
        <v>148.268</v>
      </c>
      <c r="BR143" s="23">
        <f>+'QTR Raw'!AL79+'QTR Raw'!AL76</f>
        <v>148.86099999999999</v>
      </c>
      <c r="BS143" s="23">
        <f t="shared" si="1214"/>
        <v>148.86099999999999</v>
      </c>
      <c r="BT143" s="23">
        <f>+'QTR Raw'!AN79+'QTR Raw'!AN76</f>
        <v>152.024</v>
      </c>
      <c r="BU143" s="23">
        <f t="shared" si="1214"/>
        <v>152.024</v>
      </c>
      <c r="BV143" s="23">
        <f>+'QTR Raw'!AP79+'QTR Raw'!AP76</f>
        <v>320.72199999999998</v>
      </c>
      <c r="BW143" s="23">
        <f t="shared" si="1214"/>
        <v>320.72199999999998</v>
      </c>
      <c r="BX143" s="23">
        <f>+'QTR Raw'!AR79+'QTR Raw'!AR76</f>
        <v>154.04499999999999</v>
      </c>
      <c r="BY143" s="23">
        <f t="shared" si="1214"/>
        <v>154.04499999999999</v>
      </c>
      <c r="BZ143" s="23">
        <f>+'QTR Raw'!AT79+'QTR Raw'!AT76</f>
        <v>256.81799999999998</v>
      </c>
      <c r="CA143" s="23">
        <f t="shared" si="1214"/>
        <v>256.81799999999998</v>
      </c>
      <c r="CB143" s="23">
        <f>+'QTR Raw'!AV79+'QTR Raw'!AV76</f>
        <v>129.857</v>
      </c>
      <c r="CC143" s="23">
        <f t="shared" si="1214"/>
        <v>129.857</v>
      </c>
      <c r="CD143" s="23">
        <f>+'QTR Raw'!AX79+'QTR Raw'!AX76</f>
        <v>250.28899999999999</v>
      </c>
      <c r="CE143" s="23">
        <f t="shared" si="1214"/>
        <v>250.28899999999999</v>
      </c>
      <c r="CF143" s="23">
        <f>+'QTR Raw'!AZ79+'QTR Raw'!AZ76</f>
        <v>123.693</v>
      </c>
      <c r="CG143" s="23">
        <f t="shared" si="1191"/>
        <v>123.693</v>
      </c>
      <c r="CH143" s="23">
        <f t="shared" si="1192"/>
        <v>2.82</v>
      </c>
      <c r="CJ143" s="23">
        <f>+'QTR Raw'!BD79+'QTR Raw'!BD76</f>
        <v>308.76</v>
      </c>
      <c r="CK143" s="24"/>
      <c r="CL143" s="23">
        <f>+'QTR Raw'!BF79+'QTR Raw'!BF76</f>
        <v>415.4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415.4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48.850700000000003</v>
      </c>
      <c r="X144" s="23">
        <f>'Annual Raw'!Y76</f>
        <v>122.0501</v>
      </c>
      <c r="Y144" s="23">
        <f>'Annual Raw'!Z76</f>
        <v>219.1798</v>
      </c>
      <c r="Z144" s="23">
        <f>'Annual Raw'!AA76</f>
        <v>161.24</v>
      </c>
      <c r="AA144" s="23">
        <f>'Annual Raw'!AB76</f>
        <v>561.70000000000005</v>
      </c>
      <c r="AB144" s="24">
        <f t="shared" si="1210"/>
        <v>701.60251081614194</v>
      </c>
      <c r="AC144" s="24">
        <f t="shared" si="1211"/>
        <v>852.80780083630475</v>
      </c>
      <c r="AD144" s="24">
        <f t="shared" si="1212"/>
        <v>1032.9174297943246</v>
      </c>
      <c r="AE144" s="24">
        <f t="shared" si="1213"/>
        <v>1250.6395294375116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>
        <f>+AU179*AU10/90</f>
        <v>0</v>
      </c>
      <c r="AV144" s="23">
        <f>+'QTR Raw'!P81</f>
        <v>0</v>
      </c>
      <c r="AW144" s="23">
        <f>+AW179*AW10/90</f>
        <v>0</v>
      </c>
      <c r="AX144" s="23">
        <f>+'QTR Raw'!R81</f>
        <v>0</v>
      </c>
      <c r="AY144" s="23">
        <f>+AY179*AY10/90</f>
        <v>0</v>
      </c>
      <c r="AZ144" s="23">
        <f>+'QTR Raw'!T81</f>
        <v>0</v>
      </c>
      <c r="BA144" s="23">
        <f>+BA179*BA10/90</f>
        <v>0</v>
      </c>
      <c r="BB144" s="23">
        <f>+'QTR Raw'!V81</f>
        <v>0</v>
      </c>
      <c r="BC144" s="23">
        <f>+BC179*BC10/90</f>
        <v>0</v>
      </c>
      <c r="BD144" s="23">
        <f>+'QTR Raw'!X81</f>
        <v>0</v>
      </c>
      <c r="BE144" s="23">
        <f>+BE179*BE10/90</f>
        <v>0</v>
      </c>
      <c r="BF144" s="23">
        <f>+'QTR Raw'!Z81</f>
        <v>0</v>
      </c>
      <c r="BG144" s="23">
        <f>+BG179*BG10/90</f>
        <v>0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 t="e">
        <f>+BQ179*BQ10/90</f>
        <v>#DIV/0!</v>
      </c>
      <c r="BR144" s="23">
        <f>+'QTR Raw'!AL81</f>
        <v>0</v>
      </c>
      <c r="BS144" s="23">
        <f>+BS179*BS10/90</f>
        <v>0</v>
      </c>
      <c r="BT144" s="23">
        <f>+'QTR Raw'!AN81</f>
        <v>22.190999999999999</v>
      </c>
      <c r="BU144" s="23">
        <f>+BU179*BU10/90</f>
        <v>58.106372708757632</v>
      </c>
      <c r="BV144" s="23">
        <f>+'QTR Raw'!AP81</f>
        <v>48.850999999999999</v>
      </c>
      <c r="BW144" s="23">
        <f>+BW179*BW10/90</f>
        <v>128.46191127570313</v>
      </c>
      <c r="BX144" s="23">
        <f>+'QTR Raw'!AR81</f>
        <v>89.575999999999993</v>
      </c>
      <c r="BY144" s="23">
        <f>+BY179*BY10/90</f>
        <v>176.87777498309669</v>
      </c>
      <c r="BZ144" s="23">
        <f>+'QTR Raw'!AT81</f>
        <v>122.05</v>
      </c>
      <c r="CA144" s="23">
        <f>+CA179*CA10/90</f>
        <v>76.430377081961922</v>
      </c>
      <c r="CB144" s="23">
        <f>+'QTR Raw'!AV81</f>
        <v>191.63399999999999</v>
      </c>
      <c r="CC144" s="23">
        <f>+CC179*CC10/90</f>
        <v>416.01723929815165</v>
      </c>
      <c r="CD144" s="23">
        <f>+'QTR Raw'!AX81</f>
        <v>219.18</v>
      </c>
      <c r="CE144" s="23">
        <f>+CE179*CE10/90</f>
        <v>212.26900767750868</v>
      </c>
      <c r="CF144" s="23">
        <f>+'QTR Raw'!AZ81</f>
        <v>189.11600000000001</v>
      </c>
      <c r="CG144" s="23">
        <f>+CG179*CG10/90</f>
        <v>142.42081249351457</v>
      </c>
      <c r="CH144" s="23">
        <f t="shared" si="1192"/>
        <v>161.24</v>
      </c>
      <c r="CI144" s="23">
        <f>+CI179*CI10/90</f>
        <v>109.03767677593395</v>
      </c>
      <c r="CJ144" s="23">
        <f>+'QTR Raw'!BD81</f>
        <v>240.38</v>
      </c>
      <c r="CK144" s="24">
        <f t="shared" ref="CK144:DB144" si="1215">+CK179*CK10/90</f>
        <v>176.88685441621368</v>
      </c>
      <c r="CL144" s="23">
        <f>+'QTR Raw'!BF81</f>
        <v>561.70000000000005</v>
      </c>
      <c r="CM144" s="24">
        <f t="shared" si="1215"/>
        <v>295.71963716710508</v>
      </c>
      <c r="CN144" s="24">
        <f t="shared" si="1215"/>
        <v>372.95071092165728</v>
      </c>
      <c r="CO144" s="24">
        <f t="shared" si="1215"/>
        <v>281.47730357488643</v>
      </c>
      <c r="CP144" s="24">
        <f t="shared" si="1215"/>
        <v>701.60251081614194</v>
      </c>
      <c r="CQ144" s="24">
        <f t="shared" si="1215"/>
        <v>352.98981198368682</v>
      </c>
      <c r="CR144" s="24">
        <f t="shared" si="1215"/>
        <v>449.71779825902121</v>
      </c>
      <c r="CS144" s="24">
        <f t="shared" si="1215"/>
        <v>341.56878839052973</v>
      </c>
      <c r="CT144" s="24">
        <f t="shared" si="1215"/>
        <v>852.80780083630475</v>
      </c>
      <c r="CU144" s="24">
        <f t="shared" si="1215"/>
        <v>426.10292334568555</v>
      </c>
      <c r="CV144" s="24">
        <f t="shared" si="1215"/>
        <v>544.37919156286034</v>
      </c>
      <c r="CW144" s="24">
        <f t="shared" si="1215"/>
        <v>413.86320433247732</v>
      </c>
      <c r="CX144" s="24">
        <f t="shared" si="1215"/>
        <v>1032.9174297943246</v>
      </c>
      <c r="CY144" s="24">
        <f t="shared" si="1215"/>
        <v>515.63417942493777</v>
      </c>
      <c r="CZ144" s="24">
        <f t="shared" si="1215"/>
        <v>659.16933422229999</v>
      </c>
      <c r="DA144" s="24">
        <f t="shared" si="1215"/>
        <v>501.17084405384435</v>
      </c>
      <c r="DB144" s="24">
        <f t="shared" si="1215"/>
        <v>1250.6395294375116</v>
      </c>
      <c r="DE144" s="123"/>
      <c r="DF144" s="23">
        <v>330.93243818220765</v>
      </c>
    </row>
    <row r="145" spans="1:110" s="23" customFormat="1" outlineLevel="1" x14ac:dyDescent="0.2">
      <c r="A145" s="23" t="s">
        <v>62</v>
      </c>
      <c r="B145" s="23">
        <f>'Annual Raw'!C77</f>
        <v>35.919613427999998</v>
      </c>
      <c r="C145" s="23">
        <f>'Annual Raw'!D77</f>
        <v>35.444551292</v>
      </c>
      <c r="D145" s="23">
        <f>'Annual Raw'!E77</f>
        <v>27.149524568</v>
      </c>
      <c r="E145" s="23">
        <f>'Annual Raw'!F77</f>
        <v>7.4704745680000002</v>
      </c>
      <c r="F145" s="23">
        <f>'Annual Raw'!G77</f>
        <v>7.4704745680000002</v>
      </c>
      <c r="G145" s="23">
        <f>'Annual Raw'!H77</f>
        <v>12.098156167999999</v>
      </c>
      <c r="H145" s="23">
        <f>'Annual Raw'!I77</f>
        <v>14.655890943999999</v>
      </c>
      <c r="I145" s="23">
        <f>'Annual Raw'!J77</f>
        <v>33.286907888999998</v>
      </c>
      <c r="J145" s="23">
        <f>'Annual Raw'!K77</f>
        <v>64.016496695000001</v>
      </c>
      <c r="K145" s="23">
        <f>'Annual Raw'!L77</f>
        <v>34.904000000000003</v>
      </c>
      <c r="L145" s="23">
        <f>'Annual Raw'!M77</f>
        <v>10.8117</v>
      </c>
      <c r="M145" s="23">
        <f>'Annual Raw'!N77</f>
        <v>14.9763</v>
      </c>
      <c r="N145" s="23">
        <f>'Annual Raw'!O77</f>
        <v>6.4829999999999997</v>
      </c>
      <c r="O145" s="23">
        <f>'Annual Raw'!P77</f>
        <v>7.5999863000000003</v>
      </c>
      <c r="P145" s="23">
        <f>'Annual Raw'!Q77</f>
        <v>6.4829746000000004</v>
      </c>
      <c r="Q145" s="23">
        <f>'Annual Raw'!R77</f>
        <v>6.4829746000000004</v>
      </c>
      <c r="R145" s="23">
        <f>'Annual Raw'!S77</f>
        <v>8.9431960000000004</v>
      </c>
      <c r="S145" s="23">
        <f>'Annual Raw'!T77</f>
        <v>8.9431999999999992</v>
      </c>
      <c r="T145" s="23">
        <f>'Annual Raw'!U77</f>
        <v>0</v>
      </c>
      <c r="U145" s="23">
        <f>'Annual Raw'!V77</f>
        <v>0.59740000000000004</v>
      </c>
      <c r="V145" s="23">
        <f>'Annual Raw'!W77</f>
        <v>0</v>
      </c>
      <c r="W145" s="23">
        <f>'Annual Raw'!X77</f>
        <v>10.3492</v>
      </c>
      <c r="X145" s="23">
        <f>'Annual Raw'!Y77</f>
        <v>39.318899999999999</v>
      </c>
      <c r="Y145" s="23">
        <f>'Annual Raw'!Z77</f>
        <v>152.3528</v>
      </c>
      <c r="Z145" s="23">
        <f>'Annual Raw'!AA77</f>
        <v>273.24</v>
      </c>
      <c r="AA145" s="23">
        <f>'Annual Raw'!AB77</f>
        <v>269.08999999999997</v>
      </c>
      <c r="AB145" s="24">
        <f t="shared" si="1210"/>
        <v>336.11219447305604</v>
      </c>
      <c r="AC145" s="24">
        <f t="shared" si="1211"/>
        <v>408.54913855624216</v>
      </c>
      <c r="AD145" s="24">
        <f t="shared" si="1212"/>
        <v>494.83309806543485</v>
      </c>
      <c r="AE145" s="24">
        <f t="shared" si="1213"/>
        <v>599.13582157083829</v>
      </c>
      <c r="AJ145" s="23">
        <f>+'QTR Raw'!D82</f>
        <v>6.4829999999999997</v>
      </c>
      <c r="AK145" s="23" t="e">
        <f>+AK180*AK10/90</f>
        <v>#DIV/0!</v>
      </c>
      <c r="AL145" s="23">
        <f>+'QTR Raw'!F82</f>
        <v>6.4829999999999997</v>
      </c>
      <c r="AM145" s="23" t="e">
        <f>+AM180*AM10/90</f>
        <v>#DIV/0!</v>
      </c>
      <c r="AN145" s="23">
        <f>+'QTR Raw'!H82</f>
        <v>6.4829999999999997</v>
      </c>
      <c r="AO145" s="23" t="e">
        <f>+AO180*AO10/90</f>
        <v>#DIV/0!</v>
      </c>
      <c r="AP145" s="23">
        <f>+'QTR Raw'!J82</f>
        <v>7.6</v>
      </c>
      <c r="AQ145" s="23" t="e">
        <f>+AQ180*AQ10/90</f>
        <v>#DIV/0!</v>
      </c>
      <c r="AR145" s="23">
        <f>+'QTR Raw'!L82</f>
        <v>6.4829999999999997</v>
      </c>
      <c r="AS145" s="23" t="e">
        <f>+AS180*AS10/90</f>
        <v>#DIV/0!</v>
      </c>
      <c r="AT145" s="23">
        <f>+'QTR Raw'!N82</f>
        <v>6.4829999999999997</v>
      </c>
      <c r="AU145" s="23">
        <f>+AU180*AU10/90</f>
        <v>0</v>
      </c>
      <c r="AV145" s="23">
        <f>+'QTR Raw'!P82</f>
        <v>6.4829999999999997</v>
      </c>
      <c r="AW145" s="23">
        <f>+AW180*AW10/90</f>
        <v>7.7308194147700871</v>
      </c>
      <c r="AX145" s="23">
        <f>+'QTR Raw'!R82</f>
        <v>6.4829999999999997</v>
      </c>
      <c r="AY145" s="23">
        <f>+AY180*AY10/90</f>
        <v>0</v>
      </c>
      <c r="AZ145" s="23">
        <f>+'QTR Raw'!T82</f>
        <v>6.4829999999999997</v>
      </c>
      <c r="BA145" s="23">
        <f>+BA180*BA10/90</f>
        <v>13.174100925390396</v>
      </c>
      <c r="BB145" s="23">
        <f>+'QTR Raw'!V82</f>
        <v>8.9429999999999996</v>
      </c>
      <c r="BC145" s="23">
        <f>+BC180*BC10/90</f>
        <v>0</v>
      </c>
      <c r="BD145" s="23">
        <f>+'QTR Raw'!X82</f>
        <v>27.645</v>
      </c>
      <c r="BE145" s="23">
        <f>+BE180*BE10/90</f>
        <v>98.873783633569815</v>
      </c>
      <c r="BF145" s="23">
        <f>+'QTR Raw'!Z82</f>
        <v>8.9429999999999996</v>
      </c>
      <c r="BG145" s="23">
        <f>+BG180*BG10/90</f>
        <v>0</v>
      </c>
      <c r="BH145" s="23">
        <f>+'QTR Raw'!AB82</f>
        <v>7.2430000000000003</v>
      </c>
      <c r="BI145" s="23" t="e">
        <f>+BI180*BI10/90</f>
        <v>#DIV/0!</v>
      </c>
      <c r="BJ145" s="23">
        <f>+'QTR Raw'!AD82</f>
        <v>0</v>
      </c>
      <c r="BK145" s="23">
        <f>+BK180*BK10/90</f>
        <v>0</v>
      </c>
      <c r="BL145" s="23">
        <f>+'QTR Raw'!AF82</f>
        <v>0</v>
      </c>
      <c r="BM145" s="23" t="e">
        <f>+BM180*BM10/90</f>
        <v>#DIV/0!</v>
      </c>
      <c r="BN145" s="23">
        <f>+'QTR Raw'!AH82</f>
        <v>0.59699999999999998</v>
      </c>
      <c r="BO145" s="23">
        <f>+BO180*BO10/90</f>
        <v>0</v>
      </c>
      <c r="BP145" s="23">
        <f>+'QTR Raw'!AJ82</f>
        <v>0.59699999999999998</v>
      </c>
      <c r="BQ145" s="23" t="e">
        <f>+BQ180*BQ10/90</f>
        <v>#DIV/0!</v>
      </c>
      <c r="BR145" s="23">
        <f>+'QTR Raw'!AL82</f>
        <v>0</v>
      </c>
      <c r="BS145" s="23">
        <f>+BS180*BS10/90</f>
        <v>0</v>
      </c>
      <c r="BT145" s="23">
        <f>+'QTR Raw'!AN82</f>
        <v>4.7830000000000004</v>
      </c>
      <c r="BU145" s="23">
        <f>+BU180*BU10/90</f>
        <v>12.524121520706043</v>
      </c>
      <c r="BV145" s="23">
        <f>+'QTR Raw'!AP82</f>
        <v>10.349</v>
      </c>
      <c r="BW145" s="23">
        <f>+BW180*BW10/90</f>
        <v>27.214434091262234</v>
      </c>
      <c r="BX145" s="23">
        <f>+'QTR Raw'!AR82</f>
        <v>12.477</v>
      </c>
      <c r="BY145" s="23">
        <f>+BY180*BY10/90</f>
        <v>24.637224239350918</v>
      </c>
      <c r="BZ145" s="23">
        <f>+'QTR Raw'!AT82</f>
        <v>39.319000000000003</v>
      </c>
      <c r="CA145" s="23">
        <f>+CA180*CA10/90</f>
        <v>24.622417013401567</v>
      </c>
      <c r="CB145" s="23">
        <f>+'QTR Raw'!AV82</f>
        <v>35.396999999999998</v>
      </c>
      <c r="CC145" s="23">
        <f>+CC180*CC10/90</f>
        <v>76.843160500937586</v>
      </c>
      <c r="CD145" s="23">
        <f>+'QTR Raw'!AX82</f>
        <v>152.35300000000001</v>
      </c>
      <c r="CE145" s="23">
        <f>+CE180*CE10/90</f>
        <v>147.54913827307001</v>
      </c>
      <c r="CF145" s="23">
        <f>+'QTR Raw'!AZ82</f>
        <v>66.156000000000006</v>
      </c>
      <c r="CG145" s="23">
        <f>+CG180*CG10/90</f>
        <v>49.821227560444122</v>
      </c>
      <c r="CH145" s="23">
        <f t="shared" si="1192"/>
        <v>273.24</v>
      </c>
      <c r="CI145" s="23">
        <f>+CI180*CI10/90</f>
        <v>184.77707021989698</v>
      </c>
      <c r="CJ145" s="23">
        <f>+'QTR Raw'!BD82</f>
        <v>273.86</v>
      </c>
      <c r="CK145" s="24">
        <f t="shared" ref="CK145:DB145" si="1216">+CK180*CK10/90</f>
        <v>201.52356248616476</v>
      </c>
      <c r="CL145" s="23">
        <f>+'QTR Raw'!BF82</f>
        <v>269.08999999999997</v>
      </c>
      <c r="CM145" s="24">
        <f t="shared" si="1216"/>
        <v>141.66850127344895</v>
      </c>
      <c r="CN145" s="24">
        <f t="shared" si="1216"/>
        <v>178.66709418178519</v>
      </c>
      <c r="CO145" s="24">
        <f t="shared" si="1216"/>
        <v>134.84551828194083</v>
      </c>
      <c r="CP145" s="24">
        <f t="shared" si="1216"/>
        <v>336.11219447305604</v>
      </c>
      <c r="CQ145" s="24">
        <f t="shared" si="1216"/>
        <v>169.10455493446727</v>
      </c>
      <c r="CR145" s="24">
        <f t="shared" si="1216"/>
        <v>215.44340810667615</v>
      </c>
      <c r="CS145" s="24">
        <f t="shared" si="1216"/>
        <v>163.63315874667549</v>
      </c>
      <c r="CT145" s="24">
        <f t="shared" si="1216"/>
        <v>408.54913855624216</v>
      </c>
      <c r="CU145" s="24">
        <f t="shared" si="1216"/>
        <v>204.13038213119191</v>
      </c>
      <c r="CV145" s="24">
        <f t="shared" si="1216"/>
        <v>260.79223189896754</v>
      </c>
      <c r="CW145" s="24">
        <f t="shared" si="1216"/>
        <v>198.26677880332258</v>
      </c>
      <c r="CX145" s="24">
        <f t="shared" si="1216"/>
        <v>494.83309806543485</v>
      </c>
      <c r="CY145" s="24">
        <f t="shared" si="1216"/>
        <v>247.02154413647227</v>
      </c>
      <c r="CZ145" s="24">
        <f t="shared" si="1216"/>
        <v>315.78400595670047</v>
      </c>
      <c r="DA145" s="24">
        <f t="shared" si="1216"/>
        <v>240.09268724666003</v>
      </c>
      <c r="DB145" s="24">
        <f t="shared" si="1216"/>
        <v>599.13582157083829</v>
      </c>
      <c r="DE145" s="123"/>
      <c r="DF145" s="23">
        <v>377.02453415666605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6.9325999999999999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0</v>
      </c>
      <c r="U146" s="23">
        <f>'Annual Raw'!V79</f>
        <v>0</v>
      </c>
      <c r="V146" s="23">
        <f>'Annual Raw'!W79</f>
        <v>0</v>
      </c>
      <c r="W146" s="23">
        <f>'Annual Raw'!X79</f>
        <v>0.96130000000000004</v>
      </c>
      <c r="X146" s="23">
        <f>'Annual Raw'!Y79</f>
        <v>1.2396</v>
      </c>
      <c r="Y146" s="23">
        <f>'Annual Raw'!Z79</f>
        <v>7.6237000000000004</v>
      </c>
      <c r="Z146" s="23">
        <f>'Annual Raw'!AA79</f>
        <v>72.75</v>
      </c>
      <c r="AA146" s="23">
        <f>'Annual Raw'!AB79</f>
        <v>20.76</v>
      </c>
      <c r="AB146" s="24">
        <f t="shared" si="1210"/>
        <v>1855.6805593626509</v>
      </c>
      <c r="AC146" s="24">
        <f t="shared" si="1211"/>
        <v>2255.6060340260924</v>
      </c>
      <c r="AD146" s="24">
        <f t="shared" si="1212"/>
        <v>2731.9810923516789</v>
      </c>
      <c r="AE146" s="24">
        <f t="shared" si="1213"/>
        <v>3307.8380219135461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0.20899999999999999</v>
      </c>
      <c r="BC146" s="23">
        <f t="shared" si="1214"/>
        <v>0.20899999999999999</v>
      </c>
      <c r="BD146" s="23">
        <f>+'QTR Raw'!X84</f>
        <v>0.21099999999999999</v>
      </c>
      <c r="BE146" s="23">
        <f t="shared" si="1214"/>
        <v>0.21099999999999999</v>
      </c>
      <c r="BF146" s="23">
        <f>+'QTR Raw'!Z84</f>
        <v>0.22700000000000001</v>
      </c>
      <c r="BG146" s="23">
        <f t="shared" si="1214"/>
        <v>0.22700000000000001</v>
      </c>
      <c r="BH146" s="23">
        <f>+'QTR Raw'!AB84</f>
        <v>0.247</v>
      </c>
      <c r="BI146" s="23">
        <f t="shared" si="1214"/>
        <v>0.247</v>
      </c>
      <c r="BJ146" s="23">
        <f>+'QTR Raw'!AD84</f>
        <v>0.32200000000000001</v>
      </c>
      <c r="BK146" s="23">
        <f t="shared" si="1214"/>
        <v>0.32200000000000001</v>
      </c>
      <c r="BL146" s="23">
        <f>+'QTR Raw'!AF84</f>
        <v>0.33300000000000002</v>
      </c>
      <c r="BM146" s="23">
        <f t="shared" si="1214"/>
        <v>0.33300000000000002</v>
      </c>
      <c r="BN146" s="23">
        <f>+'QTR Raw'!AH84</f>
        <v>0.57599999999999996</v>
      </c>
      <c r="BO146" s="23">
        <f t="shared" si="1214"/>
        <v>0.57599999999999996</v>
      </c>
      <c r="BP146" s="23">
        <f>+'QTR Raw'!AJ84</f>
        <v>0.59099999999999997</v>
      </c>
      <c r="BQ146" s="23">
        <f t="shared" si="1214"/>
        <v>0.59099999999999997</v>
      </c>
      <c r="BR146" s="23">
        <f>+'QTR Raw'!AL84</f>
        <v>0.45300000000000001</v>
      </c>
      <c r="BS146" s="23">
        <f t="shared" si="1214"/>
        <v>0.45300000000000001</v>
      </c>
      <c r="BT146" s="23">
        <f>+'QTR Raw'!AN84</f>
        <v>81.358000000000004</v>
      </c>
      <c r="BU146" s="23">
        <f t="shared" si="1214"/>
        <v>81.358000000000004</v>
      </c>
      <c r="BV146" s="23">
        <f>+'QTR Raw'!AP84</f>
        <v>53.177</v>
      </c>
      <c r="BW146" s="23">
        <f t="shared" si="1214"/>
        <v>53.177</v>
      </c>
      <c r="BX146" s="23">
        <f>+'QTR Raw'!AR84</f>
        <v>59.862000000000002</v>
      </c>
      <c r="BY146" s="23">
        <f t="shared" si="1214"/>
        <v>59.862000000000002</v>
      </c>
      <c r="BZ146" s="23">
        <f>+'QTR Raw'!AT84</f>
        <v>106.80200000000001</v>
      </c>
      <c r="CA146" s="23">
        <f t="shared" si="1214"/>
        <v>106.80200000000001</v>
      </c>
      <c r="CB146" s="23">
        <f>+'QTR Raw'!AV84</f>
        <v>121.41500000000001</v>
      </c>
      <c r="CC146" s="23">
        <f t="shared" si="1214"/>
        <v>121.41500000000001</v>
      </c>
      <c r="CD146" s="23">
        <f>+'QTR Raw'!AX84</f>
        <v>220.59399999999999</v>
      </c>
      <c r="CE146" s="23">
        <f t="shared" si="1214"/>
        <v>220.59399999999999</v>
      </c>
      <c r="CF146" s="23">
        <f>+'QTR Raw'!AZ84</f>
        <v>354.38299999999998</v>
      </c>
      <c r="CG146" s="23">
        <f t="shared" ref="CG146:CG147" si="1217">+CF146</f>
        <v>354.38299999999998</v>
      </c>
      <c r="CH146" s="23">
        <f t="shared" si="1192"/>
        <v>72.75</v>
      </c>
      <c r="CI146" s="23">
        <f>CI10/90*CI181</f>
        <v>573.06318564538549</v>
      </c>
      <c r="CJ146" s="23">
        <f>+'QTR Raw'!BD84</f>
        <v>1195.32</v>
      </c>
      <c r="CK146" s="24">
        <f t="shared" ref="CK146:DB146" si="1218">CK10/90*CK181</f>
        <v>1154.3784174926827</v>
      </c>
      <c r="CL146" s="23">
        <f>+'QTR Raw'!BF84</f>
        <v>939.23</v>
      </c>
      <c r="CM146" s="24">
        <f t="shared" si="1218"/>
        <v>782.15395933293507</v>
      </c>
      <c r="CN146" s="24">
        <f t="shared" si="1218"/>
        <v>986.42375588527705</v>
      </c>
      <c r="CO146" s="24">
        <f t="shared" si="1218"/>
        <v>744.48416602462157</v>
      </c>
      <c r="CP146" s="24">
        <f t="shared" si="1218"/>
        <v>1855.6805593626509</v>
      </c>
      <c r="CQ146" s="24">
        <f t="shared" si="1218"/>
        <v>933.62883064547668</v>
      </c>
      <c r="CR146" s="24">
        <f t="shared" si="1218"/>
        <v>1189.4663467749951</v>
      </c>
      <c r="CS146" s="24">
        <f t="shared" si="1218"/>
        <v>903.42116872421298</v>
      </c>
      <c r="CT146" s="24">
        <f t="shared" si="1218"/>
        <v>2255.6060340260924</v>
      </c>
      <c r="CU146" s="24">
        <f t="shared" si="1218"/>
        <v>1127.006957572579</v>
      </c>
      <c r="CV146" s="24">
        <f t="shared" si="1218"/>
        <v>1439.8378955765772</v>
      </c>
      <c r="CW146" s="24">
        <f t="shared" si="1218"/>
        <v>1094.6339140404928</v>
      </c>
      <c r="CX146" s="24">
        <f t="shared" si="1218"/>
        <v>2731.9810923516789</v>
      </c>
      <c r="CY146" s="24">
        <f t="shared" si="1218"/>
        <v>1363.8097181104836</v>
      </c>
      <c r="CZ146" s="24">
        <f t="shared" si="1218"/>
        <v>1743.448320077194</v>
      </c>
      <c r="DA146" s="24">
        <f t="shared" si="1218"/>
        <v>1325.5553933925471</v>
      </c>
      <c r="DB146" s="24">
        <f t="shared" si="1218"/>
        <v>3307.8380219135461</v>
      </c>
      <c r="DE146" s="123"/>
      <c r="DF146" s="23">
        <v>2159.692790889244</v>
      </c>
    </row>
    <row r="147" spans="1:110" s="23" customFormat="1" outlineLevel="1" x14ac:dyDescent="0.2">
      <c r="A147" s="23" t="s">
        <v>64</v>
      </c>
      <c r="B147" s="23">
        <f>'Annual Raw'!C80</f>
        <v>21.242862250000002</v>
      </c>
      <c r="C147" s="23">
        <f>'Annual Raw'!D80</f>
        <v>21.707411610000001</v>
      </c>
      <c r="D147" s="23">
        <f>'Annual Raw'!E80</f>
        <v>8.9993434600000004</v>
      </c>
      <c r="E147" s="23">
        <f>'Annual Raw'!F80</f>
        <v>34.107084999999998</v>
      </c>
      <c r="F147" s="23">
        <f>'Annual Raw'!G80</f>
        <v>34.777709999999999</v>
      </c>
      <c r="G147" s="23">
        <f>'Annual Raw'!H80</f>
        <v>261.85753729300001</v>
      </c>
      <c r="H147" s="23">
        <f>'Annual Raw'!I80</f>
        <v>253.11061659999999</v>
      </c>
      <c r="I147" s="23">
        <f>'Annual Raw'!J80</f>
        <v>439.99580040000001</v>
      </c>
      <c r="J147" s="23">
        <f>'Annual Raw'!K80</f>
        <v>737.99508821799998</v>
      </c>
      <c r="K147" s="23">
        <f>'Annual Raw'!L80</f>
        <v>725.05020000000002</v>
      </c>
      <c r="L147" s="23">
        <f>'Annual Raw'!M80</f>
        <v>642.20330000000001</v>
      </c>
      <c r="M147" s="23">
        <f>'Annual Raw'!N80</f>
        <v>674.24590000000001</v>
      </c>
      <c r="N147" s="23">
        <f>'Annual Raw'!O80</f>
        <v>341.19369999999998</v>
      </c>
      <c r="O147" s="23">
        <f>'Annual Raw'!P80</f>
        <v>229.63568609999999</v>
      </c>
      <c r="P147" s="23">
        <f>'Annual Raw'!Q80</f>
        <v>7.9415589999999998</v>
      </c>
      <c r="Q147" s="23">
        <f>'Annual Raw'!R80</f>
        <v>0.40923039999999999</v>
      </c>
      <c r="R147" s="23">
        <f>'Annual Raw'!S80</f>
        <v>0.20858489999999999</v>
      </c>
      <c r="S147" s="23">
        <f>'Annual Raw'!T80</f>
        <v>0.22670000000000001</v>
      </c>
      <c r="T147" s="23">
        <f>'Annual Raw'!U80</f>
        <v>0.3221</v>
      </c>
      <c r="U147" s="23">
        <f>'Annual Raw'!V80</f>
        <v>0.57609999999999995</v>
      </c>
      <c r="V147" s="23">
        <f>'Annual Raw'!W80</f>
        <v>0.45340000000000003</v>
      </c>
      <c r="W147" s="23">
        <f>'Annual Raw'!X80</f>
        <v>80.965500000000006</v>
      </c>
      <c r="X147" s="23">
        <f>'Annual Raw'!Y80</f>
        <v>157.71279999999999</v>
      </c>
      <c r="Y147" s="23">
        <f>'Annual Raw'!Z80</f>
        <v>237.09229999999999</v>
      </c>
      <c r="Z147" s="23">
        <f>'Annual Raw'!AA80</f>
        <v>680.49</v>
      </c>
      <c r="AA147" s="23">
        <f>'Annual Raw'!AB80</f>
        <v>1049.49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684.923</v>
      </c>
      <c r="AK147" s="23">
        <f t="shared" si="1214"/>
        <v>684.923</v>
      </c>
      <c r="AL147" s="23">
        <f>+'QTR Raw'!F85</f>
        <v>340.84199999999998</v>
      </c>
      <c r="AM147" s="23">
        <f t="shared" si="1214"/>
        <v>340.84199999999998</v>
      </c>
      <c r="AN147" s="23">
        <f>+'QTR Raw'!H85</f>
        <v>349.35399999999998</v>
      </c>
      <c r="AO147" s="23">
        <f t="shared" si="1214"/>
        <v>349.35399999999998</v>
      </c>
      <c r="AP147" s="23">
        <f>+'QTR Raw'!J85</f>
        <v>229.636</v>
      </c>
      <c r="AQ147" s="23">
        <f t="shared" si="1214"/>
        <v>229.636</v>
      </c>
      <c r="AR147" s="23">
        <f>+'QTR Raw'!L85</f>
        <v>237.876</v>
      </c>
      <c r="AS147" s="23">
        <f t="shared" si="1214"/>
        <v>237.876</v>
      </c>
      <c r="AT147" s="23">
        <f>+'QTR Raw'!N85</f>
        <v>7.9420000000000002</v>
      </c>
      <c r="AU147" s="23">
        <f t="shared" si="1214"/>
        <v>7.9420000000000002</v>
      </c>
      <c r="AV147" s="23">
        <f>+'QTR Raw'!P85</f>
        <v>0.753</v>
      </c>
      <c r="AW147" s="23">
        <f t="shared" si="1214"/>
        <v>0.753</v>
      </c>
      <c r="AX147" s="23">
        <f>+'QTR Raw'!R85</f>
        <v>0.40899999999999997</v>
      </c>
      <c r="AY147" s="23">
        <f t="shared" si="1214"/>
        <v>0.40899999999999997</v>
      </c>
      <c r="AZ147" s="23">
        <f>+'QTR Raw'!T85</f>
        <v>0.41699999999999998</v>
      </c>
      <c r="BA147" s="23">
        <f t="shared" si="1214"/>
        <v>0.41699999999999998</v>
      </c>
      <c r="BB147" s="23">
        <f>+'QTR Raw'!V85</f>
        <v>0</v>
      </c>
      <c r="BC147" s="23">
        <f t="shared" si="1214"/>
        <v>0</v>
      </c>
      <c r="BD147" s="23">
        <f>+'QTR Raw'!X85</f>
        <v>0</v>
      </c>
      <c r="BE147" s="23">
        <f t="shared" si="1214"/>
        <v>0</v>
      </c>
      <c r="BF147" s="23">
        <f>+'QTR Raw'!Z85</f>
        <v>0</v>
      </c>
      <c r="BG147" s="23">
        <f t="shared" si="1214"/>
        <v>0</v>
      </c>
      <c r="BH147" s="23">
        <f>+'QTR Raw'!AB85</f>
        <v>0</v>
      </c>
      <c r="BI147" s="23">
        <f t="shared" si="1214"/>
        <v>0</v>
      </c>
      <c r="BJ147" s="23">
        <f>+'QTR Raw'!AD85</f>
        <v>0</v>
      </c>
      <c r="BK147" s="23">
        <f t="shared" si="1214"/>
        <v>0</v>
      </c>
      <c r="BL147" s="23">
        <f>+'QTR Raw'!AF85</f>
        <v>0</v>
      </c>
      <c r="BM147" s="23">
        <f t="shared" si="1214"/>
        <v>0</v>
      </c>
      <c r="BN147" s="23">
        <f>+'QTR Raw'!AH85</f>
        <v>0</v>
      </c>
      <c r="BO147" s="23">
        <f t="shared" si="1214"/>
        <v>0</v>
      </c>
      <c r="BP147" s="23">
        <f>+'QTR Raw'!AJ85</f>
        <v>0</v>
      </c>
      <c r="BQ147" s="23">
        <f t="shared" si="1214"/>
        <v>0</v>
      </c>
      <c r="BR147" s="23">
        <f>+'QTR Raw'!AL85</f>
        <v>0</v>
      </c>
      <c r="BS147" s="23">
        <f t="shared" si="1214"/>
        <v>0</v>
      </c>
      <c r="BT147" s="23">
        <f>+'QTR Raw'!AN85</f>
        <v>12.853999999999999</v>
      </c>
      <c r="BU147" s="23">
        <f t="shared" si="1214"/>
        <v>12.853999999999999</v>
      </c>
      <c r="BV147" s="23">
        <f>+'QTR Raw'!AP85</f>
        <v>28.75</v>
      </c>
      <c r="BW147" s="23">
        <f t="shared" si="1214"/>
        <v>28.75</v>
      </c>
      <c r="BX147" s="23">
        <f>+'QTR Raw'!AR85</f>
        <v>62.95</v>
      </c>
      <c r="BY147" s="23">
        <f t="shared" si="1214"/>
        <v>62.95</v>
      </c>
      <c r="BZ147" s="23">
        <f>+'QTR Raw'!AT85</f>
        <v>52.15</v>
      </c>
      <c r="CA147" s="23">
        <f t="shared" si="1214"/>
        <v>52.15</v>
      </c>
      <c r="CB147" s="23">
        <f>+'QTR Raw'!AV85</f>
        <v>20.55</v>
      </c>
      <c r="CC147" s="23">
        <f t="shared" si="1214"/>
        <v>20.55</v>
      </c>
      <c r="CD147" s="23">
        <f>+'QTR Raw'!AX85</f>
        <v>24.122</v>
      </c>
      <c r="CE147" s="23">
        <f t="shared" si="1214"/>
        <v>24.122</v>
      </c>
      <c r="CF147" s="23">
        <f>+'QTR Raw'!AZ85</f>
        <v>330.85</v>
      </c>
      <c r="CG147" s="23">
        <f t="shared" si="1217"/>
        <v>330.85</v>
      </c>
      <c r="CH147" s="23">
        <f t="shared" si="1192"/>
        <v>680.49</v>
      </c>
      <c r="CJ147" s="23">
        <f>+'QTR Raw'!BD85</f>
        <v>64.66</v>
      </c>
      <c r="CK147" s="24"/>
      <c r="CL147" s="23">
        <f>+'QTR Raw'!BF85</f>
        <v>131.02000000000001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131.02000000000001</v>
      </c>
    </row>
    <row r="148" spans="1:110" s="22" customFormat="1" x14ac:dyDescent="0.2">
      <c r="A148" s="22" t="s">
        <v>65</v>
      </c>
      <c r="B148" s="22">
        <f>SUM(B142:B147)</f>
        <v>57.162475678</v>
      </c>
      <c r="C148" s="22">
        <f t="shared" ref="C148:V148" si="1219">SUM(C142:C147)</f>
        <v>57.151962902000001</v>
      </c>
      <c r="D148" s="22">
        <f t="shared" si="1219"/>
        <v>36.148868028000003</v>
      </c>
      <c r="E148" s="22">
        <f t="shared" si="1219"/>
        <v>41.577559567999998</v>
      </c>
      <c r="F148" s="22">
        <f t="shared" si="1219"/>
        <v>42.248184567999999</v>
      </c>
      <c r="G148" s="22">
        <f t="shared" si="1219"/>
        <v>273.95569346100001</v>
      </c>
      <c r="H148" s="22">
        <f t="shared" si="1219"/>
        <v>267.76650754399998</v>
      </c>
      <c r="I148" s="22">
        <f t="shared" si="1219"/>
        <v>473.28270828900003</v>
      </c>
      <c r="J148" s="22">
        <f t="shared" si="1219"/>
        <v>802.01158491299998</v>
      </c>
      <c r="K148" s="22">
        <f t="shared" si="1219"/>
        <v>759.95420000000001</v>
      </c>
      <c r="L148" s="22">
        <f>SUM(L142:L147)</f>
        <v>653.01499999999999</v>
      </c>
      <c r="M148" s="22">
        <f>SUM(M142:M147)</f>
        <v>696.15480000000002</v>
      </c>
      <c r="N148" s="22">
        <f t="shared" si="1219"/>
        <v>347.67669999999998</v>
      </c>
      <c r="O148" s="22">
        <f t="shared" si="1219"/>
        <v>246.847185</v>
      </c>
      <c r="P148" s="22">
        <f t="shared" si="1219"/>
        <v>168.87723380000003</v>
      </c>
      <c r="Q148" s="22">
        <f t="shared" si="1219"/>
        <v>142.45944900000001</v>
      </c>
      <c r="R148" s="22">
        <f t="shared" si="1219"/>
        <v>144.6670249</v>
      </c>
      <c r="S148" s="22">
        <f t="shared" si="1219"/>
        <v>143.94829999999999</v>
      </c>
      <c r="T148" s="22">
        <f t="shared" si="1219"/>
        <v>149.91640000000001</v>
      </c>
      <c r="U148" s="22">
        <f t="shared" si="1219"/>
        <v>149.93709999999999</v>
      </c>
      <c r="V148" s="22">
        <f t="shared" si="1219"/>
        <v>149.31449999999998</v>
      </c>
      <c r="W148" s="22">
        <f t="shared" ref="W148" si="1220">SUM(W142:W147)</f>
        <v>458.08510000000007</v>
      </c>
      <c r="X148" s="22">
        <f t="shared" ref="X148:Y148" si="1221">SUM(X142:X147)</f>
        <v>571.83439999999996</v>
      </c>
      <c r="Y148" s="22">
        <f t="shared" si="1221"/>
        <v>851.49279999999999</v>
      </c>
      <c r="Z148" s="22">
        <f t="shared" ref="Z148:AA148" si="1222">SUM(Z142:Z147)</f>
        <v>1281.9000000000001</v>
      </c>
      <c r="AA148" s="22">
        <f t="shared" si="1222"/>
        <v>2240.4499999999998</v>
      </c>
      <c r="AB148" s="21">
        <f t="shared" ref="AA148:AD148" si="1223">SUM(AB142:AB147)</f>
        <v>2893.3952646518492</v>
      </c>
      <c r="AC148" s="21">
        <f t="shared" si="1223"/>
        <v>3516.9629734186392</v>
      </c>
      <c r="AD148" s="21">
        <f t="shared" si="1223"/>
        <v>4259.731620211438</v>
      </c>
      <c r="AE148" s="21">
        <f t="shared" ref="AE148" si="1224">SUM(AE142:AE147)</f>
        <v>5157.6133729218964</v>
      </c>
      <c r="AJ148" s="22">
        <f t="shared" ref="AJ148" si="1225">SUM(AJ142:AJ147)</f>
        <v>691.40599999999995</v>
      </c>
      <c r="AK148" s="22" t="e">
        <f t="shared" ref="AK148" si="1226">SUM(AK142:AK147)</f>
        <v>#DIV/0!</v>
      </c>
      <c r="AL148" s="22">
        <f t="shared" ref="AL148:AM148" si="1227">SUM(AL142:AL147)</f>
        <v>347.32499999999999</v>
      </c>
      <c r="AM148" s="22" t="e">
        <f t="shared" si="1227"/>
        <v>#DIV/0!</v>
      </c>
      <c r="AN148" s="22">
        <f t="shared" ref="AN148:AO148" si="1228">SUM(AN142:AN147)</f>
        <v>355.83699999999999</v>
      </c>
      <c r="AO148" s="22" t="e">
        <f t="shared" si="1228"/>
        <v>#DIV/0!</v>
      </c>
      <c r="AP148" s="22">
        <f t="shared" ref="AP148:CE148" si="1229">SUM(AP142:AP147)</f>
        <v>246.84699999999998</v>
      </c>
      <c r="AQ148" s="22" t="e">
        <f t="shared" si="1229"/>
        <v>#DIV/0!</v>
      </c>
      <c r="AR148" s="22">
        <f t="shared" si="1229"/>
        <v>244.35900000000001</v>
      </c>
      <c r="AS148" s="22" t="e">
        <f t="shared" si="1229"/>
        <v>#DIV/0!</v>
      </c>
      <c r="AT148" s="22">
        <f t="shared" si="1229"/>
        <v>168.87800000000001</v>
      </c>
      <c r="AU148" s="22">
        <f t="shared" si="1229"/>
        <v>162.39500000000001</v>
      </c>
      <c r="AV148" s="22">
        <f t="shared" si="1229"/>
        <v>161.78899999999999</v>
      </c>
      <c r="AW148" s="22">
        <f t="shared" si="1229"/>
        <v>163.03681941477006</v>
      </c>
      <c r="AX148" s="22">
        <f t="shared" si="1229"/>
        <v>142.459</v>
      </c>
      <c r="AY148" s="22">
        <f t="shared" si="1229"/>
        <v>135.976</v>
      </c>
      <c r="AZ148" s="22">
        <f t="shared" si="1229"/>
        <v>142.46899999999999</v>
      </c>
      <c r="BA148" s="22">
        <f t="shared" si="1229"/>
        <v>149.1601009253904</v>
      </c>
      <c r="BB148" s="22">
        <f t="shared" si="1229"/>
        <v>144.667</v>
      </c>
      <c r="BC148" s="22">
        <f t="shared" si="1229"/>
        <v>135.72399999999999</v>
      </c>
      <c r="BD148" s="22">
        <f t="shared" si="1229"/>
        <v>163.37200000000001</v>
      </c>
      <c r="BE148" s="22">
        <f t="shared" si="1229"/>
        <v>234.60078363356982</v>
      </c>
      <c r="BF148" s="22">
        <f t="shared" si="1229"/>
        <v>143.94800000000001</v>
      </c>
      <c r="BG148" s="22">
        <f t="shared" si="1229"/>
        <v>135.005</v>
      </c>
      <c r="BH148" s="22">
        <f t="shared" si="1229"/>
        <v>148.703</v>
      </c>
      <c r="BI148" s="22" t="e">
        <f t="shared" si="1229"/>
        <v>#DIV/0!</v>
      </c>
      <c r="BJ148" s="22">
        <f t="shared" si="1229"/>
        <v>149.917</v>
      </c>
      <c r="BK148" s="22">
        <f t="shared" si="1229"/>
        <v>149.917</v>
      </c>
      <c r="BL148" s="22">
        <f t="shared" si="1229"/>
        <v>149.02699999999999</v>
      </c>
      <c r="BM148" s="22" t="e">
        <f t="shared" si="1229"/>
        <v>#DIV/0!</v>
      </c>
      <c r="BN148" s="22">
        <f t="shared" si="1229"/>
        <v>149.93700000000001</v>
      </c>
      <c r="BO148" s="22">
        <f t="shared" si="1229"/>
        <v>149.34</v>
      </c>
      <c r="BP148" s="22">
        <f t="shared" si="1229"/>
        <v>149.45600000000002</v>
      </c>
      <c r="BQ148" s="22" t="e">
        <f t="shared" si="1229"/>
        <v>#DIV/0!</v>
      </c>
      <c r="BR148" s="22">
        <f t="shared" si="1229"/>
        <v>149.31399999999999</v>
      </c>
      <c r="BS148" s="22">
        <f t="shared" si="1229"/>
        <v>149.31399999999999</v>
      </c>
      <c r="BT148" s="22">
        <f t="shared" si="1229"/>
        <v>273.20999999999998</v>
      </c>
      <c r="BU148" s="22">
        <f t="shared" si="1229"/>
        <v>316.86649422946368</v>
      </c>
      <c r="BV148" s="22">
        <f t="shared" si="1229"/>
        <v>461.84899999999999</v>
      </c>
      <c r="BW148" s="22">
        <f t="shared" si="1229"/>
        <v>558.32534536696539</v>
      </c>
      <c r="BX148" s="22">
        <f t="shared" si="1229"/>
        <v>378.90999999999997</v>
      </c>
      <c r="BY148" s="22">
        <f t="shared" si="1229"/>
        <v>478.37199922244764</v>
      </c>
      <c r="BZ148" s="22">
        <f t="shared" si="1229"/>
        <v>577.13900000000001</v>
      </c>
      <c r="CA148" s="22">
        <f t="shared" si="1229"/>
        <v>516.82279409536352</v>
      </c>
      <c r="CB148" s="22">
        <f t="shared" si="1229"/>
        <v>498.85300000000001</v>
      </c>
      <c r="CC148" s="22">
        <f t="shared" si="1229"/>
        <v>764.68239979908913</v>
      </c>
      <c r="CD148" s="22">
        <f t="shared" si="1229"/>
        <v>866.5379999999999</v>
      </c>
      <c r="CE148" s="22">
        <f t="shared" si="1229"/>
        <v>854.82314595057858</v>
      </c>
      <c r="CF148" s="22">
        <f t="shared" ref="CF148:CG148" si="1230">SUM(CF142:CF147)</f>
        <v>1064.1979999999999</v>
      </c>
      <c r="CG148" s="22">
        <f t="shared" si="1230"/>
        <v>1001.1680400539586</v>
      </c>
      <c r="CH148" s="22">
        <f t="shared" ref="CH148:CI148" si="1231">SUM(CH142:CH147)</f>
        <v>1281.9000000000001</v>
      </c>
      <c r="CI148" s="22">
        <f t="shared" si="1231"/>
        <v>866.87793264121638</v>
      </c>
      <c r="CJ148" s="22">
        <f t="shared" ref="CJ148:DB148" si="1232">SUM(CJ142:CJ147)</f>
        <v>2082.98</v>
      </c>
      <c r="CK148" s="21">
        <f t="shared" si="1232"/>
        <v>1532.7888343950613</v>
      </c>
      <c r="CL148" s="22">
        <f t="shared" ref="CL148" si="1233">SUM(CL142:CL147)</f>
        <v>2316.44</v>
      </c>
      <c r="CM148" s="21">
        <f t="shared" si="1232"/>
        <v>1219.5420977734891</v>
      </c>
      <c r="CN148" s="21">
        <f t="shared" si="1232"/>
        <v>1538.0415609887195</v>
      </c>
      <c r="CO148" s="21">
        <f t="shared" si="1232"/>
        <v>1160.8069878814488</v>
      </c>
      <c r="CP148" s="21">
        <f t="shared" si="1232"/>
        <v>2893.3952646518492</v>
      </c>
      <c r="CQ148" s="21">
        <f t="shared" si="1232"/>
        <v>1455.7231975636307</v>
      </c>
      <c r="CR148" s="21">
        <f t="shared" si="1232"/>
        <v>1854.6275531406925</v>
      </c>
      <c r="CS148" s="21">
        <f t="shared" si="1232"/>
        <v>1408.6231158614182</v>
      </c>
      <c r="CT148" s="21">
        <f t="shared" si="1232"/>
        <v>3516.9629734186392</v>
      </c>
      <c r="CU148" s="21">
        <f t="shared" si="1232"/>
        <v>1757.2402630494566</v>
      </c>
      <c r="CV148" s="21">
        <f t="shared" si="1232"/>
        <v>2245.009319038405</v>
      </c>
      <c r="CW148" s="21">
        <f t="shared" si="1232"/>
        <v>1706.7638971762926</v>
      </c>
      <c r="CX148" s="21">
        <f t="shared" si="1232"/>
        <v>4259.731620211438</v>
      </c>
      <c r="CY148" s="21">
        <f t="shared" si="1232"/>
        <v>2126.4654416718936</v>
      </c>
      <c r="CZ148" s="21">
        <f t="shared" si="1232"/>
        <v>2718.4016602561942</v>
      </c>
      <c r="DA148" s="21">
        <f t="shared" si="1232"/>
        <v>2066.8189246930515</v>
      </c>
      <c r="DB148" s="21">
        <f t="shared" si="1232"/>
        <v>5157.6133729218964</v>
      </c>
      <c r="DE148" s="126"/>
      <c r="DF148" s="22">
        <v>2867.6497632281175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3.7528999999999999</v>
      </c>
      <c r="X149" s="23">
        <f>'Annual Raw'!Y50+'Annual Raw'!Y58</f>
        <v>4.9698000000000002</v>
      </c>
      <c r="Y149" s="23">
        <f>'Annual Raw'!Z50+'Annual Raw'!Z58</f>
        <v>13.5444</v>
      </c>
      <c r="Z149" s="23">
        <f>'Annual Raw'!AA50+'Annual Raw'!AA58</f>
        <v>21.5</v>
      </c>
      <c r="AA149" s="23">
        <f>'Annual Raw'!AB50+'Annual Raw'!AB58</f>
        <v>61.14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11.2</v>
      </c>
      <c r="BC149" s="23">
        <f t="shared" si="1238"/>
        <v>11.2</v>
      </c>
      <c r="BD149" s="23">
        <f>+'QTR Raw'!X64</f>
        <v>0</v>
      </c>
      <c r="BE149" s="23">
        <f t="shared" si="1238"/>
        <v>0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0</v>
      </c>
      <c r="BK149" s="23">
        <f t="shared" si="1238"/>
        <v>0</v>
      </c>
      <c r="BL149" s="23">
        <f>+'QTR Raw'!AF64</f>
        <v>0</v>
      </c>
      <c r="BM149" s="23">
        <f t="shared" si="1238"/>
        <v>0</v>
      </c>
      <c r="BN149" s="23">
        <f>+'QTR Raw'!AH64</f>
        <v>0</v>
      </c>
      <c r="BO149" s="23">
        <f t="shared" si="1238"/>
        <v>0</v>
      </c>
      <c r="BP149" s="23">
        <f>+'QTR Raw'!AJ64</f>
        <v>0</v>
      </c>
      <c r="BQ149" s="23">
        <f t="shared" si="1238"/>
        <v>0</v>
      </c>
      <c r="BR149" s="23">
        <f>+'QTR Raw'!AL64</f>
        <v>0</v>
      </c>
      <c r="BS149" s="23">
        <f t="shared" si="1238"/>
        <v>0</v>
      </c>
      <c r="BT149" s="23">
        <f>+'QTR Raw'!AN64</f>
        <v>4.2859999999999996</v>
      </c>
      <c r="BU149" s="23">
        <f t="shared" si="1238"/>
        <v>4.2859999999999996</v>
      </c>
      <c r="BV149" s="23">
        <f>+'QTR Raw'!AP64</f>
        <v>3.7530000000000001</v>
      </c>
      <c r="BW149" s="23">
        <f t="shared" si="1238"/>
        <v>3.7530000000000001</v>
      </c>
      <c r="BX149" s="23">
        <f>+'QTR Raw'!AR64</f>
        <v>5.0419999999999998</v>
      </c>
      <c r="BY149" s="23">
        <f t="shared" si="1238"/>
        <v>5.0419999999999998</v>
      </c>
      <c r="BZ149" s="23">
        <f>+'QTR Raw'!AT64</f>
        <v>4.97</v>
      </c>
      <c r="CA149" s="23">
        <f t="shared" si="1238"/>
        <v>4.97</v>
      </c>
      <c r="CB149" s="23">
        <f>+'QTR Raw'!AV64</f>
        <v>13.194000000000001</v>
      </c>
      <c r="CC149" s="23">
        <f t="shared" si="1238"/>
        <v>13.194000000000001</v>
      </c>
      <c r="CD149" s="23">
        <f>+'QTR Raw'!AX64</f>
        <v>13.544</v>
      </c>
      <c r="CE149" s="23">
        <f t="shared" si="1238"/>
        <v>13.544</v>
      </c>
      <c r="CF149" s="23">
        <f>+'QTR Raw'!AZ64</f>
        <v>12.065</v>
      </c>
      <c r="CG149" s="23">
        <f t="shared" ref="CG149:CG152" si="1239">+CF149</f>
        <v>12.065</v>
      </c>
      <c r="CH149" s="23">
        <f t="shared" si="1192"/>
        <v>21.5</v>
      </c>
      <c r="CJ149" s="23">
        <f>+'QTR Raw'!BD64</f>
        <v>57.81</v>
      </c>
      <c r="CK149" s="24"/>
      <c r="CL149" s="23">
        <f>+'QTR Raw'!BF64</f>
        <v>61.14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61.14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1.5142</v>
      </c>
      <c r="Z150" s="23">
        <f>'Annual Raw'!AA51</f>
        <v>1.51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1.514</v>
      </c>
      <c r="CE150" s="23">
        <f t="shared" si="1238"/>
        <v>1.514</v>
      </c>
      <c r="CF150" s="23">
        <f>+'QTR Raw'!AZ65</f>
        <v>1.514</v>
      </c>
      <c r="CG150" s="23">
        <f t="shared" si="1239"/>
        <v>1.514</v>
      </c>
      <c r="CH150" s="23">
        <f t="shared" si="1192"/>
        <v>1.51</v>
      </c>
      <c r="CJ150" s="23">
        <f>+'QTR Raw'!BD65</f>
        <v>1.51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0.32139119999999999</v>
      </c>
      <c r="Q151" s="23">
        <f>'Annual Raw'!R52</f>
        <v>0.2474277</v>
      </c>
      <c r="R151" s="23">
        <f>'Annual Raw'!S52</f>
        <v>0.19945930000000001</v>
      </c>
      <c r="S151" s="23">
        <f>'Annual Raw'!T52</f>
        <v>0.28310000000000002</v>
      </c>
      <c r="T151" s="23">
        <f>'Annual Raw'!U52</f>
        <v>0.33500000000000002</v>
      </c>
      <c r="U151" s="23">
        <f>'Annual Raw'!V52</f>
        <v>0.40179999999999999</v>
      </c>
      <c r="V151" s="23">
        <f>'Annual Raw'!W52</f>
        <v>0.43190000000000001</v>
      </c>
      <c r="W151" s="23">
        <f>'Annual Raw'!X52</f>
        <v>4.5189000000000004</v>
      </c>
      <c r="X151" s="23">
        <f>'Annual Raw'!Y52</f>
        <v>3.9394</v>
      </c>
      <c r="Y151" s="23">
        <f>'Annual Raw'!Z52</f>
        <v>5.6467000000000001</v>
      </c>
      <c r="Z151" s="23">
        <f>'Annual Raw'!AA52</f>
        <v>7.76</v>
      </c>
      <c r="AA151" s="23">
        <f>'Annual Raw'!AB52</f>
        <v>10.65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0.32100000000000001</v>
      </c>
      <c r="AU151" s="23">
        <f t="shared" si="1238"/>
        <v>0.32100000000000001</v>
      </c>
      <c r="AV151" s="23">
        <f>+'QTR Raw'!P66</f>
        <v>0.33800000000000002</v>
      </c>
      <c r="AW151" s="23">
        <f t="shared" si="1238"/>
        <v>0.33800000000000002</v>
      </c>
      <c r="AX151" s="23">
        <f>+'QTR Raw'!R66</f>
        <v>0.247</v>
      </c>
      <c r="AY151" s="23">
        <f t="shared" si="1238"/>
        <v>0.247</v>
      </c>
      <c r="AZ151" s="23">
        <f>+'QTR Raw'!T66</f>
        <v>0.26500000000000001</v>
      </c>
      <c r="BA151" s="23">
        <f t="shared" si="1238"/>
        <v>0.26500000000000001</v>
      </c>
      <c r="BB151" s="23">
        <f>+'QTR Raw'!V66</f>
        <v>0.2</v>
      </c>
      <c r="BC151" s="23">
        <f t="shared" si="1238"/>
        <v>0.2</v>
      </c>
      <c r="BD151" s="23">
        <f>+'QTR Raw'!X66</f>
        <v>0.2</v>
      </c>
      <c r="BE151" s="23">
        <f t="shared" si="1238"/>
        <v>0.2</v>
      </c>
      <c r="BF151" s="23">
        <f>+'QTR Raw'!Z66</f>
        <v>0.28299999999999997</v>
      </c>
      <c r="BG151" s="23">
        <f t="shared" si="1238"/>
        <v>0.28299999999999997</v>
      </c>
      <c r="BH151" s="23">
        <f>+'QTR Raw'!AB66</f>
        <v>0.32</v>
      </c>
      <c r="BI151" s="23">
        <f t="shared" si="1238"/>
        <v>0.32</v>
      </c>
      <c r="BJ151" s="23">
        <f>+'QTR Raw'!AD66</f>
        <v>0.33500000000000002</v>
      </c>
      <c r="BK151" s="23">
        <f t="shared" si="1238"/>
        <v>0.33500000000000002</v>
      </c>
      <c r="BL151" s="23">
        <f>+'QTR Raw'!AF66</f>
        <v>0.33500000000000002</v>
      </c>
      <c r="BM151" s="23">
        <f t="shared" si="1238"/>
        <v>0.33500000000000002</v>
      </c>
      <c r="BN151" s="23">
        <f>+'QTR Raw'!AH66</f>
        <v>0.40200000000000002</v>
      </c>
      <c r="BO151" s="23">
        <f t="shared" si="1238"/>
        <v>0.40200000000000002</v>
      </c>
      <c r="BP151" s="23">
        <f>+'QTR Raw'!AJ66</f>
        <v>0.40200000000000002</v>
      </c>
      <c r="BQ151" s="23">
        <f t="shared" si="1238"/>
        <v>0.40200000000000002</v>
      </c>
      <c r="BR151" s="23">
        <f>+'QTR Raw'!AL66</f>
        <v>0.432</v>
      </c>
      <c r="BS151" s="23">
        <f t="shared" si="1238"/>
        <v>0.432</v>
      </c>
      <c r="BT151" s="23">
        <f>+'QTR Raw'!AN66</f>
        <v>3.915</v>
      </c>
      <c r="BU151" s="23">
        <f t="shared" si="1238"/>
        <v>3.915</v>
      </c>
      <c r="BV151" s="23">
        <f>+'QTR Raw'!AP66</f>
        <v>4.5190000000000001</v>
      </c>
      <c r="BW151" s="23">
        <f t="shared" si="1238"/>
        <v>4.5190000000000001</v>
      </c>
      <c r="BX151" s="23">
        <f>+'QTR Raw'!AR66</f>
        <v>4.673</v>
      </c>
      <c r="BY151" s="23">
        <f t="shared" si="1238"/>
        <v>4.673</v>
      </c>
      <c r="BZ151" s="23">
        <f>+'QTR Raw'!AT66</f>
        <v>3.9390000000000001</v>
      </c>
      <c r="CA151" s="23">
        <f t="shared" si="1238"/>
        <v>3.9390000000000001</v>
      </c>
      <c r="CB151" s="23">
        <f>+'QTR Raw'!AV66</f>
        <v>4.05</v>
      </c>
      <c r="CC151" s="23">
        <f t="shared" si="1238"/>
        <v>4.05</v>
      </c>
      <c r="CD151" s="23">
        <f>+'QTR Raw'!AX66</f>
        <v>5.6470000000000002</v>
      </c>
      <c r="CE151" s="23">
        <f t="shared" si="1238"/>
        <v>5.6470000000000002</v>
      </c>
      <c r="CF151" s="23">
        <f>+'QTR Raw'!AZ66</f>
        <v>6.952</v>
      </c>
      <c r="CG151" s="23">
        <f t="shared" si="1239"/>
        <v>6.952</v>
      </c>
      <c r="CH151" s="23">
        <f t="shared" si="1192"/>
        <v>7.76</v>
      </c>
      <c r="CJ151" s="23">
        <f>+'QTR Raw'!BD66</f>
        <v>9.24</v>
      </c>
      <c r="CK151" s="24"/>
      <c r="CL151" s="23">
        <f>+'QTR Raw'!BF66</f>
        <v>10.65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10.65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580.90489532715515</v>
      </c>
      <c r="AC152" s="24">
        <f t="shared" si="1235"/>
        <v>706.09813768014988</v>
      </c>
      <c r="AD152" s="24">
        <f t="shared" si="1236"/>
        <v>855.22326700097278</v>
      </c>
      <c r="AE152" s="24">
        <f t="shared" si="1237"/>
        <v>1035.4903435205686</v>
      </c>
      <c r="AJ152" s="23">
        <f>+'QTR Raw'!D87</f>
        <v>1019.134</v>
      </c>
      <c r="AK152" s="23">
        <f t="shared" si="1238"/>
        <v>1019.134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109.84917027711928</v>
      </c>
      <c r="CJ152" s="23">
        <f>+'QTR Raw'!BD87</f>
        <v>0</v>
      </c>
      <c r="CK152" s="24">
        <f t="shared" ref="CK152:DB152" si="1240">CK10/90*CK184</f>
        <v>268.28845266497768</v>
      </c>
      <c r="CL152" s="23">
        <f>+'QTR Raw'!BF87</f>
        <v>0</v>
      </c>
      <c r="CM152" s="24">
        <f t="shared" si="1240"/>
        <v>244.84659365730022</v>
      </c>
      <c r="CN152" s="24">
        <f t="shared" si="1240"/>
        <v>308.79150280992542</v>
      </c>
      <c r="CO152" s="24">
        <f t="shared" si="1240"/>
        <v>233.05438770441944</v>
      </c>
      <c r="CP152" s="24">
        <f t="shared" si="1240"/>
        <v>580.90489532715515</v>
      </c>
      <c r="CQ152" s="24">
        <f t="shared" si="1240"/>
        <v>292.26450393315503</v>
      </c>
      <c r="CR152" s="24">
        <f t="shared" si="1240"/>
        <v>372.35224574741488</v>
      </c>
      <c r="CS152" s="24">
        <f t="shared" si="1240"/>
        <v>282.80825425811571</v>
      </c>
      <c r="CT152" s="24">
        <f t="shared" si="1240"/>
        <v>706.09813768014988</v>
      </c>
      <c r="CU152" s="24">
        <f t="shared" si="1240"/>
        <v>352.79986925472298</v>
      </c>
      <c r="CV152" s="24">
        <f t="shared" si="1240"/>
        <v>450.72891333476844</v>
      </c>
      <c r="CW152" s="24">
        <f t="shared" si="1240"/>
        <v>342.66576542443505</v>
      </c>
      <c r="CX152" s="24">
        <f t="shared" si="1240"/>
        <v>855.22326700097278</v>
      </c>
      <c r="CY152" s="24">
        <f t="shared" si="1240"/>
        <v>426.92894396502709</v>
      </c>
      <c r="CZ152" s="24">
        <f t="shared" si="1240"/>
        <v>545.77155468535693</v>
      </c>
      <c r="DA152" s="24">
        <f t="shared" si="1240"/>
        <v>414.95375546398662</v>
      </c>
      <c r="DB152" s="24">
        <f t="shared" si="1240"/>
        <v>1035.4903435205686</v>
      </c>
      <c r="DE152" s="123"/>
      <c r="DF152" s="23">
        <v>501.9330128831478</v>
      </c>
    </row>
    <row r="153" spans="1:110" s="23" customFormat="1" outlineLevel="1" x14ac:dyDescent="0.2">
      <c r="A153" s="23" t="s">
        <v>70</v>
      </c>
      <c r="B153" s="23">
        <f>'Annual Raw'!C54</f>
        <v>70.054188656999997</v>
      </c>
      <c r="C153" s="23">
        <f>'Annual Raw'!D54</f>
        <v>65.858934556999998</v>
      </c>
      <c r="D153" s="23">
        <f>'Annual Raw'!E54</f>
        <v>54.194439056</v>
      </c>
      <c r="E153" s="23">
        <f>'Annual Raw'!F54</f>
        <v>42.987651456999998</v>
      </c>
      <c r="F153" s="23">
        <f>'Annual Raw'!G54</f>
        <v>9.3484499999999998E-2</v>
      </c>
      <c r="G153" s="23">
        <f>'Annual Raw'!H54</f>
        <v>29.264714999999999</v>
      </c>
      <c r="H153" s="23">
        <f>'Annual Raw'!I54</f>
        <v>9.0008535599999995</v>
      </c>
      <c r="I153" s="23">
        <f>'Annual Raw'!J54</f>
        <v>45.757318699999999</v>
      </c>
      <c r="J153" s="23">
        <f>'Annual Raw'!K54</f>
        <v>247.240044743</v>
      </c>
      <c r="K153" s="23">
        <f>'Annual Raw'!L54</f>
        <v>115.33799999999999</v>
      </c>
      <c r="L153" s="23">
        <f>'Annual Raw'!M54</f>
        <v>118.2453</v>
      </c>
      <c r="M153" s="23">
        <f>'Annual Raw'!N54</f>
        <v>230.6498</v>
      </c>
      <c r="N153" s="23">
        <f>'Annual Raw'!O54</f>
        <v>0</v>
      </c>
      <c r="O153" s="23">
        <f>'Annual Raw'!P54</f>
        <v>0</v>
      </c>
      <c r="P153" s="23">
        <f>'Annual Raw'!Q54</f>
        <v>23.8642267</v>
      </c>
      <c r="Q153" s="23">
        <f>'Annual Raw'!R54</f>
        <v>0</v>
      </c>
      <c r="R153" s="23">
        <f>'Annual Raw'!S54</f>
        <v>0</v>
      </c>
      <c r="S153" s="23">
        <f>'Annual Raw'!T54</f>
        <v>6.4500000000000002E-2</v>
      </c>
      <c r="T153" s="23">
        <f>'Annual Raw'!U54</f>
        <v>5.5800000000000002E-2</v>
      </c>
      <c r="U153" s="23">
        <f>'Annual Raw'!V54</f>
        <v>0.60899999999999999</v>
      </c>
      <c r="V153" s="23">
        <f>'Annual Raw'!W54</f>
        <v>2.8000000000000001E-2</v>
      </c>
      <c r="W153" s="23">
        <f>'Annual Raw'!X54</f>
        <v>8.7446000000000002</v>
      </c>
      <c r="X153" s="23">
        <f>'Annual Raw'!Y54</f>
        <v>24.898700000000002</v>
      </c>
      <c r="Y153" s="23">
        <f>'Annual Raw'!Z54</f>
        <v>29.246300000000002</v>
      </c>
      <c r="Z153" s="23">
        <f>'Annual Raw'!AA54</f>
        <v>115.45</v>
      </c>
      <c r="AA153" s="23">
        <f>'Annual Raw'!AB54</f>
        <v>221.34</v>
      </c>
      <c r="AB153" s="24">
        <f t="shared" si="1234"/>
        <v>276.43163907552139</v>
      </c>
      <c r="AC153" s="24">
        <f t="shared" si="1235"/>
        <v>336.00657718191673</v>
      </c>
      <c r="AD153" s="24">
        <f t="shared" si="1236"/>
        <v>406.96983512156299</v>
      </c>
      <c r="AE153" s="24">
        <f t="shared" si="1237"/>
        <v>492.7524199035351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23.864000000000001</v>
      </c>
      <c r="AU153" s="23">
        <f>+AU183*AU10/90</f>
        <v>0</v>
      </c>
      <c r="AV153" s="23">
        <f>+'QTR Raw'!P89</f>
        <v>16.925000000000001</v>
      </c>
      <c r="AW153" s="23">
        <f>+AW183*AW10/90</f>
        <v>20.182649790989316</v>
      </c>
      <c r="AX153" s="23">
        <f>+'QTR Raw'!R89</f>
        <v>0</v>
      </c>
      <c r="AY153" s="23">
        <f>+AY183*AY10/90</f>
        <v>0</v>
      </c>
      <c r="AZ153" s="23">
        <f>+'QTR Raw'!T89</f>
        <v>10.86</v>
      </c>
      <c r="BA153" s="23">
        <f>+BA183*BA10/90</f>
        <v>22.068600347021398</v>
      </c>
      <c r="BB153" s="23">
        <f>+'QTR Raw'!V89</f>
        <v>0</v>
      </c>
      <c r="BC153" s="23">
        <f>+BC183*BC10/90</f>
        <v>0</v>
      </c>
      <c r="BD153" s="23">
        <f>+'QTR Raw'!X89</f>
        <v>30.137</v>
      </c>
      <c r="BE153" s="23">
        <f>+BE183*BE10/90</f>
        <v>107.78655154150456</v>
      </c>
      <c r="BF153" s="23">
        <f>+'QTR Raw'!Z89</f>
        <v>0</v>
      </c>
      <c r="BG153" s="23">
        <f>+BG183*BG10/90</f>
        <v>0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>
        <f>+BK183*BK10/90</f>
        <v>0</v>
      </c>
      <c r="BL153" s="23">
        <f>+'QTR Raw'!AF89</f>
        <v>0</v>
      </c>
      <c r="BM153" s="23" t="e">
        <f>+BM183*BM10/90</f>
        <v>#DIV/0!</v>
      </c>
      <c r="BN153" s="23">
        <f>+'QTR Raw'!AH89</f>
        <v>0.59499999999999997</v>
      </c>
      <c r="BO153" s="23">
        <f>+BO183*BO10/90</f>
        <v>0</v>
      </c>
      <c r="BP153" s="23">
        <f>+'QTR Raw'!AJ89</f>
        <v>0.59499999999999997</v>
      </c>
      <c r="BQ153" s="23" t="e">
        <f>+BQ183*BQ10/90</f>
        <v>#DIV/0!</v>
      </c>
      <c r="BR153" s="23">
        <f>+'QTR Raw'!AL89</f>
        <v>0</v>
      </c>
      <c r="BS153" s="23">
        <f>+BS183*BS10/90</f>
        <v>0</v>
      </c>
      <c r="BT153" s="23">
        <f>+'QTR Raw'!AN89</f>
        <v>7.3120000000000003</v>
      </c>
      <c r="BU153" s="23">
        <f>+BU183*BU10/90</f>
        <v>19.146221317040055</v>
      </c>
      <c r="BV153" s="23">
        <f>+'QTR Raw'!AP89</f>
        <v>8.6159999999999997</v>
      </c>
      <c r="BW153" s="23">
        <f>+BW183*BW10/90</f>
        <v>22.657219454084014</v>
      </c>
      <c r="BX153" s="23">
        <f>+'QTR Raw'!AR89</f>
        <v>15.202999999999999</v>
      </c>
      <c r="BY153" s="23">
        <f>+BY183*BY10/90</f>
        <v>30.020014435429346</v>
      </c>
      <c r="BZ153" s="23">
        <f>+'QTR Raw'!AT89</f>
        <v>24.782</v>
      </c>
      <c r="CA153" s="23">
        <f>+CA183*CA10/90</f>
        <v>15.519029945474644</v>
      </c>
      <c r="CB153" s="23">
        <f>+'QTR Raw'!AV89</f>
        <v>25.236999999999998</v>
      </c>
      <c r="CC153" s="23">
        <f>+CC183*CC10/90</f>
        <v>54.786870117867672</v>
      </c>
      <c r="CD153" s="23">
        <f>+'QTR Raw'!AX89</f>
        <v>28.71</v>
      </c>
      <c r="CE153" s="23">
        <f>+CE183*CE10/90</f>
        <v>27.804741356060202</v>
      </c>
      <c r="CF153" s="23">
        <f>+'QTR Raw'!AZ89</f>
        <v>65.864000000000004</v>
      </c>
      <c r="CG153" s="23">
        <f>+CG183*CG10/90</f>
        <v>49.601326138839887</v>
      </c>
      <c r="CH153" s="23">
        <f t="shared" si="1192"/>
        <v>115.45</v>
      </c>
      <c r="CI153" s="23">
        <f>+CI183*CI10/90</f>
        <v>78.072437259870838</v>
      </c>
      <c r="CJ153" s="23">
        <f>+'QTR Raw'!BD89</f>
        <v>159.72</v>
      </c>
      <c r="CK153" s="24">
        <f t="shared" ref="CK153:DB153" si="1241">+CK183*CK10/90</f>
        <v>117.5321091079027</v>
      </c>
      <c r="CL153" s="23">
        <f>+'QTR Raw'!BF89</f>
        <v>221.31</v>
      </c>
      <c r="CM153" s="24">
        <f t="shared" si="1241"/>
        <v>116.51364233835149</v>
      </c>
      <c r="CN153" s="24">
        <f t="shared" si="1241"/>
        <v>146.94271289669214</v>
      </c>
      <c r="CO153" s="24">
        <f t="shared" si="1241"/>
        <v>110.90215783186417</v>
      </c>
      <c r="CP153" s="24">
        <f t="shared" si="1241"/>
        <v>276.43163907552139</v>
      </c>
      <c r="CQ153" s="24">
        <f t="shared" si="1241"/>
        <v>139.07811160781509</v>
      </c>
      <c r="CR153" s="24">
        <f t="shared" si="1241"/>
        <v>177.18897264145272</v>
      </c>
      <c r="CS153" s="24">
        <f t="shared" si="1241"/>
        <v>134.57822424551918</v>
      </c>
      <c r="CT153" s="24">
        <f t="shared" si="1241"/>
        <v>336.00657718191673</v>
      </c>
      <c r="CU153" s="24">
        <f t="shared" si="1241"/>
        <v>167.8847035172399</v>
      </c>
      <c r="CV153" s="24">
        <f t="shared" si="1241"/>
        <v>214.48559530848607</v>
      </c>
      <c r="CW153" s="24">
        <f t="shared" si="1241"/>
        <v>163.0622498679376</v>
      </c>
      <c r="CX153" s="24">
        <f t="shared" si="1241"/>
        <v>406.96983512156299</v>
      </c>
      <c r="CY153" s="24">
        <f t="shared" si="1241"/>
        <v>203.16005029113933</v>
      </c>
      <c r="CZ153" s="24">
        <f t="shared" si="1241"/>
        <v>259.71295238870789</v>
      </c>
      <c r="DA153" s="24">
        <f t="shared" si="1241"/>
        <v>197.46149100508507</v>
      </c>
      <c r="DB153" s="24">
        <f t="shared" si="1241"/>
        <v>492.7524199035351</v>
      </c>
      <c r="DE153" s="123"/>
      <c r="DF153" s="23">
        <v>219.88738258782845</v>
      </c>
    </row>
    <row r="154" spans="1:110" s="23" customFormat="1" outlineLevel="1" x14ac:dyDescent="0.2">
      <c r="A154" s="23" t="s">
        <v>71</v>
      </c>
      <c r="B154" s="23">
        <f>'Annual Raw'!C55-Template!B126</f>
        <v>43.963348396000001</v>
      </c>
      <c r="C154" s="23">
        <f>'Annual Raw'!D55-Template!C126</f>
        <v>43.986222073999997</v>
      </c>
      <c r="D154" s="23">
        <f>'Annual Raw'!E55-Template!D126</f>
        <v>43.895000000000003</v>
      </c>
      <c r="E154" s="23">
        <f>'Annual Raw'!F55-Template!E126</f>
        <v>50.395000000000003</v>
      </c>
      <c r="F154" s="23">
        <f>'Annual Raw'!G55-Template!F126</f>
        <v>7.2599999999999997E-4</v>
      </c>
      <c r="G154" s="23">
        <f>'Annual Raw'!H55-Template!G126</f>
        <v>62.485902502000002</v>
      </c>
      <c r="H154" s="23">
        <f>'Annual Raw'!I55-Template!H126</f>
        <v>104.982220209</v>
      </c>
      <c r="I154" s="23">
        <f>'Annual Raw'!J55-Template!I126</f>
        <v>348.12519748</v>
      </c>
      <c r="J154" s="23">
        <f>'Annual Raw'!K55-Template!J126</f>
        <v>655.73147189999997</v>
      </c>
      <c r="K154" s="23">
        <f>'Annual Raw'!L55-Template!K126</f>
        <v>230.19800000000001</v>
      </c>
      <c r="L154" s="23">
        <f>'Annual Raw'!M55-Template!L126</f>
        <v>275.68310000000002</v>
      </c>
      <c r="M154" s="23">
        <f>'Annual Raw'!N55-Template!M126</f>
        <v>823.81280000000004</v>
      </c>
      <c r="N154" s="23">
        <f>'Annual Raw'!O55-Template!N126</f>
        <v>657.58010000000002</v>
      </c>
      <c r="O154" s="23">
        <f>'Annual Raw'!P55-Template!O126</f>
        <v>546.35164029999999</v>
      </c>
      <c r="P154" s="23">
        <f>'Annual Raw'!Q55-Template!P126</f>
        <v>24.6990053</v>
      </c>
      <c r="Q154" s="23">
        <f>'Annual Raw'!R55-Template!Q126</f>
        <v>30.081156499999999</v>
      </c>
      <c r="R154" s="23">
        <f>'Annual Raw'!S55-Template!R126</f>
        <v>11.200333199999999</v>
      </c>
      <c r="S154" s="23">
        <f>'Annual Raw'!T55-Template!S126</f>
        <v>0.11799999999999999</v>
      </c>
      <c r="T154" s="23">
        <f>'Annual Raw'!U55-Template!T126</f>
        <v>0.11650000000000001</v>
      </c>
      <c r="U154" s="23">
        <f>'Annual Raw'!V55-Template!U126</f>
        <v>0.36409999999999998</v>
      </c>
      <c r="V154" s="23">
        <f>'Annual Raw'!W55-Template!V126</f>
        <v>5.4489000000000001</v>
      </c>
      <c r="W154" s="23">
        <f>'Annual Raw'!X55-Template!W126</f>
        <v>21.238200000000003</v>
      </c>
      <c r="X154" s="23">
        <f>'Annual Raw'!Y55-Template!X126</f>
        <v>92.706599999999995</v>
      </c>
      <c r="Y154" s="23">
        <f>'Annual Raw'!Z55-Template!Y126</f>
        <v>192.97500000000002</v>
      </c>
      <c r="Z154" s="23">
        <f>'Annual Raw'!AA55-Template!Z126</f>
        <v>121.13</v>
      </c>
      <c r="AA154" s="23">
        <f>'Annual Raw'!AB55-Template!AA126</f>
        <v>379.05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657.58</v>
      </c>
      <c r="AM154" s="23">
        <f t="shared" si="1238"/>
        <v>657.58</v>
      </c>
      <c r="AN154" s="23">
        <f>+'QTR Raw'!H91</f>
        <v>668.346</v>
      </c>
      <c r="AO154" s="23">
        <f t="shared" si="1238"/>
        <v>668.346</v>
      </c>
      <c r="AP154" s="23">
        <f>+'QTR Raw'!J91</f>
        <v>546.35199999999998</v>
      </c>
      <c r="AQ154" s="23">
        <f t="shared" si="1238"/>
        <v>546.35199999999998</v>
      </c>
      <c r="AR154" s="23">
        <f>+'QTR Raw'!L91</f>
        <v>475.613</v>
      </c>
      <c r="AS154" s="23">
        <f t="shared" si="1238"/>
        <v>475.613</v>
      </c>
      <c r="AT154" s="23">
        <f>+'QTR Raw'!N91</f>
        <v>24.699000000000002</v>
      </c>
      <c r="AU154" s="23">
        <f t="shared" si="1238"/>
        <v>24.699000000000002</v>
      </c>
      <c r="AV154" s="23">
        <f>+'QTR Raw'!P91</f>
        <v>14.032999999999999</v>
      </c>
      <c r="AW154" s="23">
        <f t="shared" si="1238"/>
        <v>14.032999999999999</v>
      </c>
      <c r="AX154" s="23">
        <f>+'QTR Raw'!R91</f>
        <v>30.081</v>
      </c>
      <c r="AY154" s="23">
        <f t="shared" si="1238"/>
        <v>30.081</v>
      </c>
      <c r="AZ154" s="23">
        <f>+'QTR Raw'!T91</f>
        <v>19.654</v>
      </c>
      <c r="BA154" s="23">
        <f t="shared" si="1238"/>
        <v>19.654</v>
      </c>
      <c r="BB154" s="23">
        <f>+'QTR Raw'!V91</f>
        <v>0</v>
      </c>
      <c r="BC154" s="23">
        <f t="shared" si="1238"/>
        <v>0</v>
      </c>
      <c r="BD154" s="23">
        <f>+'QTR Raw'!X91</f>
        <v>0.17699999999999999</v>
      </c>
      <c r="BE154" s="23">
        <f t="shared" si="1238"/>
        <v>0.17699999999999999</v>
      </c>
      <c r="BF154" s="23">
        <f>+'QTR Raw'!Z91</f>
        <v>0.183</v>
      </c>
      <c r="BG154" s="23">
        <f t="shared" si="1238"/>
        <v>0.183</v>
      </c>
      <c r="BH154" s="23">
        <f>+'QTR Raw'!AB91</f>
        <v>0.155</v>
      </c>
      <c r="BI154" s="23">
        <f t="shared" si="1238"/>
        <v>0.155</v>
      </c>
      <c r="BJ154" s="23">
        <f>+'QTR Raw'!AD91</f>
        <v>0.17100000000000001</v>
      </c>
      <c r="BK154" s="23">
        <f t="shared" si="1238"/>
        <v>0.17100000000000001</v>
      </c>
      <c r="BL154" s="23">
        <f>+'QTR Raw'!AF91</f>
        <v>0.127</v>
      </c>
      <c r="BM154" s="23">
        <f t="shared" si="1238"/>
        <v>0.127</v>
      </c>
      <c r="BN154" s="23">
        <f>+'QTR Raw'!AH91</f>
        <v>0.378</v>
      </c>
      <c r="BO154" s="23">
        <f t="shared" si="1238"/>
        <v>0.378</v>
      </c>
      <c r="BP154" s="23">
        <f>+'QTR Raw'!AJ91</f>
        <v>0.438</v>
      </c>
      <c r="BQ154" s="23">
        <f t="shared" si="1238"/>
        <v>0.438</v>
      </c>
      <c r="BR154" s="23">
        <f>+'QTR Raw'!AL91</f>
        <v>5.4770000000000003</v>
      </c>
      <c r="BS154" s="23">
        <f t="shared" si="1238"/>
        <v>5.4770000000000003</v>
      </c>
      <c r="BT154" s="23">
        <f>+'QTR Raw'!AN91</f>
        <v>26.97</v>
      </c>
      <c r="BU154" s="23">
        <f t="shared" si="1238"/>
        <v>26.97</v>
      </c>
      <c r="BV154" s="23">
        <f>+'QTR Raw'!AP91</f>
        <v>23.744</v>
      </c>
      <c r="BW154" s="23">
        <f t="shared" si="1238"/>
        <v>23.744</v>
      </c>
      <c r="BX154" s="23">
        <f>+'QTR Raw'!AR91</f>
        <v>170.078</v>
      </c>
      <c r="BY154" s="23">
        <f t="shared" si="1238"/>
        <v>170.078</v>
      </c>
      <c r="BZ154" s="23">
        <f>+'QTR Raw'!AT91</f>
        <v>92.822999999999993</v>
      </c>
      <c r="CA154" s="23">
        <f t="shared" si="1238"/>
        <v>92.822999999999993</v>
      </c>
      <c r="CB154" s="23">
        <f>+'QTR Raw'!AV91</f>
        <v>151.11199999999999</v>
      </c>
      <c r="CC154" s="23">
        <f t="shared" si="1238"/>
        <v>151.11199999999999</v>
      </c>
      <c r="CD154" s="23">
        <f>+'QTR Raw'!AX91</f>
        <v>193.511</v>
      </c>
      <c r="CE154" s="23">
        <f t="shared" si="1238"/>
        <v>193.511</v>
      </c>
      <c r="CF154" s="23">
        <f>+'QTR Raw'!AZ91</f>
        <v>175.786</v>
      </c>
      <c r="CG154" s="23">
        <f t="shared" ref="CG154:CG155" si="1242">+CF154</f>
        <v>175.786</v>
      </c>
      <c r="CH154" s="23">
        <f t="shared" si="1192"/>
        <v>121.13</v>
      </c>
      <c r="CJ154" s="23">
        <f>+'QTR Raw'!BD91</f>
        <v>263.36</v>
      </c>
      <c r="CK154" s="24"/>
      <c r="CL154" s="23">
        <f>+'QTR Raw'!BF91</f>
        <v>380.16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380.16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1.3382260000000001E-3</v>
      </c>
      <c r="D155" s="23">
        <f>'Annual Raw'!E57</f>
        <v>7.0180000000000004E-4</v>
      </c>
      <c r="E155" s="23">
        <f>'Annual Raw'!F57</f>
        <v>1.0651E-3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1.6814196999999999E-2</v>
      </c>
      <c r="K155" s="23">
        <f>'Annual Raw'!L57</f>
        <v>2.8999999999999998E-3</v>
      </c>
      <c r="L155" s="23">
        <f>'Annual Raw'!M57</f>
        <v>0.17710000000000001</v>
      </c>
      <c r="M155" s="23">
        <f>'Annual Raw'!N57</f>
        <v>0.46310000000000001</v>
      </c>
      <c r="N155" s="23">
        <f>'Annual Raw'!O57</f>
        <v>0.35199999999999998</v>
      </c>
      <c r="O155" s="23">
        <f>'Annual Raw'!P57</f>
        <v>0</v>
      </c>
      <c r="P155" s="23">
        <f>'Annual Raw'!Q57</f>
        <v>3.5299999999999998E-2</v>
      </c>
      <c r="Q155" s="23">
        <f>'Annual Raw'!R57</f>
        <v>3.4205800000000001E-2</v>
      </c>
      <c r="R155" s="23">
        <f>'Annual Raw'!S57</f>
        <v>0.1508149</v>
      </c>
      <c r="S155" s="23">
        <f>'Annual Raw'!T57</f>
        <v>8.4500000000000006E-2</v>
      </c>
      <c r="T155" s="23">
        <f>'Annual Raw'!U57</f>
        <v>0.10340000000000001</v>
      </c>
      <c r="U155" s="23">
        <f>'Annual Raw'!V57</f>
        <v>0.1138</v>
      </c>
      <c r="V155" s="23">
        <f>'Annual Raw'!W57</f>
        <v>9.5100000000000004E-2</v>
      </c>
      <c r="W155" s="23">
        <f>'Annual Raw'!X57</f>
        <v>0.94359999999999999</v>
      </c>
      <c r="X155" s="23">
        <f>'Annual Raw'!Y57</f>
        <v>3.4456000000000002</v>
      </c>
      <c r="Y155" s="23">
        <f>'Annual Raw'!Z57</f>
        <v>5.3281000000000001</v>
      </c>
      <c r="Z155" s="23">
        <f>'Annual Raw'!AA57</f>
        <v>10.54</v>
      </c>
      <c r="AA155" s="23">
        <f>'Annual Raw'!AB57</f>
        <v>14.2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0</v>
      </c>
      <c r="AM155" s="23">
        <f t="shared" si="1238"/>
        <v>0</v>
      </c>
      <c r="AN155" s="23">
        <f>+'QTR Raw'!H92</f>
        <v>0.69</v>
      </c>
      <c r="AO155" s="23">
        <f t="shared" si="1238"/>
        <v>0.69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3.5999999999999997E-2</v>
      </c>
      <c r="AU155" s="23">
        <f t="shared" si="1238"/>
        <v>3.5999999999999997E-2</v>
      </c>
      <c r="AV155" s="23">
        <f>+'QTR Raw'!P92</f>
        <v>2.3E-2</v>
      </c>
      <c r="AW155" s="23">
        <f t="shared" si="1238"/>
        <v>2.3E-2</v>
      </c>
      <c r="AX155" s="23">
        <f>+'QTR Raw'!R92</f>
        <v>3.4000000000000002E-2</v>
      </c>
      <c r="AY155" s="23">
        <f t="shared" si="1238"/>
        <v>3.4000000000000002E-2</v>
      </c>
      <c r="AZ155" s="23">
        <f>+'QTR Raw'!T92</f>
        <v>3.7999999999999999E-2</v>
      </c>
      <c r="BA155" s="23">
        <f t="shared" si="1238"/>
        <v>3.7999999999999999E-2</v>
      </c>
      <c r="BB155" s="23">
        <f>+'QTR Raw'!V92</f>
        <v>0.151</v>
      </c>
      <c r="BC155" s="23">
        <f t="shared" si="1238"/>
        <v>0.151</v>
      </c>
      <c r="BD155" s="23">
        <f>+'QTR Raw'!X92</f>
        <v>8.2000000000000003E-2</v>
      </c>
      <c r="BE155" s="23">
        <f t="shared" si="1238"/>
        <v>8.2000000000000003E-2</v>
      </c>
      <c r="BF155" s="23">
        <f>+'QTR Raw'!Z92</f>
        <v>8.5000000000000006E-2</v>
      </c>
      <c r="BG155" s="23">
        <f t="shared" si="1238"/>
        <v>8.5000000000000006E-2</v>
      </c>
      <c r="BH155" s="23">
        <f>+'QTR Raw'!AB92</f>
        <v>7.5999999999999998E-2</v>
      </c>
      <c r="BI155" s="23">
        <f t="shared" si="1238"/>
        <v>7.5999999999999998E-2</v>
      </c>
      <c r="BJ155" s="23">
        <f>+'QTR Raw'!AD92</f>
        <v>0.10299999999999999</v>
      </c>
      <c r="BK155" s="23">
        <f t="shared" si="1238"/>
        <v>0.10299999999999999</v>
      </c>
      <c r="BL155" s="23">
        <f>+'QTR Raw'!AF92</f>
        <v>0.105</v>
      </c>
      <c r="BM155" s="23">
        <f t="shared" si="1238"/>
        <v>0.105</v>
      </c>
      <c r="BN155" s="23">
        <f>+'QTR Raw'!AH92</f>
        <v>0.114</v>
      </c>
      <c r="BO155" s="23">
        <f t="shared" si="1238"/>
        <v>0.114</v>
      </c>
      <c r="BP155" s="23">
        <f>+'QTR Raw'!AJ92</f>
        <v>0.123</v>
      </c>
      <c r="BQ155" s="23">
        <f t="shared" si="1238"/>
        <v>0.123</v>
      </c>
      <c r="BR155" s="23">
        <f>+'QTR Raw'!AL92</f>
        <v>9.5000000000000001E-2</v>
      </c>
      <c r="BS155" s="23">
        <f t="shared" si="1238"/>
        <v>9.5000000000000001E-2</v>
      </c>
      <c r="BT155" s="23">
        <f>+'QTR Raw'!AN92</f>
        <v>0.623</v>
      </c>
      <c r="BU155" s="23">
        <f t="shared" si="1238"/>
        <v>0.623</v>
      </c>
      <c r="BV155" s="23">
        <f>+'QTR Raw'!AP92</f>
        <v>0.94399999999999995</v>
      </c>
      <c r="BW155" s="23">
        <f t="shared" si="1238"/>
        <v>0.94399999999999995</v>
      </c>
      <c r="BX155" s="23">
        <f>+'QTR Raw'!AR92</f>
        <v>1.3680000000000001</v>
      </c>
      <c r="BY155" s="23">
        <f t="shared" si="1238"/>
        <v>1.3680000000000001</v>
      </c>
      <c r="BZ155" s="23">
        <f>+'QTR Raw'!AT92</f>
        <v>3.4460000000000002</v>
      </c>
      <c r="CA155" s="23">
        <f t="shared" si="1238"/>
        <v>3.4460000000000002</v>
      </c>
      <c r="CB155" s="23">
        <f>+'QTR Raw'!AV92</f>
        <v>4.3470000000000004</v>
      </c>
      <c r="CC155" s="23">
        <f t="shared" si="1238"/>
        <v>4.3470000000000004</v>
      </c>
      <c r="CD155" s="23">
        <f>+'QTR Raw'!AX92</f>
        <v>5.3280000000000003</v>
      </c>
      <c r="CE155" s="23">
        <f t="shared" si="1238"/>
        <v>5.3280000000000003</v>
      </c>
      <c r="CF155" s="23">
        <f>+'QTR Raw'!AZ92</f>
        <v>8.5250000000000004</v>
      </c>
      <c r="CG155" s="23">
        <f t="shared" si="1242"/>
        <v>8.5250000000000004</v>
      </c>
      <c r="CH155" s="23">
        <f t="shared" si="1192"/>
        <v>10.54</v>
      </c>
      <c r="CJ155" s="23">
        <f>+'QTR Raw'!BD92</f>
        <v>32.67</v>
      </c>
      <c r="CK155" s="24"/>
      <c r="CL155" s="23">
        <f>+'QTR Raw'!BF92</f>
        <v>13.12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13.12</v>
      </c>
    </row>
    <row r="156" spans="1:110" s="22" customFormat="1" x14ac:dyDescent="0.2">
      <c r="A156" s="22" t="s">
        <v>73</v>
      </c>
      <c r="B156" s="22">
        <f>SUM(B149:B155)</f>
        <v>114.017537053</v>
      </c>
      <c r="C156" s="22">
        <f t="shared" ref="C156:V156" si="1243">SUM(C149:C155)</f>
        <v>109.846494857</v>
      </c>
      <c r="D156" s="22">
        <f t="shared" si="1243"/>
        <v>98.090140856000005</v>
      </c>
      <c r="E156" s="22">
        <f t="shared" si="1243"/>
        <v>93.383716557000014</v>
      </c>
      <c r="F156" s="22">
        <f t="shared" si="1243"/>
        <v>9.4210500000000003E-2</v>
      </c>
      <c r="G156" s="22">
        <f t="shared" si="1243"/>
        <v>91.750617501999997</v>
      </c>
      <c r="H156" s="22">
        <f t="shared" si="1243"/>
        <v>113.983073769</v>
      </c>
      <c r="I156" s="22">
        <f t="shared" si="1243"/>
        <v>393.88251617999998</v>
      </c>
      <c r="J156" s="22">
        <f t="shared" si="1243"/>
        <v>902.98833084</v>
      </c>
      <c r="K156" s="22">
        <f t="shared" si="1243"/>
        <v>345.53890000000001</v>
      </c>
      <c r="L156" s="22">
        <f t="shared" si="1243"/>
        <v>394.10550000000001</v>
      </c>
      <c r="M156" s="22">
        <f t="shared" si="1243"/>
        <v>1054.9257</v>
      </c>
      <c r="N156" s="22">
        <f t="shared" si="1243"/>
        <v>657.93209999999999</v>
      </c>
      <c r="O156" s="22">
        <f t="shared" si="1243"/>
        <v>546.35164029999999</v>
      </c>
      <c r="P156" s="22">
        <f t="shared" si="1243"/>
        <v>48.919923199999999</v>
      </c>
      <c r="Q156" s="22">
        <f t="shared" si="1243"/>
        <v>30.362789999999997</v>
      </c>
      <c r="R156" s="22">
        <f t="shared" si="1243"/>
        <v>11.550607400000001</v>
      </c>
      <c r="S156" s="22">
        <f t="shared" si="1243"/>
        <v>0.55010000000000003</v>
      </c>
      <c r="T156" s="22">
        <f t="shared" si="1243"/>
        <v>0.61070000000000013</v>
      </c>
      <c r="U156" s="22">
        <f t="shared" si="1243"/>
        <v>1.4886999999999997</v>
      </c>
      <c r="V156" s="22">
        <f t="shared" si="1243"/>
        <v>6.0039000000000007</v>
      </c>
      <c r="W156" s="22">
        <f t="shared" ref="W156" si="1244">SUM(W149:W155)</f>
        <v>39.1982</v>
      </c>
      <c r="X156" s="22">
        <f t="shared" ref="X156:Y156" si="1245">SUM(X149:X155)</f>
        <v>129.96010000000001</v>
      </c>
      <c r="Y156" s="22">
        <f t="shared" si="1245"/>
        <v>248.25470000000001</v>
      </c>
      <c r="Z156" s="22">
        <f t="shared" ref="Z156:AA156" si="1246">SUM(Z149:Z155)</f>
        <v>277.89000000000004</v>
      </c>
      <c r="AA156" s="22">
        <f t="shared" si="1246"/>
        <v>686.38000000000011</v>
      </c>
      <c r="AB156" s="21">
        <f t="shared" ref="AA156:AD156" si="1247">SUM(AB149:AB155)</f>
        <v>857.33653440267653</v>
      </c>
      <c r="AC156" s="21">
        <f t="shared" si="1247"/>
        <v>1042.1047148620667</v>
      </c>
      <c r="AD156" s="21">
        <f t="shared" si="1247"/>
        <v>1262.1931021225357</v>
      </c>
      <c r="AE156" s="21">
        <f t="shared" ref="AE156" si="1248">SUM(AE149:AE155)</f>
        <v>1528.2427634241037</v>
      </c>
      <c r="AJ156" s="22">
        <f t="shared" ref="AJ156" si="1249">SUM(AJ149:AJ155)</f>
        <v>1019.134</v>
      </c>
      <c r="AK156" s="22" t="e">
        <f t="shared" ref="AK156" si="1250">SUM(AK149:AK155)</f>
        <v>#DIV/0!</v>
      </c>
      <c r="AL156" s="22">
        <f t="shared" ref="AL156:AM156" si="1251">SUM(AL149:AL155)</f>
        <v>657.58</v>
      </c>
      <c r="AM156" s="22" t="e">
        <f t="shared" si="1251"/>
        <v>#DIV/0!</v>
      </c>
      <c r="AN156" s="22">
        <f t="shared" ref="AN156:AO156" si="1252">SUM(AN149:AN155)</f>
        <v>669.03600000000006</v>
      </c>
      <c r="AO156" s="22" t="e">
        <f t="shared" si="1252"/>
        <v>#DIV/0!</v>
      </c>
      <c r="AP156" s="22">
        <f t="shared" ref="AP156:CE156" si="1253">SUM(AP149:AP155)</f>
        <v>546.35199999999998</v>
      </c>
      <c r="AQ156" s="22" t="e">
        <f t="shared" si="1253"/>
        <v>#DIV/0!</v>
      </c>
      <c r="AR156" s="22">
        <f t="shared" si="1253"/>
        <v>475.613</v>
      </c>
      <c r="AS156" s="22" t="e">
        <f t="shared" si="1253"/>
        <v>#DIV/0!</v>
      </c>
      <c r="AT156" s="22">
        <f t="shared" si="1253"/>
        <v>48.92</v>
      </c>
      <c r="AU156" s="22">
        <f t="shared" si="1253"/>
        <v>25.056000000000004</v>
      </c>
      <c r="AV156" s="22">
        <f t="shared" si="1253"/>
        <v>31.318999999999999</v>
      </c>
      <c r="AW156" s="22">
        <f t="shared" si="1253"/>
        <v>34.576649790989322</v>
      </c>
      <c r="AX156" s="22">
        <f t="shared" si="1253"/>
        <v>30.361999999999998</v>
      </c>
      <c r="AY156" s="22">
        <f t="shared" si="1253"/>
        <v>30.361999999999998</v>
      </c>
      <c r="AZ156" s="22">
        <f t="shared" si="1253"/>
        <v>30.817</v>
      </c>
      <c r="BA156" s="22">
        <f t="shared" si="1253"/>
        <v>42.025600347021395</v>
      </c>
      <c r="BB156" s="22">
        <f t="shared" si="1253"/>
        <v>11.550999999999998</v>
      </c>
      <c r="BC156" s="22">
        <f t="shared" si="1253"/>
        <v>11.550999999999998</v>
      </c>
      <c r="BD156" s="22">
        <f t="shared" si="1253"/>
        <v>30.596</v>
      </c>
      <c r="BE156" s="22">
        <f t="shared" si="1253"/>
        <v>108.24555154150457</v>
      </c>
      <c r="BF156" s="22">
        <f t="shared" si="1253"/>
        <v>0.55099999999999993</v>
      </c>
      <c r="BG156" s="22">
        <f t="shared" si="1253"/>
        <v>0.55099999999999993</v>
      </c>
      <c r="BH156" s="22">
        <f t="shared" ref="BH156" si="1254">SUM(BH149:BH155)</f>
        <v>0.55099999999999993</v>
      </c>
      <c r="BI156" s="22" t="e">
        <f t="shared" si="1253"/>
        <v>#DIV/0!</v>
      </c>
      <c r="BJ156" s="22">
        <f t="shared" si="1253"/>
        <v>0.60899999999999999</v>
      </c>
      <c r="BK156" s="22">
        <f t="shared" si="1253"/>
        <v>0.60899999999999999</v>
      </c>
      <c r="BL156" s="22">
        <f t="shared" si="1253"/>
        <v>0.56700000000000006</v>
      </c>
      <c r="BM156" s="22" t="e">
        <f t="shared" si="1253"/>
        <v>#DIV/0!</v>
      </c>
      <c r="BN156" s="22">
        <f t="shared" si="1253"/>
        <v>1.4890000000000001</v>
      </c>
      <c r="BO156" s="22">
        <f t="shared" si="1253"/>
        <v>0.89400000000000002</v>
      </c>
      <c r="BP156" s="22">
        <f t="shared" si="1253"/>
        <v>1.5580000000000001</v>
      </c>
      <c r="BQ156" s="22" t="e">
        <f t="shared" si="1253"/>
        <v>#DIV/0!</v>
      </c>
      <c r="BR156" s="22">
        <f t="shared" si="1253"/>
        <v>6.0040000000000004</v>
      </c>
      <c r="BS156" s="22">
        <f t="shared" si="1253"/>
        <v>6.0040000000000004</v>
      </c>
      <c r="BT156" s="22">
        <f t="shared" si="1253"/>
        <v>43.106000000000002</v>
      </c>
      <c r="BU156" s="22">
        <f t="shared" si="1253"/>
        <v>54.940221317040049</v>
      </c>
      <c r="BV156" s="22">
        <f t="shared" si="1253"/>
        <v>41.576000000000001</v>
      </c>
      <c r="BW156" s="22">
        <f t="shared" si="1253"/>
        <v>55.617219454084015</v>
      </c>
      <c r="BX156" s="22">
        <f t="shared" si="1253"/>
        <v>196.364</v>
      </c>
      <c r="BY156" s="22">
        <f t="shared" si="1253"/>
        <v>211.18101443542935</v>
      </c>
      <c r="BZ156" s="22">
        <f t="shared" si="1253"/>
        <v>129.96</v>
      </c>
      <c r="CA156" s="22">
        <f t="shared" si="1253"/>
        <v>120.69702994547464</v>
      </c>
      <c r="CB156" s="22">
        <f t="shared" si="1253"/>
        <v>197.94</v>
      </c>
      <c r="CC156" s="22">
        <f t="shared" si="1253"/>
        <v>227.48987011786767</v>
      </c>
      <c r="CD156" s="22">
        <f t="shared" si="1253"/>
        <v>248.25399999999999</v>
      </c>
      <c r="CE156" s="22">
        <f t="shared" si="1253"/>
        <v>247.3487413560602</v>
      </c>
      <c r="CF156" s="22">
        <f t="shared" ref="CF156:CG156" si="1255">SUM(CF149:CF155)</f>
        <v>270.70600000000002</v>
      </c>
      <c r="CG156" s="22">
        <f t="shared" si="1255"/>
        <v>254.44332613883989</v>
      </c>
      <c r="CH156" s="22">
        <f t="shared" ref="CH156:CI156" si="1256">SUM(CH149:CH155)</f>
        <v>277.89000000000004</v>
      </c>
      <c r="CI156" s="22">
        <f t="shared" si="1256"/>
        <v>187.92160753699011</v>
      </c>
      <c r="CJ156" s="22">
        <f t="shared" ref="CJ156:DB156" si="1257">SUM(CJ149:CJ155)</f>
        <v>524.30999999999995</v>
      </c>
      <c r="CK156" s="21">
        <f t="shared" si="1257"/>
        <v>385.82056177288041</v>
      </c>
      <c r="CL156" s="22">
        <f t="shared" ref="CL156" si="1258">SUM(CL149:CL155)</f>
        <v>686.38</v>
      </c>
      <c r="CM156" s="21">
        <f t="shared" si="1257"/>
        <v>361.36023599565169</v>
      </c>
      <c r="CN156" s="21">
        <f t="shared" si="1257"/>
        <v>455.73421570661753</v>
      </c>
      <c r="CO156" s="21">
        <f t="shared" si="1257"/>
        <v>343.95654553628361</v>
      </c>
      <c r="CP156" s="21">
        <f t="shared" si="1257"/>
        <v>857.33653440267653</v>
      </c>
      <c r="CQ156" s="21">
        <f t="shared" si="1257"/>
        <v>431.34261554097009</v>
      </c>
      <c r="CR156" s="21">
        <f t="shared" si="1257"/>
        <v>549.54121838886761</v>
      </c>
      <c r="CS156" s="21">
        <f t="shared" si="1257"/>
        <v>417.38647850363486</v>
      </c>
      <c r="CT156" s="21">
        <f t="shared" si="1257"/>
        <v>1042.1047148620667</v>
      </c>
      <c r="CU156" s="21">
        <f t="shared" si="1257"/>
        <v>520.68457277196285</v>
      </c>
      <c r="CV156" s="21">
        <f t="shared" si="1257"/>
        <v>665.21450864325448</v>
      </c>
      <c r="CW156" s="21">
        <f t="shared" si="1257"/>
        <v>505.72801529237267</v>
      </c>
      <c r="CX156" s="21">
        <f t="shared" si="1257"/>
        <v>1262.1931021225357</v>
      </c>
      <c r="CY156" s="21">
        <f t="shared" si="1257"/>
        <v>630.08899425616642</v>
      </c>
      <c r="CZ156" s="21">
        <f t="shared" si="1257"/>
        <v>805.48450707406482</v>
      </c>
      <c r="DA156" s="21">
        <f t="shared" si="1257"/>
        <v>612.41524646907169</v>
      </c>
      <c r="DB156" s="21">
        <f t="shared" si="1257"/>
        <v>1528.2427634241037</v>
      </c>
      <c r="DE156" s="126"/>
      <c r="DF156" s="22">
        <v>721.82039547097622</v>
      </c>
    </row>
    <row r="157" spans="1:110" s="22" customFormat="1" x14ac:dyDescent="0.2">
      <c r="A157" s="22" t="s">
        <v>74</v>
      </c>
      <c r="B157" s="22">
        <f>B148-B156</f>
        <v>-56.855061374999998</v>
      </c>
      <c r="C157" s="22">
        <f t="shared" ref="C157:V157" si="1259">C148-C156</f>
        <v>-52.694531954999995</v>
      </c>
      <c r="D157" s="22">
        <f t="shared" si="1259"/>
        <v>-61.941272828000002</v>
      </c>
      <c r="E157" s="22">
        <f t="shared" si="1259"/>
        <v>-51.806156989000016</v>
      </c>
      <c r="F157" s="22">
        <f t="shared" si="1259"/>
        <v>42.153974067999997</v>
      </c>
      <c r="G157" s="22">
        <f t="shared" si="1259"/>
        <v>182.205075959</v>
      </c>
      <c r="H157" s="22">
        <f t="shared" si="1259"/>
        <v>153.78343377499999</v>
      </c>
      <c r="I157" s="22">
        <f t="shared" si="1259"/>
        <v>79.400192109000045</v>
      </c>
      <c r="J157" s="22">
        <f t="shared" si="1259"/>
        <v>-100.97674592700002</v>
      </c>
      <c r="K157" s="22">
        <f t="shared" si="1259"/>
        <v>414.4153</v>
      </c>
      <c r="L157" s="22">
        <f t="shared" si="1259"/>
        <v>258.90949999999998</v>
      </c>
      <c r="M157" s="22">
        <f t="shared" si="1259"/>
        <v>-358.77089999999998</v>
      </c>
      <c r="N157" s="22">
        <f t="shared" si="1259"/>
        <v>-310.25540000000001</v>
      </c>
      <c r="O157" s="22">
        <f t="shared" si="1259"/>
        <v>-299.50445530000002</v>
      </c>
      <c r="P157" s="22">
        <f t="shared" si="1259"/>
        <v>119.95731060000003</v>
      </c>
      <c r="Q157" s="22">
        <f t="shared" si="1259"/>
        <v>112.09665900000002</v>
      </c>
      <c r="R157" s="22">
        <f t="shared" si="1259"/>
        <v>133.11641750000001</v>
      </c>
      <c r="S157" s="22">
        <f t="shared" si="1259"/>
        <v>143.3982</v>
      </c>
      <c r="T157" s="22">
        <f t="shared" si="1259"/>
        <v>149.3057</v>
      </c>
      <c r="U157" s="22">
        <f t="shared" si="1259"/>
        <v>148.44839999999999</v>
      </c>
      <c r="V157" s="22">
        <f t="shared" si="1259"/>
        <v>143.31059999999999</v>
      </c>
      <c r="W157" s="22">
        <f t="shared" ref="W157" si="1260">W148-W156</f>
        <v>418.88690000000008</v>
      </c>
      <c r="X157" s="22">
        <f t="shared" ref="X157:Y157" si="1261">X148-X156</f>
        <v>441.87429999999995</v>
      </c>
      <c r="Y157" s="22">
        <f t="shared" si="1261"/>
        <v>603.23810000000003</v>
      </c>
      <c r="Z157" s="22">
        <f t="shared" ref="Z157:AA157" si="1262">Z148-Z156</f>
        <v>1004.01</v>
      </c>
      <c r="AA157" s="22">
        <f t="shared" si="1262"/>
        <v>1554.0699999999997</v>
      </c>
      <c r="AB157" s="21">
        <f t="shared" ref="AA157:AD157" si="1263">AB148-AB156</f>
        <v>2036.0587302491726</v>
      </c>
      <c r="AC157" s="21">
        <f t="shared" si="1263"/>
        <v>2474.8582585565728</v>
      </c>
      <c r="AD157" s="21">
        <f t="shared" si="1263"/>
        <v>2997.5385180889025</v>
      </c>
      <c r="AE157" s="21">
        <f t="shared" ref="AE157" si="1264">AE148-AE156</f>
        <v>3629.3706094977924</v>
      </c>
      <c r="AJ157" s="22">
        <f t="shared" ref="AJ157" si="1265">AJ148-AJ156</f>
        <v>-327.72800000000007</v>
      </c>
      <c r="AK157" s="22" t="e">
        <f t="shared" ref="AK157" si="1266">AK148-AK156</f>
        <v>#DIV/0!</v>
      </c>
      <c r="AL157" s="22">
        <f t="shared" ref="AL157:AM157" si="1267">AL148-AL156</f>
        <v>-310.25500000000005</v>
      </c>
      <c r="AM157" s="22" t="e">
        <f t="shared" si="1267"/>
        <v>#DIV/0!</v>
      </c>
      <c r="AN157" s="22">
        <f t="shared" ref="AN157:AO157" si="1268">AN148-AN156</f>
        <v>-313.19900000000007</v>
      </c>
      <c r="AO157" s="22" t="e">
        <f t="shared" si="1268"/>
        <v>#DIV/0!</v>
      </c>
      <c r="AP157" s="22">
        <f t="shared" ref="AP157:CE157" si="1269">AP148-AP156</f>
        <v>-299.505</v>
      </c>
      <c r="AQ157" s="22" t="e">
        <f t="shared" si="1269"/>
        <v>#DIV/0!</v>
      </c>
      <c r="AR157" s="22">
        <f t="shared" si="1269"/>
        <v>-231.25399999999999</v>
      </c>
      <c r="AS157" s="22" t="e">
        <f t="shared" si="1269"/>
        <v>#DIV/0!</v>
      </c>
      <c r="AT157" s="22">
        <f t="shared" si="1269"/>
        <v>119.95800000000001</v>
      </c>
      <c r="AU157" s="22">
        <f t="shared" si="1269"/>
        <v>137.339</v>
      </c>
      <c r="AV157" s="22">
        <f t="shared" si="1269"/>
        <v>130.47</v>
      </c>
      <c r="AW157" s="22">
        <f t="shared" si="1269"/>
        <v>128.46016962378076</v>
      </c>
      <c r="AX157" s="22">
        <f t="shared" si="1269"/>
        <v>112.09700000000001</v>
      </c>
      <c r="AY157" s="22">
        <f t="shared" si="1269"/>
        <v>105.614</v>
      </c>
      <c r="AZ157" s="22">
        <f t="shared" si="1269"/>
        <v>111.65199999999999</v>
      </c>
      <c r="BA157" s="22">
        <f t="shared" si="1269"/>
        <v>107.134500578369</v>
      </c>
      <c r="BB157" s="22">
        <f t="shared" si="1269"/>
        <v>133.11600000000001</v>
      </c>
      <c r="BC157" s="22">
        <f t="shared" si="1269"/>
        <v>124.17299999999999</v>
      </c>
      <c r="BD157" s="22">
        <f t="shared" si="1269"/>
        <v>132.77600000000001</v>
      </c>
      <c r="BE157" s="22">
        <f t="shared" si="1269"/>
        <v>126.35523209206525</v>
      </c>
      <c r="BF157" s="22">
        <f t="shared" si="1269"/>
        <v>143.39700000000002</v>
      </c>
      <c r="BG157" s="22">
        <f t="shared" si="1269"/>
        <v>134.45400000000001</v>
      </c>
      <c r="BH157" s="22">
        <f t="shared" ref="BH157" si="1270">BH148-BH156</f>
        <v>148.15200000000002</v>
      </c>
      <c r="BI157" s="22" t="e">
        <f t="shared" si="1269"/>
        <v>#DIV/0!</v>
      </c>
      <c r="BJ157" s="22">
        <f t="shared" si="1269"/>
        <v>149.30799999999999</v>
      </c>
      <c r="BK157" s="22">
        <f t="shared" si="1269"/>
        <v>149.30799999999999</v>
      </c>
      <c r="BL157" s="22">
        <f t="shared" si="1269"/>
        <v>148.45999999999998</v>
      </c>
      <c r="BM157" s="22" t="e">
        <f t="shared" si="1269"/>
        <v>#DIV/0!</v>
      </c>
      <c r="BN157" s="22">
        <f t="shared" si="1269"/>
        <v>148.44800000000001</v>
      </c>
      <c r="BO157" s="22">
        <f t="shared" si="1269"/>
        <v>148.446</v>
      </c>
      <c r="BP157" s="22">
        <f t="shared" si="1269"/>
        <v>147.89800000000002</v>
      </c>
      <c r="BQ157" s="22" t="e">
        <f t="shared" si="1269"/>
        <v>#DIV/0!</v>
      </c>
      <c r="BR157" s="22">
        <f t="shared" si="1269"/>
        <v>143.31</v>
      </c>
      <c r="BS157" s="22">
        <f t="shared" si="1269"/>
        <v>143.31</v>
      </c>
      <c r="BT157" s="22">
        <f t="shared" si="1269"/>
        <v>230.10399999999998</v>
      </c>
      <c r="BU157" s="22">
        <f t="shared" si="1269"/>
        <v>261.92627291242366</v>
      </c>
      <c r="BV157" s="22">
        <f t="shared" si="1269"/>
        <v>420.27299999999997</v>
      </c>
      <c r="BW157" s="22">
        <f t="shared" si="1269"/>
        <v>502.70812591288137</v>
      </c>
      <c r="BX157" s="22">
        <f t="shared" si="1269"/>
        <v>182.54599999999996</v>
      </c>
      <c r="BY157" s="22">
        <f t="shared" si="1269"/>
        <v>267.19098478701829</v>
      </c>
      <c r="BZ157" s="22">
        <f t="shared" si="1269"/>
        <v>447.17899999999997</v>
      </c>
      <c r="CA157" s="22">
        <f t="shared" si="1269"/>
        <v>396.12576414988888</v>
      </c>
      <c r="CB157" s="22">
        <f t="shared" si="1269"/>
        <v>300.91300000000001</v>
      </c>
      <c r="CC157" s="22">
        <f t="shared" si="1269"/>
        <v>537.19252968122146</v>
      </c>
      <c r="CD157" s="22">
        <f t="shared" si="1269"/>
        <v>618.28399999999988</v>
      </c>
      <c r="CE157" s="22">
        <f t="shared" si="1269"/>
        <v>607.47440459451832</v>
      </c>
      <c r="CF157" s="22">
        <f t="shared" ref="CF157:CG157" si="1271">CF148-CF156</f>
        <v>793.49199999999985</v>
      </c>
      <c r="CG157" s="22">
        <f t="shared" si="1271"/>
        <v>746.72471391511874</v>
      </c>
      <c r="CH157" s="22">
        <f t="shared" ref="CH157:CI157" si="1272">CH148-CH156</f>
        <v>1004.01</v>
      </c>
      <c r="CI157" s="22">
        <f t="shared" si="1272"/>
        <v>678.95632510422627</v>
      </c>
      <c r="CJ157" s="22">
        <f t="shared" ref="CJ157:DB157" si="1273">CJ148-CJ156</f>
        <v>1558.67</v>
      </c>
      <c r="CK157" s="21">
        <f t="shared" si="1273"/>
        <v>1146.9682726221808</v>
      </c>
      <c r="CL157" s="22">
        <f t="shared" ref="CL157" si="1274">CL148-CL156</f>
        <v>1630.06</v>
      </c>
      <c r="CM157" s="21">
        <f t="shared" si="1273"/>
        <v>858.18186177783741</v>
      </c>
      <c r="CN157" s="21">
        <f t="shared" si="1273"/>
        <v>1082.307345282102</v>
      </c>
      <c r="CO157" s="21">
        <f t="shared" si="1273"/>
        <v>816.85044234516522</v>
      </c>
      <c r="CP157" s="21">
        <f t="shared" si="1273"/>
        <v>2036.0587302491726</v>
      </c>
      <c r="CQ157" s="21">
        <f t="shared" si="1273"/>
        <v>1024.3805820226607</v>
      </c>
      <c r="CR157" s="21">
        <f t="shared" si="1273"/>
        <v>1305.0863347518248</v>
      </c>
      <c r="CS157" s="21">
        <f t="shared" si="1273"/>
        <v>991.23663735778337</v>
      </c>
      <c r="CT157" s="21">
        <f t="shared" si="1273"/>
        <v>2474.8582585565728</v>
      </c>
      <c r="CU157" s="21">
        <f t="shared" si="1273"/>
        <v>1236.5556902774938</v>
      </c>
      <c r="CV157" s="21">
        <f t="shared" si="1273"/>
        <v>1579.7948103951505</v>
      </c>
      <c r="CW157" s="21">
        <f t="shared" si="1273"/>
        <v>1201.03588188392</v>
      </c>
      <c r="CX157" s="21">
        <f t="shared" si="1273"/>
        <v>2997.5385180889025</v>
      </c>
      <c r="CY157" s="21">
        <f t="shared" si="1273"/>
        <v>1496.3764474157272</v>
      </c>
      <c r="CZ157" s="21">
        <f t="shared" si="1273"/>
        <v>1912.9171531821294</v>
      </c>
      <c r="DA157" s="21">
        <f t="shared" si="1273"/>
        <v>1454.4036782239798</v>
      </c>
      <c r="DB157" s="21">
        <f t="shared" si="1273"/>
        <v>3629.3706094977924</v>
      </c>
      <c r="DE157" s="126"/>
      <c r="DF157" s="22">
        <v>2145.8293677571414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444.96910000000003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9.2249999999999996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9.3493999999999993</v>
      </c>
      <c r="Y159" s="23">
        <f>'Annual Raw'!Z75</f>
        <v>16.8673</v>
      </c>
      <c r="Z159" s="23">
        <f>'Annual Raw'!AA75</f>
        <v>19.41</v>
      </c>
      <c r="AA159" s="23">
        <f>'Annual Raw'!AB75</f>
        <v>58.32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9.2249999999999996</v>
      </c>
      <c r="AV159" s="23">
        <f>+'QTR Raw'!P80</f>
        <v>6.0750000000000002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9.3490000000000002</v>
      </c>
      <c r="CB159" s="23">
        <f>+'QTR Raw'!AV80</f>
        <v>21.318999999999999</v>
      </c>
      <c r="CD159" s="23">
        <f>+'QTR Raw'!AX80</f>
        <v>16.867000000000001</v>
      </c>
      <c r="CF159" s="23">
        <f>+'QTR Raw'!AZ80</f>
        <v>19.184000000000001</v>
      </c>
      <c r="CH159" s="23">
        <f t="shared" ref="CH159:CH160" si="1279">Z159</f>
        <v>19.41</v>
      </c>
      <c r="CJ159" s="23">
        <f>+'QTR Raw'!BD80</f>
        <v>37.729999999999997</v>
      </c>
      <c r="CK159" s="24"/>
      <c r="CL159" s="23">
        <f>+'QTR Raw'!BF80</f>
        <v>58.32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58.32</v>
      </c>
    </row>
    <row r="160" spans="1:110" s="23" customFormat="1" outlineLevel="1" x14ac:dyDescent="0.2">
      <c r="A160" s="23" t="s">
        <v>76</v>
      </c>
      <c r="B160" s="23">
        <f>'Annual Raw'!C78</f>
        <v>1.0655249999999999E-3</v>
      </c>
      <c r="C160" s="23">
        <f>'Annual Raw'!D78</f>
        <v>4.890447E-3</v>
      </c>
      <c r="D160" s="23">
        <f>'Annual Raw'!E78</f>
        <v>7.0304729999999998E-3</v>
      </c>
      <c r="E160" s="23">
        <f>'Annual Raw'!F78</f>
        <v>0.36984514800000001</v>
      </c>
      <c r="F160" s="23">
        <f>'Annual Raw'!G78</f>
        <v>0.55271807399999995</v>
      </c>
      <c r="G160" s="23">
        <f>'Annual Raw'!H78</f>
        <v>1.4253340370000001</v>
      </c>
      <c r="H160" s="23">
        <f>'Annual Raw'!I78</f>
        <v>1.2884868000000001E-2</v>
      </c>
      <c r="I160" s="23">
        <f>'Annual Raw'!J78</f>
        <v>0.18169528900000001</v>
      </c>
      <c r="J160" s="23">
        <f>'Annual Raw'!K78</f>
        <v>1.468061971</v>
      </c>
      <c r="K160" s="23">
        <f>'Annual Raw'!L78</f>
        <v>5.7047999999999996</v>
      </c>
      <c r="L160" s="23">
        <f>'Annual Raw'!M78</f>
        <v>51.817</v>
      </c>
      <c r="M160" s="23">
        <f>'Annual Raw'!N78</f>
        <v>3.3681999999999999</v>
      </c>
      <c r="N160" s="23">
        <f>'Annual Raw'!O78</f>
        <v>1.4005000000000001</v>
      </c>
      <c r="O160" s="23">
        <f>'Annual Raw'!P78</f>
        <v>9.1094700000000001E-2</v>
      </c>
      <c r="P160" s="23">
        <f>'Annual Raw'!Q78</f>
        <v>6.4758499999999997E-2</v>
      </c>
      <c r="Q160" s="23">
        <f>'Annual Raw'!R78</f>
        <v>5.3891000000000001E-2</v>
      </c>
      <c r="R160" s="23">
        <f>'Annual Raw'!S78</f>
        <v>7.56246E-2</v>
      </c>
      <c r="S160" s="23">
        <f>'Annual Raw'!T78</f>
        <v>1.32E-2</v>
      </c>
      <c r="T160" s="23">
        <f>'Annual Raw'!U78</f>
        <v>1.54E-2</v>
      </c>
      <c r="U160" s="23">
        <f>'Annual Raw'!V78</f>
        <v>3.9199999999999999E-2</v>
      </c>
      <c r="V160" s="23">
        <f>'Annual Raw'!W78</f>
        <v>7.0705</v>
      </c>
      <c r="W160" s="23">
        <f>'Annual Raw'!X78</f>
        <v>24.9832</v>
      </c>
      <c r="X160" s="23">
        <f>'Annual Raw'!Y78</f>
        <v>33.3157</v>
      </c>
      <c r="Y160" s="23">
        <f>'Annual Raw'!Z78</f>
        <v>179.1037</v>
      </c>
      <c r="Z160" s="23">
        <f>'Annual Raw'!AA78</f>
        <v>176.11</v>
      </c>
      <c r="AA160" s="23">
        <f>'Annual Raw'!AB78</f>
        <v>908.67</v>
      </c>
      <c r="AB160" s="24">
        <f t="shared" si="1275"/>
        <v>1018.8102577927934</v>
      </c>
      <c r="AC160" s="24">
        <f t="shared" si="1276"/>
        <v>1177.9763680616868</v>
      </c>
      <c r="AD160" s="24">
        <f t="shared" si="1277"/>
        <v>1457.824774208204</v>
      </c>
      <c r="AE160" s="24">
        <f t="shared" si="1278"/>
        <v>1922.9769355091489</v>
      </c>
      <c r="AJ160" s="23">
        <f>+'QTR Raw'!D83</f>
        <v>0.29499999999999998</v>
      </c>
      <c r="AK160" s="23" t="e">
        <f t="shared" ref="AK160:AM160" si="1280">+AK210</f>
        <v>#DIV/0!</v>
      </c>
      <c r="AL160" s="23">
        <f>+'QTR Raw'!F83</f>
        <v>1.401</v>
      </c>
      <c r="AM160" s="23" t="e">
        <f t="shared" si="1280"/>
        <v>#DIV/0!</v>
      </c>
      <c r="AN160" s="23">
        <f>+'QTR Raw'!H83</f>
        <v>7.0000000000000007E-2</v>
      </c>
      <c r="AO160" s="23" t="e">
        <f t="shared" ref="AO160" si="1281">+AO210</f>
        <v>#DIV/0!</v>
      </c>
      <c r="AP160" s="23">
        <f>+'QTR Raw'!J83</f>
        <v>9.0999999999999998E-2</v>
      </c>
      <c r="AQ160" s="23" t="e">
        <f t="shared" ref="AQ160" si="1282">+AQ210</f>
        <v>#DIV/0!</v>
      </c>
      <c r="AR160" s="23">
        <f>+'QTR Raw'!L83</f>
        <v>0.26600000000000001</v>
      </c>
      <c r="AS160" s="23" t="e">
        <f t="shared" ref="AS160" si="1283">+AS210</f>
        <v>#DIV/0!</v>
      </c>
      <c r="AT160" s="23">
        <f>+'QTR Raw'!N83</f>
        <v>6.4000000000000001E-2</v>
      </c>
      <c r="AU160" s="23">
        <f t="shared" ref="AU160" si="1284">+AU210</f>
        <v>-7.8839999999999382</v>
      </c>
      <c r="AV160" s="23">
        <f>+'QTR Raw'!P83</f>
        <v>4.4999999999999998E-2</v>
      </c>
      <c r="AW160" s="23">
        <f t="shared" ref="AW160" si="1285">+AW210</f>
        <v>7.5948303762191891</v>
      </c>
      <c r="AX160" s="23">
        <f>+'QTR Raw'!R83</f>
        <v>5.3999999999999999E-2</v>
      </c>
      <c r="AY160" s="23">
        <f t="shared" ref="AY160" si="1286">+AY210</f>
        <v>6.2600000000000611</v>
      </c>
      <c r="AZ160" s="23">
        <f>+'QTR Raw'!T83</f>
        <v>6.0000000000000001E-3</v>
      </c>
      <c r="BA160" s="23">
        <f t="shared" ref="BA160" si="1287">+BA210</f>
        <v>1.3664994216309352</v>
      </c>
      <c r="BB160" s="23">
        <f>+'QTR Raw'!V83</f>
        <v>7.5999999999999998E-2</v>
      </c>
      <c r="BC160" s="23">
        <f t="shared" ref="BC160" si="1288">+BC210</f>
        <v>8.593999999999955</v>
      </c>
      <c r="BD160" s="23">
        <f>+'QTR Raw'!X83</f>
        <v>1.0999999999999999E-2</v>
      </c>
      <c r="BE160" s="23">
        <f t="shared" ref="BE160" si="1289">+BE210</f>
        <v>6.671767907934762</v>
      </c>
      <c r="BF160" s="23">
        <f>+'QTR Raw'!Z83</f>
        <v>1.2999999999999999E-2</v>
      </c>
      <c r="BG160" s="23">
        <f t="shared" ref="BG160" si="1290">+BG210</f>
        <v>9.6000000000000121</v>
      </c>
      <c r="BH160" s="23">
        <f>+'QTR Raw'!AB83</f>
        <v>8.0000000000000002E-3</v>
      </c>
      <c r="BI160" s="23" t="e">
        <f t="shared" ref="BI160" si="1291">+BI210</f>
        <v>#DIV/0!</v>
      </c>
      <c r="BJ160" s="23">
        <f>+'QTR Raw'!AD83</f>
        <v>1.4999999999999999E-2</v>
      </c>
      <c r="BK160" s="23">
        <f t="shared" ref="BK160" si="1292">+BK210</f>
        <v>-0.5489999999999432</v>
      </c>
      <c r="BL160" s="23">
        <f>+'QTR Raw'!AF83</f>
        <v>1.9E-2</v>
      </c>
      <c r="BM160" s="23" t="e">
        <f t="shared" ref="BM160" si="1293">+BM210</f>
        <v>#DIV/0!</v>
      </c>
      <c r="BN160" s="23">
        <f>+'QTR Raw'!AH83</f>
        <v>3.9E-2</v>
      </c>
      <c r="BO160" s="23">
        <f t="shared" ref="BO160" si="1294">+BO210</f>
        <v>0.33400000000000829</v>
      </c>
      <c r="BP160" s="23">
        <f>+'QTR Raw'!AJ83</f>
        <v>0.02</v>
      </c>
      <c r="BQ160" s="23" t="e">
        <f t="shared" ref="BQ160" si="1295">+BQ210</f>
        <v>#DIV/0!</v>
      </c>
      <c r="BR160" s="23">
        <f>+'QTR Raw'!AL83</f>
        <v>7.07</v>
      </c>
      <c r="BS160" s="23">
        <f t="shared" ref="BS160" si="1296">+BS210</f>
        <v>6.226</v>
      </c>
      <c r="BT160" s="23">
        <f>+'QTR Raw'!AN83</f>
        <v>14.644</v>
      </c>
      <c r="BU160" s="23">
        <f t="shared" ref="BU160" si="1297">+BU210</f>
        <v>-15.843272912423656</v>
      </c>
      <c r="BV160" s="23">
        <f>+'QTR Raw'!AP83</f>
        <v>24.983000000000001</v>
      </c>
      <c r="BW160" s="23">
        <f t="shared" ref="BW160" si="1298">+BW210</f>
        <v>-57.770125912881383</v>
      </c>
      <c r="BX160" s="23">
        <f>+'QTR Raw'!AR83</f>
        <v>250.101</v>
      </c>
      <c r="BY160" s="23">
        <f t="shared" ref="BY160" si="1299">+BY210</f>
        <v>172.73401521298166</v>
      </c>
      <c r="BZ160" s="23">
        <f>+'QTR Raw'!AT83</f>
        <v>33.316000000000003</v>
      </c>
      <c r="CA160" s="23">
        <f t="shared" ref="CA160" si="1300">+CA210</f>
        <v>101.70723585011115</v>
      </c>
      <c r="CB160" s="23">
        <f>+'QTR Raw'!AV83</f>
        <v>48.231999999999999</v>
      </c>
      <c r="CC160" s="23">
        <f t="shared" ref="CC160" si="1301">+CC210</f>
        <v>-106.92952968122138</v>
      </c>
      <c r="CD160" s="23">
        <f>+'QTR Raw'!AX83</f>
        <v>179.10300000000001</v>
      </c>
      <c r="CE160" s="23">
        <f t="shared" ref="CE160" si="1302">+CE210</f>
        <v>212.92959540548156</v>
      </c>
      <c r="CF160" s="23">
        <f>+'QTR Raw'!AZ83</f>
        <v>166.44300000000001</v>
      </c>
      <c r="CG160" s="23">
        <f t="shared" ref="CG160:CI160" si="1303">+CG210</f>
        <v>251.83428608488111</v>
      </c>
      <c r="CH160" s="23">
        <f t="shared" si="1279"/>
        <v>176.11</v>
      </c>
      <c r="CI160" s="23">
        <f t="shared" si="1303"/>
        <v>753.64367489577376</v>
      </c>
      <c r="CJ160" s="23">
        <f>+'QTR Raw'!BD83</f>
        <v>495.17</v>
      </c>
      <c r="CK160" s="24">
        <f t="shared" ref="CK160:DB160" si="1304">+CK210</f>
        <v>943.26172737781917</v>
      </c>
      <c r="CL160" s="23">
        <f>+'QTR Raw'!BF83</f>
        <v>908.67</v>
      </c>
      <c r="CM160" s="24">
        <f t="shared" si="1304"/>
        <v>1769.1973249342477</v>
      </c>
      <c r="CN160" s="24">
        <f t="shared" si="1304"/>
        <v>1679.2942526497193</v>
      </c>
      <c r="CO160" s="24">
        <f t="shared" si="1304"/>
        <v>2055.0714581164207</v>
      </c>
      <c r="CP160" s="24">
        <f t="shared" si="1304"/>
        <v>1018.8102577927934</v>
      </c>
      <c r="CQ160" s="24">
        <f t="shared" si="1304"/>
        <v>2069.4298786778199</v>
      </c>
      <c r="CR160" s="24">
        <f t="shared" si="1304"/>
        <v>1959.577394765168</v>
      </c>
      <c r="CS160" s="24">
        <f t="shared" si="1304"/>
        <v>2422.5899921550681</v>
      </c>
      <c r="CT160" s="24">
        <f t="shared" si="1304"/>
        <v>1177.9763680616868</v>
      </c>
      <c r="CU160" s="24">
        <f t="shared" si="1304"/>
        <v>2478.434630513756</v>
      </c>
      <c r="CV160" s="24">
        <f t="shared" si="1304"/>
        <v>2360.3936106243546</v>
      </c>
      <c r="CW160" s="24">
        <f t="shared" si="1304"/>
        <v>2941.311331154925</v>
      </c>
      <c r="CX160" s="24">
        <f t="shared" si="1304"/>
        <v>1457.824774208204</v>
      </c>
      <c r="CY160" s="24">
        <f t="shared" si="1304"/>
        <v>3060.1822008024465</v>
      </c>
      <c r="CZ160" s="24">
        <f t="shared" si="1304"/>
        <v>2945.7512836161468</v>
      </c>
      <c r="DA160" s="24">
        <f t="shared" si="1304"/>
        <v>3682.1050018765773</v>
      </c>
      <c r="DB160" s="24">
        <f t="shared" si="1304"/>
        <v>1922.9769355091489</v>
      </c>
      <c r="DE160" s="123"/>
      <c r="DF160" s="23">
        <v>-146.09642380858122</v>
      </c>
    </row>
    <row r="161" spans="1:110" s="22" customFormat="1" x14ac:dyDescent="0.2">
      <c r="A161" s="22" t="s">
        <v>77</v>
      </c>
      <c r="B161" s="22">
        <f>B159+B160</f>
        <v>1.0655249999999999E-3</v>
      </c>
      <c r="C161" s="22">
        <f t="shared" ref="C161:V161" si="1305">C159+C160</f>
        <v>4.890447E-3</v>
      </c>
      <c r="D161" s="22">
        <f t="shared" si="1305"/>
        <v>7.0304729999999998E-3</v>
      </c>
      <c r="E161" s="22">
        <f t="shared" si="1305"/>
        <v>0.36984514800000001</v>
      </c>
      <c r="F161" s="22">
        <f t="shared" si="1305"/>
        <v>0.55271807399999995</v>
      </c>
      <c r="G161" s="22">
        <f t="shared" si="1305"/>
        <v>1.4253340370000001</v>
      </c>
      <c r="H161" s="22">
        <f t="shared" si="1305"/>
        <v>1.2884868000000001E-2</v>
      </c>
      <c r="I161" s="22">
        <f t="shared" si="1305"/>
        <v>0.18169528900000001</v>
      </c>
      <c r="J161" s="22">
        <f t="shared" si="1305"/>
        <v>1.468061971</v>
      </c>
      <c r="K161" s="22">
        <f t="shared" si="1305"/>
        <v>5.7047999999999996</v>
      </c>
      <c r="L161" s="22">
        <f t="shared" si="1305"/>
        <v>496.78610000000003</v>
      </c>
      <c r="M161" s="22">
        <f t="shared" si="1305"/>
        <v>3.3681999999999999</v>
      </c>
      <c r="N161" s="22">
        <f t="shared" si="1305"/>
        <v>1.4005000000000001</v>
      </c>
      <c r="O161" s="22">
        <f t="shared" si="1305"/>
        <v>9.1094700000000001E-2</v>
      </c>
      <c r="P161" s="22">
        <f t="shared" si="1305"/>
        <v>9.2897584999999996</v>
      </c>
      <c r="Q161" s="22">
        <f t="shared" si="1305"/>
        <v>5.3891000000000001E-2</v>
      </c>
      <c r="R161" s="22">
        <f t="shared" si="1305"/>
        <v>7.56246E-2</v>
      </c>
      <c r="S161" s="22">
        <f t="shared" si="1305"/>
        <v>1.32E-2</v>
      </c>
      <c r="T161" s="22">
        <f t="shared" si="1305"/>
        <v>1.54E-2</v>
      </c>
      <c r="U161" s="22">
        <f t="shared" si="1305"/>
        <v>3.9199999999999999E-2</v>
      </c>
      <c r="V161" s="22">
        <f t="shared" si="1305"/>
        <v>7.0705</v>
      </c>
      <c r="W161" s="22">
        <f t="shared" ref="W161" si="1306">W159+W160</f>
        <v>24.9832</v>
      </c>
      <c r="X161" s="22">
        <f t="shared" ref="X161:Y161" si="1307">X159+X160</f>
        <v>42.665099999999995</v>
      </c>
      <c r="Y161" s="22">
        <f t="shared" si="1307"/>
        <v>195.971</v>
      </c>
      <c r="Z161" s="22">
        <f t="shared" ref="Z161:AA161" si="1308">Z159+Z160</f>
        <v>195.52</v>
      </c>
      <c r="AA161" s="22">
        <f t="shared" si="1308"/>
        <v>966.99</v>
      </c>
      <c r="AB161" s="21">
        <f t="shared" ref="AA161:AD161" si="1309">AB159+AB160</f>
        <v>1018.8102577927934</v>
      </c>
      <c r="AC161" s="21">
        <f t="shared" si="1309"/>
        <v>1177.9763680616868</v>
      </c>
      <c r="AD161" s="21">
        <f t="shared" si="1309"/>
        <v>1457.824774208204</v>
      </c>
      <c r="AE161" s="21">
        <f t="shared" ref="AE161" si="1310">AE159+AE160</f>
        <v>1922.9769355091489</v>
      </c>
      <c r="AJ161" s="22">
        <f t="shared" ref="AJ161" si="1311">AJ159+AJ160</f>
        <v>0.29499999999999998</v>
      </c>
      <c r="AK161" s="22" t="e">
        <f t="shared" ref="AK161" si="1312">AK159+AK160</f>
        <v>#DIV/0!</v>
      </c>
      <c r="AL161" s="22">
        <f t="shared" ref="AL161:AM161" si="1313">AL159+AL160</f>
        <v>1.401</v>
      </c>
      <c r="AM161" s="22" t="e">
        <f t="shared" si="1313"/>
        <v>#DIV/0!</v>
      </c>
      <c r="AN161" s="22">
        <f t="shared" ref="AN161:AO161" si="1314">AN159+AN160</f>
        <v>7.0000000000000007E-2</v>
      </c>
      <c r="AO161" s="22" t="e">
        <f t="shared" si="1314"/>
        <v>#DIV/0!</v>
      </c>
      <c r="AP161" s="22">
        <f t="shared" ref="AP161:CE161" si="1315">AP159+AP160</f>
        <v>9.0999999999999998E-2</v>
      </c>
      <c r="AQ161" s="22" t="e">
        <f t="shared" si="1315"/>
        <v>#DIV/0!</v>
      </c>
      <c r="AR161" s="22">
        <f t="shared" si="1315"/>
        <v>0.26600000000000001</v>
      </c>
      <c r="AS161" s="22" t="e">
        <f t="shared" si="1315"/>
        <v>#DIV/0!</v>
      </c>
      <c r="AT161" s="22">
        <f t="shared" si="1315"/>
        <v>9.2889999999999997</v>
      </c>
      <c r="AU161" s="22">
        <f t="shared" si="1315"/>
        <v>-7.8839999999999382</v>
      </c>
      <c r="AV161" s="22">
        <f t="shared" si="1315"/>
        <v>6.12</v>
      </c>
      <c r="AW161" s="22">
        <f t="shared" si="1315"/>
        <v>7.5948303762191891</v>
      </c>
      <c r="AX161" s="22">
        <f t="shared" si="1315"/>
        <v>5.3999999999999999E-2</v>
      </c>
      <c r="AY161" s="22">
        <f t="shared" si="1315"/>
        <v>6.2600000000000611</v>
      </c>
      <c r="AZ161" s="22">
        <f t="shared" si="1315"/>
        <v>6.0000000000000001E-3</v>
      </c>
      <c r="BA161" s="22">
        <f t="shared" si="1315"/>
        <v>1.3664994216309352</v>
      </c>
      <c r="BB161" s="22">
        <f t="shared" si="1315"/>
        <v>7.5999999999999998E-2</v>
      </c>
      <c r="BC161" s="22">
        <f t="shared" si="1315"/>
        <v>8.593999999999955</v>
      </c>
      <c r="BD161" s="22">
        <f t="shared" si="1315"/>
        <v>1.0999999999999999E-2</v>
      </c>
      <c r="BE161" s="22">
        <f t="shared" si="1315"/>
        <v>6.671767907934762</v>
      </c>
      <c r="BF161" s="22">
        <f t="shared" si="1315"/>
        <v>1.2999999999999999E-2</v>
      </c>
      <c r="BG161" s="22">
        <f t="shared" si="1315"/>
        <v>9.6000000000000121</v>
      </c>
      <c r="BH161" s="22">
        <f t="shared" si="1315"/>
        <v>8.0000000000000002E-3</v>
      </c>
      <c r="BI161" s="22" t="e">
        <f t="shared" si="1315"/>
        <v>#DIV/0!</v>
      </c>
      <c r="BJ161" s="22">
        <f t="shared" si="1315"/>
        <v>1.4999999999999999E-2</v>
      </c>
      <c r="BK161" s="22">
        <f t="shared" si="1315"/>
        <v>-0.5489999999999432</v>
      </c>
      <c r="BL161" s="22">
        <f t="shared" si="1315"/>
        <v>1.9E-2</v>
      </c>
      <c r="BM161" s="22" t="e">
        <f t="shared" si="1315"/>
        <v>#DIV/0!</v>
      </c>
      <c r="BN161" s="22">
        <f t="shared" si="1315"/>
        <v>3.9E-2</v>
      </c>
      <c r="BO161" s="22">
        <f t="shared" si="1315"/>
        <v>0.33400000000000829</v>
      </c>
      <c r="BP161" s="22">
        <f t="shared" si="1315"/>
        <v>0.02</v>
      </c>
      <c r="BQ161" s="22" t="e">
        <f t="shared" si="1315"/>
        <v>#DIV/0!</v>
      </c>
      <c r="BR161" s="22">
        <f t="shared" si="1315"/>
        <v>7.07</v>
      </c>
      <c r="BS161" s="22">
        <f t="shared" si="1315"/>
        <v>6.226</v>
      </c>
      <c r="BT161" s="22">
        <f t="shared" si="1315"/>
        <v>14.644</v>
      </c>
      <c r="BU161" s="22">
        <f t="shared" si="1315"/>
        <v>-15.843272912423656</v>
      </c>
      <c r="BV161" s="22">
        <f t="shared" si="1315"/>
        <v>24.983000000000001</v>
      </c>
      <c r="BW161" s="22">
        <f t="shared" si="1315"/>
        <v>-57.770125912881383</v>
      </c>
      <c r="BX161" s="22">
        <f t="shared" si="1315"/>
        <v>250.101</v>
      </c>
      <c r="BY161" s="22">
        <f t="shared" si="1315"/>
        <v>172.73401521298166</v>
      </c>
      <c r="BZ161" s="22">
        <f t="shared" si="1315"/>
        <v>42.665000000000006</v>
      </c>
      <c r="CA161" s="22">
        <f t="shared" si="1315"/>
        <v>101.70723585011115</v>
      </c>
      <c r="CB161" s="22">
        <f t="shared" si="1315"/>
        <v>69.551000000000002</v>
      </c>
      <c r="CC161" s="22">
        <f t="shared" si="1315"/>
        <v>-106.92952968122138</v>
      </c>
      <c r="CD161" s="22">
        <f t="shared" si="1315"/>
        <v>195.97</v>
      </c>
      <c r="CE161" s="22">
        <f t="shared" si="1315"/>
        <v>212.92959540548156</v>
      </c>
      <c r="CF161" s="22">
        <f t="shared" ref="CF161:CG161" si="1316">CF159+CF160</f>
        <v>185.62700000000001</v>
      </c>
      <c r="CG161" s="22">
        <f t="shared" si="1316"/>
        <v>251.83428608488111</v>
      </c>
      <c r="CH161" s="22">
        <f t="shared" ref="CH161:CI161" si="1317">CH159+CH160</f>
        <v>195.52</v>
      </c>
      <c r="CI161" s="22">
        <f t="shared" si="1317"/>
        <v>753.64367489577376</v>
      </c>
      <c r="CJ161" s="22">
        <f t="shared" ref="CJ161:DB161" si="1318">CJ159+CJ160</f>
        <v>532.9</v>
      </c>
      <c r="CK161" s="21">
        <f t="shared" si="1318"/>
        <v>943.26172737781917</v>
      </c>
      <c r="CL161" s="22">
        <f t="shared" ref="CL161" si="1319">CL159+CL160</f>
        <v>966.99</v>
      </c>
      <c r="CM161" s="21">
        <f t="shared" si="1318"/>
        <v>1769.1973249342477</v>
      </c>
      <c r="CN161" s="21">
        <f t="shared" si="1318"/>
        <v>1679.2942526497193</v>
      </c>
      <c r="CO161" s="21">
        <f t="shared" si="1318"/>
        <v>2055.0714581164207</v>
      </c>
      <c r="CP161" s="21">
        <f t="shared" si="1318"/>
        <v>1018.8102577927934</v>
      </c>
      <c r="CQ161" s="21">
        <f t="shared" si="1318"/>
        <v>2069.4298786778199</v>
      </c>
      <c r="CR161" s="21">
        <f t="shared" si="1318"/>
        <v>1959.577394765168</v>
      </c>
      <c r="CS161" s="21">
        <f t="shared" si="1318"/>
        <v>2422.5899921550681</v>
      </c>
      <c r="CT161" s="21">
        <f t="shared" si="1318"/>
        <v>1177.9763680616868</v>
      </c>
      <c r="CU161" s="21">
        <f t="shared" si="1318"/>
        <v>2478.434630513756</v>
      </c>
      <c r="CV161" s="21">
        <f t="shared" si="1318"/>
        <v>2360.3936106243546</v>
      </c>
      <c r="CW161" s="21">
        <f t="shared" si="1318"/>
        <v>2941.311331154925</v>
      </c>
      <c r="CX161" s="21">
        <f t="shared" si="1318"/>
        <v>1457.824774208204</v>
      </c>
      <c r="CY161" s="21">
        <f t="shared" si="1318"/>
        <v>3060.1822008024465</v>
      </c>
      <c r="CZ161" s="21">
        <f t="shared" si="1318"/>
        <v>2945.7512836161468</v>
      </c>
      <c r="DA161" s="21">
        <f t="shared" si="1318"/>
        <v>3682.1050018765773</v>
      </c>
      <c r="DB161" s="21">
        <f t="shared" si="1318"/>
        <v>1922.9769355091489</v>
      </c>
      <c r="DE161" s="126"/>
      <c r="DF161" s="22">
        <v>-146.09642380858122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3.6440999999999999</v>
      </c>
      <c r="X163" s="23">
        <f>-'Annual Raw'!Y49</f>
        <v>1.0750999999999999</v>
      </c>
      <c r="Y163" s="23">
        <f>-'Annual Raw'!Z49</f>
        <v>-105.0538</v>
      </c>
      <c r="Z163" s="23">
        <f>-'Annual Raw'!AA49</f>
        <v>-279.04000000000002</v>
      </c>
      <c r="AA163" s="23">
        <f>-'Annual Raw'!AB49</f>
        <v>-337.7</v>
      </c>
      <c r="AB163" s="24">
        <f t="shared" ref="AB163:AB164" si="1320">+CP163</f>
        <v>-337.7</v>
      </c>
      <c r="AC163" s="24">
        <f t="shared" ref="AC163:AC164" si="1321">+CT163</f>
        <v>-337.7</v>
      </c>
      <c r="AD163" s="24">
        <f t="shared" ref="AD163:AD164" si="1322">+CX163</f>
        <v>-337.7</v>
      </c>
      <c r="AE163" s="24">
        <f t="shared" ref="AE163:AE164" si="1323">+DB163</f>
        <v>-337.7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0</v>
      </c>
      <c r="BC163" s="23">
        <f t="shared" si="1324"/>
        <v>0</v>
      </c>
      <c r="BD163" s="23">
        <f>+'QTR Raw'!X96</f>
        <v>0</v>
      </c>
      <c r="BE163" s="23">
        <f t="shared" si="1324"/>
        <v>0</v>
      </c>
      <c r="BF163" s="23">
        <f>+'QTR Raw'!Z96</f>
        <v>0</v>
      </c>
      <c r="BG163" s="23">
        <f t="shared" si="1324"/>
        <v>0</v>
      </c>
      <c r="BH163" s="23">
        <f>+'QTR Raw'!AB96</f>
        <v>0</v>
      </c>
      <c r="BI163" s="23">
        <f t="shared" si="1324"/>
        <v>0</v>
      </c>
      <c r="BJ163" s="23">
        <f>+'QTR Raw'!AD96</f>
        <v>0</v>
      </c>
      <c r="BK163" s="23">
        <f t="shared" si="1324"/>
        <v>0</v>
      </c>
      <c r="BL163" s="23">
        <f>+'QTR Raw'!AF96</f>
        <v>0</v>
      </c>
      <c r="BM163" s="23">
        <f t="shared" si="1324"/>
        <v>0</v>
      </c>
      <c r="BN163" s="23">
        <f>+'QTR Raw'!AH96</f>
        <v>0</v>
      </c>
      <c r="BO163" s="23">
        <f t="shared" si="1324"/>
        <v>0</v>
      </c>
      <c r="BP163" s="23">
        <f>+'QTR Raw'!AJ96</f>
        <v>0</v>
      </c>
      <c r="BQ163" s="23">
        <f t="shared" si="1324"/>
        <v>0</v>
      </c>
      <c r="BR163" s="23">
        <f>+'QTR Raw'!AL96</f>
        <v>0</v>
      </c>
      <c r="BS163" s="23">
        <f t="shared" si="1324"/>
        <v>0</v>
      </c>
      <c r="BT163" s="23">
        <f>+'QTR Raw'!AN96</f>
        <v>7.6790000000000003</v>
      </c>
      <c r="BU163" s="23">
        <f t="shared" si="1324"/>
        <v>7.6790000000000003</v>
      </c>
      <c r="BV163" s="23">
        <f>+'QTR Raw'!AP96</f>
        <v>3.6440000000000001</v>
      </c>
      <c r="BW163" s="23">
        <f t="shared" si="1324"/>
        <v>3.6440000000000001</v>
      </c>
      <c r="BX163" s="23">
        <f>+'QTR Raw'!AR96</f>
        <v>3.6440000000000001</v>
      </c>
      <c r="BY163" s="23">
        <f t="shared" si="1324"/>
        <v>3.6440000000000001</v>
      </c>
      <c r="BZ163" s="23">
        <f>+'QTR Raw'!AT96</f>
        <v>1.075</v>
      </c>
      <c r="CA163" s="23">
        <f t="shared" si="1324"/>
        <v>1.075</v>
      </c>
      <c r="CB163" s="23">
        <f>+'QTR Raw'!AV96</f>
        <v>4.5229999999999997</v>
      </c>
      <c r="CC163" s="23">
        <f t="shared" si="1324"/>
        <v>4.5229999999999997</v>
      </c>
      <c r="CD163" s="23">
        <f>+'QTR Raw'!AX96</f>
        <v>-105.054</v>
      </c>
      <c r="CE163" s="23">
        <f t="shared" si="1324"/>
        <v>-105.054</v>
      </c>
      <c r="CF163" s="23">
        <f>+'QTR Raw'!AZ96</f>
        <v>11.957000000000001</v>
      </c>
      <c r="CG163" s="23">
        <f t="shared" ref="CG163:CI164" si="1325">+CF163</f>
        <v>11.957000000000001</v>
      </c>
      <c r="CH163" s="23">
        <f t="shared" ref="CH163:CH164" si="1326">Z163</f>
        <v>-279.04000000000002</v>
      </c>
      <c r="CI163" s="23">
        <f t="shared" si="1325"/>
        <v>-279.04000000000002</v>
      </c>
      <c r="CJ163" s="23">
        <f>+'QTR Raw'!BD96</f>
        <v>-251.88</v>
      </c>
      <c r="CK163" s="24">
        <f t="shared" ref="CK163:CK164" si="1327">+CJ163</f>
        <v>-251.88</v>
      </c>
      <c r="CL163" s="23">
        <f>+'QTR Raw'!BF96</f>
        <v>-337.7</v>
      </c>
      <c r="CM163" s="24">
        <f t="shared" ref="CM163:CM164" si="1328">+CL163</f>
        <v>-337.7</v>
      </c>
      <c r="CN163" s="24">
        <f t="shared" ref="CN163:CN164" si="1329">+CM163</f>
        <v>-337.7</v>
      </c>
      <c r="CO163" s="24">
        <f t="shared" ref="CO163:CO164" si="1330">+CN163</f>
        <v>-337.7</v>
      </c>
      <c r="CP163" s="24">
        <f t="shared" ref="CP163:CP164" si="1331">+CO163</f>
        <v>-337.7</v>
      </c>
      <c r="CQ163" s="24">
        <f t="shared" ref="CQ163:CQ164" si="1332">+CP163</f>
        <v>-337.7</v>
      </c>
      <c r="CR163" s="24">
        <f t="shared" ref="CR163:CR164" si="1333">+CQ163</f>
        <v>-337.7</v>
      </c>
      <c r="CS163" s="24">
        <f t="shared" ref="CS163:CS164" si="1334">+CR163</f>
        <v>-337.7</v>
      </c>
      <c r="CT163" s="24">
        <f t="shared" ref="CT163:CT164" si="1335">+CS163</f>
        <v>-337.7</v>
      </c>
      <c r="CU163" s="24">
        <f t="shared" ref="CU163:CU164" si="1336">+CT163</f>
        <v>-337.7</v>
      </c>
      <c r="CV163" s="24">
        <f t="shared" ref="CV163:CV164" si="1337">+CU163</f>
        <v>-337.7</v>
      </c>
      <c r="CW163" s="24">
        <f t="shared" ref="CW163:CW164" si="1338">+CV163</f>
        <v>-337.7</v>
      </c>
      <c r="CX163" s="24">
        <f t="shared" ref="CX163:CX164" si="1339">+CW163</f>
        <v>-337.7</v>
      </c>
      <c r="CY163" s="24">
        <f t="shared" ref="CY163:CY164" si="1340">+CX163</f>
        <v>-337.7</v>
      </c>
      <c r="CZ163" s="24">
        <f t="shared" ref="CZ163:CZ164" si="1341">+CY163</f>
        <v>-337.7</v>
      </c>
      <c r="DA163" s="24">
        <f t="shared" ref="DA163:DA164" si="1342">+CZ163</f>
        <v>-337.7</v>
      </c>
      <c r="DB163" s="24">
        <f t="shared" ref="DB163:DB164" si="1343">+DA163</f>
        <v>-337.7</v>
      </c>
      <c r="DE163" s="123"/>
      <c r="DF163" s="23">
        <v>-251.88</v>
      </c>
    </row>
    <row r="164" spans="1:110" s="23" customFormat="1" x14ac:dyDescent="0.2">
      <c r="A164" s="23" t="s">
        <v>79</v>
      </c>
      <c r="B164" s="23">
        <f>'Annual Raw'!C83</f>
        <v>0.52293840000000003</v>
      </c>
      <c r="C164" s="23">
        <f>'Annual Raw'!D83</f>
        <v>0.39404640000000002</v>
      </c>
      <c r="D164" s="23">
        <f>'Annual Raw'!E83</f>
        <v>0.26515440000000001</v>
      </c>
      <c r="E164" s="23">
        <f>'Annual Raw'!F83</f>
        <v>0.13626240000000001</v>
      </c>
      <c r="F164" s="23">
        <f>'Annual Raw'!G83</f>
        <v>7.3704E-3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122.94556121400002</v>
      </c>
      <c r="C165" s="26">
        <f t="shared" si="1345"/>
        <v>126.306511922</v>
      </c>
      <c r="D165" s="26">
        <f t="shared" si="1345"/>
        <v>124.746637845</v>
      </c>
      <c r="E165" s="26">
        <f t="shared" si="1345"/>
        <v>104.00383444099998</v>
      </c>
      <c r="F165" s="26">
        <f t="shared" si="1345"/>
        <v>184.830034224</v>
      </c>
      <c r="G165" s="26">
        <f t="shared" si="1345"/>
        <v>382.487690176</v>
      </c>
      <c r="H165" s="26">
        <f t="shared" si="1345"/>
        <v>380.10443832299995</v>
      </c>
      <c r="I165" s="26">
        <f t="shared" si="1345"/>
        <v>441.72462661100002</v>
      </c>
      <c r="J165" s="26">
        <f t="shared" si="1345"/>
        <v>217.93081773299997</v>
      </c>
      <c r="K165" s="26">
        <f t="shared" si="1345"/>
        <v>761.12049999999999</v>
      </c>
      <c r="L165" s="26">
        <f t="shared" si="1345"/>
        <v>755.72130000000004</v>
      </c>
      <c r="M165" s="26">
        <f t="shared" si="1345"/>
        <v>368.50260000000003</v>
      </c>
      <c r="N165" s="26">
        <f t="shared" si="1345"/>
        <v>369.91979999999995</v>
      </c>
      <c r="O165" s="26">
        <f t="shared" si="1345"/>
        <v>370.67384049999998</v>
      </c>
      <c r="P165" s="26">
        <f t="shared" si="1345"/>
        <v>450.0570927</v>
      </c>
      <c r="Q165" s="26">
        <f t="shared" si="1345"/>
        <v>447.33505050000002</v>
      </c>
      <c r="R165" s="26">
        <f t="shared" si="1345"/>
        <v>463.84013280000005</v>
      </c>
      <c r="S165" s="26">
        <f t="shared" si="1345"/>
        <v>396.2081</v>
      </c>
      <c r="T165" s="26">
        <f t="shared" si="1345"/>
        <v>335.52019999999999</v>
      </c>
      <c r="U165" s="26">
        <f t="shared" si="1345"/>
        <v>312.31</v>
      </c>
      <c r="V165" s="26">
        <f t="shared" si="1345"/>
        <v>329.45429999999999</v>
      </c>
      <c r="W165" s="26">
        <f t="shared" si="1345"/>
        <v>815.82790000000011</v>
      </c>
      <c r="X165" s="26">
        <f t="shared" ref="X165:Y165" si="1346">X163+X161+X157+X140+X138+X164</f>
        <v>1167.4498000000001</v>
      </c>
      <c r="Y165" s="26">
        <f t="shared" si="1346"/>
        <v>2043.0048999999999</v>
      </c>
      <c r="Z165" s="26">
        <f t="shared" ref="Z165:AA165" si="1347">Z163+Z161+Z157+Z140+Z138+Z164</f>
        <v>3700.5000000000005</v>
      </c>
      <c r="AA165" s="26">
        <f t="shared" si="1347"/>
        <v>6156.0999999999995</v>
      </c>
      <c r="AB165" s="27">
        <f t="shared" ref="AA165:AD165" si="1348">AB163+AB161+AB157+AB140+AB138+AB164</f>
        <v>6580.5715683983963</v>
      </c>
      <c r="AC165" s="27">
        <f t="shared" si="1348"/>
        <v>7150.9995694578874</v>
      </c>
      <c r="AD165" s="27">
        <f t="shared" si="1348"/>
        <v>7930.7882004320381</v>
      </c>
      <c r="AE165" s="27">
        <f t="shared" ref="AE165" si="1349">AE163+AE161+AE157+AE140+AE138+AE164</f>
        <v>9008.9941836532416</v>
      </c>
      <c r="AJ165" s="26">
        <f t="shared" ref="AJ165" si="1350">AJ163+AJ161+AJ157+AJ140+AJ138+AJ164</f>
        <v>370.27499999999992</v>
      </c>
      <c r="AK165" s="26" t="e">
        <f t="shared" ref="AK165:AL165" si="1351">AK163+AK161+AK157+AK140+AK138+AK164</f>
        <v>#DIV/0!</v>
      </c>
      <c r="AL165" s="26">
        <f t="shared" si="1351"/>
        <v>369.92099999999994</v>
      </c>
      <c r="AM165" s="26" t="e">
        <f t="shared" ref="AM165:AO165" si="1352">AM163+AM161+AM157+AM140+AM138+AM164</f>
        <v>#DIV/0!</v>
      </c>
      <c r="AN165" s="26">
        <f t="shared" si="1352"/>
        <v>358.5329999999999</v>
      </c>
      <c r="AO165" s="26" t="e">
        <f t="shared" si="1352"/>
        <v>#DIV/0!</v>
      </c>
      <c r="AP165" s="26">
        <f t="shared" ref="AP165:CE165" si="1353">AP163+AP161+AP157+AP140+AP138+AP164</f>
        <v>370.67399999999998</v>
      </c>
      <c r="AQ165" s="26" t="e">
        <f t="shared" si="1353"/>
        <v>#DIV/0!</v>
      </c>
      <c r="AR165" s="26">
        <f t="shared" si="1353"/>
        <v>442.85099999999994</v>
      </c>
      <c r="AS165" s="26" t="e">
        <f t="shared" si="1353"/>
        <v>#DIV/0!</v>
      </c>
      <c r="AT165" s="26">
        <f t="shared" si="1353"/>
        <v>439.34600000000006</v>
      </c>
      <c r="AU165" s="26">
        <f t="shared" si="1353"/>
        <v>439.55400000000009</v>
      </c>
      <c r="AV165" s="26">
        <f t="shared" si="1353"/>
        <v>445.47499999999997</v>
      </c>
      <c r="AW165" s="26">
        <f t="shared" si="1353"/>
        <v>444.93999999999994</v>
      </c>
      <c r="AX165" s="26">
        <f t="shared" si="1353"/>
        <v>447.33499999999998</v>
      </c>
      <c r="AY165" s="26">
        <f t="shared" si="1353"/>
        <v>447.05800000000005</v>
      </c>
      <c r="AZ165" s="26">
        <f t="shared" si="1353"/>
        <v>433.51900000000001</v>
      </c>
      <c r="BA165" s="26">
        <f t="shared" si="1353"/>
        <v>430.36199999999991</v>
      </c>
      <c r="BB165" s="26">
        <f t="shared" si="1353"/>
        <v>463.84000000000003</v>
      </c>
      <c r="BC165" s="26">
        <f t="shared" si="1353"/>
        <v>463.41499999999996</v>
      </c>
      <c r="BD165" s="26">
        <f t="shared" si="1353"/>
        <v>429.95699999999999</v>
      </c>
      <c r="BE165" s="26">
        <f t="shared" si="1353"/>
        <v>430.197</v>
      </c>
      <c r="BF165" s="26">
        <f t="shared" si="1353"/>
        <v>396.20700000000005</v>
      </c>
      <c r="BG165" s="26">
        <f t="shared" si="1353"/>
        <v>396.85100000000006</v>
      </c>
      <c r="BH165" s="26">
        <f t="shared" ref="BH165" si="1354">BH163+BH161+BH157+BH140+BH138+BH164</f>
        <v>387.75000000000006</v>
      </c>
      <c r="BI165" s="26" t="e">
        <f t="shared" si="1353"/>
        <v>#DIV/0!</v>
      </c>
      <c r="BJ165" s="26">
        <f t="shared" si="1353"/>
        <v>335.52099999999996</v>
      </c>
      <c r="BK165" s="26">
        <f t="shared" si="1353"/>
        <v>334.95700000000005</v>
      </c>
      <c r="BL165" s="26">
        <f t="shared" si="1353"/>
        <v>335.79599999999999</v>
      </c>
      <c r="BM165" s="26" t="e">
        <f t="shared" si="1353"/>
        <v>#DIV/0!</v>
      </c>
      <c r="BN165" s="26">
        <f t="shared" si="1353"/>
        <v>312.30899999999997</v>
      </c>
      <c r="BO165" s="26">
        <f t="shared" si="1353"/>
        <v>312.60199999999998</v>
      </c>
      <c r="BP165" s="26">
        <f t="shared" si="1353"/>
        <v>329.07400000000001</v>
      </c>
      <c r="BQ165" s="26" t="e">
        <f t="shared" si="1353"/>
        <v>#DIV/0!</v>
      </c>
      <c r="BR165" s="26">
        <f t="shared" si="1353"/>
        <v>329.45299999999997</v>
      </c>
      <c r="BS165" s="26">
        <f t="shared" si="1353"/>
        <v>328.60899999999998</v>
      </c>
      <c r="BT165" s="26">
        <f t="shared" si="1353"/>
        <v>692.94</v>
      </c>
      <c r="BU165" s="26">
        <f t="shared" si="1353"/>
        <v>694.27500000000009</v>
      </c>
      <c r="BV165" s="26">
        <f t="shared" si="1353"/>
        <v>813.44999999999993</v>
      </c>
      <c r="BW165" s="26">
        <f t="shared" si="1353"/>
        <v>813.13199999999995</v>
      </c>
      <c r="BX165" s="26">
        <f t="shared" si="1353"/>
        <v>902.33199999999988</v>
      </c>
      <c r="BY165" s="26">
        <f t="shared" si="1353"/>
        <v>909.6099999999999</v>
      </c>
      <c r="BZ165" s="26">
        <f t="shared" si="1353"/>
        <v>1167.4499999999998</v>
      </c>
      <c r="CA165" s="26">
        <f t="shared" si="1353"/>
        <v>1175.4389999999999</v>
      </c>
      <c r="CB165" s="26">
        <f t="shared" si="1353"/>
        <v>1607.2180000000001</v>
      </c>
      <c r="CC165" s="26">
        <f t="shared" si="1353"/>
        <v>1667.0170000000001</v>
      </c>
      <c r="CD165" s="26">
        <f t="shared" si="1353"/>
        <v>2043.0049999999999</v>
      </c>
      <c r="CE165" s="26">
        <f t="shared" si="1353"/>
        <v>2049.1549999999997</v>
      </c>
      <c r="CF165" s="26">
        <f t="shared" ref="CF165:CG165" si="1355">CF163+CF161+CF157+CF140+CF138+CF164</f>
        <v>3057.2219999999993</v>
      </c>
      <c r="CG165" s="26">
        <f t="shared" si="1355"/>
        <v>3076.6619999999998</v>
      </c>
      <c r="CH165" s="26">
        <f t="shared" ref="CH165:CI165" si="1356">CH163+CH161+CH157+CH140+CH138+CH164</f>
        <v>3700.5000000000005</v>
      </c>
      <c r="CI165" s="26">
        <f t="shared" si="1356"/>
        <v>3930.23</v>
      </c>
      <c r="CJ165" s="26">
        <f t="shared" ref="CJ165:DB165" si="1357">CJ163+CJ161+CJ157+CJ140+CJ138+CJ164</f>
        <v>4805.87</v>
      </c>
      <c r="CK165" s="27">
        <f t="shared" si="1357"/>
        <v>4798.01</v>
      </c>
      <c r="CL165" s="26">
        <f t="shared" ref="CL165" si="1358">CL163+CL161+CL157+CL140+CL138+CL164</f>
        <v>6156.0999999999995</v>
      </c>
      <c r="CM165" s="27">
        <f t="shared" si="1357"/>
        <v>6177.4846752789554</v>
      </c>
      <c r="CN165" s="27">
        <f t="shared" si="1357"/>
        <v>6303.1805484461456</v>
      </c>
      <c r="CO165" s="27">
        <f t="shared" si="1357"/>
        <v>6405.3727545779057</v>
      </c>
      <c r="CP165" s="27">
        <f t="shared" si="1357"/>
        <v>6580.5715683983963</v>
      </c>
      <c r="CQ165" s="27">
        <f t="shared" si="1357"/>
        <v>6612.1268409777722</v>
      </c>
      <c r="CR165" s="27">
        <f t="shared" si="1357"/>
        <v>6775.9390638400873</v>
      </c>
      <c r="CS165" s="27">
        <f t="shared" si="1357"/>
        <v>6918.389943094845</v>
      </c>
      <c r="CT165" s="27">
        <f t="shared" si="1357"/>
        <v>7150.9995694578874</v>
      </c>
      <c r="CU165" s="27">
        <f t="shared" si="1357"/>
        <v>7207.0558861504032</v>
      </c>
      <c r="CV165" s="27">
        <f t="shared" si="1357"/>
        <v>7426.4396303265794</v>
      </c>
      <c r="CW165" s="27">
        <f t="shared" si="1357"/>
        <v>7623.0557687868341</v>
      </c>
      <c r="CX165" s="27">
        <f t="shared" si="1357"/>
        <v>7930.7882004320381</v>
      </c>
      <c r="CY165" s="27">
        <f t="shared" si="1357"/>
        <v>8026.9468114435822</v>
      </c>
      <c r="CZ165" s="27">
        <f t="shared" si="1357"/>
        <v>8324.2552201548024</v>
      </c>
      <c r="DA165" s="27">
        <f t="shared" si="1357"/>
        <v>8597.5184501162421</v>
      </c>
      <c r="DB165" s="27">
        <f t="shared" si="1357"/>
        <v>9008.9941836532416</v>
      </c>
      <c r="DE165" s="121"/>
      <c r="DF165" s="26">
        <v>4701.2637798303131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 t="e">
        <f t="shared" ref="AK166" si="1365">AK165-AK129</f>
        <v>#DIV/0!</v>
      </c>
      <c r="AL166" s="23">
        <f t="shared" ref="AL166:AM166" si="1366">AL165-AL129</f>
        <v>9.9999999997635314E-4</v>
      </c>
      <c r="AM166" s="23" t="e">
        <f t="shared" si="1366"/>
        <v>#DIV/0!</v>
      </c>
      <c r="AN166" s="23">
        <f t="shared" ref="AN166:AO166" si="1367">AN165-AN129</f>
        <v>-1.00000000009004E-3</v>
      </c>
      <c r="AO166" s="23" t="e">
        <f t="shared" si="1367"/>
        <v>#DIV/0!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-9.9999999991950972E-4</v>
      </c>
      <c r="AU166" s="23">
        <f t="shared" si="1368"/>
        <v>-9.9999999997635314E-4</v>
      </c>
      <c r="AV166" s="23">
        <f t="shared" si="1368"/>
        <v>0</v>
      </c>
      <c r="AW166" s="23">
        <f t="shared" si="1368"/>
        <v>0</v>
      </c>
      <c r="AX166" s="23">
        <f t="shared" si="1368"/>
        <v>-1.2999999999578904E-3</v>
      </c>
      <c r="AY166" s="23">
        <f t="shared" si="1368"/>
        <v>-1.2999999999578904E-3</v>
      </c>
      <c r="AZ166" s="23">
        <f t="shared" si="1368"/>
        <v>0</v>
      </c>
      <c r="BA166" s="23">
        <f t="shared" si="1368"/>
        <v>0</v>
      </c>
      <c r="BB166" s="23">
        <f t="shared" si="1368"/>
        <v>-9.9999999997635314E-4</v>
      </c>
      <c r="BC166" s="23">
        <f t="shared" si="1368"/>
        <v>-9.9999999997635314E-4</v>
      </c>
      <c r="BD166" s="23">
        <f t="shared" si="1368"/>
        <v>0</v>
      </c>
      <c r="BE166" s="23">
        <f t="shared" si="1368"/>
        <v>0</v>
      </c>
      <c r="BF166" s="23">
        <f t="shared" si="1368"/>
        <v>-9.9999999991950972E-4</v>
      </c>
      <c r="BG166" s="23">
        <f t="shared" si="1368"/>
        <v>-9.9999999991950972E-4</v>
      </c>
      <c r="BH166" s="23">
        <f t="shared" ref="BH166" si="1369">BH165-BH129</f>
        <v>-1.9999999998958629E-3</v>
      </c>
      <c r="BI166" s="23" t="e">
        <f t="shared" si="1368"/>
        <v>#DIV/0!</v>
      </c>
      <c r="BJ166" s="23">
        <f t="shared" si="1368"/>
        <v>0</v>
      </c>
      <c r="BK166" s="23">
        <f t="shared" si="1368"/>
        <v>0</v>
      </c>
      <c r="BL166" s="23">
        <f t="shared" si="1368"/>
        <v>0</v>
      </c>
      <c r="BM166" s="23" t="e">
        <f t="shared" si="1368"/>
        <v>#DIV/0!</v>
      </c>
      <c r="BN166" s="23">
        <f t="shared" si="1368"/>
        <v>-1.0000000000331966E-3</v>
      </c>
      <c r="BO166" s="23">
        <f t="shared" si="1368"/>
        <v>-1.0000000000331966E-3</v>
      </c>
      <c r="BP166" s="23">
        <f t="shared" si="1368"/>
        <v>1.0000000000331966E-3</v>
      </c>
      <c r="BQ166" s="23" t="e">
        <f t="shared" si="1368"/>
        <v>#DIV/0!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-1.00000000009004E-3</v>
      </c>
      <c r="BW166" s="23">
        <f t="shared" si="1368"/>
        <v>-1.00000000009004E-3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-9.9999999997635314E-4</v>
      </c>
      <c r="CC166" s="23">
        <f t="shared" si="1368"/>
        <v>-9.9999999997635314E-4</v>
      </c>
      <c r="CD166" s="23">
        <f t="shared" si="1368"/>
        <v>-1.0000000002037268E-3</v>
      </c>
      <c r="CE166" s="23">
        <f t="shared" si="1368"/>
        <v>-1.0000000002037268E-3</v>
      </c>
      <c r="CF166" s="23">
        <f t="shared" ref="CF166:CG166" si="1370">CF165-CF129</f>
        <v>9.9999999883948476E-4</v>
      </c>
      <c r="CG166" s="23">
        <f t="shared" si="1370"/>
        <v>9.9999999974897946E-4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44.177075424000002</v>
      </c>
      <c r="C168" s="22">
        <f t="shared" si="1374"/>
        <v>48.351250501999999</v>
      </c>
      <c r="D168" s="22">
        <f t="shared" si="1374"/>
        <v>47.097471476999999</v>
      </c>
      <c r="E168" s="22">
        <f t="shared" si="1374"/>
        <v>46.734656801999996</v>
      </c>
      <c r="F168" s="22">
        <f t="shared" si="1374"/>
        <v>133.34095083299999</v>
      </c>
      <c r="G168" s="22">
        <f t="shared" si="1374"/>
        <v>168.39714391300001</v>
      </c>
      <c r="H168" s="22">
        <f t="shared" si="1374"/>
        <v>167.41743885700004</v>
      </c>
      <c r="I168" s="22">
        <f t="shared" si="1374"/>
        <v>223.69373926099999</v>
      </c>
      <c r="J168" s="22">
        <f t="shared" si="1374"/>
        <v>-1.468061971</v>
      </c>
      <c r="K168" s="22">
        <f t="shared" si="1374"/>
        <v>-5.7047999999999996</v>
      </c>
      <c r="L168" s="22">
        <f t="shared" si="1374"/>
        <v>-496.78610000000003</v>
      </c>
      <c r="M168" s="22">
        <f t="shared" si="1374"/>
        <v>-3.3681999999999999</v>
      </c>
      <c r="N168" s="22">
        <f t="shared" si="1374"/>
        <v>-1.4005000000000001</v>
      </c>
      <c r="O168" s="22">
        <f t="shared" si="1374"/>
        <v>-9.1094700000000001E-2</v>
      </c>
      <c r="P168" s="22">
        <f t="shared" si="1374"/>
        <v>-9.2897584999999996</v>
      </c>
      <c r="Q168" s="22">
        <f t="shared" si="1374"/>
        <v>-5.3891000000000001E-2</v>
      </c>
      <c r="R168" s="22">
        <f t="shared" si="1374"/>
        <v>-7.56246E-2</v>
      </c>
      <c r="S168" s="22">
        <f t="shared" si="1374"/>
        <v>-1.32E-2</v>
      </c>
      <c r="T168" s="22">
        <f t="shared" si="1374"/>
        <v>-1.54E-2</v>
      </c>
      <c r="U168" s="22">
        <f t="shared" si="1374"/>
        <v>-3.9199999999999999E-2</v>
      </c>
      <c r="V168" s="22">
        <f t="shared" si="1374"/>
        <v>-4.9511000000000003</v>
      </c>
      <c r="W168" s="22">
        <f t="shared" si="1374"/>
        <v>-3.7460000000000022</v>
      </c>
      <c r="X168" s="22">
        <f t="shared" ref="X168:Y168" si="1375">X128-X161</f>
        <v>21.451099999999997</v>
      </c>
      <c r="Y168" s="22">
        <f t="shared" si="1375"/>
        <v>-86.100400000000008</v>
      </c>
      <c r="Z168" s="22">
        <f t="shared" ref="Z168:AA168" si="1376">Z128-Z161</f>
        <v>379.62</v>
      </c>
      <c r="AA168" s="22">
        <f t="shared" si="1376"/>
        <v>-243.62</v>
      </c>
      <c r="AB168" s="21">
        <f t="shared" ref="AA168:AD168" si="1377">AB128-AB161</f>
        <v>-295.44025779279343</v>
      </c>
      <c r="AC168" s="21">
        <f t="shared" si="1377"/>
        <v>-454.60636806168679</v>
      </c>
      <c r="AD168" s="21">
        <f t="shared" si="1377"/>
        <v>-734.45477420820396</v>
      </c>
      <c r="AE168" s="21">
        <f t="shared" ref="AE168" si="1378">AE128-AE161</f>
        <v>-1199.606935509149</v>
      </c>
      <c r="AJ168" s="22">
        <f t="shared" ref="AJ168:AM168" si="1379">AJ128-AJ161</f>
        <v>-0.29499999999999998</v>
      </c>
      <c r="AK168" s="22" t="e">
        <f t="shared" si="1379"/>
        <v>#DIV/0!</v>
      </c>
      <c r="AL168" s="22">
        <f t="shared" si="1379"/>
        <v>-1.401</v>
      </c>
      <c r="AM168" s="22" t="e">
        <f t="shared" si="1379"/>
        <v>#DIV/0!</v>
      </c>
      <c r="AN168" s="22">
        <f t="shared" ref="AN168:AO168" si="1380">AN128-AN161</f>
        <v>-7.0000000000000007E-2</v>
      </c>
      <c r="AO168" s="22" t="e">
        <f t="shared" si="1380"/>
        <v>#DIV/0!</v>
      </c>
      <c r="AP168" s="22">
        <f t="shared" ref="AP168:CE168" si="1381">AP128-AP161</f>
        <v>-9.0999999999999998E-2</v>
      </c>
      <c r="AQ168" s="22" t="e">
        <f t="shared" si="1381"/>
        <v>#DIV/0!</v>
      </c>
      <c r="AR168" s="22">
        <f t="shared" si="1381"/>
        <v>3.8609999999999998</v>
      </c>
      <c r="AS168" s="22" t="e">
        <f t="shared" si="1381"/>
        <v>#DIV/0!</v>
      </c>
      <c r="AT168" s="22">
        <f t="shared" si="1381"/>
        <v>-9.2889999999999997</v>
      </c>
      <c r="AU168" s="22">
        <f t="shared" si="1381"/>
        <v>7.8839999999999382</v>
      </c>
      <c r="AV168" s="22">
        <f t="shared" si="1381"/>
        <v>0.12999999999999989</v>
      </c>
      <c r="AW168" s="22">
        <f t="shared" si="1381"/>
        <v>-1.3448303762191891</v>
      </c>
      <c r="AX168" s="22">
        <f t="shared" si="1381"/>
        <v>-5.3999999999999999E-2</v>
      </c>
      <c r="AY168" s="22">
        <f t="shared" si="1381"/>
        <v>-6.2600000000000611</v>
      </c>
      <c r="AZ168" s="22">
        <f t="shared" si="1381"/>
        <v>-6.0000000000000001E-3</v>
      </c>
      <c r="BA168" s="22">
        <f t="shared" si="1381"/>
        <v>-1.3664994216309352</v>
      </c>
      <c r="BB168" s="22">
        <f t="shared" si="1381"/>
        <v>-7.5999999999999998E-2</v>
      </c>
      <c r="BC168" s="22">
        <f t="shared" si="1381"/>
        <v>-8.593999999999955</v>
      </c>
      <c r="BD168" s="22">
        <f t="shared" si="1381"/>
        <v>-1.0999999999999999E-2</v>
      </c>
      <c r="BE168" s="22">
        <f t="shared" si="1381"/>
        <v>-6.671767907934762</v>
      </c>
      <c r="BF168" s="22">
        <f t="shared" si="1381"/>
        <v>-1.2999999999999999E-2</v>
      </c>
      <c r="BG168" s="22">
        <f t="shared" si="1381"/>
        <v>-9.6000000000000121</v>
      </c>
      <c r="BH168" s="22">
        <f t="shared" si="1381"/>
        <v>-8.0000000000000002E-3</v>
      </c>
      <c r="BI168" s="22" t="e">
        <f t="shared" si="1381"/>
        <v>#DIV/0!</v>
      </c>
      <c r="BJ168" s="22">
        <f t="shared" si="1381"/>
        <v>-1.4999999999999999E-2</v>
      </c>
      <c r="BK168" s="22">
        <f t="shared" si="1381"/>
        <v>0.5489999999999432</v>
      </c>
      <c r="BL168" s="22">
        <f t="shared" si="1381"/>
        <v>-1.9E-2</v>
      </c>
      <c r="BM168" s="22" t="e">
        <f t="shared" si="1381"/>
        <v>#DIV/0!</v>
      </c>
      <c r="BN168" s="22">
        <f t="shared" si="1381"/>
        <v>-3.9E-2</v>
      </c>
      <c r="BO168" s="22">
        <f t="shared" si="1381"/>
        <v>-0.33400000000000829</v>
      </c>
      <c r="BP168" s="22">
        <f t="shared" si="1381"/>
        <v>-0.02</v>
      </c>
      <c r="BQ168" s="22" t="e">
        <f t="shared" si="1381"/>
        <v>#DIV/0!</v>
      </c>
      <c r="BR168" s="22">
        <f t="shared" si="1381"/>
        <v>-4.9510000000000005</v>
      </c>
      <c r="BS168" s="22">
        <f t="shared" si="1381"/>
        <v>-4.1069999999999993</v>
      </c>
      <c r="BT168" s="22">
        <f t="shared" si="1381"/>
        <v>-14.24</v>
      </c>
      <c r="BU168" s="22">
        <f t="shared" si="1381"/>
        <v>16.247272912423657</v>
      </c>
      <c r="BV168" s="22">
        <f t="shared" si="1381"/>
        <v>-6.1230000000000011</v>
      </c>
      <c r="BW168" s="22">
        <f t="shared" si="1381"/>
        <v>76.630125912881383</v>
      </c>
      <c r="BX168" s="22">
        <f t="shared" si="1381"/>
        <v>-230.77</v>
      </c>
      <c r="BY168" s="22">
        <f t="shared" si="1381"/>
        <v>-153.40301521298167</v>
      </c>
      <c r="BZ168" s="22">
        <f t="shared" si="1381"/>
        <v>21.450999999999993</v>
      </c>
      <c r="CA168" s="22">
        <f t="shared" si="1381"/>
        <v>-37.591235850111147</v>
      </c>
      <c r="CB168" s="22">
        <f t="shared" si="1381"/>
        <v>-46.429000000000002</v>
      </c>
      <c r="CC168" s="22">
        <f t="shared" si="1381"/>
        <v>130.05152968122138</v>
      </c>
      <c r="CD168" s="22">
        <f t="shared" si="1381"/>
        <v>-86.09899999999999</v>
      </c>
      <c r="CE168" s="22">
        <f t="shared" si="1381"/>
        <v>-103.05859540548155</v>
      </c>
      <c r="CF168" s="22">
        <f t="shared" ref="CF168:CG168" si="1382">CF128-CF161</f>
        <v>228.78699999999998</v>
      </c>
      <c r="CG168" s="22">
        <f t="shared" si="1382"/>
        <v>162.57971391511887</v>
      </c>
      <c r="CH168" s="22">
        <f t="shared" ref="CH168:CI168" si="1383">CH128-CH161</f>
        <v>379.62</v>
      </c>
      <c r="CI168" s="22">
        <f t="shared" si="1383"/>
        <v>-178.50367489577377</v>
      </c>
      <c r="CJ168" s="22">
        <f t="shared" ref="CJ168:DB168" si="1384">CJ128-CJ161</f>
        <v>68.909999999999968</v>
      </c>
      <c r="CK168" s="21">
        <f t="shared" si="1384"/>
        <v>-341.45172737781922</v>
      </c>
      <c r="CL168" s="22">
        <f t="shared" ref="CL168" si="1385">CL128-CL161</f>
        <v>-243.62</v>
      </c>
      <c r="CM168" s="21">
        <f t="shared" si="1384"/>
        <v>-1045.8273249342478</v>
      </c>
      <c r="CN168" s="21">
        <f t="shared" si="1384"/>
        <v>-955.92425264971928</v>
      </c>
      <c r="CO168" s="21">
        <f t="shared" si="1384"/>
        <v>-1331.7014581164208</v>
      </c>
      <c r="CP168" s="21">
        <f t="shared" si="1384"/>
        <v>-295.44025779279343</v>
      </c>
      <c r="CQ168" s="21">
        <f t="shared" si="1384"/>
        <v>-1346.0598786778201</v>
      </c>
      <c r="CR168" s="21">
        <f t="shared" si="1384"/>
        <v>-1236.2073947651679</v>
      </c>
      <c r="CS168" s="21">
        <f t="shared" si="1384"/>
        <v>-1699.2199921550682</v>
      </c>
      <c r="CT168" s="21">
        <f t="shared" si="1384"/>
        <v>-454.60636806168679</v>
      </c>
      <c r="CU168" s="21">
        <f t="shared" si="1384"/>
        <v>-1755.0646305137561</v>
      </c>
      <c r="CV168" s="21">
        <f t="shared" si="1384"/>
        <v>-1637.0236106243547</v>
      </c>
      <c r="CW168" s="21">
        <f t="shared" si="1384"/>
        <v>-2217.9413311549251</v>
      </c>
      <c r="CX168" s="21">
        <f t="shared" si="1384"/>
        <v>-734.45477420820396</v>
      </c>
      <c r="CY168" s="21">
        <f t="shared" si="1384"/>
        <v>-2336.8122008024466</v>
      </c>
      <c r="CZ168" s="21">
        <f t="shared" si="1384"/>
        <v>-2222.3812836161469</v>
      </c>
      <c r="DA168" s="21">
        <f t="shared" si="1384"/>
        <v>-2958.7350018765774</v>
      </c>
      <c r="DB168" s="21">
        <f t="shared" si="1384"/>
        <v>-1199.606935509149</v>
      </c>
      <c r="DE168" s="126"/>
      <c r="DF168" s="22">
        <v>747.90642380858117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7.7130000000000001</v>
      </c>
      <c r="C170" s="49">
        <f>'Annual Raw'!D85</f>
        <v>7.7130000000000001</v>
      </c>
      <c r="D170" s="49">
        <f>'Annual Raw'!E85</f>
        <v>7.7130000000000001</v>
      </c>
      <c r="E170" s="49">
        <f>'Annual Raw'!F85</f>
        <v>7.7130000000000001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20.156600000000001</v>
      </c>
      <c r="P170" s="49">
        <f>'Annual Raw'!Q85</f>
        <v>443.3689</v>
      </c>
      <c r="Q170" s="49">
        <f>'Annual Raw'!R85</f>
        <v>694.73580000000004</v>
      </c>
      <c r="R170" s="49">
        <f>'Annual Raw'!S85</f>
        <v>627.33893680000006</v>
      </c>
      <c r="S170" s="49">
        <f>'Annual Raw'!T85</f>
        <v>583.90620000000001</v>
      </c>
      <c r="T170" s="49">
        <f>'Annual Raw'!U85</f>
        <v>123.8809</v>
      </c>
      <c r="U170" s="49">
        <f>'Annual Raw'!V85</f>
        <v>123.8809</v>
      </c>
      <c r="V170" s="49">
        <f>'Annual Raw'!W85</f>
        <v>51.998699999999999</v>
      </c>
      <c r="W170" s="49">
        <f>'Annual Raw'!X85</f>
        <v>140.49529999999999</v>
      </c>
      <c r="X170" s="49">
        <f>'Annual Raw'!Y85</f>
        <v>118.6795</v>
      </c>
      <c r="Y170" s="49">
        <f>'Annual Raw'!Z85</f>
        <v>130.62540000000001</v>
      </c>
      <c r="Z170" s="49">
        <f>'Annual Raw'!AA85</f>
        <v>113.91</v>
      </c>
      <c r="AA170" s="49">
        <f>'Annual Raw'!AB85</f>
        <v>163.55000000000001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70.363100000000003</v>
      </c>
      <c r="Q171" s="29">
        <f>'Annual Raw'!R95</f>
        <v>318.86680000000001</v>
      </c>
      <c r="R171" s="29">
        <f>'Annual Raw'!S95</f>
        <v>278.3115426</v>
      </c>
      <c r="S171" s="29">
        <f>'Annual Raw'!T95</f>
        <v>221.2218</v>
      </c>
      <c r="T171" s="29">
        <f>'Annual Raw'!U95</f>
        <v>121.9289</v>
      </c>
      <c r="U171" s="29">
        <f>'Annual Raw'!V95</f>
        <v>121.9289</v>
      </c>
      <c r="V171" s="29">
        <f>'Annual Raw'!W95</f>
        <v>50.046700000000001</v>
      </c>
      <c r="W171" s="29">
        <f>'Annual Raw'!X95</f>
        <v>62.746699999999997</v>
      </c>
      <c r="X171" s="29">
        <f>'Annual Raw'!Y95</f>
        <v>45.55</v>
      </c>
      <c r="Y171" s="29">
        <f>'Annual Raw'!Z95</f>
        <v>32.423400000000001</v>
      </c>
      <c r="Z171" s="29">
        <f>'Annual Raw'!AA95</f>
        <v>47.95</v>
      </c>
      <c r="AA171" s="29">
        <f>'Annual Raw'!AB95</f>
        <v>127.64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20.156600000000001</v>
      </c>
      <c r="P172" s="29">
        <f>'Annual Raw'!Q93</f>
        <v>373.00580000000002</v>
      </c>
      <c r="Q172" s="29">
        <f>'Annual Raw'!R93</f>
        <v>375.86900000000003</v>
      </c>
      <c r="R172" s="29">
        <f>'Annual Raw'!S93</f>
        <v>349.0273942</v>
      </c>
      <c r="S172" s="29">
        <f>'Annual Raw'!T93</f>
        <v>362.68439999999998</v>
      </c>
      <c r="T172" s="29">
        <f>'Annual Raw'!U93</f>
        <v>1.952</v>
      </c>
      <c r="U172" s="29">
        <f>'Annual Raw'!V93</f>
        <v>1.952</v>
      </c>
      <c r="V172" s="29">
        <f>'Annual Raw'!W93</f>
        <v>1.952</v>
      </c>
      <c r="W172" s="29">
        <f>'Annual Raw'!X93</f>
        <v>77.748599999999996</v>
      </c>
      <c r="X172" s="29">
        <f>'Annual Raw'!Y93</f>
        <v>73.129499999999993</v>
      </c>
      <c r="Y172" s="29">
        <f>'Annual Raw'!Z93</f>
        <v>98.201999999999998</v>
      </c>
      <c r="Z172" s="29">
        <f>'Annual Raw'!AA93</f>
        <v>65.959999999999994</v>
      </c>
      <c r="AA172" s="29">
        <f>'Annual Raw'!AB93</f>
        <v>35.909999999999997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7.7130000000000001</v>
      </c>
      <c r="C173" s="29">
        <f t="shared" si="1386"/>
        <v>7.7130000000000001</v>
      </c>
      <c r="D173" s="29">
        <f t="shared" si="1386"/>
        <v>7.7130000000000001</v>
      </c>
      <c r="E173" s="29">
        <f t="shared" si="1386"/>
        <v>7.7130000000000001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-1.7763568394002505E-15</v>
      </c>
      <c r="U173" s="29">
        <f t="shared" si="1386"/>
        <v>-1.7763568394002505E-15</v>
      </c>
      <c r="V173" s="29">
        <f t="shared" si="1386"/>
        <v>-1.7763568394002505E-15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92">B170/B120</f>
        <v>9.7921196023062373E-2</v>
      </c>
      <c r="C175" s="95">
        <f t="shared" si="1392"/>
        <v>9.8947572714844223E-2</v>
      </c>
      <c r="D175" s="95">
        <f t="shared" si="1392"/>
        <v>9.9340389224103029E-2</v>
      </c>
      <c r="E175" s="95">
        <f t="shared" si="1392"/>
        <v>0.13555519304589378</v>
      </c>
      <c r="F175" s="95">
        <f t="shared" si="1392"/>
        <v>0</v>
      </c>
      <c r="G175" s="95">
        <f t="shared" si="1392"/>
        <v>0</v>
      </c>
      <c r="H175" s="95">
        <f t="shared" si="1392"/>
        <v>0</v>
      </c>
      <c r="I175" s="95">
        <f t="shared" si="1392"/>
        <v>0</v>
      </c>
      <c r="J175" s="95">
        <f t="shared" si="1392"/>
        <v>0</v>
      </c>
      <c r="K175" s="95">
        <f t="shared" si="1392"/>
        <v>0</v>
      </c>
      <c r="L175" s="95">
        <f t="shared" si="1392"/>
        <v>0</v>
      </c>
      <c r="M175" s="95">
        <f t="shared" si="1392"/>
        <v>0</v>
      </c>
      <c r="N175" s="95">
        <f t="shared" si="1392"/>
        <v>0</v>
      </c>
      <c r="O175" s="95">
        <f t="shared" si="1392"/>
        <v>5.4378264117076268E-2</v>
      </c>
      <c r="P175" s="95">
        <f t="shared" si="1392"/>
        <v>0.98513923498044231</v>
      </c>
      <c r="Q175" s="95">
        <f t="shared" si="1392"/>
        <v>1.5530546940676184</v>
      </c>
      <c r="R175" s="95">
        <f t="shared" si="1392"/>
        <v>1.352489559307922</v>
      </c>
      <c r="S175" s="95">
        <f t="shared" si="1392"/>
        <v>1.4737361502705268</v>
      </c>
      <c r="T175" s="95">
        <f t="shared" si="1392"/>
        <v>0.36922039269170676</v>
      </c>
      <c r="U175" s="95">
        <f t="shared" si="1392"/>
        <v>0.39666004930998044</v>
      </c>
      <c r="V175" s="95">
        <f t="shared" si="1392"/>
        <v>0.15885473867894928</v>
      </c>
      <c r="W175" s="95">
        <f t="shared" si="1392"/>
        <v>0.19012983392516888</v>
      </c>
      <c r="X175" s="95">
        <f t="shared" ref="X175:Y175" si="1393">X170/X120</f>
        <v>0.11656522823377301</v>
      </c>
      <c r="Y175" s="95">
        <f t="shared" si="1393"/>
        <v>8.4278513293511631E-2</v>
      </c>
      <c r="Z175" s="95">
        <f t="shared" ref="Z175:AA175" si="1394">Z170/Z120</f>
        <v>4.3786445460101707E-2</v>
      </c>
      <c r="AA175" s="95">
        <f t="shared" si="1394"/>
        <v>3.9480131994718282E-2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 t="e">
        <f t="shared" si="1397"/>
        <v>#DIV/0!</v>
      </c>
      <c r="G179" s="67">
        <f t="shared" si="1397"/>
        <v>0</v>
      </c>
      <c r="H179" s="67">
        <f t="shared" si="1397"/>
        <v>0</v>
      </c>
      <c r="I179" s="67">
        <f t="shared" si="1397"/>
        <v>0</v>
      </c>
      <c r="J179" s="67">
        <f t="shared" si="1397"/>
        <v>0</v>
      </c>
      <c r="K179" s="67">
        <f t="shared" si="1397"/>
        <v>0</v>
      </c>
      <c r="L179" s="67">
        <f t="shared" si="1397"/>
        <v>0</v>
      </c>
      <c r="M179" s="67">
        <f t="shared" si="1397"/>
        <v>0</v>
      </c>
      <c r="N179" s="67">
        <f t="shared" si="1397"/>
        <v>0</v>
      </c>
      <c r="O179" s="67" t="e">
        <f t="shared" si="1397"/>
        <v>#DIV/0!</v>
      </c>
      <c r="P179" s="67">
        <f t="shared" si="1397"/>
        <v>0</v>
      </c>
      <c r="Q179" s="67">
        <f t="shared" si="1397"/>
        <v>0</v>
      </c>
      <c r="R179" s="67">
        <f t="shared" si="1397"/>
        <v>0</v>
      </c>
      <c r="S179" s="67">
        <f t="shared" si="1397"/>
        <v>0</v>
      </c>
      <c r="T179" s="67">
        <f t="shared" si="1397"/>
        <v>0</v>
      </c>
      <c r="U179" s="67">
        <f t="shared" si="1397"/>
        <v>0</v>
      </c>
      <c r="V179" s="67">
        <f t="shared" si="1397"/>
        <v>0</v>
      </c>
      <c r="W179" s="67">
        <f t="shared" si="1397"/>
        <v>372.83047253824913</v>
      </c>
      <c r="X179" s="67">
        <f t="shared" si="1397"/>
        <v>117.14016208299259</v>
      </c>
      <c r="Y179" s="67">
        <f t="shared" si="1397"/>
        <v>83.469851030437667</v>
      </c>
      <c r="Z179" s="67">
        <f t="shared" si="1397"/>
        <v>39.543771711158449</v>
      </c>
      <c r="AA179" s="67">
        <f t="shared" ref="AA179" si="1398">AA144/AA8*365</f>
        <v>116.73499251262606</v>
      </c>
      <c r="AB179" s="18">
        <f t="shared" si="1397"/>
        <v>121.01209225873652</v>
      </c>
      <c r="AC179" s="18">
        <f t="shared" si="1397"/>
        <v>121.656910172762</v>
      </c>
      <c r="AD179" s="18">
        <f t="shared" si="1397"/>
        <v>121.73732090176397</v>
      </c>
      <c r="AE179" s="18">
        <f t="shared" si="1397"/>
        <v>121.74432212760192</v>
      </c>
      <c r="AI179" s="67">
        <f>AJ144/AI8*90</f>
        <v>0</v>
      </c>
      <c r="AJ179" s="67" t="e">
        <f>AJ144/AJ8*90</f>
        <v>#DIV/0!</v>
      </c>
      <c r="AK179" s="67" t="e">
        <f t="shared" ref="AK179:CE179" si="1399">+AJ179</f>
        <v>#DIV/0!</v>
      </c>
      <c r="AL179" s="67" t="e">
        <f>AL144/AL8*90</f>
        <v>#DIV/0!</v>
      </c>
      <c r="AM179" s="67" t="e">
        <f t="shared" ref="AM179:AM180" si="1400">+AL179</f>
        <v>#DIV/0!</v>
      </c>
      <c r="AN179" s="67" t="e">
        <f>AN144/AN8*90</f>
        <v>#DIV/0!</v>
      </c>
      <c r="AO179" s="67" t="e">
        <f t="shared" ref="AO179:AO180" si="1401">+AN179</f>
        <v>#DIV/0!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>
        <f>AT144/AT8*90</f>
        <v>0</v>
      </c>
      <c r="AU179" s="67">
        <f t="shared" ref="AU179:AU180" si="1404">+AT179</f>
        <v>0</v>
      </c>
      <c r="AV179" s="67">
        <f>AV144/AV8*90</f>
        <v>0</v>
      </c>
      <c r="AW179" s="67">
        <f t="shared" ref="AW179:AW180" si="1405">+AV179</f>
        <v>0</v>
      </c>
      <c r="AX179" s="67">
        <f>AX144/AX8*90</f>
        <v>0</v>
      </c>
      <c r="AY179" s="67">
        <f t="shared" ref="AY179:AY180" si="1406">+AX179</f>
        <v>0</v>
      </c>
      <c r="AZ179" s="67">
        <f>AZ144/AZ8*90</f>
        <v>0</v>
      </c>
      <c r="BA179" s="67">
        <f t="shared" ref="BA179:BA180" si="1407">+AZ179</f>
        <v>0</v>
      </c>
      <c r="BB179" s="67">
        <f>BB144/BB8*90</f>
        <v>0</v>
      </c>
      <c r="BC179" s="67">
        <f t="shared" ref="BC179:BC180" si="1408">+BB179</f>
        <v>0</v>
      </c>
      <c r="BD179" s="67">
        <f>BD144/BD8*90</f>
        <v>0</v>
      </c>
      <c r="BE179" s="67">
        <f t="shared" ref="BE179:BE180" si="1409">+BD179</f>
        <v>0</v>
      </c>
      <c r="BF179" s="67">
        <f>BF144/BF8*90</f>
        <v>0</v>
      </c>
      <c r="BG179" s="67">
        <f t="shared" ref="BG179:BG180" si="1410">+BF179</f>
        <v>0</v>
      </c>
      <c r="BH179" s="67" t="e">
        <f>BH144/BH8*90</f>
        <v>#DIV/0!</v>
      </c>
      <c r="BI179" s="67" t="e">
        <f t="shared" ref="BI179:BI180" si="1411">+BH179</f>
        <v>#DIV/0!</v>
      </c>
      <c r="BJ179" s="67">
        <f>BJ144/BJ8*90</f>
        <v>0</v>
      </c>
      <c r="BK179" s="67">
        <f t="shared" ref="BK179:BK180" si="1412">+BJ179</f>
        <v>0</v>
      </c>
      <c r="BL179" s="67" t="e">
        <f>BL144/BL8*90</f>
        <v>#DIV/0!</v>
      </c>
      <c r="BM179" s="67" t="e">
        <f t="shared" ref="BM179:BM180" si="1413">+BL179</f>
        <v>#DIV/0!</v>
      </c>
      <c r="BN179" s="67">
        <f>BN144/BN8*90</f>
        <v>0</v>
      </c>
      <c r="BO179" s="67">
        <f t="shared" ref="BO179:BO180" si="1414">+BN179</f>
        <v>0</v>
      </c>
      <c r="BP179" s="67" t="e">
        <f>BP144/BP8*90</f>
        <v>#DIV/0!</v>
      </c>
      <c r="BQ179" s="67" t="e">
        <f t="shared" ref="BQ179:BQ180" si="1415">+BP179</f>
        <v>#DIV/0!</v>
      </c>
      <c r="BR179" s="67">
        <f>BR144/BR8*90</f>
        <v>0</v>
      </c>
      <c r="BS179" s="67">
        <f t="shared" ref="BS179:BS180" si="1416">+BR179</f>
        <v>0</v>
      </c>
      <c r="BT179" s="67">
        <f>BT144/BT8*90</f>
        <v>271.17311608961302</v>
      </c>
      <c r="BU179" s="67">
        <f t="shared" ref="BU179:BU180" si="1417">+BT179</f>
        <v>271.17311608961302</v>
      </c>
      <c r="BV179" s="67">
        <f>BV144/BV8*90</f>
        <v>227.71999792821256</v>
      </c>
      <c r="BW179" s="67">
        <f t="shared" ref="BW179:BW180" si="1418">+BV179</f>
        <v>227.71999792821256</v>
      </c>
      <c r="BX179" s="67">
        <f>BX144/BX8*90</f>
        <v>272.54361054766736</v>
      </c>
      <c r="BY179" s="67">
        <f t="shared" ref="BY179:BY180" si="1419">+BX179</f>
        <v>272.54361054766736</v>
      </c>
      <c r="BZ179" s="67">
        <f>BZ144/BZ8*90</f>
        <v>45.477127917230753</v>
      </c>
      <c r="CA179" s="67">
        <f t="shared" ref="CA179:CA180" si="1420">+BZ179</f>
        <v>45.477127917230753</v>
      </c>
      <c r="CB179" s="67">
        <f>CB144/CB8*90</f>
        <v>115.50401821591214</v>
      </c>
      <c r="CC179" s="67">
        <f t="shared" ref="CC179:CC180" si="1421">+CB179</f>
        <v>115.50401821591214</v>
      </c>
      <c r="CD179" s="67">
        <f>CD144/CD8*90</f>
        <v>59.113220777819734</v>
      </c>
      <c r="CE179" s="67">
        <f t="shared" si="1399"/>
        <v>59.113220777819734</v>
      </c>
      <c r="CF179" s="67">
        <f>CF144/CF8*90</f>
        <v>44.153886064127839</v>
      </c>
      <c r="CG179" s="67">
        <f t="shared" ref="CG179:CI180" si="1422">+CF179</f>
        <v>44.153886064127839</v>
      </c>
      <c r="CH179" s="67">
        <f>CH144/CH8*90</f>
        <v>29.65666639417968</v>
      </c>
      <c r="CI179" s="67">
        <f t="shared" si="1422"/>
        <v>29.65666639417968</v>
      </c>
      <c r="CJ179" s="67">
        <f>CJ144/CJ8*90</f>
        <v>53.211501094522468</v>
      </c>
      <c r="CK179" s="30">
        <f t="shared" ref="CK179:CK180" si="1423">+CJ179</f>
        <v>53.211501094522468</v>
      </c>
      <c r="CL179" s="67">
        <f>CL144/CL8*90</f>
        <v>70.247623811905967</v>
      </c>
      <c r="CM179" s="30">
        <f t="shared" ref="CM179:CM180" si="1424">+CL179</f>
        <v>70.247623811905967</v>
      </c>
      <c r="CN179" s="30">
        <f t="shared" ref="CN179:CN180" si="1425">+CM179</f>
        <v>70.247623811905967</v>
      </c>
      <c r="CO179" s="30">
        <f t="shared" ref="CO179:CO180" si="1426">+CN179</f>
        <v>70.247623811905967</v>
      </c>
      <c r="CP179" s="30">
        <f t="shared" ref="CP179:CP180" si="1427">+CO179</f>
        <v>70.247623811905967</v>
      </c>
      <c r="CQ179" s="30">
        <f t="shared" ref="CQ179:CQ180" si="1428">+CP179</f>
        <v>70.247623811905967</v>
      </c>
      <c r="CR179" s="30">
        <f t="shared" ref="CR179:CR180" si="1429">+CQ179</f>
        <v>70.247623811905967</v>
      </c>
      <c r="CS179" s="30">
        <f t="shared" ref="CS179:CS180" si="1430">+CR179</f>
        <v>70.247623811905967</v>
      </c>
      <c r="CT179" s="30">
        <f t="shared" ref="CT179:CT180" si="1431">+CS179</f>
        <v>70.247623811905967</v>
      </c>
      <c r="CU179" s="30">
        <f t="shared" ref="CU179:CU180" si="1432">+CT179</f>
        <v>70.247623811905967</v>
      </c>
      <c r="CV179" s="30">
        <f t="shared" ref="CV179:CV180" si="1433">+CU179</f>
        <v>70.247623811905967</v>
      </c>
      <c r="CW179" s="30">
        <f t="shared" ref="CW179:CW180" si="1434">+CV179</f>
        <v>70.247623811905967</v>
      </c>
      <c r="CX179" s="30">
        <f t="shared" ref="CX179:CX180" si="1435">+CW179</f>
        <v>70.247623811905967</v>
      </c>
      <c r="CY179" s="30">
        <f t="shared" ref="CY179:CY180" si="1436">+CX179</f>
        <v>70.247623811905967</v>
      </c>
      <c r="CZ179" s="30">
        <f t="shared" ref="CZ179:CZ180" si="1437">+CY179</f>
        <v>70.247623811905967</v>
      </c>
      <c r="DA179" s="30">
        <f t="shared" ref="DA179:DA180" si="1438">+CZ179</f>
        <v>70.247623811905967</v>
      </c>
      <c r="DB179" s="30">
        <f t="shared" ref="DB179:DB180" si="1439">+DA179</f>
        <v>70.247623811905967</v>
      </c>
      <c r="DE179" s="139"/>
      <c r="DF179" s="62">
        <v>53.211501094522468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 t="e">
        <f t="shared" si="1440"/>
        <v>#DIV/0!</v>
      </c>
      <c r="G180" s="67">
        <f t="shared" si="1440"/>
        <v>115.99621914172293</v>
      </c>
      <c r="H180" s="67">
        <f t="shared" si="1440"/>
        <v>68.771656915354868</v>
      </c>
      <c r="I180" s="67">
        <f t="shared" si="1440"/>
        <v>46.923057422929595</v>
      </c>
      <c r="J180" s="67">
        <f t="shared" si="1440"/>
        <v>76.003921728771687</v>
      </c>
      <c r="K180" s="67">
        <f t="shared" si="1440"/>
        <v>36.146642338065234</v>
      </c>
      <c r="L180" s="67">
        <f t="shared" si="1440"/>
        <v>5.6429707217674183</v>
      </c>
      <c r="M180" s="67">
        <f t="shared" si="1440"/>
        <v>5.5047306842226744</v>
      </c>
      <c r="N180" s="67">
        <f t="shared" si="1440"/>
        <v>29.291702049173225</v>
      </c>
      <c r="O180" s="67" t="e">
        <f t="shared" si="1440"/>
        <v>#DIV/0!</v>
      </c>
      <c r="P180" s="67">
        <f t="shared" si="1440"/>
        <v>8.0599382168680549</v>
      </c>
      <c r="Q180" s="67">
        <f t="shared" si="1440"/>
        <v>17.93278934477749</v>
      </c>
      <c r="R180" s="67">
        <f t="shared" si="1440"/>
        <v>68.937337545871699</v>
      </c>
      <c r="S180" s="67">
        <f t="shared" si="1440"/>
        <v>13.446183022786608</v>
      </c>
      <c r="T180" s="67">
        <f t="shared" si="1440"/>
        <v>0</v>
      </c>
      <c r="U180" s="67">
        <f t="shared" si="1440"/>
        <v>383.21792618629178</v>
      </c>
      <c r="V180" s="67">
        <f t="shared" si="1440"/>
        <v>0</v>
      </c>
      <c r="W180" s="67">
        <f t="shared" si="1440"/>
        <v>78.985503306868623</v>
      </c>
      <c r="X180" s="67">
        <f t="shared" si="1440"/>
        <v>37.737144983289461</v>
      </c>
      <c r="Y180" s="67">
        <f t="shared" si="1440"/>
        <v>58.020244201655736</v>
      </c>
      <c r="Z180" s="67">
        <f t="shared" si="1440"/>
        <v>67.011536730072777</v>
      </c>
      <c r="AA180" s="67">
        <f t="shared" ref="AA180" si="1441">AA145/AA8*365</f>
        <v>55.923480746345994</v>
      </c>
      <c r="AB180" s="18">
        <f t="shared" si="1440"/>
        <v>57.972483364613495</v>
      </c>
      <c r="AC180" s="18">
        <f t="shared" si="1440"/>
        <v>58.281392128161862</v>
      </c>
      <c r="AD180" s="18">
        <f t="shared" si="1440"/>
        <v>58.319913978023251</v>
      </c>
      <c r="AE180" s="18">
        <f t="shared" si="1440"/>
        <v>58.323268010176946</v>
      </c>
      <c r="AI180" s="67">
        <f>AJ145/AI8*90</f>
        <v>7.2225935828876997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0"/>
        <v>#DIV/0!</v>
      </c>
      <c r="AN180" s="67" t="e">
        <f>AN145/AN8*90</f>
        <v>#DIV/0!</v>
      </c>
      <c r="AO180" s="67" t="e">
        <f t="shared" si="1401"/>
        <v>#DIV/0!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>
        <f>AT145/AT8*90</f>
        <v>3.3318105766869759</v>
      </c>
      <c r="AU180" s="67">
        <f t="shared" si="1404"/>
        <v>3.3318105766869759</v>
      </c>
      <c r="AV180" s="67">
        <f>AV145/AV8*90</f>
        <v>54.200650255457496</v>
      </c>
      <c r="AW180" s="67">
        <f t="shared" si="1405"/>
        <v>54.200650255457496</v>
      </c>
      <c r="AX180" s="67">
        <f>AX145/AX8*90</f>
        <v>5.3849987540493398</v>
      </c>
      <c r="AY180" s="67">
        <f t="shared" si="1406"/>
        <v>5.3849987540493398</v>
      </c>
      <c r="AZ180" s="67">
        <f>AZ145/AZ8*90</f>
        <v>56.243493348756502</v>
      </c>
      <c r="BA180" s="67">
        <f t="shared" si="1407"/>
        <v>56.243493348756502</v>
      </c>
      <c r="BB180" s="67">
        <f>BB145/BB8*90</f>
        <v>50.633492702566677</v>
      </c>
      <c r="BC180" s="67">
        <f t="shared" si="1408"/>
        <v>50.633492702566677</v>
      </c>
      <c r="BD180" s="67">
        <f>BD145/BD8*90</f>
        <v>81.343381175008986</v>
      </c>
      <c r="BE180" s="67">
        <f t="shared" si="1409"/>
        <v>81.343381175008986</v>
      </c>
      <c r="BF180" s="67">
        <f>BF145/BF8*90</f>
        <v>7.8307696798108628</v>
      </c>
      <c r="BG180" s="67">
        <f t="shared" si="1410"/>
        <v>7.8307696798108628</v>
      </c>
      <c r="BH180" s="67" t="e">
        <f>BH145/BH8*90</f>
        <v>#DIV/0!</v>
      </c>
      <c r="BI180" s="67" t="e">
        <f t="shared" si="1411"/>
        <v>#DIV/0!</v>
      </c>
      <c r="BJ180" s="67">
        <f>BJ145/BJ8*90</f>
        <v>0</v>
      </c>
      <c r="BK180" s="67">
        <f t="shared" si="1412"/>
        <v>0</v>
      </c>
      <c r="BL180" s="67" t="e">
        <f>BL145/BL8*90</f>
        <v>#DIV/0!</v>
      </c>
      <c r="BM180" s="67" t="e">
        <f t="shared" si="1413"/>
        <v>#DIV/0!</v>
      </c>
      <c r="BN180" s="67">
        <f>BN145/BN8*90</f>
        <v>94.42882249560634</v>
      </c>
      <c r="BO180" s="67">
        <f t="shared" si="1414"/>
        <v>94.42882249560634</v>
      </c>
      <c r="BP180" s="67" t="e">
        <f>BP145/BP8*90</f>
        <v>#DIV/0!</v>
      </c>
      <c r="BQ180" s="67" t="e">
        <f t="shared" si="1415"/>
        <v>#DIV/0!</v>
      </c>
      <c r="BR180" s="67">
        <f>BR145/BR8*90</f>
        <v>0</v>
      </c>
      <c r="BS180" s="67">
        <f t="shared" si="1416"/>
        <v>0</v>
      </c>
      <c r="BT180" s="67">
        <f>BT145/BT8*90</f>
        <v>58.448065173116092</v>
      </c>
      <c r="BU180" s="67">
        <f t="shared" si="1417"/>
        <v>58.448065173116092</v>
      </c>
      <c r="BV180" s="67">
        <f>BV145/BV8*90</f>
        <v>48.242088361734083</v>
      </c>
      <c r="BW180" s="67">
        <f t="shared" si="1418"/>
        <v>48.242088361734083</v>
      </c>
      <c r="BX180" s="67">
        <f>BX145/BX8*90</f>
        <v>37.962474645030433</v>
      </c>
      <c r="BY180" s="67">
        <f t="shared" si="1419"/>
        <v>37.962474645030433</v>
      </c>
      <c r="BZ180" s="67">
        <f>BZ145/BZ8*90</f>
        <v>14.650677530336717</v>
      </c>
      <c r="CA180" s="67">
        <f t="shared" si="1420"/>
        <v>14.650677530336717</v>
      </c>
      <c r="CB180" s="67">
        <f>CB145/CB8*90</f>
        <v>21.334918296276452</v>
      </c>
      <c r="CC180" s="67">
        <f t="shared" si="1421"/>
        <v>21.334918296276452</v>
      </c>
      <c r="CD180" s="67">
        <f>CD145/CD8*90</f>
        <v>41.089864609741632</v>
      </c>
      <c r="CE180" s="114">
        <f t="shared" ref="CE180" si="1442">+CD180</f>
        <v>41.089864609741632</v>
      </c>
      <c r="CF180" s="67">
        <f>CF145/CF8*90</f>
        <v>15.445781882328527</v>
      </c>
      <c r="CG180" s="67">
        <f t="shared" si="1422"/>
        <v>15.445781882328527</v>
      </c>
      <c r="CH180" s="67">
        <f>CH145/CH8*90</f>
        <v>50.256682743399004</v>
      </c>
      <c r="CI180" s="67">
        <f t="shared" si="1422"/>
        <v>50.256682743399004</v>
      </c>
      <c r="CJ180" s="67">
        <f>CJ145/CJ8*90</f>
        <v>60.622770986545987</v>
      </c>
      <c r="CK180" s="30">
        <f t="shared" si="1423"/>
        <v>60.622770986545987</v>
      </c>
      <c r="CL180" s="67">
        <f>CL145/CL8*90</f>
        <v>33.653076538269133</v>
      </c>
      <c r="CM180" s="30">
        <f t="shared" si="1424"/>
        <v>33.653076538269133</v>
      </c>
      <c r="CN180" s="30">
        <f t="shared" si="1425"/>
        <v>33.653076538269133</v>
      </c>
      <c r="CO180" s="30">
        <f t="shared" si="1426"/>
        <v>33.653076538269133</v>
      </c>
      <c r="CP180" s="30">
        <f t="shared" si="1427"/>
        <v>33.653076538269133</v>
      </c>
      <c r="CQ180" s="30">
        <f t="shared" si="1428"/>
        <v>33.653076538269133</v>
      </c>
      <c r="CR180" s="30">
        <f t="shared" si="1429"/>
        <v>33.653076538269133</v>
      </c>
      <c r="CS180" s="30">
        <f t="shared" si="1430"/>
        <v>33.653076538269133</v>
      </c>
      <c r="CT180" s="30">
        <f t="shared" si="1431"/>
        <v>33.653076538269133</v>
      </c>
      <c r="CU180" s="30">
        <f t="shared" si="1432"/>
        <v>33.653076538269133</v>
      </c>
      <c r="CV180" s="30">
        <f t="shared" si="1433"/>
        <v>33.653076538269133</v>
      </c>
      <c r="CW180" s="30">
        <f t="shared" si="1434"/>
        <v>33.653076538269133</v>
      </c>
      <c r="CX180" s="30">
        <f t="shared" si="1435"/>
        <v>33.653076538269133</v>
      </c>
      <c r="CY180" s="30">
        <f t="shared" si="1436"/>
        <v>33.653076538269133</v>
      </c>
      <c r="CZ180" s="30">
        <f t="shared" si="1437"/>
        <v>33.653076538269133</v>
      </c>
      <c r="DA180" s="30">
        <f t="shared" si="1438"/>
        <v>33.653076538269133</v>
      </c>
      <c r="DB180" s="30">
        <f t="shared" si="1439"/>
        <v>33.653076538269133</v>
      </c>
      <c r="DE180" s="139"/>
      <c r="DF180" s="62">
        <v>60.622770986545987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 t="e">
        <f t="shared" si="1443"/>
        <v>#DIV/0!</v>
      </c>
      <c r="G181" s="67">
        <f t="shared" si="1443"/>
        <v>2510.6705400358592</v>
      </c>
      <c r="H181" s="67">
        <f t="shared" si="1443"/>
        <v>1187.7023753083627</v>
      </c>
      <c r="I181" s="67">
        <f t="shared" si="1443"/>
        <v>620.24229696744351</v>
      </c>
      <c r="J181" s="67">
        <f t="shared" si="1443"/>
        <v>876.18854228116129</v>
      </c>
      <c r="K181" s="67">
        <f t="shared" si="1443"/>
        <v>750.86323219524013</v>
      </c>
      <c r="L181" s="67">
        <f t="shared" si="1443"/>
        <v>335.18636470882632</v>
      </c>
      <c r="M181" s="67">
        <f t="shared" si="1443"/>
        <v>250.37587323856863</v>
      </c>
      <c r="N181" s="67">
        <f t="shared" si="1443"/>
        <v>1541.5925036950478</v>
      </c>
      <c r="O181" s="67" t="e">
        <f t="shared" si="1443"/>
        <v>#DIV/0!</v>
      </c>
      <c r="P181" s="67">
        <f t="shared" si="1443"/>
        <v>201.89616290121774</v>
      </c>
      <c r="Q181" s="67">
        <f t="shared" si="1443"/>
        <v>376.12941924232268</v>
      </c>
      <c r="R181" s="67">
        <f t="shared" si="1443"/>
        <v>1046.2075756695297</v>
      </c>
      <c r="S181" s="67">
        <f t="shared" si="1443"/>
        <v>202.98140303354592</v>
      </c>
      <c r="T181" s="67">
        <f t="shared" si="1443"/>
        <v>3753.3343393534492</v>
      </c>
      <c r="U181" s="67">
        <f t="shared" si="1443"/>
        <v>95797.874340949027</v>
      </c>
      <c r="V181" s="67">
        <f>V182-V180-V179</f>
        <v>67710.016772269853</v>
      </c>
      <c r="W181" s="67">
        <f t="shared" ref="W181" si="1444">W182-W180-W179</f>
        <v>3044.3076067387778</v>
      </c>
      <c r="X181" s="67">
        <f t="shared" ref="X181:Y181" si="1445">X182-X180-X179</f>
        <v>393.9528397392578</v>
      </c>
      <c r="Y181" s="67">
        <f t="shared" si="1445"/>
        <v>182.78238411814897</v>
      </c>
      <c r="Z181" s="67">
        <f t="shared" ref="Z181:AA181" si="1446">Z182-Z180-Z179</f>
        <v>207.82797707436052</v>
      </c>
      <c r="AA181" s="67">
        <f t="shared" si="1446"/>
        <v>292.96181154592909</v>
      </c>
      <c r="AB181" s="18">
        <f t="shared" ref="AA181:AD181" si="1447">AB182-AB180-AB179</f>
        <v>320.06696611036483</v>
      </c>
      <c r="AC181" s="18">
        <f t="shared" si="1447"/>
        <v>321.77245611209503</v>
      </c>
      <c r="AD181" s="18">
        <f t="shared" si="1447"/>
        <v>321.98513583355106</v>
      </c>
      <c r="AE181" s="18">
        <f t="shared" ref="AE181" si="1448">AE182-AE180-AE179</f>
        <v>322.0036534963001</v>
      </c>
      <c r="AI181" s="67">
        <f t="shared" ref="AI181:AK181" si="1449">AI182-AI180-AI179</f>
        <v>-7.2225935828876997</v>
      </c>
      <c r="AJ181" s="67" t="e">
        <f t="shared" ref="AJ181:AM181" si="1450">AJ182-AJ180-AJ179</f>
        <v>#DIV/0!</v>
      </c>
      <c r="AK181" s="67" t="e">
        <f t="shared" si="1449"/>
        <v>#DIV/0!</v>
      </c>
      <c r="AL181" s="67" t="e">
        <f t="shared" si="1450"/>
        <v>#DIV/0!</v>
      </c>
      <c r="AM181" s="67" t="e">
        <f t="shared" si="1450"/>
        <v>#DIV/0!</v>
      </c>
      <c r="AN181" s="67" t="e">
        <f t="shared" ref="AN181:AY181" si="1451">AN182-AN180-AN179</f>
        <v>#DIV/0!</v>
      </c>
      <c r="AO181" s="67" t="e">
        <f t="shared" si="1451"/>
        <v>#DIV/0!</v>
      </c>
      <c r="AP181" s="67" t="e">
        <f t="shared" si="1451"/>
        <v>#DIV/0!</v>
      </c>
      <c r="AQ181" s="67" t="e">
        <f t="shared" si="1451"/>
        <v>#DIV/0!</v>
      </c>
      <c r="AR181" s="67" t="e">
        <f t="shared" si="1451"/>
        <v>#DIV/0!</v>
      </c>
      <c r="AS181" s="67" t="e">
        <f t="shared" si="1451"/>
        <v>#DIV/0!</v>
      </c>
      <c r="AT181" s="67">
        <f t="shared" si="1451"/>
        <v>83.459722134980964</v>
      </c>
      <c r="AU181" s="67" t="e">
        <f t="shared" si="1451"/>
        <v>#DIV/0!</v>
      </c>
      <c r="AV181" s="67">
        <f t="shared" si="1451"/>
        <v>1298.4245239201114</v>
      </c>
      <c r="AW181" s="67">
        <f t="shared" si="1451"/>
        <v>1088.8478616499181</v>
      </c>
      <c r="AX181" s="67">
        <f t="shared" si="1451"/>
        <v>112.94625799485007</v>
      </c>
      <c r="AY181" s="67" t="e">
        <f t="shared" si="1451"/>
        <v>#DIV/0!</v>
      </c>
      <c r="AZ181" s="67">
        <f t="shared" ref="AZ181:BC181" si="1452">AZ182-AZ180-AZ179</f>
        <v>1179.7513013302485</v>
      </c>
      <c r="BA181" s="67">
        <f t="shared" si="1452"/>
        <v>580.55784829941661</v>
      </c>
      <c r="BB181" s="67">
        <f t="shared" si="1452"/>
        <v>768.4423754403623</v>
      </c>
      <c r="BC181" s="67" t="e">
        <f t="shared" si="1452"/>
        <v>#DIV/0!</v>
      </c>
      <c r="BD181" s="67">
        <f t="shared" ref="BD181:CE181" si="1453">BD182-BD180-BD179</f>
        <v>399.36672442540959</v>
      </c>
      <c r="BE181" s="67">
        <f t="shared" si="1453"/>
        <v>111.66249223006328</v>
      </c>
      <c r="BF181" s="67">
        <f t="shared" si="1453"/>
        <v>118.21458801552788</v>
      </c>
      <c r="BG181" s="67" t="e">
        <f t="shared" si="1453"/>
        <v>#DIV/0!</v>
      </c>
      <c r="BH181" s="67" t="e">
        <f t="shared" si="1453"/>
        <v>#DIV/0!</v>
      </c>
      <c r="BI181" s="67" t="e">
        <f t="shared" si="1453"/>
        <v>#DIV/0!</v>
      </c>
      <c r="BJ181" s="67">
        <f t="shared" si="1453"/>
        <v>5458.1432038834955</v>
      </c>
      <c r="BK181" s="67" t="e">
        <f t="shared" si="1453"/>
        <v>#DIV/0!</v>
      </c>
      <c r="BL181" s="67" t="e">
        <f t="shared" si="1453"/>
        <v>#DIV/0!</v>
      </c>
      <c r="BM181" s="67" t="e">
        <f t="shared" si="1453"/>
        <v>#DIV/0!</v>
      </c>
      <c r="BN181" s="67">
        <f t="shared" si="1453"/>
        <v>23621.441124780318</v>
      </c>
      <c r="BO181" s="67" t="e">
        <f t="shared" si="1453"/>
        <v>#DIV/0!</v>
      </c>
      <c r="BP181" s="67" t="e">
        <f t="shared" si="1453"/>
        <v>#DIV/0!</v>
      </c>
      <c r="BQ181" s="67" t="e">
        <f t="shared" si="1453"/>
        <v>#DIV/0!</v>
      </c>
      <c r="BR181" s="67">
        <f t="shared" si="1453"/>
        <v>16693.490683229811</v>
      </c>
      <c r="BS181" s="67">
        <f t="shared" si="1453"/>
        <v>7197.7825388323508</v>
      </c>
      <c r="BT181" s="67">
        <f t="shared" si="1453"/>
        <v>3008.9938900203665</v>
      </c>
      <c r="BU181" s="67">
        <f t="shared" si="1453"/>
        <v>1149.1438942183045</v>
      </c>
      <c r="BV181" s="67">
        <f t="shared" si="1453"/>
        <v>1876.9570622054177</v>
      </c>
      <c r="BW181" s="67">
        <f t="shared" si="1453"/>
        <v>713.76199011246581</v>
      </c>
      <c r="BX181" s="67">
        <f t="shared" si="1453"/>
        <v>842.36409736308315</v>
      </c>
      <c r="BY181" s="67">
        <f t="shared" si="1453"/>
        <v>426.5974421750073</v>
      </c>
      <c r="BZ181" s="67">
        <f t="shared" si="1453"/>
        <v>154.92032342603062</v>
      </c>
      <c r="CA181" s="67">
        <f t="shared" si="1453"/>
        <v>247.38888117574726</v>
      </c>
      <c r="CB181" s="67">
        <f t="shared" si="1453"/>
        <v>163.83592285025452</v>
      </c>
      <c r="CC181" s="67">
        <f t="shared" si="1453"/>
        <v>75.469308176876694</v>
      </c>
      <c r="CD181" s="67">
        <f t="shared" si="1453"/>
        <v>133.5036949134257</v>
      </c>
      <c r="CE181" s="114">
        <f t="shared" si="1453"/>
        <v>137.8502691998267</v>
      </c>
      <c r="CF181" s="67">
        <f t="shared" ref="CF181:CG181" si="1454">CF182-CF180-CF179</f>
        <v>188.86411746394103</v>
      </c>
      <c r="CG181" s="67">
        <f t="shared" si="1454"/>
        <v>250.78656562177054</v>
      </c>
      <c r="CH181" s="67">
        <f t="shared" ref="CH181" si="1455">CH182-CH180-CH179</f>
        <v>155.86487370228076</v>
      </c>
      <c r="CI181" s="67">
        <f>CH181</f>
        <v>155.86487370228076</v>
      </c>
      <c r="CJ181" s="67">
        <f t="shared" ref="CJ181:CL181" si="1456">CJ182-CJ180-CJ179</f>
        <v>347.26270998843989</v>
      </c>
      <c r="CK181" s="30">
        <f t="shared" ref="CK181:DB181" si="1457">CJ181</f>
        <v>347.26270998843989</v>
      </c>
      <c r="CL181" s="67">
        <f t="shared" si="1456"/>
        <v>185.79914957478741</v>
      </c>
      <c r="CM181" s="30">
        <f t="shared" si="1457"/>
        <v>185.79914957478741</v>
      </c>
      <c r="CN181" s="30">
        <f t="shared" si="1457"/>
        <v>185.79914957478741</v>
      </c>
      <c r="CO181" s="30">
        <f t="shared" si="1457"/>
        <v>185.79914957478741</v>
      </c>
      <c r="CP181" s="30">
        <f t="shared" si="1457"/>
        <v>185.79914957478741</v>
      </c>
      <c r="CQ181" s="30">
        <f t="shared" si="1457"/>
        <v>185.79914957478741</v>
      </c>
      <c r="CR181" s="30">
        <f t="shared" si="1457"/>
        <v>185.79914957478741</v>
      </c>
      <c r="CS181" s="30">
        <f t="shared" si="1457"/>
        <v>185.79914957478741</v>
      </c>
      <c r="CT181" s="30">
        <f t="shared" si="1457"/>
        <v>185.79914957478741</v>
      </c>
      <c r="CU181" s="30">
        <f t="shared" si="1457"/>
        <v>185.79914957478741</v>
      </c>
      <c r="CV181" s="30">
        <f t="shared" si="1457"/>
        <v>185.79914957478741</v>
      </c>
      <c r="CW181" s="30">
        <f t="shared" si="1457"/>
        <v>185.79914957478741</v>
      </c>
      <c r="CX181" s="30">
        <f t="shared" si="1457"/>
        <v>185.79914957478741</v>
      </c>
      <c r="CY181" s="30">
        <f t="shared" si="1457"/>
        <v>185.79914957478741</v>
      </c>
      <c r="CZ181" s="30">
        <f t="shared" si="1457"/>
        <v>185.79914957478741</v>
      </c>
      <c r="DA181" s="30">
        <f t="shared" si="1457"/>
        <v>185.79914957478741</v>
      </c>
      <c r="DB181" s="30">
        <f t="shared" si="1457"/>
        <v>185.79914957478741</v>
      </c>
      <c r="DE181" s="139"/>
      <c r="DF181" s="62">
        <v>347.26270998843989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 t="e">
        <f t="shared" si="1458"/>
        <v>#DIV/0!</v>
      </c>
      <c r="G182" s="70">
        <f t="shared" si="1458"/>
        <v>2626.6667591775822</v>
      </c>
      <c r="H182" s="70">
        <f t="shared" si="1458"/>
        <v>1256.4740322237176</v>
      </c>
      <c r="I182" s="70">
        <f t="shared" si="1458"/>
        <v>667.16535439037307</v>
      </c>
      <c r="J182" s="70">
        <f t="shared" si="1458"/>
        <v>952.19246400993302</v>
      </c>
      <c r="K182" s="70">
        <f t="shared" si="1458"/>
        <v>787.00987453330538</v>
      </c>
      <c r="L182" s="70">
        <f t="shared" si="1458"/>
        <v>340.82933543059374</v>
      </c>
      <c r="M182" s="70">
        <f t="shared" si="1458"/>
        <v>255.88060392279129</v>
      </c>
      <c r="N182" s="70">
        <f t="shared" si="1458"/>
        <v>1570.8842057442209</v>
      </c>
      <c r="O182" s="70" t="e">
        <f t="shared" si="1458"/>
        <v>#DIV/0!</v>
      </c>
      <c r="P182" s="70">
        <f t="shared" si="1458"/>
        <v>209.9561011180858</v>
      </c>
      <c r="Q182" s="70">
        <f t="shared" si="1458"/>
        <v>394.06220858710014</v>
      </c>
      <c r="R182" s="70">
        <f t="shared" si="1458"/>
        <v>1115.1449132154014</v>
      </c>
      <c r="S182" s="70">
        <f t="shared" si="1458"/>
        <v>216.42758605633253</v>
      </c>
      <c r="T182" s="70">
        <f t="shared" si="1458"/>
        <v>3753.3343393534492</v>
      </c>
      <c r="U182" s="70">
        <f t="shared" si="1458"/>
        <v>96181.092267135318</v>
      </c>
      <c r="V182" s="70">
        <f t="shared" si="1458"/>
        <v>67710.016772269853</v>
      </c>
      <c r="W182" s="70">
        <f t="shared" si="1458"/>
        <v>3496.1235825838953</v>
      </c>
      <c r="X182" s="70">
        <f t="shared" si="1458"/>
        <v>548.83014680553981</v>
      </c>
      <c r="Y182" s="70">
        <f t="shared" si="1458"/>
        <v>324.27247935024235</v>
      </c>
      <c r="Z182" s="70">
        <f t="shared" si="1458"/>
        <v>314.38328551559175</v>
      </c>
      <c r="AA182" s="70">
        <f t="shared" ref="AA182" si="1459">AA148/AA8*365</f>
        <v>465.62028480490119</v>
      </c>
      <c r="AB182" s="71">
        <f t="shared" si="1458"/>
        <v>499.05154173371483</v>
      </c>
      <c r="AC182" s="71">
        <f t="shared" si="1458"/>
        <v>501.71075841301894</v>
      </c>
      <c r="AD182" s="71">
        <f t="shared" si="1458"/>
        <v>502.04237071333824</v>
      </c>
      <c r="AE182" s="71">
        <f t="shared" si="1458"/>
        <v>502.071243634079</v>
      </c>
      <c r="AI182" s="70">
        <f t="shared" ref="AI182:CD182" si="1460">AI148/AI8*90</f>
        <v>0</v>
      </c>
      <c r="AJ182" s="70" t="e">
        <f t="shared" si="1460"/>
        <v>#DIV/0!</v>
      </c>
      <c r="AK182" s="70" t="e">
        <f t="shared" si="1460"/>
        <v>#DIV/0!</v>
      </c>
      <c r="AL182" s="70" t="e">
        <f t="shared" si="1460"/>
        <v>#DIV/0!</v>
      </c>
      <c r="AM182" s="70" t="e">
        <f t="shared" si="1460"/>
        <v>#DIV/0!</v>
      </c>
      <c r="AN182" s="70" t="e">
        <f t="shared" si="1460"/>
        <v>#DIV/0!</v>
      </c>
      <c r="AO182" s="70" t="e">
        <f t="shared" si="1460"/>
        <v>#DIV/0!</v>
      </c>
      <c r="AP182" s="70" t="e">
        <f t="shared" si="1460"/>
        <v>#DIV/0!</v>
      </c>
      <c r="AQ182" s="70" t="e">
        <f t="shared" si="1460"/>
        <v>#DIV/0!</v>
      </c>
      <c r="AR182" s="70" t="e">
        <f t="shared" si="1460"/>
        <v>#DIV/0!</v>
      </c>
      <c r="AS182" s="70" t="e">
        <f t="shared" si="1460"/>
        <v>#DIV/0!</v>
      </c>
      <c r="AT182" s="70">
        <f t="shared" si="1460"/>
        <v>86.791532711667941</v>
      </c>
      <c r="AU182" s="70" t="e">
        <f t="shared" si="1460"/>
        <v>#DIV/0!</v>
      </c>
      <c r="AV182" s="70">
        <f t="shared" si="1460"/>
        <v>1352.6251741755689</v>
      </c>
      <c r="AW182" s="70">
        <f t="shared" si="1460"/>
        <v>1143.0485119053756</v>
      </c>
      <c r="AX182" s="70">
        <f t="shared" si="1460"/>
        <v>118.33125674889941</v>
      </c>
      <c r="AY182" s="70" t="e">
        <f t="shared" si="1460"/>
        <v>#DIV/0!</v>
      </c>
      <c r="AZ182" s="70">
        <f t="shared" si="1460"/>
        <v>1235.9947946790051</v>
      </c>
      <c r="BA182" s="70">
        <f t="shared" si="1460"/>
        <v>636.80134164817309</v>
      </c>
      <c r="BB182" s="70">
        <f t="shared" si="1460"/>
        <v>819.07586814292893</v>
      </c>
      <c r="BC182" s="70" t="e">
        <f t="shared" si="1460"/>
        <v>#DIV/0!</v>
      </c>
      <c r="BD182" s="70">
        <f t="shared" si="1460"/>
        <v>480.71010560041856</v>
      </c>
      <c r="BE182" s="70">
        <f t="shared" si="1460"/>
        <v>193.00587340507226</v>
      </c>
      <c r="BF182" s="70">
        <f t="shared" si="1460"/>
        <v>126.04535769533874</v>
      </c>
      <c r="BG182" s="70" t="e">
        <f t="shared" si="1460"/>
        <v>#DIV/0!</v>
      </c>
      <c r="BH182" s="70" t="e">
        <f t="shared" si="1460"/>
        <v>#DIV/0!</v>
      </c>
      <c r="BI182" s="70" t="e">
        <f t="shared" si="1460"/>
        <v>#DIV/0!</v>
      </c>
      <c r="BJ182" s="70">
        <f t="shared" si="1460"/>
        <v>5458.1432038834955</v>
      </c>
      <c r="BK182" s="70" t="e">
        <f t="shared" si="1460"/>
        <v>#DIV/0!</v>
      </c>
      <c r="BL182" s="70" t="e">
        <f t="shared" si="1460"/>
        <v>#DIV/0!</v>
      </c>
      <c r="BM182" s="70" t="e">
        <f t="shared" si="1460"/>
        <v>#DIV/0!</v>
      </c>
      <c r="BN182" s="70">
        <f t="shared" si="1460"/>
        <v>23715.869947275925</v>
      </c>
      <c r="BO182" s="70" t="e">
        <f t="shared" si="1460"/>
        <v>#DIV/0!</v>
      </c>
      <c r="BP182" s="70" t="e">
        <f t="shared" si="1460"/>
        <v>#DIV/0!</v>
      </c>
      <c r="BQ182" s="70" t="e">
        <f t="shared" si="1460"/>
        <v>#DIV/0!</v>
      </c>
      <c r="BR182" s="70">
        <f t="shared" si="1460"/>
        <v>16693.490683229811</v>
      </c>
      <c r="BS182" s="70">
        <f t="shared" si="1460"/>
        <v>7197.7825388323508</v>
      </c>
      <c r="BT182" s="70">
        <f t="shared" si="1460"/>
        <v>3338.6150712830954</v>
      </c>
      <c r="BU182" s="70">
        <f t="shared" si="1460"/>
        <v>1478.7650754810336</v>
      </c>
      <c r="BV182" s="70">
        <f t="shared" si="1460"/>
        <v>2152.9191484953644</v>
      </c>
      <c r="BW182" s="70">
        <f t="shared" si="1460"/>
        <v>989.72407640241249</v>
      </c>
      <c r="BX182" s="70">
        <f t="shared" si="1460"/>
        <v>1152.870182555781</v>
      </c>
      <c r="BY182" s="70">
        <f t="shared" si="1460"/>
        <v>737.10352736770506</v>
      </c>
      <c r="BZ182" s="70">
        <f t="shared" si="1460"/>
        <v>215.04812887359807</v>
      </c>
      <c r="CA182" s="70">
        <f t="shared" si="1460"/>
        <v>307.51668662331474</v>
      </c>
      <c r="CB182" s="70">
        <f t="shared" si="1460"/>
        <v>300.6748593624431</v>
      </c>
      <c r="CC182" s="70">
        <f t="shared" si="1460"/>
        <v>212.30824468906528</v>
      </c>
      <c r="CD182" s="70">
        <f t="shared" si="1460"/>
        <v>233.70678030098708</v>
      </c>
      <c r="CE182" s="115">
        <f>CE148/CE10*90</f>
        <v>238.05335458738804</v>
      </c>
      <c r="CF182" s="70">
        <f>CF148/CF8*90</f>
        <v>248.46378541039741</v>
      </c>
      <c r="CG182" s="70">
        <f>CG148/CG10*90</f>
        <v>310.38623356822688</v>
      </c>
      <c r="CH182" s="70">
        <f>CH148/CH8*90</f>
        <v>235.77822283985944</v>
      </c>
      <c r="CI182" s="70">
        <f>CI179+CI180+CI181</f>
        <v>235.77822283985944</v>
      </c>
      <c r="CJ182" s="70">
        <f>CJ148/CJ8*90</f>
        <v>461.09698206950833</v>
      </c>
      <c r="CK182" s="50">
        <f t="shared" ref="CK182:DB182" si="1461">CK179+CK180+CK181</f>
        <v>461.09698206950839</v>
      </c>
      <c r="CL182" s="70">
        <f>CL148/CL8*90</f>
        <v>289.69984992496251</v>
      </c>
      <c r="CM182" s="50">
        <f t="shared" si="1461"/>
        <v>289.69984992496251</v>
      </c>
      <c r="CN182" s="50">
        <f t="shared" si="1461"/>
        <v>289.69984992496251</v>
      </c>
      <c r="CO182" s="50">
        <f t="shared" si="1461"/>
        <v>289.69984992496251</v>
      </c>
      <c r="CP182" s="50">
        <f t="shared" si="1461"/>
        <v>289.69984992496251</v>
      </c>
      <c r="CQ182" s="50">
        <f t="shared" si="1461"/>
        <v>289.69984992496251</v>
      </c>
      <c r="CR182" s="50">
        <f t="shared" si="1461"/>
        <v>289.69984992496251</v>
      </c>
      <c r="CS182" s="50">
        <f t="shared" si="1461"/>
        <v>289.69984992496251</v>
      </c>
      <c r="CT182" s="50">
        <f t="shared" si="1461"/>
        <v>289.69984992496251</v>
      </c>
      <c r="CU182" s="50">
        <f t="shared" si="1461"/>
        <v>289.69984992496251</v>
      </c>
      <c r="CV182" s="50">
        <f t="shared" si="1461"/>
        <v>289.69984992496251</v>
      </c>
      <c r="CW182" s="50">
        <f t="shared" si="1461"/>
        <v>289.69984992496251</v>
      </c>
      <c r="CX182" s="50">
        <f t="shared" si="1461"/>
        <v>289.69984992496251</v>
      </c>
      <c r="CY182" s="50">
        <f t="shared" si="1461"/>
        <v>289.69984992496251</v>
      </c>
      <c r="CZ182" s="50">
        <f t="shared" si="1461"/>
        <v>289.69984992496251</v>
      </c>
      <c r="DA182" s="50">
        <f t="shared" si="1461"/>
        <v>289.69984992496251</v>
      </c>
      <c r="DB182" s="50">
        <f t="shared" si="1461"/>
        <v>289.69984992496251</v>
      </c>
      <c r="DE182" s="138"/>
      <c r="DF182" s="7">
        <v>461.09698206950839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 t="e">
        <f t="shared" si="1462"/>
        <v>#DIV/0!</v>
      </c>
      <c r="G183" s="67">
        <f t="shared" si="1462"/>
        <v>280.58790505935769</v>
      </c>
      <c r="H183" s="67">
        <f t="shared" si="1462"/>
        <v>42.235822805919923</v>
      </c>
      <c r="I183" s="67">
        <f t="shared" si="1462"/>
        <v>64.502034855238463</v>
      </c>
      <c r="J183" s="67">
        <f t="shared" si="1462"/>
        <v>293.53704090359366</v>
      </c>
      <c r="K183" s="67">
        <f t="shared" si="1462"/>
        <v>119.44423086144188</v>
      </c>
      <c r="L183" s="67">
        <f t="shared" si="1462"/>
        <v>61.715989704357767</v>
      </c>
      <c r="M183" s="67">
        <f t="shared" si="1462"/>
        <v>84.778285115136782</v>
      </c>
      <c r="N183" s="67">
        <f t="shared" si="1462"/>
        <v>0</v>
      </c>
      <c r="O183" s="67" t="e">
        <f t="shared" si="1462"/>
        <v>#DIV/0!</v>
      </c>
      <c r="P183" s="67">
        <f t="shared" si="1462"/>
        <v>29.669126390736288</v>
      </c>
      <c r="Q183" s="67">
        <f t="shared" si="1462"/>
        <v>0</v>
      </c>
      <c r="R183" s="67">
        <f t="shared" si="1462"/>
        <v>0</v>
      </c>
      <c r="S183" s="67">
        <f t="shared" si="1462"/>
        <v>9.6976340120956281E-2</v>
      </c>
      <c r="T183" s="67">
        <f t="shared" si="1462"/>
        <v>1.3970189794840489</v>
      </c>
      <c r="U183" s="67">
        <f t="shared" si="1462"/>
        <v>390.65905096660816</v>
      </c>
      <c r="V183" s="67">
        <f t="shared" si="1462"/>
        <v>12.697229469499318</v>
      </c>
      <c r="W183" s="67">
        <f t="shared" si="1462"/>
        <v>66.739132707575791</v>
      </c>
      <c r="X183" s="67">
        <f t="shared" si="1462"/>
        <v>23.897053371163217</v>
      </c>
      <c r="Y183" s="67">
        <f t="shared" si="1462"/>
        <v>11.137816095240023</v>
      </c>
      <c r="Z183" s="67">
        <f t="shared" si="1462"/>
        <v>28.313870280657667</v>
      </c>
      <c r="AA183" s="67">
        <f t="shared" ref="AA183" si="1463">AA153/AA8*365</f>
        <v>45.999863348308075</v>
      </c>
      <c r="AB183" s="18">
        <f t="shared" si="1462"/>
        <v>47.678807437744311</v>
      </c>
      <c r="AC183" s="18">
        <f t="shared" si="1462"/>
        <v>47.932865925465478</v>
      </c>
      <c r="AD183" s="18">
        <f t="shared" si="1462"/>
        <v>47.964547781323446</v>
      </c>
      <c r="AE183" s="18">
        <f t="shared" si="1462"/>
        <v>47.967306266796477</v>
      </c>
      <c r="AI183" s="67">
        <f>AJ153/AI8*90</f>
        <v>0</v>
      </c>
      <c r="AJ183" s="67" t="e">
        <f>AJ153/AJ8*90</f>
        <v>#DIV/0!</v>
      </c>
      <c r="AK183" s="67" t="e">
        <f t="shared" ref="AK183:CE183" si="1464">+AJ183</f>
        <v>#DIV/0!</v>
      </c>
      <c r="AL183" s="67" t="e">
        <f>AL153/AL8*90</f>
        <v>#DIV/0!</v>
      </c>
      <c r="AM183" s="67" t="e">
        <f t="shared" ref="AM183" si="1465">+AL183</f>
        <v>#DIV/0!</v>
      </c>
      <c r="AN183" s="67" t="e">
        <f>AN153/AN8*90</f>
        <v>#DIV/0!</v>
      </c>
      <c r="AO183" s="67" t="e">
        <f t="shared" ref="AO183" si="1466">+AN183</f>
        <v>#DIV/0!</v>
      </c>
      <c r="AP183" s="67" t="e">
        <f>AP153/AP8*90</f>
        <v>#DIV/0!</v>
      </c>
      <c r="AQ183" s="67" t="e">
        <f t="shared" ref="AQ183" si="1467">+AP183</f>
        <v>#DIV/0!</v>
      </c>
      <c r="AR183" s="67" t="e">
        <f>AR153/AR8*90</f>
        <v>#DIV/0!</v>
      </c>
      <c r="AS183" s="67" t="e">
        <f t="shared" ref="AS183" si="1468">+AR183</f>
        <v>#DIV/0!</v>
      </c>
      <c r="AT183" s="67">
        <f>AT153/AT8*90</f>
        <v>12.264434305423109</v>
      </c>
      <c r="AU183" s="67">
        <f t="shared" ref="AU183" si="1469">+AT183</f>
        <v>12.264434305423109</v>
      </c>
      <c r="AV183" s="67">
        <f>AV153/AV8*90</f>
        <v>141.50023223409195</v>
      </c>
      <c r="AW183" s="67">
        <f t="shared" ref="AW183" si="1470">+AV183</f>
        <v>141.50023223409195</v>
      </c>
      <c r="AX183" s="67">
        <f>AX153/AX8*90</f>
        <v>0</v>
      </c>
      <c r="AY183" s="67">
        <f t="shared" ref="AY183" si="1471">+AX183</f>
        <v>0</v>
      </c>
      <c r="AZ183" s="67">
        <f>AZ153/AZ8*90</f>
        <v>94.216310005783683</v>
      </c>
      <c r="BA183" s="67">
        <f t="shared" ref="BA183" si="1472">+AZ183</f>
        <v>94.216310005783683</v>
      </c>
      <c r="BB183" s="67">
        <f>BB153/BB8*90</f>
        <v>0</v>
      </c>
      <c r="BC183" s="67">
        <f t="shared" ref="BC183" si="1473">+BB183</f>
        <v>0</v>
      </c>
      <c r="BD183" s="67">
        <f>BD153/BD8*90</f>
        <v>88.67590806551803</v>
      </c>
      <c r="BE183" s="67">
        <f t="shared" ref="BE183" si="1474">+BD183</f>
        <v>88.67590806551803</v>
      </c>
      <c r="BF183" s="67">
        <f>BF153/BF8*90</f>
        <v>0</v>
      </c>
      <c r="BG183" s="67">
        <f t="shared" ref="BG183" si="1475">+BF183</f>
        <v>0</v>
      </c>
      <c r="BH183" s="67" t="e">
        <f>BH153/BH8*90</f>
        <v>#DIV/0!</v>
      </c>
      <c r="BI183" s="67" t="e">
        <f t="shared" ref="BI183" si="1476">+BH183</f>
        <v>#DIV/0!</v>
      </c>
      <c r="BJ183" s="67">
        <f>BJ153/BJ8*90</f>
        <v>0</v>
      </c>
      <c r="BK183" s="67">
        <f t="shared" ref="BK183" si="1477">+BJ183</f>
        <v>0</v>
      </c>
      <c r="BL183" s="67" t="e">
        <f>BL153/BL8*90</f>
        <v>#DIV/0!</v>
      </c>
      <c r="BM183" s="67" t="e">
        <f t="shared" ref="BM183" si="1478">+BL183</f>
        <v>#DIV/0!</v>
      </c>
      <c r="BN183" s="67">
        <f>BN153/BN8*90</f>
        <v>94.112478031634453</v>
      </c>
      <c r="BO183" s="67">
        <f t="shared" ref="BO183" si="1479">+BN183</f>
        <v>94.112478031634453</v>
      </c>
      <c r="BP183" s="67" t="e">
        <f>BP153/BP8*90</f>
        <v>#DIV/0!</v>
      </c>
      <c r="BQ183" s="67" t="e">
        <f t="shared" ref="BQ183" si="1480">+BP183</f>
        <v>#DIV/0!</v>
      </c>
      <c r="BR183" s="67">
        <f>BR153/BR8*90</f>
        <v>0</v>
      </c>
      <c r="BS183" s="67">
        <f t="shared" ref="BS183" si="1481">+BR183</f>
        <v>0</v>
      </c>
      <c r="BT183" s="67">
        <f>BT153/BT8*90</f>
        <v>89.352342158859472</v>
      </c>
      <c r="BU183" s="67">
        <f t="shared" ref="BU183" si="1482">+BT183</f>
        <v>89.352342158859472</v>
      </c>
      <c r="BV183" s="67">
        <f>BV153/BV8*90</f>
        <v>40.163671207334133</v>
      </c>
      <c r="BW183" s="67">
        <f t="shared" ref="BW183" si="1483">+BV183</f>
        <v>40.163671207334133</v>
      </c>
      <c r="BX183" s="67">
        <f>BX153/BX8*90</f>
        <v>46.256592292089252</v>
      </c>
      <c r="BY183" s="67">
        <f t="shared" ref="BY183" si="1484">+BX183</f>
        <v>46.256592292089252</v>
      </c>
      <c r="BZ183" s="67">
        <f>BZ153/BZ8*90</f>
        <v>9.234036739408543</v>
      </c>
      <c r="CA183" s="67">
        <f t="shared" ref="CA183" si="1485">+BZ183</f>
        <v>9.234036739408543</v>
      </c>
      <c r="CB183" s="67">
        <f>CB153/CB8*90</f>
        <v>15.211157246182696</v>
      </c>
      <c r="CC183" s="67">
        <f t="shared" ref="CC183" si="1486">+CB183</f>
        <v>15.211157246182696</v>
      </c>
      <c r="CD183" s="67">
        <f>CD153/CD8*90</f>
        <v>7.7431360914828211</v>
      </c>
      <c r="CE183" s="114">
        <f t="shared" si="1464"/>
        <v>7.7431360914828211</v>
      </c>
      <c r="CF183" s="67">
        <f>CF153/CF8*90</f>
        <v>15.377607139151188</v>
      </c>
      <c r="CG183" s="67">
        <f t="shared" ref="CG183:CI183" si="1487">+CF183</f>
        <v>15.377607139151188</v>
      </c>
      <c r="CH183" s="67">
        <f>CH153/CH8*90</f>
        <v>21.234570424262241</v>
      </c>
      <c r="CI183" s="67">
        <f t="shared" si="1487"/>
        <v>21.234570424262241</v>
      </c>
      <c r="CJ183" s="67">
        <f>CJ153/CJ8*90</f>
        <v>35.356273212484936</v>
      </c>
      <c r="CK183" s="30">
        <f t="shared" ref="CK183" si="1488">+CJ183</f>
        <v>35.356273212484936</v>
      </c>
      <c r="CL183" s="67">
        <f>CL153/CL8*90</f>
        <v>27.677588794397202</v>
      </c>
      <c r="CM183" s="30">
        <f t="shared" ref="CM183" si="1489">+CL183</f>
        <v>27.677588794397202</v>
      </c>
      <c r="CN183" s="30">
        <f t="shared" ref="CN183" si="1490">+CM183</f>
        <v>27.677588794397202</v>
      </c>
      <c r="CO183" s="30">
        <f t="shared" ref="CO183" si="1491">+CN183</f>
        <v>27.677588794397202</v>
      </c>
      <c r="CP183" s="30">
        <f t="shared" ref="CP183" si="1492">+CO183</f>
        <v>27.677588794397202</v>
      </c>
      <c r="CQ183" s="30">
        <f t="shared" ref="CQ183" si="1493">+CP183</f>
        <v>27.677588794397202</v>
      </c>
      <c r="CR183" s="30">
        <f t="shared" ref="CR183" si="1494">+CQ183</f>
        <v>27.677588794397202</v>
      </c>
      <c r="CS183" s="30">
        <f t="shared" ref="CS183" si="1495">+CR183</f>
        <v>27.677588794397202</v>
      </c>
      <c r="CT183" s="30">
        <f t="shared" ref="CT183" si="1496">+CS183</f>
        <v>27.677588794397202</v>
      </c>
      <c r="CU183" s="30">
        <f t="shared" ref="CU183" si="1497">+CT183</f>
        <v>27.677588794397202</v>
      </c>
      <c r="CV183" s="30">
        <f t="shared" ref="CV183" si="1498">+CU183</f>
        <v>27.677588794397202</v>
      </c>
      <c r="CW183" s="30">
        <f t="shared" ref="CW183" si="1499">+CV183</f>
        <v>27.677588794397202</v>
      </c>
      <c r="CX183" s="30">
        <f t="shared" ref="CX183" si="1500">+CW183</f>
        <v>27.677588794397202</v>
      </c>
      <c r="CY183" s="30">
        <f t="shared" ref="CY183" si="1501">+CX183</f>
        <v>27.677588794397202</v>
      </c>
      <c r="CZ183" s="30">
        <f t="shared" ref="CZ183" si="1502">+CY183</f>
        <v>27.677588794397202</v>
      </c>
      <c r="DA183" s="30">
        <f t="shared" ref="DA183" si="1503">+CZ183</f>
        <v>27.677588794397202</v>
      </c>
      <c r="DB183" s="30">
        <f t="shared" ref="DB183" si="1504">+DA183</f>
        <v>27.677588794397202</v>
      </c>
      <c r="DE183" s="139"/>
      <c r="DF183" s="62">
        <v>35.356273212484936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 t="e">
        <f t="shared" si="1505"/>
        <v>#DIV/0!</v>
      </c>
      <c r="G184" s="67">
        <f t="shared" si="1505"/>
        <v>599.11017342145522</v>
      </c>
      <c r="H184" s="67">
        <f t="shared" si="1505"/>
        <v>492.62110764963825</v>
      </c>
      <c r="I184" s="67">
        <f t="shared" si="1505"/>
        <v>490.73643866815416</v>
      </c>
      <c r="J184" s="67">
        <f t="shared" si="1505"/>
        <v>778.54059474306223</v>
      </c>
      <c r="K184" s="67">
        <f t="shared" si="1505"/>
        <v>238.39644734702961</v>
      </c>
      <c r="L184" s="67">
        <f t="shared" si="1505"/>
        <v>143.98022807707434</v>
      </c>
      <c r="M184" s="67">
        <f t="shared" si="1505"/>
        <v>302.97315351557194</v>
      </c>
      <c r="N184" s="67">
        <f t="shared" si="1505"/>
        <v>2972.6902732973695</v>
      </c>
      <c r="O184" s="67" t="e">
        <f t="shared" si="1505"/>
        <v>#DIV/0!</v>
      </c>
      <c r="P184" s="67">
        <f t="shared" si="1505"/>
        <v>31.150417552244789</v>
      </c>
      <c r="Q184" s="67">
        <f t="shared" si="1505"/>
        <v>83.987606088988272</v>
      </c>
      <c r="R184" s="67">
        <f t="shared" si="1505"/>
        <v>89.036192564005461</v>
      </c>
      <c r="S184" s="67">
        <f t="shared" si="1505"/>
        <v>0.73010404283312214</v>
      </c>
      <c r="T184" s="67">
        <f t="shared" si="1505"/>
        <v>13.892577629313598</v>
      </c>
      <c r="U184" s="67">
        <f t="shared" si="1505"/>
        <v>564.3066783831282</v>
      </c>
      <c r="V184" s="67">
        <f t="shared" si="1505"/>
        <v>2709.9061995278921</v>
      </c>
      <c r="W184" s="67">
        <f t="shared" ref="W184" si="1506">W185-W183</f>
        <v>232.42307845109332</v>
      </c>
      <c r="X184" s="67">
        <f t="shared" ref="X184:Y184" si="1507">X185-X183</f>
        <v>100.83489832999825</v>
      </c>
      <c r="Y184" s="67">
        <f t="shared" si="1507"/>
        <v>83.404577075143351</v>
      </c>
      <c r="Z184" s="67">
        <f t="shared" ref="Z184:AA184" si="1508">Z185-Z183</f>
        <v>39.838069193503969</v>
      </c>
      <c r="AA184" s="67">
        <f t="shared" si="1508"/>
        <v>96.646681356723576</v>
      </c>
      <c r="AB184" s="18">
        <f t="shared" ref="AA184:AD184" si="1509">AB185-AB183</f>
        <v>100.1942206636471</v>
      </c>
      <c r="AC184" s="18">
        <f t="shared" si="1509"/>
        <v>100.72810969208905</v>
      </c>
      <c r="AD184" s="18">
        <f t="shared" si="1509"/>
        <v>100.79468725615693</v>
      </c>
      <c r="AE184" s="18">
        <f t="shared" ref="AE184" si="1510">AE185-AE183</f>
        <v>100.8004840517782</v>
      </c>
      <c r="AI184" s="67">
        <f t="shared" ref="AI184:AK184" si="1511">AI185-AI183</f>
        <v>0</v>
      </c>
      <c r="AJ184" s="67" t="e">
        <f t="shared" ref="AJ184:AM184" si="1512">AJ185-AJ183</f>
        <v>#DIV/0!</v>
      </c>
      <c r="AK184" s="67" t="e">
        <f t="shared" si="1511"/>
        <v>#DIV/0!</v>
      </c>
      <c r="AL184" s="67" t="e">
        <f t="shared" si="1512"/>
        <v>#DIV/0!</v>
      </c>
      <c r="AM184" s="67" t="e">
        <f t="shared" si="1512"/>
        <v>#DIV/0!</v>
      </c>
      <c r="AN184" s="67" t="e">
        <f t="shared" ref="AN184:AY184" si="1513">AN185-AN183</f>
        <v>#DIV/0!</v>
      </c>
      <c r="AO184" s="67" t="e">
        <f t="shared" si="1513"/>
        <v>#DIV/0!</v>
      </c>
      <c r="AP184" s="67" t="e">
        <f t="shared" si="1513"/>
        <v>#DIV/0!</v>
      </c>
      <c r="AQ184" s="67" t="e">
        <f t="shared" si="1513"/>
        <v>#DIV/0!</v>
      </c>
      <c r="AR184" s="67" t="e">
        <f t="shared" si="1513"/>
        <v>#DIV/0!</v>
      </c>
      <c r="AS184" s="67" t="e">
        <f t="shared" si="1513"/>
        <v>#DIV/0!</v>
      </c>
      <c r="AT184" s="67">
        <f t="shared" si="1513"/>
        <v>12.877039304252484</v>
      </c>
      <c r="AU184" s="67" t="e">
        <f t="shared" si="1513"/>
        <v>#DIV/0!</v>
      </c>
      <c r="AV184" s="67">
        <f t="shared" si="1513"/>
        <v>120.33999071063633</v>
      </c>
      <c r="AW184" s="67">
        <f t="shared" si="1513"/>
        <v>100.91610189296568</v>
      </c>
      <c r="AX184" s="67">
        <f t="shared" si="1513"/>
        <v>25.219702633109062</v>
      </c>
      <c r="AY184" s="67" t="e">
        <f t="shared" si="1513"/>
        <v>#DIV/0!</v>
      </c>
      <c r="AZ184" s="67">
        <f t="shared" ref="AZ184:BC184" si="1514">AZ185-AZ183</f>
        <v>173.13765182186233</v>
      </c>
      <c r="BA184" s="67">
        <f t="shared" si="1514"/>
        <v>85.201366159100601</v>
      </c>
      <c r="BB184" s="67">
        <f t="shared" si="1514"/>
        <v>65.399471565173613</v>
      </c>
      <c r="BC184" s="67" t="e">
        <f t="shared" si="1514"/>
        <v>#DIV/0!</v>
      </c>
      <c r="BD184" s="67">
        <f t="shared" ref="BD184:CE184" si="1515">BD185-BD183</f>
        <v>1.3505737731716039</v>
      </c>
      <c r="BE184" s="67">
        <f t="shared" si="1515"/>
        <v>0.37761892573769273</v>
      </c>
      <c r="BF184" s="67">
        <f t="shared" si="1515"/>
        <v>0.48247278246402603</v>
      </c>
      <c r="BG184" s="67" t="e">
        <f t="shared" si="1515"/>
        <v>#DIV/0!</v>
      </c>
      <c r="BH184" s="67" t="e">
        <f t="shared" si="1515"/>
        <v>#DIV/0!</v>
      </c>
      <c r="BI184" s="67" t="e">
        <f t="shared" si="1515"/>
        <v>#DIV/0!</v>
      </c>
      <c r="BJ184" s="67">
        <f t="shared" si="1515"/>
        <v>22.172330097087379</v>
      </c>
      <c r="BK184" s="67" t="e">
        <f t="shared" si="1515"/>
        <v>#DIV/0!</v>
      </c>
      <c r="BL184" s="67" t="e">
        <f t="shared" si="1515"/>
        <v>#DIV/0!</v>
      </c>
      <c r="BM184" s="67" t="e">
        <f t="shared" si="1515"/>
        <v>#DIV/0!</v>
      </c>
      <c r="BN184" s="67">
        <f t="shared" si="1515"/>
        <v>141.4059753954306</v>
      </c>
      <c r="BO184" s="67" t="e">
        <f t="shared" si="1515"/>
        <v>#DIV/0!</v>
      </c>
      <c r="BP184" s="67" t="e">
        <f t="shared" si="1515"/>
        <v>#DIV/0!</v>
      </c>
      <c r="BQ184" s="67" t="e">
        <f t="shared" si="1515"/>
        <v>#DIV/0!</v>
      </c>
      <c r="BR184" s="67">
        <f t="shared" si="1515"/>
        <v>671.25465838509319</v>
      </c>
      <c r="BS184" s="67">
        <f t="shared" si="1515"/>
        <v>289.42688805570435</v>
      </c>
      <c r="BT184" s="67">
        <f t="shared" si="1515"/>
        <v>437.40122199592673</v>
      </c>
      <c r="BU184" s="67">
        <f t="shared" si="1515"/>
        <v>167.04485351309307</v>
      </c>
      <c r="BV184" s="67">
        <f t="shared" si="1515"/>
        <v>153.64375615061891</v>
      </c>
      <c r="BW184" s="67">
        <f t="shared" si="1515"/>
        <v>58.42705481475646</v>
      </c>
      <c r="BX184" s="67">
        <f t="shared" si="1515"/>
        <v>551.19979716024341</v>
      </c>
      <c r="BY184" s="67">
        <f t="shared" si="1515"/>
        <v>279.14345391977264</v>
      </c>
      <c r="BZ184" s="67">
        <f t="shared" si="1515"/>
        <v>39.190441295194567</v>
      </c>
      <c r="CA184" s="67">
        <f t="shared" si="1515"/>
        <v>62.582359824669275</v>
      </c>
      <c r="CB184" s="67">
        <f t="shared" si="1515"/>
        <v>104.09369140101795</v>
      </c>
      <c r="CC184" s="67">
        <f t="shared" si="1515"/>
        <v>47.949672690478096</v>
      </c>
      <c r="CD184" s="67">
        <f t="shared" si="1515"/>
        <v>59.211392200226541</v>
      </c>
      <c r="CE184" s="114">
        <f t="shared" si="1515"/>
        <v>61.139179404666123</v>
      </c>
      <c r="CF184" s="67">
        <f t="shared" ref="CF184:CG184" si="1516">CF185-CF183</f>
        <v>47.825516239493616</v>
      </c>
      <c r="CG184" s="67">
        <f t="shared" si="1516"/>
        <v>63.505959352394079</v>
      </c>
      <c r="CH184" s="67">
        <f t="shared" ref="CH184" si="1517">CH185-CH183</f>
        <v>29.877380855064178</v>
      </c>
      <c r="CI184" s="67">
        <f>CH184</f>
        <v>29.877380855064178</v>
      </c>
      <c r="CJ184" s="67">
        <f t="shared" ref="CJ184:CL184" si="1518">CJ185-CJ183</f>
        <v>80.707135302653896</v>
      </c>
      <c r="CK184" s="30">
        <f t="shared" ref="CK184:DB184" si="1519">CJ184</f>
        <v>80.707135302653896</v>
      </c>
      <c r="CL184" s="67">
        <f t="shared" si="1518"/>
        <v>58.162831415707849</v>
      </c>
      <c r="CM184" s="30">
        <f t="shared" si="1519"/>
        <v>58.162831415707849</v>
      </c>
      <c r="CN184" s="30">
        <f t="shared" si="1519"/>
        <v>58.162831415707849</v>
      </c>
      <c r="CO184" s="30">
        <f t="shared" si="1519"/>
        <v>58.162831415707849</v>
      </c>
      <c r="CP184" s="30">
        <f t="shared" si="1519"/>
        <v>58.162831415707849</v>
      </c>
      <c r="CQ184" s="30">
        <f t="shared" si="1519"/>
        <v>58.162831415707849</v>
      </c>
      <c r="CR184" s="30">
        <f t="shared" si="1519"/>
        <v>58.162831415707849</v>
      </c>
      <c r="CS184" s="30">
        <f t="shared" si="1519"/>
        <v>58.162831415707849</v>
      </c>
      <c r="CT184" s="30">
        <f t="shared" si="1519"/>
        <v>58.162831415707849</v>
      </c>
      <c r="CU184" s="30">
        <f t="shared" si="1519"/>
        <v>58.162831415707849</v>
      </c>
      <c r="CV184" s="30">
        <f t="shared" si="1519"/>
        <v>58.162831415707849</v>
      </c>
      <c r="CW184" s="30">
        <f t="shared" si="1519"/>
        <v>58.162831415707849</v>
      </c>
      <c r="CX184" s="30">
        <f t="shared" si="1519"/>
        <v>58.162831415707849</v>
      </c>
      <c r="CY184" s="30">
        <f t="shared" si="1519"/>
        <v>58.162831415707849</v>
      </c>
      <c r="CZ184" s="30">
        <f t="shared" si="1519"/>
        <v>58.162831415707849</v>
      </c>
      <c r="DA184" s="30">
        <f t="shared" si="1519"/>
        <v>58.162831415707849</v>
      </c>
      <c r="DB184" s="30">
        <f t="shared" si="1519"/>
        <v>58.162831415707849</v>
      </c>
      <c r="DE184" s="139"/>
      <c r="DF184" s="62">
        <v>80.707135302653896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 t="e">
        <f t="shared" si="1520"/>
        <v>#DIV/0!</v>
      </c>
      <c r="G185" s="70">
        <f t="shared" si="1520"/>
        <v>879.69807848081291</v>
      </c>
      <c r="H185" s="70">
        <f t="shared" si="1520"/>
        <v>534.8569304555582</v>
      </c>
      <c r="I185" s="70">
        <f t="shared" si="1520"/>
        <v>555.2384735233926</v>
      </c>
      <c r="J185" s="70">
        <f t="shared" si="1520"/>
        <v>1072.0776356466558</v>
      </c>
      <c r="K185" s="70">
        <f t="shared" si="1520"/>
        <v>357.8406782084715</v>
      </c>
      <c r="L185" s="70">
        <f t="shared" si="1520"/>
        <v>205.6962177814321</v>
      </c>
      <c r="M185" s="70">
        <f t="shared" si="1520"/>
        <v>387.75143863070872</v>
      </c>
      <c r="N185" s="70">
        <f t="shared" si="1520"/>
        <v>2972.6902732973695</v>
      </c>
      <c r="O185" s="70" t="e">
        <f t="shared" si="1520"/>
        <v>#DIV/0!</v>
      </c>
      <c r="P185" s="70">
        <f t="shared" si="1520"/>
        <v>60.819543942981078</v>
      </c>
      <c r="Q185" s="70">
        <f t="shared" si="1520"/>
        <v>83.987606088988272</v>
      </c>
      <c r="R185" s="70">
        <f t="shared" si="1520"/>
        <v>89.036192564005461</v>
      </c>
      <c r="S185" s="70">
        <f t="shared" si="1520"/>
        <v>0.82708038295407837</v>
      </c>
      <c r="T185" s="70">
        <f t="shared" si="1520"/>
        <v>15.289596608797646</v>
      </c>
      <c r="U185" s="70">
        <f t="shared" si="1520"/>
        <v>954.96572934973631</v>
      </c>
      <c r="V185" s="70">
        <f t="shared" si="1520"/>
        <v>2722.6034289973913</v>
      </c>
      <c r="W185" s="70">
        <f t="shared" si="1520"/>
        <v>299.16221115866909</v>
      </c>
      <c r="X185" s="70">
        <f t="shared" si="1520"/>
        <v>124.73195170116146</v>
      </c>
      <c r="Y185" s="70">
        <f t="shared" si="1520"/>
        <v>94.542393170383377</v>
      </c>
      <c r="Z185" s="70">
        <f t="shared" si="1520"/>
        <v>68.151939474161637</v>
      </c>
      <c r="AA185" s="70">
        <f t="shared" ref="AA185" si="1521">AA156/AA8*365</f>
        <v>142.64654470503166</v>
      </c>
      <c r="AB185" s="71">
        <f t="shared" si="1520"/>
        <v>147.87302810139141</v>
      </c>
      <c r="AC185" s="71">
        <f t="shared" si="1520"/>
        <v>148.66097561755453</v>
      </c>
      <c r="AD185" s="71">
        <f t="shared" si="1520"/>
        <v>148.75923503748038</v>
      </c>
      <c r="AE185" s="71">
        <f t="shared" si="1520"/>
        <v>148.76779031857467</v>
      </c>
      <c r="AI185" s="70">
        <f t="shared" ref="AI185:CD185" si="1522">AI156/AI8*90</f>
        <v>0</v>
      </c>
      <c r="AJ185" s="70" t="e">
        <f t="shared" si="1522"/>
        <v>#DIV/0!</v>
      </c>
      <c r="AK185" s="70" t="e">
        <f>AK156/AK8*90</f>
        <v>#DIV/0!</v>
      </c>
      <c r="AL185" s="70" t="e">
        <f t="shared" si="1522"/>
        <v>#DIV/0!</v>
      </c>
      <c r="AM185" s="70" t="e">
        <f t="shared" si="1522"/>
        <v>#DIV/0!</v>
      </c>
      <c r="AN185" s="70" t="e">
        <f t="shared" si="1522"/>
        <v>#DIV/0!</v>
      </c>
      <c r="AO185" s="70" t="e">
        <f t="shared" si="1522"/>
        <v>#DIV/0!</v>
      </c>
      <c r="AP185" s="70" t="e">
        <f t="shared" si="1522"/>
        <v>#DIV/0!</v>
      </c>
      <c r="AQ185" s="70" t="e">
        <f t="shared" si="1522"/>
        <v>#DIV/0!</v>
      </c>
      <c r="AR185" s="70" t="e">
        <f t="shared" si="1522"/>
        <v>#DIV/0!</v>
      </c>
      <c r="AS185" s="70" t="e">
        <f t="shared" si="1522"/>
        <v>#DIV/0!</v>
      </c>
      <c r="AT185" s="70">
        <f t="shared" si="1522"/>
        <v>25.141473609675593</v>
      </c>
      <c r="AU185" s="70" t="e">
        <f t="shared" si="1522"/>
        <v>#DIV/0!</v>
      </c>
      <c r="AV185" s="70">
        <f t="shared" si="1522"/>
        <v>261.84022294472828</v>
      </c>
      <c r="AW185" s="70">
        <f t="shared" si="1522"/>
        <v>242.41633412705764</v>
      </c>
      <c r="AX185" s="70">
        <f t="shared" si="1522"/>
        <v>25.219702633109062</v>
      </c>
      <c r="AY185" s="70" t="e">
        <f t="shared" si="1522"/>
        <v>#DIV/0!</v>
      </c>
      <c r="AZ185" s="70">
        <f t="shared" si="1522"/>
        <v>267.353961827646</v>
      </c>
      <c r="BA185" s="70">
        <f t="shared" si="1522"/>
        <v>179.41767616488428</v>
      </c>
      <c r="BB185" s="70">
        <f t="shared" si="1522"/>
        <v>65.399471565173613</v>
      </c>
      <c r="BC185" s="70" t="e">
        <f t="shared" si="1522"/>
        <v>#DIV/0!</v>
      </c>
      <c r="BD185" s="70">
        <f t="shared" si="1522"/>
        <v>90.026481838689634</v>
      </c>
      <c r="BE185" s="70">
        <f t="shared" si="1522"/>
        <v>89.053526991255723</v>
      </c>
      <c r="BF185" s="70">
        <f t="shared" si="1522"/>
        <v>0.48247278246402603</v>
      </c>
      <c r="BG185" s="70" t="e">
        <f t="shared" si="1522"/>
        <v>#DIV/0!</v>
      </c>
      <c r="BH185" s="70" t="e">
        <f t="shared" si="1522"/>
        <v>#DIV/0!</v>
      </c>
      <c r="BI185" s="70" t="e">
        <f t="shared" si="1522"/>
        <v>#DIV/0!</v>
      </c>
      <c r="BJ185" s="70">
        <f t="shared" si="1522"/>
        <v>22.172330097087379</v>
      </c>
      <c r="BK185" s="70" t="e">
        <f t="shared" si="1522"/>
        <v>#DIV/0!</v>
      </c>
      <c r="BL185" s="70" t="e">
        <f t="shared" si="1522"/>
        <v>#DIV/0!</v>
      </c>
      <c r="BM185" s="70" t="e">
        <f t="shared" si="1522"/>
        <v>#DIV/0!</v>
      </c>
      <c r="BN185" s="70">
        <f t="shared" si="1522"/>
        <v>235.51845342706505</v>
      </c>
      <c r="BO185" s="70" t="e">
        <f t="shared" si="1522"/>
        <v>#DIV/0!</v>
      </c>
      <c r="BP185" s="70" t="e">
        <f t="shared" si="1522"/>
        <v>#DIV/0!</v>
      </c>
      <c r="BQ185" s="70" t="e">
        <f t="shared" si="1522"/>
        <v>#DIV/0!</v>
      </c>
      <c r="BR185" s="70">
        <f t="shared" si="1522"/>
        <v>671.25465838509319</v>
      </c>
      <c r="BS185" s="70">
        <f t="shared" si="1522"/>
        <v>289.42688805570435</v>
      </c>
      <c r="BT185" s="70">
        <f t="shared" si="1522"/>
        <v>526.7535641547862</v>
      </c>
      <c r="BU185" s="70">
        <f t="shared" si="1522"/>
        <v>256.39719567195255</v>
      </c>
      <c r="BV185" s="70">
        <f t="shared" si="1522"/>
        <v>193.80742735795306</v>
      </c>
      <c r="BW185" s="70">
        <f t="shared" si="1522"/>
        <v>98.590726022090593</v>
      </c>
      <c r="BX185" s="70">
        <f t="shared" si="1522"/>
        <v>597.4563894523327</v>
      </c>
      <c r="BY185" s="70">
        <f t="shared" si="1522"/>
        <v>325.40004621186188</v>
      </c>
      <c r="BZ185" s="70">
        <f t="shared" si="1522"/>
        <v>48.424478034603112</v>
      </c>
      <c r="CA185" s="70">
        <f t="shared" si="1522"/>
        <v>71.81639656407782</v>
      </c>
      <c r="CB185" s="70">
        <f t="shared" si="1522"/>
        <v>119.30484864720064</v>
      </c>
      <c r="CC185" s="70">
        <f t="shared" si="1522"/>
        <v>63.160829936660789</v>
      </c>
      <c r="CD185" s="70">
        <f t="shared" si="1522"/>
        <v>66.954528291709366</v>
      </c>
      <c r="CE185" s="115">
        <f>CE156/CE10*90</f>
        <v>68.882315496148948</v>
      </c>
      <c r="CF185" s="70">
        <f>CF156/CF8*90</f>
        <v>63.203123378644804</v>
      </c>
      <c r="CG185" s="70">
        <f>CG156/CG10*90</f>
        <v>78.883566491545267</v>
      </c>
      <c r="CH185" s="70">
        <f>CH156/CH8*90</f>
        <v>51.111951279326419</v>
      </c>
      <c r="CI185" s="70">
        <f>CI183+CI184</f>
        <v>51.111951279326419</v>
      </c>
      <c r="CJ185" s="70">
        <f>CJ156/CJ8*90</f>
        <v>116.06340851513883</v>
      </c>
      <c r="CK185" s="50">
        <f t="shared" ref="CK185:DB185" si="1523">CK183+CK184</f>
        <v>116.06340851513883</v>
      </c>
      <c r="CL185" s="70">
        <f>CL156/CL8*90</f>
        <v>85.840420210105052</v>
      </c>
      <c r="CM185" s="50">
        <f t="shared" si="1523"/>
        <v>85.840420210105052</v>
      </c>
      <c r="CN185" s="50">
        <f t="shared" si="1523"/>
        <v>85.840420210105052</v>
      </c>
      <c r="CO185" s="50">
        <f t="shared" si="1523"/>
        <v>85.840420210105052</v>
      </c>
      <c r="CP185" s="50">
        <f t="shared" si="1523"/>
        <v>85.840420210105052</v>
      </c>
      <c r="CQ185" s="50">
        <f t="shared" si="1523"/>
        <v>85.840420210105052</v>
      </c>
      <c r="CR185" s="50">
        <f t="shared" si="1523"/>
        <v>85.840420210105052</v>
      </c>
      <c r="CS185" s="50">
        <f t="shared" si="1523"/>
        <v>85.840420210105052</v>
      </c>
      <c r="CT185" s="50">
        <f t="shared" si="1523"/>
        <v>85.840420210105052</v>
      </c>
      <c r="CU185" s="50">
        <f t="shared" si="1523"/>
        <v>85.840420210105052</v>
      </c>
      <c r="CV185" s="50">
        <f t="shared" si="1523"/>
        <v>85.840420210105052</v>
      </c>
      <c r="CW185" s="50">
        <f t="shared" si="1523"/>
        <v>85.840420210105052</v>
      </c>
      <c r="CX185" s="50">
        <f t="shared" si="1523"/>
        <v>85.840420210105052</v>
      </c>
      <c r="CY185" s="50">
        <f t="shared" si="1523"/>
        <v>85.840420210105052</v>
      </c>
      <c r="CZ185" s="50">
        <f t="shared" si="1523"/>
        <v>85.840420210105052</v>
      </c>
      <c r="DA185" s="50">
        <f t="shared" si="1523"/>
        <v>85.840420210105052</v>
      </c>
      <c r="DB185" s="50">
        <f t="shared" si="1523"/>
        <v>85.840420210105052</v>
      </c>
      <c r="DE185" s="138"/>
      <c r="DF185" s="7">
        <v>116.06340851513883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 t="e">
        <f t="shared" si="1524"/>
        <v>#DIV/0!</v>
      </c>
      <c r="G186" s="70">
        <f t="shared" si="1524"/>
        <v>1746.9686806967693</v>
      </c>
      <c r="H186" s="70">
        <f t="shared" si="1524"/>
        <v>721.61710176815939</v>
      </c>
      <c r="I186" s="70">
        <f t="shared" si="1524"/>
        <v>111.92688086698047</v>
      </c>
      <c r="J186" s="70">
        <f t="shared" si="1524"/>
        <v>-119.88517163672282</v>
      </c>
      <c r="K186" s="70">
        <f t="shared" si="1524"/>
        <v>429.16919632483388</v>
      </c>
      <c r="L186" s="70">
        <f t="shared" si="1524"/>
        <v>135.13311764916165</v>
      </c>
      <c r="M186" s="70">
        <f t="shared" si="1524"/>
        <v>-131.87083470791742</v>
      </c>
      <c r="N186" s="70">
        <f t="shared" si="1524"/>
        <v>-1401.8060675531485</v>
      </c>
      <c r="O186" s="70" t="e">
        <f t="shared" si="1524"/>
        <v>#DIV/0!</v>
      </c>
      <c r="P186" s="70">
        <f t="shared" si="1524"/>
        <v>149.13655717510471</v>
      </c>
      <c r="Q186" s="70">
        <f t="shared" si="1524"/>
        <v>310.07460249811186</v>
      </c>
      <c r="R186" s="70">
        <f t="shared" si="1524"/>
        <v>1026.108720651396</v>
      </c>
      <c r="S186" s="70">
        <f t="shared" si="1524"/>
        <v>215.60050567337845</v>
      </c>
      <c r="T186" s="70">
        <f t="shared" si="1524"/>
        <v>3738.0447427446516</v>
      </c>
      <c r="U186" s="70">
        <f t="shared" si="1524"/>
        <v>95226.126537785589</v>
      </c>
      <c r="V186" s="70">
        <f t="shared" si="1524"/>
        <v>64987.413343272463</v>
      </c>
      <c r="W186" s="70">
        <f t="shared" ref="W186" si="1525">W182-W185</f>
        <v>3196.9613714252264</v>
      </c>
      <c r="X186" s="70">
        <f t="shared" ref="X186:Y186" si="1526">X182-X185</f>
        <v>424.09819510437836</v>
      </c>
      <c r="Y186" s="70">
        <f t="shared" si="1526"/>
        <v>229.73008617985897</v>
      </c>
      <c r="Z186" s="70">
        <f t="shared" ref="Z186:AA186" si="1527">Z182-Z185</f>
        <v>246.23134604143013</v>
      </c>
      <c r="AA186" s="70">
        <f t="shared" si="1527"/>
        <v>322.97374009986953</v>
      </c>
      <c r="AB186" s="71">
        <f t="shared" ref="AA186:AD186" si="1528">AB182-AB185</f>
        <v>351.17851363232342</v>
      </c>
      <c r="AC186" s="71">
        <f t="shared" si="1528"/>
        <v>353.04978279546441</v>
      </c>
      <c r="AD186" s="71">
        <f t="shared" si="1528"/>
        <v>353.28313567585786</v>
      </c>
      <c r="AE186" s="71">
        <f t="shared" ref="AE186" si="1529">AE182-AE185</f>
        <v>353.30345331550433</v>
      </c>
      <c r="AI186" s="70">
        <f t="shared" ref="AI186:AK186" si="1530">AI182-AI185</f>
        <v>0</v>
      </c>
      <c r="AJ186" s="70" t="e">
        <f t="shared" ref="AJ186:AM186" si="1531">AJ182-AJ185</f>
        <v>#DIV/0!</v>
      </c>
      <c r="AK186" s="70" t="e">
        <f t="shared" si="1530"/>
        <v>#DIV/0!</v>
      </c>
      <c r="AL186" s="70" t="e">
        <f t="shared" si="1531"/>
        <v>#DIV/0!</v>
      </c>
      <c r="AM186" s="70" t="e">
        <f t="shared" si="1531"/>
        <v>#DIV/0!</v>
      </c>
      <c r="AN186" s="70" t="e">
        <f t="shared" ref="AN186:AY186" si="1532">AN182-AN185</f>
        <v>#DIV/0!</v>
      </c>
      <c r="AO186" s="70" t="e">
        <f t="shared" si="1532"/>
        <v>#DIV/0!</v>
      </c>
      <c r="AP186" s="70" t="e">
        <f t="shared" si="1532"/>
        <v>#DIV/0!</v>
      </c>
      <c r="AQ186" s="70" t="e">
        <f t="shared" si="1532"/>
        <v>#DIV/0!</v>
      </c>
      <c r="AR186" s="70" t="e">
        <f t="shared" si="1532"/>
        <v>#DIV/0!</v>
      </c>
      <c r="AS186" s="70" t="e">
        <f t="shared" si="1532"/>
        <v>#DIV/0!</v>
      </c>
      <c r="AT186" s="70">
        <f t="shared" si="1532"/>
        <v>61.650059101992348</v>
      </c>
      <c r="AU186" s="70" t="e">
        <f t="shared" si="1532"/>
        <v>#DIV/0!</v>
      </c>
      <c r="AV186" s="70">
        <f t="shared" si="1532"/>
        <v>1090.7849512308405</v>
      </c>
      <c r="AW186" s="70">
        <f t="shared" si="1532"/>
        <v>900.6321777783179</v>
      </c>
      <c r="AX186" s="70">
        <f t="shared" si="1532"/>
        <v>93.111554115790341</v>
      </c>
      <c r="AY186" s="70" t="e">
        <f t="shared" si="1532"/>
        <v>#DIV/0!</v>
      </c>
      <c r="AZ186" s="70">
        <f t="shared" ref="AZ186:BC186" si="1533">AZ182-AZ185</f>
        <v>968.64083285135905</v>
      </c>
      <c r="BA186" s="70">
        <f t="shared" si="1533"/>
        <v>457.38366548328884</v>
      </c>
      <c r="BB186" s="70">
        <f t="shared" si="1533"/>
        <v>753.67639657775533</v>
      </c>
      <c r="BC186" s="70" t="e">
        <f t="shared" si="1533"/>
        <v>#DIV/0!</v>
      </c>
      <c r="BD186" s="70">
        <f t="shared" ref="BD186:CE186" si="1534">BD182-BD185</f>
        <v>390.68362376172894</v>
      </c>
      <c r="BE186" s="70">
        <f t="shared" si="1534"/>
        <v>103.95234641381654</v>
      </c>
      <c r="BF186" s="70">
        <f t="shared" si="1534"/>
        <v>125.56288491287471</v>
      </c>
      <c r="BG186" s="70" t="e">
        <f t="shared" si="1534"/>
        <v>#DIV/0!</v>
      </c>
      <c r="BH186" s="70" t="e">
        <f t="shared" si="1534"/>
        <v>#DIV/0!</v>
      </c>
      <c r="BI186" s="70" t="e">
        <f t="shared" si="1534"/>
        <v>#DIV/0!</v>
      </c>
      <c r="BJ186" s="70">
        <f t="shared" si="1534"/>
        <v>5435.9708737864084</v>
      </c>
      <c r="BK186" s="70" t="e">
        <f t="shared" si="1534"/>
        <v>#DIV/0!</v>
      </c>
      <c r="BL186" s="70" t="e">
        <f t="shared" si="1534"/>
        <v>#DIV/0!</v>
      </c>
      <c r="BM186" s="70" t="e">
        <f t="shared" si="1534"/>
        <v>#DIV/0!</v>
      </c>
      <c r="BN186" s="70">
        <f t="shared" si="1534"/>
        <v>23480.351493848859</v>
      </c>
      <c r="BO186" s="70" t="e">
        <f t="shared" si="1534"/>
        <v>#DIV/0!</v>
      </c>
      <c r="BP186" s="70" t="e">
        <f t="shared" si="1534"/>
        <v>#DIV/0!</v>
      </c>
      <c r="BQ186" s="70" t="e">
        <f t="shared" si="1534"/>
        <v>#DIV/0!</v>
      </c>
      <c r="BR186" s="70">
        <f t="shared" si="1534"/>
        <v>16022.236024844718</v>
      </c>
      <c r="BS186" s="70">
        <f t="shared" si="1534"/>
        <v>6908.3556507766461</v>
      </c>
      <c r="BT186" s="70">
        <f t="shared" si="1534"/>
        <v>2811.8615071283093</v>
      </c>
      <c r="BU186" s="70">
        <f t="shared" si="1534"/>
        <v>1222.3678798090809</v>
      </c>
      <c r="BV186" s="70">
        <f t="shared" si="1534"/>
        <v>1959.1117211374115</v>
      </c>
      <c r="BW186" s="70">
        <f t="shared" si="1534"/>
        <v>891.13335038032187</v>
      </c>
      <c r="BX186" s="70">
        <f t="shared" si="1534"/>
        <v>555.41379310344826</v>
      </c>
      <c r="BY186" s="70">
        <f t="shared" si="1534"/>
        <v>411.70348115584318</v>
      </c>
      <c r="BZ186" s="70">
        <f t="shared" si="1534"/>
        <v>166.62365083899496</v>
      </c>
      <c r="CA186" s="70">
        <f t="shared" si="1534"/>
        <v>235.70029005923692</v>
      </c>
      <c r="CB186" s="70">
        <f t="shared" si="1534"/>
        <v>181.37001071524247</v>
      </c>
      <c r="CC186" s="70">
        <f t="shared" si="1534"/>
        <v>149.14741475240447</v>
      </c>
      <c r="CD186" s="70">
        <f t="shared" si="1534"/>
        <v>166.7522520092777</v>
      </c>
      <c r="CE186" s="115">
        <f t="shared" si="1534"/>
        <v>169.17103909123909</v>
      </c>
      <c r="CF186" s="70">
        <f t="shared" ref="CF186:CG186" si="1535">CF182-CF185</f>
        <v>185.26066203175259</v>
      </c>
      <c r="CG186" s="70">
        <f t="shared" si="1535"/>
        <v>231.50266707668163</v>
      </c>
      <c r="CH186" s="70">
        <f t="shared" ref="CH186:CI186" si="1536">CH182-CH185</f>
        <v>184.666271560533</v>
      </c>
      <c r="CI186" s="70">
        <f t="shared" si="1536"/>
        <v>184.666271560533</v>
      </c>
      <c r="CJ186" s="70">
        <f t="shared" ref="CJ186:DB186" si="1537">CJ182-CJ185</f>
        <v>345.03357355436947</v>
      </c>
      <c r="CK186" s="50">
        <f t="shared" si="1537"/>
        <v>345.03357355436958</v>
      </c>
      <c r="CL186" s="70">
        <f t="shared" ref="CL186" si="1538">CL182-CL185</f>
        <v>203.85942971485747</v>
      </c>
      <c r="CM186" s="50">
        <f t="shared" si="1537"/>
        <v>203.85942971485747</v>
      </c>
      <c r="CN186" s="50">
        <f t="shared" si="1537"/>
        <v>203.85942971485747</v>
      </c>
      <c r="CO186" s="50">
        <f t="shared" si="1537"/>
        <v>203.85942971485747</v>
      </c>
      <c r="CP186" s="50">
        <f t="shared" si="1537"/>
        <v>203.85942971485747</v>
      </c>
      <c r="CQ186" s="50">
        <f t="shared" si="1537"/>
        <v>203.85942971485747</v>
      </c>
      <c r="CR186" s="50">
        <f t="shared" si="1537"/>
        <v>203.85942971485747</v>
      </c>
      <c r="CS186" s="50">
        <f t="shared" si="1537"/>
        <v>203.85942971485747</v>
      </c>
      <c r="CT186" s="50">
        <f t="shared" si="1537"/>
        <v>203.85942971485747</v>
      </c>
      <c r="CU186" s="50">
        <f t="shared" si="1537"/>
        <v>203.85942971485747</v>
      </c>
      <c r="CV186" s="50">
        <f t="shared" si="1537"/>
        <v>203.85942971485747</v>
      </c>
      <c r="CW186" s="50">
        <f t="shared" si="1537"/>
        <v>203.85942971485747</v>
      </c>
      <c r="CX186" s="50">
        <f t="shared" si="1537"/>
        <v>203.85942971485747</v>
      </c>
      <c r="CY186" s="50">
        <f t="shared" si="1537"/>
        <v>203.85942971485747</v>
      </c>
      <c r="CZ186" s="50">
        <f t="shared" si="1537"/>
        <v>203.85942971485747</v>
      </c>
      <c r="DA186" s="50">
        <f t="shared" si="1537"/>
        <v>203.85942971485747</v>
      </c>
      <c r="DB186" s="50">
        <f t="shared" si="1537"/>
        <v>203.85942971485747</v>
      </c>
      <c r="DE186" s="138"/>
      <c r="DF186" s="7">
        <v>345.03357355436958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 t="e">
        <f t="shared" si="1539"/>
        <v>#DIV/0!</v>
      </c>
      <c r="H188" s="86">
        <f t="shared" si="1539"/>
        <v>1.0432776486502626</v>
      </c>
      <c r="I188" s="86">
        <f t="shared" si="1539"/>
        <v>2.328774801550741</v>
      </c>
      <c r="J188" s="86">
        <f t="shared" si="1539"/>
        <v>0.1873226415527065</v>
      </c>
      <c r="K188" s="86">
        <f t="shared" si="1539"/>
        <v>0.14644001581871557</v>
      </c>
      <c r="L188" s="86">
        <f t="shared" si="1539"/>
        <v>0.98417033123082565</v>
      </c>
      <c r="M188" s="86">
        <f t="shared" si="1539"/>
        <v>0.4199801236907017</v>
      </c>
      <c r="N188" s="86">
        <f t="shared" si="1539"/>
        <v>-0.91864898820536312</v>
      </c>
      <c r="O188" s="86">
        <f t="shared" si="1539"/>
        <v>-1</v>
      </c>
      <c r="P188" s="86" t="e">
        <f t="shared" si="1539"/>
        <v>#DIV/0!</v>
      </c>
      <c r="Q188" s="86">
        <f t="shared" si="1539"/>
        <v>-0.55054743230922254</v>
      </c>
      <c r="R188" s="86">
        <f t="shared" si="1539"/>
        <v>-0.64115097599773785</v>
      </c>
      <c r="S188" s="86">
        <f t="shared" si="1539"/>
        <v>4.1269098644924256</v>
      </c>
      <c r="T188" s="86">
        <f t="shared" si="1539"/>
        <v>-0.93994654921994647</v>
      </c>
      <c r="U188" s="86">
        <f t="shared" si="1539"/>
        <v>-0.9609984292367737</v>
      </c>
      <c r="V188" s="86">
        <f t="shared" si="1539"/>
        <v>0.41558213155117829</v>
      </c>
      <c r="W188" s="86">
        <f t="shared" si="1539"/>
        <v>58.416946204497457</v>
      </c>
      <c r="X188" s="86">
        <f t="shared" si="1539"/>
        <v>6.9519369698084876</v>
      </c>
      <c r="Y188" s="86">
        <f t="shared" si="1539"/>
        <v>1.5202206684740167</v>
      </c>
      <c r="Z188" s="86">
        <f>Z10/Y10-1</f>
        <v>0.55282963707384525</v>
      </c>
      <c r="AA188" s="86">
        <f>AA10/Z10-1</f>
        <v>0.18007243212008417</v>
      </c>
      <c r="AB188" s="87">
        <f t="shared" ref="AA188:AE188" si="1540">AB10/AA10-1</f>
        <v>0.20492218498906567</v>
      </c>
      <c r="AC188" s="87">
        <f t="shared" si="1540"/>
        <v>0.20907159256536589</v>
      </c>
      <c r="AD188" s="87">
        <f t="shared" si="1540"/>
        <v>0.21039601118340978</v>
      </c>
      <c r="AE188" s="87">
        <f t="shared" si="1540"/>
        <v>0.2107140145631714</v>
      </c>
      <c r="AN188" s="86">
        <f t="shared" ref="AN188:CI188" si="1541">+(AN10+AM10)/(AJ10+AI10)-1</f>
        <v>-1</v>
      </c>
      <c r="AO188" s="86" t="e">
        <f t="shared" si="1541"/>
        <v>#DIV/0!</v>
      </c>
      <c r="AP188" s="86" t="e">
        <f t="shared" si="1541"/>
        <v>#DIV/0!</v>
      </c>
      <c r="AQ188" s="86" t="e">
        <f t="shared" si="1541"/>
        <v>#DIV/0!</v>
      </c>
      <c r="AR188" s="86" t="e">
        <f t="shared" si="1541"/>
        <v>#DIV/0!</v>
      </c>
      <c r="AS188" s="86" t="e">
        <f t="shared" si="1541"/>
        <v>#DIV/0!</v>
      </c>
      <c r="AT188" s="86" t="e">
        <f t="shared" si="1541"/>
        <v>#DIV/0!</v>
      </c>
      <c r="AU188" s="86" t="e">
        <f t="shared" si="1541"/>
        <v>#DIV/0!</v>
      </c>
      <c r="AV188" s="86" t="e">
        <f t="shared" si="1541"/>
        <v>#DIV/0!</v>
      </c>
      <c r="AW188" s="86">
        <f t="shared" si="1541"/>
        <v>-0.80076815937196644</v>
      </c>
      <c r="AX188" s="86">
        <f t="shared" si="1541"/>
        <v>-0.58721464919989375</v>
      </c>
      <c r="AY188" s="86">
        <f t="shared" si="1541"/>
        <v>-0.38127922978968831</v>
      </c>
      <c r="AZ188" s="86">
        <f t="shared" si="1541"/>
        <v>-3.6321411983279095E-2</v>
      </c>
      <c r="BA188" s="86">
        <f t="shared" si="1541"/>
        <v>0.33272604016608742</v>
      </c>
      <c r="BB188" s="86">
        <f t="shared" si="1541"/>
        <v>-0.69487903092715442</v>
      </c>
      <c r="BC188" s="86">
        <f t="shared" si="1541"/>
        <v>-0.85329161705937184</v>
      </c>
      <c r="BD188" s="86">
        <f t="shared" si="1541"/>
        <v>1.9484287642182379</v>
      </c>
      <c r="BE188" s="86">
        <f t="shared" si="1541"/>
        <v>3.4502622794468296</v>
      </c>
      <c r="BF188" s="86">
        <f t="shared" si="1541"/>
        <v>4.7381345160505175</v>
      </c>
      <c r="BG188" s="86">
        <f t="shared" si="1541"/>
        <v>5.4659662808253646</v>
      </c>
      <c r="BH188" s="86">
        <f t="shared" si="1541"/>
        <v>-1</v>
      </c>
      <c r="BI188" s="86">
        <f t="shared" si="1541"/>
        <v>-0.91351092632676822</v>
      </c>
      <c r="BJ188" s="86">
        <f t="shared" si="1541"/>
        <v>-0.931289147370852</v>
      </c>
      <c r="BK188" s="86">
        <f t="shared" si="1541"/>
        <v>-0.97594933014214413</v>
      </c>
      <c r="BL188" s="86" t="e">
        <f t="shared" si="1541"/>
        <v>#DIV/0!</v>
      </c>
      <c r="BM188" s="86">
        <f t="shared" si="1541"/>
        <v>-1</v>
      </c>
      <c r="BN188" s="86">
        <f t="shared" si="1541"/>
        <v>-0.9609712600315522</v>
      </c>
      <c r="BO188" s="86">
        <f t="shared" si="1541"/>
        <v>-0.76982200647249188</v>
      </c>
      <c r="BP188" s="86" t="e">
        <f t="shared" si="1541"/>
        <v>#DIV/0!</v>
      </c>
      <c r="BQ188" s="86" t="e">
        <f t="shared" si="1541"/>
        <v>#DIV/0!</v>
      </c>
      <c r="BR188" s="86">
        <f t="shared" si="1541"/>
        <v>0.41476274165202121</v>
      </c>
      <c r="BS188" s="86">
        <f t="shared" si="1541"/>
        <v>3.6959578207381378</v>
      </c>
      <c r="BT188" s="86" t="e">
        <f t="shared" si="1541"/>
        <v>#DIV/0!</v>
      </c>
      <c r="BU188" s="86" t="e">
        <f t="shared" si="1541"/>
        <v>#DIV/0!</v>
      </c>
      <c r="BV188" s="86">
        <f t="shared" si="1541"/>
        <v>46.940372670807449</v>
      </c>
      <c r="BW188" s="86">
        <f t="shared" si="1541"/>
        <v>25.226796407185628</v>
      </c>
      <c r="BX188" s="86">
        <f t="shared" si="1541"/>
        <v>7.7035311958405543</v>
      </c>
      <c r="BY188" s="86">
        <f t="shared" si="1541"/>
        <v>2.3016510318949348</v>
      </c>
      <c r="BZ188" s="86">
        <f t="shared" si="1541"/>
        <v>6.7722844112769485</v>
      </c>
      <c r="CA188" s="86">
        <f t="shared" si="1541"/>
        <v>4.6051257170581348</v>
      </c>
      <c r="CB188" s="86">
        <f t="shared" si="1541"/>
        <v>2.740799741135767</v>
      </c>
      <c r="CC188" s="86">
        <f t="shared" si="1541"/>
        <v>4.3811044562388481</v>
      </c>
      <c r="CD188" s="86">
        <f t="shared" si="1541"/>
        <v>1.1932468294504384</v>
      </c>
      <c r="CE188" s="86">
        <f t="shared" si="1541"/>
        <v>0.67232354708296427</v>
      </c>
      <c r="CF188" s="86">
        <f t="shared" si="1541"/>
        <v>1.357665423502131</v>
      </c>
      <c r="CG188" s="86">
        <f t="shared" si="1541"/>
        <v>0.4272680040044099</v>
      </c>
      <c r="CH188" s="86">
        <f t="shared" si="1541"/>
        <v>0.18508497248654732</v>
      </c>
      <c r="CI188" s="86">
        <f t="shared" si="1541"/>
        <v>0.24865653191897463</v>
      </c>
      <c r="CJ188" s="86">
        <f>+(CJ10+CI10)/(CF10+CE10)-1</f>
        <v>4.065419241949586E-2</v>
      </c>
      <c r="CK188" s="87"/>
      <c r="CL188" s="86">
        <f>+(CL10+CK10)/(CH10+CG10)-1</f>
        <v>0.30681614119699341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0.18007266999160176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 t="e">
        <f t="shared" ref="G189" si="1545">G186/F186-1</f>
        <v>#DIV/0!</v>
      </c>
      <c r="H189" s="86">
        <f t="shared" ref="H189" si="1546">H186/G186-1</f>
        <v>-0.58693186103350969</v>
      </c>
      <c r="I189" s="86">
        <f t="shared" ref="I189" si="1547">I186/H186-1</f>
        <v>-0.84489436213092928</v>
      </c>
      <c r="J189" s="86">
        <f t="shared" ref="J189" si="1548">J186/I186-1</f>
        <v>-2.0711025868683</v>
      </c>
      <c r="K189" s="86">
        <f>K186/J186-1</f>
        <v>-4.5798355248245919</v>
      </c>
      <c r="L189" s="86">
        <f t="shared" ref="L189" si="1549">L186/K186-1</f>
        <v>-0.68512857211941947</v>
      </c>
      <c r="M189" s="86">
        <f t="shared" ref="M189" si="1550">M186/L186-1</f>
        <v>-1.9758587458204442</v>
      </c>
      <c r="N189" s="86">
        <f t="shared" ref="N189" si="1551">N186/M186-1</f>
        <v>9.6301447978093755</v>
      </c>
      <c r="O189" s="86" t="e">
        <f t="shared" ref="O189" si="1552">O186/N186-1</f>
        <v>#DIV/0!</v>
      </c>
      <c r="P189" s="86" t="e">
        <f t="shared" ref="P189" si="1553">P186/O186-1</f>
        <v>#DIV/0!</v>
      </c>
      <c r="Q189" s="86">
        <f t="shared" ref="Q189" si="1554">Q186/P186-1</f>
        <v>1.0791320945812504</v>
      </c>
      <c r="R189" s="86">
        <f t="shared" ref="R189" si="1555">R186/Q186-1</f>
        <v>2.3092317538571843</v>
      </c>
      <c r="S189" s="86">
        <f t="shared" ref="S189" si="1556">S186/R186-1</f>
        <v>-0.78988531981629528</v>
      </c>
      <c r="T189" s="86">
        <f t="shared" ref="T189" si="1557">T186/S186-1</f>
        <v>16.337829199749468</v>
      </c>
      <c r="U189" s="86">
        <f t="shared" ref="U189" si="1558">U186/T186-1</f>
        <v>24.474849310622751</v>
      </c>
      <c r="V189" s="86">
        <f t="shared" ref="V189" si="1559">V186/U186-1</f>
        <v>-0.31754639502757098</v>
      </c>
      <c r="W189" s="86">
        <f t="shared" ref="W189:AA189" si="1560">W186/V186-1</f>
        <v>-0.9508064530197804</v>
      </c>
      <c r="X189" s="86">
        <f t="shared" si="1560"/>
        <v>-0.86734334706230354</v>
      </c>
      <c r="Y189" s="86">
        <f t="shared" si="1560"/>
        <v>-0.45830921038624517</v>
      </c>
      <c r="Z189" s="86">
        <f t="shared" si="1560"/>
        <v>7.1828902064887012E-2</v>
      </c>
      <c r="AA189" s="86">
        <f t="shared" si="1560"/>
        <v>0.311667849330308</v>
      </c>
      <c r="AB189" s="87">
        <f t="shared" ref="AB189" si="1561">AB186/AA186-1</f>
        <v>8.7328380083570911E-2</v>
      </c>
      <c r="AC189" s="87">
        <f t="shared" ref="AC189" si="1562">AC186/AB186-1</f>
        <v>5.3285411564221175E-3</v>
      </c>
      <c r="AD189" s="87">
        <f t="shared" ref="AD189" si="1563">AD186/AC186-1</f>
        <v>6.6096310425622917E-4</v>
      </c>
      <c r="AE189" s="87">
        <f t="shared" ref="AE189" si="1564">AE186/AD186-1</f>
        <v>5.7510924226900073E-5</v>
      </c>
      <c r="AN189" s="86" t="e">
        <f t="shared" ref="AN189:CI189" si="1565">+AN186/AJ186-1</f>
        <v>#DIV/0!</v>
      </c>
      <c r="AO189" s="86" t="e">
        <f t="shared" si="1565"/>
        <v>#DIV/0!</v>
      </c>
      <c r="AP189" s="86" t="e">
        <f t="shared" si="1565"/>
        <v>#DIV/0!</v>
      </c>
      <c r="AQ189" s="86" t="e">
        <f t="shared" si="1565"/>
        <v>#DIV/0!</v>
      </c>
      <c r="AR189" s="86" t="e">
        <f t="shared" si="1565"/>
        <v>#DIV/0!</v>
      </c>
      <c r="AS189" s="86" t="e">
        <f t="shared" si="1565"/>
        <v>#DIV/0!</v>
      </c>
      <c r="AT189" s="86" t="e">
        <f t="shared" si="1565"/>
        <v>#DIV/0!</v>
      </c>
      <c r="AU189" s="86" t="e">
        <f t="shared" si="1565"/>
        <v>#DIV/0!</v>
      </c>
      <c r="AV189" s="86" t="e">
        <f t="shared" si="1565"/>
        <v>#DIV/0!</v>
      </c>
      <c r="AW189" s="86" t="e">
        <f t="shared" si="1565"/>
        <v>#DIV/0!</v>
      </c>
      <c r="AX189" s="86">
        <f t="shared" si="1565"/>
        <v>0.51032384189200641</v>
      </c>
      <c r="AY189" s="86" t="e">
        <f t="shared" si="1565"/>
        <v>#DIV/0!</v>
      </c>
      <c r="AZ189" s="86">
        <f t="shared" si="1565"/>
        <v>-0.1119781843723221</v>
      </c>
      <c r="BA189" s="86">
        <f t="shared" si="1565"/>
        <v>-0.49215264925181312</v>
      </c>
      <c r="BB189" s="86">
        <f t="shared" si="1565"/>
        <v>7.0943380629272834</v>
      </c>
      <c r="BC189" s="86" t="e">
        <f t="shared" si="1565"/>
        <v>#DIV/0!</v>
      </c>
      <c r="BD189" s="86">
        <f t="shared" si="1565"/>
        <v>-0.59666822777676498</v>
      </c>
      <c r="BE189" s="86">
        <f t="shared" si="1565"/>
        <v>-0.77272396401831145</v>
      </c>
      <c r="BF189" s="86">
        <f t="shared" si="1565"/>
        <v>-0.8333994729262818</v>
      </c>
      <c r="BG189" s="86" t="e">
        <f t="shared" si="1565"/>
        <v>#DIV/0!</v>
      </c>
      <c r="BH189" s="86" t="e">
        <f t="shared" si="1565"/>
        <v>#DIV/0!</v>
      </c>
      <c r="BI189" s="86" t="e">
        <f t="shared" si="1565"/>
        <v>#DIV/0!</v>
      </c>
      <c r="BJ189" s="86">
        <f t="shared" si="1565"/>
        <v>42.292816006563626</v>
      </c>
      <c r="BK189" s="86" t="e">
        <f t="shared" si="1565"/>
        <v>#DIV/0!</v>
      </c>
      <c r="BL189" s="86" t="e">
        <f t="shared" si="1565"/>
        <v>#DIV/0!</v>
      </c>
      <c r="BM189" s="86" t="e">
        <f t="shared" si="1565"/>
        <v>#DIV/0!</v>
      </c>
      <c r="BN189" s="86">
        <f t="shared" si="1565"/>
        <v>3.3194402690928504</v>
      </c>
      <c r="BO189" s="86" t="e">
        <f t="shared" si="1565"/>
        <v>#DIV/0!</v>
      </c>
      <c r="BP189" s="86" t="e">
        <f t="shared" si="1565"/>
        <v>#DIV/0!</v>
      </c>
      <c r="BQ189" s="86" t="e">
        <f t="shared" si="1565"/>
        <v>#DIV/0!</v>
      </c>
      <c r="BR189" s="86">
        <f t="shared" si="1565"/>
        <v>-0.3176321900870156</v>
      </c>
      <c r="BS189" s="86" t="e">
        <f t="shared" si="1565"/>
        <v>#DIV/0!</v>
      </c>
      <c r="BT189" s="86" t="e">
        <f t="shared" si="1565"/>
        <v>#DIV/0!</v>
      </c>
      <c r="BU189" s="86" t="e">
        <f t="shared" si="1565"/>
        <v>#DIV/0!</v>
      </c>
      <c r="BV189" s="86">
        <f t="shared" si="1565"/>
        <v>-0.87772544867648095</v>
      </c>
      <c r="BW189" s="86">
        <f t="shared" si="1565"/>
        <v>-0.87100644561052099</v>
      </c>
      <c r="BX189" s="86">
        <f t="shared" si="1565"/>
        <v>-0.80247469809753191</v>
      </c>
      <c r="BY189" s="86">
        <f t="shared" si="1565"/>
        <v>-0.66319183614334976</v>
      </c>
      <c r="BZ189" s="86">
        <f t="shared" si="1565"/>
        <v>-0.91494938801026748</v>
      </c>
      <c r="CA189" s="86">
        <f t="shared" si="1565"/>
        <v>-0.73550502855869593</v>
      </c>
      <c r="CB189" s="86">
        <f t="shared" si="1565"/>
        <v>-0.67345065432780582</v>
      </c>
      <c r="CC189" s="86">
        <f t="shared" si="1565"/>
        <v>-0.63773098460649802</v>
      </c>
      <c r="CD189" s="86">
        <f t="shared" si="1565"/>
        <v>7.7180622099670693E-4</v>
      </c>
      <c r="CE189" s="86">
        <f t="shared" si="1565"/>
        <v>-0.28226206659006436</v>
      </c>
      <c r="CF189" s="86">
        <f t="shared" si="1565"/>
        <v>2.14514588225867E-2</v>
      </c>
      <c r="CG189" s="86">
        <f t="shared" si="1565"/>
        <v>0.55217351545109139</v>
      </c>
      <c r="CH189" s="86">
        <f t="shared" si="1565"/>
        <v>0.10742895124593943</v>
      </c>
      <c r="CI189" s="86">
        <f t="shared" si="1565"/>
        <v>9.1595065872574377E-2</v>
      </c>
      <c r="CJ189" s="86">
        <f>+CJ186/CF186-1</f>
        <v>0.86242222051021677</v>
      </c>
      <c r="CK189" s="87"/>
      <c r="CL189" s="86">
        <f>+CL186/CH186-1</f>
        <v>0.10393429180180869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0.37579993827218416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 t="e">
        <f t="shared" si="1566"/>
        <v>#DIV/0!</v>
      </c>
      <c r="H190" s="103">
        <f t="shared" si="1566"/>
        <v>0</v>
      </c>
      <c r="I190" s="103">
        <f t="shared" si="1566"/>
        <v>0</v>
      </c>
      <c r="J190" s="103">
        <f t="shared" si="1566"/>
        <v>0</v>
      </c>
      <c r="K190" s="103">
        <f t="shared" si="1566"/>
        <v>0</v>
      </c>
      <c r="L190" s="103">
        <f t="shared" si="1566"/>
        <v>0</v>
      </c>
      <c r="M190" s="103">
        <f t="shared" si="1566"/>
        <v>0</v>
      </c>
      <c r="N190" s="103" t="str">
        <f t="shared" si="1566"/>
        <v>RF</v>
      </c>
      <c r="O190" s="103" t="e">
        <f t="shared" si="1566"/>
        <v>#DIV/0!</v>
      </c>
      <c r="P190" s="103" t="e">
        <f t="shared" si="1566"/>
        <v>#DIV/0!</v>
      </c>
      <c r="Q190" s="103" t="str">
        <f t="shared" si="1566"/>
        <v>RF</v>
      </c>
      <c r="R190" s="103" t="str">
        <f t="shared" si="1566"/>
        <v>RF</v>
      </c>
      <c r="S190" s="103">
        <f t="shared" si="1566"/>
        <v>0</v>
      </c>
      <c r="T190" s="103" t="str">
        <f t="shared" si="1566"/>
        <v>RF</v>
      </c>
      <c r="U190" s="103" t="str">
        <f t="shared" si="1566"/>
        <v>RF</v>
      </c>
      <c r="V190" s="103">
        <f>IF(V189&gt;V188,"RF",0)</f>
        <v>0</v>
      </c>
      <c r="W190" s="103">
        <f t="shared" ref="W190" si="1567">IF(W189&gt;W188,"RF",0)</f>
        <v>0</v>
      </c>
      <c r="X190" s="103">
        <f t="shared" ref="X190:Y190" si="1568">IF(X189&gt;X188,"RF",0)</f>
        <v>0</v>
      </c>
      <c r="Y190" s="103">
        <f t="shared" si="1568"/>
        <v>0</v>
      </c>
      <c r="Z190" s="103">
        <f t="shared" ref="Z190:AA190" si="1569">IF(Z189&gt;Z188,"RF",0)</f>
        <v>0</v>
      </c>
      <c r="AA190" s="103" t="str">
        <f t="shared" si="1569"/>
        <v>RF</v>
      </c>
      <c r="AB190" s="73">
        <f t="shared" ref="AA190:AD190" si="1570">IF(AB189&gt;AB188,"RF",0)</f>
        <v>0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-0.81704929199999998</v>
      </c>
      <c r="D193" s="23">
        <f t="shared" si="1572"/>
        <v>-0.30823507800000005</v>
      </c>
      <c r="E193" s="23">
        <f t="shared" si="1572"/>
        <v>-20.742803404</v>
      </c>
      <c r="F193" s="23">
        <f t="shared" si="1572"/>
        <v>-5.9629671740000001</v>
      </c>
      <c r="G193" s="23">
        <f t="shared" si="1572"/>
        <v>-13.344420510000004</v>
      </c>
      <c r="H193" s="23">
        <f t="shared" si="1572"/>
        <v>8.9023720000002346E-3</v>
      </c>
      <c r="I193" s="23">
        <f t="shared" si="1572"/>
        <v>4.3234092999970011E-2</v>
      </c>
      <c r="J193" s="23">
        <f t="shared" si="1572"/>
        <v>8.1625672000033678E-2</v>
      </c>
      <c r="K193" s="23">
        <f t="shared" si="1572"/>
        <v>1.232799999999947</v>
      </c>
      <c r="L193" s="23">
        <f t="shared" si="1572"/>
        <v>-3.3801999999999492</v>
      </c>
      <c r="M193" s="23">
        <f t="shared" si="1572"/>
        <v>1.1829999999999596</v>
      </c>
      <c r="N193" s="23">
        <f t="shared" si="1572"/>
        <v>1.4171999999999931</v>
      </c>
      <c r="O193" s="23">
        <f t="shared" si="1572"/>
        <v>0.75393039999999978</v>
      </c>
      <c r="P193" s="23">
        <f t="shared" si="1572"/>
        <v>2.6679232999999845</v>
      </c>
      <c r="Q193" s="23">
        <f t="shared" si="1572"/>
        <v>-2.5192670999999813</v>
      </c>
      <c r="R193" s="23">
        <f t="shared" si="1572"/>
        <v>-1.2553787999999995</v>
      </c>
      <c r="S193" s="23">
        <f t="shared" si="1572"/>
        <v>-3.6653999999999889</v>
      </c>
      <c r="T193" s="23">
        <f t="shared" si="1572"/>
        <v>-43.973600000000005</v>
      </c>
      <c r="U193" s="23">
        <f t="shared" si="1572"/>
        <v>-0.52659999999999973</v>
      </c>
      <c r="V193" s="23">
        <f t="shared" si="1572"/>
        <v>1.2123000000000002</v>
      </c>
      <c r="W193" s="23">
        <f t="shared" si="1572"/>
        <v>151.04949999999997</v>
      </c>
      <c r="X193" s="23">
        <f t="shared" si="1572"/>
        <v>48.754299999999944</v>
      </c>
      <c r="Y193" s="23">
        <f t="shared" si="1572"/>
        <v>117.56590000000003</v>
      </c>
      <c r="Z193" s="23">
        <f t="shared" si="1572"/>
        <v>57.099999999999966</v>
      </c>
      <c r="AA193" s="23">
        <f t="shared" ref="AA193" si="1573">AA48</f>
        <v>283.43999999999988</v>
      </c>
      <c r="AB193" s="24">
        <f t="shared" si="1572"/>
        <v>424.47156839839715</v>
      </c>
      <c r="AC193" s="24">
        <f t="shared" si="1572"/>
        <v>570.42800105949016</v>
      </c>
      <c r="AD193" s="24">
        <f t="shared" si="1572"/>
        <v>779.78863097415046</v>
      </c>
      <c r="AE193" s="24">
        <f t="shared" si="1572"/>
        <v>1078.2059832212026</v>
      </c>
      <c r="AI193" s="23">
        <f t="shared" ref="AI193:BN193" si="1574">AI48</f>
        <v>1.675000000000006</v>
      </c>
      <c r="AJ193" s="23">
        <f t="shared" si="1574"/>
        <v>9.600000000000003E-2</v>
      </c>
      <c r="AK193" s="23">
        <f t="shared" si="1574"/>
        <v>-0.34699999999999998</v>
      </c>
      <c r="AL193" s="23">
        <f t="shared" si="1574"/>
        <v>-7.0000000000000062E-3</v>
      </c>
      <c r="AM193" s="23">
        <f t="shared" si="1574"/>
        <v>-11.017000000000001</v>
      </c>
      <c r="AN193" s="23">
        <f t="shared" si="1574"/>
        <v>-0.37</v>
      </c>
      <c r="AO193" s="23">
        <f t="shared" si="1574"/>
        <v>-0.24299999999999999</v>
      </c>
      <c r="AP193" s="23">
        <f t="shared" si="1574"/>
        <v>12.382999999999999</v>
      </c>
      <c r="AQ193" s="23">
        <f t="shared" si="1574"/>
        <v>-0.21000000000000002</v>
      </c>
      <c r="AR193" s="23">
        <f t="shared" si="1574"/>
        <v>-0.14000000000000001</v>
      </c>
      <c r="AS193" s="23">
        <f t="shared" si="1574"/>
        <v>0.87500000000000711</v>
      </c>
      <c r="AT193" s="23">
        <f t="shared" si="1574"/>
        <v>-0.11699999999998233</v>
      </c>
      <c r="AU193" s="23">
        <f t="shared" si="1574"/>
        <v>0.20800000000000002</v>
      </c>
      <c r="AV193" s="23">
        <f t="shared" si="1574"/>
        <v>-0.32999999999999924</v>
      </c>
      <c r="AW193" s="23">
        <f t="shared" si="1574"/>
        <v>-0.53499999999999948</v>
      </c>
      <c r="AX193" s="23">
        <f t="shared" si="1574"/>
        <v>-4.6769999999999996</v>
      </c>
      <c r="AY193" s="23">
        <f t="shared" si="1574"/>
        <v>-0.27700000000000002</v>
      </c>
      <c r="AZ193" s="23">
        <f t="shared" si="1574"/>
        <v>-0.21699999999999942</v>
      </c>
      <c r="BA193" s="23">
        <f t="shared" si="1574"/>
        <v>-3.1570000000000018</v>
      </c>
      <c r="BB193" s="23">
        <f t="shared" si="1574"/>
        <v>5.5511151231257827E-17</v>
      </c>
      <c r="BC193" s="23">
        <f t="shared" si="1574"/>
        <v>-0.42499999999999999</v>
      </c>
      <c r="BD193" s="23">
        <f t="shared" si="1574"/>
        <v>1.9000000000000461E-2</v>
      </c>
      <c r="BE193" s="23">
        <f t="shared" si="1574"/>
        <v>0.24000000000000193</v>
      </c>
      <c r="BF193" s="23">
        <f t="shared" si="1574"/>
        <v>-5.7759999999999927</v>
      </c>
      <c r="BG193" s="23">
        <f t="shared" si="1574"/>
        <v>0.64400000000000013</v>
      </c>
      <c r="BH193" s="23">
        <f t="shared" si="1574"/>
        <v>1.1840000000000002</v>
      </c>
      <c r="BI193" s="23">
        <f t="shared" si="1574"/>
        <v>-23.629000000000001</v>
      </c>
      <c r="BJ193" s="23">
        <f t="shared" si="1574"/>
        <v>-22.170999999999999</v>
      </c>
      <c r="BK193" s="23">
        <f t="shared" si="1574"/>
        <v>-0.56400000000000006</v>
      </c>
      <c r="BL193" s="23">
        <f t="shared" si="1574"/>
        <v>-6.4000000000000001E-2</v>
      </c>
      <c r="BM193" s="23">
        <f t="shared" si="1574"/>
        <v>-3.0000000000000027E-2</v>
      </c>
      <c r="BN193" s="23">
        <f t="shared" si="1574"/>
        <v>0.13199999999999995</v>
      </c>
      <c r="BO193" s="23">
        <f t="shared" ref="BO193:CT193" si="1575">BO48</f>
        <v>0.29299999999999998</v>
      </c>
      <c r="BP193" s="23">
        <f t="shared" si="1575"/>
        <v>0.27900000000000008</v>
      </c>
      <c r="BQ193" s="23">
        <f t="shared" si="1575"/>
        <v>1.2110000000000001</v>
      </c>
      <c r="BR193" s="23">
        <f t="shared" si="1575"/>
        <v>-0.57199999999999995</v>
      </c>
      <c r="BS193" s="23">
        <f t="shared" si="1575"/>
        <v>-0.84400000000000053</v>
      </c>
      <c r="BT193" s="23">
        <f t="shared" si="1575"/>
        <v>0.70400000000000051</v>
      </c>
      <c r="BU193" s="23">
        <f t="shared" si="1575"/>
        <v>1.3350000000000006</v>
      </c>
      <c r="BV193" s="23">
        <f t="shared" si="1575"/>
        <v>149.85599999999999</v>
      </c>
      <c r="BW193" s="23">
        <f t="shared" si="1575"/>
        <v>-0.31799999999999606</v>
      </c>
      <c r="BX193" s="23">
        <f t="shared" si="1575"/>
        <v>11.368999999999998</v>
      </c>
      <c r="BY193" s="23">
        <f t="shared" si="1575"/>
        <v>7.2779999999999854</v>
      </c>
      <c r="BZ193" s="23">
        <f t="shared" si="1575"/>
        <v>30.426000000000005</v>
      </c>
      <c r="CA193" s="23">
        <f t="shared" si="1575"/>
        <v>7.9890000000000096</v>
      </c>
      <c r="CB193" s="23">
        <f t="shared" si="1575"/>
        <v>28.809000000000008</v>
      </c>
      <c r="CC193" s="23">
        <f t="shared" si="1575"/>
        <v>59.799000000000049</v>
      </c>
      <c r="CD193" s="23">
        <f t="shared" si="1575"/>
        <v>20.971000000000011</v>
      </c>
      <c r="CE193" s="23">
        <f t="shared" si="1575"/>
        <v>6.1500000000000039</v>
      </c>
      <c r="CF193" s="23">
        <f t="shared" si="1575"/>
        <v>22.069999999999997</v>
      </c>
      <c r="CG193" s="23">
        <f t="shared" si="1575"/>
        <v>19.440000000000001</v>
      </c>
      <c r="CH193" s="23">
        <f t="shared" si="1575"/>
        <v>9.4299999999999891</v>
      </c>
      <c r="CI193" s="23">
        <f t="shared" si="1575"/>
        <v>229.73000000000005</v>
      </c>
      <c r="CJ193" s="23">
        <f t="shared" si="1575"/>
        <v>23.459999999999987</v>
      </c>
      <c r="CK193" s="24">
        <f t="shared" si="1575"/>
        <v>-7.8599999999999977</v>
      </c>
      <c r="CL193" s="23">
        <f t="shared" ref="CL193" si="1576">CL48</f>
        <v>38.110000000000028</v>
      </c>
      <c r="CM193" s="24">
        <f t="shared" si="1575"/>
        <v>21.38467527895553</v>
      </c>
      <c r="CN193" s="24">
        <f t="shared" si="1575"/>
        <v>125.69587316718972</v>
      </c>
      <c r="CO193" s="24">
        <f t="shared" si="1575"/>
        <v>102.19220613176083</v>
      </c>
      <c r="CP193" s="24">
        <f t="shared" si="1575"/>
        <v>175.19881382049107</v>
      </c>
      <c r="CQ193" s="24">
        <f t="shared" si="1575"/>
        <v>31.555272579375174</v>
      </c>
      <c r="CR193" s="24">
        <f t="shared" si="1575"/>
        <v>163.81222286231559</v>
      </c>
      <c r="CS193" s="24">
        <f t="shared" si="1575"/>
        <v>142.4508792547567</v>
      </c>
      <c r="CT193" s="24">
        <f t="shared" si="1575"/>
        <v>232.60962636304265</v>
      </c>
      <c r="CU193" s="24">
        <f t="shared" ref="CU193:DB193" si="1577">CU48</f>
        <v>56.056316692516127</v>
      </c>
      <c r="CV193" s="24">
        <f t="shared" si="1577"/>
        <v>219.38374417617598</v>
      </c>
      <c r="CW193" s="24">
        <f t="shared" si="1577"/>
        <v>196.61613846025472</v>
      </c>
      <c r="CX193" s="24">
        <f t="shared" si="1577"/>
        <v>307.73243164520375</v>
      </c>
      <c r="CY193" s="24">
        <f t="shared" si="1577"/>
        <v>96.15861101154502</v>
      </c>
      <c r="CZ193" s="24">
        <f t="shared" si="1577"/>
        <v>297.30840871122041</v>
      </c>
      <c r="DA193" s="24">
        <f t="shared" si="1577"/>
        <v>273.26322996143801</v>
      </c>
      <c r="DB193" s="24">
        <f t="shared" si="1577"/>
        <v>411.47573353699954</v>
      </c>
      <c r="DE193" s="123"/>
      <c r="DF193" s="23">
        <v>-96.74622016968658</v>
      </c>
    </row>
    <row r="194" spans="1:110" s="23" customFormat="1" x14ac:dyDescent="0.2">
      <c r="A194" s="23" t="s">
        <v>88</v>
      </c>
      <c r="C194" s="23">
        <f t="shared" ref="C194:AE194" si="1578">C32</f>
        <v>8.8862000000000003E-3</v>
      </c>
      <c r="D194" s="23">
        <f t="shared" si="1578"/>
        <v>8.7080000000000005E-3</v>
      </c>
      <c r="E194" s="23">
        <f t="shared" si="1578"/>
        <v>7.7799000000000002E-3</v>
      </c>
      <c r="F194" s="23">
        <f t="shared" si="1578"/>
        <v>7.7799000000000002E-3</v>
      </c>
      <c r="G194" s="23">
        <f t="shared" si="1578"/>
        <v>3.7495500000000001E-2</v>
      </c>
      <c r="H194" s="23">
        <f t="shared" si="1578"/>
        <v>9.3325000000000005E-3</v>
      </c>
      <c r="I194" s="23">
        <f t="shared" si="1578"/>
        <v>8.7291999999999995E-3</v>
      </c>
      <c r="J194" s="23">
        <f t="shared" si="1578"/>
        <v>9.0755000000000002E-3</v>
      </c>
      <c r="K194" s="23">
        <f t="shared" si="1578"/>
        <v>9.1000000000000004E-3</v>
      </c>
      <c r="L194" s="23">
        <f t="shared" si="1578"/>
        <v>9.5999999999999992E-3</v>
      </c>
      <c r="M194" s="23">
        <f t="shared" si="1578"/>
        <v>1.11E-2</v>
      </c>
      <c r="N194" s="23">
        <f t="shared" si="1578"/>
        <v>1.09E-2</v>
      </c>
      <c r="O194" s="23">
        <f t="shared" si="1578"/>
        <v>3.5883E-3</v>
      </c>
      <c r="P194" s="23">
        <f t="shared" si="1578"/>
        <v>1.5941E-3</v>
      </c>
      <c r="Q194" s="23">
        <f t="shared" si="1578"/>
        <v>5.0277000000000004E-3</v>
      </c>
      <c r="R194" s="23">
        <f t="shared" si="1578"/>
        <v>1.9845000000000002E-3</v>
      </c>
      <c r="S194" s="23">
        <f t="shared" si="1578"/>
        <v>2E-3</v>
      </c>
      <c r="T194" s="23">
        <f t="shared" si="1578"/>
        <v>8.0000000000000004E-4</v>
      </c>
      <c r="U194" s="23">
        <f t="shared" si="1578"/>
        <v>4.0000000000000002E-4</v>
      </c>
      <c r="V194" s="23">
        <f t="shared" si="1578"/>
        <v>4.0000000000000002E-4</v>
      </c>
      <c r="W194" s="23">
        <f t="shared" si="1578"/>
        <v>1.1655</v>
      </c>
      <c r="X194" s="23">
        <f t="shared" si="1578"/>
        <v>2.3835999999999999</v>
      </c>
      <c r="Y194" s="23">
        <f t="shared" si="1578"/>
        <v>5.3811999999999998</v>
      </c>
      <c r="Z194" s="23">
        <f t="shared" si="1578"/>
        <v>10.69</v>
      </c>
      <c r="AA194" s="23">
        <f t="shared" ref="AA194" si="1579">AA32</f>
        <v>22.83</v>
      </c>
      <c r="AB194" s="24">
        <f t="shared" si="1578"/>
        <v>33.347419643569047</v>
      </c>
      <c r="AC194" s="24">
        <f t="shared" si="1578"/>
        <v>27.537637516802974</v>
      </c>
      <c r="AD194" s="24">
        <f t="shared" si="1578"/>
        <v>22.740034704696399</v>
      </c>
      <c r="AE194" s="24">
        <f t="shared" si="1578"/>
        <v>18.778269488632279</v>
      </c>
      <c r="AI194" s="23">
        <f t="shared" ref="AI194:BN194" si="1580">AI32</f>
        <v>3.0000000000000001E-3</v>
      </c>
      <c r="AJ194" s="23">
        <f t="shared" si="1580"/>
        <v>3.0000000000000001E-3</v>
      </c>
      <c r="AK194" s="23">
        <f t="shared" si="1580"/>
        <v>1.0999999999999999E-2</v>
      </c>
      <c r="AL194" s="23">
        <f t="shared" si="1580"/>
        <v>-6.0000000000000001E-3</v>
      </c>
      <c r="AM194" s="23">
        <f t="shared" si="1580"/>
        <v>1E-3</v>
      </c>
      <c r="AN194" s="23">
        <f t="shared" si="1580"/>
        <v>1E-3</v>
      </c>
      <c r="AO194" s="23">
        <f t="shared" si="1580"/>
        <v>1E-3</v>
      </c>
      <c r="AP194" s="23">
        <f t="shared" si="1580"/>
        <v>1E-3</v>
      </c>
      <c r="AQ194" s="23">
        <f t="shared" si="1580"/>
        <v>0</v>
      </c>
      <c r="AR194" s="23">
        <f t="shared" si="1580"/>
        <v>0</v>
      </c>
      <c r="AS194" s="23">
        <f t="shared" si="1580"/>
        <v>0</v>
      </c>
      <c r="AT194" s="23">
        <f t="shared" si="1580"/>
        <v>0</v>
      </c>
      <c r="AU194" s="23">
        <f t="shared" si="1580"/>
        <v>0</v>
      </c>
      <c r="AV194" s="23">
        <f t="shared" si="1580"/>
        <v>1E-3</v>
      </c>
      <c r="AW194" s="23">
        <f t="shared" si="1580"/>
        <v>2E-3</v>
      </c>
      <c r="AX194" s="23">
        <f t="shared" si="1580"/>
        <v>2E-3</v>
      </c>
      <c r="AY194" s="23">
        <f t="shared" si="1580"/>
        <v>1E-3</v>
      </c>
      <c r="AZ194" s="23">
        <f t="shared" si="1580"/>
        <v>1E-3</v>
      </c>
      <c r="BA194" s="23">
        <f t="shared" si="1580"/>
        <v>1E-3</v>
      </c>
      <c r="BB194" s="23">
        <f t="shared" si="1580"/>
        <v>1E-3</v>
      </c>
      <c r="BC194" s="23">
        <f t="shared" si="1580"/>
        <v>1E-3</v>
      </c>
      <c r="BD194" s="23">
        <f t="shared" si="1580"/>
        <v>1E-3</v>
      </c>
      <c r="BE194" s="23">
        <f t="shared" si="1580"/>
        <v>1E-3</v>
      </c>
      <c r="BF194" s="23">
        <f t="shared" si="1580"/>
        <v>1E-3</v>
      </c>
      <c r="BG194" s="23">
        <f t="shared" si="1580"/>
        <v>1E-3</v>
      </c>
      <c r="BH194" s="23">
        <f t="shared" si="1580"/>
        <v>0</v>
      </c>
      <c r="BI194" s="23">
        <f t="shared" si="1580"/>
        <v>0</v>
      </c>
      <c r="BJ194" s="23">
        <f t="shared" si="1580"/>
        <v>0</v>
      </c>
      <c r="BK194" s="23">
        <f t="shared" si="1580"/>
        <v>0</v>
      </c>
      <c r="BL194" s="23">
        <f t="shared" si="1580"/>
        <v>0</v>
      </c>
      <c r="BM194" s="23">
        <f t="shared" si="1580"/>
        <v>0</v>
      </c>
      <c r="BN194" s="23">
        <f t="shared" si="1580"/>
        <v>0</v>
      </c>
      <c r="BO194" s="23">
        <f t="shared" ref="BO194:CT194" si="1581">BO32</f>
        <v>0</v>
      </c>
      <c r="BP194" s="23">
        <f t="shared" si="1581"/>
        <v>0</v>
      </c>
      <c r="BQ194" s="23">
        <f t="shared" si="1581"/>
        <v>0</v>
      </c>
      <c r="BR194" s="23">
        <f t="shared" si="1581"/>
        <v>0</v>
      </c>
      <c r="BS194" s="23">
        <f t="shared" si="1581"/>
        <v>0.14099999999999999</v>
      </c>
      <c r="BT194" s="23">
        <f t="shared" si="1581"/>
        <v>0.32800000000000001</v>
      </c>
      <c r="BU194" s="23">
        <f t="shared" si="1581"/>
        <v>0.34699999999999998</v>
      </c>
      <c r="BV194" s="23">
        <f t="shared" si="1581"/>
        <v>0.34899999999999998</v>
      </c>
      <c r="BW194" s="23">
        <f t="shared" si="1581"/>
        <v>0.4</v>
      </c>
      <c r="BX194" s="23">
        <f t="shared" si="1581"/>
        <v>0.57999999999999996</v>
      </c>
      <c r="BY194" s="23">
        <f t="shared" si="1581"/>
        <v>0.628</v>
      </c>
      <c r="BZ194" s="23">
        <f t="shared" si="1581"/>
        <v>0.77500000000000002</v>
      </c>
      <c r="CA194" s="23">
        <f t="shared" si="1581"/>
        <v>0.67400000000000004</v>
      </c>
      <c r="CB194" s="23">
        <f t="shared" si="1581"/>
        <v>0.78400000000000003</v>
      </c>
      <c r="CC194" s="23">
        <f t="shared" si="1581"/>
        <v>1.0900000000000001</v>
      </c>
      <c r="CD194" s="23">
        <f t="shared" si="1581"/>
        <v>2.8330000000000002</v>
      </c>
      <c r="CE194" s="23">
        <f t="shared" si="1581"/>
        <v>2.2400000000000002</v>
      </c>
      <c r="CF194" s="23">
        <f t="shared" si="1581"/>
        <v>2.36</v>
      </c>
      <c r="CG194" s="23">
        <f t="shared" si="1581"/>
        <v>2.83</v>
      </c>
      <c r="CH194" s="23">
        <f t="shared" si="1581"/>
        <v>3.25</v>
      </c>
      <c r="CI194" s="23">
        <f t="shared" si="1581"/>
        <v>3.34</v>
      </c>
      <c r="CJ194" s="23">
        <f t="shared" si="1581"/>
        <v>5.94</v>
      </c>
      <c r="CK194" s="24">
        <f t="shared" si="1581"/>
        <v>6.52</v>
      </c>
      <c r="CL194" s="23">
        <f t="shared" ref="CL194" si="1582">CL32</f>
        <v>7.03</v>
      </c>
      <c r="CM194" s="24">
        <f t="shared" si="1581"/>
        <v>8.9445114331294846</v>
      </c>
      <c r="CN194" s="24">
        <f t="shared" si="1581"/>
        <v>8.5265380525465275</v>
      </c>
      <c r="CO194" s="24">
        <f t="shared" si="1581"/>
        <v>8.128096398003839</v>
      </c>
      <c r="CP194" s="24">
        <f t="shared" si="1581"/>
        <v>7.7482737598891962</v>
      </c>
      <c r="CQ194" s="24">
        <f t="shared" si="1581"/>
        <v>7.3862000791392548</v>
      </c>
      <c r="CR194" s="24">
        <f t="shared" si="1581"/>
        <v>7.0410459541967603</v>
      </c>
      <c r="CS194" s="24">
        <f t="shared" si="1581"/>
        <v>6.7120207411018171</v>
      </c>
      <c r="CT194" s="24">
        <f t="shared" si="1581"/>
        <v>6.3983707423651399</v>
      </c>
      <c r="CU194" s="24">
        <f t="shared" ref="CU194:DB194" si="1583">CU32</f>
        <v>6.0993774804745069</v>
      </c>
      <c r="CV194" s="24">
        <f t="shared" si="1583"/>
        <v>5.8143560520795594</v>
      </c>
      <c r="CW194" s="24">
        <f t="shared" si="1583"/>
        <v>5.5426535590848829</v>
      </c>
      <c r="CX194" s="24">
        <f t="shared" si="1583"/>
        <v>5.2836476130574521</v>
      </c>
      <c r="CY194" s="24">
        <f t="shared" si="1583"/>
        <v>5.036744909522529</v>
      </c>
      <c r="CZ194" s="24">
        <f t="shared" si="1583"/>
        <v>4.801379868882119</v>
      </c>
      <c r="DA194" s="24">
        <f t="shared" si="1583"/>
        <v>4.5770133408427593</v>
      </c>
      <c r="DB194" s="24">
        <f t="shared" si="1583"/>
        <v>4.3631313693848712</v>
      </c>
      <c r="DE194" s="123"/>
      <c r="DF194" s="23">
        <v>6.2491641182466857</v>
      </c>
    </row>
    <row r="195" spans="1:110" s="22" customFormat="1" x14ac:dyDescent="0.2">
      <c r="A195" s="22" t="s">
        <v>89</v>
      </c>
      <c r="C195" s="22">
        <f t="shared" ref="C195:W195" si="1584">C193+C194</f>
        <v>-0.80816309200000003</v>
      </c>
      <c r="D195" s="22">
        <f t="shared" si="1584"/>
        <v>-0.29952707800000006</v>
      </c>
      <c r="E195" s="22">
        <f t="shared" si="1584"/>
        <v>-20.735023504000001</v>
      </c>
      <c r="F195" s="22">
        <f t="shared" si="1584"/>
        <v>-5.955187274</v>
      </c>
      <c r="G195" s="22">
        <f t="shared" si="1584"/>
        <v>-13.306925010000004</v>
      </c>
      <c r="H195" s="22">
        <f t="shared" si="1584"/>
        <v>1.8234872000000235E-2</v>
      </c>
      <c r="I195" s="22">
        <f t="shared" si="1584"/>
        <v>5.1963292999970011E-2</v>
      </c>
      <c r="J195" s="22">
        <f t="shared" si="1584"/>
        <v>9.0701172000033678E-2</v>
      </c>
      <c r="K195" s="22">
        <f t="shared" si="1584"/>
        <v>1.2418999999999472</v>
      </c>
      <c r="L195" s="22">
        <f t="shared" si="1584"/>
        <v>-3.3705999999999494</v>
      </c>
      <c r="M195" s="22">
        <f t="shared" si="1584"/>
        <v>1.1940999999999597</v>
      </c>
      <c r="N195" s="22">
        <f t="shared" si="1584"/>
        <v>1.428099999999993</v>
      </c>
      <c r="O195" s="22">
        <f t="shared" si="1584"/>
        <v>0.75751869999999977</v>
      </c>
      <c r="P195" s="22">
        <f t="shared" si="1584"/>
        <v>2.6695173999999846</v>
      </c>
      <c r="Q195" s="22">
        <f t="shared" si="1584"/>
        <v>-2.5142393999999815</v>
      </c>
      <c r="R195" s="22">
        <f t="shared" si="1584"/>
        <v>-1.2533942999999994</v>
      </c>
      <c r="S195" s="22">
        <f t="shared" si="1584"/>
        <v>-3.6633999999999891</v>
      </c>
      <c r="T195" s="22">
        <f t="shared" si="1584"/>
        <v>-43.972800000000007</v>
      </c>
      <c r="U195" s="22">
        <f t="shared" si="1584"/>
        <v>-0.52619999999999978</v>
      </c>
      <c r="V195" s="22">
        <f t="shared" si="1584"/>
        <v>1.2127000000000001</v>
      </c>
      <c r="W195" s="22">
        <f t="shared" si="1584"/>
        <v>152.21499999999997</v>
      </c>
      <c r="X195" s="22">
        <f t="shared" ref="X195:Y195" si="1585">X193+X194</f>
        <v>51.137899999999945</v>
      </c>
      <c r="Y195" s="22">
        <f t="shared" si="1585"/>
        <v>122.94710000000003</v>
      </c>
      <c r="Z195" s="22">
        <f t="shared" ref="Z195:AA195" si="1586">Z193+Z194</f>
        <v>67.789999999999964</v>
      </c>
      <c r="AA195" s="22">
        <f t="shared" si="1586"/>
        <v>306.26999999999987</v>
      </c>
      <c r="AB195" s="21">
        <f t="shared" ref="AA195:AD195" si="1587">AB193+AB194</f>
        <v>457.81898804196618</v>
      </c>
      <c r="AC195" s="21">
        <f t="shared" si="1587"/>
        <v>597.96563857629314</v>
      </c>
      <c r="AD195" s="21">
        <f t="shared" si="1587"/>
        <v>802.52866567884689</v>
      </c>
      <c r="AE195" s="21">
        <f t="shared" ref="AE195" si="1588">AE193+AE194</f>
        <v>1096.9842527098349</v>
      </c>
      <c r="AI195" s="22">
        <f t="shared" ref="AI195" si="1589">AI193+AI194</f>
        <v>1.6780000000000059</v>
      </c>
      <c r="AJ195" s="22">
        <f t="shared" ref="AJ195:AL195" si="1590">AJ193+AJ194</f>
        <v>9.9000000000000032E-2</v>
      </c>
      <c r="AK195" s="22">
        <f t="shared" si="1590"/>
        <v>-0.33599999999999997</v>
      </c>
      <c r="AL195" s="22">
        <f t="shared" si="1590"/>
        <v>-1.3000000000000006E-2</v>
      </c>
      <c r="AM195" s="22">
        <f t="shared" ref="AM195" si="1591">AM193+AM194</f>
        <v>-11.016000000000002</v>
      </c>
      <c r="AN195" s="22">
        <f t="shared" ref="AN195:CD195" si="1592">AN193+AN194</f>
        <v>-0.36899999999999999</v>
      </c>
      <c r="AO195" s="22">
        <f t="shared" si="1592"/>
        <v>-0.24199999999999999</v>
      </c>
      <c r="AP195" s="22">
        <f t="shared" si="1592"/>
        <v>12.383999999999999</v>
      </c>
      <c r="AQ195" s="22">
        <f t="shared" si="1592"/>
        <v>-0.21000000000000002</v>
      </c>
      <c r="AR195" s="22">
        <f t="shared" si="1592"/>
        <v>-0.14000000000000001</v>
      </c>
      <c r="AS195" s="22">
        <f t="shared" si="1592"/>
        <v>0.87500000000000711</v>
      </c>
      <c r="AT195" s="22">
        <f t="shared" si="1592"/>
        <v>-0.11699999999998233</v>
      </c>
      <c r="AU195" s="22">
        <f t="shared" si="1592"/>
        <v>0.20800000000000002</v>
      </c>
      <c r="AV195" s="22">
        <f t="shared" si="1592"/>
        <v>-0.32899999999999924</v>
      </c>
      <c r="AW195" s="22">
        <f t="shared" si="1592"/>
        <v>-0.53299999999999947</v>
      </c>
      <c r="AX195" s="22">
        <f t="shared" si="1592"/>
        <v>-4.6749999999999998</v>
      </c>
      <c r="AY195" s="22">
        <f t="shared" si="1592"/>
        <v>-0.27600000000000002</v>
      </c>
      <c r="AZ195" s="22">
        <f t="shared" si="1592"/>
        <v>-0.21599999999999941</v>
      </c>
      <c r="BA195" s="22">
        <f t="shared" si="1592"/>
        <v>-3.1560000000000019</v>
      </c>
      <c r="BB195" s="22">
        <f t="shared" si="1592"/>
        <v>1.0000000000000555E-3</v>
      </c>
      <c r="BC195" s="22">
        <f t="shared" si="1592"/>
        <v>-0.42399999999999999</v>
      </c>
      <c r="BD195" s="22">
        <f t="shared" si="1592"/>
        <v>2.0000000000000462E-2</v>
      </c>
      <c r="BE195" s="22">
        <f t="shared" si="1592"/>
        <v>0.24100000000000193</v>
      </c>
      <c r="BF195" s="22">
        <f t="shared" si="1592"/>
        <v>-5.7749999999999924</v>
      </c>
      <c r="BG195" s="22">
        <f t="shared" si="1592"/>
        <v>0.64500000000000013</v>
      </c>
      <c r="BH195" s="22">
        <f t="shared" si="1592"/>
        <v>1.1840000000000002</v>
      </c>
      <c r="BI195" s="22">
        <f t="shared" si="1592"/>
        <v>-23.629000000000001</v>
      </c>
      <c r="BJ195" s="22">
        <f t="shared" si="1592"/>
        <v>-22.170999999999999</v>
      </c>
      <c r="BK195" s="22">
        <f t="shared" si="1592"/>
        <v>-0.56400000000000006</v>
      </c>
      <c r="BL195" s="22">
        <f t="shared" si="1592"/>
        <v>-6.4000000000000001E-2</v>
      </c>
      <c r="BM195" s="22">
        <f t="shared" si="1592"/>
        <v>-3.0000000000000027E-2</v>
      </c>
      <c r="BN195" s="22">
        <f t="shared" si="1592"/>
        <v>0.13199999999999995</v>
      </c>
      <c r="BO195" s="22">
        <f t="shared" si="1592"/>
        <v>0.29299999999999998</v>
      </c>
      <c r="BP195" s="22">
        <f t="shared" si="1592"/>
        <v>0.27900000000000008</v>
      </c>
      <c r="BQ195" s="22">
        <f t="shared" si="1592"/>
        <v>1.2110000000000001</v>
      </c>
      <c r="BR195" s="22">
        <f t="shared" si="1592"/>
        <v>-0.57199999999999995</v>
      </c>
      <c r="BS195" s="22">
        <f t="shared" si="1592"/>
        <v>-0.70300000000000051</v>
      </c>
      <c r="BT195" s="22">
        <f t="shared" si="1592"/>
        <v>1.0320000000000005</v>
      </c>
      <c r="BU195" s="22">
        <f t="shared" si="1592"/>
        <v>1.6820000000000006</v>
      </c>
      <c r="BV195" s="22">
        <f t="shared" si="1592"/>
        <v>150.20499999999998</v>
      </c>
      <c r="BW195" s="22">
        <f t="shared" si="1592"/>
        <v>8.2000000000003959E-2</v>
      </c>
      <c r="BX195" s="22">
        <f t="shared" si="1592"/>
        <v>11.948999999999998</v>
      </c>
      <c r="BY195" s="22">
        <f t="shared" si="1592"/>
        <v>7.9059999999999855</v>
      </c>
      <c r="BZ195" s="22">
        <f t="shared" si="1592"/>
        <v>31.201000000000004</v>
      </c>
      <c r="CA195" s="22">
        <f t="shared" si="1592"/>
        <v>8.6630000000000091</v>
      </c>
      <c r="CB195" s="22">
        <f t="shared" si="1592"/>
        <v>29.593000000000007</v>
      </c>
      <c r="CC195" s="22">
        <f t="shared" si="1592"/>
        <v>60.889000000000053</v>
      </c>
      <c r="CD195" s="22">
        <f t="shared" si="1592"/>
        <v>23.804000000000009</v>
      </c>
      <c r="CE195" s="22">
        <f t="shared" ref="CE195:CF195" si="1593">CE193+CE194</f>
        <v>8.3900000000000041</v>
      </c>
      <c r="CF195" s="22">
        <f t="shared" si="1593"/>
        <v>24.429999999999996</v>
      </c>
      <c r="CG195" s="22">
        <f t="shared" ref="CG195:CH195" si="1594">CG193+CG194</f>
        <v>22.270000000000003</v>
      </c>
      <c r="CH195" s="22">
        <f t="shared" si="1594"/>
        <v>12.679999999999989</v>
      </c>
      <c r="CI195" s="22">
        <f t="shared" ref="CI195:CJ195" si="1595">CI193+CI194</f>
        <v>233.07000000000005</v>
      </c>
      <c r="CJ195" s="22">
        <f t="shared" si="1595"/>
        <v>29.399999999999988</v>
      </c>
      <c r="CK195" s="21">
        <f t="shared" ref="CK195:DB195" si="1596">CK193+CK194</f>
        <v>-1.3399999999999981</v>
      </c>
      <c r="CL195" s="22">
        <f t="shared" si="1596"/>
        <v>45.140000000000029</v>
      </c>
      <c r="CM195" s="21">
        <f t="shared" si="1596"/>
        <v>30.329186712085015</v>
      </c>
      <c r="CN195" s="21">
        <f t="shared" si="1596"/>
        <v>134.22241121973624</v>
      </c>
      <c r="CO195" s="21">
        <f t="shared" si="1596"/>
        <v>110.32030252976466</v>
      </c>
      <c r="CP195" s="21">
        <f t="shared" si="1596"/>
        <v>182.94708758038027</v>
      </c>
      <c r="CQ195" s="21">
        <f t="shared" si="1596"/>
        <v>38.941472658514428</v>
      </c>
      <c r="CR195" s="21">
        <f t="shared" si="1596"/>
        <v>170.85326881651235</v>
      </c>
      <c r="CS195" s="21">
        <f t="shared" si="1596"/>
        <v>149.16289999585851</v>
      </c>
      <c r="CT195" s="21">
        <f t="shared" si="1596"/>
        <v>239.00799710540778</v>
      </c>
      <c r="CU195" s="21">
        <f t="shared" si="1596"/>
        <v>62.155694172990636</v>
      </c>
      <c r="CV195" s="21">
        <f t="shared" si="1596"/>
        <v>225.19810022825553</v>
      </c>
      <c r="CW195" s="21">
        <f t="shared" si="1596"/>
        <v>202.15879201933961</v>
      </c>
      <c r="CX195" s="21">
        <f t="shared" si="1596"/>
        <v>313.01607925826119</v>
      </c>
      <c r="CY195" s="21">
        <f t="shared" si="1596"/>
        <v>101.19535592106755</v>
      </c>
      <c r="CZ195" s="21">
        <f t="shared" si="1596"/>
        <v>302.10978858010253</v>
      </c>
      <c r="DA195" s="21">
        <f t="shared" si="1596"/>
        <v>277.84024330228078</v>
      </c>
      <c r="DB195" s="21">
        <f t="shared" si="1596"/>
        <v>415.8388649063844</v>
      </c>
      <c r="DE195" s="126"/>
      <c r="DF195" s="22">
        <v>-90.497056051439898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0.13940477599999879</v>
      </c>
      <c r="D196" s="23">
        <f t="shared" si="1597"/>
        <v>21.131986873999999</v>
      </c>
      <c r="E196" s="23">
        <f>D148-E148+D163+D164-E163-E164</f>
        <v>-5.2997995399999951</v>
      </c>
      <c r="F196" s="23">
        <f t="shared" si="1597"/>
        <v>-0.54173300000000113</v>
      </c>
      <c r="G196" s="23">
        <f t="shared" si="1597"/>
        <v>-231.700138493</v>
      </c>
      <c r="H196" s="23">
        <f t="shared" si="1597"/>
        <v>6.1891859170000316</v>
      </c>
      <c r="I196" s="23">
        <f t="shared" si="1597"/>
        <v>-205.51620074500005</v>
      </c>
      <c r="J196" s="23">
        <f>I148-J148+I163+I164-J163-J164</f>
        <v>-328.72887662399995</v>
      </c>
      <c r="K196" s="23">
        <f>J148-K148+J163+J164-K163-K164</f>
        <v>42.057384912999964</v>
      </c>
      <c r="L196" s="23">
        <f t="shared" si="1597"/>
        <v>106.93920000000003</v>
      </c>
      <c r="M196" s="23">
        <f t="shared" si="1597"/>
        <v>-43.139800000000037</v>
      </c>
      <c r="N196" s="23">
        <f t="shared" si="1597"/>
        <v>348.47810000000004</v>
      </c>
      <c r="O196" s="23">
        <f t="shared" si="1597"/>
        <v>100.82951499999999</v>
      </c>
      <c r="P196" s="23">
        <f t="shared" si="1597"/>
        <v>77.969951199999969</v>
      </c>
      <c r="Q196" s="23">
        <f t="shared" si="1597"/>
        <v>26.417784800000021</v>
      </c>
      <c r="R196" s="23">
        <f t="shared" si="1597"/>
        <v>-2.2075758999999948</v>
      </c>
      <c r="S196" s="23">
        <f t="shared" si="1597"/>
        <v>0.71872490000001221</v>
      </c>
      <c r="T196" s="23">
        <f t="shared" si="1597"/>
        <v>-5.9681000000000211</v>
      </c>
      <c r="U196" s="23">
        <f t="shared" si="1597"/>
        <v>-2.0699999999976626E-2</v>
      </c>
      <c r="V196" s="23">
        <f t="shared" si="1597"/>
        <v>0.62260000000000559</v>
      </c>
      <c r="W196" s="23">
        <f t="shared" si="1597"/>
        <v>-312.41470000000004</v>
      </c>
      <c r="X196" s="23">
        <f t="shared" si="1597"/>
        <v>-111.1802999999999</v>
      </c>
      <c r="Y196" s="23">
        <f t="shared" si="1597"/>
        <v>-173.52950000000001</v>
      </c>
      <c r="Z196" s="23">
        <f t="shared" si="1597"/>
        <v>-256.42100000000011</v>
      </c>
      <c r="AA196" s="23">
        <f t="shared" si="1597"/>
        <v>-899.88999999999965</v>
      </c>
      <c r="AB196" s="24">
        <f t="shared" ref="AB196" si="1598">AA148-AB148+AA163+AA164-AB163-AB164</f>
        <v>-652.94526465184936</v>
      </c>
      <c r="AC196" s="24">
        <f t="shared" ref="AC196" si="1599">AB148-AC148+AB163+AB164-AC163-AC164</f>
        <v>-623.56770876679002</v>
      </c>
      <c r="AD196" s="24">
        <f t="shared" ref="AD196" si="1600">AC148-AD148+AC163+AC164-AD163-AD164</f>
        <v>-742.76864679279879</v>
      </c>
      <c r="AE196" s="24">
        <f t="shared" ref="AE196" si="1601">AD148-AE148+AD163+AD164-AE163-AE164</f>
        <v>-897.88175271045839</v>
      </c>
      <c r="AI196" s="23">
        <f>AH148-AI148+AH163+AH164-AI163-AJ164</f>
        <v>0</v>
      </c>
      <c r="AJ196" s="23">
        <f t="shared" ref="AJ196:AL196" si="1602">AI148-AJ148+AI163+AI164-AJ163-AK164</f>
        <v>-691.40599999999995</v>
      </c>
      <c r="AK196" s="23" t="e">
        <f t="shared" si="1602"/>
        <v>#DIV/0!</v>
      </c>
      <c r="AL196" s="23" t="e">
        <f t="shared" si="1602"/>
        <v>#DIV/0!</v>
      </c>
      <c r="AM196" s="23" t="e">
        <f t="shared" ref="AM196" si="1603">AL148-AM148+AL163+AL164-AM163-AM164</f>
        <v>#DIV/0!</v>
      </c>
      <c r="AN196" s="23" t="e">
        <f t="shared" ref="AN196" si="1604">AM148-AN148+AM163+AM164-AN163-AN164</f>
        <v>#DIV/0!</v>
      </c>
      <c r="AO196" s="23" t="e">
        <f t="shared" ref="AO196" si="1605">AN148-AO148+AN163+AN164-AO163-AO164</f>
        <v>#DIV/0!</v>
      </c>
      <c r="AP196" s="23" t="e">
        <f t="shared" ref="AP196" si="1606">AO148-AP148+AO163+AO164-AP163-AP164</f>
        <v>#DIV/0!</v>
      </c>
      <c r="AQ196" s="23" t="e">
        <f t="shared" ref="AQ196" si="1607">AP148-AQ148+AP163+AP164-AQ163-AQ164</f>
        <v>#DIV/0!</v>
      </c>
      <c r="AR196" s="23" t="e">
        <f t="shared" ref="AR196" si="1608">AQ148-AR148+AQ163+AQ164-AR163-AR164</f>
        <v>#DIV/0!</v>
      </c>
      <c r="AS196" s="23" t="e">
        <f t="shared" ref="AS196" si="1609">AR148-AS148+AR163+AR164-AS163-AS164</f>
        <v>#DIV/0!</v>
      </c>
      <c r="AT196" s="23" t="e">
        <f t="shared" ref="AT196" si="1610">AS148-AT148+AS163+AS164-AT163-AT164</f>
        <v>#DIV/0!</v>
      </c>
      <c r="AU196" s="23">
        <f t="shared" ref="AU196" si="1611">AT148-AU148+AT163+AT164-AU163-AU164</f>
        <v>6.4830000000000041</v>
      </c>
      <c r="AV196" s="23">
        <f t="shared" ref="AV196" si="1612">AU148-AV148+AU163+AU164-AV163-AV164</f>
        <v>0.60600000000002296</v>
      </c>
      <c r="AW196" s="23">
        <f t="shared" ref="AW196" si="1613">AV148-AW148+AV163+AV164-AW163-AW164</f>
        <v>-1.2478194147700776</v>
      </c>
      <c r="AX196" s="23">
        <f t="shared" ref="AX196" si="1614">AW148-AX148+AW163+AW164-AX163-AX164</f>
        <v>20.577819414770062</v>
      </c>
      <c r="AY196" s="23">
        <f t="shared" ref="AY196" si="1615">AX148-AY148+AX163+AX164-AY163-AY164</f>
        <v>6.4830000000000041</v>
      </c>
      <c r="AZ196" s="23">
        <f t="shared" ref="AZ196" si="1616">AY148-AZ148+AY163+AY164-AZ163-AZ164</f>
        <v>-6.492999999999995</v>
      </c>
      <c r="BA196" s="23">
        <f t="shared" ref="BA196" si="1617">AZ148-BA148+AZ163+AZ164-BA163-BA164</f>
        <v>-6.6911009253904012</v>
      </c>
      <c r="BB196" s="23">
        <f t="shared" ref="BB196" si="1618">BA148-BB148+BA163+BA164-BB163-BB164</f>
        <v>4.4931009253903937</v>
      </c>
      <c r="BC196" s="23">
        <f t="shared" ref="BC196" si="1619">BB148-BC148+BB163+BB164-BC163-BC164</f>
        <v>8.9430000000000121</v>
      </c>
      <c r="BD196" s="23">
        <f t="shared" ref="BD196" si="1620">BC148-BD148+BC163+BC164-BD163-BD164</f>
        <v>-27.648000000000025</v>
      </c>
      <c r="BE196" s="23">
        <f t="shared" ref="BE196" si="1621">BD148-BE148+BD163+BD164-BE163-BE164</f>
        <v>-71.228783633569805</v>
      </c>
      <c r="BF196" s="23">
        <f t="shared" ref="BF196" si="1622">BE148-BF148+BE163+BE164-BF163-BF164</f>
        <v>90.652783633569811</v>
      </c>
      <c r="BG196" s="23">
        <f t="shared" ref="BG196" si="1623">BF148-BG148+BF163+BF164-BG163-BG164</f>
        <v>8.9430000000000121</v>
      </c>
      <c r="BH196" s="23">
        <f t="shared" ref="BH196" si="1624">BG148-BH148+BG163+BG164-BH163-BH164</f>
        <v>-13.698000000000008</v>
      </c>
      <c r="BI196" s="23" t="e">
        <f t="shared" ref="BI196" si="1625">BH148-BI148+BH163+BH164-BI163-BI164</f>
        <v>#DIV/0!</v>
      </c>
      <c r="BJ196" s="23" t="e">
        <f t="shared" ref="BJ196" si="1626">BI148-BJ148+BI163+BI164-BJ163-BJ164</f>
        <v>#DIV/0!</v>
      </c>
      <c r="BK196" s="23">
        <f t="shared" ref="BK196" si="1627">BJ148-BK148+BJ163+BJ164-BK163-BK164</f>
        <v>0</v>
      </c>
      <c r="BL196" s="23">
        <f t="shared" ref="BL196" si="1628">BK148-BL148+BK163+BK164-BL163-BL164</f>
        <v>0.89000000000001478</v>
      </c>
      <c r="BM196" s="23" t="e">
        <f t="shared" ref="BM196" si="1629">BL148-BM148+BL163+BL164-BM163-BM164</f>
        <v>#DIV/0!</v>
      </c>
      <c r="BN196" s="23" t="e">
        <f t="shared" ref="BN196" si="1630">BM148-BN148+BM163+BM164-BN163-BN164</f>
        <v>#DIV/0!</v>
      </c>
      <c r="BO196" s="23">
        <f t="shared" ref="BO196" si="1631">BN148-BO148+BN163+BN164-BO163-BO164</f>
        <v>0.59700000000000841</v>
      </c>
      <c r="BP196" s="23">
        <f t="shared" ref="BP196" si="1632">BO148-BP148+BO163+BO164-BP163-BP164</f>
        <v>-0.11600000000001387</v>
      </c>
      <c r="BQ196" s="23" t="e">
        <f t="shared" ref="BQ196" si="1633">BP148-BQ148+BP163+BP164-BQ163-BQ164</f>
        <v>#DIV/0!</v>
      </c>
      <c r="BR196" s="23" t="e">
        <f t="shared" ref="BR196" si="1634">BQ148-BR148+BQ163+BQ164-BR163-BR164</f>
        <v>#DIV/0!</v>
      </c>
      <c r="BS196" s="23">
        <f t="shared" ref="BS196" si="1635">BR148-BS148+BR163+BR164-BS163-BS164</f>
        <v>0</v>
      </c>
      <c r="BT196" s="23">
        <f t="shared" ref="BT196" si="1636">BS148-BT148+BS163+BS164-BT163-BT164</f>
        <v>-131.57499999999999</v>
      </c>
      <c r="BU196" s="23">
        <f t="shared" ref="BU196" si="1637">BT148-BU148+BT163+BT164-BU163-BU164</f>
        <v>-43.656494229463704</v>
      </c>
      <c r="BV196" s="23">
        <f t="shared" ref="BV196" si="1638">BU148-BV148+BU163+BU164-BV163-BV164</f>
        <v>-140.94750577053631</v>
      </c>
      <c r="BW196" s="23">
        <f t="shared" ref="BW196" si="1639">BV148-BW148+BV163+BV164-BW163-BW164</f>
        <v>-96.476345366965404</v>
      </c>
      <c r="BX196" s="23">
        <f t="shared" ref="BX196" si="1640">BW148-BX148+BW163+BW164-BX163-BX164</f>
        <v>179.41534536696543</v>
      </c>
      <c r="BY196" s="23">
        <f t="shared" ref="BY196" si="1641">BX148-BY148+BX163+BX164-BY163-BY164</f>
        <v>-99.461999222447673</v>
      </c>
      <c r="BZ196" s="23">
        <f t="shared" ref="BZ196" si="1642">BY148-BZ148+BY163+BY164-BZ163-BZ164</f>
        <v>-96.198000777552366</v>
      </c>
      <c r="CA196" s="23">
        <f t="shared" ref="CA196" si="1643">BZ148-CA148+BZ163+BZ164-CA163-CA164</f>
        <v>60.31620590463649</v>
      </c>
      <c r="CB196" s="23">
        <f t="shared" ref="CB196" si="1644">CA148-CB148+CA163+CA164-CB163-CB164</f>
        <v>14.521794095363511</v>
      </c>
      <c r="CC196" s="23">
        <f t="shared" ref="CC196" si="1645">CB148-CC148+CB163+CB164-CC163-CC164</f>
        <v>-265.82939979908912</v>
      </c>
      <c r="CD196" s="23">
        <f t="shared" ref="CD196" si="1646">CC148-CD148+CC163+CC164-CD163-CD164</f>
        <v>7.7213997990892267</v>
      </c>
      <c r="CE196" s="23">
        <f t="shared" ref="CE196" si="1647">CD148-CE148+CD163+CD164-CE163-CE164</f>
        <v>11.714854049421319</v>
      </c>
      <c r="CF196" s="23">
        <f t="shared" ref="CF196" si="1648">CE148-CF148+CE163+CE164-CF163-CF164</f>
        <v>-326.38585404942125</v>
      </c>
      <c r="CG196" s="23">
        <f t="shared" ref="CG196" si="1649">CF148-CG148+CF163+CF164-CG163-CG164</f>
        <v>63.029959946041224</v>
      </c>
      <c r="CH196" s="23">
        <f t="shared" ref="CH196:CL196" si="1650">CG148-CH148+CG163+CG164-CH163-CH164</f>
        <v>10.265040053958558</v>
      </c>
      <c r="CI196" s="23">
        <f t="shared" si="1650"/>
        <v>415.02206735878372</v>
      </c>
      <c r="CJ196" s="23">
        <f t="shared" si="1650"/>
        <v>-1243.2620673587835</v>
      </c>
      <c r="CK196" s="24">
        <f t="shared" ref="CK196" si="1651">CJ148-CK148+CJ163+CJ164-CK163-CK164</f>
        <v>550.19116560493876</v>
      </c>
      <c r="CL196" s="23">
        <f t="shared" si="1650"/>
        <v>-697.83116560493886</v>
      </c>
      <c r="CM196" s="24">
        <f t="shared" ref="CM196" si="1652">CL148-CM148+CL163+CL164-CM163-CM164</f>
        <v>1096.897902226511</v>
      </c>
      <c r="CN196" s="24">
        <f t="shared" ref="CN196" si="1653">CM148-CN148+CM163+CM164-CN163-CN164</f>
        <v>-318.49946321523049</v>
      </c>
      <c r="CO196" s="24">
        <f t="shared" ref="CO196" si="1654">CN148-CO148+CN163+CN164-CO163-CO164</f>
        <v>377.23457310727076</v>
      </c>
      <c r="CP196" s="24">
        <f t="shared" ref="CP196" si="1655">CO148-CP148+CO163+CO164-CP163-CP164</f>
        <v>-1732.5882767704004</v>
      </c>
      <c r="CQ196" s="24">
        <f t="shared" ref="CQ196" si="1656">CP148-CQ148+CP163+CP164-CQ163-CQ164</f>
        <v>1437.6720670882185</v>
      </c>
      <c r="CR196" s="24">
        <f t="shared" ref="CR196" si="1657">CQ148-CR148+CQ163+CQ164-CR163-CR164</f>
        <v>-398.90435557706184</v>
      </c>
      <c r="CS196" s="24">
        <f t="shared" ref="CS196" si="1658">CR148-CS148+CR163+CR164-CS163-CS164</f>
        <v>446.00443727927427</v>
      </c>
      <c r="CT196" s="24">
        <f t="shared" ref="CT196" si="1659">CS148-CT148+CS163+CS164-CT163-CT164</f>
        <v>-2108.339857557221</v>
      </c>
      <c r="CU196" s="24">
        <f t="shared" ref="CU196" si="1660">CT148-CU148+CT163+CT164-CU163-CU164</f>
        <v>1759.7227103691826</v>
      </c>
      <c r="CV196" s="24">
        <f t="shared" ref="CV196" si="1661">CU148-CV148+CU163+CU164-CV163-CV164</f>
        <v>-487.76905598894842</v>
      </c>
      <c r="CW196" s="24">
        <f t="shared" ref="CW196" si="1662">CV148-CW148+CV163+CV164-CW163-CW164</f>
        <v>538.24542186211238</v>
      </c>
      <c r="CX196" s="24">
        <f t="shared" ref="CX196" si="1663">CW148-CX148+CW163+CW164-CX163-CX164</f>
        <v>-2552.9677230351454</v>
      </c>
      <c r="CY196" s="24">
        <f t="shared" ref="CY196" si="1664">CX148-CY148+CX163+CX164-CY163-CY164</f>
        <v>2133.2661785395444</v>
      </c>
      <c r="CZ196" s="24">
        <f t="shared" ref="CZ196" si="1665">CY148-CZ148+CY163+CY164-CZ163-CZ164</f>
        <v>-591.9362185843006</v>
      </c>
      <c r="DA196" s="24">
        <f t="shared" ref="DA196" si="1666">CZ148-DA148+CZ163+CZ164-DA163-DA164</f>
        <v>651.58273556314271</v>
      </c>
      <c r="DB196" s="24">
        <f t="shared" ref="DB196" si="1667">DA148-DB148+DA163+DA164-DB163-DB164</f>
        <v>-3090.7944482288449</v>
      </c>
      <c r="DE196" s="123"/>
      <c r="DF196" s="23">
        <v>-1334.8609288330563</v>
      </c>
    </row>
    <row r="197" spans="1:110" s="23" customFormat="1" x14ac:dyDescent="0.2">
      <c r="A197" s="23" t="s">
        <v>73</v>
      </c>
      <c r="C197" s="23">
        <f t="shared" ref="C197:AA197" si="1668">B156-C156</f>
        <v>4.1710421960000019</v>
      </c>
      <c r="D197" s="23">
        <f t="shared" si="1668"/>
        <v>11.756354000999991</v>
      </c>
      <c r="E197" s="23">
        <f>D156-E156</f>
        <v>4.7064242989999912</v>
      </c>
      <c r="F197" s="23">
        <f t="shared" si="1668"/>
        <v>93.289506057000011</v>
      </c>
      <c r="G197" s="23">
        <f t="shared" si="1668"/>
        <v>-91.656407001999995</v>
      </c>
      <c r="H197" s="23">
        <f t="shared" si="1668"/>
        <v>-22.232456267000003</v>
      </c>
      <c r="I197" s="23">
        <f t="shared" si="1668"/>
        <v>-279.899442411</v>
      </c>
      <c r="J197" s="23">
        <f>I156-J156</f>
        <v>-509.10581466000002</v>
      </c>
      <c r="K197" s="23">
        <f>J156-K156</f>
        <v>557.44943083999999</v>
      </c>
      <c r="L197" s="23">
        <f t="shared" si="1668"/>
        <v>-48.566599999999994</v>
      </c>
      <c r="M197" s="23">
        <f t="shared" si="1668"/>
        <v>-660.8202</v>
      </c>
      <c r="N197" s="23">
        <f t="shared" si="1668"/>
        <v>396.99360000000001</v>
      </c>
      <c r="O197" s="23">
        <f t="shared" si="1668"/>
        <v>111.58045970000001</v>
      </c>
      <c r="P197" s="23">
        <f t="shared" si="1668"/>
        <v>497.43171710000001</v>
      </c>
      <c r="Q197" s="23">
        <f t="shared" si="1668"/>
        <v>18.557133200000003</v>
      </c>
      <c r="R197" s="23">
        <f t="shared" si="1668"/>
        <v>18.812182599999996</v>
      </c>
      <c r="S197" s="23">
        <f t="shared" si="1668"/>
        <v>11.0005074</v>
      </c>
      <c r="T197" s="23">
        <f t="shared" si="1668"/>
        <v>-6.0600000000000098E-2</v>
      </c>
      <c r="U197" s="23">
        <f t="shared" si="1668"/>
        <v>-0.87799999999999956</v>
      </c>
      <c r="V197" s="23">
        <f t="shared" si="1668"/>
        <v>-4.515200000000001</v>
      </c>
      <c r="W197" s="23">
        <f t="shared" si="1668"/>
        <v>-33.194299999999998</v>
      </c>
      <c r="X197" s="23">
        <f t="shared" si="1668"/>
        <v>-90.761900000000011</v>
      </c>
      <c r="Y197" s="23">
        <f t="shared" si="1668"/>
        <v>-118.2946</v>
      </c>
      <c r="Z197" s="23">
        <f t="shared" si="1668"/>
        <v>-29.635300000000029</v>
      </c>
      <c r="AA197" s="23">
        <f t="shared" si="1668"/>
        <v>-408.49000000000007</v>
      </c>
      <c r="AB197" s="24">
        <f t="shared" ref="AB197" si="1669">AA156-AB156</f>
        <v>-170.95653440267643</v>
      </c>
      <c r="AC197" s="24">
        <f t="shared" ref="AC197" si="1670">AB156-AC156</f>
        <v>-184.76818045939012</v>
      </c>
      <c r="AD197" s="24">
        <f t="shared" ref="AD197" si="1671">AC156-AD156</f>
        <v>-220.08838726046906</v>
      </c>
      <c r="AE197" s="24">
        <f t="shared" ref="AE197" si="1672">AD156-AE156</f>
        <v>-266.04966130156799</v>
      </c>
      <c r="AI197" s="23">
        <f t="shared" ref="AI197" si="1673">AH156-AI156</f>
        <v>0</v>
      </c>
      <c r="AJ197" s="23">
        <f t="shared" ref="AJ197" si="1674">AI156-AJ156</f>
        <v>-1019.134</v>
      </c>
      <c r="AK197" s="23" t="e">
        <f t="shared" ref="AK197" si="1675">AJ156-AK156</f>
        <v>#DIV/0!</v>
      </c>
      <c r="AL197" s="23" t="e">
        <f t="shared" ref="AL197" si="1676">AK156-AL156</f>
        <v>#DIV/0!</v>
      </c>
      <c r="AM197" s="23" t="e">
        <f t="shared" ref="AM197" si="1677">AL156-AM156</f>
        <v>#DIV/0!</v>
      </c>
      <c r="AN197" s="23" t="e">
        <f t="shared" ref="AN197" si="1678">AM156-AN156</f>
        <v>#DIV/0!</v>
      </c>
      <c r="AO197" s="23" t="e">
        <f t="shared" ref="AO197" si="1679">AN156-AO156</f>
        <v>#DIV/0!</v>
      </c>
      <c r="AP197" s="23" t="e">
        <f t="shared" ref="AP197" si="1680">AO156-AP156</f>
        <v>#DIV/0!</v>
      </c>
      <c r="AQ197" s="23" t="e">
        <f t="shared" ref="AQ197" si="1681">AP156-AQ156</f>
        <v>#DIV/0!</v>
      </c>
      <c r="AR197" s="23" t="e">
        <f t="shared" ref="AR197" si="1682">AQ156-AR156</f>
        <v>#DIV/0!</v>
      </c>
      <c r="AS197" s="23" t="e">
        <f t="shared" ref="AS197" si="1683">AR156-AS156</f>
        <v>#DIV/0!</v>
      </c>
      <c r="AT197" s="23" t="e">
        <f t="shared" ref="AT197" si="1684">AS156-AT156</f>
        <v>#DIV/0!</v>
      </c>
      <c r="AU197" s="23">
        <f t="shared" ref="AU197" si="1685">AT156-AU156</f>
        <v>23.863999999999997</v>
      </c>
      <c r="AV197" s="23">
        <f t="shared" ref="AV197" si="1686">AU156-AV156</f>
        <v>-6.2629999999999946</v>
      </c>
      <c r="AW197" s="23">
        <f t="shared" ref="AW197" si="1687">AV156-AW156</f>
        <v>-3.2576497909893227</v>
      </c>
      <c r="AX197" s="23">
        <f t="shared" ref="AX197" si="1688">AW156-AX156</f>
        <v>4.2146497909893235</v>
      </c>
      <c r="AY197" s="23">
        <f t="shared" ref="AY197" si="1689">AX156-AY156</f>
        <v>0</v>
      </c>
      <c r="AZ197" s="23">
        <f t="shared" ref="AZ197" si="1690">AY156-AZ156</f>
        <v>-0.45500000000000185</v>
      </c>
      <c r="BA197" s="23">
        <f t="shared" ref="BA197" si="1691">AZ156-BA156</f>
        <v>-11.208600347021395</v>
      </c>
      <c r="BB197" s="23">
        <f t="shared" ref="BB197" si="1692">BA156-BB156</f>
        <v>30.474600347021397</v>
      </c>
      <c r="BC197" s="23">
        <f t="shared" ref="BC197" si="1693">BB156-BC156</f>
        <v>0</v>
      </c>
      <c r="BD197" s="23">
        <f t="shared" ref="BD197" si="1694">BC156-BD156</f>
        <v>-19.045000000000002</v>
      </c>
      <c r="BE197" s="23">
        <f t="shared" ref="BE197" si="1695">BD156-BE156</f>
        <v>-77.649551541504565</v>
      </c>
      <c r="BF197" s="23">
        <f t="shared" ref="BF197" si="1696">BE156-BF156</f>
        <v>107.69455154150457</v>
      </c>
      <c r="BG197" s="23">
        <f t="shared" ref="BG197" si="1697">BF156-BG156</f>
        <v>0</v>
      </c>
      <c r="BH197" s="23">
        <f t="shared" ref="BH197" si="1698">BG156-BH156</f>
        <v>0</v>
      </c>
      <c r="BI197" s="23" t="e">
        <f t="shared" ref="BI197" si="1699">BH156-BI156</f>
        <v>#DIV/0!</v>
      </c>
      <c r="BJ197" s="23" t="e">
        <f t="shared" ref="BJ197" si="1700">BI156-BJ156</f>
        <v>#DIV/0!</v>
      </c>
      <c r="BK197" s="23">
        <f t="shared" ref="BK197" si="1701">BJ156-BK156</f>
        <v>0</v>
      </c>
      <c r="BL197" s="23">
        <f t="shared" ref="BL197" si="1702">BK156-BL156</f>
        <v>4.1999999999999926E-2</v>
      </c>
      <c r="BM197" s="23" t="e">
        <f t="shared" ref="BM197" si="1703">BL156-BM156</f>
        <v>#DIV/0!</v>
      </c>
      <c r="BN197" s="23" t="e">
        <f t="shared" ref="BN197" si="1704">BM156-BN156</f>
        <v>#DIV/0!</v>
      </c>
      <c r="BO197" s="23">
        <f t="shared" ref="BO197" si="1705">BN156-BO156</f>
        <v>0.59500000000000008</v>
      </c>
      <c r="BP197" s="23">
        <f t="shared" ref="BP197" si="1706">BO156-BP156</f>
        <v>-0.66400000000000003</v>
      </c>
      <c r="BQ197" s="23" t="e">
        <f t="shared" ref="BQ197" si="1707">BP156-BQ156</f>
        <v>#DIV/0!</v>
      </c>
      <c r="BR197" s="23" t="e">
        <f t="shared" ref="BR197" si="1708">BQ156-BR156</f>
        <v>#DIV/0!</v>
      </c>
      <c r="BS197" s="23">
        <f t="shared" ref="BS197" si="1709">BR156-BS156</f>
        <v>0</v>
      </c>
      <c r="BT197" s="23">
        <f t="shared" ref="BT197" si="1710">BS156-BT156</f>
        <v>-37.102000000000004</v>
      </c>
      <c r="BU197" s="23">
        <f t="shared" ref="BU197" si="1711">BT156-BU156</f>
        <v>-11.834221317040047</v>
      </c>
      <c r="BV197" s="23">
        <f t="shared" ref="BV197" si="1712">BU156-BV156</f>
        <v>13.364221317040048</v>
      </c>
      <c r="BW197" s="23">
        <f t="shared" ref="BW197" si="1713">BV156-BW156</f>
        <v>-14.041219454084015</v>
      </c>
      <c r="BX197" s="23">
        <f t="shared" ref="BX197" si="1714">BW156-BX156</f>
        <v>-140.74678054591598</v>
      </c>
      <c r="BY197" s="23">
        <f t="shared" ref="BY197" si="1715">BX156-BY156</f>
        <v>-14.817014435429343</v>
      </c>
      <c r="BZ197" s="23">
        <f t="shared" ref="BZ197" si="1716">BY156-BZ156</f>
        <v>81.221014435429339</v>
      </c>
      <c r="CA197" s="23">
        <f t="shared" ref="CA197" si="1717">BZ156-CA156</f>
        <v>9.2629700545253684</v>
      </c>
      <c r="CB197" s="23">
        <f t="shared" ref="CB197" si="1718">CA156-CB156</f>
        <v>-77.242970054525358</v>
      </c>
      <c r="CC197" s="23">
        <f t="shared" ref="CC197" si="1719">CB156-CC156</f>
        <v>-29.54987011786767</v>
      </c>
      <c r="CD197" s="23">
        <f t="shared" ref="CD197" si="1720">CC156-CD156</f>
        <v>-20.764129882132323</v>
      </c>
      <c r="CE197" s="23">
        <f t="shared" ref="CE197" si="1721">CD156-CE156</f>
        <v>0.9052586439397885</v>
      </c>
      <c r="CF197" s="23">
        <f t="shared" ref="CF197" si="1722">CE156-CF156</f>
        <v>-23.357258643939815</v>
      </c>
      <c r="CG197" s="23">
        <f t="shared" ref="CG197" si="1723">CF156-CG156</f>
        <v>16.262673861160124</v>
      </c>
      <c r="CH197" s="23">
        <f t="shared" ref="CH197:CL197" si="1724">CG156-CH156</f>
        <v>-23.44667386116015</v>
      </c>
      <c r="CI197" s="23">
        <f t="shared" si="1724"/>
        <v>89.968392463009934</v>
      </c>
      <c r="CJ197" s="23">
        <f t="shared" si="1724"/>
        <v>-336.38839246300984</v>
      </c>
      <c r="CK197" s="24">
        <f t="shared" ref="CK197" si="1725">CJ156-CK156</f>
        <v>138.48943822711954</v>
      </c>
      <c r="CL197" s="23">
        <f t="shared" si="1724"/>
        <v>-300.55943822711959</v>
      </c>
      <c r="CM197" s="24">
        <f t="shared" ref="CM197" si="1726">CL156-CM156</f>
        <v>325.0197640043483</v>
      </c>
      <c r="CN197" s="24">
        <f t="shared" ref="CN197" si="1727">CM156-CN156</f>
        <v>-94.373979710965841</v>
      </c>
      <c r="CO197" s="24">
        <f t="shared" ref="CO197" si="1728">CN156-CO156</f>
        <v>111.77767017033392</v>
      </c>
      <c r="CP197" s="24">
        <f t="shared" ref="CP197" si="1729">CO156-CP156</f>
        <v>-513.37998886639298</v>
      </c>
      <c r="CQ197" s="24">
        <f t="shared" ref="CQ197" si="1730">CP156-CQ156</f>
        <v>425.99391886170645</v>
      </c>
      <c r="CR197" s="24">
        <f t="shared" ref="CR197" si="1731">CQ156-CR156</f>
        <v>-118.19860284789752</v>
      </c>
      <c r="CS197" s="24">
        <f t="shared" ref="CS197" si="1732">CR156-CS156</f>
        <v>132.15473988523274</v>
      </c>
      <c r="CT197" s="24">
        <f t="shared" ref="CT197" si="1733">CS156-CT156</f>
        <v>-624.7182363584318</v>
      </c>
      <c r="CU197" s="24">
        <f t="shared" ref="CU197" si="1734">CT156-CU156</f>
        <v>521.42014209010381</v>
      </c>
      <c r="CV197" s="24">
        <f t="shared" ref="CV197" si="1735">CU156-CV156</f>
        <v>-144.52993587129163</v>
      </c>
      <c r="CW197" s="24">
        <f t="shared" ref="CW197" si="1736">CV156-CW156</f>
        <v>159.4864933508818</v>
      </c>
      <c r="CX197" s="24">
        <f t="shared" ref="CX197" si="1737">CW156-CX156</f>
        <v>-756.46508683016305</v>
      </c>
      <c r="CY197" s="24">
        <f t="shared" ref="CY197" si="1738">CX156-CY156</f>
        <v>632.1041078663693</v>
      </c>
      <c r="CZ197" s="24">
        <f t="shared" ref="CZ197" si="1739">CY156-CZ156</f>
        <v>-175.39551281789841</v>
      </c>
      <c r="DA197" s="24">
        <f t="shared" ref="DA197" si="1740">CZ156-DA156</f>
        <v>193.06926060499313</v>
      </c>
      <c r="DB197" s="24">
        <f t="shared" ref="DB197" si="1741">DA156-DB156</f>
        <v>-915.82751695503202</v>
      </c>
      <c r="DE197" s="123"/>
      <c r="DF197" s="23">
        <v>-335.99983369809581</v>
      </c>
    </row>
    <row r="198" spans="1:110" s="22" customFormat="1" x14ac:dyDescent="0.2">
      <c r="A198" s="22" t="s">
        <v>90</v>
      </c>
      <c r="C198" s="22">
        <f t="shared" ref="C198:W198" si="1742">C196-C197</f>
        <v>-4.0316374200000027</v>
      </c>
      <c r="D198" s="22">
        <f t="shared" si="1742"/>
        <v>9.3756328730000078</v>
      </c>
      <c r="E198" s="22">
        <f t="shared" si="1742"/>
        <v>-10.006223838999986</v>
      </c>
      <c r="F198" s="22">
        <f t="shared" si="1742"/>
        <v>-93.831239057000019</v>
      </c>
      <c r="G198" s="22">
        <f t="shared" si="1742"/>
        <v>-140.04373149100002</v>
      </c>
      <c r="H198" s="22">
        <f t="shared" si="1742"/>
        <v>28.421642184000035</v>
      </c>
      <c r="I198" s="22">
        <f t="shared" si="1742"/>
        <v>74.383241665999947</v>
      </c>
      <c r="J198" s="22">
        <f>J196-J197</f>
        <v>180.37693803600007</v>
      </c>
      <c r="K198" s="22">
        <f t="shared" si="1742"/>
        <v>-515.39204592700003</v>
      </c>
      <c r="L198" s="22">
        <f t="shared" si="1742"/>
        <v>155.50580000000002</v>
      </c>
      <c r="M198" s="22">
        <f t="shared" si="1742"/>
        <v>617.68039999999996</v>
      </c>
      <c r="N198" s="22">
        <f t="shared" si="1742"/>
        <v>-48.515499999999975</v>
      </c>
      <c r="O198" s="22">
        <f t="shared" si="1742"/>
        <v>-10.750944700000019</v>
      </c>
      <c r="P198" s="22">
        <f t="shared" si="1742"/>
        <v>-419.46176590000005</v>
      </c>
      <c r="Q198" s="22">
        <f t="shared" si="1742"/>
        <v>7.8606516000000184</v>
      </c>
      <c r="R198" s="22">
        <f t="shared" si="1742"/>
        <v>-21.019758499999991</v>
      </c>
      <c r="S198" s="22">
        <f t="shared" si="1742"/>
        <v>-10.281782499999988</v>
      </c>
      <c r="T198" s="22">
        <f t="shared" si="1742"/>
        <v>-5.9075000000000211</v>
      </c>
      <c r="U198" s="22">
        <f t="shared" si="1742"/>
        <v>0.85730000000002293</v>
      </c>
      <c r="V198" s="22">
        <f t="shared" si="1742"/>
        <v>5.1378000000000066</v>
      </c>
      <c r="W198" s="22">
        <f t="shared" si="1742"/>
        <v>-279.22040000000004</v>
      </c>
      <c r="X198" s="22">
        <f t="shared" ref="X198:Y198" si="1743">X196-X197</f>
        <v>-20.418399999999892</v>
      </c>
      <c r="Y198" s="22">
        <f t="shared" si="1743"/>
        <v>-55.23490000000001</v>
      </c>
      <c r="Z198" s="22">
        <f t="shared" ref="Z198:AA198" si="1744">Z196-Z197</f>
        <v>-226.78570000000008</v>
      </c>
      <c r="AA198" s="22">
        <f t="shared" si="1744"/>
        <v>-491.39999999999958</v>
      </c>
      <c r="AB198" s="21">
        <f t="shared" ref="AA198:AD198" si="1745">AB196-AB197</f>
        <v>-481.98873024917293</v>
      </c>
      <c r="AC198" s="21">
        <f t="shared" si="1745"/>
        <v>-438.7995283073999</v>
      </c>
      <c r="AD198" s="21">
        <f t="shared" si="1745"/>
        <v>-522.68025953232973</v>
      </c>
      <c r="AE198" s="21">
        <f t="shared" ref="AE198" si="1746">AE196-AE197</f>
        <v>-631.83209140889039</v>
      </c>
      <c r="AI198" s="22">
        <f t="shared" ref="AI198" si="1747">AI196-AI197</f>
        <v>0</v>
      </c>
      <c r="AJ198" s="22">
        <f t="shared" ref="AJ198:AL198" si="1748">AJ196-AJ197</f>
        <v>327.72800000000007</v>
      </c>
      <c r="AK198" s="22" t="e">
        <f t="shared" si="1748"/>
        <v>#DIV/0!</v>
      </c>
      <c r="AL198" s="22" t="e">
        <f t="shared" si="1748"/>
        <v>#DIV/0!</v>
      </c>
      <c r="AM198" s="22" t="e">
        <f t="shared" ref="AM198" si="1749">AM196-AM197</f>
        <v>#DIV/0!</v>
      </c>
      <c r="AN198" s="22" t="e">
        <f t="shared" ref="AN198:CD198" si="1750">AN196-AN197</f>
        <v>#DIV/0!</v>
      </c>
      <c r="AO198" s="22" t="e">
        <f t="shared" si="1750"/>
        <v>#DIV/0!</v>
      </c>
      <c r="AP198" s="22" t="e">
        <f t="shared" si="1750"/>
        <v>#DIV/0!</v>
      </c>
      <c r="AQ198" s="22" t="e">
        <f t="shared" si="1750"/>
        <v>#DIV/0!</v>
      </c>
      <c r="AR198" s="22" t="e">
        <f t="shared" si="1750"/>
        <v>#DIV/0!</v>
      </c>
      <c r="AS198" s="22" t="e">
        <f t="shared" si="1750"/>
        <v>#DIV/0!</v>
      </c>
      <c r="AT198" s="22" t="e">
        <f t="shared" si="1750"/>
        <v>#DIV/0!</v>
      </c>
      <c r="AU198" s="22">
        <f t="shared" si="1750"/>
        <v>-17.380999999999993</v>
      </c>
      <c r="AV198" s="22">
        <f t="shared" si="1750"/>
        <v>6.8690000000000175</v>
      </c>
      <c r="AW198" s="22">
        <f t="shared" si="1750"/>
        <v>2.0098303762192451</v>
      </c>
      <c r="AX198" s="22">
        <f t="shared" si="1750"/>
        <v>16.363169623780738</v>
      </c>
      <c r="AY198" s="22">
        <f t="shared" si="1750"/>
        <v>6.4830000000000041</v>
      </c>
      <c r="AZ198" s="22">
        <f t="shared" si="1750"/>
        <v>-6.0379999999999932</v>
      </c>
      <c r="BA198" s="22">
        <f t="shared" si="1750"/>
        <v>4.517499421630994</v>
      </c>
      <c r="BB198" s="22">
        <f t="shared" si="1750"/>
        <v>-25.981499421631003</v>
      </c>
      <c r="BC198" s="22">
        <f t="shared" si="1750"/>
        <v>8.9430000000000121</v>
      </c>
      <c r="BD198" s="22">
        <f t="shared" si="1750"/>
        <v>-8.6030000000000229</v>
      </c>
      <c r="BE198" s="22">
        <f t="shared" si="1750"/>
        <v>6.4207679079347599</v>
      </c>
      <c r="BF198" s="22">
        <f t="shared" si="1750"/>
        <v>-17.041767907934755</v>
      </c>
      <c r="BG198" s="22">
        <f t="shared" si="1750"/>
        <v>8.9430000000000121</v>
      </c>
      <c r="BH198" s="22">
        <f t="shared" si="1750"/>
        <v>-13.698000000000008</v>
      </c>
      <c r="BI198" s="22" t="e">
        <f t="shared" si="1750"/>
        <v>#DIV/0!</v>
      </c>
      <c r="BJ198" s="22" t="e">
        <f t="shared" si="1750"/>
        <v>#DIV/0!</v>
      </c>
      <c r="BK198" s="22">
        <f t="shared" si="1750"/>
        <v>0</v>
      </c>
      <c r="BL198" s="22">
        <f t="shared" si="1750"/>
        <v>0.84800000000001485</v>
      </c>
      <c r="BM198" s="22" t="e">
        <f t="shared" si="1750"/>
        <v>#DIV/0!</v>
      </c>
      <c r="BN198" s="22" t="e">
        <f t="shared" si="1750"/>
        <v>#DIV/0!</v>
      </c>
      <c r="BO198" s="22">
        <f t="shared" si="1750"/>
        <v>2.0000000000083284E-3</v>
      </c>
      <c r="BP198" s="22">
        <f t="shared" si="1750"/>
        <v>0.54799999999998616</v>
      </c>
      <c r="BQ198" s="22" t="e">
        <f t="shared" si="1750"/>
        <v>#DIV/0!</v>
      </c>
      <c r="BR198" s="22" t="e">
        <f t="shared" si="1750"/>
        <v>#DIV/0!</v>
      </c>
      <c r="BS198" s="22">
        <f t="shared" si="1750"/>
        <v>0</v>
      </c>
      <c r="BT198" s="22">
        <f t="shared" si="1750"/>
        <v>-94.472999999999985</v>
      </c>
      <c r="BU198" s="22">
        <f t="shared" si="1750"/>
        <v>-31.822272912423657</v>
      </c>
      <c r="BV198" s="22">
        <f t="shared" si="1750"/>
        <v>-154.31172708757634</v>
      </c>
      <c r="BW198" s="22">
        <f t="shared" si="1750"/>
        <v>-82.435125912881389</v>
      </c>
      <c r="BX198" s="22">
        <f t="shared" si="1750"/>
        <v>320.16212591288138</v>
      </c>
      <c r="BY198" s="22">
        <f t="shared" si="1750"/>
        <v>-84.644984787018331</v>
      </c>
      <c r="BZ198" s="22">
        <f t="shared" si="1750"/>
        <v>-177.41901521298172</v>
      </c>
      <c r="CA198" s="22">
        <f t="shared" si="1750"/>
        <v>51.053235850111122</v>
      </c>
      <c r="CB198" s="22">
        <f t="shared" si="1750"/>
        <v>91.764764149888862</v>
      </c>
      <c r="CC198" s="22">
        <f t="shared" si="1750"/>
        <v>-236.27952968122145</v>
      </c>
      <c r="CD198" s="22">
        <f t="shared" si="1750"/>
        <v>28.48552968122155</v>
      </c>
      <c r="CE198" s="22">
        <f t="shared" ref="CE198:CF198" si="1751">CE196-CE197</f>
        <v>10.809595405481531</v>
      </c>
      <c r="CF198" s="22">
        <f t="shared" si="1751"/>
        <v>-303.02859540548144</v>
      </c>
      <c r="CG198" s="22">
        <f t="shared" ref="CG198:CH198" si="1752">CG196-CG197</f>
        <v>46.7672860848811</v>
      </c>
      <c r="CH198" s="22">
        <f t="shared" si="1752"/>
        <v>33.711713915118708</v>
      </c>
      <c r="CI198" s="22">
        <f t="shared" ref="CI198:CJ198" si="1753">CI196-CI197</f>
        <v>325.05367489577378</v>
      </c>
      <c r="CJ198" s="22">
        <f t="shared" si="1753"/>
        <v>-906.87367489577366</v>
      </c>
      <c r="CK198" s="21">
        <f t="shared" ref="CK198:DB198" si="1754">CK196-CK197</f>
        <v>411.70172737781922</v>
      </c>
      <c r="CL198" s="22">
        <f t="shared" si="1754"/>
        <v>-397.27172737781927</v>
      </c>
      <c r="CM198" s="21">
        <f t="shared" si="1754"/>
        <v>771.87813822216265</v>
      </c>
      <c r="CN198" s="21">
        <f t="shared" si="1754"/>
        <v>-224.12548350426465</v>
      </c>
      <c r="CO198" s="21">
        <f t="shared" si="1754"/>
        <v>265.45690293693684</v>
      </c>
      <c r="CP198" s="21">
        <f t="shared" si="1754"/>
        <v>-1219.2082879040074</v>
      </c>
      <c r="CQ198" s="21">
        <f t="shared" si="1754"/>
        <v>1011.678148226512</v>
      </c>
      <c r="CR198" s="21">
        <f t="shared" si="1754"/>
        <v>-280.70575272916432</v>
      </c>
      <c r="CS198" s="21">
        <f t="shared" si="1754"/>
        <v>313.84969739404153</v>
      </c>
      <c r="CT198" s="21">
        <f t="shared" si="1754"/>
        <v>-1483.6216211987892</v>
      </c>
      <c r="CU198" s="21">
        <f t="shared" si="1754"/>
        <v>1238.3025682790787</v>
      </c>
      <c r="CV198" s="21">
        <f t="shared" si="1754"/>
        <v>-343.2391201176568</v>
      </c>
      <c r="CW198" s="21">
        <f t="shared" si="1754"/>
        <v>378.75892851123058</v>
      </c>
      <c r="CX198" s="21">
        <f t="shared" si="1754"/>
        <v>-1796.5026362049823</v>
      </c>
      <c r="CY198" s="21">
        <f t="shared" si="1754"/>
        <v>1501.1620706731751</v>
      </c>
      <c r="CZ198" s="21">
        <f t="shared" si="1754"/>
        <v>-416.5407057664022</v>
      </c>
      <c r="DA198" s="21">
        <f t="shared" si="1754"/>
        <v>458.51347495814957</v>
      </c>
      <c r="DB198" s="21">
        <f t="shared" si="1754"/>
        <v>-2174.9669312738129</v>
      </c>
      <c r="DE198" s="126"/>
      <c r="DF198" s="22">
        <v>-998.86109513496046</v>
      </c>
    </row>
    <row r="199" spans="1:110" s="22" customFormat="1" x14ac:dyDescent="0.2">
      <c r="A199" s="22" t="s">
        <v>91</v>
      </c>
      <c r="C199" s="22">
        <f t="shared" ref="C199:W199" si="1755">C195+C198</f>
        <v>-4.8398005120000027</v>
      </c>
      <c r="D199" s="22">
        <f>D195+D198</f>
        <v>9.0761057950000072</v>
      </c>
      <c r="E199" s="22">
        <f t="shared" si="1755"/>
        <v>-30.741247342999987</v>
      </c>
      <c r="F199" s="22">
        <f t="shared" si="1755"/>
        <v>-99.786426331000015</v>
      </c>
      <c r="G199" s="22">
        <f t="shared" si="1755"/>
        <v>-153.35065650100003</v>
      </c>
      <c r="H199" s="22">
        <f t="shared" si="1755"/>
        <v>28.439877056000036</v>
      </c>
      <c r="I199" s="22">
        <f t="shared" si="1755"/>
        <v>74.435204958999918</v>
      </c>
      <c r="J199" s="22">
        <f>J195+J198</f>
        <v>180.46763920800009</v>
      </c>
      <c r="K199" s="22">
        <f t="shared" si="1755"/>
        <v>-514.15014592700004</v>
      </c>
      <c r="L199" s="22">
        <f t="shared" si="1755"/>
        <v>152.13520000000008</v>
      </c>
      <c r="M199" s="22">
        <f t="shared" si="1755"/>
        <v>618.8744999999999</v>
      </c>
      <c r="N199" s="22">
        <f t="shared" si="1755"/>
        <v>-47.087399999999981</v>
      </c>
      <c r="O199" s="22">
        <f t="shared" si="1755"/>
        <v>-9.993426000000019</v>
      </c>
      <c r="P199" s="22">
        <f t="shared" si="1755"/>
        <v>-416.79224850000008</v>
      </c>
      <c r="Q199" s="22">
        <f t="shared" si="1755"/>
        <v>5.3464122000000369</v>
      </c>
      <c r="R199" s="22">
        <f t="shared" si="1755"/>
        <v>-22.273152799999991</v>
      </c>
      <c r="S199" s="22">
        <f t="shared" si="1755"/>
        <v>-13.945182499999976</v>
      </c>
      <c r="T199" s="22">
        <f t="shared" si="1755"/>
        <v>-49.880300000000027</v>
      </c>
      <c r="U199" s="22">
        <f t="shared" si="1755"/>
        <v>0.33110000000002315</v>
      </c>
      <c r="V199" s="22">
        <f t="shared" si="1755"/>
        <v>6.3505000000000065</v>
      </c>
      <c r="W199" s="22">
        <f t="shared" si="1755"/>
        <v>-127.00540000000007</v>
      </c>
      <c r="X199" s="22">
        <f t="shared" ref="X199:Y199" si="1756">X195+X198</f>
        <v>30.719500000000053</v>
      </c>
      <c r="Y199" s="22">
        <f t="shared" si="1756"/>
        <v>67.712200000000024</v>
      </c>
      <c r="Z199" s="22">
        <f t="shared" ref="Z199:AA199" si="1757">Z195+Z198</f>
        <v>-158.99570000000011</v>
      </c>
      <c r="AA199" s="22">
        <f t="shared" si="1757"/>
        <v>-185.12999999999971</v>
      </c>
      <c r="AB199" s="21">
        <f t="shared" ref="AA199:AD199" si="1758">AB195+AB198</f>
        <v>-24.169742207206752</v>
      </c>
      <c r="AC199" s="21">
        <f t="shared" si="1758"/>
        <v>159.16611026889325</v>
      </c>
      <c r="AD199" s="21">
        <f t="shared" si="1758"/>
        <v>279.84840614651716</v>
      </c>
      <c r="AE199" s="21">
        <f t="shared" ref="AE199" si="1759">AE195+AE198</f>
        <v>465.1521613009445</v>
      </c>
      <c r="AI199" s="22">
        <f t="shared" ref="AI199" si="1760">AI195+AI198</f>
        <v>1.6780000000000059</v>
      </c>
      <c r="AJ199" s="22">
        <f t="shared" ref="AJ199:AL199" si="1761">AJ195+AJ198</f>
        <v>327.82700000000006</v>
      </c>
      <c r="AK199" s="22" t="e">
        <f t="shared" si="1761"/>
        <v>#DIV/0!</v>
      </c>
      <c r="AL199" s="22" t="e">
        <f t="shared" si="1761"/>
        <v>#DIV/0!</v>
      </c>
      <c r="AM199" s="22" t="e">
        <f t="shared" ref="AM199" si="1762">AM195+AM198</f>
        <v>#DIV/0!</v>
      </c>
      <c r="AN199" s="22" t="e">
        <f t="shared" ref="AN199:CD199" si="1763">AN195+AN198</f>
        <v>#DIV/0!</v>
      </c>
      <c r="AO199" s="22" t="e">
        <f t="shared" si="1763"/>
        <v>#DIV/0!</v>
      </c>
      <c r="AP199" s="22" t="e">
        <f t="shared" si="1763"/>
        <v>#DIV/0!</v>
      </c>
      <c r="AQ199" s="22" t="e">
        <f t="shared" si="1763"/>
        <v>#DIV/0!</v>
      </c>
      <c r="AR199" s="22" t="e">
        <f t="shared" si="1763"/>
        <v>#DIV/0!</v>
      </c>
      <c r="AS199" s="22" t="e">
        <f t="shared" si="1763"/>
        <v>#DIV/0!</v>
      </c>
      <c r="AT199" s="22" t="e">
        <f t="shared" si="1763"/>
        <v>#DIV/0!</v>
      </c>
      <c r="AU199" s="22">
        <f t="shared" si="1763"/>
        <v>-17.172999999999995</v>
      </c>
      <c r="AV199" s="22">
        <f t="shared" si="1763"/>
        <v>6.5400000000000187</v>
      </c>
      <c r="AW199" s="22">
        <f t="shared" si="1763"/>
        <v>1.4768303762192456</v>
      </c>
      <c r="AX199" s="22">
        <f t="shared" si="1763"/>
        <v>11.688169623780738</v>
      </c>
      <c r="AY199" s="22">
        <f t="shared" si="1763"/>
        <v>6.2070000000000043</v>
      </c>
      <c r="AZ199" s="22">
        <f t="shared" si="1763"/>
        <v>-6.2539999999999925</v>
      </c>
      <c r="BA199" s="22">
        <f t="shared" si="1763"/>
        <v>1.3614994216309921</v>
      </c>
      <c r="BB199" s="22">
        <f t="shared" si="1763"/>
        <v>-25.980499421631002</v>
      </c>
      <c r="BC199" s="22">
        <f t="shared" si="1763"/>
        <v>8.5190000000000126</v>
      </c>
      <c r="BD199" s="22">
        <f t="shared" si="1763"/>
        <v>-8.5830000000000233</v>
      </c>
      <c r="BE199" s="22">
        <f t="shared" si="1763"/>
        <v>6.6617679079347623</v>
      </c>
      <c r="BF199" s="22">
        <f t="shared" si="1763"/>
        <v>-22.816767907934747</v>
      </c>
      <c r="BG199" s="22">
        <f t="shared" si="1763"/>
        <v>9.5880000000000116</v>
      </c>
      <c r="BH199" s="22">
        <f t="shared" si="1763"/>
        <v>-12.514000000000006</v>
      </c>
      <c r="BI199" s="22" t="e">
        <f t="shared" si="1763"/>
        <v>#DIV/0!</v>
      </c>
      <c r="BJ199" s="22" t="e">
        <f t="shared" si="1763"/>
        <v>#DIV/0!</v>
      </c>
      <c r="BK199" s="22">
        <f t="shared" si="1763"/>
        <v>-0.56400000000000006</v>
      </c>
      <c r="BL199" s="22">
        <f t="shared" si="1763"/>
        <v>0.78400000000001491</v>
      </c>
      <c r="BM199" s="22" t="e">
        <f t="shared" si="1763"/>
        <v>#DIV/0!</v>
      </c>
      <c r="BN199" s="22" t="e">
        <f t="shared" si="1763"/>
        <v>#DIV/0!</v>
      </c>
      <c r="BO199" s="22">
        <f t="shared" si="1763"/>
        <v>0.29500000000000831</v>
      </c>
      <c r="BP199" s="22">
        <f t="shared" si="1763"/>
        <v>0.82699999999998619</v>
      </c>
      <c r="BQ199" s="22" t="e">
        <f t="shared" si="1763"/>
        <v>#DIV/0!</v>
      </c>
      <c r="BR199" s="22" t="e">
        <f t="shared" si="1763"/>
        <v>#DIV/0!</v>
      </c>
      <c r="BS199" s="22">
        <f t="shared" si="1763"/>
        <v>-0.70300000000000051</v>
      </c>
      <c r="BT199" s="22">
        <f t="shared" si="1763"/>
        <v>-93.440999999999988</v>
      </c>
      <c r="BU199" s="22">
        <f t="shared" si="1763"/>
        <v>-30.140272912423654</v>
      </c>
      <c r="BV199" s="22">
        <f t="shared" si="1763"/>
        <v>-4.1067270875763597</v>
      </c>
      <c r="BW199" s="22">
        <f t="shared" si="1763"/>
        <v>-82.353125912881382</v>
      </c>
      <c r="BX199" s="22">
        <f t="shared" si="1763"/>
        <v>332.11112591288139</v>
      </c>
      <c r="BY199" s="22">
        <f t="shared" si="1763"/>
        <v>-76.738984787018339</v>
      </c>
      <c r="BZ199" s="22">
        <f t="shared" si="1763"/>
        <v>-146.21801521298173</v>
      </c>
      <c r="CA199" s="22">
        <f t="shared" si="1763"/>
        <v>59.716235850111133</v>
      </c>
      <c r="CB199" s="22">
        <f t="shared" si="1763"/>
        <v>121.35776414988887</v>
      </c>
      <c r="CC199" s="22">
        <f t="shared" si="1763"/>
        <v>-175.39052968122138</v>
      </c>
      <c r="CD199" s="22">
        <f t="shared" si="1763"/>
        <v>52.289529681221559</v>
      </c>
      <c r="CE199" s="22">
        <f t="shared" ref="CE199:CF199" si="1764">CE195+CE198</f>
        <v>19.199595405481535</v>
      </c>
      <c r="CF199" s="22">
        <f t="shared" si="1764"/>
        <v>-278.59859540548143</v>
      </c>
      <c r="CG199" s="22">
        <f t="shared" ref="CG199:CH199" si="1765">CG195+CG198</f>
        <v>69.037286084881103</v>
      </c>
      <c r="CH199" s="22">
        <f t="shared" si="1765"/>
        <v>46.3917139151187</v>
      </c>
      <c r="CI199" s="22">
        <f t="shared" ref="CI199:CJ199" si="1766">CI195+CI198</f>
        <v>558.12367489577377</v>
      </c>
      <c r="CJ199" s="22">
        <f t="shared" si="1766"/>
        <v>-877.47367489577368</v>
      </c>
      <c r="CK199" s="21">
        <f t="shared" ref="CK199:DB199" si="1767">CK195+CK198</f>
        <v>410.36172737781925</v>
      </c>
      <c r="CL199" s="22">
        <f t="shared" si="1767"/>
        <v>-352.13172737781923</v>
      </c>
      <c r="CM199" s="21">
        <f t="shared" si="1767"/>
        <v>802.20732493424771</v>
      </c>
      <c r="CN199" s="21">
        <f t="shared" si="1767"/>
        <v>-89.903072284528406</v>
      </c>
      <c r="CO199" s="21">
        <f t="shared" si="1767"/>
        <v>375.7772054667015</v>
      </c>
      <c r="CP199" s="21">
        <f t="shared" si="1767"/>
        <v>-1036.2612003236272</v>
      </c>
      <c r="CQ199" s="21">
        <f t="shared" si="1767"/>
        <v>1050.6196208850265</v>
      </c>
      <c r="CR199" s="21">
        <f t="shared" si="1767"/>
        <v>-109.85248391265196</v>
      </c>
      <c r="CS199" s="21">
        <f t="shared" si="1767"/>
        <v>463.01259738990007</v>
      </c>
      <c r="CT199" s="21">
        <f t="shared" si="1767"/>
        <v>-1244.6136240933813</v>
      </c>
      <c r="CU199" s="21">
        <f t="shared" si="1767"/>
        <v>1300.4582624520694</v>
      </c>
      <c r="CV199" s="21">
        <f t="shared" si="1767"/>
        <v>-118.04101988940127</v>
      </c>
      <c r="CW199" s="21">
        <f t="shared" si="1767"/>
        <v>580.91772053057025</v>
      </c>
      <c r="CX199" s="21">
        <f t="shared" si="1767"/>
        <v>-1483.4865569467211</v>
      </c>
      <c r="CY199" s="21">
        <f t="shared" si="1767"/>
        <v>1602.3574265942427</v>
      </c>
      <c r="CZ199" s="21">
        <f t="shared" si="1767"/>
        <v>-114.43091718629967</v>
      </c>
      <c r="DA199" s="21">
        <f t="shared" si="1767"/>
        <v>736.35371826043036</v>
      </c>
      <c r="DB199" s="21">
        <f t="shared" si="1767"/>
        <v>-1759.1280663674283</v>
      </c>
      <c r="DE199" s="126"/>
      <c r="DF199" s="22">
        <v>-1089.3581511864004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0.66562543400001228</v>
      </c>
      <c r="D201" s="22">
        <f>D202+D203</f>
        <v>-7.8223267699999965</v>
      </c>
      <c r="E201" s="22">
        <f t="shared" si="1768"/>
        <v>31.104062018000008</v>
      </c>
      <c r="F201" s="22">
        <f t="shared" si="1768"/>
        <v>13.180132299999997</v>
      </c>
      <c r="G201" s="22">
        <f t="shared" si="1768"/>
        <v>-56.778803998000015</v>
      </c>
      <c r="H201" s="22">
        <f t="shared" si="1768"/>
        <v>-27.460171999999996</v>
      </c>
      <c r="I201" s="22">
        <f t="shared" si="1768"/>
        <v>-135.84334873299997</v>
      </c>
      <c r="J201" s="22">
        <f t="shared" si="1768"/>
        <v>44.694162023999979</v>
      </c>
      <c r="K201" s="22">
        <f t="shared" si="1768"/>
        <v>-23.569998310999988</v>
      </c>
      <c r="L201" s="22">
        <f t="shared" si="1768"/>
        <v>340.96510000000001</v>
      </c>
      <c r="M201" s="22">
        <f t="shared" si="1768"/>
        <v>-723.89070000000004</v>
      </c>
      <c r="N201" s="22">
        <f t="shared" si="1768"/>
        <v>45.119700000000044</v>
      </c>
      <c r="O201" s="22">
        <f t="shared" si="1768"/>
        <v>8.68391059999996</v>
      </c>
      <c r="P201" s="22">
        <f t="shared" si="1768"/>
        <v>349.27558340000002</v>
      </c>
      <c r="Q201" s="22">
        <f t="shared" si="1768"/>
        <v>-14.379504600000033</v>
      </c>
      <c r="R201" s="22">
        <f t="shared" si="1768"/>
        <v>4.5344253000000094</v>
      </c>
      <c r="S201" s="22">
        <f t="shared" si="1768"/>
        <v>77.849390700000001</v>
      </c>
      <c r="T201" s="22">
        <f t="shared" si="1768"/>
        <v>66.596799999999988</v>
      </c>
      <c r="U201" s="22">
        <f t="shared" si="1768"/>
        <v>22.376299999999986</v>
      </c>
      <c r="V201" s="22">
        <f t="shared" si="1768"/>
        <v>-15.251199999999983</v>
      </c>
      <c r="W201" s="22">
        <f t="shared" si="1768"/>
        <v>-190.40600000000001</v>
      </c>
      <c r="X201" s="22">
        <f t="shared" ref="X201:Y201" si="1769">X202+X203</f>
        <v>-315.90520000000004</v>
      </c>
      <c r="Y201" s="22">
        <f t="shared" si="1769"/>
        <v>-672.39550000000008</v>
      </c>
      <c r="Z201" s="22">
        <f t="shared" ref="Z201:AA201" si="1770">Z202+Z203</f>
        <v>-1441.8504000000003</v>
      </c>
      <c r="AA201" s="22">
        <f t="shared" si="1770"/>
        <v>-1215.5599999999997</v>
      </c>
      <c r="AB201" s="21">
        <f t="shared" ref="AA201:AD201" si="1771">AB202+AB203</f>
        <v>75.990000000000066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-3.0000000000000001E-3</v>
      </c>
      <c r="AJ201" s="22">
        <f t="shared" ref="AJ201:AL201" si="1774">AJ202+AJ203</f>
        <v>-697.71100000000001</v>
      </c>
      <c r="AK201" s="22">
        <f t="shared" si="1774"/>
        <v>-1.100000000000001E-2</v>
      </c>
      <c r="AL201" s="22">
        <f t="shared" si="1774"/>
        <v>18.939000000000021</v>
      </c>
      <c r="AM201" s="22">
        <f t="shared" ref="AM201" si="1775">AM202+AM203</f>
        <v>-9.9999999999999915E-4</v>
      </c>
      <c r="AN201" s="22">
        <f t="shared" ref="AN201:CD201" si="1776">AN202+AN203</f>
        <v>7.1119999999999903</v>
      </c>
      <c r="AO201" s="22">
        <f t="shared" si="1776"/>
        <v>-1E-3</v>
      </c>
      <c r="AP201" s="22">
        <f t="shared" si="1776"/>
        <v>1.5729999999999791</v>
      </c>
      <c r="AQ201" s="22">
        <f t="shared" si="1776"/>
        <v>0</v>
      </c>
      <c r="AR201" s="22">
        <f t="shared" si="1776"/>
        <v>-3.7509999999999528</v>
      </c>
      <c r="AS201" s="22">
        <f t="shared" si="1776"/>
        <v>0</v>
      </c>
      <c r="AT201" s="22">
        <f t="shared" si="1776"/>
        <v>363.7399999999999</v>
      </c>
      <c r="AU201" s="22">
        <f t="shared" si="1776"/>
        <v>0</v>
      </c>
      <c r="AV201" s="22">
        <f t="shared" si="1776"/>
        <v>1.2130000000000178</v>
      </c>
      <c r="AW201" s="22">
        <f t="shared" si="1776"/>
        <v>-2E-3</v>
      </c>
      <c r="AX201" s="22">
        <f t="shared" si="1776"/>
        <v>-26.300999999999988</v>
      </c>
      <c r="AY201" s="22">
        <f t="shared" si="1776"/>
        <v>-1E-3</v>
      </c>
      <c r="AZ201" s="22">
        <f t="shared" si="1776"/>
        <v>13.322000000000003</v>
      </c>
      <c r="BA201" s="22">
        <f t="shared" si="1776"/>
        <v>-1E-3</v>
      </c>
      <c r="BB201" s="22">
        <f t="shared" si="1776"/>
        <v>-8.7880000000000109</v>
      </c>
      <c r="BC201" s="22">
        <f t="shared" si="1776"/>
        <v>-1E-3</v>
      </c>
      <c r="BD201" s="22">
        <f t="shared" si="1776"/>
        <v>33.477000000000011</v>
      </c>
      <c r="BE201" s="22">
        <f t="shared" si="1776"/>
        <v>-1E-3</v>
      </c>
      <c r="BF201" s="22">
        <f t="shared" si="1776"/>
        <v>44.371999999999986</v>
      </c>
      <c r="BG201" s="22">
        <f t="shared" si="1776"/>
        <v>-1E-3</v>
      </c>
      <c r="BH201" s="22">
        <f t="shared" si="1776"/>
        <v>13.207000000000017</v>
      </c>
      <c r="BI201" s="22">
        <f t="shared" si="1776"/>
        <v>0</v>
      </c>
      <c r="BJ201" s="22">
        <f t="shared" si="1776"/>
        <v>53.392000000000003</v>
      </c>
      <c r="BK201" s="22">
        <f t="shared" si="1776"/>
        <v>0</v>
      </c>
      <c r="BL201" s="22">
        <f t="shared" si="1776"/>
        <v>-1.1189999999999949</v>
      </c>
      <c r="BM201" s="22">
        <f t="shared" si="1776"/>
        <v>0</v>
      </c>
      <c r="BN201" s="22">
        <f t="shared" si="1776"/>
        <v>23.495000000000001</v>
      </c>
      <c r="BO201" s="22">
        <f t="shared" si="1776"/>
        <v>0</v>
      </c>
      <c r="BP201" s="22">
        <f t="shared" si="1776"/>
        <v>-17.334000000000003</v>
      </c>
      <c r="BQ201" s="22">
        <f t="shared" si="1776"/>
        <v>0</v>
      </c>
      <c r="BR201" s="22">
        <f t="shared" si="1776"/>
        <v>2.0829999999999984</v>
      </c>
      <c r="BS201" s="22">
        <f t="shared" si="1776"/>
        <v>-0.14099999999999999</v>
      </c>
      <c r="BT201" s="22">
        <f t="shared" si="1776"/>
        <v>-261.76800000000003</v>
      </c>
      <c r="BU201" s="22">
        <f t="shared" si="1776"/>
        <v>-0.34700000000000131</v>
      </c>
      <c r="BV201" s="22">
        <f t="shared" si="1776"/>
        <v>75.614000000000033</v>
      </c>
      <c r="BW201" s="22">
        <f t="shared" si="1776"/>
        <v>-0.40000000000000036</v>
      </c>
      <c r="BX201" s="22">
        <f t="shared" si="1776"/>
        <v>-102.07099999999998</v>
      </c>
      <c r="BY201" s="22">
        <f t="shared" si="1776"/>
        <v>-0.62800000000000011</v>
      </c>
      <c r="BZ201" s="22">
        <f t="shared" si="1776"/>
        <v>-211.26500000000007</v>
      </c>
      <c r="CA201" s="22">
        <f t="shared" si="1776"/>
        <v>-0.67399999999999949</v>
      </c>
      <c r="CB201" s="22">
        <f t="shared" si="1776"/>
        <v>-556.48399999999992</v>
      </c>
      <c r="CC201" s="22">
        <f t="shared" si="1776"/>
        <v>-1.0900000000000034</v>
      </c>
      <c r="CD201" s="22">
        <f t="shared" si="1776"/>
        <v>-104.4070000000001</v>
      </c>
      <c r="CE201" s="22">
        <f t="shared" ref="CE201:CF201" si="1777">CE202+CE203</f>
        <v>-2.2399999999999949</v>
      </c>
      <c r="CF201" s="22">
        <f t="shared" si="1777"/>
        <v>-734.70099999999979</v>
      </c>
      <c r="CG201" s="22">
        <f t="shared" ref="CG201:CH201" si="1778">CG202+CG203</f>
        <v>-2.8299999999999983</v>
      </c>
      <c r="CH201" s="22">
        <f t="shared" si="1778"/>
        <v>-717.11400000000037</v>
      </c>
      <c r="CI201" s="22">
        <f t="shared" ref="CI201:CJ201" si="1779">CI202+CI203</f>
        <v>0</v>
      </c>
      <c r="CJ201" s="22">
        <f t="shared" si="1779"/>
        <v>-195.45</v>
      </c>
      <c r="CK201" s="21">
        <f t="shared" ref="CK201:DB201" si="1780">CK202+CK203</f>
        <v>0</v>
      </c>
      <c r="CL201" s="22">
        <f t="shared" si="1780"/>
        <v>-944.11999999999966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0.65630313400001228</v>
      </c>
      <c r="D202" s="23">
        <f t="shared" si="1781"/>
        <v>-7.8464261999999962</v>
      </c>
      <c r="E202" s="23">
        <f>D140-E140</f>
        <v>31.104062018000008</v>
      </c>
      <c r="F202" s="23">
        <f t="shared" si="1781"/>
        <v>13.180132299999997</v>
      </c>
      <c r="G202" s="23">
        <f t="shared" si="1781"/>
        <v>-58.807894598000019</v>
      </c>
      <c r="H202" s="23">
        <f t="shared" si="1781"/>
        <v>-27.458371999999997</v>
      </c>
      <c r="I202" s="23">
        <f t="shared" si="1781"/>
        <v>-135.84334873299997</v>
      </c>
      <c r="J202" s="23">
        <f>I140-J140</f>
        <v>44.696707023999977</v>
      </c>
      <c r="K202" s="23">
        <f>J140-K140</f>
        <v>-23.570019210999988</v>
      </c>
      <c r="L202" s="23">
        <f t="shared" si="1781"/>
        <v>340.97059999999999</v>
      </c>
      <c r="M202" s="23">
        <f t="shared" si="1781"/>
        <v>-723.55799999999999</v>
      </c>
      <c r="N202" s="23">
        <f t="shared" si="1781"/>
        <v>44.792400000000043</v>
      </c>
      <c r="O202" s="23">
        <f t="shared" si="1781"/>
        <v>8.6839493999999604</v>
      </c>
      <c r="P202" s="23">
        <f t="shared" si="1781"/>
        <v>349.27558340000002</v>
      </c>
      <c r="Q202" s="23">
        <f t="shared" si="1781"/>
        <v>-14.372005900000033</v>
      </c>
      <c r="R202" s="23">
        <f t="shared" si="1781"/>
        <v>4.5344253000000094</v>
      </c>
      <c r="S202" s="23">
        <f t="shared" si="1781"/>
        <v>77.849447800000007</v>
      </c>
      <c r="T202" s="23">
        <f t="shared" si="1781"/>
        <v>66.59899999999999</v>
      </c>
      <c r="U202" s="23">
        <f t="shared" si="1781"/>
        <v>22.376299999999986</v>
      </c>
      <c r="V202" s="23">
        <f t="shared" si="1781"/>
        <v>-15.251199999999983</v>
      </c>
      <c r="W202" s="23">
        <f t="shared" si="1781"/>
        <v>-171.55289999999999</v>
      </c>
      <c r="X202" s="23">
        <f t="shared" si="1781"/>
        <v>-272.31660000000005</v>
      </c>
      <c r="Y202" s="23">
        <f t="shared" si="1781"/>
        <v>-606.17060000000004</v>
      </c>
      <c r="Z202" s="23">
        <f t="shared" si="1781"/>
        <v>-1233.9198000000001</v>
      </c>
      <c r="AA202" s="23">
        <f t="shared" si="1781"/>
        <v>-993.89999999999964</v>
      </c>
      <c r="AB202" s="24">
        <f t="shared" ref="AB202" si="1782">AA140-AB140</f>
        <v>0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-697.36599999999999</v>
      </c>
      <c r="AK202" s="23">
        <f t="shared" ref="AK202" si="1788">AJ140-AK140</f>
        <v>0</v>
      </c>
      <c r="AL202" s="23">
        <f t="shared" ref="AL202" si="1789">AK140-AL140</f>
        <v>18.600000000000023</v>
      </c>
      <c r="AM202" s="23">
        <f t="shared" ref="AM202" si="1790">AL140-AM140</f>
        <v>0</v>
      </c>
      <c r="AN202" s="23">
        <f t="shared" ref="AN202" si="1791">AM140-AN140</f>
        <v>7.11099999999999</v>
      </c>
      <c r="AO202" s="23">
        <f t="shared" ref="AO202" si="1792">AN140-AO140</f>
        <v>0</v>
      </c>
      <c r="AP202" s="23">
        <f t="shared" ref="AP202" si="1793">AO140-AP140</f>
        <v>1.5729999999999791</v>
      </c>
      <c r="AQ202" s="23">
        <f t="shared" ref="AQ202" si="1794">AP140-AQ140</f>
        <v>0</v>
      </c>
      <c r="AR202" s="23">
        <f t="shared" ref="AR202" si="1795">AQ140-AR140</f>
        <v>-3.7519999999999527</v>
      </c>
      <c r="AS202" s="23">
        <f t="shared" ref="AS202" si="1796">AR140-AS140</f>
        <v>0</v>
      </c>
      <c r="AT202" s="23">
        <f t="shared" ref="AT202" si="1797">AS140-AT140</f>
        <v>363.73899999999992</v>
      </c>
      <c r="AU202" s="23">
        <f t="shared" ref="AU202" si="1798">AT140-AU140</f>
        <v>0</v>
      </c>
      <c r="AV202" s="23">
        <f t="shared" ref="AV202" si="1799">AU140-AV140</f>
        <v>1.2180000000000177</v>
      </c>
      <c r="AW202" s="23">
        <f t="shared" ref="AW202" si="1800">AV140-AW140</f>
        <v>0</v>
      </c>
      <c r="AX202" s="23">
        <f t="shared" ref="AX202" si="1801">AW140-AX140</f>
        <v>-26.300999999999988</v>
      </c>
      <c r="AY202" s="23">
        <f t="shared" ref="AY202" si="1802">AX140-AY140</f>
        <v>0</v>
      </c>
      <c r="AZ202" s="23">
        <f t="shared" ref="AZ202" si="1803">AY140-AZ140</f>
        <v>13.322000000000003</v>
      </c>
      <c r="BA202" s="23">
        <f t="shared" ref="BA202" si="1804">AZ140-BA140</f>
        <v>0</v>
      </c>
      <c r="BB202" s="23">
        <f t="shared" ref="BB202" si="1805">BA140-BB140</f>
        <v>-8.7880000000000109</v>
      </c>
      <c r="BC202" s="23">
        <f t="shared" ref="BC202" si="1806">BB140-BC140</f>
        <v>0</v>
      </c>
      <c r="BD202" s="23">
        <f t="shared" ref="BD202" si="1807">BC140-BD140</f>
        <v>33.478000000000009</v>
      </c>
      <c r="BE202" s="23">
        <f t="shared" ref="BE202" si="1808">BD140-BE140</f>
        <v>0</v>
      </c>
      <c r="BF202" s="23">
        <f t="shared" ref="BF202" si="1809">BE140-BF140</f>
        <v>44.371999999999986</v>
      </c>
      <c r="BG202" s="23">
        <f t="shared" ref="BG202" si="1810">BF140-BG140</f>
        <v>0</v>
      </c>
      <c r="BH202" s="23">
        <f t="shared" ref="BH202" si="1811">BG140-BH140</f>
        <v>13.206000000000017</v>
      </c>
      <c r="BI202" s="23">
        <f t="shared" ref="BI202" si="1812">BH140-BI140</f>
        <v>0</v>
      </c>
      <c r="BJ202" s="23">
        <f t="shared" ref="BJ202" si="1813">BI140-BJ140</f>
        <v>53.393000000000001</v>
      </c>
      <c r="BK202" s="23">
        <f t="shared" ref="BK202" si="1814">BJ140-BK140</f>
        <v>0</v>
      </c>
      <c r="BL202" s="23">
        <f t="shared" ref="BL202" si="1815">BK140-BL140</f>
        <v>-1.117999999999995</v>
      </c>
      <c r="BM202" s="23">
        <f t="shared" ref="BM202" si="1816">BL140-BM140</f>
        <v>0</v>
      </c>
      <c r="BN202" s="23">
        <f t="shared" ref="BN202" si="1817">BM140-BN140</f>
        <v>23.494</v>
      </c>
      <c r="BO202" s="23">
        <f t="shared" ref="BO202" si="1818">BN140-BO140</f>
        <v>0</v>
      </c>
      <c r="BP202" s="23">
        <f t="shared" ref="BP202" si="1819">BO140-BP140</f>
        <v>-17.334000000000003</v>
      </c>
      <c r="BQ202" s="23">
        <f t="shared" ref="BQ202" si="1820">BP140-BQ140</f>
        <v>0</v>
      </c>
      <c r="BR202" s="23">
        <f t="shared" ref="BR202" si="1821">BQ140-BR140</f>
        <v>2.0829999999999984</v>
      </c>
      <c r="BS202" s="23">
        <f t="shared" ref="BS202" si="1822">BR140-BS140</f>
        <v>0</v>
      </c>
      <c r="BT202" s="23">
        <f t="shared" ref="BT202" si="1823">BS140-BT140</f>
        <v>-231.65500000000003</v>
      </c>
      <c r="BU202" s="23">
        <f t="shared" ref="BU202" si="1824">BT140-BU140</f>
        <v>0</v>
      </c>
      <c r="BV202" s="23">
        <f t="shared" ref="BV202" si="1825">BU140-BV140</f>
        <v>60.102000000000032</v>
      </c>
      <c r="BW202" s="23">
        <f t="shared" ref="BW202" si="1826">BV140-BW140</f>
        <v>0</v>
      </c>
      <c r="BX202" s="23">
        <f t="shared" ref="BX202" si="1827">BW140-BX140</f>
        <v>-76.978999999999985</v>
      </c>
      <c r="BY202" s="23">
        <f t="shared" ref="BY202" si="1828">BX140-BY140</f>
        <v>0</v>
      </c>
      <c r="BZ202" s="23">
        <f t="shared" ref="BZ202" si="1829">BY140-BZ140</f>
        <v>-195.33800000000008</v>
      </c>
      <c r="CA202" s="23">
        <f t="shared" ref="CA202" si="1830">BZ140-CA140</f>
        <v>0</v>
      </c>
      <c r="CB202" s="23">
        <f t="shared" ref="CB202" si="1831">CA140-CB140</f>
        <v>-560.24399999999991</v>
      </c>
      <c r="CC202" s="23">
        <f t="shared" ref="CC202" si="1832">CB140-CC140</f>
        <v>0</v>
      </c>
      <c r="CD202" s="23">
        <f t="shared" ref="CD202" si="1833">CC140-CD140</f>
        <v>-65.48700000000008</v>
      </c>
      <c r="CE202" s="23">
        <f t="shared" ref="CE202" si="1834">CD140-CE140</f>
        <v>0</v>
      </c>
      <c r="CF202" s="23">
        <f t="shared" ref="CF202" si="1835">CE140-CF140</f>
        <v>-730.35299999999984</v>
      </c>
      <c r="CG202" s="23">
        <f t="shared" ref="CG202" si="1836">CF140-CG140</f>
        <v>0</v>
      </c>
      <c r="CH202" s="23">
        <f t="shared" ref="CH202:CL202" si="1837">CG140-CH140</f>
        <v>-484.00600000000031</v>
      </c>
      <c r="CI202" s="23">
        <f t="shared" si="1837"/>
        <v>0</v>
      </c>
      <c r="CJ202" s="23">
        <f t="shared" si="1837"/>
        <v>-50.75</v>
      </c>
      <c r="CK202" s="24">
        <f t="shared" ref="CK202" si="1838">CJ140-CK140</f>
        <v>0</v>
      </c>
      <c r="CL202" s="23">
        <f t="shared" si="1837"/>
        <v>-943.14999999999964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9.3223000000000056E-3</v>
      </c>
      <c r="D203" s="23">
        <f t="shared" si="1855"/>
        <v>2.40994299999997E-2</v>
      </c>
      <c r="E203" s="23">
        <f t="shared" si="1855"/>
        <v>0</v>
      </c>
      <c r="F203" s="23">
        <f t="shared" si="1855"/>
        <v>0</v>
      </c>
      <c r="G203" s="23">
        <f t="shared" si="1855"/>
        <v>2.0290906000000004</v>
      </c>
      <c r="H203" s="23">
        <f t="shared" si="1855"/>
        <v>-1.8000000000000585E-3</v>
      </c>
      <c r="I203" s="23">
        <f t="shared" si="1855"/>
        <v>0</v>
      </c>
      <c r="J203" s="23">
        <f t="shared" si="1855"/>
        <v>-2.5450000000000056E-3</v>
      </c>
      <c r="K203" s="23">
        <f t="shared" si="1855"/>
        <v>2.0900000000097924E-5</v>
      </c>
      <c r="L203" s="23">
        <f t="shared" si="1855"/>
        <v>-5.5000000000000604E-3</v>
      </c>
      <c r="M203" s="23">
        <f t="shared" si="1855"/>
        <v>-0.33269999999999994</v>
      </c>
      <c r="N203" s="23">
        <f t="shared" si="1855"/>
        <v>0.32729999999999992</v>
      </c>
      <c r="O203" s="23">
        <f t="shared" si="1855"/>
        <v>-3.8799999999989017E-5</v>
      </c>
      <c r="P203" s="23">
        <f t="shared" si="1855"/>
        <v>-1.3010426069826053E-17</v>
      </c>
      <c r="Q203" s="23">
        <f t="shared" si="1855"/>
        <v>-7.4987000000000005E-3</v>
      </c>
      <c r="R203" s="23">
        <f t="shared" si="1855"/>
        <v>0</v>
      </c>
      <c r="S203" s="23">
        <f t="shared" si="1855"/>
        <v>-5.71000000000009E-5</v>
      </c>
      <c r="T203" s="23">
        <f t="shared" si="1855"/>
        <v>-2.1999999999999984E-3</v>
      </c>
      <c r="U203" s="23">
        <f t="shared" si="1855"/>
        <v>0</v>
      </c>
      <c r="V203" s="23">
        <f t="shared" si="1855"/>
        <v>0</v>
      </c>
      <c r="W203" s="23">
        <f t="shared" si="1855"/>
        <v>-18.853099999999998</v>
      </c>
      <c r="X203" s="23">
        <f t="shared" si="1855"/>
        <v>-43.588600000000007</v>
      </c>
      <c r="Y203" s="23">
        <f t="shared" si="1855"/>
        <v>-66.224899999999991</v>
      </c>
      <c r="Z203" s="23">
        <f t="shared" si="1855"/>
        <v>-207.93060000000003</v>
      </c>
      <c r="AA203" s="23">
        <f t="shared" si="1855"/>
        <v>-221.66000000000003</v>
      </c>
      <c r="AB203" s="24">
        <f t="shared" si="1855"/>
        <v>75.990000000000066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-3.0000000000000001E-3</v>
      </c>
      <c r="AJ203" s="23">
        <f t="shared" si="1856"/>
        <v>-0.34500000000000003</v>
      </c>
      <c r="AK203" s="23">
        <f t="shared" si="1856"/>
        <v>-1.100000000000001E-2</v>
      </c>
      <c r="AL203" s="23">
        <f t="shared" si="1856"/>
        <v>0.33900000000000002</v>
      </c>
      <c r="AM203" s="23">
        <f t="shared" si="1856"/>
        <v>-9.9999999999999915E-4</v>
      </c>
      <c r="AN203" s="23">
        <f t="shared" si="1856"/>
        <v>1E-3</v>
      </c>
      <c r="AO203" s="23">
        <f t="shared" si="1856"/>
        <v>-1E-3</v>
      </c>
      <c r="AP203" s="23">
        <f t="shared" si="1856"/>
        <v>0</v>
      </c>
      <c r="AQ203" s="23">
        <f t="shared" si="1856"/>
        <v>0</v>
      </c>
      <c r="AR203" s="23">
        <f t="shared" si="1856"/>
        <v>1E-3</v>
      </c>
      <c r="AS203" s="23">
        <f t="shared" si="1856"/>
        <v>0</v>
      </c>
      <c r="AT203" s="23">
        <f t="shared" si="1856"/>
        <v>1E-3</v>
      </c>
      <c r="AU203" s="23">
        <f t="shared" si="1856"/>
        <v>0</v>
      </c>
      <c r="AV203" s="23">
        <f t="shared" si="1856"/>
        <v>-5.0000000000000001E-3</v>
      </c>
      <c r="AW203" s="23">
        <f t="shared" si="1856"/>
        <v>-2E-3</v>
      </c>
      <c r="AX203" s="23">
        <f t="shared" si="1856"/>
        <v>0</v>
      </c>
      <c r="AY203" s="23">
        <f t="shared" si="1856"/>
        <v>-1E-3</v>
      </c>
      <c r="AZ203" s="23">
        <f t="shared" si="1856"/>
        <v>0</v>
      </c>
      <c r="BA203" s="23">
        <f t="shared" si="1856"/>
        <v>-1E-3</v>
      </c>
      <c r="BB203" s="23">
        <f t="shared" si="1856"/>
        <v>0</v>
      </c>
      <c r="BC203" s="23">
        <f t="shared" si="1856"/>
        <v>-1E-3</v>
      </c>
      <c r="BD203" s="23">
        <f t="shared" si="1856"/>
        <v>-1E-3</v>
      </c>
      <c r="BE203" s="23">
        <f t="shared" si="1856"/>
        <v>-1E-3</v>
      </c>
      <c r="BF203" s="23">
        <f t="shared" si="1856"/>
        <v>0</v>
      </c>
      <c r="BG203" s="23">
        <f t="shared" si="1856"/>
        <v>-1E-3</v>
      </c>
      <c r="BH203" s="23">
        <f t="shared" si="1856"/>
        <v>1E-3</v>
      </c>
      <c r="BI203" s="23">
        <f t="shared" si="1856"/>
        <v>0</v>
      </c>
      <c r="BJ203" s="23">
        <f t="shared" si="1856"/>
        <v>-1E-3</v>
      </c>
      <c r="BK203" s="23">
        <f t="shared" si="1856"/>
        <v>0</v>
      </c>
      <c r="BL203" s="23">
        <f t="shared" si="1856"/>
        <v>-1E-3</v>
      </c>
      <c r="BM203" s="23">
        <f t="shared" si="1856"/>
        <v>0</v>
      </c>
      <c r="BN203" s="23">
        <f t="shared" si="1856"/>
        <v>1E-3</v>
      </c>
      <c r="BO203" s="23">
        <f t="shared" ref="BO203:CT203" si="1857">BN138-BO32-BO138</f>
        <v>0</v>
      </c>
      <c r="BP203" s="23">
        <f t="shared" si="1857"/>
        <v>0</v>
      </c>
      <c r="BQ203" s="23">
        <f t="shared" si="1857"/>
        <v>0</v>
      </c>
      <c r="BR203" s="23">
        <f t="shared" si="1857"/>
        <v>0</v>
      </c>
      <c r="BS203" s="23">
        <f t="shared" si="1857"/>
        <v>-0.14099999999999999</v>
      </c>
      <c r="BT203" s="23">
        <f t="shared" si="1857"/>
        <v>-30.113</v>
      </c>
      <c r="BU203" s="23">
        <f t="shared" si="1857"/>
        <v>-0.34700000000000131</v>
      </c>
      <c r="BV203" s="23">
        <f t="shared" si="1857"/>
        <v>15.511999999999999</v>
      </c>
      <c r="BW203" s="23">
        <f t="shared" si="1857"/>
        <v>-0.40000000000000036</v>
      </c>
      <c r="BX203" s="23">
        <f t="shared" si="1857"/>
        <v>-25.091999999999999</v>
      </c>
      <c r="BY203" s="23">
        <f t="shared" si="1857"/>
        <v>-0.62800000000000011</v>
      </c>
      <c r="BZ203" s="23">
        <f t="shared" si="1857"/>
        <v>-15.927</v>
      </c>
      <c r="CA203" s="23">
        <f t="shared" si="1857"/>
        <v>-0.67399999999999949</v>
      </c>
      <c r="CB203" s="23">
        <f t="shared" si="1857"/>
        <v>3.7600000000000051</v>
      </c>
      <c r="CC203" s="23">
        <f t="shared" si="1857"/>
        <v>-1.0900000000000034</v>
      </c>
      <c r="CD203" s="23">
        <f t="shared" si="1857"/>
        <v>-38.920000000000016</v>
      </c>
      <c r="CE203" s="23">
        <f t="shared" si="1857"/>
        <v>-2.2399999999999949</v>
      </c>
      <c r="CF203" s="23">
        <f t="shared" si="1857"/>
        <v>-4.3479999999999706</v>
      </c>
      <c r="CG203" s="23">
        <f t="shared" si="1857"/>
        <v>-2.8299999999999983</v>
      </c>
      <c r="CH203" s="23">
        <f t="shared" si="1857"/>
        <v>-233.10800000000003</v>
      </c>
      <c r="CI203" s="23">
        <f t="shared" si="1857"/>
        <v>0</v>
      </c>
      <c r="CJ203" s="23">
        <f t="shared" si="1857"/>
        <v>-144.69999999999999</v>
      </c>
      <c r="CK203" s="24">
        <f t="shared" si="1857"/>
        <v>0</v>
      </c>
      <c r="CL203" s="23">
        <f t="shared" si="1857"/>
        <v>-0.97000000000002728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4.1779999999999973</v>
      </c>
      <c r="D205" s="22">
        <f t="shared" si="1859"/>
        <v>-1.251638999000015</v>
      </c>
      <c r="E205" s="22">
        <f t="shared" si="1859"/>
        <v>0</v>
      </c>
      <c r="F205" s="22">
        <f t="shared" si="1859"/>
        <v>86.789166957000006</v>
      </c>
      <c r="G205" s="22">
        <f t="shared" si="1859"/>
        <v>211.00207646199999</v>
      </c>
      <c r="H205" s="22">
        <f t="shared" si="1859"/>
        <v>-2.3921542249999561</v>
      </c>
      <c r="I205" s="22">
        <f t="shared" si="1859"/>
        <v>61.576954194999985</v>
      </c>
      <c r="J205" s="22">
        <f t="shared" si="1859"/>
        <v>-223.87543455000002</v>
      </c>
      <c r="K205" s="22">
        <f t="shared" si="1859"/>
        <v>541.95688226699997</v>
      </c>
      <c r="L205" s="22">
        <f t="shared" si="1859"/>
        <v>-2.0190000000001191</v>
      </c>
      <c r="M205" s="22">
        <f t="shared" si="1859"/>
        <v>-388.40169999999983</v>
      </c>
      <c r="N205" s="22">
        <f t="shared" si="1859"/>
        <v>0</v>
      </c>
      <c r="O205" s="22">
        <f t="shared" si="1859"/>
        <v>1.1009999997213527E-4</v>
      </c>
      <c r="P205" s="22">
        <f t="shared" si="1859"/>
        <v>76.715328900000031</v>
      </c>
      <c r="Q205" s="22">
        <f t="shared" si="1859"/>
        <v>-0.2027751000000535</v>
      </c>
      <c r="R205" s="22">
        <f t="shared" si="1859"/>
        <v>17.760461100000043</v>
      </c>
      <c r="S205" s="22">
        <f t="shared" si="1859"/>
        <v>-63.966632799999957</v>
      </c>
      <c r="T205" s="22">
        <f t="shared" si="1859"/>
        <v>-16.71429999999998</v>
      </c>
      <c r="U205" s="22">
        <f t="shared" si="1859"/>
        <v>-22.683600000000069</v>
      </c>
      <c r="V205" s="22">
        <f t="shared" si="1859"/>
        <v>15.931999999999976</v>
      </c>
      <c r="W205" s="22">
        <f t="shared" si="1859"/>
        <v>335.32409999999999</v>
      </c>
      <c r="X205" s="22">
        <f t="shared" ref="X205:Y205" si="1860">X206+X207</f>
        <v>302.86760000000004</v>
      </c>
      <c r="Y205" s="22">
        <f t="shared" si="1860"/>
        <v>757.98919999999998</v>
      </c>
      <c r="Z205" s="22">
        <f t="shared" ref="Z205:AA205" si="1861">Z206+Z207</f>
        <v>1600.3951000000002</v>
      </c>
      <c r="AA205" s="22">
        <f t="shared" si="1861"/>
        <v>2172.1600000000003</v>
      </c>
      <c r="AB205" s="21">
        <f t="shared" ref="AA205:AD205" si="1862">AB206+AB207</f>
        <v>0</v>
      </c>
      <c r="AC205" s="21">
        <f t="shared" si="1862"/>
        <v>0</v>
      </c>
      <c r="AD205" s="21">
        <f t="shared" si="1862"/>
        <v>0</v>
      </c>
      <c r="AE205" s="21">
        <f t="shared" ref="AE205" si="1863">AE206+AE207</f>
        <v>0</v>
      </c>
      <c r="AI205" s="22">
        <f t="shared" ref="AI205" si="1864">AI206+AI207</f>
        <v>-1.675000000000006</v>
      </c>
      <c r="AJ205" s="22">
        <f t="shared" ref="AJ205:AL205" si="1865">AJ206+AJ207</f>
        <v>370.17899999999997</v>
      </c>
      <c r="AK205" s="22">
        <f t="shared" si="1865"/>
        <v>0</v>
      </c>
      <c r="AL205" s="22">
        <f t="shared" si="1865"/>
        <v>-1.0000000000331966E-3</v>
      </c>
      <c r="AM205" s="22">
        <f t="shared" ref="AM205" si="1866">AM206+AM207</f>
        <v>5.6843418860808015E-14</v>
      </c>
      <c r="AN205" s="22">
        <f t="shared" ref="AN205:CD205" si="1867">AN206+AN207</f>
        <v>9.9999999997635314E-4</v>
      </c>
      <c r="AO205" s="22">
        <f t="shared" si="1867"/>
        <v>0</v>
      </c>
      <c r="AP205" s="22">
        <f t="shared" si="1867"/>
        <v>0</v>
      </c>
      <c r="AQ205" s="22">
        <f t="shared" si="1867"/>
        <v>5.6843418860808015E-14</v>
      </c>
      <c r="AR205" s="22">
        <f t="shared" si="1867"/>
        <v>72.526999999999973</v>
      </c>
      <c r="AS205" s="22">
        <f t="shared" si="1867"/>
        <v>0</v>
      </c>
      <c r="AT205" s="22">
        <f t="shared" si="1867"/>
        <v>-4.2620000000001044</v>
      </c>
      <c r="AU205" s="22">
        <f t="shared" si="1867"/>
        <v>5.6843418860808015E-14</v>
      </c>
      <c r="AV205" s="22">
        <f t="shared" si="1867"/>
        <v>6.2499999999999432</v>
      </c>
      <c r="AW205" s="22">
        <f t="shared" si="1867"/>
        <v>-5.6843418860808015E-14</v>
      </c>
      <c r="AX205" s="22">
        <f t="shared" si="1867"/>
        <v>7.0733000000000175</v>
      </c>
      <c r="AY205" s="22">
        <f t="shared" si="1867"/>
        <v>5.6843418860808015E-14</v>
      </c>
      <c r="AZ205" s="22">
        <f t="shared" si="1867"/>
        <v>-13.323300000000017</v>
      </c>
      <c r="BA205" s="22">
        <f t="shared" si="1867"/>
        <v>-5.6843418860808015E-14</v>
      </c>
      <c r="BB205" s="22">
        <f t="shared" si="1867"/>
        <v>33.479000000000042</v>
      </c>
      <c r="BC205" s="22">
        <f t="shared" si="1867"/>
        <v>-5.6843418860808015E-14</v>
      </c>
      <c r="BD205" s="22">
        <f t="shared" si="1867"/>
        <v>-33.477999999999952</v>
      </c>
      <c r="BE205" s="22">
        <f t="shared" si="1867"/>
        <v>0</v>
      </c>
      <c r="BF205" s="22">
        <f t="shared" si="1867"/>
        <v>-28.213000000000022</v>
      </c>
      <c r="BG205" s="22">
        <f t="shared" si="1867"/>
        <v>0</v>
      </c>
      <c r="BH205" s="22">
        <f t="shared" si="1867"/>
        <v>-10.284000000000049</v>
      </c>
      <c r="BI205" s="22">
        <f t="shared" si="1867"/>
        <v>5.6843418860808015E-14</v>
      </c>
      <c r="BJ205" s="22">
        <f t="shared" si="1867"/>
        <v>-6.43100000000004</v>
      </c>
      <c r="BK205" s="22">
        <f t="shared" si="1867"/>
        <v>5.6843418860808015E-14</v>
      </c>
      <c r="BL205" s="22">
        <f t="shared" si="1867"/>
        <v>0.90300000000002001</v>
      </c>
      <c r="BM205" s="22">
        <f t="shared" si="1867"/>
        <v>-5.6843418860808015E-14</v>
      </c>
      <c r="BN205" s="22">
        <f t="shared" si="1867"/>
        <v>-23.587999999999965</v>
      </c>
      <c r="BO205" s="22">
        <f t="shared" si="1867"/>
        <v>0</v>
      </c>
      <c r="BP205" s="22">
        <f t="shared" si="1867"/>
        <v>16.190999999999974</v>
      </c>
      <c r="BQ205" s="22">
        <f t="shared" si="1867"/>
        <v>0</v>
      </c>
      <c r="BR205" s="22">
        <f t="shared" si="1867"/>
        <v>-0.25899999999998569</v>
      </c>
      <c r="BS205" s="22">
        <f t="shared" si="1867"/>
        <v>0</v>
      </c>
      <c r="BT205" s="22">
        <f t="shared" si="1867"/>
        <v>363.62700000000007</v>
      </c>
      <c r="BU205" s="22">
        <f t="shared" si="1867"/>
        <v>0</v>
      </c>
      <c r="BV205" s="22">
        <f t="shared" si="1867"/>
        <v>-30.68000000000001</v>
      </c>
      <c r="BW205" s="22">
        <f t="shared" si="1867"/>
        <v>0</v>
      </c>
      <c r="BX205" s="22">
        <f t="shared" si="1867"/>
        <v>77.829999999999956</v>
      </c>
      <c r="BY205" s="22">
        <f t="shared" si="1867"/>
        <v>0</v>
      </c>
      <c r="BZ205" s="22">
        <f t="shared" si="1867"/>
        <v>227.4140000000001</v>
      </c>
      <c r="CA205" s="22">
        <f t="shared" si="1867"/>
        <v>0</v>
      </c>
      <c r="CB205" s="22">
        <f t="shared" si="1867"/>
        <v>402.971</v>
      </c>
      <c r="CC205" s="22">
        <f t="shared" si="1867"/>
        <v>0</v>
      </c>
      <c r="CD205" s="22">
        <f t="shared" si="1867"/>
        <v>355.01699999999994</v>
      </c>
      <c r="CE205" s="22">
        <f t="shared" ref="CE205:CF205" si="1868">CE206+CE207</f>
        <v>0</v>
      </c>
      <c r="CF205" s="22">
        <f t="shared" si="1868"/>
        <v>985.995</v>
      </c>
      <c r="CG205" s="22">
        <f t="shared" ref="CG205:CH205" si="1869">CG206+CG207</f>
        <v>0</v>
      </c>
      <c r="CH205" s="22">
        <f t="shared" si="1869"/>
        <v>614.40900000000011</v>
      </c>
      <c r="CI205" s="22">
        <f t="shared" ref="CI205:CJ205" si="1870">CI206+CI207</f>
        <v>0</v>
      </c>
      <c r="CJ205" s="22">
        <f t="shared" si="1870"/>
        <v>852.17999999999938</v>
      </c>
      <c r="CK205" s="21">
        <f t="shared" ref="CK205:DB205" si="1871">CK206+CK207</f>
        <v>0</v>
      </c>
      <c r="CL205" s="22">
        <f t="shared" si="1871"/>
        <v>1319.9800000000009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4.1779999999999973</v>
      </c>
      <c r="D206" s="23">
        <f t="shared" si="1872"/>
        <v>-1.2516389990000008</v>
      </c>
      <c r="E206" s="23">
        <f>E128-D128</f>
        <v>0</v>
      </c>
      <c r="F206" s="23">
        <f t="shared" si="1872"/>
        <v>86.789166957000006</v>
      </c>
      <c r="G206" s="23">
        <f t="shared" si="1872"/>
        <v>35.928809043000001</v>
      </c>
      <c r="H206" s="23">
        <f t="shared" si="1872"/>
        <v>-2.3921542249999845</v>
      </c>
      <c r="I206" s="23">
        <f t="shared" si="1872"/>
        <v>56.445110824999972</v>
      </c>
      <c r="J206" s="23">
        <f>J128-I128</f>
        <v>-223.87543454999999</v>
      </c>
      <c r="K206" s="23">
        <f>K128-J128</f>
        <v>0</v>
      </c>
      <c r="L206" s="23">
        <f t="shared" si="1872"/>
        <v>0</v>
      </c>
      <c r="M206" s="23">
        <f t="shared" si="1872"/>
        <v>0</v>
      </c>
      <c r="N206" s="23">
        <f t="shared" si="1872"/>
        <v>0</v>
      </c>
      <c r="O206" s="23">
        <f t="shared" si="1872"/>
        <v>0</v>
      </c>
      <c r="P206" s="23">
        <f t="shared" si="1872"/>
        <v>0</v>
      </c>
      <c r="Q206" s="23">
        <f t="shared" si="1872"/>
        <v>0</v>
      </c>
      <c r="R206" s="23">
        <f t="shared" si="1872"/>
        <v>0</v>
      </c>
      <c r="S206" s="23">
        <f t="shared" si="1872"/>
        <v>0</v>
      </c>
      <c r="T206" s="23">
        <f t="shared" si="1872"/>
        <v>0</v>
      </c>
      <c r="U206" s="23">
        <f t="shared" si="1872"/>
        <v>0</v>
      </c>
      <c r="V206" s="23">
        <f t="shared" si="1872"/>
        <v>2.1194000000000002</v>
      </c>
      <c r="W206" s="23">
        <f t="shared" si="1872"/>
        <v>19.117799999999999</v>
      </c>
      <c r="X206" s="23">
        <f t="shared" si="1872"/>
        <v>42.878999999999991</v>
      </c>
      <c r="Y206" s="23">
        <f t="shared" si="1872"/>
        <v>45.754400000000004</v>
      </c>
      <c r="Z206" s="23">
        <f t="shared" si="1872"/>
        <v>465.26940000000002</v>
      </c>
      <c r="AA206" s="23">
        <f t="shared" si="1872"/>
        <v>148.23000000000002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0</v>
      </c>
      <c r="AM206" s="23">
        <f t="shared" ref="AM206" si="1881">AM128-AL128</f>
        <v>0</v>
      </c>
      <c r="AN206" s="23">
        <f t="shared" ref="AN206" si="1882">AN128-AM128</f>
        <v>0</v>
      </c>
      <c r="AO206" s="23">
        <f t="shared" ref="AO206" si="1883">AO128-AN128</f>
        <v>0</v>
      </c>
      <c r="AP206" s="23">
        <f t="shared" ref="AP206" si="1884">AP128-AO128</f>
        <v>0</v>
      </c>
      <c r="AQ206" s="23">
        <f t="shared" ref="AQ206" si="1885">AQ128-AP128</f>
        <v>0</v>
      </c>
      <c r="AR206" s="23">
        <f t="shared" ref="AR206" si="1886">AR128-AQ128</f>
        <v>4.1269999999999998</v>
      </c>
      <c r="AS206" s="23">
        <f t="shared" ref="AS206" si="1887">AS128-AR128</f>
        <v>0</v>
      </c>
      <c r="AT206" s="23">
        <f t="shared" ref="AT206" si="1888">AT128-AS128</f>
        <v>-4.1269999999999998</v>
      </c>
      <c r="AU206" s="23">
        <f t="shared" ref="AU206" si="1889">AU128-AT128</f>
        <v>0</v>
      </c>
      <c r="AV206" s="23">
        <f t="shared" ref="AV206" si="1890">AV128-AU128</f>
        <v>6.25</v>
      </c>
      <c r="AW206" s="23">
        <f t="shared" ref="AW206" si="1891">AW128-AV128</f>
        <v>0</v>
      </c>
      <c r="AX206" s="23">
        <f t="shared" ref="AX206" si="1892">AX128-AW128</f>
        <v>-6.25</v>
      </c>
      <c r="AY206" s="23">
        <f t="shared" ref="AY206" si="1893">AY128-AX128</f>
        <v>0</v>
      </c>
      <c r="AZ206" s="23">
        <f t="shared" ref="AZ206" si="1894">AZ128-AY128</f>
        <v>0</v>
      </c>
      <c r="BA206" s="23">
        <f t="shared" ref="BA206" si="1895">BA128-AZ128</f>
        <v>0</v>
      </c>
      <c r="BB206" s="23">
        <f t="shared" ref="BB206" si="1896">BB128-BA128</f>
        <v>0</v>
      </c>
      <c r="BC206" s="23">
        <f t="shared" ref="BC206" si="1897">BC128-BB128</f>
        <v>0</v>
      </c>
      <c r="BD206" s="23">
        <f t="shared" ref="BD206" si="1898">BD128-BC128</f>
        <v>0</v>
      </c>
      <c r="BE206" s="23">
        <f t="shared" ref="BE206" si="1899">BE128-BD128</f>
        <v>0</v>
      </c>
      <c r="BF206" s="23">
        <f t="shared" ref="BF206" si="1900">BF128-BE128</f>
        <v>0</v>
      </c>
      <c r="BG206" s="23">
        <f t="shared" ref="BG206" si="1901">BG128-BF128</f>
        <v>0</v>
      </c>
      <c r="BH206" s="23">
        <f t="shared" ref="BH206" si="1902">BH128-BG128</f>
        <v>0</v>
      </c>
      <c r="BI206" s="23">
        <f t="shared" ref="BI206" si="1903">BI128-BH128</f>
        <v>0</v>
      </c>
      <c r="BJ206" s="23">
        <f t="shared" ref="BJ206" si="1904">BJ128-BI128</f>
        <v>0</v>
      </c>
      <c r="BK206" s="23">
        <f t="shared" ref="BK206" si="1905">BK128-BJ128</f>
        <v>0</v>
      </c>
      <c r="BL206" s="23">
        <f t="shared" ref="BL206" si="1906">BL128-BK128</f>
        <v>0</v>
      </c>
      <c r="BM206" s="23">
        <f t="shared" ref="BM206" si="1907">BM128-BL128</f>
        <v>0</v>
      </c>
      <c r="BN206" s="23">
        <f t="shared" ref="BN206" si="1908">BN128-BM128</f>
        <v>0</v>
      </c>
      <c r="BO206" s="23">
        <f t="shared" ref="BO206" si="1909">BO128-BN128</f>
        <v>0</v>
      </c>
      <c r="BP206" s="23">
        <f t="shared" ref="BP206" si="1910">BP128-BO128</f>
        <v>0</v>
      </c>
      <c r="BQ206" s="23">
        <f t="shared" ref="BQ206" si="1911">BQ128-BP128</f>
        <v>0</v>
      </c>
      <c r="BR206" s="23">
        <f t="shared" ref="BR206" si="1912">BR128-BQ128</f>
        <v>2.1190000000000002</v>
      </c>
      <c r="BS206" s="23">
        <f t="shared" ref="BS206" si="1913">BS128-BR128</f>
        <v>0</v>
      </c>
      <c r="BT206" s="23">
        <f t="shared" ref="BT206" si="1914">BT128-BS128</f>
        <v>-1.7150000000000003</v>
      </c>
      <c r="BU206" s="23">
        <f t="shared" ref="BU206" si="1915">BU128-BT128</f>
        <v>0</v>
      </c>
      <c r="BV206" s="23">
        <f t="shared" ref="BV206" si="1916">BV128-BU128</f>
        <v>18.456</v>
      </c>
      <c r="BW206" s="23">
        <f t="shared" ref="BW206" si="1917">BW128-BV128</f>
        <v>0</v>
      </c>
      <c r="BX206" s="23">
        <f t="shared" ref="BX206" si="1918">BX128-BW128</f>
        <v>0.47100000000000009</v>
      </c>
      <c r="BY206" s="23">
        <f t="shared" ref="BY206" si="1919">BY128-BX128</f>
        <v>0</v>
      </c>
      <c r="BZ206" s="23">
        <f t="shared" ref="BZ206" si="1920">BZ128-BY128</f>
        <v>44.784999999999997</v>
      </c>
      <c r="CA206" s="23">
        <f t="shared" ref="CA206" si="1921">CA128-BZ128</f>
        <v>0</v>
      </c>
      <c r="CB206" s="23">
        <f t="shared" ref="CB206" si="1922">CB128-CA128</f>
        <v>-40.994</v>
      </c>
      <c r="CC206" s="23">
        <f t="shared" ref="CC206" si="1923">CC128-CB128</f>
        <v>0</v>
      </c>
      <c r="CD206" s="23">
        <f t="shared" ref="CD206" si="1924">CD128-CC128</f>
        <v>86.749000000000009</v>
      </c>
      <c r="CE206" s="23">
        <f t="shared" ref="CE206" si="1925">CE128-CD128</f>
        <v>0</v>
      </c>
      <c r="CF206" s="23">
        <f t="shared" ref="CF206" si="1926">CF128-CE128</f>
        <v>304.54300000000001</v>
      </c>
      <c r="CG206" s="23">
        <f t="shared" ref="CG206" si="1927">CG128-CF128</f>
        <v>0</v>
      </c>
      <c r="CH206" s="23">
        <f t="shared" ref="CH206:CL206" si="1928">CH128-CG128</f>
        <v>160.726</v>
      </c>
      <c r="CI206" s="23">
        <f t="shared" si="1928"/>
        <v>0</v>
      </c>
      <c r="CJ206" s="23">
        <f t="shared" si="1928"/>
        <v>26.669999999999959</v>
      </c>
      <c r="CK206" s="24">
        <f t="shared" ref="CK206" si="1929">CK128-CJ128</f>
        <v>0</v>
      </c>
      <c r="CL206" s="23">
        <f t="shared" si="1928"/>
        <v>121.56000000000006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-1.4210854715202004E-14</v>
      </c>
      <c r="E207" s="23">
        <f t="shared" si="1946"/>
        <v>0</v>
      </c>
      <c r="F207" s="23">
        <f t="shared" si="1946"/>
        <v>0</v>
      </c>
      <c r="G207" s="23">
        <f t="shared" si="1946"/>
        <v>175.07326741899999</v>
      </c>
      <c r="H207" s="23">
        <f t="shared" si="1946"/>
        <v>2.8421709430404007E-14</v>
      </c>
      <c r="I207" s="23">
        <f t="shared" si="1946"/>
        <v>5.1318433700000128</v>
      </c>
      <c r="J207" s="23">
        <f t="shared" si="1946"/>
        <v>-2.8421709430404007E-14</v>
      </c>
      <c r="K207" s="23">
        <f t="shared" si="1946"/>
        <v>541.95688226699997</v>
      </c>
      <c r="L207" s="23">
        <f t="shared" si="1946"/>
        <v>-2.0190000000001191</v>
      </c>
      <c r="M207" s="23">
        <f t="shared" si="1946"/>
        <v>-388.40169999999983</v>
      </c>
      <c r="N207" s="23">
        <f t="shared" si="1946"/>
        <v>0</v>
      </c>
      <c r="O207" s="23">
        <f t="shared" si="1946"/>
        <v>1.1009999997213527E-4</v>
      </c>
      <c r="P207" s="23">
        <f t="shared" si="1946"/>
        <v>76.715328900000031</v>
      </c>
      <c r="Q207" s="23">
        <f t="shared" si="1946"/>
        <v>-0.2027751000000535</v>
      </c>
      <c r="R207" s="23">
        <f t="shared" si="1946"/>
        <v>17.760461100000043</v>
      </c>
      <c r="S207" s="23">
        <f t="shared" si="1946"/>
        <v>-63.966632799999957</v>
      </c>
      <c r="T207" s="23">
        <f t="shared" si="1946"/>
        <v>-16.71429999999998</v>
      </c>
      <c r="U207" s="23">
        <f t="shared" si="1946"/>
        <v>-22.683600000000069</v>
      </c>
      <c r="V207" s="23">
        <f t="shared" si="1946"/>
        <v>13.812599999999975</v>
      </c>
      <c r="W207" s="23">
        <f t="shared" si="1946"/>
        <v>316.2063</v>
      </c>
      <c r="X207" s="23">
        <f t="shared" si="1946"/>
        <v>259.98860000000008</v>
      </c>
      <c r="Y207" s="23">
        <f t="shared" si="1946"/>
        <v>712.23479999999995</v>
      </c>
      <c r="Z207" s="23">
        <f t="shared" si="1946"/>
        <v>1135.1257000000003</v>
      </c>
      <c r="AA207" s="23">
        <f t="shared" si="1946"/>
        <v>2023.9300000000003</v>
      </c>
      <c r="AB207" s="24">
        <f t="shared" si="1946"/>
        <v>0</v>
      </c>
      <c r="AC207" s="24">
        <f t="shared" si="1946"/>
        <v>0</v>
      </c>
      <c r="AD207" s="24">
        <f t="shared" si="1946"/>
        <v>0</v>
      </c>
      <c r="AE207" s="24">
        <f t="shared" si="1946"/>
        <v>0</v>
      </c>
      <c r="AI207" s="23">
        <f t="shared" ref="AI207:BN207" si="1947">AI120-AI48-AH120+AI122-AH122</f>
        <v>-1.675000000000006</v>
      </c>
      <c r="AJ207" s="23">
        <f t="shared" si="1947"/>
        <v>370.17899999999997</v>
      </c>
      <c r="AK207" s="23">
        <f t="shared" si="1947"/>
        <v>0</v>
      </c>
      <c r="AL207" s="23">
        <f t="shared" si="1947"/>
        <v>-1.0000000000331966E-3</v>
      </c>
      <c r="AM207" s="23">
        <f t="shared" si="1947"/>
        <v>5.6843418860808015E-14</v>
      </c>
      <c r="AN207" s="23">
        <f t="shared" si="1947"/>
        <v>9.9999999997635314E-4</v>
      </c>
      <c r="AO207" s="23">
        <f t="shared" si="1947"/>
        <v>0</v>
      </c>
      <c r="AP207" s="23">
        <f t="shared" si="1947"/>
        <v>0</v>
      </c>
      <c r="AQ207" s="23">
        <f t="shared" si="1947"/>
        <v>5.6843418860808015E-14</v>
      </c>
      <c r="AR207" s="23">
        <f t="shared" si="1947"/>
        <v>68.399999999999977</v>
      </c>
      <c r="AS207" s="23">
        <f t="shared" si="1947"/>
        <v>0</v>
      </c>
      <c r="AT207" s="23">
        <f t="shared" si="1947"/>
        <v>-0.13500000000010459</v>
      </c>
      <c r="AU207" s="23">
        <f t="shared" si="1947"/>
        <v>5.6843418860808015E-14</v>
      </c>
      <c r="AV207" s="23">
        <f t="shared" si="1947"/>
        <v>-5.6843418860808015E-14</v>
      </c>
      <c r="AW207" s="23">
        <f t="shared" si="1947"/>
        <v>-5.6843418860808015E-14</v>
      </c>
      <c r="AX207" s="23">
        <f t="shared" si="1947"/>
        <v>13.323300000000017</v>
      </c>
      <c r="AY207" s="23">
        <f t="shared" si="1947"/>
        <v>5.6843418860808015E-14</v>
      </c>
      <c r="AZ207" s="23">
        <f t="shared" si="1947"/>
        <v>-13.323300000000017</v>
      </c>
      <c r="BA207" s="23">
        <f t="shared" si="1947"/>
        <v>-5.6843418860808015E-14</v>
      </c>
      <c r="BB207" s="23">
        <f t="shared" si="1947"/>
        <v>33.479000000000042</v>
      </c>
      <c r="BC207" s="23">
        <f t="shared" si="1947"/>
        <v>-5.6843418860808015E-14</v>
      </c>
      <c r="BD207" s="23">
        <f t="shared" si="1947"/>
        <v>-33.477999999999952</v>
      </c>
      <c r="BE207" s="23">
        <f t="shared" si="1947"/>
        <v>0</v>
      </c>
      <c r="BF207" s="23">
        <f t="shared" si="1947"/>
        <v>-28.213000000000022</v>
      </c>
      <c r="BG207" s="23">
        <f t="shared" si="1947"/>
        <v>0</v>
      </c>
      <c r="BH207" s="23">
        <f t="shared" si="1947"/>
        <v>-10.284000000000049</v>
      </c>
      <c r="BI207" s="23">
        <f t="shared" si="1947"/>
        <v>5.6843418860808015E-14</v>
      </c>
      <c r="BJ207" s="23">
        <f t="shared" si="1947"/>
        <v>-6.43100000000004</v>
      </c>
      <c r="BK207" s="23">
        <f t="shared" si="1947"/>
        <v>5.6843418860808015E-14</v>
      </c>
      <c r="BL207" s="23">
        <f t="shared" si="1947"/>
        <v>0.90300000000002001</v>
      </c>
      <c r="BM207" s="23">
        <f t="shared" si="1947"/>
        <v>-5.6843418860808015E-14</v>
      </c>
      <c r="BN207" s="23">
        <f t="shared" si="1947"/>
        <v>-23.587999999999965</v>
      </c>
      <c r="BO207" s="23">
        <f t="shared" ref="BO207:CT207" si="1948">BO120-BO48-BN120+BO122-BN122</f>
        <v>0</v>
      </c>
      <c r="BP207" s="23">
        <f t="shared" si="1948"/>
        <v>16.190999999999974</v>
      </c>
      <c r="BQ207" s="23">
        <f t="shared" si="1948"/>
        <v>0</v>
      </c>
      <c r="BR207" s="23">
        <f t="shared" si="1948"/>
        <v>-2.3779999999999859</v>
      </c>
      <c r="BS207" s="23">
        <f t="shared" si="1948"/>
        <v>0</v>
      </c>
      <c r="BT207" s="23">
        <f t="shared" si="1948"/>
        <v>365.34200000000004</v>
      </c>
      <c r="BU207" s="23">
        <f t="shared" si="1948"/>
        <v>0</v>
      </c>
      <c r="BV207" s="23">
        <f t="shared" si="1948"/>
        <v>-49.13600000000001</v>
      </c>
      <c r="BW207" s="23">
        <f t="shared" si="1948"/>
        <v>0</v>
      </c>
      <c r="BX207" s="23">
        <f t="shared" si="1948"/>
        <v>77.358999999999952</v>
      </c>
      <c r="BY207" s="23">
        <f t="shared" si="1948"/>
        <v>0</v>
      </c>
      <c r="BZ207" s="23">
        <f t="shared" si="1948"/>
        <v>182.6290000000001</v>
      </c>
      <c r="CA207" s="23">
        <f t="shared" si="1948"/>
        <v>0</v>
      </c>
      <c r="CB207" s="23">
        <f t="shared" si="1948"/>
        <v>443.96500000000003</v>
      </c>
      <c r="CC207" s="23">
        <f t="shared" si="1948"/>
        <v>0</v>
      </c>
      <c r="CD207" s="23">
        <f t="shared" si="1948"/>
        <v>268.26799999999992</v>
      </c>
      <c r="CE207" s="23">
        <f t="shared" si="1948"/>
        <v>0</v>
      </c>
      <c r="CF207" s="23">
        <f t="shared" si="1948"/>
        <v>681.452</v>
      </c>
      <c r="CG207" s="23">
        <f t="shared" si="1948"/>
        <v>0</v>
      </c>
      <c r="CH207" s="23">
        <f t="shared" si="1948"/>
        <v>453.68300000000011</v>
      </c>
      <c r="CI207" s="23">
        <f t="shared" si="1948"/>
        <v>0</v>
      </c>
      <c r="CJ207" s="23">
        <f t="shared" si="1948"/>
        <v>825.50999999999942</v>
      </c>
      <c r="CK207" s="24">
        <f t="shared" si="1948"/>
        <v>0</v>
      </c>
      <c r="CL207" s="23">
        <f t="shared" si="1948"/>
        <v>1198.4200000000008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1.0655249999999999E-3</v>
      </c>
      <c r="D209" s="23">
        <f t="shared" ref="D209" si="1951">C161</f>
        <v>4.890447E-3</v>
      </c>
      <c r="E209" s="23">
        <f>D161</f>
        <v>7.0304729999999998E-3</v>
      </c>
      <c r="F209" s="23">
        <f t="shared" ref="F209" si="1952">E161</f>
        <v>0.36984514800000001</v>
      </c>
      <c r="G209" s="23">
        <f t="shared" ref="G209" si="1953">F161</f>
        <v>0.55271807399999995</v>
      </c>
      <c r="H209" s="23">
        <f t="shared" ref="H209" si="1954">G161</f>
        <v>1.4253340370000001</v>
      </c>
      <c r="I209" s="23">
        <f t="shared" ref="I209" si="1955">H161</f>
        <v>1.2884868000000001E-2</v>
      </c>
      <c r="J209" s="23">
        <f>I161</f>
        <v>0.18169528900000001</v>
      </c>
      <c r="K209" s="23">
        <f>J161</f>
        <v>1.468061971</v>
      </c>
      <c r="L209" s="23">
        <f t="shared" ref="L209" si="1956">K161</f>
        <v>5.7047999999999996</v>
      </c>
      <c r="M209" s="23">
        <f t="shared" ref="M209" si="1957">L161</f>
        <v>496.78610000000003</v>
      </c>
      <c r="N209" s="23">
        <f t="shared" ref="N209" si="1958">M161</f>
        <v>3.3681999999999999</v>
      </c>
      <c r="O209" s="23">
        <f t="shared" ref="O209" si="1959">N161</f>
        <v>1.4005000000000001</v>
      </c>
      <c r="P209" s="23">
        <f t="shared" ref="P209" si="1960">O161</f>
        <v>9.1094700000000001E-2</v>
      </c>
      <c r="Q209" s="23">
        <f t="shared" ref="Q209" si="1961">P161</f>
        <v>9.2897584999999996</v>
      </c>
      <c r="R209" s="23">
        <f t="shared" ref="R209" si="1962">Q161</f>
        <v>5.3891000000000001E-2</v>
      </c>
      <c r="S209" s="23">
        <f t="shared" ref="S209" si="1963">R161</f>
        <v>7.56246E-2</v>
      </c>
      <c r="T209" s="23">
        <f t="shared" ref="T209" si="1964">S161</f>
        <v>1.32E-2</v>
      </c>
      <c r="U209" s="23">
        <f t="shared" ref="U209" si="1965">T161</f>
        <v>1.54E-2</v>
      </c>
      <c r="V209" s="23">
        <f t="shared" ref="V209" si="1966">U161</f>
        <v>3.9199999999999999E-2</v>
      </c>
      <c r="W209" s="23">
        <f t="shared" ref="W209:AA209" si="1967">V161</f>
        <v>7.0705</v>
      </c>
      <c r="X209" s="23">
        <f t="shared" si="1967"/>
        <v>24.9832</v>
      </c>
      <c r="Y209" s="23">
        <f t="shared" si="1967"/>
        <v>42.665099999999995</v>
      </c>
      <c r="Z209" s="23">
        <f t="shared" si="1967"/>
        <v>195.971</v>
      </c>
      <c r="AA209" s="23">
        <f t="shared" si="1967"/>
        <v>195.52</v>
      </c>
      <c r="AB209" s="24">
        <f t="shared" ref="AB209" si="1968">AA161</f>
        <v>966.99</v>
      </c>
      <c r="AC209" s="24">
        <f t="shared" ref="AC209" si="1969">AB161</f>
        <v>1018.8102577927934</v>
      </c>
      <c r="AD209" s="24">
        <f t="shared" ref="AD209" si="1970">AC161</f>
        <v>1177.9763680616868</v>
      </c>
      <c r="AE209" s="24">
        <f t="shared" ref="AE209" si="1971">AD161</f>
        <v>1457.824774208204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0.29499999999999998</v>
      </c>
      <c r="AL209" s="23" t="e">
        <f t="shared" ref="AL209" si="1975">AK161</f>
        <v>#DIV/0!</v>
      </c>
      <c r="AM209" s="23">
        <f t="shared" ref="AM209" si="1976">AL161</f>
        <v>1.401</v>
      </c>
      <c r="AN209" s="23" t="e">
        <f t="shared" ref="AN209" si="1977">AM161</f>
        <v>#DIV/0!</v>
      </c>
      <c r="AO209" s="23">
        <f t="shared" ref="AO209" si="1978">AN161</f>
        <v>7.0000000000000007E-2</v>
      </c>
      <c r="AP209" s="23" t="e">
        <f t="shared" ref="AP209" si="1979">AO161</f>
        <v>#DIV/0!</v>
      </c>
      <c r="AQ209" s="23">
        <f t="shared" ref="AQ209" si="1980">AP161</f>
        <v>9.0999999999999998E-2</v>
      </c>
      <c r="AR209" s="23" t="e">
        <f t="shared" ref="AR209" si="1981">AQ161</f>
        <v>#DIV/0!</v>
      </c>
      <c r="AS209" s="23">
        <f t="shared" ref="AS209" si="1982">AR161</f>
        <v>0.26600000000000001</v>
      </c>
      <c r="AT209" s="23" t="e">
        <f t="shared" ref="AT209" si="1983">AS161</f>
        <v>#DIV/0!</v>
      </c>
      <c r="AU209" s="23">
        <f t="shared" ref="AU209" si="1984">AT161</f>
        <v>9.2889999999999997</v>
      </c>
      <c r="AV209" s="23">
        <f t="shared" ref="AV209" si="1985">AU161</f>
        <v>-7.8839999999999382</v>
      </c>
      <c r="AW209" s="23">
        <f t="shared" ref="AW209" si="1986">AV161</f>
        <v>6.12</v>
      </c>
      <c r="AX209" s="23">
        <f t="shared" ref="AX209" si="1987">AW161</f>
        <v>7.5948303762191891</v>
      </c>
      <c r="AY209" s="23">
        <f t="shared" ref="AY209" si="1988">AX161</f>
        <v>5.3999999999999999E-2</v>
      </c>
      <c r="AZ209" s="23">
        <f t="shared" ref="AZ209" si="1989">AY161</f>
        <v>6.2600000000000611</v>
      </c>
      <c r="BA209" s="23">
        <f t="shared" ref="BA209" si="1990">AZ161</f>
        <v>6.0000000000000001E-3</v>
      </c>
      <c r="BB209" s="23">
        <f t="shared" ref="BB209" si="1991">BA161</f>
        <v>1.3664994216309352</v>
      </c>
      <c r="BC209" s="23">
        <f t="shared" ref="BC209" si="1992">BB161</f>
        <v>7.5999999999999998E-2</v>
      </c>
      <c r="BD209" s="23">
        <f t="shared" ref="BD209" si="1993">BC161</f>
        <v>8.593999999999955</v>
      </c>
      <c r="BE209" s="23">
        <f t="shared" ref="BE209" si="1994">BD161</f>
        <v>1.0999999999999999E-2</v>
      </c>
      <c r="BF209" s="23">
        <f t="shared" ref="BF209" si="1995">BE161</f>
        <v>6.671767907934762</v>
      </c>
      <c r="BG209" s="23">
        <f t="shared" ref="BG209" si="1996">BF161</f>
        <v>1.2999999999999999E-2</v>
      </c>
      <c r="BH209" s="23">
        <f t="shared" ref="BH209" si="1997">BG161</f>
        <v>9.6000000000000121</v>
      </c>
      <c r="BI209" s="23">
        <f t="shared" ref="BI209" si="1998">BH161</f>
        <v>8.0000000000000002E-3</v>
      </c>
      <c r="BJ209" s="23" t="e">
        <f t="shared" ref="BJ209" si="1999">BI161</f>
        <v>#DIV/0!</v>
      </c>
      <c r="BK209" s="23">
        <f t="shared" ref="BK209" si="2000">BJ161</f>
        <v>1.4999999999999999E-2</v>
      </c>
      <c r="BL209" s="23">
        <f t="shared" ref="BL209" si="2001">BK161</f>
        <v>-0.5489999999999432</v>
      </c>
      <c r="BM209" s="23">
        <f t="shared" ref="BM209" si="2002">BL161</f>
        <v>1.9E-2</v>
      </c>
      <c r="BN209" s="23" t="e">
        <f t="shared" ref="BN209" si="2003">BM161</f>
        <v>#DIV/0!</v>
      </c>
      <c r="BO209" s="23">
        <f t="shared" ref="BO209" si="2004">BN161</f>
        <v>3.9E-2</v>
      </c>
      <c r="BP209" s="23">
        <f t="shared" ref="BP209" si="2005">BO161</f>
        <v>0.33400000000000829</v>
      </c>
      <c r="BQ209" s="23">
        <f t="shared" ref="BQ209" si="2006">BP161</f>
        <v>0.02</v>
      </c>
      <c r="BR209" s="23" t="e">
        <f t="shared" ref="BR209" si="2007">BQ161</f>
        <v>#DIV/0!</v>
      </c>
      <c r="BS209" s="23">
        <f t="shared" ref="BS209" si="2008">BR161</f>
        <v>7.07</v>
      </c>
      <c r="BT209" s="23">
        <f t="shared" ref="BT209" si="2009">BS161</f>
        <v>6.226</v>
      </c>
      <c r="BU209" s="23">
        <f t="shared" ref="BU209" si="2010">BT161</f>
        <v>14.644</v>
      </c>
      <c r="BV209" s="23">
        <f t="shared" ref="BV209" si="2011">BU161</f>
        <v>-15.843272912423656</v>
      </c>
      <c r="BW209" s="23">
        <f t="shared" ref="BW209" si="2012">BV161</f>
        <v>24.983000000000001</v>
      </c>
      <c r="BX209" s="23">
        <f t="shared" ref="BX209" si="2013">BW161</f>
        <v>-57.770125912881383</v>
      </c>
      <c r="BY209" s="23">
        <f t="shared" ref="BY209" si="2014">BX161</f>
        <v>250.101</v>
      </c>
      <c r="BZ209" s="23">
        <f t="shared" ref="BZ209" si="2015">BY161</f>
        <v>172.73401521298166</v>
      </c>
      <c r="CA209" s="23">
        <f t="shared" ref="CA209" si="2016">BZ161</f>
        <v>42.665000000000006</v>
      </c>
      <c r="CB209" s="23">
        <f t="shared" ref="CB209" si="2017">CA161</f>
        <v>101.70723585011115</v>
      </c>
      <c r="CC209" s="23">
        <f t="shared" ref="CC209" si="2018">CB161</f>
        <v>69.551000000000002</v>
      </c>
      <c r="CD209" s="23">
        <f t="shared" ref="CD209" si="2019">CC161</f>
        <v>-106.92952968122138</v>
      </c>
      <c r="CE209" s="23">
        <f t="shared" ref="CE209" si="2020">CD161</f>
        <v>195.97</v>
      </c>
      <c r="CF209" s="23">
        <f t="shared" ref="CF209" si="2021">CE161</f>
        <v>212.92959540548156</v>
      </c>
      <c r="CG209" s="23">
        <f t="shared" ref="CG209" si="2022">CF161</f>
        <v>185.62700000000001</v>
      </c>
      <c r="CH209" s="23">
        <f t="shared" ref="CH209:CL209" si="2023">CG161</f>
        <v>251.83428608488111</v>
      </c>
      <c r="CI209" s="23">
        <f t="shared" si="2023"/>
        <v>195.52</v>
      </c>
      <c r="CJ209" s="23">
        <f t="shared" si="2023"/>
        <v>753.64367489577376</v>
      </c>
      <c r="CK209" s="24">
        <f t="shared" ref="CK209" si="2024">CJ161</f>
        <v>532.9</v>
      </c>
      <c r="CL209" s="23">
        <f t="shared" si="2023"/>
        <v>943.26172737781917</v>
      </c>
      <c r="CM209" s="24">
        <f t="shared" ref="CM209" si="2025">CL161</f>
        <v>966.99</v>
      </c>
      <c r="CN209" s="24">
        <f t="shared" ref="CN209" si="2026">CM161</f>
        <v>1769.1973249342477</v>
      </c>
      <c r="CO209" s="24">
        <f t="shared" ref="CO209" si="2027">CN161</f>
        <v>1679.2942526497193</v>
      </c>
      <c r="CP209" s="24">
        <f t="shared" ref="CP209" si="2028">CO161</f>
        <v>2055.0714581164207</v>
      </c>
      <c r="CQ209" s="24">
        <f t="shared" ref="CQ209" si="2029">CP161</f>
        <v>1018.8102577927934</v>
      </c>
      <c r="CR209" s="24">
        <f t="shared" ref="CR209" si="2030">CQ161</f>
        <v>2069.4298786778199</v>
      </c>
      <c r="CS209" s="24">
        <f t="shared" ref="CS209" si="2031">CR161</f>
        <v>1959.577394765168</v>
      </c>
      <c r="CT209" s="24">
        <f t="shared" ref="CT209" si="2032">CS161</f>
        <v>2422.5899921550681</v>
      </c>
      <c r="CU209" s="24">
        <f t="shared" ref="CU209" si="2033">CT161</f>
        <v>1177.9763680616868</v>
      </c>
      <c r="CV209" s="24">
        <f t="shared" ref="CV209" si="2034">CU161</f>
        <v>2478.434630513756</v>
      </c>
      <c r="CW209" s="24">
        <f t="shared" ref="CW209" si="2035">CV161</f>
        <v>2360.3936106243546</v>
      </c>
      <c r="CX209" s="24">
        <f t="shared" ref="CX209" si="2036">CW161</f>
        <v>2941.311331154925</v>
      </c>
      <c r="CY209" s="24">
        <f t="shared" ref="CY209" si="2037">CX161</f>
        <v>1457.824774208204</v>
      </c>
      <c r="CZ209" s="24">
        <f t="shared" ref="CZ209" si="2038">CY161</f>
        <v>3060.1822008024465</v>
      </c>
      <c r="DA209" s="24">
        <f t="shared" ref="DA209" si="2039">CZ161</f>
        <v>2945.7512836161468</v>
      </c>
      <c r="DB209" s="24">
        <f t="shared" ref="DB209" si="2040">DA161</f>
        <v>3682.1050018765773</v>
      </c>
      <c r="DE209" s="123"/>
      <c r="DF209" s="23">
        <v>943.26172737781917</v>
      </c>
    </row>
    <row r="210" spans="1:110" s="23" customFormat="1" x14ac:dyDescent="0.2">
      <c r="A210" s="23" t="s">
        <v>443</v>
      </c>
      <c r="C210" s="23">
        <f t="shared" ref="C210:W210" si="2041">C209+C205+C201+C199</f>
        <v>4.8904470000064038E-3</v>
      </c>
      <c r="D210" s="23">
        <f t="shared" si="2041"/>
        <v>7.0304729999950411E-3</v>
      </c>
      <c r="E210" s="23">
        <f t="shared" si="2041"/>
        <v>0.36984514800002088</v>
      </c>
      <c r="F210" s="23">
        <f t="shared" si="2041"/>
        <v>0.55271807399998352</v>
      </c>
      <c r="G210" s="23">
        <f t="shared" si="2041"/>
        <v>1.4253340369999421</v>
      </c>
      <c r="H210" s="23">
        <f t="shared" si="2041"/>
        <v>1.288486800008215E-2</v>
      </c>
      <c r="I210" s="23">
        <f t="shared" si="2041"/>
        <v>0.18169528899993281</v>
      </c>
      <c r="J210" s="23">
        <f>J209+J205+J201+J199</f>
        <v>1.4680619710000542</v>
      </c>
      <c r="K210" s="23">
        <f>K209+K205+K201+K199</f>
        <v>5.7047999999999774</v>
      </c>
      <c r="L210" s="23">
        <f>L209+L205+L201+L199</f>
        <v>496.78609999999992</v>
      </c>
      <c r="M210" s="23">
        <f>M209+M205+M201+M199</f>
        <v>3.3682000000001153</v>
      </c>
      <c r="N210" s="23">
        <f t="shared" si="2041"/>
        <v>1.4005000000000649</v>
      </c>
      <c r="O210" s="23">
        <f t="shared" si="2041"/>
        <v>9.1094699999912265E-2</v>
      </c>
      <c r="P210" s="23">
        <f t="shared" si="2041"/>
        <v>9.2897584999999481</v>
      </c>
      <c r="Q210" s="23">
        <f t="shared" si="2041"/>
        <v>5.3890999999950395E-2</v>
      </c>
      <c r="R210" s="23">
        <f t="shared" si="2041"/>
        <v>7.5624600000061548E-2</v>
      </c>
      <c r="S210" s="23">
        <f t="shared" si="2041"/>
        <v>1.320000000006516E-2</v>
      </c>
      <c r="T210" s="23">
        <f t="shared" si="2041"/>
        <v>1.539999999997832E-2</v>
      </c>
      <c r="U210" s="23">
        <f t="shared" si="2041"/>
        <v>3.9199999999939616E-2</v>
      </c>
      <c r="V210" s="23">
        <f t="shared" si="2041"/>
        <v>7.0704999999999982</v>
      </c>
      <c r="W210" s="23">
        <f t="shared" si="2041"/>
        <v>24.983199999999897</v>
      </c>
      <c r="X210" s="23">
        <f t="shared" ref="X210:Y210" si="2042">X209+X205+X201+X199</f>
        <v>42.665100000000066</v>
      </c>
      <c r="Y210" s="23">
        <f t="shared" si="2042"/>
        <v>195.97099999999986</v>
      </c>
      <c r="Z210" s="23">
        <f t="shared" ref="Z210:AA210" si="2043">Z209+Z205+Z201+Z199</f>
        <v>195.51999999999981</v>
      </c>
      <c r="AA210" s="23">
        <f t="shared" si="2043"/>
        <v>966.99000000000092</v>
      </c>
      <c r="AB210" s="24">
        <f t="shared" ref="AA210:AD210" si="2044">AB209+AB205+AB201+AB199</f>
        <v>1018.8102577927932</v>
      </c>
      <c r="AC210" s="24">
        <f t="shared" si="2044"/>
        <v>1177.9763680616866</v>
      </c>
      <c r="AD210" s="24">
        <f t="shared" si="2044"/>
        <v>1457.824774208204</v>
      </c>
      <c r="AE210" s="24">
        <f t="shared" ref="AE210" si="2045">AE209+AE205+AE201+AE199</f>
        <v>1922.9769355091485</v>
      </c>
      <c r="AI210" s="23">
        <f t="shared" ref="AI210" si="2046">AI209+AI205+AI201+AI199</f>
        <v>0</v>
      </c>
      <c r="AJ210" s="23">
        <f t="shared" ref="AJ210:AL210" si="2047">AJ209+AJ205+AJ201+AJ199</f>
        <v>0.29500000000001592</v>
      </c>
      <c r="AK210" s="23" t="e">
        <f t="shared" si="2047"/>
        <v>#DIV/0!</v>
      </c>
      <c r="AL210" s="23" t="e">
        <f t="shared" si="2047"/>
        <v>#DIV/0!</v>
      </c>
      <c r="AM210" s="23" t="e">
        <f t="shared" ref="AM210" si="2048">AM209+AM205+AM201+AM199</f>
        <v>#DIV/0!</v>
      </c>
      <c r="AN210" s="23" t="e">
        <f t="shared" ref="AN210:CD210" si="2049">AN209+AN205+AN201+AN199</f>
        <v>#DIV/0!</v>
      </c>
      <c r="AO210" s="23" t="e">
        <f t="shared" si="2049"/>
        <v>#DIV/0!</v>
      </c>
      <c r="AP210" s="23" t="e">
        <f t="shared" si="2049"/>
        <v>#DIV/0!</v>
      </c>
      <c r="AQ210" s="23" t="e">
        <f t="shared" si="2049"/>
        <v>#DIV/0!</v>
      </c>
      <c r="AR210" s="23" t="e">
        <f t="shared" si="2049"/>
        <v>#DIV/0!</v>
      </c>
      <c r="AS210" s="23" t="e">
        <f t="shared" si="2049"/>
        <v>#DIV/0!</v>
      </c>
      <c r="AT210" s="23" t="e">
        <f t="shared" si="2049"/>
        <v>#DIV/0!</v>
      </c>
      <c r="AU210" s="23">
        <f t="shared" si="2049"/>
        <v>-7.8839999999999382</v>
      </c>
      <c r="AV210" s="23">
        <f t="shared" si="2049"/>
        <v>6.1190000000000415</v>
      </c>
      <c r="AW210" s="23">
        <f t="shared" si="2049"/>
        <v>7.5948303762191891</v>
      </c>
      <c r="AX210" s="23">
        <f t="shared" si="2049"/>
        <v>5.5299999999956384E-2</v>
      </c>
      <c r="AY210" s="23">
        <f t="shared" si="2049"/>
        <v>6.2600000000000611</v>
      </c>
      <c r="AZ210" s="23">
        <f t="shared" si="2049"/>
        <v>4.7000000000538833E-3</v>
      </c>
      <c r="BA210" s="23">
        <f t="shared" si="2049"/>
        <v>1.3664994216309352</v>
      </c>
      <c r="BB210" s="23">
        <f t="shared" si="2049"/>
        <v>7.6999999999962654E-2</v>
      </c>
      <c r="BC210" s="23">
        <f t="shared" si="2049"/>
        <v>8.593999999999955</v>
      </c>
      <c r="BD210" s="23">
        <f t="shared" si="2049"/>
        <v>9.9999999999909051E-3</v>
      </c>
      <c r="BE210" s="23">
        <f t="shared" si="2049"/>
        <v>6.671767907934762</v>
      </c>
      <c r="BF210" s="23">
        <f t="shared" si="2049"/>
        <v>1.399999999997803E-2</v>
      </c>
      <c r="BG210" s="23">
        <f t="shared" si="2049"/>
        <v>9.6000000000000121</v>
      </c>
      <c r="BH210" s="23">
        <f t="shared" si="2049"/>
        <v>8.9999999999736957E-3</v>
      </c>
      <c r="BI210" s="23" t="e">
        <f t="shared" si="2049"/>
        <v>#DIV/0!</v>
      </c>
      <c r="BJ210" s="23" t="e">
        <f t="shared" si="2049"/>
        <v>#DIV/0!</v>
      </c>
      <c r="BK210" s="23">
        <f t="shared" si="2049"/>
        <v>-0.5489999999999432</v>
      </c>
      <c r="BL210" s="23">
        <f t="shared" si="2049"/>
        <v>1.9000000000096828E-2</v>
      </c>
      <c r="BM210" s="23" t="e">
        <f t="shared" si="2049"/>
        <v>#DIV/0!</v>
      </c>
      <c r="BN210" s="23" t="e">
        <f t="shared" si="2049"/>
        <v>#DIV/0!</v>
      </c>
      <c r="BO210" s="23">
        <f t="shared" si="2049"/>
        <v>0.33400000000000829</v>
      </c>
      <c r="BP210" s="23">
        <f t="shared" si="2049"/>
        <v>1.7999999999963823E-2</v>
      </c>
      <c r="BQ210" s="23" t="e">
        <f t="shared" si="2049"/>
        <v>#DIV/0!</v>
      </c>
      <c r="BR210" s="23" t="e">
        <f t="shared" si="2049"/>
        <v>#DIV/0!</v>
      </c>
      <c r="BS210" s="23">
        <f t="shared" si="2049"/>
        <v>6.226</v>
      </c>
      <c r="BT210" s="23">
        <f t="shared" si="2049"/>
        <v>14.644000000000048</v>
      </c>
      <c r="BU210" s="23">
        <f t="shared" si="2049"/>
        <v>-15.843272912423656</v>
      </c>
      <c r="BV210" s="23">
        <f t="shared" si="2049"/>
        <v>24.984000000000009</v>
      </c>
      <c r="BW210" s="23">
        <f t="shared" si="2049"/>
        <v>-57.770125912881383</v>
      </c>
      <c r="BX210" s="23">
        <f t="shared" si="2049"/>
        <v>250.09999999999997</v>
      </c>
      <c r="BY210" s="23">
        <f t="shared" si="2049"/>
        <v>172.73401521298166</v>
      </c>
      <c r="BZ210" s="23">
        <f t="shared" si="2049"/>
        <v>42.664999999999964</v>
      </c>
      <c r="CA210" s="23">
        <f t="shared" si="2049"/>
        <v>101.70723585011115</v>
      </c>
      <c r="CB210" s="23">
        <f t="shared" si="2049"/>
        <v>69.552000000000092</v>
      </c>
      <c r="CC210" s="23">
        <f t="shared" si="2049"/>
        <v>-106.92952968122138</v>
      </c>
      <c r="CD210" s="23">
        <f t="shared" si="2049"/>
        <v>195.97000000000003</v>
      </c>
      <c r="CE210" s="23">
        <f t="shared" ref="CE210:CF210" si="2050">CE209+CE205+CE201+CE199</f>
        <v>212.92959540548156</v>
      </c>
      <c r="CF210" s="23">
        <f t="shared" si="2050"/>
        <v>185.62500000000034</v>
      </c>
      <c r="CG210" s="23">
        <f t="shared" ref="CG210:CH210" si="2051">CG209+CG205+CG201+CG199</f>
        <v>251.83428608488111</v>
      </c>
      <c r="CH210" s="23">
        <f t="shared" si="2051"/>
        <v>195.52099999999956</v>
      </c>
      <c r="CI210" s="23">
        <f t="shared" ref="CI210:CJ210" si="2052">CI209+CI205+CI201+CI199</f>
        <v>753.64367489577376</v>
      </c>
      <c r="CJ210" s="23">
        <f t="shared" si="2052"/>
        <v>532.89999999999941</v>
      </c>
      <c r="CK210" s="24">
        <f t="shared" ref="CK210:DB210" si="2053">CK209+CK205+CK201+CK199</f>
        <v>943.26172737781917</v>
      </c>
      <c r="CL210" s="23">
        <f t="shared" si="2053"/>
        <v>966.99000000000115</v>
      </c>
      <c r="CM210" s="24">
        <f t="shared" si="2053"/>
        <v>1769.1973249342477</v>
      </c>
      <c r="CN210" s="24">
        <f t="shared" si="2053"/>
        <v>1679.2942526497193</v>
      </c>
      <c r="CO210" s="24">
        <f t="shared" si="2053"/>
        <v>2055.0714581164207</v>
      </c>
      <c r="CP210" s="24">
        <f t="shared" si="2053"/>
        <v>1018.8102577927934</v>
      </c>
      <c r="CQ210" s="24">
        <f t="shared" si="2053"/>
        <v>2069.4298786778199</v>
      </c>
      <c r="CR210" s="24">
        <f t="shared" si="2053"/>
        <v>1959.577394765168</v>
      </c>
      <c r="CS210" s="24">
        <f t="shared" si="2053"/>
        <v>2422.5899921550681</v>
      </c>
      <c r="CT210" s="24">
        <f t="shared" si="2053"/>
        <v>1177.9763680616868</v>
      </c>
      <c r="CU210" s="24">
        <f t="shared" si="2053"/>
        <v>2478.434630513756</v>
      </c>
      <c r="CV210" s="24">
        <f t="shared" si="2053"/>
        <v>2360.3936106243546</v>
      </c>
      <c r="CW210" s="24">
        <f t="shared" si="2053"/>
        <v>2941.311331154925</v>
      </c>
      <c r="CX210" s="24">
        <f t="shared" si="2053"/>
        <v>1457.824774208204</v>
      </c>
      <c r="CY210" s="24">
        <f t="shared" si="2053"/>
        <v>3060.1822008024465</v>
      </c>
      <c r="CZ210" s="24">
        <f t="shared" si="2053"/>
        <v>2945.7512836161468</v>
      </c>
      <c r="DA210" s="24">
        <f t="shared" si="2053"/>
        <v>3682.1050018765773</v>
      </c>
      <c r="DB210" s="24">
        <f t="shared" si="2053"/>
        <v>1922.9769355091489</v>
      </c>
      <c r="DE210" s="123"/>
      <c r="DF210" s="23">
        <v>-146.09642380858122</v>
      </c>
    </row>
    <row r="211" spans="1:110" s="28" customFormat="1" x14ac:dyDescent="0.2">
      <c r="A211" s="28" t="s">
        <v>444</v>
      </c>
      <c r="C211" s="28">
        <f t="shared" ref="C211:W211" si="2054">C210-C161</f>
        <v>6.4037317115683834E-15</v>
      </c>
      <c r="D211" s="28">
        <f t="shared" si="2054"/>
        <v>-4.9587070560797031E-15</v>
      </c>
      <c r="E211" s="28">
        <f t="shared" si="2054"/>
        <v>2.0872192862952943E-14</v>
      </c>
      <c r="F211" s="28">
        <f t="shared" si="2054"/>
        <v>-1.6431300764452317E-14</v>
      </c>
      <c r="G211" s="28">
        <f t="shared" si="2054"/>
        <v>-5.7953641885433171E-14</v>
      </c>
      <c r="H211" s="28">
        <f t="shared" si="2054"/>
        <v>8.2149564928357677E-14</v>
      </c>
      <c r="I211" s="28">
        <f t="shared" si="2054"/>
        <v>-6.71962485654376E-14</v>
      </c>
      <c r="J211" s="28">
        <f>J210-J161</f>
        <v>5.4178883601707639E-14</v>
      </c>
      <c r="K211" s="28">
        <f t="shared" si="2054"/>
        <v>-2.2204460492503131E-14</v>
      </c>
      <c r="L211" s="28">
        <f t="shared" si="2054"/>
        <v>0</v>
      </c>
      <c r="M211" s="28">
        <f t="shared" si="2054"/>
        <v>1.1546319456101628E-13</v>
      </c>
      <c r="N211" s="28">
        <f t="shared" si="2054"/>
        <v>6.4837024638109142E-14</v>
      </c>
      <c r="O211" s="28">
        <f t="shared" si="2054"/>
        <v>-8.7735374521002996E-14</v>
      </c>
      <c r="P211" s="28">
        <f t="shared" si="2054"/>
        <v>-5.1514348342607263E-14</v>
      </c>
      <c r="Q211" s="28">
        <f t="shared" si="2054"/>
        <v>-4.9606152519032776E-14</v>
      </c>
      <c r="R211" s="28">
        <f t="shared" si="2054"/>
        <v>6.1547988927657116E-14</v>
      </c>
      <c r="S211" s="28">
        <f t="shared" si="2054"/>
        <v>6.5159683204640828E-14</v>
      </c>
      <c r="T211" s="28">
        <f t="shared" si="2054"/>
        <v>-2.1680574002758135E-14</v>
      </c>
      <c r="U211" s="28">
        <f t="shared" si="2054"/>
        <v>-6.0382254751800701E-14</v>
      </c>
      <c r="V211" s="28">
        <f t="shared" si="2054"/>
        <v>0</v>
      </c>
      <c r="W211" s="28">
        <f t="shared" si="2054"/>
        <v>-1.0302869668521453E-13</v>
      </c>
      <c r="X211" s="28">
        <f t="shared" ref="X211:Y211" si="2055">X210-X161</f>
        <v>7.1054273576010019E-14</v>
      </c>
      <c r="Y211" s="28">
        <f t="shared" si="2055"/>
        <v>0</v>
      </c>
      <c r="Z211" s="28">
        <f t="shared" ref="Z211:AA211" si="2056">Z210-Z161</f>
        <v>0</v>
      </c>
      <c r="AA211" s="28">
        <f t="shared" si="2056"/>
        <v>9.0949470177292824E-13</v>
      </c>
      <c r="AB211" s="30">
        <f t="shared" ref="AA211:AD211" si="2057">AB210-AB161</f>
        <v>0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1.5931700403370996E-14</v>
      </c>
      <c r="AK211" s="28" t="e">
        <f t="shared" si="2060"/>
        <v>#DIV/0!</v>
      </c>
      <c r="AL211" s="28" t="e">
        <f t="shared" si="2060"/>
        <v>#DIV/0!</v>
      </c>
      <c r="AM211" s="28" t="e">
        <f t="shared" ref="AM211" si="2061">AM210-AM161</f>
        <v>#DIV/0!</v>
      </c>
      <c r="AN211" s="28" t="e">
        <f t="shared" ref="AN211:CD211" si="2062">AN210-AN161</f>
        <v>#DIV/0!</v>
      </c>
      <c r="AO211" s="28" t="e">
        <f t="shared" si="2062"/>
        <v>#DIV/0!</v>
      </c>
      <c r="AP211" s="28" t="e">
        <f t="shared" si="2062"/>
        <v>#DIV/0!</v>
      </c>
      <c r="AQ211" s="28" t="e">
        <f t="shared" si="2062"/>
        <v>#DIV/0!</v>
      </c>
      <c r="AR211" s="28" t="e">
        <f t="shared" si="2062"/>
        <v>#DIV/0!</v>
      </c>
      <c r="AS211" s="28" t="e">
        <f t="shared" si="2062"/>
        <v>#DIV/0!</v>
      </c>
      <c r="AT211" s="28" t="e">
        <f t="shared" si="2062"/>
        <v>#DIV/0!</v>
      </c>
      <c r="AU211" s="28">
        <f t="shared" si="2062"/>
        <v>0</v>
      </c>
      <c r="AV211" s="28">
        <f t="shared" si="2062"/>
        <v>-9.9999999995858957E-4</v>
      </c>
      <c r="AW211" s="28">
        <f t="shared" si="2062"/>
        <v>0</v>
      </c>
      <c r="AX211" s="28">
        <f t="shared" si="2062"/>
        <v>1.2999999999563847E-3</v>
      </c>
      <c r="AY211" s="28">
        <f t="shared" si="2062"/>
        <v>0</v>
      </c>
      <c r="AZ211" s="28">
        <f t="shared" si="2062"/>
        <v>-1.2999999999461168E-3</v>
      </c>
      <c r="BA211" s="28">
        <f t="shared" si="2062"/>
        <v>0</v>
      </c>
      <c r="BB211" s="28">
        <f t="shared" si="2062"/>
        <v>9.9999999996265576E-4</v>
      </c>
      <c r="BC211" s="28">
        <f t="shared" si="2062"/>
        <v>0</v>
      </c>
      <c r="BD211" s="28">
        <f t="shared" si="2062"/>
        <v>-1.0000000000090943E-3</v>
      </c>
      <c r="BE211" s="28">
        <f t="shared" si="2062"/>
        <v>0</v>
      </c>
      <c r="BF211" s="28">
        <f t="shared" si="2062"/>
        <v>9.9999999997803062E-4</v>
      </c>
      <c r="BG211" s="28">
        <f t="shared" si="2062"/>
        <v>0</v>
      </c>
      <c r="BH211" s="28">
        <f t="shared" si="2062"/>
        <v>9.9999999997369554E-4</v>
      </c>
      <c r="BI211" s="28" t="e">
        <f t="shared" si="2062"/>
        <v>#DIV/0!</v>
      </c>
      <c r="BJ211" s="28" t="e">
        <f t="shared" si="2062"/>
        <v>#DIV/0!</v>
      </c>
      <c r="BK211" s="28">
        <f t="shared" si="2062"/>
        <v>0</v>
      </c>
      <c r="BL211" s="28">
        <f t="shared" si="2062"/>
        <v>9.6828794982073418E-14</v>
      </c>
      <c r="BM211" s="28" t="e">
        <f t="shared" si="2062"/>
        <v>#DIV/0!</v>
      </c>
      <c r="BN211" s="28" t="e">
        <f t="shared" si="2062"/>
        <v>#DIV/0!</v>
      </c>
      <c r="BO211" s="28">
        <f t="shared" si="2062"/>
        <v>0</v>
      </c>
      <c r="BP211" s="28">
        <f t="shared" si="2062"/>
        <v>-2.0000000000361777E-3</v>
      </c>
      <c r="BQ211" s="28" t="e">
        <f t="shared" si="2062"/>
        <v>#DIV/0!</v>
      </c>
      <c r="BR211" s="28" t="e">
        <f t="shared" si="2062"/>
        <v>#DIV/0!</v>
      </c>
      <c r="BS211" s="28">
        <f t="shared" si="2062"/>
        <v>0</v>
      </c>
      <c r="BT211" s="28">
        <f t="shared" si="2062"/>
        <v>4.7961634663806763E-14</v>
      </c>
      <c r="BU211" s="28">
        <f t="shared" si="2062"/>
        <v>0</v>
      </c>
      <c r="BV211" s="28">
        <f t="shared" si="2062"/>
        <v>1.0000000000083276E-3</v>
      </c>
      <c r="BW211" s="28">
        <f t="shared" si="2062"/>
        <v>0</v>
      </c>
      <c r="BX211" s="28">
        <f t="shared" si="2062"/>
        <v>-1.0000000000331966E-3</v>
      </c>
      <c r="BY211" s="28">
        <f t="shared" si="2062"/>
        <v>0</v>
      </c>
      <c r="BZ211" s="28">
        <f t="shared" si="2062"/>
        <v>0</v>
      </c>
      <c r="CA211" s="28">
        <f t="shared" si="2062"/>
        <v>0</v>
      </c>
      <c r="CB211" s="28">
        <f t="shared" si="2062"/>
        <v>1.00000000009004E-3</v>
      </c>
      <c r="CC211" s="28">
        <f t="shared" si="2062"/>
        <v>0</v>
      </c>
      <c r="CD211" s="28">
        <f t="shared" si="2062"/>
        <v>0</v>
      </c>
      <c r="CE211" s="28">
        <f t="shared" ref="CE211:CF211" si="2063">CE210-CE161</f>
        <v>0</v>
      </c>
      <c r="CF211" s="28">
        <f t="shared" si="2063"/>
        <v>-1.9999999996684892E-3</v>
      </c>
      <c r="CG211" s="28">
        <f t="shared" ref="CG211:CH211" si="2064">CG210-CG161</f>
        <v>0</v>
      </c>
      <c r="CH211" s="28">
        <f t="shared" si="2064"/>
        <v>9.999999995500275E-4</v>
      </c>
      <c r="CI211" s="28">
        <f t="shared" ref="CI211:CJ211" si="2065">CI210-CI161</f>
        <v>0</v>
      </c>
      <c r="CJ211" s="28">
        <f t="shared" si="2065"/>
        <v>0</v>
      </c>
      <c r="CK211" s="30">
        <f t="shared" ref="CK211:DB211" si="2066">CK210-CK161</f>
        <v>0</v>
      </c>
      <c r="CL211" s="28">
        <f t="shared" si="2066"/>
        <v>1.1368683772161603E-12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-4.1741750779999904</v>
      </c>
      <c r="D213" s="22">
        <f t="shared" si="2067"/>
        <v>1.2537790250000107</v>
      </c>
      <c r="E213" s="22">
        <f t="shared" si="2067"/>
        <v>0.36281467500002051</v>
      </c>
      <c r="F213" s="22">
        <f t="shared" si="2067"/>
        <v>-86.606294031000019</v>
      </c>
      <c r="G213" s="22">
        <f t="shared" si="2067"/>
        <v>-210.12946049900006</v>
      </c>
      <c r="H213" s="22">
        <f t="shared" si="2067"/>
        <v>0.97970505600003932</v>
      </c>
      <c r="I213" s="22">
        <f t="shared" si="2067"/>
        <v>-61.408143774000052</v>
      </c>
      <c r="J213" s="22">
        <f>J199+J201</f>
        <v>225.16180123200007</v>
      </c>
      <c r="K213" s="22">
        <f t="shared" si="2067"/>
        <v>-537.72014423799999</v>
      </c>
      <c r="L213" s="22">
        <f t="shared" si="2067"/>
        <v>493.10030000000006</v>
      </c>
      <c r="M213" s="22">
        <f t="shared" si="2067"/>
        <v>-105.01620000000014</v>
      </c>
      <c r="N213" s="22">
        <f t="shared" si="2067"/>
        <v>-1.9676999999999367</v>
      </c>
      <c r="O213" s="22">
        <f t="shared" si="2067"/>
        <v>-1.3095154000000591</v>
      </c>
      <c r="P213" s="22">
        <f t="shared" si="2067"/>
        <v>-67.516665100000068</v>
      </c>
      <c r="Q213" s="22">
        <f t="shared" si="2067"/>
        <v>-9.0330923999999957</v>
      </c>
      <c r="R213" s="22">
        <f t="shared" si="2067"/>
        <v>-17.738727499999982</v>
      </c>
      <c r="S213" s="22">
        <f t="shared" si="2067"/>
        <v>63.904208200000028</v>
      </c>
      <c r="T213" s="22">
        <f t="shared" si="2067"/>
        <v>16.716499999999961</v>
      </c>
      <c r="U213" s="22">
        <f t="shared" si="2067"/>
        <v>22.70740000000001</v>
      </c>
      <c r="V213" s="22">
        <f t="shared" si="2067"/>
        <v>-8.9006999999999756</v>
      </c>
      <c r="W213" s="22">
        <f t="shared" si="2067"/>
        <v>-317.41140000000007</v>
      </c>
      <c r="X213" s="22">
        <f t="shared" ref="X213:Y213" si="2068">X199+X201</f>
        <v>-285.1857</v>
      </c>
      <c r="Y213" s="22">
        <f t="shared" si="2068"/>
        <v>-604.68330000000003</v>
      </c>
      <c r="Z213" s="22">
        <f t="shared" ref="Z213:AA213" si="2069">Z199+Z201</f>
        <v>-1600.8461000000004</v>
      </c>
      <c r="AA213" s="22">
        <f t="shared" si="2069"/>
        <v>-1400.6899999999994</v>
      </c>
      <c r="AB213" s="21">
        <f t="shared" ref="AA213:AD213" si="2070">AB199+AB201</f>
        <v>51.820257792793313</v>
      </c>
      <c r="AC213" s="21">
        <f t="shared" si="2070"/>
        <v>159.16611026889325</v>
      </c>
      <c r="AD213" s="21">
        <f t="shared" si="2070"/>
        <v>279.84840614651716</v>
      </c>
      <c r="AE213" s="21">
        <f t="shared" ref="AE213" si="2071">AE199+AE201</f>
        <v>465.1521613009445</v>
      </c>
      <c r="AI213" s="22">
        <f t="shared" ref="AI213" si="2072">AI199+AI201</f>
        <v>1.675000000000006</v>
      </c>
      <c r="AJ213" s="22">
        <f t="shared" ref="AJ213:AL213" si="2073">AJ199+AJ201</f>
        <v>-369.88399999999996</v>
      </c>
      <c r="AK213" s="22" t="e">
        <f t="shared" si="2073"/>
        <v>#DIV/0!</v>
      </c>
      <c r="AL213" s="22" t="e">
        <f t="shared" si="2073"/>
        <v>#DIV/0!</v>
      </c>
      <c r="AM213" s="22" t="e">
        <f t="shared" ref="AM213" si="2074">AM199+AM201</f>
        <v>#DIV/0!</v>
      </c>
      <c r="AN213" s="22" t="e">
        <f t="shared" ref="AN213:CD213" si="2075">AN199+AN201</f>
        <v>#DIV/0!</v>
      </c>
      <c r="AO213" s="22" t="e">
        <f t="shared" si="2075"/>
        <v>#DIV/0!</v>
      </c>
      <c r="AP213" s="22" t="e">
        <f t="shared" si="2075"/>
        <v>#DIV/0!</v>
      </c>
      <c r="AQ213" s="22" t="e">
        <f t="shared" si="2075"/>
        <v>#DIV/0!</v>
      </c>
      <c r="AR213" s="22" t="e">
        <f t="shared" si="2075"/>
        <v>#DIV/0!</v>
      </c>
      <c r="AS213" s="22" t="e">
        <f t="shared" si="2075"/>
        <v>#DIV/0!</v>
      </c>
      <c r="AT213" s="22" t="e">
        <f t="shared" si="2075"/>
        <v>#DIV/0!</v>
      </c>
      <c r="AU213" s="22">
        <f t="shared" si="2075"/>
        <v>-17.172999999999995</v>
      </c>
      <c r="AV213" s="22">
        <f t="shared" si="2075"/>
        <v>7.7530000000000365</v>
      </c>
      <c r="AW213" s="22">
        <f t="shared" si="2075"/>
        <v>1.4748303762192456</v>
      </c>
      <c r="AX213" s="22">
        <f t="shared" si="2075"/>
        <v>-14.61283037621925</v>
      </c>
      <c r="AY213" s="22">
        <f t="shared" si="2075"/>
        <v>6.206000000000004</v>
      </c>
      <c r="AZ213" s="22">
        <f t="shared" si="2075"/>
        <v>7.0680000000000103</v>
      </c>
      <c r="BA213" s="22">
        <f t="shared" si="2075"/>
        <v>1.3604994216309922</v>
      </c>
      <c r="BB213" s="22">
        <f t="shared" si="2075"/>
        <v>-34.768499421631013</v>
      </c>
      <c r="BC213" s="22">
        <f t="shared" si="2075"/>
        <v>8.5180000000000131</v>
      </c>
      <c r="BD213" s="22">
        <f t="shared" si="2075"/>
        <v>24.893999999999988</v>
      </c>
      <c r="BE213" s="22">
        <f t="shared" si="2075"/>
        <v>6.6607679079347619</v>
      </c>
      <c r="BF213" s="22">
        <f t="shared" si="2075"/>
        <v>21.555232092065239</v>
      </c>
      <c r="BG213" s="22">
        <f t="shared" si="2075"/>
        <v>9.5870000000000122</v>
      </c>
      <c r="BH213" s="22">
        <f t="shared" si="2075"/>
        <v>0.69300000000001027</v>
      </c>
      <c r="BI213" s="22" t="e">
        <f t="shared" si="2075"/>
        <v>#DIV/0!</v>
      </c>
      <c r="BJ213" s="22" t="e">
        <f t="shared" si="2075"/>
        <v>#DIV/0!</v>
      </c>
      <c r="BK213" s="22">
        <f t="shared" si="2075"/>
        <v>-0.56400000000000006</v>
      </c>
      <c r="BL213" s="22">
        <f t="shared" si="2075"/>
        <v>-0.33499999999997998</v>
      </c>
      <c r="BM213" s="22" t="e">
        <f t="shared" si="2075"/>
        <v>#DIV/0!</v>
      </c>
      <c r="BN213" s="22" t="e">
        <f t="shared" si="2075"/>
        <v>#DIV/0!</v>
      </c>
      <c r="BO213" s="22">
        <f t="shared" si="2075"/>
        <v>0.29500000000000831</v>
      </c>
      <c r="BP213" s="22">
        <f t="shared" si="2075"/>
        <v>-16.507000000000016</v>
      </c>
      <c r="BQ213" s="22" t="e">
        <f t="shared" si="2075"/>
        <v>#DIV/0!</v>
      </c>
      <c r="BR213" s="22" t="e">
        <f t="shared" si="2075"/>
        <v>#DIV/0!</v>
      </c>
      <c r="BS213" s="22">
        <f t="shared" si="2075"/>
        <v>-0.84400000000000053</v>
      </c>
      <c r="BT213" s="22">
        <f t="shared" si="2075"/>
        <v>-355.209</v>
      </c>
      <c r="BU213" s="22">
        <f t="shared" si="2075"/>
        <v>-30.487272912423656</v>
      </c>
      <c r="BV213" s="22">
        <f t="shared" si="2075"/>
        <v>71.507272912423673</v>
      </c>
      <c r="BW213" s="22">
        <f t="shared" si="2075"/>
        <v>-82.753125912881387</v>
      </c>
      <c r="BX213" s="22">
        <f t="shared" si="2075"/>
        <v>230.04012591288142</v>
      </c>
      <c r="BY213" s="22">
        <f t="shared" si="2075"/>
        <v>-77.366984787018339</v>
      </c>
      <c r="BZ213" s="22">
        <f t="shared" si="2075"/>
        <v>-357.4830152129818</v>
      </c>
      <c r="CA213" s="22">
        <f t="shared" si="2075"/>
        <v>59.042235850111133</v>
      </c>
      <c r="CB213" s="22">
        <f t="shared" si="2075"/>
        <v>-435.12623585011107</v>
      </c>
      <c r="CC213" s="22">
        <f t="shared" si="2075"/>
        <v>-176.48052968122138</v>
      </c>
      <c r="CD213" s="22">
        <f t="shared" si="2075"/>
        <v>-52.117470318778537</v>
      </c>
      <c r="CE213" s="22">
        <f t="shared" ref="CE213:CF213" si="2076">CE199+CE201</f>
        <v>16.95959540548154</v>
      </c>
      <c r="CF213" s="22">
        <f t="shared" si="2076"/>
        <v>-1013.2995954054812</v>
      </c>
      <c r="CG213" s="22">
        <f t="shared" ref="CG213:CH213" si="2077">CG199+CG201</f>
        <v>66.207286084881105</v>
      </c>
      <c r="CH213" s="22">
        <f t="shared" si="2077"/>
        <v>-670.72228608488172</v>
      </c>
      <c r="CI213" s="22">
        <f t="shared" ref="CI213:CJ213" si="2078">CI199+CI201</f>
        <v>558.12367489577377</v>
      </c>
      <c r="CJ213" s="22">
        <f t="shared" si="2078"/>
        <v>-1072.9236748957737</v>
      </c>
      <c r="CK213" s="21">
        <f t="shared" ref="CK213:DB213" si="2079">CK199+CK201</f>
        <v>410.36172737781925</v>
      </c>
      <c r="CL213" s="22">
        <f t="shared" si="2079"/>
        <v>-1296.251727377819</v>
      </c>
      <c r="CM213" s="21">
        <f t="shared" si="2079"/>
        <v>802.20732493424771</v>
      </c>
      <c r="CN213" s="21">
        <f t="shared" si="2079"/>
        <v>-89.903072284528406</v>
      </c>
      <c r="CO213" s="21">
        <f t="shared" si="2079"/>
        <v>375.7772054667015</v>
      </c>
      <c r="CP213" s="21">
        <f t="shared" si="2079"/>
        <v>-1036.2612003236272</v>
      </c>
      <c r="CQ213" s="21">
        <f t="shared" si="2079"/>
        <v>1050.6196208850265</v>
      </c>
      <c r="CR213" s="21">
        <f t="shared" si="2079"/>
        <v>-109.85248391265196</v>
      </c>
      <c r="CS213" s="21">
        <f t="shared" si="2079"/>
        <v>463.01259738990007</v>
      </c>
      <c r="CT213" s="21">
        <f t="shared" si="2079"/>
        <v>-1244.6136240933813</v>
      </c>
      <c r="CU213" s="21">
        <f t="shared" si="2079"/>
        <v>1300.4582624520694</v>
      </c>
      <c r="CV213" s="21">
        <f t="shared" si="2079"/>
        <v>-118.04101988940127</v>
      </c>
      <c r="CW213" s="21">
        <f t="shared" si="2079"/>
        <v>580.91772053057025</v>
      </c>
      <c r="CX213" s="21">
        <f t="shared" si="2079"/>
        <v>-1483.4865569467211</v>
      </c>
      <c r="CY213" s="21">
        <f t="shared" si="2079"/>
        <v>1602.3574265942427</v>
      </c>
      <c r="CZ213" s="21">
        <f t="shared" si="2079"/>
        <v>-114.43091718629967</v>
      </c>
      <c r="DA213" s="21">
        <f t="shared" si="2079"/>
        <v>736.35371826043036</v>
      </c>
      <c r="DB213" s="21">
        <f t="shared" si="2079"/>
        <v>-1759.1280663674283</v>
      </c>
      <c r="DE213" s="126"/>
      <c r="DF213" s="22">
        <v>-1089.3581511864004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80.784000000000006</v>
      </c>
      <c r="AM225" s="66">
        <f t="shared" si="2080"/>
        <v>0</v>
      </c>
      <c r="AN225" s="66">
        <f t="shared" si="2080"/>
        <v>0</v>
      </c>
      <c r="AO225" s="66">
        <f t="shared" si="2080"/>
        <v>0</v>
      </c>
      <c r="AP225" s="66">
        <f t="shared" si="2080"/>
        <v>0</v>
      </c>
      <c r="AQ225" s="66">
        <f t="shared" si="2080"/>
        <v>0</v>
      </c>
      <c r="AR225" s="66">
        <f t="shared" si="2080"/>
        <v>0</v>
      </c>
      <c r="AS225" s="66">
        <f t="shared" si="2080"/>
        <v>118.465</v>
      </c>
      <c r="AT225" s="66">
        <f t="shared" si="2080"/>
        <v>293.58600000000001</v>
      </c>
      <c r="AU225" s="66">
        <f t="shared" si="2080"/>
        <v>293.58600000000001</v>
      </c>
      <c r="AV225" s="66">
        <f t="shared" si="2080"/>
        <v>304.351</v>
      </c>
      <c r="AW225" s="66">
        <f t="shared" si="2080"/>
        <v>198.72300000000001</v>
      </c>
      <c r="AX225" s="66">
        <f t="shared" si="2080"/>
        <v>131.953</v>
      </c>
      <c r="AY225" s="66">
        <f t="shared" si="2080"/>
        <v>131.953</v>
      </c>
      <c r="AZ225" s="66">
        <f t="shared" si="2080"/>
        <v>131.56200000000001</v>
      </c>
      <c r="BA225" s="66">
        <f t="shared" si="2080"/>
        <v>139.80599999999998</v>
      </c>
      <c r="BB225" s="66">
        <f t="shared" si="2080"/>
        <v>47.350999999999999</v>
      </c>
      <c r="BC225" s="66">
        <f t="shared" si="2080"/>
        <v>47.350999999999999</v>
      </c>
      <c r="BD225" s="66">
        <f t="shared" si="2080"/>
        <v>67.564000000000007</v>
      </c>
      <c r="BE225" s="66">
        <f t="shared" si="2080"/>
        <v>155.87900000000002</v>
      </c>
      <c r="BF225" s="66">
        <f t="shared" si="2080"/>
        <v>242.76600000000002</v>
      </c>
      <c r="BG225" s="66">
        <f t="shared" si="2080"/>
        <v>242.76600000000002</v>
      </c>
      <c r="BH225" s="66">
        <f t="shared" si="2080"/>
        <v>212.179</v>
      </c>
      <c r="BI225" s="66">
        <f t="shared" si="2080"/>
        <v>114.89</v>
      </c>
      <c r="BJ225" s="66">
        <f t="shared" si="2080"/>
        <v>14.578999999999999</v>
      </c>
      <c r="BK225" s="66">
        <f t="shared" si="2080"/>
        <v>14.578999999999999</v>
      </c>
      <c r="BL225" s="66">
        <f t="shared" si="2080"/>
        <v>14.578999999999999</v>
      </c>
      <c r="BM225" s="66">
        <f t="shared" si="2080"/>
        <v>2.472</v>
      </c>
      <c r="BN225" s="66">
        <f t="shared" si="2080"/>
        <v>0.56899999999999995</v>
      </c>
      <c r="BO225" s="66">
        <f t="shared" si="2080"/>
        <v>0.56899999999999995</v>
      </c>
      <c r="BP225" s="66">
        <f t="shared" si="2080"/>
        <v>0.56899999999999995</v>
      </c>
      <c r="BQ225" s="66">
        <f t="shared" si="2080"/>
        <v>0.56899999999999995</v>
      </c>
      <c r="BR225" s="66">
        <f t="shared" ref="BR225:CW225" si="2081">SUM(BO10:BR10)</f>
        <v>0.80500000000000005</v>
      </c>
      <c r="BS225" s="66">
        <f t="shared" si="2081"/>
        <v>2.6720000000000002</v>
      </c>
      <c r="BT225" s="66">
        <f t="shared" si="2081"/>
        <v>10.037000000000001</v>
      </c>
      <c r="BU225" s="66">
        <f t="shared" si="2081"/>
        <v>29.322000000000003</v>
      </c>
      <c r="BV225" s="66">
        <f t="shared" si="2081"/>
        <v>47.823999999999998</v>
      </c>
      <c r="BW225" s="66">
        <f t="shared" si="2081"/>
        <v>96.727999999999994</v>
      </c>
      <c r="BX225" s="66">
        <f t="shared" si="2081"/>
        <v>118.943</v>
      </c>
      <c r="BY225" s="66">
        <f t="shared" si="2081"/>
        <v>158.06700000000001</v>
      </c>
      <c r="BZ225" s="66">
        <f t="shared" si="2081"/>
        <v>380.29899999999998</v>
      </c>
      <c r="CA225" s="66">
        <f t="shared" si="2081"/>
        <v>480.78500000000003</v>
      </c>
      <c r="CB225" s="66">
        <f t="shared" si="2081"/>
        <v>600.52499999999998</v>
      </c>
      <c r="CC225" s="66">
        <f t="shared" si="2081"/>
        <v>866.274</v>
      </c>
      <c r="CD225" s="66">
        <f t="shared" si="2081"/>
        <v>958.43700000000001</v>
      </c>
      <c r="CE225" s="66">
        <f t="shared" si="2081"/>
        <v>1130.3600000000001</v>
      </c>
      <c r="CF225" s="66">
        <f t="shared" si="2081"/>
        <v>1366.52</v>
      </c>
      <c r="CG225" s="66">
        <f t="shared" si="2081"/>
        <v>1332.662</v>
      </c>
      <c r="CH225" s="66">
        <f t="shared" si="2081"/>
        <v>1488.28</v>
      </c>
      <c r="CI225" s="66">
        <f t="shared" si="2081"/>
        <v>1496</v>
      </c>
      <c r="CJ225" s="66">
        <f t="shared" si="2081"/>
        <v>1517.09</v>
      </c>
      <c r="CK225" s="50">
        <f t="shared" si="2081"/>
        <v>1525.97</v>
      </c>
      <c r="CL225" s="66">
        <f t="shared" si="2081"/>
        <v>1756.29</v>
      </c>
      <c r="CM225" s="50">
        <f t="shared" si="2081"/>
        <v>1804.2607133539886</v>
      </c>
      <c r="CN225" s="50">
        <f t="shared" si="2081"/>
        <v>1875.5084979501457</v>
      </c>
      <c r="CO225" s="50">
        <f t="shared" si="2081"/>
        <v>1936.9521880776715</v>
      </c>
      <c r="CP225" s="50">
        <f t="shared" si="2081"/>
        <v>2116.1927842744462</v>
      </c>
      <c r="CQ225" s="50">
        <f t="shared" si="2081"/>
        <v>2189.5663085845849</v>
      </c>
      <c r="CR225" s="50">
        <f t="shared" si="2081"/>
        <v>2287.9189287224885</v>
      </c>
      <c r="CS225" s="50">
        <f t="shared" si="2081"/>
        <v>2364.9070649744554</v>
      </c>
      <c r="CT225" s="50">
        <f t="shared" si="2081"/>
        <v>2558.6285798580407</v>
      </c>
      <c r="CU225" s="50">
        <f t="shared" si="2081"/>
        <v>2652.2997912886062</v>
      </c>
      <c r="CV225" s="50">
        <f t="shared" si="2081"/>
        <v>2773.5782763823836</v>
      </c>
      <c r="CW225" s="50">
        <f t="shared" si="2081"/>
        <v>2866.200589874396</v>
      </c>
      <c r="CX225" s="50">
        <f t="shared" ref="CX225:DB225" si="2082">SUM(CU10:CX10)</f>
        <v>3096.953827160045</v>
      </c>
      <c r="CY225" s="50">
        <f t="shared" si="2082"/>
        <v>3211.6596721393453</v>
      </c>
      <c r="CZ225" s="50">
        <f t="shared" si="2082"/>
        <v>3358.7267511200098</v>
      </c>
      <c r="DA225" s="50">
        <f t="shared" si="2082"/>
        <v>3470.5837385671957</v>
      </c>
      <c r="DB225" s="50">
        <f t="shared" si="2082"/>
        <v>3749.5254009977161</v>
      </c>
      <c r="DE225" s="138"/>
      <c r="DF225" s="66">
        <v>1596.3771045500466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0.31500000000000705</v>
      </c>
      <c r="AM226" s="66">
        <f t="shared" si="2083"/>
        <v>-12.111000000000001</v>
      </c>
      <c r="AN226" s="66">
        <f t="shared" si="2083"/>
        <v>-12.311000000000002</v>
      </c>
      <c r="AO226" s="66">
        <f t="shared" si="2083"/>
        <v>-12.562000000000001</v>
      </c>
      <c r="AP226" s="66">
        <f t="shared" si="2083"/>
        <v>-12.198</v>
      </c>
      <c r="AQ226" s="66">
        <f t="shared" si="2083"/>
        <v>-1.609</v>
      </c>
      <c r="AR226" s="66">
        <f t="shared" si="2083"/>
        <v>-1.56</v>
      </c>
      <c r="AS226" s="66">
        <f t="shared" si="2083"/>
        <v>0.14300000000000701</v>
      </c>
      <c r="AT226" s="66">
        <f t="shared" si="2083"/>
        <v>0.59700000000002462</v>
      </c>
      <c r="AU226" s="66">
        <f t="shared" si="2083"/>
        <v>0.48000000000002452</v>
      </c>
      <c r="AV226" s="66">
        <f t="shared" si="2083"/>
        <v>0.31300000000002537</v>
      </c>
      <c r="AW226" s="66">
        <f t="shared" si="2083"/>
        <v>-1.3359999999999812</v>
      </c>
      <c r="AX226" s="66">
        <f t="shared" si="2083"/>
        <v>-5.0309999999999988</v>
      </c>
      <c r="AY226" s="66">
        <f t="shared" si="2083"/>
        <v>-4.783999999999998</v>
      </c>
      <c r="AZ226" s="66">
        <f t="shared" si="2083"/>
        <v>-4.4529999999999985</v>
      </c>
      <c r="BA226" s="66">
        <f t="shared" si="2083"/>
        <v>-5.1070000000000011</v>
      </c>
      <c r="BB226" s="66">
        <f t="shared" si="2083"/>
        <v>-1.9740000000000015</v>
      </c>
      <c r="BC226" s="66">
        <f t="shared" si="2083"/>
        <v>-2.1220000000000012</v>
      </c>
      <c r="BD226" s="66">
        <f t="shared" si="2083"/>
        <v>-1.8860000000000015</v>
      </c>
      <c r="BE226" s="66">
        <f t="shared" si="2083"/>
        <v>-0.45799999999999746</v>
      </c>
      <c r="BF226" s="66">
        <f t="shared" si="2083"/>
        <v>-5.9439999999999902</v>
      </c>
      <c r="BG226" s="66">
        <f t="shared" si="2083"/>
        <v>-5.9609999999999896</v>
      </c>
      <c r="BH226" s="66">
        <f t="shared" si="2083"/>
        <v>-9.3269999999999911</v>
      </c>
      <c r="BI226" s="66">
        <f t="shared" si="2083"/>
        <v>-10.912999999999993</v>
      </c>
      <c r="BJ226" s="66">
        <f t="shared" si="2083"/>
        <v>-8.0380000000000003</v>
      </c>
      <c r="BK226" s="66">
        <f t="shared" si="2083"/>
        <v>-8.0389999999999997</v>
      </c>
      <c r="BL226" s="66">
        <f t="shared" si="2083"/>
        <v>-5.0930000000000017</v>
      </c>
      <c r="BM226" s="66">
        <f t="shared" si="2083"/>
        <v>-4.165</v>
      </c>
      <c r="BN226" s="66">
        <f t="shared" si="2083"/>
        <v>-1.7720000000000002</v>
      </c>
      <c r="BO226" s="66">
        <f t="shared" si="2083"/>
        <v>-1.627</v>
      </c>
      <c r="BP226" s="66">
        <f t="shared" si="2083"/>
        <v>-1.5010000000000001</v>
      </c>
      <c r="BQ226" s="66">
        <f t="shared" si="2083"/>
        <v>-1.383</v>
      </c>
      <c r="BR226" s="66">
        <f t="shared" ref="BR226:CW226" si="2084">SUM(BO28:BR28)</f>
        <v>-1.3759999999999999</v>
      </c>
      <c r="BS226" s="66">
        <f t="shared" si="2084"/>
        <v>-3.6360000000000001</v>
      </c>
      <c r="BT226" s="66">
        <f t="shared" si="2084"/>
        <v>-2.9929999999999994</v>
      </c>
      <c r="BU226" s="66">
        <f t="shared" si="2084"/>
        <v>-0.21699999999999964</v>
      </c>
      <c r="BV226" s="66">
        <f t="shared" si="2084"/>
        <v>4.0260000000000007</v>
      </c>
      <c r="BW226" s="66">
        <f t="shared" si="2084"/>
        <v>12.705000000000005</v>
      </c>
      <c r="BX226" s="66">
        <f t="shared" si="2084"/>
        <v>18.624000000000002</v>
      </c>
      <c r="BY226" s="66">
        <f t="shared" si="2084"/>
        <v>35.591999999999985</v>
      </c>
      <c r="BZ226" s="66">
        <f t="shared" si="2084"/>
        <v>50.24799999999999</v>
      </c>
      <c r="CA226" s="66">
        <f t="shared" si="2084"/>
        <v>55.555</v>
      </c>
      <c r="CB226" s="66">
        <f t="shared" si="2084"/>
        <v>74.112000000000009</v>
      </c>
      <c r="CC226" s="66">
        <f t="shared" si="2084"/>
        <v>92.268000000000058</v>
      </c>
      <c r="CD226" s="66">
        <f t="shared" si="2084"/>
        <v>89.11000000000007</v>
      </c>
      <c r="CE226" s="66">
        <f t="shared" si="2084"/>
        <v>100.39100000000008</v>
      </c>
      <c r="CF226" s="66">
        <f t="shared" si="2084"/>
        <v>104.70600000000007</v>
      </c>
      <c r="CG226" s="66">
        <f t="shared" si="2084"/>
        <v>108.48500000000001</v>
      </c>
      <c r="CH226" s="66">
        <f t="shared" si="2084"/>
        <v>118.03999999999999</v>
      </c>
      <c r="CI226" s="66">
        <f t="shared" si="2084"/>
        <v>117.73999999999997</v>
      </c>
      <c r="CJ226" s="66">
        <f t="shared" si="2084"/>
        <v>112.28999999999995</v>
      </c>
      <c r="CK226" s="50">
        <f t="shared" si="2084"/>
        <v>95.44999999999996</v>
      </c>
      <c r="CL226" s="66">
        <f t="shared" si="2084"/>
        <v>115.91999999999999</v>
      </c>
      <c r="CM226" s="50">
        <f t="shared" si="2084"/>
        <v>119.1745397633096</v>
      </c>
      <c r="CN226" s="50">
        <f t="shared" si="2084"/>
        <v>127.83352545882515</v>
      </c>
      <c r="CO226" s="50">
        <f t="shared" si="2084"/>
        <v>128.57321869843139</v>
      </c>
      <c r="CP226" s="50">
        <f t="shared" si="2084"/>
        <v>143.645055117673</v>
      </c>
      <c r="CQ226" s="50">
        <f t="shared" si="2084"/>
        <v>148.81246046502258</v>
      </c>
      <c r="CR226" s="50">
        <f t="shared" si="2084"/>
        <v>155.78692165316443</v>
      </c>
      <c r="CS226" s="50">
        <f t="shared" si="2084"/>
        <v>160.44847666104096</v>
      </c>
      <c r="CT226" s="50">
        <f t="shared" si="2084"/>
        <v>174.41312734724136</v>
      </c>
      <c r="CU226" s="50">
        <f t="shared" si="2084"/>
        <v>180.82340536031265</v>
      </c>
      <c r="CV226" s="50">
        <f t="shared" si="2084"/>
        <v>189.06748745266322</v>
      </c>
      <c r="CW226" s="50">
        <f t="shared" si="2084"/>
        <v>195.29746603506217</v>
      </c>
      <c r="CX226" s="50">
        <f t="shared" ref="CX226:DB226" si="2085">SUM(CU28:CX28)</f>
        <v>211.21002885837478</v>
      </c>
      <c r="CY226" s="50">
        <f t="shared" si="2085"/>
        <v>219.02795622177493</v>
      </c>
      <c r="CZ226" s="50">
        <f t="shared" si="2085"/>
        <v>229.04147692623886</v>
      </c>
      <c r="DA226" s="50">
        <f t="shared" si="2085"/>
        <v>236.66072273917138</v>
      </c>
      <c r="DB226" s="50">
        <f t="shared" si="2085"/>
        <v>255.72089077563533</v>
      </c>
      <c r="DE226" s="138"/>
      <c r="DF226" s="66">
        <v>106.86364972748459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1.417000000000006</v>
      </c>
      <c r="AM227" s="66">
        <f t="shared" si="2086"/>
        <v>-11.275</v>
      </c>
      <c r="AN227" s="66">
        <f t="shared" si="2086"/>
        <v>-11.741</v>
      </c>
      <c r="AO227" s="66">
        <f t="shared" si="2086"/>
        <v>-11.637</v>
      </c>
      <c r="AP227" s="66">
        <f t="shared" si="2086"/>
        <v>0.75299999999999834</v>
      </c>
      <c r="AQ227" s="66">
        <f t="shared" si="2086"/>
        <v>11.559999999999999</v>
      </c>
      <c r="AR227" s="66">
        <f t="shared" si="2086"/>
        <v>11.789999999999997</v>
      </c>
      <c r="AS227" s="66">
        <f t="shared" si="2086"/>
        <v>12.908000000000005</v>
      </c>
      <c r="AT227" s="66">
        <f t="shared" si="2086"/>
        <v>0.40800000000002468</v>
      </c>
      <c r="AU227" s="66">
        <f t="shared" si="2086"/>
        <v>0.82600000000002471</v>
      </c>
      <c r="AV227" s="66">
        <f t="shared" si="2086"/>
        <v>0.63600000000002566</v>
      </c>
      <c r="AW227" s="66">
        <f t="shared" si="2086"/>
        <v>-0.77399999999998104</v>
      </c>
      <c r="AX227" s="66">
        <f t="shared" si="2086"/>
        <v>-5.3339999999999979</v>
      </c>
      <c r="AY227" s="66">
        <f t="shared" si="2086"/>
        <v>-5.8189999999999982</v>
      </c>
      <c r="AZ227" s="66">
        <f t="shared" si="2086"/>
        <v>-5.7059999999999986</v>
      </c>
      <c r="BA227" s="66">
        <f t="shared" si="2086"/>
        <v>-8.3280000000000012</v>
      </c>
      <c r="BB227" s="66">
        <f t="shared" si="2086"/>
        <v>-3.6510000000000011</v>
      </c>
      <c r="BC227" s="66">
        <f t="shared" si="2086"/>
        <v>-3.7990000000000013</v>
      </c>
      <c r="BD227" s="66">
        <f t="shared" si="2086"/>
        <v>-3.5630000000000011</v>
      </c>
      <c r="BE227" s="66">
        <f t="shared" si="2086"/>
        <v>-0.16599999999999754</v>
      </c>
      <c r="BF227" s="66">
        <f t="shared" si="2086"/>
        <v>-5.9419999999999904</v>
      </c>
      <c r="BG227" s="66">
        <f t="shared" si="2086"/>
        <v>-5.9589999999999907</v>
      </c>
      <c r="BH227" s="66">
        <f t="shared" si="2086"/>
        <v>-9.323999999999991</v>
      </c>
      <c r="BI227" s="66">
        <f t="shared" si="2086"/>
        <v>-10.908999999999994</v>
      </c>
      <c r="BJ227" s="66">
        <f t="shared" si="2086"/>
        <v>-8.0360000000000014</v>
      </c>
      <c r="BK227" s="66">
        <f t="shared" si="2086"/>
        <v>-8.0359999999999996</v>
      </c>
      <c r="BL227" s="66">
        <f t="shared" si="2086"/>
        <v>-5.0900000000000016</v>
      </c>
      <c r="BM227" s="66">
        <f t="shared" si="2086"/>
        <v>-4.1619999999999999</v>
      </c>
      <c r="BN227" s="66">
        <f t="shared" si="2086"/>
        <v>-0.82800000000000018</v>
      </c>
      <c r="BO227" s="66">
        <f t="shared" si="2086"/>
        <v>-0.68200000000000016</v>
      </c>
      <c r="BP227" s="66">
        <f t="shared" si="2086"/>
        <v>-0.55600000000000005</v>
      </c>
      <c r="BQ227" s="66">
        <f t="shared" si="2086"/>
        <v>0.68700000000000006</v>
      </c>
      <c r="BR227" s="66">
        <f t="shared" ref="BR227:CW227" si="2087">SUM(BO41:BR41)</f>
        <v>-0.23999999999999988</v>
      </c>
      <c r="BS227" s="66">
        <f t="shared" si="2087"/>
        <v>-1.6580000000000004</v>
      </c>
      <c r="BT227" s="66">
        <f t="shared" si="2087"/>
        <v>0.21000000000000019</v>
      </c>
      <c r="BU227" s="66">
        <f t="shared" si="2087"/>
        <v>2.8740000000000006</v>
      </c>
      <c r="BV227" s="66">
        <f t="shared" si="2087"/>
        <v>154.97499999999999</v>
      </c>
      <c r="BW227" s="66">
        <f t="shared" si="2087"/>
        <v>164.30099999999999</v>
      </c>
      <c r="BX227" s="66">
        <f t="shared" si="2087"/>
        <v>178.35399999999998</v>
      </c>
      <c r="BY227" s="66">
        <f t="shared" si="2087"/>
        <v>188.90399999999997</v>
      </c>
      <c r="BZ227" s="66">
        <f t="shared" si="2087"/>
        <v>47.528999999999996</v>
      </c>
      <c r="CA227" s="66">
        <f t="shared" si="2087"/>
        <v>55.102999999999994</v>
      </c>
      <c r="CB227" s="66">
        <f t="shared" si="2087"/>
        <v>71.037000000000006</v>
      </c>
      <c r="CC227" s="66">
        <f t="shared" si="2087"/>
        <v>132.27500000000009</v>
      </c>
      <c r="CD227" s="66">
        <f t="shared" si="2087"/>
        <v>174.79900000000009</v>
      </c>
      <c r="CE227" s="66">
        <f t="shared" si="2087"/>
        <v>176.79300000000009</v>
      </c>
      <c r="CF227" s="66">
        <f t="shared" si="2087"/>
        <v>185.79200000000009</v>
      </c>
      <c r="CG227" s="66">
        <f t="shared" si="2087"/>
        <v>151.834</v>
      </c>
      <c r="CH227" s="66">
        <f t="shared" si="2087"/>
        <v>126.31</v>
      </c>
      <c r="CI227" s="66">
        <f t="shared" si="2087"/>
        <v>344.47</v>
      </c>
      <c r="CJ227" s="66">
        <f t="shared" si="2087"/>
        <v>355.27</v>
      </c>
      <c r="CK227" s="50">
        <f t="shared" si="2087"/>
        <v>342.05000000000007</v>
      </c>
      <c r="CL227" s="66">
        <f t="shared" si="2087"/>
        <v>378.62000000000006</v>
      </c>
      <c r="CM227" s="50">
        <f t="shared" si="2087"/>
        <v>186.86467527895556</v>
      </c>
      <c r="CN227" s="50">
        <f t="shared" si="2087"/>
        <v>283.38054844614527</v>
      </c>
      <c r="CO227" s="50">
        <f t="shared" si="2087"/>
        <v>379.67275457790606</v>
      </c>
      <c r="CP227" s="50">
        <f t="shared" si="2087"/>
        <v>513.27156839839711</v>
      </c>
      <c r="CQ227" s="50">
        <f t="shared" si="2087"/>
        <v>523.44216569881678</v>
      </c>
      <c r="CR227" s="50">
        <f t="shared" si="2087"/>
        <v>561.55851539394257</v>
      </c>
      <c r="CS227" s="50">
        <f t="shared" si="2087"/>
        <v>601.81718851693847</v>
      </c>
      <c r="CT227" s="50">
        <f t="shared" si="2087"/>
        <v>659.22800105949011</v>
      </c>
      <c r="CU227" s="50">
        <f t="shared" si="2087"/>
        <v>683.729045172631</v>
      </c>
      <c r="CV227" s="50">
        <f t="shared" si="2087"/>
        <v>739.30056648649133</v>
      </c>
      <c r="CW227" s="50">
        <f t="shared" si="2087"/>
        <v>793.46582569198949</v>
      </c>
      <c r="CX227" s="50">
        <f t="shared" ref="CX227:DB227" si="2088">SUM(CU41:CX41)</f>
        <v>868.58863097415053</v>
      </c>
      <c r="CY227" s="50">
        <f t="shared" si="2088"/>
        <v>908.69092529317948</v>
      </c>
      <c r="CZ227" s="50">
        <f t="shared" si="2088"/>
        <v>986.61558982822396</v>
      </c>
      <c r="DA227" s="50">
        <f t="shared" si="2088"/>
        <v>1063.2626813294073</v>
      </c>
      <c r="DB227" s="50">
        <f t="shared" si="2088"/>
        <v>1167.0059832212032</v>
      </c>
      <c r="DE227" s="138"/>
      <c r="DF227" s="66">
        <v>253.43377983031348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0</v>
      </c>
      <c r="G231" s="64">
        <f t="shared" si="2089"/>
        <v>38.068714946</v>
      </c>
      <c r="H231" s="64">
        <f t="shared" si="2089"/>
        <v>77.784954361999993</v>
      </c>
      <c r="I231" s="64">
        <f t="shared" si="2089"/>
        <v>258.92859601999999</v>
      </c>
      <c r="J231" s="64">
        <f t="shared" si="2089"/>
        <v>307.43178460000001</v>
      </c>
      <c r="K231" s="64">
        <f t="shared" si="2089"/>
        <v>352.45209999999997</v>
      </c>
      <c r="L231" s="64">
        <f t="shared" si="2089"/>
        <v>699.32500000000005</v>
      </c>
      <c r="M231" s="64">
        <f t="shared" si="2089"/>
        <v>993.02760000000001</v>
      </c>
      <c r="N231" s="64">
        <f t="shared" si="2089"/>
        <v>80.783799999999999</v>
      </c>
      <c r="O231" s="64">
        <f t="shared" si="2089"/>
        <v>0</v>
      </c>
      <c r="P231" s="64">
        <f t="shared" si="2089"/>
        <v>293.58608779999997</v>
      </c>
      <c r="Q231" s="64">
        <f t="shared" si="2089"/>
        <v>131.95302100000001</v>
      </c>
      <c r="R231" s="64">
        <f t="shared" si="2089"/>
        <v>47.351212799999999</v>
      </c>
      <c r="S231" s="64">
        <f t="shared" si="2089"/>
        <v>242.7654</v>
      </c>
      <c r="T231" s="64">
        <f t="shared" si="2089"/>
        <v>14.578900000000001</v>
      </c>
      <c r="U231" s="64">
        <f t="shared" si="2089"/>
        <v>0.56899999999999995</v>
      </c>
      <c r="V231" s="64">
        <f t="shared" si="2089"/>
        <v>0.80489999999999995</v>
      </c>
      <c r="W231" s="64">
        <f t="shared" si="2089"/>
        <v>47.8247</v>
      </c>
      <c r="X231" s="64">
        <f t="shared" si="2089"/>
        <v>380.29899999999998</v>
      </c>
      <c r="Y231" s="64">
        <f t="shared" si="2089"/>
        <v>958.43740000000003</v>
      </c>
      <c r="Z231" s="64">
        <f t="shared" si="2089"/>
        <v>1488.29</v>
      </c>
      <c r="AA231" s="64">
        <f t="shared" ref="AA231" si="2090">AA8-AA237</f>
        <v>1756.29</v>
      </c>
      <c r="AB231" s="30"/>
      <c r="AC231" s="30"/>
      <c r="AD231" s="30"/>
      <c r="AE231" s="30"/>
      <c r="AI231" s="64">
        <f t="shared" ref="AI231:BN231" si="2091">AI8-AI237</f>
        <v>80.784000000000006</v>
      </c>
      <c r="AJ231" s="64">
        <f t="shared" si="2091"/>
        <v>0</v>
      </c>
      <c r="AK231" s="64">
        <f t="shared" si="2091"/>
        <v>0</v>
      </c>
      <c r="AL231" s="64">
        <f t="shared" si="2091"/>
        <v>0</v>
      </c>
      <c r="AM231" s="64">
        <f t="shared" si="2091"/>
        <v>0</v>
      </c>
      <c r="AN231" s="64">
        <f t="shared" si="2091"/>
        <v>0</v>
      </c>
      <c r="AO231" s="64">
        <f t="shared" si="2091"/>
        <v>0</v>
      </c>
      <c r="AP231" s="64">
        <f t="shared" si="2091"/>
        <v>0</v>
      </c>
      <c r="AQ231" s="64">
        <f t="shared" si="2091"/>
        <v>0</v>
      </c>
      <c r="AR231" s="64">
        <f t="shared" si="2091"/>
        <v>0</v>
      </c>
      <c r="AS231" s="64">
        <f t="shared" si="2091"/>
        <v>118.465</v>
      </c>
      <c r="AT231" s="64">
        <f t="shared" si="2091"/>
        <v>175.12100000000001</v>
      </c>
      <c r="AU231" s="64">
        <f t="shared" si="2091"/>
        <v>0</v>
      </c>
      <c r="AV231" s="64">
        <f t="shared" si="2091"/>
        <v>10.765000000000001</v>
      </c>
      <c r="AW231" s="64">
        <f t="shared" si="2091"/>
        <v>12.837</v>
      </c>
      <c r="AX231" s="64">
        <f t="shared" si="2091"/>
        <v>108.351</v>
      </c>
      <c r="AY231" s="64">
        <f t="shared" si="2091"/>
        <v>0</v>
      </c>
      <c r="AZ231" s="64">
        <f t="shared" si="2091"/>
        <v>10.374000000000001</v>
      </c>
      <c r="BA231" s="64">
        <f t="shared" si="2091"/>
        <v>21.081</v>
      </c>
      <c r="BB231" s="64">
        <f t="shared" si="2091"/>
        <v>15.896000000000001</v>
      </c>
      <c r="BC231" s="64">
        <f t="shared" si="2091"/>
        <v>0</v>
      </c>
      <c r="BD231" s="64">
        <f t="shared" si="2091"/>
        <v>30.587</v>
      </c>
      <c r="BE231" s="64">
        <f t="shared" si="2091"/>
        <v>109.396</v>
      </c>
      <c r="BF231" s="64">
        <f t="shared" si="2091"/>
        <v>102.783</v>
      </c>
      <c r="BG231" s="64">
        <f t="shared" si="2091"/>
        <v>0</v>
      </c>
      <c r="BH231" s="64">
        <f t="shared" si="2091"/>
        <v>0</v>
      </c>
      <c r="BI231" s="64">
        <f t="shared" si="2091"/>
        <v>12.106999999999999</v>
      </c>
      <c r="BJ231" s="64">
        <f t="shared" si="2091"/>
        <v>2.472</v>
      </c>
      <c r="BK231" s="64">
        <f t="shared" si="2091"/>
        <v>0</v>
      </c>
      <c r="BL231" s="64">
        <f t="shared" si="2091"/>
        <v>0</v>
      </c>
      <c r="BM231" s="64">
        <f t="shared" si="2091"/>
        <v>0</v>
      </c>
      <c r="BN231" s="64">
        <f t="shared" si="2091"/>
        <v>0.56899999999999995</v>
      </c>
      <c r="BO231" s="64">
        <f t="shared" ref="BO231:CT231" si="2092">BO8-BO237</f>
        <v>0</v>
      </c>
      <c r="BP231" s="64">
        <f t="shared" si="2092"/>
        <v>0</v>
      </c>
      <c r="BQ231" s="64">
        <f t="shared" si="2092"/>
        <v>0</v>
      </c>
      <c r="BR231" s="64">
        <f t="shared" si="2092"/>
        <v>0.80500000000000005</v>
      </c>
      <c r="BS231" s="64">
        <f t="shared" si="2092"/>
        <v>1.867</v>
      </c>
      <c r="BT231" s="64">
        <f t="shared" si="2092"/>
        <v>7.3650000000000002</v>
      </c>
      <c r="BU231" s="64">
        <f t="shared" si="2092"/>
        <v>19.285</v>
      </c>
      <c r="BV231" s="64">
        <f t="shared" si="2092"/>
        <v>19.306999999999999</v>
      </c>
      <c r="BW231" s="64">
        <f t="shared" si="2092"/>
        <v>50.771000000000001</v>
      </c>
      <c r="BX231" s="64">
        <f t="shared" si="2092"/>
        <v>29.58</v>
      </c>
      <c r="BY231" s="64">
        <f t="shared" si="2092"/>
        <v>58.408999999999999</v>
      </c>
      <c r="BZ231" s="64">
        <f t="shared" si="2092"/>
        <v>241.53899999999999</v>
      </c>
      <c r="CA231" s="64">
        <f t="shared" si="2092"/>
        <v>151.25700000000001</v>
      </c>
      <c r="CB231" s="64">
        <f t="shared" si="2092"/>
        <v>149.32</v>
      </c>
      <c r="CC231" s="64">
        <f t="shared" si="2092"/>
        <v>324.15800000000002</v>
      </c>
      <c r="CD231" s="64">
        <f t="shared" si="2092"/>
        <v>333.702</v>
      </c>
      <c r="CE231" s="64">
        <f t="shared" si="2092"/>
        <v>323.18</v>
      </c>
      <c r="CF231" s="64">
        <f t="shared" si="2092"/>
        <v>385.48</v>
      </c>
      <c r="CG231" s="64">
        <f t="shared" si="2092"/>
        <v>290.3</v>
      </c>
      <c r="CH231" s="64">
        <f t="shared" si="2092"/>
        <v>489.32</v>
      </c>
      <c r="CI231" s="64">
        <f t="shared" si="2092"/>
        <v>330.9</v>
      </c>
      <c r="CJ231" s="64">
        <f t="shared" si="2092"/>
        <v>406.57</v>
      </c>
      <c r="CK231" s="30">
        <f t="shared" si="2092"/>
        <v>299.18</v>
      </c>
      <c r="CL231" s="64">
        <f t="shared" ref="CL231" si="2093">CL8-CL237</f>
        <v>719.64</v>
      </c>
      <c r="CM231" s="30">
        <f t="shared" si="2092"/>
        <v>378.87071335398872</v>
      </c>
      <c r="CN231" s="30">
        <f t="shared" si="2092"/>
        <v>477.81778459615703</v>
      </c>
      <c r="CO231" s="30">
        <f t="shared" si="2092"/>
        <v>360.62369012752578</v>
      </c>
      <c r="CP231" s="30">
        <f t="shared" si="2092"/>
        <v>898.8805961967746</v>
      </c>
      <c r="CQ231" s="30">
        <f t="shared" si="2092"/>
        <v>452.24423766412735</v>
      </c>
      <c r="CR231" s="30">
        <f t="shared" si="2092"/>
        <v>576.17040473406087</v>
      </c>
      <c r="CS231" s="30">
        <f t="shared" si="2092"/>
        <v>437.61182637949219</v>
      </c>
      <c r="CT231" s="30">
        <f t="shared" si="2092"/>
        <v>1092.6021110803601</v>
      </c>
      <c r="CU231" s="30">
        <f t="shared" ref="CU231:DB231" si="2094">CU8-CU237</f>
        <v>545.91544909469303</v>
      </c>
      <c r="CV231" s="30">
        <f t="shared" si="2094"/>
        <v>697.44888982783834</v>
      </c>
      <c r="CW231" s="30">
        <f t="shared" si="2094"/>
        <v>530.23413987150423</v>
      </c>
      <c r="CX231" s="30">
        <f t="shared" si="2094"/>
        <v>1323.3553483660096</v>
      </c>
      <c r="CY231" s="30">
        <f t="shared" si="2094"/>
        <v>660.62129407399345</v>
      </c>
      <c r="CZ231" s="30">
        <f t="shared" si="2094"/>
        <v>844.51596880850252</v>
      </c>
      <c r="DA231" s="30">
        <f t="shared" si="2094"/>
        <v>642.0911273186905</v>
      </c>
      <c r="DB231" s="30">
        <f t="shared" si="2094"/>
        <v>1602.2970107965295</v>
      </c>
      <c r="DE231" s="139"/>
      <c r="DF231" s="64">
        <v>559.72710455004642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-103.45319542099999</v>
      </c>
      <c r="C232" s="64">
        <f t="shared" si="2095"/>
        <v>-0.84010669199999999</v>
      </c>
      <c r="D232" s="64">
        <f t="shared" si="2095"/>
        <v>-0.69402949800000002</v>
      </c>
      <c r="E232" s="64">
        <f t="shared" si="2095"/>
        <v>-20.735023504000001</v>
      </c>
      <c r="F232" s="64">
        <f t="shared" si="2095"/>
        <v>-5.955187274</v>
      </c>
      <c r="G232" s="64">
        <f t="shared" si="2095"/>
        <v>-13.406136710000004</v>
      </c>
      <c r="H232" s="64">
        <f t="shared" si="2095"/>
        <v>0.10786118000000022</v>
      </c>
      <c r="I232" s="64">
        <f t="shared" si="2095"/>
        <v>-0.79652549800003003</v>
      </c>
      <c r="J232" s="64">
        <f t="shared" si="2095"/>
        <v>-3.6546035839999664</v>
      </c>
      <c r="K232" s="64">
        <f t="shared" si="2095"/>
        <v>4.1799999999946991E-2</v>
      </c>
      <c r="L232" s="64">
        <f t="shared" si="2095"/>
        <v>-3.8675999999999497</v>
      </c>
      <c r="M232" s="64">
        <f t="shared" si="2095"/>
        <v>23.424799999999959</v>
      </c>
      <c r="N232" s="64">
        <f t="shared" si="2095"/>
        <v>0.3153999999999928</v>
      </c>
      <c r="O232" s="64">
        <f t="shared" si="2095"/>
        <v>-1.6832937000000001</v>
      </c>
      <c r="P232" s="64">
        <f t="shared" si="2095"/>
        <v>0.59879539999998421</v>
      </c>
      <c r="Q232" s="64">
        <f t="shared" si="2095"/>
        <v>-5.0292054999999811</v>
      </c>
      <c r="R232" s="64">
        <f t="shared" si="2095"/>
        <v>-1.9725336999999992</v>
      </c>
      <c r="S232" s="64">
        <f t="shared" si="2095"/>
        <v>-5.9442999999999895</v>
      </c>
      <c r="T232" s="64">
        <f t="shared" si="2095"/>
        <v>-8.0380000000000003</v>
      </c>
      <c r="U232" s="64">
        <f t="shared" si="2095"/>
        <v>-1.7719999999999998</v>
      </c>
      <c r="V232" s="64">
        <f t="shared" si="2095"/>
        <v>-1.3752</v>
      </c>
      <c r="W232" s="64">
        <f t="shared" si="2095"/>
        <v>4.0277000000000029</v>
      </c>
      <c r="X232" s="64">
        <f t="shared" si="2095"/>
        <v>50.249099999999942</v>
      </c>
      <c r="Y232" s="64">
        <f t="shared" si="2095"/>
        <v>89.114000000000033</v>
      </c>
      <c r="Z232" s="64">
        <f t="shared" si="2095"/>
        <v>118.06</v>
      </c>
      <c r="AA232" s="64">
        <f t="shared" ref="AA232" si="2096">AA28-AA238</f>
        <v>115.92999999999984</v>
      </c>
      <c r="AB232" s="30"/>
      <c r="AC232" s="30"/>
      <c r="AD232" s="30"/>
      <c r="AE232" s="30"/>
      <c r="AI232" s="64">
        <f t="shared" ref="AI232:BN232" si="2097">AI28-AI238</f>
        <v>1.4310000000000069</v>
      </c>
      <c r="AJ232" s="64">
        <f t="shared" si="2097"/>
        <v>-0.22899999999999998</v>
      </c>
      <c r="AK232" s="64">
        <f t="shared" si="2097"/>
        <v>-0.33599999999999997</v>
      </c>
      <c r="AL232" s="64">
        <f t="shared" si="2097"/>
        <v>-0.55100000000000005</v>
      </c>
      <c r="AM232" s="64">
        <f t="shared" si="2097"/>
        <v>-10.995000000000001</v>
      </c>
      <c r="AN232" s="64">
        <f t="shared" si="2097"/>
        <v>-0.42899999999999999</v>
      </c>
      <c r="AO232" s="64">
        <f t="shared" si="2097"/>
        <v>-0.58699999999999997</v>
      </c>
      <c r="AP232" s="64">
        <f t="shared" si="2097"/>
        <v>-0.187</v>
      </c>
      <c r="AQ232" s="64">
        <f t="shared" si="2097"/>
        <v>-0.40600000000000003</v>
      </c>
      <c r="AR232" s="64">
        <f t="shared" si="2097"/>
        <v>-0.38</v>
      </c>
      <c r="AS232" s="64">
        <f t="shared" si="2097"/>
        <v>1.116000000000007</v>
      </c>
      <c r="AT232" s="64">
        <f t="shared" si="2097"/>
        <v>0.26700000000001767</v>
      </c>
      <c r="AU232" s="64">
        <f t="shared" si="2097"/>
        <v>-0.52300000000000002</v>
      </c>
      <c r="AV232" s="64">
        <f t="shared" si="2097"/>
        <v>-0.54699999999999926</v>
      </c>
      <c r="AW232" s="64">
        <f t="shared" si="2097"/>
        <v>-0.53299999999999947</v>
      </c>
      <c r="AX232" s="64">
        <f t="shared" si="2097"/>
        <v>-3.4279999999999995</v>
      </c>
      <c r="AY232" s="64">
        <f t="shared" si="2097"/>
        <v>-0.27600000000000002</v>
      </c>
      <c r="AZ232" s="64">
        <f t="shared" si="2097"/>
        <v>-0.21599999999999941</v>
      </c>
      <c r="BA232" s="64">
        <f t="shared" si="2097"/>
        <v>-1.1870000000000021</v>
      </c>
      <c r="BB232" s="64">
        <f t="shared" si="2097"/>
        <v>-0.29499999999999993</v>
      </c>
      <c r="BC232" s="64">
        <f t="shared" si="2097"/>
        <v>-0.42399999999999999</v>
      </c>
      <c r="BD232" s="64">
        <f t="shared" si="2097"/>
        <v>2.0000000000000462E-2</v>
      </c>
      <c r="BE232" s="64">
        <f t="shared" si="2097"/>
        <v>0.24100000000000193</v>
      </c>
      <c r="BF232" s="64">
        <f t="shared" si="2097"/>
        <v>-5.7809999999999926</v>
      </c>
      <c r="BG232" s="64">
        <f t="shared" si="2097"/>
        <v>-0.44099999999999995</v>
      </c>
      <c r="BH232" s="64">
        <f t="shared" si="2097"/>
        <v>-3.3460000000000001</v>
      </c>
      <c r="BI232" s="64">
        <f t="shared" si="2097"/>
        <v>-1.3450000000000011</v>
      </c>
      <c r="BJ232" s="64">
        <f t="shared" si="2097"/>
        <v>-2.9059999999999997</v>
      </c>
      <c r="BK232" s="64">
        <f t="shared" si="2097"/>
        <v>-0.442</v>
      </c>
      <c r="BL232" s="64">
        <f t="shared" si="2097"/>
        <v>-0.4</v>
      </c>
      <c r="BM232" s="64">
        <f t="shared" si="2097"/>
        <v>-0.41700000000000004</v>
      </c>
      <c r="BN232" s="64">
        <f t="shared" si="2097"/>
        <v>-0.51300000000000001</v>
      </c>
      <c r="BO232" s="64">
        <f t="shared" ref="BO232:CT232" si="2098">BO28-BO238</f>
        <v>-0.29699999999999999</v>
      </c>
      <c r="BP232" s="64">
        <f t="shared" si="2098"/>
        <v>-0.27399999999999997</v>
      </c>
      <c r="BQ232" s="64">
        <f t="shared" si="2098"/>
        <v>-0.29899999999999999</v>
      </c>
      <c r="BR232" s="64">
        <f t="shared" si="2098"/>
        <v>-0.50600000000000001</v>
      </c>
      <c r="BS232" s="64">
        <f t="shared" si="2098"/>
        <v>-2.5570000000000004</v>
      </c>
      <c r="BT232" s="64">
        <f t="shared" si="2098"/>
        <v>0.36900000000000066</v>
      </c>
      <c r="BU232" s="64">
        <f t="shared" si="2098"/>
        <v>2.4770000000000003</v>
      </c>
      <c r="BV232" s="64">
        <f t="shared" si="2098"/>
        <v>3.7370000000000001</v>
      </c>
      <c r="BW232" s="64">
        <f t="shared" si="2098"/>
        <v>6.1220000000000034</v>
      </c>
      <c r="BX232" s="64">
        <f t="shared" si="2098"/>
        <v>6.2879999999999967</v>
      </c>
      <c r="BY232" s="64">
        <f t="shared" si="2098"/>
        <v>19.444999999999986</v>
      </c>
      <c r="BZ232" s="64">
        <f t="shared" si="2098"/>
        <v>18.393000000000004</v>
      </c>
      <c r="CA232" s="64">
        <f t="shared" si="2098"/>
        <v>11.429000000000009</v>
      </c>
      <c r="CB232" s="64">
        <f t="shared" si="2098"/>
        <v>24.845000000000006</v>
      </c>
      <c r="CC232" s="64">
        <f t="shared" si="2098"/>
        <v>37.601000000000049</v>
      </c>
      <c r="CD232" s="64">
        <f t="shared" si="2098"/>
        <v>15.235000000000014</v>
      </c>
      <c r="CE232" s="64">
        <f t="shared" si="2098"/>
        <v>22.710000000000008</v>
      </c>
      <c r="CF232" s="64">
        <f t="shared" si="2098"/>
        <v>29.159999999999997</v>
      </c>
      <c r="CG232" s="64">
        <f t="shared" si="2098"/>
        <v>41.38</v>
      </c>
      <c r="CH232" s="64">
        <f t="shared" si="2098"/>
        <v>24.789999999999992</v>
      </c>
      <c r="CI232" s="64">
        <f t="shared" si="2098"/>
        <v>22.409999999999982</v>
      </c>
      <c r="CJ232" s="64">
        <f t="shared" si="2098"/>
        <v>23.70999999999998</v>
      </c>
      <c r="CK232" s="30">
        <f t="shared" si="2098"/>
        <v>24.540000000000006</v>
      </c>
      <c r="CL232" s="64">
        <f t="shared" ref="CL232" si="2099">CL28-CL238</f>
        <v>45.260000000000019</v>
      </c>
      <c r="CM232" s="30">
        <f t="shared" si="2098"/>
        <v>25.664539763309591</v>
      </c>
      <c r="CN232" s="30">
        <f t="shared" si="2098"/>
        <v>32.368985695515534</v>
      </c>
      <c r="CO232" s="30">
        <f t="shared" si="2098"/>
        <v>25.27969323960626</v>
      </c>
      <c r="CP232" s="30">
        <f t="shared" si="2098"/>
        <v>60.331836419241625</v>
      </c>
      <c r="CQ232" s="30">
        <f t="shared" si="2098"/>
        <v>30.831945110659149</v>
      </c>
      <c r="CR232" s="30">
        <f t="shared" si="2098"/>
        <v>39.343446883657379</v>
      </c>
      <c r="CS232" s="30">
        <f t="shared" si="2098"/>
        <v>29.94124824748279</v>
      </c>
      <c r="CT232" s="30">
        <f t="shared" si="2098"/>
        <v>74.296487105442054</v>
      </c>
      <c r="CU232" s="30">
        <f t="shared" ref="CU232:DB232" si="2100">CU28-CU238</f>
        <v>37.24222312373044</v>
      </c>
      <c r="CV232" s="30">
        <f t="shared" si="2100"/>
        <v>47.587528976007945</v>
      </c>
      <c r="CW232" s="30">
        <f t="shared" si="2100"/>
        <v>36.171226829881732</v>
      </c>
      <c r="CX232" s="30">
        <f t="shared" si="2100"/>
        <v>90.209049928754666</v>
      </c>
      <c r="CY232" s="30">
        <f t="shared" si="2100"/>
        <v>45.060150487130585</v>
      </c>
      <c r="CZ232" s="30">
        <f t="shared" si="2100"/>
        <v>57.601049680471874</v>
      </c>
      <c r="DA232" s="30">
        <f t="shared" si="2100"/>
        <v>43.790472642814251</v>
      </c>
      <c r="DB232" s="30">
        <f t="shared" si="2100"/>
        <v>109.26921796521862</v>
      </c>
      <c r="DE232" s="139"/>
      <c r="DF232" s="64">
        <v>36.203649727484617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 t="e">
        <f t="shared" ref="F233" si="2104">+F232/F231</f>
        <v>#DIV/0!</v>
      </c>
      <c r="G233" s="86">
        <f t="shared" ref="G233" si="2105">+G232/G231</f>
        <v>-0.35215627133767036</v>
      </c>
      <c r="H233" s="86">
        <f t="shared" ref="H233" si="2106">+H232/H231</f>
        <v>1.3866586524950545E-3</v>
      </c>
      <c r="I233" s="86">
        <f t="shared" ref="I233" si="2107">+I232/I231</f>
        <v>-3.0762361139072695E-3</v>
      </c>
      <c r="J233" s="86">
        <f t="shared" ref="J233" si="2108">+J232/J231</f>
        <v>-1.1887526817550688E-2</v>
      </c>
      <c r="K233" s="86">
        <f t="shared" ref="K233" si="2109">+K232/K231</f>
        <v>1.1859767610959616E-4</v>
      </c>
      <c r="L233" s="86">
        <f t="shared" ref="L233" si="2110">+L232/L231</f>
        <v>-5.5304758159653231E-3</v>
      </c>
      <c r="M233" s="86">
        <f t="shared" ref="M233" si="2111">+M232/M231</f>
        <v>2.3589273853012703E-2</v>
      </c>
      <c r="N233" s="86">
        <f t="shared" ref="N233" si="2112">+N232/N231</f>
        <v>3.9042481289564591E-3</v>
      </c>
      <c r="O233" s="86" t="e">
        <f t="shared" ref="O233" si="2113">+O232/O231</f>
        <v>#DIV/0!</v>
      </c>
      <c r="P233" s="86">
        <f t="shared" ref="P233" si="2114">+P232/P231</f>
        <v>2.0395905149562209E-3</v>
      </c>
      <c r="Q233" s="86">
        <f t="shared" ref="Q233" si="2115">+Q232/Q231</f>
        <v>-3.8113606356916838E-2</v>
      </c>
      <c r="R233" s="86">
        <f t="shared" ref="R233" si="2116">+R232/R231</f>
        <v>-4.1657511674125465E-2</v>
      </c>
      <c r="S233" s="86">
        <f t="shared" ref="S233" si="2117">+S232/S231</f>
        <v>-2.4485779274970771E-2</v>
      </c>
      <c r="T233" s="86">
        <f t="shared" ref="T233" si="2118">+T232/T231</f>
        <v>-0.55134475166164798</v>
      </c>
      <c r="U233" s="86">
        <f t="shared" ref="U233" si="2119">+U232/U231</f>
        <v>-3.1142355008787344</v>
      </c>
      <c r="V233" s="86">
        <f t="shared" ref="V233" si="2120">+V232/V231</f>
        <v>-1.7085352217666792</v>
      </c>
      <c r="W233" s="86">
        <f t="shared" ref="W233" si="2121">+W232/W231</f>
        <v>8.4217987776191022E-2</v>
      </c>
      <c r="X233" s="86">
        <f t="shared" ref="X233:Y233" si="2122">+X232/X231</f>
        <v>0.13213050783725422</v>
      </c>
      <c r="Y233" s="86">
        <f t="shared" si="2122"/>
        <v>9.2978425090673666E-2</v>
      </c>
      <c r="Z233" s="86">
        <f t="shared" ref="Z233:AA233" si="2123">+Z232/Z231</f>
        <v>7.9325937821257964E-2</v>
      </c>
      <c r="AA233" s="86">
        <f t="shared" si="2123"/>
        <v>6.600846101725788E-2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1.7713903743315593E-2</v>
      </c>
      <c r="AJ233" s="86" t="e">
        <f t="shared" ref="AJ233" si="2125">+AJ232/AJ231</f>
        <v>#DIV/0!</v>
      </c>
      <c r="AK233" s="86" t="e">
        <f t="shared" ref="AK233" si="2126">+AK232/AK231</f>
        <v>#DIV/0!</v>
      </c>
      <c r="AL233" s="86" t="e">
        <f t="shared" ref="AL233" si="2127">+AL232/AL231</f>
        <v>#DIV/0!</v>
      </c>
      <c r="AM233" s="86" t="e">
        <f t="shared" ref="AM233" si="2128">+AM232/AM231</f>
        <v>#DIV/0!</v>
      </c>
      <c r="AN233" s="86" t="e">
        <f t="shared" ref="AN233" si="2129">+AN232/AN231</f>
        <v>#DIV/0!</v>
      </c>
      <c r="AO233" s="86" t="e">
        <f t="shared" ref="AO233" si="2130">+AO232/AO231</f>
        <v>#DIV/0!</v>
      </c>
      <c r="AP233" s="86" t="e">
        <f t="shared" ref="AP233" si="2131">+AP232/AP231</f>
        <v>#DIV/0!</v>
      </c>
      <c r="AQ233" s="86" t="e">
        <f t="shared" ref="AQ233" si="2132">+AQ232/AQ231</f>
        <v>#DIV/0!</v>
      </c>
      <c r="AR233" s="86" t="e">
        <f t="shared" ref="AR233" si="2133">+AR232/AR231</f>
        <v>#DIV/0!</v>
      </c>
      <c r="AS233" s="86">
        <f t="shared" ref="AS233" si="2134">+AS232/AS231</f>
        <v>9.4205039463133161E-3</v>
      </c>
      <c r="AT233" s="86">
        <f t="shared" ref="AT233" si="2135">+AT232/AT231</f>
        <v>1.5246600921649468E-3</v>
      </c>
      <c r="AU233" s="86" t="e">
        <f t="shared" ref="AU233" si="2136">+AU232/AU231</f>
        <v>#DIV/0!</v>
      </c>
      <c r="AV233" s="86">
        <f t="shared" ref="AV233" si="2137">+AV232/AV231</f>
        <v>-5.0812819321876382E-2</v>
      </c>
      <c r="AW233" s="86">
        <f t="shared" ref="AW233" si="2138">+AW232/AW231</f>
        <v>-4.1520604502609602E-2</v>
      </c>
      <c r="AX233" s="86">
        <f t="shared" ref="AX233" si="2139">+AX232/AX231</f>
        <v>-3.1637917508837016E-2</v>
      </c>
      <c r="AY233" s="86" t="e">
        <f t="shared" ref="AY233" si="2140">+AY232/AY231</f>
        <v>#DIV/0!</v>
      </c>
      <c r="AZ233" s="86">
        <f t="shared" ref="AZ233" si="2141">+AZ232/AZ231</f>
        <v>-2.0821283979178658E-2</v>
      </c>
      <c r="BA233" s="86">
        <f t="shared" ref="BA233" si="2142">+BA232/BA231</f>
        <v>-5.6306626820359668E-2</v>
      </c>
      <c r="BB233" s="86">
        <f t="shared" ref="BB233" si="2143">+BB232/BB231</f>
        <v>-1.8558127830900849E-2</v>
      </c>
      <c r="BC233" s="86" t="e">
        <f t="shared" ref="BC233" si="2144">+BC232/BC231</f>
        <v>#DIV/0!</v>
      </c>
      <c r="BD233" s="86">
        <f t="shared" ref="BD233" si="2145">+BD232/BD231</f>
        <v>6.538725602380247E-4</v>
      </c>
      <c r="BE233" s="86">
        <f t="shared" ref="BE233" si="2146">+BE232/BE231</f>
        <v>2.2030055943544733E-3</v>
      </c>
      <c r="BF233" s="86">
        <f t="shared" ref="BF233" si="2147">+BF232/BF231</f>
        <v>-5.6244709728262385E-2</v>
      </c>
      <c r="BG233" s="86" t="e">
        <f t="shared" ref="BG233" si="2148">+BG232/BG231</f>
        <v>#DIV/0!</v>
      </c>
      <c r="BH233" s="86" t="e">
        <f t="shared" ref="BH233" si="2149">+BH232/BH231</f>
        <v>#DIV/0!</v>
      </c>
      <c r="BI233" s="86">
        <f t="shared" ref="BI233" si="2150">+BI232/BI231</f>
        <v>-0.11109275625671108</v>
      </c>
      <c r="BJ233" s="86">
        <f t="shared" ref="BJ233" si="2151">+BJ232/BJ231</f>
        <v>-1.1755663430420711</v>
      </c>
      <c r="BK233" s="86" t="e">
        <f t="shared" ref="BK233" si="2152">+BK232/BK231</f>
        <v>#DIV/0!</v>
      </c>
      <c r="BL233" s="86" t="e">
        <f t="shared" ref="BL233" si="2153">+BL232/BL231</f>
        <v>#DIV/0!</v>
      </c>
      <c r="BM233" s="86" t="e">
        <f t="shared" ref="BM233" si="2154">+BM232/BM231</f>
        <v>#DIV/0!</v>
      </c>
      <c r="BN233" s="86">
        <f t="shared" ref="BN233" si="2155">+BN232/BN231</f>
        <v>-0.90158172231985945</v>
      </c>
      <c r="BO233" s="86" t="e">
        <f t="shared" ref="BO233" si="2156">+BO232/BO231</f>
        <v>#DIV/0!</v>
      </c>
      <c r="BP233" s="86" t="e">
        <f t="shared" ref="BP233" si="2157">+BP232/BP231</f>
        <v>#DIV/0!</v>
      </c>
      <c r="BQ233" s="86" t="e">
        <f t="shared" ref="BQ233" si="2158">+BQ232/BQ231</f>
        <v>#DIV/0!</v>
      </c>
      <c r="BR233" s="86">
        <f t="shared" ref="BR233" si="2159">+BR232/BR231</f>
        <v>-0.62857142857142856</v>
      </c>
      <c r="BS233" s="86">
        <f t="shared" ref="BS233" si="2160">+BS232/BS231</f>
        <v>-1.3695768612747725</v>
      </c>
      <c r="BT233" s="86">
        <f t="shared" ref="BT233" si="2161">+BT232/BT231</f>
        <v>5.0101832993890108E-2</v>
      </c>
      <c r="BU233" s="86">
        <f t="shared" ref="BU233" si="2162">+BU232/BU231</f>
        <v>0.12844179414052373</v>
      </c>
      <c r="BV233" s="86">
        <f t="shared" ref="BV233" si="2163">+BV232/BV231</f>
        <v>0.19355674107836537</v>
      </c>
      <c r="BW233" s="86">
        <f t="shared" ref="BW233" si="2164">+BW232/BW231</f>
        <v>0.12058064643201834</v>
      </c>
      <c r="BX233" s="86">
        <f t="shared" ref="BX233" si="2165">+BX232/BX231</f>
        <v>0.21257606490872202</v>
      </c>
      <c r="BY233" s="86">
        <f t="shared" ref="BY233" si="2166">+BY232/BY231</f>
        <v>0.33291102398602934</v>
      </c>
      <c r="BZ233" s="86">
        <f t="shared" ref="BZ233" si="2167">+BZ232/BZ231</f>
        <v>7.6149193297976744E-2</v>
      </c>
      <c r="CA233" s="86">
        <f t="shared" ref="CA233" si="2168">+CA232/CA231</f>
        <v>7.5560139365450918E-2</v>
      </c>
      <c r="CB233" s="86">
        <f t="shared" ref="CB233:CC233" si="2169">+CB232/CB231</f>
        <v>0.16638762389499068</v>
      </c>
      <c r="CC233" s="86">
        <f t="shared" si="2169"/>
        <v>0.11599590323237448</v>
      </c>
      <c r="CD233" s="86">
        <f t="shared" ref="CD233" si="2170">+CD232/CD231</f>
        <v>4.5654506116235484E-2</v>
      </c>
      <c r="CE233" s="86">
        <f t="shared" ref="CE233:CF233" si="2171">+CE232/CE231</f>
        <v>7.0270437527074722E-2</v>
      </c>
      <c r="CF233" s="86">
        <f t="shared" si="2171"/>
        <v>7.5645947909100328E-2</v>
      </c>
      <c r="CG233" s="86">
        <f t="shared" ref="CG233:CH233" si="2172">+CG232/CG231</f>
        <v>0.14254219772648985</v>
      </c>
      <c r="CH233" s="86">
        <f t="shared" si="2172"/>
        <v>5.0662143382653464E-2</v>
      </c>
      <c r="CI233" s="86">
        <f t="shared" ref="CI233:CJ233" si="2173">+CI232/CI231</f>
        <v>6.7724388032638208E-2</v>
      </c>
      <c r="CJ233" s="86">
        <f t="shared" si="2173"/>
        <v>5.831714095973628E-2</v>
      </c>
      <c r="CK233" s="47">
        <f t="shared" ref="CK233:DB233" si="2174">+CK232/CK231</f>
        <v>8.2024199478574797E-2</v>
      </c>
      <c r="CL233" s="86">
        <f t="shared" si="2174"/>
        <v>6.2892557389806036E-2</v>
      </c>
      <c r="CM233" s="47">
        <f t="shared" si="2174"/>
        <v>6.773957146518883E-2</v>
      </c>
      <c r="CN233" s="47">
        <f t="shared" si="2174"/>
        <v>6.7743367323326434E-2</v>
      </c>
      <c r="CO233" s="47">
        <f t="shared" si="2174"/>
        <v>7.0099923914224024E-2</v>
      </c>
      <c r="CP233" s="47">
        <f t="shared" si="2174"/>
        <v>6.711885502313629E-2</v>
      </c>
      <c r="CQ233" s="47">
        <f t="shared" si="2174"/>
        <v>6.817542943146887E-2</v>
      </c>
      <c r="CR233" s="47">
        <f t="shared" si="2174"/>
        <v>6.8284393923038922E-2</v>
      </c>
      <c r="CS233" s="47">
        <f t="shared" si="2174"/>
        <v>6.8419650572967075E-2</v>
      </c>
      <c r="CT233" s="47">
        <f t="shared" si="2174"/>
        <v>6.7999582237652845E-2</v>
      </c>
      <c r="CU233" s="47">
        <f t="shared" si="2174"/>
        <v>6.821976404128198E-2</v>
      </c>
      <c r="CV233" s="47">
        <f t="shared" si="2174"/>
        <v>6.8230847693735205E-2</v>
      </c>
      <c r="CW233" s="47">
        <f t="shared" si="2174"/>
        <v>6.8217461136409266E-2</v>
      </c>
      <c r="CX233" s="47">
        <f t="shared" si="2174"/>
        <v>6.8166913777269841E-2</v>
      </c>
      <c r="CY233" s="47">
        <f t="shared" si="2174"/>
        <v>6.8208746662174025E-2</v>
      </c>
      <c r="CZ233" s="47">
        <f t="shared" si="2174"/>
        <v>6.8205992317397074E-2</v>
      </c>
      <c r="DA233" s="47">
        <f t="shared" si="2174"/>
        <v>6.81997784733126E-2</v>
      </c>
      <c r="DB233" s="47">
        <f t="shared" si="2174"/>
        <v>6.8195357807538437E-2</v>
      </c>
      <c r="DE233" s="130"/>
      <c r="DF233" s="89">
        <v>6.4680894373675218E-2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-103.424404661</v>
      </c>
      <c r="C234" s="64">
        <f t="shared" si="2175"/>
        <v>-0.81704929199999998</v>
      </c>
      <c r="D234" s="64">
        <f t="shared" si="2175"/>
        <v>-0.30823507800000005</v>
      </c>
      <c r="E234" s="64">
        <f t="shared" si="2175"/>
        <v>-20.742803404</v>
      </c>
      <c r="F234" s="64">
        <f t="shared" si="2175"/>
        <v>-5.9629671740000001</v>
      </c>
      <c r="G234" s="64">
        <f t="shared" si="2175"/>
        <v>-13.344420510000004</v>
      </c>
      <c r="H234" s="64">
        <f t="shared" si="2175"/>
        <v>8.9023720000002346E-3</v>
      </c>
      <c r="I234" s="64">
        <f t="shared" si="2175"/>
        <v>4.3234092999970011E-2</v>
      </c>
      <c r="J234" s="64">
        <f t="shared" si="2175"/>
        <v>8.1625672000033678E-2</v>
      </c>
      <c r="K234" s="64">
        <f t="shared" si="2175"/>
        <v>1.232799999999947</v>
      </c>
      <c r="L234" s="64">
        <f t="shared" si="2175"/>
        <v>-3.3801999999999492</v>
      </c>
      <c r="M234" s="64">
        <f t="shared" si="2175"/>
        <v>1.1829999999999596</v>
      </c>
      <c r="N234" s="64">
        <f t="shared" si="2175"/>
        <v>1.4171999999999931</v>
      </c>
      <c r="O234" s="64">
        <f t="shared" si="2175"/>
        <v>0.75393039999999978</v>
      </c>
      <c r="P234" s="64">
        <f t="shared" si="2175"/>
        <v>0.40718409999998417</v>
      </c>
      <c r="Q234" s="64">
        <f t="shared" si="2175"/>
        <v>-5.3328577999999816</v>
      </c>
      <c r="R234" s="64">
        <f t="shared" si="2175"/>
        <v>-3.6483838999999993</v>
      </c>
      <c r="S234" s="64">
        <f t="shared" si="2175"/>
        <v>-5.9410999999999889</v>
      </c>
      <c r="T234" s="64">
        <f t="shared" si="2175"/>
        <v>-8.0363000000000007</v>
      </c>
      <c r="U234" s="64">
        <f t="shared" si="2175"/>
        <v>-0.82929999999999982</v>
      </c>
      <c r="V234" s="64">
        <f t="shared" si="2175"/>
        <v>-0.23969999999999983</v>
      </c>
      <c r="W234" s="64">
        <f t="shared" si="2175"/>
        <v>154.97299999999998</v>
      </c>
      <c r="X234" s="64">
        <f t="shared" si="2175"/>
        <v>47.528899999999943</v>
      </c>
      <c r="Y234" s="64">
        <f t="shared" si="2175"/>
        <v>174.79920000000001</v>
      </c>
      <c r="Z234" s="64">
        <f t="shared" si="2175"/>
        <v>126.30999999999997</v>
      </c>
      <c r="AA234" s="64">
        <f t="shared" ref="AA234" si="2176">AA41-AA240</f>
        <v>378.61999999999989</v>
      </c>
      <c r="AB234" s="30"/>
      <c r="AC234" s="30"/>
      <c r="AD234" s="30"/>
      <c r="AE234" s="30"/>
      <c r="AI234" s="64">
        <f t="shared" ref="AI234:BN234" si="2177">AI41-AI240</f>
        <v>1.675000000000006</v>
      </c>
      <c r="AJ234" s="64">
        <f t="shared" si="2177"/>
        <v>9.600000000000003E-2</v>
      </c>
      <c r="AK234" s="64">
        <f t="shared" si="2177"/>
        <v>-0.34699999999999998</v>
      </c>
      <c r="AL234" s="64">
        <f t="shared" si="2177"/>
        <v>-7.0000000000000062E-3</v>
      </c>
      <c r="AM234" s="64">
        <f t="shared" si="2177"/>
        <v>-11.017000000000001</v>
      </c>
      <c r="AN234" s="64">
        <f t="shared" si="2177"/>
        <v>-0.37</v>
      </c>
      <c r="AO234" s="64">
        <f t="shared" si="2177"/>
        <v>-0.24299999999999999</v>
      </c>
      <c r="AP234" s="64">
        <f t="shared" si="2177"/>
        <v>12.382999999999999</v>
      </c>
      <c r="AQ234" s="64">
        <f t="shared" si="2177"/>
        <v>-0.21000000000000002</v>
      </c>
      <c r="AR234" s="64">
        <f t="shared" si="2177"/>
        <v>-0.14000000000000001</v>
      </c>
      <c r="AS234" s="64">
        <f t="shared" si="2177"/>
        <v>0.87500000000000711</v>
      </c>
      <c r="AT234" s="64">
        <f t="shared" si="2177"/>
        <v>-0.11699999999998233</v>
      </c>
      <c r="AU234" s="64">
        <f t="shared" si="2177"/>
        <v>0.20800000000000002</v>
      </c>
      <c r="AV234" s="64">
        <f t="shared" si="2177"/>
        <v>-0.32999999999999924</v>
      </c>
      <c r="AW234" s="64">
        <f t="shared" si="2177"/>
        <v>-0.53499999999999948</v>
      </c>
      <c r="AX234" s="64">
        <f t="shared" si="2177"/>
        <v>-4.6769999999999996</v>
      </c>
      <c r="AY234" s="64">
        <f t="shared" si="2177"/>
        <v>-0.27700000000000002</v>
      </c>
      <c r="AZ234" s="64">
        <f t="shared" si="2177"/>
        <v>-0.21699999999999942</v>
      </c>
      <c r="BA234" s="64">
        <f t="shared" si="2177"/>
        <v>-3.1570000000000018</v>
      </c>
      <c r="BB234" s="64">
        <f t="shared" si="2177"/>
        <v>5.5511151231257827E-17</v>
      </c>
      <c r="BC234" s="64">
        <f t="shared" si="2177"/>
        <v>-0.42499999999999999</v>
      </c>
      <c r="BD234" s="64">
        <f t="shared" si="2177"/>
        <v>1.9000000000000461E-2</v>
      </c>
      <c r="BE234" s="64">
        <f t="shared" si="2177"/>
        <v>0.24000000000000193</v>
      </c>
      <c r="BF234" s="64">
        <f t="shared" si="2177"/>
        <v>-5.7759999999999927</v>
      </c>
      <c r="BG234" s="64">
        <f t="shared" si="2177"/>
        <v>-0.44199999999999995</v>
      </c>
      <c r="BH234" s="64">
        <f t="shared" si="2177"/>
        <v>-3.3460000000000001</v>
      </c>
      <c r="BI234" s="64">
        <f t="shared" si="2177"/>
        <v>-1.3450000000000011</v>
      </c>
      <c r="BJ234" s="64">
        <f t="shared" si="2177"/>
        <v>-2.9029999999999996</v>
      </c>
      <c r="BK234" s="64">
        <f t="shared" si="2177"/>
        <v>-0.442</v>
      </c>
      <c r="BL234" s="64">
        <f t="shared" si="2177"/>
        <v>-0.4</v>
      </c>
      <c r="BM234" s="64">
        <f t="shared" si="2177"/>
        <v>-0.41700000000000004</v>
      </c>
      <c r="BN234" s="64">
        <f t="shared" si="2177"/>
        <v>0.43099999999999994</v>
      </c>
      <c r="BO234" s="64">
        <f t="shared" ref="BO234:CT234" si="2178">BO41-BO240</f>
        <v>-0.29599999999999999</v>
      </c>
      <c r="BP234" s="64">
        <f t="shared" si="2178"/>
        <v>-0.27399999999999997</v>
      </c>
      <c r="BQ234" s="64">
        <f t="shared" si="2178"/>
        <v>0.82600000000000007</v>
      </c>
      <c r="BR234" s="64">
        <f t="shared" si="2178"/>
        <v>-0.496</v>
      </c>
      <c r="BS234" s="64">
        <f t="shared" si="2178"/>
        <v>-1.7140000000000004</v>
      </c>
      <c r="BT234" s="64">
        <f t="shared" si="2178"/>
        <v>1.5940000000000005</v>
      </c>
      <c r="BU234" s="64">
        <f t="shared" si="2178"/>
        <v>3.4900000000000007</v>
      </c>
      <c r="BV234" s="64">
        <f t="shared" si="2178"/>
        <v>151.60499999999999</v>
      </c>
      <c r="BW234" s="64">
        <f t="shared" si="2178"/>
        <v>7.6120000000000037</v>
      </c>
      <c r="BX234" s="64">
        <f t="shared" si="2178"/>
        <v>15.646999999999998</v>
      </c>
      <c r="BY234" s="64">
        <f t="shared" si="2178"/>
        <v>14.039999999999985</v>
      </c>
      <c r="BZ234" s="64">
        <f t="shared" si="2178"/>
        <v>10.230000000000008</v>
      </c>
      <c r="CA234" s="64">
        <f t="shared" si="2178"/>
        <v>15.186000000000011</v>
      </c>
      <c r="CB234" s="64">
        <f t="shared" si="2178"/>
        <v>31.58100000000001</v>
      </c>
      <c r="CC234" s="64">
        <f t="shared" si="2178"/>
        <v>75.278000000000048</v>
      </c>
      <c r="CD234" s="64">
        <f t="shared" si="2178"/>
        <v>52.754000000000012</v>
      </c>
      <c r="CE234" s="64">
        <f t="shared" si="2178"/>
        <v>17.180000000000003</v>
      </c>
      <c r="CF234" s="64">
        <f t="shared" si="2178"/>
        <v>40.58</v>
      </c>
      <c r="CG234" s="64">
        <f t="shared" si="2178"/>
        <v>41.32</v>
      </c>
      <c r="CH234" s="64">
        <f t="shared" si="2178"/>
        <v>27.22999999999999</v>
      </c>
      <c r="CI234" s="64">
        <f t="shared" si="2178"/>
        <v>235.34000000000003</v>
      </c>
      <c r="CJ234" s="64">
        <f t="shared" si="2178"/>
        <v>51.379999999999988</v>
      </c>
      <c r="CK234" s="30">
        <f t="shared" si="2178"/>
        <v>28.1</v>
      </c>
      <c r="CL234" s="64">
        <f t="shared" ref="CL234" si="2179">CL41-CL240</f>
        <v>63.800000000000026</v>
      </c>
      <c r="CM234" s="30">
        <f t="shared" si="2178"/>
        <v>43.58467527895553</v>
      </c>
      <c r="CN234" s="30">
        <f t="shared" si="2178"/>
        <v>147.89587316718971</v>
      </c>
      <c r="CO234" s="30">
        <f t="shared" si="2178"/>
        <v>124.39220613176082</v>
      </c>
      <c r="CP234" s="30">
        <f t="shared" si="2178"/>
        <v>197.39881382049106</v>
      </c>
      <c r="CQ234" s="30">
        <f t="shared" si="2178"/>
        <v>53.755272579375173</v>
      </c>
      <c r="CR234" s="30">
        <f t="shared" si="2178"/>
        <v>186.01222286231558</v>
      </c>
      <c r="CS234" s="30">
        <f t="shared" si="2178"/>
        <v>164.65087925475669</v>
      </c>
      <c r="CT234" s="30">
        <f t="shared" si="2178"/>
        <v>254.80962636304264</v>
      </c>
      <c r="CU234" s="30">
        <f t="shared" ref="CU234:DB234" si="2180">CU41-CU240</f>
        <v>78.256316692516123</v>
      </c>
      <c r="CV234" s="30">
        <f t="shared" si="2180"/>
        <v>241.58374417617597</v>
      </c>
      <c r="CW234" s="30">
        <f t="shared" si="2180"/>
        <v>218.81613846025471</v>
      </c>
      <c r="CX234" s="30">
        <f t="shared" si="2180"/>
        <v>329.93243164520379</v>
      </c>
      <c r="CY234" s="30">
        <f t="shared" si="2180"/>
        <v>118.35861101154501</v>
      </c>
      <c r="CZ234" s="30">
        <f t="shared" si="2180"/>
        <v>319.50840871122045</v>
      </c>
      <c r="DA234" s="30">
        <f t="shared" si="2180"/>
        <v>295.46322996143806</v>
      </c>
      <c r="DB234" s="30">
        <f t="shared" si="2180"/>
        <v>433.67573353699959</v>
      </c>
      <c r="DE234" s="139"/>
      <c r="DF234" s="64">
        <v>-61.386220169686581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</v>
      </c>
      <c r="C244" s="84">
        <f>C8/C165</f>
        <v>0</v>
      </c>
      <c r="D244" s="84">
        <f>D8/D165</f>
        <v>0</v>
      </c>
      <c r="E244" s="84">
        <f t="shared" ref="E244:Y244" si="2235">E10/(E161+E148+E138)</f>
        <v>0</v>
      </c>
      <c r="F244" s="84">
        <f t="shared" si="2235"/>
        <v>0</v>
      </c>
      <c r="G244" s="84">
        <f t="shared" si="2235"/>
        <v>0.13820917866033028</v>
      </c>
      <c r="H244" s="84">
        <f t="shared" si="2235"/>
        <v>0.29042271843386464</v>
      </c>
      <c r="I244" s="84">
        <f t="shared" si="2235"/>
        <v>0.54682831476027083</v>
      </c>
      <c r="J244" s="84">
        <f t="shared" si="2235"/>
        <v>0.38260694516102722</v>
      </c>
      <c r="K244" s="84">
        <f t="shared" si="2235"/>
        <v>0.46030724231567705</v>
      </c>
      <c r="L244" s="84">
        <f t="shared" si="2235"/>
        <v>0.60820029590543556</v>
      </c>
      <c r="M244" s="84">
        <f t="shared" si="2235"/>
        <v>1.4188737541798815</v>
      </c>
      <c r="N244" s="84">
        <f t="shared" si="2235"/>
        <v>0.23141498248427395</v>
      </c>
      <c r="O244" s="84">
        <f t="shared" si="2235"/>
        <v>0</v>
      </c>
      <c r="P244" s="84">
        <f t="shared" si="2235"/>
        <v>1.647777541412395</v>
      </c>
      <c r="Q244" s="84">
        <f t="shared" si="2235"/>
        <v>0.9258576786029753</v>
      </c>
      <c r="R244" s="84">
        <f t="shared" si="2235"/>
        <v>0.3271306664257389</v>
      </c>
      <c r="S244" s="84">
        <f t="shared" si="2235"/>
        <v>1.686292406434942</v>
      </c>
      <c r="T244" s="84">
        <f t="shared" si="2235"/>
        <v>9.7234347790419506E-2</v>
      </c>
      <c r="U244" s="84">
        <f t="shared" si="2235"/>
        <v>3.7911772118645313E-3</v>
      </c>
      <c r="V244" s="84">
        <f t="shared" si="2235"/>
        <v>5.1468110425281722E-3</v>
      </c>
      <c r="W244" s="84">
        <f t="shared" si="2235"/>
        <v>9.5504424283936976E-2</v>
      </c>
      <c r="X244" s="84">
        <f t="shared" si="2235"/>
        <v>0.56474860527666371</v>
      </c>
      <c r="Y244" s="84">
        <f t="shared" si="2235"/>
        <v>0.82114014080838715</v>
      </c>
      <c r="Z244" s="84">
        <f>Z10/(Z161+Z148+Z138)</f>
        <v>0.82940815871600526</v>
      </c>
      <c r="AA244" s="84">
        <f>AA10/(AA161+AA148+AA138)</f>
        <v>0.47170885650976974</v>
      </c>
      <c r="AB244" s="50">
        <f t="shared" ref="AA244:AE244" si="2236">AB10/(AB161+AB148+AB138)</f>
        <v>0.49000938108860065</v>
      </c>
      <c r="AC244" s="50">
        <f t="shared" si="2236"/>
        <v>0.50427512320616563</v>
      </c>
      <c r="AD244" s="50">
        <f t="shared" si="2236"/>
        <v>0.50989144482380921</v>
      </c>
      <c r="AE244" s="50">
        <f t="shared" si="2236"/>
        <v>0.50546264350359082</v>
      </c>
      <c r="AL244" s="84">
        <f>SUM(AI10:AL10)/(AL161+AL148+AL138)</f>
        <v>0.23164867306120696</v>
      </c>
      <c r="AM244" s="84" t="e">
        <f t="shared" ref="AM244:CL244" si="2237">SUM(AJ10:AM10)/(AM161+AM148+AM138)</f>
        <v>#DIV/0!</v>
      </c>
      <c r="AN244" s="84">
        <f t="shared" si="2237"/>
        <v>0</v>
      </c>
      <c r="AO244" s="84" t="e">
        <f t="shared" si="2237"/>
        <v>#DIV/0!</v>
      </c>
      <c r="AP244" s="84">
        <f t="shared" si="2237"/>
        <v>0</v>
      </c>
      <c r="AQ244" s="84" t="e">
        <f t="shared" si="2237"/>
        <v>#DIV/0!</v>
      </c>
      <c r="AR244" s="84">
        <f t="shared" si="2237"/>
        <v>0</v>
      </c>
      <c r="AS244" s="84" t="e">
        <f t="shared" si="2237"/>
        <v>#DIV/0!</v>
      </c>
      <c r="AT244" s="84">
        <f t="shared" si="2237"/>
        <v>1.6477765741899637</v>
      </c>
      <c r="AU244" s="84">
        <f t="shared" si="2237"/>
        <v>1.9000485389767976</v>
      </c>
      <c r="AV244" s="84">
        <f t="shared" si="2237"/>
        <v>1.8125085607770506</v>
      </c>
      <c r="AW244" s="84">
        <f t="shared" si="2237"/>
        <v>1.164576932989543</v>
      </c>
      <c r="AX244" s="84">
        <f t="shared" si="2237"/>
        <v>0.92586251657673713</v>
      </c>
      <c r="AY244" s="84">
        <f t="shared" si="2237"/>
        <v>0.92766552776254518</v>
      </c>
      <c r="AZ244" s="84">
        <f t="shared" si="2237"/>
        <v>0.92337170129140944</v>
      </c>
      <c r="BA244" s="84">
        <f t="shared" si="2237"/>
        <v>0.92874851312086248</v>
      </c>
      <c r="BB244" s="84">
        <f t="shared" si="2237"/>
        <v>0.32712940509993299</v>
      </c>
      <c r="BC244" s="84">
        <f t="shared" si="2237"/>
        <v>0.32809273707404291</v>
      </c>
      <c r="BD244" s="84">
        <f t="shared" si="2237"/>
        <v>0.41352127158219448</v>
      </c>
      <c r="BE244" s="84">
        <f t="shared" si="2237"/>
        <v>0.64605946580426654</v>
      </c>
      <c r="BF244" s="84">
        <f t="shared" si="2237"/>
        <v>1.6862965741435361</v>
      </c>
      <c r="BG244" s="84">
        <f t="shared" si="2237"/>
        <v>1.6787867891126356</v>
      </c>
      <c r="BH244" s="84">
        <f t="shared" si="2237"/>
        <v>1.4267683390154187</v>
      </c>
      <c r="BI244" s="84" t="e">
        <f t="shared" si="2237"/>
        <v>#DIV/0!</v>
      </c>
      <c r="BJ244" s="84">
        <f t="shared" si="2237"/>
        <v>9.7235468703104691E-2</v>
      </c>
      <c r="BK244" s="84">
        <f t="shared" si="2237"/>
        <v>9.7602613626473642E-2</v>
      </c>
      <c r="BL244" s="84">
        <f t="shared" si="2237"/>
        <v>9.781281449178128E-2</v>
      </c>
      <c r="BM244" s="84" t="e">
        <f t="shared" si="2237"/>
        <v>#DIV/0!</v>
      </c>
      <c r="BN244" s="84">
        <f t="shared" si="2237"/>
        <v>3.7938644743597438E-3</v>
      </c>
      <c r="BO244" s="84">
        <f t="shared" si="2237"/>
        <v>3.8015192714979588E-3</v>
      </c>
      <c r="BP244" s="84">
        <f t="shared" si="2237"/>
        <v>3.8065547668903318E-3</v>
      </c>
      <c r="BQ244" s="84" t="e">
        <f t="shared" si="2237"/>
        <v>#DIV/0!</v>
      </c>
      <c r="BR244" s="84">
        <f t="shared" si="2237"/>
        <v>5.1474866836757546E-3</v>
      </c>
      <c r="BS244" s="84">
        <f t="shared" si="2237"/>
        <v>1.71785294098738E-2</v>
      </c>
      <c r="BT244" s="84">
        <f t="shared" si="2237"/>
        <v>3.1598466197795008E-2</v>
      </c>
      <c r="BU244" s="84">
        <f t="shared" si="2237"/>
        <v>8.8636654715828489E-2</v>
      </c>
      <c r="BV244" s="84">
        <f t="shared" si="2237"/>
        <v>9.550302640591582E-2</v>
      </c>
      <c r="BW244" s="84">
        <f t="shared" si="2237"/>
        <v>0.18801038469830478</v>
      </c>
      <c r="BX244" s="84">
        <f t="shared" si="2237"/>
        <v>0.17820510899692862</v>
      </c>
      <c r="BY244" s="84">
        <f t="shared" si="2237"/>
        <v>0.2292337652958287</v>
      </c>
      <c r="BZ244" s="84">
        <f t="shared" si="2237"/>
        <v>0.56474877300841253</v>
      </c>
      <c r="CA244" s="84">
        <f t="shared" si="2237"/>
        <v>0.71532503608613962</v>
      </c>
      <c r="CB244" s="84">
        <f t="shared" si="2237"/>
        <v>0.97258729842530012</v>
      </c>
      <c r="CC244" s="84">
        <f t="shared" si="2237"/>
        <v>1.2256284085840847</v>
      </c>
      <c r="CD244" s="84">
        <f t="shared" si="2237"/>
        <v>0.83513586989671007</v>
      </c>
      <c r="CE244" s="84">
        <f t="shared" si="2237"/>
        <v>0.98046057730739156</v>
      </c>
      <c r="CF244" s="84">
        <f t="shared" si="2237"/>
        <v>1.0221197998125582</v>
      </c>
      <c r="CG244" s="84">
        <f t="shared" si="2237"/>
        <v>0.99443161653490753</v>
      </c>
      <c r="CH244" s="84">
        <f t="shared" si="2237"/>
        <v>0.82940258582255899</v>
      </c>
      <c r="CI244" s="84">
        <f t="shared" si="2237"/>
        <v>0.77346173875565849</v>
      </c>
      <c r="CJ244" s="84">
        <f t="shared" si="2237"/>
        <v>0.49444314078245788</v>
      </c>
      <c r="CK244" s="50">
        <f t="shared" ref="CK244" si="2238">SUM(CH10:CK10)/(CK161+CK148+CK138)</f>
        <v>0.52224718135468562</v>
      </c>
      <c r="CL244" s="84">
        <f t="shared" si="2237"/>
        <v>0.47170885650976963</v>
      </c>
      <c r="CM244" s="50">
        <f t="shared" ref="CM244:DB244" si="2239">SUM(CJ10:CM10)/(CM161+CM148+CM138)</f>
        <v>0.52762102171366398</v>
      </c>
      <c r="CN244" s="50">
        <f t="shared" si="2239"/>
        <v>0.51529421350497706</v>
      </c>
      <c r="CO244" s="50">
        <f t="shared" si="2239"/>
        <v>0.53358104777374604</v>
      </c>
      <c r="CP244" s="50">
        <f t="shared" si="2239"/>
        <v>0.49000938108860065</v>
      </c>
      <c r="CQ244" s="50">
        <f t="shared" si="2239"/>
        <v>0.55795940406933919</v>
      </c>
      <c r="CR244" s="50">
        <f t="shared" si="2239"/>
        <v>0.54393314120863157</v>
      </c>
      <c r="CS244" s="50">
        <f t="shared" si="2239"/>
        <v>0.5608635192205299</v>
      </c>
      <c r="CT244" s="50">
        <f t="shared" si="2239"/>
        <v>0.50427512320616563</v>
      </c>
      <c r="CU244" s="50">
        <f t="shared" si="2239"/>
        <v>0.57552213777742145</v>
      </c>
      <c r="CV244" s="50">
        <f t="shared" si="2239"/>
        <v>0.55779197406860836</v>
      </c>
      <c r="CW244" s="50">
        <f t="shared" si="2239"/>
        <v>0.57214688441581929</v>
      </c>
      <c r="CX244" s="50">
        <f t="shared" si="2239"/>
        <v>0.50989144482380921</v>
      </c>
      <c r="CY244" s="50">
        <f t="shared" si="2239"/>
        <v>0.57995166042727009</v>
      </c>
      <c r="CZ244" s="50">
        <f t="shared" si="2239"/>
        <v>0.55880897021167342</v>
      </c>
      <c r="DA244" s="50">
        <f t="shared" si="2239"/>
        <v>0.56981654525616487</v>
      </c>
      <c r="DB244" s="50">
        <f t="shared" si="2239"/>
        <v>0.50546264350359082</v>
      </c>
      <c r="DE244" s="138"/>
      <c r="DF244" s="84">
        <v>0.50499338729541043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0">+F42</f>
        <v>#DIV/0!</v>
      </c>
      <c r="G245" s="181">
        <f t="shared" si="2240"/>
        <v>-0.3505350923699132</v>
      </c>
      <c r="H245" s="181">
        <f t="shared" si="2240"/>
        <v>1.1444850836538227E-4</v>
      </c>
      <c r="I245" s="181">
        <f t="shared" si="2240"/>
        <v>1.669730329694081E-4</v>
      </c>
      <c r="J245" s="181">
        <f t="shared" si="2240"/>
        <v>2.6550823984005745E-4</v>
      </c>
      <c r="K245" s="181">
        <f t="shared" si="2240"/>
        <v>3.4977802657437623E-3</v>
      </c>
      <c r="L245" s="181">
        <f t="shared" si="2240"/>
        <v>-4.8335180352482021E-3</v>
      </c>
      <c r="M245" s="181">
        <f t="shared" si="2240"/>
        <v>1.1913062637936343E-3</v>
      </c>
      <c r="N245" s="181">
        <f t="shared" si="2240"/>
        <v>1.7543121269363329E-2</v>
      </c>
      <c r="O245" s="181" t="e">
        <f t="shared" si="2240"/>
        <v>#DIV/0!</v>
      </c>
      <c r="P245" s="181">
        <f t="shared" si="2240"/>
        <v>1.3869325452416216E-3</v>
      </c>
      <c r="Q245" s="181">
        <f t="shared" si="2240"/>
        <v>-4.0414821575020868E-2</v>
      </c>
      <c r="R245" s="181">
        <f t="shared" si="2240"/>
        <v>-7.7049428816319557E-2</v>
      </c>
      <c r="S245" s="181">
        <f t="shared" si="2240"/>
        <v>-2.4472597824895925E-2</v>
      </c>
      <c r="T245" s="181">
        <f t="shared" si="2240"/>
        <v>-0.55122814478458593</v>
      </c>
      <c r="U245" s="181">
        <f t="shared" si="2240"/>
        <v>-1.4584945480126623</v>
      </c>
      <c r="V245" s="181">
        <f t="shared" si="2240"/>
        <v>-0.29780096906447989</v>
      </c>
      <c r="W245" s="181">
        <f t="shared" si="2240"/>
        <v>3.240438518171572</v>
      </c>
      <c r="X245" s="181">
        <f t="shared" si="2240"/>
        <v>0.12497771490327333</v>
      </c>
      <c r="Y245" s="181">
        <f t="shared" si="2240"/>
        <v>0.18237936040475883</v>
      </c>
      <c r="Z245" s="181">
        <f t="shared" si="2240"/>
        <v>8.4869212317491866E-2</v>
      </c>
      <c r="AA245" s="181">
        <f t="shared" ref="AA245" si="2241">+AA42</f>
        <v>0.21557943164283797</v>
      </c>
      <c r="AB245" s="182">
        <f t="shared" si="2240"/>
        <v>0.24254480603683581</v>
      </c>
      <c r="AC245" s="182">
        <f t="shared" si="2240"/>
        <v>0.25764896329582382</v>
      </c>
      <c r="AD245" s="182">
        <f t="shared" si="2240"/>
        <v>0.28046547654559634</v>
      </c>
      <c r="AE245" s="182">
        <f t="shared" si="2240"/>
        <v>0.31124098610204709</v>
      </c>
      <c r="AL245" s="181" t="e">
        <f t="shared" ref="AL245:CW245" si="2242">+AL42</f>
        <v>#DIV/0!</v>
      </c>
      <c r="AM245" s="181" t="e">
        <f t="shared" si="2242"/>
        <v>#DIV/0!</v>
      </c>
      <c r="AN245" s="181" t="e">
        <f t="shared" si="2242"/>
        <v>#DIV/0!</v>
      </c>
      <c r="AO245" s="181" t="e">
        <f t="shared" si="2242"/>
        <v>#DIV/0!</v>
      </c>
      <c r="AP245" s="181" t="e">
        <f t="shared" si="2242"/>
        <v>#DIV/0!</v>
      </c>
      <c r="AQ245" s="181" t="e">
        <f t="shared" si="2242"/>
        <v>#DIV/0!</v>
      </c>
      <c r="AR245" s="181" t="e">
        <f t="shared" si="2242"/>
        <v>#DIV/0!</v>
      </c>
      <c r="AS245" s="181">
        <f t="shared" si="2242"/>
        <v>7.3861478073693251E-3</v>
      </c>
      <c r="AT245" s="181">
        <f t="shared" si="2242"/>
        <v>-6.6810947858898892E-4</v>
      </c>
      <c r="AU245" s="181" t="e">
        <f t="shared" si="2242"/>
        <v>#DIV/0!</v>
      </c>
      <c r="AV245" s="181">
        <f t="shared" si="2242"/>
        <v>-3.0654900139340382E-2</v>
      </c>
      <c r="AW245" s="181">
        <f t="shared" si="2242"/>
        <v>-4.1676404144270429E-2</v>
      </c>
      <c r="AX245" s="181">
        <f t="shared" si="2242"/>
        <v>-4.3165268433147823E-2</v>
      </c>
      <c r="AY245" s="181" t="e">
        <f t="shared" si="2242"/>
        <v>#DIV/0!</v>
      </c>
      <c r="AZ245" s="181">
        <f t="shared" si="2242"/>
        <v>-2.0917678812415599E-2</v>
      </c>
      <c r="BA245" s="181">
        <f t="shared" si="2242"/>
        <v>-0.14975570418860595</v>
      </c>
      <c r="BB245" s="181">
        <f t="shared" si="2242"/>
        <v>3.4921459003056007E-18</v>
      </c>
      <c r="BC245" s="181" t="e">
        <f t="shared" si="2242"/>
        <v>#DIV/0!</v>
      </c>
      <c r="BD245" s="181">
        <f t="shared" si="2242"/>
        <v>6.2117893222612421E-4</v>
      </c>
      <c r="BE245" s="181">
        <f t="shared" si="2242"/>
        <v>2.1938644923032097E-3</v>
      </c>
      <c r="BF245" s="181">
        <f t="shared" si="2242"/>
        <v>-5.6196063551365423E-2</v>
      </c>
      <c r="BG245" s="181" t="e">
        <f t="shared" si="2242"/>
        <v>#DIV/0!</v>
      </c>
      <c r="BH245" s="181" t="e">
        <f t="shared" si="2242"/>
        <v>#DIV/0!</v>
      </c>
      <c r="BI245" s="181">
        <f t="shared" si="2242"/>
        <v>-0.11109275625671108</v>
      </c>
      <c r="BJ245" s="181">
        <f t="shared" si="2242"/>
        <v>-1.1743527508090614</v>
      </c>
      <c r="BK245" s="181" t="e">
        <f t="shared" si="2242"/>
        <v>#DIV/0!</v>
      </c>
      <c r="BL245" s="181" t="e">
        <f t="shared" si="2242"/>
        <v>#DIV/0!</v>
      </c>
      <c r="BM245" s="181" t="e">
        <f t="shared" si="2242"/>
        <v>#DIV/0!</v>
      </c>
      <c r="BN245" s="181">
        <f t="shared" si="2242"/>
        <v>0.75746924428822493</v>
      </c>
      <c r="BO245" s="181" t="e">
        <f t="shared" si="2242"/>
        <v>#DIV/0!</v>
      </c>
      <c r="BP245" s="181" t="e">
        <f t="shared" si="2242"/>
        <v>#DIV/0!</v>
      </c>
      <c r="BQ245" s="181" t="e">
        <f t="shared" si="2242"/>
        <v>#DIV/0!</v>
      </c>
      <c r="BR245" s="181">
        <f t="shared" si="2242"/>
        <v>-0.61614906832298133</v>
      </c>
      <c r="BS245" s="181">
        <f t="shared" si="2242"/>
        <v>-0.91805034815211595</v>
      </c>
      <c r="BT245" s="181">
        <f t="shared" si="2242"/>
        <v>0.21642905634759002</v>
      </c>
      <c r="BU245" s="181">
        <f t="shared" si="2242"/>
        <v>0.18096966554316829</v>
      </c>
      <c r="BV245" s="181">
        <f t="shared" si="2242"/>
        <v>7.8523333505982285</v>
      </c>
      <c r="BW245" s="181">
        <f t="shared" si="2242"/>
        <v>0.14992810856591368</v>
      </c>
      <c r="BX245" s="181">
        <f t="shared" si="2242"/>
        <v>0.52897227856659901</v>
      </c>
      <c r="BY245" s="181">
        <f t="shared" si="2242"/>
        <v>0.24037391497885574</v>
      </c>
      <c r="BZ245" s="181">
        <f t="shared" si="2242"/>
        <v>4.2353408766286224E-2</v>
      </c>
      <c r="CA245" s="181">
        <f t="shared" si="2242"/>
        <v>0.10039865923560569</v>
      </c>
      <c r="CB245" s="181">
        <f t="shared" si="2242"/>
        <v>0.21149879453522644</v>
      </c>
      <c r="CC245" s="181">
        <f t="shared" si="2242"/>
        <v>0.2322262600336874</v>
      </c>
      <c r="CD245" s="181">
        <f t="shared" si="2242"/>
        <v>0.15808715560589992</v>
      </c>
      <c r="CE245" s="181">
        <f t="shared" si="2242"/>
        <v>5.3159230150380599E-2</v>
      </c>
      <c r="CF245" s="181">
        <f t="shared" si="2242"/>
        <v>0.10527135000518832</v>
      </c>
      <c r="CG245" s="181">
        <f t="shared" si="2242"/>
        <v>0.14233551498449878</v>
      </c>
      <c r="CH245" s="181">
        <f t="shared" si="2242"/>
        <v>5.5648655276710514E-2</v>
      </c>
      <c r="CI245" s="181">
        <f t="shared" si="2242"/>
        <v>0.71121184647929903</v>
      </c>
      <c r="CJ245" s="181">
        <f t="shared" si="2242"/>
        <v>0.12637430208820127</v>
      </c>
      <c r="CK245" s="182">
        <f t="shared" si="2242"/>
        <v>9.3923390600976001E-2</v>
      </c>
      <c r="CL245" s="181">
        <f t="shared" ref="CL245" si="2243">+CL42</f>
        <v>8.8655438830526415E-2</v>
      </c>
      <c r="CM245" s="182">
        <f t="shared" si="2242"/>
        <v>0.11503838576784699</v>
      </c>
      <c r="CN245" s="182">
        <f t="shared" si="2242"/>
        <v>0.30952358395824181</v>
      </c>
      <c r="CO245" s="182">
        <f t="shared" si="2242"/>
        <v>0.34493631321828178</v>
      </c>
      <c r="CP245" s="182">
        <f t="shared" si="2242"/>
        <v>0.21960515629739807</v>
      </c>
      <c r="CQ245" s="182">
        <f t="shared" si="2242"/>
        <v>0.1188633665229763</v>
      </c>
      <c r="CR245" s="182">
        <f t="shared" si="2242"/>
        <v>0.32284237672389993</v>
      </c>
      <c r="CS245" s="182">
        <f t="shared" si="2242"/>
        <v>0.37624869651482695</v>
      </c>
      <c r="CT245" s="182">
        <f t="shared" si="2242"/>
        <v>0.23321355851224559</v>
      </c>
      <c r="CU245" s="182">
        <f t="shared" si="2242"/>
        <v>0.14334878564490303</v>
      </c>
      <c r="CV245" s="182">
        <f t="shared" si="2242"/>
        <v>0.3463820040430628</v>
      </c>
      <c r="CW245" s="182">
        <f t="shared" si="2242"/>
        <v>0.41267832831979118</v>
      </c>
      <c r="CX245" s="182">
        <f t="shared" ref="CX245:DB245" si="2244">+CX42</f>
        <v>0.24931507025122332</v>
      </c>
      <c r="CY245" s="182">
        <f t="shared" si="2244"/>
        <v>0.17916257328255022</v>
      </c>
      <c r="CZ245" s="182">
        <f t="shared" si="2244"/>
        <v>0.3783331760582378</v>
      </c>
      <c r="DA245" s="182">
        <f t="shared" si="2244"/>
        <v>0.46015778351472242</v>
      </c>
      <c r="DB245" s="182">
        <f t="shared" si="2244"/>
        <v>0.27065876714168735</v>
      </c>
      <c r="DE245" s="138"/>
      <c r="DF245" s="84">
        <v>-0.10967169477889364</v>
      </c>
    </row>
    <row r="246" spans="1:110" s="84" customFormat="1" x14ac:dyDescent="0.2">
      <c r="A246" s="84" t="s">
        <v>514</v>
      </c>
      <c r="E246" s="84">
        <f>(E161+E148+E138+E140)/E120</f>
        <v>3.466671399514222</v>
      </c>
      <c r="F246" s="84">
        <f t="shared" ref="F246:AE246" si="2245">(F161+F148+F138+F140)/F120</f>
        <v>3.6303507950199982</v>
      </c>
      <c r="G246" s="84">
        <f t="shared" si="2245"/>
        <v>2.2299759453559593</v>
      </c>
      <c r="H246" s="84">
        <f t="shared" si="2245"/>
        <v>2.3232141486796927</v>
      </c>
      <c r="I246" s="84">
        <f t="shared" si="2245"/>
        <v>3.8357137563173587</v>
      </c>
      <c r="J246" s="84">
        <f t="shared" si="2245"/>
        <v>5.1434632340356048</v>
      </c>
      <c r="K246" s="84">
        <f t="shared" si="2245"/>
        <v>1.4539871150494568</v>
      </c>
      <c r="L246" s="84">
        <f t="shared" si="2245"/>
        <v>1.5214958212769709</v>
      </c>
      <c r="M246" s="84">
        <f t="shared" si="2245"/>
        <v>3.8627361109528127</v>
      </c>
      <c r="N246" s="84">
        <f t="shared" si="2245"/>
        <v>2.7785803841805707</v>
      </c>
      <c r="O246" s="84">
        <f t="shared" si="2245"/>
        <v>2.473941726135918</v>
      </c>
      <c r="P246" s="84">
        <f t="shared" si="2245"/>
        <v>1.1086971497471969</v>
      </c>
      <c r="Q246" s="84">
        <f t="shared" si="2245"/>
        <v>1.0678748288694628</v>
      </c>
      <c r="R246" s="84">
        <f t="shared" si="2245"/>
        <v>1.0249021302453369</v>
      </c>
      <c r="S246" s="84">
        <f t="shared" si="2245"/>
        <v>1.0013884117967298</v>
      </c>
      <c r="T246" s="84">
        <f t="shared" si="2245"/>
        <v>1.0018201586670488</v>
      </c>
      <c r="U246" s="84">
        <f t="shared" si="2245"/>
        <v>1.0047667381768115</v>
      </c>
      <c r="V246" s="84">
        <f t="shared" si="2245"/>
        <v>1.0248164800025905</v>
      </c>
      <c r="W246" s="84">
        <f t="shared" si="2245"/>
        <v>1.1521603802182576</v>
      </c>
      <c r="X246" s="84">
        <f t="shared" si="2245"/>
        <v>1.2732406340554392</v>
      </c>
      <c r="Y246" s="84">
        <f t="shared" si="2245"/>
        <v>1.5460831563946984</v>
      </c>
      <c r="Z246" s="84">
        <f t="shared" si="2245"/>
        <v>1.6365352163567801</v>
      </c>
      <c r="AA246" s="84">
        <f t="shared" ref="AA246" si="2246">(AA161+AA148+AA138+AA140)/AA120</f>
        <v>1.7332586618516432</v>
      </c>
      <c r="AB246" s="50">
        <f t="shared" si="2245"/>
        <v>1.7025406788040889</v>
      </c>
      <c r="AC246" s="50">
        <f t="shared" si="2245"/>
        <v>1.6605005555700103</v>
      </c>
      <c r="AD246" s="50">
        <f t="shared" si="2245"/>
        <v>1.6106529015077762</v>
      </c>
      <c r="AE246" s="50">
        <f t="shared" si="2245"/>
        <v>1.5545652969224701</v>
      </c>
      <c r="AL246" s="84">
        <f t="shared" ref="AL246:CW246" si="2247">(AL161+AL148+AL138+AL140)/AL120</f>
        <v>2.7776302984429067</v>
      </c>
      <c r="AM246" s="84" t="e">
        <f t="shared" si="2247"/>
        <v>#DIV/0!</v>
      </c>
      <c r="AN246" s="84">
        <f t="shared" si="2247"/>
        <v>2.8660294421170653</v>
      </c>
      <c r="AO246" s="84" t="e">
        <f t="shared" si="2247"/>
        <v>#DIV/0!</v>
      </c>
      <c r="AP246" s="84">
        <f t="shared" si="2247"/>
        <v>2.4739420622973287</v>
      </c>
      <c r="AQ246" s="84" t="e">
        <f t="shared" si="2247"/>
        <v>#DIV/0!</v>
      </c>
      <c r="AR246" s="84">
        <f t="shared" si="2247"/>
        <v>2.0934893007904738</v>
      </c>
      <c r="AS246" s="84" t="e">
        <f t="shared" si="2247"/>
        <v>#DIV/0!</v>
      </c>
      <c r="AT246" s="84">
        <f t="shared" si="2247"/>
        <v>1.1113447912470098</v>
      </c>
      <c r="AU246" s="84">
        <f t="shared" si="2247"/>
        <v>1.0570008303852763</v>
      </c>
      <c r="AV246" s="84">
        <f t="shared" si="2247"/>
        <v>1.0855347487051055</v>
      </c>
      <c r="AW246" s="84">
        <f t="shared" si="2247"/>
        <v>1.093064920082494</v>
      </c>
      <c r="AX246" s="84">
        <f t="shared" si="2247"/>
        <v>1.0678699671812908</v>
      </c>
      <c r="AY246" s="84">
        <f t="shared" si="2247"/>
        <v>1.0679120197253475</v>
      </c>
      <c r="AZ246" s="84">
        <f t="shared" si="2247"/>
        <v>1.0710856963593292</v>
      </c>
      <c r="BA246" s="84">
        <f t="shared" si="2247"/>
        <v>1.0976517451518057</v>
      </c>
      <c r="BB246" s="84">
        <f t="shared" si="2247"/>
        <v>1.0249007741877065</v>
      </c>
      <c r="BC246" s="84">
        <f t="shared" si="2247"/>
        <v>1.024923610751463</v>
      </c>
      <c r="BD246" s="84">
        <f t="shared" si="2247"/>
        <v>1.0711606044325364</v>
      </c>
      <c r="BE246" s="84">
        <f t="shared" si="2247"/>
        <v>1.2516185643821427</v>
      </c>
      <c r="BF246" s="84">
        <f t="shared" si="2247"/>
        <v>1.0013881597544725</v>
      </c>
      <c r="BG246" s="84">
        <f t="shared" si="2247"/>
        <v>1.0013859070887889</v>
      </c>
      <c r="BH246" s="84">
        <f t="shared" si="2247"/>
        <v>1.0014158534320909</v>
      </c>
      <c r="BI246" s="84" t="e">
        <f t="shared" si="2247"/>
        <v>#DIV/0!</v>
      </c>
      <c r="BJ246" s="84">
        <f t="shared" si="2247"/>
        <v>1.0018150875802112</v>
      </c>
      <c r="BK246" s="84">
        <f t="shared" si="2247"/>
        <v>1.0018181438214457</v>
      </c>
      <c r="BL246" s="84">
        <f t="shared" si="2247"/>
        <v>1.0016885251759995</v>
      </c>
      <c r="BM246" s="84" t="e">
        <f t="shared" si="2247"/>
        <v>#DIV/0!</v>
      </c>
      <c r="BN246" s="84">
        <f t="shared" si="2247"/>
        <v>1.004764496814063</v>
      </c>
      <c r="BO246" s="84">
        <f t="shared" si="2247"/>
        <v>1.0028566584453764</v>
      </c>
      <c r="BP246" s="84">
        <f t="shared" si="2247"/>
        <v>1.0047375506346616</v>
      </c>
      <c r="BQ246" s="84" t="e">
        <f t="shared" si="2247"/>
        <v>#DIV/0!</v>
      </c>
      <c r="BR246" s="84">
        <f t="shared" si="2247"/>
        <v>1.0248156317400576</v>
      </c>
      <c r="BS246" s="84">
        <f t="shared" si="2247"/>
        <v>1.0248797819228765</v>
      </c>
      <c r="BT246" s="84">
        <f t="shared" si="2247"/>
        <v>1.1396903732170016</v>
      </c>
      <c r="BU246" s="84">
        <f t="shared" si="2247"/>
        <v>1.1578778241970438</v>
      </c>
      <c r="BV246" s="84">
        <f t="shared" si="2247"/>
        <v>1.0714719899923357</v>
      </c>
      <c r="BW246" s="84">
        <f t="shared" si="2247"/>
        <v>1.0891786822088676</v>
      </c>
      <c r="BX246" s="84">
        <f t="shared" si="2247"/>
        <v>1.3555123407658094</v>
      </c>
      <c r="BY246" s="84">
        <f t="shared" si="2247"/>
        <v>1.3705156048127711</v>
      </c>
      <c r="BZ246" s="84">
        <f t="shared" si="2247"/>
        <v>1.1749252719484762</v>
      </c>
      <c r="CA246" s="84">
        <f t="shared" si="2247"/>
        <v>1.1653326980054175</v>
      </c>
      <c r="CB246" s="84">
        <f t="shared" si="2247"/>
        <v>1.2516300207419271</v>
      </c>
      <c r="CC246" s="84">
        <f t="shared" si="2247"/>
        <v>1.261308575515234</v>
      </c>
      <c r="CD246" s="84">
        <f t="shared" si="2247"/>
        <v>1.546082200053422</v>
      </c>
      <c r="CE246" s="84">
        <f t="shared" si="2247"/>
        <v>1.5433421898133899</v>
      </c>
      <c r="CF246" s="84">
        <f t="shared" si="2247"/>
        <v>1.2547155354136716</v>
      </c>
      <c r="CG246" s="84">
        <f t="shared" si="2247"/>
        <v>1.2467469495275378</v>
      </c>
      <c r="CH246" s="84">
        <f t="shared" si="2247"/>
        <v>1.6365352163567801</v>
      </c>
      <c r="CI246" s="84">
        <f t="shared" si="2247"/>
        <v>1.5531084152898713</v>
      </c>
      <c r="CJ246" s="84">
        <f t="shared" si="2247"/>
        <v>1.6865350567107182</v>
      </c>
      <c r="CK246" s="50">
        <f t="shared" si="2247"/>
        <v>1.6462272137946654</v>
      </c>
      <c r="CL246" s="84">
        <f t="shared" ref="CL246" si="2248">(CL161+CL148+CL138+CL140)/CL120</f>
        <v>1.7332586618516435</v>
      </c>
      <c r="CM246" s="50">
        <f t="shared" si="2247"/>
        <v>1.6514377361850616</v>
      </c>
      <c r="CN246" s="50">
        <f t="shared" si="2247"/>
        <v>1.654349601911359</v>
      </c>
      <c r="CO246" s="50">
        <f t="shared" si="2247"/>
        <v>1.6136727616833988</v>
      </c>
      <c r="CP246" s="50">
        <f t="shared" si="2247"/>
        <v>1.7025406788040889</v>
      </c>
      <c r="CQ246" s="50">
        <f t="shared" si="2247"/>
        <v>1.6050846834521955</v>
      </c>
      <c r="CR246" s="50">
        <f t="shared" si="2247"/>
        <v>1.6090906929015558</v>
      </c>
      <c r="CS246" s="50">
        <f t="shared" si="2247"/>
        <v>1.5644575424116756</v>
      </c>
      <c r="CT246" s="50">
        <f t="shared" si="2247"/>
        <v>1.6605005555700103</v>
      </c>
      <c r="CU246" s="50">
        <f t="shared" si="2247"/>
        <v>1.5529737554510545</v>
      </c>
      <c r="CV246" s="50">
        <f t="shared" si="2247"/>
        <v>1.5572628344812351</v>
      </c>
      <c r="CW246" s="50">
        <f t="shared" si="2247"/>
        <v>1.5092993502591987</v>
      </c>
      <c r="CX246" s="50">
        <f t="shared" ref="CX246:DB246" si="2249">(CX161+CX148+CX138+CX140)/CX120</f>
        <v>1.6106529015077762</v>
      </c>
      <c r="CY246" s="50">
        <f t="shared" si="2249"/>
        <v>1.4957728978847418</v>
      </c>
      <c r="CZ246" s="50">
        <f t="shared" si="2249"/>
        <v>1.5002094676540643</v>
      </c>
      <c r="DA246" s="50">
        <f t="shared" si="2249"/>
        <v>1.4501247634967342</v>
      </c>
      <c r="DB246" s="50">
        <f t="shared" si="2249"/>
        <v>1.5545652969224701</v>
      </c>
      <c r="DE246" s="138"/>
      <c r="DF246" s="84">
        <v>1.7705636465058474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50">B161/B120</f>
        <v>1.3527483779654287E-5</v>
      </c>
      <c r="C248" s="88">
        <f t="shared" si="2250"/>
        <v>6.2737956714714347E-5</v>
      </c>
      <c r="D248" s="88">
        <f t="shared" si="2250"/>
        <v>9.0549711428697938E-5</v>
      </c>
      <c r="F248" s="88">
        <f t="shared" si="2250"/>
        <v>1.085114869426167E-2</v>
      </c>
      <c r="G248" s="88">
        <f t="shared" si="2250"/>
        <v>6.702243503207723E-3</v>
      </c>
      <c r="H248" s="88">
        <f t="shared" si="2250"/>
        <v>6.0585031819011839E-5</v>
      </c>
      <c r="I248" s="88">
        <f t="shared" si="2250"/>
        <v>8.3404160135293717E-4</v>
      </c>
      <c r="J248" s="88">
        <f t="shared" si="2250"/>
        <v>6.736367009821484E-3</v>
      </c>
      <c r="K248" s="88">
        <f t="shared" si="2250"/>
        <v>7.4952652043927337E-3</v>
      </c>
      <c r="L248" s="88">
        <f t="shared" si="2250"/>
        <v>0.65736680969558492</v>
      </c>
      <c r="M248" s="88">
        <f t="shared" si="2250"/>
        <v>9.1402340173447876E-3</v>
      </c>
      <c r="N248" s="88">
        <f t="shared" si="2250"/>
        <v>3.7859557666283343E-3</v>
      </c>
      <c r="O248" s="88">
        <f t="shared" si="2250"/>
        <v>2.457543264372874E-4</v>
      </c>
      <c r="P248" s="88">
        <f t="shared" si="2250"/>
        <v>2.0641288962403678E-2</v>
      </c>
      <c r="Q248" s="88">
        <f t="shared" si="2250"/>
        <v>1.2047122160395076E-4</v>
      </c>
      <c r="R248" s="88">
        <f t="shared" si="2250"/>
        <v>1.6304022582842794E-4</v>
      </c>
      <c r="S248" s="88">
        <f t="shared" si="2250"/>
        <v>3.3315825698666933E-5</v>
      </c>
      <c r="T248" s="88">
        <f t="shared" si="2250"/>
        <v>4.5898875835195608E-5</v>
      </c>
      <c r="U248" s="88">
        <f t="shared" si="2250"/>
        <v>1.2551631391886266E-4</v>
      </c>
      <c r="V248" s="88">
        <f t="shared" si="2250"/>
        <v>2.160020211715891E-2</v>
      </c>
      <c r="W248" s="88">
        <f t="shared" si="2250"/>
        <v>3.3809327905768231E-2</v>
      </c>
      <c r="X248" s="88">
        <f t="shared" si="2250"/>
        <v>4.1905022511189785E-2</v>
      </c>
      <c r="Y248" s="88">
        <f t="shared" si="2250"/>
        <v>0.12643899676971529</v>
      </c>
      <c r="Z248" s="88">
        <f t="shared" si="2250"/>
        <v>7.5156929298209871E-2</v>
      </c>
      <c r="AA248" s="88">
        <f t="shared" ref="AA248" si="2251">AA161/AA120</f>
        <v>0.23342643129056942</v>
      </c>
      <c r="AB248" s="42">
        <f t="shared" si="2250"/>
        <v>0.22307784612373324</v>
      </c>
      <c r="AC248" s="42">
        <f t="shared" si="2250"/>
        <v>0.22929026952476869</v>
      </c>
      <c r="AD248" s="42">
        <f t="shared" si="2250"/>
        <v>0.24636745558148065</v>
      </c>
      <c r="AE248" s="42">
        <f t="shared" si="2250"/>
        <v>0.2748883258149139</v>
      </c>
      <c r="AL248" s="88">
        <f t="shared" ref="AL248:CW248" si="2252">AL161/AL120</f>
        <v>3.7873053633217997E-3</v>
      </c>
      <c r="AM248" s="88" t="e">
        <f t="shared" si="2252"/>
        <v>#DIV/0!</v>
      </c>
      <c r="AN248" s="88">
        <f t="shared" si="2252"/>
        <v>1.952395030875733E-4</v>
      </c>
      <c r="AO248" s="88" t="e">
        <f t="shared" si="2252"/>
        <v>#DIV/0!</v>
      </c>
      <c r="AP248" s="88">
        <f t="shared" si="2252"/>
        <v>2.454987401328391E-4</v>
      </c>
      <c r="AQ248" s="88" t="e">
        <f t="shared" si="2252"/>
        <v>#DIV/0!</v>
      </c>
      <c r="AR248" s="88">
        <f t="shared" si="2252"/>
        <v>6.0630373537805086E-4</v>
      </c>
      <c r="AS248" s="88" t="e">
        <f t="shared" si="2252"/>
        <v>#DIV/0!</v>
      </c>
      <c r="AT248" s="88">
        <f t="shared" si="2252"/>
        <v>2.1142741386648824E-2</v>
      </c>
      <c r="AU248" s="88">
        <f t="shared" si="2252"/>
        <v>-1.7936321961984136E-2</v>
      </c>
      <c r="AV248" s="88">
        <f t="shared" si="2252"/>
        <v>1.3933633103762309E-2</v>
      </c>
      <c r="AW248" s="88">
        <f t="shared" si="2252"/>
        <v>1.7312522228040736E-2</v>
      </c>
      <c r="AX248" s="88">
        <f t="shared" si="2252"/>
        <v>1.207145496576066E-4</v>
      </c>
      <c r="AY248" s="88">
        <f t="shared" si="2252"/>
        <v>1.4002616655106069E-2</v>
      </c>
      <c r="AZ248" s="88">
        <f t="shared" si="2252"/>
        <v>1.3840223842553613E-5</v>
      </c>
      <c r="BA248" s="88">
        <f t="shared" si="2252"/>
        <v>3.1752325289661617E-3</v>
      </c>
      <c r="BB248" s="88">
        <f t="shared" si="2252"/>
        <v>1.6384925006629426E-4</v>
      </c>
      <c r="BC248" s="88">
        <f t="shared" si="2252"/>
        <v>1.8544892709789814E-2</v>
      </c>
      <c r="BD248" s="88">
        <f t="shared" si="2252"/>
        <v>2.558395374421163E-5</v>
      </c>
      <c r="BE248" s="88">
        <f t="shared" si="2252"/>
        <v>1.5508634202318385E-2</v>
      </c>
      <c r="BF248" s="88">
        <f t="shared" si="2252"/>
        <v>3.2811048742074872E-5</v>
      </c>
      <c r="BG248" s="88">
        <f t="shared" si="2252"/>
        <v>2.4190378277040341E-2</v>
      </c>
      <c r="BH248" s="88">
        <f t="shared" si="2252"/>
        <v>2.0631744001320434E-5</v>
      </c>
      <c r="BI248" s="88" t="e">
        <f t="shared" si="2252"/>
        <v>#DIV/0!</v>
      </c>
      <c r="BJ248" s="88">
        <f t="shared" si="2252"/>
        <v>4.4706590645592977E-5</v>
      </c>
      <c r="BK248" s="88">
        <f t="shared" si="2252"/>
        <v>-1.6390163513523921E-3</v>
      </c>
      <c r="BL248" s="88">
        <f t="shared" si="2252"/>
        <v>5.6581972387997473E-5</v>
      </c>
      <c r="BM248" s="88" t="e">
        <f t="shared" si="2252"/>
        <v>#DIV/0!</v>
      </c>
      <c r="BN248" s="88">
        <f t="shared" si="2252"/>
        <v>1.2487592456213379E-4</v>
      </c>
      <c r="BO248" s="88">
        <f t="shared" si="2252"/>
        <v>1.0684478395920969E-3</v>
      </c>
      <c r="BP248" s="88">
        <f t="shared" si="2252"/>
        <v>6.0776788129077749E-5</v>
      </c>
      <c r="BQ248" s="88" t="e">
        <f t="shared" si="2252"/>
        <v>#DIV/0!</v>
      </c>
      <c r="BR248" s="88">
        <f t="shared" si="2252"/>
        <v>2.1598734014798341E-2</v>
      </c>
      <c r="BS248" s="88">
        <f t="shared" si="2252"/>
        <v>1.9069496768660602E-2</v>
      </c>
      <c r="BT248" s="88">
        <f t="shared" si="2252"/>
        <v>2.2913758895432897E-2</v>
      </c>
      <c r="BU248" s="88">
        <f t="shared" si="2252"/>
        <v>-2.4738608635213155E-2</v>
      </c>
      <c r="BV248" s="88">
        <f t="shared" si="2252"/>
        <v>3.1441332710790838E-2</v>
      </c>
      <c r="BW248" s="88">
        <f t="shared" si="2252"/>
        <v>-7.2733337168557136E-2</v>
      </c>
      <c r="BX248" s="88">
        <f t="shared" si="2252"/>
        <v>0.30958803046601413</v>
      </c>
      <c r="BY248" s="88">
        <f t="shared" si="2252"/>
        <v>0.21191003536002481</v>
      </c>
      <c r="BZ248" s="88">
        <f t="shared" si="2252"/>
        <v>3.8669160924978296E-2</v>
      </c>
      <c r="CA248" s="88">
        <f t="shared" si="2252"/>
        <v>9.1519059580438031E-2</v>
      </c>
      <c r="CB248" s="88">
        <f t="shared" si="2252"/>
        <v>4.8345233527406592E-2</v>
      </c>
      <c r="CC248" s="88">
        <f t="shared" si="2252"/>
        <v>-7.1360996723386916E-2</v>
      </c>
      <c r="CD248" s="88">
        <f t="shared" si="2252"/>
        <v>0.12643829447341356</v>
      </c>
      <c r="CE248" s="88">
        <f t="shared" si="2252"/>
        <v>0.13683752940440028</v>
      </c>
      <c r="CF248" s="88">
        <f t="shared" si="2252"/>
        <v>7.023857587784503E-2</v>
      </c>
      <c r="CG248" s="88">
        <f t="shared" si="2252"/>
        <v>9.459463606678159E-2</v>
      </c>
      <c r="CH248" s="88">
        <f t="shared" si="2252"/>
        <v>7.5156929298209871E-2</v>
      </c>
      <c r="CI248" s="88">
        <f t="shared" si="2252"/>
        <v>0.26619043200308479</v>
      </c>
      <c r="CJ248" s="88">
        <f t="shared" si="2252"/>
        <v>0.16100768026877921</v>
      </c>
      <c r="CK248" s="42">
        <f t="shared" si="2252"/>
        <v>0.28567067868931389</v>
      </c>
      <c r="CL248" s="88">
        <f t="shared" ref="CL248" si="2253">CL161/CL120</f>
        <v>0.23342643129056942</v>
      </c>
      <c r="CM248" s="42">
        <f t="shared" si="2252"/>
        <v>0.42488186478120793</v>
      </c>
      <c r="CN248" s="42">
        <f t="shared" si="2252"/>
        <v>0.39147394506974736</v>
      </c>
      <c r="CO248" s="42">
        <f t="shared" si="2252"/>
        <v>0.46792706715944032</v>
      </c>
      <c r="CP248" s="42">
        <f t="shared" si="2252"/>
        <v>0.22307784612373324</v>
      </c>
      <c r="CQ248" s="42">
        <f t="shared" si="2252"/>
        <v>0.4500113730366393</v>
      </c>
      <c r="CR248" s="42">
        <f t="shared" si="2252"/>
        <v>0.41146594909806439</v>
      </c>
      <c r="CS248" s="42">
        <f t="shared" si="2252"/>
        <v>0.49391422833205584</v>
      </c>
      <c r="CT248" s="42">
        <f t="shared" si="2252"/>
        <v>0.22929026952476869</v>
      </c>
      <c r="CU248" s="42">
        <f t="shared" si="2252"/>
        <v>0.47721435120521077</v>
      </c>
      <c r="CV248" s="42">
        <f t="shared" si="2252"/>
        <v>0.43606582235984925</v>
      </c>
      <c r="CW248" s="42">
        <f t="shared" si="2252"/>
        <v>0.52434037485196183</v>
      </c>
      <c r="CX248" s="42">
        <f t="shared" ref="CX248:DB248" si="2254">CX161/CX120</f>
        <v>0.24636745558148065</v>
      </c>
      <c r="CY248" s="42">
        <f t="shared" si="2254"/>
        <v>0.50889072202087715</v>
      </c>
      <c r="CZ248" s="42">
        <f t="shared" si="2254"/>
        <v>0.46678342744819085</v>
      </c>
      <c r="DA248" s="42">
        <f t="shared" si="2254"/>
        <v>0.55924973817607559</v>
      </c>
      <c r="DB248" s="42">
        <f t="shared" si="2254"/>
        <v>0.2748883258149139</v>
      </c>
      <c r="DE248" s="125"/>
      <c r="DF248" s="88">
        <v>-4.5581436091841426E-2</v>
      </c>
    </row>
    <row r="249" spans="1:110" s="89" customFormat="1" x14ac:dyDescent="0.2">
      <c r="A249" s="89" t="s">
        <v>103</v>
      </c>
      <c r="C249" s="89">
        <f t="shared" ref="C249:AE249" si="2255">C128/B128-1</f>
        <v>9.4571657164640666E-2</v>
      </c>
      <c r="D249" s="89">
        <f t="shared" si="2255"/>
        <v>-2.588376521443414E-2</v>
      </c>
      <c r="F249" s="89">
        <f t="shared" si="2255"/>
        <v>1.8424813630154517</v>
      </c>
      <c r="G249" s="89">
        <f t="shared" si="2255"/>
        <v>0.26833837130832139</v>
      </c>
      <c r="H249" s="89">
        <f t="shared" si="2255"/>
        <v>-1.4086204923380641E-2</v>
      </c>
      <c r="I249" s="89">
        <f t="shared" si="2255"/>
        <v>0.33712597317621862</v>
      </c>
      <c r="J249" s="89">
        <f t="shared" si="2255"/>
        <v>-1</v>
      </c>
      <c r="K249" s="89" t="e">
        <f>K128/J128-1</f>
        <v>#DIV/0!</v>
      </c>
      <c r="L249" s="89" t="e">
        <f t="shared" si="2255"/>
        <v>#DIV/0!</v>
      </c>
      <c r="M249" s="89" t="e">
        <f t="shared" si="2255"/>
        <v>#DIV/0!</v>
      </c>
      <c r="N249" s="89" t="e">
        <f t="shared" si="2255"/>
        <v>#DIV/0!</v>
      </c>
      <c r="O249" s="89" t="e">
        <f t="shared" si="2255"/>
        <v>#DIV/0!</v>
      </c>
      <c r="P249" s="89" t="e">
        <f t="shared" si="2255"/>
        <v>#DIV/0!</v>
      </c>
      <c r="Q249" s="89" t="e">
        <f t="shared" si="2255"/>
        <v>#DIV/0!</v>
      </c>
      <c r="R249" s="89" t="e">
        <f t="shared" si="2255"/>
        <v>#DIV/0!</v>
      </c>
      <c r="S249" s="89" t="e">
        <f t="shared" si="2255"/>
        <v>#DIV/0!</v>
      </c>
      <c r="T249" s="89" t="e">
        <f t="shared" si="2255"/>
        <v>#DIV/0!</v>
      </c>
      <c r="U249" s="89" t="e">
        <f t="shared" si="2255"/>
        <v>#DIV/0!</v>
      </c>
      <c r="V249" s="89" t="e">
        <f t="shared" si="2255"/>
        <v>#DIV/0!</v>
      </c>
      <c r="W249" s="89">
        <f t="shared" si="2255"/>
        <v>9.0203831273001782</v>
      </c>
      <c r="X249" s="89">
        <f t="shared" si="2255"/>
        <v>2.0190514757124292</v>
      </c>
      <c r="Y249" s="89">
        <f t="shared" si="2255"/>
        <v>0.71361683942591747</v>
      </c>
      <c r="Z249" s="89">
        <f t="shared" si="2255"/>
        <v>4.2347033692361746</v>
      </c>
      <c r="AA249" s="89">
        <f t="shared" si="2255"/>
        <v>0.25772855304795361</v>
      </c>
      <c r="AB249" s="47">
        <f t="shared" si="2255"/>
        <v>0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 t="e">
        <f t="shared" ref="AL249:CW249" si="2256">AL128/AK128-1</f>
        <v>#DIV/0!</v>
      </c>
      <c r="AM249" s="89" t="e">
        <f t="shared" si="2256"/>
        <v>#DIV/0!</v>
      </c>
      <c r="AN249" s="89" t="e">
        <f t="shared" si="2256"/>
        <v>#DIV/0!</v>
      </c>
      <c r="AO249" s="89" t="e">
        <f t="shared" si="2256"/>
        <v>#DIV/0!</v>
      </c>
      <c r="AP249" s="89" t="e">
        <f t="shared" si="2256"/>
        <v>#DIV/0!</v>
      </c>
      <c r="AQ249" s="89" t="e">
        <f t="shared" si="2256"/>
        <v>#DIV/0!</v>
      </c>
      <c r="AR249" s="89" t="e">
        <f t="shared" si="2256"/>
        <v>#DIV/0!</v>
      </c>
      <c r="AS249" s="89">
        <f t="shared" si="2256"/>
        <v>0</v>
      </c>
      <c r="AT249" s="89">
        <f t="shared" si="2256"/>
        <v>-1</v>
      </c>
      <c r="AU249" s="89" t="e">
        <f t="shared" si="2256"/>
        <v>#DIV/0!</v>
      </c>
      <c r="AV249" s="89" t="e">
        <f t="shared" si="2256"/>
        <v>#DIV/0!</v>
      </c>
      <c r="AW249" s="89">
        <f t="shared" si="2256"/>
        <v>0</v>
      </c>
      <c r="AX249" s="89">
        <f t="shared" si="2256"/>
        <v>-1</v>
      </c>
      <c r="AY249" s="89" t="e">
        <f t="shared" si="2256"/>
        <v>#DIV/0!</v>
      </c>
      <c r="AZ249" s="89" t="e">
        <f t="shared" si="2256"/>
        <v>#DIV/0!</v>
      </c>
      <c r="BA249" s="89" t="e">
        <f t="shared" si="2256"/>
        <v>#DIV/0!</v>
      </c>
      <c r="BB249" s="89" t="e">
        <f t="shared" si="2256"/>
        <v>#DIV/0!</v>
      </c>
      <c r="BC249" s="89" t="e">
        <f t="shared" si="2256"/>
        <v>#DIV/0!</v>
      </c>
      <c r="BD249" s="89" t="e">
        <f t="shared" si="2256"/>
        <v>#DIV/0!</v>
      </c>
      <c r="BE249" s="89" t="e">
        <f t="shared" si="2256"/>
        <v>#DIV/0!</v>
      </c>
      <c r="BF249" s="89" t="e">
        <f t="shared" si="2256"/>
        <v>#DIV/0!</v>
      </c>
      <c r="BG249" s="89" t="e">
        <f t="shared" si="2256"/>
        <v>#DIV/0!</v>
      </c>
      <c r="BH249" s="89" t="e">
        <f t="shared" si="2256"/>
        <v>#DIV/0!</v>
      </c>
      <c r="BI249" s="89" t="e">
        <f t="shared" si="2256"/>
        <v>#DIV/0!</v>
      </c>
      <c r="BJ249" s="89" t="e">
        <f t="shared" si="2256"/>
        <v>#DIV/0!</v>
      </c>
      <c r="BK249" s="89" t="e">
        <f t="shared" si="2256"/>
        <v>#DIV/0!</v>
      </c>
      <c r="BL249" s="89" t="e">
        <f t="shared" si="2256"/>
        <v>#DIV/0!</v>
      </c>
      <c r="BM249" s="89" t="e">
        <f t="shared" si="2256"/>
        <v>#DIV/0!</v>
      </c>
      <c r="BN249" s="89" t="e">
        <f t="shared" si="2256"/>
        <v>#DIV/0!</v>
      </c>
      <c r="BO249" s="89" t="e">
        <f t="shared" si="2256"/>
        <v>#DIV/0!</v>
      </c>
      <c r="BP249" s="89" t="e">
        <f t="shared" si="2256"/>
        <v>#DIV/0!</v>
      </c>
      <c r="BQ249" s="89" t="e">
        <f t="shared" si="2256"/>
        <v>#DIV/0!</v>
      </c>
      <c r="BR249" s="89" t="e">
        <f t="shared" si="2256"/>
        <v>#DIV/0!</v>
      </c>
      <c r="BS249" s="89">
        <f t="shared" si="2256"/>
        <v>0</v>
      </c>
      <c r="BT249" s="89">
        <f t="shared" si="2256"/>
        <v>-0.80934403020292589</v>
      </c>
      <c r="BU249" s="89">
        <f t="shared" si="2256"/>
        <v>0</v>
      </c>
      <c r="BV249" s="89">
        <f t="shared" si="2256"/>
        <v>45.683168316831676</v>
      </c>
      <c r="BW249" s="89">
        <f t="shared" si="2256"/>
        <v>0</v>
      </c>
      <c r="BX249" s="89">
        <f t="shared" si="2256"/>
        <v>2.4973488865323468E-2</v>
      </c>
      <c r="BY249" s="89">
        <f t="shared" si="2256"/>
        <v>0</v>
      </c>
      <c r="BZ249" s="89">
        <f t="shared" si="2256"/>
        <v>2.3167451244115669</v>
      </c>
      <c r="CA249" s="89">
        <f t="shared" si="2256"/>
        <v>0</v>
      </c>
      <c r="CB249" s="89">
        <f t="shared" si="2256"/>
        <v>-0.63937238754757009</v>
      </c>
      <c r="CC249" s="89">
        <f t="shared" si="2256"/>
        <v>0</v>
      </c>
      <c r="CD249" s="89">
        <f t="shared" si="2256"/>
        <v>3.7517948274370729</v>
      </c>
      <c r="CE249" s="89">
        <f t="shared" si="2256"/>
        <v>0</v>
      </c>
      <c r="CF249" s="89">
        <f t="shared" si="2256"/>
        <v>2.7718233200753608</v>
      </c>
      <c r="CG249" s="89">
        <f t="shared" si="2256"/>
        <v>0</v>
      </c>
      <c r="CH249" s="89">
        <f t="shared" si="2256"/>
        <v>0.38783921392617038</v>
      </c>
      <c r="CI249" s="89">
        <f t="shared" si="2256"/>
        <v>0</v>
      </c>
      <c r="CJ249" s="89">
        <f t="shared" si="2256"/>
        <v>4.637131828772123E-2</v>
      </c>
      <c r="CK249" s="47">
        <f t="shared" si="2256"/>
        <v>0</v>
      </c>
      <c r="CL249" s="89">
        <f t="shared" si="2256"/>
        <v>0.20199066150446177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>
        <f>C28/B28-1</f>
        <v>-0.99187935482726064</v>
      </c>
      <c r="D250" s="89">
        <f>D28/C28-1</f>
        <v>-0.17387933626887475</v>
      </c>
      <c r="F250" s="89">
        <f t="shared" ref="F250:AE250" si="2258">F28/E28-1</f>
        <v>-0.71279573071855051</v>
      </c>
      <c r="G250" s="89">
        <f t="shared" si="2258"/>
        <v>1.2511696262736209</v>
      </c>
      <c r="H250" s="89">
        <f t="shared" si="2258"/>
        <v>-1.0080456571742658</v>
      </c>
      <c r="I250" s="89">
        <f t="shared" si="2258"/>
        <v>-8.3847282034187671</v>
      </c>
      <c r="J250" s="89">
        <f t="shared" si="2258"/>
        <v>3.5881815374099029</v>
      </c>
      <c r="K250" s="89">
        <f t="shared" si="2258"/>
        <v>-1.0114376290175355</v>
      </c>
      <c r="L250" s="89">
        <f t="shared" si="2258"/>
        <v>-93.526315789589816</v>
      </c>
      <c r="M250" s="89">
        <f t="shared" si="2258"/>
        <v>-7.0566759747647803</v>
      </c>
      <c r="N250" s="89">
        <f t="shared" si="2258"/>
        <v>-0.98653563744407669</v>
      </c>
      <c r="O250" s="89">
        <f t="shared" si="2258"/>
        <v>-6.3370123652505974</v>
      </c>
      <c r="P250" s="89">
        <f t="shared" si="2258"/>
        <v>-1.355728415070991</v>
      </c>
      <c r="Q250" s="89">
        <f t="shared" si="2258"/>
        <v>-9.398871300614724</v>
      </c>
      <c r="R250" s="89">
        <f t="shared" si="2258"/>
        <v>-0.60778423152523664</v>
      </c>
      <c r="S250" s="89">
        <f t="shared" si="2258"/>
        <v>2.0135353327550205</v>
      </c>
      <c r="T250" s="89">
        <f t="shared" si="2258"/>
        <v>0.35221977356459377</v>
      </c>
      <c r="U250" s="89">
        <f t="shared" si="2258"/>
        <v>-0.7795471510325952</v>
      </c>
      <c r="V250" s="89">
        <f t="shared" si="2258"/>
        <v>-0.22392776523702029</v>
      </c>
      <c r="W250" s="89">
        <f t="shared" si="2258"/>
        <v>-3.9288103548574775</v>
      </c>
      <c r="X250" s="89">
        <f t="shared" si="2258"/>
        <v>11.475879534225465</v>
      </c>
      <c r="Y250" s="89">
        <f t="shared" si="2258"/>
        <v>0.7734446985120158</v>
      </c>
      <c r="Z250" s="89">
        <f t="shared" si="2258"/>
        <v>0.32481989361940844</v>
      </c>
      <c r="AA250" s="89">
        <f t="shared" si="2258"/>
        <v>-1.8041673725225915E-2</v>
      </c>
      <c r="AB250" s="47">
        <f t="shared" si="2258"/>
        <v>0.23906715360711916</v>
      </c>
      <c r="AC250" s="47">
        <f t="shared" si="2258"/>
        <v>0.21419513678604085</v>
      </c>
      <c r="AD250" s="47">
        <f t="shared" si="2258"/>
        <v>0.21097552730577318</v>
      </c>
      <c r="AE250" s="47">
        <f t="shared" si="2258"/>
        <v>0.21074217998950728</v>
      </c>
      <c r="AL250" s="89">
        <f t="shared" ref="AL250:CW250" si="2259">AL28/AK28-1</f>
        <v>0.63988095238095277</v>
      </c>
      <c r="AM250" s="89">
        <f t="shared" si="2259"/>
        <v>18.954627949183305</v>
      </c>
      <c r="AN250" s="89">
        <f t="shared" si="2259"/>
        <v>-0.9609822646657572</v>
      </c>
      <c r="AO250" s="89">
        <f t="shared" si="2259"/>
        <v>0.36829836829836826</v>
      </c>
      <c r="AP250" s="89">
        <f t="shared" si="2259"/>
        <v>-0.68143100511073251</v>
      </c>
      <c r="AQ250" s="89">
        <f t="shared" si="2259"/>
        <v>1.1711229946524067</v>
      </c>
      <c r="AR250" s="89">
        <f t="shared" si="2259"/>
        <v>-6.4039408866995107E-2</v>
      </c>
      <c r="AS250" s="89">
        <f t="shared" si="2259"/>
        <v>-3.9368421052631764</v>
      </c>
      <c r="AT250" s="89">
        <f t="shared" si="2259"/>
        <v>-0.76075268817202868</v>
      </c>
      <c r="AU250" s="89">
        <f t="shared" si="2259"/>
        <v>-2.9588014981272113</v>
      </c>
      <c r="AV250" s="89">
        <f t="shared" si="2259"/>
        <v>4.5889101338430605E-2</v>
      </c>
      <c r="AW250" s="89">
        <f t="shared" si="2259"/>
        <v>-2.559414990859199E-2</v>
      </c>
      <c r="AX250" s="89">
        <f t="shared" si="2259"/>
        <v>5.4315196998123882</v>
      </c>
      <c r="AY250" s="89">
        <f t="shared" si="2259"/>
        <v>-0.91948658109684944</v>
      </c>
      <c r="AZ250" s="89">
        <f t="shared" si="2259"/>
        <v>-0.21739130434782827</v>
      </c>
      <c r="BA250" s="89">
        <f t="shared" si="2259"/>
        <v>4.4953703703703951</v>
      </c>
      <c r="BB250" s="89">
        <f t="shared" si="2259"/>
        <v>-0.75147430497051437</v>
      </c>
      <c r="BC250" s="89">
        <f t="shared" si="2259"/>
        <v>0.43728813559322055</v>
      </c>
      <c r="BD250" s="89">
        <f t="shared" si="2259"/>
        <v>-1.0471698113207557</v>
      </c>
      <c r="BE250" s="89">
        <f t="shared" si="2259"/>
        <v>11.049999999999818</v>
      </c>
      <c r="BF250" s="89">
        <f t="shared" si="2259"/>
        <v>-24.987551867219693</v>
      </c>
      <c r="BG250" s="89">
        <f t="shared" si="2259"/>
        <v>-0.9237156201349247</v>
      </c>
      <c r="BH250" s="89">
        <f t="shared" si="2259"/>
        <v>6.5873015873015888</v>
      </c>
      <c r="BI250" s="89">
        <f t="shared" si="2259"/>
        <v>-0.59802749551703493</v>
      </c>
      <c r="BJ250" s="89">
        <f t="shared" si="2259"/>
        <v>1.1605947955390317</v>
      </c>
      <c r="BK250" s="89">
        <f t="shared" si="2259"/>
        <v>-0.84790089470061936</v>
      </c>
      <c r="BL250" s="89">
        <f t="shared" si="2259"/>
        <v>-9.5022624434389136E-2</v>
      </c>
      <c r="BM250" s="89">
        <f t="shared" si="2259"/>
        <v>4.2499999999999982E-2</v>
      </c>
      <c r="BN250" s="89">
        <f t="shared" si="2259"/>
        <v>0.2302158273381294</v>
      </c>
      <c r="BO250" s="89">
        <f t="shared" si="2259"/>
        <v>-0.42105263157894746</v>
      </c>
      <c r="BP250" s="89">
        <f t="shared" si="2259"/>
        <v>-7.7441077441077533E-2</v>
      </c>
      <c r="BQ250" s="89">
        <f t="shared" si="2259"/>
        <v>9.1240875912408814E-2</v>
      </c>
      <c r="BR250" s="89">
        <f t="shared" si="2259"/>
        <v>0.69230769230769229</v>
      </c>
      <c r="BS250" s="89">
        <f t="shared" si="2259"/>
        <v>4.0533596837944668</v>
      </c>
      <c r="BT250" s="89">
        <f t="shared" si="2259"/>
        <v>-1.1443097379741887</v>
      </c>
      <c r="BU250" s="89">
        <f t="shared" si="2259"/>
        <v>5.7127371273712626</v>
      </c>
      <c r="BV250" s="89">
        <f t="shared" si="2259"/>
        <v>0.50867985466289856</v>
      </c>
      <c r="BW250" s="89">
        <f t="shared" si="2259"/>
        <v>0.63821246989563907</v>
      </c>
      <c r="BX250" s="89">
        <f t="shared" si="2259"/>
        <v>2.7115321790263547E-2</v>
      </c>
      <c r="BY250" s="89">
        <f t="shared" si="2259"/>
        <v>2.092398218829516</v>
      </c>
      <c r="BZ250" s="89">
        <f t="shared" si="2259"/>
        <v>-5.4101311391102191E-2</v>
      </c>
      <c r="CA250" s="89">
        <f t="shared" si="2259"/>
        <v>-0.37862230196270286</v>
      </c>
      <c r="CB250" s="89">
        <f t="shared" si="2259"/>
        <v>1.1738559804007336</v>
      </c>
      <c r="CC250" s="89">
        <f t="shared" si="2259"/>
        <v>0.51342322398873175</v>
      </c>
      <c r="CD250" s="89">
        <f t="shared" si="2259"/>
        <v>-0.59482460572857121</v>
      </c>
      <c r="CE250" s="89">
        <f t="shared" si="2259"/>
        <v>0.49064653757794474</v>
      </c>
      <c r="CF250" s="89">
        <f t="shared" si="2259"/>
        <v>0.28401585204755553</v>
      </c>
      <c r="CG250" s="89">
        <f t="shared" si="2259"/>
        <v>0.41906721536351199</v>
      </c>
      <c r="CH250" s="89">
        <f t="shared" si="2259"/>
        <v>-0.40091831802803313</v>
      </c>
      <c r="CI250" s="89">
        <f t="shared" si="2259"/>
        <v>-9.6006454215409875E-2</v>
      </c>
      <c r="CJ250" s="89">
        <f t="shared" si="2259"/>
        <v>5.8009817045961531E-2</v>
      </c>
      <c r="CK250" s="47">
        <f t="shared" si="2259"/>
        <v>3.5006326444539271E-2</v>
      </c>
      <c r="CL250" s="89">
        <f t="shared" si="2259"/>
        <v>0.84433577832110873</v>
      </c>
      <c r="CM250" s="47">
        <f t="shared" si="2259"/>
        <v>-0.43295316475232926</v>
      </c>
      <c r="CN250" s="47">
        <f t="shared" si="2259"/>
        <v>0.26123382667437189</v>
      </c>
      <c r="CO250" s="47">
        <f t="shared" si="2259"/>
        <v>-0.2190149707684983</v>
      </c>
      <c r="CP250" s="47">
        <f t="shared" si="2259"/>
        <v>1.3865731220471611</v>
      </c>
      <c r="CQ250" s="47">
        <f t="shared" si="2259"/>
        <v>-0.48896060619785942</v>
      </c>
      <c r="CR250" s="47">
        <f t="shared" si="2259"/>
        <v>0.27606113537272914</v>
      </c>
      <c r="CS250" s="47">
        <f t="shared" si="2259"/>
        <v>-0.2389775014878045</v>
      </c>
      <c r="CT250" s="47">
        <f t="shared" si="2259"/>
        <v>1.4814091413736663</v>
      </c>
      <c r="CU250" s="47">
        <f t="shared" si="2259"/>
        <v>-0.49873507382824123</v>
      </c>
      <c r="CV250" s="47">
        <f t="shared" si="2259"/>
        <v>0.27778432608351888</v>
      </c>
      <c r="CW250" s="47">
        <f t="shared" si="2259"/>
        <v>-0.23990113359073417</v>
      </c>
      <c r="CX250" s="47">
        <f t="shared" ref="CX250:DB250" si="2260">CX28/CW28-1</f>
        <v>1.4939449898401365</v>
      </c>
      <c r="CY250" s="47">
        <f t="shared" si="2260"/>
        <v>-0.50049190715656344</v>
      </c>
      <c r="CZ250" s="47">
        <f t="shared" si="2260"/>
        <v>0.27831463183690519</v>
      </c>
      <c r="DA250" s="47">
        <f t="shared" si="2260"/>
        <v>-0.23976259311711356</v>
      </c>
      <c r="DB250" s="47">
        <f t="shared" si="2260"/>
        <v>1.4952737746517339</v>
      </c>
      <c r="DE250" s="130"/>
      <c r="DF250" s="89">
        <v>0.47529134993824806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 t="str">
        <f t="shared" ref="D251:U251" si="2261">IF(D249&gt;D250,"RF",0)</f>
        <v>RF</v>
      </c>
      <c r="F251" s="103" t="str">
        <f t="shared" si="2261"/>
        <v>RF</v>
      </c>
      <c r="G251" s="103">
        <f t="shared" si="2261"/>
        <v>0</v>
      </c>
      <c r="H251" s="103" t="str">
        <f t="shared" si="2261"/>
        <v>RF</v>
      </c>
      <c r="I251" s="103" t="str">
        <f t="shared" si="2261"/>
        <v>RF</v>
      </c>
      <c r="J251" s="103">
        <f t="shared" si="2261"/>
        <v>0</v>
      </c>
      <c r="K251" s="103" t="e">
        <f t="shared" si="2261"/>
        <v>#DIV/0!</v>
      </c>
      <c r="L251" s="103" t="e">
        <f t="shared" si="2261"/>
        <v>#DIV/0!</v>
      </c>
      <c r="M251" s="103" t="e">
        <f t="shared" si="2261"/>
        <v>#DIV/0!</v>
      </c>
      <c r="N251" s="103" t="e">
        <f t="shared" si="2261"/>
        <v>#DIV/0!</v>
      </c>
      <c r="O251" s="103" t="e">
        <f t="shared" si="2261"/>
        <v>#DIV/0!</v>
      </c>
      <c r="P251" s="103" t="e">
        <f t="shared" si="2261"/>
        <v>#DIV/0!</v>
      </c>
      <c r="Q251" s="103" t="e">
        <f t="shared" si="2261"/>
        <v>#DIV/0!</v>
      </c>
      <c r="R251" s="103" t="e">
        <f t="shared" si="2261"/>
        <v>#DIV/0!</v>
      </c>
      <c r="S251" s="103" t="e">
        <f t="shared" si="2261"/>
        <v>#DIV/0!</v>
      </c>
      <c r="T251" s="103" t="e">
        <f t="shared" si="2261"/>
        <v>#DIV/0!</v>
      </c>
      <c r="U251" s="103" t="e">
        <f t="shared" si="2261"/>
        <v>#DIV/0!</v>
      </c>
      <c r="V251" s="103" t="e">
        <f>IF(V249&gt;V250,"RF",0)</f>
        <v>#DIV/0!</v>
      </c>
      <c r="W251" s="103" t="str">
        <f t="shared" ref="W251:AE251" si="2262">IF(W249&gt;W250,"RF",0)</f>
        <v>RF</v>
      </c>
      <c r="X251" s="103">
        <f t="shared" si="2262"/>
        <v>0</v>
      </c>
      <c r="Y251" s="103">
        <f t="shared" si="2262"/>
        <v>0</v>
      </c>
      <c r="Z251" s="103" t="str">
        <f t="shared" si="2262"/>
        <v>RF</v>
      </c>
      <c r="AA251" s="103" t="str">
        <f t="shared" ref="AA251" si="2263">IF(AA249&gt;AA250,"RF",0)</f>
        <v>RF</v>
      </c>
      <c r="AB251" s="73">
        <f t="shared" si="2262"/>
        <v>0</v>
      </c>
      <c r="AC251" s="73">
        <f t="shared" si="2262"/>
        <v>0</v>
      </c>
      <c r="AD251" s="73">
        <f t="shared" si="2262"/>
        <v>0</v>
      </c>
      <c r="AE251" s="73">
        <f t="shared" si="2262"/>
        <v>0</v>
      </c>
      <c r="AL251" s="103" t="e">
        <f t="shared" ref="AL251:CW251" si="2264">IF(AL249&gt;AL250,"RF",0)</f>
        <v>#DIV/0!</v>
      </c>
      <c r="AM251" s="103" t="e">
        <f t="shared" si="2264"/>
        <v>#DIV/0!</v>
      </c>
      <c r="AN251" s="103" t="e">
        <f t="shared" si="2264"/>
        <v>#DIV/0!</v>
      </c>
      <c r="AO251" s="103" t="e">
        <f t="shared" si="2264"/>
        <v>#DIV/0!</v>
      </c>
      <c r="AP251" s="103" t="e">
        <f t="shared" si="2264"/>
        <v>#DIV/0!</v>
      </c>
      <c r="AQ251" s="103" t="e">
        <f t="shared" si="2264"/>
        <v>#DIV/0!</v>
      </c>
      <c r="AR251" s="103" t="e">
        <f t="shared" si="2264"/>
        <v>#DIV/0!</v>
      </c>
      <c r="AS251" s="103" t="str">
        <f t="shared" si="2264"/>
        <v>RF</v>
      </c>
      <c r="AT251" s="103">
        <f t="shared" si="2264"/>
        <v>0</v>
      </c>
      <c r="AU251" s="103" t="e">
        <f t="shared" si="2264"/>
        <v>#DIV/0!</v>
      </c>
      <c r="AV251" s="103" t="e">
        <f t="shared" si="2264"/>
        <v>#DIV/0!</v>
      </c>
      <c r="AW251" s="103" t="str">
        <f t="shared" si="2264"/>
        <v>RF</v>
      </c>
      <c r="AX251" s="103">
        <f t="shared" si="2264"/>
        <v>0</v>
      </c>
      <c r="AY251" s="103" t="e">
        <f t="shared" si="2264"/>
        <v>#DIV/0!</v>
      </c>
      <c r="AZ251" s="103" t="e">
        <f t="shared" si="2264"/>
        <v>#DIV/0!</v>
      </c>
      <c r="BA251" s="103" t="e">
        <f t="shared" si="2264"/>
        <v>#DIV/0!</v>
      </c>
      <c r="BB251" s="103" t="e">
        <f t="shared" si="2264"/>
        <v>#DIV/0!</v>
      </c>
      <c r="BC251" s="103" t="e">
        <f t="shared" si="2264"/>
        <v>#DIV/0!</v>
      </c>
      <c r="BD251" s="103" t="e">
        <f t="shared" si="2264"/>
        <v>#DIV/0!</v>
      </c>
      <c r="BE251" s="103" t="e">
        <f t="shared" si="2264"/>
        <v>#DIV/0!</v>
      </c>
      <c r="BF251" s="103" t="e">
        <f t="shared" si="2264"/>
        <v>#DIV/0!</v>
      </c>
      <c r="BG251" s="103" t="e">
        <f t="shared" si="2264"/>
        <v>#DIV/0!</v>
      </c>
      <c r="BH251" s="103" t="e">
        <f t="shared" si="2264"/>
        <v>#DIV/0!</v>
      </c>
      <c r="BI251" s="103" t="e">
        <f t="shared" si="2264"/>
        <v>#DIV/0!</v>
      </c>
      <c r="BJ251" s="103" t="e">
        <f t="shared" si="2264"/>
        <v>#DIV/0!</v>
      </c>
      <c r="BK251" s="103" t="e">
        <f t="shared" si="2264"/>
        <v>#DIV/0!</v>
      </c>
      <c r="BL251" s="103" t="e">
        <f t="shared" si="2264"/>
        <v>#DIV/0!</v>
      </c>
      <c r="BM251" s="103" t="e">
        <f t="shared" si="2264"/>
        <v>#DIV/0!</v>
      </c>
      <c r="BN251" s="103" t="e">
        <f t="shared" si="2264"/>
        <v>#DIV/0!</v>
      </c>
      <c r="BO251" s="103" t="e">
        <f t="shared" si="2264"/>
        <v>#DIV/0!</v>
      </c>
      <c r="BP251" s="103" t="e">
        <f t="shared" si="2264"/>
        <v>#DIV/0!</v>
      </c>
      <c r="BQ251" s="103" t="e">
        <f t="shared" si="2264"/>
        <v>#DIV/0!</v>
      </c>
      <c r="BR251" s="103" t="e">
        <f t="shared" si="2264"/>
        <v>#DIV/0!</v>
      </c>
      <c r="BS251" s="103">
        <f t="shared" si="2264"/>
        <v>0</v>
      </c>
      <c r="BT251" s="103" t="str">
        <f t="shared" si="2264"/>
        <v>RF</v>
      </c>
      <c r="BU251" s="103">
        <f t="shared" si="2264"/>
        <v>0</v>
      </c>
      <c r="BV251" s="103" t="str">
        <f t="shared" si="2264"/>
        <v>RF</v>
      </c>
      <c r="BW251" s="103">
        <f t="shared" si="2264"/>
        <v>0</v>
      </c>
      <c r="BX251" s="103">
        <f t="shared" si="2264"/>
        <v>0</v>
      </c>
      <c r="BY251" s="103">
        <f t="shared" si="2264"/>
        <v>0</v>
      </c>
      <c r="BZ251" s="103" t="str">
        <f t="shared" si="2264"/>
        <v>RF</v>
      </c>
      <c r="CA251" s="103" t="str">
        <f t="shared" si="2264"/>
        <v>RF</v>
      </c>
      <c r="CB251" s="103">
        <f t="shared" si="2264"/>
        <v>0</v>
      </c>
      <c r="CC251" s="103">
        <f t="shared" si="2264"/>
        <v>0</v>
      </c>
      <c r="CD251" s="103" t="str">
        <f t="shared" si="2264"/>
        <v>RF</v>
      </c>
      <c r="CE251" s="103">
        <f t="shared" si="2264"/>
        <v>0</v>
      </c>
      <c r="CF251" s="103" t="str">
        <f t="shared" si="2264"/>
        <v>RF</v>
      </c>
      <c r="CG251" s="103">
        <f t="shared" si="2264"/>
        <v>0</v>
      </c>
      <c r="CH251" s="103" t="str">
        <f t="shared" si="2264"/>
        <v>RF</v>
      </c>
      <c r="CI251" s="103" t="str">
        <f t="shared" si="2264"/>
        <v>RF</v>
      </c>
      <c r="CJ251" s="103">
        <f t="shared" si="2264"/>
        <v>0</v>
      </c>
      <c r="CK251" s="73">
        <f t="shared" si="2264"/>
        <v>0</v>
      </c>
      <c r="CL251" s="103">
        <f t="shared" ref="CL251" si="2265">IF(CL249&gt;CL250,"RF",0)</f>
        <v>0</v>
      </c>
      <c r="CM251" s="73" t="str">
        <f t="shared" si="2264"/>
        <v>RF</v>
      </c>
      <c r="CN251" s="73">
        <f t="shared" si="2264"/>
        <v>0</v>
      </c>
      <c r="CO251" s="73" t="str">
        <f t="shared" si="2264"/>
        <v>RF</v>
      </c>
      <c r="CP251" s="73">
        <f t="shared" si="2264"/>
        <v>0</v>
      </c>
      <c r="CQ251" s="73" t="str">
        <f t="shared" si="2264"/>
        <v>RF</v>
      </c>
      <c r="CR251" s="73">
        <f t="shared" si="2264"/>
        <v>0</v>
      </c>
      <c r="CS251" s="73" t="str">
        <f t="shared" si="2264"/>
        <v>RF</v>
      </c>
      <c r="CT251" s="73">
        <f t="shared" si="2264"/>
        <v>0</v>
      </c>
      <c r="CU251" s="73" t="str">
        <f t="shared" si="2264"/>
        <v>RF</v>
      </c>
      <c r="CV251" s="73">
        <f t="shared" si="2264"/>
        <v>0</v>
      </c>
      <c r="CW251" s="73" t="str">
        <f t="shared" si="2264"/>
        <v>RF</v>
      </c>
      <c r="CX251" s="73">
        <f t="shared" ref="CX251:DB251" si="2266">IF(CX249&gt;CX250,"RF",0)</f>
        <v>0</v>
      </c>
      <c r="CY251" s="73" t="str">
        <f t="shared" si="2266"/>
        <v>RF</v>
      </c>
      <c r="CZ251" s="73">
        <f t="shared" si="2266"/>
        <v>0</v>
      </c>
      <c r="DA251" s="73" t="str">
        <f t="shared" si="2266"/>
        <v>RF</v>
      </c>
      <c r="DB251" s="73">
        <f t="shared" si="2266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7">F36/F8</f>
        <v>#DIV/0!</v>
      </c>
      <c r="G252" s="86">
        <f t="shared" si="2267"/>
        <v>0</v>
      </c>
      <c r="H252" s="86">
        <f t="shared" si="2267"/>
        <v>1.1909372546377122E-3</v>
      </c>
      <c r="I252" s="86">
        <f t="shared" si="2267"/>
        <v>0</v>
      </c>
      <c r="J252" s="86">
        <f t="shared" si="2267"/>
        <v>0</v>
      </c>
      <c r="K252" s="86">
        <f t="shared" si="2267"/>
        <v>1.7023589872212422E-6</v>
      </c>
      <c r="L252" s="86">
        <f t="shared" si="2267"/>
        <v>0</v>
      </c>
      <c r="M252" s="86">
        <f t="shared" si="2267"/>
        <v>2.5500096875454417E-2</v>
      </c>
      <c r="N252" s="86">
        <f t="shared" si="2267"/>
        <v>0.11254360403942373</v>
      </c>
      <c r="O252" s="86" t="e">
        <f t="shared" si="2267"/>
        <v>#DIV/0!</v>
      </c>
      <c r="P252" s="86">
        <f t="shared" si="2267"/>
        <v>1.207459122659422E-3</v>
      </c>
      <c r="Q252" s="86">
        <f t="shared" si="2267"/>
        <v>1.1260315896822096E-2</v>
      </c>
      <c r="R252" s="86">
        <f t="shared" si="2267"/>
        <v>4.1598176340691323E-2</v>
      </c>
      <c r="S252" s="86">
        <f t="shared" si="2267"/>
        <v>4.5311234632282853E-6</v>
      </c>
      <c r="T252" s="86">
        <f t="shared" si="2267"/>
        <v>2.7436912249895395E-5</v>
      </c>
      <c r="U252" s="86">
        <f t="shared" si="2267"/>
        <v>2.8119507908611601E-3</v>
      </c>
      <c r="V252" s="86">
        <f t="shared" si="2267"/>
        <v>3.031432476083986E-2</v>
      </c>
      <c r="W252" s="86">
        <f t="shared" si="2267"/>
        <v>2.1361346751783077E-2</v>
      </c>
      <c r="X252" s="86">
        <f t="shared" si="2267"/>
        <v>1.2391828534915949E-2</v>
      </c>
      <c r="Y252" s="86">
        <f t="shared" si="2267"/>
        <v>6.5701734928123633E-3</v>
      </c>
      <c r="Z252" s="86">
        <f t="shared" si="2267"/>
        <v>1.8047557935617388E-2</v>
      </c>
      <c r="AA252" s="86">
        <f t="shared" ref="AA252" si="2268">AA36/AA8</f>
        <v>2.7279093999282578E-2</v>
      </c>
      <c r="AB252" s="87">
        <f t="shared" si="2267"/>
        <v>-0.26450168217170095</v>
      </c>
      <c r="AC252" s="87">
        <f t="shared" si="2267"/>
        <v>-0.2799127292235507</v>
      </c>
      <c r="AD252" s="87">
        <f t="shared" si="2267"/>
        <v>-0.30642617841069175</v>
      </c>
      <c r="AE252" s="87">
        <f t="shared" si="2267"/>
        <v>-0.34439667466414181</v>
      </c>
      <c r="AL252" s="86" t="e">
        <f t="shared" ref="AL252:CW252" si="2269">AL36/AL8</f>
        <v>#DIV/0!</v>
      </c>
      <c r="AM252" s="86" t="e">
        <f t="shared" si="2269"/>
        <v>#DIV/0!</v>
      </c>
      <c r="AN252" s="86" t="e">
        <f t="shared" si="2269"/>
        <v>#DIV/0!</v>
      </c>
      <c r="AO252" s="86" t="e">
        <f t="shared" si="2269"/>
        <v>#DIV/0!</v>
      </c>
      <c r="AP252" s="86" t="e">
        <f t="shared" si="2269"/>
        <v>#DIV/0!</v>
      </c>
      <c r="AQ252" s="86" t="e">
        <f t="shared" si="2269"/>
        <v>#DIV/0!</v>
      </c>
      <c r="AR252" s="86" t="e">
        <f t="shared" si="2269"/>
        <v>#DIV/0!</v>
      </c>
      <c r="AS252" s="86">
        <f t="shared" si="2269"/>
        <v>1.0636052842611741E-3</v>
      </c>
      <c r="AT252" s="86">
        <f t="shared" si="2269"/>
        <v>8.622609509995945E-4</v>
      </c>
      <c r="AU252" s="86" t="e">
        <f t="shared" si="2269"/>
        <v>#DIV/0!</v>
      </c>
      <c r="AV252" s="86">
        <f t="shared" si="2269"/>
        <v>0</v>
      </c>
      <c r="AW252" s="86">
        <f t="shared" si="2269"/>
        <v>0</v>
      </c>
      <c r="AX252" s="86">
        <f t="shared" si="2269"/>
        <v>1.3705457263892351E-2</v>
      </c>
      <c r="AY252" s="86" t="e">
        <f t="shared" si="2269"/>
        <v>#DIV/0!</v>
      </c>
      <c r="AZ252" s="86">
        <f t="shared" si="2269"/>
        <v>0</v>
      </c>
      <c r="BA252" s="86">
        <f t="shared" si="2269"/>
        <v>9.3401641288363937E-2</v>
      </c>
      <c r="BB252" s="86">
        <f t="shared" si="2269"/>
        <v>0</v>
      </c>
      <c r="BC252" s="86" t="e">
        <f t="shared" si="2269"/>
        <v>#DIV/0!</v>
      </c>
      <c r="BD252" s="86">
        <f t="shared" si="2269"/>
        <v>0</v>
      </c>
      <c r="BE252" s="86">
        <f t="shared" si="2269"/>
        <v>0</v>
      </c>
      <c r="BF252" s="86">
        <f t="shared" si="2269"/>
        <v>0</v>
      </c>
      <c r="BG252" s="86" t="e">
        <f t="shared" si="2269"/>
        <v>#DIV/0!</v>
      </c>
      <c r="BH252" s="86" t="e">
        <f t="shared" si="2269"/>
        <v>#DIV/0!</v>
      </c>
      <c r="BI252" s="86">
        <f t="shared" si="2269"/>
        <v>0</v>
      </c>
      <c r="BJ252" s="86">
        <f t="shared" si="2269"/>
        <v>0</v>
      </c>
      <c r="BK252" s="86" t="e">
        <f t="shared" si="2269"/>
        <v>#DIV/0!</v>
      </c>
      <c r="BL252" s="86" t="e">
        <f t="shared" si="2269"/>
        <v>#DIV/0!</v>
      </c>
      <c r="BM252" s="86" t="e">
        <f t="shared" si="2269"/>
        <v>#DIV/0!</v>
      </c>
      <c r="BN252" s="86">
        <f t="shared" si="2269"/>
        <v>0</v>
      </c>
      <c r="BO252" s="86" t="e">
        <f t="shared" si="2269"/>
        <v>#DIV/0!</v>
      </c>
      <c r="BP252" s="86" t="e">
        <f t="shared" si="2269"/>
        <v>#DIV/0!</v>
      </c>
      <c r="BQ252" s="86" t="e">
        <f t="shared" si="2269"/>
        <v>#DIV/0!</v>
      </c>
      <c r="BR252" s="86">
        <f t="shared" si="2269"/>
        <v>2.9813664596273291E-2</v>
      </c>
      <c r="BS252" s="86">
        <f t="shared" si="2269"/>
        <v>3.8564542046063202E-2</v>
      </c>
      <c r="BT252" s="86">
        <f t="shared" si="2269"/>
        <v>2.6748133061778683E-2</v>
      </c>
      <c r="BU252" s="86">
        <f t="shared" si="2269"/>
        <v>7.6225045372050812E-3</v>
      </c>
      <c r="BV252" s="86">
        <f t="shared" si="2269"/>
        <v>3.1283990262599058E-2</v>
      </c>
      <c r="BW252" s="86">
        <f t="shared" si="2269"/>
        <v>1.4772212483504363E-2</v>
      </c>
      <c r="BX252" s="86">
        <f t="shared" si="2269"/>
        <v>3.6477349560513864E-2</v>
      </c>
      <c r="BY252" s="86">
        <f t="shared" si="2269"/>
        <v>1.6795356879932888E-2</v>
      </c>
      <c r="BZ252" s="86">
        <f t="shared" si="2269"/>
        <v>7.8745047383652327E-3</v>
      </c>
      <c r="CA252" s="86">
        <f t="shared" si="2269"/>
        <v>1.0108623071990055E-2</v>
      </c>
      <c r="CB252" s="86">
        <f t="shared" si="2269"/>
        <v>1.1666220198231986E-2</v>
      </c>
      <c r="CC252" s="86">
        <f t="shared" si="2269"/>
        <v>3.0571511423441652E-3</v>
      </c>
      <c r="CD252" s="86">
        <f t="shared" si="2269"/>
        <v>6.0922619582741483E-3</v>
      </c>
      <c r="CE252" s="86">
        <f t="shared" si="2269"/>
        <v>7.4571446252862184E-3</v>
      </c>
      <c r="CF252" s="86">
        <f t="shared" si="2269"/>
        <v>1.0376673238559717E-2</v>
      </c>
      <c r="CG252" s="86">
        <f t="shared" si="2269"/>
        <v>1.1780916293489494E-2</v>
      </c>
      <c r="CH252" s="86">
        <f t="shared" si="2269"/>
        <v>3.480340063761956E-2</v>
      </c>
      <c r="CI252" s="86">
        <f t="shared" si="2269"/>
        <v>4.1220912662435785E-2</v>
      </c>
      <c r="CJ252" s="86">
        <f t="shared" si="2269"/>
        <v>1.0650072558231055E-2</v>
      </c>
      <c r="CK252" s="87">
        <f t="shared" si="2269"/>
        <v>4.2014840564208837E-2</v>
      </c>
      <c r="CL252" s="86">
        <f t="shared" ref="CL252" si="2270">CL36/CL8</f>
        <v>2.4123172697459842E-2</v>
      </c>
      <c r="CM252" s="87">
        <f t="shared" si="2269"/>
        <v>-0.10061848252573802</v>
      </c>
      <c r="CN252" s="87">
        <f t="shared" si="2269"/>
        <v>-0.34249444693452269</v>
      </c>
      <c r="CO252" s="87">
        <f t="shared" si="2269"/>
        <v>-0.41478695288243406</v>
      </c>
      <c r="CP252" s="87">
        <f t="shared" si="2269"/>
        <v>-0.23182524623939235</v>
      </c>
      <c r="CQ252" s="87">
        <f t="shared" si="2269"/>
        <v>-0.10222391077432907</v>
      </c>
      <c r="CR252" s="87">
        <f t="shared" si="2269"/>
        <v>-0.36556894291798059</v>
      </c>
      <c r="CS252" s="87">
        <f t="shared" si="2269"/>
        <v>-0.44203651570329572</v>
      </c>
      <c r="CT252" s="87">
        <f t="shared" si="2269"/>
        <v>-0.24335677077609227</v>
      </c>
      <c r="CU252" s="87">
        <f t="shared" si="2269"/>
        <v>-0.13030647310489746</v>
      </c>
      <c r="CV252" s="87">
        <f t="shared" si="2269"/>
        <v>-0.39376452468827439</v>
      </c>
      <c r="CW252" s="87">
        <f t="shared" si="2269"/>
        <v>-0.48310676203985481</v>
      </c>
      <c r="CX252" s="87">
        <f t="shared" ref="CX252:DB252" si="2271">CX36/CX8</f>
        <v>-0.26225841802869304</v>
      </c>
      <c r="CY252" s="87">
        <f t="shared" si="2271"/>
        <v>-0.17396759110858814</v>
      </c>
      <c r="CZ252" s="87">
        <f t="shared" si="2271"/>
        <v>-0.43298395746051188</v>
      </c>
      <c r="DA252" s="87">
        <f t="shared" si="2271"/>
        <v>-0.5415988858194416</v>
      </c>
      <c r="DB252" s="87">
        <f t="shared" si="2271"/>
        <v>-0.28894747723048225</v>
      </c>
      <c r="DE252" s="141"/>
      <c r="DF252" s="86">
        <v>0.19351778474125139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2">F32/F8</f>
        <v>#DIV/0!</v>
      </c>
      <c r="G253" s="86">
        <f t="shared" si="2272"/>
        <v>9.8494262423060247E-4</v>
      </c>
      <c r="H253" s="86">
        <f t="shared" si="2272"/>
        <v>1.1997821528014128E-4</v>
      </c>
      <c r="I253" s="86">
        <f t="shared" si="2272"/>
        <v>3.3712769211963533E-5</v>
      </c>
      <c r="J253" s="86">
        <f t="shared" si="2272"/>
        <v>2.9520369898669222E-5</v>
      </c>
      <c r="K253" s="86">
        <f t="shared" si="2272"/>
        <v>2.5819111306188843E-5</v>
      </c>
      <c r="L253" s="86">
        <f t="shared" si="2272"/>
        <v>1.3727522968576839E-5</v>
      </c>
      <c r="M253" s="86">
        <f t="shared" si="2272"/>
        <v>1.1177937048275396E-5</v>
      </c>
      <c r="N253" s="86">
        <f t="shared" si="2272"/>
        <v>1.3492804250357125E-4</v>
      </c>
      <c r="O253" s="86" t="e">
        <f t="shared" si="2272"/>
        <v>#DIV/0!</v>
      </c>
      <c r="P253" s="86">
        <f t="shared" si="2272"/>
        <v>5.429753200996196E-6</v>
      </c>
      <c r="Q253" s="86">
        <f t="shared" si="2272"/>
        <v>3.810219699327687E-5</v>
      </c>
      <c r="R253" s="86">
        <f t="shared" si="2272"/>
        <v>4.1910225370193689E-5</v>
      </c>
      <c r="S253" s="86">
        <f t="shared" si="2272"/>
        <v>8.2384062967787017E-6</v>
      </c>
      <c r="T253" s="86">
        <f t="shared" si="2272"/>
        <v>5.487382449979079E-5</v>
      </c>
      <c r="U253" s="86">
        <f t="shared" si="2272"/>
        <v>7.0298769771529003E-4</v>
      </c>
      <c r="V253" s="86">
        <f t="shared" si="2272"/>
        <v>4.969561436203256E-4</v>
      </c>
      <c r="W253" s="86">
        <f t="shared" si="2272"/>
        <v>2.4370252191859017E-2</v>
      </c>
      <c r="X253" s="86">
        <f t="shared" si="2272"/>
        <v>6.2676998887717297E-3</v>
      </c>
      <c r="Y253" s="86">
        <f t="shared" si="2272"/>
        <v>5.6145555254834582E-3</v>
      </c>
      <c r="Z253" s="86">
        <f t="shared" si="2272"/>
        <v>7.1827399229988775E-3</v>
      </c>
      <c r="AA253" s="86">
        <f t="shared" ref="AA253" si="2273">AA32/AA8</f>
        <v>1.2998992193772098E-2</v>
      </c>
      <c r="AB253" s="87">
        <f t="shared" si="2272"/>
        <v>1.5758214417597345E-2</v>
      </c>
      <c r="AC253" s="87">
        <f t="shared" si="2272"/>
        <v>1.0762655327773613E-2</v>
      </c>
      <c r="AD253" s="87">
        <f t="shared" si="2272"/>
        <v>7.3427102804271916E-3</v>
      </c>
      <c r="AE253" s="87">
        <f t="shared" si="2272"/>
        <v>5.0081723632637732E-3</v>
      </c>
      <c r="AL253" s="86" t="e">
        <f t="shared" ref="AL253:CW253" si="2274">AL32/AL8</f>
        <v>#DIV/0!</v>
      </c>
      <c r="AM253" s="86" t="e">
        <f t="shared" si="2274"/>
        <v>#DIV/0!</v>
      </c>
      <c r="AN253" s="86" t="e">
        <f t="shared" si="2274"/>
        <v>#DIV/0!</v>
      </c>
      <c r="AO253" s="86" t="e">
        <f t="shared" si="2274"/>
        <v>#DIV/0!</v>
      </c>
      <c r="AP253" s="86" t="e">
        <f t="shared" si="2274"/>
        <v>#DIV/0!</v>
      </c>
      <c r="AQ253" s="86" t="e">
        <f t="shared" si="2274"/>
        <v>#DIV/0!</v>
      </c>
      <c r="AR253" s="86" t="e">
        <f t="shared" si="2274"/>
        <v>#DIV/0!</v>
      </c>
      <c r="AS253" s="86">
        <f t="shared" si="2274"/>
        <v>0</v>
      </c>
      <c r="AT253" s="86">
        <f t="shared" si="2274"/>
        <v>0</v>
      </c>
      <c r="AU253" s="86" t="e">
        <f t="shared" si="2274"/>
        <v>#DIV/0!</v>
      </c>
      <c r="AV253" s="86">
        <f t="shared" si="2274"/>
        <v>9.2893636785880163E-5</v>
      </c>
      <c r="AW253" s="86">
        <f t="shared" si="2274"/>
        <v>1.557996416608242E-4</v>
      </c>
      <c r="AX253" s="86">
        <f t="shared" si="2274"/>
        <v>1.8458528301538518E-5</v>
      </c>
      <c r="AY253" s="86" t="e">
        <f t="shared" si="2274"/>
        <v>#DIV/0!</v>
      </c>
      <c r="AZ253" s="86">
        <f t="shared" si="2274"/>
        <v>9.6394833236938498E-5</v>
      </c>
      <c r="BA253" s="86">
        <f t="shared" si="2274"/>
        <v>4.7436079882358525E-5</v>
      </c>
      <c r="BB253" s="86">
        <f t="shared" si="2274"/>
        <v>6.2908907901358831E-5</v>
      </c>
      <c r="BC253" s="86" t="e">
        <f t="shared" si="2274"/>
        <v>#DIV/0!</v>
      </c>
      <c r="BD253" s="86">
        <f t="shared" si="2274"/>
        <v>3.2693628011900479E-5</v>
      </c>
      <c r="BE253" s="86">
        <f t="shared" si="2274"/>
        <v>9.1411020512632997E-6</v>
      </c>
      <c r="BF253" s="86">
        <f t="shared" si="2274"/>
        <v>9.729235379391533E-6</v>
      </c>
      <c r="BG253" s="86" t="e">
        <f t="shared" si="2274"/>
        <v>#DIV/0!</v>
      </c>
      <c r="BH253" s="86" t="e">
        <f t="shared" si="2274"/>
        <v>#DIV/0!</v>
      </c>
      <c r="BI253" s="86">
        <f t="shared" si="2274"/>
        <v>0</v>
      </c>
      <c r="BJ253" s="86">
        <f t="shared" si="2274"/>
        <v>0</v>
      </c>
      <c r="BK253" s="86" t="e">
        <f t="shared" si="2274"/>
        <v>#DIV/0!</v>
      </c>
      <c r="BL253" s="86" t="e">
        <f t="shared" si="2274"/>
        <v>#DIV/0!</v>
      </c>
      <c r="BM253" s="86" t="e">
        <f t="shared" si="2274"/>
        <v>#DIV/0!</v>
      </c>
      <c r="BN253" s="86">
        <f t="shared" si="2274"/>
        <v>0</v>
      </c>
      <c r="BO253" s="86" t="e">
        <f t="shared" si="2274"/>
        <v>#DIV/0!</v>
      </c>
      <c r="BP253" s="86" t="e">
        <f t="shared" si="2274"/>
        <v>#DIV/0!</v>
      </c>
      <c r="BQ253" s="86" t="e">
        <f t="shared" si="2274"/>
        <v>#DIV/0!</v>
      </c>
      <c r="BR253" s="86">
        <f t="shared" si="2274"/>
        <v>0</v>
      </c>
      <c r="BS253" s="86">
        <f t="shared" si="2274"/>
        <v>7.5522228173540429E-2</v>
      </c>
      <c r="BT253" s="86">
        <f t="shared" si="2274"/>
        <v>4.4534962661235578E-2</v>
      </c>
      <c r="BU253" s="86">
        <f t="shared" si="2274"/>
        <v>1.7993259009592946E-2</v>
      </c>
      <c r="BV253" s="86">
        <f t="shared" si="2274"/>
        <v>1.8076345366965351E-2</v>
      </c>
      <c r="BW253" s="86">
        <f t="shared" si="2274"/>
        <v>7.8785133245356607E-3</v>
      </c>
      <c r="BX253" s="86">
        <f t="shared" si="2274"/>
        <v>1.9607843137254902E-2</v>
      </c>
      <c r="BY253" s="86">
        <f t="shared" si="2274"/>
        <v>1.0751767707031451E-2</v>
      </c>
      <c r="BZ253" s="86">
        <f t="shared" si="2274"/>
        <v>3.2085915732034996E-3</v>
      </c>
      <c r="CA253" s="86">
        <f t="shared" si="2274"/>
        <v>4.4559921193729878E-3</v>
      </c>
      <c r="CB253" s="86">
        <f t="shared" si="2274"/>
        <v>5.2504687918564158E-3</v>
      </c>
      <c r="CC253" s="86">
        <f t="shared" si="2274"/>
        <v>3.3625577650405049E-3</v>
      </c>
      <c r="CD253" s="86">
        <f t="shared" si="2274"/>
        <v>8.4896104907971788E-3</v>
      </c>
      <c r="CE253" s="86">
        <f t="shared" si="2274"/>
        <v>6.9311219753697634E-3</v>
      </c>
      <c r="CF253" s="86">
        <f t="shared" si="2274"/>
        <v>6.1222372107502332E-3</v>
      </c>
      <c r="CG253" s="86">
        <f t="shared" si="2274"/>
        <v>9.7485359972442308E-3</v>
      </c>
      <c r="CH253" s="86">
        <f t="shared" si="2274"/>
        <v>6.6418703506907545E-3</v>
      </c>
      <c r="CI253" s="86">
        <f t="shared" si="2274"/>
        <v>1.0093683892414627E-2</v>
      </c>
      <c r="CJ253" s="86">
        <f t="shared" si="2274"/>
        <v>1.4610030253092949E-2</v>
      </c>
      <c r="CK253" s="87">
        <f t="shared" si="2274"/>
        <v>2.1792900594959554E-2</v>
      </c>
      <c r="CL253" s="86">
        <f t="shared" ref="CL253" si="2275">CL32/CL8</f>
        <v>9.7687732755266533E-3</v>
      </c>
      <c r="CM253" s="87">
        <f t="shared" si="2274"/>
        <v>2.3608347433211066E-2</v>
      </c>
      <c r="CN253" s="87">
        <f t="shared" si="2274"/>
        <v>1.7844748201980391E-2</v>
      </c>
      <c r="CO253" s="87">
        <f t="shared" si="2274"/>
        <v>2.2538997355191877E-2</v>
      </c>
      <c r="CP253" s="87">
        <f t="shared" si="2274"/>
        <v>8.6199143608980695E-3</v>
      </c>
      <c r="CQ253" s="87">
        <f t="shared" si="2274"/>
        <v>1.6332325464862719E-2</v>
      </c>
      <c r="CR253" s="87">
        <f t="shared" si="2274"/>
        <v>1.2220422806073576E-2</v>
      </c>
      <c r="CS253" s="87">
        <f t="shared" si="2274"/>
        <v>1.53378412933503E-2</v>
      </c>
      <c r="CT253" s="87">
        <f t="shared" si="2274"/>
        <v>5.8560849164372005E-3</v>
      </c>
      <c r="CU253" s="87">
        <f t="shared" si="2274"/>
        <v>1.1172751184435751E-2</v>
      </c>
      <c r="CV253" s="87">
        <f t="shared" si="2274"/>
        <v>8.3366052149209148E-3</v>
      </c>
      <c r="CW253" s="87">
        <f t="shared" si="2274"/>
        <v>1.0453218950458523E-2</v>
      </c>
      <c r="CX253" s="87">
        <f t="shared" ref="CX253:DB253" si="2276">CX32/CX8</f>
        <v>3.9926143946003205E-3</v>
      </c>
      <c r="CY253" s="87">
        <f t="shared" si="2276"/>
        <v>7.6242545535602797E-3</v>
      </c>
      <c r="CZ253" s="87">
        <f t="shared" si="2276"/>
        <v>5.6853630318633459E-3</v>
      </c>
      <c r="DA253" s="87">
        <f t="shared" si="2276"/>
        <v>7.1282924589783974E-3</v>
      </c>
      <c r="DB253" s="87">
        <f t="shared" si="2276"/>
        <v>2.7230478119758105E-3</v>
      </c>
      <c r="DE253" s="141"/>
      <c r="DF253" s="86">
        <v>1.1164662328207717E-2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112463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Lloyds Enterprises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80.784000000000006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118.465</v>
      </c>
      <c r="N6">
        <f>_xll.EQNXTDZ($A$1,$B6,N$1,$B$1)</f>
        <v>175.12100000000001</v>
      </c>
      <c r="O6">
        <f>_xll.EQNXTDZ($A$1,$B6,O$1,$B$1)</f>
        <v>0</v>
      </c>
      <c r="P6">
        <f>_xll.EQNXTDZ($A$1,$B6,P$1,$B$1)</f>
        <v>10.765000000000001</v>
      </c>
      <c r="Q6">
        <f>_xll.EQNXTDZ($A$1,$B6,Q$1,$B$1)</f>
        <v>12.837</v>
      </c>
      <c r="R6">
        <f>_xll.EQNXTDZ($A$1,$B6,R$1,$B$1)</f>
        <v>108.351</v>
      </c>
      <c r="S6">
        <f>_xll.EQNXTDZ($A$1,$B6,S$1,$B$1)</f>
        <v>0</v>
      </c>
      <c r="T6">
        <f>_xll.EQNXTDZ($A$1,$B6,T$1,$B$1)</f>
        <v>10.374000000000001</v>
      </c>
      <c r="U6">
        <f>_xll.EQNXTDZ($A$1,$B6,U$1,$B$1)</f>
        <v>21.081</v>
      </c>
      <c r="V6">
        <f>_xll.EQNXTDZ($A$1,$B6,V$1,$B$1)</f>
        <v>15.896000000000001</v>
      </c>
      <c r="W6">
        <f>_xll.EQNXTDZ($A$1,$B6,W$1,$B$1)</f>
        <v>0</v>
      </c>
      <c r="X6">
        <f>_xll.EQNXTDZ($A$1,$B6,X$1,$B$1)</f>
        <v>30.587</v>
      </c>
      <c r="Y6">
        <f>_xll.EQNXTDZ($A$1,$B6,Y$1,$B$1)</f>
        <v>109.396</v>
      </c>
      <c r="Z6">
        <f>_xll.EQNXTDZ($A$1,$B6,Z$1,$B$1)</f>
        <v>102.783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12.106999999999999</v>
      </c>
      <c r="AD6">
        <f>_xll.EQNXTDZ($A$1,$B6,AD$1,$B$1)</f>
        <v>2.472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0.56899999999999995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0.80500000000000005</v>
      </c>
      <c r="AM6">
        <f>_xll.EQNXTDZ($A$1,$B6,AM$1,$B$1)</f>
        <v>1.867</v>
      </c>
      <c r="AN6">
        <f>_xll.EQNXTDZ($A$1,$B6,AN$1,$B$1)</f>
        <v>7.3650000000000002</v>
      </c>
      <c r="AO6">
        <f>_xll.EQNXTDZ($A$1,$B6,AO$1,$B$1)</f>
        <v>19.285</v>
      </c>
      <c r="AP6">
        <f>_xll.EQNXTDZ($A$1,$B6,AP$1,$B$1)</f>
        <v>19.306999999999999</v>
      </c>
      <c r="AQ6">
        <f>_xll.EQNXTDZ($A$1,$B6,AQ$1,$B$1)</f>
        <v>50.771000000000001</v>
      </c>
      <c r="AR6">
        <f>_xll.EQNXTDZ($A$1,$B6,AR$1,$B$1)</f>
        <v>29.58</v>
      </c>
      <c r="AS6">
        <f>_xll.EQNXTDZ($A$1,$B6,AS$1,$B$1)</f>
        <v>58.408999999999999</v>
      </c>
      <c r="AT6">
        <f>_xll.EQNXTDZ($A$1,$B6,AT$1,$B$1)</f>
        <v>241.53899999999999</v>
      </c>
      <c r="AU6">
        <f>_xll.EQNXTDZ($A$1,$B6,AU$1,$B$1)</f>
        <v>151.25700000000001</v>
      </c>
      <c r="AV6">
        <f>_xll.EQNXTDZ($A$1,$B6,AV$1,$B$1)</f>
        <v>149.32</v>
      </c>
      <c r="AW6">
        <f>_xll.EQNXTDZ($A$1,$B6,AW$1,$B$1)</f>
        <v>324.15800000000002</v>
      </c>
      <c r="AX6">
        <f>_xll.EQNXTDZ($A$1,$B6,AX$1,$B$1)</f>
        <v>333.702</v>
      </c>
      <c r="AY6">
        <f>_xll.EQNXTDZ($A$1,$B6,AY$1,$B$1)</f>
        <v>323.18</v>
      </c>
      <c r="AZ6">
        <f>_xll.EQNXTDZ($A$1,$B6,AZ$1,$B$1)</f>
        <v>385.48</v>
      </c>
      <c r="BA6">
        <f>_xll.EQNXTDZ($A$1,$B6,BA$1,$B$1)</f>
        <v>290.3</v>
      </c>
      <c r="BB6">
        <f>_xll.EQNXTDZ($A$1,$B6,BB$1,$B$1)</f>
        <v>489.32</v>
      </c>
      <c r="BC6">
        <f>_xll.EQNXTDZ($A$1,$B6,BC$1,$B$1)</f>
        <v>330.9</v>
      </c>
      <c r="BD6">
        <f>_xll.EQNXTDZ($A$1,$B6,BD$1,$B$1)</f>
        <v>406.57</v>
      </c>
      <c r="BE6">
        <f>_xll.EQNXTDZ($A$1,$B6,BE$1,$B$1)</f>
        <v>299.18</v>
      </c>
      <c r="BF6">
        <f>_xll.EQNXTDZ($A$1,$B6,BF$1,$B$1)</f>
        <v>719.64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80.784000000000006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118.465</v>
      </c>
      <c r="N9">
        <f>_xll.EQNXTDZ($A$1,$B9,N$1,$B$1)</f>
        <v>175.12100000000001</v>
      </c>
      <c r="O9">
        <f>_xll.EQNXTDZ($A$1,$B9,O$1,$B$1)</f>
        <v>0</v>
      </c>
      <c r="P9">
        <f>_xll.EQNXTDZ($A$1,$B9,P$1,$B$1)</f>
        <v>10.765000000000001</v>
      </c>
      <c r="Q9">
        <f>_xll.EQNXTDZ($A$1,$B9,Q$1,$B$1)</f>
        <v>12.837</v>
      </c>
      <c r="R9">
        <f>_xll.EQNXTDZ($A$1,$B9,R$1,$B$1)</f>
        <v>108.351</v>
      </c>
      <c r="S9">
        <f>_xll.EQNXTDZ($A$1,$B9,S$1,$B$1)</f>
        <v>0</v>
      </c>
      <c r="T9">
        <f>_xll.EQNXTDZ($A$1,$B9,T$1,$B$1)</f>
        <v>10.374000000000001</v>
      </c>
      <c r="U9">
        <f>_xll.EQNXTDZ($A$1,$B9,U$1,$B$1)</f>
        <v>21.081</v>
      </c>
      <c r="V9">
        <f>_xll.EQNXTDZ($A$1,$B9,V$1,$B$1)</f>
        <v>15.896000000000001</v>
      </c>
      <c r="W9">
        <f>_xll.EQNXTDZ($A$1,$B9,W$1,$B$1)</f>
        <v>0</v>
      </c>
      <c r="X9">
        <f>_xll.EQNXTDZ($A$1,$B9,X$1,$B$1)</f>
        <v>30.587</v>
      </c>
      <c r="Y9">
        <f>_xll.EQNXTDZ($A$1,$B9,Y$1,$B$1)</f>
        <v>109.396</v>
      </c>
      <c r="Z9">
        <f>_xll.EQNXTDZ($A$1,$B9,Z$1,$B$1)</f>
        <v>102.783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12.106999999999999</v>
      </c>
      <c r="AD9">
        <f>_xll.EQNXTDZ($A$1,$B9,AD$1,$B$1)</f>
        <v>2.472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0.56899999999999995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0.80500000000000005</v>
      </c>
      <c r="AM9">
        <f>_xll.EQNXTDZ($A$1,$B9,AM$1,$B$1)</f>
        <v>1.867</v>
      </c>
      <c r="AN9">
        <f>_xll.EQNXTDZ($A$1,$B9,AN$1,$B$1)</f>
        <v>7.3650000000000002</v>
      </c>
      <c r="AO9">
        <f>_xll.EQNXTDZ($A$1,$B9,AO$1,$B$1)</f>
        <v>19.285</v>
      </c>
      <c r="AP9">
        <f>_xll.EQNXTDZ($A$1,$B9,AP$1,$B$1)</f>
        <v>19.306999999999999</v>
      </c>
      <c r="AQ9">
        <f>_xll.EQNXTDZ($A$1,$B9,AQ$1,$B$1)</f>
        <v>50.771000000000001</v>
      </c>
      <c r="AR9">
        <f>_xll.EQNXTDZ($A$1,$B9,AR$1,$B$1)</f>
        <v>29.58</v>
      </c>
      <c r="AS9">
        <f>_xll.EQNXTDZ($A$1,$B9,AS$1,$B$1)</f>
        <v>58.408999999999999</v>
      </c>
      <c r="AT9">
        <f>_xll.EQNXTDZ($A$1,$B9,AT$1,$B$1)</f>
        <v>241.53899999999999</v>
      </c>
      <c r="AU9">
        <f>_xll.EQNXTDZ($A$1,$B9,AU$1,$B$1)</f>
        <v>151.25700000000001</v>
      </c>
      <c r="AV9">
        <f>_xll.EQNXTDZ($A$1,$B9,AV$1,$B$1)</f>
        <v>149.32</v>
      </c>
      <c r="AW9">
        <f>_xll.EQNXTDZ($A$1,$B9,AW$1,$B$1)</f>
        <v>324.15800000000002</v>
      </c>
      <c r="AX9">
        <f>_xll.EQNXTDZ($A$1,$B9,AX$1,$B$1)</f>
        <v>333.702</v>
      </c>
      <c r="AY9">
        <f>_xll.EQNXTDZ($A$1,$B9,AY$1,$B$1)</f>
        <v>323.18</v>
      </c>
      <c r="AZ9">
        <f>_xll.EQNXTDZ($A$1,$B9,AZ$1,$B$1)</f>
        <v>385.48</v>
      </c>
      <c r="BA9">
        <f>_xll.EQNXTDZ($A$1,$B9,BA$1,$B$1)</f>
        <v>290.3</v>
      </c>
      <c r="BB9">
        <f>_xll.EQNXTDZ($A$1,$B9,BB$1,$B$1)</f>
        <v>489.32</v>
      </c>
      <c r="BC9">
        <f>_xll.EQNXTDZ($A$1,$B9,BC$1,$B$1)</f>
        <v>330.9</v>
      </c>
      <c r="BD9">
        <f>_xll.EQNXTDZ($A$1,$B9,BD$1,$B$1)</f>
        <v>406.57</v>
      </c>
      <c r="BE9">
        <f>_xll.EQNXTDZ($A$1,$B9,BE$1,$B$1)</f>
        <v>299.18</v>
      </c>
      <c r="BF9">
        <f>_xll.EQNXTDZ($A$1,$B9,BF$1,$B$1)</f>
        <v>719.64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-0.191</v>
      </c>
      <c r="AN10">
        <f>_xll.EQNXTDZ($A$1,$B10,AN$1,$B$1)</f>
        <v>-0.65100000000000002</v>
      </c>
      <c r="AO10">
        <f>_xll.EQNXTDZ($A$1,$B10,AO$1,$B$1)</f>
        <v>-9.9619999999999997</v>
      </c>
      <c r="AP10">
        <f>_xll.EQNXTDZ($A$1,$B10,AP$1,$B$1)</f>
        <v>-15.202</v>
      </c>
      <c r="AQ10">
        <f>_xll.EQNXTDZ($A$1,$B10,AQ$1,$B$1)</f>
        <v>-0.45400000000000001</v>
      </c>
      <c r="AR10">
        <f>_xll.EQNXTDZ($A$1,$B10,AR$1,$B$1)</f>
        <v>-26.597999999999999</v>
      </c>
      <c r="AS10">
        <f>_xll.EQNXTDZ($A$1,$B10,AS$1,$B$1)</f>
        <v>-52.725999999999999</v>
      </c>
      <c r="AT10">
        <f>_xll.EQNXTDZ($A$1,$B10,AT$1,$B$1)</f>
        <v>30.800999999999998</v>
      </c>
      <c r="AU10">
        <f>_xll.EQNXTDZ($A$1,$B10,AU$1,$B$1)</f>
        <v>-24.263000000000002</v>
      </c>
      <c r="AV10">
        <f>_xll.EQNXTDZ($A$1,$B10,AV$1,$B$1)</f>
        <v>-6.306</v>
      </c>
      <c r="AW10">
        <f>_xll.EQNXTDZ($A$1,$B10,AW$1,$B$1)</f>
        <v>-17.456</v>
      </c>
      <c r="AX10">
        <f>_xll.EQNXTDZ($A$1,$B10,AX$1,$B$1)</f>
        <v>47.183999999999997</v>
      </c>
      <c r="AY10">
        <f>_xll.EQNXTDZ($A$1,$B10,AY$1,$B$1)</f>
        <v>29.13</v>
      </c>
      <c r="AZ10">
        <f>_xll.EQNXTDZ($A$1,$B10,AZ$1,$B$1)</f>
        <v>23.82</v>
      </c>
      <c r="BA10">
        <f>_xll.EQNXTDZ($A$1,$B10,BA$1,$B$1)</f>
        <v>11</v>
      </c>
      <c r="BB10">
        <f>_xll.EQNXTDZ($A$1,$B10,BB$1,$B$1)</f>
        <v>23.32</v>
      </c>
      <c r="BC10">
        <f>_xll.EQNXTDZ($A$1,$B10,BC$1,$B$1)</f>
        <v>8.68</v>
      </c>
      <c r="BD10">
        <f>_xll.EQNXTDZ($A$1,$B10,BD$1,$B$1)</f>
        <v>6.68</v>
      </c>
      <c r="BE10">
        <f>_xll.EQNXTDZ($A$1,$B10,BE$1,$B$1)</f>
        <v>-12.88</v>
      </c>
      <c r="BF10">
        <f>_xll.EQNXTDZ($A$1,$B10,BF$1,$B$1)</f>
        <v>-20.47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0.35299999999999998</v>
      </c>
      <c r="AN11">
        <f>_xll.EQNXTDZ($A$1,$B11,AN$1,$B$1)</f>
        <v>1.1140000000000001</v>
      </c>
      <c r="AO11">
        <f>_xll.EQNXTDZ($A$1,$B11,AO$1,$B$1)</f>
        <v>16.395</v>
      </c>
      <c r="AP11">
        <f>_xll.EQNXTDZ($A$1,$B11,AP$1,$B$1)</f>
        <v>18.594000000000001</v>
      </c>
      <c r="AQ11">
        <f>_xll.EQNXTDZ($A$1,$B11,AQ$1,$B$1)</f>
        <v>24.95</v>
      </c>
      <c r="AR11">
        <f>_xll.EQNXTDZ($A$1,$B11,AR$1,$B$1)</f>
        <v>31.827000000000002</v>
      </c>
      <c r="AS11">
        <f>_xll.EQNXTDZ($A$1,$B11,AS$1,$B$1)</f>
        <v>67.998000000000005</v>
      </c>
      <c r="AT11">
        <f>_xll.EQNXTDZ($A$1,$B11,AT$1,$B$1)</f>
        <v>104.88</v>
      </c>
      <c r="AU11">
        <f>_xll.EQNXTDZ($A$1,$B11,AU$1,$B$1)</f>
        <v>105.113</v>
      </c>
      <c r="AV11">
        <f>_xll.EQNXTDZ($A$1,$B11,AV$1,$B$1)</f>
        <v>75.596000000000004</v>
      </c>
      <c r="AW11">
        <f>_xll.EQNXTDZ($A$1,$B11,AW$1,$B$1)</f>
        <v>103.11199999999999</v>
      </c>
      <c r="AX11">
        <f>_xll.EQNXTDZ($A$1,$B11,AX$1,$B$1)</f>
        <v>52.646000000000001</v>
      </c>
      <c r="AY11">
        <f>_xll.EQNXTDZ($A$1,$B11,AY$1,$B$1)</f>
        <v>48.83</v>
      </c>
      <c r="AZ11">
        <f>_xll.EQNXTDZ($A$1,$B11,AZ$1,$B$1)</f>
        <v>117.48</v>
      </c>
      <c r="BA11">
        <f>_xll.EQNXTDZ($A$1,$B11,BA$1,$B$1)</f>
        <v>152.33000000000001</v>
      </c>
      <c r="BB11">
        <f>_xll.EQNXTDZ($A$1,$B11,BB$1,$B$1)</f>
        <v>110.61</v>
      </c>
      <c r="BC11">
        <f>_xll.EQNXTDZ($A$1,$B11,BC$1,$B$1)</f>
        <v>115.02</v>
      </c>
      <c r="BD11">
        <f>_xll.EQNXTDZ($A$1,$B11,BD$1,$B$1)</f>
        <v>145.52000000000001</v>
      </c>
      <c r="BE11">
        <f>_xll.EQNXTDZ($A$1,$B11,BE$1,$B$1)</f>
        <v>123.14</v>
      </c>
      <c r="BF11">
        <f>_xll.EQNXTDZ($A$1,$B11,BF$1,$B$1)</f>
        <v>298.74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78.475999999999999</v>
      </c>
      <c r="D12">
        <f>_xll.EQNXTDZ($A$1,$B12,D$1,$B$1)</f>
        <v>0.122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0.249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117.029</v>
      </c>
      <c r="N12">
        <f>_xll.EQNXTDZ($A$1,$B12,N$1,$B$1)</f>
        <v>173.90299999999999</v>
      </c>
      <c r="O12">
        <f>_xll.EQNXTDZ($A$1,$B12,O$1,$B$1)</f>
        <v>0</v>
      </c>
      <c r="P12">
        <f>_xll.EQNXTDZ($A$1,$B12,P$1,$B$1)</f>
        <v>10.744</v>
      </c>
      <c r="Q12">
        <f>_xll.EQNXTDZ($A$1,$B12,Q$1,$B$1)</f>
        <v>12.760999999999999</v>
      </c>
      <c r="R12">
        <f>_xll.EQNXTDZ($A$1,$B12,R$1,$B$1)</f>
        <v>107.97</v>
      </c>
      <c r="S12">
        <f>_xll.EQNXTDZ($A$1,$B12,S$1,$B$1)</f>
        <v>0</v>
      </c>
      <c r="T12">
        <f>_xll.EQNXTDZ($A$1,$B12,T$1,$B$1)</f>
        <v>10.343</v>
      </c>
      <c r="U12">
        <f>_xll.EQNXTDZ($A$1,$B12,U$1,$B$1)</f>
        <v>21.042000000000002</v>
      </c>
      <c r="V12">
        <f>_xll.EQNXTDZ($A$1,$B12,V$1,$B$1)</f>
        <v>15.864000000000001</v>
      </c>
      <c r="W12">
        <f>_xll.EQNXTDZ($A$1,$B12,W$1,$B$1)</f>
        <v>0</v>
      </c>
      <c r="X12">
        <f>_xll.EQNXTDZ($A$1,$B12,X$1,$B$1)</f>
        <v>30.2</v>
      </c>
      <c r="Y12">
        <f>_xll.EQNXTDZ($A$1,$B12,Y$1,$B$1)</f>
        <v>108.72</v>
      </c>
      <c r="Z12">
        <f>_xll.EQNXTDZ($A$1,$B12,Z$1,$B$1)</f>
        <v>102.59099999999999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10.637</v>
      </c>
      <c r="AD12">
        <f>_xll.EQNXTDZ($A$1,$B12,AD$1,$B$1)</f>
        <v>2.1579999999999999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0.56699999999999995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0.80300000000000005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1.04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68.36</v>
      </c>
      <c r="AU12">
        <f>_xll.EQNXTDZ($A$1,$B12,AU$1,$B$1)</f>
        <v>33.094999999999999</v>
      </c>
      <c r="AV12">
        <f>_xll.EQNXTDZ($A$1,$B12,AV$1,$B$1)</f>
        <v>25.507999999999999</v>
      </c>
      <c r="AW12">
        <f>_xll.EQNXTDZ($A$1,$B12,AW$1,$B$1)</f>
        <v>161.93799999999999</v>
      </c>
      <c r="AX12">
        <f>_xll.EQNXTDZ($A$1,$B12,AX$1,$B$1)</f>
        <v>160.374</v>
      </c>
      <c r="AY12">
        <f>_xll.EQNXTDZ($A$1,$B12,AY$1,$B$1)</f>
        <v>170.36</v>
      </c>
      <c r="AZ12">
        <f>_xll.EQNXTDZ($A$1,$B12,AZ$1,$B$1)</f>
        <v>168.9</v>
      </c>
      <c r="BA12">
        <f>_xll.EQNXTDZ($A$1,$B12,BA$1,$B$1)</f>
        <v>36.409999999999997</v>
      </c>
      <c r="BB12">
        <f>_xll.EQNXTDZ($A$1,$B12,BB$1,$B$1)</f>
        <v>217.39</v>
      </c>
      <c r="BC12">
        <f>_xll.EQNXTDZ($A$1,$B12,BC$1,$B$1)</f>
        <v>109.56</v>
      </c>
      <c r="BD12">
        <f>_xll.EQNXTDZ($A$1,$B12,BD$1,$B$1)</f>
        <v>108.6</v>
      </c>
      <c r="BE12">
        <f>_xll.EQNXTDZ($A$1,$B12,BE$1,$B$1)</f>
        <v>75.37</v>
      </c>
      <c r="BF12">
        <f>_xll.EQNXTDZ($A$1,$B12,BF$1,$B$1)</f>
        <v>241.2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0.76800000000000002</v>
      </c>
      <c r="D14">
        <f>_xll.EQNXTDZ($A$1,$B14,D$1,$B$1)</f>
        <v>0</v>
      </c>
      <c r="E14">
        <f>_xll.EQNXTDZ($A$1,$B14,E$1,$B$1)</f>
        <v>0.16400000000000001</v>
      </c>
      <c r="F14">
        <f>_xll.EQNXTDZ($A$1,$B14,F$1,$B$1)</f>
        <v>0.436</v>
      </c>
      <c r="G14">
        <f>_xll.EQNXTDZ($A$1,$B14,G$1,$B$1)</f>
        <v>0.20699999999999999</v>
      </c>
      <c r="H14">
        <f>_xll.EQNXTDZ($A$1,$B14,H$1,$B$1)</f>
        <v>0</v>
      </c>
      <c r="I14">
        <f>_xll.EQNXTDZ($A$1,$B14,I$1,$B$1)</f>
        <v>0.39200000000000002</v>
      </c>
      <c r="J14">
        <f>_xll.EQNXTDZ($A$1,$B14,J$1,$B$1)</f>
        <v>-0.02</v>
      </c>
      <c r="K14">
        <f>_xll.EQNXTDZ($A$1,$B14,K$1,$B$1)</f>
        <v>0.215</v>
      </c>
      <c r="L14">
        <f>_xll.EQNXTDZ($A$1,$B14,L$1,$B$1)</f>
        <v>0.20200000000000001</v>
      </c>
      <c r="M14">
        <f>_xll.EQNXTDZ($A$1,$B14,M$1,$B$1)</f>
        <v>0.106</v>
      </c>
      <c r="N14">
        <f>_xll.EQNXTDZ($A$1,$B14,N$1,$B$1)</f>
        <v>0.42399999999999999</v>
      </c>
      <c r="O14">
        <f>_xll.EQNXTDZ($A$1,$B14,O$1,$B$1)</f>
        <v>0.30599999999999999</v>
      </c>
      <c r="P14">
        <f>_xll.EQNXTDZ($A$1,$B14,P$1,$B$1)</f>
        <v>0.37</v>
      </c>
      <c r="Q14">
        <f>_xll.EQNXTDZ($A$1,$B14,Q$1,$B$1)</f>
        <v>0.38200000000000001</v>
      </c>
      <c r="R14">
        <f>_xll.EQNXTDZ($A$1,$B14,R$1,$B$1)</f>
        <v>3.6139999999999999</v>
      </c>
      <c r="S14">
        <f>_xll.EQNXTDZ($A$1,$B14,S$1,$B$1)</f>
        <v>9.0999999999999998E-2</v>
      </c>
      <c r="T14">
        <f>_xll.EQNXTDZ($A$1,$B14,T$1,$B$1)</f>
        <v>6.5000000000000002E-2</v>
      </c>
      <c r="U14">
        <f>_xll.EQNXTDZ($A$1,$B14,U$1,$B$1)</f>
        <v>1.042</v>
      </c>
      <c r="V14">
        <f>_xll.EQNXTDZ($A$1,$B14,V$1,$B$1)</f>
        <v>9.1999999999999998E-2</v>
      </c>
      <c r="W14">
        <f>_xll.EQNXTDZ($A$1,$B14,W$1,$B$1)</f>
        <v>0.11</v>
      </c>
      <c r="X14">
        <f>_xll.EQNXTDZ($A$1,$B14,X$1,$B$1)</f>
        <v>0.06</v>
      </c>
      <c r="Y14">
        <f>_xll.EQNXTDZ($A$1,$B14,Y$1,$B$1)</f>
        <v>0.124</v>
      </c>
      <c r="Z14">
        <f>_xll.EQNXTDZ($A$1,$B14,Z$1,$B$1)</f>
        <v>5.5019999999999998</v>
      </c>
      <c r="AA14">
        <f>_xll.EQNXTDZ($A$1,$B14,AA$1,$B$1)</f>
        <v>9.0999999999999998E-2</v>
      </c>
      <c r="AB14">
        <f>_xll.EQNXTDZ($A$1,$B14,AB$1,$B$1)</f>
        <v>2.9849999999999999</v>
      </c>
      <c r="AC14">
        <f>_xll.EQNXTDZ($A$1,$B14,AC$1,$B$1)</f>
        <v>2.4590000000000001</v>
      </c>
      <c r="AD14">
        <f>_xll.EQNXTDZ($A$1,$B14,AD$1,$B$1)</f>
        <v>2.8879999999999999</v>
      </c>
      <c r="AE14">
        <f>_xll.EQNXTDZ($A$1,$B14,AE$1,$B$1)</f>
        <v>0.10199999999999999</v>
      </c>
      <c r="AF14">
        <f>_xll.EQNXTDZ($A$1,$B14,AF$1,$B$1)</f>
        <v>0.06</v>
      </c>
      <c r="AG14">
        <f>_xll.EQNXTDZ($A$1,$B14,AG$1,$B$1)</f>
        <v>7.5999999999999998E-2</v>
      </c>
      <c r="AH14">
        <f>_xll.EQNXTDZ($A$1,$B14,AH$1,$B$1)</f>
        <v>0.126</v>
      </c>
      <c r="AI14">
        <f>_xll.EQNXTDZ($A$1,$B14,AI$1,$B$1)</f>
        <v>7.8E-2</v>
      </c>
      <c r="AJ14">
        <f>_xll.EQNXTDZ($A$1,$B14,AJ$1,$B$1)</f>
        <v>3.7999999999999999E-2</v>
      </c>
      <c r="AK14">
        <f>_xll.EQNXTDZ($A$1,$B14,AK$1,$B$1)</f>
        <v>0.04</v>
      </c>
      <c r="AL14">
        <f>_xll.EQNXTDZ($A$1,$B14,AL$1,$B$1)</f>
        <v>0.249</v>
      </c>
      <c r="AM14">
        <f>_xll.EQNXTDZ($A$1,$B14,AM$1,$B$1)</f>
        <v>2.5609999999999999</v>
      </c>
      <c r="AN14">
        <f>_xll.EQNXTDZ($A$1,$B14,AN$1,$B$1)</f>
        <v>2.7170000000000001</v>
      </c>
      <c r="AO14">
        <f>_xll.EQNXTDZ($A$1,$B14,AO$1,$B$1)</f>
        <v>6.2539999999999996</v>
      </c>
      <c r="AP14">
        <f>_xll.EQNXTDZ($A$1,$B14,AP$1,$B$1)</f>
        <v>7.5970000000000004</v>
      </c>
      <c r="AQ14">
        <f>_xll.EQNXTDZ($A$1,$B14,AQ$1,$B$1)</f>
        <v>16.170999999999999</v>
      </c>
      <c r="AR14">
        <f>_xll.EQNXTDZ($A$1,$B14,AR$1,$B$1)</f>
        <v>13.689</v>
      </c>
      <c r="AS14">
        <f>_xll.EQNXTDZ($A$1,$B14,AS$1,$B$1)</f>
        <v>18.018999999999998</v>
      </c>
      <c r="AT14">
        <f>_xll.EQNXTDZ($A$1,$B14,AT$1,$B$1)</f>
        <v>13.115</v>
      </c>
      <c r="AU14">
        <f>_xll.EQNXTDZ($A$1,$B14,AU$1,$B$1)</f>
        <v>18.457000000000001</v>
      </c>
      <c r="AV14">
        <f>_xll.EQNXTDZ($A$1,$B14,AV$1,$B$1)</f>
        <v>22.274999999999999</v>
      </c>
      <c r="AW14">
        <f>_xll.EQNXTDZ($A$1,$B14,AW$1,$B$1)</f>
        <v>30.49</v>
      </c>
      <c r="AX14">
        <f>_xll.EQNXTDZ($A$1,$B14,AX$1,$B$1)</f>
        <v>42.338000000000001</v>
      </c>
      <c r="AY14">
        <f>_xll.EQNXTDZ($A$1,$B14,AY$1,$B$1)</f>
        <v>40.130000000000003</v>
      </c>
      <c r="AZ14">
        <f>_xll.EQNXTDZ($A$1,$B14,AZ$1,$B$1)</f>
        <v>33.57</v>
      </c>
      <c r="BA14">
        <f>_xll.EQNXTDZ($A$1,$B14,BA$1,$B$1)</f>
        <v>30.12</v>
      </c>
      <c r="BB14">
        <f>_xll.EQNXTDZ($A$1,$B14,BB$1,$B$1)</f>
        <v>90.92</v>
      </c>
      <c r="BC14">
        <f>_xll.EQNXTDZ($A$1,$B14,BC$1,$B$1)</f>
        <v>49.78</v>
      </c>
      <c r="BD14">
        <f>_xll.EQNXTDZ($A$1,$B14,BD$1,$B$1)</f>
        <v>94.59</v>
      </c>
      <c r="BE14">
        <f>_xll.EQNXTDZ($A$1,$B14,BE$1,$B$1)</f>
        <v>58.49</v>
      </c>
      <c r="BF14">
        <f>_xll.EQNXTDZ($A$1,$B14,BF$1,$B$1)</f>
        <v>119.48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0.109</v>
      </c>
      <c r="D16">
        <f>_xll.EQNXTDZ($A$1,$B16,D$1,$B$1)</f>
        <v>0.107</v>
      </c>
      <c r="E16">
        <f>_xll.EQNXTDZ($A$1,$B16,E$1,$B$1)</f>
        <v>0.17199999999999999</v>
      </c>
      <c r="F16">
        <f>_xll.EQNXTDZ($A$1,$B16,F$1,$B$1)</f>
        <v>0.115</v>
      </c>
      <c r="G16">
        <f>_xll.EQNXTDZ($A$1,$B16,G$1,$B$1)</f>
        <v>0.188</v>
      </c>
      <c r="H16">
        <f>_xll.EQNXTDZ($A$1,$B16,H$1,$B$1)</f>
        <v>0.18</v>
      </c>
      <c r="I16">
        <f>_xll.EQNXTDZ($A$1,$B16,I$1,$B$1)</f>
        <v>0.19500000000000001</v>
      </c>
      <c r="J16">
        <f>_xll.EQNXTDZ($A$1,$B16,J$1,$B$1)</f>
        <v>0.20699999999999999</v>
      </c>
      <c r="K16">
        <f>_xll.EQNXTDZ($A$1,$B16,K$1,$B$1)</f>
        <v>0.191</v>
      </c>
      <c r="L16">
        <f>_xll.EQNXTDZ($A$1,$B16,L$1,$B$1)</f>
        <v>0.17799999999999999</v>
      </c>
      <c r="M16">
        <f>_xll.EQNXTDZ($A$1,$B16,M$1,$B$1)</f>
        <v>0.214</v>
      </c>
      <c r="N16">
        <f>_xll.EQNXTDZ($A$1,$B16,N$1,$B$1)</f>
        <v>0.52700000000000002</v>
      </c>
      <c r="O16">
        <f>_xll.EQNXTDZ($A$1,$B16,O$1,$B$1)</f>
        <v>0.217</v>
      </c>
      <c r="P16">
        <f>_xll.EQNXTDZ($A$1,$B16,P$1,$B$1)</f>
        <v>0.19800000000000001</v>
      </c>
      <c r="Q16">
        <f>_xll.EQNXTDZ($A$1,$B16,Q$1,$B$1)</f>
        <v>0.22700000000000001</v>
      </c>
      <c r="R16">
        <f>_xll.EQNXTDZ($A$1,$B16,R$1,$B$1)</f>
        <v>0.19500000000000001</v>
      </c>
      <c r="S16">
        <f>_xll.EQNXTDZ($A$1,$B16,S$1,$B$1)</f>
        <v>0.185</v>
      </c>
      <c r="T16">
        <f>_xll.EQNXTDZ($A$1,$B16,T$1,$B$1)</f>
        <v>0.182</v>
      </c>
      <c r="U16">
        <f>_xll.EQNXTDZ($A$1,$B16,U$1,$B$1)</f>
        <v>0.184</v>
      </c>
      <c r="V16">
        <f>_xll.EQNXTDZ($A$1,$B16,V$1,$B$1)</f>
        <v>0.23499999999999999</v>
      </c>
      <c r="W16">
        <f>_xll.EQNXTDZ($A$1,$B16,W$1,$B$1)</f>
        <v>0.314</v>
      </c>
      <c r="X16">
        <f>_xll.EQNXTDZ($A$1,$B16,X$1,$B$1)</f>
        <v>0.307</v>
      </c>
      <c r="Y16">
        <f>_xll.EQNXTDZ($A$1,$B16,Y$1,$B$1)</f>
        <v>0.311</v>
      </c>
      <c r="Z16">
        <f>_xll.EQNXTDZ($A$1,$B16,Z$1,$B$1)</f>
        <v>0.47099999999999997</v>
      </c>
      <c r="AA16">
        <f>_xll.EQNXTDZ($A$1,$B16,AA$1,$B$1)</f>
        <v>0.35</v>
      </c>
      <c r="AB16">
        <f>_xll.EQNXTDZ($A$1,$B16,AB$1,$B$1)</f>
        <v>0.36099999999999999</v>
      </c>
      <c r="AC16">
        <f>_xll.EQNXTDZ($A$1,$B16,AC$1,$B$1)</f>
        <v>0.35599999999999998</v>
      </c>
      <c r="AD16">
        <f>_xll.EQNXTDZ($A$1,$B16,AD$1,$B$1)</f>
        <v>0.33200000000000002</v>
      </c>
      <c r="AE16">
        <f>_xll.EQNXTDZ($A$1,$B16,AE$1,$B$1)</f>
        <v>0.34</v>
      </c>
      <c r="AF16">
        <f>_xll.EQNXTDZ($A$1,$B16,AF$1,$B$1)</f>
        <v>0.34</v>
      </c>
      <c r="AG16">
        <f>_xll.EQNXTDZ($A$1,$B16,AG$1,$B$1)</f>
        <v>0.34100000000000003</v>
      </c>
      <c r="AH16">
        <f>_xll.EQNXTDZ($A$1,$B16,AH$1,$B$1)</f>
        <v>0.38900000000000001</v>
      </c>
      <c r="AI16">
        <f>_xll.EQNXTDZ($A$1,$B16,AI$1,$B$1)</f>
        <v>0.219</v>
      </c>
      <c r="AJ16">
        <f>_xll.EQNXTDZ($A$1,$B16,AJ$1,$B$1)</f>
        <v>0.23599999999999999</v>
      </c>
      <c r="AK16">
        <f>_xll.EQNXTDZ($A$1,$B16,AK$1,$B$1)</f>
        <v>0.25900000000000001</v>
      </c>
      <c r="AL16">
        <f>_xll.EQNXTDZ($A$1,$B16,AL$1,$B$1)</f>
        <v>0.25900000000000001</v>
      </c>
      <c r="AM16">
        <f>_xll.EQNXTDZ($A$1,$B16,AM$1,$B$1)</f>
        <v>1.7010000000000001</v>
      </c>
      <c r="AN16">
        <f>_xll.EQNXTDZ($A$1,$B16,AN$1,$B$1)</f>
        <v>3.8159999999999998</v>
      </c>
      <c r="AO16">
        <f>_xll.EQNXTDZ($A$1,$B16,AO$1,$B$1)</f>
        <v>4.1210000000000004</v>
      </c>
      <c r="AP16">
        <f>_xll.EQNXTDZ($A$1,$B16,AP$1,$B$1)</f>
        <v>3.5409999999999999</v>
      </c>
      <c r="AQ16">
        <f>_xll.EQNXTDZ($A$1,$B16,AQ$1,$B$1)</f>
        <v>3.9820000000000002</v>
      </c>
      <c r="AR16">
        <f>_xll.EQNXTDZ($A$1,$B16,AR$1,$B$1)</f>
        <v>4.3739999999999997</v>
      </c>
      <c r="AS16">
        <f>_xll.EQNXTDZ($A$1,$B16,AS$1,$B$1)</f>
        <v>5.673</v>
      </c>
      <c r="AT16">
        <f>_xll.EQNXTDZ($A$1,$B16,AT$1,$B$1)</f>
        <v>5.99</v>
      </c>
      <c r="AU16">
        <f>_xll.EQNXTDZ($A$1,$B16,AU$1,$B$1)</f>
        <v>7.4260000000000002</v>
      </c>
      <c r="AV16">
        <f>_xll.EQNXTDZ($A$1,$B16,AV$1,$B$1)</f>
        <v>7.4020000000000001</v>
      </c>
      <c r="AW16">
        <f>_xll.EQNXTDZ($A$1,$B16,AW$1,$B$1)</f>
        <v>8.4730000000000008</v>
      </c>
      <c r="AX16">
        <f>_xll.EQNXTDZ($A$1,$B16,AX$1,$B$1)</f>
        <v>15.925000000000001</v>
      </c>
      <c r="AY16">
        <f>_xll.EQNXTDZ($A$1,$B16,AY$1,$B$1)</f>
        <v>12.02</v>
      </c>
      <c r="AZ16">
        <f>_xll.EQNXTDZ($A$1,$B16,AZ$1,$B$1)</f>
        <v>12.55</v>
      </c>
      <c r="BA16">
        <f>_xll.EQNXTDZ($A$1,$B16,BA$1,$B$1)</f>
        <v>19.059999999999999</v>
      </c>
      <c r="BB16">
        <f>_xll.EQNXTDZ($A$1,$B16,BB$1,$B$1)</f>
        <v>22.29</v>
      </c>
      <c r="BC16">
        <f>_xll.EQNXTDZ($A$1,$B16,BC$1,$B$1)</f>
        <v>25.45</v>
      </c>
      <c r="BD16">
        <f>_xll.EQNXTDZ($A$1,$B16,BD$1,$B$1)</f>
        <v>27.47</v>
      </c>
      <c r="BE16">
        <f>_xll.EQNXTDZ($A$1,$B16,BE$1,$B$1)</f>
        <v>30.52</v>
      </c>
      <c r="BF16">
        <f>_xll.EQNXTDZ($A$1,$B16,BF$1,$B$1)</f>
        <v>35.43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10.6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1.43100000000001</v>
      </c>
      <c r="D22">
        <f>_xll.EQNXTDZ($A$1,$B22,D$1,$B$1)</f>
        <v>-0.22900000000000001</v>
      </c>
      <c r="E22">
        <f>_xll.EQNXTDZ($A$1,$B22,E$1,$B$1)</f>
        <v>-0.33700000000000002</v>
      </c>
      <c r="F22">
        <f>_xll.EQNXTDZ($A$1,$B22,F$1,$B$1)</f>
        <v>-0.55100000000000005</v>
      </c>
      <c r="G22">
        <f>_xll.EQNXTDZ($A$1,$B22,G$1,$B$1)</f>
        <v>-10.994999999999999</v>
      </c>
      <c r="H22">
        <f>_xll.EQNXTDZ($A$1,$B22,H$1,$B$1)</f>
        <v>-0.42899999999999999</v>
      </c>
      <c r="I22">
        <f>_xll.EQNXTDZ($A$1,$B22,I$1,$B$1)</f>
        <v>-0.58699999999999997</v>
      </c>
      <c r="J22">
        <f>_xll.EQNXTDZ($A$1,$B22,J$1,$B$1)</f>
        <v>-0.187</v>
      </c>
      <c r="K22">
        <f>_xll.EQNXTDZ($A$1,$B22,K$1,$B$1)</f>
        <v>-0.40600000000000003</v>
      </c>
      <c r="L22">
        <f>_xll.EQNXTDZ($A$1,$B22,L$1,$B$1)</f>
        <v>-0.38</v>
      </c>
      <c r="M22">
        <f>_xll.EQNXTDZ($A$1,$B22,M$1,$B$1)</f>
        <v>1.11500000000001</v>
      </c>
      <c r="N22">
        <f>_xll.EQNXTDZ($A$1,$B22,N$1,$B$1)</f>
        <v>0.26700000000000701</v>
      </c>
      <c r="O22">
        <f>_xll.EQNXTDZ($A$1,$B22,O$1,$B$1)</f>
        <v>-0.52200000000000002</v>
      </c>
      <c r="P22">
        <f>_xll.EQNXTDZ($A$1,$B22,P$1,$B$1)</f>
        <v>-0.54700000000000004</v>
      </c>
      <c r="Q22">
        <f>_xll.EQNXTDZ($A$1,$B22,Q$1,$B$1)</f>
        <v>-0.53299999999999803</v>
      </c>
      <c r="R22">
        <f>_xll.EQNXTDZ($A$1,$B22,R$1,$B$1)</f>
        <v>-3.427</v>
      </c>
      <c r="S22">
        <f>_xll.EQNXTDZ($A$1,$B22,S$1,$B$1)</f>
        <v>-0.27600000000000002</v>
      </c>
      <c r="T22">
        <f>_xll.EQNXTDZ($A$1,$B22,T$1,$B$1)</f>
        <v>-0.216000000000001</v>
      </c>
      <c r="U22">
        <f>_xll.EQNXTDZ($A$1,$B22,U$1,$B$1)</f>
        <v>-1.1870000000000001</v>
      </c>
      <c r="V22">
        <f>_xll.EQNXTDZ($A$1,$B22,V$1,$B$1)</f>
        <v>-0.29499999999999899</v>
      </c>
      <c r="W22">
        <f>_xll.EQNXTDZ($A$1,$B22,W$1,$B$1)</f>
        <v>-0.42399999999999999</v>
      </c>
      <c r="X22">
        <f>_xll.EQNXTDZ($A$1,$B22,X$1,$B$1)</f>
        <v>1.9999999999998901E-2</v>
      </c>
      <c r="Y22">
        <f>_xll.EQNXTDZ($A$1,$B22,Y$1,$B$1)</f>
        <v>0.24100000000000801</v>
      </c>
      <c r="Z22">
        <f>_xll.EQNXTDZ($A$1,$B22,Z$1,$B$1)</f>
        <v>-5.7800000000000198</v>
      </c>
      <c r="AA22">
        <f>_xll.EQNXTDZ($A$1,$B22,AA$1,$B$1)</f>
        <v>-0.441</v>
      </c>
      <c r="AB22">
        <f>_xll.EQNXTDZ($A$1,$B22,AB$1,$B$1)</f>
        <v>-3.3460000000000001</v>
      </c>
      <c r="AC22">
        <f>_xll.EQNXTDZ($A$1,$B22,AC$1,$B$1)</f>
        <v>-1.345</v>
      </c>
      <c r="AD22">
        <f>_xll.EQNXTDZ($A$1,$B22,AD$1,$B$1)</f>
        <v>-2.9060000000000001</v>
      </c>
      <c r="AE22">
        <f>_xll.EQNXTDZ($A$1,$B22,AE$1,$B$1)</f>
        <v>-0.442</v>
      </c>
      <c r="AF22">
        <f>_xll.EQNXTDZ($A$1,$B22,AF$1,$B$1)</f>
        <v>-0.4</v>
      </c>
      <c r="AG22">
        <f>_xll.EQNXTDZ($A$1,$B22,AG$1,$B$1)</f>
        <v>-0.41699999999999998</v>
      </c>
      <c r="AH22">
        <f>_xll.EQNXTDZ($A$1,$B22,AH$1,$B$1)</f>
        <v>-0.51300000000000001</v>
      </c>
      <c r="AI22">
        <f>_xll.EQNXTDZ($A$1,$B22,AI$1,$B$1)</f>
        <v>-0.29699999999999999</v>
      </c>
      <c r="AJ22">
        <f>_xll.EQNXTDZ($A$1,$B22,AJ$1,$B$1)</f>
        <v>-0.27400000000000002</v>
      </c>
      <c r="AK22">
        <f>_xll.EQNXTDZ($A$1,$B22,AK$1,$B$1)</f>
        <v>-0.29899999999999999</v>
      </c>
      <c r="AL22">
        <f>_xll.EQNXTDZ($A$1,$B22,AL$1,$B$1)</f>
        <v>-0.50600000000000001</v>
      </c>
      <c r="AM22">
        <f>_xll.EQNXTDZ($A$1,$B22,AM$1,$B$1)</f>
        <v>-2.5569999999999999</v>
      </c>
      <c r="AN22">
        <f>_xll.EQNXTDZ($A$1,$B22,AN$1,$B$1)</f>
        <v>0.36899999999999999</v>
      </c>
      <c r="AO22">
        <f>_xll.EQNXTDZ($A$1,$B22,AO$1,$B$1)</f>
        <v>2.4769999999999999</v>
      </c>
      <c r="AP22">
        <f>_xll.EQNXTDZ($A$1,$B22,AP$1,$B$1)</f>
        <v>3.7370000000000001</v>
      </c>
      <c r="AQ22">
        <f>_xll.EQNXTDZ($A$1,$B22,AQ$1,$B$1)</f>
        <v>6.1219999999999999</v>
      </c>
      <c r="AR22">
        <f>_xll.EQNXTDZ($A$1,$B22,AR$1,$B$1)</f>
        <v>6.28800000000001</v>
      </c>
      <c r="AS22">
        <f>_xll.EQNXTDZ($A$1,$B22,AS$1,$B$1)</f>
        <v>19.445</v>
      </c>
      <c r="AT22">
        <f>_xll.EQNXTDZ($A$1,$B22,AT$1,$B$1)</f>
        <v>18.393000000000001</v>
      </c>
      <c r="AU22">
        <f>_xll.EQNXTDZ($A$1,$B22,AU$1,$B$1)</f>
        <v>11.429</v>
      </c>
      <c r="AV22">
        <f>_xll.EQNXTDZ($A$1,$B22,AV$1,$B$1)</f>
        <v>24.844999999999999</v>
      </c>
      <c r="AW22">
        <f>_xll.EQNXTDZ($A$1,$B22,AW$1,$B$1)</f>
        <v>37.600999999999999</v>
      </c>
      <c r="AX22">
        <f>_xll.EQNXTDZ($A$1,$B22,AX$1,$B$1)</f>
        <v>15.234999999999999</v>
      </c>
      <c r="AY22">
        <f>_xll.EQNXTDZ($A$1,$B22,AY$1,$B$1)</f>
        <v>22.71</v>
      </c>
      <c r="AZ22">
        <f>_xll.EQNXTDZ($A$1,$B22,AZ$1,$B$1)</f>
        <v>29.16</v>
      </c>
      <c r="BA22">
        <f>_xll.EQNXTDZ($A$1,$B22,BA$1,$B$1)</f>
        <v>41.38</v>
      </c>
      <c r="BB22">
        <f>_xll.EQNXTDZ($A$1,$B22,BB$1,$B$1)</f>
        <v>24.79</v>
      </c>
      <c r="BC22">
        <f>_xll.EQNXTDZ($A$1,$B22,BC$1,$B$1)</f>
        <v>22.41</v>
      </c>
      <c r="BD22">
        <f>_xll.EQNXTDZ($A$1,$B22,BD$1,$B$1)</f>
        <v>23.71</v>
      </c>
      <c r="BE22">
        <f>_xll.EQNXTDZ($A$1,$B22,BE$1,$B$1)</f>
        <v>24.54</v>
      </c>
      <c r="BF22">
        <f>_xll.EQNXTDZ($A$1,$B22,BF$1,$B$1)</f>
        <v>45.259999999999899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9.3379999999999992</v>
      </c>
      <c r="D23">
        <f>_xll.EQNXTDZ($A$1,$B23,D$1,$B$1)</f>
        <v>0.32800000000000001</v>
      </c>
      <c r="E23">
        <f>_xll.EQNXTDZ($A$1,$B23,E$1,$B$1)</f>
        <v>0</v>
      </c>
      <c r="F23">
        <f>_xll.EQNXTDZ($A$1,$B23,F$1,$B$1)</f>
        <v>1.2170000000000001</v>
      </c>
      <c r="G23">
        <f>_xll.EQNXTDZ($A$1,$B23,G$1,$B$1)</f>
        <v>1E-3</v>
      </c>
      <c r="H23">
        <f>_xll.EQNXTDZ($A$1,$B23,H$1,$B$1)</f>
        <v>0.115</v>
      </c>
      <c r="I23">
        <f>_xll.EQNXTDZ($A$1,$B23,I$1,$B$1)</f>
        <v>0.35499999999999998</v>
      </c>
      <c r="J23">
        <f>_xll.EQNXTDZ($A$1,$B23,J$1,$B$1)</f>
        <v>12.670999999999999</v>
      </c>
      <c r="K23">
        <f>_xll.EQNXTDZ($A$1,$B23,K$1,$B$1)</f>
        <v>0.19600000000000001</v>
      </c>
      <c r="L23">
        <f>_xll.EQNXTDZ($A$1,$B23,L$1,$B$1)</f>
        <v>0.316</v>
      </c>
      <c r="M23">
        <f>_xll.EQNXTDZ($A$1,$B23,M$1,$B$1)</f>
        <v>0.01</v>
      </c>
      <c r="N23">
        <f>_xll.EQNXTDZ($A$1,$B23,N$1,$B$1)</f>
        <v>-0.31</v>
      </c>
      <c r="O23">
        <f>_xll.EQNXTDZ($A$1,$B23,O$1,$B$1)</f>
        <v>0.78400000000000003</v>
      </c>
      <c r="P23">
        <f>_xll.EQNXTDZ($A$1,$B23,P$1,$B$1)</f>
        <v>0.16500000000000001</v>
      </c>
      <c r="Q23">
        <f>_xll.EQNXTDZ($A$1,$B23,Q$1,$B$1)</f>
        <v>0</v>
      </c>
      <c r="R23">
        <f>_xll.EQNXTDZ($A$1,$B23,R$1,$B$1)</f>
        <v>0.58399999999999996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0.29599999999999999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6.0000000000000001E-3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3.0000000000000001E-3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0.252</v>
      </c>
      <c r="AI23">
        <f>_xll.EQNXTDZ($A$1,$B23,AI$1,$B$1)</f>
        <v>1E-3</v>
      </c>
      <c r="AJ23">
        <f>_xll.EQNXTDZ($A$1,$B23,AJ$1,$B$1)</f>
        <v>0</v>
      </c>
      <c r="AK23">
        <f>_xll.EQNXTDZ($A$1,$B23,AK$1,$B$1)</f>
        <v>1.125</v>
      </c>
      <c r="AL23">
        <f>_xll.EQNXTDZ($A$1,$B23,AL$1,$B$1)</f>
        <v>3.4000000000000002E-2</v>
      </c>
      <c r="AM23">
        <f>_xll.EQNXTDZ($A$1,$B23,AM$1,$B$1)</f>
        <v>1.056</v>
      </c>
      <c r="AN23">
        <f>_xll.EQNXTDZ($A$1,$B23,AN$1,$B$1)</f>
        <v>1.75</v>
      </c>
      <c r="AO23">
        <f>_xll.EQNXTDZ($A$1,$B23,AO$1,$B$1)</f>
        <v>1.5069999999999999</v>
      </c>
      <c r="AP23">
        <f>_xll.EQNXTDZ($A$1,$B23,AP$1,$B$1)</f>
        <v>154.98099999999999</v>
      </c>
      <c r="AQ23">
        <f>_xll.EQNXTDZ($A$1,$B23,AQ$1,$B$1)</f>
        <v>2.64</v>
      </c>
      <c r="AR23">
        <f>_xll.EQNXTDZ($A$1,$B23,AR$1,$B$1)</f>
        <v>11.018000000000001</v>
      </c>
      <c r="AS23">
        <f>_xll.EQNXTDZ($A$1,$B23,AS$1,$B$1)</f>
        <v>2.9039999999999999</v>
      </c>
      <c r="AT23">
        <f>_xll.EQNXTDZ($A$1,$B23,AT$1,$B$1)</f>
        <v>0.21</v>
      </c>
      <c r="AU23">
        <f>_xll.EQNXTDZ($A$1,$B23,AU$1,$B$1)</f>
        <v>8</v>
      </c>
      <c r="AV23">
        <f>_xll.EQNXTDZ($A$1,$B23,AV$1,$B$1)</f>
        <v>15.131</v>
      </c>
      <c r="AW23">
        <f>_xll.EQNXTDZ($A$1,$B23,AW$1,$B$1)</f>
        <v>63.448</v>
      </c>
      <c r="AX23">
        <f>_xll.EQNXTDZ($A$1,$B23,AX$1,$B$1)</f>
        <v>48.738</v>
      </c>
      <c r="AY23">
        <f>_xll.EQNXTDZ($A$1,$B23,AY$1,$B$1)</f>
        <v>3.56</v>
      </c>
      <c r="AZ23">
        <f>_xll.EQNXTDZ($A$1,$B23,AZ$1,$B$1)</f>
        <v>23.65</v>
      </c>
      <c r="BA23">
        <f>_xll.EQNXTDZ($A$1,$B23,BA$1,$B$1)</f>
        <v>18.09</v>
      </c>
      <c r="BB23">
        <f>_xll.EQNXTDZ($A$1,$B23,BB$1,$B$1)</f>
        <v>37.35</v>
      </c>
      <c r="BC23">
        <f>_xll.EQNXTDZ($A$1,$B23,BC$1,$B$1)</f>
        <v>282.11</v>
      </c>
      <c r="BD23">
        <f>_xll.EQNXTDZ($A$1,$B23,BD$1,$B$1)</f>
        <v>40.090000000000003</v>
      </c>
      <c r="BE23">
        <f>_xll.EQNXTDZ($A$1,$B23,BE$1,$B$1)</f>
        <v>34.43</v>
      </c>
      <c r="BF23">
        <f>_xll.EQNXTDZ($A$1,$B23,BF$1,$B$1)</f>
        <v>70.790000000000006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10.769</v>
      </c>
      <c r="D24">
        <f>_xll.EQNXTDZ($A$1,$B24,D$1,$B$1)</f>
        <v>9.9000000000000005E-2</v>
      </c>
      <c r="E24">
        <f>_xll.EQNXTDZ($A$1,$B24,E$1,$B$1)</f>
        <v>-0.33700000000000002</v>
      </c>
      <c r="F24">
        <f>_xll.EQNXTDZ($A$1,$B24,F$1,$B$1)</f>
        <v>0.66600000000000004</v>
      </c>
      <c r="G24">
        <f>_xll.EQNXTDZ($A$1,$B24,G$1,$B$1)</f>
        <v>-10.994</v>
      </c>
      <c r="H24">
        <f>_xll.EQNXTDZ($A$1,$B24,H$1,$B$1)</f>
        <v>-0.314</v>
      </c>
      <c r="I24">
        <f>_xll.EQNXTDZ($A$1,$B24,I$1,$B$1)</f>
        <v>-0.23200000000000001</v>
      </c>
      <c r="J24">
        <f>_xll.EQNXTDZ($A$1,$B24,J$1,$B$1)</f>
        <v>12.484</v>
      </c>
      <c r="K24">
        <f>_xll.EQNXTDZ($A$1,$B24,K$1,$B$1)</f>
        <v>-0.21099999999999999</v>
      </c>
      <c r="L24">
        <f>_xll.EQNXTDZ($A$1,$B24,L$1,$B$1)</f>
        <v>-6.4000000000000001E-2</v>
      </c>
      <c r="M24">
        <f>_xll.EQNXTDZ($A$1,$B24,M$1,$B$1)</f>
        <v>1.125</v>
      </c>
      <c r="N24">
        <f>_xll.EQNXTDZ($A$1,$B24,N$1,$B$1)</f>
        <v>-4.2999999999999997E-2</v>
      </c>
      <c r="O24">
        <f>_xll.EQNXTDZ($A$1,$B24,O$1,$B$1)</f>
        <v>0.26200000000000001</v>
      </c>
      <c r="P24">
        <f>_xll.EQNXTDZ($A$1,$B24,P$1,$B$1)</f>
        <v>-0.38200000000000001</v>
      </c>
      <c r="Q24">
        <f>_xll.EQNXTDZ($A$1,$B24,Q$1,$B$1)</f>
        <v>-0.53300000000000003</v>
      </c>
      <c r="R24">
        <f>_xll.EQNXTDZ($A$1,$B24,R$1,$B$1)</f>
        <v>-2.843</v>
      </c>
      <c r="S24">
        <f>_xll.EQNXTDZ($A$1,$B24,S$1,$B$1)</f>
        <v>-0.27600000000000002</v>
      </c>
      <c r="T24">
        <f>_xll.EQNXTDZ($A$1,$B24,T$1,$B$1)</f>
        <v>-0.216</v>
      </c>
      <c r="U24">
        <f>_xll.EQNXTDZ($A$1,$B24,U$1,$B$1)</f>
        <v>-1.1870000000000001</v>
      </c>
      <c r="V24">
        <f>_xll.EQNXTDZ($A$1,$B24,V$1,$B$1)</f>
        <v>1E-3</v>
      </c>
      <c r="W24">
        <f>_xll.EQNXTDZ($A$1,$B24,W$1,$B$1)</f>
        <v>-0.42399999999999999</v>
      </c>
      <c r="X24">
        <f>_xll.EQNXTDZ($A$1,$B24,X$1,$B$1)</f>
        <v>0.02</v>
      </c>
      <c r="Y24">
        <f>_xll.EQNXTDZ($A$1,$B24,Y$1,$B$1)</f>
        <v>0.24099999999999999</v>
      </c>
      <c r="Z24">
        <f>_xll.EQNXTDZ($A$1,$B24,Z$1,$B$1)</f>
        <v>-5.774</v>
      </c>
      <c r="AA24">
        <f>_xll.EQNXTDZ($A$1,$B24,AA$1,$B$1)</f>
        <v>-0.441</v>
      </c>
      <c r="AB24">
        <f>_xll.EQNXTDZ($A$1,$B24,AB$1,$B$1)</f>
        <v>-3.3460000000000001</v>
      </c>
      <c r="AC24">
        <f>_xll.EQNXTDZ($A$1,$B24,AC$1,$B$1)</f>
        <v>-1.345</v>
      </c>
      <c r="AD24">
        <f>_xll.EQNXTDZ($A$1,$B24,AD$1,$B$1)</f>
        <v>-2.903</v>
      </c>
      <c r="AE24">
        <f>_xll.EQNXTDZ($A$1,$B24,AE$1,$B$1)</f>
        <v>-0.442</v>
      </c>
      <c r="AF24">
        <f>_xll.EQNXTDZ($A$1,$B24,AF$1,$B$1)</f>
        <v>-0.4</v>
      </c>
      <c r="AG24">
        <f>_xll.EQNXTDZ($A$1,$B24,AG$1,$B$1)</f>
        <v>-0.41699999999999998</v>
      </c>
      <c r="AH24">
        <f>_xll.EQNXTDZ($A$1,$B24,AH$1,$B$1)</f>
        <v>-0.26100000000000001</v>
      </c>
      <c r="AI24">
        <f>_xll.EQNXTDZ($A$1,$B24,AI$1,$B$1)</f>
        <v>-0.29599999999999999</v>
      </c>
      <c r="AJ24">
        <f>_xll.EQNXTDZ($A$1,$B24,AJ$1,$B$1)</f>
        <v>-0.27400000000000002</v>
      </c>
      <c r="AK24">
        <f>_xll.EQNXTDZ($A$1,$B24,AK$1,$B$1)</f>
        <v>0.82599999999999996</v>
      </c>
      <c r="AL24">
        <f>_xll.EQNXTDZ($A$1,$B24,AL$1,$B$1)</f>
        <v>-0.47199999999999998</v>
      </c>
      <c r="AM24">
        <f>_xll.EQNXTDZ($A$1,$B24,AM$1,$B$1)</f>
        <v>-1.502</v>
      </c>
      <c r="AN24">
        <f>_xll.EQNXTDZ($A$1,$B24,AN$1,$B$1)</f>
        <v>2.1190000000000002</v>
      </c>
      <c r="AO24">
        <f>_xll.EQNXTDZ($A$1,$B24,AO$1,$B$1)</f>
        <v>3.984</v>
      </c>
      <c r="AP24">
        <f>_xll.EQNXTDZ($A$1,$B24,AP$1,$B$1)</f>
        <v>158.71799999999999</v>
      </c>
      <c r="AQ24">
        <f>_xll.EQNXTDZ($A$1,$B24,AQ$1,$B$1)</f>
        <v>8.7609999999999992</v>
      </c>
      <c r="AR24">
        <f>_xll.EQNXTDZ($A$1,$B24,AR$1,$B$1)</f>
        <v>17.306000000000001</v>
      </c>
      <c r="AS24">
        <f>_xll.EQNXTDZ($A$1,$B24,AS$1,$B$1)</f>
        <v>22.35</v>
      </c>
      <c r="AT24">
        <f>_xll.EQNXTDZ($A$1,$B24,AT$1,$B$1)</f>
        <v>18.603000000000002</v>
      </c>
      <c r="AU24">
        <f>_xll.EQNXTDZ($A$1,$B24,AU$1,$B$1)</f>
        <v>19.428999999999998</v>
      </c>
      <c r="AV24">
        <f>_xll.EQNXTDZ($A$1,$B24,AV$1,$B$1)</f>
        <v>39.975000000000001</v>
      </c>
      <c r="AW24">
        <f>_xll.EQNXTDZ($A$1,$B24,AW$1,$B$1)</f>
        <v>101.04900000000001</v>
      </c>
      <c r="AX24">
        <f>_xll.EQNXTDZ($A$1,$B24,AX$1,$B$1)</f>
        <v>63.973999999999997</v>
      </c>
      <c r="AY24">
        <f>_xll.EQNXTDZ($A$1,$B24,AY$1,$B$1)</f>
        <v>26.27</v>
      </c>
      <c r="AZ24">
        <f>_xll.EQNXTDZ($A$1,$B24,AZ$1,$B$1)</f>
        <v>52.81</v>
      </c>
      <c r="BA24">
        <f>_xll.EQNXTDZ($A$1,$B24,BA$1,$B$1)</f>
        <v>59.47</v>
      </c>
      <c r="BB24">
        <f>_xll.EQNXTDZ($A$1,$B24,BB$1,$B$1)</f>
        <v>62.14</v>
      </c>
      <c r="BC24">
        <f>_xll.EQNXTDZ($A$1,$B24,BC$1,$B$1)</f>
        <v>304.52</v>
      </c>
      <c r="BD24">
        <f>_xll.EQNXTDZ($A$1,$B24,BD$1,$B$1)</f>
        <v>63.8</v>
      </c>
      <c r="BE24">
        <f>_xll.EQNXTDZ($A$1,$B24,BE$1,$B$1)</f>
        <v>58.97</v>
      </c>
      <c r="BF24">
        <f>_xll.EQNXTDZ($A$1,$B24,BF$1,$B$1)</f>
        <v>116.05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9.0909999999999993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2.1999999999999999E-2</v>
      </c>
      <c r="H25">
        <f>_xll.EQNXTDZ($A$1,$B25,H$1,$B$1)</f>
        <v>5.5E-2</v>
      </c>
      <c r="I25">
        <f>_xll.EQNXTDZ($A$1,$B25,I$1,$B$1)</f>
        <v>0.01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7.5999999999999998E-2</v>
      </c>
      <c r="M25">
        <f>_xll.EQNXTDZ($A$1,$B25,M$1,$B$1)</f>
        <v>0.126</v>
      </c>
      <c r="N25">
        <f>_xll.EQNXTDZ($A$1,$B25,N$1,$B$1)</f>
        <v>0.151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1.4850000000000001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1.9690000000000001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2.4E-2</v>
      </c>
      <c r="AM25">
        <f>_xll.EQNXTDZ($A$1,$B25,AM$1,$B$1)</f>
        <v>7.1999999999999995E-2</v>
      </c>
      <c r="AN25">
        <f>_xll.EQNXTDZ($A$1,$B25,AN$1,$B$1)</f>
        <v>0.19700000000000001</v>
      </c>
      <c r="AO25">
        <f>_xll.EQNXTDZ($A$1,$B25,AO$1,$B$1)</f>
        <v>0.14699999999999999</v>
      </c>
      <c r="AP25">
        <f>_xll.EQNXTDZ($A$1,$B25,AP$1,$B$1)</f>
        <v>0.60399999999999998</v>
      </c>
      <c r="AQ25">
        <f>_xll.EQNXTDZ($A$1,$B25,AQ$1,$B$1)</f>
        <v>0.75</v>
      </c>
      <c r="AR25">
        <f>_xll.EQNXTDZ($A$1,$B25,AR$1,$B$1)</f>
        <v>1.079</v>
      </c>
      <c r="AS25">
        <f>_xll.EQNXTDZ($A$1,$B25,AS$1,$B$1)</f>
        <v>0.98099999999999998</v>
      </c>
      <c r="AT25">
        <f>_xll.EQNXTDZ($A$1,$B25,AT$1,$B$1)</f>
        <v>1.9019999999999999</v>
      </c>
      <c r="AU25">
        <f>_xll.EQNXTDZ($A$1,$B25,AU$1,$B$1)</f>
        <v>1.5289999999999999</v>
      </c>
      <c r="AV25">
        <f>_xll.EQNXTDZ($A$1,$B25,AV$1,$B$1)</f>
        <v>1.742</v>
      </c>
      <c r="AW25">
        <f>_xll.EQNXTDZ($A$1,$B25,AW$1,$B$1)</f>
        <v>0.99099999999999999</v>
      </c>
      <c r="AX25">
        <f>_xll.EQNXTDZ($A$1,$B25,AX$1,$B$1)</f>
        <v>2.0329999999999999</v>
      </c>
      <c r="AY25">
        <f>_xll.EQNXTDZ($A$1,$B25,AY$1,$B$1)</f>
        <v>2.41</v>
      </c>
      <c r="AZ25">
        <f>_xll.EQNXTDZ($A$1,$B25,AZ$1,$B$1)</f>
        <v>4</v>
      </c>
      <c r="BA25">
        <f>_xll.EQNXTDZ($A$1,$B25,BA$1,$B$1)</f>
        <v>3.42</v>
      </c>
      <c r="BB25">
        <f>_xll.EQNXTDZ($A$1,$B25,BB$1,$B$1)</f>
        <v>17.03</v>
      </c>
      <c r="BC25">
        <f>_xll.EQNXTDZ($A$1,$B25,BC$1,$B$1)</f>
        <v>13.64</v>
      </c>
      <c r="BD25">
        <f>_xll.EQNXTDZ($A$1,$B25,BD$1,$B$1)</f>
        <v>4.33</v>
      </c>
      <c r="BE25">
        <f>_xll.EQNXTDZ($A$1,$B25,BE$1,$B$1)</f>
        <v>12.57</v>
      </c>
      <c r="BF25">
        <f>_xll.EQNXTDZ($A$1,$B25,BF$1,$B$1)</f>
        <v>17.36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-2.5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-0.6</v>
      </c>
      <c r="BF26">
        <f>_xll.EQNXTDZ($A$1,$B26,BF$1,$B$1)</f>
        <v>-3.49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1.6779999999999999</v>
      </c>
      <c r="D27">
        <f>_xll.EQNXTDZ($A$1,$B27,D$1,$B$1)</f>
        <v>9.9000000000000005E-2</v>
      </c>
      <c r="E27">
        <f>_xll.EQNXTDZ($A$1,$B27,E$1,$B$1)</f>
        <v>-0.33700000000000002</v>
      </c>
      <c r="F27">
        <f>_xll.EQNXTDZ($A$1,$B27,F$1,$B$1)</f>
        <v>0.66600000000000004</v>
      </c>
      <c r="G27">
        <f>_xll.EQNXTDZ($A$1,$B27,G$1,$B$1)</f>
        <v>-11.016</v>
      </c>
      <c r="H27">
        <f>_xll.EQNXTDZ($A$1,$B27,H$1,$B$1)</f>
        <v>-0.36899999999999999</v>
      </c>
      <c r="I27">
        <f>_xll.EQNXTDZ($A$1,$B27,I$1,$B$1)</f>
        <v>-0.24199999999999999</v>
      </c>
      <c r="J27">
        <f>_xll.EQNXTDZ($A$1,$B27,J$1,$B$1)</f>
        <v>12.484</v>
      </c>
      <c r="K27">
        <f>_xll.EQNXTDZ($A$1,$B27,K$1,$B$1)</f>
        <v>-0.21099999999999999</v>
      </c>
      <c r="L27">
        <f>_xll.EQNXTDZ($A$1,$B27,L$1,$B$1)</f>
        <v>-0.14000000000000001</v>
      </c>
      <c r="M27">
        <f>_xll.EQNXTDZ($A$1,$B27,M$1,$B$1)</f>
        <v>0.999</v>
      </c>
      <c r="N27">
        <f>_xll.EQNXTDZ($A$1,$B27,N$1,$B$1)</f>
        <v>-0.19400000000000001</v>
      </c>
      <c r="O27">
        <f>_xll.EQNXTDZ($A$1,$B27,O$1,$B$1)</f>
        <v>0.26200000000000001</v>
      </c>
      <c r="P27">
        <f>_xll.EQNXTDZ($A$1,$B27,P$1,$B$1)</f>
        <v>-0.38200000000000001</v>
      </c>
      <c r="Q27">
        <f>_xll.EQNXTDZ($A$1,$B27,Q$1,$B$1)</f>
        <v>-0.53300000000000003</v>
      </c>
      <c r="R27">
        <f>_xll.EQNXTDZ($A$1,$B27,R$1,$B$1)</f>
        <v>-4.3280000000000003</v>
      </c>
      <c r="S27">
        <f>_xll.EQNXTDZ($A$1,$B27,S$1,$B$1)</f>
        <v>-0.27600000000000002</v>
      </c>
      <c r="T27">
        <f>_xll.EQNXTDZ($A$1,$B27,T$1,$B$1)</f>
        <v>-0.216</v>
      </c>
      <c r="U27">
        <f>_xll.EQNXTDZ($A$1,$B27,U$1,$B$1)</f>
        <v>-3.1560000000000001</v>
      </c>
      <c r="V27">
        <f>_xll.EQNXTDZ($A$1,$B27,V$1,$B$1)</f>
        <v>1E-3</v>
      </c>
      <c r="W27">
        <f>_xll.EQNXTDZ($A$1,$B27,W$1,$B$1)</f>
        <v>-0.42399999999999999</v>
      </c>
      <c r="X27">
        <f>_xll.EQNXTDZ($A$1,$B27,X$1,$B$1)</f>
        <v>0.02</v>
      </c>
      <c r="Y27">
        <f>_xll.EQNXTDZ($A$1,$B27,Y$1,$B$1)</f>
        <v>0.24099999999999999</v>
      </c>
      <c r="Z27">
        <f>_xll.EQNXTDZ($A$1,$B27,Z$1,$B$1)</f>
        <v>-5.774</v>
      </c>
      <c r="AA27">
        <f>_xll.EQNXTDZ($A$1,$B27,AA$1,$B$1)</f>
        <v>-0.441</v>
      </c>
      <c r="AB27">
        <f>_xll.EQNXTDZ($A$1,$B27,AB$1,$B$1)</f>
        <v>-3.3460000000000001</v>
      </c>
      <c r="AC27">
        <f>_xll.EQNXTDZ($A$1,$B27,AC$1,$B$1)</f>
        <v>-1.345</v>
      </c>
      <c r="AD27">
        <f>_xll.EQNXTDZ($A$1,$B27,AD$1,$B$1)</f>
        <v>-2.903</v>
      </c>
      <c r="AE27">
        <f>_xll.EQNXTDZ($A$1,$B27,AE$1,$B$1)</f>
        <v>-0.442</v>
      </c>
      <c r="AF27">
        <f>_xll.EQNXTDZ($A$1,$B27,AF$1,$B$1)</f>
        <v>-0.4</v>
      </c>
      <c r="AG27">
        <f>_xll.EQNXTDZ($A$1,$B27,AG$1,$B$1)</f>
        <v>-0.41699999999999998</v>
      </c>
      <c r="AH27">
        <f>_xll.EQNXTDZ($A$1,$B27,AH$1,$B$1)</f>
        <v>-0.26100000000000001</v>
      </c>
      <c r="AI27">
        <f>_xll.EQNXTDZ($A$1,$B27,AI$1,$B$1)</f>
        <v>-0.29599999999999999</v>
      </c>
      <c r="AJ27">
        <f>_xll.EQNXTDZ($A$1,$B27,AJ$1,$B$1)</f>
        <v>-0.27400000000000002</v>
      </c>
      <c r="AK27">
        <f>_xll.EQNXTDZ($A$1,$B27,AK$1,$B$1)</f>
        <v>0.82599999999999996</v>
      </c>
      <c r="AL27">
        <f>_xll.EQNXTDZ($A$1,$B27,AL$1,$B$1)</f>
        <v>-0.496</v>
      </c>
      <c r="AM27">
        <f>_xll.EQNXTDZ($A$1,$B27,AM$1,$B$1)</f>
        <v>-1.5740000000000001</v>
      </c>
      <c r="AN27">
        <f>_xll.EQNXTDZ($A$1,$B27,AN$1,$B$1)</f>
        <v>1.9219999999999999</v>
      </c>
      <c r="AO27">
        <f>_xll.EQNXTDZ($A$1,$B27,AO$1,$B$1)</f>
        <v>3.8370000000000002</v>
      </c>
      <c r="AP27">
        <f>_xll.EQNXTDZ($A$1,$B27,AP$1,$B$1)</f>
        <v>158.114</v>
      </c>
      <c r="AQ27">
        <f>_xll.EQNXTDZ($A$1,$B27,AQ$1,$B$1)</f>
        <v>5.5110000000000001</v>
      </c>
      <c r="AR27">
        <f>_xll.EQNXTDZ($A$1,$B27,AR$1,$B$1)</f>
        <v>16.227</v>
      </c>
      <c r="AS27">
        <f>_xll.EQNXTDZ($A$1,$B27,AS$1,$B$1)</f>
        <v>21.369</v>
      </c>
      <c r="AT27">
        <f>_xll.EQNXTDZ($A$1,$B27,AT$1,$B$1)</f>
        <v>16.701000000000001</v>
      </c>
      <c r="AU27">
        <f>_xll.EQNXTDZ($A$1,$B27,AU$1,$B$1)</f>
        <v>17.899999999999999</v>
      </c>
      <c r="AV27">
        <f>_xll.EQNXTDZ($A$1,$B27,AV$1,$B$1)</f>
        <v>38.232999999999997</v>
      </c>
      <c r="AW27">
        <f>_xll.EQNXTDZ($A$1,$B27,AW$1,$B$1)</f>
        <v>100.05800000000001</v>
      </c>
      <c r="AX27">
        <f>_xll.EQNXTDZ($A$1,$B27,AX$1,$B$1)</f>
        <v>61.941000000000003</v>
      </c>
      <c r="AY27">
        <f>_xll.EQNXTDZ($A$1,$B27,AY$1,$B$1)</f>
        <v>23.86</v>
      </c>
      <c r="AZ27">
        <f>_xll.EQNXTDZ($A$1,$B27,AZ$1,$B$1)</f>
        <v>48.81</v>
      </c>
      <c r="BA27">
        <f>_xll.EQNXTDZ($A$1,$B27,BA$1,$B$1)</f>
        <v>56.05</v>
      </c>
      <c r="BB27">
        <f>_xll.EQNXTDZ($A$1,$B27,BB$1,$B$1)</f>
        <v>45.11</v>
      </c>
      <c r="BC27">
        <f>_xll.EQNXTDZ($A$1,$B27,BC$1,$B$1)</f>
        <v>290.88</v>
      </c>
      <c r="BD27">
        <f>_xll.EQNXTDZ($A$1,$B27,BD$1,$B$1)</f>
        <v>59.470000000000098</v>
      </c>
      <c r="BE27">
        <f>_xll.EQNXTDZ($A$1,$B27,BE$1,$B$1)</f>
        <v>45.8</v>
      </c>
      <c r="BF27">
        <f>_xll.EQNXTDZ($A$1,$B27,BF$1,$B$1)</f>
        <v>95.2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3.0000000000000001E-3</v>
      </c>
      <c r="D28">
        <f>_xll.EQNXTDZ($A$1,$B28,D$1,$B$1)</f>
        <v>3.0000000000000001E-3</v>
      </c>
      <c r="E28">
        <f>_xll.EQNXTDZ($A$1,$B28,E$1,$B$1)</f>
        <v>1.0999999999999999E-2</v>
      </c>
      <c r="F28">
        <f>_xll.EQNXTDZ($A$1,$B28,F$1,$B$1)</f>
        <v>-6.0000000000000001E-3</v>
      </c>
      <c r="G28">
        <f>_xll.EQNXTDZ($A$1,$B28,G$1,$B$1)</f>
        <v>1E-3</v>
      </c>
      <c r="H28">
        <f>_xll.EQNXTDZ($A$1,$B28,H$1,$B$1)</f>
        <v>1E-3</v>
      </c>
      <c r="I28">
        <f>_xll.EQNXTDZ($A$1,$B28,I$1,$B$1)</f>
        <v>1E-3</v>
      </c>
      <c r="J28">
        <f>_xll.EQNXTDZ($A$1,$B28,J$1,$B$1)</f>
        <v>1E-3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1E-3</v>
      </c>
      <c r="Q28">
        <f>_xll.EQNXTDZ($A$1,$B28,Q$1,$B$1)</f>
        <v>2E-3</v>
      </c>
      <c r="R28">
        <f>_xll.EQNXTDZ($A$1,$B28,R$1,$B$1)</f>
        <v>2E-3</v>
      </c>
      <c r="S28">
        <f>_xll.EQNXTDZ($A$1,$B28,S$1,$B$1)</f>
        <v>1E-3</v>
      </c>
      <c r="T28">
        <f>_xll.EQNXTDZ($A$1,$B28,T$1,$B$1)</f>
        <v>1E-3</v>
      </c>
      <c r="U28">
        <f>_xll.EQNXTDZ($A$1,$B28,U$1,$B$1)</f>
        <v>1E-3</v>
      </c>
      <c r="V28">
        <f>_xll.EQNXTDZ($A$1,$B28,V$1,$B$1)</f>
        <v>1E-3</v>
      </c>
      <c r="W28">
        <f>_xll.EQNXTDZ($A$1,$B28,W$1,$B$1)</f>
        <v>1E-3</v>
      </c>
      <c r="X28">
        <f>_xll.EQNXTDZ($A$1,$B28,X$1,$B$1)</f>
        <v>1E-3</v>
      </c>
      <c r="Y28">
        <f>_xll.EQNXTDZ($A$1,$B28,Y$1,$B$1)</f>
        <v>1E-3</v>
      </c>
      <c r="Z28">
        <f>_xll.EQNXTDZ($A$1,$B28,Z$1,$B$1)</f>
        <v>1E-3</v>
      </c>
      <c r="AA28">
        <f>_xll.EQNXTDZ($A$1,$B28,AA$1,$B$1)</f>
        <v>1E-3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0.14099999999999999</v>
      </c>
      <c r="AN28">
        <f>_xll.EQNXTDZ($A$1,$B28,AN$1,$B$1)</f>
        <v>0.32800000000000001</v>
      </c>
      <c r="AO28">
        <f>_xll.EQNXTDZ($A$1,$B28,AO$1,$B$1)</f>
        <v>0.34699999999999998</v>
      </c>
      <c r="AP28">
        <f>_xll.EQNXTDZ($A$1,$B28,AP$1,$B$1)</f>
        <v>0.34899999999999998</v>
      </c>
      <c r="AQ28">
        <f>_xll.EQNXTDZ($A$1,$B28,AQ$1,$B$1)</f>
        <v>0.4</v>
      </c>
      <c r="AR28">
        <f>_xll.EQNXTDZ($A$1,$B28,AR$1,$B$1)</f>
        <v>0.57999999999999996</v>
      </c>
      <c r="AS28">
        <f>_xll.EQNXTDZ($A$1,$B28,AS$1,$B$1)</f>
        <v>0.628</v>
      </c>
      <c r="AT28">
        <f>_xll.EQNXTDZ($A$1,$B28,AT$1,$B$1)</f>
        <v>0.77500000000000002</v>
      </c>
      <c r="AU28">
        <f>_xll.EQNXTDZ($A$1,$B28,AU$1,$B$1)</f>
        <v>0.67400000000000004</v>
      </c>
      <c r="AV28">
        <f>_xll.EQNXTDZ($A$1,$B28,AV$1,$B$1)</f>
        <v>0.78400000000000003</v>
      </c>
      <c r="AW28">
        <f>_xll.EQNXTDZ($A$1,$B28,AW$1,$B$1)</f>
        <v>1.0900000000000001</v>
      </c>
      <c r="AX28">
        <f>_xll.EQNXTDZ($A$1,$B28,AX$1,$B$1)</f>
        <v>2.8330000000000002</v>
      </c>
      <c r="AY28">
        <f>_xll.EQNXTDZ($A$1,$B28,AY$1,$B$1)</f>
        <v>2.2400000000000002</v>
      </c>
      <c r="AZ28">
        <f>_xll.EQNXTDZ($A$1,$B28,AZ$1,$B$1)</f>
        <v>2.36</v>
      </c>
      <c r="BA28">
        <f>_xll.EQNXTDZ($A$1,$B28,BA$1,$B$1)</f>
        <v>2.83</v>
      </c>
      <c r="BB28">
        <f>_xll.EQNXTDZ($A$1,$B28,BB$1,$B$1)</f>
        <v>3.25</v>
      </c>
      <c r="BC28">
        <f>_xll.EQNXTDZ($A$1,$B28,BC$1,$B$1)</f>
        <v>3.34</v>
      </c>
      <c r="BD28">
        <f>_xll.EQNXTDZ($A$1,$B28,BD$1,$B$1)</f>
        <v>5.94</v>
      </c>
      <c r="BE28">
        <f>_xll.EQNXTDZ($A$1,$B28,BE$1,$B$1)</f>
        <v>6.52</v>
      </c>
      <c r="BF28">
        <f>_xll.EQNXTDZ($A$1,$B28,BF$1,$B$1)</f>
        <v>7.03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0.67900000000000005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0.1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0.125</v>
      </c>
      <c r="N29">
        <f>_xll.EQNXTDZ($A$1,$B29,N$1,$B$1)</f>
        <v>-7.6999999999999999E-2</v>
      </c>
      <c r="O29">
        <f>_xll.EQNXTDZ($A$1,$B29,O$1,$B$1)</f>
        <v>5.2999999999999999E-2</v>
      </c>
      <c r="P29">
        <f>_xll.EQNXTDZ($A$1,$B29,P$1,$B$1)</f>
        <v>-5.2999999999999999E-2</v>
      </c>
      <c r="Q29">
        <f>_xll.EQNXTDZ($A$1,$B29,Q$1,$B$1)</f>
        <v>0</v>
      </c>
      <c r="R29">
        <f>_xll.EQNXTDZ($A$1,$B29,R$1,$B$1)</f>
        <v>0.34599999999999997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-0.69199999999999995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6.16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6.7</v>
      </c>
      <c r="AT29">
        <f>_xll.EQNXTDZ($A$1,$B29,AT$1,$B$1)</f>
        <v>5.6959999999999997</v>
      </c>
      <c r="AU29">
        <f>_xll.EQNXTDZ($A$1,$B29,AU$1,$B$1)</f>
        <v>2.04</v>
      </c>
      <c r="AV29">
        <f>_xll.EQNXTDZ($A$1,$B29,AV$1,$B$1)</f>
        <v>5.8689999999999998</v>
      </c>
      <c r="AW29">
        <f>_xll.EQNXTDZ($A$1,$B29,AW$1,$B$1)</f>
        <v>23.69</v>
      </c>
      <c r="AX29">
        <f>_xll.EQNXTDZ($A$1,$B29,AX$1,$B$1)</f>
        <v>6.3529999999999998</v>
      </c>
      <c r="AY29">
        <f>_xll.EQNXTDZ($A$1,$B29,AY$1,$B$1)</f>
        <v>4.4400000000000004</v>
      </c>
      <c r="AZ29">
        <f>_xll.EQNXTDZ($A$1,$B29,AZ$1,$B$1)</f>
        <v>5.87</v>
      </c>
      <c r="BA29">
        <f>_xll.EQNXTDZ($A$1,$B29,BA$1,$B$1)</f>
        <v>11.9</v>
      </c>
      <c r="BB29">
        <f>_xll.EQNXTDZ($A$1,$B29,BB$1,$B$1)</f>
        <v>14.63</v>
      </c>
      <c r="BC29">
        <f>_xll.EQNXTDZ($A$1,$B29,BC$1,$B$1)</f>
        <v>52.2</v>
      </c>
      <c r="BD29">
        <f>_xll.EQNXTDZ($A$1,$B29,BD$1,$B$1)</f>
        <v>2.15</v>
      </c>
      <c r="BE29">
        <f>_xll.EQNXTDZ($A$1,$B29,BE$1,$B$1)</f>
        <v>11.78</v>
      </c>
      <c r="BF29">
        <f>_xll.EQNXTDZ($A$1,$B29,BF$1,$B$1)</f>
        <v>27.86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1.675</v>
      </c>
      <c r="D30">
        <f>_xll.EQNXTDZ($A$1,$B30,D$1,$B$1)</f>
        <v>9.6000000000000002E-2</v>
      </c>
      <c r="E30">
        <f>_xll.EQNXTDZ($A$1,$B30,E$1,$B$1)</f>
        <v>-0.34799999999999998</v>
      </c>
      <c r="F30">
        <f>_xll.EQNXTDZ($A$1,$B30,F$1,$B$1)</f>
        <v>-7.0000000000000001E-3</v>
      </c>
      <c r="G30">
        <f>_xll.EQNXTDZ($A$1,$B30,G$1,$B$1)</f>
        <v>-11.016999999999999</v>
      </c>
      <c r="H30">
        <f>_xll.EQNXTDZ($A$1,$B30,H$1,$B$1)</f>
        <v>-0.37</v>
      </c>
      <c r="I30">
        <f>_xll.EQNXTDZ($A$1,$B30,I$1,$B$1)</f>
        <v>-0.24299999999999999</v>
      </c>
      <c r="J30">
        <f>_xll.EQNXTDZ($A$1,$B30,J$1,$B$1)</f>
        <v>12.382999999999999</v>
      </c>
      <c r="K30">
        <f>_xll.EQNXTDZ($A$1,$B30,K$1,$B$1)</f>
        <v>-0.21099999999999999</v>
      </c>
      <c r="L30">
        <f>_xll.EQNXTDZ($A$1,$B30,L$1,$B$1)</f>
        <v>-0.14000000000000001</v>
      </c>
      <c r="M30">
        <f>_xll.EQNXTDZ($A$1,$B30,M$1,$B$1)</f>
        <v>0.874</v>
      </c>
      <c r="N30">
        <f>_xll.EQNXTDZ($A$1,$B30,N$1,$B$1)</f>
        <v>-0.11700000000000001</v>
      </c>
      <c r="O30">
        <f>_xll.EQNXTDZ($A$1,$B30,O$1,$B$1)</f>
        <v>0.20899999999999999</v>
      </c>
      <c r="P30">
        <f>_xll.EQNXTDZ($A$1,$B30,P$1,$B$1)</f>
        <v>-0.33</v>
      </c>
      <c r="Q30">
        <f>_xll.EQNXTDZ($A$1,$B30,Q$1,$B$1)</f>
        <v>-0.53500000000000003</v>
      </c>
      <c r="R30">
        <f>_xll.EQNXTDZ($A$1,$B30,R$1,$B$1)</f>
        <v>-4.6760000000000002</v>
      </c>
      <c r="S30">
        <f>_xll.EQNXTDZ($A$1,$B30,S$1,$B$1)</f>
        <v>-0.27700000000000002</v>
      </c>
      <c r="T30">
        <f>_xll.EQNXTDZ($A$1,$B30,T$1,$B$1)</f>
        <v>-0.217</v>
      </c>
      <c r="U30">
        <f>_xll.EQNXTDZ($A$1,$B30,U$1,$B$1)</f>
        <v>-3.157</v>
      </c>
      <c r="V30">
        <f>_xll.EQNXTDZ($A$1,$B30,V$1,$B$1)</f>
        <v>3.0000000000000001E-3</v>
      </c>
      <c r="W30">
        <f>_xll.EQNXTDZ($A$1,$B30,W$1,$B$1)</f>
        <v>-0.42499999999999999</v>
      </c>
      <c r="X30">
        <f>_xll.EQNXTDZ($A$1,$B30,X$1,$B$1)</f>
        <v>1.9E-2</v>
      </c>
      <c r="Y30">
        <f>_xll.EQNXTDZ($A$1,$B30,Y$1,$B$1)</f>
        <v>0.24</v>
      </c>
      <c r="Z30">
        <f>_xll.EQNXTDZ($A$1,$B30,Z$1,$B$1)</f>
        <v>-5.7750000000000004</v>
      </c>
      <c r="AA30">
        <f>_xll.EQNXTDZ($A$1,$B30,AA$1,$B$1)</f>
        <v>-0.442</v>
      </c>
      <c r="AB30">
        <f>_xll.EQNXTDZ($A$1,$B30,AB$1,$B$1)</f>
        <v>-3.3460000000000001</v>
      </c>
      <c r="AC30">
        <f>_xll.EQNXTDZ($A$1,$B30,AC$1,$B$1)</f>
        <v>-1.345</v>
      </c>
      <c r="AD30">
        <f>_xll.EQNXTDZ($A$1,$B30,AD$1,$B$1)</f>
        <v>-2.903</v>
      </c>
      <c r="AE30">
        <f>_xll.EQNXTDZ($A$1,$B30,AE$1,$B$1)</f>
        <v>-0.442</v>
      </c>
      <c r="AF30">
        <f>_xll.EQNXTDZ($A$1,$B30,AF$1,$B$1)</f>
        <v>-0.4</v>
      </c>
      <c r="AG30">
        <f>_xll.EQNXTDZ($A$1,$B30,AG$1,$B$1)</f>
        <v>-0.41699999999999998</v>
      </c>
      <c r="AH30">
        <f>_xll.EQNXTDZ($A$1,$B30,AH$1,$B$1)</f>
        <v>0.43099999999999999</v>
      </c>
      <c r="AI30">
        <f>_xll.EQNXTDZ($A$1,$B30,AI$1,$B$1)</f>
        <v>-0.29599999999999999</v>
      </c>
      <c r="AJ30">
        <f>_xll.EQNXTDZ($A$1,$B30,AJ$1,$B$1)</f>
        <v>-0.27400000000000002</v>
      </c>
      <c r="AK30">
        <f>_xll.EQNXTDZ($A$1,$B30,AK$1,$B$1)</f>
        <v>0.82599999999999996</v>
      </c>
      <c r="AL30">
        <f>_xll.EQNXTDZ($A$1,$B30,AL$1,$B$1)</f>
        <v>-0.496</v>
      </c>
      <c r="AM30">
        <f>_xll.EQNXTDZ($A$1,$B30,AM$1,$B$1)</f>
        <v>-1.7150000000000001</v>
      </c>
      <c r="AN30">
        <f>_xll.EQNXTDZ($A$1,$B30,AN$1,$B$1)</f>
        <v>1.5940000000000001</v>
      </c>
      <c r="AO30">
        <f>_xll.EQNXTDZ($A$1,$B30,AO$1,$B$1)</f>
        <v>3.49</v>
      </c>
      <c r="AP30">
        <f>_xll.EQNXTDZ($A$1,$B30,AP$1,$B$1)</f>
        <v>151.60499999999999</v>
      </c>
      <c r="AQ30">
        <f>_xll.EQNXTDZ($A$1,$B30,AQ$1,$B$1)</f>
        <v>5.1109999999999998</v>
      </c>
      <c r="AR30">
        <f>_xll.EQNXTDZ($A$1,$B30,AR$1,$B$1)</f>
        <v>15.647</v>
      </c>
      <c r="AS30">
        <f>_xll.EQNXTDZ($A$1,$B30,AS$1,$B$1)</f>
        <v>14.041</v>
      </c>
      <c r="AT30">
        <f>_xll.EQNXTDZ($A$1,$B30,AT$1,$B$1)</f>
        <v>10.23</v>
      </c>
      <c r="AU30">
        <f>_xll.EQNXTDZ($A$1,$B30,AU$1,$B$1)</f>
        <v>15.186</v>
      </c>
      <c r="AV30">
        <f>_xll.EQNXTDZ($A$1,$B30,AV$1,$B$1)</f>
        <v>31.58</v>
      </c>
      <c r="AW30">
        <f>_xll.EQNXTDZ($A$1,$B30,AW$1,$B$1)</f>
        <v>75.278000000000006</v>
      </c>
      <c r="AX30">
        <f>_xll.EQNXTDZ($A$1,$B30,AX$1,$B$1)</f>
        <v>52.755000000000003</v>
      </c>
      <c r="AY30">
        <f>_xll.EQNXTDZ($A$1,$B30,AY$1,$B$1)</f>
        <v>17.18</v>
      </c>
      <c r="AZ30">
        <f>_xll.EQNXTDZ($A$1,$B30,AZ$1,$B$1)</f>
        <v>40.58</v>
      </c>
      <c r="BA30">
        <f>_xll.EQNXTDZ($A$1,$B30,BA$1,$B$1)</f>
        <v>41.32</v>
      </c>
      <c r="BB30">
        <f>_xll.EQNXTDZ($A$1,$B30,BB$1,$B$1)</f>
        <v>27.23</v>
      </c>
      <c r="BC30">
        <f>_xll.EQNXTDZ($A$1,$B30,BC$1,$B$1)</f>
        <v>235.34</v>
      </c>
      <c r="BD30">
        <f>_xll.EQNXTDZ($A$1,$B30,BD$1,$B$1)</f>
        <v>51.380000000000102</v>
      </c>
      <c r="BE30">
        <f>_xll.EQNXTDZ($A$1,$B30,BE$1,$B$1)</f>
        <v>27.5</v>
      </c>
      <c r="BF30">
        <f>_xll.EQNXTDZ($A$1,$B30,BF$1,$B$1)</f>
        <v>60.31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0.55700000000000005</v>
      </c>
      <c r="AN34">
        <f>_xll.EQNXTDZ($A$1,$B34,AN$1,$B$1)</f>
        <v>-0.91</v>
      </c>
      <c r="AO34">
        <f>_xll.EQNXTDZ($A$1,$B34,AO$1,$B$1)</f>
        <v>-1.748</v>
      </c>
      <c r="AP34">
        <f>_xll.EQNXTDZ($A$1,$B34,AP$1,$B$1)</f>
        <v>-0.58399999999999996</v>
      </c>
      <c r="AQ34">
        <f>_xll.EQNXTDZ($A$1,$B34,AQ$1,$B$1)</f>
        <v>-5.1859999999999999</v>
      </c>
      <c r="AR34">
        <f>_xll.EQNXTDZ($A$1,$B34,AR$1,$B$1)</f>
        <v>-3.887</v>
      </c>
      <c r="AS34">
        <f>_xll.EQNXTDZ($A$1,$B34,AS$1,$B$1)</f>
        <v>-6.5759999999999996</v>
      </c>
      <c r="AT34">
        <f>_xll.EQNXTDZ($A$1,$B34,AT$1,$B$1)</f>
        <v>-3.3029999999999999</v>
      </c>
      <c r="AU34">
        <f>_xll.EQNXTDZ($A$1,$B34,AU$1,$B$1)</f>
        <v>-7.0469999999999997</v>
      </c>
      <c r="AV34">
        <f>_xll.EQNXTDZ($A$1,$B34,AV$1,$B$1)</f>
        <v>-10.411</v>
      </c>
      <c r="AW34">
        <f>_xll.EQNXTDZ($A$1,$B34,AW$1,$B$1)</f>
        <v>-15.093999999999999</v>
      </c>
      <c r="AX34">
        <f>_xll.EQNXTDZ($A$1,$B34,AX$1,$B$1)</f>
        <v>-24.681000000000001</v>
      </c>
      <c r="AY34">
        <f>_xll.EQNXTDZ($A$1,$B34,AY$1,$B$1)</f>
        <v>-10.79</v>
      </c>
      <c r="AZ34">
        <f>_xll.EQNXTDZ($A$1,$B34,AZ$1,$B$1)</f>
        <v>-18.39</v>
      </c>
      <c r="BA34">
        <f>_xll.EQNXTDZ($A$1,$B34,BA$1,$B$1)</f>
        <v>-21.98</v>
      </c>
      <c r="BB34">
        <f>_xll.EQNXTDZ($A$1,$B34,BB$1,$B$1)</f>
        <v>-15.13</v>
      </c>
      <c r="BC34">
        <f>_xll.EQNXTDZ($A$1,$B34,BC$1,$B$1)</f>
        <v>-18.940000000000001</v>
      </c>
      <c r="BD34">
        <f>_xll.EQNXTDZ($A$1,$B34,BD$1,$B$1)</f>
        <v>-38.380000000000003</v>
      </c>
      <c r="BE34">
        <f>_xll.EQNXTDZ($A$1,$B34,BE$1,$B$1)</f>
        <v>-45.79</v>
      </c>
      <c r="BF34">
        <f>_xll.EQNXTDZ($A$1,$B34,BF$1,$B$1)</f>
        <v>-30.41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1.0860000000000001</v>
      </c>
      <c r="AB35">
        <f>_xll.EQNXTDZ($A$1,$B35,AB$1,$B$1)</f>
        <v>4.53</v>
      </c>
      <c r="AC35">
        <f>_xll.EQNXTDZ($A$1,$B35,AC$1,$B$1)</f>
        <v>-22.283999999999999</v>
      </c>
      <c r="AD35">
        <f>_xll.EQNXTDZ($A$1,$B35,AD$1,$B$1)</f>
        <v>-19.268000000000001</v>
      </c>
      <c r="AE35">
        <f>_xll.EQNXTDZ($A$1,$B35,AE$1,$B$1)</f>
        <v>-0.122</v>
      </c>
      <c r="AF35">
        <f>_xll.EQNXTDZ($A$1,$B35,AF$1,$B$1)</f>
        <v>0.33600000000000002</v>
      </c>
      <c r="AG35">
        <f>_xll.EQNXTDZ($A$1,$B35,AG$1,$B$1)</f>
        <v>0.38700000000000001</v>
      </c>
      <c r="AH35">
        <f>_xll.EQNXTDZ($A$1,$B35,AH$1,$B$1)</f>
        <v>-0.29899999999999999</v>
      </c>
      <c r="AI35">
        <f>_xll.EQNXTDZ($A$1,$B35,AI$1,$B$1)</f>
        <v>0.58899999999999997</v>
      </c>
      <c r="AJ35">
        <f>_xll.EQNXTDZ($A$1,$B35,AJ$1,$B$1)</f>
        <v>0.55300000000000005</v>
      </c>
      <c r="AK35">
        <f>_xll.EQNXTDZ($A$1,$B35,AK$1,$B$1)</f>
        <v>0.38500000000000001</v>
      </c>
      <c r="AL35">
        <f>_xll.EQNXTDZ($A$1,$B35,AL$1,$B$1)</f>
        <v>-7.5999999999999998E-2</v>
      </c>
      <c r="AM35">
        <f>_xll.EQNXTDZ($A$1,$B35,AM$1,$B$1)</f>
        <v>0.313</v>
      </c>
      <c r="AN35">
        <f>_xll.EQNXTDZ($A$1,$B35,AN$1,$B$1)</f>
        <v>0.02</v>
      </c>
      <c r="AO35">
        <f>_xll.EQNXTDZ($A$1,$B35,AO$1,$B$1)</f>
        <v>-0.40699999999999997</v>
      </c>
      <c r="AP35">
        <f>_xll.EQNXTDZ($A$1,$B35,AP$1,$B$1)</f>
        <v>-1.165</v>
      </c>
      <c r="AQ35">
        <f>_xll.EQNXTDZ($A$1,$B35,AQ$1,$B$1)</f>
        <v>-0.24399999999999999</v>
      </c>
      <c r="AR35">
        <f>_xll.EQNXTDZ($A$1,$B35,AR$1,$B$1)</f>
        <v>-0.39100000000000001</v>
      </c>
      <c r="AS35">
        <f>_xll.EQNXTDZ($A$1,$B35,AS$1,$B$1)</f>
        <v>-0.186</v>
      </c>
      <c r="AT35">
        <f>_xll.EQNXTDZ($A$1,$B35,AT$1,$B$1)</f>
        <v>23.498999999999999</v>
      </c>
      <c r="AU35">
        <f>_xll.EQNXTDZ($A$1,$B35,AU$1,$B$1)</f>
        <v>-0.15</v>
      </c>
      <c r="AV35">
        <f>_xll.EQNXTDZ($A$1,$B35,AV$1,$B$1)</f>
        <v>7.6390000000000002</v>
      </c>
      <c r="AW35">
        <f>_xll.EQNXTDZ($A$1,$B35,AW$1,$B$1)</f>
        <v>-0.38500000000000001</v>
      </c>
      <c r="AX35">
        <f>_xll.EQNXTDZ($A$1,$B35,AX$1,$B$1)</f>
        <v>-7.1020000000000003</v>
      </c>
      <c r="AY35">
        <f>_xll.EQNXTDZ($A$1,$B35,AY$1,$B$1)</f>
        <v>-0.24</v>
      </c>
      <c r="AZ35">
        <f>_xll.EQNXTDZ($A$1,$B35,AZ$1,$B$1)</f>
        <v>-0.12</v>
      </c>
      <c r="BA35">
        <f>_xll.EQNXTDZ($A$1,$B35,BA$1,$B$1)</f>
        <v>0.1</v>
      </c>
      <c r="BB35">
        <f>_xll.EQNXTDZ($A$1,$B35,BB$1,$B$1)</f>
        <v>-2.67</v>
      </c>
      <c r="BC35">
        <f>_xll.EQNXTDZ($A$1,$B35,BC$1,$B$1)</f>
        <v>13.33</v>
      </c>
      <c r="BD35">
        <f>_xll.EQNXTDZ($A$1,$B35,BD$1,$B$1)</f>
        <v>10.46</v>
      </c>
      <c r="BE35">
        <f>_xll.EQNXTDZ($A$1,$B35,BE$1,$B$1)</f>
        <v>10.43</v>
      </c>
      <c r="BF35">
        <f>_xll.EQNXTDZ($A$1,$B35,BF$1,$B$1)</f>
        <v>8.2100000000000009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1.675</v>
      </c>
      <c r="D38">
        <f>_xll.EQNXTDZ($A$1,$B38,D$1,$B$1)</f>
        <v>9.6000000000000002E-2</v>
      </c>
      <c r="E38">
        <f>_xll.EQNXTDZ($A$1,$B38,E$1,$B$1)</f>
        <v>-0.34799999999999998</v>
      </c>
      <c r="F38">
        <f>_xll.EQNXTDZ($A$1,$B38,F$1,$B$1)</f>
        <v>-7.0000000000000001E-3</v>
      </c>
      <c r="G38">
        <f>_xll.EQNXTDZ($A$1,$B38,G$1,$B$1)</f>
        <v>-11.016999999999999</v>
      </c>
      <c r="H38">
        <f>_xll.EQNXTDZ($A$1,$B38,H$1,$B$1)</f>
        <v>-0.37</v>
      </c>
      <c r="I38">
        <f>_xll.EQNXTDZ($A$1,$B38,I$1,$B$1)</f>
        <v>-0.24299999999999999</v>
      </c>
      <c r="J38">
        <f>_xll.EQNXTDZ($A$1,$B38,J$1,$B$1)</f>
        <v>12.382999999999999</v>
      </c>
      <c r="K38">
        <f>_xll.EQNXTDZ($A$1,$B38,K$1,$B$1)</f>
        <v>-0.21099999999999999</v>
      </c>
      <c r="L38">
        <f>_xll.EQNXTDZ($A$1,$B38,L$1,$B$1)</f>
        <v>-0.14000000000000001</v>
      </c>
      <c r="M38">
        <f>_xll.EQNXTDZ($A$1,$B38,M$1,$B$1)</f>
        <v>0.874</v>
      </c>
      <c r="N38">
        <f>_xll.EQNXTDZ($A$1,$B38,N$1,$B$1)</f>
        <v>-0.11700000000000001</v>
      </c>
      <c r="O38">
        <f>_xll.EQNXTDZ($A$1,$B38,O$1,$B$1)</f>
        <v>0.20899999999999999</v>
      </c>
      <c r="P38">
        <f>_xll.EQNXTDZ($A$1,$B38,P$1,$B$1)</f>
        <v>-0.33</v>
      </c>
      <c r="Q38">
        <f>_xll.EQNXTDZ($A$1,$B38,Q$1,$B$1)</f>
        <v>-0.53500000000000003</v>
      </c>
      <c r="R38">
        <f>_xll.EQNXTDZ($A$1,$B38,R$1,$B$1)</f>
        <v>-4.6760000000000002</v>
      </c>
      <c r="S38">
        <f>_xll.EQNXTDZ($A$1,$B38,S$1,$B$1)</f>
        <v>-0.27700000000000002</v>
      </c>
      <c r="T38">
        <f>_xll.EQNXTDZ($A$1,$B38,T$1,$B$1)</f>
        <v>-0.217</v>
      </c>
      <c r="U38">
        <f>_xll.EQNXTDZ($A$1,$B38,U$1,$B$1)</f>
        <v>-3.157</v>
      </c>
      <c r="V38">
        <f>_xll.EQNXTDZ($A$1,$B38,V$1,$B$1)</f>
        <v>3.0000000000000001E-3</v>
      </c>
      <c r="W38">
        <f>_xll.EQNXTDZ($A$1,$B38,W$1,$B$1)</f>
        <v>-0.42499999999999999</v>
      </c>
      <c r="X38">
        <f>_xll.EQNXTDZ($A$1,$B38,X$1,$B$1)</f>
        <v>1.9E-2</v>
      </c>
      <c r="Y38">
        <f>_xll.EQNXTDZ($A$1,$B38,Y$1,$B$1)</f>
        <v>0.24</v>
      </c>
      <c r="Z38">
        <f>_xll.EQNXTDZ($A$1,$B38,Z$1,$B$1)</f>
        <v>-5.7750000000000004</v>
      </c>
      <c r="AA38">
        <f>_xll.EQNXTDZ($A$1,$B38,AA$1,$B$1)</f>
        <v>0.64400000000000002</v>
      </c>
      <c r="AB38">
        <f>_xll.EQNXTDZ($A$1,$B38,AB$1,$B$1)</f>
        <v>1.1839999999999999</v>
      </c>
      <c r="AC38">
        <f>_xll.EQNXTDZ($A$1,$B38,AC$1,$B$1)</f>
        <v>-23.629000000000001</v>
      </c>
      <c r="AD38">
        <f>_xll.EQNXTDZ($A$1,$B38,AD$1,$B$1)</f>
        <v>-22.172000000000001</v>
      </c>
      <c r="AE38">
        <f>_xll.EQNXTDZ($A$1,$B38,AE$1,$B$1)</f>
        <v>-0.56399999999999995</v>
      </c>
      <c r="AF38">
        <f>_xll.EQNXTDZ($A$1,$B38,AF$1,$B$1)</f>
        <v>-6.4000000000000001E-2</v>
      </c>
      <c r="AG38">
        <f>_xll.EQNXTDZ($A$1,$B38,AG$1,$B$1)</f>
        <v>-3.1E-2</v>
      </c>
      <c r="AH38">
        <f>_xll.EQNXTDZ($A$1,$B38,AH$1,$B$1)</f>
        <v>0.13200000000000001</v>
      </c>
      <c r="AI38">
        <f>_xll.EQNXTDZ($A$1,$B38,AI$1,$B$1)</f>
        <v>0.29299999999999998</v>
      </c>
      <c r="AJ38">
        <f>_xll.EQNXTDZ($A$1,$B38,AJ$1,$B$1)</f>
        <v>0.27900000000000003</v>
      </c>
      <c r="AK38">
        <f>_xll.EQNXTDZ($A$1,$B38,AK$1,$B$1)</f>
        <v>1.2110000000000001</v>
      </c>
      <c r="AL38">
        <f>_xll.EQNXTDZ($A$1,$B38,AL$1,$B$1)</f>
        <v>-0.57099999999999995</v>
      </c>
      <c r="AM38">
        <f>_xll.EQNXTDZ($A$1,$B38,AM$1,$B$1)</f>
        <v>-0.84499999999999997</v>
      </c>
      <c r="AN38">
        <f>_xll.EQNXTDZ($A$1,$B38,AN$1,$B$1)</f>
        <v>0.70299999999999996</v>
      </c>
      <c r="AO38">
        <f>_xll.EQNXTDZ($A$1,$B38,AO$1,$B$1)</f>
        <v>1.335</v>
      </c>
      <c r="AP38">
        <f>_xll.EQNXTDZ($A$1,$B38,AP$1,$B$1)</f>
        <v>149.85599999999999</v>
      </c>
      <c r="AQ38">
        <f>_xll.EQNXTDZ($A$1,$B38,AQ$1,$B$1)</f>
        <v>-0.32</v>
      </c>
      <c r="AR38">
        <f>_xll.EQNXTDZ($A$1,$B38,AR$1,$B$1)</f>
        <v>11.371</v>
      </c>
      <c r="AS38">
        <f>_xll.EQNXTDZ($A$1,$B38,AS$1,$B$1)</f>
        <v>7.2789999999999999</v>
      </c>
      <c r="AT38">
        <f>_xll.EQNXTDZ($A$1,$B38,AT$1,$B$1)</f>
        <v>30.425000000000001</v>
      </c>
      <c r="AU38">
        <f>_xll.EQNXTDZ($A$1,$B38,AU$1,$B$1)</f>
        <v>7.9880000000000004</v>
      </c>
      <c r="AV38">
        <f>_xll.EQNXTDZ($A$1,$B38,AV$1,$B$1)</f>
        <v>28.81</v>
      </c>
      <c r="AW38">
        <f>_xll.EQNXTDZ($A$1,$B38,AW$1,$B$1)</f>
        <v>59.798999999999999</v>
      </c>
      <c r="AX38">
        <f>_xll.EQNXTDZ($A$1,$B38,AX$1,$B$1)</f>
        <v>20.971</v>
      </c>
      <c r="AY38">
        <f>_xll.EQNXTDZ($A$1,$B38,AY$1,$B$1)</f>
        <v>6.15</v>
      </c>
      <c r="AZ38">
        <f>_xll.EQNXTDZ($A$1,$B38,AZ$1,$B$1)</f>
        <v>22.07</v>
      </c>
      <c r="BA38">
        <f>_xll.EQNXTDZ($A$1,$B38,BA$1,$B$1)</f>
        <v>19.440000000000001</v>
      </c>
      <c r="BB38">
        <f>_xll.EQNXTDZ($A$1,$B38,BB$1,$B$1)</f>
        <v>9.43</v>
      </c>
      <c r="BC38">
        <f>_xll.EQNXTDZ($A$1,$B38,BC$1,$B$1)</f>
        <v>229.73</v>
      </c>
      <c r="BD38">
        <f>_xll.EQNXTDZ($A$1,$B38,BD$1,$B$1)</f>
        <v>23.46</v>
      </c>
      <c r="BE38">
        <f>_xll.EQNXTDZ($A$1,$B38,BE$1,$B$1)</f>
        <v>-7.86</v>
      </c>
      <c r="BF38">
        <f>_xll.EQNXTDZ($A$1,$B38,BF$1,$B$1)</f>
        <v>38.11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31.088000000000001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-63.973999999999997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-16.271000000000001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-16.14</v>
      </c>
      <c r="AH40">
        <f>_xll.EQNXTDZ($A$1,$B40,AH$1,$B$1)</f>
        <v>-6.5430000000000001</v>
      </c>
      <c r="AI40">
        <f>_xll.EQNXTDZ($A$1,$B40,AI$1,$B$1)</f>
        <v>18.669</v>
      </c>
      <c r="AJ40">
        <f>_xll.EQNXTDZ($A$1,$B40,AJ$1,$B$1)</f>
        <v>-2.4769999999999999</v>
      </c>
      <c r="AK40">
        <f>_xll.EQNXTDZ($A$1,$B40,AK$1,$B$1)</f>
        <v>-6.1950000000000003</v>
      </c>
      <c r="AL40">
        <f>_xll.EQNXTDZ($A$1,$B40,AL$1,$B$1)</f>
        <v>3.8159999999999998</v>
      </c>
      <c r="AM40">
        <f>_xll.EQNXTDZ($A$1,$B40,AM$1,$B$1)</f>
        <v>115.667</v>
      </c>
      <c r="AN40">
        <f>_xll.EQNXTDZ($A$1,$B40,AN$1,$B$1)</f>
        <v>123.369</v>
      </c>
      <c r="AO40">
        <f>_xll.EQNXTDZ($A$1,$B40,AO$1,$B$1)</f>
        <v>25.463000000000001</v>
      </c>
      <c r="AP40">
        <f>_xll.EQNXTDZ($A$1,$B40,AP$1,$B$1)</f>
        <v>-68.506</v>
      </c>
      <c r="AQ40">
        <f>_xll.EQNXTDZ($A$1,$B40,AQ$1,$B$1)</f>
        <v>10.452</v>
      </c>
      <c r="AR40">
        <f>_xll.EQNXTDZ($A$1,$B40,AR$1,$B$1)</f>
        <v>62.171999999999997</v>
      </c>
      <c r="AS40">
        <f>_xll.EQNXTDZ($A$1,$B40,AS$1,$B$1)</f>
        <v>107.39100000000001</v>
      </c>
      <c r="AT40">
        <f>_xll.EQNXTDZ($A$1,$B40,AT$1,$B$1)</f>
        <v>61.082999999999998</v>
      </c>
      <c r="AU40">
        <f>_xll.EQNXTDZ($A$1,$B40,AU$1,$B$1)</f>
        <v>181.29900000000001</v>
      </c>
      <c r="AV40">
        <f>_xll.EQNXTDZ($A$1,$B40,AV$1,$B$1)</f>
        <v>218.65199999999999</v>
      </c>
      <c r="AW40">
        <f>_xll.EQNXTDZ($A$1,$B40,AW$1,$B$1)</f>
        <v>98.762</v>
      </c>
      <c r="AX40">
        <f>_xll.EQNXTDZ($A$1,$B40,AX$1,$B$1)</f>
        <v>-53.789000000000001</v>
      </c>
      <c r="AY40">
        <f>_xll.EQNXTDZ($A$1,$B40,AY$1,$B$1)</f>
        <v>202.53</v>
      </c>
      <c r="AZ40">
        <f>_xll.EQNXTDZ($A$1,$B40,AZ$1,$B$1)</f>
        <v>342.91</v>
      </c>
      <c r="BA40">
        <f>_xll.EQNXTDZ($A$1,$B40,BA$1,$B$1)</f>
        <v>482.52</v>
      </c>
      <c r="BB40">
        <f>_xll.EQNXTDZ($A$1,$B40,BB$1,$B$1)</f>
        <v>-168.13</v>
      </c>
      <c r="BC40">
        <f>_xll.EQNXTDZ($A$1,$B40,BC$1,$B$1)</f>
        <v>499.81</v>
      </c>
      <c r="BD40">
        <f>_xll.EQNXTDZ($A$1,$B40,BD$1,$B$1)</f>
        <v>-590.57000000000005</v>
      </c>
      <c r="BE40">
        <f>_xll.EQNXTDZ($A$1,$B40,BE$1,$B$1)</f>
        <v>113.35</v>
      </c>
      <c r="BF40">
        <f>_xll.EQNXTDZ($A$1,$B40,BF$1,$B$1)</f>
        <v>274.20999999999998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0.20899999999999999</v>
      </c>
      <c r="P41">
        <f>_xll.EQNXTDZ($A$1,$B41,P$1,$B$1)</f>
        <v>-0.33</v>
      </c>
      <c r="Q41">
        <f>_xll.EQNXTDZ($A$1,$B41,Q$1,$B$1)</f>
        <v>-0.53500000000000003</v>
      </c>
      <c r="R41">
        <f>_xll.EQNXTDZ($A$1,$B41,R$1,$B$1)</f>
        <v>-4.6760000000000002</v>
      </c>
      <c r="S41">
        <f>_xll.EQNXTDZ($A$1,$B41,S$1,$B$1)</f>
        <v>-0.27700000000000002</v>
      </c>
      <c r="T41">
        <f>_xll.EQNXTDZ($A$1,$B41,T$1,$B$1)</f>
        <v>-0.217</v>
      </c>
      <c r="U41">
        <f>_xll.EQNXTDZ($A$1,$B41,U$1,$B$1)</f>
        <v>-3.157</v>
      </c>
      <c r="V41">
        <f>_xll.EQNXTDZ($A$1,$B41,V$1,$B$1)</f>
        <v>31.091000000000001</v>
      </c>
      <c r="W41">
        <f>_xll.EQNXTDZ($A$1,$B41,W$1,$B$1)</f>
        <v>-0.42499999999999999</v>
      </c>
      <c r="X41">
        <f>_xll.EQNXTDZ($A$1,$B41,X$1,$B$1)</f>
        <v>1.9E-2</v>
      </c>
      <c r="Y41">
        <f>_xll.EQNXTDZ($A$1,$B41,Y$1,$B$1)</f>
        <v>0.24</v>
      </c>
      <c r="Z41">
        <f>_xll.EQNXTDZ($A$1,$B41,Z$1,$B$1)</f>
        <v>-69.748999999999995</v>
      </c>
      <c r="AA41">
        <f>_xll.EQNXTDZ($A$1,$B41,AA$1,$B$1)</f>
        <v>0.64400000000000002</v>
      </c>
      <c r="AB41">
        <f>_xll.EQNXTDZ($A$1,$B41,AB$1,$B$1)</f>
        <v>1.1839999999999999</v>
      </c>
      <c r="AC41">
        <f>_xll.EQNXTDZ($A$1,$B41,AC$1,$B$1)</f>
        <v>-23.629000000000001</v>
      </c>
      <c r="AD41">
        <f>_xll.EQNXTDZ($A$1,$B41,AD$1,$B$1)</f>
        <v>-38.442999999999998</v>
      </c>
      <c r="AE41">
        <f>_xll.EQNXTDZ($A$1,$B41,AE$1,$B$1)</f>
        <v>-0.56399999999999995</v>
      </c>
      <c r="AF41">
        <f>_xll.EQNXTDZ($A$1,$B41,AF$1,$B$1)</f>
        <v>-6.4000000000000001E-2</v>
      </c>
      <c r="AG41">
        <f>_xll.EQNXTDZ($A$1,$B41,AG$1,$B$1)</f>
        <v>-16.170999999999999</v>
      </c>
      <c r="AH41">
        <f>_xll.EQNXTDZ($A$1,$B41,AH$1,$B$1)</f>
        <v>-6.4109999999999996</v>
      </c>
      <c r="AI41">
        <f>_xll.EQNXTDZ($A$1,$B41,AI$1,$B$1)</f>
        <v>18.963000000000001</v>
      </c>
      <c r="AJ41">
        <f>_xll.EQNXTDZ($A$1,$B41,AJ$1,$B$1)</f>
        <v>-2.198</v>
      </c>
      <c r="AK41">
        <f>_xll.EQNXTDZ($A$1,$B41,AK$1,$B$1)</f>
        <v>-4.984</v>
      </c>
      <c r="AL41">
        <f>_xll.EQNXTDZ($A$1,$B41,AL$1,$B$1)</f>
        <v>3.2450000000000001</v>
      </c>
      <c r="AM41">
        <f>_xll.EQNXTDZ($A$1,$B41,AM$1,$B$1)</f>
        <v>114.79300000000001</v>
      </c>
      <c r="AN41">
        <f>_xll.EQNXTDZ($A$1,$B41,AN$1,$B$1)</f>
        <v>124.009</v>
      </c>
      <c r="AO41">
        <f>_xll.EQNXTDZ($A$1,$B41,AO$1,$B$1)</f>
        <v>26.733000000000001</v>
      </c>
      <c r="AP41">
        <f>_xll.EQNXTDZ($A$1,$B41,AP$1,$B$1)</f>
        <v>81.543999999999997</v>
      </c>
      <c r="AQ41">
        <f>_xll.EQNXTDZ($A$1,$B41,AQ$1,$B$1)</f>
        <v>10.132999999999999</v>
      </c>
      <c r="AR41">
        <f>_xll.EQNXTDZ($A$1,$B41,AR$1,$B$1)</f>
        <v>73.543999999999997</v>
      </c>
      <c r="AS41">
        <f>_xll.EQNXTDZ($A$1,$B41,AS$1,$B$1)</f>
        <v>114.67100000000001</v>
      </c>
      <c r="AT41">
        <f>_xll.EQNXTDZ($A$1,$B41,AT$1,$B$1)</f>
        <v>91.340999999999994</v>
      </c>
      <c r="AU41">
        <f>_xll.EQNXTDZ($A$1,$B41,AU$1,$B$1)</f>
        <v>189.16800000000001</v>
      </c>
      <c r="AV41">
        <f>_xll.EQNXTDZ($A$1,$B41,AV$1,$B$1)</f>
        <v>247.39400000000001</v>
      </c>
      <c r="AW41">
        <f>_xll.EQNXTDZ($A$1,$B41,AW$1,$B$1)</f>
        <v>158.578</v>
      </c>
      <c r="AX41">
        <f>_xll.EQNXTDZ($A$1,$B41,AX$1,$B$1)</f>
        <v>-32.845999999999997</v>
      </c>
      <c r="AY41">
        <f>_xll.EQNXTDZ($A$1,$B41,AY$1,$B$1)</f>
        <v>208.71</v>
      </c>
      <c r="AZ41">
        <f>_xll.EQNXTDZ($A$1,$B41,AZ$1,$B$1)</f>
        <v>365.03</v>
      </c>
      <c r="BA41">
        <f>_xll.EQNXTDZ($A$1,$B41,BA$1,$B$1)</f>
        <v>502.01</v>
      </c>
      <c r="BB41">
        <f>_xll.EQNXTDZ($A$1,$B41,BB$1,$B$1)</f>
        <v>-158.22</v>
      </c>
      <c r="BC41">
        <f>_xll.EQNXTDZ($A$1,$B41,BC$1,$B$1)</f>
        <v>729.93</v>
      </c>
      <c r="BD41">
        <f>_xll.EQNXTDZ($A$1,$B41,BD$1,$B$1)</f>
        <v>-567.47</v>
      </c>
      <c r="BE41">
        <f>_xll.EQNXTDZ($A$1,$B41,BE$1,$B$1)</f>
        <v>105.23</v>
      </c>
      <c r="BF41">
        <f>_xll.EQNXTDZ($A$1,$B41,BF$1,$B$1)</f>
        <v>312.52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1.675</v>
      </c>
      <c r="D42">
        <f>_xll.EQNXTDZ($A$1,$B42,D$1,$B$1)</f>
        <v>9.6000000000000002E-2</v>
      </c>
      <c r="E42">
        <f>_xll.EQNXTDZ($A$1,$B42,E$1,$B$1)</f>
        <v>-0.34799999999999998</v>
      </c>
      <c r="F42">
        <f>_xll.EQNXTDZ($A$1,$B42,F$1,$B$1)</f>
        <v>-7.0000000000000001E-3</v>
      </c>
      <c r="G42">
        <f>_xll.EQNXTDZ($A$1,$B42,G$1,$B$1)</f>
        <v>-11.016999999999999</v>
      </c>
      <c r="H42">
        <f>_xll.EQNXTDZ($A$1,$B42,H$1,$B$1)</f>
        <v>-0.37</v>
      </c>
      <c r="I42">
        <f>_xll.EQNXTDZ($A$1,$B42,I$1,$B$1)</f>
        <v>-0.24299999999999999</v>
      </c>
      <c r="J42">
        <f>_xll.EQNXTDZ($A$1,$B42,J$1,$B$1)</f>
        <v>12.382999999999999</v>
      </c>
      <c r="K42">
        <f>_xll.EQNXTDZ($A$1,$B42,K$1,$B$1)</f>
        <v>-0.21099999999999999</v>
      </c>
      <c r="L42">
        <f>_xll.EQNXTDZ($A$1,$B42,L$1,$B$1)</f>
        <v>-0.14000000000000001</v>
      </c>
      <c r="M42">
        <f>_xll.EQNXTDZ($A$1,$B42,M$1,$B$1)</f>
        <v>0.874</v>
      </c>
      <c r="N42">
        <f>_xll.EQNXTDZ($A$1,$B42,N$1,$B$1)</f>
        <v>-0.11700000000000001</v>
      </c>
      <c r="O42">
        <f>_xll.EQNXTDZ($A$1,$B42,O$1,$B$1)</f>
        <v>0.20899999999999999</v>
      </c>
      <c r="P42">
        <f>_xll.EQNXTDZ($A$1,$B42,P$1,$B$1)</f>
        <v>-0.33</v>
      </c>
      <c r="Q42">
        <f>_xll.EQNXTDZ($A$1,$B42,Q$1,$B$1)</f>
        <v>-0.53500000000000003</v>
      </c>
      <c r="R42">
        <f>_xll.EQNXTDZ($A$1,$B42,R$1,$B$1)</f>
        <v>-4.6760000000000002</v>
      </c>
      <c r="S42">
        <f>_xll.EQNXTDZ($A$1,$B42,S$1,$B$1)</f>
        <v>-0.27700000000000002</v>
      </c>
      <c r="T42">
        <f>_xll.EQNXTDZ($A$1,$B42,T$1,$B$1)</f>
        <v>-0.217</v>
      </c>
      <c r="U42">
        <f>_xll.EQNXTDZ($A$1,$B42,U$1,$B$1)</f>
        <v>-3.157</v>
      </c>
      <c r="V42">
        <f>_xll.EQNXTDZ($A$1,$B42,V$1,$B$1)</f>
        <v>3.0000000000000001E-3</v>
      </c>
      <c r="W42">
        <f>_xll.EQNXTDZ($A$1,$B42,W$1,$B$1)</f>
        <v>-0.42499999999999999</v>
      </c>
      <c r="X42">
        <f>_xll.EQNXTDZ($A$1,$B42,X$1,$B$1)</f>
        <v>1.9E-2</v>
      </c>
      <c r="Y42">
        <f>_xll.EQNXTDZ($A$1,$B42,Y$1,$B$1)</f>
        <v>0.24</v>
      </c>
      <c r="Z42">
        <f>_xll.EQNXTDZ($A$1,$B42,Z$1,$B$1)</f>
        <v>-5.7750000000000004</v>
      </c>
      <c r="AA42">
        <f>_xll.EQNXTDZ($A$1,$B42,AA$1,$B$1)</f>
        <v>0.64400000000000002</v>
      </c>
      <c r="AB42">
        <f>_xll.EQNXTDZ($A$1,$B42,AB$1,$B$1)</f>
        <v>1.1839999999999999</v>
      </c>
      <c r="AC42">
        <f>_xll.EQNXTDZ($A$1,$B42,AC$1,$B$1)</f>
        <v>-23.629000000000001</v>
      </c>
      <c r="AD42">
        <f>_xll.EQNXTDZ($A$1,$B42,AD$1,$B$1)</f>
        <v>-22.172000000000001</v>
      </c>
      <c r="AE42">
        <f>_xll.EQNXTDZ($A$1,$B42,AE$1,$B$1)</f>
        <v>-0.56399999999999995</v>
      </c>
      <c r="AF42">
        <f>_xll.EQNXTDZ($A$1,$B42,AF$1,$B$1)</f>
        <v>-6.4000000000000001E-2</v>
      </c>
      <c r="AG42">
        <f>_xll.EQNXTDZ($A$1,$B42,AG$1,$B$1)</f>
        <v>-3.1E-2</v>
      </c>
      <c r="AH42">
        <f>_xll.EQNXTDZ($A$1,$B42,AH$1,$B$1)</f>
        <v>0.13200000000000001</v>
      </c>
      <c r="AI42">
        <f>_xll.EQNXTDZ($A$1,$B42,AI$1,$B$1)</f>
        <v>0.29299999999999998</v>
      </c>
      <c r="AJ42">
        <f>_xll.EQNXTDZ($A$1,$B42,AJ$1,$B$1)</f>
        <v>0.27900000000000003</v>
      </c>
      <c r="AK42">
        <f>_xll.EQNXTDZ($A$1,$B42,AK$1,$B$1)</f>
        <v>1.2110000000000001</v>
      </c>
      <c r="AL42">
        <f>_xll.EQNXTDZ($A$1,$B42,AL$1,$B$1)</f>
        <v>-0.57099999999999995</v>
      </c>
      <c r="AM42">
        <f>_xll.EQNXTDZ($A$1,$B42,AM$1,$B$1)</f>
        <v>-0.84499999999999997</v>
      </c>
      <c r="AN42">
        <f>_xll.EQNXTDZ($A$1,$B42,AN$1,$B$1)</f>
        <v>0.70299999999999996</v>
      </c>
      <c r="AO42">
        <f>_xll.EQNXTDZ($A$1,$B42,AO$1,$B$1)</f>
        <v>1.335</v>
      </c>
      <c r="AP42">
        <f>_xll.EQNXTDZ($A$1,$B42,AP$1,$B$1)</f>
        <v>149.85599999999999</v>
      </c>
      <c r="AQ42">
        <f>_xll.EQNXTDZ($A$1,$B42,AQ$1,$B$1)</f>
        <v>-0.32</v>
      </c>
      <c r="AR42">
        <f>_xll.EQNXTDZ($A$1,$B42,AR$1,$B$1)</f>
        <v>11.371</v>
      </c>
      <c r="AS42">
        <f>_xll.EQNXTDZ($A$1,$B42,AS$1,$B$1)</f>
        <v>7.2789999999999999</v>
      </c>
      <c r="AT42">
        <f>_xll.EQNXTDZ($A$1,$B42,AT$1,$B$1)</f>
        <v>30.425000000000001</v>
      </c>
      <c r="AU42">
        <f>_xll.EQNXTDZ($A$1,$B42,AU$1,$B$1)</f>
        <v>7.9880000000000004</v>
      </c>
      <c r="AV42">
        <f>_xll.EQNXTDZ($A$1,$B42,AV$1,$B$1)</f>
        <v>28.81</v>
      </c>
      <c r="AW42">
        <f>_xll.EQNXTDZ($A$1,$B42,AW$1,$B$1)</f>
        <v>59.798999999999999</v>
      </c>
      <c r="AX42">
        <f>_xll.EQNXTDZ($A$1,$B42,AX$1,$B$1)</f>
        <v>20.971</v>
      </c>
      <c r="AY42">
        <f>_xll.EQNXTDZ($A$1,$B42,AY$1,$B$1)</f>
        <v>6.15</v>
      </c>
      <c r="AZ42">
        <f>_xll.EQNXTDZ($A$1,$B42,AZ$1,$B$1)</f>
        <v>22.07</v>
      </c>
      <c r="BA42">
        <f>_xll.EQNXTDZ($A$1,$B42,BA$1,$B$1)</f>
        <v>19.440000000000001</v>
      </c>
      <c r="BB42">
        <f>_xll.EQNXTDZ($A$1,$B42,BB$1,$B$1)</f>
        <v>9.43</v>
      </c>
      <c r="BC42">
        <f>_xll.EQNXTDZ($A$1,$B42,BC$1,$B$1)</f>
        <v>229.73</v>
      </c>
      <c r="BD42">
        <f>_xll.EQNXTDZ($A$1,$B42,BD$1,$B$1)</f>
        <v>23.46</v>
      </c>
      <c r="BE42">
        <f>_xll.EQNXTDZ($A$1,$B42,BE$1,$B$1)</f>
        <v>-7.86</v>
      </c>
      <c r="BF42">
        <f>_xll.EQNXTDZ($A$1,$B42,BF$1,$B$1)</f>
        <v>38.11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104.45099999999999</v>
      </c>
      <c r="D45">
        <f>_xll.EQNXTDZ($A$1,$B45,D$1,$B$1)</f>
        <v>104.45099999999999</v>
      </c>
      <c r="E45">
        <f>_xll.EQNXTDZ($A$1,$B45,E$1,$B$1)</f>
        <v>104.45099999999999</v>
      </c>
      <c r="F45">
        <f>_xll.EQNXTDZ($A$1,$B45,F$1,$B$1)</f>
        <v>104.45099999999999</v>
      </c>
      <c r="G45">
        <f>_xll.EQNXTDZ($A$1,$B45,G$1,$B$1)</f>
        <v>104.45099999999999</v>
      </c>
      <c r="H45">
        <f>_xll.EQNXTDZ($A$1,$B45,H$1,$B$1)</f>
        <v>104.45099999999999</v>
      </c>
      <c r="I45">
        <f>_xll.EQNXTDZ($A$1,$B45,I$1,$B$1)</f>
        <v>104.45099999999999</v>
      </c>
      <c r="J45">
        <f>_xll.EQNXTDZ($A$1,$B45,J$1,$B$1)</f>
        <v>104.45099999999999</v>
      </c>
      <c r="K45">
        <f>_xll.EQNXTDZ($A$1,$B45,K$1,$B$1)</f>
        <v>104.45099999999999</v>
      </c>
      <c r="L45">
        <f>_xll.EQNXTDZ($A$1,$B45,L$1,$B$1)</f>
        <v>113.95099999999999</v>
      </c>
      <c r="M45">
        <f>_xll.EQNXTDZ($A$1,$B45,M$1,$B$1)</f>
        <v>113.95099999999999</v>
      </c>
      <c r="N45">
        <f>_xll.EQNXTDZ($A$1,$B45,N$1,$B$1)</f>
        <v>113.95099999999999</v>
      </c>
      <c r="O45">
        <f>_xll.EQNXTDZ($A$1,$B45,O$1,$B$1)</f>
        <v>113.95099999999999</v>
      </c>
      <c r="P45">
        <f>_xll.EQNXTDZ($A$1,$B45,P$1,$B$1)</f>
        <v>113.95099999999999</v>
      </c>
      <c r="Q45">
        <f>_xll.EQNXTDZ($A$1,$B45,Q$1,$B$1)</f>
        <v>113.95099999999999</v>
      </c>
      <c r="R45">
        <f>_xll.EQNXTDZ($A$1,$B45,R$1,$B$1)</f>
        <v>113.95099999999999</v>
      </c>
      <c r="S45">
        <f>_xll.EQNXTDZ($A$1,$B45,S$1,$B$1)</f>
        <v>113.95099999999999</v>
      </c>
      <c r="T45">
        <f>_xll.EQNXTDZ($A$1,$B45,T$1,$B$1)</f>
        <v>113.95099999999999</v>
      </c>
      <c r="U45">
        <f>_xll.EQNXTDZ($A$1,$B45,U$1,$B$1)</f>
        <v>113.95099999999999</v>
      </c>
      <c r="V45">
        <f>_xll.EQNXTDZ($A$1,$B45,V$1,$B$1)</f>
        <v>113.95099999999999</v>
      </c>
      <c r="W45">
        <f>_xll.EQNXTDZ($A$1,$B45,W$1,$B$1)</f>
        <v>113.95099999999999</v>
      </c>
      <c r="X45">
        <f>_xll.EQNXTDZ($A$1,$B45,X$1,$B$1)</f>
        <v>113.95099999999999</v>
      </c>
      <c r="Y45">
        <f>_xll.EQNXTDZ($A$1,$B45,Y$1,$B$1)</f>
        <v>113.95099999999999</v>
      </c>
      <c r="Z45">
        <f>_xll.EQNXTDZ($A$1,$B45,Z$1,$B$1)</f>
        <v>113.95099999999999</v>
      </c>
      <c r="AA45">
        <f>_xll.EQNXTDZ($A$1,$B45,AA$1,$B$1)</f>
        <v>113.95099999999999</v>
      </c>
      <c r="AB45">
        <f>_xll.EQNXTDZ($A$1,$B45,AB$1,$B$1)</f>
        <v>113.95099999999999</v>
      </c>
      <c r="AC45">
        <f>_xll.EQNXTDZ($A$1,$B45,AC$1,$B$1)</f>
        <v>113.95099999999999</v>
      </c>
      <c r="AD45">
        <f>_xll.EQNXTDZ($A$1,$B45,AD$1,$B$1)</f>
        <v>113.95099999999999</v>
      </c>
      <c r="AE45">
        <f>_xll.EQNXTDZ($A$1,$B45,AE$1,$B$1)</f>
        <v>113.95099999999999</v>
      </c>
      <c r="AF45">
        <f>_xll.EQNXTDZ($A$1,$B45,AF$1,$B$1)</f>
        <v>113.95099999999999</v>
      </c>
      <c r="AG45">
        <f>_xll.EQNXTDZ($A$1,$B45,AG$1,$B$1)</f>
        <v>113.95099999999999</v>
      </c>
      <c r="AH45">
        <f>_xll.EQNXTDZ($A$1,$B45,AH$1,$B$1)</f>
        <v>113.95</v>
      </c>
      <c r="AI45">
        <f>_xll.EQNXTDZ($A$1,$B45,AI$1,$B$1)</f>
        <v>113.95099999999999</v>
      </c>
      <c r="AJ45">
        <f>_xll.EQNXTDZ($A$1,$B45,AJ$1,$B$1)</f>
        <v>113.95099999999999</v>
      </c>
      <c r="AK45">
        <f>_xll.EQNXTDZ($A$1,$B45,AK$1,$B$1)</f>
        <v>113.95099999999999</v>
      </c>
      <c r="AL45">
        <f>_xll.EQNXTDZ($A$1,$B45,AL$1,$B$1)</f>
        <v>113.95</v>
      </c>
      <c r="AM45">
        <f>_xll.EQNXTDZ($A$1,$B45,AM$1,$B$1)</f>
        <v>127.21299999999999</v>
      </c>
      <c r="AN45">
        <f>_xll.EQNXTDZ($A$1,$B45,AN$1,$B$1)</f>
        <v>127.21299999999999</v>
      </c>
      <c r="AO45">
        <f>_xll.EQNXTDZ($A$1,$B45,AO$1,$B$1)</f>
        <v>127.21299999999999</v>
      </c>
      <c r="AP45">
        <f>_xll.EQNXTDZ($A$1,$B45,AP$1,$B$1)</f>
        <v>127.21299999999999</v>
      </c>
      <c r="AQ45">
        <f>_xll.EQNXTDZ($A$1,$B45,AQ$1,$B$1)</f>
        <v>127.21299999999999</v>
      </c>
      <c r="AR45">
        <f>_xll.EQNXTDZ($A$1,$B45,AR$1,$B$1)</f>
        <v>127.21299999999999</v>
      </c>
      <c r="AS45">
        <f>_xll.EQNXTDZ($A$1,$B45,AS$1,$B$1)</f>
        <v>127.21299999999999</v>
      </c>
      <c r="AT45">
        <f>_xll.EQNXTDZ($A$1,$B45,AT$1,$B$1)</f>
        <v>127.21299999999999</v>
      </c>
      <c r="AU45">
        <f>_xll.EQNXTDZ($A$1,$B45,AU$1,$B$1)</f>
        <v>127.21299999999999</v>
      </c>
      <c r="AV45">
        <f>_xll.EQNXTDZ($A$1,$B45,AV$1,$B$1)</f>
        <v>127.21299999999999</v>
      </c>
      <c r="AW45">
        <f>_xll.EQNXTDZ($A$1,$B45,AW$1,$B$1)</f>
        <v>127.21299999999999</v>
      </c>
      <c r="AX45">
        <f>_xll.EQNXTDZ($A$1,$B45,AX$1,$B$1)</f>
        <v>127.21299999999999</v>
      </c>
      <c r="AY45">
        <f>_xll.EQNXTDZ($A$1,$B45,AY$1,$B$1)</f>
        <v>127.21</v>
      </c>
      <c r="AZ45">
        <f>_xll.EQNXTDZ($A$1,$B45,AZ$1,$B$1)</f>
        <v>127.21</v>
      </c>
      <c r="BA45">
        <f>_xll.EQNXTDZ($A$1,$B45,BA$1,$B$1)</f>
        <v>127.21</v>
      </c>
      <c r="BB45">
        <f>_xll.EQNXTDZ($A$1,$B45,BB$1,$B$1)</f>
        <v>127.21</v>
      </c>
      <c r="BC45">
        <f>_xll.EQNXTDZ($A$1,$B45,BC$1,$B$1)</f>
        <v>127.21</v>
      </c>
      <c r="BD45">
        <f>_xll.EQNXTDZ($A$1,$B45,BD$1,$B$1)</f>
        <v>139.93</v>
      </c>
      <c r="BE45">
        <f>_xll.EQNXTDZ($A$1,$B45,BE$1,$B$1)</f>
        <v>139.93</v>
      </c>
      <c r="BF45">
        <f>_xll.EQNXTDZ($A$1,$B45,BF$1,$B$1)</f>
        <v>151.04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5</v>
      </c>
      <c r="D46">
        <f>_xll.EQNXTDZ($A$1,$B46,D$1,$B$1)</f>
        <v>5</v>
      </c>
      <c r="E46">
        <f>_xll.EQNXTDZ($A$1,$B46,E$1,$B$1)</f>
        <v>5</v>
      </c>
      <c r="F46">
        <f>_xll.EQNXTDZ($A$1,$B46,F$1,$B$1)</f>
        <v>5</v>
      </c>
      <c r="G46">
        <f>_xll.EQNXTDZ($A$1,$B46,G$1,$B$1)</f>
        <v>5</v>
      </c>
      <c r="H46">
        <f>_xll.EQNXTDZ($A$1,$B46,H$1,$B$1)</f>
        <v>5</v>
      </c>
      <c r="I46">
        <f>_xll.EQNXTDZ($A$1,$B46,I$1,$B$1)</f>
        <v>5</v>
      </c>
      <c r="J46">
        <f>_xll.EQNXTDZ($A$1,$B46,J$1,$B$1)</f>
        <v>5</v>
      </c>
      <c r="K46">
        <f>_xll.EQNXTDZ($A$1,$B46,K$1,$B$1)</f>
        <v>5</v>
      </c>
      <c r="L46">
        <f>_xll.EQNXTDZ($A$1,$B46,L$1,$B$1)</f>
        <v>5</v>
      </c>
      <c r="M46">
        <f>_xll.EQNXTDZ($A$1,$B46,M$1,$B$1)</f>
        <v>5</v>
      </c>
      <c r="N46">
        <f>_xll.EQNXTDZ($A$1,$B46,N$1,$B$1)</f>
        <v>5</v>
      </c>
      <c r="O46">
        <f>_xll.EQNXTDZ($A$1,$B46,O$1,$B$1)</f>
        <v>5</v>
      </c>
      <c r="P46">
        <f>_xll.EQNXTDZ($A$1,$B46,P$1,$B$1)</f>
        <v>5</v>
      </c>
      <c r="Q46">
        <f>_xll.EQNXTDZ($A$1,$B46,Q$1,$B$1)</f>
        <v>5</v>
      </c>
      <c r="R46">
        <f>_xll.EQNXTDZ($A$1,$B46,R$1,$B$1)</f>
        <v>5</v>
      </c>
      <c r="S46">
        <f>_xll.EQNXTDZ($A$1,$B46,S$1,$B$1)</f>
        <v>5</v>
      </c>
      <c r="T46">
        <f>_xll.EQNXTDZ($A$1,$B46,T$1,$B$1)</f>
        <v>5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15.304706175298801</v>
      </c>
      <c r="D48" s="55">
        <f>_xll.EQNXTDZ($A$1,$B48,D$5)</f>
        <v>10.0751411022576</v>
      </c>
      <c r="E48" s="55">
        <f>_xll.EQNXTDZ($A$1,$B48,E$5)</f>
        <v>6.9483731739707801</v>
      </c>
      <c r="F48" s="55">
        <f>_xll.EQNXTDZ($A$1,$B48,F$5)</f>
        <v>4.9004316069057099</v>
      </c>
      <c r="G48" s="55">
        <f>_xll.EQNXTDZ($A$1,$B48,G$5)</f>
        <v>7.1037973107569696</v>
      </c>
      <c r="H48" s="55">
        <f>_xll.EQNXTDZ($A$1,$B48,H$5)</f>
        <v>9.0420277224435601</v>
      </c>
      <c r="I48" s="55">
        <f>_xll.EQNXTDZ($A$1,$B48,I$5)</f>
        <v>6.1438247011952196</v>
      </c>
      <c r="J48" s="55">
        <f>_xll.EQNXTDZ($A$1,$B48,J$5)</f>
        <v>6.1163969123506003</v>
      </c>
      <c r="K48" s="55">
        <f>_xll.EQNXTDZ($A$1,$B48,K$5)</f>
        <v>4.2604498671978801</v>
      </c>
      <c r="L48" s="55">
        <f>_xll.EQNXTDZ($A$1,$B48,L$5)</f>
        <v>3.9496015936254998</v>
      </c>
      <c r="M48" s="55">
        <f>_xll.EQNXTDZ($A$1,$B48,M$5)</f>
        <v>3.5656125498007998</v>
      </c>
      <c r="N48" s="55">
        <f>_xll.EQNXTDZ($A$1,$B48,N$5)</f>
        <v>3.5656125498007998</v>
      </c>
      <c r="O48" s="55">
        <f>_xll.EQNXTDZ($A$1,$B48,O$5)</f>
        <v>2.3770750332005299</v>
      </c>
      <c r="P48" s="55">
        <f>_xll.EQNXTDZ($A$1,$B48,P$5)</f>
        <v>3.3004772576361199</v>
      </c>
      <c r="Q48" s="55">
        <f>_xll.EQNXTDZ($A$1,$B48,Q$5)</f>
        <v>3.4741865869853901</v>
      </c>
      <c r="R48" s="55">
        <f>_xll.EQNXTDZ($A$1,$B48,R$5)</f>
        <v>3.5016143758300098</v>
      </c>
      <c r="S48" s="55">
        <f>_xll.EQNXTDZ($A$1,$B48,S$5)</f>
        <v>2.8799178286852598</v>
      </c>
      <c r="T48" s="55">
        <f>_xll.EQNXTDZ($A$1,$B48,T$5)</f>
        <v>2.7647211155378502</v>
      </c>
      <c r="U48" s="55">
        <f>_xll.EQNXTDZ($A$1,$B48,U$5)</f>
        <v>3.2639068725099598</v>
      </c>
      <c r="V48" s="55">
        <f>_xll.EQNXTDZ($A$1,$B48,V$5)</f>
        <v>2.07536935590969</v>
      </c>
      <c r="W48" s="55">
        <f>_xll.EQNXTDZ($A$1,$B48,W$5)</f>
        <v>2.7244936918990699</v>
      </c>
      <c r="X48" s="55">
        <f>_xll.EQNXTDZ($A$1,$B48,X$5)</f>
        <v>2.55992695883134</v>
      </c>
      <c r="Y48" s="55">
        <f>_xll.EQNXTDZ($A$1,$B48,Y$5)</f>
        <v>2.6513529216467502</v>
      </c>
      <c r="Z48" s="55">
        <f>_xll.EQNXTDZ($A$1,$B48,Z$5)</f>
        <v>1.2525356905710501</v>
      </c>
      <c r="AA48" s="55">
        <f>_xll.EQNXTDZ($A$1,$B48,AA$5)</f>
        <v>1.91994521912351</v>
      </c>
      <c r="AB48" s="55">
        <f>_xll.EQNXTDZ($A$1,$B48,AB$5)</f>
        <v>1.21596530544489</v>
      </c>
      <c r="AC48" s="55">
        <f>_xll.EQNXTDZ($A$1,$B48,AC$5)</f>
        <v>1.4171024236387799</v>
      </c>
      <c r="AD48" s="55">
        <f>_xll.EQNXTDZ($A$1,$B48,AD$5)</f>
        <v>3.0444845617529901</v>
      </c>
      <c r="AE48" s="55">
        <f>_xll.EQNXTDZ($A$1,$B48,AE$5)</f>
        <v>1.62738213811421</v>
      </c>
      <c r="AF48" s="55">
        <f>_xll.EQNXTDZ($A$1,$B48,AF$5)</f>
        <v>2.4502158034528598</v>
      </c>
      <c r="AG48" s="55">
        <f>_xll.EQNXTDZ($A$1,$B48,AG$5)</f>
        <v>1.5725265604249701</v>
      </c>
      <c r="AH48" s="55">
        <f>_xll.EQNXTDZ($A$1,$B48,AH$5)</f>
        <v>1.08796895750332</v>
      </c>
      <c r="AI48" s="55">
        <f>_xll.EQNXTDZ($A$1,$B48,AI$5)</f>
        <v>1.4171024236387799</v>
      </c>
      <c r="AJ48" s="55">
        <f>_xll.EQNXTDZ($A$1,$B48,AJ$5)</f>
        <v>1.4171024236387799</v>
      </c>
      <c r="AK48" s="55">
        <f>_xll.EQNXTDZ($A$1,$B48,AK$5)</f>
        <v>1.64566733067729</v>
      </c>
      <c r="AL48" s="55">
        <f>_xll.EQNXTDZ($A$1,$B48,AL$5)</f>
        <v>2.1302249335989401</v>
      </c>
      <c r="AM48" s="55">
        <f>_xll.EQNXTDZ($A$1,$B48,AM$5)</f>
        <v>5.72326527224436</v>
      </c>
      <c r="AN48" s="55">
        <f>_xll.EQNXTDZ($A$1,$B48,AN$5)</f>
        <v>3.1541957171314698</v>
      </c>
      <c r="AO48" s="55">
        <f>_xll.EQNXTDZ($A$1,$B48,AO$5)</f>
        <v>7.6249252988047802</v>
      </c>
      <c r="AP48" s="55">
        <f>_xll.EQNXTDZ($A$1,$B48,AP$5)</f>
        <v>5.4672725763612204</v>
      </c>
      <c r="AQ48" s="55">
        <f>_xll.EQNXTDZ($A$1,$B48,AQ$5)</f>
        <v>6.49124335989376</v>
      </c>
      <c r="AR48" s="55">
        <f>_xll.EQNXTDZ($A$1,$B48,AR$5)</f>
        <v>4.0227423638778204</v>
      </c>
      <c r="AS48" s="55">
        <f>_xll.EQNXTDZ($A$1,$B48,AS$5)</f>
        <v>6.6649526892430302</v>
      </c>
      <c r="AT48" s="55">
        <f>_xll.EQNXTDZ($A$1,$B48,AT$5)</f>
        <v>6.5095285524568398</v>
      </c>
      <c r="AU48" s="55">
        <f>_xll.EQNXTDZ($A$1,$B48,AU$5)</f>
        <v>13.448759130146099</v>
      </c>
      <c r="AV48" s="55">
        <f>_xll.EQNXTDZ($A$1,$B48,AV$5)</f>
        <v>30.9019754316069</v>
      </c>
      <c r="AW48" s="55">
        <f>_xll.EQNXTDZ($A$1,$B48,AW$5)</f>
        <v>34.851577025232402</v>
      </c>
      <c r="AX48" s="55">
        <f>_xll.EQNXTDZ($A$1,$B48,AX$5)</f>
        <v>25.279278718459501</v>
      </c>
      <c r="AY48" s="55">
        <f>_xll.EQNXTDZ($A$1,$B48,AY$5)</f>
        <v>28.8174634794157</v>
      </c>
      <c r="AZ48" s="55">
        <f>_xll.EQNXTDZ($A$1,$B48,AZ$5)</f>
        <v>45.200996015936298</v>
      </c>
      <c r="BA48" s="55">
        <f>_xll.EQNXTDZ($A$1,$B48,BA$5)</f>
        <v>45.063857071713102</v>
      </c>
      <c r="BB48" s="55">
        <f>_xll.EQNXTDZ($A$1,$B48,BB$5)</f>
        <v>40.583984893758299</v>
      </c>
      <c r="BC48" s="55">
        <f>_xll.EQNXTDZ($A$1,$B48,BC$5)</f>
        <v>81.588529216467506</v>
      </c>
      <c r="BD48" s="55">
        <f>_xll.EQNXTDZ($A$1,$B48,BD$5)</f>
        <v>62.49</v>
      </c>
      <c r="BE48" s="55">
        <f>_xll.EQNXTDZ($A$1,$B48,BE$5)</f>
        <v>59.72</v>
      </c>
      <c r="BF48" s="55">
        <f>_xll.EQNXTDZ($A$1,$B48,BF$5)</f>
        <v>41.39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73.760000000000005</v>
      </c>
      <c r="D49" s="55">
        <f>_xll.EQNXTDZ($A$1,$B49,D$5)</f>
        <v>73.760000000000005</v>
      </c>
      <c r="E49" s="55">
        <f>_xll.EQNXTDZ($A$1,$B49,E$5)</f>
        <v>73.760000000000005</v>
      </c>
      <c r="F49" s="55">
        <f>_xll.EQNXTDZ($A$1,$B49,F$5)</f>
        <v>73.760000000000005</v>
      </c>
      <c r="G49" s="55">
        <f>_xll.EQNXTDZ($A$1,$B49,G$5)</f>
        <v>73.760000000000005</v>
      </c>
      <c r="H49" s="55">
        <f>_xll.EQNXTDZ($A$1,$B49,H$5)</f>
        <v>73.760000000000005</v>
      </c>
      <c r="I49" s="55">
        <f>_xll.EQNXTDZ($A$1,$B49,I$5)</f>
        <v>80.36</v>
      </c>
      <c r="J49" s="55">
        <f>_xll.EQNXTDZ($A$1,$B49,J$5)</f>
        <v>80.36</v>
      </c>
      <c r="K49" s="55">
        <f>_xll.EQNXTDZ($A$1,$B49,K$5)</f>
        <v>74.23</v>
      </c>
      <c r="L49" s="55">
        <f>_xll.EQNXTDZ($A$1,$B49,L$5)</f>
        <v>68</v>
      </c>
      <c r="M49" s="55">
        <f>_xll.EQNXTDZ($A$1,$B49,M$5)</f>
        <v>68</v>
      </c>
      <c r="N49" s="55">
        <f>_xll.EQNXTDZ($A$1,$B49,N$5)</f>
        <v>68</v>
      </c>
      <c r="O49" s="55">
        <f>_xll.EQNXTDZ($A$1,$B49,O$5)</f>
        <v>68</v>
      </c>
      <c r="P49" s="55">
        <f>_xll.EQNXTDZ($A$1,$B49,P$5)</f>
        <v>68</v>
      </c>
      <c r="Q49" s="55">
        <f>_xll.EQNXTDZ($A$1,$B49,Q$5)</f>
        <v>68</v>
      </c>
      <c r="R49" s="55">
        <f>_xll.EQNXTDZ($A$1,$B49,R$5)</f>
        <v>68</v>
      </c>
      <c r="S49" s="55">
        <f>_xll.EQNXTDZ($A$1,$B49,S$5)</f>
        <v>68</v>
      </c>
      <c r="T49" s="55">
        <f>_xll.EQNXTDZ($A$1,$B49,T$5)</f>
        <v>68</v>
      </c>
      <c r="U49" s="55">
        <f>_xll.EQNXTDZ($A$1,$B49,U$5)</f>
        <v>68</v>
      </c>
      <c r="V49" s="55">
        <f>_xll.EQNXTDZ($A$1,$B49,V$5)</f>
        <v>68</v>
      </c>
      <c r="W49" s="55">
        <f>_xll.EQNXTDZ($A$1,$B49,W$5)</f>
        <v>68</v>
      </c>
      <c r="X49" s="55">
        <f>_xll.EQNXTDZ($A$1,$B49,X$5)</f>
        <v>68</v>
      </c>
      <c r="Y49" s="55">
        <f>_xll.EQNXTDZ($A$1,$B49,Y$5)</f>
        <v>68</v>
      </c>
      <c r="Z49" s="55">
        <f>_xll.EQNXTDZ($A$1,$B49,Z$5)</f>
        <v>68</v>
      </c>
      <c r="AA49" s="55">
        <f>_xll.EQNXTDZ($A$1,$B49,AA$5)</f>
        <v>68</v>
      </c>
      <c r="AB49" s="55">
        <f>_xll.EQNXTDZ($A$1,$B49,AB$5)</f>
        <v>68</v>
      </c>
      <c r="AC49" s="55">
        <f>_xll.EQNXTDZ($A$1,$B49,AC$5)</f>
        <v>68</v>
      </c>
      <c r="AD49" s="55">
        <f>_xll.EQNXTDZ($A$1,$B49,AD$5)</f>
        <v>68</v>
      </c>
      <c r="AE49" s="55">
        <f>_xll.EQNXTDZ($A$1,$B49,AE$5)</f>
        <v>68</v>
      </c>
      <c r="AF49" s="55">
        <f>_xll.EQNXTDZ($A$1,$B49,AF$5)</f>
        <v>68</v>
      </c>
      <c r="AG49" s="55">
        <f>_xll.EQNXTDZ($A$1,$B49,AG$5)</f>
        <v>68</v>
      </c>
      <c r="AH49" s="55">
        <f>_xll.EQNXTDZ($A$1,$B49,AH$5)</f>
        <v>68</v>
      </c>
      <c r="AI49" s="55">
        <f>_xll.EQNXTDZ($A$1,$B49,AI$5)</f>
        <v>68</v>
      </c>
      <c r="AJ49" s="55">
        <f>_xll.EQNXTDZ($A$1,$B49,AJ$5)</f>
        <v>68</v>
      </c>
      <c r="AK49" s="55">
        <f>_xll.EQNXTDZ($A$1,$B49,AK$5)</f>
        <v>68</v>
      </c>
      <c r="AL49" s="55">
        <f>_xll.EQNXTDZ($A$1,$B49,AL$5)</f>
        <v>68</v>
      </c>
      <c r="AM49" s="55">
        <f>_xll.EQNXTDZ($A$1,$B49,AM$5)</f>
        <v>60.91</v>
      </c>
      <c r="AN49" s="55">
        <f>_xll.EQNXTDZ($A$1,$B49,AN$5)</f>
        <v>60.91</v>
      </c>
      <c r="AO49" s="55">
        <f>_xll.EQNXTDZ($A$1,$B49,AO$5)</f>
        <v>60.91</v>
      </c>
      <c r="AP49" s="55">
        <f>_xll.EQNXTDZ($A$1,$B49,AP$5)</f>
        <v>60.91</v>
      </c>
      <c r="AQ49" s="55">
        <f>_xll.EQNXTDZ($A$1,$B49,AQ$5)</f>
        <v>60.91</v>
      </c>
      <c r="AR49" s="55">
        <f>_xll.EQNXTDZ($A$1,$B49,AR$5)</f>
        <v>60.91</v>
      </c>
      <c r="AS49" s="55">
        <f>_xll.EQNXTDZ($A$1,$B49,AS$5)</f>
        <v>60.91</v>
      </c>
      <c r="AT49" s="55">
        <f>_xll.EQNXTDZ($A$1,$B49,AT$5)</f>
        <v>60.91</v>
      </c>
      <c r="AU49" s="55">
        <f>_xll.EQNXTDZ($A$1,$B49,AU$5)</f>
        <v>73.91</v>
      </c>
      <c r="AV49" s="55">
        <f>_xll.EQNXTDZ($A$1,$B49,AV$5)</f>
        <v>73.91</v>
      </c>
      <c r="AW49" s="55">
        <f>_xll.EQNXTDZ($A$1,$B49,AW$5)</f>
        <v>73.91</v>
      </c>
      <c r="AX49" s="55">
        <f>_xll.EQNXTDZ($A$1,$B49,AX$5)</f>
        <v>73.91</v>
      </c>
      <c r="AY49" s="55">
        <f>_xll.EQNXTDZ($A$1,$B49,AY$5)</f>
        <v>73.91</v>
      </c>
      <c r="AZ49" s="55">
        <f>_xll.EQNXTDZ($A$1,$B49,AZ$5)</f>
        <v>73.91</v>
      </c>
      <c r="BA49" s="55">
        <f>_xll.EQNXTDZ($A$1,$B49,BA$5)</f>
        <v>73.91</v>
      </c>
      <c r="BB49" s="55">
        <f>_xll.EQNXTDZ($A$1,$B49,BB$5)</f>
        <v>73.91</v>
      </c>
      <c r="BC49" s="55">
        <f>_xll.EQNXTDZ($A$1,$B49,BC$5)</f>
        <v>73.91</v>
      </c>
      <c r="BD49" s="55">
        <f>_xll.EQNXTDZ($A$1,$B49,BD$5)</f>
        <v>62.72</v>
      </c>
      <c r="BE49" s="55">
        <f>_xll.EQNXTDZ($A$1,$B49,BE$5)</f>
        <v>62.72</v>
      </c>
      <c r="BF49" s="55">
        <f>_xll.EQNXTDZ($A$1,$B49,BF$5)</f>
        <v>62.72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6.49</v>
      </c>
      <c r="E50" s="55">
        <f>_xll.EQNXTDZ($A$1,$B50,E$5)</f>
        <v>9.86</v>
      </c>
      <c r="F50" s="55">
        <f>_xll.EQNXTDZ($A$1,$B50,F$5)</f>
        <v>9.86</v>
      </c>
      <c r="G50" s="55">
        <f>_xll.EQNXTDZ($A$1,$B50,G$5)</f>
        <v>9.86</v>
      </c>
      <c r="H50" s="55">
        <f>_xll.EQNXTDZ($A$1,$B50,H$5)</f>
        <v>6.49</v>
      </c>
      <c r="I50" s="55">
        <f>_xll.EQNXTDZ($A$1,$B50,I$5)</f>
        <v>5.96</v>
      </c>
      <c r="J50" s="55">
        <f>_xll.EQNXTDZ($A$1,$B50,J$5)</f>
        <v>5.96</v>
      </c>
      <c r="K50" s="55">
        <f>_xll.EQNXTDZ($A$1,$B50,K$5)</f>
        <v>6.45</v>
      </c>
      <c r="L50" s="55">
        <f>_xll.EQNXTDZ($A$1,$B50,L$5)</f>
        <v>6.45</v>
      </c>
      <c r="M50" s="55">
        <f>_xll.EQNXTDZ($A$1,$B50,M$5)</f>
        <v>6.45</v>
      </c>
      <c r="N50" s="55">
        <f>_xll.EQNXTDZ($A$1,$B50,N$5)</f>
        <v>6.45</v>
      </c>
      <c r="O50" s="55">
        <f>_xll.EQNXTDZ($A$1,$B50,O$5)</f>
        <v>6.45</v>
      </c>
      <c r="P50" s="55">
        <f>_xll.EQNXTDZ($A$1,$B50,P$5)</f>
        <v>6.45</v>
      </c>
      <c r="Q50" s="55">
        <f>_xll.EQNXTDZ($A$1,$B50,Q$5)</f>
        <v>6.45</v>
      </c>
      <c r="R50" s="55">
        <f>_xll.EQNXTDZ($A$1,$B50,R$5)</f>
        <v>6.45</v>
      </c>
      <c r="S50" s="55">
        <f>_xll.EQNXTDZ($A$1,$B50,S$5)</f>
        <v>6.45</v>
      </c>
      <c r="T50" s="55">
        <f>_xll.EQNXTDZ($A$1,$B50,T$5)</f>
        <v>6.45</v>
      </c>
      <c r="U50" s="55">
        <f>_xll.EQNXTDZ($A$1,$B50,U$5)</f>
        <v>6.45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201612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104.45099999999999</v>
      </c>
      <c r="E56" s="55">
        <f>_xll.EQNXTDZ($A$1,$B56,E$5,$B$1)</f>
        <v>0</v>
      </c>
      <c r="F56" s="55">
        <f>_xll.EQNXTDZ($A$1,$B56,F$5,$B$1)</f>
        <v>104.45099999999999</v>
      </c>
      <c r="G56" s="55">
        <f>_xll.EQNXTDZ($A$1,$B56,G$5,$B$1)</f>
        <v>0</v>
      </c>
      <c r="H56" s="55">
        <f>_xll.EQNXTDZ($A$1,$B56,H$5,$B$1)</f>
        <v>104.45099999999999</v>
      </c>
      <c r="I56" s="55">
        <f>_xll.EQNXTDZ($A$1,$B56,I$5,$B$1)</f>
        <v>0</v>
      </c>
      <c r="J56" s="55">
        <f>_xll.EQNXTDZ($A$1,$B56,J$5,$B$1)</f>
        <v>104.45099999999999</v>
      </c>
      <c r="K56" s="55">
        <f>_xll.EQNXTDZ($A$1,$B56,K$5,$B$1)</f>
        <v>0</v>
      </c>
      <c r="L56" s="55">
        <f>_xll.EQNXTDZ($A$1,$B56,L$5,$B$1)</f>
        <v>113.95099999999999</v>
      </c>
      <c r="M56" s="55">
        <f>_xll.EQNXTDZ($A$1,$B56,M$5,$B$1)</f>
        <v>0</v>
      </c>
      <c r="N56" s="55">
        <f>_xll.EQNXTDZ($A$1,$B56,N$5,$B$1)</f>
        <v>113.95099999999999</v>
      </c>
      <c r="O56" s="55">
        <f>_xll.EQNXTDZ($A$1,$B56,O$5,$B$1)</f>
        <v>0</v>
      </c>
      <c r="P56" s="55">
        <f>_xll.EQNXTDZ($A$1,$B56,P$5,$B$1)</f>
        <v>113.95099999999999</v>
      </c>
      <c r="Q56" s="55">
        <f>_xll.EQNXTDZ($A$1,$B56,Q$5,$B$1)</f>
        <v>0</v>
      </c>
      <c r="R56" s="55">
        <f>_xll.EQNXTDZ($A$1,$B56,R$5,$B$1)</f>
        <v>113.95099999999999</v>
      </c>
      <c r="S56" s="55">
        <f>_xll.EQNXTDZ($A$1,$B56,S$5,$B$1)</f>
        <v>0</v>
      </c>
      <c r="T56" s="55">
        <f>_xll.EQNXTDZ($A$1,$B56,T$5,$B$1)</f>
        <v>113.95099999999999</v>
      </c>
      <c r="U56" s="55">
        <f>_xll.EQNXTDZ($A$1,$B56,U$5,$B$1)</f>
        <v>113.95099999999999</v>
      </c>
      <c r="V56" s="55">
        <f>_xll.EQNXTDZ($A$1,$B56,V$5,$B$1)</f>
        <v>113.95099999999999</v>
      </c>
      <c r="W56" s="55">
        <f>_xll.EQNXTDZ($A$1,$B56,W$5,$B$1)</f>
        <v>0</v>
      </c>
      <c r="X56" s="55">
        <f>_xll.EQNXTDZ($A$1,$B56,X$5,$B$1)</f>
        <v>113.95099999999999</v>
      </c>
      <c r="Y56" s="55">
        <f>_xll.EQNXTDZ($A$1,$B56,Y$5,$B$1)</f>
        <v>0</v>
      </c>
      <c r="Z56" s="55">
        <f>_xll.EQNXTDZ($A$1,$B56,Z$5,$B$1)</f>
        <v>113.95099999999999</v>
      </c>
      <c r="AA56" s="55">
        <f>_xll.EQNXTDZ($A$1,$B56,AA$5,$B$1)</f>
        <v>0</v>
      </c>
      <c r="AB56" s="55">
        <f>_xll.EQNXTDZ($A$1,$B56,AB$5,$B$1)</f>
        <v>113.95099999999999</v>
      </c>
      <c r="AC56" s="55">
        <f>_xll.EQNXTDZ($A$1,$B56,AC$5,$B$1)</f>
        <v>0</v>
      </c>
      <c r="AD56" s="55">
        <f>_xll.EQNXTDZ($A$1,$B56,AD$5,$B$1)</f>
        <v>113.95099999999999</v>
      </c>
      <c r="AE56" s="55">
        <f>_xll.EQNXTDZ($A$1,$B56,AE$5,$B$1)</f>
        <v>0</v>
      </c>
      <c r="AF56" s="55">
        <f>_xll.EQNXTDZ($A$1,$B56,AF$5,$B$1)</f>
        <v>113.95099999999999</v>
      </c>
      <c r="AG56" s="55">
        <f>_xll.EQNXTDZ($A$1,$B56,AG$5,$B$1)</f>
        <v>0</v>
      </c>
      <c r="AH56" s="55">
        <f>_xll.EQNXTDZ($A$1,$B56,AH$5,$B$1)</f>
        <v>113.95</v>
      </c>
      <c r="AI56" s="55">
        <f>_xll.EQNXTDZ($A$1,$B56,AI$5,$B$1)</f>
        <v>0</v>
      </c>
      <c r="AJ56" s="55">
        <f>_xll.EQNXTDZ($A$1,$B56,AJ$5,$B$1)</f>
        <v>113.95</v>
      </c>
      <c r="AK56" s="55">
        <f>_xll.EQNXTDZ($A$1,$B56,AK$5,$B$1)</f>
        <v>0</v>
      </c>
      <c r="AL56" s="55">
        <f>_xll.EQNXTDZ($A$1,$B56,AL$5,$B$1)</f>
        <v>113.95</v>
      </c>
      <c r="AM56" s="55">
        <f>_xll.EQNXTDZ($A$1,$B56,AM$5,$B$1)</f>
        <v>0</v>
      </c>
      <c r="AN56" s="55">
        <f>_xll.EQNXTDZ($A$1,$B56,AN$5,$B$1)</f>
        <v>127.21299999999999</v>
      </c>
      <c r="AO56" s="55">
        <f>_xll.EQNXTDZ($A$1,$B56,AO$5,$B$1)</f>
        <v>0</v>
      </c>
      <c r="AP56" s="55">
        <f>_xll.EQNXTDZ($A$1,$B56,AP$5,$B$1)</f>
        <v>127.21299999999999</v>
      </c>
      <c r="AQ56" s="55">
        <f>_xll.EQNXTDZ($A$1,$B56,AQ$5,$B$1)</f>
        <v>0</v>
      </c>
      <c r="AR56" s="55">
        <f>_xll.EQNXTDZ($A$1,$B56,AR$5,$B$1)</f>
        <v>127.21299999999999</v>
      </c>
      <c r="AS56" s="55">
        <f>_xll.EQNXTDZ($A$1,$B56,AS$5,$B$1)</f>
        <v>0</v>
      </c>
      <c r="AT56" s="55">
        <f>_xll.EQNXTDZ($A$1,$B56,AT$5,$B$1)</f>
        <v>127.21299999999999</v>
      </c>
      <c r="AU56" s="55">
        <f>_xll.EQNXTDZ($A$1,$B56,AU$5,$B$1)</f>
        <v>0</v>
      </c>
      <c r="AV56" s="55">
        <f>_xll.EQNXTDZ($A$1,$B56,AV$5,$B$1)</f>
        <v>127.21299999999999</v>
      </c>
      <c r="AW56" s="55">
        <f>_xll.EQNXTDZ($A$1,$B56,AW$5,$B$1)</f>
        <v>0</v>
      </c>
      <c r="AX56" s="55">
        <f>_xll.EQNXTDZ($A$1,$B56,AX$5,$B$1)</f>
        <v>127.21299999999999</v>
      </c>
      <c r="AY56" s="55">
        <f>_xll.EQNXTDZ($A$1,$B56,AY$5,$B$1)</f>
        <v>0</v>
      </c>
      <c r="AZ56" s="55">
        <f>_xll.EQNXTDZ($A$1,$B56,AZ$5,$B$1)</f>
        <v>127.21299999999999</v>
      </c>
      <c r="BA56" s="55">
        <f>_xll.EQNXTDZ($A$1,$B56,BA$5,$B$1)</f>
        <v>0</v>
      </c>
      <c r="BB56" s="55">
        <f>_xll.EQNXTDZ($A$1,$B56,BB$5,$B$1)</f>
        <v>127.21</v>
      </c>
      <c r="BC56" s="55">
        <f>_xll.EQNXTDZ($A$1,$B56,BC$5,$B$1)</f>
        <v>0</v>
      </c>
      <c r="BD56" s="55">
        <f>_xll.EQNXTDZ($A$1,$B56,BD$5,$B$1)</f>
        <v>139.93</v>
      </c>
      <c r="BE56" s="55">
        <f>_xll.EQNXTDZ($A$1,$B56,BE$5,$B$1)</f>
        <v>0</v>
      </c>
      <c r="BF56" s="55">
        <f>_xll.EQNXTDZ($A$1,$B56,BF$5,$B$1)</f>
        <v>151.04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265.82400000000001</v>
      </c>
      <c r="E58" s="55">
        <f>_xll.EQNXTDZ($A$1,$B58,E$5,$B$1)</f>
        <v>0</v>
      </c>
      <c r="F58" s="55">
        <f>_xll.EQNXTDZ($A$1,$B58,F$5,$B$1)</f>
        <v>265.46899999999999</v>
      </c>
      <c r="G58" s="55">
        <f>_xll.EQNXTDZ($A$1,$B58,G$5,$B$1)</f>
        <v>0</v>
      </c>
      <c r="H58" s="55">
        <f>_xll.EQNXTDZ($A$1,$B58,H$5,$B$1)</f>
        <v>254.083</v>
      </c>
      <c r="I58" s="55">
        <f>_xll.EQNXTDZ($A$1,$B58,I$5,$B$1)</f>
        <v>0</v>
      </c>
      <c r="J58" s="55">
        <f>_xll.EQNXTDZ($A$1,$B58,J$5,$B$1)</f>
        <v>266.22300000000001</v>
      </c>
      <c r="K58" s="55">
        <f>_xll.EQNXTDZ($A$1,$B58,K$5,$B$1)</f>
        <v>0</v>
      </c>
      <c r="L58" s="55">
        <f>_xll.EQNXTDZ($A$1,$B58,L$5,$B$1)</f>
        <v>324.77300000000002</v>
      </c>
      <c r="M58" s="55">
        <f>_xll.EQNXTDZ($A$1,$B58,M$5,$B$1)</f>
        <v>0</v>
      </c>
      <c r="N58" s="55">
        <f>_xll.EQNXTDZ($A$1,$B58,N$5,$B$1)</f>
        <v>325.39600000000002</v>
      </c>
      <c r="O58" s="55">
        <f>_xll.EQNXTDZ($A$1,$B58,O$5,$B$1)</f>
        <v>0</v>
      </c>
      <c r="P58" s="55">
        <f>_xll.EQNXTDZ($A$1,$B58,P$5,$B$1)</f>
        <v>325.274</v>
      </c>
      <c r="Q58" s="55">
        <f>_xll.EQNXTDZ($A$1,$B58,Q$5,$B$1)</f>
        <v>0</v>
      </c>
      <c r="R58" s="55">
        <f>_xll.EQNXTDZ($A$1,$B58,R$5,$B$1)</f>
        <v>333.38529999999997</v>
      </c>
      <c r="S58" s="55">
        <f>_xll.EQNXTDZ($A$1,$B58,S$5,$B$1)</f>
        <v>0</v>
      </c>
      <c r="T58" s="55">
        <f>_xll.EQNXTDZ($A$1,$B58,T$5,$B$1)</f>
        <v>319.56799999999998</v>
      </c>
      <c r="U58" s="55">
        <f>_xll.EQNXTDZ($A$1,$B58,U$5,$B$1)</f>
        <v>316.41199999999998</v>
      </c>
      <c r="V58" s="55">
        <f>_xll.EQNXTDZ($A$1,$B58,V$5,$B$1)</f>
        <v>349.89</v>
      </c>
      <c r="W58" s="55">
        <f>_xll.EQNXTDZ($A$1,$B58,W$5,$B$1)</f>
        <v>0</v>
      </c>
      <c r="X58" s="55">
        <f>_xll.EQNXTDZ($A$1,$B58,X$5,$B$1)</f>
        <v>316.00599999999997</v>
      </c>
      <c r="Y58" s="55">
        <f>_xll.EQNXTDZ($A$1,$B58,Y$5,$B$1)</f>
        <v>0</v>
      </c>
      <c r="Z58" s="55">
        <f>_xll.EQNXTDZ($A$1,$B58,Z$5,$B$1)</f>
        <v>282.25700000000001</v>
      </c>
      <c r="AA58" s="55">
        <f>_xll.EQNXTDZ($A$1,$B58,AA$5,$B$1)</f>
        <v>0</v>
      </c>
      <c r="AB58" s="55">
        <f>_xll.EQNXTDZ($A$1,$B58,AB$5,$B$1)</f>
        <v>273.80099999999999</v>
      </c>
      <c r="AC58" s="55">
        <f>_xll.EQNXTDZ($A$1,$B58,AC$5,$B$1)</f>
        <v>0</v>
      </c>
      <c r="AD58" s="55">
        <f>_xll.EQNXTDZ($A$1,$B58,AD$5,$B$1)</f>
        <v>221.57</v>
      </c>
      <c r="AE58" s="55">
        <f>_xll.EQNXTDZ($A$1,$B58,AE$5,$B$1)</f>
        <v>0</v>
      </c>
      <c r="AF58" s="55">
        <f>_xll.EQNXTDZ($A$1,$B58,AF$5,$B$1)</f>
        <v>221.845</v>
      </c>
      <c r="AG58" s="55">
        <f>_xll.EQNXTDZ($A$1,$B58,AG$5,$B$1)</f>
        <v>0</v>
      </c>
      <c r="AH58" s="55">
        <f>_xll.EQNXTDZ($A$1,$B58,AH$5,$B$1)</f>
        <v>198.36</v>
      </c>
      <c r="AI58" s="55">
        <f>_xll.EQNXTDZ($A$1,$B58,AI$5,$B$1)</f>
        <v>0</v>
      </c>
      <c r="AJ58" s="55">
        <f>_xll.EQNXTDZ($A$1,$B58,AJ$5,$B$1)</f>
        <v>215.12299999999999</v>
      </c>
      <c r="AK58" s="55">
        <f>_xll.EQNXTDZ($A$1,$B58,AK$5,$B$1)</f>
        <v>0</v>
      </c>
      <c r="AL58" s="55">
        <f>_xll.EQNXTDZ($A$1,$B58,AL$5,$B$1)</f>
        <v>213.38399999999999</v>
      </c>
      <c r="AM58" s="55">
        <f>_xll.EQNXTDZ($A$1,$B58,AM$5,$B$1)</f>
        <v>0</v>
      </c>
      <c r="AN58" s="55">
        <f>_xll.EQNXTDZ($A$1,$B58,AN$5,$B$1)</f>
        <v>511.87900000000002</v>
      </c>
      <c r="AO58" s="55">
        <f>_xll.EQNXTDZ($A$1,$B58,AO$5,$B$1)</f>
        <v>0</v>
      </c>
      <c r="AP58" s="55">
        <f>_xll.EQNXTDZ($A$1,$B58,AP$5,$B$1)</f>
        <v>667.37800000000004</v>
      </c>
      <c r="AQ58" s="55">
        <f>_xll.EQNXTDZ($A$1,$B58,AQ$5,$B$1)</f>
        <v>0</v>
      </c>
      <c r="AR58" s="55">
        <f>_xll.EQNXTDZ($A$1,$B58,AR$5,$B$1)</f>
        <v>680.63800000000003</v>
      </c>
      <c r="AS58" s="55">
        <f>_xll.EQNXTDZ($A$1,$B58,AS$5,$B$1)</f>
        <v>0</v>
      </c>
      <c r="AT58" s="55">
        <f>_xll.EQNXTDZ($A$1,$B58,AT$5,$B$1)</f>
        <v>976.12099999999998</v>
      </c>
      <c r="AU58" s="55">
        <f>_xll.EQNXTDZ($A$1,$B58,AU$5,$B$1)</f>
        <v>0</v>
      </c>
      <c r="AV58" s="55">
        <f>_xll.EQNXTDZ($A$1,$B58,AV$5,$B$1)</f>
        <v>1311.4190000000001</v>
      </c>
      <c r="AW58" s="55">
        <f>_xll.EQNXTDZ($A$1,$B58,AW$5,$B$1)</f>
        <v>0</v>
      </c>
      <c r="AX58" s="55">
        <f>_xll.EQNXTDZ($A$1,$B58,AX$5,$B$1)</f>
        <v>1422.713</v>
      </c>
      <c r="AY58" s="55">
        <f>_xll.EQNXTDZ($A$1,$B58,AY$5,$B$1)</f>
        <v>0</v>
      </c>
      <c r="AZ58" s="55">
        <f>_xll.EQNXTDZ($A$1,$B58,AZ$5,$B$1)</f>
        <v>2515.5940000000001</v>
      </c>
      <c r="BA58" s="55">
        <f>_xll.EQNXTDZ($A$1,$B58,BA$5,$B$1)</f>
        <v>0</v>
      </c>
      <c r="BB58" s="55">
        <f>_xll.EQNXTDZ($A$1,$B58,BB$5,$B$1)</f>
        <v>2474.2800000000002</v>
      </c>
      <c r="BC58" s="55">
        <f>_xll.EQNXTDZ($A$1,$B58,BC$5,$B$1)</f>
        <v>0</v>
      </c>
      <c r="BD58" s="55">
        <f>_xll.EQNXTDZ($A$1,$B58,BD$5,$B$1)</f>
        <v>3169.85</v>
      </c>
      <c r="BE58" s="55">
        <f>_xll.EQNXTDZ($A$1,$B58,BE$5,$B$1)</f>
        <v>0</v>
      </c>
      <c r="BF58" s="55">
        <f>_xll.EQNXTDZ($A$1,$B58,BF$5,$B$1)</f>
        <v>3991.55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370.27499999999998</v>
      </c>
      <c r="E59" s="55">
        <f>_xll.EQNXTDZ($A$1,$B59,E$5,$B$1)</f>
        <v>0</v>
      </c>
      <c r="F59" s="55">
        <f>_xll.EQNXTDZ($A$1,$B59,F$5,$B$1)</f>
        <v>369.92</v>
      </c>
      <c r="G59" s="55">
        <f>_xll.EQNXTDZ($A$1,$B59,G$5,$B$1)</f>
        <v>0</v>
      </c>
      <c r="H59" s="55">
        <f>_xll.EQNXTDZ($A$1,$B59,H$5,$B$1)</f>
        <v>358.53399999999999</v>
      </c>
      <c r="I59" s="55">
        <f>_xll.EQNXTDZ($A$1,$B59,I$5,$B$1)</f>
        <v>0</v>
      </c>
      <c r="J59" s="55">
        <f>_xll.EQNXTDZ($A$1,$B59,J$5,$B$1)</f>
        <v>370.67399999999998</v>
      </c>
      <c r="K59" s="55">
        <f>_xll.EQNXTDZ($A$1,$B59,K$5,$B$1)</f>
        <v>0</v>
      </c>
      <c r="L59" s="55">
        <f>_xll.EQNXTDZ($A$1,$B59,L$5,$B$1)</f>
        <v>438.72399999999999</v>
      </c>
      <c r="M59" s="55">
        <f>_xll.EQNXTDZ($A$1,$B59,M$5,$B$1)</f>
        <v>0</v>
      </c>
      <c r="N59" s="55">
        <f>_xll.EQNXTDZ($A$1,$B59,N$5,$B$1)</f>
        <v>439.34699999999998</v>
      </c>
      <c r="O59" s="55">
        <f>_xll.EQNXTDZ($A$1,$B59,O$5,$B$1)</f>
        <v>0</v>
      </c>
      <c r="P59" s="55">
        <f>_xll.EQNXTDZ($A$1,$B59,P$5,$B$1)</f>
        <v>439.22500000000002</v>
      </c>
      <c r="Q59" s="55">
        <f>_xll.EQNXTDZ($A$1,$B59,Q$5,$B$1)</f>
        <v>0</v>
      </c>
      <c r="R59" s="55">
        <f>_xll.EQNXTDZ($A$1,$B59,R$5,$B$1)</f>
        <v>447.33629999999999</v>
      </c>
      <c r="S59" s="55">
        <f>_xll.EQNXTDZ($A$1,$B59,S$5,$B$1)</f>
        <v>0</v>
      </c>
      <c r="T59" s="55">
        <f>_xll.EQNXTDZ($A$1,$B59,T$5,$B$1)</f>
        <v>433.51900000000001</v>
      </c>
      <c r="U59" s="55">
        <f>_xll.EQNXTDZ($A$1,$B59,U$5,$B$1)</f>
        <v>430.363</v>
      </c>
      <c r="V59" s="55">
        <f>_xll.EQNXTDZ($A$1,$B59,V$5,$B$1)</f>
        <v>463.84100000000001</v>
      </c>
      <c r="W59" s="55">
        <f>_xll.EQNXTDZ($A$1,$B59,W$5,$B$1)</f>
        <v>0</v>
      </c>
      <c r="X59" s="55">
        <f>_xll.EQNXTDZ($A$1,$B59,X$5,$B$1)</f>
        <v>429.95699999999999</v>
      </c>
      <c r="Y59" s="55">
        <f>_xll.EQNXTDZ($A$1,$B59,Y$5,$B$1)</f>
        <v>0</v>
      </c>
      <c r="Z59" s="55">
        <f>_xll.EQNXTDZ($A$1,$B59,Z$5,$B$1)</f>
        <v>396.20800000000003</v>
      </c>
      <c r="AA59" s="55">
        <f>_xll.EQNXTDZ($A$1,$B59,AA$5,$B$1)</f>
        <v>0</v>
      </c>
      <c r="AB59" s="55">
        <f>_xll.EQNXTDZ($A$1,$B59,AB$5,$B$1)</f>
        <v>387.75200000000001</v>
      </c>
      <c r="AC59" s="55">
        <f>_xll.EQNXTDZ($A$1,$B59,AC$5,$B$1)</f>
        <v>0</v>
      </c>
      <c r="AD59" s="55">
        <f>_xll.EQNXTDZ($A$1,$B59,AD$5,$B$1)</f>
        <v>335.52100000000002</v>
      </c>
      <c r="AE59" s="55">
        <f>_xll.EQNXTDZ($A$1,$B59,AE$5,$B$1)</f>
        <v>0</v>
      </c>
      <c r="AF59" s="55">
        <f>_xll.EQNXTDZ($A$1,$B59,AF$5,$B$1)</f>
        <v>335.79599999999999</v>
      </c>
      <c r="AG59" s="55">
        <f>_xll.EQNXTDZ($A$1,$B59,AG$5,$B$1)</f>
        <v>0</v>
      </c>
      <c r="AH59" s="55">
        <f>_xll.EQNXTDZ($A$1,$B59,AH$5,$B$1)</f>
        <v>312.31</v>
      </c>
      <c r="AI59" s="55">
        <f>_xll.EQNXTDZ($A$1,$B59,AI$5,$B$1)</f>
        <v>0</v>
      </c>
      <c r="AJ59" s="55">
        <f>_xll.EQNXTDZ($A$1,$B59,AJ$5,$B$1)</f>
        <v>329.07299999999998</v>
      </c>
      <c r="AK59" s="55">
        <f>_xll.EQNXTDZ($A$1,$B59,AK$5,$B$1)</f>
        <v>0</v>
      </c>
      <c r="AL59" s="55">
        <f>_xll.EQNXTDZ($A$1,$B59,AL$5,$B$1)</f>
        <v>327.334</v>
      </c>
      <c r="AM59" s="55">
        <f>_xll.EQNXTDZ($A$1,$B59,AM$5,$B$1)</f>
        <v>0</v>
      </c>
      <c r="AN59" s="55">
        <f>_xll.EQNXTDZ($A$1,$B59,AN$5,$B$1)</f>
        <v>639.09199999999998</v>
      </c>
      <c r="AO59" s="55">
        <f>_xll.EQNXTDZ($A$1,$B59,AO$5,$B$1)</f>
        <v>0</v>
      </c>
      <c r="AP59" s="55">
        <f>_xll.EQNXTDZ($A$1,$B59,AP$5,$B$1)</f>
        <v>794.59100000000001</v>
      </c>
      <c r="AQ59" s="55">
        <f>_xll.EQNXTDZ($A$1,$B59,AQ$5,$B$1)</f>
        <v>0</v>
      </c>
      <c r="AR59" s="55">
        <f>_xll.EQNXTDZ($A$1,$B59,AR$5,$B$1)</f>
        <v>807.851</v>
      </c>
      <c r="AS59" s="55">
        <f>_xll.EQNXTDZ($A$1,$B59,AS$5,$B$1)</f>
        <v>0</v>
      </c>
      <c r="AT59" s="55">
        <f>_xll.EQNXTDZ($A$1,$B59,AT$5,$B$1)</f>
        <v>1103.3340000000001</v>
      </c>
      <c r="AU59" s="55">
        <f>_xll.EQNXTDZ($A$1,$B59,AU$5,$B$1)</f>
        <v>0</v>
      </c>
      <c r="AV59" s="55">
        <f>_xll.EQNXTDZ($A$1,$B59,AV$5,$B$1)</f>
        <v>1438.6320000000001</v>
      </c>
      <c r="AW59" s="55">
        <f>_xll.EQNXTDZ($A$1,$B59,AW$5,$B$1)</f>
        <v>0</v>
      </c>
      <c r="AX59" s="55">
        <f>_xll.EQNXTDZ($A$1,$B59,AX$5,$B$1)</f>
        <v>1549.9259999999999</v>
      </c>
      <c r="AY59" s="55">
        <f>_xll.EQNXTDZ($A$1,$B59,AY$5,$B$1)</f>
        <v>0</v>
      </c>
      <c r="AZ59" s="55">
        <f>_xll.EQNXTDZ($A$1,$B59,AZ$5,$B$1)</f>
        <v>2642.8069999999998</v>
      </c>
      <c r="BA59" s="55">
        <f>_xll.EQNXTDZ($A$1,$B59,BA$5,$B$1)</f>
        <v>0</v>
      </c>
      <c r="BB59" s="55">
        <f>_xll.EQNXTDZ($A$1,$B59,BB$5,$B$1)</f>
        <v>2601.4899999999998</v>
      </c>
      <c r="BC59" s="55">
        <f>_xll.EQNXTDZ($A$1,$B59,BC$5,$B$1)</f>
        <v>0</v>
      </c>
      <c r="BD59" s="55">
        <f>_xll.EQNXTDZ($A$1,$B59,BD$5,$B$1)</f>
        <v>3309.78</v>
      </c>
      <c r="BE59" s="55">
        <f>_xll.EQNXTDZ($A$1,$B59,BE$5,$B$1)</f>
        <v>0</v>
      </c>
      <c r="BF59" s="55">
        <f>_xll.EQNXTDZ($A$1,$B59,BF$5,$B$1)</f>
        <v>4142.59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53.444000000000003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75.150000000000006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145.465</v>
      </c>
      <c r="AW60" s="55">
        <f>_xll.EQNXTDZ($A$1,$B60,AW$5,$B$1)</f>
        <v>0</v>
      </c>
      <c r="AX60" s="55">
        <f>_xll.EQNXTDZ($A$1,$B60,AX$5,$B$1)</f>
        <v>383.209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523.87</v>
      </c>
      <c r="BC60" s="55">
        <f>_xll.EQNXTDZ($A$1,$B60,BC$5,$B$1)</f>
        <v>0</v>
      </c>
      <c r="BD60" s="55">
        <f>_xll.EQNXTDZ($A$1,$B60,BD$5,$B$1)</f>
        <v>894.28</v>
      </c>
      <c r="BE60" s="55">
        <f>_xll.EQNXTDZ($A$1,$B60,BE$5,$B$1)</f>
        <v>0</v>
      </c>
      <c r="BF60" s="55">
        <f>_xll.EQNXTDZ($A$1,$B60,BF$5,$B$1)</f>
        <v>1290.1400000000001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0.40400000000000003</v>
      </c>
      <c r="AO61" s="55">
        <f>_xll.EQNXTDZ($A$1,$B61,AO$5,$B$1)</f>
        <v>0</v>
      </c>
      <c r="AP61" s="55">
        <f>_xll.EQNXTDZ($A$1,$B61,AP$5,$B$1)</f>
        <v>18.86</v>
      </c>
      <c r="AQ61" s="55">
        <f>_xll.EQNXTDZ($A$1,$B61,AQ$5,$B$1)</f>
        <v>0</v>
      </c>
      <c r="AR61" s="55">
        <f>_xll.EQNXTDZ($A$1,$B61,AR$5,$B$1)</f>
        <v>18.901</v>
      </c>
      <c r="AS61" s="55">
        <f>_xll.EQNXTDZ($A$1,$B61,AS$5,$B$1)</f>
        <v>0</v>
      </c>
      <c r="AT61" s="55">
        <f>_xll.EQNXTDZ($A$1,$B61,AT$5,$B$1)</f>
        <v>0.42599999999999999</v>
      </c>
      <c r="AU61" s="55">
        <f>_xll.EQNXTDZ($A$1,$B61,AU$5,$B$1)</f>
        <v>0</v>
      </c>
      <c r="AV61" s="55">
        <f>_xll.EQNXTDZ($A$1,$B61,AV$5,$B$1)</f>
        <v>0.373</v>
      </c>
      <c r="AW61" s="55">
        <f>_xll.EQNXTDZ($A$1,$B61,AW$5,$B$1)</f>
        <v>0</v>
      </c>
      <c r="AX61" s="55">
        <f>_xll.EQNXTDZ($A$1,$B61,AX$5,$B$1)</f>
        <v>4.6529999999999996</v>
      </c>
      <c r="AY61" s="55">
        <f>_xll.EQNXTDZ($A$1,$B61,AY$5,$B$1)</f>
        <v>0</v>
      </c>
      <c r="AZ61" s="55">
        <f>_xll.EQNXTDZ($A$1,$B61,AZ$5,$B$1)</f>
        <v>4.0549999999999997</v>
      </c>
      <c r="BA61" s="55">
        <f>_xll.EQNXTDZ($A$1,$B61,BA$5,$B$1)</f>
        <v>0</v>
      </c>
      <c r="BB61" s="55">
        <f>_xll.EQNXTDZ($A$1,$B61,BB$5,$B$1)</f>
        <v>137.07</v>
      </c>
      <c r="BC61" s="55">
        <f>_xll.EQNXTDZ($A$1,$B61,BC$5,$B$1)</f>
        <v>0</v>
      </c>
      <c r="BD61" s="55">
        <f>_xll.EQNXTDZ($A$1,$B61,BD$5,$B$1)</f>
        <v>161.07</v>
      </c>
      <c r="BE61" s="55">
        <f>_xll.EQNXTDZ($A$1,$B61,BE$5,$B$1)</f>
        <v>0</v>
      </c>
      <c r="BF61" s="55">
        <f>_xll.EQNXTDZ($A$1,$B61,BF$5,$B$1)</f>
        <v>389.18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0.40400000000000003</v>
      </c>
      <c r="AO63" s="55">
        <f>_xll.EQNXTDZ($A$1,$B63,AO$5,$B$1)</f>
        <v>0</v>
      </c>
      <c r="AP63" s="55">
        <f>_xll.EQNXTDZ($A$1,$B63,AP$5,$B$1)</f>
        <v>18.86</v>
      </c>
      <c r="AQ63" s="55">
        <f>_xll.EQNXTDZ($A$1,$B63,AQ$5,$B$1)</f>
        <v>0</v>
      </c>
      <c r="AR63" s="55">
        <f>_xll.EQNXTDZ($A$1,$B63,AR$5,$B$1)</f>
        <v>18.901</v>
      </c>
      <c r="AS63" s="55">
        <f>_xll.EQNXTDZ($A$1,$B63,AS$5,$B$1)</f>
        <v>0</v>
      </c>
      <c r="AT63" s="55">
        <f>_xll.EQNXTDZ($A$1,$B63,AT$5,$B$1)</f>
        <v>0.42599999999999999</v>
      </c>
      <c r="AU63" s="55">
        <f>_xll.EQNXTDZ($A$1,$B63,AU$5,$B$1)</f>
        <v>0</v>
      </c>
      <c r="AV63" s="55">
        <f>_xll.EQNXTDZ($A$1,$B63,AV$5,$B$1)</f>
        <v>0.373</v>
      </c>
      <c r="AW63" s="55">
        <f>_xll.EQNXTDZ($A$1,$B63,AW$5,$B$1)</f>
        <v>0</v>
      </c>
      <c r="AX63" s="55">
        <f>_xll.EQNXTDZ($A$1,$B63,AX$5,$B$1)</f>
        <v>4.6529999999999996</v>
      </c>
      <c r="AY63" s="55">
        <f>_xll.EQNXTDZ($A$1,$B63,AY$5,$B$1)</f>
        <v>0</v>
      </c>
      <c r="AZ63" s="55">
        <f>_xll.EQNXTDZ($A$1,$B63,AZ$5,$B$1)</f>
        <v>4.0549999999999997</v>
      </c>
      <c r="BA63" s="55">
        <f>_xll.EQNXTDZ($A$1,$B63,BA$5,$B$1)</f>
        <v>0</v>
      </c>
      <c r="BB63" s="55">
        <f>_xll.EQNXTDZ($A$1,$B63,BB$5,$B$1)</f>
        <v>137.07</v>
      </c>
      <c r="BC63" s="55">
        <f>_xll.EQNXTDZ($A$1,$B63,BC$5,$B$1)</f>
        <v>0</v>
      </c>
      <c r="BD63" s="55">
        <f>_xll.EQNXTDZ($A$1,$B63,BD$5,$B$1)</f>
        <v>161.07</v>
      </c>
      <c r="BE63" s="55">
        <f>_xll.EQNXTDZ($A$1,$B63,BE$5,$B$1)</f>
        <v>0</v>
      </c>
      <c r="BF63" s="55">
        <f>_xll.EQNXTDZ($A$1,$B63,BF$5,$B$1)</f>
        <v>389.18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11.2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4.2859999999999996</v>
      </c>
      <c r="AO64" s="55">
        <f>_xll.EQNXTDZ($A$1,$B64,AO$5,$B$1)</f>
        <v>0</v>
      </c>
      <c r="AP64" s="55">
        <f>_xll.EQNXTDZ($A$1,$B64,AP$5,$B$1)</f>
        <v>3.7530000000000001</v>
      </c>
      <c r="AQ64" s="55">
        <f>_xll.EQNXTDZ($A$1,$B64,AQ$5,$B$1)</f>
        <v>0</v>
      </c>
      <c r="AR64" s="55">
        <f>_xll.EQNXTDZ($A$1,$B64,AR$5,$B$1)</f>
        <v>5.0419999999999998</v>
      </c>
      <c r="AS64" s="55">
        <f>_xll.EQNXTDZ($A$1,$B64,AS$5,$B$1)</f>
        <v>0</v>
      </c>
      <c r="AT64" s="55">
        <f>_xll.EQNXTDZ($A$1,$B64,AT$5,$B$1)</f>
        <v>4.97</v>
      </c>
      <c r="AU64" s="55">
        <f>_xll.EQNXTDZ($A$1,$B64,AU$5,$B$1)</f>
        <v>0</v>
      </c>
      <c r="AV64" s="55">
        <f>_xll.EQNXTDZ($A$1,$B64,AV$5,$B$1)</f>
        <v>13.194000000000001</v>
      </c>
      <c r="AW64" s="55">
        <f>_xll.EQNXTDZ($A$1,$B64,AW$5,$B$1)</f>
        <v>0</v>
      </c>
      <c r="AX64" s="55">
        <f>_xll.EQNXTDZ($A$1,$B64,AX$5,$B$1)</f>
        <v>13.544</v>
      </c>
      <c r="AY64" s="55">
        <f>_xll.EQNXTDZ($A$1,$B64,AY$5,$B$1)</f>
        <v>0</v>
      </c>
      <c r="AZ64" s="55">
        <f>_xll.EQNXTDZ($A$1,$B64,AZ$5,$B$1)</f>
        <v>12.065</v>
      </c>
      <c r="BA64" s="55">
        <f>_xll.EQNXTDZ($A$1,$B64,BA$5,$B$1)</f>
        <v>0</v>
      </c>
      <c r="BB64" s="55">
        <f>_xll.EQNXTDZ($A$1,$B64,BB$5,$B$1)</f>
        <v>21.5</v>
      </c>
      <c r="BC64" s="55">
        <f>_xll.EQNXTDZ($A$1,$B64,BC$5,$B$1)</f>
        <v>0</v>
      </c>
      <c r="BD64" s="55">
        <f>_xll.EQNXTDZ($A$1,$B64,BD$5,$B$1)</f>
        <v>57.81</v>
      </c>
      <c r="BE64" s="55">
        <f>_xll.EQNXTDZ($A$1,$B64,BE$5,$B$1)</f>
        <v>0</v>
      </c>
      <c r="BF64" s="55">
        <f>_xll.EQNXTDZ($A$1,$B64,BF$5,$B$1)</f>
        <v>61.14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1.514</v>
      </c>
      <c r="AY65" s="55">
        <f>_xll.EQNXTDZ($A$1,$B65,AY$5,$B$1)</f>
        <v>0</v>
      </c>
      <c r="AZ65" s="55">
        <f>_xll.EQNXTDZ($A$1,$B65,AZ$5,$B$1)</f>
        <v>1.514</v>
      </c>
      <c r="BA65" s="55">
        <f>_xll.EQNXTDZ($A$1,$B65,BA$5,$B$1)</f>
        <v>0</v>
      </c>
      <c r="BB65" s="55">
        <f>_xll.EQNXTDZ($A$1,$B65,BB$5,$B$1)</f>
        <v>1.51</v>
      </c>
      <c r="BC65" s="55">
        <f>_xll.EQNXTDZ($A$1,$B65,BC$5,$B$1)</f>
        <v>0</v>
      </c>
      <c r="BD65" s="55">
        <f>_xll.EQNXTDZ($A$1,$B65,BD$5,$B$1)</f>
        <v>1.51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0.32100000000000001</v>
      </c>
      <c r="O66" s="55">
        <f>_xll.EQNXTDZ($A$1,$B66,O$5,$B$1)</f>
        <v>0</v>
      </c>
      <c r="P66" s="55">
        <f>_xll.EQNXTDZ($A$1,$B66,P$5,$B$1)</f>
        <v>0.33800000000000002</v>
      </c>
      <c r="Q66" s="55">
        <f>_xll.EQNXTDZ($A$1,$B66,Q$5,$B$1)</f>
        <v>0</v>
      </c>
      <c r="R66" s="55">
        <f>_xll.EQNXTDZ($A$1,$B66,R$5,$B$1)</f>
        <v>0.247</v>
      </c>
      <c r="S66" s="55">
        <f>_xll.EQNXTDZ($A$1,$B66,S$5,$B$1)</f>
        <v>0</v>
      </c>
      <c r="T66" s="55">
        <f>_xll.EQNXTDZ($A$1,$B66,T$5,$B$1)</f>
        <v>0.26500000000000001</v>
      </c>
      <c r="U66" s="55">
        <f>_xll.EQNXTDZ($A$1,$B66,U$5,$B$1)</f>
        <v>0.27400000000000002</v>
      </c>
      <c r="V66" s="55">
        <f>_xll.EQNXTDZ($A$1,$B66,V$5,$B$1)</f>
        <v>0.2</v>
      </c>
      <c r="W66" s="55">
        <f>_xll.EQNXTDZ($A$1,$B66,W$5,$B$1)</f>
        <v>0</v>
      </c>
      <c r="X66" s="55">
        <f>_xll.EQNXTDZ($A$1,$B66,X$5,$B$1)</f>
        <v>0.2</v>
      </c>
      <c r="Y66" s="55">
        <f>_xll.EQNXTDZ($A$1,$B66,Y$5,$B$1)</f>
        <v>0</v>
      </c>
      <c r="Z66" s="55">
        <f>_xll.EQNXTDZ($A$1,$B66,Z$5,$B$1)</f>
        <v>0.28299999999999997</v>
      </c>
      <c r="AA66" s="55">
        <f>_xll.EQNXTDZ($A$1,$B66,AA$5,$B$1)</f>
        <v>0</v>
      </c>
      <c r="AB66" s="55">
        <f>_xll.EQNXTDZ($A$1,$B66,AB$5,$B$1)</f>
        <v>0.32</v>
      </c>
      <c r="AC66" s="55">
        <f>_xll.EQNXTDZ($A$1,$B66,AC$5,$B$1)</f>
        <v>0</v>
      </c>
      <c r="AD66" s="55">
        <f>_xll.EQNXTDZ($A$1,$B66,AD$5,$B$1)</f>
        <v>0.33500000000000002</v>
      </c>
      <c r="AE66" s="55">
        <f>_xll.EQNXTDZ($A$1,$B66,AE$5,$B$1)</f>
        <v>0</v>
      </c>
      <c r="AF66" s="55">
        <f>_xll.EQNXTDZ($A$1,$B66,AF$5,$B$1)</f>
        <v>0.33500000000000002</v>
      </c>
      <c r="AG66" s="55">
        <f>_xll.EQNXTDZ($A$1,$B66,AG$5,$B$1)</f>
        <v>0</v>
      </c>
      <c r="AH66" s="55">
        <f>_xll.EQNXTDZ($A$1,$B66,AH$5,$B$1)</f>
        <v>0.40200000000000002</v>
      </c>
      <c r="AI66" s="55">
        <f>_xll.EQNXTDZ($A$1,$B66,AI$5,$B$1)</f>
        <v>0</v>
      </c>
      <c r="AJ66" s="55">
        <f>_xll.EQNXTDZ($A$1,$B66,AJ$5,$B$1)</f>
        <v>0.40200000000000002</v>
      </c>
      <c r="AK66" s="55">
        <f>_xll.EQNXTDZ($A$1,$B66,AK$5,$B$1)</f>
        <v>0</v>
      </c>
      <c r="AL66" s="55">
        <f>_xll.EQNXTDZ($A$1,$B66,AL$5,$B$1)</f>
        <v>0.432</v>
      </c>
      <c r="AM66" s="55">
        <f>_xll.EQNXTDZ($A$1,$B66,AM$5,$B$1)</f>
        <v>0</v>
      </c>
      <c r="AN66" s="55">
        <f>_xll.EQNXTDZ($A$1,$B66,AN$5,$B$1)</f>
        <v>3.915</v>
      </c>
      <c r="AO66" s="55">
        <f>_xll.EQNXTDZ($A$1,$B66,AO$5,$B$1)</f>
        <v>0</v>
      </c>
      <c r="AP66" s="55">
        <f>_xll.EQNXTDZ($A$1,$B66,AP$5,$B$1)</f>
        <v>4.5190000000000001</v>
      </c>
      <c r="AQ66" s="55">
        <f>_xll.EQNXTDZ($A$1,$B66,AQ$5,$B$1)</f>
        <v>0</v>
      </c>
      <c r="AR66" s="55">
        <f>_xll.EQNXTDZ($A$1,$B66,AR$5,$B$1)</f>
        <v>4.673</v>
      </c>
      <c r="AS66" s="55">
        <f>_xll.EQNXTDZ($A$1,$B66,AS$5,$B$1)</f>
        <v>0</v>
      </c>
      <c r="AT66" s="55">
        <f>_xll.EQNXTDZ($A$1,$B66,AT$5,$B$1)</f>
        <v>3.9390000000000001</v>
      </c>
      <c r="AU66" s="55">
        <f>_xll.EQNXTDZ($A$1,$B66,AU$5,$B$1)</f>
        <v>0</v>
      </c>
      <c r="AV66" s="55">
        <f>_xll.EQNXTDZ($A$1,$B66,AV$5,$B$1)</f>
        <v>4.05</v>
      </c>
      <c r="AW66" s="55">
        <f>_xll.EQNXTDZ($A$1,$B66,AW$5,$B$1)</f>
        <v>0</v>
      </c>
      <c r="AX66" s="55">
        <f>_xll.EQNXTDZ($A$1,$B66,AX$5,$B$1)</f>
        <v>5.6470000000000002</v>
      </c>
      <c r="AY66" s="55">
        <f>_xll.EQNXTDZ($A$1,$B66,AY$5,$B$1)</f>
        <v>0</v>
      </c>
      <c r="AZ66" s="55">
        <f>_xll.EQNXTDZ($A$1,$B66,AZ$5,$B$1)</f>
        <v>6.952</v>
      </c>
      <c r="BA66" s="55">
        <f>_xll.EQNXTDZ($A$1,$B66,BA$5,$B$1)</f>
        <v>0</v>
      </c>
      <c r="BB66" s="55">
        <f>_xll.EQNXTDZ($A$1,$B66,BB$5,$B$1)</f>
        <v>7.76</v>
      </c>
      <c r="BC66" s="55">
        <f>_xll.EQNXTDZ($A$1,$B66,BC$5,$B$1)</f>
        <v>0</v>
      </c>
      <c r="BD66" s="55">
        <f>_xll.EQNXTDZ($A$1,$B66,BD$5,$B$1)</f>
        <v>9.24</v>
      </c>
      <c r="BE66" s="55">
        <f>_xll.EQNXTDZ($A$1,$B66,BE$5,$B$1)</f>
        <v>0</v>
      </c>
      <c r="BF66" s="55">
        <f>_xll.EQNXTDZ($A$1,$B66,BF$5,$B$1)</f>
        <v>10.65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370.27499999999998</v>
      </c>
      <c r="E67" s="55">
        <f>_xll.EQNXTDZ($A$1,$B67,E$5,$B$1)</f>
        <v>0</v>
      </c>
      <c r="F67" s="55">
        <f>_xll.EQNXTDZ($A$1,$B67,F$5,$B$1)</f>
        <v>369.92</v>
      </c>
      <c r="G67" s="55">
        <f>_xll.EQNXTDZ($A$1,$B67,G$5,$B$1)</f>
        <v>0</v>
      </c>
      <c r="H67" s="55">
        <f>_xll.EQNXTDZ($A$1,$B67,H$5,$B$1)</f>
        <v>358.53399999999999</v>
      </c>
      <c r="I67" s="55">
        <f>_xll.EQNXTDZ($A$1,$B67,I$5,$B$1)</f>
        <v>0</v>
      </c>
      <c r="J67" s="55">
        <f>_xll.EQNXTDZ($A$1,$B67,J$5,$B$1)</f>
        <v>370.67399999999998</v>
      </c>
      <c r="K67" s="55">
        <f>_xll.EQNXTDZ($A$1,$B67,K$5,$B$1)</f>
        <v>0</v>
      </c>
      <c r="L67" s="55">
        <f>_xll.EQNXTDZ($A$1,$B67,L$5,$B$1)</f>
        <v>438.72399999999999</v>
      </c>
      <c r="M67" s="55">
        <f>_xll.EQNXTDZ($A$1,$B67,M$5,$B$1)</f>
        <v>0</v>
      </c>
      <c r="N67" s="55">
        <f>_xll.EQNXTDZ($A$1,$B67,N$5,$B$1)</f>
        <v>439.66800000000001</v>
      </c>
      <c r="O67" s="55">
        <f>_xll.EQNXTDZ($A$1,$B67,O$5,$B$1)</f>
        <v>0</v>
      </c>
      <c r="P67" s="55">
        <f>_xll.EQNXTDZ($A$1,$B67,P$5,$B$1)</f>
        <v>439.56299999999999</v>
      </c>
      <c r="Q67" s="55">
        <f>_xll.EQNXTDZ($A$1,$B67,Q$5,$B$1)</f>
        <v>0</v>
      </c>
      <c r="R67" s="55">
        <f>_xll.EQNXTDZ($A$1,$B67,R$5,$B$1)</f>
        <v>447.58330000000001</v>
      </c>
      <c r="S67" s="55">
        <f>_xll.EQNXTDZ($A$1,$B67,S$5,$B$1)</f>
        <v>0</v>
      </c>
      <c r="T67" s="55">
        <f>_xll.EQNXTDZ($A$1,$B67,T$5,$B$1)</f>
        <v>433.78399999999999</v>
      </c>
      <c r="U67" s="55">
        <f>_xll.EQNXTDZ($A$1,$B67,U$5,$B$1)</f>
        <v>430.637</v>
      </c>
      <c r="V67" s="55">
        <f>_xll.EQNXTDZ($A$1,$B67,V$5,$B$1)</f>
        <v>475.24099999999999</v>
      </c>
      <c r="W67" s="55">
        <f>_xll.EQNXTDZ($A$1,$B67,W$5,$B$1)</f>
        <v>0</v>
      </c>
      <c r="X67" s="55">
        <f>_xll.EQNXTDZ($A$1,$B67,X$5,$B$1)</f>
        <v>430.15699999999998</v>
      </c>
      <c r="Y67" s="55">
        <f>_xll.EQNXTDZ($A$1,$B67,Y$5,$B$1)</f>
        <v>0</v>
      </c>
      <c r="Z67" s="55">
        <f>_xll.EQNXTDZ($A$1,$B67,Z$5,$B$1)</f>
        <v>396.49099999999999</v>
      </c>
      <c r="AA67" s="55">
        <f>_xll.EQNXTDZ($A$1,$B67,AA$5,$B$1)</f>
        <v>0</v>
      </c>
      <c r="AB67" s="55">
        <f>_xll.EQNXTDZ($A$1,$B67,AB$5,$B$1)</f>
        <v>388.072</v>
      </c>
      <c r="AC67" s="55">
        <f>_xll.EQNXTDZ($A$1,$B67,AC$5,$B$1)</f>
        <v>0</v>
      </c>
      <c r="AD67" s="55">
        <f>_xll.EQNXTDZ($A$1,$B67,AD$5,$B$1)</f>
        <v>335.85599999999999</v>
      </c>
      <c r="AE67" s="55">
        <f>_xll.EQNXTDZ($A$1,$B67,AE$5,$B$1)</f>
        <v>0</v>
      </c>
      <c r="AF67" s="55">
        <f>_xll.EQNXTDZ($A$1,$B67,AF$5,$B$1)</f>
        <v>336.13099999999997</v>
      </c>
      <c r="AG67" s="55">
        <f>_xll.EQNXTDZ($A$1,$B67,AG$5,$B$1)</f>
        <v>0</v>
      </c>
      <c r="AH67" s="55">
        <f>_xll.EQNXTDZ($A$1,$B67,AH$5,$B$1)</f>
        <v>312.71199999999999</v>
      </c>
      <c r="AI67" s="55">
        <f>_xll.EQNXTDZ($A$1,$B67,AI$5,$B$1)</f>
        <v>0</v>
      </c>
      <c r="AJ67" s="55">
        <f>_xll.EQNXTDZ($A$1,$B67,AJ$5,$B$1)</f>
        <v>329.47500000000002</v>
      </c>
      <c r="AK67" s="55">
        <f>_xll.EQNXTDZ($A$1,$B67,AK$5,$B$1)</f>
        <v>0</v>
      </c>
      <c r="AL67" s="55">
        <f>_xll.EQNXTDZ($A$1,$B67,AL$5,$B$1)</f>
        <v>327.76600000000002</v>
      </c>
      <c r="AM67" s="55">
        <f>_xll.EQNXTDZ($A$1,$B67,AM$5,$B$1)</f>
        <v>0</v>
      </c>
      <c r="AN67" s="55">
        <f>_xll.EQNXTDZ($A$1,$B67,AN$5,$B$1)</f>
        <v>701.14099999999996</v>
      </c>
      <c r="AO67" s="55">
        <f>_xll.EQNXTDZ($A$1,$B67,AO$5,$B$1)</f>
        <v>0</v>
      </c>
      <c r="AP67" s="55">
        <f>_xll.EQNXTDZ($A$1,$B67,AP$5,$B$1)</f>
        <v>821.72299999999996</v>
      </c>
      <c r="AQ67" s="55">
        <f>_xll.EQNXTDZ($A$1,$B67,AQ$5,$B$1)</f>
        <v>0</v>
      </c>
      <c r="AR67" s="55">
        <f>_xll.EQNXTDZ($A$1,$B67,AR$5,$B$1)</f>
        <v>911.61699999999996</v>
      </c>
      <c r="AS67" s="55">
        <f>_xll.EQNXTDZ($A$1,$B67,AS$5,$B$1)</f>
        <v>0</v>
      </c>
      <c r="AT67" s="55">
        <f>_xll.EQNXTDZ($A$1,$B67,AT$5,$B$1)</f>
        <v>1112.6690000000001</v>
      </c>
      <c r="AU67" s="55">
        <f>_xll.EQNXTDZ($A$1,$B67,AU$5,$B$1)</f>
        <v>0</v>
      </c>
      <c r="AV67" s="55">
        <f>_xll.EQNXTDZ($A$1,$B67,AV$5,$B$1)</f>
        <v>1601.7139999999999</v>
      </c>
      <c r="AW67" s="55">
        <f>_xll.EQNXTDZ($A$1,$B67,AW$5,$B$1)</f>
        <v>0</v>
      </c>
      <c r="AX67" s="55">
        <f>_xll.EQNXTDZ($A$1,$B67,AX$5,$B$1)</f>
        <v>1958.4929999999999</v>
      </c>
      <c r="AY67" s="55">
        <f>_xll.EQNXTDZ($A$1,$B67,AY$5,$B$1)</f>
        <v>0</v>
      </c>
      <c r="AZ67" s="55">
        <f>_xll.EQNXTDZ($A$1,$B67,AZ$5,$B$1)</f>
        <v>2667.393</v>
      </c>
      <c r="BA67" s="55">
        <f>_xll.EQNXTDZ($A$1,$B67,BA$5,$B$1)</f>
        <v>0</v>
      </c>
      <c r="BB67" s="55">
        <f>_xll.EQNXTDZ($A$1,$B67,BB$5,$B$1)</f>
        <v>3293.2</v>
      </c>
      <c r="BC67" s="55">
        <f>_xll.EQNXTDZ($A$1,$B67,BC$5,$B$1)</f>
        <v>0</v>
      </c>
      <c r="BD67" s="55">
        <f>_xll.EQNXTDZ($A$1,$B67,BD$5,$B$1)</f>
        <v>4433.6899999999996</v>
      </c>
      <c r="BE67" s="55">
        <f>_xll.EQNXTDZ($A$1,$B67,BE$5,$B$1)</f>
        <v>0</v>
      </c>
      <c r="BF67" s="55">
        <f>_xll.EQNXTDZ($A$1,$B67,BF$5,$B$1)</f>
        <v>5893.7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0.34200000000000003</v>
      </c>
      <c r="E68" s="55">
        <f>_xll.EQNXTDZ($A$1,$B68,E$5,$B$1)</f>
        <v>0</v>
      </c>
      <c r="F68" s="55">
        <f>_xll.EQNXTDZ($A$1,$B68,F$5,$B$1)</f>
        <v>8.9999999999999993E-3</v>
      </c>
      <c r="G68" s="55">
        <f>_xll.EQNXTDZ($A$1,$B68,G$5,$B$1)</f>
        <v>0</v>
      </c>
      <c r="H68" s="55">
        <f>_xll.EQNXTDZ($A$1,$B68,H$5,$B$1)</f>
        <v>7.0000000000000001E-3</v>
      </c>
      <c r="I68" s="55">
        <f>_xll.EQNXTDZ($A$1,$B68,I$5,$B$1)</f>
        <v>0</v>
      </c>
      <c r="J68" s="55">
        <f>_xll.EQNXTDZ($A$1,$B68,J$5,$B$1)</f>
        <v>6.0000000000000001E-3</v>
      </c>
      <c r="K68" s="55">
        <f>_xll.EQNXTDZ($A$1,$B68,K$5,$B$1)</f>
        <v>0</v>
      </c>
      <c r="L68" s="55">
        <f>_xll.EQNXTDZ($A$1,$B68,L$5,$B$1)</f>
        <v>5.0000000000000001E-3</v>
      </c>
      <c r="M68" s="55">
        <f>_xll.EQNXTDZ($A$1,$B68,M$5,$B$1)</f>
        <v>0</v>
      </c>
      <c r="N68" s="55">
        <f>_xll.EQNXTDZ($A$1,$B68,N$5,$B$1)</f>
        <v>4.0000000000000001E-3</v>
      </c>
      <c r="O68" s="55">
        <f>_xll.EQNXTDZ($A$1,$B68,O$5,$B$1)</f>
        <v>0</v>
      </c>
      <c r="P68" s="55">
        <f>_xll.EQNXTDZ($A$1,$B68,P$5,$B$1)</f>
        <v>8.0000000000000002E-3</v>
      </c>
      <c r="Q68" s="55">
        <f>_xll.EQNXTDZ($A$1,$B68,Q$5,$B$1)</f>
        <v>0</v>
      </c>
      <c r="R68" s="55">
        <f>_xll.EQNXTDZ($A$1,$B68,R$5,$B$1)</f>
        <v>6.0000000000000001E-3</v>
      </c>
      <c r="S68" s="55">
        <f>_xll.EQNXTDZ($A$1,$B68,S$5,$B$1)</f>
        <v>0</v>
      </c>
      <c r="T68" s="55">
        <f>_xll.EQNXTDZ($A$1,$B68,T$5,$B$1)</f>
        <v>5.0000000000000001E-3</v>
      </c>
      <c r="U68" s="55">
        <f>_xll.EQNXTDZ($A$1,$B68,U$5,$B$1)</f>
        <v>5.0000000000000001E-3</v>
      </c>
      <c r="V68" s="55">
        <f>_xll.EQNXTDZ($A$1,$B68,V$5,$B$1)</f>
        <v>4.0000000000000001E-3</v>
      </c>
      <c r="W68" s="55">
        <f>_xll.EQNXTDZ($A$1,$B68,W$5,$B$1)</f>
        <v>0</v>
      </c>
      <c r="X68" s="55">
        <f>_xll.EQNXTDZ($A$1,$B68,X$5,$B$1)</f>
        <v>4.0000000000000001E-3</v>
      </c>
      <c r="Y68" s="55">
        <f>_xll.EQNXTDZ($A$1,$B68,Y$5,$B$1)</f>
        <v>0</v>
      </c>
      <c r="Z68" s="55">
        <f>_xll.EQNXTDZ($A$1,$B68,Z$5,$B$1)</f>
        <v>3.0000000000000001E-3</v>
      </c>
      <c r="AA68" s="55">
        <f>_xll.EQNXTDZ($A$1,$B68,AA$5,$B$1)</f>
        <v>0</v>
      </c>
      <c r="AB68" s="55">
        <f>_xll.EQNXTDZ($A$1,$B68,AB$5,$B$1)</f>
        <v>2E-3</v>
      </c>
      <c r="AC68" s="55">
        <f>_xll.EQNXTDZ($A$1,$B68,AC$5,$B$1)</f>
        <v>0</v>
      </c>
      <c r="AD68" s="55">
        <f>_xll.EQNXTDZ($A$1,$B68,AD$5,$B$1)</f>
        <v>3.0000000000000001E-3</v>
      </c>
      <c r="AE68" s="55">
        <f>_xll.EQNXTDZ($A$1,$B68,AE$5,$B$1)</f>
        <v>0</v>
      </c>
      <c r="AF68" s="55">
        <f>_xll.EQNXTDZ($A$1,$B68,AF$5,$B$1)</f>
        <v>4.0000000000000001E-3</v>
      </c>
      <c r="AG68" s="55">
        <f>_xll.EQNXTDZ($A$1,$B68,AG$5,$B$1)</f>
        <v>0</v>
      </c>
      <c r="AH68" s="55">
        <f>_xll.EQNXTDZ($A$1,$B68,AH$5,$B$1)</f>
        <v>3.0000000000000001E-3</v>
      </c>
      <c r="AI68" s="55">
        <f>_xll.EQNXTDZ($A$1,$B68,AI$5,$B$1)</f>
        <v>0</v>
      </c>
      <c r="AJ68" s="55">
        <f>_xll.EQNXTDZ($A$1,$B68,AJ$5,$B$1)</f>
        <v>3.0000000000000001E-3</v>
      </c>
      <c r="AK68" s="55">
        <f>_xll.EQNXTDZ($A$1,$B68,AK$5,$B$1)</f>
        <v>0</v>
      </c>
      <c r="AL68" s="55">
        <f>_xll.EQNXTDZ($A$1,$B68,AL$5,$B$1)</f>
        <v>3.0000000000000001E-3</v>
      </c>
      <c r="AM68" s="55">
        <f>_xll.EQNXTDZ($A$1,$B68,AM$5,$B$1)</f>
        <v>0</v>
      </c>
      <c r="AN68" s="55">
        <f>_xll.EQNXTDZ($A$1,$B68,AN$5,$B$1)</f>
        <v>10.02</v>
      </c>
      <c r="AO68" s="55">
        <f>_xll.EQNXTDZ($A$1,$B68,AO$5,$B$1)</f>
        <v>0</v>
      </c>
      <c r="AP68" s="55">
        <f>_xll.EQNXTDZ($A$1,$B68,AP$5,$B$1)</f>
        <v>10.191000000000001</v>
      </c>
      <c r="AQ68" s="55">
        <f>_xll.EQNXTDZ($A$1,$B68,AQ$5,$B$1)</f>
        <v>0</v>
      </c>
      <c r="AR68" s="55">
        <f>_xll.EQNXTDZ($A$1,$B68,AR$5,$B$1)</f>
        <v>22.117999999999999</v>
      </c>
      <c r="AS68" s="55">
        <f>_xll.EQNXTDZ($A$1,$B68,AS$5,$B$1)</f>
        <v>0</v>
      </c>
      <c r="AT68" s="55">
        <f>_xll.EQNXTDZ($A$1,$B68,AT$5,$B$1)</f>
        <v>28.038</v>
      </c>
      <c r="AU68" s="55">
        <f>_xll.EQNXTDZ($A$1,$B68,AU$5,$B$1)</f>
        <v>0</v>
      </c>
      <c r="AV68" s="55">
        <f>_xll.EQNXTDZ($A$1,$B68,AV$5,$B$1)</f>
        <v>21.643999999999998</v>
      </c>
      <c r="AW68" s="55">
        <f>_xll.EQNXTDZ($A$1,$B68,AW$5,$B$1)</f>
        <v>0</v>
      </c>
      <c r="AX68" s="55">
        <f>_xll.EQNXTDZ($A$1,$B68,AX$5,$B$1)</f>
        <v>64.167000000000002</v>
      </c>
      <c r="AY68" s="55">
        <f>_xll.EQNXTDZ($A$1,$B68,AY$5,$B$1)</f>
        <v>0</v>
      </c>
      <c r="AZ68" s="55">
        <f>_xll.EQNXTDZ($A$1,$B68,AZ$5,$B$1)</f>
        <v>63.198999999999998</v>
      </c>
      <c r="BA68" s="55">
        <f>_xll.EQNXTDZ($A$1,$B68,BA$5,$B$1)</f>
        <v>0</v>
      </c>
      <c r="BB68" s="55">
        <f>_xll.EQNXTDZ($A$1,$B68,BB$5,$B$1)</f>
        <v>88.86</v>
      </c>
      <c r="BC68" s="55">
        <f>_xll.EQNXTDZ($A$1,$B68,BC$5,$B$1)</f>
        <v>0</v>
      </c>
      <c r="BD68" s="55">
        <f>_xll.EQNXTDZ($A$1,$B68,BD$5,$B$1)</f>
        <v>156.96</v>
      </c>
      <c r="BE68" s="55">
        <f>_xll.EQNXTDZ($A$1,$B68,BE$5,$B$1)</f>
        <v>0</v>
      </c>
      <c r="BF68" s="55">
        <f>_xll.EQNXTDZ($A$1,$B68,BF$5,$B$1)</f>
        <v>191.41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0.34200000000000003</v>
      </c>
      <c r="E71" s="55">
        <f>_xll.EQNXTDZ($A$1,$B71,E$5,$B$1)</f>
        <v>0</v>
      </c>
      <c r="F71" s="55">
        <f>_xll.EQNXTDZ($A$1,$B71,F$5,$B$1)</f>
        <v>8.9999999999999993E-3</v>
      </c>
      <c r="G71" s="55">
        <f>_xll.EQNXTDZ($A$1,$B71,G$5,$B$1)</f>
        <v>0</v>
      </c>
      <c r="H71" s="55">
        <f>_xll.EQNXTDZ($A$1,$B71,H$5,$B$1)</f>
        <v>7.0000000000000001E-3</v>
      </c>
      <c r="I71" s="55">
        <f>_xll.EQNXTDZ($A$1,$B71,I$5,$B$1)</f>
        <v>0</v>
      </c>
      <c r="J71" s="55">
        <f>_xll.EQNXTDZ($A$1,$B71,J$5,$B$1)</f>
        <v>6.0000000000000001E-3</v>
      </c>
      <c r="K71" s="55">
        <f>_xll.EQNXTDZ($A$1,$B71,K$5,$B$1)</f>
        <v>0</v>
      </c>
      <c r="L71" s="55">
        <f>_xll.EQNXTDZ($A$1,$B71,L$5,$B$1)</f>
        <v>5.0000000000000001E-3</v>
      </c>
      <c r="M71" s="55">
        <f>_xll.EQNXTDZ($A$1,$B71,M$5,$B$1)</f>
        <v>0</v>
      </c>
      <c r="N71" s="55">
        <f>_xll.EQNXTDZ($A$1,$B71,N$5,$B$1)</f>
        <v>4.0000000000000001E-3</v>
      </c>
      <c r="O71" s="55">
        <f>_xll.EQNXTDZ($A$1,$B71,O$5,$B$1)</f>
        <v>0</v>
      </c>
      <c r="P71" s="55">
        <f>_xll.EQNXTDZ($A$1,$B71,P$5,$B$1)</f>
        <v>8.0000000000000002E-3</v>
      </c>
      <c r="Q71" s="55">
        <f>_xll.EQNXTDZ($A$1,$B71,Q$5,$B$1)</f>
        <v>0</v>
      </c>
      <c r="R71" s="55">
        <f>_xll.EQNXTDZ($A$1,$B71,R$5,$B$1)</f>
        <v>6.0000000000000001E-3</v>
      </c>
      <c r="S71" s="55">
        <f>_xll.EQNXTDZ($A$1,$B71,S$5,$B$1)</f>
        <v>0</v>
      </c>
      <c r="T71" s="55">
        <f>_xll.EQNXTDZ($A$1,$B71,T$5,$B$1)</f>
        <v>5.0000000000000001E-3</v>
      </c>
      <c r="U71" s="55">
        <f>_xll.EQNXTDZ($A$1,$B71,U$5,$B$1)</f>
        <v>5.0000000000000001E-3</v>
      </c>
      <c r="V71" s="55">
        <f>_xll.EQNXTDZ($A$1,$B71,V$5,$B$1)</f>
        <v>4.0000000000000001E-3</v>
      </c>
      <c r="W71" s="55">
        <f>_xll.EQNXTDZ($A$1,$B71,W$5,$B$1)</f>
        <v>0</v>
      </c>
      <c r="X71" s="55">
        <f>_xll.EQNXTDZ($A$1,$B71,X$5,$B$1)</f>
        <v>4.0000000000000001E-3</v>
      </c>
      <c r="Y71" s="55">
        <f>_xll.EQNXTDZ($A$1,$B71,Y$5,$B$1)</f>
        <v>0</v>
      </c>
      <c r="Z71" s="55">
        <f>_xll.EQNXTDZ($A$1,$B71,Z$5,$B$1)</f>
        <v>3.0000000000000001E-3</v>
      </c>
      <c r="AA71" s="55">
        <f>_xll.EQNXTDZ($A$1,$B71,AA$5,$B$1)</f>
        <v>0</v>
      </c>
      <c r="AB71" s="55">
        <f>_xll.EQNXTDZ($A$1,$B71,AB$5,$B$1)</f>
        <v>2E-3</v>
      </c>
      <c r="AC71" s="55">
        <f>_xll.EQNXTDZ($A$1,$B71,AC$5,$B$1)</f>
        <v>0</v>
      </c>
      <c r="AD71" s="55">
        <f>_xll.EQNXTDZ($A$1,$B71,AD$5,$B$1)</f>
        <v>3.0000000000000001E-3</v>
      </c>
      <c r="AE71" s="55">
        <f>_xll.EQNXTDZ($A$1,$B71,AE$5,$B$1)</f>
        <v>0</v>
      </c>
      <c r="AF71" s="55">
        <f>_xll.EQNXTDZ($A$1,$B71,AF$5,$B$1)</f>
        <v>4.0000000000000001E-3</v>
      </c>
      <c r="AG71" s="55">
        <f>_xll.EQNXTDZ($A$1,$B71,AG$5,$B$1)</f>
        <v>0</v>
      </c>
      <c r="AH71" s="55">
        <f>_xll.EQNXTDZ($A$1,$B71,AH$5,$B$1)</f>
        <v>3.0000000000000001E-3</v>
      </c>
      <c r="AI71" s="55">
        <f>_xll.EQNXTDZ($A$1,$B71,AI$5,$B$1)</f>
        <v>0</v>
      </c>
      <c r="AJ71" s="55">
        <f>_xll.EQNXTDZ($A$1,$B71,AJ$5,$B$1)</f>
        <v>3.0000000000000001E-3</v>
      </c>
      <c r="AK71" s="55">
        <f>_xll.EQNXTDZ($A$1,$B71,AK$5,$B$1)</f>
        <v>0</v>
      </c>
      <c r="AL71" s="55">
        <f>_xll.EQNXTDZ($A$1,$B71,AL$5,$B$1)</f>
        <v>3.0000000000000001E-3</v>
      </c>
      <c r="AM71" s="55">
        <f>_xll.EQNXTDZ($A$1,$B71,AM$5,$B$1)</f>
        <v>0</v>
      </c>
      <c r="AN71" s="55">
        <f>_xll.EQNXTDZ($A$1,$B71,AN$5,$B$1)</f>
        <v>10.02</v>
      </c>
      <c r="AO71" s="55">
        <f>_xll.EQNXTDZ($A$1,$B71,AO$5,$B$1)</f>
        <v>0</v>
      </c>
      <c r="AP71" s="55">
        <f>_xll.EQNXTDZ($A$1,$B71,AP$5,$B$1)</f>
        <v>10.191000000000001</v>
      </c>
      <c r="AQ71" s="55">
        <f>_xll.EQNXTDZ($A$1,$B71,AQ$5,$B$1)</f>
        <v>0</v>
      </c>
      <c r="AR71" s="55">
        <f>_xll.EQNXTDZ($A$1,$B71,AR$5,$B$1)</f>
        <v>22.117999999999999</v>
      </c>
      <c r="AS71" s="55">
        <f>_xll.EQNXTDZ($A$1,$B71,AS$5,$B$1)</f>
        <v>0</v>
      </c>
      <c r="AT71" s="55">
        <f>_xll.EQNXTDZ($A$1,$B71,AT$5,$B$1)</f>
        <v>28.038</v>
      </c>
      <c r="AU71" s="55">
        <f>_xll.EQNXTDZ($A$1,$B71,AU$5,$B$1)</f>
        <v>0</v>
      </c>
      <c r="AV71" s="55">
        <f>_xll.EQNXTDZ($A$1,$B71,AV$5,$B$1)</f>
        <v>21.643999999999998</v>
      </c>
      <c r="AW71" s="55">
        <f>_xll.EQNXTDZ($A$1,$B71,AW$5,$B$1)</f>
        <v>0</v>
      </c>
      <c r="AX71" s="55">
        <f>_xll.EQNXTDZ($A$1,$B71,AX$5,$B$1)</f>
        <v>64.167000000000002</v>
      </c>
      <c r="AY71" s="55">
        <f>_xll.EQNXTDZ($A$1,$B71,AY$5,$B$1)</f>
        <v>0</v>
      </c>
      <c r="AZ71" s="55">
        <f>_xll.EQNXTDZ($A$1,$B71,AZ$5,$B$1)</f>
        <v>63.198999999999998</v>
      </c>
      <c r="BA71" s="55">
        <f>_xll.EQNXTDZ($A$1,$B71,BA$5,$B$1)</f>
        <v>0</v>
      </c>
      <c r="BB71" s="55">
        <f>_xll.EQNXTDZ($A$1,$B71,BB$5,$B$1)</f>
        <v>88.86</v>
      </c>
      <c r="BC71" s="55">
        <f>_xll.EQNXTDZ($A$1,$B71,BC$5,$B$1)</f>
        <v>0</v>
      </c>
      <c r="BD71" s="55">
        <f>_xll.EQNXTDZ($A$1,$B71,BD$5,$B$1)</f>
        <v>156.96</v>
      </c>
      <c r="BE71" s="55">
        <f>_xll.EQNXTDZ($A$1,$B71,BE$5,$B$1)</f>
        <v>0</v>
      </c>
      <c r="BF71" s="55">
        <f>_xll.EQNXTDZ($A$1,$B71,BF$5,$B$1)</f>
        <v>191.41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19.768000000000001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10.32</v>
      </c>
      <c r="AY72" s="55">
        <f>_xll.EQNXTDZ($A$1,$B72,AY$5,$B$1)</f>
        <v>0</v>
      </c>
      <c r="AZ72" s="55">
        <f>_xll.EQNXTDZ($A$1,$B72,AZ$5,$B$1)</f>
        <v>10.32</v>
      </c>
      <c r="BA72" s="55">
        <f>_xll.EQNXTDZ($A$1,$B72,BA$5,$B$1)</f>
        <v>0</v>
      </c>
      <c r="BB72" s="55">
        <f>_xll.EQNXTDZ($A$1,$B72,BB$5,$B$1)</f>
        <v>133.1</v>
      </c>
      <c r="BC72" s="55">
        <f>_xll.EQNXTDZ($A$1,$B72,BC$5,$B$1)</f>
        <v>0</v>
      </c>
      <c r="BD72" s="55">
        <f>_xll.EQNXTDZ($A$1,$B72,BD$5,$B$1)</f>
        <v>163.4</v>
      </c>
      <c r="BE72" s="55">
        <f>_xll.EQNXTDZ($A$1,$B72,BE$5,$B$1)</f>
        <v>0</v>
      </c>
      <c r="BF72" s="55">
        <f>_xll.EQNXTDZ($A$1,$B72,BF$5,$B$1)</f>
        <v>177.27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3.7360000000000002</v>
      </c>
      <c r="AQ74" s="55">
        <f>_xll.EQNXTDZ($A$1,$B74,AQ$5,$B$1)</f>
        <v>0</v>
      </c>
      <c r="AR74" s="55">
        <f>_xll.EQNXTDZ($A$1,$B74,AR$5,$B$1)</f>
        <v>16.321000000000002</v>
      </c>
      <c r="AS74" s="55">
        <f>_xll.EQNXTDZ($A$1,$B74,AS$5,$B$1)</f>
        <v>0</v>
      </c>
      <c r="AT74" s="55">
        <f>_xll.EQNXTDZ($A$1,$B74,AT$5,$B$1)</f>
        <v>25.553000000000001</v>
      </c>
      <c r="AU74" s="55">
        <f>_xll.EQNXTDZ($A$1,$B74,AU$5,$B$1)</f>
        <v>0</v>
      </c>
      <c r="AV74" s="55">
        <f>_xll.EQNXTDZ($A$1,$B74,AV$5,$B$1)</f>
        <v>27.402999999999999</v>
      </c>
      <c r="AW74" s="55">
        <f>_xll.EQNXTDZ($A$1,$B74,AW$5,$B$1)</f>
        <v>0</v>
      </c>
      <c r="AX74" s="55">
        <f>_xll.EQNXTDZ($A$1,$B74,AX$5,$B$1)</f>
        <v>10.647</v>
      </c>
      <c r="AY74" s="55">
        <f>_xll.EQNXTDZ($A$1,$B74,AY$5,$B$1)</f>
        <v>0</v>
      </c>
      <c r="AZ74" s="55">
        <f>_xll.EQNXTDZ($A$1,$B74,AZ$5,$B$1)</f>
        <v>13.603</v>
      </c>
      <c r="BA74" s="55">
        <f>_xll.EQNXTDZ($A$1,$B74,BA$5,$B$1)</f>
        <v>0</v>
      </c>
      <c r="BB74" s="55">
        <f>_xll.EQNXTDZ($A$1,$B74,BB$5,$B$1)</f>
        <v>63.09</v>
      </c>
      <c r="BC74" s="55">
        <f>_xll.EQNXTDZ($A$1,$B74,BC$5,$B$1)</f>
        <v>0</v>
      </c>
      <c r="BD74" s="55">
        <f>_xll.EQNXTDZ($A$1,$B74,BD$5,$B$1)</f>
        <v>132.04</v>
      </c>
      <c r="BE74" s="55">
        <f>_xll.EQNXTDZ($A$1,$B74,BE$5,$B$1)</f>
        <v>0</v>
      </c>
      <c r="BF74" s="55">
        <f>_xll.EQNXTDZ($A$1,$B74,BF$5,$B$1)</f>
        <v>71.14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697.36599999999999</v>
      </c>
      <c r="E77" s="55">
        <f>_xll.EQNXTDZ($A$1,$B77,E$5,$B$1)</f>
        <v>0</v>
      </c>
      <c r="F77" s="55">
        <f>_xll.EQNXTDZ($A$1,$B77,F$5,$B$1)</f>
        <v>678.76599999999996</v>
      </c>
      <c r="G77" s="55">
        <f>_xll.EQNXTDZ($A$1,$B77,G$5,$B$1)</f>
        <v>0</v>
      </c>
      <c r="H77" s="55">
        <f>_xll.EQNXTDZ($A$1,$B77,H$5,$B$1)</f>
        <v>671.65499999999997</v>
      </c>
      <c r="I77" s="55">
        <f>_xll.EQNXTDZ($A$1,$B77,I$5,$B$1)</f>
        <v>0</v>
      </c>
      <c r="J77" s="55">
        <f>_xll.EQNXTDZ($A$1,$B77,J$5,$B$1)</f>
        <v>670.08199999999999</v>
      </c>
      <c r="K77" s="55">
        <f>_xll.EQNXTDZ($A$1,$B77,K$5,$B$1)</f>
        <v>0</v>
      </c>
      <c r="L77" s="55">
        <f>_xll.EQNXTDZ($A$1,$B77,L$5,$B$1)</f>
        <v>673.83399999999995</v>
      </c>
      <c r="M77" s="55">
        <f>_xll.EQNXTDZ($A$1,$B77,M$5,$B$1)</f>
        <v>0</v>
      </c>
      <c r="N77" s="55">
        <f>_xll.EQNXTDZ($A$1,$B77,N$5,$B$1)</f>
        <v>310.09500000000003</v>
      </c>
      <c r="O77" s="55">
        <f>_xll.EQNXTDZ($A$1,$B77,O$5,$B$1)</f>
        <v>0</v>
      </c>
      <c r="P77" s="55">
        <f>_xll.EQNXTDZ($A$1,$B77,P$5,$B$1)</f>
        <v>308.87700000000001</v>
      </c>
      <c r="Q77" s="55">
        <f>_xll.EQNXTDZ($A$1,$B77,Q$5,$B$1)</f>
        <v>0</v>
      </c>
      <c r="R77" s="55">
        <f>_xll.EQNXTDZ($A$1,$B77,R$5,$B$1)</f>
        <v>335.178</v>
      </c>
      <c r="S77" s="55">
        <f>_xll.EQNXTDZ($A$1,$B77,S$5,$B$1)</f>
        <v>0</v>
      </c>
      <c r="T77" s="55">
        <f>_xll.EQNXTDZ($A$1,$B77,T$5,$B$1)</f>
        <v>321.85599999999999</v>
      </c>
      <c r="U77" s="55">
        <f>_xll.EQNXTDZ($A$1,$B77,U$5,$B$1)</f>
        <v>321.85599999999999</v>
      </c>
      <c r="V77" s="55">
        <f>_xll.EQNXTDZ($A$1,$B77,V$5,$B$1)</f>
        <v>330.64400000000001</v>
      </c>
      <c r="W77" s="55">
        <f>_xll.EQNXTDZ($A$1,$B77,W$5,$B$1)</f>
        <v>0</v>
      </c>
      <c r="X77" s="55">
        <f>_xll.EQNXTDZ($A$1,$B77,X$5,$B$1)</f>
        <v>297.166</v>
      </c>
      <c r="Y77" s="55">
        <f>_xll.EQNXTDZ($A$1,$B77,Y$5,$B$1)</f>
        <v>0</v>
      </c>
      <c r="Z77" s="55">
        <f>_xll.EQNXTDZ($A$1,$B77,Z$5,$B$1)</f>
        <v>252.79400000000001</v>
      </c>
      <c r="AA77" s="55">
        <f>_xll.EQNXTDZ($A$1,$B77,AA$5,$B$1)</f>
        <v>0</v>
      </c>
      <c r="AB77" s="55">
        <f>_xll.EQNXTDZ($A$1,$B77,AB$5,$B$1)</f>
        <v>239.58799999999999</v>
      </c>
      <c r="AC77" s="55">
        <f>_xll.EQNXTDZ($A$1,$B77,AC$5,$B$1)</f>
        <v>0</v>
      </c>
      <c r="AD77" s="55">
        <f>_xll.EQNXTDZ($A$1,$B77,AD$5,$B$1)</f>
        <v>186.19499999999999</v>
      </c>
      <c r="AE77" s="55">
        <f>_xll.EQNXTDZ($A$1,$B77,AE$5,$B$1)</f>
        <v>0</v>
      </c>
      <c r="AF77" s="55">
        <f>_xll.EQNXTDZ($A$1,$B77,AF$5,$B$1)</f>
        <v>187.31299999999999</v>
      </c>
      <c r="AG77" s="55">
        <f>_xll.EQNXTDZ($A$1,$B77,AG$5,$B$1)</f>
        <v>0</v>
      </c>
      <c r="AH77" s="55">
        <f>_xll.EQNXTDZ($A$1,$B77,AH$5,$B$1)</f>
        <v>163.81899999999999</v>
      </c>
      <c r="AI77" s="55">
        <f>_xll.EQNXTDZ($A$1,$B77,AI$5,$B$1)</f>
        <v>0</v>
      </c>
      <c r="AJ77" s="55">
        <f>_xll.EQNXTDZ($A$1,$B77,AJ$5,$B$1)</f>
        <v>181.15299999999999</v>
      </c>
      <c r="AK77" s="55">
        <f>_xll.EQNXTDZ($A$1,$B77,AK$5,$B$1)</f>
        <v>0</v>
      </c>
      <c r="AL77" s="55">
        <f>_xll.EQNXTDZ($A$1,$B77,AL$5,$B$1)</f>
        <v>179.07</v>
      </c>
      <c r="AM77" s="55">
        <f>_xll.EQNXTDZ($A$1,$B77,AM$5,$B$1)</f>
        <v>0</v>
      </c>
      <c r="AN77" s="55">
        <f>_xll.EQNXTDZ($A$1,$B77,AN$5,$B$1)</f>
        <v>410.72500000000002</v>
      </c>
      <c r="AO77" s="55">
        <f>_xll.EQNXTDZ($A$1,$B77,AO$5,$B$1)</f>
        <v>0</v>
      </c>
      <c r="AP77" s="55">
        <f>_xll.EQNXTDZ($A$1,$B77,AP$5,$B$1)</f>
        <v>350.62299999999999</v>
      </c>
      <c r="AQ77" s="55">
        <f>_xll.EQNXTDZ($A$1,$B77,AQ$5,$B$1)</f>
        <v>0</v>
      </c>
      <c r="AR77" s="55">
        <f>_xll.EQNXTDZ($A$1,$B77,AR$5,$B$1)</f>
        <v>427.60199999999998</v>
      </c>
      <c r="AS77" s="55">
        <f>_xll.EQNXTDZ($A$1,$B77,AS$5,$B$1)</f>
        <v>0</v>
      </c>
      <c r="AT77" s="55">
        <f>_xll.EQNXTDZ($A$1,$B77,AT$5,$B$1)</f>
        <v>622.94000000000005</v>
      </c>
      <c r="AU77" s="55">
        <f>_xll.EQNXTDZ($A$1,$B77,AU$5,$B$1)</f>
        <v>0</v>
      </c>
      <c r="AV77" s="55">
        <f>_xll.EQNXTDZ($A$1,$B77,AV$5,$B$1)</f>
        <v>1183.184</v>
      </c>
      <c r="AW77" s="55">
        <f>_xll.EQNXTDZ($A$1,$B77,AW$5,$B$1)</f>
        <v>0</v>
      </c>
      <c r="AX77" s="55">
        <f>_xll.EQNXTDZ($A$1,$B77,AX$5,$B$1)</f>
        <v>1248.671</v>
      </c>
      <c r="AY77" s="55">
        <f>_xll.EQNXTDZ($A$1,$B77,AY$5,$B$1)</f>
        <v>0</v>
      </c>
      <c r="AZ77" s="55">
        <f>_xll.EQNXTDZ($A$1,$B77,AZ$5,$B$1)</f>
        <v>1979.0239999999999</v>
      </c>
      <c r="BA77" s="55">
        <f>_xll.EQNXTDZ($A$1,$B77,BA$5,$B$1)</f>
        <v>0</v>
      </c>
      <c r="BB77" s="55">
        <f>_xll.EQNXTDZ($A$1,$B77,BB$5,$B$1)</f>
        <v>2469.75</v>
      </c>
      <c r="BC77" s="55">
        <f>_xll.EQNXTDZ($A$1,$B77,BC$5,$B$1)</f>
        <v>0</v>
      </c>
      <c r="BD77" s="55">
        <f>_xll.EQNXTDZ($A$1,$B77,BD$5,$B$1)</f>
        <v>2513.7800000000002</v>
      </c>
      <c r="BE77" s="55">
        <f>_xll.EQNXTDZ($A$1,$B77,BE$5,$B$1)</f>
        <v>0</v>
      </c>
      <c r="BF77" s="55">
        <f>_xll.EQNXTDZ($A$1,$B77,BF$5,$B$1)</f>
        <v>3456.93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9.6110000000000007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154.453</v>
      </c>
      <c r="O78" s="55">
        <f>_xll.EQNXTDZ($A$1,$B78,O$5,$B$1)</f>
        <v>0</v>
      </c>
      <c r="P78" s="55">
        <f>_xll.EQNXTDZ($A$1,$B78,P$5,$B$1)</f>
        <v>154.553</v>
      </c>
      <c r="Q78" s="55">
        <f>_xll.EQNXTDZ($A$1,$B78,Q$5,$B$1)</f>
        <v>0</v>
      </c>
      <c r="R78" s="55">
        <f>_xll.EQNXTDZ($A$1,$B78,R$5,$B$1)</f>
        <v>135.56700000000001</v>
      </c>
      <c r="S78" s="55">
        <f>_xll.EQNXTDZ($A$1,$B78,S$5,$B$1)</f>
        <v>0</v>
      </c>
      <c r="T78" s="55">
        <f>_xll.EQNXTDZ($A$1,$B78,T$5,$B$1)</f>
        <v>135.56899999999999</v>
      </c>
      <c r="U78" s="55">
        <f>_xll.EQNXTDZ($A$1,$B78,U$5,$B$1)</f>
        <v>135.51499999999999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135.51499999999999</v>
      </c>
      <c r="W79" s="55">
        <f>_xll.EQNXTDZ($A$1,$B79,W$5,$B$1)</f>
        <v>0</v>
      </c>
      <c r="X79" s="55">
        <f>_xll.EQNXTDZ($A$1,$B79,X$5,$B$1)</f>
        <v>135.51599999999999</v>
      </c>
      <c r="Y79" s="55">
        <f>_xll.EQNXTDZ($A$1,$B79,Y$5,$B$1)</f>
        <v>0</v>
      </c>
      <c r="Z79" s="55">
        <f>_xll.EQNXTDZ($A$1,$B79,Z$5,$B$1)</f>
        <v>134.77799999999999</v>
      </c>
      <c r="AA79" s="55">
        <f>_xll.EQNXTDZ($A$1,$B79,AA$5,$B$1)</f>
        <v>0</v>
      </c>
      <c r="AB79" s="55">
        <f>_xll.EQNXTDZ($A$1,$B79,AB$5,$B$1)</f>
        <v>141.21299999999999</v>
      </c>
      <c r="AC79" s="55">
        <f>_xll.EQNXTDZ($A$1,$B79,AC$5,$B$1)</f>
        <v>0</v>
      </c>
      <c r="AD79" s="55">
        <f>_xll.EQNXTDZ($A$1,$B79,AD$5,$B$1)</f>
        <v>149.595</v>
      </c>
      <c r="AE79" s="55">
        <f>_xll.EQNXTDZ($A$1,$B79,AE$5,$B$1)</f>
        <v>0</v>
      </c>
      <c r="AF79" s="55">
        <f>_xll.EQNXTDZ($A$1,$B79,AF$5,$B$1)</f>
        <v>148.69399999999999</v>
      </c>
      <c r="AG79" s="55">
        <f>_xll.EQNXTDZ($A$1,$B79,AG$5,$B$1)</f>
        <v>0</v>
      </c>
      <c r="AH79" s="55">
        <f>_xll.EQNXTDZ($A$1,$B79,AH$5,$B$1)</f>
        <v>148.76400000000001</v>
      </c>
      <c r="AI79" s="55">
        <f>_xll.EQNXTDZ($A$1,$B79,AI$5,$B$1)</f>
        <v>0</v>
      </c>
      <c r="AJ79" s="55">
        <f>_xll.EQNXTDZ($A$1,$B79,AJ$5,$B$1)</f>
        <v>148.268</v>
      </c>
      <c r="AK79" s="55">
        <f>_xll.EQNXTDZ($A$1,$B79,AK$5,$B$1)</f>
        <v>0</v>
      </c>
      <c r="AL79" s="55">
        <f>_xll.EQNXTDZ($A$1,$B79,AL$5,$B$1)</f>
        <v>148.86099999999999</v>
      </c>
      <c r="AM79" s="55">
        <f>_xll.EQNXTDZ($A$1,$B79,AM$5,$B$1)</f>
        <v>0</v>
      </c>
      <c r="AN79" s="55">
        <f>_xll.EQNXTDZ($A$1,$B79,AN$5,$B$1)</f>
        <v>152.024</v>
      </c>
      <c r="AO79" s="55">
        <f>_xll.EQNXTDZ($A$1,$B79,AO$5,$B$1)</f>
        <v>0</v>
      </c>
      <c r="AP79" s="55">
        <f>_xll.EQNXTDZ($A$1,$B79,AP$5,$B$1)</f>
        <v>320.72199999999998</v>
      </c>
      <c r="AQ79" s="55">
        <f>_xll.EQNXTDZ($A$1,$B79,AQ$5,$B$1)</f>
        <v>0</v>
      </c>
      <c r="AR79" s="55">
        <f>_xll.EQNXTDZ($A$1,$B79,AR$5,$B$1)</f>
        <v>154.04499999999999</v>
      </c>
      <c r="AS79" s="55">
        <f>_xll.EQNXTDZ($A$1,$B79,AS$5,$B$1)</f>
        <v>0</v>
      </c>
      <c r="AT79" s="55">
        <f>_xll.EQNXTDZ($A$1,$B79,AT$5,$B$1)</f>
        <v>256.81799999999998</v>
      </c>
      <c r="AU79" s="55">
        <f>_xll.EQNXTDZ($A$1,$B79,AU$5,$B$1)</f>
        <v>0</v>
      </c>
      <c r="AV79" s="55">
        <f>_xll.EQNXTDZ($A$1,$B79,AV$5,$B$1)</f>
        <v>129.857</v>
      </c>
      <c r="AW79" s="55">
        <f>_xll.EQNXTDZ($A$1,$B79,AW$5,$B$1)</f>
        <v>0</v>
      </c>
      <c r="AX79" s="55">
        <f>_xll.EQNXTDZ($A$1,$B79,AX$5,$B$1)</f>
        <v>250.28899999999999</v>
      </c>
      <c r="AY79" s="55">
        <f>_xll.EQNXTDZ($A$1,$B79,AY$5,$B$1)</f>
        <v>0</v>
      </c>
      <c r="AZ79" s="55">
        <f>_xll.EQNXTDZ($A$1,$B79,AZ$5,$B$1)</f>
        <v>123.693</v>
      </c>
      <c r="BA79" s="55">
        <f>_xll.EQNXTDZ($A$1,$B79,BA$5,$B$1)</f>
        <v>0</v>
      </c>
      <c r="BB79" s="55">
        <f>_xll.EQNXTDZ($A$1,$B79,BB$5,$B$1)</f>
        <v>119.4</v>
      </c>
      <c r="BC79" s="55">
        <f>_xll.EQNXTDZ($A$1,$B79,BC$5,$B$1)</f>
        <v>0</v>
      </c>
      <c r="BD79" s="55">
        <f>_xll.EQNXTDZ($A$1,$B79,BD$5,$B$1)</f>
        <v>308.76</v>
      </c>
      <c r="BE79" s="55">
        <f>_xll.EQNXTDZ($A$1,$B79,BE$5,$B$1)</f>
        <v>0</v>
      </c>
      <c r="BF79" s="55">
        <f>_xll.EQNXTDZ($A$1,$B79,BF$5,$B$1)</f>
        <v>415.4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9.2249999999999996</v>
      </c>
      <c r="O80" s="55">
        <f>_xll.EQNXTDZ($A$1,$B80,O$5,$B$1)</f>
        <v>0</v>
      </c>
      <c r="P80" s="55">
        <f>_xll.EQNXTDZ($A$1,$B80,P$5,$B$1)</f>
        <v>6.0750000000000002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9.3490000000000002</v>
      </c>
      <c r="AU80" s="55">
        <f>_xll.EQNXTDZ($A$1,$B80,AU$5,$B$1)</f>
        <v>0</v>
      </c>
      <c r="AV80" s="55">
        <f>_xll.EQNXTDZ($A$1,$B80,AV$5,$B$1)</f>
        <v>21.318999999999999</v>
      </c>
      <c r="AW80" s="55">
        <f>_xll.EQNXTDZ($A$1,$B80,AW$5,$B$1)</f>
        <v>0</v>
      </c>
      <c r="AX80" s="55">
        <f>_xll.EQNXTDZ($A$1,$B80,AX$5,$B$1)</f>
        <v>16.867000000000001</v>
      </c>
      <c r="AY80" s="55">
        <f>_xll.EQNXTDZ($A$1,$B80,AY$5,$B$1)</f>
        <v>0</v>
      </c>
      <c r="AZ80" s="55">
        <f>_xll.EQNXTDZ($A$1,$B80,AZ$5,$B$1)</f>
        <v>19.184000000000001</v>
      </c>
      <c r="BA80" s="55">
        <f>_xll.EQNXTDZ($A$1,$B80,BA$5,$B$1)</f>
        <v>0</v>
      </c>
      <c r="BB80" s="55">
        <f>_xll.EQNXTDZ($A$1,$B80,BB$5,$B$1)</f>
        <v>19.41</v>
      </c>
      <c r="BC80" s="55">
        <f>_xll.EQNXTDZ($A$1,$B80,BC$5,$B$1)</f>
        <v>0</v>
      </c>
      <c r="BD80" s="55">
        <f>_xll.EQNXTDZ($A$1,$B80,BD$5,$B$1)</f>
        <v>37.729999999999997</v>
      </c>
      <c r="BE80" s="55">
        <f>_xll.EQNXTDZ($A$1,$B80,BE$5,$B$1)</f>
        <v>0</v>
      </c>
      <c r="BF80" s="55">
        <f>_xll.EQNXTDZ($A$1,$B80,BF$5,$B$1)</f>
        <v>58.32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22.190999999999999</v>
      </c>
      <c r="AO81" s="55">
        <f>_xll.EQNXTDZ($A$1,$B81,AO$5,$B$1)</f>
        <v>0</v>
      </c>
      <c r="AP81" s="55">
        <f>_xll.EQNXTDZ($A$1,$B81,AP$5,$B$1)</f>
        <v>48.850999999999999</v>
      </c>
      <c r="AQ81" s="55">
        <f>_xll.EQNXTDZ($A$1,$B81,AQ$5,$B$1)</f>
        <v>0</v>
      </c>
      <c r="AR81" s="55">
        <f>_xll.EQNXTDZ($A$1,$B81,AR$5,$B$1)</f>
        <v>89.575999999999993</v>
      </c>
      <c r="AS81" s="55">
        <f>_xll.EQNXTDZ($A$1,$B81,AS$5,$B$1)</f>
        <v>0</v>
      </c>
      <c r="AT81" s="55">
        <f>_xll.EQNXTDZ($A$1,$B81,AT$5,$B$1)</f>
        <v>122.05</v>
      </c>
      <c r="AU81" s="55">
        <f>_xll.EQNXTDZ($A$1,$B81,AU$5,$B$1)</f>
        <v>0</v>
      </c>
      <c r="AV81" s="55">
        <f>_xll.EQNXTDZ($A$1,$B81,AV$5,$B$1)</f>
        <v>191.63399999999999</v>
      </c>
      <c r="AW81" s="55">
        <f>_xll.EQNXTDZ($A$1,$B81,AW$5,$B$1)</f>
        <v>0</v>
      </c>
      <c r="AX81" s="55">
        <f>_xll.EQNXTDZ($A$1,$B81,AX$5,$B$1)</f>
        <v>219.18</v>
      </c>
      <c r="AY81" s="55">
        <f>_xll.EQNXTDZ($A$1,$B81,AY$5,$B$1)</f>
        <v>0</v>
      </c>
      <c r="AZ81" s="55">
        <f>_xll.EQNXTDZ($A$1,$B81,AZ$5,$B$1)</f>
        <v>189.11600000000001</v>
      </c>
      <c r="BA81" s="55">
        <f>_xll.EQNXTDZ($A$1,$B81,BA$5,$B$1)</f>
        <v>0</v>
      </c>
      <c r="BB81" s="55">
        <f>_xll.EQNXTDZ($A$1,$B81,BB$5,$B$1)</f>
        <v>161.22999999999999</v>
      </c>
      <c r="BC81" s="55">
        <f>_xll.EQNXTDZ($A$1,$B81,BC$5,$B$1)</f>
        <v>0</v>
      </c>
      <c r="BD81" s="55">
        <f>_xll.EQNXTDZ($A$1,$B81,BD$5,$B$1)</f>
        <v>240.38</v>
      </c>
      <c r="BE81" s="55">
        <f>_xll.EQNXTDZ($A$1,$B81,BE$5,$B$1)</f>
        <v>0</v>
      </c>
      <c r="BF81" s="55">
        <f>_xll.EQNXTDZ($A$1,$B81,BF$5,$B$1)</f>
        <v>561.70000000000005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6.4829999999999997</v>
      </c>
      <c r="E82" s="55">
        <f>_xll.EQNXTDZ($A$1,$B82,E$5,$B$1)</f>
        <v>0</v>
      </c>
      <c r="F82" s="55">
        <f>_xll.EQNXTDZ($A$1,$B82,F$5,$B$1)</f>
        <v>6.4829999999999997</v>
      </c>
      <c r="G82" s="55">
        <f>_xll.EQNXTDZ($A$1,$B82,G$5,$B$1)</f>
        <v>0</v>
      </c>
      <c r="H82" s="55">
        <f>_xll.EQNXTDZ($A$1,$B82,H$5,$B$1)</f>
        <v>6.4829999999999997</v>
      </c>
      <c r="I82" s="55">
        <f>_xll.EQNXTDZ($A$1,$B82,I$5,$B$1)</f>
        <v>0</v>
      </c>
      <c r="J82" s="55">
        <f>_xll.EQNXTDZ($A$1,$B82,J$5,$B$1)</f>
        <v>7.6</v>
      </c>
      <c r="K82" s="55">
        <f>_xll.EQNXTDZ($A$1,$B82,K$5,$B$1)</f>
        <v>0</v>
      </c>
      <c r="L82" s="55">
        <f>_xll.EQNXTDZ($A$1,$B82,L$5,$B$1)</f>
        <v>6.4829999999999997</v>
      </c>
      <c r="M82" s="55">
        <f>_xll.EQNXTDZ($A$1,$B82,M$5,$B$1)</f>
        <v>0</v>
      </c>
      <c r="N82" s="55">
        <f>_xll.EQNXTDZ($A$1,$B82,N$5,$B$1)</f>
        <v>6.4829999999999997</v>
      </c>
      <c r="O82" s="55">
        <f>_xll.EQNXTDZ($A$1,$B82,O$5,$B$1)</f>
        <v>0</v>
      </c>
      <c r="P82" s="55">
        <f>_xll.EQNXTDZ($A$1,$B82,P$5,$B$1)</f>
        <v>6.4829999999999997</v>
      </c>
      <c r="Q82" s="55">
        <f>_xll.EQNXTDZ($A$1,$B82,Q$5,$B$1)</f>
        <v>0</v>
      </c>
      <c r="R82" s="55">
        <f>_xll.EQNXTDZ($A$1,$B82,R$5,$B$1)</f>
        <v>6.4829999999999997</v>
      </c>
      <c r="S82" s="55">
        <f>_xll.EQNXTDZ($A$1,$B82,S$5,$B$1)</f>
        <v>0</v>
      </c>
      <c r="T82" s="55">
        <f>_xll.EQNXTDZ($A$1,$B82,T$5,$B$1)</f>
        <v>6.4829999999999997</v>
      </c>
      <c r="U82" s="55">
        <f>_xll.EQNXTDZ($A$1,$B82,U$5,$B$1)</f>
        <v>6.4829999999999997</v>
      </c>
      <c r="V82" s="55">
        <f>_xll.EQNXTDZ($A$1,$B82,V$5,$B$1)</f>
        <v>8.9429999999999996</v>
      </c>
      <c r="W82" s="55">
        <f>_xll.EQNXTDZ($A$1,$B82,W$5,$B$1)</f>
        <v>0</v>
      </c>
      <c r="X82" s="55">
        <f>_xll.EQNXTDZ($A$1,$B82,X$5,$B$1)</f>
        <v>27.645</v>
      </c>
      <c r="Y82" s="55">
        <f>_xll.EQNXTDZ($A$1,$B82,Y$5,$B$1)</f>
        <v>0</v>
      </c>
      <c r="Z82" s="55">
        <f>_xll.EQNXTDZ($A$1,$B82,Z$5,$B$1)</f>
        <v>8.9429999999999996</v>
      </c>
      <c r="AA82" s="55">
        <f>_xll.EQNXTDZ($A$1,$B82,AA$5,$B$1)</f>
        <v>0</v>
      </c>
      <c r="AB82" s="55">
        <f>_xll.EQNXTDZ($A$1,$B82,AB$5,$B$1)</f>
        <v>7.2430000000000003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0.59699999999999998</v>
      </c>
      <c r="AI82" s="55">
        <f>_xll.EQNXTDZ($A$1,$B82,AI$5,$B$1)</f>
        <v>0</v>
      </c>
      <c r="AJ82" s="55">
        <f>_xll.EQNXTDZ($A$1,$B82,AJ$5,$B$1)</f>
        <v>0.59699999999999998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4.7830000000000004</v>
      </c>
      <c r="AO82" s="55">
        <f>_xll.EQNXTDZ($A$1,$B82,AO$5,$B$1)</f>
        <v>0</v>
      </c>
      <c r="AP82" s="55">
        <f>_xll.EQNXTDZ($A$1,$B82,AP$5,$B$1)</f>
        <v>10.349</v>
      </c>
      <c r="AQ82" s="55">
        <f>_xll.EQNXTDZ($A$1,$B82,AQ$5,$B$1)</f>
        <v>0</v>
      </c>
      <c r="AR82" s="55">
        <f>_xll.EQNXTDZ($A$1,$B82,AR$5,$B$1)</f>
        <v>12.477</v>
      </c>
      <c r="AS82" s="55">
        <f>_xll.EQNXTDZ($A$1,$B82,AS$5,$B$1)</f>
        <v>0</v>
      </c>
      <c r="AT82" s="55">
        <f>_xll.EQNXTDZ($A$1,$B82,AT$5,$B$1)</f>
        <v>39.319000000000003</v>
      </c>
      <c r="AU82" s="55">
        <f>_xll.EQNXTDZ($A$1,$B82,AU$5,$B$1)</f>
        <v>0</v>
      </c>
      <c r="AV82" s="55">
        <f>_xll.EQNXTDZ($A$1,$B82,AV$5,$B$1)</f>
        <v>35.396999999999998</v>
      </c>
      <c r="AW82" s="55">
        <f>_xll.EQNXTDZ($A$1,$B82,AW$5,$B$1)</f>
        <v>0</v>
      </c>
      <c r="AX82" s="55">
        <f>_xll.EQNXTDZ($A$1,$B82,AX$5,$B$1)</f>
        <v>152.35300000000001</v>
      </c>
      <c r="AY82" s="55">
        <f>_xll.EQNXTDZ($A$1,$B82,AY$5,$B$1)</f>
        <v>0</v>
      </c>
      <c r="AZ82" s="55">
        <f>_xll.EQNXTDZ($A$1,$B82,AZ$5,$B$1)</f>
        <v>66.156000000000006</v>
      </c>
      <c r="BA82" s="55">
        <f>_xll.EQNXTDZ($A$1,$B82,BA$5,$B$1)</f>
        <v>0</v>
      </c>
      <c r="BB82" s="55">
        <f>_xll.EQNXTDZ($A$1,$B82,BB$5,$B$1)</f>
        <v>273.24</v>
      </c>
      <c r="BC82" s="55">
        <f>_xll.EQNXTDZ($A$1,$B82,BC$5,$B$1)</f>
        <v>0</v>
      </c>
      <c r="BD82" s="55">
        <f>_xll.EQNXTDZ($A$1,$B82,BD$5,$B$1)</f>
        <v>273.86</v>
      </c>
      <c r="BE82" s="55">
        <f>_xll.EQNXTDZ($A$1,$B82,BE$5,$B$1)</f>
        <v>0</v>
      </c>
      <c r="BF82" s="55">
        <f>_xll.EQNXTDZ($A$1,$B82,BF$5,$B$1)</f>
        <v>269.08999999999997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0.29499999999999998</v>
      </c>
      <c r="E83" s="55">
        <f>_xll.EQNXTDZ($A$1,$B83,E$5,$B$1)</f>
        <v>0</v>
      </c>
      <c r="F83" s="55">
        <f>_xll.EQNXTDZ($A$1,$B83,F$5,$B$1)</f>
        <v>1.401</v>
      </c>
      <c r="G83" s="55">
        <f>_xll.EQNXTDZ($A$1,$B83,G$5,$B$1)</f>
        <v>0</v>
      </c>
      <c r="H83" s="55">
        <f>_xll.EQNXTDZ($A$1,$B83,H$5,$B$1)</f>
        <v>7.0000000000000007E-2</v>
      </c>
      <c r="I83" s="55">
        <f>_xll.EQNXTDZ($A$1,$B83,I$5,$B$1)</f>
        <v>0</v>
      </c>
      <c r="J83" s="55">
        <f>_xll.EQNXTDZ($A$1,$B83,J$5,$B$1)</f>
        <v>9.0999999999999998E-2</v>
      </c>
      <c r="K83" s="55">
        <f>_xll.EQNXTDZ($A$1,$B83,K$5,$B$1)</f>
        <v>0</v>
      </c>
      <c r="L83" s="55">
        <f>_xll.EQNXTDZ($A$1,$B83,L$5,$B$1)</f>
        <v>0.26600000000000001</v>
      </c>
      <c r="M83" s="55">
        <f>_xll.EQNXTDZ($A$1,$B83,M$5,$B$1)</f>
        <v>0</v>
      </c>
      <c r="N83" s="55">
        <f>_xll.EQNXTDZ($A$1,$B83,N$5,$B$1)</f>
        <v>6.4000000000000001E-2</v>
      </c>
      <c r="O83" s="55">
        <f>_xll.EQNXTDZ($A$1,$B83,O$5,$B$1)</f>
        <v>0</v>
      </c>
      <c r="P83" s="55">
        <f>_xll.EQNXTDZ($A$1,$B83,P$5,$B$1)</f>
        <v>4.4999999999999998E-2</v>
      </c>
      <c r="Q83" s="55">
        <f>_xll.EQNXTDZ($A$1,$B83,Q$5,$B$1)</f>
        <v>0</v>
      </c>
      <c r="R83" s="55">
        <f>_xll.EQNXTDZ($A$1,$B83,R$5,$B$1)</f>
        <v>5.3999999999999999E-2</v>
      </c>
      <c r="S83" s="55">
        <f>_xll.EQNXTDZ($A$1,$B83,S$5,$B$1)</f>
        <v>0</v>
      </c>
      <c r="T83" s="55">
        <f>_xll.EQNXTDZ($A$1,$B83,T$5,$B$1)</f>
        <v>6.0000000000000001E-3</v>
      </c>
      <c r="U83" s="55">
        <f>_xll.EQNXTDZ($A$1,$B83,U$5,$B$1)</f>
        <v>1.4E-2</v>
      </c>
      <c r="V83" s="55">
        <f>_xll.EQNXTDZ($A$1,$B83,V$5,$B$1)</f>
        <v>7.5999999999999998E-2</v>
      </c>
      <c r="W83" s="55">
        <f>_xll.EQNXTDZ($A$1,$B83,W$5,$B$1)</f>
        <v>0</v>
      </c>
      <c r="X83" s="55">
        <f>_xll.EQNXTDZ($A$1,$B83,X$5,$B$1)</f>
        <v>1.0999999999999999E-2</v>
      </c>
      <c r="Y83" s="55">
        <f>_xll.EQNXTDZ($A$1,$B83,Y$5,$B$1)</f>
        <v>0</v>
      </c>
      <c r="Z83" s="55">
        <f>_xll.EQNXTDZ($A$1,$B83,Z$5,$B$1)</f>
        <v>1.2999999999999999E-2</v>
      </c>
      <c r="AA83" s="55">
        <f>_xll.EQNXTDZ($A$1,$B83,AA$5,$B$1)</f>
        <v>0</v>
      </c>
      <c r="AB83" s="55">
        <f>_xll.EQNXTDZ($A$1,$B83,AB$5,$B$1)</f>
        <v>8.0000000000000002E-3</v>
      </c>
      <c r="AC83" s="55">
        <f>_xll.EQNXTDZ($A$1,$B83,AC$5,$B$1)</f>
        <v>0</v>
      </c>
      <c r="AD83" s="55">
        <f>_xll.EQNXTDZ($A$1,$B83,AD$5,$B$1)</f>
        <v>1.4999999999999999E-2</v>
      </c>
      <c r="AE83" s="55">
        <f>_xll.EQNXTDZ($A$1,$B83,AE$5,$B$1)</f>
        <v>0</v>
      </c>
      <c r="AF83" s="55">
        <f>_xll.EQNXTDZ($A$1,$B83,AF$5,$B$1)</f>
        <v>1.9E-2</v>
      </c>
      <c r="AG83" s="55">
        <f>_xll.EQNXTDZ($A$1,$B83,AG$5,$B$1)</f>
        <v>0</v>
      </c>
      <c r="AH83" s="55">
        <f>_xll.EQNXTDZ($A$1,$B83,AH$5,$B$1)</f>
        <v>3.9E-2</v>
      </c>
      <c r="AI83" s="55">
        <f>_xll.EQNXTDZ($A$1,$B83,AI$5,$B$1)</f>
        <v>0</v>
      </c>
      <c r="AJ83" s="55">
        <f>_xll.EQNXTDZ($A$1,$B83,AJ$5,$B$1)</f>
        <v>0.02</v>
      </c>
      <c r="AK83" s="55">
        <f>_xll.EQNXTDZ($A$1,$B83,AK$5,$B$1)</f>
        <v>0</v>
      </c>
      <c r="AL83" s="55">
        <f>_xll.EQNXTDZ($A$1,$B83,AL$5,$B$1)</f>
        <v>7.07</v>
      </c>
      <c r="AM83" s="55">
        <f>_xll.EQNXTDZ($A$1,$B83,AM$5,$B$1)</f>
        <v>0</v>
      </c>
      <c r="AN83" s="55">
        <f>_xll.EQNXTDZ($A$1,$B83,AN$5,$B$1)</f>
        <v>14.644</v>
      </c>
      <c r="AO83" s="55">
        <f>_xll.EQNXTDZ($A$1,$B83,AO$5,$B$1)</f>
        <v>0</v>
      </c>
      <c r="AP83" s="55">
        <f>_xll.EQNXTDZ($A$1,$B83,AP$5,$B$1)</f>
        <v>24.983000000000001</v>
      </c>
      <c r="AQ83" s="55">
        <f>_xll.EQNXTDZ($A$1,$B83,AQ$5,$B$1)</f>
        <v>0</v>
      </c>
      <c r="AR83" s="55">
        <f>_xll.EQNXTDZ($A$1,$B83,AR$5,$B$1)</f>
        <v>250.101</v>
      </c>
      <c r="AS83" s="55">
        <f>_xll.EQNXTDZ($A$1,$B83,AS$5,$B$1)</f>
        <v>0</v>
      </c>
      <c r="AT83" s="55">
        <f>_xll.EQNXTDZ($A$1,$B83,AT$5,$B$1)</f>
        <v>33.316000000000003</v>
      </c>
      <c r="AU83" s="55">
        <f>_xll.EQNXTDZ($A$1,$B83,AU$5,$B$1)</f>
        <v>0</v>
      </c>
      <c r="AV83" s="55">
        <f>_xll.EQNXTDZ($A$1,$B83,AV$5,$B$1)</f>
        <v>48.231999999999999</v>
      </c>
      <c r="AW83" s="55">
        <f>_xll.EQNXTDZ($A$1,$B83,AW$5,$B$1)</f>
        <v>0</v>
      </c>
      <c r="AX83" s="55">
        <f>_xll.EQNXTDZ($A$1,$B83,AX$5,$B$1)</f>
        <v>179.10300000000001</v>
      </c>
      <c r="AY83" s="55">
        <f>_xll.EQNXTDZ($A$1,$B83,AY$5,$B$1)</f>
        <v>0</v>
      </c>
      <c r="AZ83" s="55">
        <f>_xll.EQNXTDZ($A$1,$B83,AZ$5,$B$1)</f>
        <v>166.44300000000001</v>
      </c>
      <c r="BA83" s="55">
        <f>_xll.EQNXTDZ($A$1,$B83,BA$5,$B$1)</f>
        <v>0</v>
      </c>
      <c r="BB83" s="55">
        <f>_xll.EQNXTDZ($A$1,$B83,BB$5,$B$1)</f>
        <v>176.11</v>
      </c>
      <c r="BC83" s="55">
        <f>_xll.EQNXTDZ($A$1,$B83,BC$5,$B$1)</f>
        <v>0</v>
      </c>
      <c r="BD83" s="55">
        <f>_xll.EQNXTDZ($A$1,$B83,BD$5,$B$1)</f>
        <v>495.17</v>
      </c>
      <c r="BE83" s="55">
        <f>_xll.EQNXTDZ($A$1,$B83,BE$5,$B$1)</f>
        <v>0</v>
      </c>
      <c r="BF83" s="55">
        <f>_xll.EQNXTDZ($A$1,$B83,BF$5,$B$1)</f>
        <v>908.67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0.20899999999999999</v>
      </c>
      <c r="W84" s="55">
        <f>_xll.EQNXTDZ($A$1,$B84,W$5,$B$1)</f>
        <v>0</v>
      </c>
      <c r="X84" s="55">
        <f>_xll.EQNXTDZ($A$1,$B84,X$5,$B$1)</f>
        <v>0.21099999999999999</v>
      </c>
      <c r="Y84" s="55">
        <f>_xll.EQNXTDZ($A$1,$B84,Y$5,$B$1)</f>
        <v>0</v>
      </c>
      <c r="Z84" s="55">
        <f>_xll.EQNXTDZ($A$1,$B84,Z$5,$B$1)</f>
        <v>0.22700000000000001</v>
      </c>
      <c r="AA84" s="55">
        <f>_xll.EQNXTDZ($A$1,$B84,AA$5,$B$1)</f>
        <v>0</v>
      </c>
      <c r="AB84" s="55">
        <f>_xll.EQNXTDZ($A$1,$B84,AB$5,$B$1)</f>
        <v>0.247</v>
      </c>
      <c r="AC84" s="55">
        <f>_xll.EQNXTDZ($A$1,$B84,AC$5,$B$1)</f>
        <v>0</v>
      </c>
      <c r="AD84" s="55">
        <f>_xll.EQNXTDZ($A$1,$B84,AD$5,$B$1)</f>
        <v>0.32200000000000001</v>
      </c>
      <c r="AE84" s="55">
        <f>_xll.EQNXTDZ($A$1,$B84,AE$5,$B$1)</f>
        <v>0</v>
      </c>
      <c r="AF84" s="55">
        <f>_xll.EQNXTDZ($A$1,$B84,AF$5,$B$1)</f>
        <v>0.33300000000000002</v>
      </c>
      <c r="AG84" s="55">
        <f>_xll.EQNXTDZ($A$1,$B84,AG$5,$B$1)</f>
        <v>0</v>
      </c>
      <c r="AH84" s="55">
        <f>_xll.EQNXTDZ($A$1,$B84,AH$5,$B$1)</f>
        <v>0.57599999999999996</v>
      </c>
      <c r="AI84" s="55">
        <f>_xll.EQNXTDZ($A$1,$B84,AI$5,$B$1)</f>
        <v>0</v>
      </c>
      <c r="AJ84" s="55">
        <f>_xll.EQNXTDZ($A$1,$B84,AJ$5,$B$1)</f>
        <v>0.59099999999999997</v>
      </c>
      <c r="AK84" s="55">
        <f>_xll.EQNXTDZ($A$1,$B84,AK$5,$B$1)</f>
        <v>0</v>
      </c>
      <c r="AL84" s="55">
        <f>_xll.EQNXTDZ($A$1,$B84,AL$5,$B$1)</f>
        <v>0.45300000000000001</v>
      </c>
      <c r="AM84" s="55">
        <f>_xll.EQNXTDZ($A$1,$B84,AM$5,$B$1)</f>
        <v>0</v>
      </c>
      <c r="AN84" s="55">
        <f>_xll.EQNXTDZ($A$1,$B84,AN$5,$B$1)</f>
        <v>81.358000000000004</v>
      </c>
      <c r="AO84" s="55">
        <f>_xll.EQNXTDZ($A$1,$B84,AO$5,$B$1)</f>
        <v>0</v>
      </c>
      <c r="AP84" s="55">
        <f>_xll.EQNXTDZ($A$1,$B84,AP$5,$B$1)</f>
        <v>53.177</v>
      </c>
      <c r="AQ84" s="55">
        <f>_xll.EQNXTDZ($A$1,$B84,AQ$5,$B$1)</f>
        <v>0</v>
      </c>
      <c r="AR84" s="55">
        <f>_xll.EQNXTDZ($A$1,$B84,AR$5,$B$1)</f>
        <v>59.862000000000002</v>
      </c>
      <c r="AS84" s="55">
        <f>_xll.EQNXTDZ($A$1,$B84,AS$5,$B$1)</f>
        <v>0</v>
      </c>
      <c r="AT84" s="55">
        <f>_xll.EQNXTDZ($A$1,$B84,AT$5,$B$1)</f>
        <v>106.80200000000001</v>
      </c>
      <c r="AU84" s="55">
        <f>_xll.EQNXTDZ($A$1,$B84,AU$5,$B$1)</f>
        <v>0</v>
      </c>
      <c r="AV84" s="55">
        <f>_xll.EQNXTDZ($A$1,$B84,AV$5,$B$1)</f>
        <v>121.41500000000001</v>
      </c>
      <c r="AW84" s="55">
        <f>_xll.EQNXTDZ($A$1,$B84,AW$5,$B$1)</f>
        <v>0</v>
      </c>
      <c r="AX84" s="55">
        <f>_xll.EQNXTDZ($A$1,$B84,AX$5,$B$1)</f>
        <v>220.59399999999999</v>
      </c>
      <c r="AY84" s="55">
        <f>_xll.EQNXTDZ($A$1,$B84,AY$5,$B$1)</f>
        <v>0</v>
      </c>
      <c r="AZ84" s="55">
        <f>_xll.EQNXTDZ($A$1,$B84,AZ$5,$B$1)</f>
        <v>354.38299999999998</v>
      </c>
      <c r="BA84" s="55">
        <f>_xll.EQNXTDZ($A$1,$B84,BA$5,$B$1)</f>
        <v>0</v>
      </c>
      <c r="BB84" s="55">
        <f>_xll.EQNXTDZ($A$1,$B84,BB$5,$B$1)</f>
        <v>753.13</v>
      </c>
      <c r="BC84" s="55">
        <f>_xll.EQNXTDZ($A$1,$B84,BC$5,$B$1)</f>
        <v>0</v>
      </c>
      <c r="BD84" s="55">
        <f>_xll.EQNXTDZ($A$1,$B84,BD$5,$B$1)</f>
        <v>1195.32</v>
      </c>
      <c r="BE84" s="55">
        <f>_xll.EQNXTDZ($A$1,$B84,BE$5,$B$1)</f>
        <v>0</v>
      </c>
      <c r="BF84" s="55">
        <f>_xll.EQNXTDZ($A$1,$B84,BF$5,$B$1)</f>
        <v>939.23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684.923</v>
      </c>
      <c r="E85" s="55">
        <f>_xll.EQNXTDZ($A$1,$B85,E$5,$B$1)</f>
        <v>0</v>
      </c>
      <c r="F85" s="55">
        <f>_xll.EQNXTDZ($A$1,$B85,F$5,$B$1)</f>
        <v>340.84199999999998</v>
      </c>
      <c r="G85" s="55">
        <f>_xll.EQNXTDZ($A$1,$B85,G$5,$B$1)</f>
        <v>0</v>
      </c>
      <c r="H85" s="55">
        <f>_xll.EQNXTDZ($A$1,$B85,H$5,$B$1)</f>
        <v>349.35399999999998</v>
      </c>
      <c r="I85" s="55">
        <f>_xll.EQNXTDZ($A$1,$B85,I$5,$B$1)</f>
        <v>0</v>
      </c>
      <c r="J85" s="55">
        <f>_xll.EQNXTDZ($A$1,$B85,J$5,$B$1)</f>
        <v>229.636</v>
      </c>
      <c r="K85" s="55">
        <f>_xll.EQNXTDZ($A$1,$B85,K$5,$B$1)</f>
        <v>0</v>
      </c>
      <c r="L85" s="55">
        <f>_xll.EQNXTDZ($A$1,$B85,L$5,$B$1)</f>
        <v>237.876</v>
      </c>
      <c r="M85" s="55">
        <f>_xll.EQNXTDZ($A$1,$B85,M$5,$B$1)</f>
        <v>0</v>
      </c>
      <c r="N85" s="55">
        <f>_xll.EQNXTDZ($A$1,$B85,N$5,$B$1)</f>
        <v>7.9420000000000002</v>
      </c>
      <c r="O85" s="55">
        <f>_xll.EQNXTDZ($A$1,$B85,O$5,$B$1)</f>
        <v>0</v>
      </c>
      <c r="P85" s="55">
        <f>_xll.EQNXTDZ($A$1,$B85,P$5,$B$1)</f>
        <v>0.753</v>
      </c>
      <c r="Q85" s="55">
        <f>_xll.EQNXTDZ($A$1,$B85,Q$5,$B$1)</f>
        <v>0</v>
      </c>
      <c r="R85" s="55">
        <f>_xll.EQNXTDZ($A$1,$B85,R$5,$B$1)</f>
        <v>0.40899999999999997</v>
      </c>
      <c r="S85" s="55">
        <f>_xll.EQNXTDZ($A$1,$B85,S$5,$B$1)</f>
        <v>0</v>
      </c>
      <c r="T85" s="55">
        <f>_xll.EQNXTDZ($A$1,$B85,T$5,$B$1)</f>
        <v>0.41699999999999998</v>
      </c>
      <c r="U85" s="55">
        <f>_xll.EQNXTDZ($A$1,$B85,U$5,$B$1)</f>
        <v>0.21099999999999999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12.853999999999999</v>
      </c>
      <c r="AO85" s="55">
        <f>_xll.EQNXTDZ($A$1,$B85,AO$5,$B$1)</f>
        <v>0</v>
      </c>
      <c r="AP85" s="55">
        <f>_xll.EQNXTDZ($A$1,$B85,AP$5,$B$1)</f>
        <v>28.75</v>
      </c>
      <c r="AQ85" s="55">
        <f>_xll.EQNXTDZ($A$1,$B85,AQ$5,$B$1)</f>
        <v>0</v>
      </c>
      <c r="AR85" s="55">
        <f>_xll.EQNXTDZ($A$1,$B85,AR$5,$B$1)</f>
        <v>62.95</v>
      </c>
      <c r="AS85" s="55">
        <f>_xll.EQNXTDZ($A$1,$B85,AS$5,$B$1)</f>
        <v>0</v>
      </c>
      <c r="AT85" s="55">
        <f>_xll.EQNXTDZ($A$1,$B85,AT$5,$B$1)</f>
        <v>52.15</v>
      </c>
      <c r="AU85" s="55">
        <f>_xll.EQNXTDZ($A$1,$B85,AU$5,$B$1)</f>
        <v>0</v>
      </c>
      <c r="AV85" s="55">
        <f>_xll.EQNXTDZ($A$1,$B85,AV$5,$B$1)</f>
        <v>20.55</v>
      </c>
      <c r="AW85" s="55">
        <f>_xll.EQNXTDZ($A$1,$B85,AW$5,$B$1)</f>
        <v>0</v>
      </c>
      <c r="AX85" s="55">
        <f>_xll.EQNXTDZ($A$1,$B85,AX$5,$B$1)</f>
        <v>24.122</v>
      </c>
      <c r="AY85" s="55">
        <f>_xll.EQNXTDZ($A$1,$B85,AY$5,$B$1)</f>
        <v>0</v>
      </c>
      <c r="AZ85" s="55">
        <f>_xll.EQNXTDZ($A$1,$B85,AZ$5,$B$1)</f>
        <v>330.85</v>
      </c>
      <c r="BA85" s="55">
        <f>_xll.EQNXTDZ($A$1,$B85,BA$5,$B$1)</f>
        <v>0</v>
      </c>
      <c r="BB85" s="55">
        <f>_xll.EQNXTDZ($A$1,$B85,BB$5,$B$1)</f>
        <v>0.11</v>
      </c>
      <c r="BC85" s="55">
        <f>_xll.EQNXTDZ($A$1,$B85,BC$5,$B$1)</f>
        <v>0</v>
      </c>
      <c r="BD85" s="55">
        <f>_xll.EQNXTDZ($A$1,$B85,BD$5,$B$1)</f>
        <v>64.66</v>
      </c>
      <c r="BE85" s="55">
        <f>_xll.EQNXTDZ($A$1,$B85,BE$5,$B$1)</f>
        <v>0</v>
      </c>
      <c r="BF85" s="55">
        <f>_xll.EQNXTDZ($A$1,$B85,BF$5,$B$1)</f>
        <v>131.02000000000001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691.70100000000002</v>
      </c>
      <c r="E86" s="55">
        <f>_xll.EQNXTDZ($A$1,$B86,E$5,$B$1)</f>
        <v>0</v>
      </c>
      <c r="F86" s="55">
        <f>_xll.EQNXTDZ($A$1,$B86,F$5,$B$1)</f>
        <v>348.726</v>
      </c>
      <c r="G86" s="55">
        <f>_xll.EQNXTDZ($A$1,$B86,G$5,$B$1)</f>
        <v>0</v>
      </c>
      <c r="H86" s="55">
        <f>_xll.EQNXTDZ($A$1,$B86,H$5,$B$1)</f>
        <v>355.90699999999998</v>
      </c>
      <c r="I86" s="55">
        <f>_xll.EQNXTDZ($A$1,$B86,I$5,$B$1)</f>
        <v>0</v>
      </c>
      <c r="J86" s="55">
        <f>_xll.EQNXTDZ($A$1,$B86,J$5,$B$1)</f>
        <v>237.327</v>
      </c>
      <c r="K86" s="55">
        <f>_xll.EQNXTDZ($A$1,$B86,K$5,$B$1)</f>
        <v>0</v>
      </c>
      <c r="L86" s="55">
        <f>_xll.EQNXTDZ($A$1,$B86,L$5,$B$1)</f>
        <v>244.625</v>
      </c>
      <c r="M86" s="55">
        <f>_xll.EQNXTDZ($A$1,$B86,M$5,$B$1)</f>
        <v>0</v>
      </c>
      <c r="N86" s="55">
        <f>_xll.EQNXTDZ($A$1,$B86,N$5,$B$1)</f>
        <v>23.713999999999999</v>
      </c>
      <c r="O86" s="55">
        <f>_xll.EQNXTDZ($A$1,$B86,O$5,$B$1)</f>
        <v>0</v>
      </c>
      <c r="P86" s="55">
        <f>_xll.EQNXTDZ($A$1,$B86,P$5,$B$1)</f>
        <v>13.356</v>
      </c>
      <c r="Q86" s="55">
        <f>_xll.EQNXTDZ($A$1,$B86,Q$5,$B$1)</f>
        <v>0</v>
      </c>
      <c r="R86" s="55">
        <f>_xll.EQNXTDZ($A$1,$B86,R$5,$B$1)</f>
        <v>6.9459999999999997</v>
      </c>
      <c r="S86" s="55">
        <f>_xll.EQNXTDZ($A$1,$B86,S$5,$B$1)</f>
        <v>0</v>
      </c>
      <c r="T86" s="55">
        <f>_xll.EQNXTDZ($A$1,$B86,T$5,$B$1)</f>
        <v>6.9059999999999997</v>
      </c>
      <c r="U86" s="55">
        <f>_xll.EQNXTDZ($A$1,$B86,U$5,$B$1)</f>
        <v>6.7080000000000002</v>
      </c>
      <c r="V86" s="55">
        <f>_xll.EQNXTDZ($A$1,$B86,V$5,$B$1)</f>
        <v>9.2279999999999998</v>
      </c>
      <c r="W86" s="55">
        <f>_xll.EQNXTDZ($A$1,$B86,W$5,$B$1)</f>
        <v>0</v>
      </c>
      <c r="X86" s="55">
        <f>_xll.EQNXTDZ($A$1,$B86,X$5,$B$1)</f>
        <v>27.867000000000001</v>
      </c>
      <c r="Y86" s="55">
        <f>_xll.EQNXTDZ($A$1,$B86,Y$5,$B$1)</f>
        <v>0</v>
      </c>
      <c r="Z86" s="55">
        <f>_xll.EQNXTDZ($A$1,$B86,Z$5,$B$1)</f>
        <v>9.1829999999999998</v>
      </c>
      <c r="AA86" s="55">
        <f>_xll.EQNXTDZ($A$1,$B86,AA$5,$B$1)</f>
        <v>0</v>
      </c>
      <c r="AB86" s="55">
        <f>_xll.EQNXTDZ($A$1,$B86,AB$5,$B$1)</f>
        <v>7.4980000000000002</v>
      </c>
      <c r="AC86" s="55">
        <f>_xll.EQNXTDZ($A$1,$B86,AC$5,$B$1)</f>
        <v>0</v>
      </c>
      <c r="AD86" s="55">
        <f>_xll.EQNXTDZ($A$1,$B86,AD$5,$B$1)</f>
        <v>0.33700000000000002</v>
      </c>
      <c r="AE86" s="55">
        <f>_xll.EQNXTDZ($A$1,$B86,AE$5,$B$1)</f>
        <v>0</v>
      </c>
      <c r="AF86" s="55">
        <f>_xll.EQNXTDZ($A$1,$B86,AF$5,$B$1)</f>
        <v>0.35199999999999998</v>
      </c>
      <c r="AG86" s="55">
        <f>_xll.EQNXTDZ($A$1,$B86,AG$5,$B$1)</f>
        <v>0</v>
      </c>
      <c r="AH86" s="55">
        <f>_xll.EQNXTDZ($A$1,$B86,AH$5,$B$1)</f>
        <v>1.212</v>
      </c>
      <c r="AI86" s="55">
        <f>_xll.EQNXTDZ($A$1,$B86,AI$5,$B$1)</f>
        <v>0</v>
      </c>
      <c r="AJ86" s="55">
        <f>_xll.EQNXTDZ($A$1,$B86,AJ$5,$B$1)</f>
        <v>1.208</v>
      </c>
      <c r="AK86" s="55">
        <f>_xll.EQNXTDZ($A$1,$B86,AK$5,$B$1)</f>
        <v>0</v>
      </c>
      <c r="AL86" s="55">
        <f>_xll.EQNXTDZ($A$1,$B86,AL$5,$B$1)</f>
        <v>7.5229999999999997</v>
      </c>
      <c r="AM86" s="55">
        <f>_xll.EQNXTDZ($A$1,$B86,AM$5,$B$1)</f>
        <v>0</v>
      </c>
      <c r="AN86" s="55">
        <f>_xll.EQNXTDZ($A$1,$B86,AN$5,$B$1)</f>
        <v>135.83000000000001</v>
      </c>
      <c r="AO86" s="55">
        <f>_xll.EQNXTDZ($A$1,$B86,AO$5,$B$1)</f>
        <v>0</v>
      </c>
      <c r="AP86" s="55">
        <f>_xll.EQNXTDZ($A$1,$B86,AP$5,$B$1)</f>
        <v>166.11</v>
      </c>
      <c r="AQ86" s="55">
        <f>_xll.EQNXTDZ($A$1,$B86,AQ$5,$B$1)</f>
        <v>0</v>
      </c>
      <c r="AR86" s="55">
        <f>_xll.EQNXTDZ($A$1,$B86,AR$5,$B$1)</f>
        <v>474.96600000000001</v>
      </c>
      <c r="AS86" s="55">
        <f>_xll.EQNXTDZ($A$1,$B86,AS$5,$B$1)</f>
        <v>0</v>
      </c>
      <c r="AT86" s="55">
        <f>_xll.EQNXTDZ($A$1,$B86,AT$5,$B$1)</f>
        <v>362.98599999999999</v>
      </c>
      <c r="AU86" s="55">
        <f>_xll.EQNXTDZ($A$1,$B86,AU$5,$B$1)</f>
        <v>0</v>
      </c>
      <c r="AV86" s="55">
        <f>_xll.EQNXTDZ($A$1,$B86,AV$5,$B$1)</f>
        <v>438.54700000000003</v>
      </c>
      <c r="AW86" s="55">
        <f>_xll.EQNXTDZ($A$1,$B86,AW$5,$B$1)</f>
        <v>0</v>
      </c>
      <c r="AX86" s="55">
        <f>_xll.EQNXTDZ($A$1,$B86,AX$5,$B$1)</f>
        <v>812.21900000000005</v>
      </c>
      <c r="AY86" s="55">
        <f>_xll.EQNXTDZ($A$1,$B86,AY$5,$B$1)</f>
        <v>0</v>
      </c>
      <c r="AZ86" s="55">
        <f>_xll.EQNXTDZ($A$1,$B86,AZ$5,$B$1)</f>
        <v>1126.1320000000001</v>
      </c>
      <c r="BA86" s="55">
        <f>_xll.EQNXTDZ($A$1,$B86,BA$5,$B$1)</f>
        <v>0</v>
      </c>
      <c r="BB86" s="55">
        <f>_xll.EQNXTDZ($A$1,$B86,BB$5,$B$1)</f>
        <v>1383.23</v>
      </c>
      <c r="BC86" s="55">
        <f>_xll.EQNXTDZ($A$1,$B86,BC$5,$B$1)</f>
        <v>0</v>
      </c>
      <c r="BD86" s="55">
        <f>_xll.EQNXTDZ($A$1,$B86,BD$5,$B$1)</f>
        <v>2307.12</v>
      </c>
      <c r="BE86" s="55">
        <f>_xll.EQNXTDZ($A$1,$B86,BE$5,$B$1)</f>
        <v>0</v>
      </c>
      <c r="BF86" s="55">
        <f>_xll.EQNXTDZ($A$1,$B86,BF$5,$B$1)</f>
        <v>2868.03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1019.134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4.1269999999999998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6.25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2.1190000000000002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0.43</v>
      </c>
      <c r="AS88" s="55">
        <f>_xll.EQNXTDZ($A$1,$B88,AS$5,$B$1)</f>
        <v>0</v>
      </c>
      <c r="AT88" s="55">
        <f>_xll.EQNXTDZ($A$1,$B88,AT$5,$B$1)</f>
        <v>63.69</v>
      </c>
      <c r="AU88" s="55">
        <f>_xll.EQNXTDZ($A$1,$B88,AU$5,$B$1)</f>
        <v>0</v>
      </c>
      <c r="AV88" s="55">
        <f>_xll.EQNXTDZ($A$1,$B88,AV$5,$B$1)</f>
        <v>22.748999999999999</v>
      </c>
      <c r="AW88" s="55">
        <f>_xll.EQNXTDZ($A$1,$B88,AW$5,$B$1)</f>
        <v>0</v>
      </c>
      <c r="AX88" s="55">
        <f>_xll.EQNXTDZ($A$1,$B88,AX$5,$B$1)</f>
        <v>105.218</v>
      </c>
      <c r="AY88" s="55">
        <f>_xll.EQNXTDZ($A$1,$B88,AY$5,$B$1)</f>
        <v>0</v>
      </c>
      <c r="AZ88" s="55">
        <f>_xll.EQNXTDZ($A$1,$B88,AZ$5,$B$1)</f>
        <v>410.35899999999998</v>
      </c>
      <c r="BA88" s="55">
        <f>_xll.EQNXTDZ($A$1,$B88,BA$5,$B$1)</f>
        <v>0</v>
      </c>
      <c r="BB88" s="55">
        <f>_xll.EQNXTDZ($A$1,$B88,BB$5,$B$1)</f>
        <v>438.07</v>
      </c>
      <c r="BC88" s="55">
        <f>_xll.EQNXTDZ($A$1,$B88,BC$5,$B$1)</f>
        <v>0</v>
      </c>
      <c r="BD88" s="55">
        <f>_xll.EQNXTDZ($A$1,$B88,BD$5,$B$1)</f>
        <v>440.74</v>
      </c>
      <c r="BE88" s="55">
        <f>_xll.EQNXTDZ($A$1,$B88,BE$5,$B$1)</f>
        <v>0</v>
      </c>
      <c r="BF88" s="55">
        <f>_xll.EQNXTDZ($A$1,$B88,BF$5,$B$1)</f>
        <v>334.19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23.864000000000001</v>
      </c>
      <c r="O89" s="55">
        <f>_xll.EQNXTDZ($A$1,$B89,O$5,$B$1)</f>
        <v>0</v>
      </c>
      <c r="P89" s="55">
        <f>_xll.EQNXTDZ($A$1,$B89,P$5,$B$1)</f>
        <v>16.925000000000001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10.86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30.137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0.59499999999999997</v>
      </c>
      <c r="AI89" s="55">
        <f>_xll.EQNXTDZ($A$1,$B89,AI$5,$B$1)</f>
        <v>0</v>
      </c>
      <c r="AJ89" s="55">
        <f>_xll.EQNXTDZ($A$1,$B89,AJ$5,$B$1)</f>
        <v>0.59499999999999997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7.3120000000000003</v>
      </c>
      <c r="AO89" s="55">
        <f>_xll.EQNXTDZ($A$1,$B89,AO$5,$B$1)</f>
        <v>0</v>
      </c>
      <c r="AP89" s="55">
        <f>_xll.EQNXTDZ($A$1,$B89,AP$5,$B$1)</f>
        <v>8.6159999999999997</v>
      </c>
      <c r="AQ89" s="55">
        <f>_xll.EQNXTDZ($A$1,$B89,AQ$5,$B$1)</f>
        <v>0</v>
      </c>
      <c r="AR89" s="55">
        <f>_xll.EQNXTDZ($A$1,$B89,AR$5,$B$1)</f>
        <v>15.202999999999999</v>
      </c>
      <c r="AS89" s="55">
        <f>_xll.EQNXTDZ($A$1,$B89,AS$5,$B$1)</f>
        <v>0</v>
      </c>
      <c r="AT89" s="55">
        <f>_xll.EQNXTDZ($A$1,$B89,AT$5,$B$1)</f>
        <v>24.782</v>
      </c>
      <c r="AU89" s="55">
        <f>_xll.EQNXTDZ($A$1,$B89,AU$5,$B$1)</f>
        <v>0</v>
      </c>
      <c r="AV89" s="55">
        <f>_xll.EQNXTDZ($A$1,$B89,AV$5,$B$1)</f>
        <v>25.236999999999998</v>
      </c>
      <c r="AW89" s="55">
        <f>_xll.EQNXTDZ($A$1,$B89,AW$5,$B$1)</f>
        <v>0</v>
      </c>
      <c r="AX89" s="55">
        <f>_xll.EQNXTDZ($A$1,$B89,AX$5,$B$1)</f>
        <v>28.71</v>
      </c>
      <c r="AY89" s="55">
        <f>_xll.EQNXTDZ($A$1,$B89,AY$5,$B$1)</f>
        <v>0</v>
      </c>
      <c r="AZ89" s="55">
        <f>_xll.EQNXTDZ($A$1,$B89,AZ$5,$B$1)</f>
        <v>65.864000000000004</v>
      </c>
      <c r="BA89" s="55">
        <f>_xll.EQNXTDZ($A$1,$B89,BA$5,$B$1)</f>
        <v>0</v>
      </c>
      <c r="BB89" s="55">
        <f>_xll.EQNXTDZ($A$1,$B89,BB$5,$B$1)</f>
        <v>106.01</v>
      </c>
      <c r="BC89" s="55">
        <f>_xll.EQNXTDZ($A$1,$B89,BC$5,$B$1)</f>
        <v>0</v>
      </c>
      <c r="BD89" s="55">
        <f>_xll.EQNXTDZ($A$1,$B89,BD$5,$B$1)</f>
        <v>159.72</v>
      </c>
      <c r="BE89" s="55">
        <f>_xll.EQNXTDZ($A$1,$B89,BE$5,$B$1)</f>
        <v>0</v>
      </c>
      <c r="BF89" s="55">
        <f>_xll.EQNXTDZ($A$1,$B89,BF$5,$B$1)</f>
        <v>221.31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657.58</v>
      </c>
      <c r="G91" s="55">
        <f>_xll.EQNXTDZ($A$1,$B91,G$5,$B$1)</f>
        <v>0</v>
      </c>
      <c r="H91" s="55">
        <f>_xll.EQNXTDZ($A$1,$B91,H$5,$B$1)</f>
        <v>668.346</v>
      </c>
      <c r="I91" s="55">
        <f>_xll.EQNXTDZ($A$1,$B91,I$5,$B$1)</f>
        <v>0</v>
      </c>
      <c r="J91" s="55">
        <f>_xll.EQNXTDZ($A$1,$B91,J$5,$B$1)</f>
        <v>546.35199999999998</v>
      </c>
      <c r="K91" s="55">
        <f>_xll.EQNXTDZ($A$1,$B91,K$5,$B$1)</f>
        <v>0</v>
      </c>
      <c r="L91" s="55">
        <f>_xll.EQNXTDZ($A$1,$B91,L$5,$B$1)</f>
        <v>475.613</v>
      </c>
      <c r="M91" s="55">
        <f>_xll.EQNXTDZ($A$1,$B91,M$5,$B$1)</f>
        <v>0</v>
      </c>
      <c r="N91" s="55">
        <f>_xll.EQNXTDZ($A$1,$B91,N$5,$B$1)</f>
        <v>24.699000000000002</v>
      </c>
      <c r="O91" s="55">
        <f>_xll.EQNXTDZ($A$1,$B91,O$5,$B$1)</f>
        <v>0</v>
      </c>
      <c r="P91" s="55">
        <f>_xll.EQNXTDZ($A$1,$B91,P$5,$B$1)</f>
        <v>14.032999999999999</v>
      </c>
      <c r="Q91" s="55">
        <f>_xll.EQNXTDZ($A$1,$B91,Q$5,$B$1)</f>
        <v>0</v>
      </c>
      <c r="R91" s="55">
        <f>_xll.EQNXTDZ($A$1,$B91,R$5,$B$1)</f>
        <v>30.081</v>
      </c>
      <c r="S91" s="55">
        <f>_xll.EQNXTDZ($A$1,$B91,S$5,$B$1)</f>
        <v>0</v>
      </c>
      <c r="T91" s="55">
        <f>_xll.EQNXTDZ($A$1,$B91,T$5,$B$1)</f>
        <v>19.654</v>
      </c>
      <c r="U91" s="55">
        <f>_xll.EQNXTDZ($A$1,$B91,U$5,$B$1)</f>
        <v>33.423999999999999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0.17699999999999999</v>
      </c>
      <c r="Y91" s="55">
        <f>_xll.EQNXTDZ($A$1,$B91,Y$5,$B$1)</f>
        <v>0</v>
      </c>
      <c r="Z91" s="55">
        <f>_xll.EQNXTDZ($A$1,$B91,Z$5,$B$1)</f>
        <v>0.183</v>
      </c>
      <c r="AA91" s="55">
        <f>_xll.EQNXTDZ($A$1,$B91,AA$5,$B$1)</f>
        <v>0</v>
      </c>
      <c r="AB91" s="55">
        <f>_xll.EQNXTDZ($A$1,$B91,AB$5,$B$1)</f>
        <v>0.155</v>
      </c>
      <c r="AC91" s="55">
        <f>_xll.EQNXTDZ($A$1,$B91,AC$5,$B$1)</f>
        <v>0</v>
      </c>
      <c r="AD91" s="55">
        <f>_xll.EQNXTDZ($A$1,$B91,AD$5,$B$1)</f>
        <v>0.17100000000000001</v>
      </c>
      <c r="AE91" s="55">
        <f>_xll.EQNXTDZ($A$1,$B91,AE$5,$B$1)</f>
        <v>0</v>
      </c>
      <c r="AF91" s="55">
        <f>_xll.EQNXTDZ($A$1,$B91,AF$5,$B$1)</f>
        <v>0.127</v>
      </c>
      <c r="AG91" s="55">
        <f>_xll.EQNXTDZ($A$1,$B91,AG$5,$B$1)</f>
        <v>0</v>
      </c>
      <c r="AH91" s="55">
        <f>_xll.EQNXTDZ($A$1,$B91,AH$5,$B$1)</f>
        <v>0.378</v>
      </c>
      <c r="AI91" s="55">
        <f>_xll.EQNXTDZ($A$1,$B91,AI$5,$B$1)</f>
        <v>0</v>
      </c>
      <c r="AJ91" s="55">
        <f>_xll.EQNXTDZ($A$1,$B91,AJ$5,$B$1)</f>
        <v>0.438</v>
      </c>
      <c r="AK91" s="55">
        <f>_xll.EQNXTDZ($A$1,$B91,AK$5,$B$1)</f>
        <v>0</v>
      </c>
      <c r="AL91" s="55">
        <f>_xll.EQNXTDZ($A$1,$B91,AL$5,$B$1)</f>
        <v>5.4770000000000003</v>
      </c>
      <c r="AM91" s="55">
        <f>_xll.EQNXTDZ($A$1,$B91,AM$5,$B$1)</f>
        <v>0</v>
      </c>
      <c r="AN91" s="55">
        <f>_xll.EQNXTDZ($A$1,$B91,AN$5,$B$1)</f>
        <v>26.97</v>
      </c>
      <c r="AO91" s="55">
        <f>_xll.EQNXTDZ($A$1,$B91,AO$5,$B$1)</f>
        <v>0</v>
      </c>
      <c r="AP91" s="55">
        <f>_xll.EQNXTDZ($A$1,$B91,AP$5,$B$1)</f>
        <v>23.744</v>
      </c>
      <c r="AQ91" s="55">
        <f>_xll.EQNXTDZ($A$1,$B91,AQ$5,$B$1)</f>
        <v>0</v>
      </c>
      <c r="AR91" s="55">
        <f>_xll.EQNXTDZ($A$1,$B91,AR$5,$B$1)</f>
        <v>170.078</v>
      </c>
      <c r="AS91" s="55">
        <f>_xll.EQNXTDZ($A$1,$B91,AS$5,$B$1)</f>
        <v>0</v>
      </c>
      <c r="AT91" s="55">
        <f>_xll.EQNXTDZ($A$1,$B91,AT$5,$B$1)</f>
        <v>92.822999999999993</v>
      </c>
      <c r="AU91" s="55">
        <f>_xll.EQNXTDZ($A$1,$B91,AU$5,$B$1)</f>
        <v>0</v>
      </c>
      <c r="AV91" s="55">
        <f>_xll.EQNXTDZ($A$1,$B91,AV$5,$B$1)</f>
        <v>151.11199999999999</v>
      </c>
      <c r="AW91" s="55">
        <f>_xll.EQNXTDZ($A$1,$B91,AW$5,$B$1)</f>
        <v>0</v>
      </c>
      <c r="AX91" s="55">
        <f>_xll.EQNXTDZ($A$1,$B91,AX$5,$B$1)</f>
        <v>193.511</v>
      </c>
      <c r="AY91" s="55">
        <f>_xll.EQNXTDZ($A$1,$B91,AY$5,$B$1)</f>
        <v>0</v>
      </c>
      <c r="AZ91" s="55">
        <f>_xll.EQNXTDZ($A$1,$B91,AZ$5,$B$1)</f>
        <v>175.786</v>
      </c>
      <c r="BA91" s="55">
        <f>_xll.EQNXTDZ($A$1,$B91,BA$5,$B$1)</f>
        <v>0</v>
      </c>
      <c r="BB91" s="55">
        <f>_xll.EQNXTDZ($A$1,$B91,BB$5,$B$1)</f>
        <v>130.57</v>
      </c>
      <c r="BC91" s="55">
        <f>_xll.EQNXTDZ($A$1,$B91,BC$5,$B$1)</f>
        <v>0</v>
      </c>
      <c r="BD91" s="55">
        <f>_xll.EQNXTDZ($A$1,$B91,BD$5,$B$1)</f>
        <v>263.36</v>
      </c>
      <c r="BE91" s="55">
        <f>_xll.EQNXTDZ($A$1,$B91,BE$5,$B$1)</f>
        <v>0</v>
      </c>
      <c r="BF91" s="55">
        <f>_xll.EQNXTDZ($A$1,$B91,BF$5,$B$1)</f>
        <v>380.16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0.69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3.5999999999999997E-2</v>
      </c>
      <c r="O92" s="55">
        <f>_xll.EQNXTDZ($A$1,$B92,O$5,$B$1)</f>
        <v>0</v>
      </c>
      <c r="P92" s="55">
        <f>_xll.EQNXTDZ($A$1,$B92,P$5,$B$1)</f>
        <v>2.3E-2</v>
      </c>
      <c r="Q92" s="55">
        <f>_xll.EQNXTDZ($A$1,$B92,Q$5,$B$1)</f>
        <v>0</v>
      </c>
      <c r="R92" s="55">
        <f>_xll.EQNXTDZ($A$1,$B92,R$5,$B$1)</f>
        <v>3.4000000000000002E-2</v>
      </c>
      <c r="S92" s="55">
        <f>_xll.EQNXTDZ($A$1,$B92,S$5,$B$1)</f>
        <v>0</v>
      </c>
      <c r="T92" s="55">
        <f>_xll.EQNXTDZ($A$1,$B92,T$5,$B$1)</f>
        <v>3.7999999999999999E-2</v>
      </c>
      <c r="U92" s="55">
        <f>_xll.EQNXTDZ($A$1,$B92,U$5,$B$1)</f>
        <v>2.3E-2</v>
      </c>
      <c r="V92" s="55">
        <f>_xll.EQNXTDZ($A$1,$B92,V$5,$B$1)</f>
        <v>0.151</v>
      </c>
      <c r="W92" s="55">
        <f>_xll.EQNXTDZ($A$1,$B92,W$5,$B$1)</f>
        <v>0</v>
      </c>
      <c r="X92" s="55">
        <f>_xll.EQNXTDZ($A$1,$B92,X$5,$B$1)</f>
        <v>8.2000000000000003E-2</v>
      </c>
      <c r="Y92" s="55">
        <f>_xll.EQNXTDZ($A$1,$B92,Y$5,$B$1)</f>
        <v>0</v>
      </c>
      <c r="Z92" s="55">
        <f>_xll.EQNXTDZ($A$1,$B92,Z$5,$B$1)</f>
        <v>8.5000000000000006E-2</v>
      </c>
      <c r="AA92" s="55">
        <f>_xll.EQNXTDZ($A$1,$B92,AA$5,$B$1)</f>
        <v>0</v>
      </c>
      <c r="AB92" s="55">
        <f>_xll.EQNXTDZ($A$1,$B92,AB$5,$B$1)</f>
        <v>7.5999999999999998E-2</v>
      </c>
      <c r="AC92" s="55">
        <f>_xll.EQNXTDZ($A$1,$B92,AC$5,$B$1)</f>
        <v>0</v>
      </c>
      <c r="AD92" s="55">
        <f>_xll.EQNXTDZ($A$1,$B92,AD$5,$B$1)</f>
        <v>0.10299999999999999</v>
      </c>
      <c r="AE92" s="55">
        <f>_xll.EQNXTDZ($A$1,$B92,AE$5,$B$1)</f>
        <v>0</v>
      </c>
      <c r="AF92" s="55">
        <f>_xll.EQNXTDZ($A$1,$B92,AF$5,$B$1)</f>
        <v>0.105</v>
      </c>
      <c r="AG92" s="55">
        <f>_xll.EQNXTDZ($A$1,$B92,AG$5,$B$1)</f>
        <v>0</v>
      </c>
      <c r="AH92" s="55">
        <f>_xll.EQNXTDZ($A$1,$B92,AH$5,$B$1)</f>
        <v>0.114</v>
      </c>
      <c r="AI92" s="55">
        <f>_xll.EQNXTDZ($A$1,$B92,AI$5,$B$1)</f>
        <v>0</v>
      </c>
      <c r="AJ92" s="55">
        <f>_xll.EQNXTDZ($A$1,$B92,AJ$5,$B$1)</f>
        <v>0.123</v>
      </c>
      <c r="AK92" s="55">
        <f>_xll.EQNXTDZ($A$1,$B92,AK$5,$B$1)</f>
        <v>0</v>
      </c>
      <c r="AL92" s="55">
        <f>_xll.EQNXTDZ($A$1,$B92,AL$5,$B$1)</f>
        <v>9.5000000000000001E-2</v>
      </c>
      <c r="AM92" s="55">
        <f>_xll.EQNXTDZ($A$1,$B92,AM$5,$B$1)</f>
        <v>0</v>
      </c>
      <c r="AN92" s="55">
        <f>_xll.EQNXTDZ($A$1,$B92,AN$5,$B$1)</f>
        <v>0.623</v>
      </c>
      <c r="AO92" s="55">
        <f>_xll.EQNXTDZ($A$1,$B92,AO$5,$B$1)</f>
        <v>0</v>
      </c>
      <c r="AP92" s="55">
        <f>_xll.EQNXTDZ($A$1,$B92,AP$5,$B$1)</f>
        <v>0.94399999999999995</v>
      </c>
      <c r="AQ92" s="55">
        <f>_xll.EQNXTDZ($A$1,$B92,AQ$5,$B$1)</f>
        <v>0</v>
      </c>
      <c r="AR92" s="55">
        <f>_xll.EQNXTDZ($A$1,$B92,AR$5,$B$1)</f>
        <v>1.3680000000000001</v>
      </c>
      <c r="AS92" s="55">
        <f>_xll.EQNXTDZ($A$1,$B92,AS$5,$B$1)</f>
        <v>0</v>
      </c>
      <c r="AT92" s="55">
        <f>_xll.EQNXTDZ($A$1,$B92,AT$5,$B$1)</f>
        <v>3.4460000000000002</v>
      </c>
      <c r="AU92" s="55">
        <f>_xll.EQNXTDZ($A$1,$B92,AU$5,$B$1)</f>
        <v>0</v>
      </c>
      <c r="AV92" s="55">
        <f>_xll.EQNXTDZ($A$1,$B92,AV$5,$B$1)</f>
        <v>4.3470000000000004</v>
      </c>
      <c r="AW92" s="55">
        <f>_xll.EQNXTDZ($A$1,$B92,AW$5,$B$1)</f>
        <v>0</v>
      </c>
      <c r="AX92" s="55">
        <f>_xll.EQNXTDZ($A$1,$B92,AX$5,$B$1)</f>
        <v>5.3280000000000003</v>
      </c>
      <c r="AY92" s="55">
        <f>_xll.EQNXTDZ($A$1,$B92,AY$5,$B$1)</f>
        <v>0</v>
      </c>
      <c r="AZ92" s="55">
        <f>_xll.EQNXTDZ($A$1,$B92,AZ$5,$B$1)</f>
        <v>8.5250000000000004</v>
      </c>
      <c r="BA92" s="55">
        <f>_xll.EQNXTDZ($A$1,$B92,BA$5,$B$1)</f>
        <v>0</v>
      </c>
      <c r="BB92" s="55">
        <f>_xll.EQNXTDZ($A$1,$B92,BB$5,$B$1)</f>
        <v>10.54</v>
      </c>
      <c r="BC92" s="55">
        <f>_xll.EQNXTDZ($A$1,$B92,BC$5,$B$1)</f>
        <v>0</v>
      </c>
      <c r="BD92" s="55">
        <f>_xll.EQNXTDZ($A$1,$B92,BD$5,$B$1)</f>
        <v>32.67</v>
      </c>
      <c r="BE92" s="55">
        <f>_xll.EQNXTDZ($A$1,$B92,BE$5,$B$1)</f>
        <v>0</v>
      </c>
      <c r="BF92" s="55">
        <f>_xll.EQNXTDZ($A$1,$B92,BF$5,$B$1)</f>
        <v>13.12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1019.134</v>
      </c>
      <c r="E93" s="55">
        <f>_xll.EQNXTDZ($A$1,$B93,E$5,$B$1)</f>
        <v>0</v>
      </c>
      <c r="F93" s="55">
        <f>_xll.EQNXTDZ($A$1,$B93,F$5,$B$1)</f>
        <v>657.58</v>
      </c>
      <c r="G93" s="55">
        <f>_xll.EQNXTDZ($A$1,$B93,G$5,$B$1)</f>
        <v>0</v>
      </c>
      <c r="H93" s="55">
        <f>_xll.EQNXTDZ($A$1,$B93,H$5,$B$1)</f>
        <v>669.03599999999994</v>
      </c>
      <c r="I93" s="55">
        <f>_xll.EQNXTDZ($A$1,$B93,I$5,$B$1)</f>
        <v>0</v>
      </c>
      <c r="J93" s="55">
        <f>_xll.EQNXTDZ($A$1,$B93,J$5,$B$1)</f>
        <v>546.35199999999998</v>
      </c>
      <c r="K93" s="55">
        <f>_xll.EQNXTDZ($A$1,$B93,K$5,$B$1)</f>
        <v>0</v>
      </c>
      <c r="L93" s="55">
        <f>_xll.EQNXTDZ($A$1,$B93,L$5,$B$1)</f>
        <v>479.74</v>
      </c>
      <c r="M93" s="55">
        <f>_xll.EQNXTDZ($A$1,$B93,M$5,$B$1)</f>
        <v>0</v>
      </c>
      <c r="N93" s="55">
        <f>_xll.EQNXTDZ($A$1,$B93,N$5,$B$1)</f>
        <v>48.598999999999997</v>
      </c>
      <c r="O93" s="55">
        <f>_xll.EQNXTDZ($A$1,$B93,O$5,$B$1)</f>
        <v>0</v>
      </c>
      <c r="P93" s="55">
        <f>_xll.EQNXTDZ($A$1,$B93,P$5,$B$1)</f>
        <v>37.231000000000002</v>
      </c>
      <c r="Q93" s="55">
        <f>_xll.EQNXTDZ($A$1,$B93,Q$5,$B$1)</f>
        <v>0</v>
      </c>
      <c r="R93" s="55">
        <f>_xll.EQNXTDZ($A$1,$B93,R$5,$B$1)</f>
        <v>30.114999999999998</v>
      </c>
      <c r="S93" s="55">
        <f>_xll.EQNXTDZ($A$1,$B93,S$5,$B$1)</f>
        <v>0</v>
      </c>
      <c r="T93" s="55">
        <f>_xll.EQNXTDZ($A$1,$B93,T$5,$B$1)</f>
        <v>30.552</v>
      </c>
      <c r="U93" s="55">
        <f>_xll.EQNXTDZ($A$1,$B93,U$5,$B$1)</f>
        <v>33.447000000000003</v>
      </c>
      <c r="V93" s="55">
        <f>_xll.EQNXTDZ($A$1,$B93,V$5,$B$1)</f>
        <v>0.151</v>
      </c>
      <c r="W93" s="55">
        <f>_xll.EQNXTDZ($A$1,$B93,W$5,$B$1)</f>
        <v>0</v>
      </c>
      <c r="X93" s="55">
        <f>_xll.EQNXTDZ($A$1,$B93,X$5,$B$1)</f>
        <v>30.396000000000001</v>
      </c>
      <c r="Y93" s="55">
        <f>_xll.EQNXTDZ($A$1,$B93,Y$5,$B$1)</f>
        <v>0</v>
      </c>
      <c r="Z93" s="55">
        <f>_xll.EQNXTDZ($A$1,$B93,Z$5,$B$1)</f>
        <v>0.26800000000000002</v>
      </c>
      <c r="AA93" s="55">
        <f>_xll.EQNXTDZ($A$1,$B93,AA$5,$B$1)</f>
        <v>0</v>
      </c>
      <c r="AB93" s="55">
        <f>_xll.EQNXTDZ($A$1,$B93,AB$5,$B$1)</f>
        <v>0.23100000000000001</v>
      </c>
      <c r="AC93" s="55">
        <f>_xll.EQNXTDZ($A$1,$B93,AC$5,$B$1)</f>
        <v>0</v>
      </c>
      <c r="AD93" s="55">
        <f>_xll.EQNXTDZ($A$1,$B93,AD$5,$B$1)</f>
        <v>0.27400000000000002</v>
      </c>
      <c r="AE93" s="55">
        <f>_xll.EQNXTDZ($A$1,$B93,AE$5,$B$1)</f>
        <v>0</v>
      </c>
      <c r="AF93" s="55">
        <f>_xll.EQNXTDZ($A$1,$B93,AF$5,$B$1)</f>
        <v>0.23200000000000001</v>
      </c>
      <c r="AG93" s="55">
        <f>_xll.EQNXTDZ($A$1,$B93,AG$5,$B$1)</f>
        <v>0</v>
      </c>
      <c r="AH93" s="55">
        <f>_xll.EQNXTDZ($A$1,$B93,AH$5,$B$1)</f>
        <v>1.087</v>
      </c>
      <c r="AI93" s="55">
        <f>_xll.EQNXTDZ($A$1,$B93,AI$5,$B$1)</f>
        <v>0</v>
      </c>
      <c r="AJ93" s="55">
        <f>_xll.EQNXTDZ($A$1,$B93,AJ$5,$B$1)</f>
        <v>1.1559999999999999</v>
      </c>
      <c r="AK93" s="55">
        <f>_xll.EQNXTDZ($A$1,$B93,AK$5,$B$1)</f>
        <v>0</v>
      </c>
      <c r="AL93" s="55">
        <f>_xll.EQNXTDZ($A$1,$B93,AL$5,$B$1)</f>
        <v>7.6909999999999998</v>
      </c>
      <c r="AM93" s="55">
        <f>_xll.EQNXTDZ($A$1,$B93,AM$5,$B$1)</f>
        <v>0</v>
      </c>
      <c r="AN93" s="55">
        <f>_xll.EQNXTDZ($A$1,$B93,AN$5,$B$1)</f>
        <v>34.905000000000001</v>
      </c>
      <c r="AO93" s="55">
        <f>_xll.EQNXTDZ($A$1,$B93,AO$5,$B$1)</f>
        <v>0</v>
      </c>
      <c r="AP93" s="55">
        <f>_xll.EQNXTDZ($A$1,$B93,AP$5,$B$1)</f>
        <v>33.304000000000002</v>
      </c>
      <c r="AQ93" s="55">
        <f>_xll.EQNXTDZ($A$1,$B93,AQ$5,$B$1)</f>
        <v>0</v>
      </c>
      <c r="AR93" s="55">
        <f>_xll.EQNXTDZ($A$1,$B93,AR$5,$B$1)</f>
        <v>187.07900000000001</v>
      </c>
      <c r="AS93" s="55">
        <f>_xll.EQNXTDZ($A$1,$B93,AS$5,$B$1)</f>
        <v>0</v>
      </c>
      <c r="AT93" s="55">
        <f>_xll.EQNXTDZ($A$1,$B93,AT$5,$B$1)</f>
        <v>184.74100000000001</v>
      </c>
      <c r="AU93" s="55">
        <f>_xll.EQNXTDZ($A$1,$B93,AU$5,$B$1)</f>
        <v>0</v>
      </c>
      <c r="AV93" s="55">
        <f>_xll.EQNXTDZ($A$1,$B93,AV$5,$B$1)</f>
        <v>203.44499999999999</v>
      </c>
      <c r="AW93" s="55">
        <f>_xll.EQNXTDZ($A$1,$B93,AW$5,$B$1)</f>
        <v>0</v>
      </c>
      <c r="AX93" s="55">
        <f>_xll.EQNXTDZ($A$1,$B93,AX$5,$B$1)</f>
        <v>332.767</v>
      </c>
      <c r="AY93" s="55">
        <f>_xll.EQNXTDZ($A$1,$B93,AY$5,$B$1)</f>
        <v>0</v>
      </c>
      <c r="AZ93" s="55">
        <f>_xll.EQNXTDZ($A$1,$B93,AZ$5,$B$1)</f>
        <v>660.53399999999999</v>
      </c>
      <c r="BA93" s="55">
        <f>_xll.EQNXTDZ($A$1,$B93,BA$5,$B$1)</f>
        <v>0</v>
      </c>
      <c r="BB93" s="55">
        <f>_xll.EQNXTDZ($A$1,$B93,BB$5,$B$1)</f>
        <v>685.19</v>
      </c>
      <c r="BC93" s="55">
        <f>_xll.EQNXTDZ($A$1,$B93,BC$5,$B$1)</f>
        <v>0</v>
      </c>
      <c r="BD93" s="55">
        <f>_xll.EQNXTDZ($A$1,$B93,BD$5,$B$1)</f>
        <v>896.49</v>
      </c>
      <c r="BE93" s="55">
        <f>_xll.EQNXTDZ($A$1,$B93,BE$5,$B$1)</f>
        <v>0</v>
      </c>
      <c r="BF93" s="55">
        <f>_xll.EQNXTDZ($A$1,$B93,BF$5,$B$1)</f>
        <v>948.78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-327.43299999999999</v>
      </c>
      <c r="E94" s="55">
        <f>_xll.EQNXTDZ($A$1,$B94,E$5,$B$1)</f>
        <v>0</v>
      </c>
      <c r="F94" s="55">
        <f>_xll.EQNXTDZ($A$1,$B94,F$5,$B$1)</f>
        <v>-308.85399999999998</v>
      </c>
      <c r="G94" s="55">
        <f>_xll.EQNXTDZ($A$1,$B94,G$5,$B$1)</f>
        <v>0</v>
      </c>
      <c r="H94" s="55">
        <f>_xll.EQNXTDZ($A$1,$B94,H$5,$B$1)</f>
        <v>-313.12900000000002</v>
      </c>
      <c r="I94" s="55">
        <f>_xll.EQNXTDZ($A$1,$B94,I$5,$B$1)</f>
        <v>0</v>
      </c>
      <c r="J94" s="55">
        <f>_xll.EQNXTDZ($A$1,$B94,J$5,$B$1)</f>
        <v>-309.02499999999998</v>
      </c>
      <c r="K94" s="55">
        <f>_xll.EQNXTDZ($A$1,$B94,K$5,$B$1)</f>
        <v>0</v>
      </c>
      <c r="L94" s="55">
        <f>_xll.EQNXTDZ($A$1,$B94,L$5,$B$1)</f>
        <v>-235.11500000000001</v>
      </c>
      <c r="M94" s="55">
        <f>_xll.EQNXTDZ($A$1,$B94,M$5,$B$1)</f>
        <v>0</v>
      </c>
      <c r="N94" s="55">
        <f>_xll.EQNXTDZ($A$1,$B94,N$5,$B$1)</f>
        <v>-24.885000000000002</v>
      </c>
      <c r="O94" s="55">
        <f>_xll.EQNXTDZ($A$1,$B94,O$5,$B$1)</f>
        <v>0</v>
      </c>
      <c r="P94" s="55">
        <f>_xll.EQNXTDZ($A$1,$B94,P$5,$B$1)</f>
        <v>-23.875</v>
      </c>
      <c r="Q94" s="55">
        <f>_xll.EQNXTDZ($A$1,$B94,Q$5,$B$1)</f>
        <v>0</v>
      </c>
      <c r="R94" s="55">
        <f>_xll.EQNXTDZ($A$1,$B94,R$5,$B$1)</f>
        <v>-23.169</v>
      </c>
      <c r="S94" s="55">
        <f>_xll.EQNXTDZ($A$1,$B94,S$5,$B$1)</f>
        <v>0</v>
      </c>
      <c r="T94" s="55">
        <f>_xll.EQNXTDZ($A$1,$B94,T$5,$B$1)</f>
        <v>-23.646000000000001</v>
      </c>
      <c r="U94" s="55">
        <f>_xll.EQNXTDZ($A$1,$B94,U$5,$B$1)</f>
        <v>-26.739000000000001</v>
      </c>
      <c r="V94" s="55">
        <f>_xll.EQNXTDZ($A$1,$B94,V$5,$B$1)</f>
        <v>9.077</v>
      </c>
      <c r="W94" s="55">
        <f>_xll.EQNXTDZ($A$1,$B94,W$5,$B$1)</f>
        <v>0</v>
      </c>
      <c r="X94" s="55">
        <f>_xll.EQNXTDZ($A$1,$B94,X$5,$B$1)</f>
        <v>-2.5289999999999999</v>
      </c>
      <c r="Y94" s="55">
        <f>_xll.EQNXTDZ($A$1,$B94,Y$5,$B$1)</f>
        <v>0</v>
      </c>
      <c r="Z94" s="55">
        <f>_xll.EQNXTDZ($A$1,$B94,Z$5,$B$1)</f>
        <v>8.9149999999999991</v>
      </c>
      <c r="AA94" s="55">
        <f>_xll.EQNXTDZ($A$1,$B94,AA$5,$B$1)</f>
        <v>0</v>
      </c>
      <c r="AB94" s="55">
        <f>_xll.EQNXTDZ($A$1,$B94,AB$5,$B$1)</f>
        <v>7.2670000000000003</v>
      </c>
      <c r="AC94" s="55">
        <f>_xll.EQNXTDZ($A$1,$B94,AC$5,$B$1)</f>
        <v>0</v>
      </c>
      <c r="AD94" s="55">
        <f>_xll.EQNXTDZ($A$1,$B94,AD$5,$B$1)</f>
        <v>6.3E-2</v>
      </c>
      <c r="AE94" s="55">
        <f>_xll.EQNXTDZ($A$1,$B94,AE$5,$B$1)</f>
        <v>0</v>
      </c>
      <c r="AF94" s="55">
        <f>_xll.EQNXTDZ($A$1,$B94,AF$5,$B$1)</f>
        <v>0.12</v>
      </c>
      <c r="AG94" s="55">
        <f>_xll.EQNXTDZ($A$1,$B94,AG$5,$B$1)</f>
        <v>0</v>
      </c>
      <c r="AH94" s="55">
        <f>_xll.EQNXTDZ($A$1,$B94,AH$5,$B$1)</f>
        <v>0.125</v>
      </c>
      <c r="AI94" s="55">
        <f>_xll.EQNXTDZ($A$1,$B94,AI$5,$B$1)</f>
        <v>0</v>
      </c>
      <c r="AJ94" s="55">
        <f>_xll.EQNXTDZ($A$1,$B94,AJ$5,$B$1)</f>
        <v>5.2000000000000102E-2</v>
      </c>
      <c r="AK94" s="55">
        <f>_xll.EQNXTDZ($A$1,$B94,AK$5,$B$1)</f>
        <v>0</v>
      </c>
      <c r="AL94" s="55">
        <f>_xll.EQNXTDZ($A$1,$B94,AL$5,$B$1)</f>
        <v>-0.16799999999999901</v>
      </c>
      <c r="AM94" s="55">
        <f>_xll.EQNXTDZ($A$1,$B94,AM$5,$B$1)</f>
        <v>0</v>
      </c>
      <c r="AN94" s="55">
        <f>_xll.EQNXTDZ($A$1,$B94,AN$5,$B$1)</f>
        <v>100.925</v>
      </c>
      <c r="AO94" s="55">
        <f>_xll.EQNXTDZ($A$1,$B94,AO$5,$B$1)</f>
        <v>0</v>
      </c>
      <c r="AP94" s="55">
        <f>_xll.EQNXTDZ($A$1,$B94,AP$5,$B$1)</f>
        <v>132.80600000000001</v>
      </c>
      <c r="AQ94" s="55">
        <f>_xll.EQNXTDZ($A$1,$B94,AQ$5,$B$1)</f>
        <v>0</v>
      </c>
      <c r="AR94" s="55">
        <f>_xll.EQNXTDZ($A$1,$B94,AR$5,$B$1)</f>
        <v>287.887</v>
      </c>
      <c r="AS94" s="55">
        <f>_xll.EQNXTDZ($A$1,$B94,AS$5,$B$1)</f>
        <v>0</v>
      </c>
      <c r="AT94" s="55">
        <f>_xll.EQNXTDZ($A$1,$B94,AT$5,$B$1)</f>
        <v>178.245</v>
      </c>
      <c r="AU94" s="55">
        <f>_xll.EQNXTDZ($A$1,$B94,AU$5,$B$1)</f>
        <v>0</v>
      </c>
      <c r="AV94" s="55">
        <f>_xll.EQNXTDZ($A$1,$B94,AV$5,$B$1)</f>
        <v>235.102</v>
      </c>
      <c r="AW94" s="55">
        <f>_xll.EQNXTDZ($A$1,$B94,AW$5,$B$1)</f>
        <v>0</v>
      </c>
      <c r="AX94" s="55">
        <f>_xll.EQNXTDZ($A$1,$B94,AX$5,$B$1)</f>
        <v>479.452</v>
      </c>
      <c r="AY94" s="55">
        <f>_xll.EQNXTDZ($A$1,$B94,AY$5,$B$1)</f>
        <v>0</v>
      </c>
      <c r="AZ94" s="55">
        <f>_xll.EQNXTDZ($A$1,$B94,AZ$5,$B$1)</f>
        <v>465.59800000000001</v>
      </c>
      <c r="BA94" s="55">
        <f>_xll.EQNXTDZ($A$1,$B94,BA$5,$B$1)</f>
        <v>0</v>
      </c>
      <c r="BB94" s="55">
        <f>_xll.EQNXTDZ($A$1,$B94,BB$5,$B$1)</f>
        <v>698.04</v>
      </c>
      <c r="BC94" s="55">
        <f>_xll.EQNXTDZ($A$1,$B94,BC$5,$B$1)</f>
        <v>0</v>
      </c>
      <c r="BD94" s="55">
        <f>_xll.EQNXTDZ($A$1,$B94,BD$5,$B$1)</f>
        <v>1410.63</v>
      </c>
      <c r="BE94" s="55">
        <f>_xll.EQNXTDZ($A$1,$B94,BE$5,$B$1)</f>
        <v>0</v>
      </c>
      <c r="BF94" s="55">
        <f>_xll.EQNXTDZ($A$1,$B94,BF$5,$B$1)</f>
        <v>1919.25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7.6790000000000003</v>
      </c>
      <c r="AO96" s="55">
        <f>_xll.EQNXTDZ($A$1,$B96,AO$5,$B$1)</f>
        <v>0</v>
      </c>
      <c r="AP96" s="55">
        <f>_xll.EQNXTDZ($A$1,$B96,AP$5,$B$1)</f>
        <v>3.6440000000000001</v>
      </c>
      <c r="AQ96" s="55">
        <f>_xll.EQNXTDZ($A$1,$B96,AQ$5,$B$1)</f>
        <v>0</v>
      </c>
      <c r="AR96" s="55">
        <f>_xll.EQNXTDZ($A$1,$B96,AR$5,$B$1)</f>
        <v>3.6440000000000001</v>
      </c>
      <c r="AS96" s="55">
        <f>_xll.EQNXTDZ($A$1,$B96,AS$5,$B$1)</f>
        <v>0</v>
      </c>
      <c r="AT96" s="55">
        <f>_xll.EQNXTDZ($A$1,$B96,AT$5,$B$1)</f>
        <v>1.075</v>
      </c>
      <c r="AU96" s="55">
        <f>_xll.EQNXTDZ($A$1,$B96,AU$5,$B$1)</f>
        <v>0</v>
      </c>
      <c r="AV96" s="55">
        <f>_xll.EQNXTDZ($A$1,$B96,AV$5,$B$1)</f>
        <v>4.5229999999999997</v>
      </c>
      <c r="AW96" s="55">
        <f>_xll.EQNXTDZ($A$1,$B96,AW$5,$B$1)</f>
        <v>0</v>
      </c>
      <c r="AX96" s="55">
        <f>_xll.EQNXTDZ($A$1,$B96,AX$5,$B$1)</f>
        <v>-105.054</v>
      </c>
      <c r="AY96" s="55">
        <f>_xll.EQNXTDZ($A$1,$B96,AY$5,$B$1)</f>
        <v>0</v>
      </c>
      <c r="AZ96" s="55">
        <f>_xll.EQNXTDZ($A$1,$B96,AZ$5,$B$1)</f>
        <v>11.957000000000001</v>
      </c>
      <c r="BA96" s="55">
        <f>_xll.EQNXTDZ($A$1,$B96,BA$5,$B$1)</f>
        <v>0</v>
      </c>
      <c r="BB96" s="55">
        <f>_xll.EQNXTDZ($A$1,$B96,BB$5,$B$1)</f>
        <v>-279.04000000000002</v>
      </c>
      <c r="BC96" s="55">
        <f>_xll.EQNXTDZ($A$1,$B96,BC$5,$B$1)</f>
        <v>0</v>
      </c>
      <c r="BD96" s="55">
        <f>_xll.EQNXTDZ($A$1,$B96,BD$5,$B$1)</f>
        <v>-251.88</v>
      </c>
      <c r="BE96" s="55">
        <f>_xll.EQNXTDZ($A$1,$B96,BE$5,$B$1)</f>
        <v>0</v>
      </c>
      <c r="BF96" s="55">
        <f>_xll.EQNXTDZ($A$1,$B96,BF$5,$B$1)</f>
        <v>-337.7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370.27499999999998</v>
      </c>
      <c r="E97" s="55">
        <f>_xll.EQNXTDZ($A$1,$B97,E$5,$B$1)</f>
        <v>0</v>
      </c>
      <c r="F97" s="55">
        <f>_xll.EQNXTDZ($A$1,$B97,F$5,$B$1)</f>
        <v>369.92099999999999</v>
      </c>
      <c r="G97" s="55">
        <f>_xll.EQNXTDZ($A$1,$B97,G$5,$B$1)</f>
        <v>0</v>
      </c>
      <c r="H97" s="55">
        <f>_xll.EQNXTDZ($A$1,$B97,H$5,$B$1)</f>
        <v>358.53300000000002</v>
      </c>
      <c r="I97" s="55">
        <f>_xll.EQNXTDZ($A$1,$B97,I$5,$B$1)</f>
        <v>0</v>
      </c>
      <c r="J97" s="55">
        <f>_xll.EQNXTDZ($A$1,$B97,J$5,$B$1)</f>
        <v>370.67399999999998</v>
      </c>
      <c r="K97" s="55">
        <f>_xll.EQNXTDZ($A$1,$B97,K$5,$B$1)</f>
        <v>0</v>
      </c>
      <c r="L97" s="55">
        <f>_xll.EQNXTDZ($A$1,$B97,L$5,$B$1)</f>
        <v>438.72399999999999</v>
      </c>
      <c r="M97" s="55">
        <f>_xll.EQNXTDZ($A$1,$B97,M$5,$B$1)</f>
        <v>0</v>
      </c>
      <c r="N97" s="55">
        <f>_xll.EQNXTDZ($A$1,$B97,N$5,$B$1)</f>
        <v>439.66699999999997</v>
      </c>
      <c r="O97" s="55">
        <f>_xll.EQNXTDZ($A$1,$B97,O$5,$B$1)</f>
        <v>0</v>
      </c>
      <c r="P97" s="55">
        <f>_xll.EQNXTDZ($A$1,$B97,P$5,$B$1)</f>
        <v>439.56299999999999</v>
      </c>
      <c r="Q97" s="55">
        <f>_xll.EQNXTDZ($A$1,$B97,Q$5,$B$1)</f>
        <v>0</v>
      </c>
      <c r="R97" s="55">
        <f>_xll.EQNXTDZ($A$1,$B97,R$5,$B$1)</f>
        <v>447.58199999999999</v>
      </c>
      <c r="S97" s="55">
        <f>_xll.EQNXTDZ($A$1,$B97,S$5,$B$1)</f>
        <v>0</v>
      </c>
      <c r="T97" s="55">
        <f>_xll.EQNXTDZ($A$1,$B97,T$5,$B$1)</f>
        <v>433.78399999999999</v>
      </c>
      <c r="U97" s="55">
        <f>_xll.EQNXTDZ($A$1,$B97,U$5,$B$1)</f>
        <v>430.637</v>
      </c>
      <c r="V97" s="55">
        <f>_xll.EQNXTDZ($A$1,$B97,V$5,$B$1)</f>
        <v>475.24</v>
      </c>
      <c r="W97" s="55">
        <f>_xll.EQNXTDZ($A$1,$B97,W$5,$B$1)</f>
        <v>0</v>
      </c>
      <c r="X97" s="55">
        <f>_xll.EQNXTDZ($A$1,$B97,X$5,$B$1)</f>
        <v>430.15699999999998</v>
      </c>
      <c r="Y97" s="55">
        <f>_xll.EQNXTDZ($A$1,$B97,Y$5,$B$1)</f>
        <v>0</v>
      </c>
      <c r="Z97" s="55">
        <f>_xll.EQNXTDZ($A$1,$B97,Z$5,$B$1)</f>
        <v>396.49</v>
      </c>
      <c r="AA97" s="55">
        <f>_xll.EQNXTDZ($A$1,$B97,AA$5,$B$1)</f>
        <v>0</v>
      </c>
      <c r="AB97" s="55">
        <f>_xll.EQNXTDZ($A$1,$B97,AB$5,$B$1)</f>
        <v>388.07</v>
      </c>
      <c r="AC97" s="55">
        <f>_xll.EQNXTDZ($A$1,$B97,AC$5,$B$1)</f>
        <v>0</v>
      </c>
      <c r="AD97" s="55">
        <f>_xll.EQNXTDZ($A$1,$B97,AD$5,$B$1)</f>
        <v>335.85599999999999</v>
      </c>
      <c r="AE97" s="55">
        <f>_xll.EQNXTDZ($A$1,$B97,AE$5,$B$1)</f>
        <v>0</v>
      </c>
      <c r="AF97" s="55">
        <f>_xll.EQNXTDZ($A$1,$B97,AF$5,$B$1)</f>
        <v>336.13099999999997</v>
      </c>
      <c r="AG97" s="55">
        <f>_xll.EQNXTDZ($A$1,$B97,AG$5,$B$1)</f>
        <v>0</v>
      </c>
      <c r="AH97" s="55">
        <f>_xll.EQNXTDZ($A$1,$B97,AH$5,$B$1)</f>
        <v>312.71100000000001</v>
      </c>
      <c r="AI97" s="55">
        <f>_xll.EQNXTDZ($A$1,$B97,AI$5,$B$1)</f>
        <v>0</v>
      </c>
      <c r="AJ97" s="55">
        <f>_xll.EQNXTDZ($A$1,$B97,AJ$5,$B$1)</f>
        <v>329.476</v>
      </c>
      <c r="AK97" s="55">
        <f>_xll.EQNXTDZ($A$1,$B97,AK$5,$B$1)</f>
        <v>0</v>
      </c>
      <c r="AL97" s="55">
        <f>_xll.EQNXTDZ($A$1,$B97,AL$5,$B$1)</f>
        <v>327.76600000000002</v>
      </c>
      <c r="AM97" s="55">
        <f>_xll.EQNXTDZ($A$1,$B97,AM$5,$B$1)</f>
        <v>0</v>
      </c>
      <c r="AN97" s="55">
        <f>_xll.EQNXTDZ($A$1,$B97,AN$5,$B$1)</f>
        <v>701.14099999999996</v>
      </c>
      <c r="AO97" s="55">
        <f>_xll.EQNXTDZ($A$1,$B97,AO$5,$B$1)</f>
        <v>0</v>
      </c>
      <c r="AP97" s="55">
        <f>_xll.EQNXTDZ($A$1,$B97,AP$5,$B$1)</f>
        <v>821.72199999999998</v>
      </c>
      <c r="AQ97" s="55">
        <f>_xll.EQNXTDZ($A$1,$B97,AQ$5,$B$1)</f>
        <v>0</v>
      </c>
      <c r="AR97" s="55">
        <f>_xll.EQNXTDZ($A$1,$B97,AR$5,$B$1)</f>
        <v>911.61699999999996</v>
      </c>
      <c r="AS97" s="55">
        <f>_xll.EQNXTDZ($A$1,$B97,AS$5,$B$1)</f>
        <v>0</v>
      </c>
      <c r="AT97" s="55">
        <f>_xll.EQNXTDZ($A$1,$B97,AT$5,$B$1)</f>
        <v>1112.6690000000001</v>
      </c>
      <c r="AU97" s="55">
        <f>_xll.EQNXTDZ($A$1,$B97,AU$5,$B$1)</f>
        <v>0</v>
      </c>
      <c r="AV97" s="55">
        <f>_xll.EQNXTDZ($A$1,$B97,AV$5,$B$1)</f>
        <v>1601.713</v>
      </c>
      <c r="AW97" s="55">
        <f>_xll.EQNXTDZ($A$1,$B97,AW$5,$B$1)</f>
        <v>0</v>
      </c>
      <c r="AX97" s="55">
        <f>_xll.EQNXTDZ($A$1,$B97,AX$5,$B$1)</f>
        <v>1958.492</v>
      </c>
      <c r="AY97" s="55">
        <f>_xll.EQNXTDZ($A$1,$B97,AY$5,$B$1)</f>
        <v>0</v>
      </c>
      <c r="AZ97" s="55">
        <f>_xll.EQNXTDZ($A$1,$B97,AZ$5,$B$1)</f>
        <v>2667.3939999999998</v>
      </c>
      <c r="BA97" s="55">
        <f>_xll.EQNXTDZ($A$1,$B97,BA$5,$B$1)</f>
        <v>0</v>
      </c>
      <c r="BB97" s="55">
        <f>_xll.EQNXTDZ($A$1,$B97,BB$5,$B$1)</f>
        <v>3293.2</v>
      </c>
      <c r="BC97" s="55">
        <f>_xll.EQNXTDZ($A$1,$B97,BC$5,$B$1)</f>
        <v>0</v>
      </c>
      <c r="BD97" s="55">
        <f>_xll.EQNXTDZ($A$1,$B97,BD$5,$B$1)</f>
        <v>4433.6899999999996</v>
      </c>
      <c r="BE97" s="55">
        <f>_xll.EQNXTDZ($A$1,$B97,BE$5,$B$1)</f>
        <v>0</v>
      </c>
      <c r="BF97" s="55">
        <f>_xll.EQNXTDZ($A$1,$B97,BF$5,$B$1)</f>
        <v>5893.7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112463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Lloyds Enterprises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38.068714946</v>
      </c>
      <c r="I6" s="100">
        <f>_xll.EQNXTDZ($A$1,$B6,I$1,$B$1)</f>
        <v>77.784954361999993</v>
      </c>
      <c r="J6" s="100">
        <f>_xll.EQNXTDZ($A$1,$B6,J$1,$B$1)</f>
        <v>258.92859601999999</v>
      </c>
      <c r="K6" s="100">
        <f>_xll.EQNXTDZ($A$1,$B6,K$1,$B$1)</f>
        <v>307.43178460000001</v>
      </c>
      <c r="L6" s="100">
        <f>_xll.EQNXTDZ($A$1,$B6,L$1,$B$1)</f>
        <v>352.45209999999997</v>
      </c>
      <c r="M6" s="100">
        <f>_xll.EQNXTDZ($A$1,$B6,M$1,$B$1)</f>
        <v>699.32500000000005</v>
      </c>
      <c r="N6" s="100">
        <f>_xll.EQNXTDZ($A$1,$B6,N$1,$B$1)</f>
        <v>993.02760000000001</v>
      </c>
      <c r="O6" s="100">
        <f>_xll.EQNXTDZ($A$1,$B6,O$1,$B$1)</f>
        <v>80.783799999999999</v>
      </c>
      <c r="P6" s="100">
        <f>_xll.EQNXTDZ($A$1,$B6,P$1,$B$1)</f>
        <v>0</v>
      </c>
      <c r="Q6" s="100">
        <f>_xll.EQNXTDZ($A$1,$B6,Q$1,$B$1)</f>
        <v>293.58608779999997</v>
      </c>
      <c r="R6" s="100">
        <f>_xll.EQNXTDZ($A$1,$B6,R$1,$B$1)</f>
        <v>131.95302100000001</v>
      </c>
      <c r="S6" s="100">
        <f>_xll.EQNXTDZ($A$1,$B6,S$1,$B$1)</f>
        <v>47.351212799999999</v>
      </c>
      <c r="T6" s="100">
        <f>_xll.EQNXTDZ($A$1,$B6,T$1,$B$1)</f>
        <v>242.7654</v>
      </c>
      <c r="U6" s="100">
        <f>_xll.EQNXTDZ($A$1,$B6,U$1,$B$1)</f>
        <v>14.578900000000001</v>
      </c>
      <c r="V6" s="100">
        <f>_xll.EQNXTDZ($A$1,$B6,V$1,$B$1)</f>
        <v>0.56899999999999995</v>
      </c>
      <c r="W6" s="100">
        <f>_xll.EQNXTDZ($A$1,$B6,W$1,$B$1)</f>
        <v>0.80489999999999995</v>
      </c>
      <c r="X6" s="100">
        <f>_xll.EQNXTDZ($A$1,$B6,X$1,$B$1)</f>
        <v>47.8247</v>
      </c>
      <c r="Y6" s="100">
        <f>_xll.EQNXTDZ($A$1,$B6,Y$1,$B$1)</f>
        <v>380.29899999999998</v>
      </c>
      <c r="Z6" s="100">
        <f>_xll.EQNXTDZ($A$1,$B6,Z$1,$B$1)</f>
        <v>958.43740000000003</v>
      </c>
      <c r="AA6" s="100">
        <f>_xll.EQNXTDZ($A$1,$B6,AA$1,$B$1)</f>
        <v>1488.29</v>
      </c>
      <c r="AB6" s="100">
        <f>_xll.EQNXTDZ($A$1,$B6,AB$1,$B$1)</f>
        <v>1756.29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4.0000000000000002E-4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38.068714946</v>
      </c>
      <c r="I10" s="100">
        <f>_xll.EQNXTDZ($A$1,$B10,I$1,$B$1)</f>
        <v>77.784954361999993</v>
      </c>
      <c r="J10" s="100">
        <f>_xll.EQNXTDZ($A$1,$B10,J$1,$B$1)</f>
        <v>258.92859601999999</v>
      </c>
      <c r="K10" s="100">
        <f>_xll.EQNXTDZ($A$1,$B10,K$1,$B$1)</f>
        <v>307.43178460000001</v>
      </c>
      <c r="L10" s="100">
        <f>_xll.EQNXTDZ($A$1,$B10,L$1,$B$1)</f>
        <v>352.45209999999997</v>
      </c>
      <c r="M10" s="100">
        <f>_xll.EQNXTDZ($A$1,$B10,M$1,$B$1)</f>
        <v>699.32500000000005</v>
      </c>
      <c r="N10" s="100">
        <f>_xll.EQNXTDZ($A$1,$B10,N$1,$B$1)</f>
        <v>993.02760000000001</v>
      </c>
      <c r="O10" s="100">
        <f>_xll.EQNXTDZ($A$1,$B10,O$1,$B$1)</f>
        <v>80.783799999999999</v>
      </c>
      <c r="P10" s="100">
        <f>_xll.EQNXTDZ($A$1,$B10,P$1,$B$1)</f>
        <v>0</v>
      </c>
      <c r="Q10" s="100">
        <f>_xll.EQNXTDZ($A$1,$B10,Q$1,$B$1)</f>
        <v>293.58608779999997</v>
      </c>
      <c r="R10" s="100">
        <f>_xll.EQNXTDZ($A$1,$B10,R$1,$B$1)</f>
        <v>131.95302100000001</v>
      </c>
      <c r="S10" s="100">
        <f>_xll.EQNXTDZ($A$1,$B10,S$1,$B$1)</f>
        <v>47.351212799999999</v>
      </c>
      <c r="T10" s="100">
        <f>_xll.EQNXTDZ($A$1,$B10,T$1,$B$1)</f>
        <v>242.7654</v>
      </c>
      <c r="U10" s="100">
        <f>_xll.EQNXTDZ($A$1,$B10,U$1,$B$1)</f>
        <v>14.578900000000001</v>
      </c>
      <c r="V10" s="100">
        <f>_xll.EQNXTDZ($A$1,$B10,V$1,$B$1)</f>
        <v>0.56859999999999999</v>
      </c>
      <c r="W10" s="100">
        <f>_xll.EQNXTDZ($A$1,$B10,W$1,$B$1)</f>
        <v>0.80489999999999995</v>
      </c>
      <c r="X10" s="100">
        <f>_xll.EQNXTDZ($A$1,$B10,X$1,$B$1)</f>
        <v>47.8247</v>
      </c>
      <c r="Y10" s="100">
        <f>_xll.EQNXTDZ($A$1,$B10,Y$1,$B$1)</f>
        <v>380.29899999999998</v>
      </c>
      <c r="Z10" s="100">
        <f>_xll.EQNXTDZ($A$1,$B10,Z$1,$B$1)</f>
        <v>958.43740000000003</v>
      </c>
      <c r="AA10" s="100">
        <f>_xll.EQNXTDZ($A$1,$B10,AA$1,$B$1)</f>
        <v>1488.29</v>
      </c>
      <c r="AB10" s="100">
        <f>_xll.EQNXTDZ($A$1,$B10,AB$1,$B$1)</f>
        <v>1756.29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0.12650919999999999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-26.006699999999999</v>
      </c>
      <c r="Y11" s="100">
        <f>_xll.EQNXTDZ($A$1,$B11,Y$1,$B$1)</f>
        <v>-48.976999999999997</v>
      </c>
      <c r="Z11" s="100">
        <f>_xll.EQNXTDZ($A$1,$B11,Z$1,$B$1)</f>
        <v>-0.84140000000000004</v>
      </c>
      <c r="AA11" s="100">
        <f>_xll.EQNXTDZ($A$1,$B11,AA$1,$B$1)</f>
        <v>87.27</v>
      </c>
      <c r="AB11" s="100">
        <f>_xll.EQNXTDZ($A$1,$B11,AB$1,$B$1)</f>
        <v>-17.989999999999998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38.042428196000003</v>
      </c>
      <c r="I12" s="100">
        <f>_xll.EQNXTDZ($A$1,$B12,I$1,$B$1)</f>
        <v>76.591600650999993</v>
      </c>
      <c r="J12" s="100">
        <f>_xll.EQNXTDZ($A$1,$B12,J$1,$B$1)</f>
        <v>257.59680696200002</v>
      </c>
      <c r="K12" s="100">
        <f>_xll.EQNXTDZ($A$1,$B12,K$1,$B$1)</f>
        <v>306.51565719299998</v>
      </c>
      <c r="L12" s="100">
        <f>_xll.EQNXTDZ($A$1,$B12,L$1,$B$1)</f>
        <v>345.39890000000003</v>
      </c>
      <c r="M12" s="100">
        <f>_xll.EQNXTDZ($A$1,$B12,M$1,$B$1)</f>
        <v>678.87909999999999</v>
      </c>
      <c r="N12" s="100">
        <f>_xll.EQNXTDZ($A$1,$B12,N$1,$B$1)</f>
        <v>965.23350000000005</v>
      </c>
      <c r="O12" s="100">
        <f>_xll.EQNXTDZ($A$1,$B12,O$1,$B$1)</f>
        <v>78.475800000000007</v>
      </c>
      <c r="P12" s="100">
        <f>_xll.EQNXTDZ($A$1,$B12,P$1,$B$1)</f>
        <v>0</v>
      </c>
      <c r="Q12" s="100">
        <f>_xll.EQNXTDZ($A$1,$B12,Q$1,$B$1)</f>
        <v>290.93261419999999</v>
      </c>
      <c r="R12" s="100">
        <f>_xll.EQNXTDZ($A$1,$B12,R$1,$B$1)</f>
        <v>131.47484259999999</v>
      </c>
      <c r="S12" s="100">
        <f>_xll.EQNXTDZ($A$1,$B12,S$1,$B$1)</f>
        <v>47.248071199999998</v>
      </c>
      <c r="T12" s="100">
        <f>_xll.EQNXTDZ($A$1,$B12,T$1,$B$1)</f>
        <v>241.51079999999999</v>
      </c>
      <c r="U12" s="100">
        <f>_xll.EQNXTDZ($A$1,$B12,U$1,$B$1)</f>
        <v>12.795400000000001</v>
      </c>
      <c r="V12" s="100">
        <f>_xll.EQNXTDZ($A$1,$B12,V$1,$B$1)</f>
        <v>0.56699999999999995</v>
      </c>
      <c r="W12" s="100">
        <f>_xll.EQNXTDZ($A$1,$B12,W$1,$B$1)</f>
        <v>0.80310000000000004</v>
      </c>
      <c r="X12" s="100">
        <f>_xll.EQNXTDZ($A$1,$B12,X$1,$B$1)</f>
        <v>37.497100000000003</v>
      </c>
      <c r="Y12" s="100">
        <f>_xll.EQNXTDZ($A$1,$B12,Y$1,$B$1)</f>
        <v>247.91370000000001</v>
      </c>
      <c r="Z12" s="100">
        <f>_xll.EQNXTDZ($A$1,$B12,Z$1,$B$1)</f>
        <v>629.92219999999998</v>
      </c>
      <c r="AA12" s="100">
        <f>_xll.EQNXTDZ($A$1,$B12,AA$1,$B$1)</f>
        <v>868.04</v>
      </c>
      <c r="AB12" s="100">
        <f>_xll.EQNXTDZ($A$1,$B12,AB$1,$B$1)</f>
        <v>1087.49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4.0552000000000001E-3</v>
      </c>
      <c r="D13" s="100">
        <f>_xll.EQNXTDZ($A$1,$B13,D$1,$B$1)</f>
        <v>1.4505E-3</v>
      </c>
      <c r="E13" s="100">
        <f>_xll.EQNXTDZ($A$1,$B13,E$1,$B$1)</f>
        <v>1.1950999999999999E-3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1.6999999999999999E-3</v>
      </c>
      <c r="O13" s="100">
        <f>_xll.EQNXTDZ($A$1,$B13,O$1,$B$1)</f>
        <v>3.8E-3</v>
      </c>
      <c r="P13" s="100">
        <f>_xll.EQNXTDZ($A$1,$B13,P$1,$B$1)</f>
        <v>3.1126999999999999E-3</v>
      </c>
      <c r="Q13" s="100">
        <f>_xll.EQNXTDZ($A$1,$B13,Q$1,$B$1)</f>
        <v>3.4456999999999999E-3</v>
      </c>
      <c r="R13" s="100">
        <f>_xll.EQNXTDZ($A$1,$B13,R$1,$B$1)</f>
        <v>2.294E-3</v>
      </c>
      <c r="S13" s="100">
        <f>_xll.EQNXTDZ($A$1,$B13,S$1,$B$1)</f>
        <v>1.7799999999999999E-3</v>
      </c>
      <c r="T13" s="100">
        <f>_xll.EQNXTDZ($A$1,$B13,T$1,$B$1)</f>
        <v>1.5E-3</v>
      </c>
      <c r="U13" s="100">
        <f>_xll.EQNXTDZ($A$1,$B13,U$1,$B$1)</f>
        <v>1.8E-3</v>
      </c>
      <c r="V13" s="100">
        <f>_xll.EQNXTDZ($A$1,$B13,V$1,$B$1)</f>
        <v>1.4E-3</v>
      </c>
      <c r="W13" s="100">
        <f>_xll.EQNXTDZ($A$1,$B13,W$1,$B$1)</f>
        <v>6.9999999999999999E-4</v>
      </c>
      <c r="X13" s="100">
        <f>_xll.EQNXTDZ($A$1,$B13,X$1,$B$1)</f>
        <v>0.76429999999999998</v>
      </c>
      <c r="Y13" s="100">
        <f>_xll.EQNXTDZ($A$1,$B13,Y$1,$B$1)</f>
        <v>1.9487000000000001</v>
      </c>
      <c r="Z13" s="100">
        <f>_xll.EQNXTDZ($A$1,$B13,Z$1,$B$1)</f>
        <v>10.038600000000001</v>
      </c>
      <c r="AA13" s="100">
        <f>_xll.EQNXTDZ($A$1,$B13,AA$1,$B$1)</f>
        <v>3.99</v>
      </c>
      <c r="AB13" s="100">
        <f>_xll.EQNXTDZ($A$1,$B13,AB$1,$B$1)</f>
        <v>7.09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2.97585E-2</v>
      </c>
      <c r="D14" s="100">
        <f>_xll.EQNXTDZ($A$1,$B14,D$1,$B$1)</f>
        <v>2.9450400000000002E-2</v>
      </c>
      <c r="E14" s="100">
        <f>_xll.EQNXTDZ($A$1,$B14,E$1,$B$1)</f>
        <v>3.1604300000000002E-2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0.15709129999999999</v>
      </c>
      <c r="J14" s="100">
        <f>_xll.EQNXTDZ($A$1,$B14,J$1,$B$1)</f>
        <v>0.19995599999999999</v>
      </c>
      <c r="K14" s="100">
        <f>_xll.EQNXTDZ($A$1,$B14,K$1,$B$1)</f>
        <v>0.40825159999999999</v>
      </c>
      <c r="L14" s="100">
        <f>_xll.EQNXTDZ($A$1,$B14,L$1,$B$1)</f>
        <v>0.43730000000000002</v>
      </c>
      <c r="M14" s="100">
        <f>_xll.EQNXTDZ($A$1,$B14,M$1,$B$1)</f>
        <v>0.54059999999999997</v>
      </c>
      <c r="N14" s="100">
        <f>_xll.EQNXTDZ($A$1,$B14,N$1,$B$1)</f>
        <v>0.54120000000000001</v>
      </c>
      <c r="O14" s="100">
        <f>_xll.EQNXTDZ($A$1,$B14,O$1,$B$1)</f>
        <v>0.50360000000000005</v>
      </c>
      <c r="P14" s="100">
        <f>_xll.EQNXTDZ($A$1,$B14,P$1,$B$1)</f>
        <v>0.76912820000000004</v>
      </c>
      <c r="Q14" s="100">
        <f>_xll.EQNXTDZ($A$1,$B14,Q$1,$B$1)</f>
        <v>1.1099216999999999</v>
      </c>
      <c r="R14" s="100">
        <f>_xll.EQNXTDZ($A$1,$B14,R$1,$B$1)</f>
        <v>0.83582259999999997</v>
      </c>
      <c r="S14" s="100">
        <f>_xll.EQNXTDZ($A$1,$B14,S$1,$B$1)</f>
        <v>0.78439270000000005</v>
      </c>
      <c r="T14" s="100">
        <f>_xll.EQNXTDZ($A$1,$B14,T$1,$B$1)</f>
        <v>1.403</v>
      </c>
      <c r="U14" s="100">
        <f>_xll.EQNXTDZ($A$1,$B14,U$1,$B$1)</f>
        <v>1.3994</v>
      </c>
      <c r="V14" s="100">
        <f>_xll.EQNXTDZ($A$1,$B14,V$1,$B$1)</f>
        <v>1.411</v>
      </c>
      <c r="W14" s="100">
        <f>_xll.EQNXTDZ($A$1,$B14,W$1,$B$1)</f>
        <v>0.97370000000000001</v>
      </c>
      <c r="X14" s="100">
        <f>_xll.EQNXTDZ($A$1,$B14,X$1,$B$1)</f>
        <v>12.5185</v>
      </c>
      <c r="Y14" s="100">
        <f>_xll.EQNXTDZ($A$1,$B14,Y$1,$B$1)</f>
        <v>19.021100000000001</v>
      </c>
      <c r="Z14" s="100">
        <f>_xll.EQNXTDZ($A$1,$B14,Z$1,$B$1)</f>
        <v>36.142699999999998</v>
      </c>
      <c r="AA14" s="100">
        <f>_xll.EQNXTDZ($A$1,$B14,AA$1,$B$1)</f>
        <v>60.63</v>
      </c>
      <c r="AB14" s="100">
        <f>_xll.EQNXTDZ($A$1,$B14,AB$1,$B$1)</f>
        <v>112.02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0.87570000000000003</v>
      </c>
      <c r="O15" s="100">
        <f>_xll.EQNXTDZ($A$1,$B15,O$1,$B$1)</f>
        <v>2.47E-2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8.51</v>
      </c>
      <c r="Y15" s="100">
        <f>_xll.EQNXTDZ($A$1,$B15,Y$1,$B$1)</f>
        <v>85.664100000000005</v>
      </c>
      <c r="Z15" s="100">
        <f>_xll.EQNXTDZ($A$1,$B15,Z$1,$B$1)</f>
        <v>157.37370000000001</v>
      </c>
      <c r="AA15" s="100">
        <f>_xll.EQNXTDZ($A$1,$B15,AA$1,$B$1)</f>
        <v>267.02999999999997</v>
      </c>
      <c r="AB15" s="100">
        <f>_xll.EQNXTDZ($A$1,$B15,AB$1,$B$1)</f>
        <v>362.92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2.7402625E-2</v>
      </c>
      <c r="D17" s="100">
        <f>_xll.EQNXTDZ($A$1,$B17,D$1,$B$1)</f>
        <v>2.4444515E-2</v>
      </c>
      <c r="E17" s="100">
        <f>_xll.EQNXTDZ($A$1,$B17,E$1,$B$1)</f>
        <v>2.2501997999999999E-2</v>
      </c>
      <c r="F17" s="100">
        <f>_xll.EQNXTDZ($A$1,$B17,F$1,$B$1)</f>
        <v>20.735023504000001</v>
      </c>
      <c r="G17" s="100">
        <f>_xll.EQNXTDZ($A$1,$B17,G$1,$B$1)</f>
        <v>5.955187274</v>
      </c>
      <c r="H17" s="100">
        <f>_xll.EQNXTDZ($A$1,$B17,H$1,$B$1)</f>
        <v>2.0559142600000002</v>
      </c>
      <c r="I17" s="100">
        <f>_xll.EQNXTDZ($A$1,$B17,I$1,$B$1)</f>
        <v>0.92840123100000005</v>
      </c>
      <c r="J17" s="100">
        <f>_xll.EQNXTDZ($A$1,$B17,J$1,$B$1)</f>
        <v>1.9283585560000001</v>
      </c>
      <c r="K17" s="100">
        <f>_xll.EQNXTDZ($A$1,$B17,K$1,$B$1)</f>
        <v>4.1624793909999998</v>
      </c>
      <c r="L17" s="100">
        <f>_xll.EQNXTDZ($A$1,$B17,L$1,$B$1)</f>
        <v>6.5740999999999996</v>
      </c>
      <c r="M17" s="100">
        <f>_xll.EQNXTDZ($A$1,$B17,M$1,$B$1)</f>
        <v>23.7729</v>
      </c>
      <c r="N17" s="100">
        <f>_xll.EQNXTDZ($A$1,$B17,N$1,$B$1)</f>
        <v>0.51929999999999998</v>
      </c>
      <c r="O17" s="100">
        <f>_xll.EQNXTDZ($A$1,$B17,O$1,$B$1)</f>
        <v>0.92259999999999998</v>
      </c>
      <c r="P17" s="100">
        <f>_xll.EQNXTDZ($A$1,$B17,P$1,$B$1)</f>
        <v>0.85416250000000005</v>
      </c>
      <c r="Q17" s="100">
        <f>_xll.EQNXTDZ($A$1,$B17,Q$1,$B$1)</f>
        <v>0.60570409999999997</v>
      </c>
      <c r="R17" s="100">
        <f>_xll.EQNXTDZ($A$1,$B17,R$1,$B$1)</f>
        <v>1.5146538000000001</v>
      </c>
      <c r="S17" s="100">
        <f>_xll.EQNXTDZ($A$1,$B17,S$1,$B$1)</f>
        <v>0.39752150000000003</v>
      </c>
      <c r="T17" s="100">
        <f>_xll.EQNXTDZ($A$1,$B17,T$1,$B$1)</f>
        <v>0.46210000000000001</v>
      </c>
      <c r="U17" s="100">
        <f>_xll.EQNXTDZ($A$1,$B17,U$1,$B$1)</f>
        <v>0.41149999999999998</v>
      </c>
      <c r="V17" s="100">
        <f>_xll.EQNXTDZ($A$1,$B17,V$1,$B$1)</f>
        <v>0.3579</v>
      </c>
      <c r="W17" s="100">
        <f>_xll.EQNXTDZ($A$1,$B17,W$1,$B$1)</f>
        <v>0.38100000000000001</v>
      </c>
      <c r="X17" s="100">
        <f>_xll.EQNXTDZ($A$1,$B17,X$1,$B$1)</f>
        <v>7.7411000000000003</v>
      </c>
      <c r="Y17" s="100">
        <f>_xll.EQNXTDZ($A$1,$B17,Y$1,$B$1)</f>
        <v>15.151999999999999</v>
      </c>
      <c r="Z17" s="100">
        <f>_xll.EQNXTDZ($A$1,$B17,Z$1,$B$1)</f>
        <v>21.206199999999999</v>
      </c>
      <c r="AA17" s="100">
        <f>_xll.EQNXTDZ($A$1,$B17,AA$1,$B$1)</f>
        <v>41.88</v>
      </c>
      <c r="AB17" s="100">
        <f>_xll.EQNXTDZ($A$1,$B17,AB$1,$B$1)</f>
        <v>46.48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1.12575E-3</v>
      </c>
      <c r="D18" s="100">
        <f>_xll.EQNXTDZ($A$1,$B18,D$1,$B$1)</f>
        <v>1.1594999999999999E-3</v>
      </c>
      <c r="E18" s="100">
        <f>_xll.EQNXTDZ($A$1,$B18,E$1,$B$1)</f>
        <v>1.2061000000000001E-3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1.5442</v>
      </c>
      <c r="O18" s="100">
        <f>_xll.EQNXTDZ($A$1,$B18,O$1,$B$1)</f>
        <v>0.1138</v>
      </c>
      <c r="P18" s="100">
        <f>_xll.EQNXTDZ($A$1,$B18,P$1,$B$1)</f>
        <v>5.6890299999999998E-2</v>
      </c>
      <c r="Q18" s="100">
        <f>_xll.EQNXTDZ($A$1,$B18,Q$1,$B$1)</f>
        <v>1.87282E-2</v>
      </c>
      <c r="R18" s="100">
        <f>_xll.EQNXTDZ($A$1,$B18,R$1,$B$1)</f>
        <v>4.6131000000000002E-3</v>
      </c>
      <c r="S18" s="100">
        <f>_xll.EQNXTDZ($A$1,$B18,S$1,$B$1)</f>
        <v>0.89198069999999996</v>
      </c>
      <c r="T18" s="100">
        <f>_xll.EQNXTDZ($A$1,$B18,T$1,$B$1)</f>
        <v>3.2000000000000002E-3</v>
      </c>
      <c r="U18" s="100">
        <f>_xll.EQNXTDZ($A$1,$B18,U$1,$B$1)</f>
        <v>2.8E-3</v>
      </c>
      <c r="V18" s="100">
        <f>_xll.EQNXTDZ($A$1,$B18,V$1,$B$1)</f>
        <v>3.0000000000000001E-3</v>
      </c>
      <c r="W18" s="100">
        <f>_xll.EQNXTDZ($A$1,$B18,W$1,$B$1)</f>
        <v>2.1299999999999999E-2</v>
      </c>
      <c r="X18" s="100">
        <f>_xll.EQNXTDZ($A$1,$B18,X$1,$B$1)</f>
        <v>1.141</v>
      </c>
      <c r="Y18" s="100">
        <f>_xll.EQNXTDZ($A$1,$B18,Y$1,$B$1)</f>
        <v>3.7957999999999998</v>
      </c>
      <c r="Z18" s="100">
        <f>_xll.EQNXTDZ($A$1,$B18,Z$1,$B$1)</f>
        <v>8.2226999999999997</v>
      </c>
      <c r="AA18" s="100">
        <f>_xll.EQNXTDZ($A$1,$B18,AA$1,$B$1)</f>
        <v>23.67</v>
      </c>
      <c r="AB18" s="100">
        <f>_xll.EQNXTDZ($A$1,$B18,AB$1,$B$1)</f>
        <v>32.1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103.390853346</v>
      </c>
      <c r="D19" s="100">
        <f>_xll.EQNXTDZ($A$1,$B19,D$1,$B$1)</f>
        <v>0.783601777</v>
      </c>
      <c r="E19" s="100">
        <f>_xll.EQNXTDZ($A$1,$B19,E$1,$B$1)</f>
        <v>0.63752200000000003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11.25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0.88719999999999999</v>
      </c>
      <c r="O19" s="100">
        <f>_xll.EQNXTDZ($A$1,$B19,O$1,$B$1)</f>
        <v>0.42409999999999998</v>
      </c>
      <c r="P19" s="100">
        <f>_xll.EQNXTDZ($A$1,$B19,P$1,$B$1)</f>
        <v>0</v>
      </c>
      <c r="Q19" s="100">
        <f>_xll.EQNXTDZ($A$1,$B19,Q$1,$B$1)</f>
        <v>0.31687850000000001</v>
      </c>
      <c r="R19" s="100">
        <f>_xll.EQNXTDZ($A$1,$B19,R$1,$B$1)</f>
        <v>3.1500004000000001</v>
      </c>
      <c r="S19" s="100">
        <f>_xll.EQNXTDZ($A$1,$B19,S$1,$B$1)</f>
        <v>3.9999999999999998E-7</v>
      </c>
      <c r="T19" s="100">
        <f>_xll.EQNXTDZ($A$1,$B19,T$1,$B$1)</f>
        <v>5.3291000000000004</v>
      </c>
      <c r="U19" s="100">
        <f>_xll.EQNXTDZ($A$1,$B19,U$1,$B$1)</f>
        <v>8.0060000000000002</v>
      </c>
      <c r="V19" s="100">
        <f>_xll.EQNXTDZ($A$1,$B19,V$1,$B$1)</f>
        <v>2.9999999999999997E-4</v>
      </c>
      <c r="W19" s="100">
        <f>_xll.EQNXTDZ($A$1,$B19,W$1,$B$1)</f>
        <v>2.9999999999999997E-4</v>
      </c>
      <c r="X19" s="100">
        <f>_xll.EQNXTDZ($A$1,$B19,X$1,$B$1)</f>
        <v>1.6316999999999999</v>
      </c>
      <c r="Y19" s="100">
        <f>_xll.EQNXTDZ($A$1,$B19,Y$1,$B$1)</f>
        <v>5.5315000000000003</v>
      </c>
      <c r="Z19" s="100">
        <f>_xll.EQNXTDZ($A$1,$B19,Z$1,$B$1)</f>
        <v>7.2587000000000002</v>
      </c>
      <c r="AA19" s="100">
        <f>_xll.EQNXTDZ($A$1,$B19,AA$1,$B$1)</f>
        <v>17.72</v>
      </c>
      <c r="AB19" s="100">
        <f>_xll.EQNXTDZ($A$1,$B19,AB$1,$B$1)</f>
        <v>10.25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103.453195421</v>
      </c>
      <c r="D21" s="100">
        <f>_xll.EQNXTDZ($A$1,$B21,D$1,$B$1)</f>
        <v>0.84010669199999999</v>
      </c>
      <c r="E21" s="100">
        <f>_xll.EQNXTDZ($A$1,$B21,E$1,$B$1)</f>
        <v>0.69402949800000002</v>
      </c>
      <c r="F21" s="100">
        <f>_xll.EQNXTDZ($A$1,$B21,F$1,$B$1)</f>
        <v>20.735023504000001</v>
      </c>
      <c r="G21" s="100">
        <f>_xll.EQNXTDZ($A$1,$B21,G$1,$B$1)</f>
        <v>5.955187274</v>
      </c>
      <c r="H21" s="100">
        <f>_xll.EQNXTDZ($A$1,$B21,H$1,$B$1)</f>
        <v>51.474851655999998</v>
      </c>
      <c r="I21" s="100">
        <f>_xll.EQNXTDZ($A$1,$B21,I$1,$B$1)</f>
        <v>77.677093181999993</v>
      </c>
      <c r="J21" s="100">
        <f>_xll.EQNXTDZ($A$1,$B21,J$1,$B$1)</f>
        <v>259.72512151799998</v>
      </c>
      <c r="K21" s="100">
        <f>_xll.EQNXTDZ($A$1,$B21,K$1,$B$1)</f>
        <v>311.08638818399999</v>
      </c>
      <c r="L21" s="100">
        <f>_xll.EQNXTDZ($A$1,$B21,L$1,$B$1)</f>
        <v>352.41030000000001</v>
      </c>
      <c r="M21" s="100">
        <f>_xll.EQNXTDZ($A$1,$B21,M$1,$B$1)</f>
        <v>703.19259999999997</v>
      </c>
      <c r="N21" s="100">
        <f>_xll.EQNXTDZ($A$1,$B21,N$1,$B$1)</f>
        <v>969.6028</v>
      </c>
      <c r="O21" s="100">
        <f>_xll.EQNXTDZ($A$1,$B21,O$1,$B$1)</f>
        <v>80.468400000000003</v>
      </c>
      <c r="P21" s="100">
        <f>_xll.EQNXTDZ($A$1,$B21,P$1,$B$1)</f>
        <v>1.6832936999999999</v>
      </c>
      <c r="Q21" s="100">
        <f>_xll.EQNXTDZ($A$1,$B21,Q$1,$B$1)</f>
        <v>292.9872924</v>
      </c>
      <c r="R21" s="100">
        <f>_xll.EQNXTDZ($A$1,$B21,R$1,$B$1)</f>
        <v>136.9822265</v>
      </c>
      <c r="S21" s="100">
        <f>_xll.EQNXTDZ($A$1,$B21,S$1,$B$1)</f>
        <v>49.323746499999999</v>
      </c>
      <c r="T21" s="100">
        <f>_xll.EQNXTDZ($A$1,$B21,T$1,$B$1)</f>
        <v>248.7097</v>
      </c>
      <c r="U21" s="100">
        <f>_xll.EQNXTDZ($A$1,$B21,U$1,$B$1)</f>
        <v>22.616900000000001</v>
      </c>
      <c r="V21" s="100">
        <f>_xll.EQNXTDZ($A$1,$B21,V$1,$B$1)</f>
        <v>2.3405999999999998</v>
      </c>
      <c r="W21" s="100">
        <f>_xll.EQNXTDZ($A$1,$B21,W$1,$B$1)</f>
        <v>2.1800999999999999</v>
      </c>
      <c r="X21" s="100">
        <f>_xll.EQNXTDZ($A$1,$B21,X$1,$B$1)</f>
        <v>43.796999999999997</v>
      </c>
      <c r="Y21" s="100">
        <f>_xll.EQNXTDZ($A$1,$B21,Y$1,$B$1)</f>
        <v>330.04989999999998</v>
      </c>
      <c r="Z21" s="100">
        <f>_xll.EQNXTDZ($A$1,$B21,Z$1,$B$1)</f>
        <v>869.32339999999999</v>
      </c>
      <c r="AA21" s="100">
        <f>_xll.EQNXTDZ($A$1,$B21,AA$1,$B$1)</f>
        <v>1370.23</v>
      </c>
      <c r="AB21" s="100">
        <f>_xll.EQNXTDZ($A$1,$B21,AB$1,$B$1)</f>
        <v>1640.36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-103.453195421</v>
      </c>
      <c r="D22" s="100">
        <f>_xll.EQNXTDZ($A$1,$B22,D$1,$B$1)</f>
        <v>-0.84010669199999999</v>
      </c>
      <c r="E22" s="100">
        <f>_xll.EQNXTDZ($A$1,$B22,E$1,$B$1)</f>
        <v>-0.69402949800000002</v>
      </c>
      <c r="F22" s="100">
        <f>_xll.EQNXTDZ($A$1,$B22,F$1,$B$1)</f>
        <v>-20.735023504000001</v>
      </c>
      <c r="G22" s="100">
        <f>_xll.EQNXTDZ($A$1,$B22,G$1,$B$1)</f>
        <v>-5.955187274</v>
      </c>
      <c r="H22" s="100">
        <f>_xll.EQNXTDZ($A$1,$B22,H$1,$B$1)</f>
        <v>-13.40613671</v>
      </c>
      <c r="I22" s="100">
        <f>_xll.EQNXTDZ($A$1,$B22,I$1,$B$1)</f>
        <v>0.107861179999995</v>
      </c>
      <c r="J22" s="100">
        <f>_xll.EQNXTDZ($A$1,$B22,J$1,$B$1)</f>
        <v>-0.79652549800000205</v>
      </c>
      <c r="K22" s="100">
        <f>_xll.EQNXTDZ($A$1,$B22,K$1,$B$1)</f>
        <v>-3.6546035840000202</v>
      </c>
      <c r="L22" s="100">
        <f>_xll.EQNXTDZ($A$1,$B22,L$1,$B$1)</f>
        <v>4.1800000000002897E-2</v>
      </c>
      <c r="M22" s="100">
        <f>_xll.EQNXTDZ($A$1,$B22,M$1,$B$1)</f>
        <v>-3.8675999999999502</v>
      </c>
      <c r="N22" s="100">
        <f>_xll.EQNXTDZ($A$1,$B22,N$1,$B$1)</f>
        <v>23.424800000000001</v>
      </c>
      <c r="O22" s="100">
        <f>_xll.EQNXTDZ($A$1,$B22,O$1,$B$1)</f>
        <v>0.31540000000000001</v>
      </c>
      <c r="P22" s="100">
        <f>_xll.EQNXTDZ($A$1,$B22,P$1,$B$1)</f>
        <v>-1.6832936999999999</v>
      </c>
      <c r="Q22" s="100">
        <f>_xll.EQNXTDZ($A$1,$B22,Q$1,$B$1)</f>
        <v>0.59879539999999998</v>
      </c>
      <c r="R22" s="100">
        <f>_xll.EQNXTDZ($A$1,$B22,R$1,$B$1)</f>
        <v>-5.0292054999999998</v>
      </c>
      <c r="S22" s="100">
        <f>_xll.EQNXTDZ($A$1,$B22,S$1,$B$1)</f>
        <v>-1.9725337000000001</v>
      </c>
      <c r="T22" s="100">
        <f>_xll.EQNXTDZ($A$1,$B22,T$1,$B$1)</f>
        <v>-5.9443000000000001</v>
      </c>
      <c r="U22" s="100">
        <f>_xll.EQNXTDZ($A$1,$B22,U$1,$B$1)</f>
        <v>-8.0380000000000003</v>
      </c>
      <c r="V22" s="100">
        <f>_xll.EQNXTDZ($A$1,$B22,V$1,$B$1)</f>
        <v>-1.772</v>
      </c>
      <c r="W22" s="100">
        <f>_xll.EQNXTDZ($A$1,$B22,W$1,$B$1)</f>
        <v>-1.3752</v>
      </c>
      <c r="X22" s="100">
        <f>_xll.EQNXTDZ($A$1,$B22,X$1,$B$1)</f>
        <v>4.0277000000000003</v>
      </c>
      <c r="Y22" s="100">
        <f>_xll.EQNXTDZ($A$1,$B22,Y$1,$B$1)</f>
        <v>50.249099999999999</v>
      </c>
      <c r="Z22" s="100">
        <f>_xll.EQNXTDZ($A$1,$B22,Z$1,$B$1)</f>
        <v>89.114000000000104</v>
      </c>
      <c r="AA22" s="100">
        <f>_xll.EQNXTDZ($A$1,$B22,AA$1,$B$1)</f>
        <v>118.06</v>
      </c>
      <c r="AB22" s="100">
        <f>_xll.EQNXTDZ($A$1,$B22,AB$1,$B$1)</f>
        <v>115.93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3.8103150000000002E-2</v>
      </c>
      <c r="D23" s="100">
        <f>_xll.EQNXTDZ($A$1,$B23,D$1,$B$1)</f>
        <v>3.2277699999999999E-2</v>
      </c>
      <c r="E23" s="100">
        <f>_xll.EQNXTDZ($A$1,$B23,E$1,$B$1)</f>
        <v>0.39466972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0.11209230000000001</v>
      </c>
      <c r="I23" s="100">
        <f>_xll.EQNXTDZ($A$1,$B23,I$1,$B$1)</f>
        <v>9.2930919999999993E-3</v>
      </c>
      <c r="J23" s="100">
        <f>_xll.EQNXTDZ($A$1,$B23,J$1,$B$1)</f>
        <v>0.85409719100000003</v>
      </c>
      <c r="K23" s="100">
        <f>_xll.EQNXTDZ($A$1,$B23,K$1,$B$1)</f>
        <v>3.7580398559999999</v>
      </c>
      <c r="L23" s="100">
        <f>_xll.EQNXTDZ($A$1,$B23,L$1,$B$1)</f>
        <v>1.2035</v>
      </c>
      <c r="M23" s="100">
        <f>_xll.EQNXTDZ($A$1,$B23,M$1,$B$1)</f>
        <v>0.49080000000000001</v>
      </c>
      <c r="N23" s="100">
        <f>_xll.EQNXTDZ($A$1,$B23,N$1,$B$1)</f>
        <v>3.3115999999999999</v>
      </c>
      <c r="O23" s="100">
        <f>_xll.EQNXTDZ($A$1,$B23,O$1,$B$1)</f>
        <v>10.8832</v>
      </c>
      <c r="P23" s="100">
        <f>_xll.EQNXTDZ($A$1,$B23,P$1,$B$1)</f>
        <v>2.5413386</v>
      </c>
      <c r="Q23" s="100">
        <f>_xll.EQNXTDZ($A$1,$B23,Q$1,$B$1)</f>
        <v>0.212476</v>
      </c>
      <c r="R23" s="100">
        <f>_xll.EQNXTDZ($A$1,$B23,R$1,$B$1)</f>
        <v>1.5333190000000001</v>
      </c>
      <c r="S23" s="100">
        <f>_xll.EQNXTDZ($A$1,$B23,S$1,$B$1)</f>
        <v>0.29585840000000002</v>
      </c>
      <c r="T23" s="100">
        <f>_xll.EQNXTDZ($A$1,$B23,T$1,$B$1)</f>
        <v>6.3E-3</v>
      </c>
      <c r="U23" s="100">
        <f>_xll.EQNXTDZ($A$1,$B23,U$1,$B$1)</f>
        <v>2.8999999999999998E-3</v>
      </c>
      <c r="V23" s="100">
        <f>_xll.EQNXTDZ($A$1,$B23,V$1,$B$1)</f>
        <v>0.25230000000000002</v>
      </c>
      <c r="W23" s="100">
        <f>_xll.EQNXTDZ($A$1,$B23,W$1,$B$1)</f>
        <v>1.1603000000000001</v>
      </c>
      <c r="X23" s="100">
        <f>_xll.EQNXTDZ($A$1,$B23,X$1,$B$1)</f>
        <v>159.2927</v>
      </c>
      <c r="Y23" s="100">
        <f>_xll.EQNXTDZ($A$1,$B23,Y$1,$B$1)</f>
        <v>16.772400000000001</v>
      </c>
      <c r="Z23" s="100">
        <f>_xll.EQNXTDZ($A$1,$B23,Z$1,$B$1)</f>
        <v>135.3167</v>
      </c>
      <c r="AA23" s="100">
        <f>_xll.EQNXTDZ($A$1,$B23,AA$1,$B$1)</f>
        <v>82.64</v>
      </c>
      <c r="AB23" s="100">
        <f>_xll.EQNXTDZ($A$1,$B23,AB$1,$B$1)</f>
        <v>427.42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-103.41509227100001</v>
      </c>
      <c r="D24" s="100">
        <f>_xll.EQNXTDZ($A$1,$B24,D$1,$B$1)</f>
        <v>-0.80782899200000002</v>
      </c>
      <c r="E24" s="100">
        <f>_xll.EQNXTDZ($A$1,$B24,E$1,$B$1)</f>
        <v>-0.29935977800000002</v>
      </c>
      <c r="F24" s="100">
        <f>_xll.EQNXTDZ($A$1,$B24,F$1,$B$1)</f>
        <v>-20.735023504000001</v>
      </c>
      <c r="G24" s="100">
        <f>_xll.EQNXTDZ($A$1,$B24,G$1,$B$1)</f>
        <v>-5.955187274</v>
      </c>
      <c r="H24" s="100">
        <f>_xll.EQNXTDZ($A$1,$B24,H$1,$B$1)</f>
        <v>-13.29404441</v>
      </c>
      <c r="I24" s="100">
        <f>_xll.EQNXTDZ($A$1,$B24,I$1,$B$1)</f>
        <v>0.117154272</v>
      </c>
      <c r="J24" s="100">
        <f>_xll.EQNXTDZ($A$1,$B24,J$1,$B$1)</f>
        <v>5.7571693E-2</v>
      </c>
      <c r="K24" s="100">
        <f>_xll.EQNXTDZ($A$1,$B24,K$1,$B$1)</f>
        <v>0.103436272</v>
      </c>
      <c r="L24" s="100">
        <f>_xll.EQNXTDZ($A$1,$B24,L$1,$B$1)</f>
        <v>1.2453000000000001</v>
      </c>
      <c r="M24" s="100">
        <f>_xll.EQNXTDZ($A$1,$B24,M$1,$B$1)</f>
        <v>-3.3767999999999998</v>
      </c>
      <c r="N24" s="100">
        <f>_xll.EQNXTDZ($A$1,$B24,N$1,$B$1)</f>
        <v>26.7364</v>
      </c>
      <c r="O24" s="100">
        <f>_xll.EQNXTDZ($A$1,$B24,O$1,$B$1)</f>
        <v>11.198600000000001</v>
      </c>
      <c r="P24" s="100">
        <f>_xll.EQNXTDZ($A$1,$B24,P$1,$B$1)</f>
        <v>0.8580449</v>
      </c>
      <c r="Q24" s="100">
        <f>_xll.EQNXTDZ($A$1,$B24,Q$1,$B$1)</f>
        <v>0.81127139999999998</v>
      </c>
      <c r="R24" s="100">
        <f>_xll.EQNXTDZ($A$1,$B24,R$1,$B$1)</f>
        <v>-3.4958865000000001</v>
      </c>
      <c r="S24" s="100">
        <f>_xll.EQNXTDZ($A$1,$B24,S$1,$B$1)</f>
        <v>-1.6766753000000001</v>
      </c>
      <c r="T24" s="100">
        <f>_xll.EQNXTDZ($A$1,$B24,T$1,$B$1)</f>
        <v>-5.9379999999999997</v>
      </c>
      <c r="U24" s="100">
        <f>_xll.EQNXTDZ($A$1,$B24,U$1,$B$1)</f>
        <v>-8.0350999999999999</v>
      </c>
      <c r="V24" s="100">
        <f>_xll.EQNXTDZ($A$1,$B24,V$1,$B$1)</f>
        <v>-1.5197000000000001</v>
      </c>
      <c r="W24" s="100">
        <f>_xll.EQNXTDZ($A$1,$B24,W$1,$B$1)</f>
        <v>-0.21490000000000001</v>
      </c>
      <c r="X24" s="100">
        <f>_xll.EQNXTDZ($A$1,$B24,X$1,$B$1)</f>
        <v>163.32040000000001</v>
      </c>
      <c r="Y24" s="100">
        <f>_xll.EQNXTDZ($A$1,$B24,Y$1,$B$1)</f>
        <v>67.021500000000003</v>
      </c>
      <c r="Z24" s="100">
        <f>_xll.EQNXTDZ($A$1,$B24,Z$1,$B$1)</f>
        <v>224.4307</v>
      </c>
      <c r="AA24" s="100">
        <f>_xll.EQNXTDZ($A$1,$B24,AA$1,$B$1)</f>
        <v>200.7</v>
      </c>
      <c r="AB24" s="100">
        <f>_xll.EQNXTDZ($A$1,$B24,AB$1,$B$1)</f>
        <v>543.35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1.4059000000000001E-4</v>
      </c>
      <c r="D25" s="100">
        <f>_xll.EQNXTDZ($A$1,$B25,D$1,$B$1)</f>
        <v>2.341E-4</v>
      </c>
      <c r="E25" s="100">
        <f>_xll.EQNXTDZ($A$1,$B25,E$1,$B$1)</f>
        <v>1.673E-4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9.2636999999999997E-2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5.9999999999999995E-4</v>
      </c>
      <c r="M25" s="100">
        <f>_xll.EQNXTDZ($A$1,$B25,M$1,$B$1)</f>
        <v>0</v>
      </c>
      <c r="N25" s="100">
        <f>_xll.EQNXTDZ($A$1,$B25,N$1,$B$1)</f>
        <v>25.322299999999998</v>
      </c>
      <c r="O25" s="100">
        <f>_xll.EQNXTDZ($A$1,$B25,O$1,$B$1)</f>
        <v>9.0916999999999994</v>
      </c>
      <c r="P25" s="100">
        <f>_xll.EQNXTDZ($A$1,$B25,P$1,$B$1)</f>
        <v>5.262E-4</v>
      </c>
      <c r="Q25" s="100">
        <f>_xll.EQNXTDZ($A$1,$B25,Q$1,$B$1)</f>
        <v>0.35449320000000001</v>
      </c>
      <c r="R25" s="100">
        <f>_xll.EQNXTDZ($A$1,$B25,R$1,$B$1)</f>
        <v>1.4858327</v>
      </c>
      <c r="S25" s="100">
        <f>_xll.EQNXTDZ($A$1,$B25,S$1,$B$1)</f>
        <v>1.9697241000000001</v>
      </c>
      <c r="T25" s="100">
        <f>_xll.EQNXTDZ($A$1,$B25,T$1,$B$1)</f>
        <v>1.1000000000000001E-3</v>
      </c>
      <c r="U25" s="100">
        <f>_xll.EQNXTDZ($A$1,$B25,U$1,$B$1)</f>
        <v>4.0000000000000002E-4</v>
      </c>
      <c r="V25" s="100">
        <f>_xll.EQNXTDZ($A$1,$B25,V$1,$B$1)</f>
        <v>1.6000000000000001E-3</v>
      </c>
      <c r="W25" s="100">
        <f>_xll.EQNXTDZ($A$1,$B25,W$1,$B$1)</f>
        <v>2.4400000000000002E-2</v>
      </c>
      <c r="X25" s="100">
        <f>_xll.EQNXTDZ($A$1,$B25,X$1,$B$1)</f>
        <v>1.0216000000000001</v>
      </c>
      <c r="Y25" s="100">
        <f>_xll.EQNXTDZ($A$1,$B25,Y$1,$B$1)</f>
        <v>4.7126000000000001</v>
      </c>
      <c r="Z25" s="100">
        <f>_xll.EQNXTDZ($A$1,$B25,Z$1,$B$1)</f>
        <v>6.2971000000000004</v>
      </c>
      <c r="AA25" s="100">
        <f>_xll.EQNXTDZ($A$1,$B25,AA$1,$B$1)</f>
        <v>26.86</v>
      </c>
      <c r="AB25" s="100">
        <f>_xll.EQNXTDZ($A$1,$B25,AB$1,$B$1)</f>
        <v>47.91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-103.41523286100001</v>
      </c>
      <c r="D26" s="100">
        <f>_xll.EQNXTDZ($A$1,$B26,D$1,$B$1)</f>
        <v>-0.80806309200000004</v>
      </c>
      <c r="E26" s="100">
        <f>_xll.EQNXTDZ($A$1,$B26,E$1,$B$1)</f>
        <v>-0.299527078</v>
      </c>
      <c r="F26" s="100">
        <f>_xll.EQNXTDZ($A$1,$B26,F$1,$B$1)</f>
        <v>-20.735023504000001</v>
      </c>
      <c r="G26" s="100">
        <f>_xll.EQNXTDZ($A$1,$B26,G$1,$B$1)</f>
        <v>-5.955187274</v>
      </c>
      <c r="H26" s="100">
        <f>_xll.EQNXTDZ($A$1,$B26,H$1,$B$1)</f>
        <v>-13.29404441</v>
      </c>
      <c r="I26" s="100">
        <f>_xll.EQNXTDZ($A$1,$B26,I$1,$B$1)</f>
        <v>2.4517272E-2</v>
      </c>
      <c r="J26" s="100">
        <f>_xll.EQNXTDZ($A$1,$B26,J$1,$B$1)</f>
        <v>5.7571693E-2</v>
      </c>
      <c r="K26" s="100">
        <f>_xll.EQNXTDZ($A$1,$B26,K$1,$B$1)</f>
        <v>0.103436272</v>
      </c>
      <c r="L26" s="100">
        <f>_xll.EQNXTDZ($A$1,$B26,L$1,$B$1)</f>
        <v>1.2446999999999999</v>
      </c>
      <c r="M26" s="100">
        <f>_xll.EQNXTDZ($A$1,$B26,M$1,$B$1)</f>
        <v>-3.3767999999999998</v>
      </c>
      <c r="N26" s="100">
        <f>_xll.EQNXTDZ($A$1,$B26,N$1,$B$1)</f>
        <v>1.4140999999999999</v>
      </c>
      <c r="O26" s="100">
        <f>_xll.EQNXTDZ($A$1,$B26,O$1,$B$1)</f>
        <v>2.1069</v>
      </c>
      <c r="P26" s="100">
        <f>_xll.EQNXTDZ($A$1,$B26,P$1,$B$1)</f>
        <v>0.85751869999999997</v>
      </c>
      <c r="Q26" s="100">
        <f>_xll.EQNXTDZ($A$1,$B26,Q$1,$B$1)</f>
        <v>0.45677820000000002</v>
      </c>
      <c r="R26" s="100">
        <f>_xll.EQNXTDZ($A$1,$B26,R$1,$B$1)</f>
        <v>-4.9817191999999997</v>
      </c>
      <c r="S26" s="100">
        <f>_xll.EQNXTDZ($A$1,$B26,S$1,$B$1)</f>
        <v>-3.6463994</v>
      </c>
      <c r="T26" s="100">
        <f>_xll.EQNXTDZ($A$1,$B26,T$1,$B$1)</f>
        <v>-5.9390999999999998</v>
      </c>
      <c r="U26" s="100">
        <f>_xll.EQNXTDZ($A$1,$B26,U$1,$B$1)</f>
        <v>-8.0355000000000008</v>
      </c>
      <c r="V26" s="100">
        <f>_xll.EQNXTDZ($A$1,$B26,V$1,$B$1)</f>
        <v>-1.5213000000000001</v>
      </c>
      <c r="W26" s="100">
        <f>_xll.EQNXTDZ($A$1,$B26,W$1,$B$1)</f>
        <v>-0.23930000000000001</v>
      </c>
      <c r="X26" s="100">
        <f>_xll.EQNXTDZ($A$1,$B26,X$1,$B$1)</f>
        <v>162.2988</v>
      </c>
      <c r="Y26" s="100">
        <f>_xll.EQNXTDZ($A$1,$B26,Y$1,$B$1)</f>
        <v>62.308900000000001</v>
      </c>
      <c r="Z26" s="100">
        <f>_xll.EQNXTDZ($A$1,$B26,Z$1,$B$1)</f>
        <v>218.1336</v>
      </c>
      <c r="AA26" s="100">
        <f>_xll.EQNXTDZ($A$1,$B26,AA$1,$B$1)</f>
        <v>173.84</v>
      </c>
      <c r="AB26" s="100">
        <f>_xll.EQNXTDZ($A$1,$B26,AB$1,$B$1)</f>
        <v>495.44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9.1718000000000008E-3</v>
      </c>
      <c r="D27" s="100">
        <f>_xll.EQNXTDZ($A$1,$B27,D$1,$B$1)</f>
        <v>8.8862000000000003E-3</v>
      </c>
      <c r="E27" s="100">
        <f>_xll.EQNXTDZ($A$1,$B27,E$1,$B$1)</f>
        <v>8.7080000000000005E-3</v>
      </c>
      <c r="F27" s="100">
        <f>_xll.EQNXTDZ($A$1,$B27,F$1,$B$1)</f>
        <v>7.7799000000000002E-3</v>
      </c>
      <c r="G27" s="100">
        <f>_xll.EQNXTDZ($A$1,$B27,G$1,$B$1)</f>
        <v>7.7799000000000002E-3</v>
      </c>
      <c r="H27" s="100">
        <f>_xll.EQNXTDZ($A$1,$B27,H$1,$B$1)</f>
        <v>3.7495500000000001E-2</v>
      </c>
      <c r="I27" s="100">
        <f>_xll.EQNXTDZ($A$1,$B27,I$1,$B$1)</f>
        <v>9.3325000000000005E-3</v>
      </c>
      <c r="J27" s="100">
        <f>_xll.EQNXTDZ($A$1,$B27,J$1,$B$1)</f>
        <v>8.7291999999999995E-3</v>
      </c>
      <c r="K27" s="100">
        <f>_xll.EQNXTDZ($A$1,$B27,K$1,$B$1)</f>
        <v>9.0755000000000002E-3</v>
      </c>
      <c r="L27" s="100">
        <f>_xll.EQNXTDZ($A$1,$B27,L$1,$B$1)</f>
        <v>9.1000000000000004E-3</v>
      </c>
      <c r="M27" s="100">
        <f>_xll.EQNXTDZ($A$1,$B27,M$1,$B$1)</f>
        <v>9.5999999999999992E-3</v>
      </c>
      <c r="N27" s="100">
        <f>_xll.EQNXTDZ($A$1,$B27,N$1,$B$1)</f>
        <v>1.11E-2</v>
      </c>
      <c r="O27" s="100">
        <f>_xll.EQNXTDZ($A$1,$B27,O$1,$B$1)</f>
        <v>1.09E-2</v>
      </c>
      <c r="P27" s="100">
        <f>_xll.EQNXTDZ($A$1,$B27,P$1,$B$1)</f>
        <v>3.5883E-3</v>
      </c>
      <c r="Q27" s="100">
        <f>_xll.EQNXTDZ($A$1,$B27,Q$1,$B$1)</f>
        <v>1.5941E-3</v>
      </c>
      <c r="R27" s="100">
        <f>_xll.EQNXTDZ($A$1,$B27,R$1,$B$1)</f>
        <v>5.0277000000000004E-3</v>
      </c>
      <c r="S27" s="100">
        <f>_xll.EQNXTDZ($A$1,$B27,S$1,$B$1)</f>
        <v>1.9845000000000002E-3</v>
      </c>
      <c r="T27" s="100">
        <f>_xll.EQNXTDZ($A$1,$B27,T$1,$B$1)</f>
        <v>2E-3</v>
      </c>
      <c r="U27" s="100">
        <f>_xll.EQNXTDZ($A$1,$B27,U$1,$B$1)</f>
        <v>8.0000000000000004E-4</v>
      </c>
      <c r="V27" s="100">
        <f>_xll.EQNXTDZ($A$1,$B27,V$1,$B$1)</f>
        <v>4.0000000000000002E-4</v>
      </c>
      <c r="W27" s="100">
        <f>_xll.EQNXTDZ($A$1,$B27,W$1,$B$1)</f>
        <v>4.0000000000000002E-4</v>
      </c>
      <c r="X27" s="100">
        <f>_xll.EQNXTDZ($A$1,$B27,X$1,$B$1)</f>
        <v>1.1655</v>
      </c>
      <c r="Y27" s="100">
        <f>_xll.EQNXTDZ($A$1,$B27,Y$1,$B$1)</f>
        <v>2.3835999999999999</v>
      </c>
      <c r="Z27" s="100">
        <f>_xll.EQNXTDZ($A$1,$B27,Z$1,$B$1)</f>
        <v>5.3811999999999998</v>
      </c>
      <c r="AA27" s="100">
        <f>_xll.EQNXTDZ($A$1,$B27,AA$1,$B$1)</f>
        <v>10.69</v>
      </c>
      <c r="AB27" s="100">
        <f>_xll.EQNXTDZ($A$1,$B27,AB$1,$B$1)</f>
        <v>22.83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-2.5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-4.09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1E-4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1.2880600000000001E-2</v>
      </c>
      <c r="I30" s="100">
        <f>_xll.EQNXTDZ($A$1,$B30,I$1,$B$1)</f>
        <v>6.2823999999999996E-3</v>
      </c>
      <c r="J30" s="100">
        <f>_xll.EQNXTDZ($A$1,$B30,J$1,$B$1)</f>
        <v>5.6084000000000004E-3</v>
      </c>
      <c r="K30" s="100">
        <f>_xll.EQNXTDZ($A$1,$B30,K$1,$B$1)</f>
        <v>1.2735099999999999E-2</v>
      </c>
      <c r="L30" s="100">
        <f>_xll.EQNXTDZ($A$1,$B30,L$1,$B$1)</f>
        <v>2.8E-3</v>
      </c>
      <c r="M30" s="100">
        <f>_xll.EQNXTDZ($A$1,$B30,M$1,$B$1)</f>
        <v>-6.1999999999999998E-3</v>
      </c>
      <c r="N30" s="100">
        <f>_xll.EQNXTDZ($A$1,$B30,N$1,$B$1)</f>
        <v>0.22</v>
      </c>
      <c r="O30" s="100">
        <f>_xll.EQNXTDZ($A$1,$B30,O$1,$B$1)</f>
        <v>0.67879999999999996</v>
      </c>
      <c r="P30" s="100">
        <f>_xll.EQNXTDZ($A$1,$B30,P$1,$B$1)</f>
        <v>0.1</v>
      </c>
      <c r="Q30" s="100">
        <f>_xll.EQNXTDZ($A$1,$B30,Q$1,$B$1)</f>
        <v>4.8000000000000001E-2</v>
      </c>
      <c r="R30" s="100">
        <f>_xll.EQNXTDZ($A$1,$B30,R$1,$B$1)</f>
        <v>0.3461109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-0.69240000000000002</v>
      </c>
      <c r="W30" s="100">
        <f>_xll.EQNXTDZ($A$1,$B30,W$1,$B$1)</f>
        <v>0</v>
      </c>
      <c r="X30" s="100">
        <f>_xll.EQNXTDZ($A$1,$B30,X$1,$B$1)</f>
        <v>6.1603000000000003</v>
      </c>
      <c r="Y30" s="100">
        <f>_xll.EQNXTDZ($A$1,$B30,Y$1,$B$1)</f>
        <v>12.3964</v>
      </c>
      <c r="Z30" s="100">
        <f>_xll.EQNXTDZ($A$1,$B30,Z$1,$B$1)</f>
        <v>37.953200000000002</v>
      </c>
      <c r="AA30" s="100">
        <f>_xll.EQNXTDZ($A$1,$B30,AA$1,$B$1)</f>
        <v>36.840000000000003</v>
      </c>
      <c r="AB30" s="100">
        <f>_xll.EQNXTDZ($A$1,$B30,AB$1,$B$1)</f>
        <v>93.99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-2.6850999999999998</v>
      </c>
      <c r="Y32" s="100">
        <f>_xll.EQNXTDZ($A$1,$B32,Y$1,$B$1)</f>
        <v>-18.952000000000002</v>
      </c>
      <c r="Z32" s="100">
        <f>_xll.EQNXTDZ($A$1,$B32,Z$1,$B$1)</f>
        <v>-57.234299999999998</v>
      </c>
      <c r="AA32" s="100">
        <f>_xll.EQNXTDZ($A$1,$B32,AA$1,$B$1)</f>
        <v>-66.290000000000006</v>
      </c>
      <c r="AB32" s="100">
        <f>_xll.EQNXTDZ($A$1,$B32,AB$1,$B$1)</f>
        <v>-133.52000000000001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2.2607392000000002</v>
      </c>
      <c r="R33" s="100">
        <f>_xll.EQNXTDZ($A$1,$B33,R$1,$B$1)</f>
        <v>2.8135907000000002</v>
      </c>
      <c r="S33" s="100">
        <f>_xll.EQNXTDZ($A$1,$B33,S$1,$B$1)</f>
        <v>2.3930050999999999</v>
      </c>
      <c r="T33" s="100">
        <f>_xll.EQNXTDZ($A$1,$B33,T$1,$B$1)</f>
        <v>2.2757000000000001</v>
      </c>
      <c r="U33" s="100">
        <f>_xll.EQNXTDZ($A$1,$B33,U$1,$B$1)</f>
        <v>-35.9373</v>
      </c>
      <c r="V33" s="100">
        <f>_xll.EQNXTDZ($A$1,$B33,V$1,$B$1)</f>
        <v>0.30270000000000002</v>
      </c>
      <c r="W33" s="100">
        <f>_xll.EQNXTDZ($A$1,$B33,W$1,$B$1)</f>
        <v>1.452</v>
      </c>
      <c r="X33" s="100">
        <f>_xll.EQNXTDZ($A$1,$B33,X$1,$B$1)</f>
        <v>-1.2383999999999999</v>
      </c>
      <c r="Y33" s="100">
        <f>_xll.EQNXTDZ($A$1,$B33,Y$1,$B$1)</f>
        <v>22.677399999999999</v>
      </c>
      <c r="Z33" s="100">
        <f>_xll.EQNXTDZ($A$1,$B33,Z$1,$B$1)</f>
        <v>1E-3</v>
      </c>
      <c r="AA33" s="100">
        <f>_xll.EQNXTDZ($A$1,$B33,AA$1,$B$1)</f>
        <v>-2.92</v>
      </c>
      <c r="AB33" s="100">
        <f>_xll.EQNXTDZ($A$1,$B33,AB$1,$B$1)</f>
        <v>42.43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-103.424404661</v>
      </c>
      <c r="D35" s="100">
        <f>_xll.EQNXTDZ($A$1,$B35,D$1,$B$1)</f>
        <v>-0.81704929199999998</v>
      </c>
      <c r="E35" s="100">
        <f>_xll.EQNXTDZ($A$1,$B35,E$1,$B$1)</f>
        <v>-0.308235078</v>
      </c>
      <c r="F35" s="100">
        <f>_xll.EQNXTDZ($A$1,$B35,F$1,$B$1)</f>
        <v>-20.742803404</v>
      </c>
      <c r="G35" s="100">
        <f>_xll.EQNXTDZ($A$1,$B35,G$1,$B$1)</f>
        <v>-5.9629671740000001</v>
      </c>
      <c r="H35" s="100">
        <f>_xll.EQNXTDZ($A$1,$B35,H$1,$B$1)</f>
        <v>-13.344420510000001</v>
      </c>
      <c r="I35" s="100">
        <f>_xll.EQNXTDZ($A$1,$B35,I$1,$B$1)</f>
        <v>8.9023720000000004E-3</v>
      </c>
      <c r="J35" s="100">
        <f>_xll.EQNXTDZ($A$1,$B35,J$1,$B$1)</f>
        <v>4.3234093000000001E-2</v>
      </c>
      <c r="K35" s="100">
        <f>_xll.EQNXTDZ($A$1,$B35,K$1,$B$1)</f>
        <v>8.1625671999999996E-2</v>
      </c>
      <c r="L35" s="100">
        <f>_xll.EQNXTDZ($A$1,$B35,L$1,$B$1)</f>
        <v>1.2327999999999999</v>
      </c>
      <c r="M35" s="100">
        <f>_xll.EQNXTDZ($A$1,$B35,M$1,$B$1)</f>
        <v>-3.3801999999999999</v>
      </c>
      <c r="N35" s="100">
        <f>_xll.EQNXTDZ($A$1,$B35,N$1,$B$1)</f>
        <v>1.1830000000000001</v>
      </c>
      <c r="O35" s="100">
        <f>_xll.EQNXTDZ($A$1,$B35,O$1,$B$1)</f>
        <v>1.4172</v>
      </c>
      <c r="P35" s="100">
        <f>_xll.EQNXTDZ($A$1,$B35,P$1,$B$1)</f>
        <v>0.7539304</v>
      </c>
      <c r="Q35" s="100">
        <f>_xll.EQNXTDZ($A$1,$B35,Q$1,$B$1)</f>
        <v>2.6679233</v>
      </c>
      <c r="R35" s="100">
        <f>_xll.EQNXTDZ($A$1,$B35,R$1,$B$1)</f>
        <v>-2.5192671</v>
      </c>
      <c r="S35" s="100">
        <f>_xll.EQNXTDZ($A$1,$B35,S$1,$B$1)</f>
        <v>-1.2553787999999999</v>
      </c>
      <c r="T35" s="100">
        <f>_xll.EQNXTDZ($A$1,$B35,T$1,$B$1)</f>
        <v>-3.6654</v>
      </c>
      <c r="U35" s="100">
        <f>_xll.EQNXTDZ($A$1,$B35,U$1,$B$1)</f>
        <v>-43.973599999999998</v>
      </c>
      <c r="V35" s="100">
        <f>_xll.EQNXTDZ($A$1,$B35,V$1,$B$1)</f>
        <v>-0.52659999999999996</v>
      </c>
      <c r="W35" s="100">
        <f>_xll.EQNXTDZ($A$1,$B35,W$1,$B$1)</f>
        <v>1.2122999999999999</v>
      </c>
      <c r="X35" s="100">
        <f>_xll.EQNXTDZ($A$1,$B35,X$1,$B$1)</f>
        <v>151.04949999999999</v>
      </c>
      <c r="Y35" s="100">
        <f>_xll.EQNXTDZ($A$1,$B35,Y$1,$B$1)</f>
        <v>48.754300000000001</v>
      </c>
      <c r="Z35" s="100">
        <f>_xll.EQNXTDZ($A$1,$B35,Z$1,$B$1)</f>
        <v>117.5659</v>
      </c>
      <c r="AA35" s="100">
        <f>_xll.EQNXTDZ($A$1,$B35,AA$1,$B$1)</f>
        <v>57.1</v>
      </c>
      <c r="AB35" s="100">
        <f>_xll.EQNXTDZ($A$1,$B35,AB$1,$B$1)</f>
        <v>283.44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205.81</v>
      </c>
      <c r="D41" s="55">
        <f>_xll.EQNXTDZ($A$1,$B41,D$1,$B$1)</f>
        <v>205.81</v>
      </c>
      <c r="E41" s="55">
        <f>_xll.EQNXTDZ($A$1,$B41,E$1,$B$1)</f>
        <v>205.81</v>
      </c>
      <c r="F41" s="55">
        <f>_xll.EQNXTDZ($A$1,$B41,F$1,$B$1)</f>
        <v>205.81</v>
      </c>
      <c r="G41" s="55">
        <f>_xll.EQNXTDZ($A$1,$B41,G$1,$B$1)</f>
        <v>205.81</v>
      </c>
      <c r="H41" s="55">
        <f>_xll.EQNXTDZ($A$1,$B41,H$1,$B$1)</f>
        <v>102.905</v>
      </c>
      <c r="I41" s="55">
        <f>_xll.EQNXTDZ($A$1,$B41,I$1,$B$1)</f>
        <v>102.905</v>
      </c>
      <c r="J41" s="55">
        <f>_xll.EQNXTDZ($A$1,$B41,J$1,$B$1)</f>
        <v>102.905</v>
      </c>
      <c r="K41" s="55">
        <f>_xll.EQNXTDZ($A$1,$B41,K$1,$B$1)</f>
        <v>102.905</v>
      </c>
      <c r="L41" s="55">
        <f>_xll.EQNXTDZ($A$1,$B41,L$1,$B$1)</f>
        <v>102.905</v>
      </c>
      <c r="M41" s="55">
        <f>_xll.EQNXTDZ($A$1,$B41,M$1,$B$1)</f>
        <v>642.85299999999995</v>
      </c>
      <c r="N41" s="55">
        <f>_xll.EQNXTDZ($A$1,$B41,N$1,$B$1)</f>
        <v>102.905</v>
      </c>
      <c r="O41" s="55">
        <f>_xll.EQNXTDZ($A$1,$B41,O$1,$B$1)</f>
        <v>104.45050000000001</v>
      </c>
      <c r="P41" s="55">
        <f>_xll.EQNXTDZ($A$1,$B41,P$1,$B$1)</f>
        <v>104.4505465</v>
      </c>
      <c r="Q41" s="55">
        <f>_xll.EQNXTDZ($A$1,$B41,Q$1,$B$1)</f>
        <v>113.9505465</v>
      </c>
      <c r="R41" s="55">
        <f>_xll.EQNXTDZ($A$1,$B41,R$1,$B$1)</f>
        <v>113.9505465</v>
      </c>
      <c r="S41" s="55">
        <f>_xll.EQNXTDZ($A$1,$B41,S$1,$B$1)</f>
        <v>113.9505465</v>
      </c>
      <c r="T41" s="55">
        <f>_xll.EQNXTDZ($A$1,$B41,T$1,$B$1)</f>
        <v>113.95050000000001</v>
      </c>
      <c r="U41" s="55">
        <f>_xll.EQNXTDZ($A$1,$B41,U$1,$B$1)</f>
        <v>113.95050000000001</v>
      </c>
      <c r="V41" s="55">
        <f>_xll.EQNXTDZ($A$1,$B41,V$1,$B$1)</f>
        <v>113.95050000000001</v>
      </c>
      <c r="W41" s="55">
        <f>_xll.EQNXTDZ($A$1,$B41,W$1,$B$1)</f>
        <v>113.95050000000001</v>
      </c>
      <c r="X41" s="55">
        <f>_xll.EQNXTDZ($A$1,$B41,X$1,$B$1)</f>
        <v>127.21259999999999</v>
      </c>
      <c r="Y41" s="55">
        <f>_xll.EQNXTDZ($A$1,$B41,Y$1,$B$1)</f>
        <v>127.21259999999999</v>
      </c>
      <c r="Z41" s="55">
        <f>_xll.EQNXTDZ($A$1,$B41,Z$1,$B$1)</f>
        <v>127.21259999999999</v>
      </c>
      <c r="AA41" s="55">
        <f>_xll.EQNXTDZ($A$1,$B41,AA$1,$B$1)</f>
        <v>127.21</v>
      </c>
      <c r="AB41" s="55">
        <f>_xll.EQNXTDZ($A$1,$B41,AB$1,$B$1)</f>
        <v>151.04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541.95690000000002</v>
      </c>
      <c r="M42" s="55">
        <f>_xll.EQNXTDZ($A$1,$B42,M$1,$B$1)</f>
        <v>0</v>
      </c>
      <c r="N42" s="55">
        <f>_xll.EQNXTDZ($A$1,$B42,N$1,$B$1)</f>
        <v>1.5455000000000001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15.8514</v>
      </c>
      <c r="Y42" s="55">
        <f>_xll.EQNXTDZ($A$1,$B42,Y$1,$B$1)</f>
        <v>7.1664000000000003</v>
      </c>
      <c r="Z42" s="55">
        <f>_xll.EQNXTDZ($A$1,$B42,Z$1,$B$1)</f>
        <v>3.1467999999999998</v>
      </c>
      <c r="AA42" s="55">
        <f>_xll.EQNXTDZ($A$1,$B42,AA$1,$B$1)</f>
        <v>4.92</v>
      </c>
      <c r="AB42" s="55">
        <f>_xll.EQNXTDZ($A$1,$B42,AB$1,$B$1)</f>
        <v>18.12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-127.042579735</v>
      </c>
      <c r="D43" s="55">
        <f>_xll.EQNXTDZ($A$1,$B43,D$1,$B$1)</f>
        <v>-127.859629027</v>
      </c>
      <c r="E43" s="55">
        <f>_xll.EQNXTDZ($A$1,$B43,E$1,$B$1)</f>
        <v>-128.16786410500001</v>
      </c>
      <c r="F43" s="55">
        <f>_xll.EQNXTDZ($A$1,$B43,F$1,$B$1)</f>
        <v>-148.91066750900001</v>
      </c>
      <c r="G43" s="55">
        <f>_xll.EQNXTDZ($A$1,$B43,G$1,$B$1)</f>
        <v>-154.87363468300001</v>
      </c>
      <c r="H43" s="55">
        <f>_xll.EQNXTDZ($A$1,$B43,H$1,$B$1)</f>
        <v>109.76021222599999</v>
      </c>
      <c r="I43" s="55">
        <f>_xll.EQNXTDZ($A$1,$B43,I$1,$B$1)</f>
        <v>109.769114598</v>
      </c>
      <c r="J43" s="55">
        <f>_xll.EQNXTDZ($A$1,$B43,J$1,$B$1)</f>
        <v>114.944192061</v>
      </c>
      <c r="K43" s="55">
        <f>_xll.EQNXTDZ($A$1,$B43,K$1,$B$1)</f>
        <v>115.025817733</v>
      </c>
      <c r="L43" s="55">
        <f>_xll.EQNXTDZ($A$1,$B43,L$1,$B$1)</f>
        <v>116.2586</v>
      </c>
      <c r="M43" s="55">
        <f>_xll.EQNXTDZ($A$1,$B43,M$1,$B$1)</f>
        <v>112.8683</v>
      </c>
      <c r="N43" s="55">
        <f>_xll.EQNXTDZ($A$1,$B43,N$1,$B$1)</f>
        <v>264.0521</v>
      </c>
      <c r="O43" s="55">
        <f>_xll.EQNXTDZ($A$1,$B43,O$1,$B$1)</f>
        <v>265.46929999999998</v>
      </c>
      <c r="P43" s="55">
        <f>_xll.EQNXTDZ($A$1,$B43,P$1,$B$1)</f>
        <v>266.22329400000001</v>
      </c>
      <c r="Q43" s="55">
        <f>_xll.EQNXTDZ($A$1,$B43,Q$1,$B$1)</f>
        <v>336.10654620000003</v>
      </c>
      <c r="R43" s="55">
        <f>_xll.EQNXTDZ($A$1,$B43,R$1,$B$1)</f>
        <v>333.38450399999999</v>
      </c>
      <c r="S43" s="55">
        <f>_xll.EQNXTDZ($A$1,$B43,S$1,$B$1)</f>
        <v>349.88958630000002</v>
      </c>
      <c r="T43" s="55">
        <f>_xll.EQNXTDZ($A$1,$B43,T$1,$B$1)</f>
        <v>282.25760000000002</v>
      </c>
      <c r="U43" s="55">
        <f>_xll.EQNXTDZ($A$1,$B43,U$1,$B$1)</f>
        <v>221.56970000000001</v>
      </c>
      <c r="V43" s="55">
        <f>_xll.EQNXTDZ($A$1,$B43,V$1,$B$1)</f>
        <v>198.3595</v>
      </c>
      <c r="W43" s="55">
        <f>_xll.EQNXTDZ($A$1,$B43,W$1,$B$1)</f>
        <v>213.3844</v>
      </c>
      <c r="X43" s="55">
        <f>_xll.EQNXTDZ($A$1,$B43,X$1,$B$1)</f>
        <v>595.88</v>
      </c>
      <c r="Y43" s="55">
        <f>_xll.EQNXTDZ($A$1,$B43,Y$1,$B$1)</f>
        <v>883.75909999999999</v>
      </c>
      <c r="Z43" s="55">
        <f>_xll.EQNXTDZ($A$1,$B43,Z$1,$B$1)</f>
        <v>1419.5659000000001</v>
      </c>
      <c r="AA43" s="55">
        <f>_xll.EQNXTDZ($A$1,$B43,AA$1,$B$1)</f>
        <v>2469.36</v>
      </c>
      <c r="AB43" s="55">
        <f>_xll.EQNXTDZ($A$1,$B43,AB$1,$B$1)</f>
        <v>3973.43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78.767420264999998</v>
      </c>
      <c r="D44" s="55">
        <f>_xll.EQNXTDZ($A$1,$B44,D$1,$B$1)</f>
        <v>77.950370973000005</v>
      </c>
      <c r="E44" s="55">
        <f>_xll.EQNXTDZ($A$1,$B44,E$1,$B$1)</f>
        <v>77.642135894999996</v>
      </c>
      <c r="F44" s="55">
        <f>_xll.EQNXTDZ($A$1,$B44,F$1,$B$1)</f>
        <v>56.899332491000003</v>
      </c>
      <c r="G44" s="55">
        <f>_xll.EQNXTDZ($A$1,$B44,G$1,$B$1)</f>
        <v>50.936365317000003</v>
      </c>
      <c r="H44" s="55">
        <f>_xll.EQNXTDZ($A$1,$B44,H$1,$B$1)</f>
        <v>212.66521222599999</v>
      </c>
      <c r="I44" s="55">
        <f>_xll.EQNXTDZ($A$1,$B44,I$1,$B$1)</f>
        <v>212.67411459799999</v>
      </c>
      <c r="J44" s="55">
        <f>_xll.EQNXTDZ($A$1,$B44,J$1,$B$1)</f>
        <v>217.849192061</v>
      </c>
      <c r="K44" s="55">
        <f>_xll.EQNXTDZ($A$1,$B44,K$1,$B$1)</f>
        <v>217.930817733</v>
      </c>
      <c r="L44" s="55">
        <f>_xll.EQNXTDZ($A$1,$B44,L$1,$B$1)</f>
        <v>761.12049999999999</v>
      </c>
      <c r="M44" s="55">
        <f>_xll.EQNXTDZ($A$1,$B44,M$1,$B$1)</f>
        <v>755.72130000000004</v>
      </c>
      <c r="N44" s="55">
        <f>_xll.EQNXTDZ($A$1,$B44,N$1,$B$1)</f>
        <v>368.50259999999997</v>
      </c>
      <c r="O44" s="55">
        <f>_xll.EQNXTDZ($A$1,$B44,O$1,$B$1)</f>
        <v>369.91980000000001</v>
      </c>
      <c r="P44" s="55">
        <f>_xll.EQNXTDZ($A$1,$B44,P$1,$B$1)</f>
        <v>370.67384049999998</v>
      </c>
      <c r="Q44" s="55">
        <f>_xll.EQNXTDZ($A$1,$B44,Q$1,$B$1)</f>
        <v>450.0570927</v>
      </c>
      <c r="R44" s="55">
        <f>_xll.EQNXTDZ($A$1,$B44,R$1,$B$1)</f>
        <v>447.33505050000002</v>
      </c>
      <c r="S44" s="55">
        <f>_xll.EQNXTDZ($A$1,$B44,S$1,$B$1)</f>
        <v>463.84013279999999</v>
      </c>
      <c r="T44" s="55">
        <f>_xll.EQNXTDZ($A$1,$B44,T$1,$B$1)</f>
        <v>396.2081</v>
      </c>
      <c r="U44" s="55">
        <f>_xll.EQNXTDZ($A$1,$B44,U$1,$B$1)</f>
        <v>335.52019999999999</v>
      </c>
      <c r="V44" s="55">
        <f>_xll.EQNXTDZ($A$1,$B44,V$1,$B$1)</f>
        <v>312.31</v>
      </c>
      <c r="W44" s="55">
        <f>_xll.EQNXTDZ($A$1,$B44,W$1,$B$1)</f>
        <v>327.3349</v>
      </c>
      <c r="X44" s="55">
        <f>_xll.EQNXTDZ($A$1,$B44,X$1,$B$1)</f>
        <v>738.94399999999996</v>
      </c>
      <c r="Y44" s="55">
        <f>_xll.EQNXTDZ($A$1,$B44,Y$1,$B$1)</f>
        <v>1018.1381</v>
      </c>
      <c r="Z44" s="55">
        <f>_xll.EQNXTDZ($A$1,$B44,Z$1,$B$1)</f>
        <v>1549.9253000000001</v>
      </c>
      <c r="AA44" s="55">
        <f>_xll.EQNXTDZ($A$1,$B44,AA$1,$B$1)</f>
        <v>2601.4899999999998</v>
      </c>
      <c r="AB44" s="55">
        <f>_xll.EQNXTDZ($A$1,$B44,AB$1,$B$1)</f>
        <v>4142.59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55.646700000000003</v>
      </c>
      <c r="Y45" s="55">
        <f>_xll.EQNXTDZ($A$1,$B45,Y$1,$B$1)</f>
        <v>85.195499999999996</v>
      </c>
      <c r="Z45" s="55">
        <f>_xll.EQNXTDZ($A$1,$B45,Z$1,$B$1)</f>
        <v>383.209</v>
      </c>
      <c r="AA45" s="55">
        <f>_xll.EQNXTDZ($A$1,$B45,AA$1,$B$1)</f>
        <v>523.87</v>
      </c>
      <c r="AB45" s="55">
        <f>_xll.EQNXTDZ($A$1,$B45,AB$1,$B$1)</f>
        <v>1290.1400000000001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15.737243400000001</v>
      </c>
      <c r="I47" s="55">
        <f>_xll.EQNXTDZ($A$1,$B47,I$1,$B$1)</f>
        <v>14.987243400000001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18.860199999999999</v>
      </c>
      <c r="Y47" s="55">
        <f>_xll.EQNXTDZ($A$1,$B47,Y$1,$B$1)</f>
        <v>0.42649999999999999</v>
      </c>
      <c r="Z47" s="55">
        <f>_xll.EQNXTDZ($A$1,$B47,Z$1,$B$1)</f>
        <v>4.6527000000000003</v>
      </c>
      <c r="AA47" s="55">
        <f>_xll.EQNXTDZ($A$1,$B47,AA$1,$B$1)</f>
        <v>126.02</v>
      </c>
      <c r="AB47" s="55">
        <f>_xll.EQNXTDZ($A$1,$B47,AB$1,$B$1)</f>
        <v>388.87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44.178140949000003</v>
      </c>
      <c r="D48" s="55">
        <f>_xll.EQNXTDZ($A$1,$B48,D$1,$B$1)</f>
        <v>48.356140949</v>
      </c>
      <c r="E48" s="55">
        <f>_xll.EQNXTDZ($A$1,$B48,E$1,$B$1)</f>
        <v>47.10450195</v>
      </c>
      <c r="F48" s="55">
        <f>_xll.EQNXTDZ($A$1,$B48,F$1,$B$1)</f>
        <v>47.10450195</v>
      </c>
      <c r="G48" s="55">
        <f>_xll.EQNXTDZ($A$1,$B48,G$1,$B$1)</f>
        <v>133.89366890700001</v>
      </c>
      <c r="H48" s="55">
        <f>_xll.EQNXTDZ($A$1,$B48,H$1,$B$1)</f>
        <v>154.08523455</v>
      </c>
      <c r="I48" s="55">
        <f>_xll.EQNXTDZ($A$1,$B48,I$1,$B$1)</f>
        <v>152.44308032500001</v>
      </c>
      <c r="J48" s="55">
        <f>_xll.EQNXTDZ($A$1,$B48,J$1,$B$1)</f>
        <v>223.87543454999999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11.05</v>
      </c>
      <c r="AB48" s="55">
        <f>_xll.EQNXTDZ($A$1,$B48,AB$1,$B$1)</f>
        <v>0.31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-3.6440999999999999</v>
      </c>
      <c r="Y49" s="55">
        <f>_xll.EQNXTDZ($A$1,$B49,Y$1,$B$1)</f>
        <v>-1.0750999999999999</v>
      </c>
      <c r="Z49" s="55">
        <f>_xll.EQNXTDZ($A$1,$B49,Z$1,$B$1)</f>
        <v>105.0538</v>
      </c>
      <c r="AA49" s="55">
        <f>_xll.EQNXTDZ($A$1,$B49,AA$1,$B$1)</f>
        <v>279.04000000000002</v>
      </c>
      <c r="AB49" s="55">
        <f>_xll.EQNXTDZ($A$1,$B49,AB$1,$B$1)</f>
        <v>337.7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3.7528999999999999</v>
      </c>
      <c r="Y50" s="55">
        <f>_xll.EQNXTDZ($A$1,$B50,Y$1,$B$1)</f>
        <v>4.9698000000000002</v>
      </c>
      <c r="Z50" s="55">
        <f>_xll.EQNXTDZ($A$1,$B50,Z$1,$B$1)</f>
        <v>13.5444</v>
      </c>
      <c r="AA50" s="55">
        <f>_xll.EQNXTDZ($A$1,$B50,AA$1,$B$1)</f>
        <v>21.5</v>
      </c>
      <c r="AB50" s="55">
        <f>_xll.EQNXTDZ($A$1,$B50,AB$1,$B$1)</f>
        <v>61.14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1.5142</v>
      </c>
      <c r="AA51" s="55">
        <f>_xll.EQNXTDZ($A$1,$B51,AA$1,$B$1)</f>
        <v>1.51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0.32139119999999999</v>
      </c>
      <c r="R52" s="55">
        <f>_xll.EQNXTDZ($A$1,$B52,R$1,$B$1)</f>
        <v>0.2474277</v>
      </c>
      <c r="S52" s="55">
        <f>_xll.EQNXTDZ($A$1,$B52,S$1,$B$1)</f>
        <v>0.19945930000000001</v>
      </c>
      <c r="T52" s="55">
        <f>_xll.EQNXTDZ($A$1,$B52,T$1,$B$1)</f>
        <v>0.28310000000000002</v>
      </c>
      <c r="U52" s="55">
        <f>_xll.EQNXTDZ($A$1,$B52,U$1,$B$1)</f>
        <v>0.33500000000000002</v>
      </c>
      <c r="V52" s="55">
        <f>_xll.EQNXTDZ($A$1,$B52,V$1,$B$1)</f>
        <v>0.40179999999999999</v>
      </c>
      <c r="W52" s="55">
        <f>_xll.EQNXTDZ($A$1,$B52,W$1,$B$1)</f>
        <v>0.43190000000000001</v>
      </c>
      <c r="X52" s="55">
        <f>_xll.EQNXTDZ($A$1,$B52,X$1,$B$1)</f>
        <v>4.5189000000000004</v>
      </c>
      <c r="Y52" s="55">
        <f>_xll.EQNXTDZ($A$1,$B52,Y$1,$B$1)</f>
        <v>3.9394</v>
      </c>
      <c r="Z52" s="55">
        <f>_xll.EQNXTDZ($A$1,$B52,Z$1,$B$1)</f>
        <v>5.6467000000000001</v>
      </c>
      <c r="AA52" s="55">
        <f>_xll.EQNXTDZ($A$1,$B52,AA$1,$B$1)</f>
        <v>7.76</v>
      </c>
      <c r="AB52" s="55">
        <f>_xll.EQNXTDZ($A$1,$B52,AB$1,$B$1)</f>
        <v>10.65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44.178140949000003</v>
      </c>
      <c r="D53" s="55">
        <f>_xll.EQNXTDZ($A$1,$B53,D$1,$B$1)</f>
        <v>48.356140949</v>
      </c>
      <c r="E53" s="55">
        <f>_xll.EQNXTDZ($A$1,$B53,E$1,$B$1)</f>
        <v>47.10450195</v>
      </c>
      <c r="F53" s="55">
        <f>_xll.EQNXTDZ($A$1,$B53,F$1,$B$1)</f>
        <v>47.10450195</v>
      </c>
      <c r="G53" s="55">
        <f>_xll.EQNXTDZ($A$1,$B53,G$1,$B$1)</f>
        <v>133.89366890700001</v>
      </c>
      <c r="H53" s="55">
        <f>_xll.EQNXTDZ($A$1,$B53,H$1,$B$1)</f>
        <v>169.82247795000001</v>
      </c>
      <c r="I53" s="55">
        <f>_xll.EQNXTDZ($A$1,$B53,I$1,$B$1)</f>
        <v>167.43032372499999</v>
      </c>
      <c r="J53" s="55">
        <f>_xll.EQNXTDZ($A$1,$B53,J$1,$B$1)</f>
        <v>223.87543454999999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0.32139119999999999</v>
      </c>
      <c r="R53" s="55">
        <f>_xll.EQNXTDZ($A$1,$B53,R$1,$B$1)</f>
        <v>0.2474277</v>
      </c>
      <c r="S53" s="55">
        <f>_xll.EQNXTDZ($A$1,$B53,S$1,$B$1)</f>
        <v>0.19945930000000001</v>
      </c>
      <c r="T53" s="55">
        <f>_xll.EQNXTDZ($A$1,$B53,T$1,$B$1)</f>
        <v>0.28310000000000002</v>
      </c>
      <c r="U53" s="55">
        <f>_xll.EQNXTDZ($A$1,$B53,U$1,$B$1)</f>
        <v>0.33500000000000002</v>
      </c>
      <c r="V53" s="55">
        <f>_xll.EQNXTDZ($A$1,$B53,V$1,$B$1)</f>
        <v>0.40179999999999999</v>
      </c>
      <c r="W53" s="55">
        <f>_xll.EQNXTDZ($A$1,$B53,W$1,$B$1)</f>
        <v>0.43190000000000001</v>
      </c>
      <c r="X53" s="55">
        <f>_xll.EQNXTDZ($A$1,$B53,X$1,$B$1)</f>
        <v>23.4879</v>
      </c>
      <c r="Y53" s="55">
        <f>_xll.EQNXTDZ($A$1,$B53,Y$1,$B$1)</f>
        <v>8.2606000000000002</v>
      </c>
      <c r="Z53" s="55">
        <f>_xll.EQNXTDZ($A$1,$B53,Z$1,$B$1)</f>
        <v>130.4118</v>
      </c>
      <c r="AA53" s="55">
        <f>_xll.EQNXTDZ($A$1,$B53,AA$1,$B$1)</f>
        <v>446.88</v>
      </c>
      <c r="AB53" s="55">
        <f>_xll.EQNXTDZ($A$1,$B53,AB$1,$B$1)</f>
        <v>798.67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70.054188656999997</v>
      </c>
      <c r="D54" s="55">
        <f>_xll.EQNXTDZ($A$1,$B54,D$1,$B$1)</f>
        <v>65.858934556999998</v>
      </c>
      <c r="E54" s="55">
        <f>_xll.EQNXTDZ($A$1,$B54,E$1,$B$1)</f>
        <v>54.194439056</v>
      </c>
      <c r="F54" s="55">
        <f>_xll.EQNXTDZ($A$1,$B54,F$1,$B$1)</f>
        <v>42.987651456999998</v>
      </c>
      <c r="G54" s="55">
        <f>_xll.EQNXTDZ($A$1,$B54,G$1,$B$1)</f>
        <v>9.3484499999999998E-2</v>
      </c>
      <c r="H54" s="55">
        <f>_xll.EQNXTDZ($A$1,$B54,H$1,$B$1)</f>
        <v>29.264714999999999</v>
      </c>
      <c r="I54" s="55">
        <f>_xll.EQNXTDZ($A$1,$B54,I$1,$B$1)</f>
        <v>9.0008535599999995</v>
      </c>
      <c r="J54" s="55">
        <f>_xll.EQNXTDZ($A$1,$B54,J$1,$B$1)</f>
        <v>45.757318699999999</v>
      </c>
      <c r="K54" s="55">
        <f>_xll.EQNXTDZ($A$1,$B54,K$1,$B$1)</f>
        <v>247.240044743</v>
      </c>
      <c r="L54" s="55">
        <f>_xll.EQNXTDZ($A$1,$B54,L$1,$B$1)</f>
        <v>115.33799999999999</v>
      </c>
      <c r="M54" s="55">
        <f>_xll.EQNXTDZ($A$1,$B54,M$1,$B$1)</f>
        <v>118.2453</v>
      </c>
      <c r="N54" s="55">
        <f>_xll.EQNXTDZ($A$1,$B54,N$1,$B$1)</f>
        <v>230.6498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23.8642267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6.4500000000000002E-2</v>
      </c>
      <c r="U54" s="55">
        <f>_xll.EQNXTDZ($A$1,$B54,U$1,$B$1)</f>
        <v>5.5800000000000002E-2</v>
      </c>
      <c r="V54" s="55">
        <f>_xll.EQNXTDZ($A$1,$B54,V$1,$B$1)</f>
        <v>0.60899999999999999</v>
      </c>
      <c r="W54" s="55">
        <f>_xll.EQNXTDZ($A$1,$B54,W$1,$B$1)</f>
        <v>2.8000000000000001E-2</v>
      </c>
      <c r="X54" s="55">
        <f>_xll.EQNXTDZ($A$1,$B54,X$1,$B$1)</f>
        <v>8.7446000000000002</v>
      </c>
      <c r="Y54" s="55">
        <f>_xll.EQNXTDZ($A$1,$B54,Y$1,$B$1)</f>
        <v>24.898700000000002</v>
      </c>
      <c r="Z54" s="55">
        <f>_xll.EQNXTDZ($A$1,$B54,Z$1,$B$1)</f>
        <v>29.246300000000002</v>
      </c>
      <c r="AA54" s="55">
        <f>_xll.EQNXTDZ($A$1,$B54,AA$1,$B$1)</f>
        <v>115.45</v>
      </c>
      <c r="AB54" s="55">
        <f>_xll.EQNXTDZ($A$1,$B54,AB$1,$B$1)</f>
        <v>221.34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43.963348396000001</v>
      </c>
      <c r="D55" s="55">
        <f>_xll.EQNXTDZ($A$1,$B55,D$1,$B$1)</f>
        <v>43.986222073999997</v>
      </c>
      <c r="E55" s="55">
        <f>_xll.EQNXTDZ($A$1,$B55,E$1,$B$1)</f>
        <v>43.895000000000003</v>
      </c>
      <c r="F55" s="55">
        <f>_xll.EQNXTDZ($A$1,$B55,F$1,$B$1)</f>
        <v>50.395000000000003</v>
      </c>
      <c r="G55" s="55">
        <f>_xll.EQNXTDZ($A$1,$B55,G$1,$B$1)</f>
        <v>7.2599999999999997E-4</v>
      </c>
      <c r="H55" s="55">
        <f>_xll.EQNXTDZ($A$1,$B55,H$1,$B$1)</f>
        <v>62.485902502000002</v>
      </c>
      <c r="I55" s="55">
        <f>_xll.EQNXTDZ($A$1,$B55,I$1,$B$1)</f>
        <v>104.982220209</v>
      </c>
      <c r="J55" s="55">
        <f>_xll.EQNXTDZ($A$1,$B55,J$1,$B$1)</f>
        <v>348.12519748</v>
      </c>
      <c r="K55" s="55">
        <f>_xll.EQNXTDZ($A$1,$B55,K$1,$B$1)</f>
        <v>655.73147189999997</v>
      </c>
      <c r="L55" s="55">
        <f>_xll.EQNXTDZ($A$1,$B55,L$1,$B$1)</f>
        <v>230.19800000000001</v>
      </c>
      <c r="M55" s="55">
        <f>_xll.EQNXTDZ($A$1,$B55,M$1,$B$1)</f>
        <v>275.68310000000002</v>
      </c>
      <c r="N55" s="55">
        <f>_xll.EQNXTDZ($A$1,$B55,N$1,$B$1)</f>
        <v>823.81280000000004</v>
      </c>
      <c r="O55" s="55">
        <f>_xll.EQNXTDZ($A$1,$B55,O$1,$B$1)</f>
        <v>657.58010000000002</v>
      </c>
      <c r="P55" s="55">
        <f>_xll.EQNXTDZ($A$1,$B55,P$1,$B$1)</f>
        <v>546.35164029999999</v>
      </c>
      <c r="Q55" s="55">
        <f>_xll.EQNXTDZ($A$1,$B55,Q$1,$B$1)</f>
        <v>24.6990053</v>
      </c>
      <c r="R55" s="55">
        <f>_xll.EQNXTDZ($A$1,$B55,R$1,$B$1)</f>
        <v>30.081156499999999</v>
      </c>
      <c r="S55" s="55">
        <f>_xll.EQNXTDZ($A$1,$B55,S$1,$B$1)</f>
        <v>11.200333199999999</v>
      </c>
      <c r="T55" s="55">
        <f>_xll.EQNXTDZ($A$1,$B55,T$1,$B$1)</f>
        <v>0.11799999999999999</v>
      </c>
      <c r="U55" s="55">
        <f>_xll.EQNXTDZ($A$1,$B55,U$1,$B$1)</f>
        <v>0.11650000000000001</v>
      </c>
      <c r="V55" s="55">
        <f>_xll.EQNXTDZ($A$1,$B55,V$1,$B$1)</f>
        <v>0.36409999999999998</v>
      </c>
      <c r="W55" s="55">
        <f>_xll.EQNXTDZ($A$1,$B55,W$1,$B$1)</f>
        <v>5.4489000000000001</v>
      </c>
      <c r="X55" s="55">
        <f>_xll.EQNXTDZ($A$1,$B55,X$1,$B$1)</f>
        <v>23.615200000000002</v>
      </c>
      <c r="Y55" s="55">
        <f>_xll.EQNXTDZ($A$1,$B55,Y$1,$B$1)</f>
        <v>113.6925</v>
      </c>
      <c r="Z55" s="55">
        <f>_xll.EQNXTDZ($A$1,$B55,Z$1,$B$1)</f>
        <v>194.13640000000001</v>
      </c>
      <c r="AA55" s="55">
        <f>_xll.EQNXTDZ($A$1,$B55,AA$1,$B$1)</f>
        <v>167.29</v>
      </c>
      <c r="AB55" s="55">
        <f>_xll.EQNXTDZ($A$1,$B55,AB$1,$B$1)</f>
        <v>489.98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2.1194000000000002</v>
      </c>
      <c r="X56" s="55">
        <f>_xll.EQNXTDZ($A$1,$B56,X$1,$B$1)</f>
        <v>0</v>
      </c>
      <c r="Y56" s="55">
        <f>_xll.EQNXTDZ($A$1,$B56,Y$1,$B$1)</f>
        <v>42.703800000000001</v>
      </c>
      <c r="Z56" s="55">
        <f>_xll.EQNXTDZ($A$1,$B56,Z$1,$B$1)</f>
        <v>104.0565</v>
      </c>
      <c r="AA56" s="55">
        <f>_xll.EQNXTDZ($A$1,$B56,AA$1,$B$1)</f>
        <v>391.91</v>
      </c>
      <c r="AB56" s="55">
        <f>_xll.EQNXTDZ($A$1,$B56,AB$1,$B$1)</f>
        <v>223.26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1.3382260000000001E-3</v>
      </c>
      <c r="E57" s="55">
        <f>_xll.EQNXTDZ($A$1,$B57,E$1,$B$1)</f>
        <v>7.0180000000000004E-4</v>
      </c>
      <c r="F57" s="55">
        <f>_xll.EQNXTDZ($A$1,$B57,F$1,$B$1)</f>
        <v>1.0651E-3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1.6814196999999999E-2</v>
      </c>
      <c r="L57" s="55">
        <f>_xll.EQNXTDZ($A$1,$B57,L$1,$B$1)</f>
        <v>2.8999999999999998E-3</v>
      </c>
      <c r="M57" s="55">
        <f>_xll.EQNXTDZ($A$1,$B57,M$1,$B$1)</f>
        <v>0.17710000000000001</v>
      </c>
      <c r="N57" s="55">
        <f>_xll.EQNXTDZ($A$1,$B57,N$1,$B$1)</f>
        <v>0.46310000000000001</v>
      </c>
      <c r="O57" s="55">
        <f>_xll.EQNXTDZ($A$1,$B57,O$1,$B$1)</f>
        <v>0.35199999999999998</v>
      </c>
      <c r="P57" s="55">
        <f>_xll.EQNXTDZ($A$1,$B57,P$1,$B$1)</f>
        <v>0</v>
      </c>
      <c r="Q57" s="55">
        <f>_xll.EQNXTDZ($A$1,$B57,Q$1,$B$1)</f>
        <v>3.5299999999999998E-2</v>
      </c>
      <c r="R57" s="55">
        <f>_xll.EQNXTDZ($A$1,$B57,R$1,$B$1)</f>
        <v>3.4205800000000001E-2</v>
      </c>
      <c r="S57" s="55">
        <f>_xll.EQNXTDZ($A$1,$B57,S$1,$B$1)</f>
        <v>0.1508149</v>
      </c>
      <c r="T57" s="55">
        <f>_xll.EQNXTDZ($A$1,$B57,T$1,$B$1)</f>
        <v>8.4500000000000006E-2</v>
      </c>
      <c r="U57" s="55">
        <f>_xll.EQNXTDZ($A$1,$B57,U$1,$B$1)</f>
        <v>0.10340000000000001</v>
      </c>
      <c r="V57" s="55">
        <f>_xll.EQNXTDZ($A$1,$B57,V$1,$B$1)</f>
        <v>0.1138</v>
      </c>
      <c r="W57" s="55">
        <f>_xll.EQNXTDZ($A$1,$B57,W$1,$B$1)</f>
        <v>9.5100000000000004E-2</v>
      </c>
      <c r="X57" s="55">
        <f>_xll.EQNXTDZ($A$1,$B57,X$1,$B$1)</f>
        <v>0.94359999999999999</v>
      </c>
      <c r="Y57" s="55">
        <f>_xll.EQNXTDZ($A$1,$B57,Y$1,$B$1)</f>
        <v>3.4456000000000002</v>
      </c>
      <c r="Z57" s="55">
        <f>_xll.EQNXTDZ($A$1,$B57,Z$1,$B$1)</f>
        <v>5.3281000000000001</v>
      </c>
      <c r="AA57" s="55">
        <f>_xll.EQNXTDZ($A$1,$B57,AA$1,$B$1)</f>
        <v>10.54</v>
      </c>
      <c r="AB57" s="55">
        <f>_xll.EQNXTDZ($A$1,$B57,AB$1,$B$1)</f>
        <v>14.2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114.017537053</v>
      </c>
      <c r="D59" s="55">
        <f>_xll.EQNXTDZ($A$1,$B59,D$1,$B$1)</f>
        <v>109.846494857</v>
      </c>
      <c r="E59" s="55">
        <f>_xll.EQNXTDZ($A$1,$B59,E$1,$B$1)</f>
        <v>98.090140856000005</v>
      </c>
      <c r="F59" s="55">
        <f>_xll.EQNXTDZ($A$1,$B59,F$1,$B$1)</f>
        <v>93.383716557</v>
      </c>
      <c r="G59" s="55">
        <f>_xll.EQNXTDZ($A$1,$B59,G$1,$B$1)</f>
        <v>9.4210500000000003E-2</v>
      </c>
      <c r="H59" s="55">
        <f>_xll.EQNXTDZ($A$1,$B59,H$1,$B$1)</f>
        <v>91.750617501999997</v>
      </c>
      <c r="I59" s="55">
        <f>_xll.EQNXTDZ($A$1,$B59,I$1,$B$1)</f>
        <v>113.983073769</v>
      </c>
      <c r="J59" s="55">
        <f>_xll.EQNXTDZ($A$1,$B59,J$1,$B$1)</f>
        <v>393.88251617999998</v>
      </c>
      <c r="K59" s="55">
        <f>_xll.EQNXTDZ($A$1,$B59,K$1,$B$1)</f>
        <v>902.98833084</v>
      </c>
      <c r="L59" s="55">
        <f>_xll.EQNXTDZ($A$1,$B59,L$1,$B$1)</f>
        <v>345.53890000000001</v>
      </c>
      <c r="M59" s="55">
        <f>_xll.EQNXTDZ($A$1,$B59,M$1,$B$1)</f>
        <v>394.10550000000001</v>
      </c>
      <c r="N59" s="55">
        <f>_xll.EQNXTDZ($A$1,$B59,N$1,$B$1)</f>
        <v>1054.9257</v>
      </c>
      <c r="O59" s="55">
        <f>_xll.EQNXTDZ($A$1,$B59,O$1,$B$1)</f>
        <v>657.93209999999999</v>
      </c>
      <c r="P59" s="55">
        <f>_xll.EQNXTDZ($A$1,$B59,P$1,$B$1)</f>
        <v>546.35164029999999</v>
      </c>
      <c r="Q59" s="55">
        <f>_xll.EQNXTDZ($A$1,$B59,Q$1,$B$1)</f>
        <v>48.598531999999999</v>
      </c>
      <c r="R59" s="55">
        <f>_xll.EQNXTDZ($A$1,$B59,R$1,$B$1)</f>
        <v>30.115362300000001</v>
      </c>
      <c r="S59" s="55">
        <f>_xll.EQNXTDZ($A$1,$B59,S$1,$B$1)</f>
        <v>11.3511481</v>
      </c>
      <c r="T59" s="55">
        <f>_xll.EQNXTDZ($A$1,$B59,T$1,$B$1)</f>
        <v>0.26700000000000002</v>
      </c>
      <c r="U59" s="55">
        <f>_xll.EQNXTDZ($A$1,$B59,U$1,$B$1)</f>
        <v>0.2757</v>
      </c>
      <c r="V59" s="55">
        <f>_xll.EQNXTDZ($A$1,$B59,V$1,$B$1)</f>
        <v>1.0869</v>
      </c>
      <c r="W59" s="55">
        <f>_xll.EQNXTDZ($A$1,$B59,W$1,$B$1)</f>
        <v>7.6913999999999998</v>
      </c>
      <c r="X59" s="55">
        <f>_xll.EQNXTDZ($A$1,$B59,X$1,$B$1)</f>
        <v>33.303400000000003</v>
      </c>
      <c r="Y59" s="55">
        <f>_xll.EQNXTDZ($A$1,$B59,Y$1,$B$1)</f>
        <v>184.7406</v>
      </c>
      <c r="Z59" s="55">
        <f>_xll.EQNXTDZ($A$1,$B59,Z$1,$B$1)</f>
        <v>332.76729999999998</v>
      </c>
      <c r="AA59" s="55">
        <f>_xll.EQNXTDZ($A$1,$B59,AA$1,$B$1)</f>
        <v>685.19</v>
      </c>
      <c r="AB59" s="55">
        <f>_xll.EQNXTDZ($A$1,$B59,AB$1,$B$1)</f>
        <v>948.78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236.96309826699999</v>
      </c>
      <c r="D60" s="55">
        <f>_xll.EQNXTDZ($A$1,$B60,D$1,$B$1)</f>
        <v>236.15300677900001</v>
      </c>
      <c r="E60" s="55">
        <f>_xll.EQNXTDZ($A$1,$B60,E$1,$B$1)</f>
        <v>222.83677870099999</v>
      </c>
      <c r="F60" s="55">
        <f>_xll.EQNXTDZ($A$1,$B60,F$1,$B$1)</f>
        <v>197.38755099799999</v>
      </c>
      <c r="G60" s="55">
        <f>_xll.EQNXTDZ($A$1,$B60,G$1,$B$1)</f>
        <v>184.924244724</v>
      </c>
      <c r="H60" s="55">
        <f>_xll.EQNXTDZ($A$1,$B60,H$1,$B$1)</f>
        <v>474.23830767800001</v>
      </c>
      <c r="I60" s="55">
        <f>_xll.EQNXTDZ($A$1,$B60,I$1,$B$1)</f>
        <v>494.087512092</v>
      </c>
      <c r="J60" s="55">
        <f>_xll.EQNXTDZ($A$1,$B60,J$1,$B$1)</f>
        <v>835.607142791</v>
      </c>
      <c r="K60" s="55">
        <f>_xll.EQNXTDZ($A$1,$B60,K$1,$B$1)</f>
        <v>1120.919148573</v>
      </c>
      <c r="L60" s="55">
        <f>_xll.EQNXTDZ($A$1,$B60,L$1,$B$1)</f>
        <v>1106.6594</v>
      </c>
      <c r="M60" s="55">
        <f>_xll.EQNXTDZ($A$1,$B60,M$1,$B$1)</f>
        <v>1149.8268</v>
      </c>
      <c r="N60" s="55">
        <f>_xll.EQNXTDZ($A$1,$B60,N$1,$B$1)</f>
        <v>1423.4283</v>
      </c>
      <c r="O60" s="55">
        <f>_xll.EQNXTDZ($A$1,$B60,O$1,$B$1)</f>
        <v>1027.8518999999999</v>
      </c>
      <c r="P60" s="55">
        <f>_xll.EQNXTDZ($A$1,$B60,P$1,$B$1)</f>
        <v>917.02548079999997</v>
      </c>
      <c r="Q60" s="55">
        <f>_xll.EQNXTDZ($A$1,$B60,Q$1,$B$1)</f>
        <v>498.97701590000003</v>
      </c>
      <c r="R60" s="55">
        <f>_xll.EQNXTDZ($A$1,$B60,R$1,$B$1)</f>
        <v>477.69784049999998</v>
      </c>
      <c r="S60" s="55">
        <f>_xll.EQNXTDZ($A$1,$B60,S$1,$B$1)</f>
        <v>475.39074019999998</v>
      </c>
      <c r="T60" s="55">
        <f>_xll.EQNXTDZ($A$1,$B60,T$1,$B$1)</f>
        <v>396.75819999999999</v>
      </c>
      <c r="U60" s="55">
        <f>_xll.EQNXTDZ($A$1,$B60,U$1,$B$1)</f>
        <v>336.1309</v>
      </c>
      <c r="V60" s="55">
        <f>_xll.EQNXTDZ($A$1,$B60,V$1,$B$1)</f>
        <v>313.7987</v>
      </c>
      <c r="W60" s="55">
        <f>_xll.EQNXTDZ($A$1,$B60,W$1,$B$1)</f>
        <v>335.45819999999998</v>
      </c>
      <c r="X60" s="55">
        <f>_xll.EQNXTDZ($A$1,$B60,X$1,$B$1)</f>
        <v>851.38199999999995</v>
      </c>
      <c r="Y60" s="55">
        <f>_xll.EQNXTDZ($A$1,$B60,Y$1,$B$1)</f>
        <v>1296.3348000000001</v>
      </c>
      <c r="Z60" s="55">
        <f>_xll.EQNXTDZ($A$1,$B60,Z$1,$B$1)</f>
        <v>2396.3134</v>
      </c>
      <c r="AA60" s="55">
        <f>_xll.EQNXTDZ($A$1,$B60,AA$1,$B$1)</f>
        <v>4257.43</v>
      </c>
      <c r="AB60" s="55">
        <f>_xll.EQNXTDZ($A$1,$B60,AB$1,$B$1)</f>
        <v>7180.18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2.2187862300000001</v>
      </c>
      <c r="D62" s="55">
        <f>_xll.EQNXTDZ($A$1,$B62,D$1,$B$1)</f>
        <v>2.2080561300000001</v>
      </c>
      <c r="E62" s="55">
        <f>_xll.EQNXTDZ($A$1,$B62,E$1,$B$1)</f>
        <v>2.1680868000000002</v>
      </c>
      <c r="F62" s="55">
        <f>_xll.EQNXTDZ($A$1,$B62,F$1,$B$1)</f>
        <v>2.1680868000000002</v>
      </c>
      <c r="G62" s="55">
        <f>_xll.EQNXTDZ($A$1,$B62,G$1,$B$1)</f>
        <v>2.1680868000000002</v>
      </c>
      <c r="H62" s="55">
        <f>_xll.EQNXTDZ($A$1,$B62,H$1,$B$1)</f>
        <v>0.68840069999999998</v>
      </c>
      <c r="I62" s="55">
        <f>_xll.EQNXTDZ($A$1,$B62,I$1,$B$1)</f>
        <v>0.6902007</v>
      </c>
      <c r="J62" s="55">
        <f>_xll.EQNXTDZ($A$1,$B62,J$1,$B$1)</f>
        <v>0.6902007</v>
      </c>
      <c r="K62" s="55">
        <f>_xll.EQNXTDZ($A$1,$B62,K$1,$B$1)</f>
        <v>0.69274570000000002</v>
      </c>
      <c r="L62" s="55">
        <f>_xll.EQNXTDZ($A$1,$B62,L$1,$B$1)</f>
        <v>0.69279999999999997</v>
      </c>
      <c r="M62" s="55">
        <f>_xll.EQNXTDZ($A$1,$B62,M$1,$B$1)</f>
        <v>0.1787</v>
      </c>
      <c r="N62" s="55">
        <f>_xll.EQNXTDZ($A$1,$B62,N$1,$B$1)</f>
        <v>0.47049999999999997</v>
      </c>
      <c r="O62" s="55">
        <f>_xll.EQNXTDZ($A$1,$B62,O$1,$B$1)</f>
        <v>0.14319999999999999</v>
      </c>
      <c r="P62" s="55">
        <f>_xll.EQNXTDZ($A$1,$B62,P$1,$B$1)</f>
        <v>0.14319899999999999</v>
      </c>
      <c r="Q62" s="55">
        <f>_xll.EQNXTDZ($A$1,$B62,Q$1,$B$1)</f>
        <v>0.14319899999999999</v>
      </c>
      <c r="R62" s="55">
        <f>_xll.EQNXTDZ($A$1,$B62,R$1,$B$1)</f>
        <v>1.0593699999999999E-2</v>
      </c>
      <c r="S62" s="55">
        <f>_xll.EQNXTDZ($A$1,$B62,S$1,$B$1)</f>
        <v>1.0593699999999999E-2</v>
      </c>
      <c r="T62" s="55">
        <f>_xll.EQNXTDZ($A$1,$B62,T$1,$B$1)</f>
        <v>1.06E-2</v>
      </c>
      <c r="U62" s="55">
        <f>_xll.EQNXTDZ($A$1,$B62,U$1,$B$1)</f>
        <v>1.2999999999999999E-2</v>
      </c>
      <c r="V62" s="55">
        <f>_xll.EQNXTDZ($A$1,$B62,V$1,$B$1)</f>
        <v>1.2999999999999999E-2</v>
      </c>
      <c r="W62" s="55">
        <f>_xll.EQNXTDZ($A$1,$B62,W$1,$B$1)</f>
        <v>1.2999999999999999E-2</v>
      </c>
      <c r="X62" s="55">
        <f>_xll.EQNXTDZ($A$1,$B62,X$1,$B$1)</f>
        <v>57.488599999999998</v>
      </c>
      <c r="Y62" s="55">
        <f>_xll.EQNXTDZ($A$1,$B62,Y$1,$B$1)</f>
        <v>66.134500000000003</v>
      </c>
      <c r="Z62" s="55">
        <f>_xll.EQNXTDZ($A$1,$B62,Z$1,$B$1)</f>
        <v>123.90600000000001</v>
      </c>
      <c r="AA62" s="55">
        <f>_xll.EQNXTDZ($A$1,$B62,AA$1,$B$1)</f>
        <v>289.27999999999997</v>
      </c>
      <c r="AB62" s="55">
        <f>_xll.EQNXTDZ($A$1,$B62,AB$1,$B$1)</f>
        <v>543.44000000000005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2.39113E-2</v>
      </c>
      <c r="D63" s="55">
        <f>_xll.EQNXTDZ($A$1,$B63,D$1,$B$1)</f>
        <v>3.13897E-2</v>
      </c>
      <c r="E63" s="55">
        <f>_xll.EQNXTDZ($A$1,$B63,E$1,$B$1)</f>
        <v>2.4227800000000001E-2</v>
      </c>
      <c r="F63" s="55">
        <f>_xll.EQNXTDZ($A$1,$B63,F$1,$B$1)</f>
        <v>3.20077E-2</v>
      </c>
      <c r="G63" s="55">
        <f>_xll.EQNXTDZ($A$1,$B63,G$1,$B$1)</f>
        <v>3.9787599999999999E-2</v>
      </c>
      <c r="H63" s="55">
        <f>_xll.EQNXTDZ($A$1,$B63,H$1,$B$1)</f>
        <v>0.62668760000000001</v>
      </c>
      <c r="I63" s="55">
        <f>_xll.EQNXTDZ($A$1,$B63,I$1,$B$1)</f>
        <v>0.63602009999999998</v>
      </c>
      <c r="J63" s="55">
        <f>_xll.EQNXTDZ($A$1,$B63,J$1,$B$1)</f>
        <v>0.64474929999999997</v>
      </c>
      <c r="K63" s="55">
        <f>_xll.EQNXTDZ($A$1,$B63,K$1,$B$1)</f>
        <v>0.65382479999999998</v>
      </c>
      <c r="L63" s="55">
        <f>_xll.EQNXTDZ($A$1,$B63,L$1,$B$1)</f>
        <v>0.66300000000000003</v>
      </c>
      <c r="M63" s="55">
        <f>_xll.EQNXTDZ($A$1,$B63,M$1,$B$1)</f>
        <v>0.153</v>
      </c>
      <c r="N63" s="55">
        <f>_xll.EQNXTDZ($A$1,$B63,N$1,$B$1)</f>
        <v>0.1232</v>
      </c>
      <c r="O63" s="55">
        <f>_xll.EQNXTDZ($A$1,$B63,O$1,$B$1)</f>
        <v>0.1341</v>
      </c>
      <c r="P63" s="55">
        <f>_xll.EQNXTDZ($A$1,$B63,P$1,$B$1)</f>
        <v>0.13764850000000001</v>
      </c>
      <c r="Q63" s="55">
        <f>_xll.EQNXTDZ($A$1,$B63,Q$1,$B$1)</f>
        <v>0.13924259999999999</v>
      </c>
      <c r="R63" s="55">
        <f>_xll.EQNXTDZ($A$1,$B63,R$1,$B$1)</f>
        <v>4.1663000000000004E-3</v>
      </c>
      <c r="S63" s="55">
        <f>_xll.EQNXTDZ($A$1,$B63,S$1,$B$1)</f>
        <v>6.1507999999999997E-3</v>
      </c>
      <c r="T63" s="55">
        <f>_xll.EQNXTDZ($A$1,$B63,T$1,$B$1)</f>
        <v>8.0999999999999996E-3</v>
      </c>
      <c r="U63" s="55">
        <f>_xll.EQNXTDZ($A$1,$B63,U$1,$B$1)</f>
        <v>9.1000000000000004E-3</v>
      </c>
      <c r="V63" s="55">
        <f>_xll.EQNXTDZ($A$1,$B63,V$1,$B$1)</f>
        <v>9.4999999999999998E-3</v>
      </c>
      <c r="W63" s="55">
        <f>_xll.EQNXTDZ($A$1,$B63,W$1,$B$1)</f>
        <v>9.9000000000000008E-3</v>
      </c>
      <c r="X63" s="55">
        <f>_xll.EQNXTDZ($A$1,$B63,X$1,$B$1)</f>
        <v>43.534100000000002</v>
      </c>
      <c r="Y63" s="55">
        <f>_xll.EQNXTDZ($A$1,$B63,Y$1,$B$1)</f>
        <v>32.791899999999998</v>
      </c>
      <c r="Z63" s="55">
        <f>_xll.EQNXTDZ($A$1,$B63,Z$1,$B$1)</f>
        <v>34.374400000000001</v>
      </c>
      <c r="AA63" s="55">
        <f>_xll.EQNXTDZ($A$1,$B63,AA$1,$B$1)</f>
        <v>42.11</v>
      </c>
      <c r="AB63" s="55">
        <f>_xll.EQNXTDZ($A$1,$B63,AB$1,$B$1)</f>
        <v>98.77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2.1948749300000001</v>
      </c>
      <c r="D65" s="55">
        <f>_xll.EQNXTDZ($A$1,$B65,D$1,$B$1)</f>
        <v>2.17666643</v>
      </c>
      <c r="E65" s="55">
        <f>_xll.EQNXTDZ($A$1,$B65,E$1,$B$1)</f>
        <v>2.143859</v>
      </c>
      <c r="F65" s="55">
        <f>_xll.EQNXTDZ($A$1,$B65,F$1,$B$1)</f>
        <v>2.1360790999999999</v>
      </c>
      <c r="G65" s="55">
        <f>_xll.EQNXTDZ($A$1,$B65,G$1,$B$1)</f>
        <v>2.1282991999999998</v>
      </c>
      <c r="H65" s="55">
        <f>_xll.EQNXTDZ($A$1,$B65,H$1,$B$1)</f>
        <v>6.17131E-2</v>
      </c>
      <c r="I65" s="55">
        <f>_xll.EQNXTDZ($A$1,$B65,I$1,$B$1)</f>
        <v>5.4180600000000002E-2</v>
      </c>
      <c r="J65" s="55">
        <f>_xll.EQNXTDZ($A$1,$B65,J$1,$B$1)</f>
        <v>4.5451400000000003E-2</v>
      </c>
      <c r="K65" s="55">
        <f>_xll.EQNXTDZ($A$1,$B65,K$1,$B$1)</f>
        <v>3.8920900000000001E-2</v>
      </c>
      <c r="L65" s="55">
        <f>_xll.EQNXTDZ($A$1,$B65,L$1,$B$1)</f>
        <v>2.98E-2</v>
      </c>
      <c r="M65" s="55">
        <f>_xll.EQNXTDZ($A$1,$B65,M$1,$B$1)</f>
        <v>2.5700000000000001E-2</v>
      </c>
      <c r="N65" s="55">
        <f>_xll.EQNXTDZ($A$1,$B65,N$1,$B$1)</f>
        <v>0.3473</v>
      </c>
      <c r="O65" s="55">
        <f>_xll.EQNXTDZ($A$1,$B65,O$1,$B$1)</f>
        <v>9.1000000000000004E-3</v>
      </c>
      <c r="P65" s="55">
        <f>_xll.EQNXTDZ($A$1,$B65,P$1,$B$1)</f>
        <v>5.5504999999999999E-3</v>
      </c>
      <c r="Q65" s="55">
        <f>_xll.EQNXTDZ($A$1,$B65,Q$1,$B$1)</f>
        <v>3.9563999999999997E-3</v>
      </c>
      <c r="R65" s="55">
        <f>_xll.EQNXTDZ($A$1,$B65,R$1,$B$1)</f>
        <v>6.4273999999999998E-3</v>
      </c>
      <c r="S65" s="55">
        <f>_xll.EQNXTDZ($A$1,$B65,S$1,$B$1)</f>
        <v>4.4428999999999996E-3</v>
      </c>
      <c r="T65" s="55">
        <f>_xll.EQNXTDZ($A$1,$B65,T$1,$B$1)</f>
        <v>2.5000000000000001E-3</v>
      </c>
      <c r="U65" s="55">
        <f>_xll.EQNXTDZ($A$1,$B65,U$1,$B$1)</f>
        <v>3.8999999999999998E-3</v>
      </c>
      <c r="V65" s="55">
        <f>_xll.EQNXTDZ($A$1,$B65,V$1,$B$1)</f>
        <v>3.5000000000000001E-3</v>
      </c>
      <c r="W65" s="55">
        <f>_xll.EQNXTDZ($A$1,$B65,W$1,$B$1)</f>
        <v>3.0999999999999999E-3</v>
      </c>
      <c r="X65" s="55">
        <f>_xll.EQNXTDZ($A$1,$B65,X$1,$B$1)</f>
        <v>13.954499999999999</v>
      </c>
      <c r="Y65" s="55">
        <f>_xll.EQNXTDZ($A$1,$B65,Y$1,$B$1)</f>
        <v>33.342599999999997</v>
      </c>
      <c r="Z65" s="55">
        <f>_xll.EQNXTDZ($A$1,$B65,Z$1,$B$1)</f>
        <v>89.531599999999997</v>
      </c>
      <c r="AA65" s="55">
        <f>_xll.EQNXTDZ($A$1,$B65,AA$1,$B$1)</f>
        <v>247.17</v>
      </c>
      <c r="AB65" s="55">
        <f>_xll.EQNXTDZ($A$1,$B65,AB$1,$B$1)</f>
        <v>444.67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3.7362000000000002</v>
      </c>
      <c r="Y67" s="55">
        <f>_xll.EQNXTDZ($A$1,$B67,Y$1,$B$1)</f>
        <v>25.553100000000001</v>
      </c>
      <c r="Z67" s="55">
        <f>_xll.EQNXTDZ($A$1,$B67,Z$1,$B$1)</f>
        <v>10.646599999999999</v>
      </c>
      <c r="AA67" s="55">
        <f>_xll.EQNXTDZ($A$1,$B67,AA$1,$B$1)</f>
        <v>63.09</v>
      </c>
      <c r="AB67" s="55">
        <f>_xll.EQNXTDZ($A$1,$B67,AB$1,$B$1)</f>
        <v>71.14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19.561199999999999</v>
      </c>
      <c r="AA70" s="55">
        <f>_xll.EQNXTDZ($A$1,$B70,AA$1,$B$1)</f>
        <v>6.72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177.08174373400001</v>
      </c>
      <c r="D71" s="55">
        <f>_xll.EQNXTDZ($A$1,$B71,D$1,$B$1)</f>
        <v>176.4254406</v>
      </c>
      <c r="E71" s="55">
        <f>_xll.EQNXTDZ($A$1,$B71,E$1,$B$1)</f>
        <v>184.2718668</v>
      </c>
      <c r="F71" s="55">
        <f>_xll.EQNXTDZ($A$1,$B71,F$1,$B$1)</f>
        <v>153.16780478199999</v>
      </c>
      <c r="G71" s="55">
        <f>_xll.EQNXTDZ($A$1,$B71,G$1,$B$1)</f>
        <v>139.98767248199999</v>
      </c>
      <c r="H71" s="55">
        <f>_xll.EQNXTDZ($A$1,$B71,H$1,$B$1)</f>
        <v>198.79556708000001</v>
      </c>
      <c r="I71" s="55">
        <f>_xll.EQNXTDZ($A$1,$B71,I$1,$B$1)</f>
        <v>226.25393908000001</v>
      </c>
      <c r="J71" s="55">
        <f>_xll.EQNXTDZ($A$1,$B71,J$1,$B$1)</f>
        <v>362.09728781299998</v>
      </c>
      <c r="K71" s="55">
        <f>_xll.EQNXTDZ($A$1,$B71,K$1,$B$1)</f>
        <v>317.400580789</v>
      </c>
      <c r="L71" s="55">
        <f>_xll.EQNXTDZ($A$1,$B71,L$1,$B$1)</f>
        <v>340.97059999999999</v>
      </c>
      <c r="M71" s="55">
        <f>_xll.EQNXTDZ($A$1,$B71,M$1,$B$1)</f>
        <v>0</v>
      </c>
      <c r="N71" s="55">
        <f>_xll.EQNXTDZ($A$1,$B71,N$1,$B$1)</f>
        <v>723.55799999999999</v>
      </c>
      <c r="O71" s="55">
        <f>_xll.EQNXTDZ($A$1,$B71,O$1,$B$1)</f>
        <v>678.76559999999995</v>
      </c>
      <c r="P71" s="55">
        <f>_xll.EQNXTDZ($A$1,$B71,P$1,$B$1)</f>
        <v>670.08165059999999</v>
      </c>
      <c r="Q71" s="55">
        <f>_xll.EQNXTDZ($A$1,$B71,Q$1,$B$1)</f>
        <v>320.80606719999997</v>
      </c>
      <c r="R71" s="55">
        <f>_xll.EQNXTDZ($A$1,$B71,R$1,$B$1)</f>
        <v>335.17807310000001</v>
      </c>
      <c r="S71" s="55">
        <f>_xll.EQNXTDZ($A$1,$B71,S$1,$B$1)</f>
        <v>330.6436478</v>
      </c>
      <c r="T71" s="55">
        <f>_xll.EQNXTDZ($A$1,$B71,T$1,$B$1)</f>
        <v>252.79419999999999</v>
      </c>
      <c r="U71" s="55">
        <f>_xll.EQNXTDZ($A$1,$B71,U$1,$B$1)</f>
        <v>186.1952</v>
      </c>
      <c r="V71" s="55">
        <f>_xll.EQNXTDZ($A$1,$B71,V$1,$B$1)</f>
        <v>163.81890000000001</v>
      </c>
      <c r="W71" s="55">
        <f>_xll.EQNXTDZ($A$1,$B71,W$1,$B$1)</f>
        <v>179.0701</v>
      </c>
      <c r="X71" s="55">
        <f>_xll.EQNXTDZ($A$1,$B71,X$1,$B$1)</f>
        <v>350.62299999999999</v>
      </c>
      <c r="Y71" s="55">
        <f>_xll.EQNXTDZ($A$1,$B71,Y$1,$B$1)</f>
        <v>622.93960000000004</v>
      </c>
      <c r="Z71" s="55">
        <f>_xll.EQNXTDZ($A$1,$B71,Z$1,$B$1)</f>
        <v>1229.1102000000001</v>
      </c>
      <c r="AA71" s="55">
        <f>_xll.EQNXTDZ($A$1,$B71,AA$1,$B$1)</f>
        <v>2463.0300000000002</v>
      </c>
      <c r="AB71" s="55">
        <f>_xll.EQNXTDZ($A$1,$B71,AB$1,$B$1)</f>
        <v>3456.93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9.6115125999999993</v>
      </c>
      <c r="Q72" s="55">
        <f>_xll.EQNXTDZ($A$1,$B72,Q$1,$B$1)</f>
        <v>154.45270020000001</v>
      </c>
      <c r="R72" s="55">
        <f>_xll.EQNXTDZ($A$1,$B72,R$1,$B$1)</f>
        <v>135.56724399999999</v>
      </c>
      <c r="S72" s="55">
        <f>_xll.EQNXTDZ($A$1,$B72,S$1,$B$1)</f>
        <v>135.515244</v>
      </c>
      <c r="T72" s="55">
        <f>_xll.EQNXTDZ($A$1,$B72,T$1,$B$1)</f>
        <v>134.7784</v>
      </c>
      <c r="U72" s="55">
        <f>_xll.EQNXTDZ($A$1,$B72,U$1,$B$1)</f>
        <v>149.5943</v>
      </c>
      <c r="V72" s="55">
        <f>_xll.EQNXTDZ($A$1,$B72,V$1,$B$1)</f>
        <v>148.7636</v>
      </c>
      <c r="W72" s="55">
        <f>_xll.EQNXTDZ($A$1,$B72,W$1,$B$1)</f>
        <v>148.86109999999999</v>
      </c>
      <c r="X72" s="55">
        <f>_xll.EQNXTDZ($A$1,$B72,X$1,$B$1)</f>
        <v>316.93740000000003</v>
      </c>
      <c r="Y72" s="55">
        <f>_xll.EQNXTDZ($A$1,$B72,Y$1,$B$1)</f>
        <v>251.5043</v>
      </c>
      <c r="Z72" s="55">
        <f>_xll.EQNXTDZ($A$1,$B72,Z$1,$B$1)</f>
        <v>234.17760000000001</v>
      </c>
      <c r="AA72" s="55">
        <f>_xll.EQNXTDZ($A$1,$B72,AA$1,$B$1)</f>
        <v>91.36</v>
      </c>
      <c r="AB72" s="55">
        <f>_xll.EQNXTDZ($A$1,$B72,AB$1,$B$1)</f>
        <v>336.45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2.1000000000000001E-2</v>
      </c>
      <c r="Y73" s="55">
        <f>_xll.EQNXTDZ($A$1,$B73,Y$1,$B$1)</f>
        <v>8.6999999999999994E-3</v>
      </c>
      <c r="Z73" s="55">
        <f>_xll.EQNXTDZ($A$1,$B73,Z$1,$B$1)</f>
        <v>1.0666</v>
      </c>
      <c r="AA73" s="55">
        <f>_xll.EQNXTDZ($A$1,$B73,AA$1,$B$1)</f>
        <v>2.82</v>
      </c>
      <c r="AB73" s="55">
        <f>_xll.EQNXTDZ($A$1,$B73,AB$1,$B$1)</f>
        <v>2.96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179.27661866400001</v>
      </c>
      <c r="D74" s="55">
        <f>_xll.EQNXTDZ($A$1,$B74,D$1,$B$1)</f>
        <v>178.60210703000001</v>
      </c>
      <c r="E74" s="55">
        <f>_xll.EQNXTDZ($A$1,$B74,E$1,$B$1)</f>
        <v>186.41572579999999</v>
      </c>
      <c r="F74" s="55">
        <f>_xll.EQNXTDZ($A$1,$B74,F$1,$B$1)</f>
        <v>155.30388388200001</v>
      </c>
      <c r="G74" s="55">
        <f>_xll.EQNXTDZ($A$1,$B74,G$1,$B$1)</f>
        <v>142.11597168200001</v>
      </c>
      <c r="H74" s="55">
        <f>_xll.EQNXTDZ($A$1,$B74,H$1,$B$1)</f>
        <v>198.85728018</v>
      </c>
      <c r="I74" s="55">
        <f>_xll.EQNXTDZ($A$1,$B74,I$1,$B$1)</f>
        <v>226.30811968</v>
      </c>
      <c r="J74" s="55">
        <f>_xll.EQNXTDZ($A$1,$B74,J$1,$B$1)</f>
        <v>362.14273921300003</v>
      </c>
      <c r="K74" s="55">
        <f>_xll.EQNXTDZ($A$1,$B74,K$1,$B$1)</f>
        <v>317.439501689</v>
      </c>
      <c r="L74" s="55">
        <f>_xll.EQNXTDZ($A$1,$B74,L$1,$B$1)</f>
        <v>341.00040000000001</v>
      </c>
      <c r="M74" s="55">
        <f>_xll.EQNXTDZ($A$1,$B74,M$1,$B$1)</f>
        <v>2.5700000000000001E-2</v>
      </c>
      <c r="N74" s="55">
        <f>_xll.EQNXTDZ($A$1,$B74,N$1,$B$1)</f>
        <v>723.90530000000001</v>
      </c>
      <c r="O74" s="55">
        <f>_xll.EQNXTDZ($A$1,$B74,O$1,$B$1)</f>
        <v>678.77470000000005</v>
      </c>
      <c r="P74" s="55">
        <f>_xll.EQNXTDZ($A$1,$B74,P$1,$B$1)</f>
        <v>679.69871369999998</v>
      </c>
      <c r="Q74" s="55">
        <f>_xll.EQNXTDZ($A$1,$B74,Q$1,$B$1)</f>
        <v>475.2627238</v>
      </c>
      <c r="R74" s="55">
        <f>_xll.EQNXTDZ($A$1,$B74,R$1,$B$1)</f>
        <v>470.75174449999997</v>
      </c>
      <c r="S74" s="55">
        <f>_xll.EQNXTDZ($A$1,$B74,S$1,$B$1)</f>
        <v>466.16333470000001</v>
      </c>
      <c r="T74" s="55">
        <f>_xll.EQNXTDZ($A$1,$B74,T$1,$B$1)</f>
        <v>387.57510000000002</v>
      </c>
      <c r="U74" s="55">
        <f>_xll.EQNXTDZ($A$1,$B74,U$1,$B$1)</f>
        <v>335.79340000000002</v>
      </c>
      <c r="V74" s="55">
        <f>_xll.EQNXTDZ($A$1,$B74,V$1,$B$1)</f>
        <v>312.58600000000001</v>
      </c>
      <c r="W74" s="55">
        <f>_xll.EQNXTDZ($A$1,$B74,W$1,$B$1)</f>
        <v>327.93430000000001</v>
      </c>
      <c r="X74" s="55">
        <f>_xll.EQNXTDZ($A$1,$B74,X$1,$B$1)</f>
        <v>685.27210000000002</v>
      </c>
      <c r="Y74" s="55">
        <f>_xll.EQNXTDZ($A$1,$B74,Y$1,$B$1)</f>
        <v>933.34829999999999</v>
      </c>
      <c r="Z74" s="55">
        <f>_xll.EQNXTDZ($A$1,$B74,Z$1,$B$1)</f>
        <v>1584.0938000000001</v>
      </c>
      <c r="AA74" s="55">
        <f>_xll.EQNXTDZ($A$1,$B74,AA$1,$B$1)</f>
        <v>2874.19</v>
      </c>
      <c r="AB74" s="55">
        <f>_xll.EQNXTDZ($A$1,$B74,AB$1,$B$1)</f>
        <v>4312.1499999999996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444.96910000000003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9.2249999999999996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9.3493999999999993</v>
      </c>
      <c r="Z75" s="55">
        <f>_xll.EQNXTDZ($A$1,$B75,Z$1,$B$1)</f>
        <v>16.8673</v>
      </c>
      <c r="AA75" s="55">
        <f>_xll.EQNXTDZ($A$1,$B75,AA$1,$B$1)</f>
        <v>19.41</v>
      </c>
      <c r="AB75" s="55">
        <f>_xll.EQNXTDZ($A$1,$B75,AB$1,$B$1)</f>
        <v>58.32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48.850700000000003</v>
      </c>
      <c r="Y76" s="55">
        <f>_xll.EQNXTDZ($A$1,$B76,Y$1,$B$1)</f>
        <v>122.0501</v>
      </c>
      <c r="Z76" s="55">
        <f>_xll.EQNXTDZ($A$1,$B76,Z$1,$B$1)</f>
        <v>219.1798</v>
      </c>
      <c r="AA76" s="55">
        <f>_xll.EQNXTDZ($A$1,$B76,AA$1,$B$1)</f>
        <v>161.24</v>
      </c>
      <c r="AB76" s="55">
        <f>_xll.EQNXTDZ($A$1,$B76,AB$1,$B$1)</f>
        <v>561.70000000000005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35.919613427999998</v>
      </c>
      <c r="D77" s="55">
        <f>_xll.EQNXTDZ($A$1,$B77,D$1,$B$1)</f>
        <v>35.444551292</v>
      </c>
      <c r="E77" s="55">
        <f>_xll.EQNXTDZ($A$1,$B77,E$1,$B$1)</f>
        <v>27.149524568</v>
      </c>
      <c r="F77" s="55">
        <f>_xll.EQNXTDZ($A$1,$B77,F$1,$B$1)</f>
        <v>7.4704745680000002</v>
      </c>
      <c r="G77" s="55">
        <f>_xll.EQNXTDZ($A$1,$B77,G$1,$B$1)</f>
        <v>7.4704745680000002</v>
      </c>
      <c r="H77" s="55">
        <f>_xll.EQNXTDZ($A$1,$B77,H$1,$B$1)</f>
        <v>12.098156167999999</v>
      </c>
      <c r="I77" s="55">
        <f>_xll.EQNXTDZ($A$1,$B77,I$1,$B$1)</f>
        <v>14.655890943999999</v>
      </c>
      <c r="J77" s="55">
        <f>_xll.EQNXTDZ($A$1,$B77,J$1,$B$1)</f>
        <v>33.286907888999998</v>
      </c>
      <c r="K77" s="55">
        <f>_xll.EQNXTDZ($A$1,$B77,K$1,$B$1)</f>
        <v>64.016496695000001</v>
      </c>
      <c r="L77" s="55">
        <f>_xll.EQNXTDZ($A$1,$B77,L$1,$B$1)</f>
        <v>34.904000000000003</v>
      </c>
      <c r="M77" s="55">
        <f>_xll.EQNXTDZ($A$1,$B77,M$1,$B$1)</f>
        <v>10.8117</v>
      </c>
      <c r="N77" s="55">
        <f>_xll.EQNXTDZ($A$1,$B77,N$1,$B$1)</f>
        <v>14.9763</v>
      </c>
      <c r="O77" s="55">
        <f>_xll.EQNXTDZ($A$1,$B77,O$1,$B$1)</f>
        <v>6.4829999999999997</v>
      </c>
      <c r="P77" s="55">
        <f>_xll.EQNXTDZ($A$1,$B77,P$1,$B$1)</f>
        <v>7.5999863000000003</v>
      </c>
      <c r="Q77" s="55">
        <f>_xll.EQNXTDZ($A$1,$B77,Q$1,$B$1)</f>
        <v>6.4829746000000004</v>
      </c>
      <c r="R77" s="55">
        <f>_xll.EQNXTDZ($A$1,$B77,R$1,$B$1)</f>
        <v>6.4829746000000004</v>
      </c>
      <c r="S77" s="55">
        <f>_xll.EQNXTDZ($A$1,$B77,S$1,$B$1)</f>
        <v>8.9431960000000004</v>
      </c>
      <c r="T77" s="55">
        <f>_xll.EQNXTDZ($A$1,$B77,T$1,$B$1)</f>
        <v>8.9431999999999992</v>
      </c>
      <c r="U77" s="55">
        <f>_xll.EQNXTDZ($A$1,$B77,U$1,$B$1)</f>
        <v>0</v>
      </c>
      <c r="V77" s="55">
        <f>_xll.EQNXTDZ($A$1,$B77,V$1,$B$1)</f>
        <v>0.59740000000000004</v>
      </c>
      <c r="W77" s="55">
        <f>_xll.EQNXTDZ($A$1,$B77,W$1,$B$1)</f>
        <v>0</v>
      </c>
      <c r="X77" s="55">
        <f>_xll.EQNXTDZ($A$1,$B77,X$1,$B$1)</f>
        <v>10.3492</v>
      </c>
      <c r="Y77" s="55">
        <f>_xll.EQNXTDZ($A$1,$B77,Y$1,$B$1)</f>
        <v>39.318899999999999</v>
      </c>
      <c r="Z77" s="55">
        <f>_xll.EQNXTDZ($A$1,$B77,Z$1,$B$1)</f>
        <v>152.3528</v>
      </c>
      <c r="AA77" s="55">
        <f>_xll.EQNXTDZ($A$1,$B77,AA$1,$B$1)</f>
        <v>273.24</v>
      </c>
      <c r="AB77" s="55">
        <f>_xll.EQNXTDZ($A$1,$B77,AB$1,$B$1)</f>
        <v>269.08999999999997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1.0655249999999999E-3</v>
      </c>
      <c r="D78" s="55">
        <f>_xll.EQNXTDZ($A$1,$B78,D$1,$B$1)</f>
        <v>4.890447E-3</v>
      </c>
      <c r="E78" s="55">
        <f>_xll.EQNXTDZ($A$1,$B78,E$1,$B$1)</f>
        <v>7.0304729999999998E-3</v>
      </c>
      <c r="F78" s="55">
        <f>_xll.EQNXTDZ($A$1,$B78,F$1,$B$1)</f>
        <v>0.36984514800000001</v>
      </c>
      <c r="G78" s="55">
        <f>_xll.EQNXTDZ($A$1,$B78,G$1,$B$1)</f>
        <v>0.55271807399999995</v>
      </c>
      <c r="H78" s="55">
        <f>_xll.EQNXTDZ($A$1,$B78,H$1,$B$1)</f>
        <v>1.4253340370000001</v>
      </c>
      <c r="I78" s="55">
        <f>_xll.EQNXTDZ($A$1,$B78,I$1,$B$1)</f>
        <v>1.2884868000000001E-2</v>
      </c>
      <c r="J78" s="55">
        <f>_xll.EQNXTDZ($A$1,$B78,J$1,$B$1)</f>
        <v>0.18169528900000001</v>
      </c>
      <c r="K78" s="55">
        <f>_xll.EQNXTDZ($A$1,$B78,K$1,$B$1)</f>
        <v>1.468061971</v>
      </c>
      <c r="L78" s="55">
        <f>_xll.EQNXTDZ($A$1,$B78,L$1,$B$1)</f>
        <v>5.7047999999999996</v>
      </c>
      <c r="M78" s="55">
        <f>_xll.EQNXTDZ($A$1,$B78,M$1,$B$1)</f>
        <v>51.817</v>
      </c>
      <c r="N78" s="55">
        <f>_xll.EQNXTDZ($A$1,$B78,N$1,$B$1)</f>
        <v>3.3681999999999999</v>
      </c>
      <c r="O78" s="55">
        <f>_xll.EQNXTDZ($A$1,$B78,O$1,$B$1)</f>
        <v>1.4005000000000001</v>
      </c>
      <c r="P78" s="55">
        <f>_xll.EQNXTDZ($A$1,$B78,P$1,$B$1)</f>
        <v>9.1094700000000001E-2</v>
      </c>
      <c r="Q78" s="55">
        <f>_xll.EQNXTDZ($A$1,$B78,Q$1,$B$1)</f>
        <v>6.4758499999999997E-2</v>
      </c>
      <c r="R78" s="55">
        <f>_xll.EQNXTDZ($A$1,$B78,R$1,$B$1)</f>
        <v>5.3891000000000001E-2</v>
      </c>
      <c r="S78" s="55">
        <f>_xll.EQNXTDZ($A$1,$B78,S$1,$B$1)</f>
        <v>7.56246E-2</v>
      </c>
      <c r="T78" s="55">
        <f>_xll.EQNXTDZ($A$1,$B78,T$1,$B$1)</f>
        <v>1.32E-2</v>
      </c>
      <c r="U78" s="55">
        <f>_xll.EQNXTDZ($A$1,$B78,U$1,$B$1)</f>
        <v>1.54E-2</v>
      </c>
      <c r="V78" s="55">
        <f>_xll.EQNXTDZ($A$1,$B78,V$1,$B$1)</f>
        <v>3.9199999999999999E-2</v>
      </c>
      <c r="W78" s="55">
        <f>_xll.EQNXTDZ($A$1,$B78,W$1,$B$1)</f>
        <v>7.0705</v>
      </c>
      <c r="X78" s="55">
        <f>_xll.EQNXTDZ($A$1,$B78,X$1,$B$1)</f>
        <v>24.9832</v>
      </c>
      <c r="Y78" s="55">
        <f>_xll.EQNXTDZ($A$1,$B78,Y$1,$B$1)</f>
        <v>33.3157</v>
      </c>
      <c r="Z78" s="55">
        <f>_xll.EQNXTDZ($A$1,$B78,Z$1,$B$1)</f>
        <v>179.1037</v>
      </c>
      <c r="AA78" s="55">
        <f>_xll.EQNXTDZ($A$1,$B78,AA$1,$B$1)</f>
        <v>176.11</v>
      </c>
      <c r="AB78" s="55">
        <f>_xll.EQNXTDZ($A$1,$B78,AB$1,$B$1)</f>
        <v>908.67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6.9325999999999999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0.96130000000000004</v>
      </c>
      <c r="Y79" s="55">
        <f>_xll.EQNXTDZ($A$1,$B79,Y$1,$B$1)</f>
        <v>1.2396</v>
      </c>
      <c r="Z79" s="55">
        <f>_xll.EQNXTDZ($A$1,$B79,Z$1,$B$1)</f>
        <v>7.6237000000000004</v>
      </c>
      <c r="AA79" s="55">
        <f>_xll.EQNXTDZ($A$1,$B79,AA$1,$B$1)</f>
        <v>72.75</v>
      </c>
      <c r="AB79" s="55">
        <f>_xll.EQNXTDZ($A$1,$B79,AB$1,$B$1)</f>
        <v>20.76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21.242862250000002</v>
      </c>
      <c r="D80" s="55">
        <f>_xll.EQNXTDZ($A$1,$B80,D$1,$B$1)</f>
        <v>21.707411610000001</v>
      </c>
      <c r="E80" s="55">
        <f>_xll.EQNXTDZ($A$1,$B80,E$1,$B$1)</f>
        <v>8.9993434600000004</v>
      </c>
      <c r="F80" s="55">
        <f>_xll.EQNXTDZ($A$1,$B80,F$1,$B$1)</f>
        <v>34.107084999999998</v>
      </c>
      <c r="G80" s="55">
        <f>_xll.EQNXTDZ($A$1,$B80,G$1,$B$1)</f>
        <v>34.777709999999999</v>
      </c>
      <c r="H80" s="55">
        <f>_xll.EQNXTDZ($A$1,$B80,H$1,$B$1)</f>
        <v>261.85753729300001</v>
      </c>
      <c r="I80" s="55">
        <f>_xll.EQNXTDZ($A$1,$B80,I$1,$B$1)</f>
        <v>253.11061659999999</v>
      </c>
      <c r="J80" s="55">
        <f>_xll.EQNXTDZ($A$1,$B80,J$1,$B$1)</f>
        <v>439.99580040000001</v>
      </c>
      <c r="K80" s="55">
        <f>_xll.EQNXTDZ($A$1,$B80,K$1,$B$1)</f>
        <v>737.99508821799998</v>
      </c>
      <c r="L80" s="55">
        <f>_xll.EQNXTDZ($A$1,$B80,L$1,$B$1)</f>
        <v>725.05020000000002</v>
      </c>
      <c r="M80" s="55">
        <f>_xll.EQNXTDZ($A$1,$B80,M$1,$B$1)</f>
        <v>642.20330000000001</v>
      </c>
      <c r="N80" s="55">
        <f>_xll.EQNXTDZ($A$1,$B80,N$1,$B$1)</f>
        <v>674.24590000000001</v>
      </c>
      <c r="O80" s="55">
        <f>_xll.EQNXTDZ($A$1,$B80,O$1,$B$1)</f>
        <v>341.19369999999998</v>
      </c>
      <c r="P80" s="55">
        <f>_xll.EQNXTDZ($A$1,$B80,P$1,$B$1)</f>
        <v>229.63568609999999</v>
      </c>
      <c r="Q80" s="55">
        <f>_xll.EQNXTDZ($A$1,$B80,Q$1,$B$1)</f>
        <v>7.9415589999999998</v>
      </c>
      <c r="R80" s="55">
        <f>_xll.EQNXTDZ($A$1,$B80,R$1,$B$1)</f>
        <v>0.40923039999999999</v>
      </c>
      <c r="S80" s="55">
        <f>_xll.EQNXTDZ($A$1,$B80,S$1,$B$1)</f>
        <v>0.20858489999999999</v>
      </c>
      <c r="T80" s="55">
        <f>_xll.EQNXTDZ($A$1,$B80,T$1,$B$1)</f>
        <v>0.22670000000000001</v>
      </c>
      <c r="U80" s="55">
        <f>_xll.EQNXTDZ($A$1,$B80,U$1,$B$1)</f>
        <v>0.3221</v>
      </c>
      <c r="V80" s="55">
        <f>_xll.EQNXTDZ($A$1,$B80,V$1,$B$1)</f>
        <v>0.57609999999999995</v>
      </c>
      <c r="W80" s="55">
        <f>_xll.EQNXTDZ($A$1,$B80,W$1,$B$1)</f>
        <v>0.45340000000000003</v>
      </c>
      <c r="X80" s="55">
        <f>_xll.EQNXTDZ($A$1,$B80,X$1,$B$1)</f>
        <v>80.965500000000006</v>
      </c>
      <c r="Y80" s="55">
        <f>_xll.EQNXTDZ($A$1,$B80,Y$1,$B$1)</f>
        <v>157.71279999999999</v>
      </c>
      <c r="Z80" s="55">
        <f>_xll.EQNXTDZ($A$1,$B80,Z$1,$B$1)</f>
        <v>237.09229999999999</v>
      </c>
      <c r="AA80" s="55">
        <f>_xll.EQNXTDZ($A$1,$B80,AA$1,$B$1)</f>
        <v>680.49</v>
      </c>
      <c r="AB80" s="55">
        <f>_xll.EQNXTDZ($A$1,$B80,AB$1,$B$1)</f>
        <v>1049.49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57.163541203000001</v>
      </c>
      <c r="D82" s="55">
        <f>_xll.EQNXTDZ($A$1,$B82,D$1,$B$1)</f>
        <v>57.156853349000002</v>
      </c>
      <c r="E82" s="55">
        <f>_xll.EQNXTDZ($A$1,$B82,E$1,$B$1)</f>
        <v>36.155898501000003</v>
      </c>
      <c r="F82" s="55">
        <f>_xll.EQNXTDZ($A$1,$B82,F$1,$B$1)</f>
        <v>41.947404716000001</v>
      </c>
      <c r="G82" s="55">
        <f>_xll.EQNXTDZ($A$1,$B82,G$1,$B$1)</f>
        <v>42.800902641999997</v>
      </c>
      <c r="H82" s="55">
        <f>_xll.EQNXTDZ($A$1,$B82,H$1,$B$1)</f>
        <v>275.38102749799998</v>
      </c>
      <c r="I82" s="55">
        <f>_xll.EQNXTDZ($A$1,$B82,I$1,$B$1)</f>
        <v>267.77939241199999</v>
      </c>
      <c r="J82" s="55">
        <f>_xll.EQNXTDZ($A$1,$B82,J$1,$B$1)</f>
        <v>473.46440357799997</v>
      </c>
      <c r="K82" s="55">
        <f>_xll.EQNXTDZ($A$1,$B82,K$1,$B$1)</f>
        <v>803.47964688399998</v>
      </c>
      <c r="L82" s="55">
        <f>_xll.EQNXTDZ($A$1,$B82,L$1,$B$1)</f>
        <v>765.65899999999999</v>
      </c>
      <c r="M82" s="55">
        <f>_xll.EQNXTDZ($A$1,$B82,M$1,$B$1)</f>
        <v>1149.8010999999999</v>
      </c>
      <c r="N82" s="55">
        <f>_xll.EQNXTDZ($A$1,$B82,N$1,$B$1)</f>
        <v>699.52300000000002</v>
      </c>
      <c r="O82" s="55">
        <f>_xll.EQNXTDZ($A$1,$B82,O$1,$B$1)</f>
        <v>349.0772</v>
      </c>
      <c r="P82" s="55">
        <f>_xll.EQNXTDZ($A$1,$B82,P$1,$B$1)</f>
        <v>237.32676710000001</v>
      </c>
      <c r="Q82" s="55">
        <f>_xll.EQNXTDZ($A$1,$B82,Q$1,$B$1)</f>
        <v>23.714292100000002</v>
      </c>
      <c r="R82" s="55">
        <f>_xll.EQNXTDZ($A$1,$B82,R$1,$B$1)</f>
        <v>6.9460959999999998</v>
      </c>
      <c r="S82" s="55">
        <f>_xll.EQNXTDZ($A$1,$B82,S$1,$B$1)</f>
        <v>9.2274054999999997</v>
      </c>
      <c r="T82" s="55">
        <f>_xll.EQNXTDZ($A$1,$B82,T$1,$B$1)</f>
        <v>9.1830999999999996</v>
      </c>
      <c r="U82" s="55">
        <f>_xll.EQNXTDZ($A$1,$B82,U$1,$B$1)</f>
        <v>0.33750000000000002</v>
      </c>
      <c r="V82" s="55">
        <f>_xll.EQNXTDZ($A$1,$B82,V$1,$B$1)</f>
        <v>1.2126999999999999</v>
      </c>
      <c r="W82" s="55">
        <f>_xll.EQNXTDZ($A$1,$B82,W$1,$B$1)</f>
        <v>7.5239000000000003</v>
      </c>
      <c r="X82" s="55">
        <f>_xll.EQNXTDZ($A$1,$B82,X$1,$B$1)</f>
        <v>166.10990000000001</v>
      </c>
      <c r="Y82" s="55">
        <f>_xll.EQNXTDZ($A$1,$B82,Y$1,$B$1)</f>
        <v>362.98649999999998</v>
      </c>
      <c r="Z82" s="55">
        <f>_xll.EQNXTDZ($A$1,$B82,Z$1,$B$1)</f>
        <v>812.21960000000001</v>
      </c>
      <c r="AA82" s="55">
        <f>_xll.EQNXTDZ($A$1,$B82,AA$1,$B$1)</f>
        <v>1383.24</v>
      </c>
      <c r="AB82" s="55">
        <f>_xll.EQNXTDZ($A$1,$B82,AB$1,$B$1)</f>
        <v>2868.03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0.52293840000000003</v>
      </c>
      <c r="D83" s="55">
        <f>_xll.EQNXTDZ($A$1,$B83,D$1,$B$1)</f>
        <v>0.39404640000000002</v>
      </c>
      <c r="E83" s="55">
        <f>_xll.EQNXTDZ($A$1,$B83,E$1,$B$1)</f>
        <v>0.26515440000000001</v>
      </c>
      <c r="F83" s="55">
        <f>_xll.EQNXTDZ($A$1,$B83,F$1,$B$1)</f>
        <v>0.13626240000000001</v>
      </c>
      <c r="G83" s="55">
        <f>_xll.EQNXTDZ($A$1,$B83,G$1,$B$1)</f>
        <v>7.3704E-3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236.96309826699999</v>
      </c>
      <c r="D84" s="55">
        <f>_xll.EQNXTDZ($A$1,$B84,D$1,$B$1)</f>
        <v>236.15300677900001</v>
      </c>
      <c r="E84" s="55">
        <f>_xll.EQNXTDZ($A$1,$B84,E$1,$B$1)</f>
        <v>222.83677870099999</v>
      </c>
      <c r="F84" s="55">
        <f>_xll.EQNXTDZ($A$1,$B84,F$1,$B$1)</f>
        <v>197.38755099799999</v>
      </c>
      <c r="G84" s="55">
        <f>_xll.EQNXTDZ($A$1,$B84,G$1,$B$1)</f>
        <v>184.924244724</v>
      </c>
      <c r="H84" s="55">
        <f>_xll.EQNXTDZ($A$1,$B84,H$1,$B$1)</f>
        <v>474.23830767800001</v>
      </c>
      <c r="I84" s="55">
        <f>_xll.EQNXTDZ($A$1,$B84,I$1,$B$1)</f>
        <v>494.087512092</v>
      </c>
      <c r="J84" s="55">
        <f>_xll.EQNXTDZ($A$1,$B84,J$1,$B$1)</f>
        <v>835.607142791</v>
      </c>
      <c r="K84" s="55">
        <f>_xll.EQNXTDZ($A$1,$B84,K$1,$B$1)</f>
        <v>1120.919148573</v>
      </c>
      <c r="L84" s="55">
        <f>_xll.EQNXTDZ($A$1,$B84,L$1,$B$1)</f>
        <v>1106.6594</v>
      </c>
      <c r="M84" s="55">
        <f>_xll.EQNXTDZ($A$1,$B84,M$1,$B$1)</f>
        <v>1149.8268</v>
      </c>
      <c r="N84" s="55">
        <f>_xll.EQNXTDZ($A$1,$B84,N$1,$B$1)</f>
        <v>1423.4283</v>
      </c>
      <c r="O84" s="55">
        <f>_xll.EQNXTDZ($A$1,$B84,O$1,$B$1)</f>
        <v>1027.8518999999999</v>
      </c>
      <c r="P84" s="55">
        <f>_xll.EQNXTDZ($A$1,$B84,P$1,$B$1)</f>
        <v>917.02548079999997</v>
      </c>
      <c r="Q84" s="55">
        <f>_xll.EQNXTDZ($A$1,$B84,Q$1,$B$1)</f>
        <v>498.97701590000003</v>
      </c>
      <c r="R84" s="55">
        <f>_xll.EQNXTDZ($A$1,$B84,R$1,$B$1)</f>
        <v>477.69784049999998</v>
      </c>
      <c r="S84" s="55">
        <f>_xll.EQNXTDZ($A$1,$B84,S$1,$B$1)</f>
        <v>475.39074019999998</v>
      </c>
      <c r="T84" s="55">
        <f>_xll.EQNXTDZ($A$1,$B84,T$1,$B$1)</f>
        <v>396.75819999999999</v>
      </c>
      <c r="U84" s="55">
        <f>_xll.EQNXTDZ($A$1,$B84,U$1,$B$1)</f>
        <v>336.1309</v>
      </c>
      <c r="V84" s="55">
        <f>_xll.EQNXTDZ($A$1,$B84,V$1,$B$1)</f>
        <v>313.7987</v>
      </c>
      <c r="W84" s="55">
        <f>_xll.EQNXTDZ($A$1,$B84,W$1,$B$1)</f>
        <v>335.45819999999998</v>
      </c>
      <c r="X84" s="55">
        <f>_xll.EQNXTDZ($A$1,$B84,X$1,$B$1)</f>
        <v>851.38199999999995</v>
      </c>
      <c r="Y84" s="55">
        <f>_xll.EQNXTDZ($A$1,$B84,Y$1,$B$1)</f>
        <v>1296.3348000000001</v>
      </c>
      <c r="Z84" s="55">
        <f>_xll.EQNXTDZ($A$1,$B84,Z$1,$B$1)</f>
        <v>2396.3134</v>
      </c>
      <c r="AA84" s="55">
        <f>_xll.EQNXTDZ($A$1,$B84,AA$1,$B$1)</f>
        <v>4257.43</v>
      </c>
      <c r="AB84" s="55">
        <f>_xll.EQNXTDZ($A$1,$B84,AB$1,$B$1)</f>
        <v>7180.18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7.7130000000000001</v>
      </c>
      <c r="D85" s="55">
        <f>_xll.EQNXTDZ($A$1,$B85,D$1,$B$1)</f>
        <v>7.7130000000000001</v>
      </c>
      <c r="E85" s="55">
        <f>_xll.EQNXTDZ($A$1,$B85,E$1,$B$1)</f>
        <v>7.7130000000000001</v>
      </c>
      <c r="F85" s="55">
        <f>_xll.EQNXTDZ($A$1,$B85,F$1,$B$1)</f>
        <v>7.7130000000000001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20.156600000000001</v>
      </c>
      <c r="Q85" s="55">
        <f>_xll.EQNXTDZ($A$1,$B85,Q$1,$B$1)</f>
        <v>443.3689</v>
      </c>
      <c r="R85" s="55">
        <f>_xll.EQNXTDZ($A$1,$B85,R$1,$B$1)</f>
        <v>694.73580000000004</v>
      </c>
      <c r="S85" s="55">
        <f>_xll.EQNXTDZ($A$1,$B85,S$1,$B$1)</f>
        <v>627.33893680000006</v>
      </c>
      <c r="T85" s="55">
        <f>_xll.EQNXTDZ($A$1,$B85,T$1,$B$1)</f>
        <v>583.90620000000001</v>
      </c>
      <c r="U85" s="55">
        <f>_xll.EQNXTDZ($A$1,$B85,U$1,$B$1)</f>
        <v>123.8809</v>
      </c>
      <c r="V85" s="55">
        <f>_xll.EQNXTDZ($A$1,$B85,V$1,$B$1)</f>
        <v>123.8809</v>
      </c>
      <c r="W85" s="55">
        <f>_xll.EQNXTDZ($A$1,$B85,W$1,$B$1)</f>
        <v>51.998699999999999</v>
      </c>
      <c r="X85" s="55">
        <f>_xll.EQNXTDZ($A$1,$B85,X$1,$B$1)</f>
        <v>140.49529999999999</v>
      </c>
      <c r="Y85" s="55">
        <f>_xll.EQNXTDZ($A$1,$B85,Y$1,$B$1)</f>
        <v>118.6795</v>
      </c>
      <c r="Z85" s="55">
        <f>_xll.EQNXTDZ($A$1,$B85,Z$1,$B$1)</f>
        <v>130.62540000000001</v>
      </c>
      <c r="AA85" s="55">
        <f>_xll.EQNXTDZ($A$1,$B85,AA$1,$B$1)</f>
        <v>113.91</v>
      </c>
      <c r="AB85" s="55">
        <f>_xll.EQNXTDZ($A$1,$B85,AB$1,$B$1)</f>
        <v>163.55000000000001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1.9305791000000001</v>
      </c>
      <c r="D86" s="55">
        <f>_xll.EQNXTDZ($A$1,$B86,D$1,$B$1)</f>
        <v>1.9305791000000001</v>
      </c>
      <c r="E86" s="55">
        <f>_xll.EQNXTDZ($A$1,$B86,E$1,$B$1)</f>
        <v>1.9305791000000001</v>
      </c>
      <c r="F86" s="55">
        <f>_xll.EQNXTDZ($A$1,$B86,F$1,$B$1)</f>
        <v>1.9305791000000001</v>
      </c>
      <c r="G86" s="55">
        <f>_xll.EQNXTDZ($A$1,$B86,G$1,$B$1)</f>
        <v>1.9305791000000001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0.95979999999999999</v>
      </c>
      <c r="Y86" s="55">
        <f>_xll.EQNXTDZ($A$1,$B86,Y$1,$B$1)</f>
        <v>0.95979999999999999</v>
      </c>
      <c r="Z86" s="55">
        <f>_xll.EQNXTDZ($A$1,$B86,Z$1,$B$1)</f>
        <v>10.319900000000001</v>
      </c>
      <c r="AA86" s="55">
        <f>_xll.EQNXTDZ($A$1,$B86,AA$1,$B$1)</f>
        <v>133.1</v>
      </c>
      <c r="AB86" s="55">
        <f>_xll.EQNXTDZ($A$1,$B86,AB$1,$B$1)</f>
        <v>177.27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2.0505</v>
      </c>
      <c r="Y87" s="55">
        <f>_xll.EQNXTDZ($A$1,$B87,Y$1,$B$1)</f>
        <v>20.710999999999999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0.32650000000000001</v>
      </c>
      <c r="Y88" s="55">
        <f>_xll.EQNXTDZ($A$1,$B88,Y$1,$B$1)</f>
        <v>0.27489999999999998</v>
      </c>
      <c r="Z88" s="55">
        <f>_xll.EQNXTDZ($A$1,$B88,Z$1,$B$1)</f>
        <v>1.1614</v>
      </c>
      <c r="AA88" s="55">
        <f>_xll.EQNXTDZ($A$1,$B88,AA$1,$B$1)</f>
        <v>46.16</v>
      </c>
      <c r="AB88" s="55">
        <f>_xll.EQNXTDZ($A$1,$B88,AB$1,$B$1)</f>
        <v>110.93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1.9305791000000001</v>
      </c>
      <c r="D91" s="55">
        <f>_xll.EQNXTDZ($A$1,$B91,D$1,$B$1)</f>
        <v>1.9305791000000001</v>
      </c>
      <c r="E91" s="55">
        <f>_xll.EQNXTDZ($A$1,$B91,E$1,$B$1)</f>
        <v>1.9305791000000001</v>
      </c>
      <c r="F91" s="55">
        <f>_xll.EQNXTDZ($A$1,$B91,F$1,$B$1)</f>
        <v>1.9305791000000001</v>
      </c>
      <c r="G91" s="55">
        <f>_xll.EQNXTDZ($A$1,$B91,G$1,$B$1)</f>
        <v>1.9305791000000001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0.95979999999999999</v>
      </c>
      <c r="Y91" s="55">
        <f>_xll.EQNXTDZ($A$1,$B91,Y$1,$B$1)</f>
        <v>0.95979999999999999</v>
      </c>
      <c r="Z91" s="55">
        <f>_xll.EQNXTDZ($A$1,$B91,Z$1,$B$1)</f>
        <v>10.319900000000001</v>
      </c>
      <c r="AA91" s="55">
        <f>_xll.EQNXTDZ($A$1,$B91,AA$1,$B$1)</f>
        <v>133.1</v>
      </c>
      <c r="AB91" s="55">
        <f>_xll.EQNXTDZ($A$1,$B91,AB$1,$B$1)</f>
        <v>177.27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20.156600000000001</v>
      </c>
      <c r="Q93" s="55">
        <f>_xll.EQNXTDZ($A$1,$B93,Q$1,$B$1)</f>
        <v>373.00580000000002</v>
      </c>
      <c r="R93" s="55">
        <f>_xll.EQNXTDZ($A$1,$B93,R$1,$B$1)</f>
        <v>375.86900000000003</v>
      </c>
      <c r="S93" s="55">
        <f>_xll.EQNXTDZ($A$1,$B93,S$1,$B$1)</f>
        <v>349.0273942</v>
      </c>
      <c r="T93" s="55">
        <f>_xll.EQNXTDZ($A$1,$B93,T$1,$B$1)</f>
        <v>362.68439999999998</v>
      </c>
      <c r="U93" s="55">
        <f>_xll.EQNXTDZ($A$1,$B93,U$1,$B$1)</f>
        <v>1.952</v>
      </c>
      <c r="V93" s="55">
        <f>_xll.EQNXTDZ($A$1,$B93,V$1,$B$1)</f>
        <v>1.952</v>
      </c>
      <c r="W93" s="55">
        <f>_xll.EQNXTDZ($A$1,$B93,W$1,$B$1)</f>
        <v>1.952</v>
      </c>
      <c r="X93" s="55">
        <f>_xll.EQNXTDZ($A$1,$B93,X$1,$B$1)</f>
        <v>77.748599999999996</v>
      </c>
      <c r="Y93" s="55">
        <f>_xll.EQNXTDZ($A$1,$B93,Y$1,$B$1)</f>
        <v>73.129499999999993</v>
      </c>
      <c r="Z93" s="55">
        <f>_xll.EQNXTDZ($A$1,$B93,Z$1,$B$1)</f>
        <v>98.201999999999998</v>
      </c>
      <c r="AA93" s="55">
        <f>_xll.EQNXTDZ($A$1,$B93,AA$1,$B$1)</f>
        <v>65.959999999999994</v>
      </c>
      <c r="AB93" s="55">
        <f>_xll.EQNXTDZ($A$1,$B93,AB$1,$B$1)</f>
        <v>35.909999999999997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7.7130000000000001</v>
      </c>
      <c r="D94" s="55">
        <f>_xll.EQNXTDZ($A$1,$B94,D$1,$B$1)</f>
        <v>7.7130000000000001</v>
      </c>
      <c r="E94" s="55">
        <f>_xll.EQNXTDZ($A$1,$B94,E$1,$B$1)</f>
        <v>7.7130000000000001</v>
      </c>
      <c r="F94" s="55">
        <f>_xll.EQNXTDZ($A$1,$B94,F$1,$B$1)</f>
        <v>7.7130000000000001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70.363100000000003</v>
      </c>
      <c r="R95" s="55">
        <f>_xll.EQNXTDZ($A$1,$B95,R$1,$B$1)</f>
        <v>318.86680000000001</v>
      </c>
      <c r="S95" s="55">
        <f>_xll.EQNXTDZ($A$1,$B95,S$1,$B$1)</f>
        <v>278.3115426</v>
      </c>
      <c r="T95" s="55">
        <f>_xll.EQNXTDZ($A$1,$B95,T$1,$B$1)</f>
        <v>221.2218</v>
      </c>
      <c r="U95" s="55">
        <f>_xll.EQNXTDZ($A$1,$B95,U$1,$B$1)</f>
        <v>121.9289</v>
      </c>
      <c r="V95" s="55">
        <f>_xll.EQNXTDZ($A$1,$B95,V$1,$B$1)</f>
        <v>121.9289</v>
      </c>
      <c r="W95" s="55">
        <f>_xll.EQNXTDZ($A$1,$B95,W$1,$B$1)</f>
        <v>50.046700000000001</v>
      </c>
      <c r="X95" s="55">
        <f>_xll.EQNXTDZ($A$1,$B95,X$1,$B$1)</f>
        <v>62.746699999999997</v>
      </c>
      <c r="Y95" s="55">
        <f>_xll.EQNXTDZ($A$1,$B95,Y$1,$B$1)</f>
        <v>45.55</v>
      </c>
      <c r="Z95" s="55">
        <f>_xll.EQNXTDZ($A$1,$B95,Z$1,$B$1)</f>
        <v>32.423400000000001</v>
      </c>
      <c r="AA95" s="55">
        <f>_xll.EQNXTDZ($A$1,$B95,AA$1,$B$1)</f>
        <v>47.95</v>
      </c>
      <c r="AB95" s="55">
        <f>_xll.EQNXTDZ($A$1,$B95,AB$1,$B$1)</f>
        <v>127.64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205.81</v>
      </c>
      <c r="D104" s="55">
        <f>_xll.EQNXTDZ($A$1,$B104,D$1,$B$1)</f>
        <v>205.81</v>
      </c>
      <c r="E104" s="55">
        <f>_xll.EQNXTDZ($A$1,$B104,E$1,$B$1)</f>
        <v>205.81</v>
      </c>
      <c r="F104" s="55">
        <f>_xll.EQNXTDZ($A$1,$B104,F$1,$B$1)</f>
        <v>205.81</v>
      </c>
      <c r="G104" s="55">
        <f>_xll.EQNXTDZ($A$1,$B104,G$1,$B$1)</f>
        <v>205.81</v>
      </c>
      <c r="H104" s="55">
        <f>_xll.EQNXTDZ($A$1,$B104,H$1,$B$1)</f>
        <v>102.905</v>
      </c>
      <c r="I104" s="55">
        <f>_xll.EQNXTDZ($A$1,$B104,I$1,$B$1)</f>
        <v>102.905</v>
      </c>
      <c r="J104" s="55">
        <f>_xll.EQNXTDZ($A$1,$B104,J$1,$B$1)</f>
        <v>102.905</v>
      </c>
      <c r="K104" s="55">
        <f>_xll.EQNXTDZ($A$1,$B104,K$1,$B$1)</f>
        <v>102.905</v>
      </c>
      <c r="L104" s="55">
        <f>_xll.EQNXTDZ($A$1,$B104,L$1,$B$1)</f>
        <v>102.905</v>
      </c>
      <c r="M104" s="55">
        <f>_xll.EQNXTDZ($A$1,$B104,M$1,$B$1)</f>
        <v>102.905</v>
      </c>
      <c r="N104" s="55">
        <f>_xll.EQNXTDZ($A$1,$B104,N$1,$B$1)</f>
        <v>102.905</v>
      </c>
      <c r="O104" s="55">
        <f>_xll.EQNXTDZ($A$1,$B104,O$1,$B$1)</f>
        <v>104.45050000000001</v>
      </c>
      <c r="P104" s="55">
        <f>_xll.EQNXTDZ($A$1,$B104,P$1,$B$1)</f>
        <v>104.4505465</v>
      </c>
      <c r="Q104" s="55">
        <f>_xll.EQNXTDZ($A$1,$B104,Q$1,$B$1)</f>
        <v>113.9505465</v>
      </c>
      <c r="R104" s="55">
        <f>_xll.EQNXTDZ($A$1,$B104,R$1,$B$1)</f>
        <v>113.9505465</v>
      </c>
      <c r="S104" s="55">
        <f>_xll.EQNXTDZ($A$1,$B104,S$1,$B$1)</f>
        <v>113.9505465</v>
      </c>
      <c r="T104" s="55">
        <f>_xll.EQNXTDZ($A$1,$B104,T$1,$B$1)</f>
        <v>113.95050000000001</v>
      </c>
      <c r="U104" s="55">
        <f>_xll.EQNXTDZ($A$1,$B104,U$1,$B$1)</f>
        <v>113.95050000000001</v>
      </c>
      <c r="V104" s="55">
        <f>_xll.EQNXTDZ($A$1,$B104,V$1,$B$1)</f>
        <v>113.95050000000001</v>
      </c>
      <c r="W104" s="55">
        <f>_xll.EQNXTDZ($A$1,$B104,W$1,$B$1)</f>
        <v>113.95050000000001</v>
      </c>
      <c r="X104" s="55">
        <f>_xll.EQNXTDZ($A$1,$B104,X$1,$B$1)</f>
        <v>127.21259999999999</v>
      </c>
      <c r="Y104" s="55">
        <f>_xll.EQNXTDZ($A$1,$B104,Y$1,$B$1)</f>
        <v>127.21259999999999</v>
      </c>
      <c r="Z104" s="55">
        <f>_xll.EQNXTDZ($A$1,$B104,Z$1,$B$1)</f>
        <v>127.21259999999999</v>
      </c>
      <c r="AA104" s="55">
        <f>_xll.EQNXTDZ($A$1,$B104,AA$1,$B$1)</f>
        <v>127.21</v>
      </c>
      <c r="AB104" s="55">
        <f>_xll.EQNXTDZ($A$1,$B104,AB$1,$B$1)</f>
        <v>151.04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5</v>
      </c>
      <c r="I105" s="55">
        <f>_xll.EQNXTDZ($A$1,$B105,I$1,$B$1)</f>
        <v>5</v>
      </c>
      <c r="J105" s="55">
        <f>_xll.EQNXTDZ($A$1,$B105,J$1,$B$1)</f>
        <v>5</v>
      </c>
      <c r="K105" s="55">
        <f>_xll.EQNXTDZ($A$1,$B105,K$1,$B$1)</f>
        <v>5</v>
      </c>
      <c r="L105" s="55">
        <f>_xll.EQNXTDZ($A$1,$B105,L$1,$B$1)</f>
        <v>5</v>
      </c>
      <c r="M105" s="55">
        <f>_xll.EQNXTDZ($A$1,$B105,M$1,$B$1)</f>
        <v>5</v>
      </c>
      <c r="N105" s="55">
        <f>_xll.EQNXTDZ($A$1,$B105,N$1,$B$1)</f>
        <v>5</v>
      </c>
      <c r="O105" s="55">
        <f>_xll.EQNXTDZ($A$1,$B105,O$1,$B$1)</f>
        <v>5</v>
      </c>
      <c r="P105" s="55">
        <f>_xll.EQNXTDZ($A$1,$B105,P$1,$B$1)</f>
        <v>5</v>
      </c>
      <c r="Q105" s="55">
        <f>_xll.EQNXTDZ($A$1,$B105,Q$1,$B$1)</f>
        <v>5</v>
      </c>
      <c r="R105" s="55">
        <f>_xll.EQNXTDZ($A$1,$B105,R$1,$B$1)</f>
        <v>5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9.0968833001328004</v>
      </c>
      <c r="K106" s="55">
        <f>_xll.EQNXTDZ($A$1,$B106,K$1,$B$1)</f>
        <v>44.6250124501992</v>
      </c>
      <c r="L106" s="55">
        <f>_xll.EQNXTDZ($A$1,$B106,L$1,$B$1)</f>
        <v>44.780436586985402</v>
      </c>
      <c r="M106" s="55">
        <f>_xll.EQNXTDZ($A$1,$B106,M$1,$B$1)</f>
        <v>21.795949535192602</v>
      </c>
      <c r="N106" s="55">
        <f>_xll.EQNXTDZ($A$1,$B106,N$1,$B$1)</f>
        <v>19.364018924302801</v>
      </c>
      <c r="O106" s="55">
        <f>_xll.EQNXTDZ($A$1,$B106,O$1,$B$1)</f>
        <v>4.9004316069057099</v>
      </c>
      <c r="P106" s="55">
        <f>_xll.EQNXTDZ($A$1,$B106,P$1,$B$1)</f>
        <v>6.1163969123506003</v>
      </c>
      <c r="Q106" s="55">
        <f>_xll.EQNXTDZ($A$1,$B106,Q$1,$B$1)</f>
        <v>3.5656125498007998</v>
      </c>
      <c r="R106" s="55">
        <f>_xll.EQNXTDZ($A$1,$B106,R$1,$B$1)</f>
        <v>3.5016143758300098</v>
      </c>
      <c r="S106" s="55">
        <f>_xll.EQNXTDZ($A$1,$B106,S$1,$B$1)</f>
        <v>2.07536935590969</v>
      </c>
      <c r="T106" s="55">
        <f>_xll.EQNXTDZ($A$1,$B106,T$1,$B$1)</f>
        <v>1.2525356905710501</v>
      </c>
      <c r="U106" s="55">
        <f>_xll.EQNXTDZ($A$1,$B106,U$1,$B$1)</f>
        <v>3.0444845617529901</v>
      </c>
      <c r="V106" s="55">
        <f>_xll.EQNXTDZ($A$1,$B106,V$1,$B$1)</f>
        <v>1.08796895750332</v>
      </c>
      <c r="W106" s="55">
        <f>_xll.EQNXTDZ($A$1,$B106,W$1,$B$1)</f>
        <v>2.1302249335989401</v>
      </c>
      <c r="X106" s="55">
        <f>_xll.EQNXTDZ($A$1,$B106,X$1,$B$1)</f>
        <v>5.4672725763612204</v>
      </c>
      <c r="Y106" s="55">
        <f>_xll.EQNXTDZ($A$1,$B106,Y$1,$B$1)</f>
        <v>6.5095285524568398</v>
      </c>
      <c r="Z106" s="55">
        <f>_xll.EQNXTDZ($A$1,$B106,Z$1,$B$1)</f>
        <v>25.279278718459501</v>
      </c>
      <c r="AA106" s="55">
        <f>_xll.EQNXTDZ($A$1,$B106,AA$1,$B$1)</f>
        <v>40.583984893758299</v>
      </c>
      <c r="AB106" s="55">
        <f>_xll.EQNXTDZ($A$1,$B106,AB$1,$B$1)</f>
        <v>41.39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9.0968833001328004</v>
      </c>
      <c r="K107" s="55">
        <f>_xll.EQNXTDZ($A$1,$B107,K$1,$B$1)</f>
        <v>62.535358565736999</v>
      </c>
      <c r="L107" s="55">
        <f>_xll.EQNXTDZ($A$1,$B107,L$1,$B$1)</f>
        <v>86.671812749004005</v>
      </c>
      <c r="M107" s="55">
        <f>_xll.EQNXTDZ($A$1,$B107,M$1,$B$1)</f>
        <v>70.397991367861906</v>
      </c>
      <c r="N107" s="55">
        <f>_xll.EQNXTDZ($A$1,$B107,N$1,$B$1)</f>
        <v>72.939633134130105</v>
      </c>
      <c r="O107" s="55">
        <f>_xll.EQNXTDZ($A$1,$B107,O$1,$B$1)</f>
        <v>20.808549136786201</v>
      </c>
      <c r="P107" s="55">
        <f>_xll.EQNXTDZ($A$1,$B107,P$1,$B$1)</f>
        <v>10.577983897742399</v>
      </c>
      <c r="Q107" s="55">
        <f>_xll.EQNXTDZ($A$1,$B107,Q$1,$B$1)</f>
        <v>9.3345908034528495</v>
      </c>
      <c r="R107" s="55">
        <f>_xll.EQNXTDZ($A$1,$B107,R$1,$B$1)</f>
        <v>4.25130727091633</v>
      </c>
      <c r="S107" s="55">
        <f>_xll.EQNXTDZ($A$1,$B107,S$1,$B$1)</f>
        <v>3.7941774568393098</v>
      </c>
      <c r="T107" s="55">
        <f>_xll.EQNXTDZ($A$1,$B107,T$1,$B$1)</f>
        <v>4.3701610225763599</v>
      </c>
      <c r="U107" s="55">
        <f>_xll.EQNXTDZ($A$1,$B107,U$1,$B$1)</f>
        <v>3.51989956839309</v>
      </c>
      <c r="V107" s="55">
        <f>_xll.EQNXTDZ($A$1,$B107,V$1,$B$1)</f>
        <v>3.29133466135458</v>
      </c>
      <c r="W107" s="55">
        <f>_xll.EQNXTDZ($A$1,$B107,W$1,$B$1)</f>
        <v>2.8799178286852598</v>
      </c>
      <c r="X107" s="55">
        <f>_xll.EQNXTDZ($A$1,$B107,X$1,$B$1)</f>
        <v>8.9323165670650706</v>
      </c>
      <c r="Y107" s="55">
        <f>_xll.EQNXTDZ($A$1,$B107,Y$1,$B$1)</f>
        <v>9.5540131142098303</v>
      </c>
      <c r="Z107" s="55">
        <f>_xll.EQNXTDZ($A$1,$B107,Z$1,$B$1)</f>
        <v>43.655897244355899</v>
      </c>
      <c r="AA107" s="55">
        <f>_xll.EQNXTDZ($A$1,$B107,AA$1,$B$1)</f>
        <v>57.753780710491398</v>
      </c>
      <c r="AB107" s="55">
        <f>_xll.EQNXTDZ($A$1,$B107,AB$1,$B$1)</f>
        <v>88.125485557768897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3.93131640106242</v>
      </c>
      <c r="K108" s="55">
        <f>_xll.EQNXTDZ($A$1,$B108,K$1,$B$1)</f>
        <v>9.54487051792829</v>
      </c>
      <c r="L108" s="55">
        <f>_xll.EQNXTDZ($A$1,$B108,L$1,$B$1)</f>
        <v>35.656125498008002</v>
      </c>
      <c r="M108" s="55">
        <f>_xll.EQNXTDZ($A$1,$B108,M$1,$B$1)</f>
        <v>21.677095783532501</v>
      </c>
      <c r="N108" s="55">
        <f>_xll.EQNXTDZ($A$1,$B108,N$1,$B$1)</f>
        <v>17.498929282868499</v>
      </c>
      <c r="O108" s="55">
        <f>_xll.EQNXTDZ($A$1,$B108,O$1,$B$1)</f>
        <v>4.8821464143426301</v>
      </c>
      <c r="P108" s="55">
        <f>_xll.EQNXTDZ($A$1,$B108,P$1,$B$1)</f>
        <v>4.4341591965471503</v>
      </c>
      <c r="Q108" s="55">
        <f>_xll.EQNXTDZ($A$1,$B108,Q$1,$B$1)</f>
        <v>2.66963811420983</v>
      </c>
      <c r="R108" s="55">
        <f>_xll.EQNXTDZ($A$1,$B108,R$1,$B$1)</f>
        <v>1.7041799468791501</v>
      </c>
      <c r="S108" s="55">
        <f>_xll.EQNXTDZ($A$1,$B108,S$1,$B$1)</f>
        <v>2.07536935590969</v>
      </c>
      <c r="T108" s="55">
        <f>_xll.EQNXTDZ($A$1,$B108,T$1,$B$1)</f>
        <v>1.2525356905710501</v>
      </c>
      <c r="U108" s="55">
        <f>_xll.EQNXTDZ($A$1,$B108,U$1,$B$1)</f>
        <v>0.99654299468791496</v>
      </c>
      <c r="V108" s="55">
        <f>_xll.EQNXTDZ($A$1,$B108,V$1,$B$1)</f>
        <v>1.04225597609562</v>
      </c>
      <c r="W108" s="55">
        <f>_xll.EQNXTDZ($A$1,$B108,W$1,$B$1)</f>
        <v>1.04225597609562</v>
      </c>
      <c r="X108" s="55">
        <f>_xll.EQNXTDZ($A$1,$B108,X$1,$B$1)</f>
        <v>2.0022285856573698</v>
      </c>
      <c r="Y108" s="55">
        <f>_xll.EQNXTDZ($A$1,$B108,Y$1,$B$1)</f>
        <v>3.6204681274900401</v>
      </c>
      <c r="Z108" s="55">
        <f>_xll.EQNXTDZ($A$1,$B108,Z$1,$B$1)</f>
        <v>6.49124335989376</v>
      </c>
      <c r="AA108" s="55">
        <f>_xll.EQNXTDZ($A$1,$B108,AA$1,$B$1)</f>
        <v>25.507843625498001</v>
      </c>
      <c r="AB108" s="55">
        <f>_xll.EQNXTDZ($A$1,$B108,AB$1,$B$1)</f>
        <v>37.585213313413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1023.90475</v>
      </c>
      <c r="K109" s="55">
        <f>_xll.EQNXTDZ($A$1,$B109,K$1,$B$1)</f>
        <v>5022.7930500000002</v>
      </c>
      <c r="L109" s="55">
        <f>_xll.EQNXTDZ($A$1,$B109,L$1,$B$1)</f>
        <v>5040.2869000000001</v>
      </c>
      <c r="M109" s="55">
        <f>_xll.EQNXTDZ($A$1,$B109,M$1,$B$1)</f>
        <v>2453.2552000000001</v>
      </c>
      <c r="N109" s="55">
        <f>_xll.EQNXTDZ($A$1,$B109,N$1,$B$1)</f>
        <v>2179.5279</v>
      </c>
      <c r="O109" s="55">
        <f>_xll.EQNXTDZ($A$1,$B109,O$1,$B$1)</f>
        <v>559.85468000000003</v>
      </c>
      <c r="P109" s="55">
        <f>_xll.EQNXTDZ($A$1,$B109,P$1,$B$1)</f>
        <v>698.77415608499996</v>
      </c>
      <c r="Q109" s="55">
        <f>_xll.EQNXTDZ($A$1,$B109,Q$1,$B$1)</f>
        <v>444.40713134999999</v>
      </c>
      <c r="R109" s="55">
        <f>_xll.EQNXTDZ($A$1,$B109,R$1,$B$1)</f>
        <v>436.43059309500001</v>
      </c>
      <c r="S109" s="55">
        <f>_xll.EQNXTDZ($A$1,$B109,S$1,$B$1)</f>
        <v>258.66774055500002</v>
      </c>
      <c r="T109" s="55">
        <f>_xll.EQNXTDZ($A$1,$B109,T$1,$B$1)</f>
        <v>156.11218500000001</v>
      </c>
      <c r="U109" s="55">
        <f>_xll.EQNXTDZ($A$1,$B109,U$1,$B$1)</f>
        <v>379.45516500000002</v>
      </c>
      <c r="V109" s="55">
        <f>_xll.EQNXTDZ($A$1,$B109,V$1,$B$1)</f>
        <v>135.60109499999999</v>
      </c>
      <c r="W109" s="55">
        <f>_xll.EQNXTDZ($A$1,$B109,W$1,$B$1)</f>
        <v>265.50466499999999</v>
      </c>
      <c r="X109" s="55">
        <f>_xll.EQNXTDZ($A$1,$B109,X$1,$B$1)</f>
        <v>760.73134800000003</v>
      </c>
      <c r="Y109" s="55">
        <f>_xll.EQNXTDZ($A$1,$B109,Y$1,$B$1)</f>
        <v>905.75371199999995</v>
      </c>
      <c r="Z109" s="55">
        <f>_xll.EQNXTDZ($A$1,$B109,Z$1,$B$1)</f>
        <v>3517.42839</v>
      </c>
      <c r="AA109" s="55">
        <f>_xll.EQNXTDZ($A$1,$B109,AA$1,$B$1)</f>
        <v>5646.8518999999997</v>
      </c>
      <c r="AB109" s="55">
        <f>_xll.EQNXTDZ($A$1,$B109,AB$1,$B$1)</f>
        <v>6251.5456000000004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0.18348623853210999</v>
      </c>
      <c r="Y110" s="55">
        <f>_xll.EQNXTDZ($A$1,$B110,Y$1,$B$1)</f>
        <v>9.1743119266055106E-2</v>
      </c>
      <c r="Z110" s="55">
        <f>_xll.EQNXTDZ($A$1,$B110,Z$1,$B$1)</f>
        <v>9.1743119266055106E-2</v>
      </c>
      <c r="AA110" s="55">
        <f>_xll.EQNXTDZ($A$1,$B110,AA$1,$B$1)</f>
        <v>9.1425962815405007E-2</v>
      </c>
      <c r="AB110" s="55">
        <f>_xll.EQNXTDZ($A$1,$B110,AB$1,$B$1)</f>
        <v>0.15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0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84.53</v>
      </c>
      <c r="D112" s="56">
        <f>_xll.EQNXTDZ($A$1,$B112,D$5)</f>
        <v>0</v>
      </c>
      <c r="E112" s="56">
        <f>_xll.EQNXTDZ($A$1,$B112,E$5)</f>
        <v>84.53</v>
      </c>
      <c r="F112" s="56">
        <f>_xll.EQNXTDZ($A$1,$B112,F$5)</f>
        <v>84.53</v>
      </c>
      <c r="G112" s="56">
        <f>_xll.EQNXTDZ($A$1,$B112,G$5)</f>
        <v>84.52</v>
      </c>
      <c r="H112" s="56">
        <f>_xll.EQNXTDZ($A$1,$B112,H$5)</f>
        <v>74.87</v>
      </c>
      <c r="I112" s="56">
        <f>_xll.EQNXTDZ($A$1,$B112,I$5)</f>
        <v>74.87</v>
      </c>
      <c r="J112" s="56">
        <f>_xll.EQNXTDZ($A$1,$B112,J$5)</f>
        <v>74.87</v>
      </c>
      <c r="K112" s="56">
        <f>_xll.EQNXTDZ($A$1,$B112,K$5)</f>
        <v>74.87</v>
      </c>
      <c r="L112" s="56">
        <f>_xll.EQNXTDZ($A$1,$B112,L$5)</f>
        <v>74.87</v>
      </c>
      <c r="M112" s="56">
        <f>_xll.EQNXTDZ($A$1,$B112,M$5)</f>
        <v>74.87</v>
      </c>
      <c r="N112" s="56">
        <f>_xll.EQNXTDZ($A$1,$B112,N$5)</f>
        <v>74.87</v>
      </c>
      <c r="O112" s="56">
        <f>_xll.EQNXTDZ($A$1,$B112,O$5)</f>
        <v>73.760000000000005</v>
      </c>
      <c r="P112" s="56">
        <f>_xll.EQNXTDZ($A$1,$B112,P$5)</f>
        <v>80.36</v>
      </c>
      <c r="Q112" s="56">
        <f>_xll.EQNXTDZ($A$1,$B112,Q$5)</f>
        <v>68</v>
      </c>
      <c r="R112" s="56">
        <f>_xll.EQNXTDZ($A$1,$B112,R$5)</f>
        <v>68</v>
      </c>
      <c r="S112" s="56">
        <f>_xll.EQNXTDZ($A$1,$B112,S$5)</f>
        <v>68</v>
      </c>
      <c r="T112" s="56">
        <f>_xll.EQNXTDZ($A$1,$B112,T$5)</f>
        <v>68</v>
      </c>
      <c r="U112" s="56">
        <f>_xll.EQNXTDZ($A$1,$B112,U$5)</f>
        <v>68</v>
      </c>
      <c r="V112" s="56">
        <f>_xll.EQNXTDZ($A$1,$B112,V$5)</f>
        <v>68</v>
      </c>
      <c r="W112" s="56">
        <f>_xll.EQNXTDZ($A$1,$B112,W$5)</f>
        <v>68</v>
      </c>
      <c r="X112" s="56">
        <f>_xll.EQNXTDZ($A$1,$B112,X$5)</f>
        <v>60.91</v>
      </c>
      <c r="Y112" s="56">
        <f>_xll.EQNXTDZ($A$1,$B112,Y$5)</f>
        <v>60.91</v>
      </c>
      <c r="Z112" s="56">
        <f>_xll.EQNXTDZ($A$1,$B112,Z$5)</f>
        <v>73.91</v>
      </c>
      <c r="AA112" s="56">
        <f>_xll.EQNXTDZ($A$1,$B112,AA$5)</f>
        <v>73.91</v>
      </c>
      <c r="AB112" s="56">
        <f>_xll.EQNXTDZ($A$1,$B112,AB$5)</f>
        <v>62.72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9.86</v>
      </c>
      <c r="P113" s="56">
        <f>_xll.EQNXTDZ($A$1,$B113,P$5)</f>
        <v>5.96</v>
      </c>
      <c r="Q113" s="56">
        <f>_xll.EQNXTDZ($A$1,$B113,Q$5)</f>
        <v>6.45</v>
      </c>
      <c r="R113" s="56">
        <f>_xll.EQNXTDZ($A$1,$B113,R$5)</f>
        <v>6.45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112463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49.839263420724102</v>
      </c>
      <c r="EV6" cm="1">
        <f t="array" ref="EV6">_xll.EQNXTDZ($A$1,$B6,EV$1)</f>
        <v>45.724094881398301</v>
      </c>
      <c r="EW6" cm="1">
        <f t="array" ref="EW6">_xll.EQNXTDZ($A$1,$B6,EW$1)</f>
        <v>44.2060549313358</v>
      </c>
      <c r="EX6" cm="1">
        <f t="array" ref="EX6">_xll.EQNXTDZ($A$1,$B6,EX$1)</f>
        <v>45.6326466916355</v>
      </c>
      <c r="EY6" cm="1">
        <f t="array" ref="EY6">_xll.EQNXTDZ($A$1,$B6,EY$1)</f>
        <v>50.762890137328299</v>
      </c>
      <c r="EZ6" cm="1">
        <f t="array" ref="EZ6">_xll.EQNXTDZ($A$1,$B6,EZ$1)</f>
        <v>41.526622971285903</v>
      </c>
      <c r="FA6" cm="1">
        <f t="array" ref="FA6">_xll.EQNXTDZ($A$1,$B6,FA$1)</f>
        <v>40.154900124843898</v>
      </c>
      <c r="FB6" cm="1">
        <f t="array" ref="FB6">_xll.EQNXTDZ($A$1,$B6,FB$1)</f>
        <v>46.089887640449398</v>
      </c>
      <c r="FC6" cm="1">
        <f t="array" ref="FC6">_xll.EQNXTDZ($A$1,$B6,FC$1)</f>
        <v>57.008801498127298</v>
      </c>
      <c r="FD6" cm="1">
        <f t="array" ref="FD6">_xll.EQNXTDZ($A$1,$B6,FD$1)</f>
        <v>81.398033707865196</v>
      </c>
      <c r="FE6" cm="1">
        <f t="array" ref="FE6">_xll.EQNXTDZ($A$1,$B6,FE$1)</f>
        <v>79.084394506866403</v>
      </c>
      <c r="FF6" cm="1">
        <f t="array" ref="FF6">_xll.EQNXTDZ($A$1,$B6,FF$1)</f>
        <v>71.3</v>
      </c>
      <c r="FG6" cm="1">
        <f t="array" ref="FG6">_xll.EQNXTDZ($A$1,$B6,FG$1)</f>
        <v>62.79</v>
      </c>
      <c r="FH6" cm="1">
        <f t="array" ref="FH6">_xll.EQNXTDZ($A$1,$B6,FH$1)</f>
        <v>68.98</v>
      </c>
      <c r="FI6" cm="1">
        <f t="array" ref="FI6">_xll.EQNXTDZ($A$1,$B6,FI$1)</f>
        <v>59.11</v>
      </c>
      <c r="FJ6" cm="1">
        <f t="array" ref="FJ6">_xll.EQNXTDZ($A$1,$B6,FJ$1)</f>
        <v>59.9</v>
      </c>
      <c r="FK6" cm="1">
        <f t="array" ref="FK6">_xll.EQNXTDZ($A$1,$B6,FK$1)</f>
        <v>58.17</v>
      </c>
      <c r="FL6" cm="1">
        <f t="array" ref="FL6">_xll.EQNXTDZ($A$1,$B6,FL$1)</f>
        <v>49.5</v>
      </c>
      <c r="FM6" cm="1">
        <f t="array" ref="FM6">_xll.EQNXTDZ($A$1,$B6,FM$1)</f>
        <v>42.9</v>
      </c>
      <c r="FN6" cm="1">
        <f t="array" ref="FN6">_xll.EQNXTDZ($A$1,$B6,FN$1)</f>
        <v>69</v>
      </c>
      <c r="FO6" cm="1">
        <f t="array" ref="FO6">_xll.EQNXTDZ($A$1,$B6,FO$1)</f>
        <v>72.099999999999994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50.067883895131096</v>
      </c>
      <c r="EV7" s="116" cm="1">
        <f t="array" ref="EV7">_xll.EQNXTDZ($A$1,$B7,EV$1)</f>
        <v>46.739169787765299</v>
      </c>
      <c r="EW7" s="116" cm="1">
        <f t="array" ref="EW7">_xll.EQNXTDZ($A$1,$B7,EW$1)</f>
        <v>47.159831460674198</v>
      </c>
      <c r="EX7" s="116" cm="1">
        <f t="array" ref="EX7">_xll.EQNXTDZ($A$1,$B7,EX$1)</f>
        <v>57.612359550561798</v>
      </c>
      <c r="EY7" s="116" cm="1">
        <f t="array" ref="EY7">_xll.EQNXTDZ($A$1,$B7,EY$1)</f>
        <v>51.832833957553099</v>
      </c>
      <c r="EZ7" s="116" cm="1">
        <f t="array" ref="EZ7">_xll.EQNXTDZ($A$1,$B7,EZ$1)</f>
        <v>42.267353308364498</v>
      </c>
      <c r="FA7" s="116" cm="1">
        <f t="array" ref="FA7">_xll.EQNXTDZ($A$1,$B7,FA$1)</f>
        <v>51.201841448189803</v>
      </c>
      <c r="FB7" s="116" cm="1">
        <f t="array" ref="FB7">_xll.EQNXTDZ($A$1,$B7,FB$1)</f>
        <v>58.526841448189799</v>
      </c>
      <c r="FC7" s="116" cm="1">
        <f t="array" ref="FC7">_xll.EQNXTDZ($A$1,$B7,FC$1)</f>
        <v>84.717602996254698</v>
      </c>
      <c r="FD7" s="116" cm="1">
        <f t="array" ref="FD7">_xll.EQNXTDZ($A$1,$B7,FD$1)</f>
        <v>88.156054931335802</v>
      </c>
      <c r="FE7" s="116" cm="1">
        <f t="array" ref="FE7">_xll.EQNXTDZ($A$1,$B7,FE$1)</f>
        <v>79.468476903870197</v>
      </c>
      <c r="FF7" s="116" cm="1">
        <f t="array" ref="FF7">_xll.EQNXTDZ($A$1,$B7,FF$1)</f>
        <v>74.849999999999994</v>
      </c>
      <c r="FG7" s="116" cm="1">
        <f t="array" ref="FG7">_xll.EQNXTDZ($A$1,$B7,FG$1)</f>
        <v>73.8</v>
      </c>
      <c r="FH7" s="116" cm="1">
        <f t="array" ref="FH7">_xll.EQNXTDZ($A$1,$B7,FH$1)</f>
        <v>70.8</v>
      </c>
      <c r="FI7" s="116" cm="1">
        <f t="array" ref="FI7">_xll.EQNXTDZ($A$1,$B7,FI$1)</f>
        <v>74.64</v>
      </c>
      <c r="FJ7" s="116" cm="1">
        <f t="array" ref="FJ7">_xll.EQNXTDZ($A$1,$B7,FJ$1)</f>
        <v>68.75</v>
      </c>
      <c r="FK7" s="116" cm="1">
        <f t="array" ref="FK7">_xll.EQNXTDZ($A$1,$B7,FK$1)</f>
        <v>63.7</v>
      </c>
      <c r="FL7" s="116" cm="1">
        <f t="array" ref="FL7">_xll.EQNXTDZ($A$1,$B7,FL$1)</f>
        <v>50.99</v>
      </c>
      <c r="FM7" s="116" cm="1">
        <f t="array" ref="FM7">_xll.EQNXTDZ($A$1,$B7,FM$1)</f>
        <v>72</v>
      </c>
      <c r="FN7" s="116" cm="1">
        <f t="array" ref="FN7">_xll.EQNXTDZ($A$1,$B7,FN$1)</f>
        <v>76</v>
      </c>
      <c r="FO7" s="116" cm="1">
        <f t="array" ref="FO7">_xll.EQNXTDZ($A$1,$B7,FO$1)</f>
        <v>73.59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50.067883895131096</v>
      </c>
      <c r="JN7" s="116">
        <f>MAX(EX7:EZ7)</f>
        <v>57.612359550561798</v>
      </c>
      <c r="JO7" s="116">
        <f>MAX(FA7:FC7)</f>
        <v>84.717602996254698</v>
      </c>
      <c r="JP7" s="116">
        <f>MAX(FD7:FF7)</f>
        <v>88.156054931335802</v>
      </c>
      <c r="JQ7" s="116">
        <f>MAX(FG7:FI7)</f>
        <v>74.64</v>
      </c>
      <c r="JR7" s="116">
        <f>MAX(FJ7:FL7)</f>
        <v>68.75</v>
      </c>
      <c r="JS7" s="116">
        <f>MAX(FM7:FO7)</f>
        <v>76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37.749812734082397</v>
      </c>
      <c r="EV8" s="116" cm="1">
        <f t="array" ref="EV8">_xll.EQNXTDZ($A$1,$B8,EV$1)</f>
        <v>38.874625468164801</v>
      </c>
      <c r="EW8" s="116" cm="1">
        <f t="array" ref="EW8">_xll.EQNXTDZ($A$1,$B8,EW$1)</f>
        <v>40.648720349563099</v>
      </c>
      <c r="EX8" s="116" cm="1">
        <f t="array" ref="EX8">_xll.EQNXTDZ($A$1,$B8,EX$1)</f>
        <v>44.818757802746603</v>
      </c>
      <c r="EY8" s="116" cm="1">
        <f t="array" ref="EY8">_xll.EQNXTDZ($A$1,$B8,EY$1)</f>
        <v>38.920349563046202</v>
      </c>
      <c r="EZ8" s="116" cm="1">
        <f t="array" ref="EZ8">_xll.EQNXTDZ($A$1,$B8,EZ$1)</f>
        <v>34.091885143570501</v>
      </c>
      <c r="FA8" s="116" cm="1">
        <f t="array" ref="FA8">_xll.EQNXTDZ($A$1,$B8,FA$1)</f>
        <v>39.020942571785298</v>
      </c>
      <c r="FB8" s="116" cm="1">
        <f t="array" ref="FB8">_xll.EQNXTDZ($A$1,$B8,FB$1)</f>
        <v>42.523408239700402</v>
      </c>
      <c r="FC8" s="116" cm="1">
        <f t="array" ref="FC8">_xll.EQNXTDZ($A$1,$B8,FC$1)</f>
        <v>55.051810237203497</v>
      </c>
      <c r="FD8" s="116" cm="1">
        <f t="array" ref="FD8">_xll.EQNXTDZ($A$1,$B8,FD$1)</f>
        <v>71.640511860174797</v>
      </c>
      <c r="FE8" s="116" cm="1">
        <f t="array" ref="FE8">_xll.EQNXTDZ($A$1,$B8,FE$1)</f>
        <v>68.138046192259694</v>
      </c>
      <c r="FF8" s="116" cm="1">
        <f t="array" ref="FF8">_xll.EQNXTDZ($A$1,$B8,FF$1)</f>
        <v>61.4</v>
      </c>
      <c r="FG8" s="116" cm="1">
        <f t="array" ref="FG8">_xll.EQNXTDZ($A$1,$B8,FG$1)</f>
        <v>62.25</v>
      </c>
      <c r="FH8" s="116" cm="1">
        <f t="array" ref="FH8">_xll.EQNXTDZ($A$1,$B8,FH$1)</f>
        <v>56.36</v>
      </c>
      <c r="FI8" s="116" cm="1">
        <f t="array" ref="FI8">_xll.EQNXTDZ($A$1,$B8,FI$1)</f>
        <v>50.74</v>
      </c>
      <c r="FJ8" s="116" cm="1">
        <f t="array" ref="FJ8">_xll.EQNXTDZ($A$1,$B8,FJ$1)</f>
        <v>51.39</v>
      </c>
      <c r="FK8" s="116" cm="1">
        <f t="array" ref="FK8">_xll.EQNXTDZ($A$1,$B8,FK$1)</f>
        <v>50.7</v>
      </c>
      <c r="FL8" s="116" cm="1">
        <f t="array" ref="FL8">_xll.EQNXTDZ($A$1,$B8,FL$1)</f>
        <v>40.69</v>
      </c>
      <c r="FM8" s="116" cm="1">
        <f t="array" ref="FM8">_xll.EQNXTDZ($A$1,$B8,FM$1)</f>
        <v>42.35</v>
      </c>
      <c r="FN8" s="116" cm="1">
        <f t="array" ref="FN8">_xll.EQNXTDZ($A$1,$B8,FN$1)</f>
        <v>66.510000000000005</v>
      </c>
      <c r="FO8" s="116" cm="1">
        <f t="array" ref="FO8">_xll.EQNXTDZ($A$1,$B8,FO$1)</f>
        <v>63.67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37.749812734082397</v>
      </c>
      <c r="JN8" s="116">
        <f>MIN(EX8:EZ8)</f>
        <v>34.091885143570501</v>
      </c>
      <c r="JO8" s="116">
        <f>MIN(FA8:FC8)</f>
        <v>39.020942571785298</v>
      </c>
      <c r="JP8" s="116">
        <f>MIN(FD8:FF8)</f>
        <v>61.4</v>
      </c>
      <c r="JQ8" s="116">
        <f>MIN(FG8:FI8)</f>
        <v>50.74</v>
      </c>
      <c r="JR8" s="116">
        <f>MIN(FJ8:FL8)</f>
        <v>40.69</v>
      </c>
      <c r="JS8" s="116">
        <f>MIN(FM8:FO8)</f>
        <v>42.35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44.0963171036205</v>
      </c>
      <c r="EV9" s="116" cm="1">
        <f t="array" ref="EV9">_xll.EQNXTDZ($A$1,$B9,EV$1)</f>
        <v>43.547627965043702</v>
      </c>
      <c r="EW9" s="116" cm="1">
        <f t="array" ref="EW9">_xll.EQNXTDZ($A$1,$B9,EW$1)</f>
        <v>45.239419475655403</v>
      </c>
      <c r="EX9" s="116" cm="1">
        <f t="array" ref="EX9">_xll.EQNXTDZ($A$1,$B9,EX$1)</f>
        <v>51.238420724094901</v>
      </c>
      <c r="EY9" s="116" cm="1">
        <f t="array" ref="EY9">_xll.EQNXTDZ($A$1,$B9,EY$1)</f>
        <v>41.298002496878901</v>
      </c>
      <c r="EZ9" s="116" cm="1">
        <f t="array" ref="EZ9">_xll.EQNXTDZ($A$1,$B9,EZ$1)</f>
        <v>40.703589263420703</v>
      </c>
      <c r="FA9" s="116" cm="1">
        <f t="array" ref="FA9">_xll.EQNXTDZ($A$1,$B9,FA$1)</f>
        <v>46.6751560549313</v>
      </c>
      <c r="FB9" s="116" cm="1">
        <f t="array" ref="FB9">_xll.EQNXTDZ($A$1,$B9,FB$1)</f>
        <v>57.008801498127298</v>
      </c>
      <c r="FC9" s="116" cm="1">
        <f t="array" ref="FC9">_xll.EQNXTDZ($A$1,$B9,FC$1)</f>
        <v>81.644943820224697</v>
      </c>
      <c r="FD9" s="116" cm="1">
        <f t="array" ref="FD9">_xll.EQNXTDZ($A$1,$B9,FD$1)</f>
        <v>79.239856429463202</v>
      </c>
      <c r="FE9" s="116" cm="1">
        <f t="array" ref="FE9">_xll.EQNXTDZ($A$1,$B9,FE$1)</f>
        <v>70.89</v>
      </c>
      <c r="FF9" s="116" cm="1">
        <f t="array" ref="FF9">_xll.EQNXTDZ($A$1,$B9,FF$1)</f>
        <v>62.4</v>
      </c>
      <c r="FG9" s="116" cm="1">
        <f t="array" ref="FG9">_xll.EQNXTDZ($A$1,$B9,FG$1)</f>
        <v>68.55</v>
      </c>
      <c r="FH9" s="116" cm="1">
        <f t="array" ref="FH9">_xll.EQNXTDZ($A$1,$B9,FH$1)</f>
        <v>58.64</v>
      </c>
      <c r="FI9" s="116" cm="1">
        <f t="array" ref="FI9">_xll.EQNXTDZ($A$1,$B9,FI$1)</f>
        <v>59.75</v>
      </c>
      <c r="FJ9" s="116" cm="1">
        <f t="array" ref="FJ9">_xll.EQNXTDZ($A$1,$B9,FJ$1)</f>
        <v>58.15</v>
      </c>
      <c r="FK9" s="116" cm="1">
        <f t="array" ref="FK9">_xll.EQNXTDZ($A$1,$B9,FK$1)</f>
        <v>51.07</v>
      </c>
      <c r="FL9" s="116" cm="1">
        <f t="array" ref="FL9">_xll.EQNXTDZ($A$1,$B9,FL$1)</f>
        <v>41.38</v>
      </c>
      <c r="FM9" s="116" cm="1">
        <f t="array" ref="FM9">_xll.EQNXTDZ($A$1,$B9,FM$1)</f>
        <v>68.510000000000005</v>
      </c>
      <c r="FN9" s="116" cm="1">
        <f t="array" ref="FN9">_xll.EQNXTDZ($A$1,$B9,FN$1)</f>
        <v>72.06</v>
      </c>
      <c r="FO9" s="116" cm="1">
        <f t="array" ref="FO9">_xll.EQNXTDZ($A$1,$B9,FO$1)</f>
        <v>70.94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45.239419475655403</v>
      </c>
      <c r="JN9" s="116">
        <f>EZ9</f>
        <v>40.703589263420703</v>
      </c>
      <c r="JO9" s="116">
        <f>FC9</f>
        <v>81.644943820224697</v>
      </c>
      <c r="JP9" s="116">
        <f>FF9</f>
        <v>62.4</v>
      </c>
      <c r="JQ9" s="116">
        <f>FI9</f>
        <v>59.75</v>
      </c>
      <c r="JR9" s="116">
        <f>FL9</f>
        <v>41.38</v>
      </c>
      <c r="JS9" s="116">
        <f>FO9</f>
        <v>70.94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17.919488711819401</v>
      </c>
      <c r="D13" cm="1">
        <f t="array" ref="D13">_xll.EQNXTDZ($A$1,$B13,D$1)</f>
        <v>14.5458706839309</v>
      </c>
      <c r="E13" cm="1">
        <f t="array" ref="E13">_xll.EQNXTDZ($A$1,$B13,E$1)</f>
        <v>13.878461155378501</v>
      </c>
      <c r="F13" cm="1">
        <f t="array" ref="F13">_xll.EQNXTDZ($A$1,$B13,F$1)</f>
        <v>9.5997260956175303</v>
      </c>
      <c r="G13" cm="1">
        <f t="array" ref="G13">_xll.EQNXTDZ($A$1,$B13,G$1)</f>
        <v>10.331133798140799</v>
      </c>
      <c r="H13" cm="1">
        <f t="array" ref="H13">_xll.EQNXTDZ($A$1,$B13,H$1)</f>
        <v>7.9540587649402399</v>
      </c>
      <c r="I13" cm="1">
        <f t="array" ref="I13">_xll.EQNXTDZ($A$1,$B13,I$1)</f>
        <v>5.6501245019920301</v>
      </c>
      <c r="J13" cm="1">
        <f t="array" ref="J13">_xll.EQNXTDZ($A$1,$B13,J$1)</f>
        <v>6.9483731739707801</v>
      </c>
      <c r="K13" cm="1">
        <f t="array" ref="K13">_xll.EQNXTDZ($A$1,$B13,K$1)</f>
        <v>7.9723439575033197</v>
      </c>
      <c r="L13" cm="1">
        <f t="array" ref="L13">_xll.EQNXTDZ($A$1,$B13,L$1)</f>
        <v>5.9426875830013302</v>
      </c>
      <c r="M13" cm="1">
        <f t="array" ref="M13">_xll.EQNXTDZ($A$1,$B13,M$1)</f>
        <v>4.9644297808764897</v>
      </c>
      <c r="N13" cm="1">
        <f t="array" ref="N13">_xll.EQNXTDZ($A$1,$B13,N$1)</f>
        <v>7.7712068393094302</v>
      </c>
      <c r="O13" cm="1">
        <f t="array" ref="O13">_xll.EQNXTDZ($A$1,$B13,O$1)</f>
        <v>7.3140770252324003</v>
      </c>
      <c r="P13" cm="1">
        <f t="array" ref="P13">_xll.EQNXTDZ($A$1,$B13,P$1)</f>
        <v>6.8843750000000004</v>
      </c>
      <c r="Q13" cm="1">
        <f t="array" ref="Q13">_xll.EQNXTDZ($A$1,$B13,Q$1)</f>
        <v>9.0511703187251005</v>
      </c>
      <c r="R13" cm="1">
        <f t="array" ref="R13">_xll.EQNXTDZ($A$1,$B13,R$1)</f>
        <v>9.1791666666666707</v>
      </c>
      <c r="S13" cm="1">
        <f t="array" ref="S13">_xll.EQNXTDZ($A$1,$B13,S$1)</f>
        <v>8.8774609893758303</v>
      </c>
      <c r="T13" cm="1">
        <f t="array" ref="T13">_xll.EQNXTDZ($A$1,$B13,T$1)</f>
        <v>7.9540587649402399</v>
      </c>
      <c r="U13" cm="1">
        <f t="array" ref="U13">_xll.EQNXTDZ($A$1,$B13,U$1)</f>
        <v>6.9483731739707801</v>
      </c>
      <c r="V13" cm="1">
        <f t="array" ref="V13">_xll.EQNXTDZ($A$1,$B13,V$1)</f>
        <v>6.0798265272244398</v>
      </c>
      <c r="W13" cm="1">
        <f t="array" ref="W13">_xll.EQNXTDZ($A$1,$B13,W$1)</f>
        <v>6.2169654714475397</v>
      </c>
      <c r="X13" cm="1">
        <f t="array" ref="X13">_xll.EQNXTDZ($A$1,$B13,X$1)</f>
        <v>5.96097277556441</v>
      </c>
      <c r="Y13" cm="1">
        <f t="array" ref="Y13">_xll.EQNXTDZ($A$1,$B13,Y$1)</f>
        <v>5.8695468127490003</v>
      </c>
      <c r="Z13" cm="1">
        <f t="array" ref="Z13">_xll.EQNXTDZ($A$1,$B13,Z$1)</f>
        <v>9.1425962815405004</v>
      </c>
      <c r="AA13" cm="1">
        <f t="array" ref="AA13">_xll.EQNXTDZ($A$1,$B13,AA$1)</f>
        <v>7.3780751992031899</v>
      </c>
      <c r="AB13" cm="1">
        <f t="array" ref="AB13">_xll.EQNXTDZ($A$1,$B13,AB$1)</f>
        <v>4.6627241035856599</v>
      </c>
      <c r="AC13" cm="1">
        <f t="array" ref="AC13">_xll.EQNXTDZ($A$1,$B13,AC$1)</f>
        <v>4.3884462151394397</v>
      </c>
      <c r="AD13" cm="1">
        <f t="array" ref="AD13">_xll.EQNXTDZ($A$1,$B13,AD$1)</f>
        <v>4.25130727091633</v>
      </c>
      <c r="AE13" cm="1">
        <f t="array" ref="AE13">_xll.EQNXTDZ($A$1,$B13,AE$1)</f>
        <v>4.3153054448871204</v>
      </c>
      <c r="AF13" cm="1">
        <f t="array" ref="AF13">_xll.EQNXTDZ($A$1,$B13,AF$1)</f>
        <v>4.1781665006640099</v>
      </c>
      <c r="AG13" cm="1">
        <f t="array" ref="AG13">_xll.EQNXTDZ($A$1,$B13,AG$1)</f>
        <v>3.6936088977423598</v>
      </c>
      <c r="AH13" cm="1">
        <f t="array" ref="AH13">_xll.EQNXTDZ($A$1,$B13,AH$1)</f>
        <v>3.4010458167330699</v>
      </c>
      <c r="AI13" cm="1">
        <f t="array" ref="AI13">_xll.EQNXTDZ($A$1,$B13,AI$1)</f>
        <v>3.3644754316069099</v>
      </c>
      <c r="AJ13" cm="1">
        <f t="array" ref="AJ13">_xll.EQNXTDZ($A$1,$B13,AJ$1)</f>
        <v>2.7702066733067698</v>
      </c>
      <c r="AK13" cm="1">
        <f t="array" ref="AK13">_xll.EQNXTDZ($A$1,$B13,AK$1)</f>
        <v>3.2090512948207199</v>
      </c>
      <c r="AL13" cm="1">
        <f t="array" ref="AL13">_xll.EQNXTDZ($A$1,$B13,AL$1)</f>
        <v>3.3370476427622799</v>
      </c>
      <c r="AM13" cm="1">
        <f t="array" ref="AM13">_xll.EQNXTDZ($A$1,$B13,AM$1)</f>
        <v>3.2639068725099598</v>
      </c>
      <c r="AN13" cm="1">
        <f t="array" ref="AN13">_xll.EQNXTDZ($A$1,$B13,AN$1)</f>
        <v>2.13936752988048</v>
      </c>
      <c r="AO13" cm="1">
        <f t="array" ref="AO13">_xll.EQNXTDZ($A$1,$B13,AO$1)</f>
        <v>2.1942231075697198</v>
      </c>
      <c r="AP13" cm="1">
        <f t="array" ref="AP13">_xll.EQNXTDZ($A$1,$B13,AP$1)</f>
        <v>3.1450531208499299</v>
      </c>
      <c r="AQ13" cm="1">
        <f t="array" ref="AQ13">_xll.EQNXTDZ($A$1,$B13,AQ$1)</f>
        <v>3.5290421646746299</v>
      </c>
      <c r="AR13" cm="1">
        <f t="array" ref="AR13">_xll.EQNXTDZ($A$1,$B13,AR$1)</f>
        <v>2.9256308100929602</v>
      </c>
      <c r="AS13" cm="1">
        <f t="array" ref="AS13">_xll.EQNXTDZ($A$1,$B13,AS$1)</f>
        <v>3.4101884130146098</v>
      </c>
      <c r="AT13" cm="1">
        <f t="array" ref="AT13">_xll.EQNXTDZ($A$1,$B13,AT$1)</f>
        <v>3.4559013944223098</v>
      </c>
      <c r="AU13" cm="1">
        <f t="array" ref="AU13">_xll.EQNXTDZ($A$1,$B13,AU$1)</f>
        <v>3.7301792828685301</v>
      </c>
      <c r="AV13" cm="1">
        <f t="array" ref="AV13">_xll.EQNXTDZ($A$1,$B13,AV$1)</f>
        <v>3.39190322045153</v>
      </c>
      <c r="AW13" cm="1">
        <f t="array" ref="AW13">_xll.EQNXTDZ($A$1,$B13,AW$1)</f>
        <v>3.67532370517928</v>
      </c>
      <c r="AX13" cm="1">
        <f t="array" ref="AX13">_xll.EQNXTDZ($A$1,$B13,AX$1)</f>
        <v>3.7576070717131498</v>
      </c>
      <c r="AY13" cm="1">
        <f t="array" ref="AY13">_xll.EQNXTDZ($A$1,$B13,AY$1)</f>
        <v>3.4010458167330699</v>
      </c>
      <c r="AZ13" cm="1">
        <f t="array" ref="AZ13">_xll.EQNXTDZ($A$1,$B13,AZ$1)</f>
        <v>2.75192148074369</v>
      </c>
      <c r="BA13" cm="1">
        <f t="array" ref="BA13">_xll.EQNXTDZ($A$1,$B13,BA$1)</f>
        <v>2.28564907038513</v>
      </c>
      <c r="BB13" cm="1">
        <f t="array" ref="BB13">_xll.EQNXTDZ($A$1,$B13,BB$1)</f>
        <v>2.4502158034528598</v>
      </c>
      <c r="BC13" cm="1">
        <f t="array" ref="BC13">_xll.EQNXTDZ($A$1,$B13,BC$1)</f>
        <v>2.8982030212483401</v>
      </c>
      <c r="BD13" cm="1">
        <f t="array" ref="BD13">_xll.EQNXTDZ($A$1,$B13,BD$1)</f>
        <v>2.8799178286852598</v>
      </c>
      <c r="BE13" cm="1">
        <f t="array" ref="BE13">_xll.EQNXTDZ($A$1,$B13,BE$1)</f>
        <v>2.6385532868525901</v>
      </c>
      <c r="BF13" cm="1">
        <f t="array" ref="BF13">_xll.EQNXTDZ($A$1,$B13,BF$1)</f>
        <v>3.4193310092961502</v>
      </c>
      <c r="BG13" cm="1">
        <f t="array" ref="BG13">_xll.EQNXTDZ($A$1,$B13,BG$1)</f>
        <v>3.29133466135458</v>
      </c>
      <c r="BH13" cm="1">
        <f t="array" ref="BH13">_xll.EQNXTDZ($A$1,$B13,BH$1)</f>
        <v>2.5142139774236401</v>
      </c>
      <c r="BI13" cm="1">
        <f t="array" ref="BI13">_xll.EQNXTDZ($A$1,$B13,BI$1)</f>
        <v>2.07536935590969</v>
      </c>
      <c r="BJ13" cm="1">
        <f t="array" ref="BJ13">_xll.EQNXTDZ($A$1,$B13,BJ$1)</f>
        <v>1.90166002656043</v>
      </c>
      <c r="BK13" cm="1">
        <f t="array" ref="BK13">_xll.EQNXTDZ($A$1,$B13,BK$1)</f>
        <v>2.6330677290836699</v>
      </c>
      <c r="BL13" cm="1">
        <f t="array" ref="BL13">_xll.EQNXTDZ($A$1,$B13,BL$1)</f>
        <v>2.7244936918990699</v>
      </c>
      <c r="BM13" cm="1">
        <f t="array" ref="BM13">_xll.EQNXTDZ($A$1,$B13,BM$1)</f>
        <v>2.6513529216467502</v>
      </c>
      <c r="BN13" cm="1">
        <f t="array" ref="BN13">_xll.EQNXTDZ($A$1,$B13,BN$1)</f>
        <v>2.7336362881806102</v>
      </c>
      <c r="BO13" cm="1">
        <f t="array" ref="BO13">_xll.EQNXTDZ($A$1,$B13,BO$1)</f>
        <v>2.4319306108897698</v>
      </c>
      <c r="BP13" cm="1">
        <f t="array" ref="BP13">_xll.EQNXTDZ($A$1,$B13,BP$1)</f>
        <v>2.2033657038512602</v>
      </c>
      <c r="BQ13" cm="1">
        <f t="array" ref="BQ13">_xll.EQNXTDZ($A$1,$B13,BQ$1)</f>
        <v>3.8764608233731699</v>
      </c>
      <c r="BR13" cm="1">
        <f t="array" ref="BR13">_xll.EQNXTDZ($A$1,$B13,BR$1)</f>
        <v>2.52335657370518</v>
      </c>
      <c r="BS13" cm="1">
        <f t="array" ref="BS13">_xll.EQNXTDZ($A$1,$B13,BS$1)</f>
        <v>1.8468044488711799</v>
      </c>
      <c r="BT13" cm="1">
        <f t="array" ref="BT13">_xll.EQNXTDZ($A$1,$B13,BT$1)</f>
        <v>1.42624501992032</v>
      </c>
      <c r="BU13" cm="1">
        <f t="array" ref="BU13">_xll.EQNXTDZ($A$1,$B13,BU$1)</f>
        <v>1.19768011288181</v>
      </c>
      <c r="BV13" cm="1">
        <f t="array" ref="BV13">_xll.EQNXTDZ($A$1,$B13,BV$1)</f>
        <v>1.6090969455511299</v>
      </c>
      <c r="BW13" cm="1">
        <f t="array" ref="BW13">_xll.EQNXTDZ($A$1,$B13,BW$1)</f>
        <v>1.8650896414342599</v>
      </c>
      <c r="BX13" cm="1">
        <f t="array" ref="BX13">_xll.EQNXTDZ($A$1,$B13,BX$1)</f>
        <v>1.91994521912351</v>
      </c>
      <c r="BY13" cm="1">
        <f t="array" ref="BY13">_xll.EQNXTDZ($A$1,$B13,BY$1)</f>
        <v>1.69138031208499</v>
      </c>
      <c r="BZ13" cm="1">
        <f t="array" ref="BZ13">_xll.EQNXTDZ($A$1,$B13,BZ$1)</f>
        <v>1.47195800132802</v>
      </c>
      <c r="CA13" cm="1">
        <f t="array" ref="CA13">_xll.EQNXTDZ($A$1,$B13,CA$1)</f>
        <v>1.23425049800797</v>
      </c>
      <c r="CB13" cm="1">
        <f t="array" ref="CB13">_xll.EQNXTDZ($A$1,$B13,CB$1)</f>
        <v>1.21596530544489</v>
      </c>
      <c r="CC13" cm="1">
        <f t="array" ref="CC13">_xll.EQNXTDZ($A$1,$B13,CC$1)</f>
        <v>1.21596530544489</v>
      </c>
      <c r="CD13" cm="1">
        <f t="array" ref="CD13">_xll.EQNXTDZ($A$1,$B13,CD$1)</f>
        <v>1.3713894422310799</v>
      </c>
      <c r="CE13" cm="1">
        <f t="array" ref="CE13">_xll.EQNXTDZ($A$1,$B13,CE$1)</f>
        <v>1.6822377158034501</v>
      </c>
      <c r="CF13" cm="1">
        <f t="array" ref="CF13">_xll.EQNXTDZ($A$1,$B13,CF$1)</f>
        <v>2.9804863877822001</v>
      </c>
      <c r="CG13" cm="1">
        <f t="array" ref="CG13">_xll.EQNXTDZ($A$1,$B13,CG$1)</f>
        <v>2.98962898406374</v>
      </c>
      <c r="CH13" cm="1">
        <f t="array" ref="CH13">_xll.EQNXTDZ($A$1,$B13,CH$1)</f>
        <v>2.5416417662682602</v>
      </c>
      <c r="CI13" cm="1">
        <f t="array" ref="CI13">_xll.EQNXTDZ($A$1,$B13,CI$1)</f>
        <v>1.61823954183267</v>
      </c>
      <c r="CJ13" cm="1">
        <f t="array" ref="CJ13">_xll.EQNXTDZ($A$1,$B13,CJ$1)</f>
        <v>1.62738213811421</v>
      </c>
      <c r="CK13" cm="1">
        <f t="array" ref="CK13">_xll.EQNXTDZ($A$1,$B13,CK$1)</f>
        <v>1.9565156042496701</v>
      </c>
      <c r="CL13" cm="1">
        <f t="array" ref="CL13">_xll.EQNXTDZ($A$1,$B13,CL$1)</f>
        <v>1.6090969455511299</v>
      </c>
      <c r="CM13" cm="1">
        <f t="array" ref="CM13">_xll.EQNXTDZ($A$1,$B13,CM$1)</f>
        <v>2.5690695551128799</v>
      </c>
      <c r="CN13" cm="1">
        <f t="array" ref="CN13">_xll.EQNXTDZ($A$1,$B13,CN$1)</f>
        <v>2.7884918658698501</v>
      </c>
      <c r="CO13" cm="1">
        <f t="array" ref="CO13">_xll.EQNXTDZ($A$1,$B13,CO$1)</f>
        <v>2.0570841633466102</v>
      </c>
      <c r="CP13" cm="1">
        <f t="array" ref="CP13">_xll.EQNXTDZ($A$1,$B13,CP$1)</f>
        <v>1.55424136786189</v>
      </c>
      <c r="CQ13" cm="1">
        <f t="array" ref="CQ13">_xll.EQNXTDZ($A$1,$B13,CQ$1)</f>
        <v>1.2708208831341301</v>
      </c>
      <c r="CR13" cm="1">
        <f t="array" ref="CR13">_xll.EQNXTDZ($A$1,$B13,CR$1)</f>
        <v>1.04225597609562</v>
      </c>
      <c r="CS13" cm="1">
        <f t="array" ref="CS13">_xll.EQNXTDZ($A$1,$B13,CS$1)</f>
        <v>1.04225597609562</v>
      </c>
      <c r="CT13" cm="1">
        <f t="array" ref="CT13">_xll.EQNXTDZ($A$1,$B13,CT$1)</f>
        <v>1.13368193891102</v>
      </c>
      <c r="CU13" cm="1">
        <f t="array" ref="CU13">_xll.EQNXTDZ($A$1,$B13,CU$1)</f>
        <v>1.13368193891102</v>
      </c>
      <c r="CV13" cm="1">
        <f t="array" ref="CV13">_xll.EQNXTDZ($A$1,$B13,CV$1)</f>
        <v>1.4171024236387799</v>
      </c>
      <c r="CW13" cm="1">
        <f t="array" ref="CW13">_xll.EQNXTDZ($A$1,$B13,CW$1)</f>
        <v>1.4628154050464801</v>
      </c>
      <c r="CX13" cm="1">
        <f t="array" ref="CX13">_xll.EQNXTDZ($A$1,$B13,CX$1)</f>
        <v>1.43538761620186</v>
      </c>
      <c r="CY13" cm="1">
        <f t="array" ref="CY13">_xll.EQNXTDZ($A$1,$B13,CY$1)</f>
        <v>1.4171024236387799</v>
      </c>
      <c r="CZ13" cm="1">
        <f t="array" ref="CZ13">_xll.EQNXTDZ($A$1,$B13,CZ$1)</f>
        <v>1.17025232403718</v>
      </c>
      <c r="DA13" cm="1">
        <f t="array" ref="DA13">_xll.EQNXTDZ($A$1,$B13,DA$1)</f>
        <v>1.23425049800797</v>
      </c>
      <c r="DB13" cm="1">
        <f t="array" ref="DB13">_xll.EQNXTDZ($A$1,$B13,DB$1)</f>
        <v>1.69138031208499</v>
      </c>
      <c r="DC13" cm="1">
        <f t="array" ref="DC13">_xll.EQNXTDZ($A$1,$B13,DC$1)</f>
        <v>2.1485101261620199</v>
      </c>
      <c r="DD13" cm="1">
        <f t="array" ref="DD13">_xll.EQNXTDZ($A$1,$B13,DD$1)</f>
        <v>2.4227880146082299</v>
      </c>
      <c r="DE13" cm="1">
        <f t="array" ref="DE13">_xll.EQNXTDZ($A$1,$B13,DE$1)</f>
        <v>2.1027971447543199</v>
      </c>
      <c r="DF13" cm="1">
        <f t="array" ref="DF13">_xll.EQNXTDZ($A$1,$B13,DF$1)</f>
        <v>3.9221738047808801</v>
      </c>
      <c r="DG13" cm="1">
        <f t="array" ref="DG13">_xll.EQNXTDZ($A$1,$B13,DG$1)</f>
        <v>4.9827149734395704</v>
      </c>
      <c r="DH13" cm="1">
        <f t="array" ref="DH13">_xll.EQNXTDZ($A$1,$B13,DH$1)</f>
        <v>5.72326527224436</v>
      </c>
      <c r="DI13" cm="1">
        <f t="array" ref="DI13">_xll.EQNXTDZ($A$1,$B13,DI$1)</f>
        <v>7.6340678950863197</v>
      </c>
      <c r="DJ13" cm="1">
        <f t="array" ref="DJ13">_xll.EQNXTDZ($A$1,$B13,DJ$1)</f>
        <v>6.1438247011952196</v>
      </c>
      <c r="DK13" cm="1">
        <f t="array" ref="DK13">_xll.EQNXTDZ($A$1,$B13,DK$1)</f>
        <v>2.9987715803452901</v>
      </c>
      <c r="DL13" cm="1">
        <f t="array" ref="DL13">_xll.EQNXTDZ($A$1,$B13,DL$1)</f>
        <v>2.41364541832669</v>
      </c>
      <c r="DM13" cm="1">
        <f t="array" ref="DM13">_xll.EQNXTDZ($A$1,$B13,DM$1)</f>
        <v>4.5255851593625502</v>
      </c>
      <c r="DN13" cm="1">
        <f t="array" ref="DN13">_xll.EQNXTDZ($A$1,$B13,DN$1)</f>
        <v>7.9997717463479399</v>
      </c>
      <c r="DO13" cm="1">
        <f t="array" ref="DO13">_xll.EQNXTDZ($A$1,$B13,DO$1)</f>
        <v>6.9483731739707801</v>
      </c>
      <c r="DP13" cm="1">
        <f t="array" ref="DP13">_xll.EQNXTDZ($A$1,$B13,DP$1)</f>
        <v>6.92094538512616</v>
      </c>
      <c r="DQ13" cm="1">
        <f t="array" ref="DQ13">_xll.EQNXTDZ($A$1,$B13,DQ$1)</f>
        <v>5.6684096945551099</v>
      </c>
      <c r="DR13" cm="1">
        <f t="array" ref="DR13">_xll.EQNXTDZ($A$1,$B13,DR$1)</f>
        <v>7.8169198207171302</v>
      </c>
      <c r="DS13" cm="1">
        <f t="array" ref="DS13">_xll.EQNXTDZ($A$1,$B13,DS$1)</f>
        <v>7.7072086653386496</v>
      </c>
      <c r="DT13" cm="1">
        <f t="array" ref="DT13">_xll.EQNXTDZ($A$1,$B13,DT$1)</f>
        <v>6.6283823041168697</v>
      </c>
      <c r="DU13" cm="1">
        <f t="array" ref="DU13">_xll.EQNXTDZ($A$1,$B13,DU$1)</f>
        <v>7.1952232735723802</v>
      </c>
      <c r="DV13" cm="1">
        <f t="array" ref="DV13">_xll.EQNXTDZ($A$1,$B13,DV$1)</f>
        <v>4.9918575697211196</v>
      </c>
      <c r="DW13" cm="1">
        <f t="array" ref="DW13">_xll.EQNXTDZ($A$1,$B13,DW$1)</f>
        <v>4.1050257304116897</v>
      </c>
      <c r="DX13" cm="1">
        <f t="array" ref="DX13">_xll.EQNXTDZ($A$1,$B13,DX$1)</f>
        <v>5.4124169986719801</v>
      </c>
      <c r="DY13" cm="1">
        <f t="array" ref="DY13">_xll.EQNXTDZ($A$1,$B13,DY$1)</f>
        <v>4.6535815073041196</v>
      </c>
      <c r="DZ13" cm="1">
        <f t="array" ref="DZ13">_xll.EQNXTDZ($A$1,$B13,DZ$1)</f>
        <v>7.0855121181938898</v>
      </c>
      <c r="EA13" cm="1">
        <f t="array" ref="EA13">_xll.EQNXTDZ($A$1,$B13,EA$1)</f>
        <v>8.3929033864541793</v>
      </c>
      <c r="EB13" cm="1">
        <f t="array" ref="EB13">_xll.EQNXTDZ($A$1,$B13,EB$1)</f>
        <v>6.6100971115537899</v>
      </c>
      <c r="EC13" cm="1">
        <f t="array" ref="EC13">_xll.EQNXTDZ($A$1,$B13,EC$1)</f>
        <v>6.5735267264276196</v>
      </c>
      <c r="ED13" cm="1">
        <f t="array" ref="ED13">_xll.EQNXTDZ($A$1,$B13,ED$1)</f>
        <v>7.83520501328021</v>
      </c>
      <c r="EE13" cm="1">
        <f t="array" ref="EE13">_xll.EQNXTDZ($A$1,$B13,EE$1)</f>
        <v>7.5517845285524601</v>
      </c>
      <c r="EF13" cm="1">
        <f t="array" ref="EF13">_xll.EQNXTDZ($A$1,$B13,EF$1)</f>
        <v>13.5767554780877</v>
      </c>
      <c r="EG13" cm="1">
        <f t="array" ref="EG13">_xll.EQNXTDZ($A$1,$B13,EG$1)</f>
        <v>29.9968583997344</v>
      </c>
      <c r="EH13" cm="1">
        <f t="array" ref="EH13">_xll.EQNXTDZ($A$1,$B13,EH$1)</f>
        <v>28.332905876493999</v>
      </c>
      <c r="EI13" cm="1">
        <f t="array" ref="EI13">_xll.EQNXTDZ($A$1,$B13,EI$1)</f>
        <v>30.8928328353254</v>
      </c>
      <c r="EJ13" cm="1">
        <f t="array" ref="EJ13">_xll.EQNXTDZ($A$1,$B13,EJ$1)</f>
        <v>36.643525896414303</v>
      </c>
      <c r="EK13" cm="1">
        <f t="array" ref="EK13">_xll.EQNXTDZ($A$1,$B13,EK$1)</f>
        <v>34.741865869853903</v>
      </c>
      <c r="EL13" cm="1">
        <f t="array" ref="EL13">_xll.EQNXTDZ($A$1,$B13,EL$1)</f>
        <v>35.381847609561802</v>
      </c>
      <c r="EM13" cm="1">
        <f t="array" ref="EM13">_xll.EQNXTDZ($A$1,$B13,EM$1)</f>
        <v>36.753237051792802</v>
      </c>
      <c r="EN13" cm="1">
        <f t="array" ref="EN13">_xll.EQNXTDZ($A$1,$B13,EN$1)</f>
        <v>34.7784362549801</v>
      </c>
      <c r="EO13" cm="1">
        <f t="array" ref="EO13">_xll.EQNXTDZ($A$1,$B13,EO$1)</f>
        <v>25.599269588313401</v>
      </c>
      <c r="EP13" cm="1">
        <f t="array" ref="EP13">_xll.EQNXTDZ($A$1,$B13,EP$1)</f>
        <v>34.458445385126197</v>
      </c>
      <c r="EQ13" cm="1">
        <f t="array" ref="EQ13">_xll.EQNXTDZ($A$1,$B13,EQ$1)</f>
        <v>30.865405046480699</v>
      </c>
      <c r="ER13" cm="1">
        <f t="array" ref="ER13">_xll.EQNXTDZ($A$1,$B13,ER$1)</f>
        <v>28.342048472775598</v>
      </c>
      <c r="ES13" cm="1">
        <f t="array" ref="ES13">_xll.EQNXTDZ($A$1,$B13,ES$1)</f>
        <v>33.809321049136798</v>
      </c>
      <c r="ET13" cm="1">
        <f t="array" ref="ET13">_xll.EQNXTDZ($A$1,$B13,ET$1)</f>
        <v>38.636611885790202</v>
      </c>
      <c r="EU13" cm="1">
        <f t="array" ref="EU13">_xll.EQNXTDZ($A$1,$B13,EU$1)</f>
        <v>45.667268426294797</v>
      </c>
      <c r="EV13" cm="1">
        <f t="array" ref="EV13">_xll.EQNXTDZ($A$1,$B13,EV$1)</f>
        <v>45.703838811421001</v>
      </c>
      <c r="EW13" cm="1">
        <f t="array" ref="EW13">_xll.EQNXTDZ($A$1,$B13,EW$1)</f>
        <v>44.113027058432898</v>
      </c>
      <c r="EX13" cm="1">
        <f t="array" ref="EX13">_xll.EQNXTDZ($A$1,$B13,EX$1)</f>
        <v>45.667268426294797</v>
      </c>
      <c r="EY13" cm="1">
        <f t="array" ref="EY13">_xll.EQNXTDZ($A$1,$B13,EY$1)</f>
        <v>51.289965139442202</v>
      </c>
      <c r="EZ13" cm="1">
        <f t="array" ref="EZ13">_xll.EQNXTDZ($A$1,$B13,EZ$1)</f>
        <v>41.242251826029197</v>
      </c>
      <c r="FA13" cm="1">
        <f t="array" ref="FA13">_xll.EQNXTDZ($A$1,$B13,FA$1)</f>
        <v>40.410275564408998</v>
      </c>
      <c r="FB13" cm="1">
        <f t="array" ref="FB13">_xll.EQNXTDZ($A$1,$B13,FB$1)</f>
        <v>46.627241035856599</v>
      </c>
      <c r="FC13" cm="1">
        <f t="array" ref="FC13">_xll.EQNXTDZ($A$1,$B13,FC$1)</f>
        <v>57.5526435922975</v>
      </c>
      <c r="FD13" cm="1">
        <f t="array" ref="FD13">_xll.EQNXTDZ($A$1,$B13,FD$1)</f>
        <v>81.460532868525902</v>
      </c>
      <c r="FE13" cm="1">
        <f t="array" ref="FE13">_xll.EQNXTDZ($A$1,$B13,FE$1)</f>
        <v>79.302880146082302</v>
      </c>
      <c r="FF13" cm="1">
        <f t="array" ref="FF13">_xll.EQNXTDZ($A$1,$B13,FF$1)</f>
        <v>71.2</v>
      </c>
      <c r="FG13" cm="1">
        <f t="array" ref="FG13">_xll.EQNXTDZ($A$1,$B13,FG$1)</f>
        <v>62.87</v>
      </c>
      <c r="FH13" cm="1">
        <f t="array" ref="FH13">_xll.EQNXTDZ($A$1,$B13,FH$1)</f>
        <v>68.98</v>
      </c>
      <c r="FI13" cm="1">
        <f t="array" ref="FI13">_xll.EQNXTDZ($A$1,$B13,FI$1)</f>
        <v>58.98</v>
      </c>
      <c r="FJ13" cm="1">
        <f t="array" ref="FJ13">_xll.EQNXTDZ($A$1,$B13,FJ$1)</f>
        <v>60</v>
      </c>
      <c r="FK13" cm="1">
        <f t="array" ref="FK13">_xll.EQNXTDZ($A$1,$B13,FK$1)</f>
        <v>59.27</v>
      </c>
      <c r="FL13" cm="1">
        <f t="array" ref="FL13">_xll.EQNXTDZ($A$1,$B13,FL$1)</f>
        <v>49.5</v>
      </c>
      <c r="FM13" cm="1">
        <f t="array" ref="FM13">_xll.EQNXTDZ($A$1,$B13,FM$1)</f>
        <v>42.97</v>
      </c>
      <c r="FN13" cm="1">
        <f t="array" ref="FN13">_xll.EQNXTDZ($A$1,$B13,FN$1)</f>
        <v>69.11</v>
      </c>
      <c r="FO13" cm="1">
        <f t="array" ref="FO13">_xll.EQNXTDZ($A$1,$B13,FO$1)</f>
        <v>72.150000000000006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18.724037184595002</v>
      </c>
      <c r="D14" s="116" cm="1">
        <f t="array" ref="D14">_xll.EQNXTDZ($A$1,$B14,D$1)</f>
        <v>16.794949369189901</v>
      </c>
      <c r="E14" s="116" cm="1">
        <f t="array" ref="E14">_xll.EQNXTDZ($A$1,$B14,E$1)</f>
        <v>13.896746347941599</v>
      </c>
      <c r="F14" s="116" cm="1">
        <f t="array" ref="F14">_xll.EQNXTDZ($A$1,$B14,F$1)</f>
        <v>13.9790297144754</v>
      </c>
      <c r="G14" s="116" cm="1">
        <f t="array" ref="G14">_xll.EQNXTDZ($A$1,$B14,G$1)</f>
        <v>12.799634794156701</v>
      </c>
      <c r="H14" s="116" cm="1">
        <f t="array" ref="H14">_xll.EQNXTDZ($A$1,$B14,H$1)</f>
        <v>9.8740039840637408</v>
      </c>
      <c r="I14" s="116" cm="1">
        <f t="array" ref="I14">_xll.EQNXTDZ($A$1,$B14,I$1)</f>
        <v>7.1586528884462197</v>
      </c>
      <c r="J14" s="116" cm="1">
        <f t="array" ref="J14">_xll.EQNXTDZ($A$1,$B14,J$1)</f>
        <v>11.1356822709163</v>
      </c>
      <c r="K14" s="116" cm="1">
        <f t="array" ref="K14">_xll.EQNXTDZ($A$1,$B14,K$1)</f>
        <v>8.2009088645418302</v>
      </c>
      <c r="L14" s="116" cm="1">
        <f t="array" ref="L14">_xll.EQNXTDZ($A$1,$B14,L$1)</f>
        <v>7.3872177954847302</v>
      </c>
      <c r="M14" s="116" cm="1">
        <f t="array" ref="M14">_xll.EQNXTDZ($A$1,$B14,M$1)</f>
        <v>8.2923348273572408</v>
      </c>
      <c r="N14" s="116" cm="1">
        <f t="array" ref="N14">_xll.EQNXTDZ($A$1,$B14,N$1)</f>
        <v>8.6031831009296091</v>
      </c>
      <c r="O14" s="116" cm="1">
        <f t="array" ref="O14">_xll.EQNXTDZ($A$1,$B14,O$1)</f>
        <v>8.1277680942895092</v>
      </c>
      <c r="P14" s="116" cm="1">
        <f t="array" ref="P14">_xll.EQNXTDZ($A$1,$B14,P$1)</f>
        <v>10.4317023572377</v>
      </c>
      <c r="Q14" s="116" cm="1">
        <f t="array" ref="Q14">_xll.EQNXTDZ($A$1,$B14,Q$1)</f>
        <v>10.577983897742399</v>
      </c>
      <c r="R14" s="116" cm="1">
        <f t="array" ref="R14">_xll.EQNXTDZ($A$1,$B14,R$1)</f>
        <v>10.2305652390438</v>
      </c>
      <c r="S14" s="116" cm="1">
        <f t="array" ref="S14">_xll.EQNXTDZ($A$1,$B14,S$1)</f>
        <v>9.8740039840637408</v>
      </c>
      <c r="T14" s="116" cm="1">
        <f t="array" ref="T14">_xll.EQNXTDZ($A$1,$B14,T$1)</f>
        <v>9.1791666666666707</v>
      </c>
      <c r="U14" s="116" cm="1">
        <f t="array" ref="U14">_xll.EQNXTDZ($A$1,$B14,U$1)</f>
        <v>7.1312250996015898</v>
      </c>
      <c r="V14" s="116" cm="1">
        <f t="array" ref="V14">_xll.EQNXTDZ($A$1,$B14,V$1)</f>
        <v>7.0397991367861898</v>
      </c>
      <c r="W14" s="116" cm="1">
        <f t="array" ref="W14">_xll.EQNXTDZ($A$1,$B14,W$1)</f>
        <v>7.2775066401062398</v>
      </c>
      <c r="X14" s="116" cm="1">
        <f t="array" ref="X14">_xll.EQNXTDZ($A$1,$B14,X$1)</f>
        <v>7.0306565405046504</v>
      </c>
      <c r="Y14" s="116" cm="1">
        <f t="array" ref="Y14">_xll.EQNXTDZ($A$1,$B14,Y$1)</f>
        <v>9.3345908034528495</v>
      </c>
      <c r="Z14" s="116" cm="1">
        <f t="array" ref="Z14">_xll.EQNXTDZ($A$1,$B14,Z$1)</f>
        <v>9.3071630146082303</v>
      </c>
      <c r="AA14" s="116" cm="1">
        <f t="array" ref="AA14">_xll.EQNXTDZ($A$1,$B14,AA$1)</f>
        <v>7.8077772244355899</v>
      </c>
      <c r="AB14" s="116" cm="1">
        <f t="array" ref="AB14">_xll.EQNXTDZ($A$1,$B14,AB$1)</f>
        <v>5.4672725763612204</v>
      </c>
      <c r="AC14" s="116" cm="1">
        <f t="array" ref="AC14">_xll.EQNXTDZ($A$1,$B14,AC$1)</f>
        <v>4.8730038180610897</v>
      </c>
      <c r="AD14" s="116" cm="1">
        <f t="array" ref="AD14">_xll.EQNXTDZ($A$1,$B14,AD$1)</f>
        <v>4.8455760292164696</v>
      </c>
      <c r="AE14" s="116" cm="1">
        <f t="array" ref="AE14">_xll.EQNXTDZ($A$1,$B14,AE$1)</f>
        <v>4.7541500664010599</v>
      </c>
      <c r="AF14" s="116" cm="1">
        <f t="array" ref="AF14">_xll.EQNXTDZ($A$1,$B14,AF$1)</f>
        <v>4.3701610225763599</v>
      </c>
      <c r="AG14" s="116" cm="1">
        <f t="array" ref="AG14">_xll.EQNXTDZ($A$1,$B14,AG$1)</f>
        <v>4.3884462151394397</v>
      </c>
      <c r="AH14" s="116" cm="1">
        <f t="array" ref="AH14">_xll.EQNXTDZ($A$1,$B14,AH$1)</f>
        <v>3.7484644754316099</v>
      </c>
      <c r="AI14" s="116" cm="1">
        <f t="array" ref="AI14">_xll.EQNXTDZ($A$1,$B14,AI$1)</f>
        <v>3.3644754316069099</v>
      </c>
      <c r="AJ14" s="116" cm="1">
        <f t="array" ref="AJ14">_xll.EQNXTDZ($A$1,$B14,AJ$1)</f>
        <v>3.82160524568393</v>
      </c>
      <c r="AK14" s="116" cm="1">
        <f t="array" ref="AK14">_xll.EQNXTDZ($A$1,$B14,AK$1)</f>
        <v>3.8947460159362599</v>
      </c>
      <c r="AL14" s="116" cm="1">
        <f t="array" ref="AL14">_xll.EQNXTDZ($A$1,$B14,AL$1)</f>
        <v>3.3461902390438198</v>
      </c>
      <c r="AM14" s="116" cm="1">
        <f t="array" ref="AM14">_xll.EQNXTDZ($A$1,$B14,AM$1)</f>
        <v>3.43761620185923</v>
      </c>
      <c r="AN14" s="116" cm="1">
        <f t="array" ref="AN14">_xll.EQNXTDZ($A$1,$B14,AN$1)</f>
        <v>2.90734561752988</v>
      </c>
      <c r="AO14" s="116" cm="1">
        <f t="array" ref="AO14">_xll.EQNXTDZ($A$1,$B14,AO$1)</f>
        <v>3.4193310092961502</v>
      </c>
      <c r="AP14" s="116" cm="1">
        <f t="array" ref="AP14">_xll.EQNXTDZ($A$1,$B14,AP$1)</f>
        <v>3.6021829349269598</v>
      </c>
      <c r="AQ14" s="116" cm="1">
        <f t="array" ref="AQ14">_xll.EQNXTDZ($A$1,$B14,AQ$1)</f>
        <v>4.1141683266932301</v>
      </c>
      <c r="AR14" s="116" cm="1">
        <f t="array" ref="AR14">_xll.EQNXTDZ($A$1,$B14,AR$1)</f>
        <v>4.25130727091633</v>
      </c>
      <c r="AS14" s="116" cm="1">
        <f t="array" ref="AS14">_xll.EQNXTDZ($A$1,$B14,AS$1)</f>
        <v>3.8398904382470098</v>
      </c>
      <c r="AT14" s="116" cm="1">
        <f t="array" ref="AT14">_xll.EQNXTDZ($A$1,$B14,AT$1)</f>
        <v>3.9221738047808801</v>
      </c>
      <c r="AU14" s="116" cm="1">
        <f t="array" ref="AU14">_xll.EQNXTDZ($A$1,$B14,AU$1)</f>
        <v>3.7850348605577699</v>
      </c>
      <c r="AV14" s="116" cm="1">
        <f t="array" ref="AV14">_xll.EQNXTDZ($A$1,$B14,AV$1)</f>
        <v>3.7027514940239001</v>
      </c>
      <c r="AW14" s="116" cm="1">
        <f t="array" ref="AW14">_xll.EQNXTDZ($A$1,$B14,AW$1)</f>
        <v>3.7941774568393098</v>
      </c>
      <c r="AX14" s="116" cm="1">
        <f t="array" ref="AX14">_xll.EQNXTDZ($A$1,$B14,AX$1)</f>
        <v>3.7576070717131498</v>
      </c>
      <c r="AY14" s="116" cm="1">
        <f t="array" ref="AY14">_xll.EQNXTDZ($A$1,$B14,AY$1)</f>
        <v>3.4010458167330699</v>
      </c>
      <c r="AZ14" s="116" cm="1">
        <f t="array" ref="AZ14">_xll.EQNXTDZ($A$1,$B14,AZ$1)</f>
        <v>2.7793492695883102</v>
      </c>
      <c r="BA14" s="116" cm="1">
        <f t="array" ref="BA14">_xll.EQNXTDZ($A$1,$B14,BA$1)</f>
        <v>2.6879233067729098</v>
      </c>
      <c r="BB14" s="116" cm="1">
        <f t="array" ref="BB14">_xll.EQNXTDZ($A$1,$B14,BB$1)</f>
        <v>2.7647211155378502</v>
      </c>
      <c r="BC14" s="116" cm="1">
        <f t="array" ref="BC14">_xll.EQNXTDZ($A$1,$B14,BC$1)</f>
        <v>3.0353419654714502</v>
      </c>
      <c r="BD14" s="116" cm="1">
        <f t="array" ref="BD14">_xll.EQNXTDZ($A$1,$B14,BD$1)</f>
        <v>2.8799178286852598</v>
      </c>
      <c r="BE14" s="116" cm="1">
        <f t="array" ref="BE14">_xll.EQNXTDZ($A$1,$B14,BE$1)</f>
        <v>3.2639068725099598</v>
      </c>
      <c r="BF14" s="116" cm="1">
        <f t="array" ref="BF14">_xll.EQNXTDZ($A$1,$B14,BF$1)</f>
        <v>3.4741865869853901</v>
      </c>
      <c r="BG14" s="116" cm="1">
        <f t="array" ref="BG14">_xll.EQNXTDZ($A$1,$B14,BG$1)</f>
        <v>3.29133466135458</v>
      </c>
      <c r="BH14" s="116" cm="1">
        <f t="array" ref="BH14">_xll.EQNXTDZ($A$1,$B14,BH$1)</f>
        <v>2.79763446215139</v>
      </c>
      <c r="BI14" s="116" cm="1">
        <f t="array" ref="BI14">_xll.EQNXTDZ($A$1,$B14,BI$1)</f>
        <v>2.2765064741035901</v>
      </c>
      <c r="BJ14" s="116" cm="1">
        <f t="array" ref="BJ14">_xll.EQNXTDZ($A$1,$B14,BJ$1)</f>
        <v>2.5142139774236401</v>
      </c>
      <c r="BK14" s="116" cm="1">
        <f t="array" ref="BK14">_xll.EQNXTDZ($A$1,$B14,BK$1)</f>
        <v>2.9164882138114199</v>
      </c>
      <c r="BL14" s="116" cm="1">
        <f t="array" ref="BL14">_xll.EQNXTDZ($A$1,$B14,BL$1)</f>
        <v>2.7427788844621501</v>
      </c>
      <c r="BM14" s="116" cm="1">
        <f t="array" ref="BM14">_xll.EQNXTDZ($A$1,$B14,BM$1)</f>
        <v>2.7427788844621501</v>
      </c>
      <c r="BN14" s="116" cm="1">
        <f t="array" ref="BN14">_xll.EQNXTDZ($A$1,$B14,BN$1)</f>
        <v>2.7336362881806102</v>
      </c>
      <c r="BO14" s="116" cm="1">
        <f t="array" ref="BO14">_xll.EQNXTDZ($A$1,$B14,BO$1)</f>
        <v>2.4319306108897698</v>
      </c>
      <c r="BP14" s="116" cm="1">
        <f t="array" ref="BP14">_xll.EQNXTDZ($A$1,$B14,BP$1)</f>
        <v>3.6936088977423598</v>
      </c>
      <c r="BQ14" s="116" cm="1">
        <f t="array" ref="BQ14">_xll.EQNXTDZ($A$1,$B14,BQ$1)</f>
        <v>4.3701610225763599</v>
      </c>
      <c r="BR14" s="116" cm="1">
        <f t="array" ref="BR14">_xll.EQNXTDZ($A$1,$B14,BR$1)</f>
        <v>2.52335657370518</v>
      </c>
      <c r="BS14" s="116" cm="1">
        <f t="array" ref="BS14">_xll.EQNXTDZ($A$1,$B14,BS$1)</f>
        <v>1.8468044488711799</v>
      </c>
      <c r="BT14" s="116" cm="1">
        <f t="array" ref="BT14">_xll.EQNXTDZ($A$1,$B14,BT$1)</f>
        <v>1.5359561752988</v>
      </c>
      <c r="BU14" s="116" cm="1">
        <f t="array" ref="BU14">_xll.EQNXTDZ($A$1,$B14,BU$1)</f>
        <v>1.5359561752988</v>
      </c>
      <c r="BV14" s="116" cm="1">
        <f t="array" ref="BV14">_xll.EQNXTDZ($A$1,$B14,BV$1)</f>
        <v>2.1027971447543199</v>
      </c>
      <c r="BW14" s="116" cm="1">
        <f t="array" ref="BW14">_xll.EQNXTDZ($A$1,$B14,BW$1)</f>
        <v>1.94737300796813</v>
      </c>
      <c r="BX14" s="116" cm="1">
        <f t="array" ref="BX14">_xll.EQNXTDZ($A$1,$B14,BX$1)</f>
        <v>1.91994521912351</v>
      </c>
      <c r="BY14" s="116" cm="1">
        <f t="array" ref="BY14">_xll.EQNXTDZ($A$1,$B14,BY$1)</f>
        <v>1.7370932934926999</v>
      </c>
      <c r="BZ14" s="116" cm="1">
        <f t="array" ref="BZ14">_xll.EQNXTDZ($A$1,$B14,BZ$1)</f>
        <v>1.5450987715803499</v>
      </c>
      <c r="CA14" s="116" cm="1">
        <f t="array" ref="CA14">_xll.EQNXTDZ($A$1,$B14,CA$1)</f>
        <v>1.32567646082337</v>
      </c>
      <c r="CB14" s="116" cm="1">
        <f t="array" ref="CB14">_xll.EQNXTDZ($A$1,$B14,CB$1)</f>
        <v>1.21596530544489</v>
      </c>
      <c r="CC14" s="116" cm="1">
        <f t="array" ref="CC14">_xll.EQNXTDZ($A$1,$B14,CC$1)</f>
        <v>1.45367280876494</v>
      </c>
      <c r="CD14" s="116" cm="1">
        <f t="array" ref="CD14">_xll.EQNXTDZ($A$1,$B14,CD$1)</f>
        <v>1.64566733067729</v>
      </c>
      <c r="CE14" s="116" cm="1">
        <f t="array" ref="CE14">_xll.EQNXTDZ($A$1,$B14,CE$1)</f>
        <v>2.9256308100929602</v>
      </c>
      <c r="CF14" s="116" cm="1">
        <f t="array" ref="CF14">_xll.EQNXTDZ($A$1,$B14,CF$1)</f>
        <v>3.51989956839309</v>
      </c>
      <c r="CG14" s="116" cm="1">
        <f t="array" ref="CG14">_xll.EQNXTDZ($A$1,$B14,CG$1)</f>
        <v>2.98962898406374</v>
      </c>
      <c r="CH14" s="116" cm="1">
        <f t="array" ref="CH14">_xll.EQNXTDZ($A$1,$B14,CH$1)</f>
        <v>2.5416417662682602</v>
      </c>
      <c r="CI14" s="116" cm="1">
        <f t="array" ref="CI14">_xll.EQNXTDZ($A$1,$B14,CI$1)</f>
        <v>1.62738213811421</v>
      </c>
      <c r="CJ14" s="116" cm="1">
        <f t="array" ref="CJ14">_xll.EQNXTDZ($A$1,$B14,CJ$1)</f>
        <v>1.9565156042496701</v>
      </c>
      <c r="CK14" s="116" cm="1">
        <f t="array" ref="CK14">_xll.EQNXTDZ($A$1,$B14,CK$1)</f>
        <v>2.0479415670650698</v>
      </c>
      <c r="CL14" s="116" cm="1">
        <f t="array" ref="CL14">_xll.EQNXTDZ($A$1,$B14,CL$1)</f>
        <v>2.4502158034528598</v>
      </c>
      <c r="CM14" s="116" cm="1">
        <f t="array" ref="CM14">_xll.EQNXTDZ($A$1,$B14,CM$1)</f>
        <v>3.29133466135458</v>
      </c>
      <c r="CN14" s="116" cm="1">
        <f t="array" ref="CN14">_xll.EQNXTDZ($A$1,$B14,CN$1)</f>
        <v>2.7884918658698501</v>
      </c>
      <c r="CO14" s="116" cm="1">
        <f t="array" ref="CO14">_xll.EQNXTDZ($A$1,$B14,CO$1)</f>
        <v>2.0570841633466102</v>
      </c>
      <c r="CP14" s="116" cm="1">
        <f t="array" ref="CP14">_xll.EQNXTDZ($A$1,$B14,CP$1)</f>
        <v>1.55424136786189</v>
      </c>
      <c r="CQ14" s="116" cm="1">
        <f t="array" ref="CQ14">_xll.EQNXTDZ($A$1,$B14,CQ$1)</f>
        <v>1.2708208831341301</v>
      </c>
      <c r="CR14" s="116" cm="1">
        <f t="array" ref="CR14">_xll.EQNXTDZ($A$1,$B14,CR$1)</f>
        <v>1.08796895750332</v>
      </c>
      <c r="CS14" s="116" cm="1">
        <f t="array" ref="CS14">_xll.EQNXTDZ($A$1,$B14,CS$1)</f>
        <v>1.13368193891102</v>
      </c>
      <c r="CT14" s="116" cm="1">
        <f t="array" ref="CT14">_xll.EQNXTDZ($A$1,$B14,CT$1)</f>
        <v>1.19768011288181</v>
      </c>
      <c r="CU14" s="116" cm="1">
        <f t="array" ref="CU14">_xll.EQNXTDZ($A$1,$B14,CU$1)</f>
        <v>1.4171024236387799</v>
      </c>
      <c r="CV14" s="116" cm="1">
        <f t="array" ref="CV14">_xll.EQNXTDZ($A$1,$B14,CV$1)</f>
        <v>2.3405046480743699</v>
      </c>
      <c r="CW14" s="116" cm="1">
        <f t="array" ref="CW14">_xll.EQNXTDZ($A$1,$B14,CW$1)</f>
        <v>1.49938579017264</v>
      </c>
      <c r="CX14" s="116" cm="1">
        <f t="array" ref="CX14">_xll.EQNXTDZ($A$1,$B14,CX$1)</f>
        <v>1.4628154050464801</v>
      </c>
      <c r="CY14" s="116" cm="1">
        <f t="array" ref="CY14">_xll.EQNXTDZ($A$1,$B14,CY$1)</f>
        <v>1.49938579017264</v>
      </c>
      <c r="CZ14" s="116" cm="1">
        <f t="array" ref="CZ14">_xll.EQNXTDZ($A$1,$B14,CZ$1)</f>
        <v>1.27996347941567</v>
      </c>
      <c r="DA14" s="116" cm="1">
        <f t="array" ref="DA14">_xll.EQNXTDZ($A$1,$B14,DA$1)</f>
        <v>1.96565820053121</v>
      </c>
      <c r="DB14" s="116" cm="1">
        <f t="array" ref="DB14">_xll.EQNXTDZ($A$1,$B14,DB$1)</f>
        <v>2.52335657370518</v>
      </c>
      <c r="DC14" s="116" cm="1">
        <f t="array" ref="DC14">_xll.EQNXTDZ($A$1,$B14,DC$1)</f>
        <v>2.3130768592297501</v>
      </c>
      <c r="DD14" s="116" cm="1">
        <f t="array" ref="DD14">_xll.EQNXTDZ($A$1,$B14,DD$1)</f>
        <v>2.8799178286852598</v>
      </c>
      <c r="DE14" s="116" cm="1">
        <f t="array" ref="DE14">_xll.EQNXTDZ($A$1,$B14,DE$1)</f>
        <v>3.73932187915007</v>
      </c>
      <c r="DF14" s="116" cm="1">
        <f t="array" ref="DF14">_xll.EQNXTDZ($A$1,$B14,DF$1)</f>
        <v>4.9095742031872502</v>
      </c>
      <c r="DG14" s="116" cm="1">
        <f t="array" ref="DG14">_xll.EQNXTDZ($A$1,$B14,DG$1)</f>
        <v>5.7324078685259003</v>
      </c>
      <c r="DH14" s="116" cm="1">
        <f t="array" ref="DH14">_xll.EQNXTDZ($A$1,$B14,DH$1)</f>
        <v>7.49692895086321</v>
      </c>
      <c r="DI14" s="116" cm="1">
        <f t="array" ref="DI14">_xll.EQNXTDZ($A$1,$B14,DI$1)</f>
        <v>8.7037516600265601</v>
      </c>
      <c r="DJ14" s="116" cm="1">
        <f t="array" ref="DJ14">_xll.EQNXTDZ($A$1,$B14,DJ$1)</f>
        <v>6.9940861553784899</v>
      </c>
      <c r="DK14" s="116" cm="1">
        <f t="array" ref="DK14">_xll.EQNXTDZ($A$1,$B14,DK$1)</f>
        <v>3.3644754316069099</v>
      </c>
      <c r="DL14" s="116" cm="1">
        <f t="array" ref="DL14">_xll.EQNXTDZ($A$1,$B14,DL$1)</f>
        <v>4.3884462151394397</v>
      </c>
      <c r="DM14" s="116" cm="1">
        <f t="array" ref="DM14">_xll.EQNXTDZ($A$1,$B14,DM$1)</f>
        <v>7.6249252988047802</v>
      </c>
      <c r="DN14" s="116" cm="1">
        <f t="array" ref="DN14">_xll.EQNXTDZ($A$1,$B14,DN$1)</f>
        <v>8.9323165670650706</v>
      </c>
      <c r="DO14" s="116" cm="1">
        <f t="array" ref="DO14">_xll.EQNXTDZ($A$1,$B14,DO$1)</f>
        <v>8.5940405046480706</v>
      </c>
      <c r="DP14" s="116" cm="1">
        <f t="array" ref="DP14">_xll.EQNXTDZ($A$1,$B14,DP$1)</f>
        <v>7.1586528884462197</v>
      </c>
      <c r="DQ14" s="116" cm="1">
        <f t="array" ref="DQ14">_xll.EQNXTDZ($A$1,$B14,DQ$1)</f>
        <v>9.5540131142098303</v>
      </c>
      <c r="DR14" s="116" cm="1">
        <f t="array" ref="DR14">_xll.EQNXTDZ($A$1,$B14,DR$1)</f>
        <v>8.8683183930942899</v>
      </c>
      <c r="DS14" s="116" cm="1">
        <f t="array" ref="DS14">_xll.EQNXTDZ($A$1,$B14,DS$1)</f>
        <v>8.7586072377158004</v>
      </c>
      <c r="DT14" s="116" cm="1">
        <f t="array" ref="DT14">_xll.EQNXTDZ($A$1,$B14,DT$1)</f>
        <v>7.9266309760956197</v>
      </c>
      <c r="DU14" s="116" cm="1">
        <f t="array" ref="DU14">_xll.EQNXTDZ($A$1,$B14,DU$1)</f>
        <v>7.30493442895086</v>
      </c>
      <c r="DV14" s="116" cm="1">
        <f t="array" ref="DV14">_xll.EQNXTDZ($A$1,$B14,DV$1)</f>
        <v>6.1803950863213801</v>
      </c>
      <c r="DW14" s="116" cm="1">
        <f t="array" ref="DW14">_xll.EQNXTDZ($A$1,$B14,DW$1)</f>
        <v>5.6684096945551099</v>
      </c>
      <c r="DX14" s="116" cm="1">
        <f t="array" ref="DX14">_xll.EQNXTDZ($A$1,$B14,DX$1)</f>
        <v>5.5221281540504696</v>
      </c>
      <c r="DY14" s="116" cm="1">
        <f t="array" ref="DY14">_xll.EQNXTDZ($A$1,$B14,DY$1)</f>
        <v>7.0306565405046504</v>
      </c>
      <c r="DZ14" s="116" cm="1">
        <f t="array" ref="DZ14">_xll.EQNXTDZ($A$1,$B14,DZ$1)</f>
        <v>9.0511703187251005</v>
      </c>
      <c r="EA14" s="116" cm="1">
        <f t="array" ref="EA14">_xll.EQNXTDZ($A$1,$B14,EA$1)</f>
        <v>8.3929033864541793</v>
      </c>
      <c r="EB14" s="116" cm="1">
        <f t="array" ref="EB14">_xll.EQNXTDZ($A$1,$B14,EB$1)</f>
        <v>7.8626328021248302</v>
      </c>
      <c r="EC14" s="116" cm="1">
        <f t="array" ref="EC14">_xll.EQNXTDZ($A$1,$B14,EC$1)</f>
        <v>7.8169198207171302</v>
      </c>
      <c r="ED14" s="116" cm="1">
        <f t="array" ref="ED14">_xll.EQNXTDZ($A$1,$B14,ED$1)</f>
        <v>8.1643384794156706</v>
      </c>
      <c r="EE14" s="116" cm="1">
        <f t="array" ref="EE14">_xll.EQNXTDZ($A$1,$B14,EE$1)</f>
        <v>16.337819555112901</v>
      </c>
      <c r="EF14" s="116" cm="1">
        <f t="array" ref="EF14">_xll.EQNXTDZ($A$1,$B14,EF$1)</f>
        <v>28.570613379814102</v>
      </c>
      <c r="EG14" s="116" cm="1">
        <f t="array" ref="EG14">_xll.EQNXTDZ($A$1,$B14,EG$1)</f>
        <v>36.104112715803502</v>
      </c>
      <c r="EH14" s="116" cm="1">
        <f t="array" ref="EH14">_xll.EQNXTDZ($A$1,$B14,EH$1)</f>
        <v>34.001315571049098</v>
      </c>
      <c r="EI14" s="116" cm="1">
        <f t="array" ref="EI14">_xll.EQNXTDZ($A$1,$B14,EI$1)</f>
        <v>43.655897244355899</v>
      </c>
      <c r="EJ14" s="116" cm="1">
        <f t="array" ref="EJ14">_xll.EQNXTDZ($A$1,$B14,EJ$1)</f>
        <v>37.484644754316101</v>
      </c>
      <c r="EK14" s="116" cm="1">
        <f t="array" ref="EK14">_xll.EQNXTDZ($A$1,$B14,EK$1)</f>
        <v>42.787350597609603</v>
      </c>
      <c r="EL14" s="116" cm="1">
        <f t="array" ref="EL14">_xll.EQNXTDZ($A$1,$B14,EL$1)</f>
        <v>37.210366865869901</v>
      </c>
      <c r="EM14" s="116" cm="1">
        <f t="array" ref="EM14">_xll.EQNXTDZ($A$1,$B14,EM$1)</f>
        <v>37.9417745683931</v>
      </c>
      <c r="EN14" s="116" cm="1">
        <f t="array" ref="EN14">_xll.EQNXTDZ($A$1,$B14,EN$1)</f>
        <v>35.518986553784899</v>
      </c>
      <c r="EO14" s="116" cm="1">
        <f t="array" ref="EO14">_xll.EQNXTDZ($A$1,$B14,EO$1)</f>
        <v>36.524672144754298</v>
      </c>
      <c r="EP14" s="116" cm="1">
        <f t="array" ref="EP14">_xll.EQNXTDZ($A$1,$B14,EP$1)</f>
        <v>36.021829349269602</v>
      </c>
      <c r="EQ14" s="116" cm="1">
        <f t="array" ref="EQ14">_xll.EQNXTDZ($A$1,$B14,EQ$1)</f>
        <v>31.999086985391799</v>
      </c>
      <c r="ER14" s="116" cm="1">
        <f t="array" ref="ER14">_xll.EQNXTDZ($A$1,$B14,ER$1)</f>
        <v>38.8468916002656</v>
      </c>
      <c r="ES14" s="116" cm="1">
        <f t="array" ref="ES14">_xll.EQNXTDZ($A$1,$B14,ES$1)</f>
        <v>41.873090969455497</v>
      </c>
      <c r="ET14" s="116" cm="1">
        <f t="array" ref="ET14">_xll.EQNXTDZ($A$1,$B14,ET$1)</f>
        <v>46.581528054448903</v>
      </c>
      <c r="EU14" s="116" cm="1">
        <f t="array" ref="EU14">_xll.EQNXTDZ($A$1,$B14,EU$1)</f>
        <v>49.918575697211203</v>
      </c>
      <c r="EV14" s="116" cm="1">
        <f t="array" ref="EV14">_xll.EQNXTDZ($A$1,$B14,EV$1)</f>
        <v>46.627241035856599</v>
      </c>
      <c r="EW14" s="116" cm="1">
        <f t="array" ref="EW14">_xll.EQNXTDZ($A$1,$B14,EW$1)</f>
        <v>47.139226427622802</v>
      </c>
      <c r="EX14" s="116" cm="1">
        <f t="array" ref="EX14">_xll.EQNXTDZ($A$1,$B14,EX$1)</f>
        <v>57.753780710491398</v>
      </c>
      <c r="EY14" s="116" cm="1">
        <f t="array" ref="EY14">_xll.EQNXTDZ($A$1,$B14,EY$1)</f>
        <v>51.747094953519301</v>
      </c>
      <c r="EZ14" s="116" cm="1">
        <f t="array" ref="EZ14">_xll.EQNXTDZ($A$1,$B14,EZ$1)</f>
        <v>42.174796646746401</v>
      </c>
      <c r="FA14" s="116" cm="1">
        <f t="array" ref="FA14">_xll.EQNXTDZ($A$1,$B14,FA$1)</f>
        <v>51.180253984063697</v>
      </c>
      <c r="FB14" s="116" cm="1">
        <f t="array" ref="FB14">_xll.EQNXTDZ($A$1,$B14,FB$1)</f>
        <v>58.558329183266899</v>
      </c>
      <c r="FC14" s="116" cm="1">
        <f t="array" ref="FC14">_xll.EQNXTDZ($A$1,$B14,FC$1)</f>
        <v>84.642156374501994</v>
      </c>
      <c r="FD14" s="116" cm="1">
        <f t="array" ref="FD14">_xll.EQNXTDZ($A$1,$B14,FD$1)</f>
        <v>88.125485557768897</v>
      </c>
      <c r="FE14" s="116" cm="1">
        <f t="array" ref="FE14">_xll.EQNXTDZ($A$1,$B14,FE$1)</f>
        <v>79.440019090305398</v>
      </c>
      <c r="FF14" s="116" cm="1">
        <f t="array" ref="FF14">_xll.EQNXTDZ($A$1,$B14,FF$1)</f>
        <v>75</v>
      </c>
      <c r="FG14" s="116" cm="1">
        <f t="array" ref="FG14">_xll.EQNXTDZ($A$1,$B14,FG$1)</f>
        <v>73.760000000000005</v>
      </c>
      <c r="FH14" s="116" cm="1">
        <f t="array" ref="FH14">_xll.EQNXTDZ($A$1,$B14,FH$1)</f>
        <v>70.72</v>
      </c>
      <c r="FI14" s="116" cm="1">
        <f t="array" ref="FI14">_xll.EQNXTDZ($A$1,$B14,FI$1)</f>
        <v>75.400000000000006</v>
      </c>
      <c r="FJ14" s="116" cm="1">
        <f t="array" ref="FJ14">_xll.EQNXTDZ($A$1,$B14,FJ$1)</f>
        <v>68.739999999999995</v>
      </c>
      <c r="FK14" s="116" cm="1">
        <f t="array" ref="FK14">_xll.EQNXTDZ($A$1,$B14,FK$1)</f>
        <v>63.55</v>
      </c>
      <c r="FL14" s="116" cm="1">
        <f t="array" ref="FL14">_xll.EQNXTDZ($A$1,$B14,FL$1)</f>
        <v>50.98</v>
      </c>
      <c r="FM14" s="116" cm="1">
        <f t="array" ref="FM14">_xll.EQNXTDZ($A$1,$B14,FM$1)</f>
        <v>71.87</v>
      </c>
      <c r="FN14" s="116" cm="1">
        <f t="array" ref="FN14">_xll.EQNXTDZ($A$1,$B14,FN$1)</f>
        <v>76.12</v>
      </c>
      <c r="FO14" s="116" cm="1">
        <f t="array" ref="FO14">_xll.EQNXTDZ($A$1,$B14,FO$1)</f>
        <v>73.540000000000006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16.794949369189901</v>
      </c>
      <c r="HQ14" s="116">
        <f>+MAX(G14:I14)</f>
        <v>12.799634794156701</v>
      </c>
      <c r="HR14" s="116">
        <f>+MAX(J14:L14)</f>
        <v>11.1356822709163</v>
      </c>
      <c r="HS14" s="116">
        <f>+MAX(M14:O14)</f>
        <v>8.6031831009296091</v>
      </c>
      <c r="HT14" s="116">
        <f>+MAX(P14:R14)</f>
        <v>10.577983897742399</v>
      </c>
      <c r="HU14" s="116">
        <f>+MAX(S14:U14)</f>
        <v>9.8740039840637408</v>
      </c>
      <c r="HV14" s="116">
        <f>+MAX(V14:X14)</f>
        <v>7.2775066401062398</v>
      </c>
      <c r="HW14" s="116">
        <f>+MAX(Y14:AA14)</f>
        <v>9.3345908034528495</v>
      </c>
      <c r="HX14" s="116">
        <f>+MAX(AB14:AD14)</f>
        <v>5.4672725763612204</v>
      </c>
      <c r="HY14" s="116">
        <f>+MAX(AE14:AG14)</f>
        <v>4.7541500664010599</v>
      </c>
      <c r="HZ14" s="116">
        <f>+MAX(AH14:AJ14)</f>
        <v>3.82160524568393</v>
      </c>
      <c r="IA14" s="116">
        <f>+MAX(AK14:AM14)</f>
        <v>3.8947460159362599</v>
      </c>
      <c r="IB14" s="116">
        <f>+MAX(AN14:AP14)</f>
        <v>3.6021829349269598</v>
      </c>
      <c r="IC14" s="116">
        <f>+MAX(AQ14:AS14)</f>
        <v>4.25130727091633</v>
      </c>
      <c r="ID14" s="116">
        <f>+MAX(AT14:AV14)</f>
        <v>3.9221738047808801</v>
      </c>
      <c r="IE14" s="116">
        <f>+MAX(AW14:AY14)</f>
        <v>3.7941774568393098</v>
      </c>
      <c r="IF14" s="116">
        <f>+MAX(AZ14:BB14)</f>
        <v>2.7793492695883102</v>
      </c>
      <c r="IG14" s="116">
        <f>+MAX(BC14:BE14)</f>
        <v>3.2639068725099598</v>
      </c>
      <c r="IH14" s="116">
        <f>+MAX(BF14:BH14)</f>
        <v>3.4741865869853901</v>
      </c>
      <c r="II14" s="116">
        <f>+MAX(BI14:BK14)</f>
        <v>2.9164882138114199</v>
      </c>
      <c r="IJ14" s="116">
        <f>+MAX(BL14:BN14)</f>
        <v>2.7427788844621501</v>
      </c>
      <c r="IK14" s="116">
        <f>+MAX(BO14:BQ14)</f>
        <v>4.3701610225763599</v>
      </c>
      <c r="IL14" s="116">
        <f>+MAX(BR14:BT14)</f>
        <v>2.52335657370518</v>
      </c>
      <c r="IM14" s="116">
        <f>+MAX(BU14:BW14)</f>
        <v>2.1027971447543199</v>
      </c>
      <c r="IN14" s="116">
        <f>+MAX(BX14:BZ14)</f>
        <v>1.91994521912351</v>
      </c>
      <c r="IO14" s="116">
        <f>+MAX(CA14:CC14)</f>
        <v>1.45367280876494</v>
      </c>
      <c r="IP14" s="116">
        <f>+MAX(CD14:CF14)</f>
        <v>3.51989956839309</v>
      </c>
      <c r="IQ14" s="116">
        <f>+MAX(CG14:CI14)</f>
        <v>2.98962898406374</v>
      </c>
      <c r="IR14" s="116">
        <f>+MAX(CJ14:CL14)</f>
        <v>2.4502158034528598</v>
      </c>
      <c r="IS14" s="116">
        <f>+MAX(CM14:CO14)</f>
        <v>3.29133466135458</v>
      </c>
      <c r="IT14" s="116">
        <f>+MAX(CP14:CR14)</f>
        <v>1.55424136786189</v>
      </c>
      <c r="IU14" s="116">
        <f>+MAX(CS14:CU14)</f>
        <v>1.4171024236387799</v>
      </c>
      <c r="IV14" s="116">
        <f>+MAX(CV14:CX14)</f>
        <v>2.3405046480743699</v>
      </c>
      <c r="IW14" s="116">
        <f>+MAX(CY14:DA14)</f>
        <v>1.96565820053121</v>
      </c>
      <c r="IX14" s="116">
        <f>+MAX(DB14:DD14)</f>
        <v>2.8799178286852598</v>
      </c>
      <c r="IY14" s="116">
        <f>+MAX(DE14:DG14)</f>
        <v>5.7324078685259003</v>
      </c>
      <c r="IZ14" s="116">
        <f>+MAX(DH14:DJ14)</f>
        <v>8.7037516600265601</v>
      </c>
      <c r="JA14" s="116">
        <f>+MAX(DK14:DM14)</f>
        <v>7.6249252988047802</v>
      </c>
      <c r="JB14" s="116">
        <f>+MAX(DN14:DP14)</f>
        <v>8.9323165670650706</v>
      </c>
      <c r="JC14" s="116">
        <f>+MAX(DQ14:DS14)</f>
        <v>9.5540131142098303</v>
      </c>
      <c r="JD14" s="116">
        <f>+MAX(DT14:DV14)</f>
        <v>7.9266309760956197</v>
      </c>
      <c r="JE14" s="116">
        <f>+MAX(DW14:DY14)</f>
        <v>7.0306565405046504</v>
      </c>
      <c r="JF14" s="116">
        <f>+MAX(DZ14:EB14)</f>
        <v>9.0511703187251005</v>
      </c>
      <c r="JG14" s="116">
        <f>+MAX(EC14:EE14)</f>
        <v>16.337819555112901</v>
      </c>
      <c r="JH14" s="116">
        <f>+MAX(EF14:EH14)</f>
        <v>36.104112715803502</v>
      </c>
      <c r="JI14" s="116">
        <f>+MAX(EI14:EK14)</f>
        <v>43.655897244355899</v>
      </c>
      <c r="JJ14" s="116">
        <f>+MAX(EL14:EN14)</f>
        <v>37.9417745683931</v>
      </c>
      <c r="JK14" s="116">
        <f>MAX(EO14:EQ14)</f>
        <v>36.524672144754298</v>
      </c>
      <c r="JL14" s="116">
        <f>MAX(ER14:ET14)</f>
        <v>46.581528054448903</v>
      </c>
      <c r="JM14" s="116">
        <f>MAX(EU14:EW14)</f>
        <v>49.918575697211203</v>
      </c>
      <c r="JN14" s="116">
        <f>MAX(EX14:EZ14)</f>
        <v>57.753780710491398</v>
      </c>
      <c r="JO14" s="116">
        <f>MAX(FA14:FC14)</f>
        <v>84.642156374501994</v>
      </c>
      <c r="JP14" s="116">
        <f>MAX(FD14:FF14)</f>
        <v>88.125485557768897</v>
      </c>
      <c r="JQ14" s="116">
        <f>MAX(FG14:FI14)</f>
        <v>75.400000000000006</v>
      </c>
      <c r="JR14" s="116">
        <f>MAX(FJ14:FL14)</f>
        <v>68.739999999999995</v>
      </c>
      <c r="JS14" s="116">
        <f>MAX(FM14:FO14)</f>
        <v>76.12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13.9150315405046</v>
      </c>
      <c r="D15" s="116" cm="1">
        <f t="array" ref="D15">_xll.EQNXTDZ($A$1,$B15,D$1)</f>
        <v>12.616782868525901</v>
      </c>
      <c r="E15" s="116" cm="1">
        <f t="array" ref="E15">_xll.EQNXTDZ($A$1,$B15,E$1)</f>
        <v>7.5517845285524601</v>
      </c>
      <c r="F15" s="116" cm="1">
        <f t="array" ref="F15">_xll.EQNXTDZ($A$1,$B15,F$1)</f>
        <v>9.3620185922974795</v>
      </c>
      <c r="G15" s="116" cm="1">
        <f t="array" ref="G15">_xll.EQNXTDZ($A$1,$B15,G$1)</f>
        <v>7.2409362549800802</v>
      </c>
      <c r="H15" s="116" cm="1">
        <f t="array" ref="H15">_xll.EQNXTDZ($A$1,$B15,H$1)</f>
        <v>5.53127075033201</v>
      </c>
      <c r="I15" s="116" cm="1">
        <f t="array" ref="I15">_xll.EQNXTDZ($A$1,$B15,I$1)</f>
        <v>5.4855577689243002</v>
      </c>
      <c r="J15" s="116" cm="1">
        <f t="array" ref="J15">_xll.EQNXTDZ($A$1,$B15,J$1)</f>
        <v>6.6192397078353302</v>
      </c>
      <c r="K15" s="116" cm="1">
        <f t="array" ref="K15">_xll.EQNXTDZ($A$1,$B15,K$1)</f>
        <v>5.4124169986719801</v>
      </c>
      <c r="L15" s="116" cm="1">
        <f t="array" ref="L15">_xll.EQNXTDZ($A$1,$B15,L$1)</f>
        <v>4.8821464143426301</v>
      </c>
      <c r="M15" s="116" cm="1">
        <f t="array" ref="M15">_xll.EQNXTDZ($A$1,$B15,M$1)</f>
        <v>4.4341591965471503</v>
      </c>
      <c r="N15" s="116" cm="1">
        <f t="array" ref="N15">_xll.EQNXTDZ($A$1,$B15,N$1)</f>
        <v>6.6740952855245697</v>
      </c>
      <c r="O15" s="116" cm="1">
        <f t="array" ref="O15">_xll.EQNXTDZ($A$1,$B15,O$1)</f>
        <v>6.3083914342629503</v>
      </c>
      <c r="P15" s="116" cm="1">
        <f t="array" ref="P15">_xll.EQNXTDZ($A$1,$B15,P$1)</f>
        <v>6.8843750000000004</v>
      </c>
      <c r="Q15" s="116" cm="1">
        <f t="array" ref="Q15">_xll.EQNXTDZ($A$1,$B15,Q$1)</f>
        <v>7.6340678950863197</v>
      </c>
      <c r="R15" s="116" cm="1">
        <f t="array" ref="R15">_xll.EQNXTDZ($A$1,$B15,R$1)</f>
        <v>7.8626328021248302</v>
      </c>
      <c r="S15" s="116" cm="1">
        <f t="array" ref="S15">_xll.EQNXTDZ($A$1,$B15,S$1)</f>
        <v>7.8809179946879198</v>
      </c>
      <c r="T15" s="116" cm="1">
        <f t="array" ref="T15">_xll.EQNXTDZ($A$1,$B15,T$1)</f>
        <v>6.2352506640106196</v>
      </c>
      <c r="U15" s="116" cm="1">
        <f t="array" ref="U15">_xll.EQNXTDZ($A$1,$B15,U$1)</f>
        <v>5.3118484395750301</v>
      </c>
      <c r="V15" s="116" cm="1">
        <f t="array" ref="V15">_xll.EQNXTDZ($A$1,$B15,V$1)</f>
        <v>4.8272908366533898</v>
      </c>
      <c r="W15" s="116" cm="1">
        <f t="array" ref="W15">_xll.EQNXTDZ($A$1,$B15,W$1)</f>
        <v>4.9461445883134099</v>
      </c>
      <c r="X15" s="116" cm="1">
        <f t="array" ref="X15">_xll.EQNXTDZ($A$1,$B15,X$1)</f>
        <v>5.5861263280212503</v>
      </c>
      <c r="Y15" s="116" cm="1">
        <f t="array" ref="Y15">_xll.EQNXTDZ($A$1,$B15,Y$1)</f>
        <v>5.6318393094289503</v>
      </c>
      <c r="Z15" s="116" cm="1">
        <f t="array" ref="Z15">_xll.EQNXTDZ($A$1,$B15,Z$1)</f>
        <v>6.8660898074369197</v>
      </c>
      <c r="AA15" s="116" cm="1">
        <f t="array" ref="AA15">_xll.EQNXTDZ($A$1,$B15,AA$1)</f>
        <v>3.93131640106242</v>
      </c>
      <c r="AB15" s="116" cm="1">
        <f t="array" ref="AB15">_xll.EQNXTDZ($A$1,$B15,AB$1)</f>
        <v>4.1141683266932301</v>
      </c>
      <c r="AC15" s="116" cm="1">
        <f t="array" ref="AC15">_xll.EQNXTDZ($A$1,$B15,AC$1)</f>
        <v>4.0867405378486099</v>
      </c>
      <c r="AD15" s="116" cm="1">
        <f t="array" ref="AD15">_xll.EQNXTDZ($A$1,$B15,AD$1)</f>
        <v>3.7667496679946901</v>
      </c>
      <c r="AE15" s="116" cm="1">
        <f t="array" ref="AE15">_xll.EQNXTDZ($A$1,$B15,AE$1)</f>
        <v>3.5290421646746299</v>
      </c>
      <c r="AF15" s="116" cm="1">
        <f t="array" ref="AF15">_xll.EQNXTDZ($A$1,$B15,AF$1)</f>
        <v>3.6387533200531199</v>
      </c>
      <c r="AG15" s="116" cm="1">
        <f t="array" ref="AG15">_xll.EQNXTDZ($A$1,$B15,AG$1)</f>
        <v>3.09934013944223</v>
      </c>
      <c r="AH15" s="116" cm="1">
        <f t="array" ref="AH15">_xll.EQNXTDZ($A$1,$B15,AH$1)</f>
        <v>2.9622011952191198</v>
      </c>
      <c r="AI15" s="116" cm="1">
        <f t="array" ref="AI15">_xll.EQNXTDZ($A$1,$B15,AI$1)</f>
        <v>2.66963811420983</v>
      </c>
      <c r="AJ15" s="116" cm="1">
        <f t="array" ref="AJ15">_xll.EQNXTDZ($A$1,$B15,AJ$1)</f>
        <v>2.7702066733067698</v>
      </c>
      <c r="AK15" s="116" cm="1">
        <f t="array" ref="AK15">_xll.EQNXTDZ($A$1,$B15,AK$1)</f>
        <v>2.9530585989375799</v>
      </c>
      <c r="AL15" s="116" cm="1">
        <f t="array" ref="AL15">_xll.EQNXTDZ($A$1,$B15,AL$1)</f>
        <v>2.5142139774236401</v>
      </c>
      <c r="AM15" s="116" cm="1">
        <f t="array" ref="AM15">_xll.EQNXTDZ($A$1,$B15,AM$1)</f>
        <v>1.83766185258964</v>
      </c>
      <c r="AN15" s="116" cm="1">
        <f t="array" ref="AN15">_xll.EQNXTDZ($A$1,$B15,AN$1)</f>
        <v>1.7041799468791501</v>
      </c>
      <c r="AO15" s="116" cm="1">
        <f t="array" ref="AO15">_xll.EQNXTDZ($A$1,$B15,AO$1)</f>
        <v>1.8650896414342599</v>
      </c>
      <c r="AP15" s="116" cm="1">
        <f t="array" ref="AP15">_xll.EQNXTDZ($A$1,$B15,AP$1)</f>
        <v>2.6513529216467502</v>
      </c>
      <c r="AQ15" s="116" cm="1">
        <f t="array" ref="AQ15">_xll.EQNXTDZ($A$1,$B15,AQ$1)</f>
        <v>2.7427788844621501</v>
      </c>
      <c r="AR15" s="116" cm="1">
        <f t="array" ref="AR15">_xll.EQNXTDZ($A$1,$B15,AR$1)</f>
        <v>2.9256308100929602</v>
      </c>
      <c r="AS15" s="116" cm="1">
        <f t="array" ref="AS15">_xll.EQNXTDZ($A$1,$B15,AS$1)</f>
        <v>3.4101884130146098</v>
      </c>
      <c r="AT15" s="116" cm="1">
        <f t="array" ref="AT15">_xll.EQNXTDZ($A$1,$B15,AT$1)</f>
        <v>3.2730494687915002</v>
      </c>
      <c r="AU15" s="116" cm="1">
        <f t="array" ref="AU15">_xll.EQNXTDZ($A$1,$B15,AU$1)</f>
        <v>3.4741865869853901</v>
      </c>
      <c r="AV15" s="116" cm="1">
        <f t="array" ref="AV15">_xll.EQNXTDZ($A$1,$B15,AV$1)</f>
        <v>3.39190322045153</v>
      </c>
      <c r="AW15" s="116" cm="1">
        <f t="array" ref="AW15">_xll.EQNXTDZ($A$1,$B15,AW$1)</f>
        <v>3.4101884130146098</v>
      </c>
      <c r="AX15" s="116" cm="1">
        <f t="array" ref="AX15">_xll.EQNXTDZ($A$1,$B15,AX$1)</f>
        <v>3.4284736055776901</v>
      </c>
      <c r="AY15" s="116" cm="1">
        <f t="array" ref="AY15">_xll.EQNXTDZ($A$1,$B15,AY$1)</f>
        <v>2.8433474435591002</v>
      </c>
      <c r="AZ15" s="116" cm="1">
        <f t="array" ref="AZ15">_xll.EQNXTDZ($A$1,$B15,AZ$1)</f>
        <v>2.28564907038513</v>
      </c>
      <c r="BA15" s="116" cm="1">
        <f t="array" ref="BA15">_xll.EQNXTDZ($A$1,$B15,BA$1)</f>
        <v>2.1210823373174001</v>
      </c>
      <c r="BB15" s="116" cm="1">
        <f t="array" ref="BB15">_xll.EQNXTDZ($A$1,$B15,BB$1)</f>
        <v>2.1942231075697198</v>
      </c>
      <c r="BC15" s="116" cm="1">
        <f t="array" ref="BC15">_xll.EQNXTDZ($A$1,$B15,BC$1)</f>
        <v>2.7427788844621501</v>
      </c>
      <c r="BD15" s="116" cm="1">
        <f t="array" ref="BD15">_xll.EQNXTDZ($A$1,$B15,BD$1)</f>
        <v>2.5142139774236401</v>
      </c>
      <c r="BE15" s="116" cm="1">
        <f t="array" ref="BE15">_xll.EQNXTDZ($A$1,$B15,BE$1)</f>
        <v>2.6147825365205799</v>
      </c>
      <c r="BF15" s="116" cm="1">
        <f t="array" ref="BF15">_xll.EQNXTDZ($A$1,$B15,BF$1)</f>
        <v>2.90734561752988</v>
      </c>
      <c r="BG15" s="116" cm="1">
        <f t="array" ref="BG15">_xll.EQNXTDZ($A$1,$B15,BG$1)</f>
        <v>2.60563994023904</v>
      </c>
      <c r="BH15" s="116" cm="1">
        <f t="array" ref="BH15">_xll.EQNXTDZ($A$1,$B15,BH$1)</f>
        <v>2.07536935590969</v>
      </c>
      <c r="BI15" s="116" cm="1">
        <f t="array" ref="BI15">_xll.EQNXTDZ($A$1,$B15,BI$1)</f>
        <v>1.98394339309429</v>
      </c>
      <c r="BJ15" s="116" cm="1">
        <f t="array" ref="BJ15">_xll.EQNXTDZ($A$1,$B15,BJ$1)</f>
        <v>1.90166002656043</v>
      </c>
      <c r="BK15" s="116" cm="1">
        <f t="array" ref="BK15">_xll.EQNXTDZ($A$1,$B15,BK$1)</f>
        <v>2.5964973439575001</v>
      </c>
      <c r="BL15" s="116" cm="1">
        <f t="array" ref="BL15">_xll.EQNXTDZ($A$1,$B15,BL$1)</f>
        <v>2.52335657370518</v>
      </c>
      <c r="BM15" s="116" cm="1">
        <f t="array" ref="BM15">_xll.EQNXTDZ($A$1,$B15,BM$1)</f>
        <v>2.52335657370518</v>
      </c>
      <c r="BN15" s="116" cm="1">
        <f t="array" ref="BN15">_xll.EQNXTDZ($A$1,$B15,BN$1)</f>
        <v>2.4319306108897698</v>
      </c>
      <c r="BO15" s="116" cm="1">
        <f t="array" ref="BO15">_xll.EQNXTDZ($A$1,$B15,BO$1)</f>
        <v>2.0113711819389102</v>
      </c>
      <c r="BP15" s="116" cm="1">
        <f t="array" ref="BP15">_xll.EQNXTDZ($A$1,$B15,BP$1)</f>
        <v>2.2033657038512602</v>
      </c>
      <c r="BQ15" s="116" cm="1">
        <f t="array" ref="BQ15">_xll.EQNXTDZ($A$1,$B15,BQ$1)</f>
        <v>2.6513529216467502</v>
      </c>
      <c r="BR15" s="116" cm="1">
        <f t="array" ref="BR15">_xll.EQNXTDZ($A$1,$B15,BR$1)</f>
        <v>1.93823041168659</v>
      </c>
      <c r="BS15" s="116" cm="1">
        <f t="array" ref="BS15">_xll.EQNXTDZ($A$1,$B15,BS$1)</f>
        <v>1.36224684594954</v>
      </c>
      <c r="BT15" s="116" cm="1">
        <f t="array" ref="BT15">_xll.EQNXTDZ($A$1,$B15,BT$1)</f>
        <v>1.2525356905710501</v>
      </c>
      <c r="BU15" s="116" cm="1">
        <f t="array" ref="BU15">_xll.EQNXTDZ($A$1,$B15,BU$1)</f>
        <v>0.99654299468791496</v>
      </c>
      <c r="BV15" s="116" cm="1">
        <f t="array" ref="BV15">_xll.EQNXTDZ($A$1,$B15,BV$1)</f>
        <v>1.5359561752988</v>
      </c>
      <c r="BW15" s="116" cm="1">
        <f t="array" ref="BW15">_xll.EQNXTDZ($A$1,$B15,BW$1)</f>
        <v>1.77366367861886</v>
      </c>
      <c r="BX15" s="116" cm="1">
        <f t="array" ref="BX15">_xll.EQNXTDZ($A$1,$B15,BX$1)</f>
        <v>1.7370932934926999</v>
      </c>
      <c r="BY15" s="116" cm="1">
        <f t="array" ref="BY15">_xll.EQNXTDZ($A$1,$B15,BY$1)</f>
        <v>1.47195800132802</v>
      </c>
      <c r="BZ15" s="116" cm="1">
        <f t="array" ref="BZ15">_xll.EQNXTDZ($A$1,$B15,BZ$1)</f>
        <v>1.1519671314741</v>
      </c>
      <c r="CA15" s="116" cm="1">
        <f t="array" ref="CA15">_xll.EQNXTDZ($A$1,$B15,CA$1)</f>
        <v>1.1611097277556399</v>
      </c>
      <c r="CB15" s="116" cm="1">
        <f t="array" ref="CB15">_xll.EQNXTDZ($A$1,$B15,CB$1)</f>
        <v>1.1611097277556399</v>
      </c>
      <c r="CC15" s="116" cm="1">
        <f t="array" ref="CC15">_xll.EQNXTDZ($A$1,$B15,CC$1)</f>
        <v>1.21596530544489</v>
      </c>
      <c r="CD15" s="116" cm="1">
        <f t="array" ref="CD15">_xll.EQNXTDZ($A$1,$B15,CD$1)</f>
        <v>1.3531042496679899</v>
      </c>
      <c r="CE15" s="116" cm="1">
        <f t="array" ref="CE15">_xll.EQNXTDZ($A$1,$B15,CE$1)</f>
        <v>1.5359561752988</v>
      </c>
      <c r="CF15" s="116" cm="1">
        <f t="array" ref="CF15">_xll.EQNXTDZ($A$1,$B15,CF$1)</f>
        <v>2.9804863877822001</v>
      </c>
      <c r="CG15" s="116" cm="1">
        <f t="array" ref="CG15">_xll.EQNXTDZ($A$1,$B15,CG$1)</f>
        <v>2.66963811420983</v>
      </c>
      <c r="CH15" s="116" cm="1">
        <f t="array" ref="CH15">_xll.EQNXTDZ($A$1,$B15,CH$1)</f>
        <v>1.61823954183267</v>
      </c>
      <c r="CI15" s="116" cm="1">
        <f t="array" ref="CI15">_xll.EQNXTDZ($A$1,$B15,CI$1)</f>
        <v>1.4811005976095599</v>
      </c>
      <c r="CJ15" s="116" cm="1">
        <f t="array" ref="CJ15">_xll.EQNXTDZ($A$1,$B15,CJ$1)</f>
        <v>1.62738213811421</v>
      </c>
      <c r="CK15" s="116" cm="1">
        <f t="array" ref="CK15">_xll.EQNXTDZ($A$1,$B15,CK$1)</f>
        <v>1.69138031208499</v>
      </c>
      <c r="CL15" s="116" cm="1">
        <f t="array" ref="CL15">_xll.EQNXTDZ($A$1,$B15,CL$1)</f>
        <v>1.6090969455511299</v>
      </c>
      <c r="CM15" s="116" cm="1">
        <f t="array" ref="CM15">_xll.EQNXTDZ($A$1,$B15,CM$1)</f>
        <v>2.55992695883134</v>
      </c>
      <c r="CN15" s="116" cm="1">
        <f t="array" ref="CN15">_xll.EQNXTDZ($A$1,$B15,CN$1)</f>
        <v>2.1576527224435602</v>
      </c>
      <c r="CO15" s="116" cm="1">
        <f t="array" ref="CO15">_xll.EQNXTDZ($A$1,$B15,CO$1)</f>
        <v>1.5725265604249701</v>
      </c>
      <c r="CP15" s="116" cm="1">
        <f t="array" ref="CP15">_xll.EQNXTDZ($A$1,$B15,CP$1)</f>
        <v>1.3348190571049099</v>
      </c>
      <c r="CQ15" s="116" cm="1">
        <f t="array" ref="CQ15">_xll.EQNXTDZ($A$1,$B15,CQ$1)</f>
        <v>1.0971115537848599</v>
      </c>
      <c r="CR15" s="116" cm="1">
        <f t="array" ref="CR15">_xll.EQNXTDZ($A$1,$B15,CR$1)</f>
        <v>1.04225597609562</v>
      </c>
      <c r="CS15" s="116" cm="1">
        <f t="array" ref="CS15">_xll.EQNXTDZ($A$1,$B15,CS$1)</f>
        <v>1.04225597609562</v>
      </c>
      <c r="CT15" s="116" cm="1">
        <f t="array" ref="CT15">_xll.EQNXTDZ($A$1,$B15,CT$1)</f>
        <v>1.04225597609562</v>
      </c>
      <c r="CU15" s="116" cm="1">
        <f t="array" ref="CU15">_xll.EQNXTDZ($A$1,$B15,CU$1)</f>
        <v>1.13368193891102</v>
      </c>
      <c r="CV15" s="116" cm="1">
        <f t="array" ref="CV15">_xll.EQNXTDZ($A$1,$B15,CV$1)</f>
        <v>1.4171024236387799</v>
      </c>
      <c r="CW15" s="116" cm="1">
        <f t="array" ref="CW15">_xll.EQNXTDZ($A$1,$B15,CW$1)</f>
        <v>1.23425049800797</v>
      </c>
      <c r="CX15" s="116" cm="1">
        <f t="array" ref="CX15">_xll.EQNXTDZ($A$1,$B15,CX$1)</f>
        <v>1.40795982735724</v>
      </c>
      <c r="CY15" s="116" cm="1">
        <f t="array" ref="CY15">_xll.EQNXTDZ($A$1,$B15,CY$1)</f>
        <v>1.21596530544489</v>
      </c>
      <c r="CZ15" s="116" cm="1">
        <f t="array" ref="CZ15">_xll.EQNXTDZ($A$1,$B15,CZ$1)</f>
        <v>1.04225597609562</v>
      </c>
      <c r="DA15" s="116" cm="1">
        <f t="array" ref="DA15">_xll.EQNXTDZ($A$1,$B15,DA$1)</f>
        <v>1.23425049800797</v>
      </c>
      <c r="DB15" s="116" cm="1">
        <f t="array" ref="DB15">_xll.EQNXTDZ($A$1,$B15,DB$1)</f>
        <v>1.5633839641434299</v>
      </c>
      <c r="DC15" s="116" cm="1">
        <f t="array" ref="DC15">_xll.EQNXTDZ($A$1,$B15,DC$1)</f>
        <v>1.5359561752988</v>
      </c>
      <c r="DD15" s="116" cm="1">
        <f t="array" ref="DD15">_xll.EQNXTDZ($A$1,$B15,DD$1)</f>
        <v>2.0479415670650698</v>
      </c>
      <c r="DE15" s="116" cm="1">
        <f t="array" ref="DE15">_xll.EQNXTDZ($A$1,$B15,DE$1)</f>
        <v>2.0022285856573698</v>
      </c>
      <c r="DF15" s="116" cm="1">
        <f t="array" ref="DF15">_xll.EQNXTDZ($A$1,$B15,DF$1)</f>
        <v>3.9221738047808801</v>
      </c>
      <c r="DG15" s="116" cm="1">
        <f t="array" ref="DG15">_xll.EQNXTDZ($A$1,$B15,DG$1)</f>
        <v>4.8912890106241704</v>
      </c>
      <c r="DH15" s="116" cm="1">
        <f t="array" ref="DH15">_xll.EQNXTDZ($A$1,$B15,DH$1)</f>
        <v>5.6135541168658696</v>
      </c>
      <c r="DI15" s="116" cm="1">
        <f t="array" ref="DI15">_xll.EQNXTDZ($A$1,$B15,DI$1)</f>
        <v>6.4638155710491398</v>
      </c>
      <c r="DJ15" s="116" cm="1">
        <f t="array" ref="DJ15">_xll.EQNXTDZ($A$1,$B15,DJ$1)</f>
        <v>3.0810549468791502</v>
      </c>
      <c r="DK15" s="116" cm="1">
        <f t="array" ref="DK15">_xll.EQNXTDZ($A$1,$B15,DK$1)</f>
        <v>2.0662267596281501</v>
      </c>
      <c r="DL15" s="116" cm="1">
        <f t="array" ref="DL15">_xll.EQNXTDZ($A$1,$B15,DL$1)</f>
        <v>2.36793243691899</v>
      </c>
      <c r="DM15" s="116" cm="1">
        <f t="array" ref="DM15">_xll.EQNXTDZ($A$1,$B15,DM$1)</f>
        <v>3.58389774236388</v>
      </c>
      <c r="DN15" s="116" cm="1">
        <f t="array" ref="DN15">_xll.EQNXTDZ($A$1,$B15,DN$1)</f>
        <v>6.2718210491367898</v>
      </c>
      <c r="DO15" s="116" cm="1">
        <f t="array" ref="DO15">_xll.EQNXTDZ($A$1,$B15,DO$1)</f>
        <v>6.0341135458167301</v>
      </c>
      <c r="DP15" s="116" cm="1">
        <f t="array" ref="DP15">_xll.EQNXTDZ($A$1,$B15,DP$1)</f>
        <v>4.6261537184595003</v>
      </c>
      <c r="DQ15" s="116" cm="1">
        <f t="array" ref="DQ15">_xll.EQNXTDZ($A$1,$B15,DQ$1)</f>
        <v>5.4855577689243002</v>
      </c>
      <c r="DR15" s="116" cm="1">
        <f t="array" ref="DR15">_xll.EQNXTDZ($A$1,$B15,DR$1)</f>
        <v>6.3266766268260302</v>
      </c>
      <c r="DS15" s="116" cm="1">
        <f t="array" ref="DS15">_xll.EQNXTDZ($A$1,$B15,DS$1)</f>
        <v>6.2169654714475397</v>
      </c>
      <c r="DT15" s="116" cm="1">
        <f t="array" ref="DT15">_xll.EQNXTDZ($A$1,$B15,DT$1)</f>
        <v>6.2078228751660003</v>
      </c>
      <c r="DU15" s="116" cm="1">
        <f t="array" ref="DU15">_xll.EQNXTDZ($A$1,$B15,DU$1)</f>
        <v>4.5712981407702502</v>
      </c>
      <c r="DV15" s="116" cm="1">
        <f t="array" ref="DV15">_xll.EQNXTDZ($A$1,$B15,DV$1)</f>
        <v>3.6204681274900401</v>
      </c>
      <c r="DW15" s="116" cm="1">
        <f t="array" ref="DW15">_xll.EQNXTDZ($A$1,$B15,DW$1)</f>
        <v>3.93131640106242</v>
      </c>
      <c r="DX15" s="116" cm="1">
        <f t="array" ref="DX15">_xll.EQNXTDZ($A$1,$B15,DX$1)</f>
        <v>4.1873090969455502</v>
      </c>
      <c r="DY15" s="116" cm="1">
        <f t="array" ref="DY15">_xll.EQNXTDZ($A$1,$B15,DY$1)</f>
        <v>4.3427332337317397</v>
      </c>
      <c r="DZ15" s="116" cm="1">
        <f t="array" ref="DZ15">_xll.EQNXTDZ($A$1,$B15,DZ$1)</f>
        <v>6.8203768260292197</v>
      </c>
      <c r="EA15" s="116" cm="1">
        <f t="array" ref="EA15">_xll.EQNXTDZ($A$1,$B15,EA$1)</f>
        <v>6.5460989375830003</v>
      </c>
      <c r="EB15" s="116" cm="1">
        <f t="array" ref="EB15">_xll.EQNXTDZ($A$1,$B15,EB$1)</f>
        <v>5.5952689243027898</v>
      </c>
      <c r="EC15" s="116" cm="1">
        <f t="array" ref="EC15">_xll.EQNXTDZ($A$1,$B15,EC$1)</f>
        <v>6.49124335989376</v>
      </c>
      <c r="ED15" s="116" cm="1">
        <f t="array" ref="ED15">_xll.EQNXTDZ($A$1,$B15,ED$1)</f>
        <v>7.3323622177954801</v>
      </c>
      <c r="EE15" s="116" cm="1">
        <f t="array" ref="EE15">_xll.EQNXTDZ($A$1,$B15,EE$1)</f>
        <v>7.3780751992031899</v>
      </c>
      <c r="EF15" s="116" cm="1">
        <f t="array" ref="EF15">_xll.EQNXTDZ($A$1,$B15,EF$1)</f>
        <v>13.5767554780877</v>
      </c>
      <c r="EG15" s="116" cm="1">
        <f t="array" ref="EG15">_xll.EQNXTDZ($A$1,$B15,EG$1)</f>
        <v>24.9867156374502</v>
      </c>
      <c r="EH15" s="116" cm="1">
        <f t="array" ref="EH15">_xll.EQNXTDZ($A$1,$B15,EH$1)</f>
        <v>27.254079515272199</v>
      </c>
      <c r="EI15" s="116" cm="1">
        <f t="array" ref="EI15">_xll.EQNXTDZ($A$1,$B15,EI$1)</f>
        <v>29.713437915006601</v>
      </c>
      <c r="EJ15" s="116" cm="1">
        <f t="array" ref="EJ15">_xll.EQNXTDZ($A$1,$B15,EJ$1)</f>
        <v>32.730494687914998</v>
      </c>
      <c r="EK15" s="116" cm="1">
        <f t="array" ref="EK15">_xll.EQNXTDZ($A$1,$B15,EK$1)</f>
        <v>33.141911520584301</v>
      </c>
      <c r="EL15" s="116" cm="1">
        <f t="array" ref="EL15">_xll.EQNXTDZ($A$1,$B15,EL$1)</f>
        <v>31.596812749003998</v>
      </c>
      <c r="EM15" s="116" cm="1">
        <f t="array" ref="EM15">_xll.EQNXTDZ($A$1,$B15,EM$1)</f>
        <v>31.679096115537799</v>
      </c>
      <c r="EN15" s="116" cm="1">
        <f t="array" ref="EN15">_xll.EQNXTDZ($A$1,$B15,EN$1)</f>
        <v>24.959287848605602</v>
      </c>
      <c r="EO15" s="116" cm="1">
        <f t="array" ref="EO15">_xll.EQNXTDZ($A$1,$B15,EO$1)</f>
        <v>25.507843625498001</v>
      </c>
      <c r="EP15" s="116" cm="1">
        <f t="array" ref="EP15">_xll.EQNXTDZ($A$1,$B15,EP$1)</f>
        <v>27.208366533864499</v>
      </c>
      <c r="EQ15" s="116" cm="1">
        <f t="array" ref="EQ15">_xll.EQNXTDZ($A$1,$B15,EQ$1)</f>
        <v>27.446074037184601</v>
      </c>
      <c r="ER15" s="116" cm="1">
        <f t="array" ref="ER15">_xll.EQNXTDZ($A$1,$B15,ER$1)</f>
        <v>28.342048472775598</v>
      </c>
      <c r="ES15" s="116" cm="1">
        <f t="array" ref="ES15">_xll.EQNXTDZ($A$1,$B15,ES$1)</f>
        <v>31.999086985391799</v>
      </c>
      <c r="ET15" s="116" cm="1">
        <f t="array" ref="ET15">_xll.EQNXTDZ($A$1,$B15,ET$1)</f>
        <v>35.976116367861898</v>
      </c>
      <c r="EU15" s="116" cm="1">
        <f t="array" ref="EU15">_xll.EQNXTDZ($A$1,$B15,EU$1)</f>
        <v>37.8503486055777</v>
      </c>
      <c r="EV15" s="116" cm="1">
        <f t="array" ref="EV15">_xll.EQNXTDZ($A$1,$B15,EV$1)</f>
        <v>39.240023240371798</v>
      </c>
      <c r="EW15" s="116" cm="1">
        <f t="array" ref="EW15">_xll.EQNXTDZ($A$1,$B15,EW$1)</f>
        <v>40.611412682602896</v>
      </c>
      <c r="EX15" s="116" cm="1">
        <f t="array" ref="EX15">_xll.EQNXTDZ($A$1,$B15,EX$1)</f>
        <v>44.835292164674598</v>
      </c>
      <c r="EY15" s="116" cm="1">
        <f t="array" ref="EY15">_xll.EQNXTDZ($A$1,$B15,EY$1)</f>
        <v>38.901747177954803</v>
      </c>
      <c r="EZ15" s="116" cm="1">
        <f t="array" ref="EZ15">_xll.EQNXTDZ($A$1,$B15,EZ$1)</f>
        <v>34.0561711487384</v>
      </c>
      <c r="FA15" s="116" cm="1">
        <f t="array" ref="FA15">_xll.EQNXTDZ($A$1,$B15,FA$1)</f>
        <v>37.585213313413</v>
      </c>
      <c r="FB15" s="116" cm="1">
        <f t="array" ref="FB15">_xll.EQNXTDZ($A$1,$B15,FB$1)</f>
        <v>42.513072709163303</v>
      </c>
      <c r="FC15" s="116" cm="1">
        <f t="array" ref="FC15">_xll.EQNXTDZ($A$1,$B15,FC$1)</f>
        <v>54.956146248339998</v>
      </c>
      <c r="FD15" s="116" cm="1">
        <f t="array" ref="FD15">_xll.EQNXTDZ($A$1,$B15,FD$1)</f>
        <v>71.431104747676002</v>
      </c>
      <c r="FE15" s="116" cm="1">
        <f t="array" ref="FE15">_xll.EQNXTDZ($A$1,$B15,FE$1)</f>
        <v>68.203768260292193</v>
      </c>
      <c r="FF15" s="116" cm="1">
        <f t="array" ref="FF15">_xll.EQNXTDZ($A$1,$B15,FF$1)</f>
        <v>60.2</v>
      </c>
      <c r="FG15" s="116" cm="1">
        <f t="array" ref="FG15">_xll.EQNXTDZ($A$1,$B15,FG$1)</f>
        <v>62.28</v>
      </c>
      <c r="FH15" s="116" cm="1">
        <f t="array" ref="FH15">_xll.EQNXTDZ($A$1,$B15,FH$1)</f>
        <v>56</v>
      </c>
      <c r="FI15" s="116" cm="1">
        <f t="array" ref="FI15">_xll.EQNXTDZ($A$1,$B15,FI$1)</f>
        <v>50.66</v>
      </c>
      <c r="FJ15" s="116" cm="1">
        <f t="array" ref="FJ15">_xll.EQNXTDZ($A$1,$B15,FJ$1)</f>
        <v>51.4</v>
      </c>
      <c r="FK15" s="116" cm="1">
        <f t="array" ref="FK15">_xll.EQNXTDZ($A$1,$B15,FK$1)</f>
        <v>50.72</v>
      </c>
      <c r="FL15" s="116" cm="1">
        <f t="array" ref="FL15">_xll.EQNXTDZ($A$1,$B15,FL$1)</f>
        <v>40.86</v>
      </c>
      <c r="FM15" s="116" cm="1">
        <f t="array" ref="FM15">_xll.EQNXTDZ($A$1,$B15,FM$1)</f>
        <v>42.3</v>
      </c>
      <c r="FN15" s="116" cm="1">
        <f t="array" ref="FN15">_xll.EQNXTDZ($A$1,$B15,FN$1)</f>
        <v>66.459999999999994</v>
      </c>
      <c r="FO15" s="116" cm="1">
        <f t="array" ref="FO15">_xll.EQNXTDZ($A$1,$B15,FO$1)</f>
        <v>63.65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7.5517845285524601</v>
      </c>
      <c r="HQ15" s="116">
        <f>+MIN(G15:I15)</f>
        <v>5.4855577689243002</v>
      </c>
      <c r="HR15" s="116">
        <f>+MIN(J15:L15)</f>
        <v>4.8821464143426301</v>
      </c>
      <c r="HS15" s="116">
        <f>+MIN(M15:O15)</f>
        <v>4.4341591965471503</v>
      </c>
      <c r="HT15" s="116">
        <f>+MIN(P15:R15)</f>
        <v>6.8843750000000004</v>
      </c>
      <c r="HU15" s="116">
        <f>+MIN(S15:U15)</f>
        <v>5.3118484395750301</v>
      </c>
      <c r="HV15" s="116">
        <f>+MIN(V15:X15)</f>
        <v>4.8272908366533898</v>
      </c>
      <c r="HW15" s="116">
        <f>+MIN(Y15:AA15)</f>
        <v>3.93131640106242</v>
      </c>
      <c r="HX15" s="116">
        <f>+MIN(AB15:AD15)</f>
        <v>3.7667496679946901</v>
      </c>
      <c r="HY15" s="116">
        <f>+MIN(AE15:AG15)</f>
        <v>3.09934013944223</v>
      </c>
      <c r="HZ15" s="116">
        <f>+MIN(AH15:AJ15)</f>
        <v>2.66963811420983</v>
      </c>
      <c r="IA15" s="116">
        <f>+MIN(AK15:AM15)</f>
        <v>1.83766185258964</v>
      </c>
      <c r="IB15" s="116">
        <f>+MIN(AN15:AP15)</f>
        <v>1.7041799468791501</v>
      </c>
      <c r="IC15" s="116">
        <f>+MIN(AQ15:AS15)</f>
        <v>2.7427788844621501</v>
      </c>
      <c r="ID15" s="116">
        <f>+MIN(AT15:AV15)</f>
        <v>3.2730494687915002</v>
      </c>
      <c r="IE15" s="116">
        <f>+MIN(AW15:AY15)</f>
        <v>2.8433474435591002</v>
      </c>
      <c r="IF15" s="116">
        <f>+MIN(AZ15:BB15)</f>
        <v>2.1210823373174001</v>
      </c>
      <c r="IG15" s="116">
        <f>+MIN(BC15:BE15)</f>
        <v>2.5142139774236401</v>
      </c>
      <c r="IH15" s="116">
        <f>+MIN(BF15:BH15)</f>
        <v>2.07536935590969</v>
      </c>
      <c r="II15" s="116">
        <f>+MIN(BI15:BK15)</f>
        <v>1.90166002656043</v>
      </c>
      <c r="IJ15" s="116">
        <f>+MIN(BL15:BN15)</f>
        <v>2.4319306108897698</v>
      </c>
      <c r="IK15" s="116">
        <f>+MIN(BO15:BQ15)</f>
        <v>2.0113711819389102</v>
      </c>
      <c r="IL15" s="116">
        <f>+MIN(BR15:BT15)</f>
        <v>1.2525356905710501</v>
      </c>
      <c r="IM15" s="116">
        <f>+MIN(BU15:BW15)</f>
        <v>0.99654299468791496</v>
      </c>
      <c r="IN15" s="116">
        <f>+MIN(BX15:BZ15)</f>
        <v>1.1519671314741</v>
      </c>
      <c r="IO15" s="116">
        <f>+MIN(CA15:CC15)</f>
        <v>1.1611097277556399</v>
      </c>
      <c r="IP15" s="116">
        <f>+MIN(CD15:CF15)</f>
        <v>1.3531042496679899</v>
      </c>
      <c r="IQ15" s="116">
        <f>+MIN(CG15:CI15)</f>
        <v>1.4811005976095599</v>
      </c>
      <c r="IR15" s="116">
        <f>+MIN(CJ15:CL15)</f>
        <v>1.6090969455511299</v>
      </c>
      <c r="IS15" s="116">
        <f>+MIN(CM15:CO15)</f>
        <v>1.5725265604249701</v>
      </c>
      <c r="IT15" s="116">
        <f>+MIN(CP15:CR15)</f>
        <v>1.04225597609562</v>
      </c>
      <c r="IU15" s="116">
        <f>+MIN(CS15:CU15)</f>
        <v>1.04225597609562</v>
      </c>
      <c r="IV15" s="116">
        <f>+MIN(CV15:CX15)</f>
        <v>1.23425049800797</v>
      </c>
      <c r="IW15" s="116">
        <f>+MIN(CY15:DA15)</f>
        <v>1.04225597609562</v>
      </c>
      <c r="IX15" s="116">
        <f>+MIN(DB15:DD15)</f>
        <v>1.5359561752988</v>
      </c>
      <c r="IY15" s="116">
        <f>+MIN(DE15:DG15)</f>
        <v>2.0022285856573698</v>
      </c>
      <c r="IZ15" s="116">
        <f>+MIN(DH15:DJ15)</f>
        <v>3.0810549468791502</v>
      </c>
      <c r="JA15" s="116">
        <f>+MIN(DK15:DM15)</f>
        <v>2.0662267596281501</v>
      </c>
      <c r="JB15" s="116">
        <f>+MIN(DN15:DP15)</f>
        <v>4.6261537184595003</v>
      </c>
      <c r="JC15" s="116">
        <f>+MIN(DQ15:DS15)</f>
        <v>5.4855577689243002</v>
      </c>
      <c r="JD15" s="116">
        <f>+MIN(DT15:DV15)</f>
        <v>3.6204681274900401</v>
      </c>
      <c r="JE15" s="116">
        <f>+MIN(DW15:DY15)</f>
        <v>3.93131640106242</v>
      </c>
      <c r="JF15" s="116">
        <f>+MIN(DZ15:EB15)</f>
        <v>5.5952689243027898</v>
      </c>
      <c r="JG15" s="116">
        <f>+MIN(EC15:EE15)</f>
        <v>6.49124335989376</v>
      </c>
      <c r="JH15" s="116">
        <f>+MIN(EF15:EH15)</f>
        <v>13.5767554780877</v>
      </c>
      <c r="JI15" s="116">
        <f>+MIN(EI15:EK15)</f>
        <v>29.713437915006601</v>
      </c>
      <c r="JJ15" s="116">
        <f>+MIN(EL15:EN15)</f>
        <v>24.959287848605602</v>
      </c>
      <c r="JK15" s="116">
        <f>MIN(EO15:EQ15)</f>
        <v>25.507843625498001</v>
      </c>
      <c r="JL15" s="116">
        <f>MIN(ER15:ET15)</f>
        <v>28.342048472775598</v>
      </c>
      <c r="JM15" s="116">
        <f>MIN(EU15:EW15)</f>
        <v>37.8503486055777</v>
      </c>
      <c r="JN15" s="116">
        <f>MIN(EX15:EZ15)</f>
        <v>34.0561711487384</v>
      </c>
      <c r="JO15" s="116">
        <f>MIN(FA15:FC15)</f>
        <v>37.585213313413</v>
      </c>
      <c r="JP15" s="116">
        <f>MIN(FD15:FF15)</f>
        <v>60.2</v>
      </c>
      <c r="JQ15" s="116">
        <f>MIN(FG15:FI15)</f>
        <v>50.66</v>
      </c>
      <c r="JR15" s="116">
        <f>MIN(FJ15:FL15)</f>
        <v>40.86</v>
      </c>
      <c r="JS15" s="116">
        <f>MIN(FM15:FO15)</f>
        <v>42.3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15.304706175298801</v>
      </c>
      <c r="D16" s="116" cm="1">
        <f t="array" ref="D16">_xll.EQNXTDZ($A$1,$B16,D$1)</f>
        <v>13.4121887450199</v>
      </c>
      <c r="E16" s="116" cm="1">
        <f t="array" ref="E16">_xll.EQNXTDZ($A$1,$B16,E$1)</f>
        <v>9.2157370517928303</v>
      </c>
      <c r="F16" s="116" cm="1">
        <f t="array" ref="F16">_xll.EQNXTDZ($A$1,$B16,F$1)</f>
        <v>10.0751411022576</v>
      </c>
      <c r="G16" s="116" cm="1">
        <f t="array" ref="G16">_xll.EQNXTDZ($A$1,$B16,G$1)</f>
        <v>7.8809179946879198</v>
      </c>
      <c r="H16" s="116" cm="1">
        <f t="array" ref="H16">_xll.EQNXTDZ($A$1,$B16,H$1)</f>
        <v>5.6135541168658696</v>
      </c>
      <c r="I16" s="116" cm="1">
        <f t="array" ref="I16">_xll.EQNXTDZ($A$1,$B16,I$1)</f>
        <v>6.9483731739707801</v>
      </c>
      <c r="J16" s="116" cm="1">
        <f t="array" ref="J16">_xll.EQNXTDZ($A$1,$B16,J$1)</f>
        <v>7.9540587649402399</v>
      </c>
      <c r="K16" s="116" cm="1">
        <f t="array" ref="K16">_xll.EQNXTDZ($A$1,$B16,K$1)</f>
        <v>5.9244023904382503</v>
      </c>
      <c r="L16" s="116" cm="1">
        <f t="array" ref="L16">_xll.EQNXTDZ($A$1,$B16,L$1)</f>
        <v>4.9004316069057099</v>
      </c>
      <c r="M16" s="116" cm="1">
        <f t="array" ref="M16">_xll.EQNXTDZ($A$1,$B16,M$1)</f>
        <v>7.7620642430278899</v>
      </c>
      <c r="N16" s="116" cm="1">
        <f t="array" ref="N16">_xll.EQNXTDZ($A$1,$B16,N$1)</f>
        <v>7.3232196215139398</v>
      </c>
      <c r="O16" s="116" cm="1">
        <f t="array" ref="O16">_xll.EQNXTDZ($A$1,$B16,O$1)</f>
        <v>7.1037973107569696</v>
      </c>
      <c r="P16" s="116" cm="1">
        <f t="array" ref="P16">_xll.EQNXTDZ($A$1,$B16,P$1)</f>
        <v>8.6306108897742408</v>
      </c>
      <c r="Q16" s="116" cm="1">
        <f t="array" ref="Q16">_xll.EQNXTDZ($A$1,$B16,Q$1)</f>
        <v>9.59058349933599</v>
      </c>
      <c r="R16" s="116" cm="1">
        <f t="array" ref="R16">_xll.EQNXTDZ($A$1,$B16,R$1)</f>
        <v>9.0420277224435601</v>
      </c>
      <c r="S16" s="116" cm="1">
        <f t="array" ref="S16">_xll.EQNXTDZ($A$1,$B16,S$1)</f>
        <v>8.3654755976095601</v>
      </c>
      <c r="T16" s="116" cm="1">
        <f t="array" ref="T16">_xll.EQNXTDZ($A$1,$B16,T$1)</f>
        <v>7.11293990703851</v>
      </c>
      <c r="U16" s="116" cm="1">
        <f t="array" ref="U16">_xll.EQNXTDZ($A$1,$B16,U$1)</f>
        <v>6.1438247011952196</v>
      </c>
      <c r="V16" s="116" cm="1">
        <f t="array" ref="V16">_xll.EQNXTDZ($A$1,$B16,V$1)</f>
        <v>5.9792579681274898</v>
      </c>
      <c r="W16" s="116" cm="1">
        <f t="array" ref="W16">_xll.EQNXTDZ($A$1,$B16,W$1)</f>
        <v>6.2169654714475397</v>
      </c>
      <c r="X16" s="116" cm="1">
        <f t="array" ref="X16">_xll.EQNXTDZ($A$1,$B16,X$1)</f>
        <v>6.1163969123506003</v>
      </c>
      <c r="Y16" s="116" cm="1">
        <f t="array" ref="Y16">_xll.EQNXTDZ($A$1,$B16,Y$1)</f>
        <v>9.2340222443559092</v>
      </c>
      <c r="Z16" s="116" cm="1">
        <f t="array" ref="Z16">_xll.EQNXTDZ($A$1,$B16,Z$1)</f>
        <v>7.4146455843293504</v>
      </c>
      <c r="AA16" s="116" cm="1">
        <f t="array" ref="AA16">_xll.EQNXTDZ($A$1,$B16,AA$1)</f>
        <v>4.2604498671978801</v>
      </c>
      <c r="AB16" s="116" cm="1">
        <f t="array" ref="AB16">_xll.EQNXTDZ($A$1,$B16,AB$1)</f>
        <v>4.4707295816733099</v>
      </c>
      <c r="AC16" s="116" cm="1">
        <f t="array" ref="AC16">_xll.EQNXTDZ($A$1,$B16,AC$1)</f>
        <v>4.3884462151394397</v>
      </c>
      <c r="AD16" s="116" cm="1">
        <f t="array" ref="AD16">_xll.EQNXTDZ($A$1,$B16,AD$1)</f>
        <v>3.9496015936254998</v>
      </c>
      <c r="AE16" s="116" cm="1">
        <f t="array" ref="AE16">_xll.EQNXTDZ($A$1,$B16,AE$1)</f>
        <v>4.1690239043824704</v>
      </c>
      <c r="AF16" s="116" cm="1">
        <f t="array" ref="AF16">_xll.EQNXTDZ($A$1,$B16,AF$1)</f>
        <v>3.6844663014608199</v>
      </c>
      <c r="AG16" s="116" cm="1">
        <f t="array" ref="AG16">_xll.EQNXTDZ($A$1,$B16,AG$1)</f>
        <v>3.5656125498007998</v>
      </c>
      <c r="AH16" s="116" cm="1">
        <f t="array" ref="AH16">_xll.EQNXTDZ($A$1,$B16,AH$1)</f>
        <v>3.2639068725099598</v>
      </c>
      <c r="AI16" s="116" cm="1">
        <f t="array" ref="AI16">_xll.EQNXTDZ($A$1,$B16,AI$1)</f>
        <v>3.2364790836653401</v>
      </c>
      <c r="AJ16" s="116" cm="1">
        <f t="array" ref="AJ16">_xll.EQNXTDZ($A$1,$B16,AJ$1)</f>
        <v>3.5656125498007998</v>
      </c>
      <c r="AK16" s="116" cm="1">
        <f t="array" ref="AK16">_xll.EQNXTDZ($A$1,$B16,AK$1)</f>
        <v>3.29133466135458</v>
      </c>
      <c r="AL16" s="116" cm="1">
        <f t="array" ref="AL16">_xll.EQNXTDZ($A$1,$B16,AL$1)</f>
        <v>2.9256308100929602</v>
      </c>
      <c r="AM16" s="116" cm="1">
        <f t="array" ref="AM16">_xll.EQNXTDZ($A$1,$B16,AM$1)</f>
        <v>2.3770750332005299</v>
      </c>
      <c r="AN16" s="116" cm="1">
        <f t="array" ref="AN16">_xll.EQNXTDZ($A$1,$B16,AN$1)</f>
        <v>2.4319306108897698</v>
      </c>
      <c r="AO16" s="116" cm="1">
        <f t="array" ref="AO16">_xll.EQNXTDZ($A$1,$B16,AO$1)</f>
        <v>3.19990869853918</v>
      </c>
      <c r="AP16" s="116" cm="1">
        <f t="array" ref="AP16">_xll.EQNXTDZ($A$1,$B16,AP$1)</f>
        <v>3.3004772576361199</v>
      </c>
      <c r="AQ16" s="116" cm="1">
        <f t="array" ref="AQ16">_xll.EQNXTDZ($A$1,$B16,AQ$1)</f>
        <v>3.29133466135458</v>
      </c>
      <c r="AR16" s="116" cm="1">
        <f t="array" ref="AR16">_xll.EQNXTDZ($A$1,$B16,AR$1)</f>
        <v>3.4101884130146098</v>
      </c>
      <c r="AS16" s="116" cm="1">
        <f t="array" ref="AS16">_xll.EQNXTDZ($A$1,$B16,AS$1)</f>
        <v>3.4741865869853901</v>
      </c>
      <c r="AT16" s="116" cm="1">
        <f t="array" ref="AT16">_xll.EQNXTDZ($A$1,$B16,AT$1)</f>
        <v>3.6478959163346598</v>
      </c>
      <c r="AU16" s="116" cm="1">
        <f t="array" ref="AU16">_xll.EQNXTDZ($A$1,$B16,AU$1)</f>
        <v>3.5656125498007998</v>
      </c>
      <c r="AV16" s="116" cm="1">
        <f t="array" ref="AV16">_xll.EQNXTDZ($A$1,$B16,AV$1)</f>
        <v>3.5016143758300098</v>
      </c>
      <c r="AW16" s="116" cm="1">
        <f t="array" ref="AW16">_xll.EQNXTDZ($A$1,$B16,AW$1)</f>
        <v>3.7941774568393098</v>
      </c>
      <c r="AX16" s="116" cm="1">
        <f t="array" ref="AX16">_xll.EQNXTDZ($A$1,$B16,AX$1)</f>
        <v>3.5747551460823401</v>
      </c>
      <c r="AY16" s="116" cm="1">
        <f t="array" ref="AY16">_xll.EQNXTDZ($A$1,$B16,AY$1)</f>
        <v>2.8799178286852598</v>
      </c>
      <c r="AZ16" s="116" cm="1">
        <f t="array" ref="AZ16">_xll.EQNXTDZ($A$1,$B16,AZ$1)</f>
        <v>2.2947916666666699</v>
      </c>
      <c r="BA16" s="116" cm="1">
        <f t="array" ref="BA16">_xll.EQNXTDZ($A$1,$B16,BA$1)</f>
        <v>2.4410732071713102</v>
      </c>
      <c r="BB16" s="116" cm="1">
        <f t="array" ref="BB16">_xll.EQNXTDZ($A$1,$B16,BB$1)</f>
        <v>2.7647211155378502</v>
      </c>
      <c r="BC16" s="116" cm="1">
        <f t="array" ref="BC16">_xll.EQNXTDZ($A$1,$B16,BC$1)</f>
        <v>2.7427788844621501</v>
      </c>
      <c r="BD16" s="116" cm="1">
        <f t="array" ref="BD16">_xll.EQNXTDZ($A$1,$B16,BD$1)</f>
        <v>2.5142139774236401</v>
      </c>
      <c r="BE16" s="116" cm="1">
        <f t="array" ref="BE16">_xll.EQNXTDZ($A$1,$B16,BE$1)</f>
        <v>3.2639068725099598</v>
      </c>
      <c r="BF16" s="116" cm="1">
        <f t="array" ref="BF16">_xll.EQNXTDZ($A$1,$B16,BF$1)</f>
        <v>3.1541957171314698</v>
      </c>
      <c r="BG16" s="116" cm="1">
        <f t="array" ref="BG16">_xll.EQNXTDZ($A$1,$B16,BG$1)</f>
        <v>2.60563994023904</v>
      </c>
      <c r="BH16" s="116" cm="1">
        <f t="array" ref="BH16">_xll.EQNXTDZ($A$1,$B16,BH$1)</f>
        <v>2.07536935590969</v>
      </c>
      <c r="BI16" s="116" cm="1">
        <f t="array" ref="BI16">_xll.EQNXTDZ($A$1,$B16,BI$1)</f>
        <v>1.98394339309429</v>
      </c>
      <c r="BJ16" s="116" cm="1">
        <f t="array" ref="BJ16">_xll.EQNXTDZ($A$1,$B16,BJ$1)</f>
        <v>2.5142139774236401</v>
      </c>
      <c r="BK16" s="116" cm="1">
        <f t="array" ref="BK16">_xll.EQNXTDZ($A$1,$B16,BK$1)</f>
        <v>2.7244936918990699</v>
      </c>
      <c r="BL16" s="116" cm="1">
        <f t="array" ref="BL16">_xll.EQNXTDZ($A$1,$B16,BL$1)</f>
        <v>2.6513529216467502</v>
      </c>
      <c r="BM16" s="116" cm="1">
        <f t="array" ref="BM16">_xll.EQNXTDZ($A$1,$B16,BM$1)</f>
        <v>2.7336362881806102</v>
      </c>
      <c r="BN16" s="116" cm="1">
        <f t="array" ref="BN16">_xll.EQNXTDZ($A$1,$B16,BN$1)</f>
        <v>2.55992695883134</v>
      </c>
      <c r="BO16" s="116" cm="1">
        <f t="array" ref="BO16">_xll.EQNXTDZ($A$1,$B16,BO$1)</f>
        <v>2.1027971447543199</v>
      </c>
      <c r="BP16" s="116" cm="1">
        <f t="array" ref="BP16">_xll.EQNXTDZ($A$1,$B16,BP$1)</f>
        <v>3.6936088977423598</v>
      </c>
      <c r="BQ16" s="116" cm="1">
        <f t="array" ref="BQ16">_xll.EQNXTDZ($A$1,$B16,BQ$1)</f>
        <v>2.6513529216467502</v>
      </c>
      <c r="BR16" s="116" cm="1">
        <f t="array" ref="BR16">_xll.EQNXTDZ($A$1,$B16,BR$1)</f>
        <v>1.93823041168659</v>
      </c>
      <c r="BS16" s="116" cm="1">
        <f t="array" ref="BS16">_xll.EQNXTDZ($A$1,$B16,BS$1)</f>
        <v>1.36224684594954</v>
      </c>
      <c r="BT16" s="116" cm="1">
        <f t="array" ref="BT16">_xll.EQNXTDZ($A$1,$B16,BT$1)</f>
        <v>1.2525356905710501</v>
      </c>
      <c r="BU16" s="116" cm="1">
        <f t="array" ref="BU16">_xll.EQNXTDZ($A$1,$B16,BU$1)</f>
        <v>1.5359561752988</v>
      </c>
      <c r="BV16" s="116" cm="1">
        <f t="array" ref="BV16">_xll.EQNXTDZ($A$1,$B16,BV$1)</f>
        <v>1.9565156042496701</v>
      </c>
      <c r="BW16" s="116" cm="1">
        <f t="array" ref="BW16">_xll.EQNXTDZ($A$1,$B16,BW$1)</f>
        <v>1.91994521912351</v>
      </c>
      <c r="BX16" s="116" cm="1">
        <f t="array" ref="BX16">_xll.EQNXTDZ($A$1,$B16,BX$1)</f>
        <v>1.7370932934926999</v>
      </c>
      <c r="BY16" s="116" cm="1">
        <f t="array" ref="BY16">_xll.EQNXTDZ($A$1,$B16,BY$1)</f>
        <v>1.5450987715803499</v>
      </c>
      <c r="BZ16" s="116" cm="1">
        <f t="array" ref="BZ16">_xll.EQNXTDZ($A$1,$B16,BZ$1)</f>
        <v>1.21596530544489</v>
      </c>
      <c r="CA16" s="116" cm="1">
        <f t="array" ref="CA16">_xll.EQNXTDZ($A$1,$B16,CA$1)</f>
        <v>1.21596530544489</v>
      </c>
      <c r="CB16" s="116" cm="1">
        <f t="array" ref="CB16">_xll.EQNXTDZ($A$1,$B16,CB$1)</f>
        <v>1.21596530544489</v>
      </c>
      <c r="CC16" s="116" cm="1">
        <f t="array" ref="CC16">_xll.EQNXTDZ($A$1,$B16,CC$1)</f>
        <v>1.4171024236387799</v>
      </c>
      <c r="CD16" s="116" cm="1">
        <f t="array" ref="CD16">_xll.EQNXTDZ($A$1,$B16,CD$1)</f>
        <v>1.6090969455511299</v>
      </c>
      <c r="CE16" s="116" cm="1">
        <f t="array" ref="CE16">_xll.EQNXTDZ($A$1,$B16,CE$1)</f>
        <v>2.9256308100929602</v>
      </c>
      <c r="CF16" s="116" cm="1">
        <f t="array" ref="CF16">_xll.EQNXTDZ($A$1,$B16,CF$1)</f>
        <v>3.0444845617529901</v>
      </c>
      <c r="CG16" s="116" cm="1">
        <f t="array" ref="CG16">_xll.EQNXTDZ($A$1,$B16,CG$1)</f>
        <v>2.66963811420983</v>
      </c>
      <c r="CH16" s="116" cm="1">
        <f t="array" ref="CH16">_xll.EQNXTDZ($A$1,$B16,CH$1)</f>
        <v>1.61823954183267</v>
      </c>
      <c r="CI16" s="116" cm="1">
        <f t="array" ref="CI16">_xll.EQNXTDZ($A$1,$B16,CI$1)</f>
        <v>1.62738213811421</v>
      </c>
      <c r="CJ16" s="116" cm="1">
        <f t="array" ref="CJ16">_xll.EQNXTDZ($A$1,$B16,CJ$1)</f>
        <v>1.9565156042496701</v>
      </c>
      <c r="CK16" s="116" cm="1">
        <f t="array" ref="CK16">_xll.EQNXTDZ($A$1,$B16,CK$1)</f>
        <v>1.69138031208499</v>
      </c>
      <c r="CL16" s="116" cm="1">
        <f t="array" ref="CL16">_xll.EQNXTDZ($A$1,$B16,CL$1)</f>
        <v>2.4502158034528598</v>
      </c>
      <c r="CM16" s="116" cm="1">
        <f t="array" ref="CM16">_xll.EQNXTDZ($A$1,$B16,CM$1)</f>
        <v>2.9256308100929602</v>
      </c>
      <c r="CN16" s="116" cm="1">
        <f t="array" ref="CN16">_xll.EQNXTDZ($A$1,$B16,CN$1)</f>
        <v>2.1576527224435602</v>
      </c>
      <c r="CO16" s="116" cm="1">
        <f t="array" ref="CO16">_xll.EQNXTDZ($A$1,$B16,CO$1)</f>
        <v>1.5725265604249701</v>
      </c>
      <c r="CP16" s="116" cm="1">
        <f t="array" ref="CP16">_xll.EQNXTDZ($A$1,$B16,CP$1)</f>
        <v>1.3348190571049099</v>
      </c>
      <c r="CQ16" s="116" cm="1">
        <f t="array" ref="CQ16">_xll.EQNXTDZ($A$1,$B16,CQ$1)</f>
        <v>1.0971115537848599</v>
      </c>
      <c r="CR16" s="116" cm="1">
        <f t="array" ref="CR16">_xll.EQNXTDZ($A$1,$B16,CR$1)</f>
        <v>1.08796895750332</v>
      </c>
      <c r="CS16" s="116" cm="1">
        <f t="array" ref="CS16">_xll.EQNXTDZ($A$1,$B16,CS$1)</f>
        <v>1.13368193891102</v>
      </c>
      <c r="CT16" s="116" cm="1">
        <f t="array" ref="CT16">_xll.EQNXTDZ($A$1,$B16,CT$1)</f>
        <v>1.13368193891102</v>
      </c>
      <c r="CU16" s="116" cm="1">
        <f t="array" ref="CU16">_xll.EQNXTDZ($A$1,$B16,CU$1)</f>
        <v>1.4171024236387799</v>
      </c>
      <c r="CV16" s="116" cm="1">
        <f t="array" ref="CV16">_xll.EQNXTDZ($A$1,$B16,CV$1)</f>
        <v>1.49938579017264</v>
      </c>
      <c r="CW16" s="116" cm="1">
        <f t="array" ref="CW16">_xll.EQNXTDZ($A$1,$B16,CW$1)</f>
        <v>1.40795982735724</v>
      </c>
      <c r="CX16" s="116" cm="1">
        <f t="array" ref="CX16">_xll.EQNXTDZ($A$1,$B16,CX$1)</f>
        <v>1.4171024236387799</v>
      </c>
      <c r="CY16" s="116" cm="1">
        <f t="array" ref="CY16">_xll.EQNXTDZ($A$1,$B16,CY$1)</f>
        <v>1.2251079017264299</v>
      </c>
      <c r="CZ16" s="116" cm="1">
        <f t="array" ref="CZ16">_xll.EQNXTDZ($A$1,$B16,CZ$1)</f>
        <v>1.27996347941567</v>
      </c>
      <c r="DA16" s="116" cm="1">
        <f t="array" ref="DA16">_xll.EQNXTDZ($A$1,$B16,DA$1)</f>
        <v>1.64566733067729</v>
      </c>
      <c r="DB16" s="116" cm="1">
        <f t="array" ref="DB16">_xll.EQNXTDZ($A$1,$B16,DB$1)</f>
        <v>2.09365454847278</v>
      </c>
      <c r="DC16" s="116" cm="1">
        <f t="array" ref="DC16">_xll.EQNXTDZ($A$1,$B16,DC$1)</f>
        <v>2.3130768592297501</v>
      </c>
      <c r="DD16" s="116" cm="1">
        <f t="array" ref="DD16">_xll.EQNXTDZ($A$1,$B16,DD$1)</f>
        <v>2.1302249335989401</v>
      </c>
      <c r="DE16" s="116" cm="1">
        <f t="array" ref="DE16">_xll.EQNXTDZ($A$1,$B16,DE$1)</f>
        <v>3.73932187915007</v>
      </c>
      <c r="DF16" s="116" cm="1">
        <f t="array" ref="DF16">_xll.EQNXTDZ($A$1,$B16,DF$1)</f>
        <v>4.9095742031872502</v>
      </c>
      <c r="DG16" s="116" cm="1">
        <f t="array" ref="DG16">_xll.EQNXTDZ($A$1,$B16,DG$1)</f>
        <v>5.72326527224436</v>
      </c>
      <c r="DH16" s="116" cm="1">
        <f t="array" ref="DH16">_xll.EQNXTDZ($A$1,$B16,DH$1)</f>
        <v>7.4603585657370504</v>
      </c>
      <c r="DI16" s="116" cm="1">
        <f t="array" ref="DI16">_xll.EQNXTDZ($A$1,$B16,DI$1)</f>
        <v>6.4638155710491398</v>
      </c>
      <c r="DJ16" s="116" cm="1">
        <f t="array" ref="DJ16">_xll.EQNXTDZ($A$1,$B16,DJ$1)</f>
        <v>3.1541957171314698</v>
      </c>
      <c r="DK16" s="116" cm="1">
        <f t="array" ref="DK16">_xll.EQNXTDZ($A$1,$B16,DK$1)</f>
        <v>2.4867861885790199</v>
      </c>
      <c r="DL16" s="116" cm="1">
        <f t="array" ref="DL16">_xll.EQNXTDZ($A$1,$B16,DL$1)</f>
        <v>4.3610184262948204</v>
      </c>
      <c r="DM16" s="116" cm="1">
        <f t="array" ref="DM16">_xll.EQNXTDZ($A$1,$B16,DM$1)</f>
        <v>7.6249252988047802</v>
      </c>
      <c r="DN16" s="116" cm="1">
        <f t="array" ref="DN16">_xll.EQNXTDZ($A$1,$B16,DN$1)</f>
        <v>7.1220825033200503</v>
      </c>
      <c r="DO16" s="116" cm="1">
        <f t="array" ref="DO16">_xll.EQNXTDZ($A$1,$B16,DO$1)</f>
        <v>6.8843750000000004</v>
      </c>
      <c r="DP16" s="116" cm="1">
        <f t="array" ref="DP16">_xll.EQNXTDZ($A$1,$B16,DP$1)</f>
        <v>5.4672725763612204</v>
      </c>
      <c r="DQ16" s="116" cm="1">
        <f t="array" ref="DQ16">_xll.EQNXTDZ($A$1,$B16,DQ$1)</f>
        <v>8.2283366533864495</v>
      </c>
      <c r="DR16" s="116" cm="1">
        <f t="array" ref="DR16">_xll.EQNXTDZ($A$1,$B16,DR$1)</f>
        <v>7.3415048140770196</v>
      </c>
      <c r="DS16" s="116" cm="1">
        <f t="array" ref="DS16">_xll.EQNXTDZ($A$1,$B16,DS$1)</f>
        <v>6.49124335989376</v>
      </c>
      <c r="DT16" s="116" cm="1">
        <f t="array" ref="DT16">_xll.EQNXTDZ($A$1,$B16,DT$1)</f>
        <v>6.8843750000000004</v>
      </c>
      <c r="DU16" s="116" cm="1">
        <f t="array" ref="DU16">_xll.EQNXTDZ($A$1,$B16,DU$1)</f>
        <v>4.9918575697211196</v>
      </c>
      <c r="DV16" s="116" cm="1">
        <f t="array" ref="DV16">_xll.EQNXTDZ($A$1,$B16,DV$1)</f>
        <v>4.0227423638778204</v>
      </c>
      <c r="DW16" s="116" cm="1">
        <f t="array" ref="DW16">_xll.EQNXTDZ($A$1,$B16,DW$1)</f>
        <v>5.4215595949535196</v>
      </c>
      <c r="DX16" s="116" cm="1">
        <f t="array" ref="DX16">_xll.EQNXTDZ($A$1,$B16,DX$1)</f>
        <v>4.6627241035856599</v>
      </c>
      <c r="DY16" s="116" cm="1">
        <f t="array" ref="DY16">_xll.EQNXTDZ($A$1,$B16,DY$1)</f>
        <v>6.6649526892430302</v>
      </c>
      <c r="DZ16" s="116" cm="1">
        <f t="array" ref="DZ16">_xll.EQNXTDZ($A$1,$B16,DZ$1)</f>
        <v>8.1826236719787495</v>
      </c>
      <c r="EA16" s="116" cm="1">
        <f t="array" ref="EA16">_xll.EQNXTDZ($A$1,$B16,EA$1)</f>
        <v>6.6100971115537899</v>
      </c>
      <c r="EB16" s="116" cm="1">
        <f t="array" ref="EB16">_xll.EQNXTDZ($A$1,$B16,EB$1)</f>
        <v>6.5095285524568398</v>
      </c>
      <c r="EC16" s="116" cm="1">
        <f t="array" ref="EC16">_xll.EQNXTDZ($A$1,$B16,EC$1)</f>
        <v>7.7437790504648101</v>
      </c>
      <c r="ED16" s="116" cm="1">
        <f t="array" ref="ED16">_xll.EQNXTDZ($A$1,$B16,ED$1)</f>
        <v>7.4329307768924302</v>
      </c>
      <c r="EE16" s="116" cm="1">
        <f t="array" ref="EE16">_xll.EQNXTDZ($A$1,$B16,EE$1)</f>
        <v>13.448759130146099</v>
      </c>
      <c r="EF16" s="116" cm="1">
        <f t="array" ref="EF16">_xll.EQNXTDZ($A$1,$B16,EF$1)</f>
        <v>28.570613379814102</v>
      </c>
      <c r="EG16" s="116" cm="1">
        <f t="array" ref="EG16">_xll.EQNXTDZ($A$1,$B16,EG$1)</f>
        <v>28.332905876493999</v>
      </c>
      <c r="EH16" s="116" cm="1">
        <f t="array" ref="EH16">_xll.EQNXTDZ($A$1,$B16,EH$1)</f>
        <v>30.9019754316069</v>
      </c>
      <c r="EI16" s="116" cm="1">
        <f t="array" ref="EI16">_xll.EQNXTDZ($A$1,$B16,EI$1)</f>
        <v>36.643525896414303</v>
      </c>
      <c r="EJ16" s="116" cm="1">
        <f t="array" ref="EJ16">_xll.EQNXTDZ($A$1,$B16,EJ$1)</f>
        <v>34.257308266932299</v>
      </c>
      <c r="EK16" s="116" cm="1">
        <f t="array" ref="EK16">_xll.EQNXTDZ($A$1,$B16,EK$1)</f>
        <v>34.851577025232402</v>
      </c>
      <c r="EL16" s="116" cm="1">
        <f t="array" ref="EL16">_xll.EQNXTDZ($A$1,$B16,EL$1)</f>
        <v>35.976116367861898</v>
      </c>
      <c r="EM16" s="116" cm="1">
        <f t="array" ref="EM16">_xll.EQNXTDZ($A$1,$B16,EM$1)</f>
        <v>34.7784362549801</v>
      </c>
      <c r="EN16" s="116" cm="1">
        <f t="array" ref="EN16">_xll.EQNXTDZ($A$1,$B16,EN$1)</f>
        <v>25.279278718459501</v>
      </c>
      <c r="EO16" s="116" cm="1">
        <f t="array" ref="EO16">_xll.EQNXTDZ($A$1,$B16,EO$1)</f>
        <v>34.458445385126197</v>
      </c>
      <c r="EP16" s="116" cm="1">
        <f t="array" ref="EP16">_xll.EQNXTDZ($A$1,$B16,EP$1)</f>
        <v>29.4025896414343</v>
      </c>
      <c r="EQ16" s="116" cm="1">
        <f t="array" ref="EQ16">_xll.EQNXTDZ($A$1,$B16,EQ$1)</f>
        <v>28.8174634794157</v>
      </c>
      <c r="ER16" s="116" cm="1">
        <f t="array" ref="ER16">_xll.EQNXTDZ($A$1,$B16,ER$1)</f>
        <v>33.361333831341298</v>
      </c>
      <c r="ES16" s="116" cm="1">
        <f t="array" ref="ES16">_xll.EQNXTDZ($A$1,$B16,ES$1)</f>
        <v>38.636611885790202</v>
      </c>
      <c r="ET16" s="116" cm="1">
        <f t="array" ref="ET16">_xll.EQNXTDZ($A$1,$B16,ET$1)</f>
        <v>45.200996015936298</v>
      </c>
      <c r="EU16" s="116" cm="1">
        <f t="array" ref="EU16">_xll.EQNXTDZ($A$1,$B16,EU$1)</f>
        <v>44.295878984063698</v>
      </c>
      <c r="EV16" s="116" cm="1">
        <f t="array" ref="EV16">_xll.EQNXTDZ($A$1,$B16,EV$1)</f>
        <v>43.5461860889774</v>
      </c>
      <c r="EW16" s="116" cm="1">
        <f t="array" ref="EW16">_xll.EQNXTDZ($A$1,$B16,EW$1)</f>
        <v>45.063857071713102</v>
      </c>
      <c r="EX16" s="116" cm="1">
        <f t="array" ref="EX16">_xll.EQNXTDZ($A$1,$B16,EX$1)</f>
        <v>51.299107735723801</v>
      </c>
      <c r="EY16" s="116" cm="1">
        <f t="array" ref="EY16">_xll.EQNXTDZ($A$1,$B16,EY$1)</f>
        <v>41.2879648074369</v>
      </c>
      <c r="EZ16" s="116" cm="1">
        <f t="array" ref="EZ16">_xll.EQNXTDZ($A$1,$B16,EZ$1)</f>
        <v>40.583984893758299</v>
      </c>
      <c r="FA16" s="116" cm="1">
        <f t="array" ref="FA16">_xll.EQNXTDZ($A$1,$B16,FA$1)</f>
        <v>46.645526228419698</v>
      </c>
      <c r="FB16" s="116" cm="1">
        <f t="array" ref="FB16">_xll.EQNXTDZ($A$1,$B16,FB$1)</f>
        <v>57.031515604249698</v>
      </c>
      <c r="FC16" s="116" cm="1">
        <f t="array" ref="FC16">_xll.EQNXTDZ($A$1,$B16,FC$1)</f>
        <v>81.588529216467506</v>
      </c>
      <c r="FD16" s="116" cm="1">
        <f t="array" ref="FD16">_xll.EQNXTDZ($A$1,$B16,FD$1)</f>
        <v>79.220596779548501</v>
      </c>
      <c r="FE16" s="116" cm="1">
        <f t="array" ref="FE16">_xll.EQNXTDZ($A$1,$B16,FE$1)</f>
        <v>70.760000000000005</v>
      </c>
      <c r="FF16" s="116" cm="1">
        <f t="array" ref="FF16">_xll.EQNXTDZ($A$1,$B16,FF$1)</f>
        <v>62.49</v>
      </c>
      <c r="FG16" s="116" cm="1">
        <f t="array" ref="FG16">_xll.EQNXTDZ($A$1,$B16,FG$1)</f>
        <v>68.44</v>
      </c>
      <c r="FH16" s="116" cm="1">
        <f t="array" ref="FH16">_xll.EQNXTDZ($A$1,$B16,FH$1)</f>
        <v>58.39</v>
      </c>
      <c r="FI16" s="116" cm="1">
        <f t="array" ref="FI16">_xll.EQNXTDZ($A$1,$B16,FI$1)</f>
        <v>59.72</v>
      </c>
      <c r="FJ16" s="116" cm="1">
        <f t="array" ref="FJ16">_xll.EQNXTDZ($A$1,$B16,FJ$1)</f>
        <v>58.16</v>
      </c>
      <c r="FK16" s="116" cm="1">
        <f t="array" ref="FK16">_xll.EQNXTDZ($A$1,$B16,FK$1)</f>
        <v>51.15</v>
      </c>
      <c r="FL16" s="116" cm="1">
        <f t="array" ref="FL16">_xll.EQNXTDZ($A$1,$B16,FL$1)</f>
        <v>41.39</v>
      </c>
      <c r="FM16" s="116" cm="1">
        <f t="array" ref="FM16">_xll.EQNXTDZ($A$1,$B16,FM$1)</f>
        <v>68.400000000000006</v>
      </c>
      <c r="FN16" s="116" cm="1">
        <f t="array" ref="FN16">_xll.EQNXTDZ($A$1,$B16,FN$1)</f>
        <v>72.13</v>
      </c>
      <c r="FO16" s="116" cm="1">
        <f t="array" ref="FO16">_xll.EQNXTDZ($A$1,$B16,FO$1)</f>
        <v>70.900000000000006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10.0751411022576</v>
      </c>
      <c r="HQ16" s="116">
        <f>+I16</f>
        <v>6.9483731739707801</v>
      </c>
      <c r="HR16" s="116">
        <f>+L16</f>
        <v>4.9004316069057099</v>
      </c>
      <c r="HS16" s="116">
        <f>+O16</f>
        <v>7.1037973107569696</v>
      </c>
      <c r="HT16" s="116">
        <f>+R16</f>
        <v>9.0420277224435601</v>
      </c>
      <c r="HU16" s="116">
        <f>+U16</f>
        <v>6.1438247011952196</v>
      </c>
      <c r="HV16" s="116">
        <f>+X16</f>
        <v>6.1163969123506003</v>
      </c>
      <c r="HW16" s="116">
        <f>+AA16</f>
        <v>4.2604498671978801</v>
      </c>
      <c r="HX16" s="116">
        <f>+AD16</f>
        <v>3.9496015936254998</v>
      </c>
      <c r="HY16" s="116">
        <f>+AG16</f>
        <v>3.5656125498007998</v>
      </c>
      <c r="HZ16" s="116">
        <f>+AJ16</f>
        <v>3.5656125498007998</v>
      </c>
      <c r="IA16" s="116">
        <f>+AM16</f>
        <v>2.3770750332005299</v>
      </c>
      <c r="IB16" s="116">
        <f>+AP16</f>
        <v>3.3004772576361199</v>
      </c>
      <c r="IC16" s="116">
        <f>+AS16</f>
        <v>3.4741865869853901</v>
      </c>
      <c r="ID16" s="116">
        <f>+AV16</f>
        <v>3.5016143758300098</v>
      </c>
      <c r="IE16" s="116">
        <f>+AY16</f>
        <v>2.8799178286852598</v>
      </c>
      <c r="IF16" s="116">
        <f>+BB16</f>
        <v>2.7647211155378502</v>
      </c>
      <c r="IG16" s="116">
        <f>+BE16</f>
        <v>3.2639068725099598</v>
      </c>
      <c r="IH16" s="116">
        <f>+BH16</f>
        <v>2.07536935590969</v>
      </c>
      <c r="II16" s="116">
        <f>+BK16</f>
        <v>2.7244936918990699</v>
      </c>
      <c r="IJ16" s="116">
        <f>+BN16</f>
        <v>2.55992695883134</v>
      </c>
      <c r="IK16" s="116">
        <f>+BQ16</f>
        <v>2.6513529216467502</v>
      </c>
      <c r="IL16" s="116">
        <f>+BT16</f>
        <v>1.2525356905710501</v>
      </c>
      <c r="IM16" s="116">
        <f>+BW16</f>
        <v>1.91994521912351</v>
      </c>
      <c r="IN16" s="116">
        <f>+BZ16</f>
        <v>1.21596530544489</v>
      </c>
      <c r="IO16" s="116">
        <f>+CC16</f>
        <v>1.4171024236387799</v>
      </c>
      <c r="IP16" s="116">
        <f>+CF16</f>
        <v>3.0444845617529901</v>
      </c>
      <c r="IQ16" s="116">
        <f>+CI16</f>
        <v>1.62738213811421</v>
      </c>
      <c r="IR16" s="116">
        <f>+CL16</f>
        <v>2.4502158034528598</v>
      </c>
      <c r="IS16" s="116">
        <f>+CO16</f>
        <v>1.5725265604249701</v>
      </c>
      <c r="IT16" s="116">
        <f>+CR16</f>
        <v>1.08796895750332</v>
      </c>
      <c r="IU16" s="116">
        <f>+CU16</f>
        <v>1.4171024236387799</v>
      </c>
      <c r="IV16" s="116">
        <f>+CX16</f>
        <v>1.4171024236387799</v>
      </c>
      <c r="IW16" s="116">
        <f>+DA16</f>
        <v>1.64566733067729</v>
      </c>
      <c r="IX16" s="116">
        <f>+DD16</f>
        <v>2.1302249335989401</v>
      </c>
      <c r="IY16" s="116">
        <f>+DG16</f>
        <v>5.72326527224436</v>
      </c>
      <c r="IZ16" s="116">
        <f>+DJ16</f>
        <v>3.1541957171314698</v>
      </c>
      <c r="JA16" s="116">
        <f>+DM16</f>
        <v>7.6249252988047802</v>
      </c>
      <c r="JB16" s="116">
        <f>+DP16</f>
        <v>5.4672725763612204</v>
      </c>
      <c r="JC16" s="116">
        <f>+DS16</f>
        <v>6.49124335989376</v>
      </c>
      <c r="JD16" s="116">
        <f>+DV16</f>
        <v>4.0227423638778204</v>
      </c>
      <c r="JE16" s="116">
        <f>+DY16</f>
        <v>6.6649526892430302</v>
      </c>
      <c r="JF16" s="116">
        <f>+EB16</f>
        <v>6.5095285524568398</v>
      </c>
      <c r="JG16" s="116">
        <f>+EE16</f>
        <v>13.448759130146099</v>
      </c>
      <c r="JH16" s="116">
        <f>+EH16</f>
        <v>30.9019754316069</v>
      </c>
      <c r="JI16" s="116">
        <f>+EK16</f>
        <v>34.851577025232402</v>
      </c>
      <c r="JJ16" s="116">
        <f>+EN16</f>
        <v>25.279278718459501</v>
      </c>
      <c r="JK16" s="116">
        <f>EQ16</f>
        <v>28.8174634794157</v>
      </c>
      <c r="JL16" s="116">
        <f>ET16</f>
        <v>45.200996015936298</v>
      </c>
      <c r="JM16" s="116">
        <f>EW16</f>
        <v>45.063857071713102</v>
      </c>
      <c r="JN16" s="116">
        <f>EZ16</f>
        <v>40.583984893758299</v>
      </c>
      <c r="JO16" s="116">
        <f>FC16</f>
        <v>81.588529216467506</v>
      </c>
      <c r="JP16" s="116">
        <f>FF16</f>
        <v>62.49</v>
      </c>
      <c r="JQ16" s="116">
        <f>FI16</f>
        <v>59.72</v>
      </c>
      <c r="JR16" s="116">
        <f>FL16</f>
        <v>41.39</v>
      </c>
      <c r="JS16" s="116">
        <f>FO16</f>
        <v>70.900000000000006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16.794949369189901</v>
      </c>
      <c r="HQ19" s="116">
        <f t="shared" ref="HQ19:JI21" si="1">+IF(HQ14=0,HQ7,HQ14)</f>
        <v>12.799634794156701</v>
      </c>
      <c r="HR19" s="116">
        <f t="shared" si="1"/>
        <v>11.1356822709163</v>
      </c>
      <c r="HS19" s="116">
        <f t="shared" si="1"/>
        <v>8.6031831009296091</v>
      </c>
      <c r="HT19" s="116">
        <f t="shared" si="1"/>
        <v>10.577983897742399</v>
      </c>
      <c r="HU19" s="116">
        <f t="shared" si="1"/>
        <v>9.8740039840637408</v>
      </c>
      <c r="HV19" s="116">
        <f t="shared" si="1"/>
        <v>7.2775066401062398</v>
      </c>
      <c r="HW19" s="116">
        <f t="shared" si="1"/>
        <v>9.3345908034528495</v>
      </c>
      <c r="HX19" s="116">
        <f t="shared" si="1"/>
        <v>5.4672725763612204</v>
      </c>
      <c r="HY19" s="116">
        <f t="shared" si="1"/>
        <v>4.7541500664010599</v>
      </c>
      <c r="HZ19" s="116">
        <f t="shared" si="1"/>
        <v>3.82160524568393</v>
      </c>
      <c r="IA19" s="116">
        <f t="shared" si="1"/>
        <v>3.8947460159362599</v>
      </c>
      <c r="IB19" s="116">
        <f t="shared" si="1"/>
        <v>3.6021829349269598</v>
      </c>
      <c r="IC19" s="116">
        <f t="shared" si="1"/>
        <v>4.25130727091633</v>
      </c>
      <c r="ID19" s="116">
        <f t="shared" si="1"/>
        <v>3.9221738047808801</v>
      </c>
      <c r="IE19" s="116">
        <f t="shared" si="1"/>
        <v>3.7941774568393098</v>
      </c>
      <c r="IF19" s="116">
        <f t="shared" si="1"/>
        <v>2.7793492695883102</v>
      </c>
      <c r="IG19" s="116">
        <f t="shared" si="1"/>
        <v>3.2639068725099598</v>
      </c>
      <c r="IH19" s="116">
        <f t="shared" si="1"/>
        <v>3.4741865869853901</v>
      </c>
      <c r="II19" s="116">
        <f t="shared" si="1"/>
        <v>2.9164882138114199</v>
      </c>
      <c r="IJ19" s="116">
        <f t="shared" si="1"/>
        <v>2.7427788844621501</v>
      </c>
      <c r="IK19" s="116">
        <f t="shared" si="1"/>
        <v>4.3701610225763599</v>
      </c>
      <c r="IL19" s="116">
        <f t="shared" si="1"/>
        <v>2.52335657370518</v>
      </c>
      <c r="IM19" s="116">
        <f t="shared" si="1"/>
        <v>2.1027971447543199</v>
      </c>
      <c r="IN19" s="116">
        <f t="shared" si="1"/>
        <v>1.91994521912351</v>
      </c>
      <c r="IO19" s="116">
        <f t="shared" si="1"/>
        <v>1.45367280876494</v>
      </c>
      <c r="IP19" s="116">
        <f t="shared" si="1"/>
        <v>3.51989956839309</v>
      </c>
      <c r="IQ19" s="116">
        <f t="shared" si="1"/>
        <v>2.98962898406374</v>
      </c>
      <c r="IR19" s="116">
        <f t="shared" si="1"/>
        <v>2.4502158034528598</v>
      </c>
      <c r="IS19" s="116">
        <f t="shared" si="1"/>
        <v>3.29133466135458</v>
      </c>
      <c r="IT19" s="116">
        <f t="shared" si="1"/>
        <v>1.55424136786189</v>
      </c>
      <c r="IU19" s="116">
        <f t="shared" si="1"/>
        <v>1.4171024236387799</v>
      </c>
      <c r="IV19" s="116">
        <f t="shared" si="1"/>
        <v>2.3405046480743699</v>
      </c>
      <c r="IW19" s="116">
        <f t="shared" si="1"/>
        <v>1.96565820053121</v>
      </c>
      <c r="IX19" s="116">
        <f t="shared" si="1"/>
        <v>2.8799178286852598</v>
      </c>
      <c r="IY19" s="116">
        <f t="shared" si="1"/>
        <v>5.7324078685259003</v>
      </c>
      <c r="IZ19" s="116">
        <f t="shared" si="1"/>
        <v>8.7037516600265601</v>
      </c>
      <c r="JA19" s="116">
        <f t="shared" si="1"/>
        <v>7.6249252988047802</v>
      </c>
      <c r="JB19" s="116">
        <f t="shared" si="1"/>
        <v>8.9323165670650706</v>
      </c>
      <c r="JC19" s="116">
        <f t="shared" si="1"/>
        <v>9.5540131142098303</v>
      </c>
      <c r="JD19" s="116">
        <f t="shared" si="1"/>
        <v>7.9266309760956197</v>
      </c>
      <c r="JE19" s="116">
        <f t="shared" si="1"/>
        <v>7.0306565405046504</v>
      </c>
      <c r="JF19" s="116">
        <f t="shared" si="1"/>
        <v>9.0511703187251005</v>
      </c>
      <c r="JG19" s="116">
        <f t="shared" si="1"/>
        <v>16.337819555112901</v>
      </c>
      <c r="JH19" s="116">
        <f t="shared" si="1"/>
        <v>36.104112715803502</v>
      </c>
      <c r="JI19" s="116">
        <f t="shared" si="1"/>
        <v>43.655897244355899</v>
      </c>
      <c r="JJ19" s="116">
        <f t="shared" ref="JJ19:JJ21" si="2">+IF(JJ14=0,JJ7,JJ14)</f>
        <v>37.9417745683931</v>
      </c>
      <c r="JK19" s="116">
        <f t="shared" ref="JK19" si="3">+IF(JK14=0,JK7,JK14)</f>
        <v>36.524672144754298</v>
      </c>
      <c r="JL19" s="116">
        <f t="shared" ref="JL19:JM19" si="4">+IF(JL14=0,JL7,JL14)</f>
        <v>46.581528054448903</v>
      </c>
      <c r="JM19" s="116">
        <f t="shared" si="4"/>
        <v>49.918575697211203</v>
      </c>
      <c r="JN19" s="116">
        <f t="shared" ref="JN19:JO19" si="5">+IF(JN14=0,JN7,JN14)</f>
        <v>57.753780710491398</v>
      </c>
      <c r="JO19" s="116">
        <f t="shared" si="5"/>
        <v>84.642156374501994</v>
      </c>
      <c r="JP19" s="116">
        <f t="shared" ref="JP19" si="6">+IF(JP14=0,JP7,JP14)</f>
        <v>88.125485557768897</v>
      </c>
      <c r="JQ19" s="116">
        <f t="shared" ref="JQ19:KH19" si="7">+IF(JQ14=0,JQ7,JQ14)</f>
        <v>75.400000000000006</v>
      </c>
      <c r="JR19" s="116">
        <f t="shared" si="7"/>
        <v>68.739999999999995</v>
      </c>
      <c r="JS19" s="116">
        <f t="shared" si="7"/>
        <v>76.12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7.5517845285524601</v>
      </c>
      <c r="HQ20" s="116">
        <f t="shared" si="8"/>
        <v>5.4855577689243002</v>
      </c>
      <c r="HR20" s="116">
        <f t="shared" si="8"/>
        <v>4.8821464143426301</v>
      </c>
      <c r="HS20" s="116">
        <f t="shared" si="8"/>
        <v>4.4341591965471503</v>
      </c>
      <c r="HT20" s="116">
        <f t="shared" si="8"/>
        <v>6.8843750000000004</v>
      </c>
      <c r="HU20" s="116">
        <f t="shared" si="8"/>
        <v>5.3118484395750301</v>
      </c>
      <c r="HV20" s="116">
        <f t="shared" si="8"/>
        <v>4.8272908366533898</v>
      </c>
      <c r="HW20" s="116">
        <f t="shared" si="8"/>
        <v>3.93131640106242</v>
      </c>
      <c r="HX20" s="116">
        <f t="shared" si="8"/>
        <v>3.7667496679946901</v>
      </c>
      <c r="HY20" s="116">
        <f t="shared" si="8"/>
        <v>3.09934013944223</v>
      </c>
      <c r="HZ20" s="116">
        <f t="shared" si="8"/>
        <v>2.66963811420983</v>
      </c>
      <c r="IA20" s="116">
        <f t="shared" si="8"/>
        <v>1.83766185258964</v>
      </c>
      <c r="IB20" s="116">
        <f t="shared" si="8"/>
        <v>1.7041799468791501</v>
      </c>
      <c r="IC20" s="116">
        <f t="shared" si="8"/>
        <v>2.7427788844621501</v>
      </c>
      <c r="ID20" s="116">
        <f t="shared" si="8"/>
        <v>3.2730494687915002</v>
      </c>
      <c r="IE20" s="116">
        <f t="shared" si="8"/>
        <v>2.8433474435591002</v>
      </c>
      <c r="IF20" s="116">
        <f t="shared" si="1"/>
        <v>2.1210823373174001</v>
      </c>
      <c r="IG20" s="116">
        <f t="shared" si="1"/>
        <v>2.5142139774236401</v>
      </c>
      <c r="IH20" s="116">
        <f t="shared" si="1"/>
        <v>2.07536935590969</v>
      </c>
      <c r="II20" s="116">
        <f t="shared" si="1"/>
        <v>1.90166002656043</v>
      </c>
      <c r="IJ20" s="116">
        <f t="shared" si="1"/>
        <v>2.4319306108897698</v>
      </c>
      <c r="IK20" s="116">
        <f t="shared" si="1"/>
        <v>2.0113711819389102</v>
      </c>
      <c r="IL20" s="116">
        <f t="shared" si="1"/>
        <v>1.2525356905710501</v>
      </c>
      <c r="IM20" s="116">
        <f t="shared" si="1"/>
        <v>0.99654299468791496</v>
      </c>
      <c r="IN20" s="116">
        <f t="shared" si="1"/>
        <v>1.1519671314741</v>
      </c>
      <c r="IO20" s="116">
        <f t="shared" si="1"/>
        <v>1.1611097277556399</v>
      </c>
      <c r="IP20" s="116">
        <f t="shared" si="1"/>
        <v>1.3531042496679899</v>
      </c>
      <c r="IQ20" s="116">
        <f t="shared" si="1"/>
        <v>1.4811005976095599</v>
      </c>
      <c r="IR20" s="116">
        <f t="shared" si="1"/>
        <v>1.6090969455511299</v>
      </c>
      <c r="IS20" s="116">
        <f t="shared" si="1"/>
        <v>1.5725265604249701</v>
      </c>
      <c r="IT20" s="116">
        <f t="shared" si="1"/>
        <v>1.04225597609562</v>
      </c>
      <c r="IU20" s="116">
        <f t="shared" si="1"/>
        <v>1.04225597609562</v>
      </c>
      <c r="IV20" s="116">
        <f t="shared" si="1"/>
        <v>1.23425049800797</v>
      </c>
      <c r="IW20" s="116">
        <f t="shared" si="1"/>
        <v>1.04225597609562</v>
      </c>
      <c r="IX20" s="116">
        <f t="shared" si="1"/>
        <v>1.5359561752988</v>
      </c>
      <c r="IY20" s="116">
        <f t="shared" si="1"/>
        <v>2.0022285856573698</v>
      </c>
      <c r="IZ20" s="116">
        <f t="shared" si="1"/>
        <v>3.0810549468791502</v>
      </c>
      <c r="JA20" s="116">
        <f t="shared" si="1"/>
        <v>2.0662267596281501</v>
      </c>
      <c r="JB20" s="116">
        <f t="shared" si="1"/>
        <v>4.6261537184595003</v>
      </c>
      <c r="JC20" s="116">
        <f t="shared" si="1"/>
        <v>5.4855577689243002</v>
      </c>
      <c r="JD20" s="116">
        <f t="shared" si="1"/>
        <v>3.6204681274900401</v>
      </c>
      <c r="JE20" s="116">
        <f t="shared" si="1"/>
        <v>3.93131640106242</v>
      </c>
      <c r="JF20" s="116">
        <f t="shared" si="1"/>
        <v>5.5952689243027898</v>
      </c>
      <c r="JG20" s="116">
        <f t="shared" si="1"/>
        <v>6.49124335989376</v>
      </c>
      <c r="JH20" s="116">
        <f t="shared" si="1"/>
        <v>13.5767554780877</v>
      </c>
      <c r="JI20" s="116">
        <f t="shared" si="1"/>
        <v>29.713437915006601</v>
      </c>
      <c r="JJ20" s="116">
        <f t="shared" si="2"/>
        <v>24.959287848605602</v>
      </c>
      <c r="JK20" s="116">
        <f t="shared" ref="JK20" si="9">+IF(JK15=0,JK8,JK15)</f>
        <v>25.507843625498001</v>
      </c>
      <c r="JL20" s="116">
        <f t="shared" ref="JL20:JM20" si="10">+IF(JL15=0,JL8,JL15)</f>
        <v>28.342048472775598</v>
      </c>
      <c r="JM20" s="116">
        <f t="shared" si="10"/>
        <v>37.8503486055777</v>
      </c>
      <c r="JN20" s="116">
        <f t="shared" ref="JN20:JO20" si="11">+IF(JN15=0,JN8,JN15)</f>
        <v>34.0561711487384</v>
      </c>
      <c r="JO20" s="116">
        <f t="shared" si="11"/>
        <v>37.585213313413</v>
      </c>
      <c r="JP20" s="116">
        <f t="shared" ref="JP20" si="12">+IF(JP15=0,JP8,JP15)</f>
        <v>60.2</v>
      </c>
      <c r="JQ20" s="116">
        <f t="shared" ref="JQ20:KH20" si="13">+IF(JQ15=0,JQ8,JQ15)</f>
        <v>50.66</v>
      </c>
      <c r="JR20" s="116">
        <f t="shared" si="13"/>
        <v>40.86</v>
      </c>
      <c r="JS20" s="116">
        <f t="shared" si="13"/>
        <v>42.3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10.0751411022576</v>
      </c>
      <c r="HQ21" s="116">
        <f t="shared" si="1"/>
        <v>6.9483731739707801</v>
      </c>
      <c r="HR21" s="116">
        <f t="shared" si="1"/>
        <v>4.9004316069057099</v>
      </c>
      <c r="HS21" s="116">
        <f t="shared" si="1"/>
        <v>7.1037973107569696</v>
      </c>
      <c r="HT21" s="116">
        <f t="shared" si="1"/>
        <v>9.0420277224435601</v>
      </c>
      <c r="HU21" s="116">
        <f t="shared" si="1"/>
        <v>6.1438247011952196</v>
      </c>
      <c r="HV21" s="116">
        <f t="shared" si="1"/>
        <v>6.1163969123506003</v>
      </c>
      <c r="HW21" s="116">
        <f t="shared" si="1"/>
        <v>4.2604498671978801</v>
      </c>
      <c r="HX21" s="116">
        <f t="shared" si="1"/>
        <v>3.9496015936254998</v>
      </c>
      <c r="HY21" s="116">
        <f t="shared" si="1"/>
        <v>3.5656125498007998</v>
      </c>
      <c r="HZ21" s="116">
        <f t="shared" si="1"/>
        <v>3.5656125498007998</v>
      </c>
      <c r="IA21" s="116">
        <f t="shared" si="1"/>
        <v>2.3770750332005299</v>
      </c>
      <c r="IB21" s="116">
        <f t="shared" si="1"/>
        <v>3.3004772576361199</v>
      </c>
      <c r="IC21" s="116">
        <f t="shared" si="1"/>
        <v>3.4741865869853901</v>
      </c>
      <c r="ID21" s="116">
        <f t="shared" si="1"/>
        <v>3.5016143758300098</v>
      </c>
      <c r="IE21" s="116">
        <f t="shared" si="1"/>
        <v>2.8799178286852598</v>
      </c>
      <c r="IF21" s="116">
        <f t="shared" si="1"/>
        <v>2.7647211155378502</v>
      </c>
      <c r="IG21" s="116">
        <f t="shared" si="1"/>
        <v>3.2639068725099598</v>
      </c>
      <c r="IH21" s="116">
        <f t="shared" si="1"/>
        <v>2.07536935590969</v>
      </c>
      <c r="II21" s="116">
        <f t="shared" si="1"/>
        <v>2.7244936918990699</v>
      </c>
      <c r="IJ21" s="116">
        <f t="shared" si="1"/>
        <v>2.55992695883134</v>
      </c>
      <c r="IK21" s="116">
        <f t="shared" si="1"/>
        <v>2.6513529216467502</v>
      </c>
      <c r="IL21" s="116">
        <f t="shared" si="1"/>
        <v>1.2525356905710501</v>
      </c>
      <c r="IM21" s="116">
        <f t="shared" si="1"/>
        <v>1.91994521912351</v>
      </c>
      <c r="IN21" s="116">
        <f t="shared" si="1"/>
        <v>1.21596530544489</v>
      </c>
      <c r="IO21" s="116">
        <f t="shared" si="1"/>
        <v>1.4171024236387799</v>
      </c>
      <c r="IP21" s="116">
        <f t="shared" si="1"/>
        <v>3.0444845617529901</v>
      </c>
      <c r="IQ21" s="116">
        <f t="shared" si="1"/>
        <v>1.62738213811421</v>
      </c>
      <c r="IR21" s="116">
        <f t="shared" si="1"/>
        <v>2.4502158034528598</v>
      </c>
      <c r="IS21" s="116">
        <f t="shared" si="1"/>
        <v>1.5725265604249701</v>
      </c>
      <c r="IT21" s="116">
        <f t="shared" si="1"/>
        <v>1.08796895750332</v>
      </c>
      <c r="IU21" s="116">
        <f t="shared" si="1"/>
        <v>1.4171024236387799</v>
      </c>
      <c r="IV21" s="116">
        <f t="shared" si="1"/>
        <v>1.4171024236387799</v>
      </c>
      <c r="IW21" s="116">
        <f t="shared" si="1"/>
        <v>1.64566733067729</v>
      </c>
      <c r="IX21" s="116">
        <f t="shared" si="1"/>
        <v>2.1302249335989401</v>
      </c>
      <c r="IY21" s="116">
        <f t="shared" si="1"/>
        <v>5.72326527224436</v>
      </c>
      <c r="IZ21" s="116">
        <f t="shared" si="1"/>
        <v>3.1541957171314698</v>
      </c>
      <c r="JA21" s="116">
        <f t="shared" si="1"/>
        <v>7.6249252988047802</v>
      </c>
      <c r="JB21" s="116">
        <f t="shared" si="1"/>
        <v>5.4672725763612204</v>
      </c>
      <c r="JC21" s="116">
        <f t="shared" si="1"/>
        <v>6.49124335989376</v>
      </c>
      <c r="JD21" s="116">
        <f t="shared" si="1"/>
        <v>4.0227423638778204</v>
      </c>
      <c r="JE21" s="116">
        <f t="shared" si="1"/>
        <v>6.6649526892430302</v>
      </c>
      <c r="JF21" s="116">
        <f t="shared" si="1"/>
        <v>6.5095285524568398</v>
      </c>
      <c r="JG21" s="116">
        <f t="shared" si="1"/>
        <v>13.448759130146099</v>
      </c>
      <c r="JH21" s="116">
        <f t="shared" si="1"/>
        <v>30.9019754316069</v>
      </c>
      <c r="JI21" s="116">
        <f t="shared" si="1"/>
        <v>34.851577025232402</v>
      </c>
      <c r="JJ21" s="116">
        <f t="shared" si="2"/>
        <v>25.279278718459501</v>
      </c>
      <c r="JK21" s="116">
        <f t="shared" ref="JK21" si="14">+IF(JK16=0,JK9,JK16)</f>
        <v>28.8174634794157</v>
      </c>
      <c r="JL21" s="116">
        <f t="shared" ref="JL21:JM21" si="15">+IF(JL16=0,JL9,JL16)</f>
        <v>45.200996015936298</v>
      </c>
      <c r="JM21" s="116">
        <f t="shared" si="15"/>
        <v>45.063857071713102</v>
      </c>
      <c r="JN21" s="116">
        <f t="shared" ref="JN21:JO21" si="16">+IF(JN16=0,JN9,JN16)</f>
        <v>40.583984893758299</v>
      </c>
      <c r="JO21" s="116">
        <f t="shared" si="16"/>
        <v>81.588529216467506</v>
      </c>
      <c r="JP21" s="116">
        <f t="shared" ref="JP21" si="17">+IF(JP16=0,JP9,JP16)</f>
        <v>62.49</v>
      </c>
      <c r="JQ21" s="116">
        <f t="shared" ref="JQ21:KH21" si="18">+IF(JQ16=0,JQ9,JQ16)</f>
        <v>59.72</v>
      </c>
      <c r="JR21" s="116">
        <f t="shared" si="18"/>
        <v>41.39</v>
      </c>
      <c r="JS21" s="116">
        <f t="shared" si="18"/>
        <v>70.900000000000006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112463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208901093</v>
      </c>
      <c r="D6" cm="1">
        <f t="array" ref="D6">_xll.EQNXTDZ($A$1,$B6,D$1)</f>
        <v>208901093</v>
      </c>
      <c r="E6" cm="1">
        <f t="array" ref="E6">_xll.EQNXTDZ($A$1,$B6,E$1)</f>
        <v>208901093</v>
      </c>
      <c r="F6" cm="1">
        <f t="array" ref="F6">_xll.EQNXTDZ($A$1,$B6,F$1)</f>
        <v>208901093</v>
      </c>
      <c r="G6" cm="1">
        <f t="array" ref="G6">_xll.EQNXTDZ($A$1,$B6,G$1)</f>
        <v>208901093</v>
      </c>
      <c r="H6" cm="1">
        <f t="array" ref="H6">_xll.EQNXTDZ($A$1,$B6,H$1)</f>
        <v>208901093</v>
      </c>
      <c r="I6" cm="1">
        <f t="array" ref="I6">_xll.EQNXTDZ($A$1,$B6,I$1)</f>
        <v>208901093</v>
      </c>
      <c r="J6" cm="1">
        <f t="array" ref="J6">_xll.EQNXTDZ($A$1,$B6,J$1)</f>
        <v>208901093</v>
      </c>
      <c r="K6" cm="1">
        <f t="array" ref="K6">_xll.EQNXTDZ($A$1,$B6,K$1)</f>
        <v>208901093</v>
      </c>
      <c r="L6" cm="1">
        <f t="array" ref="L6">_xll.EQNXTDZ($A$1,$B6,L$1)</f>
        <v>227901093</v>
      </c>
      <c r="M6" cm="1">
        <f t="array" ref="M6">_xll.EQNXTDZ($A$1,$B6,M$1)</f>
        <v>227901093</v>
      </c>
      <c r="N6" cm="1">
        <f t="array" ref="N6">_xll.EQNXTDZ($A$1,$B6,N$1)</f>
        <v>227901093</v>
      </c>
      <c r="O6" cm="1">
        <f t="array" ref="O6">_xll.EQNXTDZ($A$1,$B6,O$1)</f>
        <v>227901093</v>
      </c>
      <c r="P6" cm="1">
        <f t="array" ref="P6">_xll.EQNXTDZ($A$1,$B6,P$1)</f>
        <v>227901093</v>
      </c>
      <c r="Q6" cm="1">
        <f t="array" ref="Q6">_xll.EQNXTDZ($A$1,$B6,Q$1)</f>
        <v>227901093</v>
      </c>
      <c r="R6" cm="1">
        <f t="array" ref="R6">_xll.EQNXTDZ($A$1,$B6,R$1)</f>
        <v>227901093</v>
      </c>
      <c r="S6" cm="1">
        <f t="array" ref="S6">_xll.EQNXTDZ($A$1,$B6,S$1)</f>
        <v>227901093</v>
      </c>
      <c r="T6" cm="1">
        <f t="array" ref="T6">_xll.EQNXTDZ($A$1,$B6,T$1)</f>
        <v>227901093</v>
      </c>
      <c r="U6" cm="1">
        <f t="array" ref="U6">_xll.EQNXTDZ($A$1,$B6,U$1)</f>
        <v>1139505465</v>
      </c>
      <c r="V6" cm="1">
        <f t="array" ref="V6">_xll.EQNXTDZ($A$1,$B6,V$1)</f>
        <v>1139505465</v>
      </c>
      <c r="W6" cm="1">
        <f t="array" ref="W6">_xll.EQNXTDZ($A$1,$B6,W$1)</f>
        <v>1139505465</v>
      </c>
      <c r="X6" cm="1">
        <f t="array" ref="X6">_xll.EQNXTDZ($A$1,$B6,X$1)</f>
        <v>1139505465</v>
      </c>
      <c r="Y6" cm="1">
        <f t="array" ref="Y6">_xll.EQNXTDZ($A$1,$B6,Y$1)</f>
        <v>1139505465</v>
      </c>
      <c r="Z6" cm="1">
        <f t="array" ref="Z6">_xll.EQNXTDZ($A$1,$B6,Z$1)</f>
        <v>1139505465</v>
      </c>
      <c r="AA6" cm="1">
        <f t="array" ref="AA6">_xll.EQNXTDZ($A$1,$B6,AA$1)</f>
        <v>1139505465</v>
      </c>
      <c r="AB6" cm="1">
        <f t="array" ref="AB6">_xll.EQNXTDZ($A$1,$B6,AB$1)</f>
        <v>1139505465</v>
      </c>
      <c r="AC6" cm="1">
        <f t="array" ref="AC6">_xll.EQNXTDZ($A$1,$B6,AC$1)</f>
        <v>1139505465</v>
      </c>
      <c r="AD6" cm="1">
        <f t="array" ref="AD6">_xll.EQNXTDZ($A$1,$B6,AD$1)</f>
        <v>1139505465</v>
      </c>
      <c r="AE6" cm="1">
        <f t="array" ref="AE6">_xll.EQNXTDZ($A$1,$B6,AE$1)</f>
        <v>1139505465</v>
      </c>
      <c r="AF6" cm="1">
        <f t="array" ref="AF6">_xll.EQNXTDZ($A$1,$B6,AF$1)</f>
        <v>1139505465</v>
      </c>
      <c r="AG6" cm="1">
        <f t="array" ref="AG6">_xll.EQNXTDZ($A$1,$B6,AG$1)</f>
        <v>1139505465</v>
      </c>
      <c r="AH6" cm="1">
        <f t="array" ref="AH6">_xll.EQNXTDZ($A$1,$B6,AH$1)</f>
        <v>1139505465</v>
      </c>
      <c r="AI6" cm="1">
        <f t="array" ref="AI6">_xll.EQNXTDZ($A$1,$B6,AI$1)</f>
        <v>1139505465</v>
      </c>
      <c r="AJ6" cm="1">
        <f t="array" ref="AJ6">_xll.EQNXTDZ($A$1,$B6,AJ$1)</f>
        <v>1139505465</v>
      </c>
      <c r="AK6" cm="1">
        <f t="array" ref="AK6">_xll.EQNXTDZ($A$1,$B6,AK$1)</f>
        <v>1139505465</v>
      </c>
      <c r="AL6" cm="1">
        <f t="array" ref="AL6">_xll.EQNXTDZ($A$1,$B6,AL$1)</f>
        <v>1139505465</v>
      </c>
      <c r="AM6" cm="1">
        <f t="array" ref="AM6">_xll.EQNXTDZ($A$1,$B6,AM$1)</f>
        <v>1272126621</v>
      </c>
      <c r="AN6" cm="1">
        <f t="array" ref="AN6">_xll.EQNXTDZ($A$1,$B6,AN$1)</f>
        <v>1272126621</v>
      </c>
      <c r="AO6" cm="1">
        <f t="array" ref="AO6">_xll.EQNXTDZ($A$1,$B6,AO$1)</f>
        <v>1272126621</v>
      </c>
      <c r="AP6" cm="1">
        <f t="array" ref="AP6">_xll.EQNXTDZ($A$1,$B6,AP$1)</f>
        <v>1272126621</v>
      </c>
      <c r="AQ6" cm="1">
        <f t="array" ref="AQ6">_xll.EQNXTDZ($A$1,$B6,AQ$1)</f>
        <v>1272126621</v>
      </c>
      <c r="AR6" cm="1">
        <f t="array" ref="AR6">_xll.EQNXTDZ($A$1,$B6,AR$1)</f>
        <v>1272126621</v>
      </c>
      <c r="AS6" cm="1">
        <f t="array" ref="AS6">_xll.EQNXTDZ($A$1,$B6,AS$1)</f>
        <v>1272126621</v>
      </c>
      <c r="AT6" cm="1">
        <f t="array" ref="AT6">_xll.EQNXTDZ($A$1,$B6,AT$1)</f>
        <v>1272126621</v>
      </c>
      <c r="AU6" cm="1">
        <f t="array" ref="AU6">_xll.EQNXTDZ($A$1,$B6,AU$1)</f>
        <v>1272126621</v>
      </c>
      <c r="AV6" cm="1">
        <f t="array" ref="AV6">_xll.EQNXTDZ($A$1,$B6,AV$1)</f>
        <v>1272126621</v>
      </c>
      <c r="AW6" cm="1">
        <f t="array" ref="AW6">_xll.EQNXTDZ($A$1,$B6,AW$1)</f>
        <v>1272126621</v>
      </c>
      <c r="AX6" cm="1">
        <f t="array" ref="AX6">_xll.EQNXTDZ($A$1,$B6,AX$1)</f>
        <v>1272126621</v>
      </c>
      <c r="AY6" cm="1">
        <f t="array" ref="AY6">_xll.EQNXTDZ($A$1,$B6,AY$1)</f>
        <v>1272126621</v>
      </c>
    </row>
    <row r="7" spans="1:51" x14ac:dyDescent="0.25">
      <c r="B7" t="s">
        <v>429</v>
      </c>
      <c r="C7" s="100">
        <f>+C6/10^7</f>
        <v>20.890109299999999</v>
      </c>
      <c r="D7" s="100">
        <f t="shared" ref="D7:X7" si="0">+D6/10^7</f>
        <v>20.890109299999999</v>
      </c>
      <c r="E7" s="100">
        <f t="shared" si="0"/>
        <v>20.890109299999999</v>
      </c>
      <c r="F7" s="100">
        <f t="shared" si="0"/>
        <v>20.890109299999999</v>
      </c>
      <c r="G7" s="100">
        <f t="shared" si="0"/>
        <v>20.890109299999999</v>
      </c>
      <c r="H7" s="100">
        <f t="shared" si="0"/>
        <v>20.890109299999999</v>
      </c>
      <c r="I7" s="100">
        <f t="shared" si="0"/>
        <v>20.890109299999999</v>
      </c>
      <c r="J7" s="100">
        <f t="shared" si="0"/>
        <v>20.890109299999999</v>
      </c>
      <c r="K7" s="100">
        <f t="shared" si="0"/>
        <v>20.890109299999999</v>
      </c>
      <c r="L7" s="100">
        <f t="shared" si="0"/>
        <v>22.790109300000001</v>
      </c>
      <c r="M7" s="100">
        <f t="shared" si="0"/>
        <v>22.790109300000001</v>
      </c>
      <c r="N7" s="100">
        <f t="shared" si="0"/>
        <v>22.790109300000001</v>
      </c>
      <c r="O7" s="100">
        <f t="shared" si="0"/>
        <v>22.790109300000001</v>
      </c>
      <c r="P7" s="100">
        <f t="shared" si="0"/>
        <v>22.790109300000001</v>
      </c>
      <c r="Q7" s="100">
        <f t="shared" si="0"/>
        <v>22.790109300000001</v>
      </c>
      <c r="R7" s="100">
        <f t="shared" si="0"/>
        <v>22.790109300000001</v>
      </c>
      <c r="S7" s="100">
        <f t="shared" si="0"/>
        <v>22.790109300000001</v>
      </c>
      <c r="T7" s="100">
        <f t="shared" si="0"/>
        <v>22.790109300000001</v>
      </c>
      <c r="U7" s="100">
        <f t="shared" si="0"/>
        <v>113.9505465</v>
      </c>
      <c r="V7" s="100">
        <f t="shared" si="0"/>
        <v>113.9505465</v>
      </c>
      <c r="W7" s="100">
        <f t="shared" si="0"/>
        <v>113.9505465</v>
      </c>
      <c r="X7" s="100">
        <f t="shared" si="0"/>
        <v>113.9505465</v>
      </c>
      <c r="Y7" s="100">
        <f t="shared" ref="Y7:AS7" si="1">+Y6/10^7</f>
        <v>113.9505465</v>
      </c>
      <c r="Z7" s="100">
        <f t="shared" si="1"/>
        <v>113.9505465</v>
      </c>
      <c r="AA7" s="100">
        <f t="shared" si="1"/>
        <v>113.9505465</v>
      </c>
      <c r="AB7" s="100">
        <f t="shared" si="1"/>
        <v>113.9505465</v>
      </c>
      <c r="AC7" s="100">
        <f t="shared" si="1"/>
        <v>113.9505465</v>
      </c>
      <c r="AD7" s="100">
        <f t="shared" si="1"/>
        <v>113.9505465</v>
      </c>
      <c r="AE7" s="100">
        <f t="shared" si="1"/>
        <v>113.9505465</v>
      </c>
      <c r="AF7" s="100">
        <f t="shared" si="1"/>
        <v>113.9505465</v>
      </c>
      <c r="AG7" s="100">
        <f t="shared" si="1"/>
        <v>113.9505465</v>
      </c>
      <c r="AH7" s="100">
        <f t="shared" si="1"/>
        <v>113.9505465</v>
      </c>
      <c r="AI7" s="100">
        <f t="shared" si="1"/>
        <v>113.9505465</v>
      </c>
      <c r="AJ7" s="100">
        <f t="shared" si="1"/>
        <v>113.9505465</v>
      </c>
      <c r="AK7" s="100">
        <f t="shared" si="1"/>
        <v>113.9505465</v>
      </c>
      <c r="AL7" s="100">
        <f t="shared" si="1"/>
        <v>113.9505465</v>
      </c>
      <c r="AM7" s="100">
        <f t="shared" si="1"/>
        <v>127.2126621</v>
      </c>
      <c r="AN7" s="100">
        <f t="shared" si="1"/>
        <v>127.2126621</v>
      </c>
      <c r="AO7" s="100">
        <f t="shared" si="1"/>
        <v>127.2126621</v>
      </c>
      <c r="AP7" s="100">
        <f t="shared" si="1"/>
        <v>127.2126621</v>
      </c>
      <c r="AQ7" s="100">
        <f t="shared" si="1"/>
        <v>127.2126621</v>
      </c>
      <c r="AR7" s="100">
        <f t="shared" si="1"/>
        <v>127.2126621</v>
      </c>
      <c r="AS7" s="100">
        <f t="shared" si="1"/>
        <v>127.2126621</v>
      </c>
      <c r="AT7" s="100">
        <f t="shared" ref="AT7:AX7" si="2">+AT6/10^7</f>
        <v>127.2126621</v>
      </c>
      <c r="AU7" s="100">
        <f t="shared" si="2"/>
        <v>127.2126621</v>
      </c>
      <c r="AV7" s="100">
        <f t="shared" si="2"/>
        <v>127.2126621</v>
      </c>
      <c r="AW7" s="100">
        <f t="shared" si="2"/>
        <v>127.2126621</v>
      </c>
      <c r="AX7" s="100">
        <f t="shared" si="2"/>
        <v>127.2126621</v>
      </c>
      <c r="AY7" s="100">
        <f t="shared" ref="AY7" si="3">+AY6/10^7</f>
        <v>127.2126621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112463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3.5656125498007998</v>
      </c>
      <c r="C4" s="116">
        <v>3.4924717795484699</v>
      </c>
      <c r="D4" s="116">
        <v>3.3827606241699901</v>
      </c>
      <c r="E4" s="116">
        <v>3.4010458167330699</v>
      </c>
      <c r="F4" s="116">
        <v>19.100000000000001</v>
      </c>
      <c r="G4">
        <v>402</v>
      </c>
      <c r="H4" s="116"/>
      <c r="I4" s="116"/>
      <c r="L4" s="170">
        <v>45582</v>
      </c>
      <c r="M4" s="116">
        <v>49.400312109862703</v>
      </c>
      <c r="N4" s="116">
        <v>50.067883895131096</v>
      </c>
      <c r="O4" s="116">
        <v>46.638576779026202</v>
      </c>
      <c r="P4" s="116">
        <v>49.839263420724102</v>
      </c>
      <c r="Q4" s="116">
        <v>54.02</v>
      </c>
      <c r="R4">
        <v>2186739</v>
      </c>
    </row>
    <row r="5" spans="1:18" x14ac:dyDescent="0.25">
      <c r="A5" s="170">
        <v>42006</v>
      </c>
      <c r="B5" s="116">
        <v>3.5656125498007998</v>
      </c>
      <c r="C5" s="116">
        <v>3.5564699535192599</v>
      </c>
      <c r="D5" s="116">
        <v>3.3827606241699901</v>
      </c>
      <c r="E5" s="116">
        <v>3.5290421646746299</v>
      </c>
      <c r="F5" s="116">
        <v>19.45</v>
      </c>
      <c r="G5">
        <v>1051</v>
      </c>
      <c r="H5" s="116"/>
      <c r="I5" s="116"/>
      <c r="L5" s="170">
        <v>45583</v>
      </c>
      <c r="M5" s="116">
        <v>48.229775280898899</v>
      </c>
      <c r="N5" s="116">
        <v>49.537484394506897</v>
      </c>
      <c r="O5" s="116">
        <v>47.004369538077398</v>
      </c>
      <c r="P5" s="116">
        <v>49.537484394506897</v>
      </c>
      <c r="Q5" s="116">
        <v>52.74</v>
      </c>
      <c r="R5">
        <v>1035616</v>
      </c>
    </row>
    <row r="6" spans="1:18" x14ac:dyDescent="0.25">
      <c r="A6" s="170">
        <v>42009</v>
      </c>
      <c r="B6" s="116">
        <v>3.5747551460823401</v>
      </c>
      <c r="C6" s="116">
        <v>3.5107569721115501</v>
      </c>
      <c r="D6" s="116">
        <v>3.4284736055776901</v>
      </c>
      <c r="E6" s="116">
        <v>3.5747551460823401</v>
      </c>
      <c r="F6" s="116">
        <v>19.2</v>
      </c>
      <c r="G6">
        <v>945</v>
      </c>
      <c r="H6" s="116"/>
      <c r="I6" s="116"/>
      <c r="L6" s="170">
        <v>45586</v>
      </c>
      <c r="M6" s="116">
        <v>46.848907615480599</v>
      </c>
      <c r="N6" s="116">
        <v>48.924781523096101</v>
      </c>
      <c r="O6" s="116">
        <v>46.638576779026202</v>
      </c>
      <c r="P6" s="116">
        <v>48.467540574282097</v>
      </c>
      <c r="Q6" s="116">
        <v>51.23</v>
      </c>
      <c r="R6">
        <v>713173</v>
      </c>
    </row>
    <row r="7" spans="1:18" x14ac:dyDescent="0.25">
      <c r="A7" s="170">
        <v>42010</v>
      </c>
      <c r="B7" s="116">
        <v>3.5656125498007998</v>
      </c>
      <c r="C7" s="116">
        <v>3.5656125498007998</v>
      </c>
      <c r="D7" s="116">
        <v>3.5656125498007998</v>
      </c>
      <c r="E7" s="116">
        <v>3.5656125498007998</v>
      </c>
      <c r="F7" s="116">
        <v>19.5</v>
      </c>
      <c r="G7">
        <v>100</v>
      </c>
      <c r="H7" s="116"/>
      <c r="I7" s="116"/>
      <c r="L7" s="170">
        <v>45587</v>
      </c>
      <c r="M7" s="116">
        <v>44.4986891385768</v>
      </c>
      <c r="N7" s="116">
        <v>47.050093632958799</v>
      </c>
      <c r="O7" s="116">
        <v>44.4986891385768</v>
      </c>
      <c r="P7" s="116">
        <v>46.867197253433197</v>
      </c>
      <c r="Q7" s="116">
        <v>48.66</v>
      </c>
      <c r="R7">
        <v>1161365</v>
      </c>
    </row>
    <row r="8" spans="1:18" x14ac:dyDescent="0.25">
      <c r="A8" s="170">
        <v>42011</v>
      </c>
      <c r="B8" s="116">
        <v>3.5656125498007998</v>
      </c>
      <c r="C8" s="116">
        <v>3.35533283532537</v>
      </c>
      <c r="D8" s="116">
        <v>3.1176253320053098</v>
      </c>
      <c r="E8" s="116">
        <v>3.5656125498007998</v>
      </c>
      <c r="F8" s="116">
        <v>18.350000000000001</v>
      </c>
      <c r="G8">
        <v>2225</v>
      </c>
      <c r="H8" s="116"/>
      <c r="I8" s="116"/>
      <c r="L8" s="170">
        <v>45588</v>
      </c>
      <c r="M8" s="116">
        <v>42.267353308364498</v>
      </c>
      <c r="N8" s="116">
        <v>43.8951310861423</v>
      </c>
      <c r="O8" s="116">
        <v>42.267353308364498</v>
      </c>
      <c r="P8" s="116">
        <v>42.843476903870197</v>
      </c>
      <c r="Q8" s="116">
        <v>46.22</v>
      </c>
      <c r="R8">
        <v>2399473</v>
      </c>
    </row>
    <row r="9" spans="1:18" x14ac:dyDescent="0.25">
      <c r="A9" s="170">
        <v>42013</v>
      </c>
      <c r="B9" s="116">
        <v>3.4741865869853901</v>
      </c>
      <c r="C9" s="116">
        <v>3.3096198539176598</v>
      </c>
      <c r="D9" s="116">
        <v>3.3004772576361199</v>
      </c>
      <c r="E9" s="116">
        <v>3.3004772576361199</v>
      </c>
      <c r="F9" s="116">
        <v>18.100000000000001</v>
      </c>
      <c r="G9">
        <v>8552</v>
      </c>
      <c r="H9" s="116"/>
      <c r="I9" s="116"/>
      <c r="L9" s="170">
        <v>45589</v>
      </c>
      <c r="M9" s="116">
        <v>41.837546816479403</v>
      </c>
      <c r="N9" s="116">
        <v>42.980649188514398</v>
      </c>
      <c r="O9" s="116">
        <v>40.438389513108604</v>
      </c>
      <c r="P9" s="116">
        <v>42.066167290886398</v>
      </c>
      <c r="Q9" s="116">
        <v>45.75</v>
      </c>
      <c r="R9">
        <v>876896</v>
      </c>
    </row>
    <row r="10" spans="1:18" x14ac:dyDescent="0.25">
      <c r="A10" s="170">
        <v>42016</v>
      </c>
      <c r="B10" s="116">
        <v>3.4741865869853901</v>
      </c>
      <c r="C10" s="116">
        <v>3.3370476427622799</v>
      </c>
      <c r="D10" s="116">
        <v>3.1084827357237699</v>
      </c>
      <c r="E10" s="116">
        <v>3.1084827357237699</v>
      </c>
      <c r="F10" s="116">
        <v>18.25</v>
      </c>
      <c r="G10">
        <v>352</v>
      </c>
      <c r="H10" s="116"/>
      <c r="I10" s="116"/>
      <c r="L10" s="170">
        <v>45590</v>
      </c>
      <c r="M10" s="116">
        <v>39.743383270911401</v>
      </c>
      <c r="N10" s="116">
        <v>42.431960049937601</v>
      </c>
      <c r="O10" s="116">
        <v>39.743383270911401</v>
      </c>
      <c r="P10" s="116">
        <v>42.431960049937601</v>
      </c>
      <c r="Q10" s="116">
        <v>43.46</v>
      </c>
      <c r="R10">
        <v>1653326</v>
      </c>
    </row>
    <row r="11" spans="1:18" x14ac:dyDescent="0.25">
      <c r="A11" s="170">
        <v>42017</v>
      </c>
      <c r="B11" s="116">
        <v>3.4741865869853901</v>
      </c>
      <c r="C11" s="116">
        <v>3.2730494687915002</v>
      </c>
      <c r="D11" s="116">
        <v>3.1724809096945599</v>
      </c>
      <c r="E11" s="116">
        <v>3.4741865869853901</v>
      </c>
      <c r="F11" s="116">
        <v>17.899999999999999</v>
      </c>
      <c r="G11">
        <v>1026</v>
      </c>
      <c r="H11" s="116"/>
      <c r="I11" s="116"/>
      <c r="L11" s="170">
        <v>45593</v>
      </c>
      <c r="M11" s="116">
        <v>40.548127340824003</v>
      </c>
      <c r="N11" s="116">
        <v>41.727808988763996</v>
      </c>
      <c r="O11" s="116">
        <v>37.749812734082397</v>
      </c>
      <c r="P11" s="116">
        <v>39.0941011235955</v>
      </c>
      <c r="Q11" s="116">
        <v>44.34</v>
      </c>
      <c r="R11">
        <v>1245658</v>
      </c>
    </row>
    <row r="12" spans="1:18" x14ac:dyDescent="0.25">
      <c r="A12" s="170">
        <v>42018</v>
      </c>
      <c r="B12" s="116">
        <v>3.4741865869853901</v>
      </c>
      <c r="C12" s="116">
        <v>3.1267679282868501</v>
      </c>
      <c r="D12" s="116">
        <v>3.1084827357237699</v>
      </c>
      <c r="E12" s="116">
        <v>3.19990869853918</v>
      </c>
      <c r="F12" s="116">
        <v>17.100000000000001</v>
      </c>
      <c r="G12">
        <v>2084</v>
      </c>
      <c r="H12" s="116"/>
      <c r="I12" s="116"/>
      <c r="L12" s="170">
        <v>45594</v>
      </c>
      <c r="M12" s="116">
        <v>40.008583021223501</v>
      </c>
      <c r="N12" s="116">
        <v>40.8956304619226</v>
      </c>
      <c r="O12" s="116">
        <v>39.405024968789</v>
      </c>
      <c r="P12" s="116">
        <v>40.6944444444444</v>
      </c>
      <c r="Q12" s="116">
        <v>43.75</v>
      </c>
      <c r="R12">
        <v>594281</v>
      </c>
    </row>
    <row r="13" spans="1:18" x14ac:dyDescent="0.25">
      <c r="A13" s="170">
        <v>42019</v>
      </c>
      <c r="B13" s="116">
        <v>3.7484644754316099</v>
      </c>
      <c r="C13" s="116">
        <v>3.4650439907038502</v>
      </c>
      <c r="D13" s="116">
        <v>3.19990869853918</v>
      </c>
      <c r="E13" s="116">
        <v>3.19990869853918</v>
      </c>
      <c r="F13" s="116">
        <v>18.95</v>
      </c>
      <c r="G13">
        <v>3330</v>
      </c>
      <c r="H13" s="116"/>
      <c r="I13" s="116"/>
      <c r="L13" s="170">
        <v>45595</v>
      </c>
      <c r="M13" s="116">
        <v>42.002153558052399</v>
      </c>
      <c r="N13" s="116">
        <v>42.002153558052399</v>
      </c>
      <c r="O13" s="116">
        <v>40.886485642946298</v>
      </c>
      <c r="P13" s="116">
        <v>41.608926342072401</v>
      </c>
      <c r="Q13" s="116">
        <v>45.93</v>
      </c>
      <c r="R13">
        <v>240999</v>
      </c>
    </row>
    <row r="14" spans="1:18" x14ac:dyDescent="0.25">
      <c r="A14" s="170">
        <v>42020</v>
      </c>
      <c r="B14" s="116">
        <v>3.43761620185923</v>
      </c>
      <c r="C14" s="116">
        <v>3.43761620185923</v>
      </c>
      <c r="D14" s="116">
        <v>3.1816235059761002</v>
      </c>
      <c r="E14" s="116">
        <v>3.1816235059761002</v>
      </c>
      <c r="F14" s="116">
        <v>18.8</v>
      </c>
      <c r="G14">
        <v>625</v>
      </c>
      <c r="H14" s="116"/>
      <c r="I14" s="116"/>
      <c r="L14" s="170">
        <v>45596</v>
      </c>
      <c r="M14" s="116">
        <v>44.0963171036205</v>
      </c>
      <c r="N14" s="116">
        <v>44.0963171036205</v>
      </c>
      <c r="O14" s="116">
        <v>43.035518102372002</v>
      </c>
      <c r="P14" s="116">
        <v>44.0963171036205</v>
      </c>
      <c r="Q14" s="116">
        <v>48.22</v>
      </c>
      <c r="R14">
        <v>1803791</v>
      </c>
    </row>
    <row r="15" spans="1:18" x14ac:dyDescent="0.25">
      <c r="A15" s="170">
        <v>42023</v>
      </c>
      <c r="B15" s="116">
        <v>3.54732735723772</v>
      </c>
      <c r="C15" s="116">
        <v>3.5290421646746299</v>
      </c>
      <c r="D15" s="116">
        <v>3.2090512948207199</v>
      </c>
      <c r="E15" s="116">
        <v>3.2364790836653401</v>
      </c>
      <c r="F15" s="116">
        <v>19.3</v>
      </c>
      <c r="G15">
        <v>1659</v>
      </c>
      <c r="H15" s="116"/>
      <c r="I15" s="116"/>
      <c r="L15" s="170">
        <v>45597</v>
      </c>
      <c r="M15" s="116">
        <v>45.166260923845201</v>
      </c>
      <c r="N15" s="116">
        <v>45.906991260923803</v>
      </c>
      <c r="O15" s="116">
        <v>44.5627028714107</v>
      </c>
      <c r="P15" s="116">
        <v>45.724094881398301</v>
      </c>
      <c r="Q15" s="116">
        <v>49.39</v>
      </c>
      <c r="R15">
        <v>758588</v>
      </c>
    </row>
    <row r="16" spans="1:18" x14ac:dyDescent="0.25">
      <c r="A16" s="170">
        <v>42024</v>
      </c>
      <c r="B16" s="116">
        <v>3.5656125498007998</v>
      </c>
      <c r="C16" s="116">
        <v>3.5381847609561801</v>
      </c>
      <c r="D16" s="116">
        <v>3.29133466135458</v>
      </c>
      <c r="E16" s="116">
        <v>3.4741865869853901</v>
      </c>
      <c r="F16" s="116">
        <v>19.350000000000001</v>
      </c>
      <c r="G16">
        <v>601</v>
      </c>
      <c r="H16" s="116"/>
      <c r="I16" s="116"/>
      <c r="L16" s="170">
        <v>45600</v>
      </c>
      <c r="M16" s="116">
        <v>42.925780274656702</v>
      </c>
      <c r="N16" s="116">
        <v>46.062453183520603</v>
      </c>
      <c r="O16" s="116">
        <v>42.907490636704097</v>
      </c>
      <c r="P16" s="116">
        <v>46.062453183520603</v>
      </c>
      <c r="Q16" s="116">
        <v>46.94</v>
      </c>
      <c r="R16">
        <v>1116839</v>
      </c>
    </row>
    <row r="17" spans="1:18" x14ac:dyDescent="0.25">
      <c r="A17" s="170">
        <v>42025</v>
      </c>
      <c r="B17" s="116">
        <v>3.5290421646746299</v>
      </c>
      <c r="C17" s="116">
        <v>3.29133466135458</v>
      </c>
      <c r="D17" s="116">
        <v>3.29133466135458</v>
      </c>
      <c r="E17" s="116">
        <v>3.3096198539176598</v>
      </c>
      <c r="F17" s="116">
        <v>18</v>
      </c>
      <c r="G17">
        <v>212</v>
      </c>
      <c r="H17" s="116"/>
      <c r="I17" s="116"/>
      <c r="L17" s="170">
        <v>45601</v>
      </c>
      <c r="M17" s="116">
        <v>42.550842696629203</v>
      </c>
      <c r="N17" s="116">
        <v>44.571847690387003</v>
      </c>
      <c r="O17" s="116">
        <v>41.746098626716602</v>
      </c>
      <c r="P17" s="116">
        <v>42.203339575530599</v>
      </c>
      <c r="Q17" s="116">
        <v>46.53</v>
      </c>
      <c r="R17">
        <v>898212</v>
      </c>
    </row>
    <row r="18" spans="1:18" x14ac:dyDescent="0.25">
      <c r="A18" s="170">
        <v>42027</v>
      </c>
      <c r="B18" s="116">
        <v>3.5564699535192599</v>
      </c>
      <c r="C18" s="116">
        <v>3.0170567729083699</v>
      </c>
      <c r="D18" s="116">
        <v>2.9622011952191198</v>
      </c>
      <c r="E18" s="116">
        <v>3.5564699535192599</v>
      </c>
      <c r="F18" s="116">
        <v>16.5</v>
      </c>
      <c r="G18">
        <v>589</v>
      </c>
      <c r="H18" s="116"/>
      <c r="I18" s="116"/>
      <c r="L18" s="170">
        <v>45602</v>
      </c>
      <c r="M18" s="116">
        <v>44.672440699126099</v>
      </c>
      <c r="N18" s="116">
        <v>44.672440699126099</v>
      </c>
      <c r="O18" s="116">
        <v>42.715449438202199</v>
      </c>
      <c r="P18" s="116">
        <v>42.880056179775302</v>
      </c>
      <c r="Q18" s="116">
        <v>48.85</v>
      </c>
      <c r="R18">
        <v>962894</v>
      </c>
    </row>
    <row r="19" spans="1:18" x14ac:dyDescent="0.25">
      <c r="A19" s="170">
        <v>42031</v>
      </c>
      <c r="B19" s="116">
        <v>3.3461902390438198</v>
      </c>
      <c r="C19" s="116">
        <v>3.3461902390438198</v>
      </c>
      <c r="D19" s="116">
        <v>3.3461902390438198</v>
      </c>
      <c r="E19" s="116">
        <v>3.3461902390438198</v>
      </c>
      <c r="F19" s="116">
        <v>18.3</v>
      </c>
      <c r="G19">
        <v>1</v>
      </c>
      <c r="H19" s="116"/>
      <c r="I19" s="116"/>
      <c r="L19" s="170">
        <v>45603</v>
      </c>
      <c r="M19" s="116">
        <v>45.678370786516901</v>
      </c>
      <c r="N19" s="116">
        <v>46.583707865168499</v>
      </c>
      <c r="O19" s="116">
        <v>44.014013732834002</v>
      </c>
      <c r="P19" s="116">
        <v>45.083957553058703</v>
      </c>
      <c r="Q19" s="116">
        <v>49.95</v>
      </c>
      <c r="R19">
        <v>1994899</v>
      </c>
    </row>
    <row r="20" spans="1:18" x14ac:dyDescent="0.25">
      <c r="A20" s="170">
        <v>42033</v>
      </c>
      <c r="B20" s="116">
        <v>3.3096198539176598</v>
      </c>
      <c r="C20" s="116">
        <v>3.1084827357237699</v>
      </c>
      <c r="D20" s="116">
        <v>2.9713437915006602</v>
      </c>
      <c r="E20" s="116">
        <v>3.1084827357237699</v>
      </c>
      <c r="F20" s="116">
        <v>17</v>
      </c>
      <c r="G20">
        <v>685</v>
      </c>
      <c r="H20" s="116"/>
      <c r="I20" s="116"/>
      <c r="L20" s="170">
        <v>45604</v>
      </c>
      <c r="M20" s="116">
        <v>43.885986267165997</v>
      </c>
      <c r="N20" s="116">
        <v>46.739169787765299</v>
      </c>
      <c r="O20" s="116">
        <v>43.437890137328303</v>
      </c>
      <c r="P20" s="116">
        <v>46.592852684144802</v>
      </c>
      <c r="Q20" s="116">
        <v>47.99</v>
      </c>
      <c r="R20">
        <v>858180</v>
      </c>
    </row>
    <row r="21" spans="1:18" x14ac:dyDescent="0.25">
      <c r="A21" s="170">
        <v>42034</v>
      </c>
      <c r="B21" s="116">
        <v>3.35533283532537</v>
      </c>
      <c r="C21" s="116">
        <v>3.2639068725099598</v>
      </c>
      <c r="D21" s="116">
        <v>2.9713437915006602</v>
      </c>
      <c r="E21" s="116">
        <v>3.1084827357237699</v>
      </c>
      <c r="F21" s="116">
        <v>17.850000000000001</v>
      </c>
      <c r="G21">
        <v>4459</v>
      </c>
      <c r="H21" s="116"/>
      <c r="I21" s="116"/>
      <c r="L21" s="170">
        <v>45607</v>
      </c>
      <c r="M21" s="116">
        <v>42.6971598002497</v>
      </c>
      <c r="N21" s="116">
        <v>43.785393258427</v>
      </c>
      <c r="O21" s="116">
        <v>42.4959737827715</v>
      </c>
      <c r="P21" s="116">
        <v>42.980649188514398</v>
      </c>
      <c r="Q21" s="116">
        <v>46.69</v>
      </c>
      <c r="R21">
        <v>1669657</v>
      </c>
    </row>
    <row r="22" spans="1:18" x14ac:dyDescent="0.25">
      <c r="A22" s="170">
        <v>42037</v>
      </c>
      <c r="B22" s="116">
        <v>3.3644754316069099</v>
      </c>
      <c r="C22" s="116">
        <v>3.05362715803453</v>
      </c>
      <c r="D22" s="116">
        <v>3.0170567729083699</v>
      </c>
      <c r="E22" s="116">
        <v>3.3644754316069099</v>
      </c>
      <c r="F22" s="116">
        <v>16.7</v>
      </c>
      <c r="G22">
        <v>210</v>
      </c>
      <c r="H22" s="116"/>
      <c r="I22" s="116"/>
      <c r="L22" s="170">
        <v>45608</v>
      </c>
      <c r="M22" s="116">
        <v>41.645505617977499</v>
      </c>
      <c r="N22" s="116">
        <v>43.794538077403203</v>
      </c>
      <c r="O22" s="116">
        <v>41.197409488139797</v>
      </c>
      <c r="P22" s="116">
        <v>42.9166354556804</v>
      </c>
      <c r="Q22" s="116">
        <v>45.54</v>
      </c>
      <c r="R22">
        <v>423461</v>
      </c>
    </row>
    <row r="23" spans="1:18" x14ac:dyDescent="0.25">
      <c r="A23" s="170">
        <v>42038</v>
      </c>
      <c r="B23" s="116">
        <v>3.3644754316069099</v>
      </c>
      <c r="C23" s="116">
        <v>3.3644754316069099</v>
      </c>
      <c r="D23" s="116">
        <v>3.1084827357237699</v>
      </c>
      <c r="E23" s="116">
        <v>3.1084827357237699</v>
      </c>
      <c r="F23" s="116">
        <v>18.399999999999999</v>
      </c>
      <c r="G23">
        <v>10</v>
      </c>
      <c r="H23" s="116"/>
      <c r="I23" s="116"/>
      <c r="L23" s="170">
        <v>45609</v>
      </c>
      <c r="M23" s="116">
        <v>39.7616729088639</v>
      </c>
      <c r="N23" s="116">
        <v>42.011298377028702</v>
      </c>
      <c r="O23" s="116">
        <v>39.5604868913858</v>
      </c>
      <c r="P23" s="116">
        <v>41.645505617977499</v>
      </c>
      <c r="Q23" s="116">
        <v>43.48</v>
      </c>
      <c r="R23">
        <v>915384</v>
      </c>
    </row>
    <row r="24" spans="1:18" x14ac:dyDescent="0.25">
      <c r="A24" s="170">
        <v>42039</v>
      </c>
      <c r="B24" s="116">
        <v>3.1084827357237699</v>
      </c>
      <c r="C24" s="116">
        <v>3.0353419654714502</v>
      </c>
      <c r="D24" s="116">
        <v>3.00791417662683</v>
      </c>
      <c r="E24" s="116">
        <v>3.0170567729083699</v>
      </c>
      <c r="F24" s="116">
        <v>16.600000000000001</v>
      </c>
      <c r="G24">
        <v>237</v>
      </c>
      <c r="H24" s="116"/>
      <c r="I24" s="116"/>
      <c r="L24" s="170">
        <v>45610</v>
      </c>
      <c r="M24" s="116">
        <v>40.282927590511903</v>
      </c>
      <c r="N24" s="116">
        <v>41.151685393258397</v>
      </c>
      <c r="O24" s="116">
        <v>38.874625468164801</v>
      </c>
      <c r="P24" s="116">
        <v>40.100031210986302</v>
      </c>
      <c r="Q24" s="116">
        <v>44.05</v>
      </c>
      <c r="R24">
        <v>638191</v>
      </c>
    </row>
    <row r="25" spans="1:18" x14ac:dyDescent="0.25">
      <c r="A25" s="170">
        <v>42040</v>
      </c>
      <c r="B25" s="116">
        <v>3.2181938911022598</v>
      </c>
      <c r="C25" s="116">
        <v>3.1816235059761002</v>
      </c>
      <c r="D25" s="116">
        <v>2.8342048472775598</v>
      </c>
      <c r="E25" s="116">
        <v>3.1084827357237699</v>
      </c>
      <c r="F25" s="116">
        <v>17.399999999999999</v>
      </c>
      <c r="G25">
        <v>830</v>
      </c>
      <c r="H25" s="116"/>
      <c r="I25" s="116"/>
      <c r="L25" s="170">
        <v>45614</v>
      </c>
      <c r="M25" s="116">
        <v>41.069382022471899</v>
      </c>
      <c r="N25" s="116">
        <v>42.2947877652934</v>
      </c>
      <c r="O25" s="116">
        <v>39.898845193508102</v>
      </c>
      <c r="P25" s="116">
        <v>40.959644194756599</v>
      </c>
      <c r="Q25" s="116">
        <v>44.91</v>
      </c>
      <c r="R25">
        <v>1028407</v>
      </c>
    </row>
    <row r="26" spans="1:18" x14ac:dyDescent="0.25">
      <c r="A26" s="170">
        <v>42041</v>
      </c>
      <c r="B26" s="116">
        <v>3.29133466135458</v>
      </c>
      <c r="C26" s="116">
        <v>3.1633383134130102</v>
      </c>
      <c r="D26" s="116">
        <v>2.8342048472775598</v>
      </c>
      <c r="E26" s="116">
        <v>2.94391600265604</v>
      </c>
      <c r="F26" s="116">
        <v>17.3</v>
      </c>
      <c r="G26">
        <v>2128</v>
      </c>
      <c r="H26" s="116"/>
      <c r="I26" s="116"/>
      <c r="L26" s="170">
        <v>45615</v>
      </c>
      <c r="M26" s="116">
        <v>41.956429463170998</v>
      </c>
      <c r="N26" s="116">
        <v>43.1178214731586</v>
      </c>
      <c r="O26" s="116">
        <v>41.197409488139797</v>
      </c>
      <c r="P26" s="116">
        <v>41.700374531835202</v>
      </c>
      <c r="Q26" s="116">
        <v>45.88</v>
      </c>
      <c r="R26">
        <v>758593</v>
      </c>
    </row>
    <row r="27" spans="1:18" x14ac:dyDescent="0.25">
      <c r="A27" s="170">
        <v>42045</v>
      </c>
      <c r="B27" s="116">
        <v>3.29133466135458</v>
      </c>
      <c r="C27" s="116">
        <v>3.0810549468791502</v>
      </c>
      <c r="D27" s="116">
        <v>2.66963811420983</v>
      </c>
      <c r="E27" s="116">
        <v>2.66963811420983</v>
      </c>
      <c r="F27" s="116">
        <v>16.850000000000001</v>
      </c>
      <c r="G27">
        <v>374</v>
      </c>
      <c r="H27" s="116"/>
      <c r="I27" s="116"/>
      <c r="L27" s="170">
        <v>45617</v>
      </c>
      <c r="M27" s="116">
        <v>40.356086142322098</v>
      </c>
      <c r="N27" s="116">
        <v>42.111891385767798</v>
      </c>
      <c r="O27" s="116">
        <v>40.045162297128599</v>
      </c>
      <c r="P27" s="116">
        <v>42.0936017478152</v>
      </c>
      <c r="Q27" s="116">
        <v>44.13</v>
      </c>
      <c r="R27">
        <v>584761</v>
      </c>
    </row>
    <row r="28" spans="1:18" x14ac:dyDescent="0.25">
      <c r="A28" s="170">
        <v>42047</v>
      </c>
      <c r="B28" s="116">
        <v>3.1084827357237699</v>
      </c>
      <c r="C28" s="116">
        <v>3.0627697543160699</v>
      </c>
      <c r="D28" s="116">
        <v>2.8342048472775598</v>
      </c>
      <c r="E28" s="116">
        <v>3.1084827357237699</v>
      </c>
      <c r="F28" s="116">
        <v>16.75</v>
      </c>
      <c r="G28">
        <v>3239</v>
      </c>
      <c r="H28" s="116"/>
      <c r="I28" s="116"/>
      <c r="L28" s="170">
        <v>45618</v>
      </c>
      <c r="M28" s="116">
        <v>40.136610486891399</v>
      </c>
      <c r="N28" s="116">
        <v>41.069382022471899</v>
      </c>
      <c r="O28" s="116">
        <v>39.688514357053698</v>
      </c>
      <c r="P28" s="116">
        <v>40.639575530586797</v>
      </c>
      <c r="Q28" s="116">
        <v>43.89</v>
      </c>
      <c r="R28">
        <v>436942</v>
      </c>
    </row>
    <row r="29" spans="1:18" x14ac:dyDescent="0.25">
      <c r="A29" s="170">
        <v>42048</v>
      </c>
      <c r="B29" s="116">
        <v>2.9347734063745001</v>
      </c>
      <c r="C29" s="116">
        <v>2.8524900398406401</v>
      </c>
      <c r="D29" s="116">
        <v>2.8524900398406401</v>
      </c>
      <c r="E29" s="116">
        <v>2.9347734063745001</v>
      </c>
      <c r="F29" s="116">
        <v>15.6</v>
      </c>
      <c r="G29">
        <v>790</v>
      </c>
      <c r="H29" s="116"/>
      <c r="I29" s="116"/>
      <c r="L29" s="170">
        <v>45621</v>
      </c>
      <c r="M29" s="116">
        <v>40.950499375780304</v>
      </c>
      <c r="N29" s="116">
        <v>42.1393258426966</v>
      </c>
      <c r="O29" s="116">
        <v>40.2280586766542</v>
      </c>
      <c r="P29" s="116">
        <v>40.685299625468197</v>
      </c>
      <c r="Q29" s="116">
        <v>44.78</v>
      </c>
      <c r="R29">
        <v>734062</v>
      </c>
    </row>
    <row r="30" spans="1:18" x14ac:dyDescent="0.25">
      <c r="A30" s="170">
        <v>42051</v>
      </c>
      <c r="B30" s="116">
        <v>3.1084827357237699</v>
      </c>
      <c r="C30" s="116">
        <v>3.1084827357237699</v>
      </c>
      <c r="D30" s="116">
        <v>3.0901975431606901</v>
      </c>
      <c r="E30" s="116">
        <v>3.0901975431606901</v>
      </c>
      <c r="F30" s="116">
        <v>17</v>
      </c>
      <c r="G30">
        <v>500</v>
      </c>
      <c r="H30" s="116"/>
      <c r="I30" s="116"/>
      <c r="L30" s="170">
        <v>45622</v>
      </c>
      <c r="M30" s="116">
        <v>40.465823970037498</v>
      </c>
      <c r="N30" s="116">
        <v>42.057022471910102</v>
      </c>
      <c r="O30" s="116">
        <v>39.688514357053698</v>
      </c>
      <c r="P30" s="116">
        <v>41.544912609238501</v>
      </c>
      <c r="Q30" s="116">
        <v>44.25</v>
      </c>
      <c r="R30">
        <v>700050</v>
      </c>
    </row>
    <row r="31" spans="1:18" x14ac:dyDescent="0.25">
      <c r="A31" s="170">
        <v>42053</v>
      </c>
      <c r="B31" s="116">
        <v>3.0901975431606901</v>
      </c>
      <c r="C31" s="116">
        <v>3.0901975431606901</v>
      </c>
      <c r="D31" s="116">
        <v>2.9256308100929602</v>
      </c>
      <c r="E31" s="116">
        <v>2.9256308100929602</v>
      </c>
      <c r="F31" s="116">
        <v>16.899999999999999</v>
      </c>
      <c r="G31">
        <v>210</v>
      </c>
      <c r="H31" s="116"/>
      <c r="I31" s="116"/>
      <c r="L31" s="170">
        <v>45623</v>
      </c>
      <c r="M31" s="116">
        <v>42.459394506866403</v>
      </c>
      <c r="N31" s="116">
        <v>42.486828963795297</v>
      </c>
      <c r="O31" s="116">
        <v>39.880555555555603</v>
      </c>
      <c r="P31" s="116">
        <v>40.913920099875199</v>
      </c>
      <c r="Q31" s="116">
        <v>46.43</v>
      </c>
      <c r="R31">
        <v>1053075</v>
      </c>
    </row>
    <row r="32" spans="1:18" x14ac:dyDescent="0.25">
      <c r="A32" s="170">
        <v>42054</v>
      </c>
      <c r="B32" s="116">
        <v>3.1816235059761002</v>
      </c>
      <c r="C32" s="116">
        <v>3.1267679282868501</v>
      </c>
      <c r="D32" s="116">
        <v>2.7427788844621501</v>
      </c>
      <c r="E32" s="116">
        <v>2.7610640770252299</v>
      </c>
      <c r="F32" s="116">
        <v>17.100000000000001</v>
      </c>
      <c r="G32">
        <v>4238</v>
      </c>
      <c r="H32" s="116"/>
      <c r="I32" s="116"/>
      <c r="L32" s="170">
        <v>45624</v>
      </c>
      <c r="M32" s="116">
        <v>43.419600499375797</v>
      </c>
      <c r="N32" s="116">
        <v>44.279213483146101</v>
      </c>
      <c r="O32" s="116">
        <v>42.258208489388302</v>
      </c>
      <c r="P32" s="116">
        <v>42.431960049937601</v>
      </c>
      <c r="Q32" s="116">
        <v>47.48</v>
      </c>
      <c r="R32">
        <v>1037471</v>
      </c>
    </row>
    <row r="33" spans="1:18" x14ac:dyDescent="0.25">
      <c r="A33" s="170">
        <v>42055</v>
      </c>
      <c r="B33" s="116">
        <v>3.2730494687915002</v>
      </c>
      <c r="C33" s="116">
        <v>3.2730494687915002</v>
      </c>
      <c r="D33" s="116">
        <v>2.7062084993359901</v>
      </c>
      <c r="E33" s="116">
        <v>2.81591965471448</v>
      </c>
      <c r="F33" s="116">
        <v>17.899999999999999</v>
      </c>
      <c r="G33">
        <v>1101</v>
      </c>
      <c r="H33" s="116"/>
      <c r="I33" s="116"/>
      <c r="L33" s="170">
        <v>45625</v>
      </c>
      <c r="M33" s="116">
        <v>43.547627965043702</v>
      </c>
      <c r="N33" s="116">
        <v>44.334082397003698</v>
      </c>
      <c r="O33" s="116">
        <v>42.816042446941303</v>
      </c>
      <c r="P33" s="116">
        <v>43.885986267165997</v>
      </c>
      <c r="Q33" s="116">
        <v>47.62</v>
      </c>
      <c r="R33">
        <v>622786</v>
      </c>
    </row>
    <row r="34" spans="1:18" x14ac:dyDescent="0.25">
      <c r="A34" s="170">
        <v>42060</v>
      </c>
      <c r="B34" s="116">
        <v>3.2364790836653401</v>
      </c>
      <c r="C34" s="116">
        <v>3.2273364873838002</v>
      </c>
      <c r="D34" s="116">
        <v>2.81591965471448</v>
      </c>
      <c r="E34" s="116">
        <v>2.81591965471448</v>
      </c>
      <c r="F34" s="116">
        <v>17.649999999999999</v>
      </c>
      <c r="G34">
        <v>143</v>
      </c>
      <c r="H34" s="116"/>
      <c r="I34" s="116"/>
      <c r="L34" s="170">
        <v>45628</v>
      </c>
      <c r="M34" s="116">
        <v>44.242634207240997</v>
      </c>
      <c r="N34" s="116">
        <v>44.8096129837703</v>
      </c>
      <c r="O34" s="116">
        <v>42.980649188514398</v>
      </c>
      <c r="P34" s="116">
        <v>44.2060549313358</v>
      </c>
      <c r="Q34" s="116">
        <v>48.38</v>
      </c>
      <c r="R34">
        <v>1788802</v>
      </c>
    </row>
    <row r="35" spans="1:18" x14ac:dyDescent="0.25">
      <c r="A35" s="170">
        <v>42061</v>
      </c>
      <c r="B35" s="116">
        <v>3.2273364873838002</v>
      </c>
      <c r="C35" s="116">
        <v>2.9347734063745001</v>
      </c>
      <c r="D35" s="116">
        <v>2.7884918658698501</v>
      </c>
      <c r="E35" s="116">
        <v>2.9804863877822001</v>
      </c>
      <c r="F35" s="116">
        <v>16.05</v>
      </c>
      <c r="G35">
        <v>1927</v>
      </c>
      <c r="H35" s="116"/>
      <c r="I35" s="116"/>
      <c r="L35" s="170">
        <v>45629</v>
      </c>
      <c r="M35" s="116">
        <v>44.974219725343303</v>
      </c>
      <c r="N35" s="116">
        <v>45.577777777777797</v>
      </c>
      <c r="O35" s="116">
        <v>44.233489388264701</v>
      </c>
      <c r="P35" s="116">
        <v>44.571847690387003</v>
      </c>
      <c r="Q35" s="116">
        <v>49.18</v>
      </c>
      <c r="R35">
        <v>1199404</v>
      </c>
    </row>
    <row r="36" spans="1:18" x14ac:dyDescent="0.25">
      <c r="A36" s="170">
        <v>42063</v>
      </c>
      <c r="B36" s="116">
        <v>3.29133466135458</v>
      </c>
      <c r="C36" s="116">
        <v>3.2364790836653401</v>
      </c>
      <c r="D36" s="116">
        <v>3.2090512948207199</v>
      </c>
      <c r="E36" s="116">
        <v>3.2639068725099598</v>
      </c>
      <c r="F36" s="116">
        <v>17.7</v>
      </c>
      <c r="G36">
        <v>4200</v>
      </c>
      <c r="H36" s="116"/>
      <c r="I36" s="116"/>
      <c r="L36" s="170">
        <v>45630</v>
      </c>
      <c r="M36" s="116">
        <v>46.181335830212198</v>
      </c>
      <c r="N36" s="116">
        <v>47.004369538077398</v>
      </c>
      <c r="O36" s="116">
        <v>45.147971285892602</v>
      </c>
      <c r="P36" s="116">
        <v>45.541198501872699</v>
      </c>
      <c r="Q36" s="116">
        <v>50.5</v>
      </c>
      <c r="R36">
        <v>2439486</v>
      </c>
    </row>
    <row r="37" spans="1:18" x14ac:dyDescent="0.25">
      <c r="A37" s="170">
        <v>42065</v>
      </c>
      <c r="B37" s="116">
        <v>3.2730494687915002</v>
      </c>
      <c r="C37" s="116">
        <v>3.09934013944223</v>
      </c>
      <c r="D37" s="116">
        <v>2.7702066733067698</v>
      </c>
      <c r="E37" s="116">
        <v>2.7702066733067698</v>
      </c>
      <c r="F37" s="116">
        <v>16.95</v>
      </c>
      <c r="G37">
        <v>589</v>
      </c>
      <c r="H37" s="116"/>
      <c r="I37" s="116"/>
      <c r="L37" s="170">
        <v>45631</v>
      </c>
      <c r="M37" s="116">
        <v>45.2302746566792</v>
      </c>
      <c r="N37" s="116">
        <v>46.958645443195998</v>
      </c>
      <c r="O37" s="116">
        <v>44.855337078651701</v>
      </c>
      <c r="P37" s="116">
        <v>46.638576779026202</v>
      </c>
      <c r="Q37" s="116">
        <v>49.46</v>
      </c>
      <c r="R37">
        <v>779101</v>
      </c>
    </row>
    <row r="38" spans="1:18" x14ac:dyDescent="0.25">
      <c r="A38" s="170">
        <v>42066</v>
      </c>
      <c r="B38" s="116">
        <v>3.2730494687915002</v>
      </c>
      <c r="C38" s="116">
        <v>3.2730494687915002</v>
      </c>
      <c r="D38" s="116">
        <v>3.2364790836653401</v>
      </c>
      <c r="E38" s="116">
        <v>3.2364790836653401</v>
      </c>
      <c r="F38" s="116">
        <v>17.899999999999999</v>
      </c>
      <c r="G38">
        <v>10</v>
      </c>
      <c r="H38" s="116"/>
      <c r="I38" s="116"/>
      <c r="L38" s="170">
        <v>45632</v>
      </c>
      <c r="M38" s="116">
        <v>45.129681647940103</v>
      </c>
      <c r="N38" s="116">
        <v>46.666011235955096</v>
      </c>
      <c r="O38" s="116">
        <v>44.580992509363298</v>
      </c>
      <c r="P38" s="116">
        <v>45.449750312109899</v>
      </c>
      <c r="Q38" s="116">
        <v>49.35</v>
      </c>
      <c r="R38">
        <v>904255</v>
      </c>
    </row>
    <row r="39" spans="1:18" x14ac:dyDescent="0.25">
      <c r="A39" s="170">
        <v>42067</v>
      </c>
      <c r="B39" s="116">
        <v>3.7210366865869902</v>
      </c>
      <c r="C39" s="116">
        <v>3.6387533200531199</v>
      </c>
      <c r="D39" s="116">
        <v>2.94391600265604</v>
      </c>
      <c r="E39" s="116">
        <v>2.94391600265604</v>
      </c>
      <c r="F39" s="116">
        <v>19.899999999999999</v>
      </c>
      <c r="G39">
        <v>2191</v>
      </c>
      <c r="H39" s="116"/>
      <c r="I39" s="116"/>
      <c r="L39" s="170">
        <v>45635</v>
      </c>
      <c r="M39" s="116">
        <v>46.025873907615498</v>
      </c>
      <c r="N39" s="116">
        <v>47.159831460674198</v>
      </c>
      <c r="O39" s="116">
        <v>44.965074906367001</v>
      </c>
      <c r="P39" s="116">
        <v>45.129681647940103</v>
      </c>
      <c r="Q39" s="116">
        <v>50.33</v>
      </c>
      <c r="R39">
        <v>1822019</v>
      </c>
    </row>
    <row r="40" spans="1:18" x14ac:dyDescent="0.25">
      <c r="A40" s="170">
        <v>42068</v>
      </c>
      <c r="B40" s="116">
        <v>3.5656125498007998</v>
      </c>
      <c r="C40" s="116">
        <v>3.4559013944223098</v>
      </c>
      <c r="D40" s="116">
        <v>3.19990869853918</v>
      </c>
      <c r="E40" s="116">
        <v>3.5656125498007998</v>
      </c>
      <c r="F40" s="116">
        <v>18.899999999999999</v>
      </c>
      <c r="G40">
        <v>2110</v>
      </c>
      <c r="H40" s="116"/>
      <c r="I40" s="116"/>
      <c r="L40" s="170">
        <v>45636</v>
      </c>
      <c r="M40" s="116">
        <v>44.8096129837703</v>
      </c>
      <c r="N40" s="116">
        <v>46.309363295880203</v>
      </c>
      <c r="O40" s="116">
        <v>43.401310861423198</v>
      </c>
      <c r="P40" s="116">
        <v>46.2544943820225</v>
      </c>
      <c r="Q40" s="116">
        <v>49</v>
      </c>
      <c r="R40">
        <v>1342250</v>
      </c>
    </row>
    <row r="41" spans="1:18" x14ac:dyDescent="0.25">
      <c r="A41" s="170">
        <v>42072</v>
      </c>
      <c r="B41" s="116">
        <v>3.3736180278884502</v>
      </c>
      <c r="C41" s="116">
        <v>3.19990869853918</v>
      </c>
      <c r="D41" s="116">
        <v>3.1633383134130102</v>
      </c>
      <c r="E41" s="116">
        <v>3.1633383134130102</v>
      </c>
      <c r="F41" s="116">
        <v>17.5</v>
      </c>
      <c r="G41">
        <v>210</v>
      </c>
      <c r="H41" s="116"/>
      <c r="I41" s="116"/>
      <c r="L41" s="170">
        <v>45637</v>
      </c>
      <c r="M41" s="116">
        <v>44.590137328339601</v>
      </c>
      <c r="N41" s="116">
        <v>45.495474406991299</v>
      </c>
      <c r="O41" s="116">
        <v>44.443820224719097</v>
      </c>
      <c r="P41" s="116">
        <v>44.901061173533101</v>
      </c>
      <c r="Q41" s="116">
        <v>48.76</v>
      </c>
      <c r="R41">
        <v>997960</v>
      </c>
    </row>
    <row r="42" spans="1:18" x14ac:dyDescent="0.25">
      <c r="A42" s="170">
        <v>42073</v>
      </c>
      <c r="B42" s="116">
        <v>3.3736180278884502</v>
      </c>
      <c r="C42" s="116">
        <v>3.3644754316069099</v>
      </c>
      <c r="D42" s="116">
        <v>3.1541957171314698</v>
      </c>
      <c r="E42" s="116">
        <v>3.3461902390438198</v>
      </c>
      <c r="F42" s="116">
        <v>18.399999999999999</v>
      </c>
      <c r="G42">
        <v>1485</v>
      </c>
      <c r="H42" s="116"/>
      <c r="I42" s="116"/>
      <c r="L42" s="170">
        <v>45638</v>
      </c>
      <c r="M42" s="116">
        <v>43.693945068664199</v>
      </c>
      <c r="N42" s="116">
        <v>45.065667915106097</v>
      </c>
      <c r="O42" s="116">
        <v>43.492759051185999</v>
      </c>
      <c r="P42" s="116">
        <v>44.699875156054901</v>
      </c>
      <c r="Q42" s="116">
        <v>47.78</v>
      </c>
      <c r="R42">
        <v>796888</v>
      </c>
    </row>
    <row r="43" spans="1:18" x14ac:dyDescent="0.25">
      <c r="A43" s="170">
        <v>42074</v>
      </c>
      <c r="B43" s="116">
        <v>3.4741865869853901</v>
      </c>
      <c r="C43" s="116">
        <v>3.4741865869853901</v>
      </c>
      <c r="D43" s="116">
        <v>3.1084827357237699</v>
      </c>
      <c r="E43" s="116">
        <v>3.4741865869853901</v>
      </c>
      <c r="F43" s="116">
        <v>19</v>
      </c>
      <c r="G43">
        <v>368</v>
      </c>
      <c r="H43" s="116"/>
      <c r="I43" s="116"/>
      <c r="L43" s="170">
        <v>45639</v>
      </c>
      <c r="M43" s="116">
        <v>45.413171036204702</v>
      </c>
      <c r="N43" s="116">
        <v>46.025873907615498</v>
      </c>
      <c r="O43" s="116">
        <v>42.8068976279651</v>
      </c>
      <c r="P43" s="116">
        <v>43.620786516853897</v>
      </c>
      <c r="Q43" s="116">
        <v>49.66</v>
      </c>
      <c r="R43">
        <v>1103207</v>
      </c>
    </row>
    <row r="44" spans="1:18" x14ac:dyDescent="0.25">
      <c r="A44" s="170">
        <v>42075</v>
      </c>
      <c r="B44" s="116">
        <v>3.5656125498007998</v>
      </c>
      <c r="C44" s="116">
        <v>3.5290421646746299</v>
      </c>
      <c r="D44" s="116">
        <v>3.24562167994688</v>
      </c>
      <c r="E44" s="116">
        <v>3.51989956839309</v>
      </c>
      <c r="F44" s="116">
        <v>19.3</v>
      </c>
      <c r="G44">
        <v>1839</v>
      </c>
      <c r="H44" s="116"/>
      <c r="I44" s="116"/>
      <c r="L44" s="170">
        <v>45642</v>
      </c>
      <c r="M44" s="116">
        <v>45.1845505617977</v>
      </c>
      <c r="N44" s="116">
        <v>47.086672908863903</v>
      </c>
      <c r="O44" s="116">
        <v>44.800468164793998</v>
      </c>
      <c r="P44" s="116">
        <v>45.678370786516901</v>
      </c>
      <c r="Q44" s="116">
        <v>49.41</v>
      </c>
      <c r="R44">
        <v>1499375</v>
      </c>
    </row>
    <row r="45" spans="1:18" x14ac:dyDescent="0.25">
      <c r="A45" s="170">
        <v>42076</v>
      </c>
      <c r="B45" s="116">
        <v>3.5290421646746299</v>
      </c>
      <c r="C45" s="116">
        <v>3.5290421646746299</v>
      </c>
      <c r="D45" s="116">
        <v>3.19990869853918</v>
      </c>
      <c r="E45" s="116">
        <v>3.29133466135458</v>
      </c>
      <c r="F45" s="116">
        <v>19.3</v>
      </c>
      <c r="G45">
        <v>1060</v>
      </c>
      <c r="H45" s="116"/>
      <c r="I45" s="116"/>
      <c r="L45" s="170">
        <v>45643</v>
      </c>
      <c r="M45" s="116">
        <v>44.727309612983802</v>
      </c>
      <c r="N45" s="116">
        <v>45.623501872659197</v>
      </c>
      <c r="O45" s="116">
        <v>44.4529650436954</v>
      </c>
      <c r="P45" s="116">
        <v>45.1205368289638</v>
      </c>
      <c r="Q45" s="116">
        <v>48.91</v>
      </c>
      <c r="R45">
        <v>642940</v>
      </c>
    </row>
    <row r="46" spans="1:18" x14ac:dyDescent="0.25">
      <c r="A46" s="170">
        <v>42079</v>
      </c>
      <c r="B46" s="116">
        <v>3.4741865869853901</v>
      </c>
      <c r="C46" s="116">
        <v>3.29133466135458</v>
      </c>
      <c r="D46" s="116">
        <v>3.1816235059761002</v>
      </c>
      <c r="E46" s="116">
        <v>3.29133466135458</v>
      </c>
      <c r="F46" s="116">
        <v>18</v>
      </c>
      <c r="G46">
        <v>858</v>
      </c>
      <c r="H46" s="116"/>
      <c r="I46" s="116"/>
      <c r="L46" s="170">
        <v>45644</v>
      </c>
      <c r="M46" s="116">
        <v>43.575062421972497</v>
      </c>
      <c r="N46" s="116">
        <v>45.166260923845201</v>
      </c>
      <c r="O46" s="116">
        <v>43.346441947565502</v>
      </c>
      <c r="P46" s="116">
        <v>44.8096129837703</v>
      </c>
      <c r="Q46" s="116">
        <v>47.65</v>
      </c>
      <c r="R46">
        <v>1020686</v>
      </c>
    </row>
    <row r="47" spans="1:18" x14ac:dyDescent="0.25">
      <c r="A47" s="170">
        <v>42081</v>
      </c>
      <c r="B47" s="116">
        <v>3.4741865869853901</v>
      </c>
      <c r="C47" s="116">
        <v>3.4284736055776901</v>
      </c>
      <c r="D47" s="116">
        <v>3.0261993691899098</v>
      </c>
      <c r="E47" s="116">
        <v>3.0261993691899098</v>
      </c>
      <c r="F47" s="116">
        <v>18.75</v>
      </c>
      <c r="G47">
        <v>810</v>
      </c>
      <c r="H47" s="116"/>
      <c r="I47" s="116"/>
      <c r="L47" s="170">
        <v>45645</v>
      </c>
      <c r="M47" s="116">
        <v>42.843476903870197</v>
      </c>
      <c r="N47" s="116">
        <v>43.181835205992499</v>
      </c>
      <c r="O47" s="116">
        <v>42.066167290886398</v>
      </c>
      <c r="P47" s="116">
        <v>42.203339575530599</v>
      </c>
      <c r="Q47" s="116">
        <v>46.85</v>
      </c>
      <c r="R47">
        <v>971303</v>
      </c>
    </row>
    <row r="48" spans="1:18" x14ac:dyDescent="0.25">
      <c r="A48" s="170">
        <v>42082</v>
      </c>
      <c r="B48" s="116">
        <v>3.7301792828685301</v>
      </c>
      <c r="C48" s="116">
        <v>3.5930403386454199</v>
      </c>
      <c r="D48" s="116">
        <v>3.1541957171314698</v>
      </c>
      <c r="E48" s="116">
        <v>3.29133466135458</v>
      </c>
      <c r="F48" s="116">
        <v>19.649999999999999</v>
      </c>
      <c r="G48">
        <v>1664</v>
      </c>
      <c r="H48" s="116"/>
      <c r="I48" s="116"/>
      <c r="L48" s="170">
        <v>45646</v>
      </c>
      <c r="M48" s="116">
        <v>41.864981273408198</v>
      </c>
      <c r="N48" s="116">
        <v>43.172690387016203</v>
      </c>
      <c r="O48" s="116">
        <v>41.380305867665399</v>
      </c>
      <c r="P48" s="116">
        <v>42.971504369538103</v>
      </c>
      <c r="Q48" s="116">
        <v>45.78</v>
      </c>
      <c r="R48">
        <v>1596661</v>
      </c>
    </row>
    <row r="49" spans="1:18" x14ac:dyDescent="0.25">
      <c r="A49" s="170">
        <v>42083</v>
      </c>
      <c r="B49" s="116">
        <v>3.6570385126162002</v>
      </c>
      <c r="C49" s="116">
        <v>3.6021829349269598</v>
      </c>
      <c r="D49" s="116">
        <v>3.24562167994688</v>
      </c>
      <c r="E49" s="116">
        <v>3.6570385126162002</v>
      </c>
      <c r="F49" s="116">
        <v>19.7</v>
      </c>
      <c r="G49">
        <v>669</v>
      </c>
      <c r="H49" s="116"/>
      <c r="I49" s="116"/>
      <c r="L49" s="170">
        <v>45649</v>
      </c>
      <c r="M49" s="116">
        <v>41.444319600499398</v>
      </c>
      <c r="N49" s="116">
        <v>43.264138576778997</v>
      </c>
      <c r="O49" s="116">
        <v>41.078526841448202</v>
      </c>
      <c r="P49" s="116">
        <v>42.514263420724099</v>
      </c>
      <c r="Q49" s="116">
        <v>45.32</v>
      </c>
      <c r="R49">
        <v>949439</v>
      </c>
    </row>
    <row r="50" spans="1:18" x14ac:dyDescent="0.25">
      <c r="A50" s="170">
        <v>42086</v>
      </c>
      <c r="B50" s="116">
        <v>3.7484644754316099</v>
      </c>
      <c r="C50" s="116">
        <v>3.4741865869853901</v>
      </c>
      <c r="D50" s="116">
        <v>3.29133466135458</v>
      </c>
      <c r="E50" s="116">
        <v>3.7484644754316099</v>
      </c>
      <c r="F50" s="116">
        <v>19</v>
      </c>
      <c r="G50">
        <v>112</v>
      </c>
      <c r="H50" s="116"/>
      <c r="I50" s="116"/>
      <c r="L50" s="170">
        <v>45650</v>
      </c>
      <c r="M50" s="116">
        <v>41.252278401997501</v>
      </c>
      <c r="N50" s="116">
        <v>42.3405118601748</v>
      </c>
      <c r="O50" s="116">
        <v>41.041947565543097</v>
      </c>
      <c r="P50" s="116">
        <v>41.197409488139797</v>
      </c>
      <c r="Q50" s="116">
        <v>45.11</v>
      </c>
      <c r="R50">
        <v>658127</v>
      </c>
    </row>
    <row r="51" spans="1:18" x14ac:dyDescent="0.25">
      <c r="A51" s="170">
        <v>42087</v>
      </c>
      <c r="B51" s="116">
        <v>3.7301792828685301</v>
      </c>
      <c r="C51" s="116">
        <v>3.67532370517928</v>
      </c>
      <c r="D51" s="116">
        <v>3.1541957171314698</v>
      </c>
      <c r="E51" s="116">
        <v>3.7301792828685301</v>
      </c>
      <c r="F51" s="116">
        <v>20.100000000000001</v>
      </c>
      <c r="G51">
        <v>3530</v>
      </c>
      <c r="H51" s="116"/>
      <c r="I51" s="116"/>
      <c r="L51" s="170">
        <v>45652</v>
      </c>
      <c r="M51" s="116">
        <v>40.767602996254702</v>
      </c>
      <c r="N51" s="116">
        <v>41.608926342072401</v>
      </c>
      <c r="O51" s="116">
        <v>40.648720349563099</v>
      </c>
      <c r="P51" s="116">
        <v>41.416885143570497</v>
      </c>
      <c r="Q51" s="116">
        <v>44.58</v>
      </c>
      <c r="R51">
        <v>644778</v>
      </c>
    </row>
    <row r="52" spans="1:18" x14ac:dyDescent="0.25">
      <c r="A52" s="170">
        <v>42088</v>
      </c>
      <c r="B52" s="116">
        <v>3.4741865869853901</v>
      </c>
      <c r="C52" s="116">
        <v>3.4741865869853901</v>
      </c>
      <c r="D52" s="116">
        <v>3.3096198539176598</v>
      </c>
      <c r="E52" s="116">
        <v>3.3096198539176598</v>
      </c>
      <c r="F52" s="116">
        <v>19</v>
      </c>
      <c r="G52">
        <v>619</v>
      </c>
      <c r="H52" s="116"/>
      <c r="I52" s="116"/>
      <c r="L52" s="170">
        <v>45653</v>
      </c>
      <c r="M52" s="116">
        <v>42.953214731585497</v>
      </c>
      <c r="N52" s="116">
        <v>43.849406991260899</v>
      </c>
      <c r="O52" s="116">
        <v>40.767602996254702</v>
      </c>
      <c r="P52" s="116">
        <v>40.767602996254702</v>
      </c>
      <c r="Q52" s="116">
        <v>46.97</v>
      </c>
      <c r="R52">
        <v>1005304</v>
      </c>
    </row>
    <row r="53" spans="1:18" x14ac:dyDescent="0.25">
      <c r="A53" s="170">
        <v>42089</v>
      </c>
      <c r="B53" s="116">
        <v>3.82160524568393</v>
      </c>
      <c r="C53" s="116">
        <v>3.4924717795484699</v>
      </c>
      <c r="D53" s="116">
        <v>3.4741865869853901</v>
      </c>
      <c r="E53" s="116">
        <v>3.4741865869853901</v>
      </c>
      <c r="F53" s="116">
        <v>19.100000000000001</v>
      </c>
      <c r="G53">
        <v>2868</v>
      </c>
      <c r="H53" s="116"/>
      <c r="I53" s="116"/>
      <c r="L53" s="170">
        <v>45656</v>
      </c>
      <c r="M53" s="116">
        <v>43.511048689138597</v>
      </c>
      <c r="N53" s="116">
        <v>45.266853932584297</v>
      </c>
      <c r="O53" s="116">
        <v>42.724594257178502</v>
      </c>
      <c r="P53" s="116">
        <v>42.980649188514398</v>
      </c>
      <c r="Q53" s="116">
        <v>47.58</v>
      </c>
      <c r="R53">
        <v>2026817</v>
      </c>
    </row>
    <row r="54" spans="1:18" x14ac:dyDescent="0.25">
      <c r="A54" s="170">
        <v>42090</v>
      </c>
      <c r="B54" s="116">
        <v>3.62961072377158</v>
      </c>
      <c r="C54" s="116">
        <v>3.3827606241699901</v>
      </c>
      <c r="D54" s="116">
        <v>3.1450531208499299</v>
      </c>
      <c r="E54" s="116">
        <v>3.29133466135458</v>
      </c>
      <c r="F54" s="116">
        <v>18.5</v>
      </c>
      <c r="G54">
        <v>5129</v>
      </c>
      <c r="H54" s="116"/>
      <c r="I54" s="116"/>
      <c r="L54" s="170">
        <v>45657</v>
      </c>
      <c r="M54" s="116">
        <v>45.239419475655403</v>
      </c>
      <c r="N54" s="116">
        <v>46.730024968789003</v>
      </c>
      <c r="O54" s="116">
        <v>42.843476903870197</v>
      </c>
      <c r="P54" s="116">
        <v>43.026373283395799</v>
      </c>
      <c r="Q54" s="116">
        <v>49.47</v>
      </c>
      <c r="R54">
        <v>2500153</v>
      </c>
    </row>
    <row r="55" spans="1:18" x14ac:dyDescent="0.25">
      <c r="A55" s="170">
        <v>42094</v>
      </c>
      <c r="B55" s="116">
        <v>3.5656125498007998</v>
      </c>
      <c r="C55" s="116">
        <v>3.5656125498007998</v>
      </c>
      <c r="D55" s="116">
        <v>3.0810549468791502</v>
      </c>
      <c r="E55" s="116">
        <v>3.0810549468791502</v>
      </c>
      <c r="F55" s="116">
        <v>19.5</v>
      </c>
      <c r="G55">
        <v>46</v>
      </c>
      <c r="H55" s="116"/>
      <c r="I55" s="116"/>
      <c r="L55" s="170">
        <v>45658</v>
      </c>
      <c r="M55" s="116">
        <v>45.138826466916399</v>
      </c>
      <c r="N55" s="116">
        <v>46.3642322097378</v>
      </c>
      <c r="O55" s="116">
        <v>44.818757802746603</v>
      </c>
      <c r="P55" s="116">
        <v>45.6326466916355</v>
      </c>
      <c r="Q55" s="116">
        <v>49.36</v>
      </c>
      <c r="R55">
        <v>1553967</v>
      </c>
    </row>
    <row r="56" spans="1:18" x14ac:dyDescent="0.25">
      <c r="A56" s="170">
        <v>42095</v>
      </c>
      <c r="B56" s="116">
        <v>3.8947460159362599</v>
      </c>
      <c r="C56" s="116">
        <v>3.51989956839309</v>
      </c>
      <c r="D56" s="116">
        <v>3.2090512948207199</v>
      </c>
      <c r="E56" s="116">
        <v>3.2090512948207199</v>
      </c>
      <c r="F56" s="116">
        <v>19.25</v>
      </c>
      <c r="G56">
        <v>7493</v>
      </c>
      <c r="H56" s="116"/>
      <c r="I56" s="116"/>
      <c r="L56" s="170">
        <v>45659</v>
      </c>
      <c r="M56" s="116">
        <v>49.519194756554299</v>
      </c>
      <c r="N56" s="116">
        <v>49.647222222222197</v>
      </c>
      <c r="O56" s="116">
        <v>44.992509363295902</v>
      </c>
      <c r="P56" s="116">
        <v>45.477184769038701</v>
      </c>
      <c r="Q56" s="116">
        <v>54.15</v>
      </c>
      <c r="R56">
        <v>7124895</v>
      </c>
    </row>
    <row r="57" spans="1:18" x14ac:dyDescent="0.25">
      <c r="A57" s="170">
        <v>42100</v>
      </c>
      <c r="B57" s="116">
        <v>3.7484644754316099</v>
      </c>
      <c r="C57" s="116">
        <v>3.54732735723772</v>
      </c>
      <c r="D57" s="116">
        <v>3.4741865869853901</v>
      </c>
      <c r="E57" s="116">
        <v>3.7484644754316099</v>
      </c>
      <c r="F57" s="116">
        <v>19.399999999999999</v>
      </c>
      <c r="G57">
        <v>561</v>
      </c>
      <c r="H57" s="116"/>
      <c r="I57" s="116"/>
      <c r="L57" s="170">
        <v>45660</v>
      </c>
      <c r="M57" s="116">
        <v>52.399812734082403</v>
      </c>
      <c r="N57" s="116">
        <v>53.862983770287101</v>
      </c>
      <c r="O57" s="116">
        <v>49.336298377028697</v>
      </c>
      <c r="P57" s="116">
        <v>49.473470661672899</v>
      </c>
      <c r="Q57" s="116">
        <v>57.3</v>
      </c>
      <c r="R57">
        <v>7775552</v>
      </c>
    </row>
    <row r="58" spans="1:18" x14ac:dyDescent="0.25">
      <c r="A58" s="170">
        <v>42101</v>
      </c>
      <c r="B58" s="116">
        <v>3.6570385126162002</v>
      </c>
      <c r="C58" s="116">
        <v>3.2090512948207199</v>
      </c>
      <c r="D58" s="116">
        <v>3.2090512948207199</v>
      </c>
      <c r="E58" s="116">
        <v>3.6570385126162002</v>
      </c>
      <c r="F58" s="116">
        <v>17.55</v>
      </c>
      <c r="G58">
        <v>202</v>
      </c>
      <c r="H58" s="116"/>
      <c r="I58" s="116"/>
      <c r="L58" s="170">
        <v>45663</v>
      </c>
      <c r="M58" s="116">
        <v>49.884987515605502</v>
      </c>
      <c r="N58" s="116">
        <v>54.804900124843897</v>
      </c>
      <c r="O58" s="116">
        <v>49.473470661672899</v>
      </c>
      <c r="P58" s="116">
        <v>53.030805243445698</v>
      </c>
      <c r="Q58" s="116">
        <v>54.55</v>
      </c>
      <c r="R58">
        <v>6176725</v>
      </c>
    </row>
    <row r="59" spans="1:18" x14ac:dyDescent="0.25">
      <c r="A59" s="170">
        <v>42102</v>
      </c>
      <c r="B59" s="116">
        <v>3.3736180278884502</v>
      </c>
      <c r="C59" s="116">
        <v>3.3461902390438198</v>
      </c>
      <c r="D59" s="116">
        <v>3.1541957171314698</v>
      </c>
      <c r="E59" s="116">
        <v>3.3096198539176598</v>
      </c>
      <c r="F59" s="116">
        <v>18.3</v>
      </c>
      <c r="G59">
        <v>2259</v>
      </c>
      <c r="H59" s="116"/>
      <c r="I59" s="116"/>
      <c r="L59" s="170">
        <v>45664</v>
      </c>
      <c r="M59" s="116">
        <v>54.34765917603</v>
      </c>
      <c r="N59" s="116">
        <v>54.585424469413198</v>
      </c>
      <c r="O59" s="116">
        <v>50.195911360799002</v>
      </c>
      <c r="P59" s="116">
        <v>50.195911360799002</v>
      </c>
      <c r="Q59" s="116">
        <v>59.43</v>
      </c>
      <c r="R59">
        <v>4107258</v>
      </c>
    </row>
    <row r="60" spans="1:18" x14ac:dyDescent="0.25">
      <c r="A60" s="170">
        <v>42103</v>
      </c>
      <c r="B60" s="116">
        <v>3.4284736055776901</v>
      </c>
      <c r="C60" s="116">
        <v>3.1633383134130102</v>
      </c>
      <c r="D60" s="116">
        <v>3.13591052456839</v>
      </c>
      <c r="E60" s="116">
        <v>3.3827606241699901</v>
      </c>
      <c r="F60" s="116">
        <v>17.3</v>
      </c>
      <c r="G60">
        <v>681</v>
      </c>
      <c r="H60" s="116"/>
      <c r="I60" s="116"/>
      <c r="L60" s="170">
        <v>45665</v>
      </c>
      <c r="M60" s="116">
        <v>53.286860174781502</v>
      </c>
      <c r="N60" s="116">
        <v>54.850624219725297</v>
      </c>
      <c r="O60" s="116">
        <v>52.399812734082403</v>
      </c>
      <c r="P60" s="116">
        <v>54.850624219725297</v>
      </c>
      <c r="Q60" s="116">
        <v>58.27</v>
      </c>
      <c r="R60">
        <v>2373126</v>
      </c>
    </row>
    <row r="61" spans="1:18" x14ac:dyDescent="0.25">
      <c r="A61" s="170">
        <v>42104</v>
      </c>
      <c r="B61" s="116">
        <v>3.3736180278884502</v>
      </c>
      <c r="C61" s="116">
        <v>3.29133466135458</v>
      </c>
      <c r="D61" s="116">
        <v>2.9530585989375799</v>
      </c>
      <c r="E61" s="116">
        <v>3.3736180278884502</v>
      </c>
      <c r="F61" s="116">
        <v>18</v>
      </c>
      <c r="G61">
        <v>5083</v>
      </c>
      <c r="H61" s="116"/>
      <c r="I61" s="116"/>
      <c r="L61" s="170">
        <v>45666</v>
      </c>
      <c r="M61" s="116">
        <v>52.646722846441897</v>
      </c>
      <c r="N61" s="116">
        <v>54.210486891385798</v>
      </c>
      <c r="O61" s="116">
        <v>51.915137328339597</v>
      </c>
      <c r="P61" s="116">
        <v>53.396598002496901</v>
      </c>
      <c r="Q61" s="116">
        <v>57.57</v>
      </c>
      <c r="R61">
        <v>3161640</v>
      </c>
    </row>
    <row r="62" spans="1:18" x14ac:dyDescent="0.25">
      <c r="A62" s="170">
        <v>42107</v>
      </c>
      <c r="B62" s="116">
        <v>3.6021829349269598</v>
      </c>
      <c r="C62" s="116">
        <v>3.4650439907038502</v>
      </c>
      <c r="D62" s="116">
        <v>3.1084827357237699</v>
      </c>
      <c r="E62" s="116">
        <v>3.6021829349269598</v>
      </c>
      <c r="F62" s="116">
        <v>18.95</v>
      </c>
      <c r="G62">
        <v>275</v>
      </c>
      <c r="H62" s="116"/>
      <c r="I62" s="116"/>
      <c r="L62" s="170">
        <v>45667</v>
      </c>
      <c r="M62" s="116">
        <v>52.2809300873908</v>
      </c>
      <c r="N62" s="116">
        <v>53.725811485643</v>
      </c>
      <c r="O62" s="116">
        <v>50.7446004993758</v>
      </c>
      <c r="P62" s="116">
        <v>52.491260923845203</v>
      </c>
      <c r="Q62" s="116">
        <v>57.17</v>
      </c>
      <c r="R62">
        <v>2113209</v>
      </c>
    </row>
    <row r="63" spans="1:18" x14ac:dyDescent="0.25">
      <c r="A63" s="170">
        <v>42109</v>
      </c>
      <c r="B63" s="116">
        <v>3.3370476427622799</v>
      </c>
      <c r="C63" s="116">
        <v>3.1541957171314698</v>
      </c>
      <c r="D63" s="116">
        <v>3.1267679282868501</v>
      </c>
      <c r="E63" s="116">
        <v>3.1907661022576401</v>
      </c>
      <c r="F63" s="116">
        <v>17.25</v>
      </c>
      <c r="G63">
        <v>5596</v>
      </c>
      <c r="H63" s="116"/>
      <c r="I63" s="116"/>
      <c r="L63" s="170">
        <v>45670</v>
      </c>
      <c r="M63" s="116">
        <v>48.641292134831502</v>
      </c>
      <c r="N63" s="116">
        <v>52.674157303370798</v>
      </c>
      <c r="O63" s="116">
        <v>47.516479400749098</v>
      </c>
      <c r="P63" s="116">
        <v>52.0797440699126</v>
      </c>
      <c r="Q63" s="116">
        <v>53.19</v>
      </c>
      <c r="R63">
        <v>4046488</v>
      </c>
    </row>
    <row r="64" spans="1:18" x14ac:dyDescent="0.25">
      <c r="A64" s="170">
        <v>42110</v>
      </c>
      <c r="B64" s="116">
        <v>3.2730494687915002</v>
      </c>
      <c r="C64" s="116">
        <v>3.2547642762284199</v>
      </c>
      <c r="D64" s="116">
        <v>3.1084827357237699</v>
      </c>
      <c r="E64" s="116">
        <v>3.2730494687915002</v>
      </c>
      <c r="F64" s="116">
        <v>17.8</v>
      </c>
      <c r="G64">
        <v>570</v>
      </c>
      <c r="H64" s="116"/>
      <c r="I64" s="116"/>
      <c r="L64" s="170">
        <v>45671</v>
      </c>
      <c r="M64" s="116">
        <v>49.107677902621703</v>
      </c>
      <c r="N64" s="116">
        <v>50.250780274656698</v>
      </c>
      <c r="O64" s="116">
        <v>48.001154806491897</v>
      </c>
      <c r="P64" s="116">
        <v>48.467540574282097</v>
      </c>
      <c r="Q64" s="116">
        <v>53.7</v>
      </c>
      <c r="R64">
        <v>2083750</v>
      </c>
    </row>
    <row r="65" spans="1:18" x14ac:dyDescent="0.25">
      <c r="A65" s="170">
        <v>42111</v>
      </c>
      <c r="B65" s="116">
        <v>3.2730494687915002</v>
      </c>
      <c r="C65" s="116">
        <v>3.2730494687915002</v>
      </c>
      <c r="D65" s="116">
        <v>3.1176253320053098</v>
      </c>
      <c r="E65" s="116">
        <v>3.2639068725099598</v>
      </c>
      <c r="F65" s="116">
        <v>17.899999999999999</v>
      </c>
      <c r="G65">
        <v>402</v>
      </c>
      <c r="H65" s="116"/>
      <c r="I65" s="116"/>
      <c r="L65" s="170">
        <v>45672</v>
      </c>
      <c r="M65" s="116">
        <v>49.647222222222197</v>
      </c>
      <c r="N65" s="116">
        <v>51.841978776529302</v>
      </c>
      <c r="O65" s="116">
        <v>48.979650436953797</v>
      </c>
      <c r="P65" s="116">
        <v>49.372877652933802</v>
      </c>
      <c r="Q65" s="116">
        <v>54.29</v>
      </c>
      <c r="R65">
        <v>1986286</v>
      </c>
    </row>
    <row r="66" spans="1:18" x14ac:dyDescent="0.25">
      <c r="A66" s="170">
        <v>42114</v>
      </c>
      <c r="B66" s="116">
        <v>3.2821920650730401</v>
      </c>
      <c r="C66" s="116">
        <v>3.2821920650730401</v>
      </c>
      <c r="D66" s="116">
        <v>3.1084827357237699</v>
      </c>
      <c r="E66" s="116">
        <v>3.1084827357237699</v>
      </c>
      <c r="F66" s="116">
        <v>17.95</v>
      </c>
      <c r="G66">
        <v>960</v>
      </c>
      <c r="H66" s="116"/>
      <c r="I66" s="116"/>
      <c r="L66" s="170">
        <v>45673</v>
      </c>
      <c r="M66" s="116">
        <v>50.2782147315855</v>
      </c>
      <c r="N66" s="116">
        <v>52.354088639201002</v>
      </c>
      <c r="O66" s="116">
        <v>50.022159800249703</v>
      </c>
      <c r="P66" s="116">
        <v>50.296504369538098</v>
      </c>
      <c r="Q66" s="116">
        <v>54.98</v>
      </c>
      <c r="R66">
        <v>1519098</v>
      </c>
    </row>
    <row r="67" spans="1:18" x14ac:dyDescent="0.25">
      <c r="A67" s="170">
        <v>42116</v>
      </c>
      <c r="B67" s="116">
        <v>3.4741865869853901</v>
      </c>
      <c r="C67" s="116">
        <v>3.29133466135458</v>
      </c>
      <c r="D67" s="116">
        <v>3.29133466135458</v>
      </c>
      <c r="E67" s="116">
        <v>3.4741865869853901</v>
      </c>
      <c r="F67" s="116">
        <v>18</v>
      </c>
      <c r="G67">
        <v>10</v>
      </c>
      <c r="H67" s="116"/>
      <c r="I67" s="116"/>
      <c r="L67" s="170">
        <v>45674</v>
      </c>
      <c r="M67" s="116">
        <v>51.1469725343321</v>
      </c>
      <c r="N67" s="116">
        <v>53.707521847690401</v>
      </c>
      <c r="O67" s="116">
        <v>50.031304619225999</v>
      </c>
      <c r="P67" s="116">
        <v>50.570848938826501</v>
      </c>
      <c r="Q67" s="116">
        <v>55.93</v>
      </c>
      <c r="R67">
        <v>2682853</v>
      </c>
    </row>
    <row r="68" spans="1:18" x14ac:dyDescent="0.25">
      <c r="A68" s="170">
        <v>42121</v>
      </c>
      <c r="B68" s="116">
        <v>3.29133466135458</v>
      </c>
      <c r="C68" s="116">
        <v>3.2639068725099598</v>
      </c>
      <c r="D68" s="116">
        <v>3.1267679282868501</v>
      </c>
      <c r="E68" s="116">
        <v>3.2821920650730401</v>
      </c>
      <c r="F68" s="116">
        <v>17.850000000000001</v>
      </c>
      <c r="G68">
        <v>23205</v>
      </c>
      <c r="H68" s="116"/>
      <c r="I68" s="116"/>
      <c r="L68" s="170">
        <v>45677</v>
      </c>
      <c r="M68" s="116">
        <v>53.250280898876397</v>
      </c>
      <c r="N68" s="116">
        <v>53.862983770287101</v>
      </c>
      <c r="O68" s="116">
        <v>50.067883895131096</v>
      </c>
      <c r="P68" s="116">
        <v>51.384737827715398</v>
      </c>
      <c r="Q68" s="116">
        <v>58.23</v>
      </c>
      <c r="R68">
        <v>2821897</v>
      </c>
    </row>
    <row r="69" spans="1:18" x14ac:dyDescent="0.25">
      <c r="A69" s="170">
        <v>42123</v>
      </c>
      <c r="B69" s="116">
        <v>3.3187624501992001</v>
      </c>
      <c r="C69" s="116">
        <v>3.3187624501992001</v>
      </c>
      <c r="D69" s="116">
        <v>3.29133466135458</v>
      </c>
      <c r="E69" s="116">
        <v>3.29133466135458</v>
      </c>
      <c r="F69" s="116">
        <v>18.149999999999999</v>
      </c>
      <c r="G69">
        <v>281</v>
      </c>
      <c r="H69" s="116"/>
      <c r="I69" s="116"/>
      <c r="L69" s="170">
        <v>45678</v>
      </c>
      <c r="M69" s="116">
        <v>54.338514357053697</v>
      </c>
      <c r="N69" s="116">
        <v>57.109394506866401</v>
      </c>
      <c r="O69" s="116">
        <v>53.314294631710403</v>
      </c>
      <c r="P69" s="116">
        <v>53.954431960049902</v>
      </c>
      <c r="Q69" s="116">
        <v>59.42</v>
      </c>
      <c r="R69">
        <v>8861247</v>
      </c>
    </row>
    <row r="70" spans="1:18" x14ac:dyDescent="0.25">
      <c r="A70" s="170">
        <v>42124</v>
      </c>
      <c r="B70" s="116">
        <v>3.29133466135458</v>
      </c>
      <c r="C70" s="116">
        <v>3.29133466135458</v>
      </c>
      <c r="D70" s="116">
        <v>2.9896289840637502</v>
      </c>
      <c r="E70" s="116">
        <v>3.0170567729083699</v>
      </c>
      <c r="F70" s="116">
        <v>18</v>
      </c>
      <c r="G70">
        <v>775</v>
      </c>
      <c r="H70" s="116"/>
      <c r="I70" s="116"/>
      <c r="L70" s="170">
        <v>45679</v>
      </c>
      <c r="M70" s="116">
        <v>56.780181023720402</v>
      </c>
      <c r="N70" s="116">
        <v>57.063670411985001</v>
      </c>
      <c r="O70" s="116">
        <v>53.497191011235998</v>
      </c>
      <c r="P70" s="116">
        <v>54.868913857677903</v>
      </c>
      <c r="Q70" s="116">
        <v>62.09</v>
      </c>
      <c r="R70">
        <v>5842726</v>
      </c>
    </row>
    <row r="71" spans="1:18" x14ac:dyDescent="0.25">
      <c r="A71" s="170">
        <v>42128</v>
      </c>
      <c r="B71" s="116">
        <v>3.3370476427622799</v>
      </c>
      <c r="C71" s="116">
        <v>3.32790504648074</v>
      </c>
      <c r="D71" s="116">
        <v>3.00791417662683</v>
      </c>
      <c r="E71" s="116">
        <v>3.3370476427622799</v>
      </c>
      <c r="F71" s="116">
        <v>18.2</v>
      </c>
      <c r="G71">
        <v>310</v>
      </c>
      <c r="H71" s="116"/>
      <c r="I71" s="116"/>
      <c r="L71" s="170">
        <v>45680</v>
      </c>
      <c r="M71" s="116">
        <v>55.426747815231003</v>
      </c>
      <c r="N71" s="116">
        <v>57.612359550561798</v>
      </c>
      <c r="O71" s="116">
        <v>54.960362047440697</v>
      </c>
      <c r="P71" s="116">
        <v>57.338014981273403</v>
      </c>
      <c r="Q71" s="116">
        <v>60.61</v>
      </c>
      <c r="R71">
        <v>2700448</v>
      </c>
    </row>
    <row r="72" spans="1:18" x14ac:dyDescent="0.25">
      <c r="A72" s="170">
        <v>42130</v>
      </c>
      <c r="B72" s="116">
        <v>3.3187624501992001</v>
      </c>
      <c r="C72" s="116">
        <v>3.29133466135458</v>
      </c>
      <c r="D72" s="116">
        <v>3.2364790836653401</v>
      </c>
      <c r="E72" s="116">
        <v>3.2821920650730401</v>
      </c>
      <c r="F72" s="116">
        <v>18</v>
      </c>
      <c r="G72">
        <v>23204</v>
      </c>
      <c r="H72" s="116"/>
      <c r="I72" s="116"/>
      <c r="L72" s="170">
        <v>45681</v>
      </c>
      <c r="M72" s="116">
        <v>54.265355805243502</v>
      </c>
      <c r="N72" s="116">
        <v>56.844194756554302</v>
      </c>
      <c r="O72" s="116">
        <v>53.734956304619203</v>
      </c>
      <c r="P72" s="116">
        <v>55.646223470661702</v>
      </c>
      <c r="Q72" s="116">
        <v>59.34</v>
      </c>
      <c r="R72">
        <v>2960192</v>
      </c>
    </row>
    <row r="73" spans="1:18" x14ac:dyDescent="0.25">
      <c r="A73" s="170">
        <v>42131</v>
      </c>
      <c r="B73" s="116">
        <v>3.2821920650730401</v>
      </c>
      <c r="C73" s="116">
        <v>3.2821920650730401</v>
      </c>
      <c r="D73" s="116">
        <v>2.9347734063745001</v>
      </c>
      <c r="E73" s="116">
        <v>2.9347734063745001</v>
      </c>
      <c r="F73" s="116">
        <v>17.95</v>
      </c>
      <c r="G73">
        <v>185</v>
      </c>
      <c r="H73" s="116"/>
      <c r="I73" s="116"/>
      <c r="L73" s="170">
        <v>45684</v>
      </c>
      <c r="M73" s="116">
        <v>50.845193508114903</v>
      </c>
      <c r="N73" s="116">
        <v>53.305149812734101</v>
      </c>
      <c r="O73" s="116">
        <v>49.994725343320901</v>
      </c>
      <c r="P73" s="116">
        <v>53.140543071160998</v>
      </c>
      <c r="Q73" s="116">
        <v>55.6</v>
      </c>
      <c r="R73">
        <v>3749034</v>
      </c>
    </row>
    <row r="74" spans="1:18" x14ac:dyDescent="0.25">
      <c r="A74" s="170">
        <v>42135</v>
      </c>
      <c r="B74" s="116">
        <v>3.3096198539176598</v>
      </c>
      <c r="C74" s="116">
        <v>2.9256308100929602</v>
      </c>
      <c r="D74" s="116">
        <v>2.6879233067729098</v>
      </c>
      <c r="E74" s="116">
        <v>2.6879233067729098</v>
      </c>
      <c r="F74" s="116">
        <v>16</v>
      </c>
      <c r="G74">
        <v>523</v>
      </c>
      <c r="H74" s="116"/>
      <c r="I74" s="116"/>
      <c r="L74" s="170">
        <v>45685</v>
      </c>
      <c r="M74" s="116">
        <v>49.729525593008702</v>
      </c>
      <c r="N74" s="116">
        <v>51.713951310861397</v>
      </c>
      <c r="O74" s="116">
        <v>47.827403245942598</v>
      </c>
      <c r="P74" s="116">
        <v>51.576779026217203</v>
      </c>
      <c r="Q74" s="116">
        <v>54.38</v>
      </c>
      <c r="R74">
        <v>2783909</v>
      </c>
    </row>
    <row r="75" spans="1:18" x14ac:dyDescent="0.25">
      <c r="A75" s="170">
        <v>42136</v>
      </c>
      <c r="B75" s="116">
        <v>3.3461902390438198</v>
      </c>
      <c r="C75" s="116">
        <v>3.3461902390438198</v>
      </c>
      <c r="D75" s="116">
        <v>3.3461902390438198</v>
      </c>
      <c r="E75" s="116">
        <v>3.3461902390438198</v>
      </c>
      <c r="F75" s="116">
        <v>18.3</v>
      </c>
      <c r="G75">
        <v>20</v>
      </c>
      <c r="H75" s="116"/>
      <c r="I75" s="116"/>
      <c r="L75" s="170">
        <v>45686</v>
      </c>
      <c r="M75" s="116">
        <v>52.0340199750312</v>
      </c>
      <c r="N75" s="116">
        <v>52.399812734082403</v>
      </c>
      <c r="O75" s="116">
        <v>50.077028714107399</v>
      </c>
      <c r="P75" s="116">
        <v>50.470255930087397</v>
      </c>
      <c r="Q75" s="116">
        <v>56.9</v>
      </c>
      <c r="R75">
        <v>2812767</v>
      </c>
    </row>
    <row r="76" spans="1:18" x14ac:dyDescent="0.25">
      <c r="A76" s="170">
        <v>42137</v>
      </c>
      <c r="B76" s="116">
        <v>3.2547642762284199</v>
      </c>
      <c r="C76" s="116">
        <v>3.1816235059761002</v>
      </c>
      <c r="D76" s="116">
        <v>2.7610640770252299</v>
      </c>
      <c r="E76" s="116">
        <v>2.7610640770252299</v>
      </c>
      <c r="F76" s="116">
        <v>17.399999999999999</v>
      </c>
      <c r="G76">
        <v>1196</v>
      </c>
      <c r="H76" s="116"/>
      <c r="I76" s="116"/>
      <c r="L76" s="170">
        <v>45687</v>
      </c>
      <c r="M76" s="116">
        <v>51.037234706616701</v>
      </c>
      <c r="N76" s="116">
        <v>52.747315855181</v>
      </c>
      <c r="O76" s="116">
        <v>50.570848938826501</v>
      </c>
      <c r="P76" s="116">
        <v>51.686516853932602</v>
      </c>
      <c r="Q76" s="116">
        <v>55.81</v>
      </c>
      <c r="R76">
        <v>2007736</v>
      </c>
    </row>
    <row r="77" spans="1:18" x14ac:dyDescent="0.25">
      <c r="A77" s="170">
        <v>42138</v>
      </c>
      <c r="B77" s="116">
        <v>3.2821920650730401</v>
      </c>
      <c r="C77" s="116">
        <v>3.1907661022576401</v>
      </c>
      <c r="D77" s="116">
        <v>2.6787807104913699</v>
      </c>
      <c r="E77" s="116">
        <v>3.2821920650730401</v>
      </c>
      <c r="F77" s="116">
        <v>17.45</v>
      </c>
      <c r="G77">
        <v>4375</v>
      </c>
      <c r="H77" s="116"/>
      <c r="I77" s="116"/>
      <c r="L77" s="170">
        <v>45688</v>
      </c>
      <c r="M77" s="116">
        <v>51.238420724094901</v>
      </c>
      <c r="N77" s="116">
        <v>52.0340199750312</v>
      </c>
      <c r="O77" s="116">
        <v>50.762890137328299</v>
      </c>
      <c r="P77" s="116">
        <v>51.064669163545602</v>
      </c>
      <c r="Q77" s="116">
        <v>56.03</v>
      </c>
      <c r="R77">
        <v>948193</v>
      </c>
    </row>
    <row r="78" spans="1:18" x14ac:dyDescent="0.25">
      <c r="A78" s="170">
        <v>42139</v>
      </c>
      <c r="B78" s="116">
        <v>3.2364790836653401</v>
      </c>
      <c r="C78" s="116">
        <v>3.2273364873838002</v>
      </c>
      <c r="D78" s="116">
        <v>2.9256308100929602</v>
      </c>
      <c r="E78" s="116">
        <v>2.9347734063745001</v>
      </c>
      <c r="F78" s="116">
        <v>17.649999999999999</v>
      </c>
      <c r="G78">
        <v>2461</v>
      </c>
      <c r="H78" s="116"/>
      <c r="I78" s="116"/>
      <c r="L78" s="170">
        <v>45689</v>
      </c>
      <c r="M78" s="116">
        <v>49.2997191011236</v>
      </c>
      <c r="N78" s="116">
        <v>51.832833957553099</v>
      </c>
      <c r="O78" s="116">
        <v>48.467540574282097</v>
      </c>
      <c r="P78" s="116">
        <v>50.762890137328299</v>
      </c>
      <c r="Q78" s="116">
        <v>53.91</v>
      </c>
      <c r="R78">
        <v>2410724</v>
      </c>
    </row>
    <row r="79" spans="1:18" x14ac:dyDescent="0.25">
      <c r="A79" s="170">
        <v>42142</v>
      </c>
      <c r="B79" s="116">
        <v>2.94391600265604</v>
      </c>
      <c r="C79" s="116">
        <v>2.94391600265604</v>
      </c>
      <c r="D79" s="116">
        <v>2.94391600265604</v>
      </c>
      <c r="E79" s="116">
        <v>2.94391600265604</v>
      </c>
      <c r="F79" s="116">
        <v>16.100000000000001</v>
      </c>
      <c r="G79">
        <v>250</v>
      </c>
      <c r="H79" s="116"/>
      <c r="I79" s="116"/>
      <c r="L79" s="170">
        <v>45691</v>
      </c>
      <c r="M79" s="116">
        <v>47.735955056179797</v>
      </c>
      <c r="N79" s="116">
        <v>49.6563670411985</v>
      </c>
      <c r="O79" s="116">
        <v>46.400811485642897</v>
      </c>
      <c r="P79" s="116">
        <v>49.382022471910098</v>
      </c>
      <c r="Q79" s="116">
        <v>52.2</v>
      </c>
      <c r="R79">
        <v>2082535</v>
      </c>
    </row>
    <row r="80" spans="1:18" x14ac:dyDescent="0.25">
      <c r="A80" s="170">
        <v>42143</v>
      </c>
      <c r="B80" s="116">
        <v>3.1907661022576401</v>
      </c>
      <c r="C80" s="116">
        <v>3.1450531208499299</v>
      </c>
      <c r="D80" s="116">
        <v>3.1450531208499299</v>
      </c>
      <c r="E80" s="116">
        <v>3.1907661022576401</v>
      </c>
      <c r="F80" s="116">
        <v>17.2</v>
      </c>
      <c r="G80">
        <v>4</v>
      </c>
      <c r="H80" s="116"/>
      <c r="I80" s="116"/>
      <c r="L80" s="170">
        <v>45692</v>
      </c>
      <c r="M80" s="116">
        <v>47.790823970037501</v>
      </c>
      <c r="N80" s="116">
        <v>48.687016229712903</v>
      </c>
      <c r="O80" s="116">
        <v>47.114107365792798</v>
      </c>
      <c r="P80" s="116">
        <v>47.946285892634201</v>
      </c>
      <c r="Q80" s="116">
        <v>52.26</v>
      </c>
      <c r="R80">
        <v>1610306</v>
      </c>
    </row>
    <row r="81" spans="1:18" x14ac:dyDescent="0.25">
      <c r="A81" s="170">
        <v>42145</v>
      </c>
      <c r="B81" s="116">
        <v>3.2364790836653401</v>
      </c>
      <c r="C81" s="116">
        <v>3.2364790836653401</v>
      </c>
      <c r="D81" s="116">
        <v>3.2364790836653401</v>
      </c>
      <c r="E81" s="116">
        <v>3.2364790836653401</v>
      </c>
      <c r="F81" s="116">
        <v>17.7</v>
      </c>
      <c r="G81">
        <v>180</v>
      </c>
      <c r="H81" s="116"/>
      <c r="I81" s="116"/>
      <c r="L81" s="170">
        <v>45693</v>
      </c>
      <c r="M81" s="116">
        <v>47.909706616729103</v>
      </c>
      <c r="N81" s="116">
        <v>49.290574282147297</v>
      </c>
      <c r="O81" s="116">
        <v>47.607927590511899</v>
      </c>
      <c r="P81" s="116">
        <v>48.129182272159802</v>
      </c>
      <c r="Q81" s="116">
        <v>52.39</v>
      </c>
      <c r="R81">
        <v>996831</v>
      </c>
    </row>
    <row r="82" spans="1:18" x14ac:dyDescent="0.25">
      <c r="A82" s="170">
        <v>42146</v>
      </c>
      <c r="B82" s="116">
        <v>3.2547642762284199</v>
      </c>
      <c r="C82" s="116">
        <v>3.2547642762284199</v>
      </c>
      <c r="D82" s="116">
        <v>3.2547642762284199</v>
      </c>
      <c r="E82" s="116">
        <v>3.2547642762284199</v>
      </c>
      <c r="F82" s="116">
        <v>17.8</v>
      </c>
      <c r="G82">
        <v>1500</v>
      </c>
      <c r="H82" s="116"/>
      <c r="I82" s="116"/>
      <c r="L82" s="170">
        <v>45694</v>
      </c>
      <c r="M82" s="116">
        <v>48.0560237203496</v>
      </c>
      <c r="N82" s="116">
        <v>49.839263420724102</v>
      </c>
      <c r="O82" s="116">
        <v>47.781679151061198</v>
      </c>
      <c r="P82" s="116">
        <v>48.284644194756602</v>
      </c>
      <c r="Q82" s="116">
        <v>52.55</v>
      </c>
      <c r="R82">
        <v>1404207</v>
      </c>
    </row>
    <row r="83" spans="1:18" x14ac:dyDescent="0.25">
      <c r="A83" s="170">
        <v>42149</v>
      </c>
      <c r="B83" s="116">
        <v>3.1816235059761002</v>
      </c>
      <c r="C83" s="116">
        <v>3.1450531208499299</v>
      </c>
      <c r="D83" s="116">
        <v>3.09934013944223</v>
      </c>
      <c r="E83" s="116">
        <v>3.1816235059761002</v>
      </c>
      <c r="F83" s="116">
        <v>17.2</v>
      </c>
      <c r="G83">
        <v>20000</v>
      </c>
      <c r="H83" s="116"/>
      <c r="I83" s="116"/>
      <c r="L83" s="170">
        <v>45695</v>
      </c>
      <c r="M83" s="116">
        <v>46.894631710361999</v>
      </c>
      <c r="N83" s="116">
        <v>48.385237203495599</v>
      </c>
      <c r="O83" s="116">
        <v>46.638576779026202</v>
      </c>
      <c r="P83" s="116">
        <v>48.357802746566797</v>
      </c>
      <c r="Q83" s="116">
        <v>51.28</v>
      </c>
      <c r="R83">
        <v>1989916</v>
      </c>
    </row>
    <row r="84" spans="1:18" x14ac:dyDescent="0.25">
      <c r="A84" s="170">
        <v>42151</v>
      </c>
      <c r="B84" s="116">
        <v>3.1084827357237699</v>
      </c>
      <c r="C84" s="116">
        <v>3.1084827357237699</v>
      </c>
      <c r="D84" s="116">
        <v>2.7427788844621501</v>
      </c>
      <c r="E84" s="116">
        <v>2.7702066733067698</v>
      </c>
      <c r="F84" s="116">
        <v>17</v>
      </c>
      <c r="G84">
        <v>264</v>
      </c>
      <c r="H84" s="116"/>
      <c r="I84" s="116"/>
      <c r="L84" s="170">
        <v>45698</v>
      </c>
      <c r="M84" s="116">
        <v>46.080742821473201</v>
      </c>
      <c r="N84" s="116">
        <v>47.681086142322101</v>
      </c>
      <c r="O84" s="116">
        <v>45.083957553058703</v>
      </c>
      <c r="P84" s="116">
        <v>46.656866416978801</v>
      </c>
      <c r="Q84" s="116">
        <v>50.39</v>
      </c>
      <c r="R84">
        <v>2284255</v>
      </c>
    </row>
    <row r="85" spans="1:18" x14ac:dyDescent="0.25">
      <c r="A85" s="170">
        <v>42152</v>
      </c>
      <c r="B85" s="116">
        <v>3.0444845617529901</v>
      </c>
      <c r="C85" s="116">
        <v>3.0444845617529901</v>
      </c>
      <c r="D85" s="116">
        <v>2.5142139774236401</v>
      </c>
      <c r="E85" s="116">
        <v>2.7702066733067698</v>
      </c>
      <c r="F85" s="116">
        <v>16.649999999999999</v>
      </c>
      <c r="G85">
        <v>120</v>
      </c>
      <c r="H85" s="116"/>
      <c r="I85" s="116"/>
      <c r="L85" s="170">
        <v>45699</v>
      </c>
      <c r="M85" s="116">
        <v>44.242634207240997</v>
      </c>
      <c r="N85" s="116">
        <v>46.446535580524298</v>
      </c>
      <c r="O85" s="116">
        <v>44.169475655430702</v>
      </c>
      <c r="P85" s="116">
        <v>46.044163545567997</v>
      </c>
      <c r="Q85" s="116">
        <v>48.38</v>
      </c>
      <c r="R85">
        <v>1349815</v>
      </c>
    </row>
    <row r="86" spans="1:18" x14ac:dyDescent="0.25">
      <c r="A86" s="170">
        <v>42153</v>
      </c>
      <c r="B86" s="116">
        <v>3.00791417662683</v>
      </c>
      <c r="C86" s="116">
        <v>2.9256308100929602</v>
      </c>
      <c r="D86" s="116">
        <v>2.7427788844621501</v>
      </c>
      <c r="E86" s="116">
        <v>2.7702066733067698</v>
      </c>
      <c r="F86" s="116">
        <v>16</v>
      </c>
      <c r="G86">
        <v>178</v>
      </c>
      <c r="H86" s="116"/>
      <c r="I86" s="116"/>
      <c r="L86" s="170">
        <v>45700</v>
      </c>
      <c r="M86" s="116">
        <v>43.968289637952601</v>
      </c>
      <c r="N86" s="116">
        <v>45.211985018726601</v>
      </c>
      <c r="O86" s="116">
        <v>42.331367041198497</v>
      </c>
      <c r="P86" s="116">
        <v>44.352372034956304</v>
      </c>
      <c r="Q86" s="116">
        <v>48.08</v>
      </c>
      <c r="R86">
        <v>3135173</v>
      </c>
    </row>
    <row r="87" spans="1:18" x14ac:dyDescent="0.25">
      <c r="A87" s="170">
        <v>42156</v>
      </c>
      <c r="B87" s="116">
        <v>3.2639068725099598</v>
      </c>
      <c r="C87" s="116">
        <v>2.5416417662682602</v>
      </c>
      <c r="D87" s="116">
        <v>2.3405046480743699</v>
      </c>
      <c r="E87" s="116">
        <v>3.2639068725099598</v>
      </c>
      <c r="F87" s="116">
        <v>13.9</v>
      </c>
      <c r="G87">
        <v>55</v>
      </c>
      <c r="H87" s="116"/>
      <c r="I87" s="116"/>
      <c r="L87" s="170">
        <v>45701</v>
      </c>
      <c r="M87" s="116">
        <v>45.916136079900099</v>
      </c>
      <c r="N87" s="116">
        <v>47.415886392010002</v>
      </c>
      <c r="O87" s="116">
        <v>43.355586766541798</v>
      </c>
      <c r="P87" s="116">
        <v>43.8951310861423</v>
      </c>
      <c r="Q87" s="116">
        <v>50.21</v>
      </c>
      <c r="R87">
        <v>3729601</v>
      </c>
    </row>
    <row r="88" spans="1:18" x14ac:dyDescent="0.25">
      <c r="A88" s="170">
        <v>42157</v>
      </c>
      <c r="B88" s="116">
        <v>3.0444845617529901</v>
      </c>
      <c r="C88" s="116">
        <v>3.0261993691899098</v>
      </c>
      <c r="D88" s="116">
        <v>3.0170567729083699</v>
      </c>
      <c r="E88" s="116">
        <v>3.0444845617529901</v>
      </c>
      <c r="F88" s="116">
        <v>16.55</v>
      </c>
      <c r="G88">
        <v>1491</v>
      </c>
      <c r="H88" s="116"/>
      <c r="I88" s="116"/>
      <c r="L88" s="170">
        <v>45702</v>
      </c>
      <c r="M88" s="116">
        <v>42.239918851435696</v>
      </c>
      <c r="N88" s="116">
        <v>44.544413233458201</v>
      </c>
      <c r="O88" s="116">
        <v>39.779962546816499</v>
      </c>
      <c r="P88" s="116">
        <v>44.544413233458201</v>
      </c>
      <c r="Q88" s="116">
        <v>46.19</v>
      </c>
      <c r="R88">
        <v>4318973</v>
      </c>
    </row>
    <row r="89" spans="1:18" x14ac:dyDescent="0.25">
      <c r="A89" s="170">
        <v>42158</v>
      </c>
      <c r="B89" s="116">
        <v>3.1084827357237699</v>
      </c>
      <c r="C89" s="116">
        <v>2.9896289840637502</v>
      </c>
      <c r="D89" s="116">
        <v>2.4685009960159401</v>
      </c>
      <c r="E89" s="116">
        <v>3.1084827357237699</v>
      </c>
      <c r="F89" s="116">
        <v>16.350000000000001</v>
      </c>
      <c r="G89">
        <v>333</v>
      </c>
      <c r="H89" s="116"/>
      <c r="I89" s="116"/>
      <c r="L89" s="170">
        <v>45705</v>
      </c>
      <c r="M89" s="116">
        <v>40.8499063670412</v>
      </c>
      <c r="N89" s="116">
        <v>43.328152309613003</v>
      </c>
      <c r="O89" s="116">
        <v>40.712734082396999</v>
      </c>
      <c r="P89" s="116">
        <v>42.157615480649199</v>
      </c>
      <c r="Q89" s="116">
        <v>44.67</v>
      </c>
      <c r="R89">
        <v>2787318</v>
      </c>
    </row>
    <row r="90" spans="1:18" x14ac:dyDescent="0.25">
      <c r="A90" s="170">
        <v>42159</v>
      </c>
      <c r="B90" s="116">
        <v>2.9804863877822001</v>
      </c>
      <c r="C90" s="116">
        <v>2.9804863877822001</v>
      </c>
      <c r="D90" s="116">
        <v>2.7884918658698501</v>
      </c>
      <c r="E90" s="116">
        <v>2.7884918658698501</v>
      </c>
      <c r="F90" s="116">
        <v>16.3</v>
      </c>
      <c r="G90">
        <v>101</v>
      </c>
      <c r="H90" s="116"/>
      <c r="I90" s="116"/>
      <c r="L90" s="170">
        <v>45706</v>
      </c>
      <c r="M90" s="116">
        <v>41.663795255930097</v>
      </c>
      <c r="N90" s="116">
        <v>42.980649188514398</v>
      </c>
      <c r="O90" s="116">
        <v>39.999438202247198</v>
      </c>
      <c r="P90" s="116">
        <v>40.785892634207201</v>
      </c>
      <c r="Q90" s="116">
        <v>45.56</v>
      </c>
      <c r="R90">
        <v>2470149</v>
      </c>
    </row>
    <row r="91" spans="1:18" x14ac:dyDescent="0.25">
      <c r="A91" s="170">
        <v>42160</v>
      </c>
      <c r="B91" s="116">
        <v>3.19990869853918</v>
      </c>
      <c r="C91" s="116">
        <v>2.4319306108897698</v>
      </c>
      <c r="D91" s="116">
        <v>2.4319306108897698</v>
      </c>
      <c r="E91" s="116">
        <v>3.19990869853918</v>
      </c>
      <c r="F91" s="116">
        <v>13.3</v>
      </c>
      <c r="G91">
        <v>14</v>
      </c>
      <c r="H91" s="116"/>
      <c r="I91" s="116"/>
      <c r="L91" s="170">
        <v>45707</v>
      </c>
      <c r="M91" s="116">
        <v>45.312578027465698</v>
      </c>
      <c r="N91" s="116">
        <v>45.724094881398301</v>
      </c>
      <c r="O91" s="116">
        <v>41.462609238451897</v>
      </c>
      <c r="P91" s="116">
        <v>41.928995006242197</v>
      </c>
      <c r="Q91" s="116">
        <v>49.55</v>
      </c>
      <c r="R91">
        <v>5185185</v>
      </c>
    </row>
    <row r="92" spans="1:18" x14ac:dyDescent="0.25">
      <c r="A92" s="170">
        <v>42163</v>
      </c>
      <c r="B92" s="116">
        <v>2.9164882138114199</v>
      </c>
      <c r="C92" s="116">
        <v>2.1850805112881799</v>
      </c>
      <c r="D92" s="116">
        <v>1.9748007968127499</v>
      </c>
      <c r="E92" s="116">
        <v>2.4502158034528598</v>
      </c>
      <c r="F92" s="116">
        <v>11.95</v>
      </c>
      <c r="G92">
        <v>22281</v>
      </c>
      <c r="H92" s="116"/>
      <c r="I92" s="116"/>
      <c r="L92" s="170">
        <v>45708</v>
      </c>
      <c r="M92" s="116">
        <v>46.647721598002498</v>
      </c>
      <c r="N92" s="116">
        <v>47.8548377028714</v>
      </c>
      <c r="O92" s="116">
        <v>44.224344569288398</v>
      </c>
      <c r="P92" s="116">
        <v>45.358302122347098</v>
      </c>
      <c r="Q92" s="116">
        <v>51.01</v>
      </c>
      <c r="R92">
        <v>1831992</v>
      </c>
    </row>
    <row r="93" spans="1:18" x14ac:dyDescent="0.25">
      <c r="A93" s="170">
        <v>42164</v>
      </c>
      <c r="B93" s="116">
        <v>2.5964973439575001</v>
      </c>
      <c r="C93" s="116">
        <v>2.3953602257636102</v>
      </c>
      <c r="D93" s="116">
        <v>1.83766185258964</v>
      </c>
      <c r="E93" s="116">
        <v>2.4319306108897698</v>
      </c>
      <c r="F93" s="116">
        <v>13.1</v>
      </c>
      <c r="G93">
        <v>3840</v>
      </c>
      <c r="H93" s="116"/>
      <c r="I93" s="116"/>
      <c r="L93" s="170">
        <v>45709</v>
      </c>
      <c r="M93" s="116">
        <v>45.468039950062398</v>
      </c>
      <c r="N93" s="116">
        <v>48.1657615480649</v>
      </c>
      <c r="O93" s="116">
        <v>44.078027465667901</v>
      </c>
      <c r="P93" s="116">
        <v>46.464825218476904</v>
      </c>
      <c r="Q93" s="116">
        <v>49.72</v>
      </c>
      <c r="R93">
        <v>1934335</v>
      </c>
    </row>
    <row r="94" spans="1:18" x14ac:dyDescent="0.25">
      <c r="A94" s="170">
        <v>42165</v>
      </c>
      <c r="B94" s="116">
        <v>2.8707752324037199</v>
      </c>
      <c r="C94" s="116">
        <v>2.8707752324037199</v>
      </c>
      <c r="D94" s="116">
        <v>2.79763446215139</v>
      </c>
      <c r="E94" s="116">
        <v>2.8707752324037199</v>
      </c>
      <c r="F94" s="116">
        <v>15.7</v>
      </c>
      <c r="G94">
        <v>3961</v>
      </c>
      <c r="H94" s="116"/>
      <c r="I94" s="116"/>
      <c r="L94" s="170">
        <v>45712</v>
      </c>
      <c r="M94" s="116">
        <v>43.337297128589299</v>
      </c>
      <c r="N94" s="116">
        <v>45.129681647940103</v>
      </c>
      <c r="O94" s="116">
        <v>43.035518102372002</v>
      </c>
      <c r="P94" s="116">
        <v>44.8096129837703</v>
      </c>
      <c r="Q94" s="116">
        <v>47.39</v>
      </c>
      <c r="R94">
        <v>777406</v>
      </c>
    </row>
    <row r="95" spans="1:18" x14ac:dyDescent="0.25">
      <c r="A95" s="170">
        <v>42166</v>
      </c>
      <c r="B95" s="116">
        <v>3.43761620185923</v>
      </c>
      <c r="C95" s="116">
        <v>2.9713437915006602</v>
      </c>
      <c r="D95" s="116">
        <v>2.55992695883134</v>
      </c>
      <c r="E95" s="116">
        <v>3.4284736055776901</v>
      </c>
      <c r="F95" s="116">
        <v>16.25</v>
      </c>
      <c r="G95">
        <v>2295</v>
      </c>
      <c r="H95" s="116"/>
      <c r="I95" s="116"/>
      <c r="L95" s="170">
        <v>45713</v>
      </c>
      <c r="M95" s="116">
        <v>42.733739076154798</v>
      </c>
      <c r="N95" s="116">
        <v>44.004868913857699</v>
      </c>
      <c r="O95" s="116">
        <v>42.523408239700402</v>
      </c>
      <c r="P95" s="116">
        <v>43.337297128589299</v>
      </c>
      <c r="Q95" s="116">
        <v>46.73</v>
      </c>
      <c r="R95">
        <v>559586</v>
      </c>
    </row>
    <row r="96" spans="1:18" x14ac:dyDescent="0.25">
      <c r="A96" s="170">
        <v>42167</v>
      </c>
      <c r="B96" s="116">
        <v>2.9804863877822001</v>
      </c>
      <c r="C96" s="116">
        <v>2.4593583997344002</v>
      </c>
      <c r="D96" s="116">
        <v>2.3770750332005299</v>
      </c>
      <c r="E96" s="116">
        <v>2.4959287848605598</v>
      </c>
      <c r="F96" s="116">
        <v>13.45</v>
      </c>
      <c r="G96">
        <v>2820</v>
      </c>
      <c r="H96" s="116"/>
      <c r="I96" s="116"/>
      <c r="L96" s="170">
        <v>45715</v>
      </c>
      <c r="M96" s="116">
        <v>41.526622971285903</v>
      </c>
      <c r="N96" s="116">
        <v>43.575062421972497</v>
      </c>
      <c r="O96" s="116">
        <v>41.151685393258397</v>
      </c>
      <c r="P96" s="116">
        <v>42.669725343320799</v>
      </c>
      <c r="Q96" s="116">
        <v>45.41</v>
      </c>
      <c r="R96">
        <v>1859473</v>
      </c>
    </row>
    <row r="97" spans="1:18" x14ac:dyDescent="0.25">
      <c r="A97" s="170">
        <v>42170</v>
      </c>
      <c r="B97" s="116">
        <v>2.5142139774236401</v>
      </c>
      <c r="C97" s="116">
        <v>2.5050713811421002</v>
      </c>
      <c r="D97" s="116">
        <v>2.5050713811421002</v>
      </c>
      <c r="E97" s="116">
        <v>2.5050713811421002</v>
      </c>
      <c r="F97" s="116">
        <v>13.7</v>
      </c>
      <c r="G97">
        <v>300</v>
      </c>
      <c r="H97" s="116"/>
      <c r="I97" s="116"/>
      <c r="L97" s="170">
        <v>45716</v>
      </c>
      <c r="M97" s="116">
        <v>41.298002496878901</v>
      </c>
      <c r="N97" s="116">
        <v>42.468539325842698</v>
      </c>
      <c r="O97" s="116">
        <v>38.920349563046202</v>
      </c>
      <c r="P97" s="116">
        <v>41.060237203495603</v>
      </c>
      <c r="Q97" s="116">
        <v>45.16</v>
      </c>
      <c r="R97">
        <v>9207562</v>
      </c>
    </row>
    <row r="98" spans="1:18" x14ac:dyDescent="0.25">
      <c r="A98" s="170">
        <v>42171</v>
      </c>
      <c r="B98" s="116">
        <v>2.2307934926958799</v>
      </c>
      <c r="C98" s="116">
        <v>2.2307934926958799</v>
      </c>
      <c r="D98" s="116">
        <v>2.2307934926958799</v>
      </c>
      <c r="E98" s="116">
        <v>2.2307934926958799</v>
      </c>
      <c r="F98" s="116">
        <v>12.2</v>
      </c>
      <c r="G98">
        <v>50</v>
      </c>
      <c r="H98" s="116"/>
      <c r="I98" s="116"/>
      <c r="L98" s="170">
        <v>45719</v>
      </c>
      <c r="M98" s="116">
        <v>37.466323345817699</v>
      </c>
      <c r="N98" s="116">
        <v>42.267353308364498</v>
      </c>
      <c r="O98" s="116">
        <v>36.963358302122401</v>
      </c>
      <c r="P98" s="116">
        <v>41.526622971285903</v>
      </c>
      <c r="Q98" s="116">
        <v>40.97</v>
      </c>
      <c r="R98">
        <v>2620268</v>
      </c>
    </row>
    <row r="99" spans="1:18" x14ac:dyDescent="0.25">
      <c r="A99" s="170">
        <v>42172</v>
      </c>
      <c r="B99" s="116">
        <v>2.6604955179282901</v>
      </c>
      <c r="C99" s="116">
        <v>2.6513529216467502</v>
      </c>
      <c r="D99" s="116">
        <v>2.6147825365205799</v>
      </c>
      <c r="E99" s="116">
        <v>2.6604955179282901</v>
      </c>
      <c r="F99" s="116">
        <v>14.5</v>
      </c>
      <c r="G99">
        <v>254</v>
      </c>
      <c r="H99" s="116"/>
      <c r="I99" s="116"/>
      <c r="L99" s="170">
        <v>45720</v>
      </c>
      <c r="M99" s="116">
        <v>38.362515605493101</v>
      </c>
      <c r="N99" s="116">
        <v>40.410955056179802</v>
      </c>
      <c r="O99" s="116">
        <v>36.990792759051203</v>
      </c>
      <c r="P99" s="116">
        <v>37.4937578027466</v>
      </c>
      <c r="Q99" s="116">
        <v>41.95</v>
      </c>
      <c r="R99">
        <v>1711786</v>
      </c>
    </row>
    <row r="100" spans="1:18" x14ac:dyDescent="0.25">
      <c r="A100" s="170">
        <v>42173</v>
      </c>
      <c r="B100" s="116">
        <v>2.52335657370518</v>
      </c>
      <c r="C100" s="116">
        <v>2.3405046480743699</v>
      </c>
      <c r="D100" s="116">
        <v>2.3222194555112901</v>
      </c>
      <c r="E100" s="116">
        <v>2.33136205179283</v>
      </c>
      <c r="F100" s="116">
        <v>12.8</v>
      </c>
      <c r="G100">
        <v>14303</v>
      </c>
      <c r="H100" s="116"/>
      <c r="I100" s="116"/>
      <c r="L100" s="170">
        <v>45721</v>
      </c>
      <c r="M100" s="116">
        <v>39.953714107365798</v>
      </c>
      <c r="N100" s="116">
        <v>40.6944444444444</v>
      </c>
      <c r="O100" s="116">
        <v>38.609425717852702</v>
      </c>
      <c r="P100" s="116">
        <v>38.956928838951299</v>
      </c>
      <c r="Q100" s="116">
        <v>43.69</v>
      </c>
      <c r="R100">
        <v>1993027</v>
      </c>
    </row>
    <row r="101" spans="1:18" x14ac:dyDescent="0.25">
      <c r="A101" s="170">
        <v>42174</v>
      </c>
      <c r="B101" s="116">
        <v>2.5507843625498001</v>
      </c>
      <c r="C101" s="116">
        <v>2.3405046480743699</v>
      </c>
      <c r="D101" s="116">
        <v>2.1576527224435602</v>
      </c>
      <c r="E101" s="116">
        <v>2.1576527224435602</v>
      </c>
      <c r="F101" s="116">
        <v>12.8</v>
      </c>
      <c r="G101">
        <v>1483</v>
      </c>
      <c r="H101" s="116"/>
      <c r="I101" s="116"/>
      <c r="L101" s="170">
        <v>45722</v>
      </c>
      <c r="M101" s="116">
        <v>39.130680399500598</v>
      </c>
      <c r="N101" s="116">
        <v>41.151685393258397</v>
      </c>
      <c r="O101" s="116">
        <v>38.865480649188498</v>
      </c>
      <c r="P101" s="116">
        <v>40.557272159800199</v>
      </c>
      <c r="Q101" s="116">
        <v>42.79</v>
      </c>
      <c r="R101">
        <v>2316411</v>
      </c>
    </row>
    <row r="102" spans="1:18" x14ac:dyDescent="0.25">
      <c r="A102" s="170">
        <v>42177</v>
      </c>
      <c r="B102" s="116">
        <v>2.6970659030544502</v>
      </c>
      <c r="C102" s="116">
        <v>2.6330677290836699</v>
      </c>
      <c r="D102" s="116">
        <v>2.1485101261620199</v>
      </c>
      <c r="E102" s="116">
        <v>2.1485101261620199</v>
      </c>
      <c r="F102" s="116">
        <v>14.4</v>
      </c>
      <c r="G102">
        <v>3459</v>
      </c>
      <c r="H102" s="116"/>
      <c r="I102" s="116"/>
      <c r="L102" s="170">
        <v>45723</v>
      </c>
      <c r="M102" s="116">
        <v>40.392665418227203</v>
      </c>
      <c r="N102" s="116">
        <v>41.416885143570497</v>
      </c>
      <c r="O102" s="116">
        <v>39.441604244694098</v>
      </c>
      <c r="P102" s="116">
        <v>39.597066167290897</v>
      </c>
      <c r="Q102" s="116">
        <v>44.17</v>
      </c>
      <c r="R102">
        <v>1681565</v>
      </c>
    </row>
    <row r="103" spans="1:18" x14ac:dyDescent="0.25">
      <c r="A103" s="170">
        <v>42178</v>
      </c>
      <c r="B103" s="116">
        <v>2.9164882138114199</v>
      </c>
      <c r="C103" s="116">
        <v>2.8250622509960199</v>
      </c>
      <c r="D103" s="116">
        <v>2.8250622509960199</v>
      </c>
      <c r="E103" s="116">
        <v>2.9164882138114199</v>
      </c>
      <c r="F103" s="116">
        <v>15.45</v>
      </c>
      <c r="G103">
        <v>9</v>
      </c>
      <c r="H103" s="116"/>
      <c r="I103" s="116"/>
      <c r="L103" s="170">
        <v>45726</v>
      </c>
      <c r="M103" s="116">
        <v>38.755742821473198</v>
      </c>
      <c r="N103" s="116">
        <v>40.785892634207201</v>
      </c>
      <c r="O103" s="116">
        <v>38.280212234706603</v>
      </c>
      <c r="P103" s="116">
        <v>40.6944444444444</v>
      </c>
      <c r="Q103" s="116">
        <v>42.38</v>
      </c>
      <c r="R103">
        <v>1107422</v>
      </c>
    </row>
    <row r="104" spans="1:18" x14ac:dyDescent="0.25">
      <c r="A104" s="170">
        <v>42179</v>
      </c>
      <c r="B104" s="116">
        <v>2.3953602257636102</v>
      </c>
      <c r="C104" s="116">
        <v>2.2947916666666699</v>
      </c>
      <c r="D104" s="116">
        <v>2.2947916666666699</v>
      </c>
      <c r="E104" s="116">
        <v>2.3953602257636102</v>
      </c>
      <c r="F104" s="116">
        <v>12.55</v>
      </c>
      <c r="G104">
        <v>350</v>
      </c>
      <c r="H104" s="116"/>
      <c r="I104" s="116"/>
      <c r="L104" s="170">
        <v>45727</v>
      </c>
      <c r="M104" s="116">
        <v>37.905274656679197</v>
      </c>
      <c r="N104" s="116">
        <v>38.682584269662897</v>
      </c>
      <c r="O104" s="116">
        <v>36.963358302122401</v>
      </c>
      <c r="P104" s="116">
        <v>38.1796192259675</v>
      </c>
      <c r="Q104" s="116">
        <v>41.45</v>
      </c>
      <c r="R104">
        <v>1822981</v>
      </c>
    </row>
    <row r="105" spans="1:18" x14ac:dyDescent="0.25">
      <c r="A105" s="170">
        <v>42180</v>
      </c>
      <c r="B105" s="116">
        <v>2.6330677290836699</v>
      </c>
      <c r="C105" s="116">
        <v>2.5782121513944198</v>
      </c>
      <c r="D105" s="116">
        <v>2.1942231075697198</v>
      </c>
      <c r="E105" s="116">
        <v>2.6330677290836699</v>
      </c>
      <c r="F105" s="116">
        <v>14.1</v>
      </c>
      <c r="G105">
        <v>543</v>
      </c>
      <c r="H105" s="116"/>
      <c r="I105" s="116"/>
      <c r="L105" s="170">
        <v>45728</v>
      </c>
      <c r="M105" s="116">
        <v>37.594350811485597</v>
      </c>
      <c r="N105" s="116">
        <v>38.9386392009988</v>
      </c>
      <c r="O105" s="116">
        <v>37.036516853932604</v>
      </c>
      <c r="P105" s="116">
        <v>38.307646691635497</v>
      </c>
      <c r="Q105" s="116">
        <v>41.11</v>
      </c>
      <c r="R105">
        <v>905906</v>
      </c>
    </row>
    <row r="106" spans="1:18" x14ac:dyDescent="0.25">
      <c r="A106" s="170">
        <v>42181</v>
      </c>
      <c r="B106" s="116">
        <v>2.8524900398406401</v>
      </c>
      <c r="C106" s="116">
        <v>2.3953602257636102</v>
      </c>
      <c r="D106" s="116">
        <v>2.1302249335989401</v>
      </c>
      <c r="E106" s="116">
        <v>2.1302249335989401</v>
      </c>
      <c r="F106" s="116">
        <v>13.1</v>
      </c>
      <c r="G106">
        <v>356</v>
      </c>
      <c r="H106" s="116"/>
      <c r="I106" s="116"/>
      <c r="L106" s="170">
        <v>45729</v>
      </c>
      <c r="M106" s="116">
        <v>35.902559300873897</v>
      </c>
      <c r="N106" s="116">
        <v>37.941853932584301</v>
      </c>
      <c r="O106" s="116">
        <v>35.619069912609199</v>
      </c>
      <c r="P106" s="116">
        <v>37.768102372035003</v>
      </c>
      <c r="Q106" s="116">
        <v>39.26</v>
      </c>
      <c r="R106">
        <v>1396916</v>
      </c>
    </row>
    <row r="107" spans="1:18" x14ac:dyDescent="0.25">
      <c r="A107" s="170">
        <v>42184</v>
      </c>
      <c r="B107" s="116">
        <v>2.8707752324037199</v>
      </c>
      <c r="C107" s="116">
        <v>2.55992695883134</v>
      </c>
      <c r="D107" s="116">
        <v>2.1485101261620199</v>
      </c>
      <c r="E107" s="116">
        <v>2.8707752324037199</v>
      </c>
      <c r="F107" s="116">
        <v>14</v>
      </c>
      <c r="G107">
        <v>8975</v>
      </c>
      <c r="H107" s="116"/>
      <c r="I107" s="116"/>
      <c r="L107" s="170">
        <v>45733</v>
      </c>
      <c r="M107" s="116">
        <v>34.421098626716599</v>
      </c>
      <c r="N107" s="116">
        <v>37.045661672908899</v>
      </c>
      <c r="O107" s="116">
        <v>34.091885143570501</v>
      </c>
      <c r="P107" s="116">
        <v>36.304931335830197</v>
      </c>
      <c r="Q107" s="116">
        <v>37.64</v>
      </c>
      <c r="R107">
        <v>1013606</v>
      </c>
    </row>
    <row r="108" spans="1:18" x14ac:dyDescent="0.25">
      <c r="A108" s="170">
        <v>42185</v>
      </c>
      <c r="B108" s="116">
        <v>2.9256308100929602</v>
      </c>
      <c r="C108" s="116">
        <v>2.3770750332005299</v>
      </c>
      <c r="D108" s="116">
        <v>2.3770750332005299</v>
      </c>
      <c r="E108" s="116">
        <v>2.7427788844621501</v>
      </c>
      <c r="F108" s="116">
        <v>13</v>
      </c>
      <c r="G108">
        <v>3284</v>
      </c>
      <c r="H108" s="116"/>
      <c r="I108" s="116"/>
      <c r="L108" s="170">
        <v>45734</v>
      </c>
      <c r="M108" s="116">
        <v>37.576061173533098</v>
      </c>
      <c r="N108" s="116">
        <v>37.896129837702901</v>
      </c>
      <c r="O108" s="116">
        <v>34.933208489388299</v>
      </c>
      <c r="P108" s="116">
        <v>34.933208489388299</v>
      </c>
      <c r="Q108" s="116">
        <v>41.09</v>
      </c>
      <c r="R108">
        <v>2259730</v>
      </c>
    </row>
    <row r="109" spans="1:18" x14ac:dyDescent="0.25">
      <c r="A109" s="170">
        <v>42186</v>
      </c>
      <c r="B109" s="116">
        <v>2.6330677290836699</v>
      </c>
      <c r="C109" s="116">
        <v>2.4264450531208501</v>
      </c>
      <c r="D109" s="116">
        <v>2.13936752988048</v>
      </c>
      <c r="E109" s="116">
        <v>2.13936752988048</v>
      </c>
      <c r="F109" s="116">
        <v>13.27</v>
      </c>
      <c r="G109">
        <v>3501</v>
      </c>
      <c r="H109" s="116"/>
      <c r="I109" s="116"/>
      <c r="L109" s="170">
        <v>45735</v>
      </c>
      <c r="M109" s="116">
        <v>39.907990012484397</v>
      </c>
      <c r="N109" s="116">
        <v>40.237203495630503</v>
      </c>
      <c r="O109" s="116">
        <v>37.9601435705368</v>
      </c>
      <c r="P109" s="116">
        <v>38.2253433208489</v>
      </c>
      <c r="Q109" s="116">
        <v>43.64</v>
      </c>
      <c r="R109">
        <v>1413621</v>
      </c>
    </row>
    <row r="110" spans="1:18" x14ac:dyDescent="0.25">
      <c r="A110" s="170">
        <v>42187</v>
      </c>
      <c r="B110" s="116">
        <v>2.6330677290836699</v>
      </c>
      <c r="C110" s="116">
        <v>2.60563994023904</v>
      </c>
      <c r="D110" s="116">
        <v>2.4227880146082299</v>
      </c>
      <c r="E110" s="116">
        <v>2.4685009960159401</v>
      </c>
      <c r="F110" s="116">
        <v>14.25</v>
      </c>
      <c r="G110">
        <v>1029</v>
      </c>
      <c r="H110" s="116"/>
      <c r="I110" s="116"/>
      <c r="L110" s="170">
        <v>45736</v>
      </c>
      <c r="M110" s="116">
        <v>39.194694132334597</v>
      </c>
      <c r="N110" s="116">
        <v>41.288857677902598</v>
      </c>
      <c r="O110" s="116">
        <v>38.774032459425698</v>
      </c>
      <c r="P110" s="116">
        <v>40.548127340824003</v>
      </c>
      <c r="Q110" s="116">
        <v>42.86</v>
      </c>
      <c r="R110">
        <v>1936585</v>
      </c>
    </row>
    <row r="111" spans="1:18" x14ac:dyDescent="0.25">
      <c r="A111" s="170">
        <v>42188</v>
      </c>
      <c r="B111" s="116">
        <v>2.60563994023904</v>
      </c>
      <c r="C111" s="116">
        <v>2.42461653386454</v>
      </c>
      <c r="D111" s="116">
        <v>2.42461653386454</v>
      </c>
      <c r="E111" s="116">
        <v>2.60563994023904</v>
      </c>
      <c r="F111" s="116">
        <v>13.26</v>
      </c>
      <c r="G111">
        <v>16</v>
      </c>
      <c r="H111" s="116"/>
      <c r="I111" s="116"/>
      <c r="L111" s="170">
        <v>45737</v>
      </c>
      <c r="M111" s="116">
        <v>39.7159488139825</v>
      </c>
      <c r="N111" s="116">
        <v>40.703589263420703</v>
      </c>
      <c r="O111" s="116">
        <v>39.194694132334597</v>
      </c>
      <c r="P111" s="116">
        <v>39.322721598002502</v>
      </c>
      <c r="Q111" s="116">
        <v>43.43</v>
      </c>
      <c r="R111">
        <v>1644812</v>
      </c>
    </row>
    <row r="112" spans="1:18" x14ac:dyDescent="0.25">
      <c r="A112" s="170">
        <v>42191</v>
      </c>
      <c r="B112" s="116">
        <v>2.90734561752988</v>
      </c>
      <c r="C112" s="116">
        <v>2.72997924966799</v>
      </c>
      <c r="D112" s="116">
        <v>2.55992695883134</v>
      </c>
      <c r="E112" s="116">
        <v>2.90734561752988</v>
      </c>
      <c r="F112" s="116">
        <v>14.93</v>
      </c>
      <c r="G112">
        <v>73</v>
      </c>
      <c r="H112" s="116"/>
      <c r="I112" s="116"/>
      <c r="L112" s="170">
        <v>45740</v>
      </c>
      <c r="M112" s="116">
        <v>40.502403245942602</v>
      </c>
      <c r="N112" s="116">
        <v>41.151685393258397</v>
      </c>
      <c r="O112" s="116">
        <v>39.926279650437003</v>
      </c>
      <c r="P112" s="116">
        <v>40.054307116104901</v>
      </c>
      <c r="Q112" s="116">
        <v>44.29</v>
      </c>
      <c r="R112">
        <v>1518502</v>
      </c>
    </row>
    <row r="113" spans="1:18" x14ac:dyDescent="0.25">
      <c r="A113" s="170">
        <v>42192</v>
      </c>
      <c r="B113" s="116">
        <v>2.7427788844621501</v>
      </c>
      <c r="C113" s="116">
        <v>2.7427788844621501</v>
      </c>
      <c r="D113" s="116">
        <v>2.6970659030544502</v>
      </c>
      <c r="E113" s="116">
        <v>2.6970659030544502</v>
      </c>
      <c r="F113" s="116">
        <v>15</v>
      </c>
      <c r="G113">
        <v>100</v>
      </c>
      <c r="H113" s="116"/>
      <c r="I113" s="116"/>
      <c r="L113" s="170">
        <v>45741</v>
      </c>
      <c r="M113" s="116">
        <v>38.4722534332085</v>
      </c>
      <c r="N113" s="116">
        <v>41.371161048689103</v>
      </c>
      <c r="O113" s="116">
        <v>38.2253433208489</v>
      </c>
      <c r="P113" s="116">
        <v>41.0510923845194</v>
      </c>
      <c r="Q113" s="116">
        <v>42.07</v>
      </c>
      <c r="R113">
        <v>1209462</v>
      </c>
    </row>
    <row r="114" spans="1:18" x14ac:dyDescent="0.25">
      <c r="A114" s="170">
        <v>42194</v>
      </c>
      <c r="B114" s="116">
        <v>2.6513529216467502</v>
      </c>
      <c r="C114" s="116">
        <v>2.4794721115537799</v>
      </c>
      <c r="D114" s="116">
        <v>2.4794721115537799</v>
      </c>
      <c r="E114" s="116">
        <v>2.6513529216467502</v>
      </c>
      <c r="F114" s="116">
        <v>13.56</v>
      </c>
      <c r="G114">
        <v>1482</v>
      </c>
      <c r="H114" s="116"/>
      <c r="I114" s="116"/>
      <c r="L114" s="170">
        <v>45742</v>
      </c>
      <c r="M114" s="116">
        <v>38.143039950062402</v>
      </c>
      <c r="N114" s="116">
        <v>39.688514357053698</v>
      </c>
      <c r="O114" s="116">
        <v>37.768102372035003</v>
      </c>
      <c r="P114" s="116">
        <v>38.4265293383271</v>
      </c>
      <c r="Q114" s="116">
        <v>41.71</v>
      </c>
      <c r="R114">
        <v>1800070</v>
      </c>
    </row>
    <row r="115" spans="1:18" x14ac:dyDescent="0.25">
      <c r="A115" s="170">
        <v>42195</v>
      </c>
      <c r="B115" s="116">
        <v>2.4685009960159401</v>
      </c>
      <c r="C115" s="116">
        <v>2.4685009960159401</v>
      </c>
      <c r="D115" s="116">
        <v>2.4685009960159401</v>
      </c>
      <c r="E115" s="116">
        <v>2.4685009960159401</v>
      </c>
      <c r="F115" s="116">
        <v>13.5</v>
      </c>
      <c r="G115">
        <v>2</v>
      </c>
      <c r="H115" s="116"/>
      <c r="I115" s="116"/>
      <c r="L115" s="170">
        <v>45743</v>
      </c>
      <c r="M115" s="116">
        <v>40.420099875156097</v>
      </c>
      <c r="N115" s="116">
        <v>41.334581772783999</v>
      </c>
      <c r="O115" s="116">
        <v>37.950998751560498</v>
      </c>
      <c r="P115" s="116">
        <v>38.362515605493101</v>
      </c>
      <c r="Q115" s="116">
        <v>44.2</v>
      </c>
      <c r="R115">
        <v>3362391</v>
      </c>
    </row>
    <row r="116" spans="1:18" x14ac:dyDescent="0.25">
      <c r="A116" s="170">
        <v>42199</v>
      </c>
      <c r="B116" s="116">
        <v>2.7427788844621501</v>
      </c>
      <c r="C116" s="116">
        <v>2.7244936918990699</v>
      </c>
      <c r="D116" s="116">
        <v>2.3039342629482098</v>
      </c>
      <c r="E116" s="116">
        <v>2.3039342629482098</v>
      </c>
      <c r="F116" s="116">
        <v>14.9</v>
      </c>
      <c r="G116">
        <v>338</v>
      </c>
      <c r="H116" s="116"/>
      <c r="I116" s="116"/>
      <c r="L116" s="170">
        <v>45744</v>
      </c>
      <c r="M116" s="116">
        <v>40.703589263420703</v>
      </c>
      <c r="N116" s="116">
        <v>41.151685393258397</v>
      </c>
      <c r="O116" s="116">
        <v>39.322721598002502</v>
      </c>
      <c r="P116" s="116">
        <v>40.566416978776502</v>
      </c>
      <c r="Q116" s="116">
        <v>44.51</v>
      </c>
      <c r="R116">
        <v>1328998</v>
      </c>
    </row>
    <row r="117" spans="1:18" x14ac:dyDescent="0.25">
      <c r="A117" s="170">
        <v>42201</v>
      </c>
      <c r="B117" s="116">
        <v>2.7884918658698501</v>
      </c>
      <c r="C117" s="116">
        <v>2.4045028220451501</v>
      </c>
      <c r="D117" s="116">
        <v>2.4045028220451501</v>
      </c>
      <c r="E117" s="116">
        <v>2.4045028220451501</v>
      </c>
      <c r="F117" s="116">
        <v>13.15</v>
      </c>
      <c r="G117">
        <v>3</v>
      </c>
      <c r="H117" s="116"/>
      <c r="I117" s="116"/>
      <c r="L117" s="170">
        <v>45748</v>
      </c>
      <c r="M117" s="116">
        <v>42.285642946317097</v>
      </c>
      <c r="N117" s="116">
        <v>42.706304619226003</v>
      </c>
      <c r="O117" s="116">
        <v>39.825686641697899</v>
      </c>
      <c r="P117" s="116">
        <v>40.154900124843898</v>
      </c>
      <c r="Q117" s="116">
        <v>46.24</v>
      </c>
      <c r="R117">
        <v>2065775</v>
      </c>
    </row>
    <row r="118" spans="1:18" x14ac:dyDescent="0.25">
      <c r="A118" s="170">
        <v>42202</v>
      </c>
      <c r="B118" s="116">
        <v>2.55992695883134</v>
      </c>
      <c r="C118" s="116">
        <v>2.3862176294820698</v>
      </c>
      <c r="D118" s="116">
        <v>2.3862176294820698</v>
      </c>
      <c r="E118" s="116">
        <v>2.4045028220451501</v>
      </c>
      <c r="F118" s="116">
        <v>13.05</v>
      </c>
      <c r="G118">
        <v>1342</v>
      </c>
      <c r="H118" s="116"/>
      <c r="I118" s="116"/>
      <c r="L118" s="170">
        <v>45749</v>
      </c>
      <c r="M118" s="116">
        <v>44.151186017478203</v>
      </c>
      <c r="N118" s="116">
        <v>44.672440699126099</v>
      </c>
      <c r="O118" s="116">
        <v>41.654650436953801</v>
      </c>
      <c r="P118" s="116">
        <v>42.870911360798999</v>
      </c>
      <c r="Q118" s="116">
        <v>48.28</v>
      </c>
      <c r="R118">
        <v>2515332</v>
      </c>
    </row>
    <row r="119" spans="1:18" x14ac:dyDescent="0.25">
      <c r="A119" s="170">
        <v>42206</v>
      </c>
      <c r="B119" s="116">
        <v>2.7062084993359901</v>
      </c>
      <c r="C119" s="116">
        <v>2.5416417662682602</v>
      </c>
      <c r="D119" s="116">
        <v>2.3953602257636102</v>
      </c>
      <c r="E119" s="116">
        <v>2.7062084993359901</v>
      </c>
      <c r="F119" s="116">
        <v>13.9</v>
      </c>
      <c r="G119">
        <v>254</v>
      </c>
      <c r="H119" s="116"/>
      <c r="I119" s="116"/>
      <c r="L119" s="170">
        <v>45750</v>
      </c>
      <c r="M119" s="116">
        <v>46.419101123595503</v>
      </c>
      <c r="N119" s="116">
        <v>47.461610486891402</v>
      </c>
      <c r="O119" s="116">
        <v>43.437890137328303</v>
      </c>
      <c r="P119" s="116">
        <v>43.757958801498098</v>
      </c>
      <c r="Q119" s="116">
        <v>50.76</v>
      </c>
      <c r="R119">
        <v>2912900</v>
      </c>
    </row>
    <row r="120" spans="1:18" x14ac:dyDescent="0.25">
      <c r="A120" s="170">
        <v>42207</v>
      </c>
      <c r="B120" s="116">
        <v>2.4502158034528598</v>
      </c>
      <c r="C120" s="116">
        <v>2.3222194555112901</v>
      </c>
      <c r="D120" s="116">
        <v>2.28564907038513</v>
      </c>
      <c r="E120" s="116">
        <v>2.28564907038513</v>
      </c>
      <c r="F120" s="116">
        <v>12.7</v>
      </c>
      <c r="G120">
        <v>379</v>
      </c>
      <c r="H120" s="116"/>
      <c r="I120" s="116"/>
      <c r="L120" s="170">
        <v>45751</v>
      </c>
      <c r="M120" s="116">
        <v>45.468039950062398</v>
      </c>
      <c r="N120" s="116">
        <v>46.592852684144802</v>
      </c>
      <c r="O120" s="116">
        <v>44.388951310861401</v>
      </c>
      <c r="P120" s="116">
        <v>46.583707865168499</v>
      </c>
      <c r="Q120" s="116">
        <v>49.72</v>
      </c>
      <c r="R120">
        <v>1636259</v>
      </c>
    </row>
    <row r="121" spans="1:18" x14ac:dyDescent="0.25">
      <c r="A121" s="170">
        <v>42209</v>
      </c>
      <c r="B121" s="116">
        <v>2.2582212815405001</v>
      </c>
      <c r="C121" s="116">
        <v>2.1283964143426299</v>
      </c>
      <c r="D121" s="116">
        <v>2.0113711819389102</v>
      </c>
      <c r="E121" s="116">
        <v>2.2399360889774198</v>
      </c>
      <c r="F121" s="116">
        <v>11.64</v>
      </c>
      <c r="G121">
        <v>2013</v>
      </c>
      <c r="H121" s="116"/>
      <c r="I121" s="116"/>
      <c r="L121" s="170">
        <v>45754</v>
      </c>
      <c r="M121" s="116">
        <v>42.102746566791502</v>
      </c>
      <c r="N121" s="116">
        <v>42.980649188514398</v>
      </c>
      <c r="O121" s="116">
        <v>39.020942571785298</v>
      </c>
      <c r="P121" s="116">
        <v>39.688514357053698</v>
      </c>
      <c r="Q121" s="116">
        <v>46.04</v>
      </c>
      <c r="R121">
        <v>1950680</v>
      </c>
    </row>
    <row r="122" spans="1:18" x14ac:dyDescent="0.25">
      <c r="A122" s="170">
        <v>42214</v>
      </c>
      <c r="B122" s="116">
        <v>2.3770750332005299</v>
      </c>
      <c r="C122" s="116">
        <v>2.1923945883134102</v>
      </c>
      <c r="D122" s="116">
        <v>1.7041799468791501</v>
      </c>
      <c r="E122" s="116">
        <v>1.84863296812749</v>
      </c>
      <c r="F122" s="116">
        <v>11.99</v>
      </c>
      <c r="G122">
        <v>19769</v>
      </c>
      <c r="H122" s="116"/>
      <c r="I122" s="116"/>
      <c r="L122" s="170">
        <v>45755</v>
      </c>
      <c r="M122" s="116">
        <v>43.995724094881403</v>
      </c>
      <c r="N122" s="116">
        <v>45.029088639200999</v>
      </c>
      <c r="O122" s="116">
        <v>42.706304619226003</v>
      </c>
      <c r="P122" s="116">
        <v>42.797752808988797</v>
      </c>
      <c r="Q122" s="116">
        <v>48.11</v>
      </c>
      <c r="R122">
        <v>1798013</v>
      </c>
    </row>
    <row r="123" spans="1:18" x14ac:dyDescent="0.25">
      <c r="A123" s="170">
        <v>42215</v>
      </c>
      <c r="B123" s="116">
        <v>2.4685009960159401</v>
      </c>
      <c r="C123" s="116">
        <v>2.1119397410358598</v>
      </c>
      <c r="D123" s="116">
        <v>2.0113711819389102</v>
      </c>
      <c r="E123" s="116">
        <v>2.02965637450199</v>
      </c>
      <c r="F123" s="116">
        <v>11.55</v>
      </c>
      <c r="G123">
        <v>1575</v>
      </c>
      <c r="H123" s="116"/>
      <c r="I123" s="116"/>
      <c r="L123" s="170">
        <v>45756</v>
      </c>
      <c r="M123" s="116">
        <v>44.361516853932599</v>
      </c>
      <c r="N123" s="116">
        <v>45.449750312109899</v>
      </c>
      <c r="O123" s="116">
        <v>42.111891385767798</v>
      </c>
      <c r="P123" s="116">
        <v>43.8951310861423</v>
      </c>
      <c r="Q123" s="116">
        <v>48.51</v>
      </c>
      <c r="R123">
        <v>1441546</v>
      </c>
    </row>
    <row r="124" spans="1:18" x14ac:dyDescent="0.25">
      <c r="A124" s="170">
        <v>42216</v>
      </c>
      <c r="B124" s="116">
        <v>2.4593583997344002</v>
      </c>
      <c r="C124" s="116">
        <v>2.4319306108897698</v>
      </c>
      <c r="D124" s="116">
        <v>2.1119397410358598</v>
      </c>
      <c r="E124" s="116">
        <v>2.1119397410358598</v>
      </c>
      <c r="F124" s="116">
        <v>13.3</v>
      </c>
      <c r="G124">
        <v>360</v>
      </c>
      <c r="H124" s="116"/>
      <c r="I124" s="116"/>
      <c r="L124" s="170">
        <v>45758</v>
      </c>
      <c r="M124" s="116">
        <v>47.571348314606702</v>
      </c>
      <c r="N124" s="116">
        <v>48.0102996254682</v>
      </c>
      <c r="O124" s="116">
        <v>45.358302122347098</v>
      </c>
      <c r="P124" s="116">
        <v>45.623501872659197</v>
      </c>
      <c r="Q124" s="116">
        <v>52.02</v>
      </c>
      <c r="R124">
        <v>2878359</v>
      </c>
    </row>
    <row r="125" spans="1:18" x14ac:dyDescent="0.25">
      <c r="A125" s="170">
        <v>42219</v>
      </c>
      <c r="B125" s="116">
        <v>2.6422103253652098</v>
      </c>
      <c r="C125" s="116">
        <v>2.47764359229748</v>
      </c>
      <c r="D125" s="116">
        <v>2.1942231075697198</v>
      </c>
      <c r="E125" s="116">
        <v>2.1942231075697198</v>
      </c>
      <c r="F125" s="116">
        <v>13.55</v>
      </c>
      <c r="G125">
        <v>3113</v>
      </c>
      <c r="H125" s="116"/>
      <c r="I125" s="116"/>
      <c r="L125" s="170">
        <v>45762</v>
      </c>
      <c r="M125" s="116">
        <v>48.220630461922603</v>
      </c>
      <c r="N125" s="116">
        <v>49.199126092384503</v>
      </c>
      <c r="O125" s="116">
        <v>47.095817727840199</v>
      </c>
      <c r="P125" s="116">
        <v>48.001154806491897</v>
      </c>
      <c r="Q125" s="116">
        <v>52.73</v>
      </c>
      <c r="R125">
        <v>2631818</v>
      </c>
    </row>
    <row r="126" spans="1:18" x14ac:dyDescent="0.25">
      <c r="A126" s="170">
        <v>42220</v>
      </c>
      <c r="B126" s="116">
        <v>2.4685009960159401</v>
      </c>
      <c r="C126" s="116">
        <v>2.41364541832669</v>
      </c>
      <c r="D126" s="116">
        <v>2.1155967795484698</v>
      </c>
      <c r="E126" s="116">
        <v>2.1155967795484698</v>
      </c>
      <c r="F126" s="116">
        <v>13.2</v>
      </c>
      <c r="G126">
        <v>1388</v>
      </c>
      <c r="H126" s="116"/>
      <c r="I126" s="116"/>
      <c r="L126" s="170">
        <v>45763</v>
      </c>
      <c r="M126" s="116">
        <v>49.0345193508115</v>
      </c>
      <c r="N126" s="116">
        <v>49.382022471910098</v>
      </c>
      <c r="O126" s="116">
        <v>47.187265917603</v>
      </c>
      <c r="P126" s="116">
        <v>48.0560237203496</v>
      </c>
      <c r="Q126" s="116">
        <v>53.62</v>
      </c>
      <c r="R126">
        <v>2466956</v>
      </c>
    </row>
    <row r="127" spans="1:18" x14ac:dyDescent="0.25">
      <c r="A127" s="170">
        <v>42221</v>
      </c>
      <c r="B127" s="116">
        <v>2.4685009960159401</v>
      </c>
      <c r="C127" s="116">
        <v>2.41364541832669</v>
      </c>
      <c r="D127" s="116">
        <v>2.41364541832669</v>
      </c>
      <c r="E127" s="116">
        <v>2.41364541832669</v>
      </c>
      <c r="F127" s="116">
        <v>13.2</v>
      </c>
      <c r="G127">
        <v>802</v>
      </c>
      <c r="H127" s="116"/>
      <c r="I127" s="116"/>
      <c r="L127" s="170">
        <v>45764</v>
      </c>
      <c r="M127" s="116">
        <v>48.101747815231001</v>
      </c>
      <c r="N127" s="116">
        <v>49.116822721597998</v>
      </c>
      <c r="O127" s="116">
        <v>47.662796504369503</v>
      </c>
      <c r="P127" s="116">
        <v>48.924781523096101</v>
      </c>
      <c r="Q127" s="116">
        <v>52.6</v>
      </c>
      <c r="R127">
        <v>2599031</v>
      </c>
    </row>
    <row r="128" spans="1:18" x14ac:dyDescent="0.25">
      <c r="A128" s="170">
        <v>42222</v>
      </c>
      <c r="B128" s="116">
        <v>2.4685009960159401</v>
      </c>
      <c r="C128" s="116">
        <v>2.3770750332005299</v>
      </c>
      <c r="D128" s="116">
        <v>2.0845119521912401</v>
      </c>
      <c r="E128" s="116">
        <v>2.41364541832669</v>
      </c>
      <c r="F128" s="116">
        <v>13</v>
      </c>
      <c r="G128">
        <v>336</v>
      </c>
      <c r="H128" s="116"/>
      <c r="I128" s="116"/>
      <c r="L128" s="170">
        <v>45768</v>
      </c>
      <c r="M128" s="116">
        <v>48.430961298376999</v>
      </c>
      <c r="N128" s="116">
        <v>48.696161048689099</v>
      </c>
      <c r="O128" s="116">
        <v>47.863982521847703</v>
      </c>
      <c r="P128" s="116">
        <v>48.3669475655431</v>
      </c>
      <c r="Q128" s="116">
        <v>52.96</v>
      </c>
      <c r="R128">
        <v>1272599</v>
      </c>
    </row>
    <row r="129" spans="1:18" x14ac:dyDescent="0.25">
      <c r="A129" s="170">
        <v>42223</v>
      </c>
      <c r="B129" s="116">
        <v>2.3770750332005299</v>
      </c>
      <c r="C129" s="116">
        <v>2.22165089641434</v>
      </c>
      <c r="D129" s="116">
        <v>2.22165089641434</v>
      </c>
      <c r="E129" s="116">
        <v>2.3770750332005299</v>
      </c>
      <c r="F129" s="116">
        <v>12.15</v>
      </c>
      <c r="G129">
        <v>120</v>
      </c>
      <c r="H129" s="116"/>
      <c r="I129" s="116"/>
      <c r="L129" s="170">
        <v>45769</v>
      </c>
      <c r="M129" s="116">
        <v>50.223345817727797</v>
      </c>
      <c r="N129" s="116">
        <v>51.201841448189803</v>
      </c>
      <c r="O129" s="116">
        <v>48.687016229712903</v>
      </c>
      <c r="P129" s="116">
        <v>48.696161048689099</v>
      </c>
      <c r="Q129" s="116">
        <v>54.92</v>
      </c>
      <c r="R129">
        <v>5623628</v>
      </c>
    </row>
    <row r="130" spans="1:18" x14ac:dyDescent="0.25">
      <c r="A130" s="170">
        <v>42227</v>
      </c>
      <c r="B130" s="116">
        <v>2.6659810756972102</v>
      </c>
      <c r="C130" s="116">
        <v>2.5946688247012002</v>
      </c>
      <c r="D130" s="116">
        <v>2.1119397410358598</v>
      </c>
      <c r="E130" s="116">
        <v>2.1119397410358598</v>
      </c>
      <c r="F130" s="116">
        <v>14.19</v>
      </c>
      <c r="G130">
        <v>1378</v>
      </c>
      <c r="H130" s="116"/>
      <c r="I130" s="116"/>
      <c r="L130" s="170">
        <v>45770</v>
      </c>
      <c r="M130" s="116">
        <v>50.296504369538098</v>
      </c>
      <c r="N130" s="116">
        <v>51.110393258427003</v>
      </c>
      <c r="O130" s="116">
        <v>49.061953807740302</v>
      </c>
      <c r="P130" s="116">
        <v>50.387952559300899</v>
      </c>
      <c r="Q130" s="116">
        <v>55</v>
      </c>
      <c r="R130">
        <v>4848562</v>
      </c>
    </row>
    <row r="131" spans="1:18" x14ac:dyDescent="0.25">
      <c r="A131" s="170">
        <v>42228</v>
      </c>
      <c r="B131" s="116">
        <v>2.5416417662682602</v>
      </c>
      <c r="C131" s="116">
        <v>2.37890355245684</v>
      </c>
      <c r="D131" s="116">
        <v>2.2143368193891102</v>
      </c>
      <c r="E131" s="116">
        <v>2.2143368193891102</v>
      </c>
      <c r="F131" s="116">
        <v>13.01</v>
      </c>
      <c r="G131">
        <v>635</v>
      </c>
      <c r="H131" s="116"/>
      <c r="I131" s="116"/>
      <c r="L131" s="170">
        <v>45771</v>
      </c>
      <c r="M131" s="116">
        <v>50.2324906367041</v>
      </c>
      <c r="N131" s="116">
        <v>50.762890137328299</v>
      </c>
      <c r="O131" s="116">
        <v>49.308863920099903</v>
      </c>
      <c r="P131" s="116">
        <v>50.259925093633001</v>
      </c>
      <c r="Q131" s="116">
        <v>54.93</v>
      </c>
      <c r="R131">
        <v>1904837</v>
      </c>
    </row>
    <row r="132" spans="1:18" x14ac:dyDescent="0.25">
      <c r="A132" s="170">
        <v>42229</v>
      </c>
      <c r="B132" s="116">
        <v>2.55992695883134</v>
      </c>
      <c r="C132" s="116">
        <v>2.55992695883134</v>
      </c>
      <c r="D132" s="116">
        <v>1.9784578353253699</v>
      </c>
      <c r="E132" s="116">
        <v>2.22165089641434</v>
      </c>
      <c r="F132" s="116">
        <v>14</v>
      </c>
      <c r="G132">
        <v>4499</v>
      </c>
      <c r="H132" s="116"/>
      <c r="I132" s="116"/>
      <c r="L132" s="170">
        <v>45772</v>
      </c>
      <c r="M132" s="116">
        <v>48.513264669163497</v>
      </c>
      <c r="N132" s="116">
        <v>50.881772784020001</v>
      </c>
      <c r="O132" s="116">
        <v>46.647721598002498</v>
      </c>
      <c r="P132" s="116">
        <v>50.296504369538098</v>
      </c>
      <c r="Q132" s="116">
        <v>53.05</v>
      </c>
      <c r="R132">
        <v>10299391</v>
      </c>
    </row>
    <row r="133" spans="1:18" x14ac:dyDescent="0.25">
      <c r="A133" s="170">
        <v>42230</v>
      </c>
      <c r="B133" s="116">
        <v>2.5580984395750299</v>
      </c>
      <c r="C133" s="116">
        <v>2.21799385790173</v>
      </c>
      <c r="D133" s="116">
        <v>2.1777664342629501</v>
      </c>
      <c r="E133" s="116">
        <v>2.1777664342629501</v>
      </c>
      <c r="F133" s="116">
        <v>12.13</v>
      </c>
      <c r="G133">
        <v>5334</v>
      </c>
      <c r="H133" s="116"/>
      <c r="I133" s="116"/>
      <c r="L133" s="170">
        <v>45775</v>
      </c>
      <c r="M133" s="116">
        <v>47.992009987515601</v>
      </c>
      <c r="N133" s="116">
        <v>49.839263420724102</v>
      </c>
      <c r="O133" s="116">
        <v>47.196410736579303</v>
      </c>
      <c r="P133" s="116">
        <v>48.467540574282097</v>
      </c>
      <c r="Q133" s="116">
        <v>52.48</v>
      </c>
      <c r="R133">
        <v>1601430</v>
      </c>
    </row>
    <row r="134" spans="1:18" x14ac:dyDescent="0.25">
      <c r="A134" s="170">
        <v>42234</v>
      </c>
      <c r="B134" s="116">
        <v>2.1594812416998699</v>
      </c>
      <c r="C134" s="116">
        <v>2.1594812416998699</v>
      </c>
      <c r="D134" s="116">
        <v>2.1594812416998699</v>
      </c>
      <c r="E134" s="116">
        <v>2.1594812416998699</v>
      </c>
      <c r="F134" s="116">
        <v>11.81</v>
      </c>
      <c r="G134">
        <v>127</v>
      </c>
      <c r="H134" s="116"/>
      <c r="I134" s="116"/>
      <c r="L134" s="170">
        <v>45776</v>
      </c>
      <c r="M134" s="116">
        <v>47.141541822721599</v>
      </c>
      <c r="N134" s="116">
        <v>48.339513108614199</v>
      </c>
      <c r="O134" s="116">
        <v>46.867197253433197</v>
      </c>
      <c r="P134" s="116">
        <v>48.339513108614199</v>
      </c>
      <c r="Q134" s="116">
        <v>51.55</v>
      </c>
      <c r="R134">
        <v>1478532</v>
      </c>
    </row>
    <row r="135" spans="1:18" x14ac:dyDescent="0.25">
      <c r="A135" s="170">
        <v>42235</v>
      </c>
      <c r="B135" s="116">
        <v>2.1027971447543199</v>
      </c>
      <c r="C135" s="116">
        <v>2.1027971447543199</v>
      </c>
      <c r="D135" s="116">
        <v>2.1027971447543199</v>
      </c>
      <c r="E135" s="116">
        <v>2.1027971447543199</v>
      </c>
      <c r="F135" s="116">
        <v>11.5</v>
      </c>
      <c r="G135">
        <v>53</v>
      </c>
      <c r="H135" s="116"/>
      <c r="I135" s="116"/>
      <c r="L135" s="170">
        <v>45777</v>
      </c>
      <c r="M135" s="116">
        <v>46.6751560549313</v>
      </c>
      <c r="N135" s="116">
        <v>47.553058676654203</v>
      </c>
      <c r="O135" s="116">
        <v>45.906991260923803</v>
      </c>
      <c r="P135" s="116">
        <v>47.095817727840199</v>
      </c>
      <c r="Q135" s="116">
        <v>51.04</v>
      </c>
      <c r="R135">
        <v>2927537</v>
      </c>
    </row>
    <row r="136" spans="1:18" x14ac:dyDescent="0.25">
      <c r="A136" s="170">
        <v>42237</v>
      </c>
      <c r="B136" s="116">
        <v>2.52335657370518</v>
      </c>
      <c r="C136" s="116">
        <v>2.52335657370518</v>
      </c>
      <c r="D136" s="116">
        <v>1.8650896414342599</v>
      </c>
      <c r="E136" s="116">
        <v>1.88337483399734</v>
      </c>
      <c r="F136" s="116">
        <v>13.8</v>
      </c>
      <c r="G136">
        <v>3328</v>
      </c>
      <c r="H136" s="116"/>
      <c r="I136" s="116"/>
      <c r="L136" s="170">
        <v>45779</v>
      </c>
      <c r="M136" s="116">
        <v>46.885486891385803</v>
      </c>
      <c r="N136" s="116">
        <v>47.553058676654203</v>
      </c>
      <c r="O136" s="116">
        <v>45.760674157303399</v>
      </c>
      <c r="P136" s="116">
        <v>46.089887640449398</v>
      </c>
      <c r="Q136" s="116">
        <v>51.27</v>
      </c>
      <c r="R136">
        <v>1946606</v>
      </c>
    </row>
    <row r="137" spans="1:18" x14ac:dyDescent="0.25">
      <c r="A137" s="170">
        <v>42240</v>
      </c>
      <c r="B137" s="116">
        <v>3.00791417662683</v>
      </c>
      <c r="C137" s="116">
        <v>2.6531814409030501</v>
      </c>
      <c r="D137" s="116">
        <v>2.2143368193891102</v>
      </c>
      <c r="E137" s="116">
        <v>2.2143368193891102</v>
      </c>
      <c r="F137" s="116">
        <v>14.51</v>
      </c>
      <c r="G137">
        <v>9433</v>
      </c>
      <c r="H137" s="116"/>
      <c r="I137" s="116"/>
      <c r="L137" s="170">
        <v>45782</v>
      </c>
      <c r="M137" s="116">
        <v>46.839762796504402</v>
      </c>
      <c r="N137" s="116">
        <v>47.095817727840199</v>
      </c>
      <c r="O137" s="116">
        <v>45.916136079900099</v>
      </c>
      <c r="P137" s="116">
        <v>46.0990324594257</v>
      </c>
      <c r="Q137" s="116">
        <v>51.22</v>
      </c>
      <c r="R137">
        <v>960395</v>
      </c>
    </row>
    <row r="138" spans="1:18" x14ac:dyDescent="0.25">
      <c r="A138" s="170">
        <v>42241</v>
      </c>
      <c r="B138" s="116">
        <v>3.1724809096945599</v>
      </c>
      <c r="C138" s="116">
        <v>2.92928784860558</v>
      </c>
      <c r="D138" s="116">
        <v>2.55992695883134</v>
      </c>
      <c r="E138" s="116">
        <v>2.7427788844621501</v>
      </c>
      <c r="F138" s="116">
        <v>16.02</v>
      </c>
      <c r="G138">
        <v>2094</v>
      </c>
      <c r="H138" s="116"/>
      <c r="I138" s="116"/>
      <c r="L138" s="170">
        <v>45783</v>
      </c>
      <c r="M138" s="116">
        <v>44.224344569288398</v>
      </c>
      <c r="N138" s="116">
        <v>47.095817727840199</v>
      </c>
      <c r="O138" s="116">
        <v>43.95</v>
      </c>
      <c r="P138" s="116">
        <v>46.839762796504402</v>
      </c>
      <c r="Q138" s="116">
        <v>48.36</v>
      </c>
      <c r="R138">
        <v>2675470</v>
      </c>
    </row>
    <row r="139" spans="1:18" x14ac:dyDescent="0.25">
      <c r="A139" s="170">
        <v>42242</v>
      </c>
      <c r="B139" s="116">
        <v>3.38093210491368</v>
      </c>
      <c r="C139" s="116">
        <v>3.3626469123506002</v>
      </c>
      <c r="D139" s="116">
        <v>2.8342048472775598</v>
      </c>
      <c r="E139" s="116">
        <v>3.0901975431606901</v>
      </c>
      <c r="F139" s="116">
        <v>18.39</v>
      </c>
      <c r="G139">
        <v>810</v>
      </c>
      <c r="H139" s="116"/>
      <c r="I139" s="116"/>
      <c r="L139" s="170">
        <v>45784</v>
      </c>
      <c r="M139" s="116">
        <v>45.614357053682902</v>
      </c>
      <c r="N139" s="116">
        <v>45.852122347066199</v>
      </c>
      <c r="O139" s="116">
        <v>44.160330836454399</v>
      </c>
      <c r="P139" s="116">
        <v>44.233489388264701</v>
      </c>
      <c r="Q139" s="116">
        <v>49.88</v>
      </c>
      <c r="R139">
        <v>1847885</v>
      </c>
    </row>
    <row r="140" spans="1:18" x14ac:dyDescent="0.25">
      <c r="A140" s="170">
        <v>42243</v>
      </c>
      <c r="B140" s="116">
        <v>3.4193310092961502</v>
      </c>
      <c r="C140" s="116">
        <v>3.1157968127490001</v>
      </c>
      <c r="D140" s="116">
        <v>3.02802788844622</v>
      </c>
      <c r="E140" s="116">
        <v>3.4193310092961502</v>
      </c>
      <c r="F140" s="116">
        <v>17.04</v>
      </c>
      <c r="G140">
        <v>3894</v>
      </c>
      <c r="H140" s="116"/>
      <c r="I140" s="116"/>
      <c r="L140" s="170">
        <v>45785</v>
      </c>
      <c r="M140" s="116">
        <v>44.645006242197297</v>
      </c>
      <c r="N140" s="116">
        <v>46.272784019974999</v>
      </c>
      <c r="O140" s="116">
        <v>44.078027465667901</v>
      </c>
      <c r="P140" s="116">
        <v>45.861267166042403</v>
      </c>
      <c r="Q140" s="116">
        <v>48.82</v>
      </c>
      <c r="R140">
        <v>1147716</v>
      </c>
    </row>
    <row r="141" spans="1:18" x14ac:dyDescent="0.25">
      <c r="A141" s="170">
        <v>42244</v>
      </c>
      <c r="B141" s="116">
        <v>3.23465056440903</v>
      </c>
      <c r="C141" s="116">
        <v>2.9676867529880502</v>
      </c>
      <c r="D141" s="116">
        <v>2.80494853917663</v>
      </c>
      <c r="E141" s="116">
        <v>3.23465056440903</v>
      </c>
      <c r="F141" s="116">
        <v>16.23</v>
      </c>
      <c r="G141">
        <v>371</v>
      </c>
      <c r="H141" s="116"/>
      <c r="I141" s="116"/>
      <c r="L141" s="170">
        <v>45786</v>
      </c>
      <c r="M141" s="116">
        <v>43.373876404494403</v>
      </c>
      <c r="N141" s="116">
        <v>44.471254681647899</v>
      </c>
      <c r="O141" s="116">
        <v>42.523408239700402</v>
      </c>
      <c r="P141" s="116">
        <v>44.471254681647899</v>
      </c>
      <c r="Q141" s="116">
        <v>47.43</v>
      </c>
      <c r="R141">
        <v>1484819</v>
      </c>
    </row>
    <row r="142" spans="1:18" x14ac:dyDescent="0.25">
      <c r="A142" s="170">
        <v>42247</v>
      </c>
      <c r="B142" s="116">
        <v>3.19990869853918</v>
      </c>
      <c r="C142" s="116">
        <v>3.19990869853918</v>
      </c>
      <c r="D142" s="116">
        <v>3.1084827357237699</v>
      </c>
      <c r="E142" s="116">
        <v>3.1084827357237699</v>
      </c>
      <c r="F142" s="116">
        <v>17.5</v>
      </c>
      <c r="G142">
        <v>985</v>
      </c>
      <c r="H142" s="116"/>
      <c r="I142" s="116"/>
      <c r="L142" s="170">
        <v>45789</v>
      </c>
      <c r="M142" s="116">
        <v>47.178121098626697</v>
      </c>
      <c r="N142" s="116">
        <v>47.781679151061198</v>
      </c>
      <c r="O142" s="116">
        <v>45.724094881398301</v>
      </c>
      <c r="P142" s="116">
        <v>45.989294631710401</v>
      </c>
      <c r="Q142" s="116">
        <v>51.59</v>
      </c>
      <c r="R142">
        <v>1528367</v>
      </c>
    </row>
    <row r="143" spans="1:18" x14ac:dyDescent="0.25">
      <c r="A143" s="170">
        <v>42248</v>
      </c>
      <c r="B143" s="116">
        <v>3.19990869853918</v>
      </c>
      <c r="C143" s="116">
        <v>3.1084827357237699</v>
      </c>
      <c r="D143" s="116">
        <v>3.1084827357237699</v>
      </c>
      <c r="E143" s="116">
        <v>3.1450531208499299</v>
      </c>
      <c r="F143" s="116">
        <v>17</v>
      </c>
      <c r="G143">
        <v>13</v>
      </c>
      <c r="H143" s="116"/>
      <c r="I143" s="116"/>
      <c r="L143" s="170">
        <v>45790</v>
      </c>
      <c r="M143" s="116">
        <v>47.196410736579303</v>
      </c>
      <c r="N143" s="116">
        <v>47.9005617977528</v>
      </c>
      <c r="O143" s="116">
        <v>46.684300873907603</v>
      </c>
      <c r="P143" s="116">
        <v>47.452465667915099</v>
      </c>
      <c r="Q143" s="116">
        <v>51.61</v>
      </c>
      <c r="R143">
        <v>493482</v>
      </c>
    </row>
    <row r="144" spans="1:18" x14ac:dyDescent="0.25">
      <c r="A144" s="170">
        <v>42249</v>
      </c>
      <c r="B144" s="116">
        <v>3.2821920650730401</v>
      </c>
      <c r="C144" s="116">
        <v>3.0901975431606901</v>
      </c>
      <c r="D144" s="116">
        <v>3.0170567729083699</v>
      </c>
      <c r="E144" s="116">
        <v>3.2821920650730401</v>
      </c>
      <c r="F144" s="116">
        <v>16.899999999999999</v>
      </c>
      <c r="G144">
        <v>400</v>
      </c>
      <c r="H144" s="116"/>
      <c r="I144" s="116"/>
      <c r="L144" s="170">
        <v>45791</v>
      </c>
      <c r="M144" s="116">
        <v>48.668726591760297</v>
      </c>
      <c r="N144" s="116">
        <v>49.894132334581798</v>
      </c>
      <c r="O144" s="116">
        <v>46.9220661672909</v>
      </c>
      <c r="P144" s="116">
        <v>46.9220661672909</v>
      </c>
      <c r="Q144" s="116">
        <v>53.22</v>
      </c>
      <c r="R144">
        <v>1910925</v>
      </c>
    </row>
    <row r="145" spans="1:18" x14ac:dyDescent="0.25">
      <c r="A145" s="170">
        <v>42250</v>
      </c>
      <c r="B145" s="116">
        <v>3.1724809096945599</v>
      </c>
      <c r="C145" s="116">
        <v>3.1450531208499299</v>
      </c>
      <c r="D145" s="116">
        <v>3.0170567729083699</v>
      </c>
      <c r="E145" s="116">
        <v>3.0170567729083699</v>
      </c>
      <c r="F145" s="116">
        <v>17.2</v>
      </c>
      <c r="G145">
        <v>5700</v>
      </c>
      <c r="H145" s="116"/>
      <c r="I145" s="116"/>
      <c r="L145" s="170">
        <v>45792</v>
      </c>
      <c r="M145" s="116">
        <v>48.394382022471902</v>
      </c>
      <c r="N145" s="116">
        <v>49.930711610486902</v>
      </c>
      <c r="O145" s="116">
        <v>48.147471910112401</v>
      </c>
      <c r="P145" s="116">
        <v>48.668726591760297</v>
      </c>
      <c r="Q145" s="116">
        <v>52.92</v>
      </c>
      <c r="R145">
        <v>856332</v>
      </c>
    </row>
    <row r="146" spans="1:18" x14ac:dyDescent="0.25">
      <c r="A146" s="170">
        <v>42251</v>
      </c>
      <c r="B146" s="116">
        <v>3.1450531208499299</v>
      </c>
      <c r="C146" s="116">
        <v>2.8799178286852598</v>
      </c>
      <c r="D146" s="116">
        <v>2.8433474435591002</v>
      </c>
      <c r="E146" s="116">
        <v>3.0170567729083699</v>
      </c>
      <c r="F146" s="116">
        <v>15.75</v>
      </c>
      <c r="G146">
        <v>2859</v>
      </c>
      <c r="H146" s="116"/>
      <c r="I146" s="116"/>
      <c r="L146" s="170">
        <v>45793</v>
      </c>
      <c r="M146" s="116">
        <v>47.553058676654203</v>
      </c>
      <c r="N146" s="116">
        <v>48.778464419475704</v>
      </c>
      <c r="O146" s="116">
        <v>47.095817727840199</v>
      </c>
      <c r="P146" s="116">
        <v>48.467540574282097</v>
      </c>
      <c r="Q146" s="116">
        <v>52</v>
      </c>
      <c r="R146">
        <v>687505</v>
      </c>
    </row>
    <row r="147" spans="1:18" x14ac:dyDescent="0.25">
      <c r="A147" s="170">
        <v>42254</v>
      </c>
      <c r="B147" s="116">
        <v>3.1633383134130102</v>
      </c>
      <c r="C147" s="116">
        <v>2.8342048472775598</v>
      </c>
      <c r="D147" s="116">
        <v>2.6513529216467502</v>
      </c>
      <c r="E147" s="116">
        <v>3.1633383134130102</v>
      </c>
      <c r="F147" s="116">
        <v>15.5</v>
      </c>
      <c r="G147">
        <v>36</v>
      </c>
      <c r="H147" s="116"/>
      <c r="I147" s="116"/>
      <c r="L147" s="170">
        <v>45796</v>
      </c>
      <c r="M147" s="116">
        <v>47.836548064918901</v>
      </c>
      <c r="N147" s="116">
        <v>48.641292134831502</v>
      </c>
      <c r="O147" s="116">
        <v>47.104962546816502</v>
      </c>
      <c r="P147" s="116">
        <v>47.644506866416997</v>
      </c>
      <c r="Q147" s="116">
        <v>52.31</v>
      </c>
      <c r="R147">
        <v>964861</v>
      </c>
    </row>
    <row r="148" spans="1:18" x14ac:dyDescent="0.25">
      <c r="A148" s="170">
        <v>42255</v>
      </c>
      <c r="B148" s="116">
        <v>3.0719123505976098</v>
      </c>
      <c r="C148" s="116">
        <v>3.0719123505976098</v>
      </c>
      <c r="D148" s="116">
        <v>3.0719123505976098</v>
      </c>
      <c r="E148" s="116">
        <v>3.0719123505976098</v>
      </c>
      <c r="F148" s="116">
        <v>16.8</v>
      </c>
      <c r="G148">
        <v>10</v>
      </c>
      <c r="H148" s="116"/>
      <c r="I148" s="116"/>
      <c r="L148" s="170">
        <v>45797</v>
      </c>
      <c r="M148" s="116">
        <v>46.080742821473201</v>
      </c>
      <c r="N148" s="116">
        <v>48.595568039950102</v>
      </c>
      <c r="O148" s="116">
        <v>45.413171036204702</v>
      </c>
      <c r="P148" s="116">
        <v>48.184051186017498</v>
      </c>
      <c r="Q148" s="116">
        <v>50.39</v>
      </c>
      <c r="R148">
        <v>1015916</v>
      </c>
    </row>
    <row r="149" spans="1:18" x14ac:dyDescent="0.25">
      <c r="A149" s="170">
        <v>42256</v>
      </c>
      <c r="B149" s="116">
        <v>3.3736180278884502</v>
      </c>
      <c r="C149" s="116">
        <v>3.29133466135458</v>
      </c>
      <c r="D149" s="116">
        <v>3.1084827357237699</v>
      </c>
      <c r="E149" s="116">
        <v>3.29133466135458</v>
      </c>
      <c r="F149" s="116">
        <v>18</v>
      </c>
      <c r="G149">
        <v>2775</v>
      </c>
      <c r="H149" s="116"/>
      <c r="I149" s="116"/>
      <c r="L149" s="170">
        <v>45798</v>
      </c>
      <c r="M149" s="116">
        <v>46.757459425717897</v>
      </c>
      <c r="N149" s="116">
        <v>47.141541822721599</v>
      </c>
      <c r="O149" s="116">
        <v>45.221129837702897</v>
      </c>
      <c r="P149" s="116">
        <v>46.227059925093599</v>
      </c>
      <c r="Q149" s="116">
        <v>51.13</v>
      </c>
      <c r="R149">
        <v>1206374</v>
      </c>
    </row>
    <row r="150" spans="1:18" x14ac:dyDescent="0.25">
      <c r="A150" s="170">
        <v>42257</v>
      </c>
      <c r="B150" s="116">
        <v>3.6021829349269598</v>
      </c>
      <c r="C150" s="116">
        <v>3.35533283532537</v>
      </c>
      <c r="D150" s="116">
        <v>2.9622011952191198</v>
      </c>
      <c r="E150" s="116">
        <v>3.6021829349269598</v>
      </c>
      <c r="F150" s="116">
        <v>18.350000000000001</v>
      </c>
      <c r="G150">
        <v>2305</v>
      </c>
      <c r="H150" s="116"/>
      <c r="I150" s="116"/>
      <c r="L150" s="170">
        <v>45799</v>
      </c>
      <c r="M150" s="116">
        <v>45.879556803995001</v>
      </c>
      <c r="N150" s="116">
        <v>46.894631710361999</v>
      </c>
      <c r="O150" s="116">
        <v>45.541198501872699</v>
      </c>
      <c r="P150" s="116">
        <v>46.272784019974999</v>
      </c>
      <c r="Q150" s="116">
        <v>50.17</v>
      </c>
      <c r="R150">
        <v>1056576</v>
      </c>
    </row>
    <row r="151" spans="1:18" x14ac:dyDescent="0.25">
      <c r="A151" s="170">
        <v>42258</v>
      </c>
      <c r="B151" s="116">
        <v>3.4193310092961502</v>
      </c>
      <c r="C151" s="116">
        <v>3.1084827357237699</v>
      </c>
      <c r="D151" s="116">
        <v>3.0261993691899098</v>
      </c>
      <c r="E151" s="116">
        <v>3.4193310092961502</v>
      </c>
      <c r="F151" s="116">
        <v>17</v>
      </c>
      <c r="G151">
        <v>5677</v>
      </c>
      <c r="H151" s="116"/>
      <c r="I151" s="116"/>
      <c r="L151" s="170">
        <v>45800</v>
      </c>
      <c r="M151" s="116">
        <v>47.059238451935101</v>
      </c>
      <c r="N151" s="116">
        <v>47.818258426966302</v>
      </c>
      <c r="O151" s="116">
        <v>45.687515605493097</v>
      </c>
      <c r="P151" s="116">
        <v>45.815543071161102</v>
      </c>
      <c r="Q151" s="116">
        <v>51.46</v>
      </c>
      <c r="R151">
        <v>1304432</v>
      </c>
    </row>
    <row r="152" spans="1:18" x14ac:dyDescent="0.25">
      <c r="A152" s="170">
        <v>42261</v>
      </c>
      <c r="B152" s="116">
        <v>3.3187624501992001</v>
      </c>
      <c r="C152" s="116">
        <v>3.1450531208499299</v>
      </c>
      <c r="D152" s="116">
        <v>2.8342048472775598</v>
      </c>
      <c r="E152" s="116">
        <v>2.9256308100929602</v>
      </c>
      <c r="F152" s="116">
        <v>17.2</v>
      </c>
      <c r="G152">
        <v>7440</v>
      </c>
      <c r="H152" s="116"/>
      <c r="I152" s="116"/>
      <c r="L152" s="170">
        <v>45803</v>
      </c>
      <c r="M152" s="116">
        <v>52.253495630461899</v>
      </c>
      <c r="N152" s="116">
        <v>53.862983770287101</v>
      </c>
      <c r="O152" s="116">
        <v>47.013514357053701</v>
      </c>
      <c r="P152" s="116">
        <v>47.013514357053701</v>
      </c>
      <c r="Q152" s="116">
        <v>57.14</v>
      </c>
      <c r="R152">
        <v>9429488</v>
      </c>
    </row>
    <row r="153" spans="1:18" x14ac:dyDescent="0.25">
      <c r="A153" s="170">
        <v>42262</v>
      </c>
      <c r="B153" s="116">
        <v>3.4559013944223098</v>
      </c>
      <c r="C153" s="116">
        <v>2.8433474435591002</v>
      </c>
      <c r="D153" s="116">
        <v>2.8433474435591002</v>
      </c>
      <c r="E153" s="116">
        <v>3.4559013944223098</v>
      </c>
      <c r="F153" s="116">
        <v>15.55</v>
      </c>
      <c r="G153">
        <v>254</v>
      </c>
      <c r="H153" s="116"/>
      <c r="I153" s="116"/>
      <c r="L153" s="170">
        <v>45804</v>
      </c>
      <c r="M153" s="116">
        <v>50.333083645443203</v>
      </c>
      <c r="N153" s="116">
        <v>52.628433208489398</v>
      </c>
      <c r="O153" s="116">
        <v>49.848408239700397</v>
      </c>
      <c r="P153" s="116">
        <v>52.253495630461899</v>
      </c>
      <c r="Q153" s="116">
        <v>55.04</v>
      </c>
      <c r="R153">
        <v>1312381</v>
      </c>
    </row>
    <row r="154" spans="1:18" x14ac:dyDescent="0.25">
      <c r="A154" s="170">
        <v>42263</v>
      </c>
      <c r="B154" s="116">
        <v>3.1176253320053098</v>
      </c>
      <c r="C154" s="116">
        <v>3.1176253320053098</v>
      </c>
      <c r="D154" s="116">
        <v>3.1176253320053098</v>
      </c>
      <c r="E154" s="116">
        <v>3.1176253320053098</v>
      </c>
      <c r="F154" s="116">
        <v>17.05</v>
      </c>
      <c r="G154">
        <v>40</v>
      </c>
      <c r="H154" s="116"/>
      <c r="I154" s="116"/>
      <c r="L154" s="170">
        <v>45805</v>
      </c>
      <c r="M154" s="116">
        <v>50.698876404494399</v>
      </c>
      <c r="N154" s="116">
        <v>51.942571785268399</v>
      </c>
      <c r="O154" s="116">
        <v>50.205056179775298</v>
      </c>
      <c r="P154" s="116">
        <v>50.296504369538098</v>
      </c>
      <c r="Q154" s="116">
        <v>55.44</v>
      </c>
      <c r="R154">
        <v>1330133</v>
      </c>
    </row>
    <row r="155" spans="1:18" x14ac:dyDescent="0.25">
      <c r="A155" s="170">
        <v>42268</v>
      </c>
      <c r="B155" s="116">
        <v>3.29133466135458</v>
      </c>
      <c r="C155" s="116">
        <v>3.2821920650730401</v>
      </c>
      <c r="D155" s="116">
        <v>3.1176253320053098</v>
      </c>
      <c r="E155" s="116">
        <v>3.1176253320053098</v>
      </c>
      <c r="F155" s="116">
        <v>17.95</v>
      </c>
      <c r="G155">
        <v>3590</v>
      </c>
      <c r="H155" s="116"/>
      <c r="I155" s="116"/>
      <c r="L155" s="170">
        <v>45806</v>
      </c>
      <c r="M155" s="116">
        <v>56.533270911360802</v>
      </c>
      <c r="N155" s="116">
        <v>57.612359550561798</v>
      </c>
      <c r="O155" s="116">
        <v>50.927496878901401</v>
      </c>
      <c r="P155" s="116">
        <v>50.927496878901401</v>
      </c>
      <c r="Q155" s="116">
        <v>61.82</v>
      </c>
      <c r="R155">
        <v>10196516</v>
      </c>
    </row>
    <row r="156" spans="1:18" x14ac:dyDescent="0.25">
      <c r="A156" s="170">
        <v>42269</v>
      </c>
      <c r="B156" s="116">
        <v>3.2821920650730401</v>
      </c>
      <c r="C156" s="116">
        <v>3.2639068725099598</v>
      </c>
      <c r="D156" s="116">
        <v>3.2364790836653401</v>
      </c>
      <c r="E156" s="116">
        <v>3.2364790836653401</v>
      </c>
      <c r="F156" s="116">
        <v>17.850000000000001</v>
      </c>
      <c r="G156">
        <v>5000</v>
      </c>
      <c r="H156" s="116"/>
      <c r="I156" s="116"/>
      <c r="L156" s="170">
        <v>45807</v>
      </c>
      <c r="M156" s="116">
        <v>57.008801498127298</v>
      </c>
      <c r="N156" s="116">
        <v>58.526841448189799</v>
      </c>
      <c r="O156" s="116">
        <v>55.810830212234698</v>
      </c>
      <c r="P156" s="116">
        <v>56.880774032459399</v>
      </c>
      <c r="Q156" s="116">
        <v>62.34</v>
      </c>
      <c r="R156">
        <v>2951579</v>
      </c>
    </row>
    <row r="157" spans="1:18" x14ac:dyDescent="0.25">
      <c r="A157" s="170">
        <v>42270</v>
      </c>
      <c r="B157" s="116">
        <v>3.2547642762284199</v>
      </c>
      <c r="C157" s="116">
        <v>3.1541957171314698</v>
      </c>
      <c r="D157" s="116">
        <v>2.94391600265604</v>
      </c>
      <c r="E157" s="116">
        <v>2.94391600265604</v>
      </c>
      <c r="F157" s="116">
        <v>17.25</v>
      </c>
      <c r="G157">
        <v>579</v>
      </c>
      <c r="H157" s="116"/>
      <c r="I157" s="116"/>
      <c r="L157" s="170">
        <v>45810</v>
      </c>
      <c r="M157" s="116">
        <v>55.445037453183502</v>
      </c>
      <c r="N157" s="116">
        <v>57.200842696629202</v>
      </c>
      <c r="O157" s="116">
        <v>55.051810237203497</v>
      </c>
      <c r="P157" s="116">
        <v>57.008801498127298</v>
      </c>
      <c r="Q157" s="116">
        <v>60.63</v>
      </c>
      <c r="R157">
        <v>1056604</v>
      </c>
    </row>
    <row r="158" spans="1:18" x14ac:dyDescent="0.25">
      <c r="A158" s="170">
        <v>42271</v>
      </c>
      <c r="B158" s="116">
        <v>3.2364790836653401</v>
      </c>
      <c r="C158" s="116">
        <v>3.2364790836653401</v>
      </c>
      <c r="D158" s="116">
        <v>2.8524900398406401</v>
      </c>
      <c r="E158" s="116">
        <v>2.8524900398406401</v>
      </c>
      <c r="F158" s="116">
        <v>17.7</v>
      </c>
      <c r="G158">
        <v>800</v>
      </c>
      <c r="H158" s="116"/>
      <c r="I158" s="116"/>
      <c r="L158" s="170">
        <v>45811</v>
      </c>
      <c r="M158" s="116">
        <v>56.743601747815198</v>
      </c>
      <c r="N158" s="116">
        <v>57.850124843945103</v>
      </c>
      <c r="O158" s="116">
        <v>55.3261548064919</v>
      </c>
      <c r="P158" s="116">
        <v>55.755961298377002</v>
      </c>
      <c r="Q158" s="116">
        <v>62.05</v>
      </c>
      <c r="R158">
        <v>2280930</v>
      </c>
    </row>
    <row r="159" spans="1:18" x14ac:dyDescent="0.25">
      <c r="A159" s="170">
        <v>42275</v>
      </c>
      <c r="B159" s="116">
        <v>3.2821920650730401</v>
      </c>
      <c r="C159" s="116">
        <v>3.2821920650730401</v>
      </c>
      <c r="D159" s="116">
        <v>3.2821920650730401</v>
      </c>
      <c r="E159" s="116">
        <v>3.2821920650730401</v>
      </c>
      <c r="F159" s="116">
        <v>17.95</v>
      </c>
      <c r="G159">
        <v>22</v>
      </c>
      <c r="H159" s="116"/>
      <c r="I159" s="116"/>
      <c r="L159" s="170">
        <v>45812</v>
      </c>
      <c r="M159" s="116">
        <v>60.712453183520601</v>
      </c>
      <c r="N159" s="116">
        <v>62.321941323345797</v>
      </c>
      <c r="O159" s="116">
        <v>57.200842696629202</v>
      </c>
      <c r="P159" s="116">
        <v>57.200842696629202</v>
      </c>
      <c r="Q159" s="116">
        <v>66.39</v>
      </c>
      <c r="R159">
        <v>10441571</v>
      </c>
    </row>
    <row r="160" spans="1:18" x14ac:dyDescent="0.25">
      <c r="A160" s="170">
        <v>42276</v>
      </c>
      <c r="B160" s="116">
        <v>3.2547642762284199</v>
      </c>
      <c r="C160" s="116">
        <v>3.2547642762284199</v>
      </c>
      <c r="D160" s="116">
        <v>2.9622011952191198</v>
      </c>
      <c r="E160" s="116">
        <v>2.9622011952191198</v>
      </c>
      <c r="F160" s="116">
        <v>17.8</v>
      </c>
      <c r="G160">
        <v>30</v>
      </c>
      <c r="H160" s="116"/>
      <c r="I160" s="116"/>
      <c r="L160" s="170">
        <v>45813</v>
      </c>
      <c r="M160" s="116">
        <v>59.532771535580501</v>
      </c>
      <c r="N160" s="116">
        <v>61.727528089887599</v>
      </c>
      <c r="O160" s="116">
        <v>59.093820224719103</v>
      </c>
      <c r="P160" s="116">
        <v>61.0416666666667</v>
      </c>
      <c r="Q160" s="116">
        <v>65.099999999999994</v>
      </c>
      <c r="R160">
        <v>7623629</v>
      </c>
    </row>
    <row r="161" spans="1:18" x14ac:dyDescent="0.25">
      <c r="A161" s="170">
        <v>42277</v>
      </c>
      <c r="B161" s="116">
        <v>3.3096198539176598</v>
      </c>
      <c r="C161" s="116">
        <v>3.3004772576361199</v>
      </c>
      <c r="D161" s="116">
        <v>3.29133466135458</v>
      </c>
      <c r="E161" s="116">
        <v>3.29133466135458</v>
      </c>
      <c r="F161" s="116">
        <v>18.05</v>
      </c>
      <c r="G161">
        <v>2000</v>
      </c>
      <c r="H161" s="116"/>
      <c r="I161" s="116"/>
      <c r="L161" s="170">
        <v>45814</v>
      </c>
      <c r="M161" s="116">
        <v>64.315511860174794</v>
      </c>
      <c r="N161" s="116">
        <v>65.385455680399502</v>
      </c>
      <c r="O161" s="116">
        <v>59.7522471910112</v>
      </c>
      <c r="P161" s="116">
        <v>59.889419475655401</v>
      </c>
      <c r="Q161" s="116">
        <v>70.33</v>
      </c>
      <c r="R161">
        <v>7292230</v>
      </c>
    </row>
    <row r="162" spans="1:18" x14ac:dyDescent="0.25">
      <c r="A162" s="170">
        <v>42282</v>
      </c>
      <c r="B162" s="116">
        <v>3.5564699535192599</v>
      </c>
      <c r="C162" s="116">
        <v>3.54732735723772</v>
      </c>
      <c r="D162" s="116">
        <v>3.5290421646746299</v>
      </c>
      <c r="E162" s="116">
        <v>3.5290421646746299</v>
      </c>
      <c r="F162" s="116">
        <v>19.399999999999999</v>
      </c>
      <c r="G162">
        <v>4000</v>
      </c>
      <c r="H162" s="116"/>
      <c r="I162" s="116"/>
      <c r="L162" s="170">
        <v>45817</v>
      </c>
      <c r="M162" s="116">
        <v>64.278932584269697</v>
      </c>
      <c r="N162" s="116">
        <v>67.296722846441995</v>
      </c>
      <c r="O162" s="116">
        <v>63.602215980025001</v>
      </c>
      <c r="P162" s="116">
        <v>64.470973782771495</v>
      </c>
      <c r="Q162" s="116">
        <v>70.290000000000006</v>
      </c>
      <c r="R162">
        <v>7160106</v>
      </c>
    </row>
    <row r="163" spans="1:18" x14ac:dyDescent="0.25">
      <c r="A163" s="170">
        <v>42284</v>
      </c>
      <c r="B163" s="116">
        <v>3.82160524568393</v>
      </c>
      <c r="C163" s="116">
        <v>3.82160524568393</v>
      </c>
      <c r="D163" s="116">
        <v>3.82160524568393</v>
      </c>
      <c r="E163" s="116">
        <v>3.82160524568393</v>
      </c>
      <c r="F163" s="116">
        <v>20.9</v>
      </c>
      <c r="G163">
        <v>10</v>
      </c>
      <c r="H163" s="116"/>
      <c r="I163" s="116"/>
      <c r="L163" s="170">
        <v>45818</v>
      </c>
      <c r="M163" s="116">
        <v>64.672159800249702</v>
      </c>
      <c r="N163" s="116">
        <v>65.650655430711595</v>
      </c>
      <c r="O163" s="116">
        <v>62.6420099875156</v>
      </c>
      <c r="P163" s="116">
        <v>64.836766541822698</v>
      </c>
      <c r="Q163" s="116">
        <v>70.72</v>
      </c>
      <c r="R163">
        <v>3182775</v>
      </c>
    </row>
    <row r="164" spans="1:18" x14ac:dyDescent="0.25">
      <c r="A164" s="170">
        <v>42285</v>
      </c>
      <c r="B164" s="116">
        <v>4.1141683266932301</v>
      </c>
      <c r="C164" s="116">
        <v>3.58389774236388</v>
      </c>
      <c r="D164" s="116">
        <v>3.0719123505976098</v>
      </c>
      <c r="E164" s="116">
        <v>4.1141683266932301</v>
      </c>
      <c r="F164" s="116">
        <v>19.600000000000001</v>
      </c>
      <c r="G164">
        <v>4691</v>
      </c>
      <c r="H164" s="116"/>
      <c r="I164" s="116"/>
      <c r="L164" s="170">
        <v>45819</v>
      </c>
      <c r="M164" s="116">
        <v>67.150405742821505</v>
      </c>
      <c r="N164" s="116">
        <v>67.671660424469394</v>
      </c>
      <c r="O164" s="116">
        <v>64.196629213483106</v>
      </c>
      <c r="P164" s="116">
        <v>66.482833957553098</v>
      </c>
      <c r="Q164" s="116">
        <v>73.430000000000007</v>
      </c>
      <c r="R164">
        <v>4293551</v>
      </c>
    </row>
    <row r="165" spans="1:18" x14ac:dyDescent="0.25">
      <c r="A165" s="170">
        <v>42286</v>
      </c>
      <c r="B165" s="116">
        <v>3.7484644754316099</v>
      </c>
      <c r="C165" s="116">
        <v>3.6570385126162002</v>
      </c>
      <c r="D165" s="116">
        <v>2.90734561752988</v>
      </c>
      <c r="E165" s="116">
        <v>3.7484644754316099</v>
      </c>
      <c r="F165" s="116">
        <v>20</v>
      </c>
      <c r="G165">
        <v>445</v>
      </c>
      <c r="H165" s="116"/>
      <c r="I165" s="116"/>
      <c r="L165" s="170">
        <v>45820</v>
      </c>
      <c r="M165" s="116">
        <v>66.629151061173502</v>
      </c>
      <c r="N165" s="116">
        <v>69.226279650436993</v>
      </c>
      <c r="O165" s="116">
        <v>65.486048689138599</v>
      </c>
      <c r="P165" s="116">
        <v>67.625936329588001</v>
      </c>
      <c r="Q165" s="116">
        <v>72.86</v>
      </c>
      <c r="R165">
        <v>7229482</v>
      </c>
    </row>
    <row r="166" spans="1:18" x14ac:dyDescent="0.25">
      <c r="A166" s="170">
        <v>42289</v>
      </c>
      <c r="B166" s="116">
        <v>3.7301792828685301</v>
      </c>
      <c r="C166" s="116">
        <v>3.5107569721115501</v>
      </c>
      <c r="D166" s="116">
        <v>3.19990869853918</v>
      </c>
      <c r="E166" s="116">
        <v>3.7301792828685301</v>
      </c>
      <c r="F166" s="116">
        <v>19.2</v>
      </c>
      <c r="G166">
        <v>6305</v>
      </c>
      <c r="H166" s="116"/>
      <c r="I166" s="116"/>
      <c r="L166" s="170">
        <v>45821</v>
      </c>
      <c r="M166" s="116">
        <v>67.644225967540606</v>
      </c>
      <c r="N166" s="116">
        <v>69.9578651685393</v>
      </c>
      <c r="O166" s="116">
        <v>64.251498127340795</v>
      </c>
      <c r="P166" s="116">
        <v>64.928214731585498</v>
      </c>
      <c r="Q166" s="116">
        <v>73.97</v>
      </c>
      <c r="R166">
        <v>4664741</v>
      </c>
    </row>
    <row r="167" spans="1:18" x14ac:dyDescent="0.25">
      <c r="A167" s="170">
        <v>42290</v>
      </c>
      <c r="B167" s="116">
        <v>3.3827606241699901</v>
      </c>
      <c r="C167" s="116">
        <v>3.29133466135458</v>
      </c>
      <c r="D167" s="116">
        <v>3.0261993691899098</v>
      </c>
      <c r="E167" s="116">
        <v>3.3370476427622799</v>
      </c>
      <c r="F167" s="116">
        <v>18</v>
      </c>
      <c r="G167">
        <v>4868</v>
      </c>
      <c r="H167" s="116"/>
      <c r="I167" s="116"/>
      <c r="L167" s="170">
        <v>45824</v>
      </c>
      <c r="M167" s="116">
        <v>66.546847690386997</v>
      </c>
      <c r="N167" s="116">
        <v>67.854556803994996</v>
      </c>
      <c r="O167" s="116">
        <v>64.425249687890101</v>
      </c>
      <c r="P167" s="116">
        <v>67.625936329588001</v>
      </c>
      <c r="Q167" s="116">
        <v>72.77</v>
      </c>
      <c r="R167">
        <v>3156814</v>
      </c>
    </row>
    <row r="168" spans="1:18" x14ac:dyDescent="0.25">
      <c r="A168" s="170">
        <v>42291</v>
      </c>
      <c r="B168" s="116">
        <v>3.4741865869853901</v>
      </c>
      <c r="C168" s="116">
        <v>3.4741865869853901</v>
      </c>
      <c r="D168" s="116">
        <v>3.4741865869853901</v>
      </c>
      <c r="E168" s="116">
        <v>3.4741865869853901</v>
      </c>
      <c r="F168" s="116">
        <v>19</v>
      </c>
      <c r="G168">
        <v>20</v>
      </c>
      <c r="H168" s="116"/>
      <c r="I168" s="116"/>
      <c r="L168" s="170">
        <v>45825</v>
      </c>
      <c r="M168" s="116">
        <v>65.623220973782793</v>
      </c>
      <c r="N168" s="116">
        <v>66.940074906367002</v>
      </c>
      <c r="O168" s="116">
        <v>65.476903870162303</v>
      </c>
      <c r="P168" s="116">
        <v>66.7571785268414</v>
      </c>
      <c r="Q168" s="116">
        <v>71.760000000000005</v>
      </c>
      <c r="R168">
        <v>1707544</v>
      </c>
    </row>
    <row r="169" spans="1:18" x14ac:dyDescent="0.25">
      <c r="A169" s="170">
        <v>42292</v>
      </c>
      <c r="B169" s="116">
        <v>3.1176253320053098</v>
      </c>
      <c r="C169" s="116">
        <v>3.0170567729083699</v>
      </c>
      <c r="D169" s="116">
        <v>3.0170567729083699</v>
      </c>
      <c r="E169" s="116">
        <v>3.1084827357237699</v>
      </c>
      <c r="F169" s="116">
        <v>16.5</v>
      </c>
      <c r="G169">
        <v>390</v>
      </c>
      <c r="H169" s="116"/>
      <c r="I169" s="116"/>
      <c r="L169" s="170">
        <v>45826</v>
      </c>
      <c r="M169" s="116">
        <v>64.672159800249702</v>
      </c>
      <c r="N169" s="116">
        <v>65.824406991260901</v>
      </c>
      <c r="O169" s="116">
        <v>63.748533083645398</v>
      </c>
      <c r="P169" s="116">
        <v>65.824406991260901</v>
      </c>
      <c r="Q169" s="116">
        <v>70.72</v>
      </c>
      <c r="R169">
        <v>1287192</v>
      </c>
    </row>
    <row r="170" spans="1:18" x14ac:dyDescent="0.25">
      <c r="A170" s="170">
        <v>42296</v>
      </c>
      <c r="B170" s="116">
        <v>3.29133466135458</v>
      </c>
      <c r="C170" s="116">
        <v>3.19990869853918</v>
      </c>
      <c r="D170" s="116">
        <v>3.19990869853918</v>
      </c>
      <c r="E170" s="116">
        <v>3.29133466135458</v>
      </c>
      <c r="F170" s="116">
        <v>17.5</v>
      </c>
      <c r="G170">
        <v>10</v>
      </c>
      <c r="H170" s="116"/>
      <c r="I170" s="116"/>
      <c r="L170" s="170">
        <v>45827</v>
      </c>
      <c r="M170" s="116">
        <v>65.010518102372004</v>
      </c>
      <c r="N170" s="116">
        <v>66.940074906367002</v>
      </c>
      <c r="O170" s="116">
        <v>62.550561797752799</v>
      </c>
      <c r="P170" s="116">
        <v>64.919069912609203</v>
      </c>
      <c r="Q170" s="116">
        <v>71.09</v>
      </c>
      <c r="R170">
        <v>3196396</v>
      </c>
    </row>
    <row r="171" spans="1:18" x14ac:dyDescent="0.25">
      <c r="A171" s="170">
        <v>42298</v>
      </c>
      <c r="B171" s="116">
        <v>3.29133466135458</v>
      </c>
      <c r="C171" s="116">
        <v>3.2821920650730401</v>
      </c>
      <c r="D171" s="116">
        <v>2.7427788844621501</v>
      </c>
      <c r="E171" s="116">
        <v>3.2821920650730401</v>
      </c>
      <c r="F171" s="116">
        <v>17.95</v>
      </c>
      <c r="G171">
        <v>125</v>
      </c>
      <c r="H171" s="116"/>
      <c r="I171" s="116"/>
      <c r="L171" s="170">
        <v>45828</v>
      </c>
      <c r="M171" s="116">
        <v>64.297222222222203</v>
      </c>
      <c r="N171" s="116">
        <v>66.016448189762798</v>
      </c>
      <c r="O171" s="116">
        <v>63.565636704119903</v>
      </c>
      <c r="P171" s="116">
        <v>64.663014981273406</v>
      </c>
      <c r="Q171" s="116">
        <v>70.31</v>
      </c>
      <c r="R171">
        <v>1085356</v>
      </c>
    </row>
    <row r="172" spans="1:18" x14ac:dyDescent="0.25">
      <c r="A172" s="170">
        <v>42300</v>
      </c>
      <c r="B172" s="116">
        <v>3.1907661022576401</v>
      </c>
      <c r="C172" s="116">
        <v>3.1907661022576401</v>
      </c>
      <c r="D172" s="116">
        <v>2.75192148074369</v>
      </c>
      <c r="E172" s="116">
        <v>2.75192148074369</v>
      </c>
      <c r="F172" s="116">
        <v>17.45</v>
      </c>
      <c r="G172">
        <v>40</v>
      </c>
      <c r="H172" s="116"/>
      <c r="I172" s="116"/>
      <c r="L172" s="170">
        <v>45831</v>
      </c>
      <c r="M172" s="116">
        <v>66.144475655430696</v>
      </c>
      <c r="N172" s="116">
        <v>67.214419475655404</v>
      </c>
      <c r="O172" s="116">
        <v>63.3553058676654</v>
      </c>
      <c r="P172" s="116">
        <v>63.593071161048698</v>
      </c>
      <c r="Q172" s="116">
        <v>72.33</v>
      </c>
      <c r="R172">
        <v>2167910</v>
      </c>
    </row>
    <row r="173" spans="1:18" x14ac:dyDescent="0.25">
      <c r="A173" s="170">
        <v>42303</v>
      </c>
      <c r="B173" s="116">
        <v>2.9713437915006602</v>
      </c>
      <c r="C173" s="116">
        <v>2.9256308100929602</v>
      </c>
      <c r="D173" s="116">
        <v>2.9256308100929602</v>
      </c>
      <c r="E173" s="116">
        <v>2.9256308100929602</v>
      </c>
      <c r="F173" s="116">
        <v>16</v>
      </c>
      <c r="G173">
        <v>525</v>
      </c>
      <c r="H173" s="116"/>
      <c r="I173" s="116"/>
      <c r="L173" s="170">
        <v>45832</v>
      </c>
      <c r="M173" s="116">
        <v>70.762609238451901</v>
      </c>
      <c r="N173" s="116">
        <v>72.701310861423195</v>
      </c>
      <c r="O173" s="116">
        <v>67.122971285892604</v>
      </c>
      <c r="P173" s="116">
        <v>67.443039950062399</v>
      </c>
      <c r="Q173" s="116">
        <v>77.38</v>
      </c>
      <c r="R173">
        <v>8676924</v>
      </c>
    </row>
    <row r="174" spans="1:18" x14ac:dyDescent="0.25">
      <c r="A174" s="170">
        <v>42305</v>
      </c>
      <c r="B174" s="116">
        <v>3.19990869853918</v>
      </c>
      <c r="C174" s="116">
        <v>3.19990869853918</v>
      </c>
      <c r="D174" s="116">
        <v>3.19990869853918</v>
      </c>
      <c r="E174" s="116">
        <v>3.19990869853918</v>
      </c>
      <c r="F174" s="116">
        <v>17.5</v>
      </c>
      <c r="G174">
        <v>1</v>
      </c>
      <c r="H174" s="116"/>
      <c r="I174" s="116"/>
      <c r="L174" s="170">
        <v>45833</v>
      </c>
      <c r="M174" s="116">
        <v>71.585642946317094</v>
      </c>
      <c r="N174" s="116">
        <v>72.161766541822701</v>
      </c>
      <c r="O174" s="116">
        <v>69.043383270911406</v>
      </c>
      <c r="P174" s="116">
        <v>71.558208489388306</v>
      </c>
      <c r="Q174" s="116">
        <v>78.28</v>
      </c>
      <c r="R174">
        <v>1787367</v>
      </c>
    </row>
    <row r="175" spans="1:18" x14ac:dyDescent="0.25">
      <c r="A175" s="170">
        <v>42306</v>
      </c>
      <c r="B175" s="116">
        <v>3.2364790836653401</v>
      </c>
      <c r="C175" s="116">
        <v>3.2364790836653401</v>
      </c>
      <c r="D175" s="116">
        <v>3.2364790836653401</v>
      </c>
      <c r="E175" s="116">
        <v>3.2364790836653401</v>
      </c>
      <c r="F175" s="116">
        <v>17.7</v>
      </c>
      <c r="G175">
        <v>1</v>
      </c>
      <c r="H175" s="116"/>
      <c r="I175" s="116"/>
      <c r="L175" s="170">
        <v>45834</v>
      </c>
      <c r="M175" s="116">
        <v>73.615792759051203</v>
      </c>
      <c r="N175" s="116">
        <v>74.073033707865207</v>
      </c>
      <c r="O175" s="116">
        <v>71.6039325842697</v>
      </c>
      <c r="P175" s="116">
        <v>71.640511860174797</v>
      </c>
      <c r="Q175" s="116">
        <v>80.5</v>
      </c>
      <c r="R175">
        <v>3757456</v>
      </c>
    </row>
    <row r="176" spans="1:18" x14ac:dyDescent="0.25">
      <c r="A176" s="170">
        <v>42307</v>
      </c>
      <c r="B176" s="116">
        <v>3.32790504648074</v>
      </c>
      <c r="C176" s="116">
        <v>3.29133466135458</v>
      </c>
      <c r="D176" s="116">
        <v>3.29133466135458</v>
      </c>
      <c r="E176" s="116">
        <v>3.29133466135458</v>
      </c>
      <c r="F176" s="116">
        <v>18</v>
      </c>
      <c r="G176">
        <v>1368</v>
      </c>
      <c r="H176" s="116"/>
      <c r="I176" s="116"/>
      <c r="L176" s="170">
        <v>45835</v>
      </c>
      <c r="M176" s="116">
        <v>81.334019975031197</v>
      </c>
      <c r="N176" s="116">
        <v>84.717602996254698</v>
      </c>
      <c r="O176" s="116">
        <v>74.173626716604204</v>
      </c>
      <c r="P176" s="116">
        <v>74.173626716604204</v>
      </c>
      <c r="Q176" s="116">
        <v>88.94</v>
      </c>
      <c r="R176">
        <v>18632333</v>
      </c>
    </row>
    <row r="177" spans="1:18" x14ac:dyDescent="0.25">
      <c r="A177" s="170">
        <v>42311</v>
      </c>
      <c r="B177" s="116">
        <v>3.29133466135458</v>
      </c>
      <c r="C177" s="116">
        <v>3.29133466135458</v>
      </c>
      <c r="D177" s="116">
        <v>2.9256308100929602</v>
      </c>
      <c r="E177" s="116">
        <v>2.9256308100929602</v>
      </c>
      <c r="F177" s="116">
        <v>18</v>
      </c>
      <c r="G177">
        <v>1025</v>
      </c>
      <c r="H177" s="116"/>
      <c r="I177" s="116"/>
      <c r="L177" s="170">
        <v>45838</v>
      </c>
      <c r="M177" s="116">
        <v>81.644943820224697</v>
      </c>
      <c r="N177" s="116">
        <v>82.669163545568097</v>
      </c>
      <c r="O177" s="116">
        <v>80.2092072409488</v>
      </c>
      <c r="P177" s="116">
        <v>82.2576466916355</v>
      </c>
      <c r="Q177" s="116">
        <v>89.28</v>
      </c>
      <c r="R177">
        <v>3425619</v>
      </c>
    </row>
    <row r="178" spans="1:18" x14ac:dyDescent="0.25">
      <c r="A178" s="170">
        <v>42312</v>
      </c>
      <c r="B178" s="116">
        <v>3.62961072377158</v>
      </c>
      <c r="C178" s="116">
        <v>3.54732735723772</v>
      </c>
      <c r="D178" s="116">
        <v>3.09934013944223</v>
      </c>
      <c r="E178" s="116">
        <v>3.62961072377158</v>
      </c>
      <c r="F178" s="116">
        <v>19.399999999999999</v>
      </c>
      <c r="G178">
        <v>13</v>
      </c>
      <c r="H178" s="116"/>
      <c r="I178" s="116"/>
      <c r="L178" s="170">
        <v>45839</v>
      </c>
      <c r="M178" s="116">
        <v>81.087109862671696</v>
      </c>
      <c r="N178" s="116">
        <v>82.760611735330798</v>
      </c>
      <c r="O178" s="116">
        <v>80.529275905118595</v>
      </c>
      <c r="P178" s="116">
        <v>81.398033707865196</v>
      </c>
      <c r="Q178" s="116">
        <v>88.67</v>
      </c>
      <c r="R178">
        <v>2902297</v>
      </c>
    </row>
    <row r="179" spans="1:18" x14ac:dyDescent="0.25">
      <c r="A179" s="170">
        <v>42313</v>
      </c>
      <c r="B179" s="116">
        <v>4.25130727091633</v>
      </c>
      <c r="C179" s="116">
        <v>3.9587441899070401</v>
      </c>
      <c r="D179" s="116">
        <v>2.94391600265604</v>
      </c>
      <c r="E179" s="116">
        <v>3.51989956839309</v>
      </c>
      <c r="F179" s="116">
        <v>21.65</v>
      </c>
      <c r="G179">
        <v>167</v>
      </c>
      <c r="H179" s="116"/>
      <c r="I179" s="116"/>
      <c r="L179" s="170">
        <v>45840</v>
      </c>
      <c r="M179" s="116">
        <v>76.359238451935099</v>
      </c>
      <c r="N179" s="116">
        <v>81.617509363295895</v>
      </c>
      <c r="O179" s="116">
        <v>74.905212234706596</v>
      </c>
      <c r="P179" s="116">
        <v>81.571785268414502</v>
      </c>
      <c r="Q179" s="116">
        <v>83.5</v>
      </c>
      <c r="R179">
        <v>3757598</v>
      </c>
    </row>
    <row r="180" spans="1:18" x14ac:dyDescent="0.25">
      <c r="A180" s="170">
        <v>42321</v>
      </c>
      <c r="B180" s="116">
        <v>3.9404589973439599</v>
      </c>
      <c r="C180" s="116">
        <v>3.7667496679946901</v>
      </c>
      <c r="D180" s="116">
        <v>3.7667496679946901</v>
      </c>
      <c r="E180" s="116">
        <v>3.9404589973439599</v>
      </c>
      <c r="F180" s="116">
        <v>20.6</v>
      </c>
      <c r="G180">
        <v>451</v>
      </c>
      <c r="H180" s="116"/>
      <c r="I180" s="116"/>
      <c r="L180" s="170">
        <v>45841</v>
      </c>
      <c r="M180" s="116">
        <v>84.498127340823999</v>
      </c>
      <c r="N180" s="116">
        <v>85.229712858926305</v>
      </c>
      <c r="O180" s="116">
        <v>76.368383270911394</v>
      </c>
      <c r="P180" s="116">
        <v>76.807334581772807</v>
      </c>
      <c r="Q180" s="116">
        <v>92.4</v>
      </c>
      <c r="R180">
        <v>12057629</v>
      </c>
    </row>
    <row r="181" spans="1:18" x14ac:dyDescent="0.25">
      <c r="A181" s="170">
        <v>42325</v>
      </c>
      <c r="B181" s="116">
        <v>3.9130312084993402</v>
      </c>
      <c r="C181" s="116">
        <v>3.58389774236388</v>
      </c>
      <c r="D181" s="116">
        <v>3.58389774236388</v>
      </c>
      <c r="E181" s="116">
        <v>3.58389774236388</v>
      </c>
      <c r="F181" s="116">
        <v>19.600000000000001</v>
      </c>
      <c r="G181">
        <v>806</v>
      </c>
      <c r="H181" s="116"/>
      <c r="I181" s="116"/>
      <c r="L181" s="170">
        <v>45842</v>
      </c>
      <c r="M181" s="116">
        <v>83.162983770287099</v>
      </c>
      <c r="N181" s="116">
        <v>88.156054931335802</v>
      </c>
      <c r="O181" s="116">
        <v>81.736392009987497</v>
      </c>
      <c r="P181" s="116">
        <v>84.470692883895097</v>
      </c>
      <c r="Q181" s="116">
        <v>90.94</v>
      </c>
      <c r="R181">
        <v>10918098</v>
      </c>
    </row>
    <row r="182" spans="1:18" x14ac:dyDescent="0.25">
      <c r="A182" s="170">
        <v>42335</v>
      </c>
      <c r="B182" s="116">
        <v>3.4101884130146098</v>
      </c>
      <c r="C182" s="116">
        <v>3.4101884130146098</v>
      </c>
      <c r="D182" s="116">
        <v>3.4101884130146098</v>
      </c>
      <c r="E182" s="116">
        <v>3.4101884130146098</v>
      </c>
      <c r="F182" s="116">
        <v>18.649999999999999</v>
      </c>
      <c r="G182">
        <v>452</v>
      </c>
      <c r="H182" s="116"/>
      <c r="I182" s="116"/>
      <c r="L182" s="170">
        <v>45845</v>
      </c>
      <c r="M182" s="116">
        <v>81.946722846441901</v>
      </c>
      <c r="N182" s="116">
        <v>85.595505617977494</v>
      </c>
      <c r="O182" s="116">
        <v>81.407178526841406</v>
      </c>
      <c r="P182" s="116">
        <v>83.592790262172301</v>
      </c>
      <c r="Q182" s="116">
        <v>89.61</v>
      </c>
      <c r="R182">
        <v>3619680</v>
      </c>
    </row>
    <row r="183" spans="1:18" x14ac:dyDescent="0.25">
      <c r="A183" s="170">
        <v>42339</v>
      </c>
      <c r="B183" s="116">
        <v>3.5747551460823401</v>
      </c>
      <c r="C183" s="116">
        <v>3.5747551460823401</v>
      </c>
      <c r="D183" s="116">
        <v>3.4101884130146098</v>
      </c>
      <c r="E183" s="116">
        <v>3.4101884130146098</v>
      </c>
      <c r="F183" s="116">
        <v>19.55</v>
      </c>
      <c r="G183">
        <v>295</v>
      </c>
      <c r="H183" s="116"/>
      <c r="I183" s="116"/>
      <c r="L183" s="170">
        <v>45846</v>
      </c>
      <c r="M183" s="116">
        <v>80.556710362047397</v>
      </c>
      <c r="N183" s="116">
        <v>82.531991260923803</v>
      </c>
      <c r="O183" s="116">
        <v>78.746036204744101</v>
      </c>
      <c r="P183" s="116">
        <v>81.846129837702904</v>
      </c>
      <c r="Q183" s="116">
        <v>88.09</v>
      </c>
      <c r="R183">
        <v>2666644</v>
      </c>
    </row>
    <row r="184" spans="1:18" x14ac:dyDescent="0.25">
      <c r="A184" s="170">
        <v>42340</v>
      </c>
      <c r="B184" s="116">
        <v>3.6570385126162002</v>
      </c>
      <c r="C184" s="116">
        <v>3.6570385126162002</v>
      </c>
      <c r="D184" s="116">
        <v>3.5747551460823401</v>
      </c>
      <c r="E184" s="116">
        <v>3.5747551460823401</v>
      </c>
      <c r="F184" s="116">
        <v>20</v>
      </c>
      <c r="G184">
        <v>53</v>
      </c>
      <c r="H184" s="116"/>
      <c r="I184" s="116"/>
      <c r="L184" s="170">
        <v>45847</v>
      </c>
      <c r="M184" s="116">
        <v>81.352309612983802</v>
      </c>
      <c r="N184" s="116">
        <v>83.665948813982496</v>
      </c>
      <c r="O184" s="116">
        <v>80.510986267166004</v>
      </c>
      <c r="P184" s="116">
        <v>80.5201310861423</v>
      </c>
      <c r="Q184" s="116">
        <v>88.96</v>
      </c>
      <c r="R184">
        <v>4959493</v>
      </c>
    </row>
    <row r="185" spans="1:18" x14ac:dyDescent="0.25">
      <c r="A185" s="170">
        <v>42341</v>
      </c>
      <c r="B185" s="116">
        <v>3.7484644754316099</v>
      </c>
      <c r="C185" s="116">
        <v>3.7301792828685301</v>
      </c>
      <c r="D185" s="116">
        <v>3.7301792828685301</v>
      </c>
      <c r="E185" s="116">
        <v>3.7484644754316099</v>
      </c>
      <c r="F185" s="116">
        <v>20.399999999999999</v>
      </c>
      <c r="G185">
        <v>4</v>
      </c>
      <c r="H185" s="116"/>
      <c r="I185" s="116"/>
      <c r="L185" s="170">
        <v>45848</v>
      </c>
      <c r="M185" s="116">
        <v>84.918789013732805</v>
      </c>
      <c r="N185" s="116">
        <v>86.272222222222197</v>
      </c>
      <c r="O185" s="116">
        <v>81.3888888888889</v>
      </c>
      <c r="P185" s="116">
        <v>81.3888888888889</v>
      </c>
      <c r="Q185" s="116">
        <v>92.86</v>
      </c>
      <c r="R185">
        <v>7822662</v>
      </c>
    </row>
    <row r="186" spans="1:18" x14ac:dyDescent="0.25">
      <c r="A186" s="170">
        <v>42346</v>
      </c>
      <c r="B186" s="116">
        <v>3.8398904382470098</v>
      </c>
      <c r="C186" s="116">
        <v>3.8398904382470098</v>
      </c>
      <c r="D186" s="116">
        <v>3.8398904382470098</v>
      </c>
      <c r="E186" s="116">
        <v>3.8398904382470098</v>
      </c>
      <c r="F186" s="116">
        <v>21</v>
      </c>
      <c r="G186">
        <v>10</v>
      </c>
      <c r="H186" s="116"/>
      <c r="I186" s="116"/>
      <c r="L186" s="170">
        <v>45849</v>
      </c>
      <c r="M186" s="116">
        <v>82.906928838951302</v>
      </c>
      <c r="N186" s="116">
        <v>85.760112359550604</v>
      </c>
      <c r="O186" s="116">
        <v>82.2576466916355</v>
      </c>
      <c r="P186" s="116">
        <v>83.675093632958806</v>
      </c>
      <c r="Q186" s="116">
        <v>90.66</v>
      </c>
      <c r="R186">
        <v>3094889</v>
      </c>
    </row>
    <row r="187" spans="1:18" x14ac:dyDescent="0.25">
      <c r="A187" s="170">
        <v>42348</v>
      </c>
      <c r="B187" s="116">
        <v>3.8398904382470098</v>
      </c>
      <c r="C187" s="116">
        <v>3.8398904382470098</v>
      </c>
      <c r="D187" s="116">
        <v>3.8398904382470098</v>
      </c>
      <c r="E187" s="116">
        <v>3.8398904382470098</v>
      </c>
      <c r="F187" s="116">
        <v>21</v>
      </c>
      <c r="G187">
        <v>2</v>
      </c>
      <c r="H187" s="116"/>
      <c r="I187" s="116"/>
      <c r="L187" s="170">
        <v>45852</v>
      </c>
      <c r="M187" s="116">
        <v>81.334019975031197</v>
      </c>
      <c r="N187" s="116">
        <v>83.611079900124807</v>
      </c>
      <c r="O187" s="116">
        <v>80.062890137328296</v>
      </c>
      <c r="P187" s="116">
        <v>82.906928838951302</v>
      </c>
      <c r="Q187" s="116">
        <v>88.94</v>
      </c>
      <c r="R187">
        <v>3166725</v>
      </c>
    </row>
    <row r="188" spans="1:18" x14ac:dyDescent="0.25">
      <c r="A188" s="170">
        <v>42353</v>
      </c>
      <c r="B188" s="116">
        <v>3.6936088977423598</v>
      </c>
      <c r="C188" s="116">
        <v>3.6936088977423598</v>
      </c>
      <c r="D188" s="116">
        <v>3.6936088977423598</v>
      </c>
      <c r="E188" s="116">
        <v>3.6936088977423598</v>
      </c>
      <c r="F188" s="116">
        <v>20.2</v>
      </c>
      <c r="G188">
        <v>11</v>
      </c>
      <c r="H188" s="116"/>
      <c r="I188" s="116"/>
      <c r="L188" s="170">
        <v>45853</v>
      </c>
      <c r="M188" s="116">
        <v>79.294725343320806</v>
      </c>
      <c r="N188" s="116">
        <v>83.995162297128601</v>
      </c>
      <c r="O188" s="116">
        <v>78.974656679151096</v>
      </c>
      <c r="P188" s="116">
        <v>81.205992509363298</v>
      </c>
      <c r="Q188" s="116">
        <v>86.71</v>
      </c>
      <c r="R188">
        <v>3761609</v>
      </c>
    </row>
    <row r="189" spans="1:18" x14ac:dyDescent="0.25">
      <c r="A189" s="170">
        <v>42354</v>
      </c>
      <c r="B189" s="116">
        <v>3.6113255312085002</v>
      </c>
      <c r="C189" s="116">
        <v>3.6113255312085002</v>
      </c>
      <c r="D189" s="116">
        <v>3.5107569721115501</v>
      </c>
      <c r="E189" s="116">
        <v>3.5107569721115501</v>
      </c>
      <c r="F189" s="116">
        <v>19.75</v>
      </c>
      <c r="G189">
        <v>2150</v>
      </c>
      <c r="H189" s="116"/>
      <c r="I189" s="116"/>
      <c r="L189" s="170">
        <v>45854</v>
      </c>
      <c r="M189" s="116">
        <v>77.575499375780296</v>
      </c>
      <c r="N189" s="116">
        <v>79.7428214731586</v>
      </c>
      <c r="O189" s="116">
        <v>75.554494382022497</v>
      </c>
      <c r="P189" s="116">
        <v>79.559925093632998</v>
      </c>
      <c r="Q189" s="116">
        <v>84.83</v>
      </c>
      <c r="R189">
        <v>5757595</v>
      </c>
    </row>
    <row r="190" spans="1:18" x14ac:dyDescent="0.25">
      <c r="A190" s="170">
        <v>42356</v>
      </c>
      <c r="B190" s="116">
        <v>3.67532370517928</v>
      </c>
      <c r="C190" s="116">
        <v>3.67532370517928</v>
      </c>
      <c r="D190" s="116">
        <v>3.67532370517928</v>
      </c>
      <c r="E190" s="116">
        <v>3.67532370517928</v>
      </c>
      <c r="F190" s="116">
        <v>20.100000000000001</v>
      </c>
      <c r="G190">
        <v>4</v>
      </c>
      <c r="H190" s="116"/>
      <c r="I190" s="116"/>
      <c r="L190" s="170">
        <v>45855</v>
      </c>
      <c r="M190" s="116">
        <v>73.432896379525602</v>
      </c>
      <c r="N190" s="116">
        <v>78.700312109862693</v>
      </c>
      <c r="O190" s="116">
        <v>72.957365792759006</v>
      </c>
      <c r="P190" s="116">
        <v>77.703526841448195</v>
      </c>
      <c r="Q190" s="116">
        <v>80.3</v>
      </c>
      <c r="R190">
        <v>4129296</v>
      </c>
    </row>
    <row r="191" spans="1:18" x14ac:dyDescent="0.25">
      <c r="A191" s="170">
        <v>42360</v>
      </c>
      <c r="B191" s="116">
        <v>3.7484644754316099</v>
      </c>
      <c r="C191" s="116">
        <v>3.6570385126162002</v>
      </c>
      <c r="D191" s="116">
        <v>3.6570385126162002</v>
      </c>
      <c r="E191" s="116">
        <v>3.7484644754316099</v>
      </c>
      <c r="F191" s="116">
        <v>20</v>
      </c>
      <c r="G191">
        <v>2</v>
      </c>
      <c r="H191" s="116"/>
      <c r="I191" s="116"/>
      <c r="L191" s="170">
        <v>45856</v>
      </c>
      <c r="M191" s="116">
        <v>73.798689138576805</v>
      </c>
      <c r="N191" s="116">
        <v>74.475405742821494</v>
      </c>
      <c r="O191" s="116">
        <v>71.640511860174797</v>
      </c>
      <c r="P191" s="116">
        <v>73.25</v>
      </c>
      <c r="Q191" s="116">
        <v>80.7</v>
      </c>
      <c r="R191">
        <v>4993808</v>
      </c>
    </row>
    <row r="192" spans="1:18" x14ac:dyDescent="0.25">
      <c r="A192" s="170">
        <v>42362</v>
      </c>
      <c r="B192" s="116">
        <v>3.8398904382470098</v>
      </c>
      <c r="C192" s="116">
        <v>3.4741865869853901</v>
      </c>
      <c r="D192" s="116">
        <v>3.4741865869853901</v>
      </c>
      <c r="E192" s="116">
        <v>3.8398904382470098</v>
      </c>
      <c r="F192" s="116">
        <v>19</v>
      </c>
      <c r="G192">
        <v>64</v>
      </c>
      <c r="H192" s="116"/>
      <c r="I192" s="116"/>
      <c r="L192" s="170">
        <v>45859</v>
      </c>
      <c r="M192" s="116">
        <v>75.234425717852702</v>
      </c>
      <c r="N192" s="116">
        <v>76.240355805243496</v>
      </c>
      <c r="O192" s="116">
        <v>73.121972534332102</v>
      </c>
      <c r="P192" s="116">
        <v>74.393102372035003</v>
      </c>
      <c r="Q192" s="116">
        <v>82.27</v>
      </c>
      <c r="R192">
        <v>6508325</v>
      </c>
    </row>
    <row r="193" spans="1:18" x14ac:dyDescent="0.25">
      <c r="A193" s="170">
        <v>42367</v>
      </c>
      <c r="B193" s="116">
        <v>3.5564699535192599</v>
      </c>
      <c r="C193" s="116">
        <v>3.5564699535192599</v>
      </c>
      <c r="D193" s="116">
        <v>3.5564699535192599</v>
      </c>
      <c r="E193" s="116">
        <v>3.5564699535192599</v>
      </c>
      <c r="F193" s="116">
        <v>19.45</v>
      </c>
      <c r="G193">
        <v>2</v>
      </c>
      <c r="H193" s="116"/>
      <c r="I193" s="116"/>
      <c r="L193" s="170">
        <v>45860</v>
      </c>
      <c r="M193" s="116">
        <v>74.749750312109896</v>
      </c>
      <c r="N193" s="116">
        <v>75.901997503121095</v>
      </c>
      <c r="O193" s="116">
        <v>73.624937578027499</v>
      </c>
      <c r="P193" s="116">
        <v>75.682521847690396</v>
      </c>
      <c r="Q193" s="116">
        <v>81.739999999999995</v>
      </c>
      <c r="R193">
        <v>2310207</v>
      </c>
    </row>
    <row r="194" spans="1:18" x14ac:dyDescent="0.25">
      <c r="A194" s="170">
        <v>42369</v>
      </c>
      <c r="B194" s="116">
        <v>3.4741865869853901</v>
      </c>
      <c r="C194" s="116">
        <v>3.4741865869853901</v>
      </c>
      <c r="D194" s="116">
        <v>3.4741865869853901</v>
      </c>
      <c r="E194" s="116">
        <v>3.4741865869853901</v>
      </c>
      <c r="F194" s="116">
        <v>19</v>
      </c>
      <c r="G194">
        <v>48</v>
      </c>
      <c r="H194" s="116"/>
      <c r="I194" s="116"/>
      <c r="L194" s="170">
        <v>45861</v>
      </c>
      <c r="M194" s="116">
        <v>75.0515293383271</v>
      </c>
      <c r="N194" s="116">
        <v>75.444756554307105</v>
      </c>
      <c r="O194" s="116">
        <v>74.393102372035003</v>
      </c>
      <c r="P194" s="116">
        <v>75.078963795255902</v>
      </c>
      <c r="Q194" s="116">
        <v>82.07</v>
      </c>
      <c r="R194">
        <v>1342625</v>
      </c>
    </row>
    <row r="195" spans="1:18" x14ac:dyDescent="0.25">
      <c r="A195" s="170">
        <v>42370</v>
      </c>
      <c r="B195" s="116">
        <v>3.4559013944223098</v>
      </c>
      <c r="C195" s="116">
        <v>3.43761620185923</v>
      </c>
      <c r="D195" s="116">
        <v>3.4193310092961502</v>
      </c>
      <c r="E195" s="116">
        <v>3.4559013944223098</v>
      </c>
      <c r="F195" s="116">
        <v>18.8</v>
      </c>
      <c r="G195">
        <v>3000</v>
      </c>
      <c r="H195" s="116"/>
      <c r="I195" s="116"/>
      <c r="L195" s="170">
        <v>45862</v>
      </c>
      <c r="M195" s="116">
        <v>74.548564294631703</v>
      </c>
      <c r="N195" s="116">
        <v>75.353308364544304</v>
      </c>
      <c r="O195" s="116">
        <v>73.798689138576805</v>
      </c>
      <c r="P195" s="116">
        <v>75.0515293383271</v>
      </c>
      <c r="Q195" s="116">
        <v>81.52</v>
      </c>
      <c r="R195">
        <v>1010723</v>
      </c>
    </row>
    <row r="196" spans="1:18" x14ac:dyDescent="0.25">
      <c r="A196" s="170">
        <v>42373</v>
      </c>
      <c r="B196" s="116">
        <v>3.2821920650730401</v>
      </c>
      <c r="C196" s="116">
        <v>3.2821920650730401</v>
      </c>
      <c r="D196" s="116">
        <v>3.2821920650730401</v>
      </c>
      <c r="E196" s="116">
        <v>3.2821920650730401</v>
      </c>
      <c r="F196" s="116">
        <v>17.95</v>
      </c>
      <c r="G196">
        <v>500</v>
      </c>
      <c r="H196" s="116"/>
      <c r="I196" s="116"/>
      <c r="L196" s="170">
        <v>45863</v>
      </c>
      <c r="M196" s="116">
        <v>72.600717852684099</v>
      </c>
      <c r="N196" s="116">
        <v>74.475405742821494</v>
      </c>
      <c r="O196" s="116">
        <v>72.244069912609206</v>
      </c>
      <c r="P196" s="116">
        <v>74.073033707865207</v>
      </c>
      <c r="Q196" s="116">
        <v>79.39</v>
      </c>
      <c r="R196">
        <v>1766713</v>
      </c>
    </row>
    <row r="197" spans="1:18" x14ac:dyDescent="0.25">
      <c r="A197" s="170">
        <v>42374</v>
      </c>
      <c r="B197" s="116">
        <v>3.43761620185923</v>
      </c>
      <c r="C197" s="116">
        <v>3.43761620185923</v>
      </c>
      <c r="D197" s="116">
        <v>3.2730494687915002</v>
      </c>
      <c r="E197" s="116">
        <v>3.2821920650730401</v>
      </c>
      <c r="F197" s="116">
        <v>18.8</v>
      </c>
      <c r="G197">
        <v>7613</v>
      </c>
      <c r="H197" s="116"/>
      <c r="I197" s="116"/>
      <c r="L197" s="170">
        <v>45866</v>
      </c>
      <c r="M197" s="116">
        <v>74.1187578027466</v>
      </c>
      <c r="N197" s="116">
        <v>74.978370786516805</v>
      </c>
      <c r="O197" s="116">
        <v>71.722815230961302</v>
      </c>
      <c r="P197" s="116">
        <v>72.829338327091094</v>
      </c>
      <c r="Q197" s="116">
        <v>81.05</v>
      </c>
      <c r="R197">
        <v>2077591</v>
      </c>
    </row>
    <row r="198" spans="1:18" x14ac:dyDescent="0.25">
      <c r="A198" s="170">
        <v>42376</v>
      </c>
      <c r="B198" s="116">
        <v>3.4741865869853901</v>
      </c>
      <c r="C198" s="116">
        <v>3.4741865869853901</v>
      </c>
      <c r="D198" s="116">
        <v>3.43761620185923</v>
      </c>
      <c r="E198" s="116">
        <v>3.43761620185923</v>
      </c>
      <c r="F198" s="116">
        <v>19</v>
      </c>
      <c r="G198">
        <v>4</v>
      </c>
      <c r="H198" s="116"/>
      <c r="I198" s="116"/>
      <c r="L198" s="170">
        <v>45867</v>
      </c>
      <c r="M198" s="116">
        <v>75.097253433208493</v>
      </c>
      <c r="N198" s="116">
        <v>75.444756554307105</v>
      </c>
      <c r="O198" s="116">
        <v>72.7836142322097</v>
      </c>
      <c r="P198" s="116">
        <v>74.566853932584294</v>
      </c>
      <c r="Q198" s="116">
        <v>82.12</v>
      </c>
      <c r="R198">
        <v>1803317</v>
      </c>
    </row>
    <row r="199" spans="1:18" x14ac:dyDescent="0.25">
      <c r="A199" s="170">
        <v>42377</v>
      </c>
      <c r="B199" s="116">
        <v>3.5656125498007998</v>
      </c>
      <c r="C199" s="116">
        <v>3.5656125498007998</v>
      </c>
      <c r="D199" s="116">
        <v>3.5656125498007998</v>
      </c>
      <c r="E199" s="116">
        <v>3.5656125498007998</v>
      </c>
      <c r="F199" s="116">
        <v>19.5</v>
      </c>
      <c r="G199">
        <v>2000</v>
      </c>
      <c r="H199" s="116"/>
      <c r="I199" s="116"/>
      <c r="L199" s="170">
        <v>45868</v>
      </c>
      <c r="M199" s="116">
        <v>74.329088639201004</v>
      </c>
      <c r="N199" s="116">
        <v>76.487265917602997</v>
      </c>
      <c r="O199" s="116">
        <v>74.0273096129838</v>
      </c>
      <c r="P199" s="116">
        <v>75.444756554307105</v>
      </c>
      <c r="Q199" s="116">
        <v>81.28</v>
      </c>
      <c r="R199">
        <v>1909979</v>
      </c>
    </row>
    <row r="200" spans="1:18" x14ac:dyDescent="0.25">
      <c r="A200" s="170">
        <v>42380</v>
      </c>
      <c r="B200" s="116">
        <v>3.73932187915007</v>
      </c>
      <c r="C200" s="116">
        <v>3.73932187915007</v>
      </c>
      <c r="D200" s="116">
        <v>3.5656125498007998</v>
      </c>
      <c r="E200" s="116">
        <v>3.5656125498007998</v>
      </c>
      <c r="F200" s="116">
        <v>20.45</v>
      </c>
      <c r="G200">
        <v>6</v>
      </c>
      <c r="H200" s="116"/>
      <c r="I200" s="116"/>
      <c r="L200" s="170">
        <v>45869</v>
      </c>
      <c r="M200" s="116">
        <v>79.239856429463202</v>
      </c>
      <c r="N200" s="116">
        <v>80.840199750312095</v>
      </c>
      <c r="O200" s="116">
        <v>72.582428214731607</v>
      </c>
      <c r="P200" s="116">
        <v>73.021379525593005</v>
      </c>
      <c r="Q200" s="116">
        <v>86.65</v>
      </c>
      <c r="R200">
        <v>12682673</v>
      </c>
    </row>
    <row r="201" spans="1:18" x14ac:dyDescent="0.25">
      <c r="A201" s="170">
        <v>42381</v>
      </c>
      <c r="B201" s="116">
        <v>3.9221738047808801</v>
      </c>
      <c r="C201" s="116">
        <v>3.8947460159362599</v>
      </c>
      <c r="D201" s="116">
        <v>3.8947460159362599</v>
      </c>
      <c r="E201" s="116">
        <v>3.9221738047808801</v>
      </c>
      <c r="F201" s="116">
        <v>21.3</v>
      </c>
      <c r="G201">
        <v>2000</v>
      </c>
      <c r="H201" s="116"/>
      <c r="I201" s="116"/>
      <c r="L201" s="170">
        <v>45870</v>
      </c>
      <c r="M201" s="116">
        <v>73.871847690387</v>
      </c>
      <c r="N201" s="116">
        <v>79.267290886392004</v>
      </c>
      <c r="O201" s="116">
        <v>73.158551810237199</v>
      </c>
      <c r="P201" s="116">
        <v>79.084394506866403</v>
      </c>
      <c r="Q201" s="116">
        <v>80.78</v>
      </c>
      <c r="R201">
        <v>3347843</v>
      </c>
    </row>
    <row r="202" spans="1:18" x14ac:dyDescent="0.25">
      <c r="A202" s="170">
        <v>42384</v>
      </c>
      <c r="B202" s="116">
        <v>3.7027514940239001</v>
      </c>
      <c r="C202" s="116">
        <v>3.7027514940239001</v>
      </c>
      <c r="D202" s="116">
        <v>3.7027514940239001</v>
      </c>
      <c r="E202" s="116">
        <v>3.7027514940239001</v>
      </c>
      <c r="F202" s="116">
        <v>20.25</v>
      </c>
      <c r="G202">
        <v>600</v>
      </c>
      <c r="H202" s="116"/>
      <c r="I202" s="116"/>
      <c r="L202" s="170">
        <v>45873</v>
      </c>
      <c r="M202" s="116">
        <v>76.560424469413206</v>
      </c>
      <c r="N202" s="116">
        <v>78.188202247191001</v>
      </c>
      <c r="O202" s="116">
        <v>73.167696629213495</v>
      </c>
      <c r="P202" s="116">
        <v>73.167696629213495</v>
      </c>
      <c r="Q202" s="116">
        <v>83.72</v>
      </c>
      <c r="R202">
        <v>3396832</v>
      </c>
    </row>
    <row r="203" spans="1:18" x14ac:dyDescent="0.25">
      <c r="A203" s="170">
        <v>42389</v>
      </c>
      <c r="B203" s="116">
        <v>3.86731822709163</v>
      </c>
      <c r="C203" s="116">
        <v>3.8490330345285502</v>
      </c>
      <c r="D203" s="116">
        <v>3.8490330345285502</v>
      </c>
      <c r="E203" s="116">
        <v>3.86731822709163</v>
      </c>
      <c r="F203" s="116">
        <v>21.05</v>
      </c>
      <c r="G203">
        <v>15</v>
      </c>
      <c r="H203" s="116"/>
      <c r="I203" s="116"/>
      <c r="L203" s="170">
        <v>45874</v>
      </c>
      <c r="M203" s="116">
        <v>77.923002496878894</v>
      </c>
      <c r="N203" s="116">
        <v>79.468476903870197</v>
      </c>
      <c r="O203" s="116">
        <v>76.560424469413206</v>
      </c>
      <c r="P203" s="116">
        <v>76.816479400749103</v>
      </c>
      <c r="Q203" s="116">
        <v>85.21</v>
      </c>
      <c r="R203">
        <v>5075144</v>
      </c>
    </row>
    <row r="204" spans="1:18" x14ac:dyDescent="0.25">
      <c r="A204" s="170">
        <v>42390</v>
      </c>
      <c r="B204" s="116">
        <v>3.8398904382470098</v>
      </c>
      <c r="C204" s="116">
        <v>3.6570385126162002</v>
      </c>
      <c r="D204" s="116">
        <v>3.6570385126162002</v>
      </c>
      <c r="E204" s="116">
        <v>3.8307478419654699</v>
      </c>
      <c r="F204" s="116">
        <v>20</v>
      </c>
      <c r="G204">
        <v>1602</v>
      </c>
      <c r="H204" s="116"/>
      <c r="I204" s="116"/>
      <c r="L204" s="170">
        <v>45875</v>
      </c>
      <c r="M204" s="116">
        <v>76.487265917602997</v>
      </c>
      <c r="N204" s="116">
        <v>79.011235955056193</v>
      </c>
      <c r="O204" s="116">
        <v>76.094038701623006</v>
      </c>
      <c r="P204" s="116">
        <v>78.371098626716602</v>
      </c>
      <c r="Q204" s="116">
        <v>83.64</v>
      </c>
      <c r="R204">
        <v>1368527</v>
      </c>
    </row>
    <row r="205" spans="1:18" x14ac:dyDescent="0.25">
      <c r="A205" s="170">
        <v>42394</v>
      </c>
      <c r="B205" s="116">
        <v>3.8398904382470098</v>
      </c>
      <c r="C205" s="116">
        <v>3.8398904382470098</v>
      </c>
      <c r="D205" s="116">
        <v>3.8398904382470098</v>
      </c>
      <c r="E205" s="116">
        <v>3.8398904382470098</v>
      </c>
      <c r="F205" s="116">
        <v>21</v>
      </c>
      <c r="G205">
        <v>5</v>
      </c>
      <c r="H205" s="116"/>
      <c r="I205" s="116"/>
      <c r="L205" s="170">
        <v>45876</v>
      </c>
      <c r="M205" s="116">
        <v>77.676092384519393</v>
      </c>
      <c r="N205" s="116">
        <v>78.0967540574282</v>
      </c>
      <c r="O205" s="116">
        <v>74.301654182272202</v>
      </c>
      <c r="P205" s="116">
        <v>76.5421348314607</v>
      </c>
      <c r="Q205" s="116">
        <v>84.94</v>
      </c>
      <c r="R205">
        <v>2531103</v>
      </c>
    </row>
    <row r="206" spans="1:18" x14ac:dyDescent="0.25">
      <c r="A206" s="170">
        <v>42397</v>
      </c>
      <c r="B206" s="116">
        <v>3.6478959163346598</v>
      </c>
      <c r="C206" s="116">
        <v>3.6478959163346598</v>
      </c>
      <c r="D206" s="116">
        <v>3.6478959163346598</v>
      </c>
      <c r="E206" s="116">
        <v>3.6478959163346598</v>
      </c>
      <c r="F206" s="116">
        <v>19.95</v>
      </c>
      <c r="G206">
        <v>35</v>
      </c>
      <c r="H206" s="116"/>
      <c r="I206" s="116"/>
      <c r="L206" s="170">
        <v>45877</v>
      </c>
      <c r="M206" s="116">
        <v>76.523845193508095</v>
      </c>
      <c r="N206" s="116">
        <v>78.361953807740306</v>
      </c>
      <c r="O206" s="116">
        <v>75.078963795255902</v>
      </c>
      <c r="P206" s="116">
        <v>77.868133583021205</v>
      </c>
      <c r="Q206" s="116">
        <v>83.68</v>
      </c>
      <c r="R206">
        <v>2656012</v>
      </c>
    </row>
    <row r="207" spans="1:18" x14ac:dyDescent="0.25">
      <c r="A207" s="170">
        <v>42401</v>
      </c>
      <c r="B207" s="116">
        <v>3.7850348605577699</v>
      </c>
      <c r="C207" s="116">
        <v>3.4741865869853901</v>
      </c>
      <c r="D207" s="116">
        <v>3.4741865869853901</v>
      </c>
      <c r="E207" s="116">
        <v>3.7301792828685301</v>
      </c>
      <c r="F207" s="116">
        <v>19</v>
      </c>
      <c r="G207">
        <v>2134</v>
      </c>
      <c r="H207" s="116"/>
      <c r="I207" s="116"/>
      <c r="L207" s="170">
        <v>45880</v>
      </c>
      <c r="M207" s="116">
        <v>71.750249687890104</v>
      </c>
      <c r="N207" s="116">
        <v>78.645443196005004</v>
      </c>
      <c r="O207" s="116">
        <v>70.963795255930094</v>
      </c>
      <c r="P207" s="116">
        <v>76.633583021223501</v>
      </c>
      <c r="Q207" s="116">
        <v>78.459999999999994</v>
      </c>
      <c r="R207">
        <v>6485228</v>
      </c>
    </row>
    <row r="208" spans="1:18" x14ac:dyDescent="0.25">
      <c r="A208" s="170">
        <v>42408</v>
      </c>
      <c r="B208" s="116">
        <v>3.62961072377158</v>
      </c>
      <c r="C208" s="116">
        <v>3.62961072377158</v>
      </c>
      <c r="D208" s="116">
        <v>3.62961072377158</v>
      </c>
      <c r="E208" s="116">
        <v>3.62961072377158</v>
      </c>
      <c r="F208" s="116">
        <v>19.850000000000001</v>
      </c>
      <c r="G208">
        <v>5</v>
      </c>
      <c r="H208" s="116"/>
      <c r="I208" s="116"/>
      <c r="L208" s="170">
        <v>45881</v>
      </c>
      <c r="M208" s="116">
        <v>69.427465667915101</v>
      </c>
      <c r="N208" s="116">
        <v>71.6953807740325</v>
      </c>
      <c r="O208" s="116">
        <v>68.138046192259694</v>
      </c>
      <c r="P208" s="116">
        <v>71.503339575530603</v>
      </c>
      <c r="Q208" s="116">
        <v>75.92</v>
      </c>
      <c r="R208">
        <v>4490241</v>
      </c>
    </row>
    <row r="209" spans="1:18" x14ac:dyDescent="0.25">
      <c r="A209" s="170">
        <v>42409</v>
      </c>
      <c r="B209" s="116">
        <v>3.7850348605577699</v>
      </c>
      <c r="C209" s="116">
        <v>3.7850348605577699</v>
      </c>
      <c r="D209" s="116">
        <v>3.7850348605577699</v>
      </c>
      <c r="E209" s="116">
        <v>3.7850348605577699</v>
      </c>
      <c r="F209" s="116">
        <v>20.7</v>
      </c>
      <c r="G209">
        <v>5</v>
      </c>
      <c r="H209" s="116"/>
      <c r="I209" s="116"/>
      <c r="L209" s="170">
        <v>45882</v>
      </c>
      <c r="M209" s="116">
        <v>73.25</v>
      </c>
      <c r="N209" s="116">
        <v>74.1187578027466</v>
      </c>
      <c r="O209" s="116">
        <v>69.143976279650403</v>
      </c>
      <c r="P209" s="116">
        <v>69.143976279650403</v>
      </c>
      <c r="Q209" s="116">
        <v>80.099999999999994</v>
      </c>
      <c r="R209">
        <v>11469404</v>
      </c>
    </row>
    <row r="210" spans="1:18" x14ac:dyDescent="0.25">
      <c r="A210" s="170">
        <v>42423</v>
      </c>
      <c r="B210" s="116">
        <v>3.7667496679946901</v>
      </c>
      <c r="C210" s="116">
        <v>3.7484644754316099</v>
      </c>
      <c r="D210" s="116">
        <v>3.6021829349269598</v>
      </c>
      <c r="E210" s="116">
        <v>3.7667496679946901</v>
      </c>
      <c r="F210" s="116">
        <v>20.5</v>
      </c>
      <c r="G210">
        <v>1105</v>
      </c>
      <c r="H210" s="116"/>
      <c r="I210" s="116"/>
      <c r="L210" s="170">
        <v>45883</v>
      </c>
      <c r="M210" s="116">
        <v>72.84</v>
      </c>
      <c r="N210" s="116">
        <v>73.989999999999995</v>
      </c>
      <c r="O210" s="116">
        <v>69.06</v>
      </c>
      <c r="P210" s="116">
        <v>70.81</v>
      </c>
      <c r="Q210" s="116">
        <v>72.84</v>
      </c>
      <c r="R210">
        <v>21479233</v>
      </c>
    </row>
    <row r="211" spans="1:18" x14ac:dyDescent="0.25">
      <c r="A211" s="170">
        <v>42425</v>
      </c>
      <c r="B211" s="116">
        <v>3.71189409030544</v>
      </c>
      <c r="C211" s="116">
        <v>3.5656125498007998</v>
      </c>
      <c r="D211" s="116">
        <v>3.5656125498007998</v>
      </c>
      <c r="E211" s="116">
        <v>3.7027514940239001</v>
      </c>
      <c r="F211" s="116">
        <v>19.5</v>
      </c>
      <c r="G211">
        <v>2882</v>
      </c>
      <c r="H211" s="116"/>
      <c r="I211" s="116"/>
      <c r="L211" s="170">
        <v>45887</v>
      </c>
      <c r="M211" s="116">
        <v>77.22</v>
      </c>
      <c r="N211" s="116">
        <v>78.400000000000006</v>
      </c>
      <c r="O211" s="116">
        <v>70.599999999999994</v>
      </c>
      <c r="P211" s="116">
        <v>72.5</v>
      </c>
      <c r="Q211" s="116">
        <v>77.22</v>
      </c>
      <c r="R211">
        <v>21580636</v>
      </c>
    </row>
    <row r="212" spans="1:18" x14ac:dyDescent="0.25">
      <c r="A212" s="170">
        <v>42433</v>
      </c>
      <c r="B212" s="116">
        <v>3.39190322045153</v>
      </c>
      <c r="C212" s="116">
        <v>3.39190322045153</v>
      </c>
      <c r="D212" s="116">
        <v>3.39190322045153</v>
      </c>
      <c r="E212" s="116">
        <v>3.39190322045153</v>
      </c>
      <c r="F212" s="116">
        <v>18.55</v>
      </c>
      <c r="G212">
        <v>10</v>
      </c>
      <c r="H212" s="116"/>
      <c r="I212" s="116"/>
      <c r="L212" s="170">
        <v>45888</v>
      </c>
      <c r="M212" s="116">
        <v>76.040000000000006</v>
      </c>
      <c r="N212" s="116">
        <v>78.5</v>
      </c>
      <c r="O212" s="116">
        <v>75.25</v>
      </c>
      <c r="P212" s="116">
        <v>77.95</v>
      </c>
      <c r="Q212" s="116">
        <v>76.040000000000006</v>
      </c>
      <c r="R212">
        <v>10904137</v>
      </c>
    </row>
    <row r="213" spans="1:18" x14ac:dyDescent="0.25">
      <c r="A213" s="170">
        <v>42437</v>
      </c>
      <c r="B213" s="116">
        <v>3.54732735723772</v>
      </c>
      <c r="C213" s="116">
        <v>3.54732735723772</v>
      </c>
      <c r="D213" s="116">
        <v>3.39190322045153</v>
      </c>
      <c r="E213" s="116">
        <v>3.39190322045153</v>
      </c>
      <c r="F213" s="116">
        <v>19.399999999999999</v>
      </c>
      <c r="G213">
        <v>12</v>
      </c>
      <c r="H213" s="116"/>
      <c r="I213" s="116"/>
      <c r="L213" s="170">
        <v>45889</v>
      </c>
      <c r="M213" s="116">
        <v>76.05</v>
      </c>
      <c r="N213" s="116">
        <v>77.650000000000006</v>
      </c>
      <c r="O213" s="116">
        <v>75.459999999999994</v>
      </c>
      <c r="P213" s="116">
        <v>76.3</v>
      </c>
      <c r="Q213" s="116">
        <v>76.05</v>
      </c>
      <c r="R213">
        <v>3397030</v>
      </c>
    </row>
    <row r="214" spans="1:18" x14ac:dyDescent="0.25">
      <c r="A214" s="170">
        <v>42438</v>
      </c>
      <c r="B214" s="116">
        <v>3.7027514940239001</v>
      </c>
      <c r="C214" s="116">
        <v>3.7027514940239001</v>
      </c>
      <c r="D214" s="116">
        <v>3.7027514940239001</v>
      </c>
      <c r="E214" s="116">
        <v>3.7027514940239001</v>
      </c>
      <c r="F214" s="116">
        <v>20.25</v>
      </c>
      <c r="G214">
        <v>5</v>
      </c>
      <c r="H214" s="116"/>
      <c r="I214" s="116"/>
      <c r="L214" s="170">
        <v>45890</v>
      </c>
      <c r="M214" s="116">
        <v>74.22</v>
      </c>
      <c r="N214" s="116">
        <v>76.95</v>
      </c>
      <c r="O214" s="116">
        <v>72.73</v>
      </c>
      <c r="P214" s="116">
        <v>76.7</v>
      </c>
      <c r="Q214" s="116">
        <v>74.22</v>
      </c>
      <c r="R214">
        <v>6985684</v>
      </c>
    </row>
    <row r="215" spans="1:18" x14ac:dyDescent="0.25">
      <c r="A215" s="170">
        <v>42457</v>
      </c>
      <c r="B215" s="116">
        <v>3.51989956839309</v>
      </c>
      <c r="C215" s="116">
        <v>3.51989956839309</v>
      </c>
      <c r="D215" s="116">
        <v>3.51989956839309</v>
      </c>
      <c r="E215" s="116">
        <v>3.51989956839309</v>
      </c>
      <c r="F215" s="116">
        <v>19.25</v>
      </c>
      <c r="G215">
        <v>4500</v>
      </c>
      <c r="H215" s="116"/>
      <c r="I215" s="116"/>
      <c r="L215" s="170">
        <v>45891</v>
      </c>
      <c r="M215" s="116">
        <v>71.97</v>
      </c>
      <c r="N215" s="116">
        <v>74.69</v>
      </c>
      <c r="O215" s="116">
        <v>71.5</v>
      </c>
      <c r="P215" s="116">
        <v>74.69</v>
      </c>
      <c r="Q215" s="116">
        <v>71.97</v>
      </c>
      <c r="R215">
        <v>2171706</v>
      </c>
    </row>
    <row r="216" spans="1:18" x14ac:dyDescent="0.25">
      <c r="A216" s="170">
        <v>42459</v>
      </c>
      <c r="B216" s="116">
        <v>3.5107569721115501</v>
      </c>
      <c r="C216" s="116">
        <v>3.5016143758300098</v>
      </c>
      <c r="D216" s="116">
        <v>3.5016143758300098</v>
      </c>
      <c r="E216" s="116">
        <v>3.5107569721115501</v>
      </c>
      <c r="F216" s="116">
        <v>19.149999999999999</v>
      </c>
      <c r="G216">
        <v>200</v>
      </c>
      <c r="H216" s="116"/>
      <c r="I216" s="116"/>
      <c r="L216" s="170">
        <v>45894</v>
      </c>
      <c r="M216" s="116">
        <v>73.680000000000007</v>
      </c>
      <c r="N216" s="116">
        <v>75.739999999999995</v>
      </c>
      <c r="O216" s="116">
        <v>70.400000000000006</v>
      </c>
      <c r="P216" s="116">
        <v>70.400000000000006</v>
      </c>
      <c r="Q216" s="116">
        <v>73.680000000000007</v>
      </c>
      <c r="R216">
        <v>11007991</v>
      </c>
    </row>
    <row r="217" spans="1:18" x14ac:dyDescent="0.25">
      <c r="A217" s="170">
        <v>42461</v>
      </c>
      <c r="B217" s="116">
        <v>3.67532370517928</v>
      </c>
      <c r="C217" s="116">
        <v>3.67532370517928</v>
      </c>
      <c r="D217" s="116">
        <v>3.67532370517928</v>
      </c>
      <c r="E217" s="116">
        <v>3.67532370517928</v>
      </c>
      <c r="F217" s="116">
        <v>20.100000000000001</v>
      </c>
      <c r="G217">
        <v>5</v>
      </c>
      <c r="H217" s="116"/>
      <c r="I217" s="116"/>
      <c r="L217" s="170">
        <v>45895</v>
      </c>
      <c r="M217" s="116">
        <v>71.510000000000005</v>
      </c>
      <c r="N217" s="116">
        <v>74.25</v>
      </c>
      <c r="O217" s="116">
        <v>70.59</v>
      </c>
      <c r="P217" s="116">
        <v>73.81</v>
      </c>
      <c r="Q217" s="116">
        <v>71.510000000000005</v>
      </c>
      <c r="R217">
        <v>10956839</v>
      </c>
    </row>
    <row r="218" spans="1:18" x14ac:dyDescent="0.25">
      <c r="A218" s="170">
        <v>42466</v>
      </c>
      <c r="B218" s="116">
        <v>3.7576070717131498</v>
      </c>
      <c r="C218" s="116">
        <v>3.7576070717131498</v>
      </c>
      <c r="D218" s="116">
        <v>3.7576070717131498</v>
      </c>
      <c r="E218" s="116">
        <v>3.7576070717131498</v>
      </c>
      <c r="F218" s="116">
        <v>20.55</v>
      </c>
      <c r="G218">
        <v>5</v>
      </c>
      <c r="H218" s="116"/>
      <c r="I218" s="116"/>
      <c r="L218" s="170">
        <v>45897</v>
      </c>
      <c r="M218" s="116">
        <v>70.61</v>
      </c>
      <c r="N218" s="116">
        <v>71.989999999999995</v>
      </c>
      <c r="O218" s="116">
        <v>70.17</v>
      </c>
      <c r="P218" s="116">
        <v>71.510000000000005</v>
      </c>
      <c r="Q218" s="116">
        <v>70.61</v>
      </c>
      <c r="R218">
        <v>4264247</v>
      </c>
    </row>
    <row r="219" spans="1:18" x14ac:dyDescent="0.25">
      <c r="A219" s="170">
        <v>42472</v>
      </c>
      <c r="B219" s="116">
        <v>3.58389774236388</v>
      </c>
      <c r="C219" s="116">
        <v>3.58389774236388</v>
      </c>
      <c r="D219" s="116">
        <v>3.58389774236388</v>
      </c>
      <c r="E219" s="116">
        <v>3.58389774236388</v>
      </c>
      <c r="F219" s="116">
        <v>19.600000000000001</v>
      </c>
      <c r="G219">
        <v>250</v>
      </c>
      <c r="H219" s="116"/>
      <c r="I219" s="116"/>
      <c r="L219" s="170">
        <v>45898</v>
      </c>
      <c r="M219" s="116">
        <v>70.89</v>
      </c>
      <c r="N219" s="116">
        <v>72.900000000000006</v>
      </c>
      <c r="O219" s="116">
        <v>70.290000000000006</v>
      </c>
      <c r="P219" s="116">
        <v>70.510000000000005</v>
      </c>
      <c r="Q219" s="116">
        <v>70.89</v>
      </c>
      <c r="R219">
        <v>4843212</v>
      </c>
    </row>
    <row r="220" spans="1:18" x14ac:dyDescent="0.25">
      <c r="A220" s="170">
        <v>42473</v>
      </c>
      <c r="B220" s="116">
        <v>3.4101884130146098</v>
      </c>
      <c r="C220" s="116">
        <v>3.4101884130146098</v>
      </c>
      <c r="D220" s="116">
        <v>3.4101884130146098</v>
      </c>
      <c r="E220" s="116">
        <v>3.4101884130146098</v>
      </c>
      <c r="F220" s="116">
        <v>18.649999999999999</v>
      </c>
      <c r="G220">
        <v>253</v>
      </c>
      <c r="H220" s="116"/>
      <c r="I220" s="116"/>
      <c r="L220" s="170">
        <v>45901</v>
      </c>
      <c r="M220" s="116">
        <v>72.540000000000006</v>
      </c>
      <c r="N220" s="116">
        <v>73.64</v>
      </c>
      <c r="O220" s="116">
        <v>71.290000000000006</v>
      </c>
      <c r="P220" s="116">
        <v>71.3</v>
      </c>
      <c r="Q220" s="116">
        <v>72.540000000000006</v>
      </c>
      <c r="R220">
        <v>4457420</v>
      </c>
    </row>
    <row r="221" spans="1:18" x14ac:dyDescent="0.25">
      <c r="A221" s="170">
        <v>42478</v>
      </c>
      <c r="B221" s="116">
        <v>3.5747551460823401</v>
      </c>
      <c r="C221" s="116">
        <v>3.5747551460823401</v>
      </c>
      <c r="D221" s="116">
        <v>3.5747551460823401</v>
      </c>
      <c r="E221" s="116">
        <v>3.5747551460823401</v>
      </c>
      <c r="F221" s="116">
        <v>19.55</v>
      </c>
      <c r="G221">
        <v>5</v>
      </c>
      <c r="H221" s="116"/>
      <c r="I221" s="116"/>
      <c r="L221" s="170">
        <v>45902</v>
      </c>
      <c r="M221" s="116">
        <v>73.2</v>
      </c>
      <c r="N221" s="116">
        <v>74.099999999999994</v>
      </c>
      <c r="O221" s="116">
        <v>71.569999999999993</v>
      </c>
      <c r="P221" s="116">
        <v>72.45</v>
      </c>
      <c r="Q221" s="116">
        <v>73.2</v>
      </c>
      <c r="R221">
        <v>6716754</v>
      </c>
    </row>
    <row r="222" spans="1:18" x14ac:dyDescent="0.25">
      <c r="A222" s="170">
        <v>42480</v>
      </c>
      <c r="B222" s="116">
        <v>3.73932187915007</v>
      </c>
      <c r="C222" s="116">
        <v>3.73932187915007</v>
      </c>
      <c r="D222" s="116">
        <v>3.73932187915007</v>
      </c>
      <c r="E222" s="116">
        <v>3.73932187915007</v>
      </c>
      <c r="F222" s="116">
        <v>20.45</v>
      </c>
      <c r="G222">
        <v>5</v>
      </c>
      <c r="H222" s="116"/>
      <c r="I222" s="116"/>
      <c r="L222" s="170">
        <v>45903</v>
      </c>
      <c r="M222" s="116">
        <v>72.42</v>
      </c>
      <c r="N222" s="116">
        <v>73.099999999999994</v>
      </c>
      <c r="O222" s="116">
        <v>71.459999999999994</v>
      </c>
      <c r="P222" s="116">
        <v>72.41</v>
      </c>
      <c r="Q222" s="116">
        <v>72.42</v>
      </c>
      <c r="R222">
        <v>2694491</v>
      </c>
    </row>
    <row r="223" spans="1:18" x14ac:dyDescent="0.25">
      <c r="A223" s="170">
        <v>42485</v>
      </c>
      <c r="B223" s="116">
        <v>3.7210366865869902</v>
      </c>
      <c r="C223" s="116">
        <v>3.6936088977423598</v>
      </c>
      <c r="D223" s="116">
        <v>3.6936088977423598</v>
      </c>
      <c r="E223" s="116">
        <v>3.7210366865869902</v>
      </c>
      <c r="F223" s="116">
        <v>20.2</v>
      </c>
      <c r="G223">
        <v>4000</v>
      </c>
      <c r="H223" s="116"/>
      <c r="I223" s="116"/>
      <c r="L223" s="170">
        <v>45904</v>
      </c>
      <c r="M223" s="116">
        <v>70.5</v>
      </c>
      <c r="N223" s="116">
        <v>73.510000000000005</v>
      </c>
      <c r="O223" s="116">
        <v>70.28</v>
      </c>
      <c r="P223" s="116">
        <v>73.400000000000006</v>
      </c>
      <c r="Q223" s="116">
        <v>70.5</v>
      </c>
      <c r="R223">
        <v>2364902</v>
      </c>
    </row>
    <row r="224" spans="1:18" x14ac:dyDescent="0.25">
      <c r="A224" s="170">
        <v>42486</v>
      </c>
      <c r="B224" s="116">
        <v>3.7941774568393098</v>
      </c>
      <c r="C224" s="116">
        <v>3.7941774568393098</v>
      </c>
      <c r="D224" s="116">
        <v>3.7484644754316099</v>
      </c>
      <c r="E224" s="116">
        <v>3.7850348605577699</v>
      </c>
      <c r="F224" s="116">
        <v>20.75</v>
      </c>
      <c r="G224">
        <v>3001</v>
      </c>
      <c r="H224" s="116"/>
      <c r="I224" s="116"/>
      <c r="L224" s="170">
        <v>45905</v>
      </c>
      <c r="M224" s="116">
        <v>74.08</v>
      </c>
      <c r="N224" s="116">
        <v>74.849999999999994</v>
      </c>
      <c r="O224" s="116">
        <v>70.19</v>
      </c>
      <c r="P224" s="116">
        <v>70.69</v>
      </c>
      <c r="Q224" s="116">
        <v>74.08</v>
      </c>
      <c r="R224">
        <v>4181250</v>
      </c>
    </row>
    <row r="225" spans="1:18" x14ac:dyDescent="0.25">
      <c r="A225" s="170">
        <v>42494</v>
      </c>
      <c r="B225" s="116">
        <v>3.7576070717131498</v>
      </c>
      <c r="C225" s="116">
        <v>3.71189409030544</v>
      </c>
      <c r="D225" s="116">
        <v>3.71189409030544</v>
      </c>
      <c r="E225" s="116">
        <v>3.7576070717131498</v>
      </c>
      <c r="F225" s="116">
        <v>20.3</v>
      </c>
      <c r="G225">
        <v>7000</v>
      </c>
      <c r="H225" s="116"/>
      <c r="I225" s="116"/>
      <c r="L225" s="170">
        <v>45908</v>
      </c>
      <c r="M225" s="116">
        <v>72.37</v>
      </c>
      <c r="N225" s="116">
        <v>74.72</v>
      </c>
      <c r="O225" s="116">
        <v>71.81</v>
      </c>
      <c r="P225" s="116">
        <v>74.290000000000006</v>
      </c>
      <c r="Q225" s="116">
        <v>72.37</v>
      </c>
      <c r="R225">
        <v>1883175</v>
      </c>
    </row>
    <row r="226" spans="1:18" x14ac:dyDescent="0.25">
      <c r="A226" s="170">
        <v>42500</v>
      </c>
      <c r="B226" s="116">
        <v>3.6387533200531199</v>
      </c>
      <c r="C226" s="116">
        <v>3.6021829349269598</v>
      </c>
      <c r="D226" s="116">
        <v>3.6021829349269598</v>
      </c>
      <c r="E226" s="116">
        <v>3.6204681274900401</v>
      </c>
      <c r="F226" s="116">
        <v>19.7</v>
      </c>
      <c r="G226">
        <v>10000</v>
      </c>
      <c r="H226" s="116"/>
      <c r="I226" s="116"/>
      <c r="L226" s="170">
        <v>45909</v>
      </c>
      <c r="M226" s="116">
        <v>71.209999999999994</v>
      </c>
      <c r="N226" s="116">
        <v>72.7</v>
      </c>
      <c r="O226" s="116">
        <v>70.55</v>
      </c>
      <c r="P226" s="116">
        <v>72.209999999999994</v>
      </c>
      <c r="Q226" s="116">
        <v>71.209999999999994</v>
      </c>
      <c r="R226">
        <v>1322302</v>
      </c>
    </row>
    <row r="227" spans="1:18" x14ac:dyDescent="0.25">
      <c r="A227" s="170">
        <v>42506</v>
      </c>
      <c r="B227" s="116">
        <v>3.58389774236388</v>
      </c>
      <c r="C227" s="116">
        <v>3.58389774236388</v>
      </c>
      <c r="D227" s="116">
        <v>3.4284736055776901</v>
      </c>
      <c r="E227" s="116">
        <v>3.4284736055776901</v>
      </c>
      <c r="F227" s="116">
        <v>19.600000000000001</v>
      </c>
      <c r="G227">
        <v>14150</v>
      </c>
      <c r="H227" s="116"/>
      <c r="I227" s="116"/>
      <c r="L227" s="170">
        <v>45910</v>
      </c>
      <c r="M227" s="116">
        <v>71.37</v>
      </c>
      <c r="N227" s="116">
        <v>72.5</v>
      </c>
      <c r="O227" s="116">
        <v>70.900000000000006</v>
      </c>
      <c r="P227" s="116">
        <v>71.680000000000007</v>
      </c>
      <c r="Q227" s="116">
        <v>71.37</v>
      </c>
      <c r="R227">
        <v>1108623</v>
      </c>
    </row>
    <row r="228" spans="1:18" x14ac:dyDescent="0.25">
      <c r="A228" s="170">
        <v>42509</v>
      </c>
      <c r="B228" s="116">
        <v>3.58389774236388</v>
      </c>
      <c r="C228" s="116">
        <v>3.58389774236388</v>
      </c>
      <c r="D228" s="116">
        <v>3.58389774236388</v>
      </c>
      <c r="E228" s="116">
        <v>3.58389774236388</v>
      </c>
      <c r="F228" s="116">
        <v>19.600000000000001</v>
      </c>
      <c r="G228">
        <v>1</v>
      </c>
      <c r="H228" s="116"/>
      <c r="I228" s="116"/>
      <c r="L228" s="170">
        <v>45911</v>
      </c>
      <c r="M228" s="116">
        <v>70.36</v>
      </c>
      <c r="N228" s="116">
        <v>72</v>
      </c>
      <c r="O228" s="116">
        <v>70</v>
      </c>
      <c r="P228" s="116">
        <v>71.45</v>
      </c>
      <c r="Q228" s="116">
        <v>70.36</v>
      </c>
      <c r="R228">
        <v>1100779</v>
      </c>
    </row>
    <row r="229" spans="1:18" x14ac:dyDescent="0.25">
      <c r="A229" s="170">
        <v>42520</v>
      </c>
      <c r="B229" s="116">
        <v>3.5747551460823401</v>
      </c>
      <c r="C229" s="116">
        <v>3.5747551460823401</v>
      </c>
      <c r="D229" s="116">
        <v>3.5747551460823401</v>
      </c>
      <c r="E229" s="116">
        <v>3.5747551460823401</v>
      </c>
      <c r="F229" s="116">
        <v>19.55</v>
      </c>
      <c r="G229">
        <v>2</v>
      </c>
      <c r="H229" s="116"/>
      <c r="I229" s="116"/>
      <c r="L229" s="170">
        <v>45912</v>
      </c>
      <c r="M229" s="116">
        <v>70.56</v>
      </c>
      <c r="N229" s="116">
        <v>71.28</v>
      </c>
      <c r="O229" s="116">
        <v>70.05</v>
      </c>
      <c r="P229" s="116">
        <v>70.7</v>
      </c>
      <c r="Q229" s="116">
        <v>70.56</v>
      </c>
      <c r="R229">
        <v>699857</v>
      </c>
    </row>
    <row r="230" spans="1:18" x14ac:dyDescent="0.25">
      <c r="A230" s="170">
        <v>42522</v>
      </c>
      <c r="B230" s="116">
        <v>3.4010458167330699</v>
      </c>
      <c r="C230" s="116">
        <v>3.4010458167330699</v>
      </c>
      <c r="D230" s="116">
        <v>3.4010458167330699</v>
      </c>
      <c r="E230" s="116">
        <v>3.4010458167330699</v>
      </c>
      <c r="F230" s="116">
        <v>18.600000000000001</v>
      </c>
      <c r="G230">
        <v>7000</v>
      </c>
      <c r="H230" s="116"/>
      <c r="I230" s="116"/>
      <c r="L230" s="170">
        <v>45915</v>
      </c>
      <c r="M230" s="116">
        <v>70.599999999999994</v>
      </c>
      <c r="N230" s="116">
        <v>73.12</v>
      </c>
      <c r="O230" s="116">
        <v>70.290000000000006</v>
      </c>
      <c r="P230" s="116">
        <v>71.099999999999994</v>
      </c>
      <c r="Q230" s="116">
        <v>70.599999999999994</v>
      </c>
      <c r="R230">
        <v>3512982</v>
      </c>
    </row>
    <row r="231" spans="1:18" x14ac:dyDescent="0.25">
      <c r="A231" s="170">
        <v>42528</v>
      </c>
      <c r="B231" s="116">
        <v>3.2364790836653401</v>
      </c>
      <c r="C231" s="116">
        <v>3.2364790836653401</v>
      </c>
      <c r="D231" s="116">
        <v>3.2364790836653401</v>
      </c>
      <c r="E231" s="116">
        <v>3.2364790836653401</v>
      </c>
      <c r="F231" s="116">
        <v>17.7</v>
      </c>
      <c r="G231">
        <v>9</v>
      </c>
      <c r="H231" s="116"/>
      <c r="I231" s="116"/>
      <c r="L231" s="170">
        <v>45916</v>
      </c>
      <c r="M231" s="116">
        <v>70.2</v>
      </c>
      <c r="N231" s="116">
        <v>71.540000000000006</v>
      </c>
      <c r="O231" s="116">
        <v>69.7</v>
      </c>
      <c r="P231" s="116">
        <v>71.2</v>
      </c>
      <c r="Q231" s="116">
        <v>70.2</v>
      </c>
      <c r="R231">
        <v>2430015</v>
      </c>
    </row>
    <row r="232" spans="1:18" x14ac:dyDescent="0.25">
      <c r="A232" s="170">
        <v>42529</v>
      </c>
      <c r="B232" s="116">
        <v>3.39190322045153</v>
      </c>
      <c r="C232" s="116">
        <v>3.19990869853918</v>
      </c>
      <c r="D232" s="116">
        <v>3.0901975431606901</v>
      </c>
      <c r="E232" s="116">
        <v>3.2364790836653401</v>
      </c>
      <c r="F232" s="116">
        <v>17.5</v>
      </c>
      <c r="G232">
        <v>266</v>
      </c>
      <c r="H232" s="116"/>
      <c r="I232" s="116"/>
      <c r="L232" s="170">
        <v>45917</v>
      </c>
      <c r="M232" s="116">
        <v>69.319999999999993</v>
      </c>
      <c r="N232" s="116">
        <v>70.989999999999995</v>
      </c>
      <c r="O232" s="116">
        <v>69.2</v>
      </c>
      <c r="P232" s="116">
        <v>70.989999999999995</v>
      </c>
      <c r="Q232" s="116">
        <v>69.319999999999993</v>
      </c>
      <c r="R232">
        <v>1373251</v>
      </c>
    </row>
    <row r="233" spans="1:18" x14ac:dyDescent="0.25">
      <c r="A233" s="170">
        <v>42530</v>
      </c>
      <c r="B233" s="116">
        <v>3.35533283532537</v>
      </c>
      <c r="C233" s="116">
        <v>3.3461902390438198</v>
      </c>
      <c r="D233" s="116">
        <v>3.3461902390438198</v>
      </c>
      <c r="E233" s="116">
        <v>3.35533283532537</v>
      </c>
      <c r="F233" s="116">
        <v>18.3</v>
      </c>
      <c r="G233">
        <v>702</v>
      </c>
      <c r="H233" s="116"/>
      <c r="I233" s="116"/>
      <c r="L233" s="170">
        <v>45918</v>
      </c>
      <c r="M233" s="116">
        <v>67.3</v>
      </c>
      <c r="N233" s="116">
        <v>69.88</v>
      </c>
      <c r="O233" s="116">
        <v>67.05</v>
      </c>
      <c r="P233" s="116">
        <v>69.8</v>
      </c>
      <c r="Q233" s="116">
        <v>67.3</v>
      </c>
      <c r="R233">
        <v>1924386</v>
      </c>
    </row>
    <row r="234" spans="1:18" x14ac:dyDescent="0.25">
      <c r="A234" s="170">
        <v>42531</v>
      </c>
      <c r="B234" s="116">
        <v>3.1816235059761002</v>
      </c>
      <c r="C234" s="116">
        <v>3.1816235059761002</v>
      </c>
      <c r="D234" s="116">
        <v>3.1816235059761002</v>
      </c>
      <c r="E234" s="116">
        <v>3.1816235059761002</v>
      </c>
      <c r="F234" s="116">
        <v>17.399999999999999</v>
      </c>
      <c r="G234">
        <v>40</v>
      </c>
      <c r="H234" s="116"/>
      <c r="I234" s="116"/>
      <c r="L234" s="170">
        <v>45919</v>
      </c>
      <c r="M234" s="116">
        <v>66.89</v>
      </c>
      <c r="N234" s="116">
        <v>68.7</v>
      </c>
      <c r="O234" s="116">
        <v>66.64</v>
      </c>
      <c r="P234" s="116">
        <v>67.400000000000006</v>
      </c>
      <c r="Q234" s="116">
        <v>66.89</v>
      </c>
      <c r="R234">
        <v>2328509</v>
      </c>
    </row>
    <row r="235" spans="1:18" x14ac:dyDescent="0.25">
      <c r="A235" s="170">
        <v>42535</v>
      </c>
      <c r="B235" s="116">
        <v>3.3370476427622799</v>
      </c>
      <c r="C235" s="116">
        <v>3.29133466135458</v>
      </c>
      <c r="D235" s="116">
        <v>3.0353419654714502</v>
      </c>
      <c r="E235" s="116">
        <v>3.29133466135458</v>
      </c>
      <c r="F235" s="116">
        <v>18</v>
      </c>
      <c r="G235">
        <v>525</v>
      </c>
      <c r="H235" s="116"/>
      <c r="I235" s="116"/>
      <c r="L235" s="170">
        <v>45922</v>
      </c>
      <c r="M235" s="116">
        <v>67.34</v>
      </c>
      <c r="N235" s="116">
        <v>68.84</v>
      </c>
      <c r="O235" s="116">
        <v>66.5</v>
      </c>
      <c r="P235" s="116">
        <v>67.239999999999995</v>
      </c>
      <c r="Q235" s="116">
        <v>67.34</v>
      </c>
      <c r="R235">
        <v>1382490</v>
      </c>
    </row>
    <row r="236" spans="1:18" x14ac:dyDescent="0.25">
      <c r="A236" s="170">
        <v>42537</v>
      </c>
      <c r="B236" s="116">
        <v>3.13591052456839</v>
      </c>
      <c r="C236" s="116">
        <v>3.13591052456839</v>
      </c>
      <c r="D236" s="116">
        <v>3.13591052456839</v>
      </c>
      <c r="E236" s="116">
        <v>3.13591052456839</v>
      </c>
      <c r="F236" s="116">
        <v>17.149999999999999</v>
      </c>
      <c r="G236">
        <v>780</v>
      </c>
      <c r="H236" s="116"/>
      <c r="I236" s="116"/>
      <c r="L236" s="170">
        <v>45923</v>
      </c>
      <c r="M236" s="116">
        <v>66.58</v>
      </c>
      <c r="N236" s="116">
        <v>67.78</v>
      </c>
      <c r="O236" s="116">
        <v>66</v>
      </c>
      <c r="P236" s="116">
        <v>67.78</v>
      </c>
      <c r="Q236" s="116">
        <v>66.58</v>
      </c>
      <c r="R236">
        <v>1084124</v>
      </c>
    </row>
    <row r="237" spans="1:18" x14ac:dyDescent="0.25">
      <c r="A237" s="170">
        <v>42538</v>
      </c>
      <c r="B237" s="116">
        <v>3.2821920650730401</v>
      </c>
      <c r="C237" s="116">
        <v>2.9896289840637502</v>
      </c>
      <c r="D237" s="116">
        <v>2.9896289840637502</v>
      </c>
      <c r="E237" s="116">
        <v>2.9896289840637502</v>
      </c>
      <c r="F237" s="116">
        <v>16.350000000000001</v>
      </c>
      <c r="G237">
        <v>931</v>
      </c>
      <c r="H237" s="116"/>
      <c r="I237" s="116"/>
      <c r="L237" s="170">
        <v>45924</v>
      </c>
      <c r="M237" s="116">
        <v>65.67</v>
      </c>
      <c r="N237" s="116">
        <v>66.989999999999995</v>
      </c>
      <c r="O237" s="116">
        <v>65.28</v>
      </c>
      <c r="P237" s="116">
        <v>66.92</v>
      </c>
      <c r="Q237" s="116">
        <v>65.67</v>
      </c>
      <c r="R237">
        <v>1326394</v>
      </c>
    </row>
    <row r="238" spans="1:18" x14ac:dyDescent="0.25">
      <c r="A238" s="170">
        <v>42543</v>
      </c>
      <c r="B238" s="116">
        <v>2.9256308100929602</v>
      </c>
      <c r="C238" s="116">
        <v>2.9256308100929602</v>
      </c>
      <c r="D238" s="116">
        <v>2.8433474435591002</v>
      </c>
      <c r="E238" s="116">
        <v>2.8433474435591002</v>
      </c>
      <c r="F238" s="116">
        <v>16</v>
      </c>
      <c r="G238">
        <v>1001</v>
      </c>
      <c r="H238" s="116"/>
      <c r="I238" s="116"/>
      <c r="L238" s="170">
        <v>45925</v>
      </c>
      <c r="M238" s="116">
        <v>64.849999999999994</v>
      </c>
      <c r="N238" s="116">
        <v>65.97</v>
      </c>
      <c r="O238" s="116">
        <v>64.63</v>
      </c>
      <c r="P238" s="116">
        <v>65.41</v>
      </c>
      <c r="Q238" s="116">
        <v>64.849999999999994</v>
      </c>
      <c r="R238">
        <v>1329939</v>
      </c>
    </row>
    <row r="239" spans="1:18" x14ac:dyDescent="0.25">
      <c r="A239" s="170">
        <v>42544</v>
      </c>
      <c r="B239" s="116">
        <v>3.0719123505976098</v>
      </c>
      <c r="C239" s="116">
        <v>3.0719123505976098</v>
      </c>
      <c r="D239" s="116">
        <v>3.0719123505976098</v>
      </c>
      <c r="E239" s="116">
        <v>3.0719123505976098</v>
      </c>
      <c r="F239" s="116">
        <v>16.8</v>
      </c>
      <c r="G239">
        <v>101</v>
      </c>
      <c r="H239" s="116"/>
      <c r="I239" s="116"/>
      <c r="L239" s="170">
        <v>45926</v>
      </c>
      <c r="M239" s="116">
        <v>63.19</v>
      </c>
      <c r="N239" s="116">
        <v>65.56</v>
      </c>
      <c r="O239" s="116">
        <v>63</v>
      </c>
      <c r="P239" s="116">
        <v>65</v>
      </c>
      <c r="Q239" s="116">
        <v>63.19</v>
      </c>
      <c r="R239">
        <v>1650450</v>
      </c>
    </row>
    <row r="240" spans="1:18" x14ac:dyDescent="0.25">
      <c r="A240" s="170">
        <v>42545</v>
      </c>
      <c r="B240" s="116">
        <v>3.2181938911022598</v>
      </c>
      <c r="C240" s="116">
        <v>3.2181938911022598</v>
      </c>
      <c r="D240" s="116">
        <v>3.2181938911022598</v>
      </c>
      <c r="E240" s="116">
        <v>3.2181938911022598</v>
      </c>
      <c r="F240" s="116">
        <v>17.600000000000001</v>
      </c>
      <c r="G240">
        <v>10</v>
      </c>
      <c r="H240" s="116"/>
      <c r="I240" s="116"/>
      <c r="L240" s="170">
        <v>45929</v>
      </c>
      <c r="M240" s="116">
        <v>62</v>
      </c>
      <c r="N240" s="116">
        <v>64.040000000000006</v>
      </c>
      <c r="O240" s="116">
        <v>61.59</v>
      </c>
      <c r="P240" s="116">
        <v>63.5</v>
      </c>
      <c r="Q240" s="116">
        <v>62</v>
      </c>
      <c r="R240">
        <v>1413458</v>
      </c>
    </row>
    <row r="241" spans="1:18" x14ac:dyDescent="0.25">
      <c r="A241" s="170">
        <v>42548</v>
      </c>
      <c r="B241" s="116">
        <v>3.29133466135458</v>
      </c>
      <c r="C241" s="116">
        <v>3.0719123505976098</v>
      </c>
      <c r="D241" s="116">
        <v>3.0627697543160699</v>
      </c>
      <c r="E241" s="116">
        <v>3.0627697543160699</v>
      </c>
      <c r="F241" s="116">
        <v>16.8</v>
      </c>
      <c r="G241">
        <v>347</v>
      </c>
      <c r="H241" s="116"/>
      <c r="I241" s="116"/>
      <c r="L241" s="170">
        <v>45930</v>
      </c>
      <c r="M241" s="116">
        <v>62.4</v>
      </c>
      <c r="N241" s="116">
        <v>63.1</v>
      </c>
      <c r="O241" s="116">
        <v>61.4</v>
      </c>
      <c r="P241" s="116">
        <v>61.4</v>
      </c>
      <c r="Q241" s="116">
        <v>62.4</v>
      </c>
      <c r="R241">
        <v>797722</v>
      </c>
    </row>
    <row r="242" spans="1:18" x14ac:dyDescent="0.25">
      <c r="A242" s="170">
        <v>42549</v>
      </c>
      <c r="B242" s="116">
        <v>3.0170567729083699</v>
      </c>
      <c r="C242" s="116">
        <v>3.0170567729083699</v>
      </c>
      <c r="D242" s="116">
        <v>3.0170567729083699</v>
      </c>
      <c r="E242" s="116">
        <v>3.0170567729083699</v>
      </c>
      <c r="F242" s="116">
        <v>16.5</v>
      </c>
      <c r="G242">
        <v>200</v>
      </c>
      <c r="H242" s="116"/>
      <c r="I242" s="116"/>
      <c r="L242" s="170">
        <v>45931</v>
      </c>
      <c r="M242" s="116">
        <v>65.05</v>
      </c>
      <c r="N242" s="116">
        <v>68.400000000000006</v>
      </c>
      <c r="O242" s="116">
        <v>62.25</v>
      </c>
      <c r="P242" s="116">
        <v>62.79</v>
      </c>
      <c r="Q242" s="116">
        <v>65.05</v>
      </c>
      <c r="R242">
        <v>1434490</v>
      </c>
    </row>
    <row r="243" spans="1:18" x14ac:dyDescent="0.25">
      <c r="A243" s="170">
        <v>42550</v>
      </c>
      <c r="B243" s="116">
        <v>3.1541957171314698</v>
      </c>
      <c r="C243" s="116">
        <v>2.8799178286852598</v>
      </c>
      <c r="D243" s="116">
        <v>2.8799178286852598</v>
      </c>
      <c r="E243" s="116">
        <v>3.1541957171314698</v>
      </c>
      <c r="F243" s="116">
        <v>15.75</v>
      </c>
      <c r="G243">
        <v>2</v>
      </c>
      <c r="H243" s="116"/>
      <c r="I243" s="116"/>
      <c r="L243" s="170">
        <v>45933</v>
      </c>
      <c r="M243" s="116">
        <v>69.06</v>
      </c>
      <c r="N243" s="116">
        <v>69.400000000000006</v>
      </c>
      <c r="O243" s="116">
        <v>64.52</v>
      </c>
      <c r="P243" s="116">
        <v>65.45</v>
      </c>
      <c r="Q243" s="116">
        <v>69.06</v>
      </c>
      <c r="R243">
        <v>4415876</v>
      </c>
    </row>
    <row r="244" spans="1:18" x14ac:dyDescent="0.25">
      <c r="A244" s="170">
        <v>42552</v>
      </c>
      <c r="B244" s="116">
        <v>2.75192148074369</v>
      </c>
      <c r="C244" s="116">
        <v>2.75192148074369</v>
      </c>
      <c r="D244" s="116">
        <v>2.75192148074369</v>
      </c>
      <c r="E244" s="116">
        <v>2.75192148074369</v>
      </c>
      <c r="F244" s="116">
        <v>15.05</v>
      </c>
      <c r="G244">
        <v>1150</v>
      </c>
      <c r="H244" s="116"/>
      <c r="I244" s="116"/>
      <c r="L244" s="170">
        <v>45936</v>
      </c>
      <c r="M244" s="116">
        <v>70.010000000000005</v>
      </c>
      <c r="N244" s="116">
        <v>71.150000000000006</v>
      </c>
      <c r="O244" s="116">
        <v>68.760000000000005</v>
      </c>
      <c r="P244" s="116">
        <v>69.75</v>
      </c>
      <c r="Q244" s="116">
        <v>70.010000000000005</v>
      </c>
      <c r="R244">
        <v>2515938</v>
      </c>
    </row>
    <row r="245" spans="1:18" x14ac:dyDescent="0.25">
      <c r="A245" s="170">
        <v>42558</v>
      </c>
      <c r="B245" s="116">
        <v>2.6513529216467502</v>
      </c>
      <c r="C245" s="116">
        <v>2.6513529216467502</v>
      </c>
      <c r="D245" s="116">
        <v>2.6513529216467502</v>
      </c>
      <c r="E245" s="116">
        <v>2.6513529216467502</v>
      </c>
      <c r="F245" s="116">
        <v>14.5</v>
      </c>
      <c r="G245">
        <v>929</v>
      </c>
      <c r="H245" s="116"/>
      <c r="I245" s="116"/>
      <c r="L245" s="170">
        <v>45937</v>
      </c>
      <c r="M245" s="116">
        <v>69.040000000000006</v>
      </c>
      <c r="N245" s="116">
        <v>70.010000000000005</v>
      </c>
      <c r="O245" s="116">
        <v>68.7</v>
      </c>
      <c r="P245" s="116">
        <v>69.7</v>
      </c>
      <c r="Q245" s="116">
        <v>69.040000000000006</v>
      </c>
      <c r="R245">
        <v>979768</v>
      </c>
    </row>
    <row r="246" spans="1:18" x14ac:dyDescent="0.25">
      <c r="A246" s="170">
        <v>42559</v>
      </c>
      <c r="B246" s="116">
        <v>2.7793492695883102</v>
      </c>
      <c r="C246" s="116">
        <v>2.6239251328021198</v>
      </c>
      <c r="D246" s="116">
        <v>2.5324991699867199</v>
      </c>
      <c r="E246" s="116">
        <v>2.7793492695883102</v>
      </c>
      <c r="F246" s="116">
        <v>14.35</v>
      </c>
      <c r="G246">
        <v>1860</v>
      </c>
      <c r="H246" s="116"/>
      <c r="I246" s="116"/>
      <c r="L246" s="170">
        <v>45938</v>
      </c>
      <c r="M246" s="116">
        <v>66.790000000000006</v>
      </c>
      <c r="N246" s="116">
        <v>69.28</v>
      </c>
      <c r="O246" s="116">
        <v>65.400000000000006</v>
      </c>
      <c r="P246" s="116">
        <v>69.040000000000006</v>
      </c>
      <c r="Q246" s="116">
        <v>66.790000000000006</v>
      </c>
      <c r="R246">
        <v>1288267</v>
      </c>
    </row>
    <row r="247" spans="1:18" x14ac:dyDescent="0.25">
      <c r="A247" s="170">
        <v>42562</v>
      </c>
      <c r="B247" s="116">
        <v>2.4959287848605598</v>
      </c>
      <c r="C247" s="116">
        <v>2.4959287848605598</v>
      </c>
      <c r="D247" s="116">
        <v>2.4959287848605598</v>
      </c>
      <c r="E247" s="116">
        <v>2.4959287848605598</v>
      </c>
      <c r="F247" s="116">
        <v>13.65</v>
      </c>
      <c r="G247">
        <v>57</v>
      </c>
      <c r="H247" s="116"/>
      <c r="I247" s="116"/>
      <c r="L247" s="170">
        <v>45939</v>
      </c>
      <c r="M247" s="116">
        <v>70.260000000000005</v>
      </c>
      <c r="N247" s="116">
        <v>73.8</v>
      </c>
      <c r="O247" s="116">
        <v>66.8</v>
      </c>
      <c r="P247" s="116">
        <v>67.489999999999995</v>
      </c>
      <c r="Q247" s="116">
        <v>70.260000000000005</v>
      </c>
      <c r="R247">
        <v>6951957</v>
      </c>
    </row>
    <row r="248" spans="1:18" x14ac:dyDescent="0.25">
      <c r="A248" s="170">
        <v>42563</v>
      </c>
      <c r="B248" s="116">
        <v>2.6147825365205799</v>
      </c>
      <c r="C248" s="116">
        <v>2.6147825365205799</v>
      </c>
      <c r="D248" s="116">
        <v>2.6147825365205799</v>
      </c>
      <c r="E248" s="116">
        <v>2.6147825365205799</v>
      </c>
      <c r="F248" s="116">
        <v>14.3</v>
      </c>
      <c r="G248">
        <v>1359</v>
      </c>
      <c r="H248" s="116"/>
      <c r="I248" s="116"/>
      <c r="L248" s="170">
        <v>45940</v>
      </c>
      <c r="M248" s="116">
        <v>70.540000000000006</v>
      </c>
      <c r="N248" s="116">
        <v>71.45</v>
      </c>
      <c r="O248" s="116">
        <v>69.88</v>
      </c>
      <c r="P248" s="116">
        <v>70.2</v>
      </c>
      <c r="Q248" s="116">
        <v>70.540000000000006</v>
      </c>
      <c r="R248">
        <v>1915024</v>
      </c>
    </row>
    <row r="249" spans="1:18" x14ac:dyDescent="0.25">
      <c r="A249" s="170">
        <v>42564</v>
      </c>
      <c r="B249" s="116">
        <v>2.52335657370518</v>
      </c>
      <c r="C249" s="116">
        <v>2.5050713811421002</v>
      </c>
      <c r="D249" s="116">
        <v>2.5050713811421002</v>
      </c>
      <c r="E249" s="116">
        <v>2.5142139774236401</v>
      </c>
      <c r="F249" s="116">
        <v>13.7</v>
      </c>
      <c r="G249">
        <v>100</v>
      </c>
      <c r="H249" s="116"/>
      <c r="I249" s="116"/>
      <c r="L249" s="170">
        <v>45943</v>
      </c>
      <c r="M249" s="116">
        <v>68.38</v>
      </c>
      <c r="N249" s="116">
        <v>71.33</v>
      </c>
      <c r="O249" s="116">
        <v>67</v>
      </c>
      <c r="P249" s="116">
        <v>70.489999999999995</v>
      </c>
      <c r="Q249" s="116">
        <v>68.38</v>
      </c>
      <c r="R249">
        <v>1649243</v>
      </c>
    </row>
    <row r="250" spans="1:18" x14ac:dyDescent="0.25">
      <c r="A250" s="170">
        <v>42565</v>
      </c>
      <c r="B250" s="116">
        <v>2.4319306108897698</v>
      </c>
      <c r="C250" s="116">
        <v>2.4045028220451501</v>
      </c>
      <c r="D250" s="116">
        <v>2.3953602257636102</v>
      </c>
      <c r="E250" s="116">
        <v>2.4319306108897698</v>
      </c>
      <c r="F250" s="116">
        <v>13.15</v>
      </c>
      <c r="G250">
        <v>2550</v>
      </c>
      <c r="H250" s="116"/>
      <c r="I250" s="116"/>
      <c r="L250" s="170">
        <v>45944</v>
      </c>
      <c r="M250" s="116">
        <v>66.41</v>
      </c>
      <c r="N250" s="116">
        <v>69.88</v>
      </c>
      <c r="O250" s="116">
        <v>65.2</v>
      </c>
      <c r="P250" s="116">
        <v>68.930000000000007</v>
      </c>
      <c r="Q250" s="116">
        <v>66.41</v>
      </c>
      <c r="R250">
        <v>3582977</v>
      </c>
    </row>
    <row r="251" spans="1:18" x14ac:dyDescent="0.25">
      <c r="A251" s="170">
        <v>42566</v>
      </c>
      <c r="B251" s="116">
        <v>2.52335657370518</v>
      </c>
      <c r="C251" s="116">
        <v>2.5142139774236401</v>
      </c>
      <c r="D251" s="116">
        <v>2.4045028220451501</v>
      </c>
      <c r="E251" s="116">
        <v>2.52335657370518</v>
      </c>
      <c r="F251" s="116">
        <v>13.75</v>
      </c>
      <c r="G251">
        <v>2460</v>
      </c>
      <c r="H251" s="116"/>
      <c r="I251" s="116"/>
      <c r="L251" s="170">
        <v>45945</v>
      </c>
      <c r="M251" s="116">
        <v>68.650000000000006</v>
      </c>
      <c r="N251" s="116">
        <v>68.88</v>
      </c>
      <c r="O251" s="116">
        <v>66.41</v>
      </c>
      <c r="P251" s="116">
        <v>66.45</v>
      </c>
      <c r="Q251" s="116">
        <v>68.650000000000006</v>
      </c>
      <c r="R251">
        <v>1594324</v>
      </c>
    </row>
    <row r="252" spans="1:18" x14ac:dyDescent="0.25">
      <c r="A252" s="170">
        <v>42569</v>
      </c>
      <c r="B252" s="116">
        <v>2.4045028220451501</v>
      </c>
      <c r="C252" s="116">
        <v>2.3953602257636102</v>
      </c>
      <c r="D252" s="116">
        <v>2.3953602257636102</v>
      </c>
      <c r="E252" s="116">
        <v>2.4045028220451501</v>
      </c>
      <c r="F252" s="116">
        <v>13.1</v>
      </c>
      <c r="G252">
        <v>751</v>
      </c>
      <c r="H252" s="116"/>
      <c r="I252" s="116"/>
      <c r="L252" s="170">
        <v>45946</v>
      </c>
      <c r="M252" s="116">
        <v>68.22</v>
      </c>
      <c r="N252" s="116">
        <v>69.400000000000006</v>
      </c>
      <c r="O252" s="116">
        <v>67.540000000000006</v>
      </c>
      <c r="P252" s="116">
        <v>68.89</v>
      </c>
      <c r="Q252" s="116">
        <v>68.22</v>
      </c>
      <c r="R252">
        <v>916735</v>
      </c>
    </row>
    <row r="253" spans="1:18" x14ac:dyDescent="0.25">
      <c r="A253" s="170">
        <v>42572</v>
      </c>
      <c r="B253" s="116">
        <v>2.3953602257636102</v>
      </c>
      <c r="C253" s="116">
        <v>2.3953602257636102</v>
      </c>
      <c r="D253" s="116">
        <v>2.3862176294820698</v>
      </c>
      <c r="E253" s="116">
        <v>2.3862176294820698</v>
      </c>
      <c r="F253" s="116">
        <v>13.1</v>
      </c>
      <c r="G253">
        <v>1413</v>
      </c>
      <c r="H253" s="116"/>
      <c r="I253" s="116"/>
      <c r="L253" s="170">
        <v>45947</v>
      </c>
      <c r="M253" s="116">
        <v>68.739999999999995</v>
      </c>
      <c r="N253" s="116">
        <v>69</v>
      </c>
      <c r="O253" s="116">
        <v>67.650000000000006</v>
      </c>
      <c r="P253" s="116">
        <v>68.400000000000006</v>
      </c>
      <c r="Q253" s="116">
        <v>68.739999999999995</v>
      </c>
      <c r="R253">
        <v>1049926</v>
      </c>
    </row>
    <row r="254" spans="1:18" x14ac:dyDescent="0.25">
      <c r="A254" s="170">
        <v>42573</v>
      </c>
      <c r="B254" s="116">
        <v>2.5142139774236401</v>
      </c>
      <c r="C254" s="116">
        <v>2.5142139774236401</v>
      </c>
      <c r="D254" s="116">
        <v>2.5142139774236401</v>
      </c>
      <c r="E254" s="116">
        <v>2.5142139774236401</v>
      </c>
      <c r="F254" s="116">
        <v>13.75</v>
      </c>
      <c r="G254">
        <v>10</v>
      </c>
      <c r="H254" s="116"/>
      <c r="I254" s="116"/>
      <c r="L254" s="170">
        <v>45950</v>
      </c>
      <c r="M254" s="116">
        <v>68.87</v>
      </c>
      <c r="N254" s="116">
        <v>69.900000000000006</v>
      </c>
      <c r="O254" s="116">
        <v>68.099999999999994</v>
      </c>
      <c r="P254" s="116">
        <v>69.790000000000006</v>
      </c>
      <c r="Q254" s="116">
        <v>68.87</v>
      </c>
      <c r="R254">
        <v>809235</v>
      </c>
    </row>
    <row r="255" spans="1:18" x14ac:dyDescent="0.25">
      <c r="A255" s="170">
        <v>42576</v>
      </c>
      <c r="B255" s="116">
        <v>2.55992695883134</v>
      </c>
      <c r="C255" s="116">
        <v>2.4045028220451501</v>
      </c>
      <c r="D255" s="116">
        <v>2.4045028220451501</v>
      </c>
      <c r="E255" s="116">
        <v>2.55992695883134</v>
      </c>
      <c r="F255" s="116">
        <v>13.15</v>
      </c>
      <c r="G255">
        <v>600</v>
      </c>
      <c r="H255" s="116"/>
      <c r="I255" s="116"/>
      <c r="L255" s="170">
        <v>45951</v>
      </c>
      <c r="M255" s="116">
        <v>70.33</v>
      </c>
      <c r="N255" s="116">
        <v>71.5</v>
      </c>
      <c r="O255" s="116">
        <v>69.38</v>
      </c>
      <c r="P255" s="116">
        <v>69.38</v>
      </c>
      <c r="Q255" s="116">
        <v>70.33</v>
      </c>
      <c r="R255">
        <v>1825250</v>
      </c>
    </row>
    <row r="256" spans="1:18" x14ac:dyDescent="0.25">
      <c r="A256" s="170">
        <v>42578</v>
      </c>
      <c r="B256" s="116">
        <v>2.4045028220451501</v>
      </c>
      <c r="C256" s="116">
        <v>2.4045028220451501</v>
      </c>
      <c r="D256" s="116">
        <v>2.4045028220451501</v>
      </c>
      <c r="E256" s="116">
        <v>2.4045028220451501</v>
      </c>
      <c r="F256" s="116">
        <v>13.15</v>
      </c>
      <c r="G256">
        <v>100</v>
      </c>
      <c r="H256" s="116"/>
      <c r="I256" s="116"/>
      <c r="L256" s="170">
        <v>45953</v>
      </c>
      <c r="M256" s="116">
        <v>69.010000000000005</v>
      </c>
      <c r="N256" s="116">
        <v>71</v>
      </c>
      <c r="O256" s="116">
        <v>68.75</v>
      </c>
      <c r="P256" s="116">
        <v>70.099999999999994</v>
      </c>
      <c r="Q256" s="116">
        <v>69.010000000000005</v>
      </c>
      <c r="R256">
        <v>876944</v>
      </c>
    </row>
    <row r="257" spans="1:18" x14ac:dyDescent="0.25">
      <c r="A257" s="170">
        <v>42579</v>
      </c>
      <c r="B257" s="116">
        <v>2.4045028220451501</v>
      </c>
      <c r="C257" s="116">
        <v>2.4045028220451501</v>
      </c>
      <c r="D257" s="116">
        <v>2.28564907038513</v>
      </c>
      <c r="E257" s="116">
        <v>2.28564907038513</v>
      </c>
      <c r="F257" s="116">
        <v>13.15</v>
      </c>
      <c r="G257">
        <v>955</v>
      </c>
      <c r="H257" s="116"/>
      <c r="I257" s="116"/>
      <c r="L257" s="170">
        <v>45954</v>
      </c>
      <c r="M257" s="116">
        <v>68.16</v>
      </c>
      <c r="N257" s="116">
        <v>69.38</v>
      </c>
      <c r="O257" s="116">
        <v>67.8</v>
      </c>
      <c r="P257" s="116">
        <v>68.95</v>
      </c>
      <c r="Q257" s="116">
        <v>68.16</v>
      </c>
      <c r="R257">
        <v>1324707</v>
      </c>
    </row>
    <row r="258" spans="1:18" x14ac:dyDescent="0.25">
      <c r="A258" s="170">
        <v>42580</v>
      </c>
      <c r="B258" s="116">
        <v>2.2947916666666699</v>
      </c>
      <c r="C258" s="116">
        <v>2.2947916666666699</v>
      </c>
      <c r="D258" s="116">
        <v>2.2947916666666699</v>
      </c>
      <c r="E258" s="116">
        <v>2.2947916666666699</v>
      </c>
      <c r="F258" s="116">
        <v>12.55</v>
      </c>
      <c r="G258">
        <v>1000</v>
      </c>
      <c r="H258" s="116"/>
      <c r="I258" s="116"/>
      <c r="L258" s="170">
        <v>45957</v>
      </c>
      <c r="M258" s="116">
        <v>66.88</v>
      </c>
      <c r="N258" s="116">
        <v>68.87</v>
      </c>
      <c r="O258" s="116">
        <v>66.23</v>
      </c>
      <c r="P258" s="116">
        <v>68.2</v>
      </c>
      <c r="Q258" s="116">
        <v>66.88</v>
      </c>
      <c r="R258">
        <v>1313681</v>
      </c>
    </row>
    <row r="259" spans="1:18" x14ac:dyDescent="0.25">
      <c r="A259" s="170">
        <v>42583</v>
      </c>
      <c r="B259" s="116">
        <v>2.28564907038513</v>
      </c>
      <c r="C259" s="116">
        <v>2.28564907038513</v>
      </c>
      <c r="D259" s="116">
        <v>2.28564907038513</v>
      </c>
      <c r="E259" s="116">
        <v>2.28564907038513</v>
      </c>
      <c r="F259" s="116">
        <v>12.5</v>
      </c>
      <c r="G259">
        <v>294</v>
      </c>
      <c r="H259" s="116"/>
      <c r="I259" s="116"/>
      <c r="L259" s="170">
        <v>45958</v>
      </c>
      <c r="M259" s="116">
        <v>66.38</v>
      </c>
      <c r="N259" s="116">
        <v>67.56</v>
      </c>
      <c r="O259" s="116">
        <v>65.400000000000006</v>
      </c>
      <c r="P259" s="116">
        <v>66.89</v>
      </c>
      <c r="Q259" s="116">
        <v>66.38</v>
      </c>
      <c r="R259">
        <v>648726</v>
      </c>
    </row>
    <row r="260" spans="1:18" x14ac:dyDescent="0.25">
      <c r="A260" s="170">
        <v>42584</v>
      </c>
      <c r="B260" s="116">
        <v>2.3971887450199199</v>
      </c>
      <c r="C260" s="116">
        <v>2.3971887450199199</v>
      </c>
      <c r="D260" s="116">
        <v>2.3953602257636102</v>
      </c>
      <c r="E260" s="116">
        <v>2.3953602257636102</v>
      </c>
      <c r="F260" s="116">
        <v>13.11</v>
      </c>
      <c r="G260">
        <v>3707</v>
      </c>
      <c r="H260" s="116"/>
      <c r="I260" s="116"/>
      <c r="L260" s="170">
        <v>45959</v>
      </c>
      <c r="M260" s="116">
        <v>69.41</v>
      </c>
      <c r="N260" s="116">
        <v>69.7</v>
      </c>
      <c r="O260" s="116">
        <v>66.010000000000005</v>
      </c>
      <c r="P260" s="116">
        <v>66.78</v>
      </c>
      <c r="Q260" s="116">
        <v>69.41</v>
      </c>
      <c r="R260">
        <v>1723009</v>
      </c>
    </row>
    <row r="261" spans="1:18" x14ac:dyDescent="0.25">
      <c r="A261" s="170">
        <v>42585</v>
      </c>
      <c r="B261" s="116">
        <v>2.5050713811421002</v>
      </c>
      <c r="C261" s="116">
        <v>2.47764359229748</v>
      </c>
      <c r="D261" s="116">
        <v>2.3862176294820698</v>
      </c>
      <c r="E261" s="116">
        <v>2.3862176294820698</v>
      </c>
      <c r="F261" s="116">
        <v>13.55</v>
      </c>
      <c r="G261">
        <v>5635</v>
      </c>
      <c r="H261" s="116"/>
      <c r="I261" s="116"/>
      <c r="L261" s="170">
        <v>45960</v>
      </c>
      <c r="M261" s="116">
        <v>69.709999999999994</v>
      </c>
      <c r="N261" s="116">
        <v>70.099999999999994</v>
      </c>
      <c r="O261" s="116">
        <v>68.5</v>
      </c>
      <c r="P261" s="116">
        <v>69.55</v>
      </c>
      <c r="Q261" s="116">
        <v>69.709999999999994</v>
      </c>
      <c r="R261">
        <v>720050</v>
      </c>
    </row>
    <row r="262" spans="1:18" x14ac:dyDescent="0.25">
      <c r="A262" s="170">
        <v>42586</v>
      </c>
      <c r="B262" s="116">
        <v>2.55992695883134</v>
      </c>
      <c r="C262" s="116">
        <v>2.55992695883134</v>
      </c>
      <c r="D262" s="116">
        <v>2.55992695883134</v>
      </c>
      <c r="E262" s="116">
        <v>2.55992695883134</v>
      </c>
      <c r="F262" s="116">
        <v>14</v>
      </c>
      <c r="G262">
        <v>250</v>
      </c>
      <c r="H262" s="116"/>
      <c r="I262" s="116"/>
      <c r="L262" s="170">
        <v>45961</v>
      </c>
      <c r="M262" s="116">
        <v>68.55</v>
      </c>
      <c r="N262" s="116">
        <v>70.400000000000006</v>
      </c>
      <c r="O262" s="116">
        <v>68.150000000000006</v>
      </c>
      <c r="P262" s="116">
        <v>69.37</v>
      </c>
      <c r="Q262" s="116">
        <v>68.55</v>
      </c>
      <c r="R262">
        <v>616617</v>
      </c>
    </row>
    <row r="263" spans="1:18" x14ac:dyDescent="0.25">
      <c r="A263" s="170">
        <v>42587</v>
      </c>
      <c r="B263" s="116">
        <v>2.4319306108897698</v>
      </c>
      <c r="C263" s="116">
        <v>2.4319306108897698</v>
      </c>
      <c r="D263" s="116">
        <v>2.4319306108897698</v>
      </c>
      <c r="E263" s="116">
        <v>2.4319306108897698</v>
      </c>
      <c r="F263" s="116">
        <v>13.3</v>
      </c>
      <c r="G263">
        <v>100</v>
      </c>
      <c r="H263" s="116"/>
      <c r="I263" s="116"/>
      <c r="L263" s="170">
        <v>45964</v>
      </c>
      <c r="M263" s="116">
        <v>69.739999999999995</v>
      </c>
      <c r="N263" s="116">
        <v>70.180000000000007</v>
      </c>
      <c r="O263" s="116">
        <v>68.5</v>
      </c>
      <c r="P263" s="116">
        <v>68.98</v>
      </c>
      <c r="Q263" s="116">
        <v>69.739999999999995</v>
      </c>
      <c r="R263">
        <v>644333</v>
      </c>
    </row>
    <row r="264" spans="1:18" x14ac:dyDescent="0.25">
      <c r="A264" s="170">
        <v>42590</v>
      </c>
      <c r="B264" s="116">
        <v>2.3496472443559102</v>
      </c>
      <c r="C264" s="116">
        <v>2.31124833997344</v>
      </c>
      <c r="D264" s="116">
        <v>2.31124833997344</v>
      </c>
      <c r="E264" s="116">
        <v>2.3496472443559102</v>
      </c>
      <c r="F264" s="116">
        <v>12.64</v>
      </c>
      <c r="G264">
        <v>867</v>
      </c>
      <c r="H264" s="116"/>
      <c r="I264" s="116"/>
      <c r="L264" s="170">
        <v>45965</v>
      </c>
      <c r="M264" s="116">
        <v>69.33</v>
      </c>
      <c r="N264" s="116">
        <v>70.8</v>
      </c>
      <c r="O264" s="116">
        <v>68.650000000000006</v>
      </c>
      <c r="P264" s="116">
        <v>69.8</v>
      </c>
      <c r="Q264" s="116">
        <v>69.33</v>
      </c>
      <c r="R264">
        <v>657405</v>
      </c>
    </row>
    <row r="265" spans="1:18" x14ac:dyDescent="0.25">
      <c r="A265" s="170">
        <v>42591</v>
      </c>
      <c r="B265" s="116">
        <v>2.4227880146082299</v>
      </c>
      <c r="C265" s="116">
        <v>2.4227880146082299</v>
      </c>
      <c r="D265" s="116">
        <v>2.4227880146082299</v>
      </c>
      <c r="E265" s="116">
        <v>2.4227880146082299</v>
      </c>
      <c r="F265" s="116">
        <v>13.25</v>
      </c>
      <c r="G265">
        <v>500</v>
      </c>
      <c r="H265" s="116"/>
      <c r="I265" s="116"/>
      <c r="L265" s="170">
        <v>45967</v>
      </c>
      <c r="M265" s="116">
        <v>66.7</v>
      </c>
      <c r="N265" s="116">
        <v>69.540000000000006</v>
      </c>
      <c r="O265" s="116">
        <v>66</v>
      </c>
      <c r="P265" s="116">
        <v>69.45</v>
      </c>
      <c r="Q265" s="116">
        <v>66.7</v>
      </c>
      <c r="R265">
        <v>1436378</v>
      </c>
    </row>
    <row r="266" spans="1:18" x14ac:dyDescent="0.25">
      <c r="A266" s="170">
        <v>42592</v>
      </c>
      <c r="B266" s="116">
        <v>2.4319306108897698</v>
      </c>
      <c r="C266" s="116">
        <v>2.4227880146082299</v>
      </c>
      <c r="D266" s="116">
        <v>2.4227880146082299</v>
      </c>
      <c r="E266" s="116">
        <v>2.4319306108897698</v>
      </c>
      <c r="F266" s="116">
        <v>13.25</v>
      </c>
      <c r="G266">
        <v>55</v>
      </c>
      <c r="H266" s="116"/>
      <c r="I266" s="116"/>
      <c r="L266" s="170">
        <v>45968</v>
      </c>
      <c r="M266" s="116">
        <v>66.19</v>
      </c>
      <c r="N266" s="116">
        <v>67.23</v>
      </c>
      <c r="O266" s="116">
        <v>64.989999999999995</v>
      </c>
      <c r="P266" s="116">
        <v>67.23</v>
      </c>
      <c r="Q266" s="116">
        <v>66.19</v>
      </c>
      <c r="R266">
        <v>1037887</v>
      </c>
    </row>
    <row r="267" spans="1:18" x14ac:dyDescent="0.25">
      <c r="A267" s="170">
        <v>42598</v>
      </c>
      <c r="B267" s="116">
        <v>2.5196995351925602</v>
      </c>
      <c r="C267" s="116">
        <v>2.5196995351925602</v>
      </c>
      <c r="D267" s="116">
        <v>2.5196995351925602</v>
      </c>
      <c r="E267" s="116">
        <v>2.5196995351925602</v>
      </c>
      <c r="F267" s="116">
        <v>13.78</v>
      </c>
      <c r="G267">
        <v>652</v>
      </c>
      <c r="H267" s="116"/>
      <c r="I267" s="116"/>
      <c r="L267" s="170">
        <v>45971</v>
      </c>
      <c r="M267" s="116">
        <v>66.2</v>
      </c>
      <c r="N267" s="116">
        <v>66.92</v>
      </c>
      <c r="O267" s="116">
        <v>65.400000000000006</v>
      </c>
      <c r="P267" s="116">
        <v>66.150000000000006</v>
      </c>
      <c r="Q267" s="116">
        <v>66.2</v>
      </c>
      <c r="R267">
        <v>567502</v>
      </c>
    </row>
    <row r="268" spans="1:18" x14ac:dyDescent="0.25">
      <c r="A268" s="170">
        <v>42600</v>
      </c>
      <c r="B268" s="116">
        <v>2.55992695883134</v>
      </c>
      <c r="C268" s="116">
        <v>2.55992695883134</v>
      </c>
      <c r="D268" s="116">
        <v>2.55992695883134</v>
      </c>
      <c r="E268" s="116">
        <v>2.55992695883134</v>
      </c>
      <c r="F268" s="116">
        <v>14</v>
      </c>
      <c r="G268">
        <v>100</v>
      </c>
      <c r="H268" s="116"/>
      <c r="I268" s="116"/>
      <c r="L268" s="170">
        <v>45972</v>
      </c>
      <c r="M268" s="116">
        <v>64.319999999999993</v>
      </c>
      <c r="N268" s="116">
        <v>67.89</v>
      </c>
      <c r="O268" s="116">
        <v>63.61</v>
      </c>
      <c r="P268" s="116">
        <v>66.989999999999995</v>
      </c>
      <c r="Q268" s="116">
        <v>64.319999999999993</v>
      </c>
      <c r="R268">
        <v>1863424</v>
      </c>
    </row>
    <row r="269" spans="1:18" x14ac:dyDescent="0.25">
      <c r="A269" s="170">
        <v>42601</v>
      </c>
      <c r="B269" s="116">
        <v>2.6879233067729098</v>
      </c>
      <c r="C269" s="116">
        <v>2.4410732071713102</v>
      </c>
      <c r="D269" s="116">
        <v>2.4410732071713102</v>
      </c>
      <c r="E269" s="116">
        <v>2.6879233067729098</v>
      </c>
      <c r="F269" s="116">
        <v>13.35</v>
      </c>
      <c r="G269">
        <v>212</v>
      </c>
      <c r="H269" s="116"/>
      <c r="I269" s="116"/>
      <c r="L269" s="170">
        <v>45973</v>
      </c>
      <c r="M269" s="116">
        <v>63.87</v>
      </c>
      <c r="N269" s="116">
        <v>64.790000000000006</v>
      </c>
      <c r="O269" s="116">
        <v>63.46</v>
      </c>
      <c r="P269" s="116">
        <v>64.5</v>
      </c>
      <c r="Q269" s="116">
        <v>63.87</v>
      </c>
      <c r="R269">
        <v>757836</v>
      </c>
    </row>
    <row r="270" spans="1:18" x14ac:dyDescent="0.25">
      <c r="A270" s="170">
        <v>42604</v>
      </c>
      <c r="B270" s="116">
        <v>2.33136205179283</v>
      </c>
      <c r="C270" s="116">
        <v>2.3240479747676002</v>
      </c>
      <c r="D270" s="116">
        <v>2.3240479747676002</v>
      </c>
      <c r="E270" s="116">
        <v>2.33136205179283</v>
      </c>
      <c r="F270" s="116">
        <v>12.71</v>
      </c>
      <c r="G270">
        <v>902</v>
      </c>
      <c r="H270" s="116"/>
      <c r="I270" s="116"/>
      <c r="L270" s="170">
        <v>45974</v>
      </c>
      <c r="M270" s="116">
        <v>65.34</v>
      </c>
      <c r="N270" s="116">
        <v>66.17</v>
      </c>
      <c r="O270" s="116">
        <v>63.8</v>
      </c>
      <c r="P270" s="116">
        <v>64.150000000000006</v>
      </c>
      <c r="Q270" s="116">
        <v>65.34</v>
      </c>
      <c r="R270">
        <v>1235321</v>
      </c>
    </row>
    <row r="271" spans="1:18" x14ac:dyDescent="0.25">
      <c r="A271" s="170">
        <v>42605</v>
      </c>
      <c r="B271" s="116">
        <v>2.23262201195219</v>
      </c>
      <c r="C271" s="116">
        <v>2.2307934926958799</v>
      </c>
      <c r="D271" s="116">
        <v>2.2307934926958799</v>
      </c>
      <c r="E271" s="116">
        <v>2.23262201195219</v>
      </c>
      <c r="F271" s="116">
        <v>12.2</v>
      </c>
      <c r="G271">
        <v>100</v>
      </c>
      <c r="H271" s="116"/>
      <c r="I271" s="116"/>
      <c r="L271" s="170">
        <v>45975</v>
      </c>
      <c r="M271" s="116">
        <v>65.209999999999994</v>
      </c>
      <c r="N271" s="116">
        <v>66.39</v>
      </c>
      <c r="O271" s="116">
        <v>64.84</v>
      </c>
      <c r="P271" s="116">
        <v>65.5</v>
      </c>
      <c r="Q271" s="116">
        <v>65.209999999999994</v>
      </c>
      <c r="R271">
        <v>499450</v>
      </c>
    </row>
    <row r="272" spans="1:18" x14ac:dyDescent="0.25">
      <c r="A272" s="170">
        <v>42607</v>
      </c>
      <c r="B272" s="116">
        <v>2.3405046480743699</v>
      </c>
      <c r="C272" s="116">
        <v>2.3405046480743699</v>
      </c>
      <c r="D272" s="116">
        <v>2.1210823373174001</v>
      </c>
      <c r="E272" s="116">
        <v>2.1210823373174001</v>
      </c>
      <c r="F272" s="116">
        <v>12.8</v>
      </c>
      <c r="G272">
        <v>3906</v>
      </c>
      <c r="H272" s="116"/>
      <c r="I272" s="116"/>
      <c r="L272" s="170">
        <v>45978</v>
      </c>
      <c r="M272" s="116">
        <v>64.790000000000006</v>
      </c>
      <c r="N272" s="116">
        <v>65.59</v>
      </c>
      <c r="O272" s="116">
        <v>64.5</v>
      </c>
      <c r="P272" s="116">
        <v>65.010000000000005</v>
      </c>
      <c r="Q272" s="116">
        <v>64.790000000000006</v>
      </c>
      <c r="R272">
        <v>300035</v>
      </c>
    </row>
    <row r="273" spans="1:18" x14ac:dyDescent="0.25">
      <c r="A273" s="170">
        <v>42608</v>
      </c>
      <c r="B273" s="116">
        <v>2.4502158034528598</v>
      </c>
      <c r="C273" s="116">
        <v>2.4502158034528598</v>
      </c>
      <c r="D273" s="116">
        <v>2.4502158034528598</v>
      </c>
      <c r="E273" s="116">
        <v>2.4502158034528598</v>
      </c>
      <c r="F273" s="116">
        <v>13.4</v>
      </c>
      <c r="G273">
        <v>1326</v>
      </c>
      <c r="H273" s="116"/>
      <c r="I273" s="116"/>
      <c r="L273" s="170">
        <v>45979</v>
      </c>
      <c r="M273" s="116">
        <v>63.38</v>
      </c>
      <c r="N273" s="116">
        <v>64.95</v>
      </c>
      <c r="O273" s="116">
        <v>63.09</v>
      </c>
      <c r="P273" s="116">
        <v>64.5</v>
      </c>
      <c r="Q273" s="116">
        <v>63.38</v>
      </c>
      <c r="R273">
        <v>559117</v>
      </c>
    </row>
    <row r="274" spans="1:18" x14ac:dyDescent="0.25">
      <c r="A274" s="170">
        <v>42612</v>
      </c>
      <c r="B274" s="116">
        <v>2.57089807436919</v>
      </c>
      <c r="C274" s="116">
        <v>2.5690695551128799</v>
      </c>
      <c r="D274" s="116">
        <v>2.55992695883134</v>
      </c>
      <c r="E274" s="116">
        <v>2.57089807436919</v>
      </c>
      <c r="F274" s="116">
        <v>14.05</v>
      </c>
      <c r="G274">
        <v>2425</v>
      </c>
      <c r="H274" s="116"/>
      <c r="I274" s="116"/>
      <c r="L274" s="170">
        <v>45980</v>
      </c>
      <c r="M274" s="116">
        <v>62.34</v>
      </c>
      <c r="N274" s="116">
        <v>63.56</v>
      </c>
      <c r="O274" s="116">
        <v>62</v>
      </c>
      <c r="P274" s="116">
        <v>63.4</v>
      </c>
      <c r="Q274" s="116">
        <v>62.34</v>
      </c>
      <c r="R274">
        <v>709375</v>
      </c>
    </row>
    <row r="275" spans="1:18" x14ac:dyDescent="0.25">
      <c r="A275" s="170">
        <v>42613</v>
      </c>
      <c r="B275" s="116">
        <v>2.4685009960159401</v>
      </c>
      <c r="C275" s="116">
        <v>2.4410732071713102</v>
      </c>
      <c r="D275" s="116">
        <v>2.4410732071713102</v>
      </c>
      <c r="E275" s="116">
        <v>2.4685009960159401</v>
      </c>
      <c r="F275" s="116">
        <v>13.35</v>
      </c>
      <c r="G275">
        <v>205</v>
      </c>
      <c r="H275" s="116"/>
      <c r="I275" s="116"/>
      <c r="L275" s="170">
        <v>45981</v>
      </c>
      <c r="M275" s="116">
        <v>60.57</v>
      </c>
      <c r="N275" s="116">
        <v>62.84</v>
      </c>
      <c r="O275" s="116">
        <v>59.84</v>
      </c>
      <c r="P275" s="116">
        <v>62</v>
      </c>
      <c r="Q275" s="116">
        <v>60.57</v>
      </c>
      <c r="R275">
        <v>2846003</v>
      </c>
    </row>
    <row r="276" spans="1:18" x14ac:dyDescent="0.25">
      <c r="A276" s="170">
        <v>42614</v>
      </c>
      <c r="B276" s="116">
        <v>2.4502158034528598</v>
      </c>
      <c r="C276" s="116">
        <v>2.3203909362549799</v>
      </c>
      <c r="D276" s="116">
        <v>2.3203909362549799</v>
      </c>
      <c r="E276" s="116">
        <v>2.4502158034528598</v>
      </c>
      <c r="F276" s="116">
        <v>12.69</v>
      </c>
      <c r="G276">
        <v>2525</v>
      </c>
      <c r="H276" s="116"/>
      <c r="I276" s="116"/>
      <c r="L276" s="170">
        <v>45982</v>
      </c>
      <c r="M276" s="116">
        <v>60.05</v>
      </c>
      <c r="N276" s="116">
        <v>60.84</v>
      </c>
      <c r="O276" s="116">
        <v>58.57</v>
      </c>
      <c r="P276" s="116">
        <v>60</v>
      </c>
      <c r="Q276" s="116">
        <v>60.05</v>
      </c>
      <c r="R276">
        <v>860142</v>
      </c>
    </row>
    <row r="277" spans="1:18" x14ac:dyDescent="0.25">
      <c r="A277" s="170">
        <v>42615</v>
      </c>
      <c r="B277" s="116">
        <v>2.2051942231075699</v>
      </c>
      <c r="C277" s="116">
        <v>2.2051942231075699</v>
      </c>
      <c r="D277" s="116">
        <v>2.2051942231075699</v>
      </c>
      <c r="E277" s="116">
        <v>2.2051942231075699</v>
      </c>
      <c r="F277" s="116">
        <v>12.06</v>
      </c>
      <c r="G277">
        <v>6147</v>
      </c>
      <c r="H277" s="116"/>
      <c r="I277" s="116"/>
      <c r="L277" s="170">
        <v>45985</v>
      </c>
      <c r="M277" s="116">
        <v>57.72</v>
      </c>
      <c r="N277" s="116">
        <v>60.07</v>
      </c>
      <c r="O277" s="116">
        <v>56.86</v>
      </c>
      <c r="P277" s="116">
        <v>60</v>
      </c>
      <c r="Q277" s="116">
        <v>57.72</v>
      </c>
      <c r="R277">
        <v>1431926</v>
      </c>
    </row>
    <row r="278" spans="1:18" x14ac:dyDescent="0.25">
      <c r="A278" s="170">
        <v>42619</v>
      </c>
      <c r="B278" s="116">
        <v>2.2033657038512602</v>
      </c>
      <c r="C278" s="116">
        <v>2.2033657038512602</v>
      </c>
      <c r="D278" s="116">
        <v>2.2033657038512602</v>
      </c>
      <c r="E278" s="116">
        <v>2.2033657038512602</v>
      </c>
      <c r="F278" s="116">
        <v>12.05</v>
      </c>
      <c r="G278">
        <v>1000</v>
      </c>
      <c r="H278" s="116"/>
      <c r="I278" s="116"/>
      <c r="L278" s="170">
        <v>45986</v>
      </c>
      <c r="M278" s="116">
        <v>56.65</v>
      </c>
      <c r="N278" s="116">
        <v>58.32</v>
      </c>
      <c r="O278" s="116">
        <v>56.36</v>
      </c>
      <c r="P278" s="116">
        <v>57.8</v>
      </c>
      <c r="Q278" s="116">
        <v>56.65</v>
      </c>
      <c r="R278">
        <v>1056783</v>
      </c>
    </row>
    <row r="279" spans="1:18" x14ac:dyDescent="0.25">
      <c r="A279" s="170">
        <v>42627</v>
      </c>
      <c r="B279" s="116">
        <v>2.3130768592297501</v>
      </c>
      <c r="C279" s="116">
        <v>2.3039342629482098</v>
      </c>
      <c r="D279" s="116">
        <v>2.3039342629482098</v>
      </c>
      <c r="E279" s="116">
        <v>2.3130768592297501</v>
      </c>
      <c r="F279" s="116">
        <v>12.6</v>
      </c>
      <c r="G279">
        <v>1285</v>
      </c>
      <c r="H279" s="116"/>
      <c r="I279" s="116"/>
      <c r="L279" s="170">
        <v>45987</v>
      </c>
      <c r="M279" s="116">
        <v>58.26</v>
      </c>
      <c r="N279" s="116">
        <v>58.5</v>
      </c>
      <c r="O279" s="116">
        <v>56.7</v>
      </c>
      <c r="P279" s="116">
        <v>56.7</v>
      </c>
      <c r="Q279" s="116">
        <v>58.26</v>
      </c>
      <c r="R279">
        <v>730459</v>
      </c>
    </row>
    <row r="280" spans="1:18" x14ac:dyDescent="0.25">
      <c r="A280" s="170">
        <v>42628</v>
      </c>
      <c r="B280" s="116">
        <v>2.4191309760956199</v>
      </c>
      <c r="C280" s="116">
        <v>2.4191309760956199</v>
      </c>
      <c r="D280" s="116">
        <v>2.4191309760956199</v>
      </c>
      <c r="E280" s="116">
        <v>2.4191309760956199</v>
      </c>
      <c r="F280" s="116">
        <v>13.23</v>
      </c>
      <c r="G280">
        <v>50</v>
      </c>
      <c r="H280" s="116"/>
      <c r="I280" s="116"/>
      <c r="L280" s="170">
        <v>45988</v>
      </c>
      <c r="M280" s="116">
        <v>57.64</v>
      </c>
      <c r="N280" s="116">
        <v>59.45</v>
      </c>
      <c r="O280" s="116">
        <v>57.01</v>
      </c>
      <c r="P280" s="116">
        <v>58.9</v>
      </c>
      <c r="Q280" s="116">
        <v>57.64</v>
      </c>
      <c r="R280">
        <v>868945</v>
      </c>
    </row>
    <row r="281" spans="1:18" x14ac:dyDescent="0.25">
      <c r="A281" s="170">
        <v>42629</v>
      </c>
      <c r="B281" s="116">
        <v>2.3130768592297501</v>
      </c>
      <c r="C281" s="116">
        <v>2.3039342629482098</v>
      </c>
      <c r="D281" s="116">
        <v>2.3039342629482098</v>
      </c>
      <c r="E281" s="116">
        <v>2.3130768592297501</v>
      </c>
      <c r="F281" s="116">
        <v>12.6</v>
      </c>
      <c r="G281">
        <v>1150</v>
      </c>
      <c r="H281" s="116"/>
      <c r="I281" s="116"/>
      <c r="L281" s="170">
        <v>45989</v>
      </c>
      <c r="M281" s="116">
        <v>58.64</v>
      </c>
      <c r="N281" s="116">
        <v>59.9</v>
      </c>
      <c r="O281" s="116">
        <v>57.32</v>
      </c>
      <c r="P281" s="116">
        <v>58.34</v>
      </c>
      <c r="Q281" s="116">
        <v>58.64</v>
      </c>
      <c r="R281">
        <v>690275</v>
      </c>
    </row>
    <row r="282" spans="1:18" x14ac:dyDescent="0.25">
      <c r="A282" s="170">
        <v>42640</v>
      </c>
      <c r="B282" s="116">
        <v>2.4191309760956199</v>
      </c>
      <c r="C282" s="116">
        <v>2.41364541832669</v>
      </c>
      <c r="D282" s="116">
        <v>2.1942231075697198</v>
      </c>
      <c r="E282" s="116">
        <v>2.4191309760956199</v>
      </c>
      <c r="F282" s="116">
        <v>13.2</v>
      </c>
      <c r="G282">
        <v>3338</v>
      </c>
      <c r="H282" s="116"/>
      <c r="I282" s="116"/>
      <c r="L282" s="170">
        <v>45992</v>
      </c>
      <c r="M282" s="116">
        <v>57.05</v>
      </c>
      <c r="N282" s="116">
        <v>59.11</v>
      </c>
      <c r="O282" s="116">
        <v>56.22</v>
      </c>
      <c r="P282" s="116">
        <v>59.11</v>
      </c>
      <c r="Q282" s="116">
        <v>57.05</v>
      </c>
      <c r="R282">
        <v>881391</v>
      </c>
    </row>
    <row r="283" spans="1:18" x14ac:dyDescent="0.25">
      <c r="A283" s="170">
        <v>42641</v>
      </c>
      <c r="B283" s="116">
        <v>2.5324991699867199</v>
      </c>
      <c r="C283" s="116">
        <v>2.5324991699867199</v>
      </c>
      <c r="D283" s="116">
        <v>2.5324991699867199</v>
      </c>
      <c r="E283" s="116">
        <v>2.5324991699867199</v>
      </c>
      <c r="F283" s="116">
        <v>13.85</v>
      </c>
      <c r="G283">
        <v>2500</v>
      </c>
      <c r="H283" s="116"/>
      <c r="I283" s="116"/>
      <c r="L283" s="170">
        <v>45993</v>
      </c>
      <c r="M283" s="116">
        <v>55.82</v>
      </c>
      <c r="N283" s="116">
        <v>57</v>
      </c>
      <c r="O283" s="116">
        <v>55.46</v>
      </c>
      <c r="P283" s="116">
        <v>57</v>
      </c>
      <c r="Q283" s="116">
        <v>55.82</v>
      </c>
      <c r="R283">
        <v>758061</v>
      </c>
    </row>
    <row r="284" spans="1:18" x14ac:dyDescent="0.25">
      <c r="A284" s="170">
        <v>42642</v>
      </c>
      <c r="B284" s="116">
        <v>2.65866699867198</v>
      </c>
      <c r="C284" s="116">
        <v>2.65866699867198</v>
      </c>
      <c r="D284" s="116">
        <v>2.65866699867198</v>
      </c>
      <c r="E284" s="116">
        <v>2.65866699867198</v>
      </c>
      <c r="F284" s="116">
        <v>14.54</v>
      </c>
      <c r="G284">
        <v>1526</v>
      </c>
      <c r="H284" s="116"/>
      <c r="I284" s="116"/>
      <c r="L284" s="170">
        <v>45994</v>
      </c>
      <c r="M284" s="116">
        <v>55.56</v>
      </c>
      <c r="N284" s="116">
        <v>56.09</v>
      </c>
      <c r="O284" s="116">
        <v>54.51</v>
      </c>
      <c r="P284" s="116">
        <v>55.98</v>
      </c>
      <c r="Q284" s="116">
        <v>55.56</v>
      </c>
      <c r="R284">
        <v>790420</v>
      </c>
    </row>
    <row r="285" spans="1:18" x14ac:dyDescent="0.25">
      <c r="A285" s="170">
        <v>42643</v>
      </c>
      <c r="B285" s="116">
        <v>2.7647211155378502</v>
      </c>
      <c r="C285" s="116">
        <v>2.7647211155378502</v>
      </c>
      <c r="D285" s="116">
        <v>2.55992695883134</v>
      </c>
      <c r="E285" s="116">
        <v>2.55992695883134</v>
      </c>
      <c r="F285" s="116">
        <v>15.12</v>
      </c>
      <c r="G285">
        <v>436</v>
      </c>
      <c r="H285" s="116"/>
      <c r="I285" s="116"/>
      <c r="L285" s="170">
        <v>45995</v>
      </c>
      <c r="M285" s="116">
        <v>53.96</v>
      </c>
      <c r="N285" s="116">
        <v>55.9</v>
      </c>
      <c r="O285" s="116">
        <v>53.65</v>
      </c>
      <c r="P285" s="116">
        <v>55.56</v>
      </c>
      <c r="Q285" s="116">
        <v>53.96</v>
      </c>
      <c r="R285">
        <v>850793</v>
      </c>
    </row>
    <row r="286" spans="1:18" x14ac:dyDescent="0.25">
      <c r="A286" s="170">
        <v>42647</v>
      </c>
      <c r="B286" s="116">
        <v>2.8982030212483401</v>
      </c>
      <c r="C286" s="116">
        <v>2.8982030212483401</v>
      </c>
      <c r="D286" s="116">
        <v>2.8982030212483401</v>
      </c>
      <c r="E286" s="116">
        <v>2.8982030212483401</v>
      </c>
      <c r="F286" s="116">
        <v>15.85</v>
      </c>
      <c r="G286">
        <v>40</v>
      </c>
      <c r="H286" s="116"/>
      <c r="I286" s="116"/>
      <c r="L286" s="170">
        <v>45996</v>
      </c>
      <c r="M286" s="116">
        <v>54.96</v>
      </c>
      <c r="N286" s="116">
        <v>56.8</v>
      </c>
      <c r="O286" s="116">
        <v>53.9</v>
      </c>
      <c r="P286" s="116">
        <v>54.5</v>
      </c>
      <c r="Q286" s="116">
        <v>54.96</v>
      </c>
      <c r="R286">
        <v>2285731</v>
      </c>
    </row>
    <row r="287" spans="1:18" x14ac:dyDescent="0.25">
      <c r="A287" s="170">
        <v>42649</v>
      </c>
      <c r="B287" s="116">
        <v>3.0353419654714502</v>
      </c>
      <c r="C287" s="116">
        <v>3.0353419654714502</v>
      </c>
      <c r="D287" s="116">
        <v>2.7610640770252299</v>
      </c>
      <c r="E287" s="116">
        <v>2.7610640770252299</v>
      </c>
      <c r="F287" s="116">
        <v>16.600000000000001</v>
      </c>
      <c r="G287">
        <v>5000</v>
      </c>
      <c r="H287" s="116"/>
      <c r="I287" s="116"/>
      <c r="L287" s="170">
        <v>45999</v>
      </c>
      <c r="M287" s="116">
        <v>52.08</v>
      </c>
      <c r="N287" s="116">
        <v>55.89</v>
      </c>
      <c r="O287" s="116">
        <v>51.5</v>
      </c>
      <c r="P287" s="116">
        <v>54.96</v>
      </c>
      <c r="Q287" s="116">
        <v>52.08</v>
      </c>
      <c r="R287">
        <v>1796174</v>
      </c>
    </row>
    <row r="288" spans="1:18" x14ac:dyDescent="0.25">
      <c r="A288" s="170">
        <v>42656</v>
      </c>
      <c r="B288" s="116">
        <v>3.0353419654714502</v>
      </c>
      <c r="C288" s="116">
        <v>3.0353419654714502</v>
      </c>
      <c r="D288" s="116">
        <v>3.0353419654714502</v>
      </c>
      <c r="E288" s="116">
        <v>3.0353419654714502</v>
      </c>
      <c r="F288" s="116">
        <v>16.600000000000001</v>
      </c>
      <c r="G288">
        <v>130</v>
      </c>
      <c r="H288" s="116"/>
      <c r="I288" s="116"/>
      <c r="L288" s="170">
        <v>46000</v>
      </c>
      <c r="M288" s="116">
        <v>57.03</v>
      </c>
      <c r="N288" s="116">
        <v>59</v>
      </c>
      <c r="O288" s="116">
        <v>50.74</v>
      </c>
      <c r="P288" s="116">
        <v>52.08</v>
      </c>
      <c r="Q288" s="116">
        <v>57.03</v>
      </c>
      <c r="R288">
        <v>16440241</v>
      </c>
    </row>
    <row r="289" spans="1:18" x14ac:dyDescent="0.25">
      <c r="A289" s="170">
        <v>42661</v>
      </c>
      <c r="B289" s="116">
        <v>3.0261993691899098</v>
      </c>
      <c r="C289" s="116">
        <v>3.0261993691899098</v>
      </c>
      <c r="D289" s="116">
        <v>3.0261993691899098</v>
      </c>
      <c r="E289" s="116">
        <v>3.0261993691899098</v>
      </c>
      <c r="F289" s="116">
        <v>16.55</v>
      </c>
      <c r="G289">
        <v>500</v>
      </c>
      <c r="H289" s="116"/>
      <c r="I289" s="116"/>
      <c r="L289" s="170">
        <v>46001</v>
      </c>
      <c r="M289" s="116">
        <v>56.42</v>
      </c>
      <c r="N289" s="116">
        <v>58.49</v>
      </c>
      <c r="O289" s="116">
        <v>55.28</v>
      </c>
      <c r="P289" s="116">
        <v>57.25</v>
      </c>
      <c r="Q289" s="116">
        <v>56.42</v>
      </c>
      <c r="R289">
        <v>20201029</v>
      </c>
    </row>
    <row r="290" spans="1:18" x14ac:dyDescent="0.25">
      <c r="A290" s="170">
        <v>42663</v>
      </c>
      <c r="B290" s="116">
        <v>2.8890604249668002</v>
      </c>
      <c r="C290" s="116">
        <v>2.8799178286852598</v>
      </c>
      <c r="D290" s="116">
        <v>2.8799178286852598</v>
      </c>
      <c r="E290" s="116">
        <v>2.8890604249668002</v>
      </c>
      <c r="F290" s="116">
        <v>15.75</v>
      </c>
      <c r="G290">
        <v>550</v>
      </c>
      <c r="H290" s="116"/>
      <c r="I290" s="116"/>
      <c r="L290" s="170">
        <v>46002</v>
      </c>
      <c r="M290" s="116">
        <v>55.92</v>
      </c>
      <c r="N290" s="116">
        <v>57.69</v>
      </c>
      <c r="O290" s="116">
        <v>55.15</v>
      </c>
      <c r="P290" s="116">
        <v>56.75</v>
      </c>
      <c r="Q290" s="116">
        <v>55.92</v>
      </c>
      <c r="R290">
        <v>1001847</v>
      </c>
    </row>
    <row r="291" spans="1:18" x14ac:dyDescent="0.25">
      <c r="A291" s="170">
        <v>42667</v>
      </c>
      <c r="B291" s="116">
        <v>2.8799178286852598</v>
      </c>
      <c r="C291" s="116">
        <v>2.8799178286852598</v>
      </c>
      <c r="D291" s="116">
        <v>2.8799178286852598</v>
      </c>
      <c r="E291" s="116">
        <v>2.8799178286852598</v>
      </c>
      <c r="F291" s="116">
        <v>15.75</v>
      </c>
      <c r="G291">
        <v>200</v>
      </c>
      <c r="H291" s="116"/>
      <c r="I291" s="116"/>
      <c r="L291" s="170">
        <v>46003</v>
      </c>
      <c r="M291" s="116">
        <v>57.94</v>
      </c>
      <c r="N291" s="116">
        <v>58.4</v>
      </c>
      <c r="O291" s="116">
        <v>55.52</v>
      </c>
      <c r="P291" s="116">
        <v>56.37</v>
      </c>
      <c r="Q291" s="116">
        <v>57.94</v>
      </c>
      <c r="R291">
        <v>1697751</v>
      </c>
    </row>
    <row r="292" spans="1:18" x14ac:dyDescent="0.25">
      <c r="A292" s="170">
        <v>42669</v>
      </c>
      <c r="B292" s="116">
        <v>2.7427788844621501</v>
      </c>
      <c r="C292" s="116">
        <v>2.7427788844621501</v>
      </c>
      <c r="D292" s="116">
        <v>2.7427788844621501</v>
      </c>
      <c r="E292" s="116">
        <v>2.7427788844621501</v>
      </c>
      <c r="F292" s="116">
        <v>15</v>
      </c>
      <c r="G292">
        <v>35</v>
      </c>
      <c r="H292" s="116"/>
      <c r="I292" s="116"/>
      <c r="L292" s="170">
        <v>46006</v>
      </c>
      <c r="M292" s="116">
        <v>58.58</v>
      </c>
      <c r="N292" s="116">
        <v>59.24</v>
      </c>
      <c r="O292" s="116">
        <v>57.15</v>
      </c>
      <c r="P292" s="116">
        <v>57.9</v>
      </c>
      <c r="Q292" s="116">
        <v>58.58</v>
      </c>
      <c r="R292">
        <v>1211991</v>
      </c>
    </row>
    <row r="293" spans="1:18" x14ac:dyDescent="0.25">
      <c r="A293" s="170">
        <v>42670</v>
      </c>
      <c r="B293" s="116">
        <v>2.7427788844621501</v>
      </c>
      <c r="C293" s="116">
        <v>2.7427788844621501</v>
      </c>
      <c r="D293" s="116">
        <v>2.7427788844621501</v>
      </c>
      <c r="E293" s="116">
        <v>2.7427788844621501</v>
      </c>
      <c r="F293" s="116">
        <v>15</v>
      </c>
      <c r="G293">
        <v>1</v>
      </c>
      <c r="H293" s="116"/>
      <c r="I293" s="116"/>
      <c r="L293" s="170">
        <v>46007</v>
      </c>
      <c r="M293" s="116">
        <v>64.790000000000006</v>
      </c>
      <c r="N293" s="116">
        <v>66.8</v>
      </c>
      <c r="O293" s="116">
        <v>58.37</v>
      </c>
      <c r="P293" s="116">
        <v>58.6</v>
      </c>
      <c r="Q293" s="116">
        <v>64.790000000000006</v>
      </c>
      <c r="R293">
        <v>16299195</v>
      </c>
    </row>
    <row r="294" spans="1:18" x14ac:dyDescent="0.25">
      <c r="A294" s="170">
        <v>42682</v>
      </c>
      <c r="B294" s="116">
        <v>2.8799178286852598</v>
      </c>
      <c r="C294" s="116">
        <v>2.7427788844621501</v>
      </c>
      <c r="D294" s="116">
        <v>2.7427788844621501</v>
      </c>
      <c r="E294" s="116">
        <v>2.8799178286852598</v>
      </c>
      <c r="F294" s="116">
        <v>15</v>
      </c>
      <c r="G294">
        <v>3206</v>
      </c>
      <c r="H294" s="116"/>
      <c r="I294" s="116"/>
      <c r="L294" s="170">
        <v>46008</v>
      </c>
      <c r="M294" s="116">
        <v>63.34</v>
      </c>
      <c r="N294" s="116">
        <v>66.13</v>
      </c>
      <c r="O294" s="116">
        <v>62.44</v>
      </c>
      <c r="P294" s="116">
        <v>64.540000000000006</v>
      </c>
      <c r="Q294" s="116">
        <v>63.34</v>
      </c>
      <c r="R294">
        <v>3409608</v>
      </c>
    </row>
    <row r="295" spans="1:18" x14ac:dyDescent="0.25">
      <c r="A295" s="170">
        <v>42683</v>
      </c>
      <c r="B295" s="116">
        <v>2.8524900398406401</v>
      </c>
      <c r="C295" s="116">
        <v>2.6513529216467502</v>
      </c>
      <c r="D295" s="116">
        <v>2.6513529216467502</v>
      </c>
      <c r="E295" s="116">
        <v>2.8524900398406401</v>
      </c>
      <c r="F295" s="116">
        <v>14.5</v>
      </c>
      <c r="G295">
        <v>300</v>
      </c>
      <c r="H295" s="116"/>
      <c r="I295" s="116"/>
      <c r="L295" s="170">
        <v>46009</v>
      </c>
      <c r="M295" s="116">
        <v>67.13</v>
      </c>
      <c r="N295" s="116">
        <v>67.900000000000006</v>
      </c>
      <c r="O295" s="116">
        <v>61.54</v>
      </c>
      <c r="P295" s="116">
        <v>62.6</v>
      </c>
      <c r="Q295" s="116">
        <v>67.13</v>
      </c>
      <c r="R295">
        <v>6082339</v>
      </c>
    </row>
    <row r="296" spans="1:18" x14ac:dyDescent="0.25">
      <c r="A296" s="170">
        <v>42684</v>
      </c>
      <c r="B296" s="116">
        <v>2.7793492695883102</v>
      </c>
      <c r="C296" s="116">
        <v>2.7793492695883102</v>
      </c>
      <c r="D296" s="116">
        <v>2.6513529216467502</v>
      </c>
      <c r="E296" s="116">
        <v>2.7793492695883102</v>
      </c>
      <c r="F296" s="116">
        <v>15.2</v>
      </c>
      <c r="G296">
        <v>734</v>
      </c>
      <c r="H296" s="116"/>
      <c r="I296" s="116"/>
      <c r="L296" s="170">
        <v>46010</v>
      </c>
      <c r="M296" s="116">
        <v>70.86</v>
      </c>
      <c r="N296" s="116">
        <v>71.33</v>
      </c>
      <c r="O296" s="116">
        <v>67.150000000000006</v>
      </c>
      <c r="P296" s="116">
        <v>67.150000000000006</v>
      </c>
      <c r="Q296" s="116">
        <v>70.86</v>
      </c>
      <c r="R296">
        <v>6649105</v>
      </c>
    </row>
    <row r="297" spans="1:18" x14ac:dyDescent="0.25">
      <c r="A297" s="170">
        <v>42685</v>
      </c>
      <c r="B297" s="116">
        <v>2.6513529216467502</v>
      </c>
      <c r="C297" s="116">
        <v>2.6422103253652098</v>
      </c>
      <c r="D297" s="116">
        <v>2.6422103253652098</v>
      </c>
      <c r="E297" s="116">
        <v>2.6513529216467502</v>
      </c>
      <c r="F297" s="116">
        <v>14.45</v>
      </c>
      <c r="G297">
        <v>525</v>
      </c>
      <c r="H297" s="116"/>
      <c r="I297" s="116"/>
      <c r="L297" s="170">
        <v>46013</v>
      </c>
      <c r="M297" s="116">
        <v>73.25</v>
      </c>
      <c r="N297" s="116">
        <v>73.73</v>
      </c>
      <c r="O297" s="116">
        <v>70.25</v>
      </c>
      <c r="P297" s="116">
        <v>71.7</v>
      </c>
      <c r="Q297" s="116">
        <v>73.25</v>
      </c>
      <c r="R297">
        <v>4132614</v>
      </c>
    </row>
    <row r="298" spans="1:18" x14ac:dyDescent="0.25">
      <c r="A298" s="170">
        <v>42699</v>
      </c>
      <c r="B298" s="116">
        <v>2.6147825365205799</v>
      </c>
      <c r="C298" s="116">
        <v>2.5142139774236401</v>
      </c>
      <c r="D298" s="116">
        <v>2.5142139774236401</v>
      </c>
      <c r="E298" s="116">
        <v>2.6147825365205799</v>
      </c>
      <c r="F298" s="116">
        <v>13.75</v>
      </c>
      <c r="G298">
        <v>800</v>
      </c>
      <c r="H298" s="116"/>
      <c r="I298" s="116"/>
      <c r="L298" s="170">
        <v>46014</v>
      </c>
      <c r="M298" s="116">
        <v>69.47</v>
      </c>
      <c r="N298" s="116">
        <v>74.64</v>
      </c>
      <c r="O298" s="116">
        <v>68.33</v>
      </c>
      <c r="P298" s="116">
        <v>74.2</v>
      </c>
      <c r="Q298" s="116">
        <v>69.47</v>
      </c>
      <c r="R298">
        <v>5601785</v>
      </c>
    </row>
    <row r="299" spans="1:18" x14ac:dyDescent="0.25">
      <c r="A299" s="170">
        <v>42705</v>
      </c>
      <c r="B299" s="116">
        <v>2.6385532868525901</v>
      </c>
      <c r="C299" s="116">
        <v>2.6385532868525901</v>
      </c>
      <c r="D299" s="116">
        <v>2.6385532868525901</v>
      </c>
      <c r="E299" s="116">
        <v>2.6385532868525901</v>
      </c>
      <c r="F299" s="116">
        <v>14.43</v>
      </c>
      <c r="G299">
        <v>50</v>
      </c>
      <c r="H299" s="116"/>
      <c r="I299" s="116"/>
      <c r="L299" s="170">
        <v>46015</v>
      </c>
      <c r="M299" s="116">
        <v>67.67</v>
      </c>
      <c r="N299" s="116">
        <v>70</v>
      </c>
      <c r="O299" s="116">
        <v>66.12</v>
      </c>
      <c r="P299" s="116">
        <v>69.400000000000006</v>
      </c>
      <c r="Q299" s="116">
        <v>67.67</v>
      </c>
      <c r="R299">
        <v>3074272</v>
      </c>
    </row>
    <row r="300" spans="1:18" x14ac:dyDescent="0.25">
      <c r="A300" s="170">
        <v>42706</v>
      </c>
      <c r="B300" s="116">
        <v>2.7702066733067698</v>
      </c>
      <c r="C300" s="116">
        <v>2.7702066733067698</v>
      </c>
      <c r="D300" s="116">
        <v>2.7702066733067698</v>
      </c>
      <c r="E300" s="116">
        <v>2.7702066733067698</v>
      </c>
      <c r="F300" s="116">
        <v>15.15</v>
      </c>
      <c r="G300">
        <v>5</v>
      </c>
      <c r="H300" s="116"/>
      <c r="I300" s="116"/>
      <c r="L300" s="170">
        <v>46017</v>
      </c>
      <c r="M300" s="116">
        <v>62.52</v>
      </c>
      <c r="N300" s="116">
        <v>68.569999999999993</v>
      </c>
      <c r="O300" s="116">
        <v>62.1</v>
      </c>
      <c r="P300" s="116">
        <v>67.790000000000006</v>
      </c>
      <c r="Q300" s="116">
        <v>62.52</v>
      </c>
      <c r="R300">
        <v>6347958</v>
      </c>
    </row>
    <row r="301" spans="1:18" x14ac:dyDescent="0.25">
      <c r="A301" s="170">
        <v>42710</v>
      </c>
      <c r="B301" s="116">
        <v>2.7702066733067698</v>
      </c>
      <c r="C301" s="116">
        <v>2.7702066733067698</v>
      </c>
      <c r="D301" s="116">
        <v>2.7702066733067698</v>
      </c>
      <c r="E301" s="116">
        <v>2.7702066733067698</v>
      </c>
      <c r="F301" s="116">
        <v>15.15</v>
      </c>
      <c r="G301">
        <v>40</v>
      </c>
      <c r="H301" s="116"/>
      <c r="I301" s="116"/>
      <c r="L301" s="170">
        <v>46020</v>
      </c>
      <c r="M301" s="116">
        <v>60.98</v>
      </c>
      <c r="N301" s="116">
        <v>63.85</v>
      </c>
      <c r="O301" s="116">
        <v>60.48</v>
      </c>
      <c r="P301" s="116">
        <v>62.52</v>
      </c>
      <c r="Q301" s="116">
        <v>60.98</v>
      </c>
      <c r="R301">
        <v>4035114</v>
      </c>
    </row>
    <row r="302" spans="1:18" x14ac:dyDescent="0.25">
      <c r="A302" s="170">
        <v>42711</v>
      </c>
      <c r="B302" s="116">
        <v>2.7702066733067698</v>
      </c>
      <c r="C302" s="116">
        <v>2.7702066733067698</v>
      </c>
      <c r="D302" s="116">
        <v>2.7702066733067698</v>
      </c>
      <c r="E302" s="116">
        <v>2.7702066733067698</v>
      </c>
      <c r="F302" s="116">
        <v>15.15</v>
      </c>
      <c r="G302">
        <v>18</v>
      </c>
      <c r="H302" s="116"/>
      <c r="I302" s="116"/>
      <c r="L302" s="170">
        <v>46021</v>
      </c>
      <c r="M302" s="116">
        <v>59.99</v>
      </c>
      <c r="N302" s="116">
        <v>61.39</v>
      </c>
      <c r="O302" s="116">
        <v>59.66</v>
      </c>
      <c r="P302" s="116">
        <v>61.25</v>
      </c>
      <c r="Q302" s="116">
        <v>59.99</v>
      </c>
      <c r="R302">
        <v>1643967</v>
      </c>
    </row>
    <row r="303" spans="1:18" x14ac:dyDescent="0.25">
      <c r="A303" s="170">
        <v>42712</v>
      </c>
      <c r="B303" s="116">
        <v>2.7702066733067698</v>
      </c>
      <c r="C303" s="116">
        <v>2.7427788844621501</v>
      </c>
      <c r="D303" s="116">
        <v>2.7427788844621501</v>
      </c>
      <c r="E303" s="116">
        <v>2.7702066733067698</v>
      </c>
      <c r="F303" s="116">
        <v>15</v>
      </c>
      <c r="G303">
        <v>2200</v>
      </c>
      <c r="H303" s="116"/>
      <c r="I303" s="116"/>
      <c r="L303" s="170">
        <v>46022</v>
      </c>
      <c r="M303" s="116">
        <v>59.75</v>
      </c>
      <c r="N303" s="116">
        <v>61.33</v>
      </c>
      <c r="O303" s="116">
        <v>59.26</v>
      </c>
      <c r="P303" s="116">
        <v>60.35</v>
      </c>
      <c r="Q303" s="116">
        <v>59.75</v>
      </c>
      <c r="R303">
        <v>2034207</v>
      </c>
    </row>
    <row r="304" spans="1:18" x14ac:dyDescent="0.25">
      <c r="A304" s="170">
        <v>42713</v>
      </c>
      <c r="B304" s="116">
        <v>2.6147825365205799</v>
      </c>
      <c r="C304" s="116">
        <v>2.6147825365205799</v>
      </c>
      <c r="D304" s="116">
        <v>2.6147825365205799</v>
      </c>
      <c r="E304" s="116">
        <v>2.6147825365205799</v>
      </c>
      <c r="F304" s="116">
        <v>14.3</v>
      </c>
      <c r="G304">
        <v>135</v>
      </c>
      <c r="H304" s="116"/>
      <c r="I304" s="116"/>
      <c r="L304" s="170">
        <v>46023</v>
      </c>
      <c r="M304" s="116">
        <v>62.59</v>
      </c>
      <c r="N304" s="116">
        <v>63.47</v>
      </c>
      <c r="O304" s="116">
        <v>59.69</v>
      </c>
      <c r="P304" s="116">
        <v>59.9</v>
      </c>
      <c r="Q304" s="116">
        <v>62.59</v>
      </c>
      <c r="R304">
        <v>3839581</v>
      </c>
    </row>
    <row r="305" spans="1:18" x14ac:dyDescent="0.25">
      <c r="A305" s="170">
        <v>42717</v>
      </c>
      <c r="B305" s="116">
        <v>2.7446074037184598</v>
      </c>
      <c r="C305" s="116">
        <v>2.7446074037184598</v>
      </c>
      <c r="D305" s="116">
        <v>2.7427788844621501</v>
      </c>
      <c r="E305" s="116">
        <v>2.7427788844621501</v>
      </c>
      <c r="F305" s="116">
        <v>15.01</v>
      </c>
      <c r="G305">
        <v>2655</v>
      </c>
      <c r="H305" s="116"/>
      <c r="I305" s="116"/>
      <c r="L305" s="170">
        <v>46024</v>
      </c>
      <c r="M305" s="116">
        <v>62.59</v>
      </c>
      <c r="N305" s="116">
        <v>63.42</v>
      </c>
      <c r="O305" s="116">
        <v>61.92</v>
      </c>
      <c r="P305" s="116">
        <v>62.85</v>
      </c>
      <c r="Q305" s="116">
        <v>62.59</v>
      </c>
      <c r="R305">
        <v>1559829</v>
      </c>
    </row>
    <row r="306" spans="1:18" x14ac:dyDescent="0.25">
      <c r="A306" s="170">
        <v>42718</v>
      </c>
      <c r="B306" s="116">
        <v>2.8799178286852598</v>
      </c>
      <c r="C306" s="116">
        <v>2.8451759628154099</v>
      </c>
      <c r="D306" s="116">
        <v>2.7446074037184598</v>
      </c>
      <c r="E306" s="116">
        <v>2.8799178286852598</v>
      </c>
      <c r="F306" s="116">
        <v>15.56</v>
      </c>
      <c r="G306">
        <v>1280</v>
      </c>
      <c r="H306" s="116"/>
      <c r="I306" s="116"/>
      <c r="L306" s="170">
        <v>46027</v>
      </c>
      <c r="M306" s="116">
        <v>67.89</v>
      </c>
      <c r="N306" s="116">
        <v>68.75</v>
      </c>
      <c r="O306" s="116">
        <v>62.5</v>
      </c>
      <c r="P306" s="116">
        <v>62.6</v>
      </c>
      <c r="Q306" s="116">
        <v>67.89</v>
      </c>
      <c r="R306">
        <v>9861933</v>
      </c>
    </row>
    <row r="307" spans="1:18" x14ac:dyDescent="0.25">
      <c r="A307" s="170">
        <v>42719</v>
      </c>
      <c r="B307" s="116">
        <v>2.98597194555113</v>
      </c>
      <c r="C307" s="116">
        <v>2.7427788844621501</v>
      </c>
      <c r="D307" s="116">
        <v>2.7427788844621501</v>
      </c>
      <c r="E307" s="116">
        <v>2.9804863877822001</v>
      </c>
      <c r="F307" s="116">
        <v>15</v>
      </c>
      <c r="G307">
        <v>3775</v>
      </c>
      <c r="H307" s="116"/>
      <c r="I307" s="116"/>
      <c r="L307" s="170">
        <v>46028</v>
      </c>
      <c r="M307" s="116">
        <v>66.069999999999993</v>
      </c>
      <c r="N307" s="116">
        <v>68.5</v>
      </c>
      <c r="O307" s="116">
        <v>65.73</v>
      </c>
      <c r="P307" s="116">
        <v>68</v>
      </c>
      <c r="Q307" s="116">
        <v>66.069999999999993</v>
      </c>
      <c r="R307">
        <v>1892459</v>
      </c>
    </row>
    <row r="308" spans="1:18" x14ac:dyDescent="0.25">
      <c r="A308" s="170">
        <v>42720</v>
      </c>
      <c r="B308" s="116">
        <v>2.8689467131474098</v>
      </c>
      <c r="C308" s="116">
        <v>2.7537500000000001</v>
      </c>
      <c r="D308" s="116">
        <v>2.7427788844621501</v>
      </c>
      <c r="E308" s="116">
        <v>2.7427788844621501</v>
      </c>
      <c r="F308" s="116">
        <v>15.06</v>
      </c>
      <c r="G308">
        <v>1103</v>
      </c>
      <c r="H308" s="116"/>
      <c r="I308" s="116"/>
      <c r="L308" s="170">
        <v>46029</v>
      </c>
      <c r="M308" s="116">
        <v>66.95</v>
      </c>
      <c r="N308" s="116">
        <v>67.36</v>
      </c>
      <c r="O308" s="116">
        <v>65.17</v>
      </c>
      <c r="P308" s="116">
        <v>65.5</v>
      </c>
      <c r="Q308" s="116">
        <v>66.95</v>
      </c>
      <c r="R308">
        <v>1314407</v>
      </c>
    </row>
    <row r="309" spans="1:18" x14ac:dyDescent="0.25">
      <c r="A309" s="170">
        <v>42723</v>
      </c>
      <c r="B309" s="116">
        <v>2.8908889442231098</v>
      </c>
      <c r="C309" s="116">
        <v>2.8908889442231098</v>
      </c>
      <c r="D309" s="116">
        <v>2.7427788844621501</v>
      </c>
      <c r="E309" s="116">
        <v>2.7427788844621501</v>
      </c>
      <c r="F309" s="116">
        <v>15.81</v>
      </c>
      <c r="G309">
        <v>1424</v>
      </c>
      <c r="H309" s="116"/>
      <c r="I309" s="116"/>
      <c r="L309" s="170">
        <v>46030</v>
      </c>
      <c r="M309" s="116">
        <v>63.89</v>
      </c>
      <c r="N309" s="116">
        <v>67.39</v>
      </c>
      <c r="O309" s="116">
        <v>62.67</v>
      </c>
      <c r="P309" s="116">
        <v>66.7</v>
      </c>
      <c r="Q309" s="116">
        <v>63.89</v>
      </c>
      <c r="R309">
        <v>2030596</v>
      </c>
    </row>
    <row r="310" spans="1:18" x14ac:dyDescent="0.25">
      <c r="A310" s="170">
        <v>42724</v>
      </c>
      <c r="B310" s="116">
        <v>3.0353419654714502</v>
      </c>
      <c r="C310" s="116">
        <v>3.0353419654714502</v>
      </c>
      <c r="D310" s="116">
        <v>2.9000315405046502</v>
      </c>
      <c r="E310" s="116">
        <v>3.0353419654714502</v>
      </c>
      <c r="F310" s="116">
        <v>16.600000000000001</v>
      </c>
      <c r="G310">
        <v>7747</v>
      </c>
      <c r="H310" s="116"/>
      <c r="I310" s="116"/>
      <c r="L310" s="170">
        <v>46031</v>
      </c>
      <c r="M310" s="116">
        <v>61.95</v>
      </c>
      <c r="N310" s="116">
        <v>64.31</v>
      </c>
      <c r="O310" s="116">
        <v>61.42</v>
      </c>
      <c r="P310" s="116">
        <v>63.4</v>
      </c>
      <c r="Q310" s="116">
        <v>61.95</v>
      </c>
      <c r="R310">
        <v>1225586</v>
      </c>
    </row>
    <row r="311" spans="1:18" x14ac:dyDescent="0.25">
      <c r="A311" s="170">
        <v>42725</v>
      </c>
      <c r="B311" s="116">
        <v>3.1816235059761002</v>
      </c>
      <c r="C311" s="116">
        <v>3.1816235059761002</v>
      </c>
      <c r="D311" s="116">
        <v>3.0353419654714502</v>
      </c>
      <c r="E311" s="116">
        <v>3.0353419654714502</v>
      </c>
      <c r="F311" s="116">
        <v>3.48</v>
      </c>
      <c r="G311">
        <v>6945</v>
      </c>
      <c r="H311" s="116"/>
      <c r="I311" s="116"/>
      <c r="L311" s="170">
        <v>46034</v>
      </c>
      <c r="M311" s="116">
        <v>61.03</v>
      </c>
      <c r="N311" s="116">
        <v>61.99</v>
      </c>
      <c r="O311" s="116">
        <v>59.54</v>
      </c>
      <c r="P311" s="116">
        <v>61.99</v>
      </c>
      <c r="Q311" s="116">
        <v>61.03</v>
      </c>
      <c r="R311">
        <v>2748438</v>
      </c>
    </row>
    <row r="312" spans="1:18" x14ac:dyDescent="0.25">
      <c r="A312" s="170">
        <v>42726</v>
      </c>
      <c r="B312" s="116">
        <v>3.2639068725099598</v>
      </c>
      <c r="C312" s="116">
        <v>3.0261993691899098</v>
      </c>
      <c r="D312" s="116">
        <v>3.0261993691899098</v>
      </c>
      <c r="E312" s="116">
        <v>3.2639068725099598</v>
      </c>
      <c r="F312" s="116">
        <v>3.31</v>
      </c>
      <c r="G312">
        <v>20878</v>
      </c>
      <c r="H312" s="116"/>
      <c r="I312" s="116"/>
      <c r="L312" s="170">
        <v>46035</v>
      </c>
      <c r="M312" s="116">
        <v>59.83</v>
      </c>
      <c r="N312" s="116">
        <v>62.6</v>
      </c>
      <c r="O312" s="116">
        <v>59.27</v>
      </c>
      <c r="P312" s="116">
        <v>61.7</v>
      </c>
      <c r="Q312" s="116">
        <v>59.83</v>
      </c>
      <c r="R312">
        <v>5526717</v>
      </c>
    </row>
    <row r="313" spans="1:18" x14ac:dyDescent="0.25">
      <c r="A313" s="170">
        <v>42727</v>
      </c>
      <c r="B313" s="116">
        <v>3.1724809096945599</v>
      </c>
      <c r="C313" s="116">
        <v>3.1541957171314698</v>
      </c>
      <c r="D313" s="116">
        <v>2.8799178286852598</v>
      </c>
      <c r="E313" s="116">
        <v>2.8799178286852598</v>
      </c>
      <c r="F313" s="116">
        <v>3.45</v>
      </c>
      <c r="G313">
        <v>15640</v>
      </c>
      <c r="H313" s="116"/>
      <c r="I313" s="116"/>
      <c r="L313" s="170">
        <v>46036</v>
      </c>
      <c r="M313" s="116">
        <v>59.16</v>
      </c>
      <c r="N313" s="116">
        <v>60.21</v>
      </c>
      <c r="O313" s="116">
        <v>57.86</v>
      </c>
      <c r="P313" s="116">
        <v>57.86</v>
      </c>
      <c r="Q313" s="116">
        <v>59.16</v>
      </c>
      <c r="R313">
        <v>2523572</v>
      </c>
    </row>
    <row r="314" spans="1:18" x14ac:dyDescent="0.25">
      <c r="A314" s="170">
        <v>42730</v>
      </c>
      <c r="B314" s="116">
        <v>3.2639068725099598</v>
      </c>
      <c r="C314" s="116">
        <v>3.2547642762284199</v>
      </c>
      <c r="D314" s="116">
        <v>3.1541957171314698</v>
      </c>
      <c r="E314" s="116">
        <v>3.2639068725099598</v>
      </c>
      <c r="F314" s="116">
        <v>3.56</v>
      </c>
      <c r="G314">
        <v>5268</v>
      </c>
      <c r="H314" s="116"/>
      <c r="I314" s="116"/>
      <c r="L314" s="170">
        <v>46038</v>
      </c>
      <c r="M314" s="116">
        <v>58.46</v>
      </c>
      <c r="N314" s="116">
        <v>59.69</v>
      </c>
      <c r="O314" s="116">
        <v>58.2</v>
      </c>
      <c r="P314" s="116">
        <v>59.4</v>
      </c>
      <c r="Q314" s="116">
        <v>58.46</v>
      </c>
      <c r="R314">
        <v>1188892</v>
      </c>
    </row>
    <row r="315" spans="1:18" x14ac:dyDescent="0.25">
      <c r="A315" s="170">
        <v>42731</v>
      </c>
      <c r="B315" s="116">
        <v>3.2547642762284199</v>
      </c>
      <c r="C315" s="116">
        <v>3.19990869853918</v>
      </c>
      <c r="D315" s="116">
        <v>3.19990869853918</v>
      </c>
      <c r="E315" s="116">
        <v>3.2547642762284199</v>
      </c>
      <c r="F315" s="116">
        <v>3.5</v>
      </c>
      <c r="G315">
        <v>9351</v>
      </c>
      <c r="H315" s="116"/>
      <c r="I315" s="116"/>
      <c r="L315" s="170">
        <v>46041</v>
      </c>
      <c r="M315" s="116">
        <v>56.17</v>
      </c>
      <c r="N315" s="116">
        <v>58.08</v>
      </c>
      <c r="O315" s="116">
        <v>55.78</v>
      </c>
      <c r="P315" s="116">
        <v>55.78</v>
      </c>
      <c r="Q315" s="116">
        <v>56.17</v>
      </c>
      <c r="R315">
        <v>5092612</v>
      </c>
    </row>
    <row r="316" spans="1:18" x14ac:dyDescent="0.25">
      <c r="A316" s="170">
        <v>42732</v>
      </c>
      <c r="B316" s="116">
        <v>3.2639068725099598</v>
      </c>
      <c r="C316" s="116">
        <v>3.2639068725099598</v>
      </c>
      <c r="D316" s="116">
        <v>3.1176253320053098</v>
      </c>
      <c r="E316" s="116">
        <v>3.1176253320053098</v>
      </c>
      <c r="F316" s="116">
        <v>3.57</v>
      </c>
      <c r="G316">
        <v>6567</v>
      </c>
      <c r="H316" s="116"/>
      <c r="I316" s="116"/>
      <c r="L316" s="170">
        <v>46042</v>
      </c>
      <c r="M316" s="116">
        <v>53.85</v>
      </c>
      <c r="N316" s="116">
        <v>56.32</v>
      </c>
      <c r="O316" s="116">
        <v>53.54</v>
      </c>
      <c r="P316" s="116">
        <v>56.06</v>
      </c>
      <c r="Q316" s="116">
        <v>53.85</v>
      </c>
      <c r="R316">
        <v>1570153</v>
      </c>
    </row>
    <row r="317" spans="1:18" x14ac:dyDescent="0.25">
      <c r="A317" s="170">
        <v>42737</v>
      </c>
      <c r="B317" s="116">
        <v>3.4193310092961502</v>
      </c>
      <c r="C317" s="116">
        <v>3.19990869853918</v>
      </c>
      <c r="D317" s="116">
        <v>3.19990869853918</v>
      </c>
      <c r="E317" s="116">
        <v>3.4193310092961502</v>
      </c>
      <c r="F317" s="116">
        <v>3.5</v>
      </c>
      <c r="G317">
        <v>1815</v>
      </c>
      <c r="H317" s="116"/>
      <c r="I317" s="116"/>
      <c r="L317" s="170">
        <v>46043</v>
      </c>
      <c r="M317" s="116">
        <v>54.57</v>
      </c>
      <c r="N317" s="116">
        <v>55.87</v>
      </c>
      <c r="O317" s="116">
        <v>53.24</v>
      </c>
      <c r="P317" s="116">
        <v>54.1</v>
      </c>
      <c r="Q317" s="116">
        <v>54.57</v>
      </c>
      <c r="R317">
        <v>2856885</v>
      </c>
    </row>
    <row r="318" spans="1:18" x14ac:dyDescent="0.25">
      <c r="A318" s="170">
        <v>42738</v>
      </c>
      <c r="B318" s="116">
        <v>3.19990869853918</v>
      </c>
      <c r="C318" s="116">
        <v>3.19990869853918</v>
      </c>
      <c r="D318" s="116">
        <v>3.19990869853918</v>
      </c>
      <c r="E318" s="116">
        <v>3.19990869853918</v>
      </c>
      <c r="F318" s="116">
        <v>3.5</v>
      </c>
      <c r="G318">
        <v>100</v>
      </c>
      <c r="H318" s="116"/>
      <c r="I318" s="116"/>
      <c r="L318" s="170">
        <v>46044</v>
      </c>
      <c r="M318" s="116">
        <v>55.41</v>
      </c>
      <c r="N318" s="116">
        <v>56.83</v>
      </c>
      <c r="O318" s="116">
        <v>54.11</v>
      </c>
      <c r="P318" s="116">
        <v>55.28</v>
      </c>
      <c r="Q318" s="116">
        <v>55.41</v>
      </c>
      <c r="R318">
        <v>1860352</v>
      </c>
    </row>
    <row r="319" spans="1:18" x14ac:dyDescent="0.25">
      <c r="A319" s="170">
        <v>42739</v>
      </c>
      <c r="B319" s="116">
        <v>3.19990869853918</v>
      </c>
      <c r="C319" s="116">
        <v>3.0444845617529901</v>
      </c>
      <c r="D319" s="116">
        <v>3.0444845617529901</v>
      </c>
      <c r="E319" s="116">
        <v>3.19990869853918</v>
      </c>
      <c r="F319" s="116">
        <v>3.33</v>
      </c>
      <c r="G319">
        <v>125</v>
      </c>
      <c r="H319" s="116"/>
      <c r="I319" s="116"/>
      <c r="L319" s="170">
        <v>46045</v>
      </c>
      <c r="M319" s="116">
        <v>52.85</v>
      </c>
      <c r="N319" s="116">
        <v>55.78</v>
      </c>
      <c r="O319" s="116">
        <v>52.75</v>
      </c>
      <c r="P319" s="116">
        <v>55.68</v>
      </c>
      <c r="Q319" s="116">
        <v>52.85</v>
      </c>
      <c r="R319">
        <v>945559</v>
      </c>
    </row>
    <row r="320" spans="1:18" x14ac:dyDescent="0.25">
      <c r="A320" s="170">
        <v>42740</v>
      </c>
      <c r="B320" s="116">
        <v>3.1816235059761002</v>
      </c>
      <c r="C320" s="116">
        <v>3.1816235059761002</v>
      </c>
      <c r="D320" s="116">
        <v>2.90734561752988</v>
      </c>
      <c r="E320" s="116">
        <v>2.90734561752988</v>
      </c>
      <c r="F320" s="116">
        <v>3.48</v>
      </c>
      <c r="G320">
        <v>6313</v>
      </c>
      <c r="H320" s="116"/>
      <c r="I320" s="116"/>
      <c r="L320" s="170">
        <v>46049</v>
      </c>
      <c r="M320" s="116">
        <v>54.24</v>
      </c>
      <c r="N320" s="116">
        <v>55</v>
      </c>
      <c r="O320" s="116">
        <v>51.39</v>
      </c>
      <c r="P320" s="116">
        <v>52.85</v>
      </c>
      <c r="Q320" s="116">
        <v>54.24</v>
      </c>
      <c r="R320">
        <v>2520374</v>
      </c>
    </row>
    <row r="321" spans="1:18" x14ac:dyDescent="0.25">
      <c r="A321" s="170">
        <v>42741</v>
      </c>
      <c r="B321" s="116">
        <v>3.29133466135458</v>
      </c>
      <c r="C321" s="116">
        <v>3.29133466135458</v>
      </c>
      <c r="D321" s="116">
        <v>3.29133466135458</v>
      </c>
      <c r="E321" s="116">
        <v>3.29133466135458</v>
      </c>
      <c r="F321" s="116">
        <v>3.6</v>
      </c>
      <c r="G321">
        <v>1000</v>
      </c>
      <c r="H321" s="116"/>
      <c r="I321" s="116"/>
      <c r="L321" s="170">
        <v>46050</v>
      </c>
      <c r="M321" s="116">
        <v>58.62</v>
      </c>
      <c r="N321" s="116">
        <v>59</v>
      </c>
      <c r="O321" s="116">
        <v>53.96</v>
      </c>
      <c r="P321" s="116">
        <v>54.28</v>
      </c>
      <c r="Q321" s="116">
        <v>58.62</v>
      </c>
      <c r="R321">
        <v>2957487</v>
      </c>
    </row>
    <row r="322" spans="1:18" x14ac:dyDescent="0.25">
      <c r="A322" s="170">
        <v>42744</v>
      </c>
      <c r="B322" s="116">
        <v>3.3827606241699901</v>
      </c>
      <c r="C322" s="116">
        <v>3.3736180278884502</v>
      </c>
      <c r="D322" s="116">
        <v>3.3736180278884502</v>
      </c>
      <c r="E322" s="116">
        <v>3.3827606241699901</v>
      </c>
      <c r="F322" s="116">
        <v>3.69</v>
      </c>
      <c r="G322">
        <v>4</v>
      </c>
      <c r="H322" s="116"/>
      <c r="I322" s="116"/>
      <c r="L322" s="170">
        <v>46051</v>
      </c>
      <c r="M322" s="116">
        <v>58.11</v>
      </c>
      <c r="N322" s="116">
        <v>59</v>
      </c>
      <c r="O322" s="116">
        <v>56.5</v>
      </c>
      <c r="P322" s="116">
        <v>58.9</v>
      </c>
      <c r="Q322" s="116">
        <v>58.11</v>
      </c>
      <c r="R322">
        <v>1211011</v>
      </c>
    </row>
    <row r="323" spans="1:18" x14ac:dyDescent="0.25">
      <c r="A323" s="170">
        <v>42745</v>
      </c>
      <c r="B323" s="116">
        <v>3.4741865869853901</v>
      </c>
      <c r="C323" s="116">
        <v>3.4193310092961502</v>
      </c>
      <c r="D323" s="116">
        <v>3.4193310092961502</v>
      </c>
      <c r="E323" s="116">
        <v>3.4559013944223098</v>
      </c>
      <c r="F323" s="116">
        <v>3.74</v>
      </c>
      <c r="G323">
        <v>2580</v>
      </c>
      <c r="H323" s="116"/>
      <c r="I323" s="116"/>
      <c r="L323" s="170">
        <v>46052</v>
      </c>
      <c r="M323" s="116">
        <v>58.15</v>
      </c>
      <c r="N323" s="116">
        <v>61.2</v>
      </c>
      <c r="O323" s="116">
        <v>56.65</v>
      </c>
      <c r="P323" s="116">
        <v>57.9</v>
      </c>
      <c r="Q323" s="116">
        <v>58.15</v>
      </c>
      <c r="R323">
        <v>2428866</v>
      </c>
    </row>
    <row r="324" spans="1:18" x14ac:dyDescent="0.25">
      <c r="A324" s="170">
        <v>42746</v>
      </c>
      <c r="B324" s="116">
        <v>3.4193310092961502</v>
      </c>
      <c r="C324" s="116">
        <v>3.4193310092961502</v>
      </c>
      <c r="D324" s="116">
        <v>3.2547642762284199</v>
      </c>
      <c r="E324" s="116">
        <v>3.2547642762284199</v>
      </c>
      <c r="F324" s="116">
        <v>3.74</v>
      </c>
      <c r="G324">
        <v>1271</v>
      </c>
      <c r="H324" s="116"/>
      <c r="I324" s="116"/>
      <c r="L324" s="170">
        <v>46054</v>
      </c>
      <c r="M324" s="116">
        <v>56.02</v>
      </c>
      <c r="N324" s="116">
        <v>58.3</v>
      </c>
      <c r="O324" s="116">
        <v>55.09</v>
      </c>
      <c r="P324" s="116">
        <v>58.17</v>
      </c>
      <c r="Q324" s="116">
        <v>56.02</v>
      </c>
      <c r="R324">
        <v>823802</v>
      </c>
    </row>
    <row r="325" spans="1:18" x14ac:dyDescent="0.25">
      <c r="A325" s="170">
        <v>42751</v>
      </c>
      <c r="B325" s="116">
        <v>3.29133466135458</v>
      </c>
      <c r="C325" s="116">
        <v>3.29133466135458</v>
      </c>
      <c r="D325" s="116">
        <v>3.29133466135458</v>
      </c>
      <c r="E325" s="116">
        <v>3.29133466135458</v>
      </c>
      <c r="F325" s="116">
        <v>3.6</v>
      </c>
      <c r="G325">
        <v>500</v>
      </c>
      <c r="H325" s="116"/>
      <c r="I325" s="116"/>
      <c r="L325" s="170">
        <v>46055</v>
      </c>
      <c r="M325" s="116">
        <v>57.61</v>
      </c>
      <c r="N325" s="116">
        <v>58.25</v>
      </c>
      <c r="O325" s="116">
        <v>54.45</v>
      </c>
      <c r="P325" s="116">
        <v>56</v>
      </c>
      <c r="Q325" s="116">
        <v>57.61</v>
      </c>
      <c r="R325">
        <v>802396</v>
      </c>
    </row>
    <row r="326" spans="1:18" x14ac:dyDescent="0.25">
      <c r="A326" s="170">
        <v>42752</v>
      </c>
      <c r="B326" s="116">
        <v>3.3096198539176598</v>
      </c>
      <c r="C326" s="116">
        <v>3.3096198539176598</v>
      </c>
      <c r="D326" s="116">
        <v>3.1267679282868501</v>
      </c>
      <c r="E326" s="116">
        <v>3.1267679282868501</v>
      </c>
      <c r="F326" s="116">
        <v>3.62</v>
      </c>
      <c r="G326">
        <v>1224</v>
      </c>
      <c r="H326" s="116"/>
      <c r="I326" s="116"/>
      <c r="L326" s="170">
        <v>46056</v>
      </c>
      <c r="M326" s="116">
        <v>59.3</v>
      </c>
      <c r="N326" s="116">
        <v>61</v>
      </c>
      <c r="O326" s="116">
        <v>58.4</v>
      </c>
      <c r="P326" s="116">
        <v>61</v>
      </c>
      <c r="Q326" s="116">
        <v>59.3</v>
      </c>
      <c r="R326">
        <v>1518920</v>
      </c>
    </row>
    <row r="327" spans="1:18" x14ac:dyDescent="0.25">
      <c r="A327" s="170">
        <v>42759</v>
      </c>
      <c r="B327" s="116">
        <v>3.3096198539176598</v>
      </c>
      <c r="C327" s="116">
        <v>3.3096198539176598</v>
      </c>
      <c r="D327" s="116">
        <v>3.3096198539176598</v>
      </c>
      <c r="E327" s="116">
        <v>3.3096198539176598</v>
      </c>
      <c r="F327" s="116">
        <v>3.62</v>
      </c>
      <c r="G327">
        <v>102</v>
      </c>
      <c r="H327" s="116"/>
      <c r="I327" s="116"/>
      <c r="L327" s="170">
        <v>46057</v>
      </c>
      <c r="M327" s="116">
        <v>63.02</v>
      </c>
      <c r="N327" s="116">
        <v>63.7</v>
      </c>
      <c r="O327" s="116">
        <v>59</v>
      </c>
      <c r="P327" s="116">
        <v>59.35</v>
      </c>
      <c r="Q327" s="116">
        <v>63.02</v>
      </c>
      <c r="R327">
        <v>2807838</v>
      </c>
    </row>
    <row r="328" spans="1:18" x14ac:dyDescent="0.25">
      <c r="A328" s="170">
        <v>42760</v>
      </c>
      <c r="B328" s="116">
        <v>3.29133466135458</v>
      </c>
      <c r="C328" s="116">
        <v>3.29133466135458</v>
      </c>
      <c r="D328" s="116">
        <v>3.29133466135458</v>
      </c>
      <c r="E328" s="116">
        <v>3.29133466135458</v>
      </c>
      <c r="F328" s="116">
        <v>3.6</v>
      </c>
      <c r="G328">
        <v>1000</v>
      </c>
      <c r="H328" s="116"/>
      <c r="I328" s="116"/>
      <c r="L328" s="170">
        <v>46058</v>
      </c>
      <c r="M328" s="116">
        <v>61.94</v>
      </c>
      <c r="N328" s="116">
        <v>63.48</v>
      </c>
      <c r="O328" s="116">
        <v>61.18</v>
      </c>
      <c r="P328" s="116">
        <v>63.35</v>
      </c>
      <c r="Q328" s="116">
        <v>61.94</v>
      </c>
      <c r="R328">
        <v>1138291</v>
      </c>
    </row>
    <row r="329" spans="1:18" x14ac:dyDescent="0.25">
      <c r="A329" s="170">
        <v>42762</v>
      </c>
      <c r="B329" s="116">
        <v>3.4284736055776901</v>
      </c>
      <c r="C329" s="116">
        <v>3.1541957171314698</v>
      </c>
      <c r="D329" s="116">
        <v>3.1541957171314698</v>
      </c>
      <c r="E329" s="116">
        <v>3.4284736055776901</v>
      </c>
      <c r="F329" s="116">
        <v>3.45</v>
      </c>
      <c r="G329">
        <v>285</v>
      </c>
      <c r="H329" s="116"/>
      <c r="I329" s="116"/>
      <c r="L329" s="170">
        <v>46059</v>
      </c>
      <c r="M329" s="116">
        <v>59.95</v>
      </c>
      <c r="N329" s="116">
        <v>62.49</v>
      </c>
      <c r="O329" s="116">
        <v>59</v>
      </c>
      <c r="P329" s="116">
        <v>62.49</v>
      </c>
      <c r="Q329" s="116">
        <v>59.95</v>
      </c>
      <c r="R329">
        <v>1983719</v>
      </c>
    </row>
    <row r="330" spans="1:18" x14ac:dyDescent="0.25">
      <c r="A330" s="170">
        <v>42767</v>
      </c>
      <c r="B330" s="116">
        <v>3.29133466135458</v>
      </c>
      <c r="C330" s="116">
        <v>2.9987715803452901</v>
      </c>
      <c r="D330" s="116">
        <v>2.9987715803452901</v>
      </c>
      <c r="E330" s="116">
        <v>3.29133466135458</v>
      </c>
      <c r="F330" s="116">
        <v>3.28</v>
      </c>
      <c r="G330">
        <v>30</v>
      </c>
      <c r="H330" s="116"/>
      <c r="I330" s="116"/>
      <c r="L330" s="170">
        <v>46062</v>
      </c>
      <c r="M330" s="116">
        <v>58.49</v>
      </c>
      <c r="N330" s="116">
        <v>62.85</v>
      </c>
      <c r="O330" s="116">
        <v>57.71</v>
      </c>
      <c r="P330" s="116">
        <v>61</v>
      </c>
      <c r="Q330" s="116">
        <v>58.49</v>
      </c>
      <c r="R330">
        <v>4409639</v>
      </c>
    </row>
    <row r="331" spans="1:18" x14ac:dyDescent="0.25">
      <c r="A331" s="170">
        <v>42773</v>
      </c>
      <c r="B331" s="116">
        <v>2.9987715803452901</v>
      </c>
      <c r="C331" s="116">
        <v>2.9987715803452901</v>
      </c>
      <c r="D331" s="116">
        <v>2.9987715803452901</v>
      </c>
      <c r="E331" s="116">
        <v>2.9987715803452901</v>
      </c>
      <c r="F331" s="116">
        <v>3.28</v>
      </c>
      <c r="G331">
        <v>200</v>
      </c>
      <c r="H331" s="116"/>
      <c r="I331" s="116"/>
      <c r="L331" s="170">
        <v>46063</v>
      </c>
      <c r="M331" s="116">
        <v>58.87</v>
      </c>
      <c r="N331" s="116">
        <v>61.11</v>
      </c>
      <c r="O331" s="116">
        <v>58.5</v>
      </c>
      <c r="P331" s="116">
        <v>58.51</v>
      </c>
      <c r="Q331" s="116">
        <v>58.87</v>
      </c>
      <c r="R331">
        <v>2235146</v>
      </c>
    </row>
    <row r="332" spans="1:18" x14ac:dyDescent="0.25">
      <c r="A332" s="170">
        <v>42776</v>
      </c>
      <c r="B332" s="116">
        <v>2.8524900398406401</v>
      </c>
      <c r="C332" s="116">
        <v>2.8524900398406401</v>
      </c>
      <c r="D332" s="116">
        <v>2.8524900398406401</v>
      </c>
      <c r="E332" s="116">
        <v>2.8524900398406401</v>
      </c>
      <c r="F332" s="116">
        <v>3.12</v>
      </c>
      <c r="G332">
        <v>261</v>
      </c>
      <c r="H332" s="116"/>
      <c r="I332" s="116"/>
      <c r="L332" s="170">
        <v>46064</v>
      </c>
      <c r="M332" s="116">
        <v>58.07</v>
      </c>
      <c r="N332" s="116">
        <v>59.19</v>
      </c>
      <c r="O332" s="116">
        <v>57.16</v>
      </c>
      <c r="P332" s="116">
        <v>58.99</v>
      </c>
      <c r="Q332" s="116">
        <v>58.07</v>
      </c>
      <c r="R332">
        <v>870078</v>
      </c>
    </row>
    <row r="333" spans="1:18" x14ac:dyDescent="0.25">
      <c r="A333" s="170">
        <v>42779</v>
      </c>
      <c r="B333" s="116">
        <v>2.8524900398406401</v>
      </c>
      <c r="C333" s="116">
        <v>2.8524900398406401</v>
      </c>
      <c r="D333" s="116">
        <v>2.8524900398406401</v>
      </c>
      <c r="E333" s="116">
        <v>2.8524900398406401</v>
      </c>
      <c r="F333" s="116">
        <v>3.12</v>
      </c>
      <c r="G333">
        <v>20</v>
      </c>
      <c r="H333" s="116"/>
      <c r="I333" s="116"/>
      <c r="L333" s="170">
        <v>46065</v>
      </c>
      <c r="M333" s="116">
        <v>57.21</v>
      </c>
      <c r="N333" s="116">
        <v>59.08</v>
      </c>
      <c r="O333" s="116">
        <v>57</v>
      </c>
      <c r="P333" s="116">
        <v>58</v>
      </c>
      <c r="Q333" s="116">
        <v>57.21</v>
      </c>
      <c r="R333">
        <v>1472354</v>
      </c>
    </row>
    <row r="334" spans="1:18" x14ac:dyDescent="0.25">
      <c r="A334" s="170">
        <v>42783</v>
      </c>
      <c r="B334" s="116">
        <v>2.71535109561753</v>
      </c>
      <c r="C334" s="116">
        <v>2.71535109561753</v>
      </c>
      <c r="D334" s="116">
        <v>2.71535109561753</v>
      </c>
      <c r="E334" s="116">
        <v>2.71535109561753</v>
      </c>
      <c r="F334" s="116">
        <v>2.97</v>
      </c>
      <c r="G334">
        <v>250</v>
      </c>
      <c r="H334" s="116"/>
      <c r="I334" s="116"/>
      <c r="L334" s="170">
        <v>46066</v>
      </c>
      <c r="M334" s="116">
        <v>55.27</v>
      </c>
      <c r="N334" s="116">
        <v>56.75</v>
      </c>
      <c r="O334" s="116">
        <v>54.82</v>
      </c>
      <c r="P334" s="116">
        <v>56.75</v>
      </c>
      <c r="Q334" s="116">
        <v>55.27</v>
      </c>
      <c r="R334">
        <v>2055207</v>
      </c>
    </row>
    <row r="335" spans="1:18" x14ac:dyDescent="0.25">
      <c r="A335" s="170">
        <v>42786</v>
      </c>
      <c r="B335" s="116">
        <v>2.8433474435591002</v>
      </c>
      <c r="C335" s="116">
        <v>2.8433474435591002</v>
      </c>
      <c r="D335" s="116">
        <v>2.8342048472775598</v>
      </c>
      <c r="E335" s="116">
        <v>2.8433474435591002</v>
      </c>
      <c r="F335" s="116">
        <v>3.11</v>
      </c>
      <c r="G335">
        <v>2250</v>
      </c>
      <c r="H335" s="116"/>
      <c r="I335" s="116"/>
      <c r="L335" s="170">
        <v>46069</v>
      </c>
      <c r="M335" s="116">
        <v>54.78</v>
      </c>
      <c r="N335" s="116">
        <v>55.45</v>
      </c>
      <c r="O335" s="116">
        <v>53.89</v>
      </c>
      <c r="P335" s="116">
        <v>54.82</v>
      </c>
      <c r="Q335" s="116">
        <v>54.78</v>
      </c>
      <c r="R335">
        <v>1640258</v>
      </c>
    </row>
    <row r="336" spans="1:18" x14ac:dyDescent="0.25">
      <c r="A336" s="170">
        <v>42787</v>
      </c>
      <c r="B336" s="116">
        <v>2.9804863877822001</v>
      </c>
      <c r="C336" s="116">
        <v>2.9804863877822001</v>
      </c>
      <c r="D336" s="116">
        <v>2.7427788844621501</v>
      </c>
      <c r="E336" s="116">
        <v>2.7427788844621501</v>
      </c>
      <c r="F336" s="116">
        <v>3.26</v>
      </c>
      <c r="G336">
        <v>1584179</v>
      </c>
      <c r="H336" s="116"/>
      <c r="I336" s="116"/>
      <c r="L336" s="170">
        <v>46070</v>
      </c>
      <c r="M336" s="116">
        <v>57.22</v>
      </c>
      <c r="N336" s="116">
        <v>57.48</v>
      </c>
      <c r="O336" s="116">
        <v>54.39</v>
      </c>
      <c r="P336" s="116">
        <v>54.51</v>
      </c>
      <c r="Q336" s="116">
        <v>57.22</v>
      </c>
      <c r="R336">
        <v>2228603</v>
      </c>
    </row>
    <row r="337" spans="1:18" x14ac:dyDescent="0.25">
      <c r="A337" s="170">
        <v>42788</v>
      </c>
      <c r="B337" s="116">
        <v>3.1084827357237699</v>
      </c>
      <c r="C337" s="116">
        <v>2.86163263612218</v>
      </c>
      <c r="D337" s="116">
        <v>2.8342048472775598</v>
      </c>
      <c r="E337" s="116">
        <v>3.1084827357237699</v>
      </c>
      <c r="F337" s="116">
        <v>3.13</v>
      </c>
      <c r="G337">
        <v>3300</v>
      </c>
      <c r="H337" s="116"/>
      <c r="I337" s="116"/>
      <c r="L337" s="170">
        <v>46071</v>
      </c>
      <c r="M337" s="116">
        <v>58.67</v>
      </c>
      <c r="N337" s="116">
        <v>59.06</v>
      </c>
      <c r="O337" s="116">
        <v>55.8</v>
      </c>
      <c r="P337" s="116">
        <v>57.8</v>
      </c>
      <c r="Q337" s="116">
        <v>58.67</v>
      </c>
      <c r="R337">
        <v>2821924</v>
      </c>
    </row>
    <row r="338" spans="1:18" x14ac:dyDescent="0.25">
      <c r="A338" s="170">
        <v>42789</v>
      </c>
      <c r="B338" s="116">
        <v>2.86163263612218</v>
      </c>
      <c r="C338" s="116">
        <v>2.86163263612218</v>
      </c>
      <c r="D338" s="116">
        <v>2.86163263612218</v>
      </c>
      <c r="E338" s="116">
        <v>2.86163263612218</v>
      </c>
      <c r="F338" s="116">
        <v>3.13</v>
      </c>
      <c r="G338">
        <v>500</v>
      </c>
      <c r="H338" s="116"/>
      <c r="I338" s="116"/>
      <c r="L338" s="170">
        <v>46072</v>
      </c>
      <c r="M338" s="116">
        <v>55.1</v>
      </c>
      <c r="N338" s="116">
        <v>58.8</v>
      </c>
      <c r="O338" s="116">
        <v>54.7</v>
      </c>
      <c r="P338" s="116">
        <v>58.8</v>
      </c>
      <c r="Q338" s="116">
        <v>55.1</v>
      </c>
      <c r="R338">
        <v>1324400</v>
      </c>
    </row>
    <row r="339" spans="1:18" x14ac:dyDescent="0.25">
      <c r="A339" s="170">
        <v>42793</v>
      </c>
      <c r="B339" s="116">
        <v>2.8342048472775598</v>
      </c>
      <c r="C339" s="116">
        <v>2.7244936918990699</v>
      </c>
      <c r="D339" s="116">
        <v>2.7244936918990699</v>
      </c>
      <c r="E339" s="116">
        <v>2.8342048472775598</v>
      </c>
      <c r="F339" s="116">
        <v>2.98</v>
      </c>
      <c r="G339">
        <v>200</v>
      </c>
      <c r="H339" s="116"/>
      <c r="I339" s="116"/>
      <c r="L339" s="170">
        <v>46073</v>
      </c>
      <c r="M339" s="116">
        <v>55.02</v>
      </c>
      <c r="N339" s="116">
        <v>55.93</v>
      </c>
      <c r="O339" s="116">
        <v>54.44</v>
      </c>
      <c r="P339" s="116">
        <v>54.85</v>
      </c>
      <c r="Q339" s="116">
        <v>55.02</v>
      </c>
      <c r="R339">
        <v>884991</v>
      </c>
    </row>
    <row r="340" spans="1:18" x14ac:dyDescent="0.25">
      <c r="A340" s="170">
        <v>42794</v>
      </c>
      <c r="B340" s="116">
        <v>2.8342048472775598</v>
      </c>
      <c r="C340" s="116">
        <v>2.60563994023904</v>
      </c>
      <c r="D340" s="116">
        <v>2.60563994023904</v>
      </c>
      <c r="E340" s="116">
        <v>2.6879233067729098</v>
      </c>
      <c r="F340" s="116">
        <v>2.85</v>
      </c>
      <c r="G340">
        <v>4510</v>
      </c>
      <c r="H340" s="116"/>
      <c r="I340" s="116"/>
      <c r="L340" s="170">
        <v>46076</v>
      </c>
      <c r="M340" s="116">
        <v>53.25</v>
      </c>
      <c r="N340" s="116">
        <v>55.12</v>
      </c>
      <c r="O340" s="116">
        <v>52.74</v>
      </c>
      <c r="P340" s="116">
        <v>55.04</v>
      </c>
      <c r="Q340" s="116">
        <v>53.25</v>
      </c>
      <c r="R340">
        <v>1251313</v>
      </c>
    </row>
    <row r="341" spans="1:18" x14ac:dyDescent="0.25">
      <c r="A341" s="170">
        <v>42795</v>
      </c>
      <c r="B341" s="116">
        <v>2.5142139774236401</v>
      </c>
      <c r="C341" s="116">
        <v>2.5142139774236401</v>
      </c>
      <c r="D341" s="116">
        <v>2.5050713811421002</v>
      </c>
      <c r="E341" s="116">
        <v>2.5142139774236401</v>
      </c>
      <c r="F341" s="116">
        <v>2.75</v>
      </c>
      <c r="G341">
        <v>7310</v>
      </c>
      <c r="H341" s="116"/>
      <c r="I341" s="116"/>
      <c r="L341" s="170">
        <v>46077</v>
      </c>
      <c r="M341" s="116">
        <v>54.22</v>
      </c>
      <c r="N341" s="116">
        <v>55.6</v>
      </c>
      <c r="O341" s="116">
        <v>51.94</v>
      </c>
      <c r="P341" s="116">
        <v>53.3</v>
      </c>
      <c r="Q341" s="116">
        <v>54.22</v>
      </c>
      <c r="R341">
        <v>1988319</v>
      </c>
    </row>
    <row r="342" spans="1:18" x14ac:dyDescent="0.25">
      <c r="A342" s="170">
        <v>42796</v>
      </c>
      <c r="B342" s="116">
        <v>2.6330677290836699</v>
      </c>
      <c r="C342" s="116">
        <v>2.6330677290836699</v>
      </c>
      <c r="D342" s="116">
        <v>2.4227880146082299</v>
      </c>
      <c r="E342" s="116">
        <v>2.4227880146082299</v>
      </c>
      <c r="F342" s="116">
        <v>2.88</v>
      </c>
      <c r="G342">
        <v>1774</v>
      </c>
      <c r="H342" s="116"/>
      <c r="I342" s="116"/>
      <c r="L342" s="170">
        <v>46078</v>
      </c>
      <c r="M342" s="116">
        <v>54.14</v>
      </c>
      <c r="N342" s="116">
        <v>55.49</v>
      </c>
      <c r="O342" s="116">
        <v>53</v>
      </c>
      <c r="P342" s="116">
        <v>54</v>
      </c>
      <c r="Q342" s="116">
        <v>54.14</v>
      </c>
      <c r="R342">
        <v>6427764</v>
      </c>
    </row>
    <row r="343" spans="1:18" x14ac:dyDescent="0.25">
      <c r="A343" s="170">
        <v>42797</v>
      </c>
      <c r="B343" s="116">
        <v>2.7610640770252299</v>
      </c>
      <c r="C343" s="116">
        <v>2.66963811420983</v>
      </c>
      <c r="D343" s="116">
        <v>2.6604955179282901</v>
      </c>
      <c r="E343" s="116">
        <v>2.7610640770252299</v>
      </c>
      <c r="F343" s="116">
        <v>2.92</v>
      </c>
      <c r="G343">
        <v>7841</v>
      </c>
      <c r="H343" s="116"/>
      <c r="I343" s="116"/>
      <c r="L343" s="170">
        <v>46079</v>
      </c>
      <c r="M343" s="116">
        <v>53.69</v>
      </c>
      <c r="N343" s="116">
        <v>55.05</v>
      </c>
      <c r="O343" s="116">
        <v>53.1</v>
      </c>
      <c r="P343" s="116">
        <v>54.5</v>
      </c>
      <c r="Q343" s="116">
        <v>53.69</v>
      </c>
      <c r="R343">
        <v>2019857</v>
      </c>
    </row>
    <row r="344" spans="1:18" x14ac:dyDescent="0.25">
      <c r="A344" s="170">
        <v>42800</v>
      </c>
      <c r="B344" s="116">
        <v>2.79763446215139</v>
      </c>
      <c r="C344" s="116">
        <v>2.79763446215139</v>
      </c>
      <c r="D344" s="116">
        <v>2.79763446215139</v>
      </c>
      <c r="E344" s="116">
        <v>2.79763446215139</v>
      </c>
      <c r="F344" s="116">
        <v>3.06</v>
      </c>
      <c r="G344">
        <v>1326</v>
      </c>
      <c r="H344" s="116"/>
      <c r="I344" s="116"/>
      <c r="L344" s="170">
        <v>46080</v>
      </c>
      <c r="M344" s="116">
        <v>51.07</v>
      </c>
      <c r="N344" s="116">
        <v>53.38</v>
      </c>
      <c r="O344" s="116">
        <v>50.7</v>
      </c>
      <c r="P344" s="116">
        <v>53.3</v>
      </c>
      <c r="Q344" s="116">
        <v>51.07</v>
      </c>
      <c r="R344">
        <v>6839129</v>
      </c>
    </row>
    <row r="345" spans="1:18" x14ac:dyDescent="0.25">
      <c r="A345" s="170">
        <v>42801</v>
      </c>
      <c r="B345" s="116">
        <v>2.7884918658698501</v>
      </c>
      <c r="C345" s="116">
        <v>2.6604955179282901</v>
      </c>
      <c r="D345" s="116">
        <v>2.6604955179282901</v>
      </c>
      <c r="E345" s="116">
        <v>2.7884918658698501</v>
      </c>
      <c r="F345" s="116">
        <v>2.91</v>
      </c>
      <c r="G345">
        <v>3100</v>
      </c>
      <c r="H345" s="116"/>
      <c r="I345" s="116"/>
      <c r="L345" s="170">
        <v>46083</v>
      </c>
      <c r="M345" s="116">
        <v>49.62</v>
      </c>
      <c r="N345" s="116">
        <v>50.99</v>
      </c>
      <c r="O345" s="116">
        <v>48.97</v>
      </c>
      <c r="P345" s="116">
        <v>49.5</v>
      </c>
      <c r="Q345" s="116">
        <v>49.62</v>
      </c>
      <c r="R345">
        <v>4769138</v>
      </c>
    </row>
    <row r="346" spans="1:18" x14ac:dyDescent="0.25">
      <c r="A346" s="170">
        <v>42803</v>
      </c>
      <c r="B346" s="116">
        <v>2.5324991699867199</v>
      </c>
      <c r="C346" s="116">
        <v>2.5324991699867199</v>
      </c>
      <c r="D346" s="116">
        <v>2.5324991699867199</v>
      </c>
      <c r="E346" s="116">
        <v>2.5324991699867199</v>
      </c>
      <c r="F346" s="116">
        <v>2.77</v>
      </c>
      <c r="G346">
        <v>3094</v>
      </c>
      <c r="H346" s="116"/>
      <c r="I346" s="116"/>
      <c r="L346" s="170">
        <v>46085</v>
      </c>
      <c r="M346" s="116">
        <v>46.08</v>
      </c>
      <c r="N346" s="116">
        <v>48.68</v>
      </c>
      <c r="O346" s="116">
        <v>45</v>
      </c>
      <c r="P346" s="116">
        <v>48.5</v>
      </c>
      <c r="Q346" s="116">
        <v>46.08</v>
      </c>
      <c r="R346">
        <v>5312447</v>
      </c>
    </row>
    <row r="347" spans="1:18" x14ac:dyDescent="0.25">
      <c r="A347" s="170">
        <v>42804</v>
      </c>
      <c r="B347" s="116">
        <v>2.41364541832669</v>
      </c>
      <c r="C347" s="116">
        <v>2.41364541832669</v>
      </c>
      <c r="D347" s="116">
        <v>2.41364541832669</v>
      </c>
      <c r="E347" s="116">
        <v>2.41364541832669</v>
      </c>
      <c r="F347" s="116">
        <v>2.64</v>
      </c>
      <c r="G347">
        <v>1027</v>
      </c>
      <c r="H347" s="116"/>
      <c r="I347" s="116"/>
      <c r="L347" s="170">
        <v>46086</v>
      </c>
      <c r="M347" s="116">
        <v>48.89</v>
      </c>
      <c r="N347" s="116">
        <v>49.75</v>
      </c>
      <c r="O347" s="116">
        <v>45.25</v>
      </c>
      <c r="P347" s="116">
        <v>46.15</v>
      </c>
      <c r="Q347" s="116">
        <v>48.89</v>
      </c>
      <c r="R347">
        <v>29267270</v>
      </c>
    </row>
    <row r="348" spans="1:18" x14ac:dyDescent="0.25">
      <c r="A348" s="170">
        <v>42808</v>
      </c>
      <c r="B348" s="116">
        <v>2.5324991699867199</v>
      </c>
      <c r="C348" s="116">
        <v>2.5324991699867199</v>
      </c>
      <c r="D348" s="116">
        <v>2.5324991699867199</v>
      </c>
      <c r="E348" s="116">
        <v>2.5324991699867199</v>
      </c>
      <c r="F348" s="116">
        <v>2.77</v>
      </c>
      <c r="G348">
        <v>400</v>
      </c>
      <c r="H348" s="116"/>
      <c r="I348" s="116"/>
      <c r="L348" s="170">
        <v>46087</v>
      </c>
      <c r="M348" s="116">
        <v>47.55</v>
      </c>
      <c r="N348" s="116">
        <v>49.05</v>
      </c>
      <c r="O348" s="116">
        <v>47.31</v>
      </c>
      <c r="P348" s="116">
        <v>48.99</v>
      </c>
      <c r="Q348" s="116">
        <v>47.55</v>
      </c>
      <c r="R348">
        <v>2490862</v>
      </c>
    </row>
    <row r="349" spans="1:18" x14ac:dyDescent="0.25">
      <c r="A349" s="170">
        <v>42809</v>
      </c>
      <c r="B349" s="116">
        <v>2.5324991699867199</v>
      </c>
      <c r="C349" s="116">
        <v>2.5324991699867199</v>
      </c>
      <c r="D349" s="116">
        <v>2.5324991699867199</v>
      </c>
      <c r="E349" s="116">
        <v>2.5324991699867199</v>
      </c>
      <c r="F349" s="116">
        <v>2.77</v>
      </c>
      <c r="G349">
        <v>595</v>
      </c>
      <c r="H349" s="116"/>
      <c r="I349" s="116"/>
      <c r="L349" s="170">
        <v>46090</v>
      </c>
      <c r="M349" s="116">
        <v>47.01</v>
      </c>
      <c r="N349" s="116">
        <v>47.5</v>
      </c>
      <c r="O349" s="116">
        <v>45.01</v>
      </c>
      <c r="P349" s="116">
        <v>46</v>
      </c>
      <c r="Q349" s="116">
        <v>47.01</v>
      </c>
      <c r="R349">
        <v>4480262</v>
      </c>
    </row>
    <row r="350" spans="1:18" x14ac:dyDescent="0.25">
      <c r="A350" s="170">
        <v>42810</v>
      </c>
      <c r="B350" s="116">
        <v>2.41364541832669</v>
      </c>
      <c r="C350" s="116">
        <v>2.41364541832669</v>
      </c>
      <c r="D350" s="116">
        <v>2.41364541832669</v>
      </c>
      <c r="E350" s="116">
        <v>2.41364541832669</v>
      </c>
      <c r="F350" s="116">
        <v>2.64</v>
      </c>
      <c r="G350">
        <v>100</v>
      </c>
      <c r="H350" s="116"/>
      <c r="I350" s="116"/>
      <c r="L350" s="170">
        <v>46091</v>
      </c>
      <c r="M350" s="116">
        <v>49.32</v>
      </c>
      <c r="N350" s="116">
        <v>49.75</v>
      </c>
      <c r="O350" s="116">
        <v>47.17</v>
      </c>
      <c r="P350" s="116">
        <v>47.17</v>
      </c>
      <c r="Q350" s="116">
        <v>49.32</v>
      </c>
      <c r="R350">
        <v>6135050</v>
      </c>
    </row>
    <row r="351" spans="1:18" x14ac:dyDescent="0.25">
      <c r="A351" s="170">
        <v>42811</v>
      </c>
      <c r="B351" s="116">
        <v>2.2947916666666699</v>
      </c>
      <c r="C351" s="116">
        <v>2.2947916666666699</v>
      </c>
      <c r="D351" s="116">
        <v>2.2947916666666699</v>
      </c>
      <c r="E351" s="116">
        <v>2.2947916666666699</v>
      </c>
      <c r="F351" s="116">
        <v>2.5099999999999998</v>
      </c>
      <c r="G351">
        <v>50</v>
      </c>
      <c r="H351" s="116"/>
      <c r="I351" s="116"/>
      <c r="L351" s="170">
        <v>46092</v>
      </c>
      <c r="M351" s="116">
        <v>48.81</v>
      </c>
      <c r="N351" s="116">
        <v>49.9</v>
      </c>
      <c r="O351" s="116">
        <v>48</v>
      </c>
      <c r="P351" s="116">
        <v>49.9</v>
      </c>
      <c r="Q351" s="116">
        <v>48.81</v>
      </c>
      <c r="R351">
        <v>5207734</v>
      </c>
    </row>
    <row r="352" spans="1:18" x14ac:dyDescent="0.25">
      <c r="A352" s="170">
        <v>42814</v>
      </c>
      <c r="B352" s="116">
        <v>2.4045028220451501</v>
      </c>
      <c r="C352" s="116">
        <v>2.4045028220451501</v>
      </c>
      <c r="D352" s="116">
        <v>2.1850805112881799</v>
      </c>
      <c r="E352" s="116">
        <v>2.1850805112881799</v>
      </c>
      <c r="F352" s="116">
        <v>2.63</v>
      </c>
      <c r="G352">
        <v>39</v>
      </c>
      <c r="H352" s="116"/>
      <c r="I352" s="116"/>
      <c r="L352" s="170">
        <v>46093</v>
      </c>
      <c r="M352" s="116">
        <v>48.72</v>
      </c>
      <c r="N352" s="116">
        <v>49.4</v>
      </c>
      <c r="O352" s="116">
        <v>47.35</v>
      </c>
      <c r="P352" s="116">
        <v>48.8</v>
      </c>
      <c r="Q352" s="116">
        <v>48.72</v>
      </c>
      <c r="R352">
        <v>4317317</v>
      </c>
    </row>
    <row r="353" spans="1:18" x14ac:dyDescent="0.25">
      <c r="A353" s="170">
        <v>42815</v>
      </c>
      <c r="B353" s="116">
        <v>2.52335657370518</v>
      </c>
      <c r="C353" s="116">
        <v>2.28564907038513</v>
      </c>
      <c r="D353" s="116">
        <v>2.28564907038513</v>
      </c>
      <c r="E353" s="116">
        <v>2.52335657370518</v>
      </c>
      <c r="F353" s="116">
        <v>2.5</v>
      </c>
      <c r="G353">
        <v>6952</v>
      </c>
      <c r="H353" s="116"/>
      <c r="I353" s="116"/>
      <c r="L353" s="170">
        <v>46094</v>
      </c>
      <c r="M353" s="116">
        <v>47.63</v>
      </c>
      <c r="N353" s="116">
        <v>49.75</v>
      </c>
      <c r="O353" s="116">
        <v>47.4</v>
      </c>
      <c r="P353" s="116">
        <v>48</v>
      </c>
      <c r="Q353" s="116">
        <v>47.63</v>
      </c>
      <c r="R353">
        <v>4654449</v>
      </c>
    </row>
    <row r="354" spans="1:18" x14ac:dyDescent="0.25">
      <c r="A354" s="170">
        <v>42816</v>
      </c>
      <c r="B354" s="116">
        <v>2.17593791500664</v>
      </c>
      <c r="C354" s="116">
        <v>2.17593791500664</v>
      </c>
      <c r="D354" s="116">
        <v>2.17593791500664</v>
      </c>
      <c r="E354" s="116">
        <v>2.17593791500664</v>
      </c>
      <c r="F354" s="116">
        <v>2.38</v>
      </c>
      <c r="G354">
        <v>200</v>
      </c>
      <c r="H354" s="116"/>
      <c r="I354" s="116"/>
      <c r="L354" s="170">
        <v>46097</v>
      </c>
      <c r="M354" s="116">
        <v>45.88</v>
      </c>
      <c r="N354" s="116">
        <v>48.01</v>
      </c>
      <c r="O354" s="116">
        <v>45.11</v>
      </c>
      <c r="P354" s="116">
        <v>47.78</v>
      </c>
      <c r="Q354" s="116">
        <v>45.88</v>
      </c>
      <c r="R354">
        <v>4018403</v>
      </c>
    </row>
    <row r="355" spans="1:18" x14ac:dyDescent="0.25">
      <c r="A355" s="170">
        <v>42823</v>
      </c>
      <c r="B355" s="116">
        <v>2.07536935590969</v>
      </c>
      <c r="C355" s="116">
        <v>2.07536935590969</v>
      </c>
      <c r="D355" s="116">
        <v>2.07536935590969</v>
      </c>
      <c r="E355" s="116">
        <v>2.07536935590969</v>
      </c>
      <c r="F355" s="116">
        <v>2.27</v>
      </c>
      <c r="G355">
        <v>5614</v>
      </c>
      <c r="H355" s="116"/>
      <c r="I355" s="116"/>
      <c r="L355" s="170">
        <v>46098</v>
      </c>
      <c r="M355" s="116">
        <v>45.56</v>
      </c>
      <c r="N355" s="116">
        <v>46.75</v>
      </c>
      <c r="O355" s="116">
        <v>44.4</v>
      </c>
      <c r="P355" s="116">
        <v>45.88</v>
      </c>
      <c r="Q355" s="116">
        <v>45.56</v>
      </c>
      <c r="R355">
        <v>5013813</v>
      </c>
    </row>
    <row r="356" spans="1:18" x14ac:dyDescent="0.25">
      <c r="A356" s="170">
        <v>42830</v>
      </c>
      <c r="B356" s="116">
        <v>2.07536935590969</v>
      </c>
      <c r="C356" s="116">
        <v>2.07536935590969</v>
      </c>
      <c r="D356" s="116">
        <v>2.07536935590969</v>
      </c>
      <c r="E356" s="116">
        <v>2.07536935590969</v>
      </c>
      <c r="F356" s="116">
        <v>2.27</v>
      </c>
      <c r="G356">
        <v>35</v>
      </c>
      <c r="H356" s="116"/>
      <c r="I356" s="116"/>
      <c r="L356" s="170">
        <v>46099</v>
      </c>
      <c r="M356" s="116">
        <v>47.46</v>
      </c>
      <c r="N356" s="116">
        <v>48</v>
      </c>
      <c r="O356" s="116">
        <v>45.26</v>
      </c>
      <c r="P356" s="116">
        <v>45.56</v>
      </c>
      <c r="Q356" s="116">
        <v>47.46</v>
      </c>
      <c r="R356">
        <v>5691530</v>
      </c>
    </row>
    <row r="357" spans="1:18" x14ac:dyDescent="0.25">
      <c r="A357" s="170">
        <v>42831</v>
      </c>
      <c r="B357" s="116">
        <v>2.17593791500664</v>
      </c>
      <c r="C357" s="116">
        <v>2.17593791500664</v>
      </c>
      <c r="D357" s="116">
        <v>2.17593791500664</v>
      </c>
      <c r="E357" s="116">
        <v>2.17593791500664</v>
      </c>
      <c r="F357" s="116">
        <v>2.38</v>
      </c>
      <c r="G357">
        <v>600</v>
      </c>
      <c r="H357" s="116"/>
      <c r="I357" s="116"/>
      <c r="L357" s="170">
        <v>46100</v>
      </c>
      <c r="M357" s="116">
        <v>45.39</v>
      </c>
      <c r="N357" s="116">
        <v>46.8</v>
      </c>
      <c r="O357" s="116">
        <v>45.21</v>
      </c>
      <c r="P357" s="116">
        <v>46.8</v>
      </c>
      <c r="Q357" s="116">
        <v>45.39</v>
      </c>
      <c r="R357">
        <v>2891999</v>
      </c>
    </row>
    <row r="358" spans="1:18" x14ac:dyDescent="0.25">
      <c r="A358" s="170">
        <v>42835</v>
      </c>
      <c r="B358" s="116">
        <v>2.2765064741035901</v>
      </c>
      <c r="C358" s="116">
        <v>2.1302249335989401</v>
      </c>
      <c r="D358" s="116">
        <v>2.1027971447543199</v>
      </c>
      <c r="E358" s="116">
        <v>2.2765064741035901</v>
      </c>
      <c r="F358" s="116">
        <v>2.33</v>
      </c>
      <c r="G358">
        <v>600</v>
      </c>
      <c r="H358" s="116"/>
      <c r="I358" s="116"/>
      <c r="L358" s="170">
        <v>46101</v>
      </c>
      <c r="M358" s="116">
        <v>45.4</v>
      </c>
      <c r="N358" s="116">
        <v>46.8</v>
      </c>
      <c r="O358" s="116">
        <v>44.9</v>
      </c>
      <c r="P358" s="116">
        <v>46.16</v>
      </c>
      <c r="Q358" s="116">
        <v>45.4</v>
      </c>
      <c r="R358">
        <v>3797703</v>
      </c>
    </row>
    <row r="359" spans="1:18" x14ac:dyDescent="0.25">
      <c r="A359" s="170">
        <v>42838</v>
      </c>
      <c r="B359" s="116">
        <v>2.02965637450199</v>
      </c>
      <c r="C359" s="116">
        <v>2.02965637450199</v>
      </c>
      <c r="D359" s="116">
        <v>2.02965637450199</v>
      </c>
      <c r="E359" s="116">
        <v>2.02965637450199</v>
      </c>
      <c r="F359" s="116">
        <v>2.2200000000000002</v>
      </c>
      <c r="G359">
        <v>50</v>
      </c>
      <c r="H359" s="116"/>
      <c r="I359" s="116"/>
      <c r="L359" s="170">
        <v>46104</v>
      </c>
      <c r="M359" s="116">
        <v>42.17</v>
      </c>
      <c r="N359" s="116">
        <v>44.89</v>
      </c>
      <c r="O359" s="116">
        <v>41.66</v>
      </c>
      <c r="P359" s="116">
        <v>44.8</v>
      </c>
      <c r="Q359" s="116">
        <v>42.17</v>
      </c>
      <c r="R359">
        <v>3585219</v>
      </c>
    </row>
    <row r="360" spans="1:18" x14ac:dyDescent="0.25">
      <c r="A360" s="170">
        <v>42843</v>
      </c>
      <c r="B360" s="116">
        <v>2.1302249335989401</v>
      </c>
      <c r="C360" s="116">
        <v>2.1302249335989401</v>
      </c>
      <c r="D360" s="116">
        <v>2.1302249335989401</v>
      </c>
      <c r="E360" s="116">
        <v>2.1302249335989401</v>
      </c>
      <c r="F360" s="116">
        <v>2.33</v>
      </c>
      <c r="G360">
        <v>500</v>
      </c>
      <c r="H360" s="116"/>
      <c r="I360" s="116"/>
      <c r="L360" s="170">
        <v>46105</v>
      </c>
      <c r="M360" s="116">
        <v>42.83</v>
      </c>
      <c r="N360" s="116">
        <v>44</v>
      </c>
      <c r="O360" s="116">
        <v>42.38</v>
      </c>
      <c r="P360" s="116">
        <v>42.38</v>
      </c>
      <c r="Q360" s="116">
        <v>42.83</v>
      </c>
      <c r="R360">
        <v>5209195</v>
      </c>
    </row>
    <row r="361" spans="1:18" x14ac:dyDescent="0.25">
      <c r="A361" s="170">
        <v>42844</v>
      </c>
      <c r="B361" s="116">
        <v>2.1942231075697198</v>
      </c>
      <c r="C361" s="116">
        <v>2.1942231075697198</v>
      </c>
      <c r="D361" s="116">
        <v>2.1942231075697198</v>
      </c>
      <c r="E361" s="116">
        <v>2.1942231075697198</v>
      </c>
      <c r="F361" s="116">
        <v>2.4</v>
      </c>
      <c r="G361">
        <v>500</v>
      </c>
      <c r="H361" s="116"/>
      <c r="I361" s="116"/>
      <c r="L361" s="170">
        <v>46106</v>
      </c>
      <c r="M361" s="116">
        <v>44.49</v>
      </c>
      <c r="N361" s="116">
        <v>46</v>
      </c>
      <c r="O361" s="116">
        <v>43.4</v>
      </c>
      <c r="P361" s="116">
        <v>43.4</v>
      </c>
      <c r="Q361" s="116">
        <v>44.49</v>
      </c>
      <c r="R361">
        <v>10069411</v>
      </c>
    </row>
    <row r="362" spans="1:18" x14ac:dyDescent="0.25">
      <c r="A362" s="170">
        <v>42849</v>
      </c>
      <c r="B362" s="116">
        <v>2.1027971447543199</v>
      </c>
      <c r="C362" s="116">
        <v>2.0845119521912299</v>
      </c>
      <c r="D362" s="116">
        <v>2.0845119521912299</v>
      </c>
      <c r="E362" s="116">
        <v>2.1027971447543199</v>
      </c>
      <c r="F362" s="116">
        <v>2.2799999999999998</v>
      </c>
      <c r="G362">
        <v>3000</v>
      </c>
      <c r="H362" s="116"/>
      <c r="I362" s="116"/>
      <c r="L362" s="170">
        <v>46108</v>
      </c>
      <c r="M362" s="116">
        <v>42.6</v>
      </c>
      <c r="N362" s="116">
        <v>44.05</v>
      </c>
      <c r="O362" s="116">
        <v>41.12</v>
      </c>
      <c r="P362" s="116">
        <v>44.05</v>
      </c>
      <c r="Q362" s="116">
        <v>42.6</v>
      </c>
      <c r="R362">
        <v>27828892</v>
      </c>
    </row>
    <row r="363" spans="1:18" x14ac:dyDescent="0.25">
      <c r="A363" s="170">
        <v>42850</v>
      </c>
      <c r="B363" s="116">
        <v>2.0205137782204501</v>
      </c>
      <c r="C363" s="116">
        <v>1.98394339309429</v>
      </c>
      <c r="D363" s="116">
        <v>1.98394339309429</v>
      </c>
      <c r="E363" s="116">
        <v>2.0205137782204501</v>
      </c>
      <c r="F363" s="116">
        <v>2.17</v>
      </c>
      <c r="G363">
        <v>5000</v>
      </c>
      <c r="H363" s="116"/>
      <c r="I363" s="116"/>
      <c r="L363" s="170">
        <v>46111</v>
      </c>
      <c r="M363" s="116">
        <v>41.38</v>
      </c>
      <c r="N363" s="116">
        <v>42.89</v>
      </c>
      <c r="O363" s="116">
        <v>40.69</v>
      </c>
      <c r="P363" s="116">
        <v>41.5</v>
      </c>
      <c r="Q363" s="116">
        <v>41.38</v>
      </c>
      <c r="R363">
        <v>6121607</v>
      </c>
    </row>
    <row r="364" spans="1:18" x14ac:dyDescent="0.25">
      <c r="A364" s="170">
        <v>42857</v>
      </c>
      <c r="B364" s="116">
        <v>2.07536935590969</v>
      </c>
      <c r="C364" s="116">
        <v>2.07536935590969</v>
      </c>
      <c r="D364" s="116">
        <v>1.90166002656043</v>
      </c>
      <c r="E364" s="116">
        <v>1.90166002656043</v>
      </c>
      <c r="F364" s="116">
        <v>2.27</v>
      </c>
      <c r="G364">
        <v>2995</v>
      </c>
      <c r="H364" s="116"/>
      <c r="I364" s="116"/>
      <c r="L364" s="170">
        <v>46113</v>
      </c>
      <c r="M364" s="116">
        <v>44.78</v>
      </c>
      <c r="N364" s="116">
        <v>45.45</v>
      </c>
      <c r="O364" s="116">
        <v>42.35</v>
      </c>
      <c r="P364" s="116">
        <v>42.9</v>
      </c>
      <c r="Q364" s="116">
        <v>44.78</v>
      </c>
      <c r="R364">
        <v>4593855</v>
      </c>
    </row>
    <row r="365" spans="1:18" x14ac:dyDescent="0.25">
      <c r="A365" s="170">
        <v>42864</v>
      </c>
      <c r="B365" s="116">
        <v>2.07536935590969</v>
      </c>
      <c r="C365" s="116">
        <v>2.07536935590969</v>
      </c>
      <c r="D365" s="116">
        <v>2.07536935590969</v>
      </c>
      <c r="E365" s="116">
        <v>2.07536935590969</v>
      </c>
      <c r="F365" s="116">
        <v>2.27</v>
      </c>
      <c r="G365">
        <v>750</v>
      </c>
      <c r="H365" s="116"/>
      <c r="I365" s="116"/>
      <c r="L365" s="170">
        <v>46114</v>
      </c>
      <c r="M365" s="116">
        <v>45.51</v>
      </c>
      <c r="N365" s="116">
        <v>45.9</v>
      </c>
      <c r="O365" s="116">
        <v>42.79</v>
      </c>
      <c r="P365" s="116">
        <v>43.99</v>
      </c>
      <c r="Q365" s="116">
        <v>45.51</v>
      </c>
      <c r="R365">
        <v>3328362</v>
      </c>
    </row>
    <row r="366" spans="1:18" x14ac:dyDescent="0.25">
      <c r="A366" s="170">
        <v>42865</v>
      </c>
      <c r="B366" s="116">
        <v>1.9748007968127499</v>
      </c>
      <c r="C366" s="116">
        <v>1.9748007968127499</v>
      </c>
      <c r="D366" s="116">
        <v>1.9748007968127499</v>
      </c>
      <c r="E366" s="116">
        <v>1.9748007968127499</v>
      </c>
      <c r="F366" s="116">
        <v>2.16</v>
      </c>
      <c r="G366">
        <v>100</v>
      </c>
      <c r="H366" s="116"/>
      <c r="I366" s="116"/>
      <c r="L366" s="170">
        <v>46118</v>
      </c>
      <c r="M366" s="116">
        <v>47.57</v>
      </c>
      <c r="N366" s="116">
        <v>47.8</v>
      </c>
      <c r="O366" s="116">
        <v>44.11</v>
      </c>
      <c r="P366" s="116">
        <v>45.9</v>
      </c>
      <c r="Q366" s="116">
        <v>47.57</v>
      </c>
      <c r="R366">
        <v>4391337</v>
      </c>
    </row>
    <row r="367" spans="1:18" x14ac:dyDescent="0.25">
      <c r="A367" s="170">
        <v>42866</v>
      </c>
      <c r="B367" s="116">
        <v>2.0205137782204501</v>
      </c>
      <c r="C367" s="116">
        <v>2.0113711819389102</v>
      </c>
      <c r="D367" s="116">
        <v>1.9748007968127499</v>
      </c>
      <c r="E367" s="116">
        <v>1.9748007968127499</v>
      </c>
      <c r="F367" s="116">
        <v>2.2000000000000002</v>
      </c>
      <c r="G367">
        <v>531</v>
      </c>
      <c r="H367" s="116"/>
      <c r="I367" s="116"/>
      <c r="L367" s="170">
        <v>46119</v>
      </c>
      <c r="M367" s="116">
        <v>51.6</v>
      </c>
      <c r="N367" s="116">
        <v>52.2</v>
      </c>
      <c r="O367" s="116">
        <v>46.91</v>
      </c>
      <c r="P367" s="116">
        <v>47.25</v>
      </c>
      <c r="Q367" s="116">
        <v>51.6</v>
      </c>
      <c r="R367">
        <v>12604112</v>
      </c>
    </row>
    <row r="368" spans="1:18" x14ac:dyDescent="0.25">
      <c r="A368" s="170">
        <v>42870</v>
      </c>
      <c r="B368" s="116">
        <v>2.1119397410358598</v>
      </c>
      <c r="C368" s="116">
        <v>2.1119397410358598</v>
      </c>
      <c r="D368" s="116">
        <v>2.1119397410358598</v>
      </c>
      <c r="E368" s="116">
        <v>2.1119397410358598</v>
      </c>
      <c r="F368" s="116">
        <v>2.31</v>
      </c>
      <c r="G368">
        <v>725</v>
      </c>
      <c r="H368" s="116"/>
      <c r="I368" s="116"/>
      <c r="L368" s="170">
        <v>46120</v>
      </c>
      <c r="M368" s="116">
        <v>58.95</v>
      </c>
      <c r="N368" s="116">
        <v>60.7</v>
      </c>
      <c r="O368" s="116">
        <v>53.15</v>
      </c>
      <c r="P368" s="116">
        <v>54.15</v>
      </c>
      <c r="Q368" s="116">
        <v>58.95</v>
      </c>
      <c r="R368">
        <v>22260359</v>
      </c>
    </row>
    <row r="369" spans="1:18" x14ac:dyDescent="0.25">
      <c r="A369" s="170">
        <v>42873</v>
      </c>
      <c r="B369" s="116">
        <v>2.2125083001328001</v>
      </c>
      <c r="C369" s="116">
        <v>2.2125083001328001</v>
      </c>
      <c r="D369" s="116">
        <v>2.2125083001328001</v>
      </c>
      <c r="E369" s="116">
        <v>2.2125083001328001</v>
      </c>
      <c r="F369" s="116">
        <v>2.42</v>
      </c>
      <c r="G369">
        <v>1025</v>
      </c>
      <c r="H369" s="116"/>
      <c r="I369" s="116"/>
      <c r="L369" s="170">
        <v>46121</v>
      </c>
      <c r="M369" s="116">
        <v>61.11</v>
      </c>
      <c r="N369" s="116">
        <v>61.87</v>
      </c>
      <c r="O369" s="116">
        <v>57.37</v>
      </c>
      <c r="P369" s="116">
        <v>58.8</v>
      </c>
      <c r="Q369" s="116">
        <v>61.11</v>
      </c>
      <c r="R369">
        <v>7924272</v>
      </c>
    </row>
    <row r="370" spans="1:18" x14ac:dyDescent="0.25">
      <c r="A370" s="170">
        <v>42874</v>
      </c>
      <c r="B370" s="116">
        <v>2.3222194555112901</v>
      </c>
      <c r="C370" s="116">
        <v>2.3222194555112901</v>
      </c>
      <c r="D370" s="116">
        <v>2.3222194555112901</v>
      </c>
      <c r="E370" s="116">
        <v>2.3222194555112901</v>
      </c>
      <c r="F370" s="116">
        <v>2.54</v>
      </c>
      <c r="G370">
        <v>2500</v>
      </c>
      <c r="H370" s="116"/>
      <c r="I370" s="116"/>
      <c r="L370" s="170">
        <v>46122</v>
      </c>
      <c r="M370" s="116">
        <v>59.3</v>
      </c>
      <c r="N370" s="116">
        <v>62.66</v>
      </c>
      <c r="O370" s="116">
        <v>58.4</v>
      </c>
      <c r="P370" s="116">
        <v>62</v>
      </c>
      <c r="Q370" s="116">
        <v>59.3</v>
      </c>
      <c r="R370">
        <v>4583722</v>
      </c>
    </row>
    <row r="371" spans="1:18" x14ac:dyDescent="0.25">
      <c r="A371" s="170">
        <v>42877</v>
      </c>
      <c r="B371" s="116">
        <v>2.3222194555112901</v>
      </c>
      <c r="C371" s="116">
        <v>2.3222194555112901</v>
      </c>
      <c r="D371" s="116">
        <v>2.3039342629482098</v>
      </c>
      <c r="E371" s="116">
        <v>2.3039342629482098</v>
      </c>
      <c r="F371" s="116">
        <v>2.54</v>
      </c>
      <c r="G371">
        <v>4150</v>
      </c>
      <c r="H371" s="116"/>
      <c r="I371" s="116"/>
      <c r="L371" s="170">
        <v>46125</v>
      </c>
      <c r="M371" s="116">
        <v>58.01</v>
      </c>
      <c r="N371" s="116">
        <v>59.51</v>
      </c>
      <c r="O371" s="116">
        <v>57</v>
      </c>
      <c r="P371" s="116">
        <v>57.86</v>
      </c>
      <c r="Q371" s="116">
        <v>58.01</v>
      </c>
      <c r="R371">
        <v>3039663</v>
      </c>
    </row>
    <row r="372" spans="1:18" x14ac:dyDescent="0.25">
      <c r="A372" s="170">
        <v>42879</v>
      </c>
      <c r="B372" s="116">
        <v>2.4319306108897698</v>
      </c>
      <c r="C372" s="116">
        <v>2.4319306108897698</v>
      </c>
      <c r="D372" s="116">
        <v>2.2125083001328001</v>
      </c>
      <c r="E372" s="116">
        <v>2.2125083001328001</v>
      </c>
      <c r="F372" s="116">
        <v>2.66</v>
      </c>
      <c r="G372">
        <v>3618</v>
      </c>
      <c r="H372" s="116"/>
      <c r="I372" s="116"/>
      <c r="L372" s="170">
        <v>46127</v>
      </c>
      <c r="M372" s="116">
        <v>60.56</v>
      </c>
      <c r="N372" s="116">
        <v>61</v>
      </c>
      <c r="O372" s="116">
        <v>58.6</v>
      </c>
      <c r="P372" s="116">
        <v>58.6</v>
      </c>
      <c r="Q372" s="116">
        <v>60.56</v>
      </c>
      <c r="R372">
        <v>2468684</v>
      </c>
    </row>
    <row r="373" spans="1:18" x14ac:dyDescent="0.25">
      <c r="A373" s="170">
        <v>42880</v>
      </c>
      <c r="B373" s="116">
        <v>2.5142139774236401</v>
      </c>
      <c r="C373" s="116">
        <v>2.5142139774236401</v>
      </c>
      <c r="D373" s="116">
        <v>2.5142139774236401</v>
      </c>
      <c r="E373" s="116">
        <v>2.5142139774236401</v>
      </c>
      <c r="F373" s="116">
        <v>2.75</v>
      </c>
      <c r="G373">
        <v>50</v>
      </c>
      <c r="H373" s="116"/>
      <c r="I373" s="116"/>
      <c r="L373" s="170">
        <v>46128</v>
      </c>
      <c r="M373" s="116">
        <v>64.209999999999994</v>
      </c>
      <c r="N373" s="116">
        <v>65.25</v>
      </c>
      <c r="O373" s="116">
        <v>59.8</v>
      </c>
      <c r="P373" s="116">
        <v>61.66</v>
      </c>
      <c r="Q373" s="116">
        <v>64.209999999999994</v>
      </c>
      <c r="R373">
        <v>5022758</v>
      </c>
    </row>
    <row r="374" spans="1:18" x14ac:dyDescent="0.25">
      <c r="A374" s="170">
        <v>42888</v>
      </c>
      <c r="B374" s="116">
        <v>2.6330677290836699</v>
      </c>
      <c r="C374" s="116">
        <v>2.6330677290836699</v>
      </c>
      <c r="D374" s="116">
        <v>2.6330677290836699</v>
      </c>
      <c r="E374" s="116">
        <v>2.6330677290836699</v>
      </c>
      <c r="F374" s="116">
        <v>2.88</v>
      </c>
      <c r="G374">
        <v>350</v>
      </c>
      <c r="H374" s="116"/>
      <c r="I374" s="116"/>
      <c r="L374" s="170">
        <v>46129</v>
      </c>
      <c r="M374" s="116">
        <v>63.44</v>
      </c>
      <c r="N374" s="116">
        <v>65.7</v>
      </c>
      <c r="O374" s="116">
        <v>63</v>
      </c>
      <c r="P374" s="116">
        <v>64.86</v>
      </c>
      <c r="Q374" s="116">
        <v>63.44</v>
      </c>
      <c r="R374">
        <v>3491784</v>
      </c>
    </row>
    <row r="375" spans="1:18" x14ac:dyDescent="0.25">
      <c r="A375" s="170">
        <v>42891</v>
      </c>
      <c r="B375" s="116">
        <v>2.7427788844621501</v>
      </c>
      <c r="C375" s="116">
        <v>2.7427788844621501</v>
      </c>
      <c r="D375" s="116">
        <v>2.7427788844621501</v>
      </c>
      <c r="E375" s="116">
        <v>2.7427788844621501</v>
      </c>
      <c r="F375" s="116">
        <v>3</v>
      </c>
      <c r="G375">
        <v>185</v>
      </c>
      <c r="H375" s="116"/>
      <c r="I375" s="116"/>
      <c r="L375" s="170">
        <v>46132</v>
      </c>
      <c r="M375" s="116">
        <v>65.88</v>
      </c>
      <c r="N375" s="116">
        <v>67</v>
      </c>
      <c r="O375" s="116">
        <v>64.02</v>
      </c>
      <c r="P375" s="116">
        <v>64.02</v>
      </c>
      <c r="Q375" s="116">
        <v>65.88</v>
      </c>
      <c r="R375">
        <v>5277307</v>
      </c>
    </row>
    <row r="376" spans="1:18" x14ac:dyDescent="0.25">
      <c r="A376" s="170">
        <v>42892</v>
      </c>
      <c r="B376" s="116">
        <v>2.8799178286852598</v>
      </c>
      <c r="C376" s="116">
        <v>2.8799178286852598</v>
      </c>
      <c r="D376" s="116">
        <v>2.7427788844621501</v>
      </c>
      <c r="E376" s="116">
        <v>2.7427788844621501</v>
      </c>
      <c r="F376" s="116">
        <v>3.15</v>
      </c>
      <c r="G376">
        <v>1350</v>
      </c>
      <c r="H376" s="116"/>
      <c r="I376" s="116"/>
      <c r="L376" s="170">
        <v>46133</v>
      </c>
      <c r="M376" s="116">
        <v>65.83</v>
      </c>
      <c r="N376" s="116">
        <v>66.290000000000006</v>
      </c>
      <c r="O376" s="116">
        <v>65.23</v>
      </c>
      <c r="P376" s="116">
        <v>66.09</v>
      </c>
      <c r="Q376" s="116">
        <v>65.83</v>
      </c>
      <c r="R376">
        <v>2519919</v>
      </c>
    </row>
    <row r="377" spans="1:18" x14ac:dyDescent="0.25">
      <c r="A377" s="170">
        <v>42893</v>
      </c>
      <c r="B377" s="116">
        <v>2.9164882138114199</v>
      </c>
      <c r="C377" s="116">
        <v>2.9164882138114199</v>
      </c>
      <c r="D377" s="116">
        <v>2.7427788844621501</v>
      </c>
      <c r="E377" s="116">
        <v>2.7427788844621501</v>
      </c>
      <c r="F377" s="116">
        <v>3.19</v>
      </c>
      <c r="G377">
        <v>13</v>
      </c>
      <c r="H377" s="116"/>
      <c r="I377" s="116"/>
      <c r="L377" s="170">
        <v>46134</v>
      </c>
      <c r="M377" s="116">
        <v>69.16</v>
      </c>
      <c r="N377" s="116">
        <v>70</v>
      </c>
      <c r="O377" s="116">
        <v>65.260000000000005</v>
      </c>
      <c r="P377" s="116">
        <v>65.3</v>
      </c>
      <c r="Q377" s="116">
        <v>69.16</v>
      </c>
      <c r="R377">
        <v>6941003</v>
      </c>
    </row>
    <row r="378" spans="1:18" x14ac:dyDescent="0.25">
      <c r="A378" s="170">
        <v>42894</v>
      </c>
      <c r="B378" s="116">
        <v>2.9164882138114199</v>
      </c>
      <c r="C378" s="116">
        <v>2.7793492695883102</v>
      </c>
      <c r="D378" s="116">
        <v>2.7793492695883102</v>
      </c>
      <c r="E378" s="116">
        <v>2.9164882138114199</v>
      </c>
      <c r="F378" s="116">
        <v>3.04</v>
      </c>
      <c r="G378">
        <v>316</v>
      </c>
      <c r="H378" s="116"/>
      <c r="I378" s="116"/>
      <c r="L378" s="170">
        <v>46135</v>
      </c>
      <c r="M378" s="116">
        <v>67.11</v>
      </c>
      <c r="N378" s="116">
        <v>70.3</v>
      </c>
      <c r="O378" s="116">
        <v>67.010000000000005</v>
      </c>
      <c r="P378" s="116">
        <v>69.400000000000006</v>
      </c>
      <c r="Q378" s="116">
        <v>67.11</v>
      </c>
      <c r="R378">
        <v>4685859</v>
      </c>
    </row>
    <row r="379" spans="1:18" x14ac:dyDescent="0.25">
      <c r="A379" s="170">
        <v>42895</v>
      </c>
      <c r="B379" s="116">
        <v>2.6422103253652098</v>
      </c>
      <c r="C379" s="116">
        <v>2.6422103253652098</v>
      </c>
      <c r="D379" s="116">
        <v>2.6422103253652098</v>
      </c>
      <c r="E379" s="116">
        <v>2.6422103253652098</v>
      </c>
      <c r="F379" s="116">
        <v>2.89</v>
      </c>
      <c r="G379">
        <v>7415</v>
      </c>
      <c r="H379" s="116"/>
      <c r="I379" s="116"/>
      <c r="L379" s="170">
        <v>46136</v>
      </c>
      <c r="M379" s="116">
        <v>67.53</v>
      </c>
      <c r="N379" s="116">
        <v>68.760000000000005</v>
      </c>
      <c r="O379" s="116">
        <v>65.62</v>
      </c>
      <c r="P379" s="116">
        <v>66.3</v>
      </c>
      <c r="Q379" s="116">
        <v>67.53</v>
      </c>
      <c r="R379">
        <v>3704713</v>
      </c>
    </row>
    <row r="380" spans="1:18" x14ac:dyDescent="0.25">
      <c r="A380" s="170">
        <v>42898</v>
      </c>
      <c r="B380" s="116">
        <v>2.7427788844621501</v>
      </c>
      <c r="C380" s="116">
        <v>2.7427788844621501</v>
      </c>
      <c r="D380" s="116">
        <v>2.7427788844621501</v>
      </c>
      <c r="E380" s="116">
        <v>2.7427788844621501</v>
      </c>
      <c r="F380" s="116">
        <v>3</v>
      </c>
      <c r="G380">
        <v>60</v>
      </c>
      <c r="H380" s="116"/>
      <c r="I380" s="116"/>
      <c r="L380" s="170">
        <v>46139</v>
      </c>
      <c r="M380" s="116">
        <v>69.31</v>
      </c>
      <c r="N380" s="116">
        <v>69.69</v>
      </c>
      <c r="O380" s="116">
        <v>67.36</v>
      </c>
      <c r="P380" s="116">
        <v>68.14</v>
      </c>
      <c r="Q380" s="116">
        <v>69.31</v>
      </c>
      <c r="R380">
        <v>3056439</v>
      </c>
    </row>
    <row r="381" spans="1:18" x14ac:dyDescent="0.25">
      <c r="A381" s="170">
        <v>42899</v>
      </c>
      <c r="B381" s="116">
        <v>2.60563994023904</v>
      </c>
      <c r="C381" s="116">
        <v>2.60563994023904</v>
      </c>
      <c r="D381" s="116">
        <v>2.60563994023904</v>
      </c>
      <c r="E381" s="116">
        <v>2.60563994023904</v>
      </c>
      <c r="F381" s="116">
        <v>2.85</v>
      </c>
      <c r="G381">
        <v>1500</v>
      </c>
      <c r="H381" s="116"/>
      <c r="I381" s="116"/>
      <c r="L381" s="170">
        <v>46140</v>
      </c>
      <c r="M381" s="116">
        <v>71.010000000000005</v>
      </c>
      <c r="N381" s="116">
        <v>71.25</v>
      </c>
      <c r="O381" s="116">
        <v>69.06</v>
      </c>
      <c r="P381" s="116">
        <v>69.8</v>
      </c>
      <c r="Q381" s="116">
        <v>71.010000000000005</v>
      </c>
      <c r="R381">
        <v>10640491</v>
      </c>
    </row>
    <row r="382" spans="1:18" x14ac:dyDescent="0.25">
      <c r="A382" s="170">
        <v>42900</v>
      </c>
      <c r="B382" s="116">
        <v>2.60563994023904</v>
      </c>
      <c r="C382" s="116">
        <v>2.5964973439575001</v>
      </c>
      <c r="D382" s="116">
        <v>2.5964973439575001</v>
      </c>
      <c r="E382" s="116">
        <v>2.5964973439575001</v>
      </c>
      <c r="F382" s="116">
        <v>2.84</v>
      </c>
      <c r="G382">
        <v>895</v>
      </c>
      <c r="H382" s="116"/>
      <c r="I382" s="116"/>
      <c r="L382" s="170">
        <v>46141</v>
      </c>
      <c r="M382" s="116">
        <v>69.06</v>
      </c>
      <c r="N382" s="116">
        <v>72</v>
      </c>
      <c r="O382" s="116">
        <v>68.900000000000006</v>
      </c>
      <c r="P382" s="116">
        <v>71.989999999999995</v>
      </c>
      <c r="Q382" s="116">
        <v>69.06</v>
      </c>
      <c r="R382">
        <v>3265913</v>
      </c>
    </row>
    <row r="383" spans="1:18" x14ac:dyDescent="0.25">
      <c r="A383" s="170">
        <v>42902</v>
      </c>
      <c r="B383" s="116">
        <v>2.5964973439575001</v>
      </c>
      <c r="C383" s="116">
        <v>2.5964973439575001</v>
      </c>
      <c r="D383" s="116">
        <v>2.5964973439575001</v>
      </c>
      <c r="E383" s="116">
        <v>2.5964973439575001</v>
      </c>
      <c r="F383" s="116">
        <v>2.84</v>
      </c>
      <c r="G383">
        <v>35</v>
      </c>
      <c r="H383" s="116"/>
      <c r="I383" s="116"/>
      <c r="L383" s="170">
        <v>46142</v>
      </c>
      <c r="M383" s="116">
        <v>68.510000000000005</v>
      </c>
      <c r="N383" s="116">
        <v>68.900000000000006</v>
      </c>
      <c r="O383" s="116">
        <v>66.66</v>
      </c>
      <c r="P383" s="116">
        <v>68</v>
      </c>
      <c r="Q383" s="116">
        <v>68.510000000000005</v>
      </c>
      <c r="R383">
        <v>1709902</v>
      </c>
    </row>
    <row r="384" spans="1:18" x14ac:dyDescent="0.25">
      <c r="A384" s="170">
        <v>42905</v>
      </c>
      <c r="B384" s="116">
        <v>2.7244936918990699</v>
      </c>
      <c r="C384" s="116">
        <v>2.7244936918990699</v>
      </c>
      <c r="D384" s="116">
        <v>2.7244936918990699</v>
      </c>
      <c r="E384" s="116">
        <v>2.7244936918990699</v>
      </c>
      <c r="F384" s="116">
        <v>2.98</v>
      </c>
      <c r="G384">
        <v>20</v>
      </c>
      <c r="H384" s="116"/>
      <c r="I384" s="116"/>
      <c r="L384" s="170">
        <v>46146</v>
      </c>
      <c r="M384" s="116">
        <v>68.180000000000007</v>
      </c>
      <c r="N384" s="116">
        <v>69.5</v>
      </c>
      <c r="O384" s="116">
        <v>67.900000000000006</v>
      </c>
      <c r="P384" s="116">
        <v>69</v>
      </c>
      <c r="Q384" s="116">
        <v>68.180000000000007</v>
      </c>
      <c r="R384">
        <v>1512499</v>
      </c>
    </row>
    <row r="385" spans="1:18" x14ac:dyDescent="0.25">
      <c r="A385" s="170">
        <v>42906</v>
      </c>
      <c r="B385" s="116">
        <v>2.7244936918990699</v>
      </c>
      <c r="C385" s="116">
        <v>2.7244936918990699</v>
      </c>
      <c r="D385" s="116">
        <v>2.7244936918990699</v>
      </c>
      <c r="E385" s="116">
        <v>2.7244936918990699</v>
      </c>
      <c r="F385" s="116">
        <v>2.98</v>
      </c>
      <c r="G385">
        <v>25</v>
      </c>
      <c r="H385" s="116"/>
      <c r="I385" s="116"/>
      <c r="L385" s="170">
        <v>46147</v>
      </c>
      <c r="M385" s="116">
        <v>67.69</v>
      </c>
      <c r="N385" s="116">
        <v>69.900000000000006</v>
      </c>
      <c r="O385" s="116">
        <v>67.489999999999995</v>
      </c>
      <c r="P385" s="116">
        <v>67.959999999999994</v>
      </c>
      <c r="Q385" s="116">
        <v>67.69</v>
      </c>
      <c r="R385">
        <v>1731072</v>
      </c>
    </row>
    <row r="386" spans="1:18" x14ac:dyDescent="0.25">
      <c r="A386" s="170">
        <v>42907</v>
      </c>
      <c r="B386" s="116">
        <v>2.7244936918990699</v>
      </c>
      <c r="C386" s="116">
        <v>2.7244936918990699</v>
      </c>
      <c r="D386" s="116">
        <v>2.7244936918990699</v>
      </c>
      <c r="E386" s="116">
        <v>2.7244936918990699</v>
      </c>
      <c r="F386" s="116">
        <v>2.98</v>
      </c>
      <c r="G386">
        <v>25</v>
      </c>
      <c r="H386" s="116"/>
      <c r="I386" s="116"/>
      <c r="L386" s="170">
        <v>46148</v>
      </c>
      <c r="M386" s="116">
        <v>67.790000000000006</v>
      </c>
      <c r="N386" s="116">
        <v>70.58</v>
      </c>
      <c r="O386" s="116">
        <v>66.510000000000005</v>
      </c>
      <c r="P386" s="116">
        <v>69</v>
      </c>
      <c r="Q386" s="116">
        <v>67.790000000000006</v>
      </c>
      <c r="R386">
        <v>1783989</v>
      </c>
    </row>
    <row r="387" spans="1:18" x14ac:dyDescent="0.25">
      <c r="A387" s="170">
        <v>42909</v>
      </c>
      <c r="B387" s="116">
        <v>2.7427788844621501</v>
      </c>
      <c r="C387" s="116">
        <v>2.7244936918990699</v>
      </c>
      <c r="D387" s="116">
        <v>2.7244936918990699</v>
      </c>
      <c r="E387" s="116">
        <v>2.7244936918990699</v>
      </c>
      <c r="F387" s="116">
        <v>2.98</v>
      </c>
      <c r="G387">
        <v>6100</v>
      </c>
      <c r="H387" s="116"/>
      <c r="I387" s="116"/>
      <c r="L387" s="170">
        <v>46149</v>
      </c>
      <c r="M387" s="116">
        <v>69.88</v>
      </c>
      <c r="N387" s="116">
        <v>71</v>
      </c>
      <c r="O387" s="116">
        <v>67.95</v>
      </c>
      <c r="P387" s="116">
        <v>68.25</v>
      </c>
      <c r="Q387" s="116">
        <v>69.88</v>
      </c>
      <c r="R387">
        <v>3421602</v>
      </c>
    </row>
    <row r="388" spans="1:18" x14ac:dyDescent="0.25">
      <c r="A388" s="170">
        <v>42913</v>
      </c>
      <c r="B388" s="116">
        <v>2.7244936918990699</v>
      </c>
      <c r="C388" s="116">
        <v>2.7244936918990699</v>
      </c>
      <c r="D388" s="116">
        <v>2.7244936918990699</v>
      </c>
      <c r="E388" s="116">
        <v>2.7244936918990699</v>
      </c>
      <c r="F388" s="116">
        <v>2.98</v>
      </c>
      <c r="G388">
        <v>1000</v>
      </c>
      <c r="H388" s="116"/>
      <c r="I388" s="116"/>
      <c r="L388" s="170">
        <v>46150</v>
      </c>
      <c r="M388" s="116">
        <v>71.64</v>
      </c>
      <c r="N388" s="116">
        <v>73.73</v>
      </c>
      <c r="O388" s="116">
        <v>69.5</v>
      </c>
      <c r="P388" s="116">
        <v>69.75</v>
      </c>
      <c r="Q388" s="116">
        <v>71.64</v>
      </c>
      <c r="R388">
        <v>8711758</v>
      </c>
    </row>
    <row r="389" spans="1:18" x14ac:dyDescent="0.25">
      <c r="A389" s="170">
        <v>42914</v>
      </c>
      <c r="B389" s="116">
        <v>2.7244936918990699</v>
      </c>
      <c r="C389" s="116">
        <v>2.7244936918990699</v>
      </c>
      <c r="D389" s="116">
        <v>2.7244936918990699</v>
      </c>
      <c r="E389" s="116">
        <v>2.7244936918990699</v>
      </c>
      <c r="F389" s="116">
        <v>2.98</v>
      </c>
      <c r="G389">
        <v>25</v>
      </c>
      <c r="H389" s="116"/>
      <c r="I389" s="116"/>
      <c r="L389" s="170">
        <v>46153</v>
      </c>
      <c r="M389" s="116">
        <v>71.489999999999995</v>
      </c>
      <c r="N389" s="116">
        <v>73.739999999999995</v>
      </c>
      <c r="O389" s="116">
        <v>70</v>
      </c>
      <c r="P389" s="116">
        <v>71.7</v>
      </c>
      <c r="Q389" s="116">
        <v>71.489999999999995</v>
      </c>
      <c r="R389">
        <v>4299380</v>
      </c>
    </row>
    <row r="390" spans="1:18" x14ac:dyDescent="0.25">
      <c r="A390" s="170">
        <v>42919</v>
      </c>
      <c r="B390" s="116">
        <v>2.7244936918990699</v>
      </c>
      <c r="C390" s="116">
        <v>2.6513529216467502</v>
      </c>
      <c r="D390" s="116">
        <v>2.6513529216467502</v>
      </c>
      <c r="E390" s="116">
        <v>2.7244936918990699</v>
      </c>
      <c r="F390" s="116">
        <v>2.9</v>
      </c>
      <c r="G390">
        <v>30</v>
      </c>
      <c r="H390" s="116"/>
      <c r="I390" s="116"/>
      <c r="L390" s="170">
        <v>46154</v>
      </c>
      <c r="M390" s="116">
        <v>71</v>
      </c>
      <c r="N390" s="116">
        <v>74.8</v>
      </c>
      <c r="O390" s="116">
        <v>70.5</v>
      </c>
      <c r="P390" s="116">
        <v>70.67</v>
      </c>
      <c r="Q390" s="116">
        <v>71</v>
      </c>
      <c r="R390">
        <v>5809144</v>
      </c>
    </row>
    <row r="391" spans="1:18" x14ac:dyDescent="0.25">
      <c r="A391" s="170">
        <v>42920</v>
      </c>
      <c r="B391" s="116">
        <v>2.6513529216467502</v>
      </c>
      <c r="C391" s="116">
        <v>2.6513529216467502</v>
      </c>
      <c r="D391" s="116">
        <v>2.52335657370518</v>
      </c>
      <c r="E391" s="116">
        <v>2.52335657370518</v>
      </c>
      <c r="F391" s="116">
        <v>2.9</v>
      </c>
      <c r="G391">
        <v>500</v>
      </c>
      <c r="H391" s="116"/>
      <c r="I391" s="116"/>
      <c r="L391" s="170">
        <v>46155</v>
      </c>
      <c r="M391" s="116">
        <v>71.17</v>
      </c>
      <c r="N391" s="116">
        <v>73</v>
      </c>
      <c r="O391" s="116">
        <v>70.010000000000005</v>
      </c>
      <c r="P391" s="116">
        <v>71</v>
      </c>
      <c r="Q391" s="116">
        <v>71.17</v>
      </c>
      <c r="R391">
        <v>3602883</v>
      </c>
    </row>
    <row r="392" spans="1:18" x14ac:dyDescent="0.25">
      <c r="A392" s="170">
        <v>42922</v>
      </c>
      <c r="B392" s="116">
        <v>2.7427788844621501</v>
      </c>
      <c r="C392" s="116">
        <v>2.7427788844621501</v>
      </c>
      <c r="D392" s="116">
        <v>2.7427788844621501</v>
      </c>
      <c r="E392" s="116">
        <v>2.7427788844621501</v>
      </c>
      <c r="F392" s="116">
        <v>3</v>
      </c>
      <c r="G392">
        <v>350</v>
      </c>
      <c r="H392" s="116"/>
      <c r="I392" s="116"/>
      <c r="L392" s="170">
        <v>46156</v>
      </c>
      <c r="M392" s="116">
        <v>72.489999999999995</v>
      </c>
      <c r="N392" s="116">
        <v>74.39</v>
      </c>
      <c r="O392" s="116">
        <v>71.209999999999994</v>
      </c>
      <c r="P392" s="116">
        <v>72</v>
      </c>
      <c r="Q392" s="116">
        <v>72.489999999999995</v>
      </c>
      <c r="R392">
        <v>2790641</v>
      </c>
    </row>
    <row r="393" spans="1:18" x14ac:dyDescent="0.25">
      <c r="A393" s="170">
        <v>42926</v>
      </c>
      <c r="B393" s="116">
        <v>2.7427788844621501</v>
      </c>
      <c r="C393" s="116">
        <v>2.7427788844621501</v>
      </c>
      <c r="D393" s="116">
        <v>2.7427788844621501</v>
      </c>
      <c r="E393" s="116">
        <v>2.7427788844621501</v>
      </c>
      <c r="F393" s="116">
        <v>3</v>
      </c>
      <c r="G393">
        <v>895</v>
      </c>
      <c r="H393" s="116"/>
      <c r="I393" s="116"/>
      <c r="L393" s="170">
        <v>46157</v>
      </c>
      <c r="M393" s="116">
        <v>70.5</v>
      </c>
      <c r="N393" s="116">
        <v>73.86</v>
      </c>
      <c r="O393" s="116">
        <v>70.25</v>
      </c>
      <c r="P393" s="116">
        <v>72.95</v>
      </c>
      <c r="Q393" s="116">
        <v>70.5</v>
      </c>
      <c r="R393">
        <v>2749159</v>
      </c>
    </row>
    <row r="394" spans="1:18" x14ac:dyDescent="0.25">
      <c r="A394" s="170">
        <v>42928</v>
      </c>
      <c r="B394" s="116">
        <v>2.7427788844621501</v>
      </c>
      <c r="C394" s="116">
        <v>2.7427788844621501</v>
      </c>
      <c r="D394" s="116">
        <v>2.7427788844621501</v>
      </c>
      <c r="E394" s="116">
        <v>2.7427788844621501</v>
      </c>
      <c r="F394" s="116">
        <v>3</v>
      </c>
      <c r="G394">
        <v>3</v>
      </c>
      <c r="H394" s="116"/>
      <c r="I394" s="116"/>
      <c r="L394" s="170">
        <v>46160</v>
      </c>
      <c r="M394" s="116">
        <v>69.010000000000005</v>
      </c>
      <c r="N394" s="116">
        <v>70.349999999999994</v>
      </c>
      <c r="O394" s="116">
        <v>67.180000000000007</v>
      </c>
      <c r="P394" s="116">
        <v>69.5</v>
      </c>
      <c r="Q394" s="116">
        <v>69.010000000000005</v>
      </c>
      <c r="R394">
        <v>3598804</v>
      </c>
    </row>
    <row r="395" spans="1:18" x14ac:dyDescent="0.25">
      <c r="A395" s="170">
        <v>42929</v>
      </c>
      <c r="B395" s="116">
        <v>2.6970659030544502</v>
      </c>
      <c r="C395" s="116">
        <v>2.6970659030544502</v>
      </c>
      <c r="D395" s="116">
        <v>2.6970659030544502</v>
      </c>
      <c r="E395" s="116">
        <v>2.6970659030544502</v>
      </c>
      <c r="F395" s="116">
        <v>2.95</v>
      </c>
      <c r="G395">
        <v>700</v>
      </c>
      <c r="H395" s="116"/>
      <c r="I395" s="116"/>
      <c r="L395" s="170">
        <v>46161</v>
      </c>
      <c r="M395" s="116">
        <v>68.510000000000005</v>
      </c>
      <c r="N395" s="116">
        <v>70.430000000000007</v>
      </c>
      <c r="O395" s="116">
        <v>68.099999999999994</v>
      </c>
      <c r="P395" s="116">
        <v>69</v>
      </c>
      <c r="Q395" s="116">
        <v>68.510000000000005</v>
      </c>
      <c r="R395">
        <v>1774243</v>
      </c>
    </row>
    <row r="396" spans="1:18" x14ac:dyDescent="0.25">
      <c r="A396" s="170">
        <v>42941</v>
      </c>
      <c r="B396" s="116">
        <v>2.6970659030544502</v>
      </c>
      <c r="C396" s="116">
        <v>2.6970659030544502</v>
      </c>
      <c r="D396" s="116">
        <v>2.6970659030544502</v>
      </c>
      <c r="E396" s="116">
        <v>2.6970659030544502</v>
      </c>
      <c r="F396" s="116">
        <v>2.95</v>
      </c>
      <c r="G396">
        <v>400</v>
      </c>
      <c r="H396" s="116"/>
      <c r="I396" s="116"/>
      <c r="L396" s="170">
        <v>46162</v>
      </c>
      <c r="M396" s="116">
        <v>69.599999999999994</v>
      </c>
      <c r="N396" s="116">
        <v>69.989999999999995</v>
      </c>
      <c r="O396" s="116">
        <v>67.459999999999994</v>
      </c>
      <c r="P396" s="116">
        <v>68.099999999999994</v>
      </c>
      <c r="Q396" s="116">
        <v>69.599999999999994</v>
      </c>
      <c r="R396">
        <v>1329333</v>
      </c>
    </row>
    <row r="397" spans="1:18" x14ac:dyDescent="0.25">
      <c r="A397" s="170">
        <v>42942</v>
      </c>
      <c r="B397" s="116">
        <v>2.6970659030544502</v>
      </c>
      <c r="C397" s="116">
        <v>2.6970659030544502</v>
      </c>
      <c r="D397" s="116">
        <v>2.6970659030544502</v>
      </c>
      <c r="E397" s="116">
        <v>2.6970659030544502</v>
      </c>
      <c r="F397" s="116">
        <v>2.95</v>
      </c>
      <c r="G397">
        <v>12500</v>
      </c>
      <c r="H397" s="116"/>
      <c r="I397" s="116"/>
      <c r="L397" s="170">
        <v>46163</v>
      </c>
      <c r="M397" s="116">
        <v>68.7</v>
      </c>
      <c r="N397" s="116">
        <v>70.989999999999995</v>
      </c>
      <c r="O397" s="116">
        <v>68.42</v>
      </c>
      <c r="P397" s="116">
        <v>70</v>
      </c>
      <c r="Q397" s="116">
        <v>68.7</v>
      </c>
      <c r="R397">
        <v>1851482</v>
      </c>
    </row>
    <row r="398" spans="1:18" x14ac:dyDescent="0.25">
      <c r="A398" s="170">
        <v>42943</v>
      </c>
      <c r="B398" s="116">
        <v>2.6970659030544502</v>
      </c>
      <c r="C398" s="116">
        <v>2.6970659030544502</v>
      </c>
      <c r="D398" s="116">
        <v>2.6970659030544502</v>
      </c>
      <c r="E398" s="116">
        <v>2.6970659030544502</v>
      </c>
      <c r="F398" s="116">
        <v>2.95</v>
      </c>
      <c r="G398">
        <v>50</v>
      </c>
      <c r="H398" s="116"/>
      <c r="I398" s="116"/>
      <c r="L398" s="170">
        <v>46164</v>
      </c>
      <c r="M398" s="116">
        <v>67.84</v>
      </c>
      <c r="N398" s="116">
        <v>70.31</v>
      </c>
      <c r="O398" s="116">
        <v>67.7</v>
      </c>
      <c r="P398" s="116">
        <v>69.37</v>
      </c>
      <c r="Q398" s="116">
        <v>67.84</v>
      </c>
      <c r="R398">
        <v>2771659</v>
      </c>
    </row>
    <row r="399" spans="1:18" x14ac:dyDescent="0.25">
      <c r="A399" s="170">
        <v>42944</v>
      </c>
      <c r="B399" s="116">
        <v>2.6513529216467502</v>
      </c>
      <c r="C399" s="116">
        <v>2.6513529216467502</v>
      </c>
      <c r="D399" s="116">
        <v>2.6513529216467502</v>
      </c>
      <c r="E399" s="116">
        <v>2.6513529216467502</v>
      </c>
      <c r="F399" s="116">
        <v>2.9</v>
      </c>
      <c r="G399">
        <v>10</v>
      </c>
      <c r="H399" s="116"/>
      <c r="I399" s="116"/>
      <c r="L399" s="170">
        <v>46167</v>
      </c>
      <c r="M399" s="116">
        <v>71.319999999999993</v>
      </c>
      <c r="N399" s="116">
        <v>72.239999999999995</v>
      </c>
      <c r="O399" s="116">
        <v>68</v>
      </c>
      <c r="P399" s="116">
        <v>68</v>
      </c>
      <c r="Q399" s="116">
        <v>71.319999999999993</v>
      </c>
      <c r="R399">
        <v>4796978</v>
      </c>
    </row>
    <row r="400" spans="1:18" x14ac:dyDescent="0.25">
      <c r="A400" s="170">
        <v>42947</v>
      </c>
      <c r="B400" s="116">
        <v>2.6513529216467502</v>
      </c>
      <c r="C400" s="116">
        <v>2.6513529216467502</v>
      </c>
      <c r="D400" s="116">
        <v>2.6513529216467502</v>
      </c>
      <c r="E400" s="116">
        <v>2.6513529216467502</v>
      </c>
      <c r="F400" s="116">
        <v>2.9</v>
      </c>
      <c r="G400">
        <v>500</v>
      </c>
      <c r="H400" s="116"/>
      <c r="I400" s="116"/>
      <c r="L400" s="170">
        <v>46168</v>
      </c>
      <c r="M400" s="116">
        <v>72.53</v>
      </c>
      <c r="N400" s="116">
        <v>73.95</v>
      </c>
      <c r="O400" s="116">
        <v>71.48</v>
      </c>
      <c r="P400" s="116">
        <v>71.7</v>
      </c>
      <c r="Q400" s="116">
        <v>72.53</v>
      </c>
      <c r="R400">
        <v>3246894</v>
      </c>
    </row>
    <row r="401" spans="1:18" x14ac:dyDescent="0.25">
      <c r="A401" s="170">
        <v>42948</v>
      </c>
      <c r="B401" s="116">
        <v>2.6513529216467502</v>
      </c>
      <c r="C401" s="116">
        <v>2.6513529216467502</v>
      </c>
      <c r="D401" s="116">
        <v>2.6513529216467502</v>
      </c>
      <c r="E401" s="116">
        <v>2.6513529216467502</v>
      </c>
      <c r="F401" s="116">
        <v>2.9</v>
      </c>
      <c r="G401">
        <v>6555</v>
      </c>
      <c r="H401" s="116"/>
      <c r="I401" s="116"/>
      <c r="L401" s="170">
        <v>46169</v>
      </c>
      <c r="M401" s="116">
        <v>74.75</v>
      </c>
      <c r="N401" s="116">
        <v>76</v>
      </c>
      <c r="O401" s="116">
        <v>72.400000000000006</v>
      </c>
      <c r="P401" s="116">
        <v>72.400000000000006</v>
      </c>
      <c r="Q401" s="116">
        <v>74.75</v>
      </c>
      <c r="R401">
        <v>5126702</v>
      </c>
    </row>
    <row r="402" spans="1:18" x14ac:dyDescent="0.25">
      <c r="A402" s="170">
        <v>42965</v>
      </c>
      <c r="B402" s="116">
        <v>2.6513529216467502</v>
      </c>
      <c r="C402" s="116">
        <v>2.6513529216467502</v>
      </c>
      <c r="D402" s="116">
        <v>2.6513529216467502</v>
      </c>
      <c r="E402" s="116">
        <v>2.6513529216467502</v>
      </c>
      <c r="F402" s="116">
        <v>2.9</v>
      </c>
      <c r="G402">
        <v>6009</v>
      </c>
      <c r="H402" s="116"/>
      <c r="I402" s="116"/>
      <c r="L402" s="170">
        <v>46171</v>
      </c>
      <c r="M402" s="116">
        <v>72.06</v>
      </c>
      <c r="N402" s="116">
        <v>75.73</v>
      </c>
      <c r="O402" s="116">
        <v>71.099999999999994</v>
      </c>
      <c r="P402" s="116">
        <v>75</v>
      </c>
      <c r="Q402" s="116">
        <v>72.06</v>
      </c>
      <c r="R402">
        <v>2869049</v>
      </c>
    </row>
    <row r="403" spans="1:18" x14ac:dyDescent="0.25">
      <c r="A403" s="170">
        <v>42978</v>
      </c>
      <c r="B403" s="116">
        <v>2.7427788844621501</v>
      </c>
      <c r="C403" s="116">
        <v>2.7336362881806102</v>
      </c>
      <c r="D403" s="116">
        <v>2.52335657370518</v>
      </c>
      <c r="E403" s="116">
        <v>2.7427788844621501</v>
      </c>
      <c r="F403" s="116">
        <v>2.99</v>
      </c>
      <c r="G403">
        <v>108</v>
      </c>
      <c r="H403" s="116"/>
      <c r="I403" s="116"/>
      <c r="L403" s="170">
        <v>46174</v>
      </c>
      <c r="M403" s="116">
        <v>67.75</v>
      </c>
      <c r="N403" s="116">
        <v>72.66</v>
      </c>
      <c r="O403" s="116">
        <v>67.010000000000005</v>
      </c>
      <c r="P403" s="116">
        <v>72.099999999999994</v>
      </c>
      <c r="Q403" s="116">
        <v>67.75</v>
      </c>
      <c r="R403">
        <v>4194340</v>
      </c>
    </row>
    <row r="404" spans="1:18" x14ac:dyDescent="0.25">
      <c r="A404" s="170">
        <v>42983</v>
      </c>
      <c r="B404" s="116">
        <v>2.7336362881806102</v>
      </c>
      <c r="C404" s="116">
        <v>2.60563994023904</v>
      </c>
      <c r="D404" s="116">
        <v>2.60563994023904</v>
      </c>
      <c r="E404" s="116">
        <v>2.7336362881806102</v>
      </c>
      <c r="F404" s="116">
        <v>2.85</v>
      </c>
      <c r="G404">
        <v>1300</v>
      </c>
      <c r="H404" s="116"/>
      <c r="I404" s="116"/>
      <c r="L404" s="170">
        <v>46175</v>
      </c>
      <c r="M404" s="116">
        <v>68.599999999999994</v>
      </c>
      <c r="N404" s="116">
        <v>68.900000000000006</v>
      </c>
      <c r="O404" s="116">
        <v>67.150000000000006</v>
      </c>
      <c r="P404" s="116">
        <v>67.62</v>
      </c>
      <c r="Q404" s="116">
        <v>68.599999999999994</v>
      </c>
      <c r="R404">
        <v>1898830</v>
      </c>
    </row>
    <row r="405" spans="1:18" x14ac:dyDescent="0.25">
      <c r="A405" s="170">
        <v>42984</v>
      </c>
      <c r="B405" s="116">
        <v>2.4867861885790199</v>
      </c>
      <c r="C405" s="116">
        <v>2.47764359229748</v>
      </c>
      <c r="D405" s="116">
        <v>2.47764359229748</v>
      </c>
      <c r="E405" s="116">
        <v>2.47764359229748</v>
      </c>
      <c r="F405" s="116">
        <v>2.71</v>
      </c>
      <c r="G405">
        <v>8731</v>
      </c>
      <c r="H405" s="116"/>
      <c r="I405" s="116"/>
      <c r="L405" s="170">
        <v>46176</v>
      </c>
      <c r="M405" s="116">
        <v>67.510000000000005</v>
      </c>
      <c r="N405" s="116">
        <v>68.78</v>
      </c>
      <c r="O405" s="116">
        <v>66.099999999999994</v>
      </c>
      <c r="P405" s="116">
        <v>68.7</v>
      </c>
      <c r="Q405" s="116">
        <v>67.510000000000005</v>
      </c>
      <c r="R405">
        <v>1904784</v>
      </c>
    </row>
    <row r="406" spans="1:18" x14ac:dyDescent="0.25">
      <c r="A406" s="170">
        <v>42985</v>
      </c>
      <c r="B406" s="116">
        <v>2.55992695883134</v>
      </c>
      <c r="C406" s="116">
        <v>2.55992695883134</v>
      </c>
      <c r="D406" s="116">
        <v>2.55992695883134</v>
      </c>
      <c r="E406" s="116">
        <v>2.55992695883134</v>
      </c>
      <c r="F406" s="116">
        <v>2.8</v>
      </c>
      <c r="G406">
        <v>200</v>
      </c>
      <c r="H406" s="116"/>
      <c r="I406" s="116"/>
      <c r="L406" s="170">
        <v>46177</v>
      </c>
      <c r="M406" s="116">
        <v>67.13</v>
      </c>
      <c r="N406" s="116">
        <v>68.349999999999994</v>
      </c>
      <c r="O406" s="116">
        <v>66.900000000000006</v>
      </c>
      <c r="P406" s="116">
        <v>67</v>
      </c>
      <c r="Q406" s="116">
        <v>67.13</v>
      </c>
      <c r="R406">
        <v>1202471</v>
      </c>
    </row>
    <row r="407" spans="1:18" x14ac:dyDescent="0.25">
      <c r="A407" s="170">
        <v>42986</v>
      </c>
      <c r="B407" s="116">
        <v>2.5507843625498001</v>
      </c>
      <c r="C407" s="116">
        <v>2.4685009960159401</v>
      </c>
      <c r="D407" s="116">
        <v>2.4319306108897698</v>
      </c>
      <c r="E407" s="116">
        <v>2.5507843625498001</v>
      </c>
      <c r="F407" s="116">
        <v>2.7</v>
      </c>
      <c r="G407">
        <v>656</v>
      </c>
      <c r="H407" s="116"/>
      <c r="I407" s="116"/>
      <c r="L407" s="170">
        <v>46178</v>
      </c>
      <c r="M407" s="116">
        <v>66.86</v>
      </c>
      <c r="N407" s="116">
        <v>69.7</v>
      </c>
      <c r="O407" s="116">
        <v>66.5</v>
      </c>
      <c r="P407" s="116">
        <v>67</v>
      </c>
      <c r="Q407" s="116">
        <v>66.86</v>
      </c>
      <c r="R407">
        <v>2086127</v>
      </c>
    </row>
    <row r="408" spans="1:18" x14ac:dyDescent="0.25">
      <c r="A408" s="170">
        <v>43000</v>
      </c>
      <c r="B408" s="116">
        <v>2.55992695883134</v>
      </c>
      <c r="C408" s="116">
        <v>2.55992695883134</v>
      </c>
      <c r="D408" s="116">
        <v>2.55992695883134</v>
      </c>
      <c r="E408" s="116">
        <v>2.55992695883134</v>
      </c>
      <c r="F408" s="116">
        <v>2.8</v>
      </c>
      <c r="G408">
        <v>1</v>
      </c>
      <c r="H408" s="116"/>
      <c r="I408" s="116"/>
      <c r="L408" s="170">
        <v>46181</v>
      </c>
      <c r="M408" s="116">
        <v>64.099999999999994</v>
      </c>
      <c r="N408" s="116">
        <v>66.44</v>
      </c>
      <c r="O408" s="116">
        <v>63.67</v>
      </c>
      <c r="P408" s="116">
        <v>65.650000000000006</v>
      </c>
      <c r="Q408" s="116">
        <v>64.099999999999994</v>
      </c>
      <c r="R408">
        <v>2353532</v>
      </c>
    </row>
    <row r="409" spans="1:18" x14ac:dyDescent="0.25">
      <c r="A409" s="170">
        <v>43011</v>
      </c>
      <c r="B409" s="116">
        <v>2.4319306108897698</v>
      </c>
      <c r="C409" s="116">
        <v>2.4319306108897698</v>
      </c>
      <c r="D409" s="116">
        <v>2.4319306108897698</v>
      </c>
      <c r="E409" s="116">
        <v>2.4319306108897698</v>
      </c>
      <c r="F409" s="116">
        <v>2.66</v>
      </c>
      <c r="G409">
        <v>85</v>
      </c>
      <c r="H409" s="116"/>
      <c r="I409" s="116"/>
      <c r="L409" s="170">
        <v>46182</v>
      </c>
      <c r="M409" s="116">
        <v>67.900000000000006</v>
      </c>
      <c r="N409" s="116">
        <v>68.2</v>
      </c>
      <c r="O409" s="116">
        <v>64.22</v>
      </c>
      <c r="P409" s="116">
        <v>65</v>
      </c>
      <c r="Q409" s="116">
        <v>67.900000000000006</v>
      </c>
      <c r="R409">
        <v>3070054</v>
      </c>
    </row>
    <row r="410" spans="1:18" x14ac:dyDescent="0.25">
      <c r="A410" s="170">
        <v>43012</v>
      </c>
      <c r="B410" s="116">
        <v>2.3130768592297501</v>
      </c>
      <c r="C410" s="116">
        <v>2.3130768592297501</v>
      </c>
      <c r="D410" s="116">
        <v>2.3130768592297501</v>
      </c>
      <c r="E410" s="116">
        <v>2.3130768592297501</v>
      </c>
      <c r="F410" s="116">
        <v>2.5299999999999998</v>
      </c>
      <c r="G410">
        <v>8250</v>
      </c>
      <c r="H410" s="116"/>
      <c r="I410" s="116"/>
      <c r="L410" s="170">
        <v>46183</v>
      </c>
      <c r="M410" s="116">
        <v>66.38</v>
      </c>
      <c r="N410" s="116">
        <v>68.540000000000006</v>
      </c>
      <c r="O410" s="116">
        <v>65.739999999999995</v>
      </c>
      <c r="P410" s="116">
        <v>68.540000000000006</v>
      </c>
      <c r="Q410" s="116">
        <v>66.38</v>
      </c>
      <c r="R410">
        <v>1659004</v>
      </c>
    </row>
    <row r="411" spans="1:18" x14ac:dyDescent="0.25">
      <c r="A411" s="170">
        <v>43017</v>
      </c>
      <c r="B411" s="116">
        <v>2.2033657038512602</v>
      </c>
      <c r="C411" s="116">
        <v>2.2033657038512602</v>
      </c>
      <c r="D411" s="116">
        <v>2.2033657038512602</v>
      </c>
      <c r="E411" s="116">
        <v>2.2033657038512602</v>
      </c>
      <c r="F411" s="116">
        <v>2.41</v>
      </c>
      <c r="G411">
        <v>300</v>
      </c>
      <c r="H411" s="116"/>
      <c r="I411" s="116"/>
      <c r="L411" s="170">
        <v>46184</v>
      </c>
      <c r="M411" s="116">
        <v>64.459999999999994</v>
      </c>
      <c r="N411" s="116">
        <v>66.989999999999995</v>
      </c>
      <c r="O411" s="116">
        <v>64.2</v>
      </c>
      <c r="P411" s="116">
        <v>65.150000000000006</v>
      </c>
      <c r="Q411" s="116">
        <v>64.459999999999994</v>
      </c>
      <c r="R411">
        <v>1782017</v>
      </c>
    </row>
    <row r="412" spans="1:18" x14ac:dyDescent="0.25">
      <c r="A412" s="170">
        <v>43018</v>
      </c>
      <c r="B412" s="116">
        <v>2.1027971447543199</v>
      </c>
      <c r="C412" s="116">
        <v>2.1027971447543199</v>
      </c>
      <c r="D412" s="116">
        <v>2.1027971447543199</v>
      </c>
      <c r="E412" s="116">
        <v>2.1027971447543199</v>
      </c>
      <c r="F412" s="116">
        <v>2.2999999999999998</v>
      </c>
      <c r="G412">
        <v>1500</v>
      </c>
      <c r="H412" s="116"/>
      <c r="I412" s="116"/>
      <c r="L412" s="170">
        <v>46185</v>
      </c>
      <c r="M412" s="116">
        <v>66.930000000000007</v>
      </c>
      <c r="N412" s="116">
        <v>67.44</v>
      </c>
      <c r="O412" s="116">
        <v>64.87</v>
      </c>
      <c r="P412" s="116">
        <v>65.5</v>
      </c>
      <c r="Q412" s="116">
        <v>66.930000000000007</v>
      </c>
      <c r="R412">
        <v>2765293</v>
      </c>
    </row>
    <row r="413" spans="1:18" x14ac:dyDescent="0.25">
      <c r="A413" s="170">
        <v>43035</v>
      </c>
      <c r="B413" s="116">
        <v>2.1027971447543199</v>
      </c>
      <c r="C413" s="116">
        <v>2.1027971447543199</v>
      </c>
      <c r="D413" s="116">
        <v>2.1027971447543199</v>
      </c>
      <c r="E413" s="116">
        <v>2.1027971447543199</v>
      </c>
      <c r="F413" s="116">
        <v>2.2999999999999998</v>
      </c>
      <c r="G413">
        <v>1500</v>
      </c>
      <c r="H413" s="116"/>
      <c r="I413" s="116"/>
      <c r="L413" s="170">
        <v>46188</v>
      </c>
      <c r="M413" s="116">
        <v>69.400000000000006</v>
      </c>
      <c r="N413" s="116">
        <v>70.17</v>
      </c>
      <c r="O413" s="116">
        <v>67.81</v>
      </c>
      <c r="P413" s="116">
        <v>69.900000000000006</v>
      </c>
      <c r="Q413" s="116">
        <v>69.400000000000006</v>
      </c>
      <c r="R413">
        <v>3072365</v>
      </c>
    </row>
    <row r="414" spans="1:18" x14ac:dyDescent="0.25">
      <c r="A414" s="170">
        <v>43039</v>
      </c>
      <c r="B414" s="116">
        <v>2.1027971447543199</v>
      </c>
      <c r="C414" s="116">
        <v>2.1027971447543199</v>
      </c>
      <c r="D414" s="116">
        <v>2.0113711819389102</v>
      </c>
      <c r="E414" s="116">
        <v>2.0113711819389102</v>
      </c>
      <c r="F414" s="116">
        <v>2.2999999999999998</v>
      </c>
      <c r="G414">
        <v>6700</v>
      </c>
      <c r="H414" s="116"/>
      <c r="I414" s="116"/>
      <c r="L414" s="170">
        <v>46189</v>
      </c>
      <c r="M414" s="116">
        <v>70.94</v>
      </c>
      <c r="N414" s="116">
        <v>73.59</v>
      </c>
      <c r="O414" s="116">
        <v>67.97</v>
      </c>
      <c r="P414" s="116">
        <v>69.95</v>
      </c>
      <c r="Q414" s="116">
        <v>70.94</v>
      </c>
      <c r="R414">
        <v>8015573</v>
      </c>
    </row>
    <row r="415" spans="1:18" x14ac:dyDescent="0.25">
      <c r="A415" s="170">
        <v>43041</v>
      </c>
      <c r="B415" s="116">
        <v>2.2033657038512602</v>
      </c>
      <c r="C415" s="116">
        <v>2.2033657038512602</v>
      </c>
      <c r="D415" s="116">
        <v>2.2033657038512602</v>
      </c>
      <c r="E415" s="116">
        <v>2.2033657038512602</v>
      </c>
      <c r="F415" s="116">
        <v>2.41</v>
      </c>
      <c r="G415">
        <v>1000</v>
      </c>
      <c r="H415" s="116"/>
      <c r="I415" s="116"/>
      <c r="L415" s="170">
        <v>46190</v>
      </c>
      <c r="M415" s="116">
        <v>75.61</v>
      </c>
      <c r="N415" s="116">
        <v>76.790000000000006</v>
      </c>
      <c r="O415" s="116">
        <v>71.400000000000006</v>
      </c>
      <c r="P415" s="116">
        <v>71.400000000000006</v>
      </c>
      <c r="Q415" s="116">
        <v>75.61</v>
      </c>
      <c r="R415">
        <v>15741140</v>
      </c>
    </row>
    <row r="416" spans="1:18" x14ac:dyDescent="0.25">
      <c r="A416" s="170">
        <v>43042</v>
      </c>
      <c r="B416" s="116">
        <v>2.3130768592297501</v>
      </c>
      <c r="C416" s="116">
        <v>2.3130768592297501</v>
      </c>
      <c r="D416" s="116">
        <v>2.3130768592297501</v>
      </c>
      <c r="E416" s="116">
        <v>2.3130768592297501</v>
      </c>
      <c r="F416" s="116">
        <v>2.5299999999999998</v>
      </c>
      <c r="G416">
        <v>10072</v>
      </c>
      <c r="H416" s="116"/>
      <c r="I416" s="116"/>
      <c r="L416" s="170"/>
    </row>
    <row r="417" spans="1:12" x14ac:dyDescent="0.25">
      <c r="A417" s="170">
        <v>43045</v>
      </c>
      <c r="B417" s="116">
        <v>2.4227880146082299</v>
      </c>
      <c r="C417" s="116">
        <v>2.4227880146082299</v>
      </c>
      <c r="D417" s="116">
        <v>2.4227880146082299</v>
      </c>
      <c r="E417" s="116">
        <v>2.4227880146082299</v>
      </c>
      <c r="F417" s="116">
        <v>2.65</v>
      </c>
      <c r="G417">
        <v>5003</v>
      </c>
      <c r="H417" s="116"/>
      <c r="I417" s="116"/>
      <c r="L417" s="170"/>
    </row>
    <row r="418" spans="1:12" x14ac:dyDescent="0.25">
      <c r="A418" s="170">
        <v>43046</v>
      </c>
      <c r="B418" s="116">
        <v>2.5416417662682602</v>
      </c>
      <c r="C418" s="116">
        <v>2.5416417662682602</v>
      </c>
      <c r="D418" s="116">
        <v>2.5416417662682602</v>
      </c>
      <c r="E418" s="116">
        <v>2.5416417662682602</v>
      </c>
      <c r="F418" s="116">
        <v>2.78</v>
      </c>
      <c r="G418">
        <v>6249</v>
      </c>
      <c r="H418" s="116"/>
      <c r="I418" s="116"/>
      <c r="L418" s="170"/>
    </row>
    <row r="419" spans="1:12" x14ac:dyDescent="0.25">
      <c r="A419" s="170">
        <v>43047</v>
      </c>
      <c r="B419" s="116">
        <v>2.6604955179282901</v>
      </c>
      <c r="C419" s="116">
        <v>2.6604955179282901</v>
      </c>
      <c r="D419" s="116">
        <v>2.6604955179282901</v>
      </c>
      <c r="E419" s="116">
        <v>2.6604955179282901</v>
      </c>
      <c r="F419" s="116">
        <v>2.91</v>
      </c>
      <c r="G419">
        <v>5001</v>
      </c>
      <c r="H419" s="116"/>
      <c r="I419" s="116"/>
      <c r="L419" s="170"/>
    </row>
    <row r="420" spans="1:12" x14ac:dyDescent="0.25">
      <c r="A420" s="170">
        <v>43048</v>
      </c>
      <c r="B420" s="116">
        <v>2.7427788844621501</v>
      </c>
      <c r="C420" s="116">
        <v>2.7427788844621501</v>
      </c>
      <c r="D420" s="116">
        <v>2.7427788844621501</v>
      </c>
      <c r="E420" s="116">
        <v>2.7427788844621501</v>
      </c>
      <c r="F420" s="116">
        <v>3</v>
      </c>
      <c r="G420">
        <v>7750</v>
      </c>
      <c r="H420" s="116"/>
      <c r="I420" s="116"/>
      <c r="L420" s="170"/>
    </row>
    <row r="421" spans="1:12" x14ac:dyDescent="0.25">
      <c r="A421" s="170">
        <v>43053</v>
      </c>
      <c r="B421" s="116">
        <v>2.8342048472775598</v>
      </c>
      <c r="C421" s="116">
        <v>2.7427788844621501</v>
      </c>
      <c r="D421" s="116">
        <v>2.60563994023904</v>
      </c>
      <c r="E421" s="116">
        <v>2.7427788844621501</v>
      </c>
      <c r="F421" s="116">
        <v>3</v>
      </c>
      <c r="G421">
        <v>23918</v>
      </c>
      <c r="H421" s="116"/>
      <c r="I421" s="116"/>
      <c r="L421" s="170"/>
    </row>
    <row r="422" spans="1:12" x14ac:dyDescent="0.25">
      <c r="A422" s="170">
        <v>43056</v>
      </c>
      <c r="B422" s="116">
        <v>2.8799178286852598</v>
      </c>
      <c r="C422" s="116">
        <v>2.8342048472775598</v>
      </c>
      <c r="D422" s="116">
        <v>2.8342048472775598</v>
      </c>
      <c r="E422" s="116">
        <v>2.8799178286852598</v>
      </c>
      <c r="F422" s="116">
        <v>3.1</v>
      </c>
      <c r="G422">
        <v>21</v>
      </c>
      <c r="H422" s="116"/>
      <c r="I422" s="116"/>
      <c r="L422" s="170"/>
    </row>
    <row r="423" spans="1:12" x14ac:dyDescent="0.25">
      <c r="A423" s="170">
        <v>43060</v>
      </c>
      <c r="B423" s="116">
        <v>2.9256308100929602</v>
      </c>
      <c r="C423" s="116">
        <v>2.9256308100929602</v>
      </c>
      <c r="D423" s="116">
        <v>2.9256308100929602</v>
      </c>
      <c r="E423" s="116">
        <v>2.9256308100929602</v>
      </c>
      <c r="F423" s="116">
        <v>3.2</v>
      </c>
      <c r="G423">
        <v>2</v>
      </c>
      <c r="H423" s="116"/>
      <c r="I423" s="116"/>
      <c r="L423" s="170"/>
    </row>
    <row r="424" spans="1:12" x14ac:dyDescent="0.25">
      <c r="A424" s="170">
        <v>43061</v>
      </c>
      <c r="B424" s="116">
        <v>3.0719123505976098</v>
      </c>
      <c r="C424" s="116">
        <v>3.0719123505976098</v>
      </c>
      <c r="D424" s="116">
        <v>3.0719123505976098</v>
      </c>
      <c r="E424" s="116">
        <v>3.0719123505976098</v>
      </c>
      <c r="F424" s="116">
        <v>3.36</v>
      </c>
      <c r="G424">
        <v>1</v>
      </c>
      <c r="H424" s="116"/>
      <c r="I424" s="116"/>
      <c r="L424" s="170"/>
    </row>
    <row r="425" spans="1:12" x14ac:dyDescent="0.25">
      <c r="A425" s="170">
        <v>43062</v>
      </c>
      <c r="B425" s="116">
        <v>3.2181938911022598</v>
      </c>
      <c r="C425" s="116">
        <v>2.94391600265604</v>
      </c>
      <c r="D425" s="116">
        <v>2.9347734063745001</v>
      </c>
      <c r="E425" s="116">
        <v>3.1541957171314698</v>
      </c>
      <c r="F425" s="116">
        <v>3.22</v>
      </c>
      <c r="G425">
        <v>1541</v>
      </c>
      <c r="H425" s="116"/>
      <c r="I425" s="116"/>
      <c r="L425" s="170"/>
    </row>
    <row r="426" spans="1:12" x14ac:dyDescent="0.25">
      <c r="A426" s="170">
        <v>43063</v>
      </c>
      <c r="B426" s="116">
        <v>3.0901975431606901</v>
      </c>
      <c r="C426" s="116">
        <v>3.0719123505976098</v>
      </c>
      <c r="D426" s="116">
        <v>2.79763446215139</v>
      </c>
      <c r="E426" s="116">
        <v>2.79763446215139</v>
      </c>
      <c r="F426" s="116">
        <v>3.36</v>
      </c>
      <c r="G426">
        <v>8698</v>
      </c>
      <c r="H426" s="116"/>
      <c r="I426" s="116"/>
      <c r="L426" s="170"/>
    </row>
    <row r="427" spans="1:12" x14ac:dyDescent="0.25">
      <c r="A427" s="170">
        <v>43066</v>
      </c>
      <c r="B427" s="116">
        <v>3.2090512948207199</v>
      </c>
      <c r="C427" s="116">
        <v>3.19990869853918</v>
      </c>
      <c r="D427" s="116">
        <v>3.19990869853918</v>
      </c>
      <c r="E427" s="116">
        <v>3.2090512948207199</v>
      </c>
      <c r="F427" s="116">
        <v>3.5</v>
      </c>
      <c r="G427">
        <v>310</v>
      </c>
      <c r="H427" s="116"/>
      <c r="I427" s="116"/>
      <c r="L427" s="170"/>
    </row>
    <row r="428" spans="1:12" x14ac:dyDescent="0.25">
      <c r="A428" s="170">
        <v>43067</v>
      </c>
      <c r="B428" s="116">
        <v>3.35533283532537</v>
      </c>
      <c r="C428" s="116">
        <v>3.35533283532537</v>
      </c>
      <c r="D428" s="116">
        <v>3.1084827357237699</v>
      </c>
      <c r="E428" s="116">
        <v>3.35533283532537</v>
      </c>
      <c r="F428" s="116">
        <v>3.67</v>
      </c>
      <c r="G428">
        <v>7002</v>
      </c>
      <c r="H428" s="116"/>
      <c r="I428" s="116"/>
      <c r="L428" s="170"/>
    </row>
    <row r="429" spans="1:12" x14ac:dyDescent="0.25">
      <c r="A429" s="170">
        <v>43068</v>
      </c>
      <c r="B429" s="116">
        <v>3.51989956839309</v>
      </c>
      <c r="C429" s="116">
        <v>3.51989956839309</v>
      </c>
      <c r="D429" s="116">
        <v>3.4741865869853901</v>
      </c>
      <c r="E429" s="116">
        <v>3.51989956839309</v>
      </c>
      <c r="F429" s="116">
        <v>3.85</v>
      </c>
      <c r="G429">
        <v>4575</v>
      </c>
      <c r="H429" s="116"/>
      <c r="I429" s="116"/>
      <c r="L429" s="170"/>
    </row>
    <row r="430" spans="1:12" x14ac:dyDescent="0.25">
      <c r="A430" s="170">
        <v>43069</v>
      </c>
      <c r="B430" s="116">
        <v>3.6936088977423598</v>
      </c>
      <c r="C430" s="116">
        <v>3.6936088977423598</v>
      </c>
      <c r="D430" s="116">
        <v>3.5656125498007998</v>
      </c>
      <c r="E430" s="116">
        <v>3.6936088977423598</v>
      </c>
      <c r="F430" s="116">
        <v>4.04</v>
      </c>
      <c r="G430">
        <v>8075</v>
      </c>
      <c r="H430" s="116"/>
      <c r="I430" s="116"/>
      <c r="L430" s="170"/>
    </row>
    <row r="431" spans="1:12" x14ac:dyDescent="0.25">
      <c r="A431" s="170">
        <v>43070</v>
      </c>
      <c r="B431" s="116">
        <v>3.8764608233731699</v>
      </c>
      <c r="C431" s="116">
        <v>3.8398904382470098</v>
      </c>
      <c r="D431" s="116">
        <v>3.5656125498007998</v>
      </c>
      <c r="E431" s="116">
        <v>3.8764608233731699</v>
      </c>
      <c r="F431" s="116">
        <v>4.2</v>
      </c>
      <c r="G431">
        <v>8515</v>
      </c>
      <c r="H431" s="116"/>
      <c r="I431" s="116"/>
      <c r="L431" s="170"/>
    </row>
    <row r="432" spans="1:12" x14ac:dyDescent="0.25">
      <c r="A432" s="170">
        <v>43073</v>
      </c>
      <c r="B432" s="116">
        <v>4.0318849601593598</v>
      </c>
      <c r="C432" s="116">
        <v>4.0318849601593598</v>
      </c>
      <c r="D432" s="116">
        <v>3.93131640106242</v>
      </c>
      <c r="E432" s="116">
        <v>4.0318849601593598</v>
      </c>
      <c r="F432" s="116">
        <v>4.41</v>
      </c>
      <c r="G432">
        <v>5450</v>
      </c>
      <c r="H432" s="116"/>
      <c r="I432" s="116"/>
      <c r="L432" s="170"/>
    </row>
    <row r="433" spans="1:12" x14ac:dyDescent="0.25">
      <c r="A433" s="170">
        <v>43074</v>
      </c>
      <c r="B433" s="116">
        <v>4.2238794820717098</v>
      </c>
      <c r="C433" s="116">
        <v>4.1415961155378502</v>
      </c>
      <c r="D433" s="116">
        <v>4.0318849601593598</v>
      </c>
      <c r="E433" s="116">
        <v>4.0318849601593598</v>
      </c>
      <c r="F433" s="116">
        <v>4.53</v>
      </c>
      <c r="G433">
        <v>1753</v>
      </c>
      <c r="H433" s="116"/>
      <c r="I433" s="116"/>
      <c r="L433" s="170"/>
    </row>
    <row r="434" spans="1:12" x14ac:dyDescent="0.25">
      <c r="A434" s="170">
        <v>43075</v>
      </c>
      <c r="B434" s="116">
        <v>4.3427332337317397</v>
      </c>
      <c r="C434" s="116">
        <v>4.2878776560425003</v>
      </c>
      <c r="D434" s="116">
        <v>4.1964516932270897</v>
      </c>
      <c r="E434" s="116">
        <v>4.2970202523240397</v>
      </c>
      <c r="F434" s="116">
        <v>4.6900000000000004</v>
      </c>
      <c r="G434">
        <v>26492</v>
      </c>
      <c r="H434" s="116"/>
      <c r="I434" s="116"/>
      <c r="L434" s="170"/>
    </row>
    <row r="435" spans="1:12" x14ac:dyDescent="0.25">
      <c r="A435" s="170">
        <v>43076</v>
      </c>
      <c r="B435" s="116">
        <v>4.3701610225763599</v>
      </c>
      <c r="C435" s="116">
        <v>4.3701610225763599</v>
      </c>
      <c r="D435" s="116">
        <v>4.2147368857901704</v>
      </c>
      <c r="E435" s="116">
        <v>4.3701610225763599</v>
      </c>
      <c r="F435" s="116">
        <v>4.78</v>
      </c>
      <c r="G435">
        <v>8101</v>
      </c>
      <c r="H435" s="116"/>
      <c r="I435" s="116"/>
      <c r="L435" s="170"/>
    </row>
    <row r="436" spans="1:12" x14ac:dyDescent="0.25">
      <c r="A436" s="170">
        <v>43077</v>
      </c>
      <c r="B436" s="116">
        <v>4.3701610225763599</v>
      </c>
      <c r="C436" s="116">
        <v>4.3701610225763599</v>
      </c>
      <c r="D436" s="116">
        <v>4.3701610225763599</v>
      </c>
      <c r="E436" s="116">
        <v>4.3701610225763599</v>
      </c>
      <c r="F436" s="116">
        <v>4.78</v>
      </c>
      <c r="G436">
        <v>250</v>
      </c>
      <c r="H436" s="116"/>
      <c r="I436" s="116"/>
      <c r="L436" s="170"/>
    </row>
    <row r="437" spans="1:12" x14ac:dyDescent="0.25">
      <c r="A437" s="170">
        <v>43080</v>
      </c>
      <c r="B437" s="116">
        <v>4.15988130810093</v>
      </c>
      <c r="C437" s="116">
        <v>4.15988130810093</v>
      </c>
      <c r="D437" s="116">
        <v>4.15988130810093</v>
      </c>
      <c r="E437" s="116">
        <v>4.15988130810093</v>
      </c>
      <c r="F437" s="116">
        <v>4.55</v>
      </c>
      <c r="G437">
        <v>5500</v>
      </c>
      <c r="H437" s="116"/>
      <c r="I437" s="116"/>
      <c r="L437" s="170"/>
    </row>
    <row r="438" spans="1:12" x14ac:dyDescent="0.25">
      <c r="A438" s="170">
        <v>43081</v>
      </c>
      <c r="B438" s="116">
        <v>3.9587441899070401</v>
      </c>
      <c r="C438" s="116">
        <v>3.9587441899070401</v>
      </c>
      <c r="D438" s="116">
        <v>3.9587441899070401</v>
      </c>
      <c r="E438" s="116">
        <v>3.9587441899070401</v>
      </c>
      <c r="F438" s="116">
        <v>4.33</v>
      </c>
      <c r="G438">
        <v>5100</v>
      </c>
      <c r="H438" s="116"/>
      <c r="I438" s="116"/>
      <c r="L438" s="170"/>
    </row>
    <row r="439" spans="1:12" x14ac:dyDescent="0.25">
      <c r="A439" s="170">
        <v>43082</v>
      </c>
      <c r="B439" s="116">
        <v>3.7667496679946901</v>
      </c>
      <c r="C439" s="116">
        <v>3.7667496679946901</v>
      </c>
      <c r="D439" s="116">
        <v>3.7667496679946901</v>
      </c>
      <c r="E439" s="116">
        <v>3.7667496679946901</v>
      </c>
      <c r="F439" s="116">
        <v>4.12</v>
      </c>
      <c r="G439">
        <v>2007</v>
      </c>
      <c r="H439" s="116"/>
      <c r="I439" s="116"/>
      <c r="L439" s="170"/>
    </row>
    <row r="440" spans="1:12" x14ac:dyDescent="0.25">
      <c r="A440" s="170">
        <v>43083</v>
      </c>
      <c r="B440" s="116">
        <v>3.58389774236388</v>
      </c>
      <c r="C440" s="116">
        <v>3.58389774236388</v>
      </c>
      <c r="D440" s="116">
        <v>3.58389774236388</v>
      </c>
      <c r="E440" s="116">
        <v>3.58389774236388</v>
      </c>
      <c r="F440" s="116">
        <v>3.92</v>
      </c>
      <c r="G440">
        <v>2100</v>
      </c>
      <c r="H440" s="116"/>
      <c r="I440" s="116"/>
      <c r="L440" s="170"/>
    </row>
    <row r="441" spans="1:12" x14ac:dyDescent="0.25">
      <c r="A441" s="170">
        <v>43087</v>
      </c>
      <c r="B441" s="116">
        <v>3.4101884130146098</v>
      </c>
      <c r="C441" s="116">
        <v>3.4101884130146098</v>
      </c>
      <c r="D441" s="116">
        <v>3.4101884130146098</v>
      </c>
      <c r="E441" s="116">
        <v>3.4101884130146098</v>
      </c>
      <c r="F441" s="116">
        <v>3.73</v>
      </c>
      <c r="G441">
        <v>2000</v>
      </c>
      <c r="H441" s="116"/>
      <c r="I441" s="116"/>
      <c r="L441" s="170"/>
    </row>
    <row r="442" spans="1:12" x14ac:dyDescent="0.25">
      <c r="A442" s="170">
        <v>43088</v>
      </c>
      <c r="B442" s="116">
        <v>3.24562167994688</v>
      </c>
      <c r="C442" s="116">
        <v>3.24562167994688</v>
      </c>
      <c r="D442" s="116">
        <v>3.24562167994688</v>
      </c>
      <c r="E442" s="116">
        <v>3.24562167994688</v>
      </c>
      <c r="F442" s="116">
        <v>3.55</v>
      </c>
      <c r="G442">
        <v>5020</v>
      </c>
      <c r="H442" s="116"/>
      <c r="I442" s="116"/>
      <c r="L442" s="170"/>
    </row>
    <row r="443" spans="1:12" x14ac:dyDescent="0.25">
      <c r="A443" s="170">
        <v>43089</v>
      </c>
      <c r="B443" s="116">
        <v>3.1084827357237699</v>
      </c>
      <c r="C443" s="116">
        <v>3.0901975431606901</v>
      </c>
      <c r="D443" s="116">
        <v>3.0901975431606901</v>
      </c>
      <c r="E443" s="116">
        <v>3.0901975431606901</v>
      </c>
      <c r="F443" s="116">
        <v>3.38</v>
      </c>
      <c r="G443">
        <v>3636</v>
      </c>
      <c r="H443" s="116"/>
      <c r="I443" s="116"/>
      <c r="L443" s="170"/>
    </row>
    <row r="444" spans="1:12" x14ac:dyDescent="0.25">
      <c r="A444" s="170">
        <v>43090</v>
      </c>
      <c r="B444" s="116">
        <v>2.94391600265604</v>
      </c>
      <c r="C444" s="116">
        <v>2.94391600265604</v>
      </c>
      <c r="D444" s="116">
        <v>2.94391600265604</v>
      </c>
      <c r="E444" s="116">
        <v>2.94391600265604</v>
      </c>
      <c r="F444" s="116">
        <v>3.22</v>
      </c>
      <c r="G444">
        <v>3200</v>
      </c>
      <c r="H444" s="116"/>
      <c r="I444" s="116"/>
      <c r="L444" s="170"/>
    </row>
    <row r="445" spans="1:12" x14ac:dyDescent="0.25">
      <c r="A445" s="170">
        <v>43091</v>
      </c>
      <c r="B445" s="116">
        <v>3.0901975431606901</v>
      </c>
      <c r="C445" s="116">
        <v>3.0810549468791502</v>
      </c>
      <c r="D445" s="116">
        <v>2.79763446215139</v>
      </c>
      <c r="E445" s="116">
        <v>2.79763446215139</v>
      </c>
      <c r="F445" s="116">
        <v>3.37</v>
      </c>
      <c r="G445">
        <v>11430</v>
      </c>
      <c r="H445" s="116"/>
      <c r="I445" s="116"/>
      <c r="L445" s="170"/>
    </row>
    <row r="446" spans="1:12" x14ac:dyDescent="0.25">
      <c r="A446" s="170">
        <v>43095</v>
      </c>
      <c r="B446" s="116">
        <v>3.0810549468791502</v>
      </c>
      <c r="C446" s="116">
        <v>3.0810549468791502</v>
      </c>
      <c r="D446" s="116">
        <v>3.0810549468791502</v>
      </c>
      <c r="E446" s="116">
        <v>3.0810549468791502</v>
      </c>
      <c r="F446" s="116">
        <v>3.37</v>
      </c>
      <c r="G446">
        <v>2550</v>
      </c>
      <c r="H446" s="116"/>
      <c r="I446" s="116"/>
      <c r="L446" s="170"/>
    </row>
    <row r="447" spans="1:12" x14ac:dyDescent="0.25">
      <c r="A447" s="170">
        <v>43096</v>
      </c>
      <c r="B447" s="116">
        <v>3.2273364873838002</v>
      </c>
      <c r="C447" s="116">
        <v>2.9347734063745001</v>
      </c>
      <c r="D447" s="116">
        <v>2.9347734063745001</v>
      </c>
      <c r="E447" s="116">
        <v>2.9347734063745001</v>
      </c>
      <c r="F447" s="116">
        <v>3.21</v>
      </c>
      <c r="G447">
        <v>80460</v>
      </c>
      <c r="H447" s="116"/>
      <c r="I447" s="116"/>
      <c r="L447" s="170"/>
    </row>
    <row r="448" spans="1:12" x14ac:dyDescent="0.25">
      <c r="A448" s="170">
        <v>43097</v>
      </c>
      <c r="B448" s="116">
        <v>2.7884918658698501</v>
      </c>
      <c r="C448" s="116">
        <v>2.7884918658698501</v>
      </c>
      <c r="D448" s="116">
        <v>2.7884918658698501</v>
      </c>
      <c r="E448" s="116">
        <v>2.7884918658698501</v>
      </c>
      <c r="F448" s="116">
        <v>3.05</v>
      </c>
      <c r="G448">
        <v>24890</v>
      </c>
      <c r="H448" s="116"/>
      <c r="I448" s="116"/>
      <c r="L448" s="170"/>
    </row>
    <row r="449" spans="1:12" x14ac:dyDescent="0.25">
      <c r="A449" s="170">
        <v>43098</v>
      </c>
      <c r="B449" s="116">
        <v>2.6513529216467502</v>
      </c>
      <c r="C449" s="116">
        <v>2.6513529216467502</v>
      </c>
      <c r="D449" s="116">
        <v>2.6513529216467502</v>
      </c>
      <c r="E449" s="116">
        <v>2.6513529216467502</v>
      </c>
      <c r="F449" s="116">
        <v>2.9</v>
      </c>
      <c r="G449">
        <v>8100</v>
      </c>
      <c r="H449" s="116"/>
      <c r="I449" s="116"/>
      <c r="L449" s="170"/>
    </row>
    <row r="450" spans="1:12" x14ac:dyDescent="0.25">
      <c r="A450" s="170">
        <v>43101</v>
      </c>
      <c r="B450" s="116">
        <v>2.52335657370518</v>
      </c>
      <c r="C450" s="116">
        <v>2.52335657370518</v>
      </c>
      <c r="D450" s="116">
        <v>2.52335657370518</v>
      </c>
      <c r="E450" s="116">
        <v>2.52335657370518</v>
      </c>
      <c r="F450" s="116">
        <v>2.76</v>
      </c>
      <c r="G450">
        <v>12266</v>
      </c>
      <c r="H450" s="116"/>
      <c r="I450" s="116"/>
      <c r="L450" s="170"/>
    </row>
    <row r="451" spans="1:12" x14ac:dyDescent="0.25">
      <c r="A451" s="170">
        <v>43102</v>
      </c>
      <c r="B451" s="116">
        <v>2.4045028220451501</v>
      </c>
      <c r="C451" s="116">
        <v>2.4045028220451501</v>
      </c>
      <c r="D451" s="116">
        <v>2.4045028220451501</v>
      </c>
      <c r="E451" s="116">
        <v>2.4045028220451501</v>
      </c>
      <c r="F451" s="116">
        <v>2.63</v>
      </c>
      <c r="G451">
        <v>10144</v>
      </c>
      <c r="H451" s="116"/>
      <c r="I451" s="116"/>
      <c r="L451" s="170"/>
    </row>
    <row r="452" spans="1:12" x14ac:dyDescent="0.25">
      <c r="A452" s="170">
        <v>43103</v>
      </c>
      <c r="B452" s="116">
        <v>2.28564907038513</v>
      </c>
      <c r="C452" s="116">
        <v>2.28564907038513</v>
      </c>
      <c r="D452" s="116">
        <v>2.28564907038513</v>
      </c>
      <c r="E452" s="116">
        <v>2.28564907038513</v>
      </c>
      <c r="F452" s="116">
        <v>2.5</v>
      </c>
      <c r="G452">
        <v>4700</v>
      </c>
      <c r="H452" s="116"/>
      <c r="I452" s="116"/>
      <c r="L452" s="170"/>
    </row>
    <row r="453" spans="1:12" x14ac:dyDescent="0.25">
      <c r="A453" s="170">
        <v>43104</v>
      </c>
      <c r="B453" s="116">
        <v>2.17593791500664</v>
      </c>
      <c r="C453" s="116">
        <v>2.17593791500664</v>
      </c>
      <c r="D453" s="116">
        <v>2.17593791500664</v>
      </c>
      <c r="E453" s="116">
        <v>2.17593791500664</v>
      </c>
      <c r="F453" s="116">
        <v>2.38</v>
      </c>
      <c r="G453">
        <v>20101</v>
      </c>
      <c r="H453" s="116"/>
      <c r="I453" s="116"/>
      <c r="L453" s="170"/>
    </row>
    <row r="454" spans="1:12" x14ac:dyDescent="0.25">
      <c r="A454" s="170">
        <v>43105</v>
      </c>
      <c r="B454" s="116">
        <v>2.07536935590969</v>
      </c>
      <c r="C454" s="116">
        <v>2.07536935590969</v>
      </c>
      <c r="D454" s="116">
        <v>2.07536935590969</v>
      </c>
      <c r="E454" s="116">
        <v>2.07536935590969</v>
      </c>
      <c r="F454" s="116">
        <v>2.27</v>
      </c>
      <c r="G454">
        <v>15130</v>
      </c>
      <c r="H454" s="116"/>
      <c r="I454" s="116"/>
      <c r="L454" s="170"/>
    </row>
    <row r="455" spans="1:12" x14ac:dyDescent="0.25">
      <c r="A455" s="170">
        <v>43108</v>
      </c>
      <c r="B455" s="116">
        <v>1.9748007968127499</v>
      </c>
      <c r="C455" s="116">
        <v>1.9748007968127499</v>
      </c>
      <c r="D455" s="116">
        <v>1.9748007968127499</v>
      </c>
      <c r="E455" s="116">
        <v>1.9748007968127499</v>
      </c>
      <c r="F455" s="116">
        <v>2.16</v>
      </c>
      <c r="G455">
        <v>47501</v>
      </c>
      <c r="H455" s="116"/>
      <c r="I455" s="116"/>
      <c r="L455" s="170"/>
    </row>
    <row r="456" spans="1:12" x14ac:dyDescent="0.25">
      <c r="A456" s="170">
        <v>43109</v>
      </c>
      <c r="B456" s="116">
        <v>1.93823041168659</v>
      </c>
      <c r="C456" s="116">
        <v>1.93823041168659</v>
      </c>
      <c r="D456" s="116">
        <v>1.93823041168659</v>
      </c>
      <c r="E456" s="116">
        <v>1.93823041168659</v>
      </c>
      <c r="F456" s="116">
        <v>2.12</v>
      </c>
      <c r="G456">
        <v>13096</v>
      </c>
      <c r="H456" s="116"/>
      <c r="I456" s="116"/>
      <c r="L456" s="170"/>
    </row>
    <row r="457" spans="1:12" x14ac:dyDescent="0.25">
      <c r="A457" s="170">
        <v>43110</v>
      </c>
      <c r="B457" s="116">
        <v>1.93823041168659</v>
      </c>
      <c r="C457" s="116">
        <v>1.93823041168659</v>
      </c>
      <c r="D457" s="116">
        <v>1.93823041168659</v>
      </c>
      <c r="E457" s="116">
        <v>1.93823041168659</v>
      </c>
      <c r="F457" s="116">
        <v>2.12</v>
      </c>
      <c r="G457">
        <v>11454</v>
      </c>
      <c r="H457" s="116"/>
      <c r="I457" s="116"/>
      <c r="L457" s="170"/>
    </row>
    <row r="458" spans="1:12" x14ac:dyDescent="0.25">
      <c r="A458" s="170">
        <v>43111</v>
      </c>
      <c r="B458" s="116">
        <v>1.9748007968127499</v>
      </c>
      <c r="C458" s="116">
        <v>1.93823041168659</v>
      </c>
      <c r="D458" s="116">
        <v>1.93823041168659</v>
      </c>
      <c r="E458" s="116">
        <v>1.9748007968127499</v>
      </c>
      <c r="F458" s="116">
        <v>2.12</v>
      </c>
      <c r="G458">
        <v>56100</v>
      </c>
      <c r="H458" s="116"/>
      <c r="I458" s="116"/>
      <c r="L458" s="170"/>
    </row>
    <row r="459" spans="1:12" x14ac:dyDescent="0.25">
      <c r="A459" s="170">
        <v>43112</v>
      </c>
      <c r="B459" s="116">
        <v>1.93823041168659</v>
      </c>
      <c r="C459" s="116">
        <v>1.93823041168659</v>
      </c>
      <c r="D459" s="116">
        <v>1.93823041168659</v>
      </c>
      <c r="E459" s="116">
        <v>1.93823041168659</v>
      </c>
      <c r="F459" s="116">
        <v>2.12</v>
      </c>
      <c r="G459">
        <v>36360</v>
      </c>
      <c r="H459" s="116"/>
      <c r="I459" s="116"/>
      <c r="L459" s="170"/>
    </row>
    <row r="460" spans="1:12" x14ac:dyDescent="0.25">
      <c r="A460" s="170">
        <v>43115</v>
      </c>
      <c r="B460" s="116">
        <v>1.93823041168659</v>
      </c>
      <c r="C460" s="116">
        <v>1.93823041168659</v>
      </c>
      <c r="D460" s="116">
        <v>1.93823041168659</v>
      </c>
      <c r="E460" s="116">
        <v>1.93823041168659</v>
      </c>
      <c r="F460" s="116">
        <v>2.12</v>
      </c>
      <c r="G460">
        <v>5210</v>
      </c>
      <c r="H460" s="116"/>
      <c r="I460" s="116"/>
      <c r="L460" s="170"/>
    </row>
    <row r="461" spans="1:12" x14ac:dyDescent="0.25">
      <c r="A461" s="170">
        <v>43116</v>
      </c>
      <c r="B461" s="116">
        <v>1.93823041168659</v>
      </c>
      <c r="C461" s="116">
        <v>1.93823041168659</v>
      </c>
      <c r="D461" s="116">
        <v>1.93823041168659</v>
      </c>
      <c r="E461" s="116">
        <v>1.93823041168659</v>
      </c>
      <c r="F461" s="116">
        <v>2.12</v>
      </c>
      <c r="G461">
        <v>15</v>
      </c>
      <c r="H461" s="116"/>
      <c r="I461" s="116"/>
      <c r="L461" s="170"/>
    </row>
    <row r="462" spans="1:12" x14ac:dyDescent="0.25">
      <c r="A462" s="170">
        <v>43122</v>
      </c>
      <c r="B462" s="116">
        <v>1.93823041168659</v>
      </c>
      <c r="C462" s="116">
        <v>1.93823041168659</v>
      </c>
      <c r="D462" s="116">
        <v>1.93823041168659</v>
      </c>
      <c r="E462" s="116">
        <v>1.93823041168659</v>
      </c>
      <c r="F462" s="116">
        <v>2.12</v>
      </c>
      <c r="G462">
        <v>100</v>
      </c>
      <c r="H462" s="116"/>
      <c r="I462" s="116"/>
      <c r="L462" s="170"/>
    </row>
    <row r="463" spans="1:12" x14ac:dyDescent="0.25">
      <c r="A463" s="170">
        <v>43124</v>
      </c>
      <c r="B463" s="116">
        <v>1.93823041168659</v>
      </c>
      <c r="C463" s="116">
        <v>1.93823041168659</v>
      </c>
      <c r="D463" s="116">
        <v>1.93823041168659</v>
      </c>
      <c r="E463" s="116">
        <v>1.93823041168659</v>
      </c>
      <c r="F463" s="116">
        <v>2.12</v>
      </c>
      <c r="G463">
        <v>2</v>
      </c>
      <c r="H463" s="116"/>
      <c r="I463" s="116"/>
      <c r="L463" s="170"/>
    </row>
    <row r="464" spans="1:12" x14ac:dyDescent="0.25">
      <c r="A464" s="170">
        <v>43140</v>
      </c>
      <c r="B464" s="116">
        <v>1.8468044488711799</v>
      </c>
      <c r="C464" s="116">
        <v>1.8468044488711799</v>
      </c>
      <c r="D464" s="116">
        <v>1.8468044488711799</v>
      </c>
      <c r="E464" s="116">
        <v>1.8468044488711799</v>
      </c>
      <c r="F464" s="116">
        <v>2.02</v>
      </c>
      <c r="G464">
        <v>1000</v>
      </c>
      <c r="H464" s="116"/>
      <c r="I464" s="116"/>
      <c r="L464" s="170"/>
    </row>
    <row r="465" spans="1:12" x14ac:dyDescent="0.25">
      <c r="A465" s="170">
        <v>43143</v>
      </c>
      <c r="B465" s="116">
        <v>1.8468044488711799</v>
      </c>
      <c r="C465" s="116">
        <v>1.75537848605578</v>
      </c>
      <c r="D465" s="116">
        <v>1.75537848605578</v>
      </c>
      <c r="E465" s="116">
        <v>1.75537848605578</v>
      </c>
      <c r="F465" s="116">
        <v>1.92</v>
      </c>
      <c r="G465">
        <v>11300</v>
      </c>
      <c r="H465" s="116"/>
      <c r="I465" s="116"/>
      <c r="L465" s="170"/>
    </row>
    <row r="466" spans="1:12" x14ac:dyDescent="0.25">
      <c r="A466" s="170">
        <v>43145</v>
      </c>
      <c r="B466" s="116">
        <v>1.75537848605578</v>
      </c>
      <c r="C466" s="116">
        <v>1.6730951195219099</v>
      </c>
      <c r="D466" s="116">
        <v>1.6730951195219099</v>
      </c>
      <c r="E466" s="116">
        <v>1.75537848605578</v>
      </c>
      <c r="F466" s="116">
        <v>1.83</v>
      </c>
      <c r="G466">
        <v>1384</v>
      </c>
      <c r="H466" s="116"/>
      <c r="I466" s="116"/>
      <c r="L466" s="170"/>
    </row>
    <row r="467" spans="1:12" x14ac:dyDescent="0.25">
      <c r="A467" s="170">
        <v>43146</v>
      </c>
      <c r="B467" s="116">
        <v>1.6730951195219099</v>
      </c>
      <c r="C467" s="116">
        <v>1.5908117529880501</v>
      </c>
      <c r="D467" s="116">
        <v>1.5908117529880501</v>
      </c>
      <c r="E467" s="116">
        <v>1.6730951195219099</v>
      </c>
      <c r="F467" s="116">
        <v>1.74</v>
      </c>
      <c r="G467">
        <v>5661</v>
      </c>
      <c r="H467" s="116"/>
      <c r="I467" s="116"/>
      <c r="L467" s="170"/>
    </row>
    <row r="468" spans="1:12" x14ac:dyDescent="0.25">
      <c r="A468" s="170">
        <v>43147</v>
      </c>
      <c r="B468" s="116">
        <v>1.66395252324037</v>
      </c>
      <c r="C468" s="116">
        <v>1.51767098273572</v>
      </c>
      <c r="D468" s="116">
        <v>1.51767098273572</v>
      </c>
      <c r="E468" s="116">
        <v>1.5908117529880501</v>
      </c>
      <c r="F468" s="116">
        <v>1.66</v>
      </c>
      <c r="G468">
        <v>8852</v>
      </c>
      <c r="H468" s="116"/>
      <c r="I468" s="116"/>
      <c r="L468" s="170"/>
    </row>
    <row r="469" spans="1:12" x14ac:dyDescent="0.25">
      <c r="A469" s="170">
        <v>43150</v>
      </c>
      <c r="B469" s="116">
        <v>1.5908117529880501</v>
      </c>
      <c r="C469" s="116">
        <v>1.5908117529880501</v>
      </c>
      <c r="D469" s="116">
        <v>1.5908117529880501</v>
      </c>
      <c r="E469" s="116">
        <v>1.5908117529880501</v>
      </c>
      <c r="F469" s="116">
        <v>1.74</v>
      </c>
      <c r="G469">
        <v>769</v>
      </c>
      <c r="H469" s="116"/>
      <c r="I469" s="116"/>
      <c r="L469" s="170"/>
    </row>
    <row r="470" spans="1:12" x14ac:dyDescent="0.25">
      <c r="A470" s="170">
        <v>43151</v>
      </c>
      <c r="B470" s="116">
        <v>1.5908117529880501</v>
      </c>
      <c r="C470" s="116">
        <v>1.51767098273572</v>
      </c>
      <c r="D470" s="116">
        <v>1.51767098273572</v>
      </c>
      <c r="E470" s="116">
        <v>1.5908117529880501</v>
      </c>
      <c r="F470" s="116">
        <v>1.66</v>
      </c>
      <c r="G470">
        <v>4457</v>
      </c>
      <c r="H470" s="116"/>
      <c r="I470" s="116"/>
      <c r="L470" s="170"/>
    </row>
    <row r="471" spans="1:12" x14ac:dyDescent="0.25">
      <c r="A471" s="170">
        <v>43152</v>
      </c>
      <c r="B471" s="116">
        <v>1.45367280876494</v>
      </c>
      <c r="C471" s="116">
        <v>1.4445302124834001</v>
      </c>
      <c r="D471" s="116">
        <v>1.4445302124834001</v>
      </c>
      <c r="E471" s="116">
        <v>1.45367280876494</v>
      </c>
      <c r="F471" s="116">
        <v>1.58</v>
      </c>
      <c r="G471">
        <v>2001</v>
      </c>
      <c r="H471" s="116"/>
      <c r="I471" s="116"/>
      <c r="L471" s="170"/>
    </row>
    <row r="472" spans="1:12" x14ac:dyDescent="0.25">
      <c r="A472" s="170">
        <v>43153</v>
      </c>
      <c r="B472" s="116">
        <v>1.4445302124834001</v>
      </c>
      <c r="C472" s="116">
        <v>1.3805320385126201</v>
      </c>
      <c r="D472" s="116">
        <v>1.3805320385126201</v>
      </c>
      <c r="E472" s="116">
        <v>1.4445302124834001</v>
      </c>
      <c r="F472" s="116">
        <v>1.51</v>
      </c>
      <c r="G472">
        <v>11197</v>
      </c>
      <c r="H472" s="116"/>
      <c r="I472" s="116"/>
      <c r="L472" s="170"/>
    </row>
    <row r="473" spans="1:12" x14ac:dyDescent="0.25">
      <c r="A473" s="170">
        <v>43154</v>
      </c>
      <c r="B473" s="116">
        <v>1.36224684594954</v>
      </c>
      <c r="C473" s="116">
        <v>1.36224684594954</v>
      </c>
      <c r="D473" s="116">
        <v>1.36224684594954</v>
      </c>
      <c r="E473" s="116">
        <v>1.36224684594954</v>
      </c>
      <c r="F473" s="116">
        <v>1.49</v>
      </c>
      <c r="G473">
        <v>10310</v>
      </c>
      <c r="H473" s="116"/>
      <c r="I473" s="116"/>
      <c r="L473" s="170"/>
    </row>
    <row r="474" spans="1:12" x14ac:dyDescent="0.25">
      <c r="A474" s="170">
        <v>43157</v>
      </c>
      <c r="B474" s="116">
        <v>1.36224684594954</v>
      </c>
      <c r="C474" s="116">
        <v>1.36224684594954</v>
      </c>
      <c r="D474" s="116">
        <v>1.36224684594954</v>
      </c>
      <c r="E474" s="116">
        <v>1.36224684594954</v>
      </c>
      <c r="F474" s="116">
        <v>1.49</v>
      </c>
      <c r="G474">
        <v>301</v>
      </c>
      <c r="H474" s="116"/>
      <c r="I474" s="116"/>
      <c r="L474" s="170"/>
    </row>
    <row r="475" spans="1:12" x14ac:dyDescent="0.25">
      <c r="A475" s="170">
        <v>43165</v>
      </c>
      <c r="B475" s="116">
        <v>1.42624501992032</v>
      </c>
      <c r="C475" s="116">
        <v>1.42624501992032</v>
      </c>
      <c r="D475" s="116">
        <v>1.42624501992032</v>
      </c>
      <c r="E475" s="116">
        <v>1.42624501992032</v>
      </c>
      <c r="F475" s="116">
        <v>1.56</v>
      </c>
      <c r="G475">
        <v>4275</v>
      </c>
      <c r="H475" s="116"/>
      <c r="I475" s="116"/>
      <c r="L475" s="170"/>
    </row>
    <row r="476" spans="1:12" x14ac:dyDescent="0.25">
      <c r="A476" s="170">
        <v>43167</v>
      </c>
      <c r="B476" s="116">
        <v>1.4902431938911</v>
      </c>
      <c r="C476" s="116">
        <v>1.4902431938911</v>
      </c>
      <c r="D476" s="116">
        <v>1.4902431938911</v>
      </c>
      <c r="E476" s="116">
        <v>1.4902431938911</v>
      </c>
      <c r="F476" s="116">
        <v>1.63</v>
      </c>
      <c r="G476">
        <v>11632</v>
      </c>
      <c r="H476" s="116"/>
      <c r="I476" s="116"/>
      <c r="L476" s="170"/>
    </row>
    <row r="477" spans="1:12" x14ac:dyDescent="0.25">
      <c r="A477" s="170">
        <v>43168</v>
      </c>
      <c r="B477" s="116">
        <v>1.4811005976095599</v>
      </c>
      <c r="C477" s="116">
        <v>1.4811005976095599</v>
      </c>
      <c r="D477" s="116">
        <v>1.4811005976095599</v>
      </c>
      <c r="E477" s="116">
        <v>1.4811005976095599</v>
      </c>
      <c r="F477" s="116">
        <v>1.62</v>
      </c>
      <c r="G477">
        <v>550</v>
      </c>
      <c r="H477" s="116"/>
      <c r="I477" s="116"/>
      <c r="L477" s="170"/>
    </row>
    <row r="478" spans="1:12" x14ac:dyDescent="0.25">
      <c r="A478" s="170">
        <v>43171</v>
      </c>
      <c r="B478" s="116">
        <v>1.4628154050464801</v>
      </c>
      <c r="C478" s="116">
        <v>1.4628154050464801</v>
      </c>
      <c r="D478" s="116">
        <v>1.4628154050464801</v>
      </c>
      <c r="E478" s="116">
        <v>1.4628154050464801</v>
      </c>
      <c r="F478" s="116">
        <v>1.6</v>
      </c>
      <c r="G478">
        <v>550</v>
      </c>
      <c r="H478" s="116"/>
      <c r="I478" s="116"/>
      <c r="L478" s="170"/>
    </row>
    <row r="479" spans="1:12" x14ac:dyDescent="0.25">
      <c r="A479" s="170">
        <v>43172</v>
      </c>
      <c r="B479" s="116">
        <v>1.5359561752988</v>
      </c>
      <c r="C479" s="116">
        <v>1.5359561752988</v>
      </c>
      <c r="D479" s="116">
        <v>1.38967463479416</v>
      </c>
      <c r="E479" s="116">
        <v>1.5359561752988</v>
      </c>
      <c r="F479" s="116">
        <v>1.68</v>
      </c>
      <c r="G479">
        <v>6210</v>
      </c>
      <c r="H479" s="116"/>
      <c r="I479" s="116"/>
      <c r="L479" s="170"/>
    </row>
    <row r="480" spans="1:12" x14ac:dyDescent="0.25">
      <c r="A480" s="170">
        <v>43173</v>
      </c>
      <c r="B480" s="116">
        <v>1.4628154050464801</v>
      </c>
      <c r="C480" s="116">
        <v>1.4628154050464801</v>
      </c>
      <c r="D480" s="116">
        <v>1.4628154050464801</v>
      </c>
      <c r="E480" s="116">
        <v>1.4628154050464801</v>
      </c>
      <c r="F480" s="116">
        <v>1.6</v>
      </c>
      <c r="G480">
        <v>11250</v>
      </c>
      <c r="H480" s="116"/>
      <c r="I480" s="116"/>
      <c r="L480" s="170"/>
    </row>
    <row r="481" spans="1:12" x14ac:dyDescent="0.25">
      <c r="A481" s="170">
        <v>43174</v>
      </c>
      <c r="B481" s="116">
        <v>1.38967463479416</v>
      </c>
      <c r="C481" s="116">
        <v>1.38967463479416</v>
      </c>
      <c r="D481" s="116">
        <v>1.38967463479416</v>
      </c>
      <c r="E481" s="116">
        <v>1.38967463479416</v>
      </c>
      <c r="F481" s="116">
        <v>1.52</v>
      </c>
      <c r="G481">
        <v>4435</v>
      </c>
      <c r="H481" s="116"/>
      <c r="I481" s="116"/>
      <c r="L481" s="170"/>
    </row>
    <row r="482" spans="1:12" x14ac:dyDescent="0.25">
      <c r="A482" s="170">
        <v>43175</v>
      </c>
      <c r="B482" s="116">
        <v>1.32567646082337</v>
      </c>
      <c r="C482" s="116">
        <v>1.32567646082337</v>
      </c>
      <c r="D482" s="116">
        <v>1.32567646082337</v>
      </c>
      <c r="E482" s="116">
        <v>1.32567646082337</v>
      </c>
      <c r="F482" s="116">
        <v>1.45</v>
      </c>
      <c r="G482">
        <v>6308</v>
      </c>
      <c r="H482" s="116"/>
      <c r="I482" s="116"/>
      <c r="L482" s="170"/>
    </row>
    <row r="483" spans="1:12" x14ac:dyDescent="0.25">
      <c r="A483" s="170">
        <v>43180</v>
      </c>
      <c r="B483" s="116">
        <v>1.38967463479416</v>
      </c>
      <c r="C483" s="116">
        <v>1.38967463479416</v>
      </c>
      <c r="D483" s="116">
        <v>1.26167828685259</v>
      </c>
      <c r="E483" s="116">
        <v>1.32567646082337</v>
      </c>
      <c r="F483" s="116">
        <v>1.52</v>
      </c>
      <c r="G483">
        <v>8512</v>
      </c>
      <c r="H483" s="116"/>
      <c r="I483" s="116"/>
      <c r="L483" s="170"/>
    </row>
    <row r="484" spans="1:12" x14ac:dyDescent="0.25">
      <c r="A484" s="170">
        <v>43181</v>
      </c>
      <c r="B484" s="116">
        <v>1.32567646082337</v>
      </c>
      <c r="C484" s="116">
        <v>1.32567646082337</v>
      </c>
      <c r="D484" s="116">
        <v>1.32567646082337</v>
      </c>
      <c r="E484" s="116">
        <v>1.32567646082337</v>
      </c>
      <c r="F484" s="116">
        <v>1.45</v>
      </c>
      <c r="G484">
        <v>2500</v>
      </c>
      <c r="H484" s="116"/>
      <c r="I484" s="116"/>
      <c r="L484" s="170"/>
    </row>
    <row r="485" spans="1:12" x14ac:dyDescent="0.25">
      <c r="A485" s="170">
        <v>43185</v>
      </c>
      <c r="B485" s="116">
        <v>1.26167828685259</v>
      </c>
      <c r="C485" s="116">
        <v>1.26167828685259</v>
      </c>
      <c r="D485" s="116">
        <v>1.26167828685259</v>
      </c>
      <c r="E485" s="116">
        <v>1.26167828685259</v>
      </c>
      <c r="F485" s="116">
        <v>1.38</v>
      </c>
      <c r="G485">
        <v>11500</v>
      </c>
      <c r="H485" s="116"/>
      <c r="I485" s="116"/>
      <c r="L485" s="170"/>
    </row>
    <row r="486" spans="1:12" x14ac:dyDescent="0.25">
      <c r="A486" s="170">
        <v>43186</v>
      </c>
      <c r="B486" s="116">
        <v>1.26167828685259</v>
      </c>
      <c r="C486" s="116">
        <v>1.2525356905710501</v>
      </c>
      <c r="D486" s="116">
        <v>1.2525356905710501</v>
      </c>
      <c r="E486" s="116">
        <v>1.26167828685259</v>
      </c>
      <c r="F486" s="116">
        <v>1.37</v>
      </c>
      <c r="G486">
        <v>1100</v>
      </c>
      <c r="H486" s="116"/>
      <c r="I486" s="116"/>
      <c r="L486" s="170"/>
    </row>
    <row r="487" spans="1:12" x14ac:dyDescent="0.25">
      <c r="A487" s="170">
        <v>43194</v>
      </c>
      <c r="B487" s="116">
        <v>1.19768011288181</v>
      </c>
      <c r="C487" s="116">
        <v>1.19768011288181</v>
      </c>
      <c r="D487" s="116">
        <v>1.19768011288181</v>
      </c>
      <c r="E487" s="116">
        <v>1.19768011288181</v>
      </c>
      <c r="F487" s="116">
        <v>1.31</v>
      </c>
      <c r="G487">
        <v>5000</v>
      </c>
      <c r="H487" s="116"/>
      <c r="I487" s="116"/>
      <c r="L487" s="170"/>
    </row>
    <row r="488" spans="1:12" x14ac:dyDescent="0.25">
      <c r="A488" s="170">
        <v>43195</v>
      </c>
      <c r="B488" s="116">
        <v>1.1885375166002701</v>
      </c>
      <c r="C488" s="116">
        <v>1.1428245351925601</v>
      </c>
      <c r="D488" s="116">
        <v>1.1428245351925601</v>
      </c>
      <c r="E488" s="116">
        <v>1.1428245351925601</v>
      </c>
      <c r="F488" s="116">
        <v>1.25</v>
      </c>
      <c r="G488">
        <v>11250</v>
      </c>
      <c r="H488" s="116"/>
      <c r="I488" s="116"/>
      <c r="L488" s="170"/>
    </row>
    <row r="489" spans="1:12" x14ac:dyDescent="0.25">
      <c r="A489" s="170">
        <v>43196</v>
      </c>
      <c r="B489" s="116">
        <v>1.1428245351925601</v>
      </c>
      <c r="C489" s="116">
        <v>1.0971115537848599</v>
      </c>
      <c r="D489" s="116">
        <v>1.08796895750332</v>
      </c>
      <c r="E489" s="116">
        <v>1.1428245351925601</v>
      </c>
      <c r="F489" s="116">
        <v>1.2</v>
      </c>
      <c r="G489">
        <v>4520</v>
      </c>
      <c r="H489" s="116"/>
      <c r="I489" s="116"/>
      <c r="L489" s="170"/>
    </row>
    <row r="490" spans="1:12" x14ac:dyDescent="0.25">
      <c r="A490" s="170">
        <v>43199</v>
      </c>
      <c r="B490" s="116">
        <v>1.1428245351925601</v>
      </c>
      <c r="C490" s="116">
        <v>1.04225597609562</v>
      </c>
      <c r="D490" s="116">
        <v>1.04225597609562</v>
      </c>
      <c r="E490" s="116">
        <v>1.1428245351925601</v>
      </c>
      <c r="F490" s="116">
        <v>1.1399999999999999</v>
      </c>
      <c r="G490">
        <v>8152</v>
      </c>
      <c r="H490" s="116"/>
      <c r="I490" s="116"/>
      <c r="L490" s="170"/>
    </row>
    <row r="491" spans="1:12" x14ac:dyDescent="0.25">
      <c r="A491" s="170">
        <v>43200</v>
      </c>
      <c r="B491" s="116">
        <v>1.08796895750332</v>
      </c>
      <c r="C491" s="116">
        <v>1.04225597609562</v>
      </c>
      <c r="D491" s="116">
        <v>1.04225597609562</v>
      </c>
      <c r="E491" s="116">
        <v>1.08796895750332</v>
      </c>
      <c r="F491" s="116">
        <v>1.1399999999999999</v>
      </c>
      <c r="G491">
        <v>5899</v>
      </c>
      <c r="H491" s="116"/>
      <c r="I491" s="116"/>
      <c r="L491" s="170"/>
    </row>
    <row r="492" spans="1:12" x14ac:dyDescent="0.25">
      <c r="A492" s="170">
        <v>43201</v>
      </c>
      <c r="B492" s="116">
        <v>1.08796895750332</v>
      </c>
      <c r="C492" s="116">
        <v>1.08796895750332</v>
      </c>
      <c r="D492" s="116">
        <v>0.99654299468791496</v>
      </c>
      <c r="E492" s="116">
        <v>0.99654299468791496</v>
      </c>
      <c r="F492" s="116">
        <v>1.19</v>
      </c>
      <c r="G492">
        <v>37854</v>
      </c>
      <c r="H492" s="116"/>
      <c r="I492" s="116"/>
      <c r="L492" s="170"/>
    </row>
    <row r="493" spans="1:12" x14ac:dyDescent="0.25">
      <c r="A493" s="170">
        <v>43202</v>
      </c>
      <c r="B493" s="116">
        <v>1.13368193891102</v>
      </c>
      <c r="C493" s="116">
        <v>1.13368193891102</v>
      </c>
      <c r="D493" s="116">
        <v>1.08796895750332</v>
      </c>
      <c r="E493" s="116">
        <v>1.13368193891102</v>
      </c>
      <c r="F493" s="116">
        <v>1.24</v>
      </c>
      <c r="G493">
        <v>8909</v>
      </c>
      <c r="H493" s="116"/>
      <c r="I493" s="116"/>
      <c r="L493" s="170"/>
    </row>
    <row r="494" spans="1:12" x14ac:dyDescent="0.25">
      <c r="A494" s="170">
        <v>43203</v>
      </c>
      <c r="B494" s="116">
        <v>1.1885375166002701</v>
      </c>
      <c r="C494" s="116">
        <v>1.1885375166002701</v>
      </c>
      <c r="D494" s="116">
        <v>1.0788263612217801</v>
      </c>
      <c r="E494" s="116">
        <v>1.1885375166002701</v>
      </c>
      <c r="F494" s="116">
        <v>1.3</v>
      </c>
      <c r="G494">
        <v>14055</v>
      </c>
      <c r="H494" s="116"/>
      <c r="I494" s="116"/>
      <c r="L494" s="170"/>
    </row>
    <row r="495" spans="1:12" x14ac:dyDescent="0.25">
      <c r="A495" s="170">
        <v>43206</v>
      </c>
      <c r="B495" s="116">
        <v>1.2433930942895099</v>
      </c>
      <c r="C495" s="116">
        <v>1.1885375166002701</v>
      </c>
      <c r="D495" s="116">
        <v>1.1885375166002701</v>
      </c>
      <c r="E495" s="116">
        <v>1.2433930942895099</v>
      </c>
      <c r="F495" s="116">
        <v>1.3</v>
      </c>
      <c r="G495">
        <v>5320</v>
      </c>
      <c r="H495" s="116"/>
      <c r="I495" s="116"/>
      <c r="L495" s="170"/>
    </row>
    <row r="496" spans="1:12" x14ac:dyDescent="0.25">
      <c r="A496" s="170">
        <v>43207</v>
      </c>
      <c r="B496" s="116">
        <v>1.23425049800797</v>
      </c>
      <c r="C496" s="116">
        <v>1.23425049800797</v>
      </c>
      <c r="D496" s="116">
        <v>1.13368193891102</v>
      </c>
      <c r="E496" s="116">
        <v>1.1428245351925601</v>
      </c>
      <c r="F496" s="116">
        <v>1.35</v>
      </c>
      <c r="G496">
        <v>35390</v>
      </c>
      <c r="H496" s="116"/>
      <c r="I496" s="116"/>
      <c r="L496" s="170"/>
    </row>
    <row r="497" spans="1:12" x14ac:dyDescent="0.25">
      <c r="A497" s="170">
        <v>43208</v>
      </c>
      <c r="B497" s="116">
        <v>1.23425049800797</v>
      </c>
      <c r="C497" s="116">
        <v>1.23425049800797</v>
      </c>
      <c r="D497" s="116">
        <v>1.23425049800797</v>
      </c>
      <c r="E497" s="116">
        <v>1.23425049800797</v>
      </c>
      <c r="F497" s="116">
        <v>1.35</v>
      </c>
      <c r="G497">
        <v>5400</v>
      </c>
      <c r="H497" s="116"/>
      <c r="I497" s="116"/>
      <c r="L497" s="170"/>
    </row>
    <row r="498" spans="1:12" x14ac:dyDescent="0.25">
      <c r="A498" s="170">
        <v>43209</v>
      </c>
      <c r="B498" s="116">
        <v>1.27996347941567</v>
      </c>
      <c r="C498" s="116">
        <v>1.23425049800797</v>
      </c>
      <c r="D498" s="116">
        <v>1.1793949203187299</v>
      </c>
      <c r="E498" s="116">
        <v>1.23425049800797</v>
      </c>
      <c r="F498" s="116">
        <v>1.35</v>
      </c>
      <c r="G498">
        <v>12460</v>
      </c>
      <c r="H498" s="116"/>
      <c r="I498" s="116"/>
      <c r="L498" s="170"/>
    </row>
    <row r="499" spans="1:12" x14ac:dyDescent="0.25">
      <c r="A499" s="170">
        <v>43210</v>
      </c>
      <c r="B499" s="116">
        <v>1.23425049800797</v>
      </c>
      <c r="C499" s="116">
        <v>1.23425049800797</v>
      </c>
      <c r="D499" s="116">
        <v>1.23425049800797</v>
      </c>
      <c r="E499" s="116">
        <v>1.23425049800797</v>
      </c>
      <c r="F499" s="116">
        <v>1.35</v>
      </c>
      <c r="G499">
        <v>207</v>
      </c>
      <c r="H499" s="116"/>
      <c r="I499" s="116"/>
      <c r="L499" s="170"/>
    </row>
    <row r="500" spans="1:12" x14ac:dyDescent="0.25">
      <c r="A500" s="170">
        <v>43213</v>
      </c>
      <c r="B500" s="116">
        <v>1.2891060756972099</v>
      </c>
      <c r="C500" s="116">
        <v>1.2891060756972099</v>
      </c>
      <c r="D500" s="116">
        <v>1.2891060756972099</v>
      </c>
      <c r="E500" s="116">
        <v>1.2891060756972099</v>
      </c>
      <c r="F500" s="116">
        <v>1.41</v>
      </c>
      <c r="G500">
        <v>250</v>
      </c>
      <c r="H500" s="116"/>
      <c r="I500" s="116"/>
      <c r="L500" s="170"/>
    </row>
    <row r="501" spans="1:12" x14ac:dyDescent="0.25">
      <c r="A501" s="170">
        <v>43214</v>
      </c>
      <c r="B501" s="116">
        <v>1.3531042496679899</v>
      </c>
      <c r="C501" s="116">
        <v>1.3531042496679899</v>
      </c>
      <c r="D501" s="116">
        <v>1.3531042496679899</v>
      </c>
      <c r="E501" s="116">
        <v>1.3531042496679899</v>
      </c>
      <c r="F501" s="116">
        <v>1.48</v>
      </c>
      <c r="G501">
        <v>1</v>
      </c>
      <c r="H501" s="116"/>
      <c r="I501" s="116"/>
      <c r="L501" s="170"/>
    </row>
    <row r="502" spans="1:12" x14ac:dyDescent="0.25">
      <c r="A502" s="170">
        <v>43215</v>
      </c>
      <c r="B502" s="116">
        <v>1.4171024236387799</v>
      </c>
      <c r="C502" s="116">
        <v>1.4171024236387799</v>
      </c>
      <c r="D502" s="116">
        <v>1.4171024236387799</v>
      </c>
      <c r="E502" s="116">
        <v>1.4171024236387799</v>
      </c>
      <c r="F502" s="116">
        <v>1.55</v>
      </c>
      <c r="G502">
        <v>799</v>
      </c>
      <c r="H502" s="116"/>
      <c r="I502" s="116"/>
      <c r="L502" s="170"/>
    </row>
    <row r="503" spans="1:12" x14ac:dyDescent="0.25">
      <c r="A503" s="170">
        <v>43216</v>
      </c>
      <c r="B503" s="116">
        <v>1.4811005976095599</v>
      </c>
      <c r="C503" s="116">
        <v>1.4445302124834001</v>
      </c>
      <c r="D503" s="116">
        <v>1.4171024236387799</v>
      </c>
      <c r="E503" s="116">
        <v>1.4811005976095599</v>
      </c>
      <c r="F503" s="116">
        <v>1.58</v>
      </c>
      <c r="G503">
        <v>37700</v>
      </c>
      <c r="H503" s="116"/>
      <c r="I503" s="116"/>
      <c r="L503" s="170"/>
    </row>
    <row r="504" spans="1:12" x14ac:dyDescent="0.25">
      <c r="A504" s="170">
        <v>43217</v>
      </c>
      <c r="B504" s="116">
        <v>1.5085283864541801</v>
      </c>
      <c r="C504" s="116">
        <v>1.4628154050464801</v>
      </c>
      <c r="D504" s="116">
        <v>1.3805320385126201</v>
      </c>
      <c r="E504" s="116">
        <v>1.5085283864541801</v>
      </c>
      <c r="F504" s="116">
        <v>1.6</v>
      </c>
      <c r="G504">
        <v>1446</v>
      </c>
      <c r="H504" s="116"/>
      <c r="I504" s="116"/>
      <c r="L504" s="170"/>
    </row>
    <row r="505" spans="1:12" x14ac:dyDescent="0.25">
      <c r="A505" s="170">
        <v>43220</v>
      </c>
      <c r="B505" s="116">
        <v>1.5359561752988</v>
      </c>
      <c r="C505" s="116">
        <v>1.5359561752988</v>
      </c>
      <c r="D505" s="116">
        <v>1.3988172310757001</v>
      </c>
      <c r="E505" s="116">
        <v>1.5359561752988</v>
      </c>
      <c r="F505" s="116">
        <v>1.68</v>
      </c>
      <c r="G505">
        <v>3396</v>
      </c>
      <c r="H505" s="116"/>
      <c r="I505" s="116"/>
      <c r="L505" s="170"/>
    </row>
    <row r="506" spans="1:12" x14ac:dyDescent="0.25">
      <c r="A506" s="170">
        <v>43222</v>
      </c>
      <c r="B506" s="116">
        <v>1.6090969455511299</v>
      </c>
      <c r="C506" s="116">
        <v>1.6090969455511299</v>
      </c>
      <c r="D506" s="116">
        <v>1.6090969455511299</v>
      </c>
      <c r="E506" s="116">
        <v>1.6090969455511299</v>
      </c>
      <c r="F506" s="116">
        <v>1.76</v>
      </c>
      <c r="G506">
        <v>358</v>
      </c>
      <c r="H506" s="116"/>
      <c r="I506" s="116"/>
      <c r="L506" s="170"/>
    </row>
    <row r="507" spans="1:12" x14ac:dyDescent="0.25">
      <c r="A507" s="170">
        <v>43223</v>
      </c>
      <c r="B507" s="116">
        <v>1.6822377158034501</v>
      </c>
      <c r="C507" s="116">
        <v>1.6730951195219099</v>
      </c>
      <c r="D507" s="116">
        <v>1.5359561752988</v>
      </c>
      <c r="E507" s="116">
        <v>1.6822377158034501</v>
      </c>
      <c r="F507" s="116">
        <v>1.83</v>
      </c>
      <c r="G507">
        <v>42726</v>
      </c>
      <c r="H507" s="116"/>
      <c r="I507" s="116"/>
      <c r="L507" s="170"/>
    </row>
    <row r="508" spans="1:12" x14ac:dyDescent="0.25">
      <c r="A508" s="170">
        <v>43224</v>
      </c>
      <c r="B508" s="116">
        <v>1.75537848605578</v>
      </c>
      <c r="C508" s="116">
        <v>1.74623588977424</v>
      </c>
      <c r="D508" s="116">
        <v>1.5908117529880501</v>
      </c>
      <c r="E508" s="116">
        <v>1.5908117529880501</v>
      </c>
      <c r="F508" s="116">
        <v>1.91</v>
      </c>
      <c r="G508">
        <v>11248</v>
      </c>
      <c r="H508" s="116"/>
      <c r="I508" s="116"/>
      <c r="L508" s="170"/>
    </row>
    <row r="509" spans="1:12" x14ac:dyDescent="0.25">
      <c r="A509" s="170">
        <v>43227</v>
      </c>
      <c r="B509" s="116">
        <v>1.8285192563081001</v>
      </c>
      <c r="C509" s="116">
        <v>1.8285192563081001</v>
      </c>
      <c r="D509" s="116">
        <v>1.8285192563081001</v>
      </c>
      <c r="E509" s="116">
        <v>1.8285192563081001</v>
      </c>
      <c r="F509" s="116">
        <v>2</v>
      </c>
      <c r="G509">
        <v>100</v>
      </c>
      <c r="H509" s="116"/>
      <c r="I509" s="116"/>
      <c r="L509" s="170"/>
    </row>
    <row r="510" spans="1:12" x14ac:dyDescent="0.25">
      <c r="A510" s="170">
        <v>43228</v>
      </c>
      <c r="B510" s="116">
        <v>1.91994521912351</v>
      </c>
      <c r="C510" s="116">
        <v>1.91994521912351</v>
      </c>
      <c r="D510" s="116">
        <v>1.8285192563081001</v>
      </c>
      <c r="E510" s="116">
        <v>1.8285192563081001</v>
      </c>
      <c r="F510" s="116">
        <v>2.1</v>
      </c>
      <c r="G510">
        <v>3045</v>
      </c>
      <c r="H510" s="116"/>
      <c r="I510" s="116"/>
      <c r="L510" s="170"/>
    </row>
    <row r="511" spans="1:12" x14ac:dyDescent="0.25">
      <c r="A511" s="170">
        <v>43229</v>
      </c>
      <c r="B511" s="116">
        <v>2.0113711819389102</v>
      </c>
      <c r="C511" s="116">
        <v>2.0113711819389102</v>
      </c>
      <c r="D511" s="116">
        <v>2.0113711819389102</v>
      </c>
      <c r="E511" s="116">
        <v>2.0113711819389102</v>
      </c>
      <c r="F511" s="116">
        <v>2.2000000000000002</v>
      </c>
      <c r="G511">
        <v>3790</v>
      </c>
      <c r="H511" s="116"/>
      <c r="I511" s="116"/>
      <c r="L511" s="170"/>
    </row>
    <row r="512" spans="1:12" x14ac:dyDescent="0.25">
      <c r="A512" s="170">
        <v>43230</v>
      </c>
      <c r="B512" s="116">
        <v>2.1027971447543199</v>
      </c>
      <c r="C512" s="116">
        <v>2.1027971447543199</v>
      </c>
      <c r="D512" s="116">
        <v>2.1027971447543199</v>
      </c>
      <c r="E512" s="116">
        <v>2.1027971447543199</v>
      </c>
      <c r="F512" s="116">
        <v>2.2999999999999998</v>
      </c>
      <c r="G512">
        <v>5111</v>
      </c>
      <c r="H512" s="116"/>
      <c r="I512" s="116"/>
      <c r="L512" s="170"/>
    </row>
    <row r="513" spans="1:12" x14ac:dyDescent="0.25">
      <c r="A513" s="170">
        <v>43231</v>
      </c>
      <c r="B513" s="116">
        <v>2.1027971447543199</v>
      </c>
      <c r="C513" s="116">
        <v>2.1027971447543199</v>
      </c>
      <c r="D513" s="116">
        <v>2.0022285856573698</v>
      </c>
      <c r="E513" s="116">
        <v>2.0022285856573698</v>
      </c>
      <c r="F513" s="116">
        <v>2.2999999999999998</v>
      </c>
      <c r="G513">
        <v>5958</v>
      </c>
      <c r="H513" s="116"/>
      <c r="I513" s="116"/>
      <c r="L513" s="170"/>
    </row>
    <row r="514" spans="1:12" x14ac:dyDescent="0.25">
      <c r="A514" s="170">
        <v>43234</v>
      </c>
      <c r="B514" s="116">
        <v>2.1027971447543199</v>
      </c>
      <c r="C514" s="116">
        <v>2.1027971447543199</v>
      </c>
      <c r="D514" s="116">
        <v>2.1027971447543199</v>
      </c>
      <c r="E514" s="116">
        <v>2.1027971447543199</v>
      </c>
      <c r="F514" s="116">
        <v>2.2999999999999998</v>
      </c>
      <c r="G514">
        <v>40</v>
      </c>
      <c r="H514" s="116"/>
      <c r="I514" s="116"/>
      <c r="L514" s="170"/>
    </row>
    <row r="515" spans="1:12" x14ac:dyDescent="0.25">
      <c r="A515" s="170">
        <v>43235</v>
      </c>
      <c r="B515" s="116">
        <v>2.1027971447543199</v>
      </c>
      <c r="C515" s="116">
        <v>2.1027971447543199</v>
      </c>
      <c r="D515" s="116">
        <v>2.1027971447543199</v>
      </c>
      <c r="E515" s="116">
        <v>2.1027971447543199</v>
      </c>
      <c r="F515" s="116">
        <v>2.2999999999999998</v>
      </c>
      <c r="G515">
        <v>14400</v>
      </c>
      <c r="H515" s="116"/>
      <c r="I515" s="116"/>
      <c r="L515" s="170"/>
    </row>
    <row r="516" spans="1:12" x14ac:dyDescent="0.25">
      <c r="A516" s="170">
        <v>43236</v>
      </c>
      <c r="B516" s="116">
        <v>2.0570841633466102</v>
      </c>
      <c r="C516" s="116">
        <v>2.0570841633466102</v>
      </c>
      <c r="D516" s="116">
        <v>2.0022285856573698</v>
      </c>
      <c r="E516" s="116">
        <v>2.0570841633466102</v>
      </c>
      <c r="F516" s="116">
        <v>2.25</v>
      </c>
      <c r="G516">
        <v>1601</v>
      </c>
      <c r="H516" s="116"/>
      <c r="I516" s="116"/>
      <c r="L516" s="170"/>
    </row>
    <row r="517" spans="1:12" x14ac:dyDescent="0.25">
      <c r="A517" s="170">
        <v>43237</v>
      </c>
      <c r="B517" s="116">
        <v>2.0570841633466102</v>
      </c>
      <c r="C517" s="116">
        <v>2.0570841633466102</v>
      </c>
      <c r="D517" s="116">
        <v>2.0570841633466102</v>
      </c>
      <c r="E517" s="116">
        <v>2.0570841633466102</v>
      </c>
      <c r="F517" s="116">
        <v>2.25</v>
      </c>
      <c r="G517">
        <v>500</v>
      </c>
      <c r="H517" s="116"/>
      <c r="I517" s="116"/>
      <c r="L517" s="170"/>
    </row>
    <row r="518" spans="1:12" x14ac:dyDescent="0.25">
      <c r="A518" s="170">
        <v>43238</v>
      </c>
      <c r="B518" s="116">
        <v>2.0113711819389102</v>
      </c>
      <c r="C518" s="116">
        <v>1.9565156042496701</v>
      </c>
      <c r="D518" s="116">
        <v>1.9565156042496701</v>
      </c>
      <c r="E518" s="116">
        <v>2.0113711819389102</v>
      </c>
      <c r="F518" s="116">
        <v>2.14</v>
      </c>
      <c r="G518">
        <v>1460</v>
      </c>
      <c r="H518" s="116"/>
      <c r="I518" s="116"/>
      <c r="L518" s="170"/>
    </row>
    <row r="519" spans="1:12" x14ac:dyDescent="0.25">
      <c r="A519" s="170">
        <v>43241</v>
      </c>
      <c r="B519" s="116">
        <v>1.8742322377158001</v>
      </c>
      <c r="C519" s="116">
        <v>1.8742322377158001</v>
      </c>
      <c r="D519" s="116">
        <v>1.8742322377158001</v>
      </c>
      <c r="E519" s="116">
        <v>1.8742322377158001</v>
      </c>
      <c r="F519" s="116">
        <v>2.0499999999999998</v>
      </c>
      <c r="G519">
        <v>1175</v>
      </c>
      <c r="H519" s="116"/>
      <c r="I519" s="116"/>
      <c r="L519" s="170"/>
    </row>
    <row r="520" spans="1:12" x14ac:dyDescent="0.25">
      <c r="A520" s="170">
        <v>43242</v>
      </c>
      <c r="B520" s="116">
        <v>1.96565820053121</v>
      </c>
      <c r="C520" s="116">
        <v>1.96565820053121</v>
      </c>
      <c r="D520" s="116">
        <v>1.96565820053121</v>
      </c>
      <c r="E520" s="116">
        <v>1.96565820053121</v>
      </c>
      <c r="F520" s="116">
        <v>2.15</v>
      </c>
      <c r="G520">
        <v>50</v>
      </c>
      <c r="H520" s="116"/>
      <c r="I520" s="116"/>
      <c r="L520" s="170"/>
    </row>
    <row r="521" spans="1:12" x14ac:dyDescent="0.25">
      <c r="A521" s="170">
        <v>43243</v>
      </c>
      <c r="B521" s="116">
        <v>2.0570841633466102</v>
      </c>
      <c r="C521" s="116">
        <v>2.0570841633466102</v>
      </c>
      <c r="D521" s="116">
        <v>2.0570841633466102</v>
      </c>
      <c r="E521" s="116">
        <v>2.0570841633466102</v>
      </c>
      <c r="F521" s="116">
        <v>2.25</v>
      </c>
      <c r="G521">
        <v>50</v>
      </c>
      <c r="H521" s="116"/>
      <c r="I521" s="116"/>
      <c r="L521" s="170"/>
    </row>
    <row r="522" spans="1:12" x14ac:dyDescent="0.25">
      <c r="A522" s="170">
        <v>43245</v>
      </c>
      <c r="B522" s="116">
        <v>2.0570841633466102</v>
      </c>
      <c r="C522" s="116">
        <v>2.0570841633466102</v>
      </c>
      <c r="D522" s="116">
        <v>2.0570841633466102</v>
      </c>
      <c r="E522" s="116">
        <v>2.0570841633466102</v>
      </c>
      <c r="F522" s="116">
        <v>2.25</v>
      </c>
      <c r="G522">
        <v>3216</v>
      </c>
      <c r="H522" s="116"/>
      <c r="I522" s="116"/>
      <c r="L522" s="170"/>
    </row>
    <row r="523" spans="1:12" x14ac:dyDescent="0.25">
      <c r="A523" s="170">
        <v>43248</v>
      </c>
      <c r="B523" s="116">
        <v>2.0570841633466102</v>
      </c>
      <c r="C523" s="116">
        <v>2.0570841633466102</v>
      </c>
      <c r="D523" s="116">
        <v>2.0570841633466102</v>
      </c>
      <c r="E523" s="116">
        <v>2.0570841633466102</v>
      </c>
      <c r="F523" s="116">
        <v>2.25</v>
      </c>
      <c r="G523">
        <v>777</v>
      </c>
      <c r="H523" s="116"/>
      <c r="I523" s="116"/>
      <c r="L523" s="170"/>
    </row>
    <row r="524" spans="1:12" x14ac:dyDescent="0.25">
      <c r="A524" s="170">
        <v>43249</v>
      </c>
      <c r="B524" s="116">
        <v>1.9565156042496701</v>
      </c>
      <c r="C524" s="116">
        <v>1.9565156042496701</v>
      </c>
      <c r="D524" s="116">
        <v>1.9565156042496701</v>
      </c>
      <c r="E524" s="116">
        <v>1.9565156042496701</v>
      </c>
      <c r="F524" s="116">
        <v>2.14</v>
      </c>
      <c r="G524">
        <v>1000</v>
      </c>
      <c r="H524" s="116"/>
      <c r="I524" s="116"/>
      <c r="L524" s="170"/>
    </row>
    <row r="525" spans="1:12" x14ac:dyDescent="0.25">
      <c r="A525" s="170">
        <v>43258</v>
      </c>
      <c r="B525" s="116">
        <v>1.8650896414342599</v>
      </c>
      <c r="C525" s="116">
        <v>1.8650896414342599</v>
      </c>
      <c r="D525" s="116">
        <v>1.8650896414342599</v>
      </c>
      <c r="E525" s="116">
        <v>1.8650896414342599</v>
      </c>
      <c r="F525" s="116">
        <v>2.04</v>
      </c>
      <c r="G525">
        <v>1550</v>
      </c>
      <c r="H525" s="116"/>
      <c r="I525" s="116"/>
      <c r="L525" s="170"/>
    </row>
    <row r="526" spans="1:12" x14ac:dyDescent="0.25">
      <c r="A526" s="170">
        <v>43259</v>
      </c>
      <c r="B526" s="116">
        <v>1.85594704515272</v>
      </c>
      <c r="C526" s="116">
        <v>1.85594704515272</v>
      </c>
      <c r="D526" s="116">
        <v>1.77366367861886</v>
      </c>
      <c r="E526" s="116">
        <v>1.77366367861886</v>
      </c>
      <c r="F526" s="116">
        <v>2.0299999999999998</v>
      </c>
      <c r="G526">
        <v>2120</v>
      </c>
      <c r="H526" s="116"/>
      <c r="I526" s="116"/>
      <c r="L526" s="170"/>
    </row>
    <row r="527" spans="1:12" x14ac:dyDescent="0.25">
      <c r="A527" s="170">
        <v>43264</v>
      </c>
      <c r="B527" s="116">
        <v>1.94737300796813</v>
      </c>
      <c r="C527" s="116">
        <v>1.94737300796813</v>
      </c>
      <c r="D527" s="116">
        <v>1.94737300796813</v>
      </c>
      <c r="E527" s="116">
        <v>1.94737300796813</v>
      </c>
      <c r="F527" s="116">
        <v>2.13</v>
      </c>
      <c r="G527">
        <v>100</v>
      </c>
      <c r="H527" s="116"/>
      <c r="I527" s="116"/>
      <c r="L527" s="170"/>
    </row>
    <row r="528" spans="1:12" x14ac:dyDescent="0.25">
      <c r="A528" s="170">
        <v>43277</v>
      </c>
      <c r="B528" s="116">
        <v>1.91994521912351</v>
      </c>
      <c r="C528" s="116">
        <v>1.91994521912351</v>
      </c>
      <c r="D528" s="116">
        <v>1.91994521912351</v>
      </c>
      <c r="E528" s="116">
        <v>1.91994521912351</v>
      </c>
      <c r="F528" s="116">
        <v>2.1</v>
      </c>
      <c r="G528">
        <v>125</v>
      </c>
      <c r="H528" s="116"/>
      <c r="I528" s="116"/>
      <c r="L528" s="170"/>
    </row>
    <row r="529" spans="1:12" x14ac:dyDescent="0.25">
      <c r="A529" s="170">
        <v>43287</v>
      </c>
      <c r="B529" s="116">
        <v>1.91994521912351</v>
      </c>
      <c r="C529" s="116">
        <v>1.91994521912351</v>
      </c>
      <c r="D529" s="116">
        <v>1.91994521912351</v>
      </c>
      <c r="E529" s="116">
        <v>1.91994521912351</v>
      </c>
      <c r="F529" s="116">
        <v>2.1</v>
      </c>
      <c r="G529">
        <v>100</v>
      </c>
      <c r="H529" s="116"/>
      <c r="I529" s="116"/>
      <c r="L529" s="170"/>
    </row>
    <row r="530" spans="1:12" x14ac:dyDescent="0.25">
      <c r="A530" s="170">
        <v>43293</v>
      </c>
      <c r="B530" s="116">
        <v>1.8285192563081001</v>
      </c>
      <c r="C530" s="116">
        <v>1.8285192563081001</v>
      </c>
      <c r="D530" s="116">
        <v>1.8285192563081001</v>
      </c>
      <c r="E530" s="116">
        <v>1.8285192563081001</v>
      </c>
      <c r="F530" s="116">
        <v>2</v>
      </c>
      <c r="G530">
        <v>10</v>
      </c>
      <c r="H530" s="116"/>
      <c r="I530" s="116"/>
      <c r="L530" s="170"/>
    </row>
    <row r="531" spans="1:12" x14ac:dyDescent="0.25">
      <c r="A531" s="170">
        <v>43297</v>
      </c>
      <c r="B531" s="116">
        <v>1.8285192563081001</v>
      </c>
      <c r="C531" s="116">
        <v>1.8285192563081001</v>
      </c>
      <c r="D531" s="116">
        <v>1.8285192563081001</v>
      </c>
      <c r="E531" s="116">
        <v>1.8285192563081001</v>
      </c>
      <c r="F531" s="116">
        <v>2</v>
      </c>
      <c r="G531">
        <v>105</v>
      </c>
      <c r="H531" s="116"/>
      <c r="I531" s="116"/>
      <c r="L531" s="170"/>
    </row>
    <row r="532" spans="1:12" x14ac:dyDescent="0.25">
      <c r="A532" s="170">
        <v>43299</v>
      </c>
      <c r="B532" s="116">
        <v>1.8285192563081001</v>
      </c>
      <c r="C532" s="116">
        <v>1.8285192563081001</v>
      </c>
      <c r="D532" s="116">
        <v>1.8285192563081001</v>
      </c>
      <c r="E532" s="116">
        <v>1.8285192563081001</v>
      </c>
      <c r="F532" s="116">
        <v>2</v>
      </c>
      <c r="G532">
        <v>1</v>
      </c>
      <c r="H532" s="116"/>
      <c r="I532" s="116"/>
      <c r="L532" s="170"/>
    </row>
    <row r="533" spans="1:12" x14ac:dyDescent="0.25">
      <c r="A533" s="170">
        <v>43300</v>
      </c>
      <c r="B533" s="116">
        <v>1.8285192563081001</v>
      </c>
      <c r="C533" s="116">
        <v>1.8285192563081001</v>
      </c>
      <c r="D533" s="116">
        <v>1.8285192563081001</v>
      </c>
      <c r="E533" s="116">
        <v>1.8285192563081001</v>
      </c>
      <c r="F533" s="116">
        <v>2</v>
      </c>
      <c r="G533">
        <v>1</v>
      </c>
      <c r="H533" s="116"/>
      <c r="I533" s="116"/>
      <c r="L533" s="170"/>
    </row>
    <row r="534" spans="1:12" x14ac:dyDescent="0.25">
      <c r="A534" s="170">
        <v>43301</v>
      </c>
      <c r="B534" s="116">
        <v>1.8285192563081001</v>
      </c>
      <c r="C534" s="116">
        <v>1.8285192563081001</v>
      </c>
      <c r="D534" s="116">
        <v>1.8285192563081001</v>
      </c>
      <c r="E534" s="116">
        <v>1.8285192563081001</v>
      </c>
      <c r="F534" s="116">
        <v>2</v>
      </c>
      <c r="G534">
        <v>10000</v>
      </c>
      <c r="H534" s="116"/>
      <c r="I534" s="116"/>
      <c r="L534" s="170"/>
    </row>
    <row r="535" spans="1:12" x14ac:dyDescent="0.25">
      <c r="A535" s="170">
        <v>43304</v>
      </c>
      <c r="B535" s="116">
        <v>1.8285192563081001</v>
      </c>
      <c r="C535" s="116">
        <v>1.8285192563081001</v>
      </c>
      <c r="D535" s="116">
        <v>1.8285192563081001</v>
      </c>
      <c r="E535" s="116">
        <v>1.8285192563081001</v>
      </c>
      <c r="F535" s="116">
        <v>2</v>
      </c>
      <c r="G535">
        <v>250</v>
      </c>
      <c r="H535" s="116"/>
      <c r="I535" s="116"/>
      <c r="L535" s="170"/>
    </row>
    <row r="536" spans="1:12" x14ac:dyDescent="0.25">
      <c r="A536" s="170">
        <v>43306</v>
      </c>
      <c r="B536" s="116">
        <v>1.8285192563081001</v>
      </c>
      <c r="C536" s="116">
        <v>1.8285192563081001</v>
      </c>
      <c r="D536" s="116">
        <v>1.8285192563081001</v>
      </c>
      <c r="E536" s="116">
        <v>1.8285192563081001</v>
      </c>
      <c r="F536" s="116">
        <v>2</v>
      </c>
      <c r="G536">
        <v>100</v>
      </c>
      <c r="H536" s="116"/>
      <c r="I536" s="116"/>
      <c r="L536" s="170"/>
    </row>
    <row r="537" spans="1:12" x14ac:dyDescent="0.25">
      <c r="A537" s="170">
        <v>43308</v>
      </c>
      <c r="B537" s="116">
        <v>1.7370932934926999</v>
      </c>
      <c r="C537" s="116">
        <v>1.7370932934926999</v>
      </c>
      <c r="D537" s="116">
        <v>1.7370932934926999</v>
      </c>
      <c r="E537" s="116">
        <v>1.7370932934926999</v>
      </c>
      <c r="F537" s="116">
        <v>1.9</v>
      </c>
      <c r="G537">
        <v>6005</v>
      </c>
      <c r="H537" s="116"/>
      <c r="I537" s="116"/>
      <c r="L537" s="170"/>
    </row>
    <row r="538" spans="1:12" x14ac:dyDescent="0.25">
      <c r="A538" s="170">
        <v>43311</v>
      </c>
      <c r="B538" s="116">
        <v>1.7370932934926999</v>
      </c>
      <c r="C538" s="116">
        <v>1.7370932934926999</v>
      </c>
      <c r="D538" s="116">
        <v>1.7370932934926999</v>
      </c>
      <c r="E538" s="116">
        <v>1.7370932934926999</v>
      </c>
      <c r="F538" s="116">
        <v>1.9</v>
      </c>
      <c r="G538">
        <v>805</v>
      </c>
      <c r="H538" s="116"/>
      <c r="I538" s="116"/>
      <c r="L538" s="170"/>
    </row>
    <row r="539" spans="1:12" x14ac:dyDescent="0.25">
      <c r="A539" s="170">
        <v>43320</v>
      </c>
      <c r="B539" s="116">
        <v>1.7370932934926999</v>
      </c>
      <c r="C539" s="116">
        <v>1.69138031208499</v>
      </c>
      <c r="D539" s="116">
        <v>1.69138031208499</v>
      </c>
      <c r="E539" s="116">
        <v>1.69138031208499</v>
      </c>
      <c r="F539" s="116">
        <v>1.85</v>
      </c>
      <c r="G539">
        <v>8800</v>
      </c>
      <c r="H539" s="116"/>
      <c r="I539" s="116"/>
      <c r="L539" s="170"/>
    </row>
    <row r="540" spans="1:12" x14ac:dyDescent="0.25">
      <c r="A540" s="170">
        <v>43321</v>
      </c>
      <c r="B540" s="116">
        <v>1.69138031208499</v>
      </c>
      <c r="C540" s="116">
        <v>1.6090969455511299</v>
      </c>
      <c r="D540" s="116">
        <v>1.6090969455511299</v>
      </c>
      <c r="E540" s="116">
        <v>1.69138031208499</v>
      </c>
      <c r="F540" s="116">
        <v>1.76</v>
      </c>
      <c r="G540">
        <v>3550</v>
      </c>
      <c r="H540" s="116"/>
      <c r="I540" s="116"/>
      <c r="L540" s="170"/>
    </row>
    <row r="541" spans="1:12" x14ac:dyDescent="0.25">
      <c r="A541" s="170">
        <v>43322</v>
      </c>
      <c r="B541" s="116">
        <v>1.6548099269588299</v>
      </c>
      <c r="C541" s="116">
        <v>1.5359561752988</v>
      </c>
      <c r="D541" s="116">
        <v>1.5359561752988</v>
      </c>
      <c r="E541" s="116">
        <v>1.6548099269588299</v>
      </c>
      <c r="F541" s="116">
        <v>1.68</v>
      </c>
      <c r="G541">
        <v>1141</v>
      </c>
      <c r="H541" s="116"/>
      <c r="I541" s="116"/>
      <c r="L541" s="170"/>
    </row>
    <row r="542" spans="1:12" x14ac:dyDescent="0.25">
      <c r="A542" s="170">
        <v>43325</v>
      </c>
      <c r="B542" s="116">
        <v>1.6090969455511299</v>
      </c>
      <c r="C542" s="116">
        <v>1.6090969455511299</v>
      </c>
      <c r="D542" s="116">
        <v>1.6090969455511299</v>
      </c>
      <c r="E542" s="116">
        <v>1.6090969455511299</v>
      </c>
      <c r="F542" s="116">
        <v>1.76</v>
      </c>
      <c r="G542">
        <v>10</v>
      </c>
      <c r="H542" s="116"/>
      <c r="I542" s="116"/>
      <c r="L542" s="170"/>
    </row>
    <row r="543" spans="1:12" x14ac:dyDescent="0.25">
      <c r="A543" s="170">
        <v>43326</v>
      </c>
      <c r="B543" s="116">
        <v>1.6822377158034501</v>
      </c>
      <c r="C543" s="116">
        <v>1.5359561752988</v>
      </c>
      <c r="D543" s="116">
        <v>1.5359561752988</v>
      </c>
      <c r="E543" s="116">
        <v>1.6822377158034501</v>
      </c>
      <c r="F543" s="116">
        <v>1.68</v>
      </c>
      <c r="G543">
        <v>121</v>
      </c>
      <c r="H543" s="116"/>
      <c r="I543" s="116"/>
      <c r="L543" s="170"/>
    </row>
    <row r="544" spans="1:12" x14ac:dyDescent="0.25">
      <c r="A544" s="170">
        <v>43328</v>
      </c>
      <c r="B544" s="116">
        <v>1.6090969455511299</v>
      </c>
      <c r="C544" s="116">
        <v>1.6090969455511299</v>
      </c>
      <c r="D544" s="116">
        <v>1.6090969455511299</v>
      </c>
      <c r="E544" s="116">
        <v>1.6090969455511299</v>
      </c>
      <c r="F544" s="116">
        <v>1.76</v>
      </c>
      <c r="G544">
        <v>505</v>
      </c>
      <c r="H544" s="116"/>
      <c r="I544" s="116"/>
      <c r="L544" s="170"/>
    </row>
    <row r="545" spans="1:12" x14ac:dyDescent="0.25">
      <c r="A545" s="170">
        <v>43329</v>
      </c>
      <c r="B545" s="116">
        <v>1.64566733067729</v>
      </c>
      <c r="C545" s="116">
        <v>1.64566733067729</v>
      </c>
      <c r="D545" s="116">
        <v>1.64566733067729</v>
      </c>
      <c r="E545" s="116">
        <v>1.64566733067729</v>
      </c>
      <c r="F545" s="116">
        <v>1.8</v>
      </c>
      <c r="G545">
        <v>10</v>
      </c>
      <c r="H545" s="116"/>
      <c r="I545" s="116"/>
      <c r="L545" s="170"/>
    </row>
    <row r="546" spans="1:12" x14ac:dyDescent="0.25">
      <c r="A546" s="170">
        <v>43332</v>
      </c>
      <c r="B546" s="116">
        <v>1.64566733067729</v>
      </c>
      <c r="C546" s="116">
        <v>1.64566733067729</v>
      </c>
      <c r="D546" s="116">
        <v>1.64566733067729</v>
      </c>
      <c r="E546" s="116">
        <v>1.64566733067729</v>
      </c>
      <c r="F546" s="116">
        <v>1.8</v>
      </c>
      <c r="G546">
        <v>10</v>
      </c>
      <c r="H546" s="116"/>
      <c r="I546" s="116"/>
      <c r="L546" s="170"/>
    </row>
    <row r="547" spans="1:12" x14ac:dyDescent="0.25">
      <c r="A547" s="170">
        <v>43340</v>
      </c>
      <c r="B547" s="116">
        <v>1.5633839641434299</v>
      </c>
      <c r="C547" s="116">
        <v>1.5633839641434299</v>
      </c>
      <c r="D547" s="116">
        <v>1.5633839641434299</v>
      </c>
      <c r="E547" s="116">
        <v>1.5633839641434299</v>
      </c>
      <c r="F547" s="116">
        <v>1.71</v>
      </c>
      <c r="G547">
        <v>5000</v>
      </c>
      <c r="H547" s="116"/>
      <c r="I547" s="116"/>
      <c r="L547" s="170"/>
    </row>
    <row r="548" spans="1:12" x14ac:dyDescent="0.25">
      <c r="A548" s="170">
        <v>43341</v>
      </c>
      <c r="B548" s="116">
        <v>1.5450987715803499</v>
      </c>
      <c r="C548" s="116">
        <v>1.5450987715803499</v>
      </c>
      <c r="D548" s="116">
        <v>1.4902431938911</v>
      </c>
      <c r="E548" s="116">
        <v>1.5085283864541801</v>
      </c>
      <c r="F548" s="116">
        <v>1.69</v>
      </c>
      <c r="G548">
        <v>6379</v>
      </c>
      <c r="H548" s="116"/>
      <c r="I548" s="116"/>
      <c r="L548" s="170"/>
    </row>
    <row r="549" spans="1:12" x14ac:dyDescent="0.25">
      <c r="A549" s="170">
        <v>43342</v>
      </c>
      <c r="B549" s="116">
        <v>1.5450987715803499</v>
      </c>
      <c r="C549" s="116">
        <v>1.47195800132802</v>
      </c>
      <c r="D549" s="116">
        <v>1.47195800132802</v>
      </c>
      <c r="E549" s="116">
        <v>1.5450987715803499</v>
      </c>
      <c r="F549" s="116">
        <v>1.61</v>
      </c>
      <c r="G549">
        <v>4446</v>
      </c>
      <c r="H549" s="116"/>
      <c r="I549" s="116"/>
      <c r="L549" s="170"/>
    </row>
    <row r="550" spans="1:12" x14ac:dyDescent="0.25">
      <c r="A550" s="170">
        <v>43343</v>
      </c>
      <c r="B550" s="116">
        <v>1.5450987715803499</v>
      </c>
      <c r="C550" s="116">
        <v>1.5450987715803499</v>
      </c>
      <c r="D550" s="116">
        <v>1.5450987715803499</v>
      </c>
      <c r="E550" s="116">
        <v>1.5450987715803499</v>
      </c>
      <c r="F550" s="116">
        <v>1.69</v>
      </c>
      <c r="G550">
        <v>1000</v>
      </c>
      <c r="H550" s="116"/>
      <c r="I550" s="116"/>
      <c r="L550" s="170"/>
    </row>
    <row r="551" spans="1:12" x14ac:dyDescent="0.25">
      <c r="A551" s="170">
        <v>43349</v>
      </c>
      <c r="B551" s="116">
        <v>1.47195800132802</v>
      </c>
      <c r="C551" s="116">
        <v>1.47195800132802</v>
      </c>
      <c r="D551" s="116">
        <v>1.47195800132802</v>
      </c>
      <c r="E551" s="116">
        <v>1.47195800132802</v>
      </c>
      <c r="F551" s="116">
        <v>1.61</v>
      </c>
      <c r="G551">
        <v>1000</v>
      </c>
      <c r="H551" s="116"/>
      <c r="I551" s="116"/>
      <c r="L551" s="170"/>
    </row>
    <row r="552" spans="1:12" x14ac:dyDescent="0.25">
      <c r="A552" s="170">
        <v>43353</v>
      </c>
      <c r="B552" s="116">
        <v>1.47195800132802</v>
      </c>
      <c r="C552" s="116">
        <v>1.47195800132802</v>
      </c>
      <c r="D552" s="116">
        <v>1.3988172310757001</v>
      </c>
      <c r="E552" s="116">
        <v>1.3988172310757001</v>
      </c>
      <c r="F552" s="116">
        <v>1.61</v>
      </c>
      <c r="G552">
        <v>7065</v>
      </c>
      <c r="H552" s="116"/>
      <c r="I552" s="116"/>
      <c r="L552" s="170"/>
    </row>
    <row r="553" spans="1:12" x14ac:dyDescent="0.25">
      <c r="A553" s="170">
        <v>43354</v>
      </c>
      <c r="B553" s="116">
        <v>1.5450987715803499</v>
      </c>
      <c r="C553" s="116">
        <v>1.3988172310757001</v>
      </c>
      <c r="D553" s="116">
        <v>1.3988172310757001</v>
      </c>
      <c r="E553" s="116">
        <v>1.3988172310757001</v>
      </c>
      <c r="F553" s="116">
        <v>1.53</v>
      </c>
      <c r="G553">
        <v>7640</v>
      </c>
      <c r="H553" s="116"/>
      <c r="I553" s="116"/>
      <c r="L553" s="170"/>
    </row>
    <row r="554" spans="1:12" x14ac:dyDescent="0.25">
      <c r="A554" s="170">
        <v>43357</v>
      </c>
      <c r="B554" s="116">
        <v>1.3988172310757001</v>
      </c>
      <c r="C554" s="116">
        <v>1.3348190571049099</v>
      </c>
      <c r="D554" s="116">
        <v>1.3348190571049099</v>
      </c>
      <c r="E554" s="116">
        <v>1.3988172310757001</v>
      </c>
      <c r="F554" s="116">
        <v>1.46</v>
      </c>
      <c r="G554">
        <v>2101</v>
      </c>
      <c r="H554" s="116"/>
      <c r="I554" s="116"/>
      <c r="L554" s="170"/>
    </row>
    <row r="555" spans="1:12" x14ac:dyDescent="0.25">
      <c r="A555" s="170">
        <v>43360</v>
      </c>
      <c r="B555" s="116">
        <v>1.2708208831341301</v>
      </c>
      <c r="C555" s="116">
        <v>1.2708208831341301</v>
      </c>
      <c r="D555" s="116">
        <v>1.2708208831341301</v>
      </c>
      <c r="E555" s="116">
        <v>1.2708208831341301</v>
      </c>
      <c r="F555" s="116">
        <v>1.39</v>
      </c>
      <c r="G555">
        <v>8000</v>
      </c>
      <c r="H555" s="116"/>
      <c r="I555" s="116"/>
      <c r="L555" s="170"/>
    </row>
    <row r="556" spans="1:12" x14ac:dyDescent="0.25">
      <c r="A556" s="170">
        <v>43361</v>
      </c>
      <c r="B556" s="116">
        <v>1.21596530544489</v>
      </c>
      <c r="C556" s="116">
        <v>1.21596530544489</v>
      </c>
      <c r="D556" s="116">
        <v>1.21596530544489</v>
      </c>
      <c r="E556" s="116">
        <v>1.21596530544489</v>
      </c>
      <c r="F556" s="116">
        <v>1.33</v>
      </c>
      <c r="G556">
        <v>1254</v>
      </c>
      <c r="H556" s="116"/>
      <c r="I556" s="116"/>
      <c r="L556" s="170"/>
    </row>
    <row r="557" spans="1:12" x14ac:dyDescent="0.25">
      <c r="A557" s="170">
        <v>43362</v>
      </c>
      <c r="B557" s="116">
        <v>1.1611097277556399</v>
      </c>
      <c r="C557" s="116">
        <v>1.1611097277556399</v>
      </c>
      <c r="D557" s="116">
        <v>1.1611097277556399</v>
      </c>
      <c r="E557" s="116">
        <v>1.1611097277556399</v>
      </c>
      <c r="F557" s="116">
        <v>1.27</v>
      </c>
      <c r="G557">
        <v>2985</v>
      </c>
      <c r="H557" s="116"/>
      <c r="I557" s="116"/>
      <c r="L557" s="170"/>
    </row>
    <row r="558" spans="1:12" x14ac:dyDescent="0.25">
      <c r="A558" s="170">
        <v>43364</v>
      </c>
      <c r="B558" s="116">
        <v>1.1519671314741</v>
      </c>
      <c r="C558" s="116">
        <v>1.1519671314741</v>
      </c>
      <c r="D558" s="116">
        <v>1.1519671314741</v>
      </c>
      <c r="E558" s="116">
        <v>1.1519671314741</v>
      </c>
      <c r="F558" s="116">
        <v>1.26</v>
      </c>
      <c r="G558">
        <v>1003</v>
      </c>
      <c r="H558" s="116"/>
      <c r="I558" s="116"/>
      <c r="L558" s="170"/>
    </row>
    <row r="559" spans="1:12" x14ac:dyDescent="0.25">
      <c r="A559" s="170">
        <v>43367</v>
      </c>
      <c r="B559" s="116">
        <v>1.1519671314741</v>
      </c>
      <c r="C559" s="116">
        <v>1.1519671314741</v>
      </c>
      <c r="D559" s="116">
        <v>1.1519671314741</v>
      </c>
      <c r="E559" s="116">
        <v>1.1519671314741</v>
      </c>
      <c r="F559" s="116">
        <v>1.26</v>
      </c>
      <c r="G559">
        <v>2000</v>
      </c>
      <c r="H559" s="116"/>
      <c r="I559" s="116"/>
      <c r="L559" s="170"/>
    </row>
    <row r="560" spans="1:12" x14ac:dyDescent="0.25">
      <c r="A560" s="170">
        <v>43369</v>
      </c>
      <c r="B560" s="116">
        <v>1.2068227091633501</v>
      </c>
      <c r="C560" s="116">
        <v>1.2068227091633501</v>
      </c>
      <c r="D560" s="116">
        <v>1.2068227091633501</v>
      </c>
      <c r="E560" s="116">
        <v>1.2068227091633501</v>
      </c>
      <c r="F560" s="116">
        <v>1.32</v>
      </c>
      <c r="G560">
        <v>626</v>
      </c>
      <c r="H560" s="116"/>
      <c r="I560" s="116"/>
      <c r="L560" s="170"/>
    </row>
    <row r="561" spans="1:18" x14ac:dyDescent="0.25">
      <c r="A561" s="170">
        <v>43370</v>
      </c>
      <c r="B561" s="116">
        <v>1.1611097277556399</v>
      </c>
      <c r="C561" s="116">
        <v>1.1611097277556399</v>
      </c>
      <c r="D561" s="116">
        <v>1.1611097277556399</v>
      </c>
      <c r="E561" s="116">
        <v>1.1611097277556399</v>
      </c>
      <c r="F561" s="116">
        <v>1.27</v>
      </c>
      <c r="G561">
        <v>435</v>
      </c>
      <c r="H561" s="116"/>
      <c r="I561" s="116"/>
      <c r="L561" s="170"/>
    </row>
    <row r="562" spans="1:18" x14ac:dyDescent="0.25">
      <c r="A562" s="170">
        <v>43371</v>
      </c>
      <c r="B562" s="116">
        <v>1.21596530544489</v>
      </c>
      <c r="C562" s="116">
        <v>1.21596530544489</v>
      </c>
      <c r="D562" s="116">
        <v>1.1611097277556399</v>
      </c>
      <c r="E562" s="116">
        <v>1.1611097277556399</v>
      </c>
      <c r="F562" s="116">
        <v>1.33</v>
      </c>
      <c r="G562">
        <v>4104</v>
      </c>
      <c r="H562" s="116"/>
      <c r="I562" s="116"/>
      <c r="L562" s="170"/>
    </row>
    <row r="563" spans="1:18" x14ac:dyDescent="0.25">
      <c r="A563" s="170">
        <v>43374</v>
      </c>
      <c r="B563" s="116">
        <v>1.23425049800797</v>
      </c>
      <c r="C563" s="116">
        <v>1.1611097277556399</v>
      </c>
      <c r="D563" s="116">
        <v>1.1611097277556399</v>
      </c>
      <c r="E563" s="116">
        <v>1.23425049800797</v>
      </c>
      <c r="F563" s="116">
        <v>1.27</v>
      </c>
      <c r="G563">
        <v>2500</v>
      </c>
      <c r="H563" s="116"/>
      <c r="I563" s="116"/>
      <c r="L563" s="170"/>
    </row>
    <row r="564" spans="1:18" x14ac:dyDescent="0.25">
      <c r="A564" s="170">
        <v>43378</v>
      </c>
      <c r="B564" s="116">
        <v>1.21596530544489</v>
      </c>
      <c r="C564" s="116">
        <v>1.21596530544489</v>
      </c>
      <c r="D564" s="116">
        <v>1.21596530544489</v>
      </c>
      <c r="E564" s="116">
        <v>1.21596530544489</v>
      </c>
      <c r="F564" s="116">
        <v>1.33</v>
      </c>
      <c r="G564">
        <v>2177</v>
      </c>
      <c r="H564" s="116"/>
      <c r="I564" s="116"/>
      <c r="L564" s="170"/>
    </row>
    <row r="565" spans="1:18" x14ac:dyDescent="0.25">
      <c r="A565" s="170">
        <v>43381</v>
      </c>
      <c r="B565" s="116">
        <v>1.2708208831341301</v>
      </c>
      <c r="C565" s="116">
        <v>1.2708208831341301</v>
      </c>
      <c r="D565" s="116">
        <v>1.2708208831341301</v>
      </c>
      <c r="E565" s="116">
        <v>1.2708208831341301</v>
      </c>
      <c r="F565" s="116">
        <v>1.39</v>
      </c>
      <c r="G565">
        <v>400</v>
      </c>
      <c r="H565" s="116"/>
      <c r="I565" s="116"/>
      <c r="L565" s="170"/>
    </row>
    <row r="566" spans="1:18" x14ac:dyDescent="0.25">
      <c r="A566" s="170">
        <v>43383</v>
      </c>
      <c r="B566" s="116">
        <v>1.32567646082337</v>
      </c>
      <c r="C566" s="116">
        <v>1.21596530544489</v>
      </c>
      <c r="D566" s="116">
        <v>1.21596530544489</v>
      </c>
      <c r="E566" s="116">
        <v>1.32567646082337</v>
      </c>
      <c r="F566" s="116">
        <v>1.33</v>
      </c>
      <c r="G566">
        <v>4364</v>
      </c>
      <c r="H566" s="116"/>
      <c r="I566" s="116"/>
      <c r="L566" s="170">
        <v>42836</v>
      </c>
      <c r="M566" s="116">
        <v>473.82</v>
      </c>
      <c r="N566" s="116">
        <v>477.89</v>
      </c>
      <c r="O566" s="116">
        <v>465.4</v>
      </c>
      <c r="P566" s="116">
        <v>467.98999999999995</v>
      </c>
      <c r="Q566" s="116">
        <v>2369.1</v>
      </c>
      <c r="R566">
        <v>112742</v>
      </c>
    </row>
    <row r="567" spans="1:18" x14ac:dyDescent="0.25">
      <c r="A567" s="170">
        <v>43385</v>
      </c>
      <c r="B567" s="116">
        <v>1.21596530544489</v>
      </c>
      <c r="C567" s="116">
        <v>1.21596530544489</v>
      </c>
      <c r="D567" s="116">
        <v>1.21596530544489</v>
      </c>
      <c r="E567" s="116">
        <v>1.21596530544489</v>
      </c>
      <c r="F567" s="116">
        <v>1.33</v>
      </c>
      <c r="G567">
        <v>400</v>
      </c>
      <c r="H567" s="116"/>
      <c r="I567" s="116"/>
      <c r="L567" s="170">
        <v>42837</v>
      </c>
      <c r="M567" s="116">
        <v>514.29</v>
      </c>
      <c r="N567" s="116">
        <v>525.4</v>
      </c>
      <c r="O567" s="116">
        <v>476</v>
      </c>
      <c r="P567" s="116">
        <v>476</v>
      </c>
      <c r="Q567" s="116">
        <v>2571.4499999999998</v>
      </c>
      <c r="R567">
        <v>384031</v>
      </c>
    </row>
    <row r="568" spans="1:18" x14ac:dyDescent="0.25">
      <c r="A568" s="170">
        <v>43388</v>
      </c>
      <c r="B568" s="116">
        <v>1.21596530544489</v>
      </c>
      <c r="C568" s="116">
        <v>1.21596530544489</v>
      </c>
      <c r="D568" s="116">
        <v>1.21596530544489</v>
      </c>
      <c r="E568" s="116">
        <v>1.21596530544489</v>
      </c>
      <c r="F568" s="116">
        <v>1.33</v>
      </c>
      <c r="G568">
        <v>4373</v>
      </c>
      <c r="H568" s="116"/>
      <c r="I568" s="116"/>
      <c r="L568" s="170">
        <v>42838</v>
      </c>
      <c r="M568" s="116">
        <v>517.18000000000006</v>
      </c>
      <c r="N568" s="116">
        <v>533.39</v>
      </c>
      <c r="O568" s="116">
        <v>508.6</v>
      </c>
      <c r="P568" s="116">
        <v>519.18999999999994</v>
      </c>
      <c r="Q568" s="116">
        <v>2585.9</v>
      </c>
      <c r="R568">
        <v>222055</v>
      </c>
    </row>
    <row r="569" spans="1:18" x14ac:dyDescent="0.25">
      <c r="A569" s="170">
        <v>43405</v>
      </c>
      <c r="B569" s="116">
        <v>1.21596530544489</v>
      </c>
      <c r="C569" s="116">
        <v>1.21596530544489</v>
      </c>
      <c r="D569" s="116">
        <v>1.21596530544489</v>
      </c>
      <c r="E569" s="116">
        <v>1.21596530544489</v>
      </c>
      <c r="F569" s="116">
        <v>1.33</v>
      </c>
      <c r="G569">
        <v>3777</v>
      </c>
      <c r="H569" s="116"/>
      <c r="I569" s="116"/>
      <c r="L569" s="170">
        <v>42842</v>
      </c>
      <c r="M569" s="116">
        <v>501.45</v>
      </c>
      <c r="N569" s="116">
        <v>515.02</v>
      </c>
      <c r="O569" s="116">
        <v>498</v>
      </c>
      <c r="P569" s="116">
        <v>513.96</v>
      </c>
      <c r="Q569" s="116">
        <v>2507.25</v>
      </c>
      <c r="R569">
        <v>80492</v>
      </c>
    </row>
    <row r="570" spans="1:18" x14ac:dyDescent="0.25">
      <c r="A570" s="170">
        <v>43411</v>
      </c>
      <c r="B570" s="116">
        <v>1.21596530544489</v>
      </c>
      <c r="C570" s="116">
        <v>1.21596530544489</v>
      </c>
      <c r="D570" s="116">
        <v>1.21596530544489</v>
      </c>
      <c r="E570" s="116">
        <v>1.21596530544489</v>
      </c>
      <c r="F570" s="116">
        <v>1.33</v>
      </c>
      <c r="G570">
        <v>95</v>
      </c>
      <c r="H570" s="116"/>
      <c r="I570" s="116"/>
      <c r="L570" s="170">
        <v>42843</v>
      </c>
      <c r="M570" s="116">
        <v>487.52</v>
      </c>
      <c r="N570" s="116">
        <v>517.26</v>
      </c>
      <c r="O570" s="116">
        <v>480.41999999999996</v>
      </c>
      <c r="P570" s="116">
        <v>502.46999999999997</v>
      </c>
      <c r="Q570" s="116">
        <v>2437.6</v>
      </c>
      <c r="R570">
        <v>89714</v>
      </c>
    </row>
    <row r="571" spans="1:18" x14ac:dyDescent="0.25">
      <c r="A571" s="170">
        <v>43413</v>
      </c>
      <c r="B571" s="116">
        <v>1.1611097277556399</v>
      </c>
      <c r="C571" s="116">
        <v>1.1611097277556399</v>
      </c>
      <c r="D571" s="116">
        <v>1.1611097277556399</v>
      </c>
      <c r="E571" s="116">
        <v>1.1611097277556399</v>
      </c>
      <c r="F571" s="116">
        <v>1.27</v>
      </c>
      <c r="G571">
        <v>758</v>
      </c>
      <c r="H571" s="116"/>
      <c r="I571" s="116"/>
      <c r="L571" s="170">
        <v>42844</v>
      </c>
      <c r="M571" s="116">
        <v>496.78999999999996</v>
      </c>
      <c r="N571" s="116">
        <v>501.8</v>
      </c>
      <c r="O571" s="116">
        <v>481.45</v>
      </c>
      <c r="P571" s="116">
        <v>490.98999999999995</v>
      </c>
      <c r="Q571" s="116">
        <v>2483.9499999999998</v>
      </c>
      <c r="R571">
        <v>89103</v>
      </c>
    </row>
    <row r="572" spans="1:18" x14ac:dyDescent="0.25">
      <c r="A572" s="170">
        <v>43434</v>
      </c>
      <c r="B572" s="116">
        <v>1.21596530544489</v>
      </c>
      <c r="C572" s="116">
        <v>1.21596530544489</v>
      </c>
      <c r="D572" s="116">
        <v>1.1611097277556399</v>
      </c>
      <c r="E572" s="116">
        <v>1.1611097277556399</v>
      </c>
      <c r="F572" s="116">
        <v>1.33</v>
      </c>
      <c r="G572">
        <v>1660</v>
      </c>
      <c r="H572" s="116"/>
      <c r="I572" s="116"/>
      <c r="L572" s="170">
        <v>42845</v>
      </c>
      <c r="M572" s="116">
        <v>502.63</v>
      </c>
      <c r="N572" s="116">
        <v>510</v>
      </c>
      <c r="O572" s="116">
        <v>500.4</v>
      </c>
      <c r="P572" s="116">
        <v>503</v>
      </c>
      <c r="Q572" s="116">
        <v>2513.15</v>
      </c>
      <c r="R572">
        <v>84591</v>
      </c>
    </row>
    <row r="573" spans="1:18" x14ac:dyDescent="0.25">
      <c r="A573" s="170">
        <v>43437</v>
      </c>
      <c r="B573" s="116">
        <v>1.21596530544489</v>
      </c>
      <c r="C573" s="116">
        <v>1.21596530544489</v>
      </c>
      <c r="D573" s="116">
        <v>1.21596530544489</v>
      </c>
      <c r="E573" s="116">
        <v>1.21596530544489</v>
      </c>
      <c r="F573" s="116">
        <v>1.33</v>
      </c>
      <c r="G573">
        <v>200</v>
      </c>
      <c r="H573" s="116"/>
      <c r="I573" s="116"/>
      <c r="L573" s="170">
        <v>42846</v>
      </c>
      <c r="M573" s="116">
        <v>510.03999999999996</v>
      </c>
      <c r="N573" s="116">
        <v>515.6</v>
      </c>
      <c r="O573" s="116">
        <v>498.91</v>
      </c>
      <c r="P573" s="116">
        <v>504</v>
      </c>
      <c r="Q573" s="116">
        <v>2550.1999999999998</v>
      </c>
      <c r="R573">
        <v>72393</v>
      </c>
    </row>
    <row r="574" spans="1:18" x14ac:dyDescent="0.25">
      <c r="A574" s="170">
        <v>43441</v>
      </c>
      <c r="B574" s="116">
        <v>1.2708208831341301</v>
      </c>
      <c r="C574" s="116">
        <v>1.2708208831341301</v>
      </c>
      <c r="D574" s="116">
        <v>1.2708208831341301</v>
      </c>
      <c r="E574" s="116">
        <v>1.2708208831341301</v>
      </c>
      <c r="F574" s="116">
        <v>1.39</v>
      </c>
      <c r="G574">
        <v>2000</v>
      </c>
      <c r="H574" s="116"/>
      <c r="I574" s="116"/>
      <c r="L574" s="170">
        <v>42849</v>
      </c>
      <c r="M574" s="116">
        <v>516.65</v>
      </c>
      <c r="N574" s="116">
        <v>519.43999999999994</v>
      </c>
      <c r="O574" s="116">
        <v>510.4</v>
      </c>
      <c r="P574" s="116">
        <v>510.4</v>
      </c>
      <c r="Q574" s="116">
        <v>2583.25</v>
      </c>
      <c r="R574">
        <v>59629</v>
      </c>
    </row>
    <row r="575" spans="1:18" x14ac:dyDescent="0.25">
      <c r="A575" s="170">
        <v>43444</v>
      </c>
      <c r="B575" s="116">
        <v>1.32567646082337</v>
      </c>
      <c r="C575" s="116">
        <v>1.32567646082337</v>
      </c>
      <c r="D575" s="116">
        <v>1.32567646082337</v>
      </c>
      <c r="E575" s="116">
        <v>1.32567646082337</v>
      </c>
      <c r="F575" s="116">
        <v>1.45</v>
      </c>
      <c r="G575">
        <v>1900</v>
      </c>
      <c r="H575" s="116"/>
      <c r="I575" s="116"/>
      <c r="L575" s="170">
        <v>42850</v>
      </c>
      <c r="M575" s="116">
        <v>516.88</v>
      </c>
      <c r="N575" s="116">
        <v>531.6</v>
      </c>
      <c r="O575" s="116">
        <v>505</v>
      </c>
      <c r="P575" s="116">
        <v>520</v>
      </c>
      <c r="Q575" s="116">
        <v>2584.4</v>
      </c>
      <c r="R575">
        <v>474020</v>
      </c>
    </row>
    <row r="576" spans="1:18" x14ac:dyDescent="0.25">
      <c r="A576" s="170">
        <v>43451</v>
      </c>
      <c r="B576" s="116">
        <v>1.32567646082337</v>
      </c>
      <c r="C576" s="116">
        <v>1.32567646082337</v>
      </c>
      <c r="D576" s="116">
        <v>1.32567646082337</v>
      </c>
      <c r="E576" s="116">
        <v>1.32567646082337</v>
      </c>
      <c r="F576" s="116">
        <v>1.45</v>
      </c>
      <c r="G576">
        <v>300</v>
      </c>
      <c r="H576" s="116"/>
      <c r="I576" s="116"/>
      <c r="L576" s="170">
        <v>42851</v>
      </c>
      <c r="M576" s="116">
        <v>509.91999999999996</v>
      </c>
      <c r="N576" s="116">
        <v>523.79999999999995</v>
      </c>
      <c r="O576" s="116">
        <v>506.4</v>
      </c>
      <c r="P576" s="116">
        <v>520.20000000000005</v>
      </c>
      <c r="Q576" s="116">
        <v>2549.6</v>
      </c>
      <c r="R576">
        <v>86177</v>
      </c>
    </row>
    <row r="577" spans="1:18" x14ac:dyDescent="0.25">
      <c r="A577" s="170">
        <v>43453</v>
      </c>
      <c r="B577" s="116">
        <v>1.32567646082337</v>
      </c>
      <c r="C577" s="116">
        <v>1.32567646082337</v>
      </c>
      <c r="D577" s="116">
        <v>1.32567646082337</v>
      </c>
      <c r="E577" s="116">
        <v>1.32567646082337</v>
      </c>
      <c r="F577" s="116">
        <v>1.45</v>
      </c>
      <c r="G577">
        <v>2014</v>
      </c>
      <c r="H577" s="116"/>
      <c r="I577" s="116"/>
      <c r="L577" s="170">
        <v>42852</v>
      </c>
      <c r="M577" s="116">
        <v>519.46</v>
      </c>
      <c r="N577" s="116">
        <v>523.6</v>
      </c>
      <c r="O577" s="116">
        <v>506</v>
      </c>
      <c r="P577" s="116">
        <v>511.98</v>
      </c>
      <c r="Q577" s="116">
        <v>2597.3000000000002</v>
      </c>
      <c r="R577">
        <v>179306</v>
      </c>
    </row>
    <row r="578" spans="1:18" x14ac:dyDescent="0.25">
      <c r="A578" s="170">
        <v>43455</v>
      </c>
      <c r="B578" s="116">
        <v>1.38967463479416</v>
      </c>
      <c r="C578" s="116">
        <v>1.38967463479416</v>
      </c>
      <c r="D578" s="116">
        <v>1.38967463479416</v>
      </c>
      <c r="E578" s="116">
        <v>1.38967463479416</v>
      </c>
      <c r="F578" s="116">
        <v>1.52</v>
      </c>
      <c r="G578">
        <v>700</v>
      </c>
      <c r="H578" s="116"/>
      <c r="I578" s="116"/>
      <c r="L578" s="170">
        <v>42853</v>
      </c>
      <c r="M578" s="116">
        <v>523.45000000000005</v>
      </c>
      <c r="N578" s="116">
        <v>533.6</v>
      </c>
      <c r="O578" s="116">
        <v>520.21</v>
      </c>
      <c r="P578" s="116">
        <v>523.58000000000004</v>
      </c>
      <c r="Q578" s="116">
        <v>2617.25</v>
      </c>
      <c r="R578">
        <v>241402</v>
      </c>
    </row>
    <row r="579" spans="1:18" x14ac:dyDescent="0.25">
      <c r="A579" s="170">
        <v>43460</v>
      </c>
      <c r="B579" s="116">
        <v>1.45367280876494</v>
      </c>
      <c r="C579" s="116">
        <v>1.45367280876494</v>
      </c>
      <c r="D579" s="116">
        <v>1.45367280876494</v>
      </c>
      <c r="E579" s="116">
        <v>1.45367280876494</v>
      </c>
      <c r="F579" s="116">
        <v>1.59</v>
      </c>
      <c r="G579">
        <v>1000</v>
      </c>
      <c r="H579" s="116"/>
      <c r="I579" s="116"/>
      <c r="L579" s="170">
        <v>42857</v>
      </c>
      <c r="M579" s="116">
        <v>567.25</v>
      </c>
      <c r="N579" s="116">
        <v>571.79999999999995</v>
      </c>
      <c r="O579" s="116">
        <v>520.79999999999995</v>
      </c>
      <c r="P579" s="116">
        <v>524</v>
      </c>
      <c r="Q579" s="116">
        <v>2836.25</v>
      </c>
      <c r="R579">
        <v>517937</v>
      </c>
    </row>
    <row r="580" spans="1:18" x14ac:dyDescent="0.25">
      <c r="A580" s="170">
        <v>43461</v>
      </c>
      <c r="B580" s="116">
        <v>1.45367280876494</v>
      </c>
      <c r="C580" s="116">
        <v>1.45367280876494</v>
      </c>
      <c r="D580" s="116">
        <v>1.45367280876494</v>
      </c>
      <c r="E580" s="116">
        <v>1.45367280876494</v>
      </c>
      <c r="F580" s="116">
        <v>1.59</v>
      </c>
      <c r="G580">
        <v>500</v>
      </c>
      <c r="H580" s="116"/>
      <c r="I580" s="116"/>
      <c r="L580" s="170">
        <v>42858</v>
      </c>
      <c r="M580" s="116">
        <v>561.01</v>
      </c>
      <c r="N580" s="116">
        <v>572.24</v>
      </c>
      <c r="O580" s="116">
        <v>556.21</v>
      </c>
      <c r="P580" s="116">
        <v>570</v>
      </c>
      <c r="Q580" s="116">
        <v>2805.05</v>
      </c>
      <c r="R580">
        <v>161106</v>
      </c>
    </row>
    <row r="581" spans="1:18" x14ac:dyDescent="0.25">
      <c r="A581" s="170">
        <v>43462</v>
      </c>
      <c r="B581" s="116">
        <v>1.4171024236387799</v>
      </c>
      <c r="C581" s="116">
        <v>1.4171024236387799</v>
      </c>
      <c r="D581" s="116">
        <v>1.4171024236387799</v>
      </c>
      <c r="E581" s="116">
        <v>1.4171024236387799</v>
      </c>
      <c r="F581" s="116">
        <v>1.55</v>
      </c>
      <c r="G581">
        <v>661</v>
      </c>
      <c r="H581" s="116"/>
      <c r="I581" s="116"/>
      <c r="L581" s="170">
        <v>42859</v>
      </c>
      <c r="M581" s="116">
        <v>568.25</v>
      </c>
      <c r="N581" s="116">
        <v>579.99</v>
      </c>
      <c r="O581" s="116">
        <v>562</v>
      </c>
      <c r="P581" s="116">
        <v>562.78</v>
      </c>
      <c r="Q581" s="116">
        <v>2841.25</v>
      </c>
      <c r="R581">
        <v>221317</v>
      </c>
    </row>
    <row r="582" spans="1:18" x14ac:dyDescent="0.25">
      <c r="A582" s="170">
        <v>43465</v>
      </c>
      <c r="B582" s="116">
        <v>1.4171024236387799</v>
      </c>
      <c r="C582" s="116">
        <v>1.4171024236387799</v>
      </c>
      <c r="D582" s="116">
        <v>1.4171024236387799</v>
      </c>
      <c r="E582" s="116">
        <v>1.4171024236387799</v>
      </c>
      <c r="F582" s="116">
        <v>1.55</v>
      </c>
      <c r="G582">
        <v>1400</v>
      </c>
      <c r="H582" s="116"/>
      <c r="I582" s="116"/>
      <c r="L582" s="170">
        <v>42860</v>
      </c>
      <c r="M582" s="116">
        <v>567.04999999999995</v>
      </c>
      <c r="N582" s="116">
        <v>575</v>
      </c>
      <c r="O582" s="116">
        <v>558.22</v>
      </c>
      <c r="P582" s="116">
        <v>567.99</v>
      </c>
      <c r="Q582" s="116">
        <v>2835.25</v>
      </c>
      <c r="R582">
        <v>125630</v>
      </c>
    </row>
    <row r="583" spans="1:18" x14ac:dyDescent="0.25">
      <c r="A583" s="170">
        <v>43466</v>
      </c>
      <c r="B583" s="116">
        <v>1.3713894422310799</v>
      </c>
      <c r="C583" s="116">
        <v>1.3531042496679899</v>
      </c>
      <c r="D583" s="116">
        <v>1.3531042496679899</v>
      </c>
      <c r="E583" s="116">
        <v>1.3713894422310799</v>
      </c>
      <c r="F583" s="116">
        <v>1.48</v>
      </c>
      <c r="G583">
        <v>3000</v>
      </c>
      <c r="H583" s="116"/>
      <c r="I583" s="116"/>
      <c r="L583" s="170">
        <v>42863</v>
      </c>
      <c r="M583" s="116">
        <v>569</v>
      </c>
      <c r="N583" s="116">
        <v>574.51</v>
      </c>
      <c r="O583" s="116">
        <v>566.20000000000005</v>
      </c>
      <c r="P583" s="116">
        <v>569.6</v>
      </c>
      <c r="Q583" s="116">
        <v>2845</v>
      </c>
      <c r="R583">
        <v>68290</v>
      </c>
    </row>
    <row r="584" spans="1:18" x14ac:dyDescent="0.25">
      <c r="A584" s="170">
        <v>43469</v>
      </c>
      <c r="B584" s="116">
        <v>1.4171024236387799</v>
      </c>
      <c r="C584" s="116">
        <v>1.4171024236387799</v>
      </c>
      <c r="D584" s="116">
        <v>1.4171024236387799</v>
      </c>
      <c r="E584" s="116">
        <v>1.4171024236387799</v>
      </c>
      <c r="F584" s="116">
        <v>1.55</v>
      </c>
      <c r="G584">
        <v>1000</v>
      </c>
      <c r="H584" s="116"/>
      <c r="I584" s="116"/>
      <c r="L584" s="170">
        <v>42864</v>
      </c>
      <c r="M584" s="116">
        <v>558.71</v>
      </c>
      <c r="N584" s="116">
        <v>570.68999999999994</v>
      </c>
      <c r="O584" s="116">
        <v>556.41000000000008</v>
      </c>
      <c r="P584" s="116">
        <v>570.4</v>
      </c>
      <c r="Q584" s="116">
        <v>2793.55</v>
      </c>
      <c r="R584">
        <v>85188</v>
      </c>
    </row>
    <row r="585" spans="1:18" x14ac:dyDescent="0.25">
      <c r="A585" s="170">
        <v>43472</v>
      </c>
      <c r="B585" s="116">
        <v>1.4811005976095599</v>
      </c>
      <c r="C585" s="116">
        <v>1.4811005976095599</v>
      </c>
      <c r="D585" s="116">
        <v>1.4171024236387799</v>
      </c>
      <c r="E585" s="116">
        <v>1.4171024236387799</v>
      </c>
      <c r="F585" s="116">
        <v>1.62</v>
      </c>
      <c r="G585">
        <v>1250</v>
      </c>
      <c r="H585" s="116"/>
      <c r="I585" s="116"/>
      <c r="L585" s="170">
        <v>42865</v>
      </c>
      <c r="M585" s="116">
        <v>560.98</v>
      </c>
      <c r="N585" s="116">
        <v>573.6</v>
      </c>
      <c r="O585" s="116">
        <v>556.02</v>
      </c>
      <c r="P585" s="116">
        <v>556.02</v>
      </c>
      <c r="Q585" s="116">
        <v>2804.9</v>
      </c>
      <c r="R585">
        <v>152608</v>
      </c>
    </row>
    <row r="586" spans="1:18" x14ac:dyDescent="0.25">
      <c r="A586" s="170">
        <v>43473</v>
      </c>
      <c r="B586" s="116">
        <v>1.4811005976095599</v>
      </c>
      <c r="C586" s="116">
        <v>1.4811005976095599</v>
      </c>
      <c r="D586" s="116">
        <v>1.4811005976095599</v>
      </c>
      <c r="E586" s="116">
        <v>1.4811005976095599</v>
      </c>
      <c r="F586" s="116">
        <v>1.62</v>
      </c>
      <c r="G586">
        <v>100</v>
      </c>
      <c r="H586" s="116"/>
      <c r="I586" s="116"/>
      <c r="L586" s="170">
        <v>42866</v>
      </c>
      <c r="M586" s="116">
        <v>548.1</v>
      </c>
      <c r="N586" s="116">
        <v>566.58999999999992</v>
      </c>
      <c r="O586" s="116">
        <v>544</v>
      </c>
      <c r="P586" s="116">
        <v>561.49</v>
      </c>
      <c r="Q586" s="116">
        <v>2740.5</v>
      </c>
      <c r="R586">
        <v>111819</v>
      </c>
    </row>
    <row r="587" spans="1:18" x14ac:dyDescent="0.25">
      <c r="A587" s="170">
        <v>43475</v>
      </c>
      <c r="B587" s="116">
        <v>1.47195800132802</v>
      </c>
      <c r="C587" s="116">
        <v>1.4628154050464801</v>
      </c>
      <c r="D587" s="116">
        <v>1.4628154050464801</v>
      </c>
      <c r="E587" s="116">
        <v>1.47195800132802</v>
      </c>
      <c r="F587" s="116">
        <v>1.6</v>
      </c>
      <c r="G587">
        <v>1125</v>
      </c>
      <c r="H587" s="116"/>
      <c r="I587" s="116"/>
      <c r="L587" s="170">
        <v>42867</v>
      </c>
      <c r="M587" s="116">
        <v>532.16999999999996</v>
      </c>
      <c r="N587" s="116">
        <v>550.71</v>
      </c>
      <c r="O587" s="116">
        <v>527</v>
      </c>
      <c r="P587" s="116">
        <v>548.1</v>
      </c>
      <c r="Q587" s="116">
        <v>2660.85</v>
      </c>
      <c r="R587">
        <v>119282</v>
      </c>
    </row>
    <row r="588" spans="1:18" x14ac:dyDescent="0.25">
      <c r="A588" s="170">
        <v>43476</v>
      </c>
      <c r="B588" s="116">
        <v>1.4628154050464801</v>
      </c>
      <c r="C588" s="116">
        <v>1.4628154050464801</v>
      </c>
      <c r="D588" s="116">
        <v>1.4628154050464801</v>
      </c>
      <c r="E588" s="116">
        <v>1.4628154050464801</v>
      </c>
      <c r="F588" s="116">
        <v>1.6</v>
      </c>
      <c r="G588">
        <v>1000</v>
      </c>
      <c r="H588" s="116"/>
      <c r="I588" s="116"/>
      <c r="L588" s="170">
        <v>42870</v>
      </c>
      <c r="M588" s="116">
        <v>556.46</v>
      </c>
      <c r="N588" s="116">
        <v>561.58000000000004</v>
      </c>
      <c r="O588" s="116">
        <v>537.99</v>
      </c>
      <c r="P588" s="116">
        <v>537.99</v>
      </c>
      <c r="Q588" s="116">
        <v>2782.3</v>
      </c>
      <c r="R588">
        <v>179276</v>
      </c>
    </row>
    <row r="589" spans="1:18" x14ac:dyDescent="0.25">
      <c r="A589" s="170">
        <v>43479</v>
      </c>
      <c r="B589" s="116">
        <v>1.4628154050464801</v>
      </c>
      <c r="C589" s="116">
        <v>1.4628154050464801</v>
      </c>
      <c r="D589" s="116">
        <v>1.4628154050464801</v>
      </c>
      <c r="E589" s="116">
        <v>1.4628154050464801</v>
      </c>
      <c r="F589" s="116">
        <v>1.6</v>
      </c>
      <c r="G589">
        <v>660</v>
      </c>
      <c r="H589" s="116"/>
      <c r="I589" s="116"/>
      <c r="L589" s="170">
        <v>42871</v>
      </c>
      <c r="M589" s="116">
        <v>553.08999999999992</v>
      </c>
      <c r="N589" s="116">
        <v>560</v>
      </c>
      <c r="O589" s="116">
        <v>546.4</v>
      </c>
      <c r="P589" s="116">
        <v>558.79999999999995</v>
      </c>
      <c r="Q589" s="116">
        <v>2765.45</v>
      </c>
      <c r="R589">
        <v>71294</v>
      </c>
    </row>
    <row r="590" spans="1:18" x14ac:dyDescent="0.25">
      <c r="A590" s="170">
        <v>43489</v>
      </c>
      <c r="B590" s="116">
        <v>1.5359561752988</v>
      </c>
      <c r="C590" s="116">
        <v>1.5359561752988</v>
      </c>
      <c r="D590" s="116">
        <v>1.5359561752988</v>
      </c>
      <c r="E590" s="116">
        <v>1.5359561752988</v>
      </c>
      <c r="F590" s="116">
        <v>1.68</v>
      </c>
      <c r="G590">
        <v>50</v>
      </c>
      <c r="H590" s="116"/>
      <c r="I590" s="116"/>
      <c r="L590" s="170">
        <v>42872</v>
      </c>
      <c r="M590" s="116">
        <v>551.79</v>
      </c>
      <c r="N590" s="116">
        <v>559.29999999999995</v>
      </c>
      <c r="O590" s="116">
        <v>547.61</v>
      </c>
      <c r="P590" s="116">
        <v>555.4</v>
      </c>
      <c r="Q590" s="116">
        <v>2758.95</v>
      </c>
      <c r="R590">
        <v>109124</v>
      </c>
    </row>
    <row r="591" spans="1:18" x14ac:dyDescent="0.25">
      <c r="A591" s="170">
        <v>43493</v>
      </c>
      <c r="B591" s="116">
        <v>1.5359561752988</v>
      </c>
      <c r="C591" s="116">
        <v>1.5359561752988</v>
      </c>
      <c r="D591" s="116">
        <v>1.5359561752988</v>
      </c>
      <c r="E591" s="116">
        <v>1.5359561752988</v>
      </c>
      <c r="F591" s="116">
        <v>1.68</v>
      </c>
      <c r="G591">
        <v>237</v>
      </c>
      <c r="H591" s="116"/>
      <c r="I591" s="116"/>
      <c r="L591" s="170">
        <v>42873</v>
      </c>
      <c r="M591" s="116">
        <v>534.23</v>
      </c>
      <c r="N591" s="116">
        <v>552.47</v>
      </c>
      <c r="O591" s="116">
        <v>529.79999999999995</v>
      </c>
      <c r="P591" s="116">
        <v>545</v>
      </c>
      <c r="Q591" s="116">
        <v>2671.15</v>
      </c>
      <c r="R591">
        <v>107200</v>
      </c>
    </row>
    <row r="592" spans="1:18" x14ac:dyDescent="0.25">
      <c r="A592" s="170">
        <v>43494</v>
      </c>
      <c r="B592" s="116">
        <v>1.6090969455511299</v>
      </c>
      <c r="C592" s="116">
        <v>1.6090969455511299</v>
      </c>
      <c r="D592" s="116">
        <v>1.6090969455511299</v>
      </c>
      <c r="E592" s="116">
        <v>1.6090969455511299</v>
      </c>
      <c r="F592" s="116">
        <v>1.76</v>
      </c>
      <c r="G592">
        <v>1100</v>
      </c>
      <c r="H592" s="116"/>
      <c r="I592" s="116"/>
      <c r="L592" s="170">
        <v>42874</v>
      </c>
      <c r="M592" s="116">
        <v>523.91000000000008</v>
      </c>
      <c r="N592" s="116">
        <v>542.79999999999995</v>
      </c>
      <c r="O592" s="116">
        <v>514</v>
      </c>
      <c r="P592" s="116">
        <v>531.41999999999996</v>
      </c>
      <c r="Q592" s="116">
        <v>2619.5500000000002</v>
      </c>
      <c r="R592">
        <v>118052</v>
      </c>
    </row>
    <row r="593" spans="1:18" x14ac:dyDescent="0.25">
      <c r="A593" s="170">
        <v>43495</v>
      </c>
      <c r="B593" s="116">
        <v>1.64566733067729</v>
      </c>
      <c r="C593" s="116">
        <v>1.5359561752988</v>
      </c>
      <c r="D593" s="116">
        <v>1.5359561752988</v>
      </c>
      <c r="E593" s="116">
        <v>1.64566733067729</v>
      </c>
      <c r="F593" s="116">
        <v>1.68</v>
      </c>
      <c r="G593">
        <v>1000</v>
      </c>
      <c r="H593" s="116"/>
      <c r="I593" s="116"/>
      <c r="L593" s="170">
        <v>42877</v>
      </c>
      <c r="M593" s="116">
        <v>505.57</v>
      </c>
      <c r="N593" s="116">
        <v>530.20000000000005</v>
      </c>
      <c r="O593" s="116">
        <v>501.6</v>
      </c>
      <c r="P593" s="116">
        <v>526.74</v>
      </c>
      <c r="Q593" s="116">
        <v>2527.85</v>
      </c>
      <c r="R593">
        <v>91727</v>
      </c>
    </row>
    <row r="594" spans="1:18" x14ac:dyDescent="0.25">
      <c r="A594" s="170">
        <v>43496</v>
      </c>
      <c r="B594" s="116">
        <v>1.6090969455511299</v>
      </c>
      <c r="C594" s="116">
        <v>1.6090969455511299</v>
      </c>
      <c r="D594" s="116">
        <v>1.4628154050464801</v>
      </c>
      <c r="E594" s="116">
        <v>1.4628154050464801</v>
      </c>
      <c r="F594" s="116">
        <v>1.76</v>
      </c>
      <c r="G594">
        <v>1100</v>
      </c>
      <c r="H594" s="116"/>
      <c r="I594" s="116"/>
      <c r="L594" s="170">
        <v>42878</v>
      </c>
      <c r="M594" s="116">
        <v>517.9</v>
      </c>
      <c r="N594" s="116">
        <v>534.79999999999995</v>
      </c>
      <c r="O594" s="116">
        <v>489.03999999999996</v>
      </c>
      <c r="P594" s="116">
        <v>510</v>
      </c>
      <c r="Q594" s="116">
        <v>2589.5</v>
      </c>
      <c r="R594">
        <v>203719</v>
      </c>
    </row>
    <row r="595" spans="1:18" x14ac:dyDescent="0.25">
      <c r="A595" s="170">
        <v>43497</v>
      </c>
      <c r="B595" s="116">
        <v>1.6822377158034501</v>
      </c>
      <c r="C595" s="116">
        <v>1.6822377158034501</v>
      </c>
      <c r="D595" s="116">
        <v>1.5359561752988</v>
      </c>
      <c r="E595" s="116">
        <v>1.6822377158034501</v>
      </c>
      <c r="F595" s="116">
        <v>1.84</v>
      </c>
      <c r="G595">
        <v>2249</v>
      </c>
      <c r="H595" s="116"/>
      <c r="I595" s="116"/>
      <c r="L595" s="170">
        <v>42879</v>
      </c>
      <c r="M595" s="116">
        <v>514.72</v>
      </c>
      <c r="N595" s="116">
        <v>527.99</v>
      </c>
      <c r="O595" s="116">
        <v>505.41</v>
      </c>
      <c r="P595" s="116">
        <v>519.99</v>
      </c>
      <c r="Q595" s="116">
        <v>2573.6</v>
      </c>
      <c r="R595">
        <v>105887</v>
      </c>
    </row>
    <row r="596" spans="1:18" x14ac:dyDescent="0.25">
      <c r="A596" s="170">
        <v>43500</v>
      </c>
      <c r="B596" s="116">
        <v>1.6822377158034501</v>
      </c>
      <c r="C596" s="116">
        <v>1.59995434926959</v>
      </c>
      <c r="D596" s="116">
        <v>1.59995434926959</v>
      </c>
      <c r="E596" s="116">
        <v>1.6822377158034501</v>
      </c>
      <c r="F596" s="116">
        <v>1.75</v>
      </c>
      <c r="G596">
        <v>500</v>
      </c>
      <c r="H596" s="116"/>
      <c r="I596" s="116"/>
      <c r="L596" s="170">
        <v>42880</v>
      </c>
      <c r="M596" s="116">
        <v>528.23</v>
      </c>
      <c r="N596" s="116">
        <v>531.77</v>
      </c>
      <c r="O596" s="116">
        <v>516.01</v>
      </c>
      <c r="P596" s="116">
        <v>519.79999999999995</v>
      </c>
      <c r="Q596" s="116">
        <v>2641.15</v>
      </c>
      <c r="R596">
        <v>84294</v>
      </c>
    </row>
    <row r="597" spans="1:18" x14ac:dyDescent="0.25">
      <c r="A597" s="170">
        <v>43503</v>
      </c>
      <c r="B597" s="116">
        <v>1.6730951195219099</v>
      </c>
      <c r="C597" s="116">
        <v>1.6730951195219099</v>
      </c>
      <c r="D597" s="116">
        <v>1.59995434926959</v>
      </c>
      <c r="E597" s="116">
        <v>1.59995434926959</v>
      </c>
      <c r="F597" s="116">
        <v>1.83</v>
      </c>
      <c r="G597">
        <v>150</v>
      </c>
      <c r="H597" s="116"/>
      <c r="I597" s="116"/>
      <c r="L597" s="170">
        <v>42881</v>
      </c>
      <c r="M597" s="116">
        <v>526.27</v>
      </c>
      <c r="N597" s="116">
        <v>534.01</v>
      </c>
      <c r="O597" s="116">
        <v>514.04</v>
      </c>
      <c r="P597" s="116">
        <v>527.88</v>
      </c>
      <c r="Q597" s="116">
        <v>2631.35</v>
      </c>
      <c r="R597">
        <v>118527</v>
      </c>
    </row>
    <row r="598" spans="1:18" x14ac:dyDescent="0.25">
      <c r="A598" s="170">
        <v>43504</v>
      </c>
      <c r="B598" s="116">
        <v>1.75537848605578</v>
      </c>
      <c r="C598" s="116">
        <v>1.75537848605578</v>
      </c>
      <c r="D598" s="116">
        <v>1.59995434926959</v>
      </c>
      <c r="E598" s="116">
        <v>1.59995434926959</v>
      </c>
      <c r="F598" s="116">
        <v>1.92</v>
      </c>
      <c r="G598">
        <v>100</v>
      </c>
      <c r="H598" s="116"/>
      <c r="I598" s="116"/>
      <c r="L598" s="170">
        <v>42884</v>
      </c>
      <c r="M598" s="116">
        <v>524</v>
      </c>
      <c r="N598" s="116">
        <v>532.11</v>
      </c>
      <c r="O598" s="116">
        <v>518</v>
      </c>
      <c r="P598" s="116">
        <v>522</v>
      </c>
      <c r="Q598" s="116">
        <v>2620</v>
      </c>
      <c r="R598">
        <v>62984</v>
      </c>
    </row>
    <row r="599" spans="1:18" x14ac:dyDescent="0.25">
      <c r="A599" s="170">
        <v>43508</v>
      </c>
      <c r="B599" s="116">
        <v>1.83766185258964</v>
      </c>
      <c r="C599" s="116">
        <v>1.83766185258964</v>
      </c>
      <c r="D599" s="116">
        <v>1.83766185258964</v>
      </c>
      <c r="E599" s="116">
        <v>1.83766185258964</v>
      </c>
      <c r="F599" s="116">
        <v>2.0099999999999998</v>
      </c>
      <c r="G599">
        <v>100</v>
      </c>
      <c r="H599" s="116"/>
      <c r="I599" s="116"/>
      <c r="L599" s="170">
        <v>42885</v>
      </c>
      <c r="M599" s="116">
        <v>545.54</v>
      </c>
      <c r="N599" s="116">
        <v>547.58000000000004</v>
      </c>
      <c r="O599" s="116">
        <v>521</v>
      </c>
      <c r="P599" s="116">
        <v>522.96</v>
      </c>
      <c r="Q599" s="116">
        <v>2727.7</v>
      </c>
      <c r="R599">
        <v>124961</v>
      </c>
    </row>
    <row r="600" spans="1:18" x14ac:dyDescent="0.25">
      <c r="A600" s="170">
        <v>43509</v>
      </c>
      <c r="B600" s="116">
        <v>1.9290878154050499</v>
      </c>
      <c r="C600" s="116">
        <v>1.9290878154050499</v>
      </c>
      <c r="D600" s="116">
        <v>1.9108026228419701</v>
      </c>
      <c r="E600" s="116">
        <v>1.9108026228419701</v>
      </c>
      <c r="F600" s="116">
        <v>2.11</v>
      </c>
      <c r="G600">
        <v>9650</v>
      </c>
      <c r="H600" s="116"/>
      <c r="I600" s="116"/>
      <c r="L600" s="170">
        <v>42886</v>
      </c>
      <c r="M600" s="116">
        <v>542.75</v>
      </c>
      <c r="N600" s="116">
        <v>550.4</v>
      </c>
      <c r="O600" s="116">
        <v>533.72</v>
      </c>
      <c r="P600" s="116">
        <v>546.79999999999995</v>
      </c>
      <c r="Q600" s="116">
        <v>2713.75</v>
      </c>
      <c r="R600">
        <v>170189</v>
      </c>
    </row>
    <row r="601" spans="1:18" x14ac:dyDescent="0.25">
      <c r="A601" s="170">
        <v>43510</v>
      </c>
      <c r="B601" s="116">
        <v>2.0113711819389102</v>
      </c>
      <c r="C601" s="116">
        <v>2.0113711819389102</v>
      </c>
      <c r="D601" s="116">
        <v>2.0113711819389102</v>
      </c>
      <c r="E601" s="116">
        <v>2.0113711819389102</v>
      </c>
      <c r="F601" s="116">
        <v>2.2000000000000002</v>
      </c>
      <c r="G601">
        <v>4800</v>
      </c>
      <c r="H601" s="116"/>
      <c r="I601" s="116"/>
      <c r="L601" s="170">
        <v>42887</v>
      </c>
      <c r="M601" s="116">
        <v>549.08999999999992</v>
      </c>
      <c r="N601" s="116">
        <v>551.79999999999995</v>
      </c>
      <c r="O601" s="116">
        <v>535.75</v>
      </c>
      <c r="P601" s="116">
        <v>539.01</v>
      </c>
      <c r="Q601" s="116">
        <v>2745.45</v>
      </c>
      <c r="R601">
        <v>94569</v>
      </c>
    </row>
    <row r="602" spans="1:18" x14ac:dyDescent="0.25">
      <c r="A602" s="170">
        <v>43511</v>
      </c>
      <c r="B602" s="116">
        <v>2.1119397410358598</v>
      </c>
      <c r="C602" s="116">
        <v>2.1119397410358598</v>
      </c>
      <c r="D602" s="116">
        <v>2.1119397410358598</v>
      </c>
      <c r="E602" s="116">
        <v>2.1119397410358598</v>
      </c>
      <c r="F602" s="116">
        <v>2.31</v>
      </c>
      <c r="G602">
        <v>1000</v>
      </c>
      <c r="H602" s="116"/>
      <c r="I602" s="116"/>
      <c r="L602" s="170">
        <v>42888</v>
      </c>
      <c r="M602" s="116">
        <v>545.31999999999994</v>
      </c>
      <c r="N602" s="116">
        <v>552.99</v>
      </c>
      <c r="O602" s="116">
        <v>544</v>
      </c>
      <c r="P602" s="116">
        <v>552.79999999999995</v>
      </c>
      <c r="Q602" s="116">
        <v>2726.6</v>
      </c>
      <c r="R602">
        <v>48890</v>
      </c>
    </row>
    <row r="603" spans="1:18" x14ac:dyDescent="0.25">
      <c r="A603" s="170">
        <v>43514</v>
      </c>
      <c r="B603" s="116">
        <v>2.2125083001328001</v>
      </c>
      <c r="C603" s="116">
        <v>2.2125083001328001</v>
      </c>
      <c r="D603" s="116">
        <v>2.2125083001328001</v>
      </c>
      <c r="E603" s="116">
        <v>2.2125083001328001</v>
      </c>
      <c r="F603" s="116">
        <v>2.42</v>
      </c>
      <c r="G603">
        <v>815</v>
      </c>
      <c r="H603" s="116"/>
      <c r="I603" s="116"/>
      <c r="L603" s="170">
        <v>42891</v>
      </c>
      <c r="M603" s="116">
        <v>556.99</v>
      </c>
      <c r="N603" s="116">
        <v>560</v>
      </c>
      <c r="O603" s="116">
        <v>547</v>
      </c>
      <c r="P603" s="116">
        <v>550.4</v>
      </c>
      <c r="Q603" s="116">
        <v>2784.95</v>
      </c>
      <c r="R603">
        <v>99492</v>
      </c>
    </row>
    <row r="604" spans="1:18" x14ac:dyDescent="0.25">
      <c r="A604" s="170">
        <v>43515</v>
      </c>
      <c r="B604" s="116">
        <v>2.3222194555112901</v>
      </c>
      <c r="C604" s="116">
        <v>2.3222194555112901</v>
      </c>
      <c r="D604" s="116">
        <v>2.3222194555112901</v>
      </c>
      <c r="E604" s="116">
        <v>2.3222194555112901</v>
      </c>
      <c r="F604" s="116">
        <v>2.54</v>
      </c>
      <c r="G604">
        <v>5010</v>
      </c>
      <c r="H604" s="116"/>
      <c r="I604" s="116"/>
      <c r="L604" s="170">
        <v>42892</v>
      </c>
      <c r="M604" s="116">
        <v>553.81999999999994</v>
      </c>
      <c r="N604" s="116">
        <v>559.96</v>
      </c>
      <c r="O604" s="116">
        <v>546.79999999999995</v>
      </c>
      <c r="P604" s="116">
        <v>555.4</v>
      </c>
      <c r="Q604" s="116">
        <v>2769.1</v>
      </c>
      <c r="R604">
        <v>46533</v>
      </c>
    </row>
    <row r="605" spans="1:18" x14ac:dyDescent="0.25">
      <c r="A605" s="170">
        <v>43516</v>
      </c>
      <c r="B605" s="116">
        <v>2.4319306108897698</v>
      </c>
      <c r="C605" s="116">
        <v>2.4319306108897698</v>
      </c>
      <c r="D605" s="116">
        <v>2.4319306108897698</v>
      </c>
      <c r="E605" s="116">
        <v>2.4319306108897698</v>
      </c>
      <c r="F605" s="116">
        <v>2.66</v>
      </c>
      <c r="G605">
        <v>2159</v>
      </c>
      <c r="H605" s="116"/>
      <c r="I605" s="116"/>
      <c r="L605" s="170">
        <v>42893</v>
      </c>
      <c r="M605" s="116">
        <v>581.65</v>
      </c>
      <c r="N605" s="116">
        <v>589.41000000000008</v>
      </c>
      <c r="O605" s="116">
        <v>553.16999999999996</v>
      </c>
      <c r="P605" s="116">
        <v>554.4</v>
      </c>
      <c r="Q605" s="116">
        <v>2908.25</v>
      </c>
      <c r="R605">
        <v>375804</v>
      </c>
    </row>
    <row r="606" spans="1:18" x14ac:dyDescent="0.25">
      <c r="A606" s="170">
        <v>43517</v>
      </c>
      <c r="B606" s="116">
        <v>2.5507843625498001</v>
      </c>
      <c r="C606" s="116">
        <v>2.5507843625498001</v>
      </c>
      <c r="D606" s="116">
        <v>2.5507843625498001</v>
      </c>
      <c r="E606" s="116">
        <v>2.5507843625498001</v>
      </c>
      <c r="F606" s="116">
        <v>2.79</v>
      </c>
      <c r="G606">
        <v>2520</v>
      </c>
      <c r="H606" s="116"/>
      <c r="I606" s="116"/>
      <c r="L606" s="170">
        <v>42894</v>
      </c>
      <c r="M606" s="116">
        <v>580.01</v>
      </c>
      <c r="N606" s="116">
        <v>588.01</v>
      </c>
      <c r="O606" s="116">
        <v>574</v>
      </c>
      <c r="P606" s="116">
        <v>587.6</v>
      </c>
      <c r="Q606" s="116">
        <v>2900.05</v>
      </c>
      <c r="R606">
        <v>152775</v>
      </c>
    </row>
    <row r="607" spans="1:18" x14ac:dyDescent="0.25">
      <c r="A607" s="170">
        <v>43518</v>
      </c>
      <c r="B607" s="116">
        <v>2.66963811420983</v>
      </c>
      <c r="C607" s="116">
        <v>2.6604955179282901</v>
      </c>
      <c r="D607" s="116">
        <v>2.4319306108897698</v>
      </c>
      <c r="E607" s="116">
        <v>2.66963811420983</v>
      </c>
      <c r="F607" s="116">
        <v>2.91</v>
      </c>
      <c r="G607">
        <v>22746</v>
      </c>
      <c r="H607" s="116"/>
      <c r="I607" s="116"/>
      <c r="L607" s="170">
        <v>42895</v>
      </c>
      <c r="M607" s="116">
        <v>597.89</v>
      </c>
      <c r="N607" s="116">
        <v>602</v>
      </c>
      <c r="O607" s="116">
        <v>574.22</v>
      </c>
      <c r="P607" s="116">
        <v>581.76</v>
      </c>
      <c r="Q607" s="116">
        <v>2989.45</v>
      </c>
      <c r="R607">
        <v>199674</v>
      </c>
    </row>
    <row r="608" spans="1:18" x14ac:dyDescent="0.25">
      <c r="A608" s="170">
        <v>43521</v>
      </c>
      <c r="B608" s="116">
        <v>2.6604955179282901</v>
      </c>
      <c r="C608" s="116">
        <v>2.6604955179282901</v>
      </c>
      <c r="D608" s="116">
        <v>2.6604955179282901</v>
      </c>
      <c r="E608" s="116">
        <v>2.6604955179282901</v>
      </c>
      <c r="F608" s="116">
        <v>2.91</v>
      </c>
      <c r="G608">
        <v>1000</v>
      </c>
      <c r="H608" s="116"/>
      <c r="I608" s="116"/>
      <c r="L608" s="170">
        <v>42898</v>
      </c>
      <c r="M608" s="116">
        <v>604.96</v>
      </c>
      <c r="N608" s="116">
        <v>615.20000000000005</v>
      </c>
      <c r="O608" s="116">
        <v>597.38</v>
      </c>
      <c r="P608" s="116">
        <v>597.4</v>
      </c>
      <c r="Q608" s="116">
        <v>3024.8</v>
      </c>
      <c r="R608">
        <v>299499</v>
      </c>
    </row>
    <row r="609" spans="1:18" x14ac:dyDescent="0.25">
      <c r="A609" s="170">
        <v>43522</v>
      </c>
      <c r="B609" s="116">
        <v>2.7884918658698501</v>
      </c>
      <c r="C609" s="116">
        <v>2.7884918658698501</v>
      </c>
      <c r="D609" s="116">
        <v>2.7884918658698501</v>
      </c>
      <c r="E609" s="116">
        <v>2.7884918658698501</v>
      </c>
      <c r="F609" s="116">
        <v>3.05</v>
      </c>
      <c r="G609">
        <v>560</v>
      </c>
      <c r="H609" s="116"/>
      <c r="I609" s="116"/>
      <c r="L609" s="170">
        <v>42899</v>
      </c>
      <c r="M609" s="116">
        <v>610.93999999999994</v>
      </c>
      <c r="N609" s="116">
        <v>619</v>
      </c>
      <c r="O609" s="116">
        <v>604.1</v>
      </c>
      <c r="P609" s="116">
        <v>604.79999999999995</v>
      </c>
      <c r="Q609" s="116">
        <v>3054.7</v>
      </c>
      <c r="R609">
        <v>150189</v>
      </c>
    </row>
    <row r="610" spans="1:18" x14ac:dyDescent="0.25">
      <c r="A610" s="170">
        <v>43523</v>
      </c>
      <c r="B610" s="116">
        <v>2.8799178286852598</v>
      </c>
      <c r="C610" s="116">
        <v>2.8799178286852598</v>
      </c>
      <c r="D610" s="116">
        <v>2.8799178286852598</v>
      </c>
      <c r="E610" s="116">
        <v>2.8799178286852598</v>
      </c>
      <c r="F610" s="116">
        <v>3.15</v>
      </c>
      <c r="G610">
        <v>1250</v>
      </c>
      <c r="H610" s="116"/>
      <c r="I610" s="116"/>
      <c r="L610" s="170">
        <v>42900</v>
      </c>
      <c r="M610" s="116">
        <v>613.04</v>
      </c>
      <c r="N610" s="116">
        <v>616</v>
      </c>
      <c r="O610" s="116">
        <v>604.70000000000005</v>
      </c>
      <c r="P610" s="116">
        <v>611.22</v>
      </c>
      <c r="Q610" s="116">
        <v>3065.2</v>
      </c>
      <c r="R610">
        <v>84799</v>
      </c>
    </row>
    <row r="611" spans="1:18" x14ac:dyDescent="0.25">
      <c r="A611" s="170">
        <v>43524</v>
      </c>
      <c r="B611" s="116">
        <v>2.9256308100929602</v>
      </c>
      <c r="C611" s="116">
        <v>2.9256308100929602</v>
      </c>
      <c r="D611" s="116">
        <v>2.9164882138114199</v>
      </c>
      <c r="E611" s="116">
        <v>2.9256308100929602</v>
      </c>
      <c r="F611" s="116">
        <v>3.2</v>
      </c>
      <c r="G611">
        <v>4100</v>
      </c>
      <c r="H611" s="116"/>
      <c r="I611" s="116"/>
      <c r="L611" s="170">
        <v>42901</v>
      </c>
      <c r="M611" s="116">
        <v>624.38</v>
      </c>
      <c r="N611" s="116">
        <v>629.79999999999995</v>
      </c>
      <c r="O611" s="116">
        <v>612.22</v>
      </c>
      <c r="P611" s="116">
        <v>614.79999999999995</v>
      </c>
      <c r="Q611" s="116">
        <v>3121.9</v>
      </c>
      <c r="R611">
        <v>158480</v>
      </c>
    </row>
    <row r="612" spans="1:18" x14ac:dyDescent="0.25">
      <c r="A612" s="170">
        <v>43525</v>
      </c>
      <c r="B612" s="116">
        <v>2.9804863877822001</v>
      </c>
      <c r="C612" s="116">
        <v>2.9804863877822001</v>
      </c>
      <c r="D612" s="116">
        <v>2.9804863877822001</v>
      </c>
      <c r="E612" s="116">
        <v>2.9804863877822001</v>
      </c>
      <c r="F612" s="116">
        <v>3.26</v>
      </c>
      <c r="G612">
        <v>1750</v>
      </c>
      <c r="H612" s="116"/>
      <c r="I612" s="116"/>
      <c r="L612" s="170">
        <v>42902</v>
      </c>
      <c r="M612" s="116">
        <v>628.24</v>
      </c>
      <c r="N612" s="116">
        <v>632.91999999999996</v>
      </c>
      <c r="O612" s="116">
        <v>624.4</v>
      </c>
      <c r="P612" s="116">
        <v>628</v>
      </c>
      <c r="Q612" s="116">
        <v>3141.2</v>
      </c>
      <c r="R612">
        <v>102674</v>
      </c>
    </row>
    <row r="613" spans="1:18" x14ac:dyDescent="0.25">
      <c r="A613" s="170">
        <v>43529</v>
      </c>
      <c r="B613" s="116">
        <v>3.0353419654714502</v>
      </c>
      <c r="C613" s="116">
        <v>3.0353419654714502</v>
      </c>
      <c r="D613" s="116">
        <v>3.0353419654714502</v>
      </c>
      <c r="E613" s="116">
        <v>3.0353419654714502</v>
      </c>
      <c r="F613" s="116">
        <v>3.32</v>
      </c>
      <c r="G613">
        <v>56520</v>
      </c>
      <c r="H613" s="116"/>
      <c r="I613" s="116"/>
      <c r="L613" s="170">
        <v>42905</v>
      </c>
      <c r="M613" s="116">
        <v>627.27</v>
      </c>
      <c r="N613" s="116">
        <v>634</v>
      </c>
      <c r="O613" s="116">
        <v>623.41000000000008</v>
      </c>
      <c r="P613" s="116">
        <v>634</v>
      </c>
      <c r="Q613" s="116">
        <v>3136.35</v>
      </c>
      <c r="R613">
        <v>73387</v>
      </c>
    </row>
    <row r="614" spans="1:18" x14ac:dyDescent="0.25">
      <c r="A614" s="170">
        <v>43530</v>
      </c>
      <c r="B614" s="116">
        <v>3.0901975431606901</v>
      </c>
      <c r="C614" s="116">
        <v>3.0901975431606901</v>
      </c>
      <c r="D614" s="116">
        <v>3.0901975431606901</v>
      </c>
      <c r="E614" s="116">
        <v>3.0901975431606901</v>
      </c>
      <c r="F614" s="116">
        <v>3.38</v>
      </c>
      <c r="G614">
        <v>27164</v>
      </c>
      <c r="H614" s="116"/>
      <c r="I614" s="116"/>
      <c r="L614" s="170">
        <v>42906</v>
      </c>
      <c r="M614" s="116">
        <v>639.93999999999994</v>
      </c>
      <c r="N614" s="116">
        <v>643.6</v>
      </c>
      <c r="O614" s="116">
        <v>624.01</v>
      </c>
      <c r="P614" s="116">
        <v>629</v>
      </c>
      <c r="Q614" s="116">
        <v>3199.7</v>
      </c>
      <c r="R614">
        <v>160263</v>
      </c>
    </row>
    <row r="615" spans="1:18" x14ac:dyDescent="0.25">
      <c r="A615" s="170">
        <v>43531</v>
      </c>
      <c r="B615" s="116">
        <v>3.1450531208499299</v>
      </c>
      <c r="C615" s="116">
        <v>3.1450531208499299</v>
      </c>
      <c r="D615" s="116">
        <v>3.1450531208499299</v>
      </c>
      <c r="E615" s="116">
        <v>3.1450531208499299</v>
      </c>
      <c r="F615" s="116">
        <v>3.44</v>
      </c>
      <c r="G615">
        <v>105</v>
      </c>
      <c r="H615" s="116"/>
      <c r="I615" s="116"/>
      <c r="L615" s="170">
        <v>42907</v>
      </c>
      <c r="M615" s="116">
        <v>651.93999999999994</v>
      </c>
      <c r="N615" s="116">
        <v>660</v>
      </c>
      <c r="O615" s="116">
        <v>638</v>
      </c>
      <c r="P615" s="116">
        <v>639.79999999999995</v>
      </c>
      <c r="Q615" s="116">
        <v>3259.7</v>
      </c>
      <c r="R615">
        <v>238946</v>
      </c>
    </row>
    <row r="616" spans="1:18" x14ac:dyDescent="0.25">
      <c r="A616" s="170">
        <v>43532</v>
      </c>
      <c r="B616" s="116">
        <v>3.19990869853918</v>
      </c>
      <c r="C616" s="116">
        <v>3.19990869853918</v>
      </c>
      <c r="D616" s="116">
        <v>3.19990869853918</v>
      </c>
      <c r="E616" s="116">
        <v>3.19990869853918</v>
      </c>
      <c r="F616" s="116">
        <v>3.5</v>
      </c>
      <c r="G616">
        <v>3105</v>
      </c>
      <c r="H616" s="116"/>
      <c r="I616" s="116"/>
      <c r="L616" s="170">
        <v>42908</v>
      </c>
      <c r="M616" s="116">
        <v>650.95000000000005</v>
      </c>
      <c r="N616" s="116">
        <v>666</v>
      </c>
      <c r="O616" s="116">
        <v>646</v>
      </c>
      <c r="P616" s="116">
        <v>658.38</v>
      </c>
      <c r="Q616" s="116">
        <v>3254.75</v>
      </c>
      <c r="R616">
        <v>225633</v>
      </c>
    </row>
    <row r="617" spans="1:18" x14ac:dyDescent="0.25">
      <c r="A617" s="170">
        <v>43535</v>
      </c>
      <c r="B617" s="116">
        <v>3.2639068725099598</v>
      </c>
      <c r="C617" s="116">
        <v>3.2639068725099598</v>
      </c>
      <c r="D617" s="116">
        <v>3.2639068725099598</v>
      </c>
      <c r="E617" s="116">
        <v>3.2639068725099598</v>
      </c>
      <c r="F617" s="116">
        <v>3.57</v>
      </c>
      <c r="G617">
        <v>1465</v>
      </c>
      <c r="H617" s="116"/>
      <c r="I617" s="116"/>
      <c r="L617" s="170">
        <v>42909</v>
      </c>
      <c r="M617" s="116">
        <v>636.49</v>
      </c>
      <c r="N617" s="116">
        <v>658</v>
      </c>
      <c r="O617" s="116">
        <v>618.66000000000008</v>
      </c>
      <c r="P617" s="116">
        <v>656.12</v>
      </c>
      <c r="Q617" s="116">
        <v>3182.45</v>
      </c>
      <c r="R617">
        <v>396557</v>
      </c>
    </row>
    <row r="618" spans="1:18" x14ac:dyDescent="0.25">
      <c r="A618" s="170">
        <v>43536</v>
      </c>
      <c r="B618" s="116">
        <v>3.32790504648074</v>
      </c>
      <c r="C618" s="116">
        <v>3.32790504648074</v>
      </c>
      <c r="D618" s="116">
        <v>3.32790504648074</v>
      </c>
      <c r="E618" s="116">
        <v>3.32790504648074</v>
      </c>
      <c r="F618" s="116">
        <v>3.64</v>
      </c>
      <c r="G618">
        <v>450</v>
      </c>
      <c r="H618" s="116"/>
      <c r="I618" s="116"/>
      <c r="L618" s="170">
        <v>42913</v>
      </c>
      <c r="M618" s="116">
        <v>613.25</v>
      </c>
      <c r="N618" s="116">
        <v>635.39</v>
      </c>
      <c r="O618" s="116">
        <v>609.01</v>
      </c>
      <c r="P618" s="116">
        <v>632.01</v>
      </c>
      <c r="Q618" s="116">
        <v>3066.25</v>
      </c>
      <c r="R618">
        <v>147605</v>
      </c>
    </row>
    <row r="619" spans="1:18" x14ac:dyDescent="0.25">
      <c r="A619" s="170">
        <v>43537</v>
      </c>
      <c r="B619" s="116">
        <v>3.39190322045153</v>
      </c>
      <c r="C619" s="116">
        <v>3.39190322045153</v>
      </c>
      <c r="D619" s="116">
        <v>3.39190322045153</v>
      </c>
      <c r="E619" s="116">
        <v>3.39190322045153</v>
      </c>
      <c r="F619" s="116">
        <v>3.71</v>
      </c>
      <c r="G619">
        <v>9686</v>
      </c>
      <c r="H619" s="116"/>
      <c r="I619" s="116"/>
      <c r="L619" s="170">
        <v>42914</v>
      </c>
      <c r="M619" s="116">
        <v>621.87</v>
      </c>
      <c r="N619" s="116">
        <v>625</v>
      </c>
      <c r="O619" s="116">
        <v>600</v>
      </c>
      <c r="P619" s="116">
        <v>607</v>
      </c>
      <c r="Q619" s="116">
        <v>3109.35</v>
      </c>
      <c r="R619">
        <v>187811</v>
      </c>
    </row>
    <row r="620" spans="1:18" x14ac:dyDescent="0.25">
      <c r="A620" s="170">
        <v>43538</v>
      </c>
      <c r="B620" s="116">
        <v>3.4559013944223098</v>
      </c>
      <c r="C620" s="116">
        <v>3.4559013944223098</v>
      </c>
      <c r="D620" s="116">
        <v>3.3827606241699901</v>
      </c>
      <c r="E620" s="116">
        <v>3.4559013944223098</v>
      </c>
      <c r="F620" s="116">
        <v>3.78</v>
      </c>
      <c r="G620">
        <v>38329</v>
      </c>
      <c r="H620" s="116"/>
      <c r="I620" s="116"/>
      <c r="L620" s="170">
        <v>42915</v>
      </c>
      <c r="M620" s="116">
        <v>638.78</v>
      </c>
      <c r="N620" s="116">
        <v>641.6</v>
      </c>
      <c r="O620" s="116">
        <v>624.4</v>
      </c>
      <c r="P620" s="116">
        <v>627.74</v>
      </c>
      <c r="Q620" s="116">
        <v>3193.9</v>
      </c>
      <c r="R620">
        <v>208776</v>
      </c>
    </row>
    <row r="621" spans="1:18" x14ac:dyDescent="0.25">
      <c r="A621" s="170">
        <v>43539</v>
      </c>
      <c r="B621" s="116">
        <v>3.51989956839309</v>
      </c>
      <c r="C621" s="116">
        <v>3.39190322045153</v>
      </c>
      <c r="D621" s="116">
        <v>3.39190322045153</v>
      </c>
      <c r="E621" s="116">
        <v>3.51989956839309</v>
      </c>
      <c r="F621" s="116">
        <v>3.71</v>
      </c>
      <c r="G621">
        <v>35388</v>
      </c>
      <c r="H621" s="116"/>
      <c r="I621" s="116"/>
      <c r="L621" s="170">
        <v>42916</v>
      </c>
      <c r="M621" s="116">
        <v>646.51</v>
      </c>
      <c r="N621" s="116">
        <v>648.18000000000006</v>
      </c>
      <c r="O621" s="116">
        <v>627.93999999999994</v>
      </c>
      <c r="P621" s="116">
        <v>633</v>
      </c>
      <c r="Q621" s="116">
        <v>3232.55</v>
      </c>
      <c r="R621">
        <v>174848</v>
      </c>
    </row>
    <row r="622" spans="1:18" x14ac:dyDescent="0.25">
      <c r="A622" s="170">
        <v>43542</v>
      </c>
      <c r="B622" s="116">
        <v>3.32790504648074</v>
      </c>
      <c r="C622" s="116">
        <v>3.32790504648074</v>
      </c>
      <c r="D622" s="116">
        <v>3.32790504648074</v>
      </c>
      <c r="E622" s="116">
        <v>3.32790504648074</v>
      </c>
      <c r="F622" s="116">
        <v>3.64</v>
      </c>
      <c r="G622">
        <v>2805</v>
      </c>
      <c r="H622" s="116"/>
      <c r="I622" s="116"/>
      <c r="L622" s="170">
        <v>42919</v>
      </c>
      <c r="M622" s="116">
        <v>643.81000000000006</v>
      </c>
      <c r="N622" s="116">
        <v>649.79999999999995</v>
      </c>
      <c r="O622" s="116">
        <v>640</v>
      </c>
      <c r="P622" s="116">
        <v>645.4</v>
      </c>
      <c r="Q622" s="116">
        <v>3219.05</v>
      </c>
      <c r="R622">
        <v>95066</v>
      </c>
    </row>
    <row r="623" spans="1:18" x14ac:dyDescent="0.25">
      <c r="A623" s="170">
        <v>43543</v>
      </c>
      <c r="B623" s="116">
        <v>3.39190322045153</v>
      </c>
      <c r="C623" s="116">
        <v>3.3370476427622799</v>
      </c>
      <c r="D623" s="116">
        <v>3.3370476427622799</v>
      </c>
      <c r="E623" s="116">
        <v>3.39190322045153</v>
      </c>
      <c r="F623" s="116">
        <v>3.65</v>
      </c>
      <c r="G623">
        <v>25003</v>
      </c>
      <c r="H623" s="116"/>
      <c r="I623" s="116"/>
      <c r="L623" s="170">
        <v>42920</v>
      </c>
      <c r="M623" s="116">
        <v>640.28</v>
      </c>
      <c r="N623" s="116">
        <v>651.18000000000006</v>
      </c>
      <c r="O623" s="116">
        <v>637</v>
      </c>
      <c r="P623" s="116">
        <v>644</v>
      </c>
      <c r="Q623" s="116">
        <v>3201.4</v>
      </c>
      <c r="R623">
        <v>86806</v>
      </c>
    </row>
    <row r="624" spans="1:18" x14ac:dyDescent="0.25">
      <c r="A624" s="170">
        <v>43546</v>
      </c>
      <c r="B624" s="116">
        <v>3.3187624501992001</v>
      </c>
      <c r="C624" s="116">
        <v>3.3187624501992001</v>
      </c>
      <c r="D624" s="116">
        <v>3.3187624501992001</v>
      </c>
      <c r="E624" s="116">
        <v>3.3187624501992001</v>
      </c>
      <c r="F624" s="116">
        <v>3.63</v>
      </c>
      <c r="G624">
        <v>1003</v>
      </c>
      <c r="H624" s="116"/>
      <c r="I624" s="116"/>
      <c r="L624" s="170">
        <v>42921</v>
      </c>
      <c r="M624" s="116">
        <v>646.14</v>
      </c>
      <c r="N624" s="116">
        <v>655.74</v>
      </c>
      <c r="O624" s="116">
        <v>636.4</v>
      </c>
      <c r="P624" s="116">
        <v>643.4</v>
      </c>
      <c r="Q624" s="116">
        <v>3230.7</v>
      </c>
      <c r="R624">
        <v>137463</v>
      </c>
    </row>
    <row r="625" spans="1:18" x14ac:dyDescent="0.25">
      <c r="A625" s="170">
        <v>43549</v>
      </c>
      <c r="B625" s="116">
        <v>3.3187624501992001</v>
      </c>
      <c r="C625" s="116">
        <v>3.2547642762284199</v>
      </c>
      <c r="D625" s="116">
        <v>3.2547642762284199</v>
      </c>
      <c r="E625" s="116">
        <v>3.3187624501992001</v>
      </c>
      <c r="F625" s="116">
        <v>3.56</v>
      </c>
      <c r="G625">
        <v>6106</v>
      </c>
      <c r="H625" s="116"/>
      <c r="I625" s="116"/>
      <c r="L625" s="170">
        <v>42922</v>
      </c>
      <c r="M625" s="116">
        <v>644.93999999999994</v>
      </c>
      <c r="N625" s="116">
        <v>653.99</v>
      </c>
      <c r="O625" s="116">
        <v>642</v>
      </c>
      <c r="P625" s="116">
        <v>646</v>
      </c>
      <c r="Q625" s="116">
        <v>3224.7</v>
      </c>
      <c r="R625">
        <v>72483</v>
      </c>
    </row>
    <row r="626" spans="1:18" x14ac:dyDescent="0.25">
      <c r="A626" s="170">
        <v>43550</v>
      </c>
      <c r="B626" s="116">
        <v>3.1907661022576401</v>
      </c>
      <c r="C626" s="116">
        <v>3.1907661022576401</v>
      </c>
      <c r="D626" s="116">
        <v>3.1907661022576401</v>
      </c>
      <c r="E626" s="116">
        <v>3.1907661022576401</v>
      </c>
      <c r="F626" s="116">
        <v>3.49</v>
      </c>
      <c r="G626">
        <v>1000</v>
      </c>
      <c r="H626" s="116"/>
      <c r="I626" s="116"/>
      <c r="L626" s="170">
        <v>42923</v>
      </c>
      <c r="M626" s="116">
        <v>650.61</v>
      </c>
      <c r="N626" s="116">
        <v>656.72</v>
      </c>
      <c r="O626" s="116">
        <v>643.36</v>
      </c>
      <c r="P626" s="116">
        <v>644.4</v>
      </c>
      <c r="Q626" s="116">
        <v>3253.05</v>
      </c>
      <c r="R626">
        <v>97341</v>
      </c>
    </row>
    <row r="627" spans="1:18" x14ac:dyDescent="0.25">
      <c r="A627" s="170">
        <v>43551</v>
      </c>
      <c r="B627" s="116">
        <v>3.19990869853918</v>
      </c>
      <c r="C627" s="116">
        <v>3.1541957171314698</v>
      </c>
      <c r="D627" s="116">
        <v>3.13591052456839</v>
      </c>
      <c r="E627" s="116">
        <v>3.13591052456839</v>
      </c>
      <c r="F627" s="116">
        <v>3.45</v>
      </c>
      <c r="G627">
        <v>869000</v>
      </c>
      <c r="H627" s="116"/>
      <c r="I627" s="116"/>
      <c r="L627" s="170">
        <v>42926</v>
      </c>
      <c r="M627" s="116">
        <v>648.91000000000008</v>
      </c>
      <c r="N627" s="116">
        <v>656.48</v>
      </c>
      <c r="O627" s="116">
        <v>602.02</v>
      </c>
      <c r="P627" s="116">
        <v>640</v>
      </c>
      <c r="Q627" s="116">
        <v>3244.55</v>
      </c>
      <c r="R627">
        <v>27690</v>
      </c>
    </row>
    <row r="628" spans="1:18" x14ac:dyDescent="0.25">
      <c r="A628" s="170">
        <v>43552</v>
      </c>
      <c r="B628" s="116">
        <v>3.1176253320053098</v>
      </c>
      <c r="C628" s="116">
        <v>3.09934013944223</v>
      </c>
      <c r="D628" s="116">
        <v>3.09934013944223</v>
      </c>
      <c r="E628" s="116">
        <v>3.1176253320053098</v>
      </c>
      <c r="F628" s="116">
        <v>3.39</v>
      </c>
      <c r="G628">
        <v>635503</v>
      </c>
      <c r="H628" s="116"/>
      <c r="I628" s="116"/>
      <c r="L628" s="170">
        <v>42927</v>
      </c>
      <c r="M628" s="116">
        <v>642.20000000000005</v>
      </c>
      <c r="N628" s="116">
        <v>653.99</v>
      </c>
      <c r="O628" s="116">
        <v>640</v>
      </c>
      <c r="P628" s="116">
        <v>651.78</v>
      </c>
      <c r="Q628" s="116">
        <v>3211</v>
      </c>
      <c r="R628">
        <v>54935</v>
      </c>
    </row>
    <row r="629" spans="1:18" x14ac:dyDescent="0.25">
      <c r="A629" s="170">
        <v>43553</v>
      </c>
      <c r="B629" s="116">
        <v>3.0444845617529901</v>
      </c>
      <c r="C629" s="116">
        <v>3.0444845617529901</v>
      </c>
      <c r="D629" s="116">
        <v>3.0444845617529901</v>
      </c>
      <c r="E629" s="116">
        <v>3.0444845617529901</v>
      </c>
      <c r="F629" s="116">
        <v>3.33</v>
      </c>
      <c r="G629">
        <v>3000</v>
      </c>
      <c r="H629" s="116"/>
      <c r="I629" s="116"/>
      <c r="L629" s="170">
        <v>42928</v>
      </c>
      <c r="M629" s="116">
        <v>640.31000000000006</v>
      </c>
      <c r="N629" s="116">
        <v>647.89</v>
      </c>
      <c r="O629" s="116">
        <v>637.56000000000006</v>
      </c>
      <c r="P629" s="116">
        <v>644.4</v>
      </c>
      <c r="Q629" s="116">
        <v>3201.55</v>
      </c>
      <c r="R629">
        <v>66837</v>
      </c>
    </row>
    <row r="630" spans="1:18" x14ac:dyDescent="0.25">
      <c r="A630" s="170">
        <v>43557</v>
      </c>
      <c r="B630" s="116">
        <v>2.98962898406374</v>
      </c>
      <c r="C630" s="116">
        <v>2.98962898406374</v>
      </c>
      <c r="D630" s="116">
        <v>2.98962898406374</v>
      </c>
      <c r="E630" s="116">
        <v>2.98962898406374</v>
      </c>
      <c r="F630" s="116">
        <v>3.27</v>
      </c>
      <c r="G630">
        <v>468</v>
      </c>
      <c r="H630" s="116"/>
      <c r="I630" s="116"/>
      <c r="L630" s="170">
        <v>42929</v>
      </c>
      <c r="M630" s="116">
        <v>641.20000000000005</v>
      </c>
      <c r="N630" s="116">
        <v>647.78</v>
      </c>
      <c r="O630" s="116">
        <v>638.11</v>
      </c>
      <c r="P630" s="116">
        <v>644</v>
      </c>
      <c r="Q630" s="116">
        <v>3206</v>
      </c>
      <c r="R630">
        <v>72431</v>
      </c>
    </row>
    <row r="631" spans="1:18" x14ac:dyDescent="0.25">
      <c r="A631" s="170">
        <v>43559</v>
      </c>
      <c r="B631" s="116">
        <v>2.9347734063745001</v>
      </c>
      <c r="C631" s="116">
        <v>2.9347734063745001</v>
      </c>
      <c r="D631" s="116">
        <v>2.9347734063745001</v>
      </c>
      <c r="E631" s="116">
        <v>2.9347734063745001</v>
      </c>
      <c r="F631" s="116">
        <v>3.21</v>
      </c>
      <c r="G631">
        <v>200</v>
      </c>
      <c r="H631" s="116"/>
      <c r="I631" s="116"/>
      <c r="L631" s="170">
        <v>42930</v>
      </c>
      <c r="M631" s="116">
        <v>641.21</v>
      </c>
      <c r="N631" s="116">
        <v>649</v>
      </c>
      <c r="O631" s="116">
        <v>637</v>
      </c>
      <c r="P631" s="116">
        <v>640</v>
      </c>
      <c r="Q631" s="116">
        <v>3206.05</v>
      </c>
      <c r="R631">
        <v>105990</v>
      </c>
    </row>
    <row r="632" spans="1:18" x14ac:dyDescent="0.25">
      <c r="A632" s="170">
        <v>43565</v>
      </c>
      <c r="B632" s="116">
        <v>2.7884918658698501</v>
      </c>
      <c r="C632" s="116">
        <v>2.7884918658698501</v>
      </c>
      <c r="D632" s="116">
        <v>2.7884918658698501</v>
      </c>
      <c r="E632" s="116">
        <v>2.7884918658698501</v>
      </c>
      <c r="F632" s="116">
        <v>3.05</v>
      </c>
      <c r="G632">
        <v>12087</v>
      </c>
      <c r="H632" s="116"/>
      <c r="I632" s="116"/>
      <c r="L632" s="170">
        <v>42933</v>
      </c>
      <c r="M632" s="116">
        <v>638.98</v>
      </c>
      <c r="N632" s="116">
        <v>645.81000000000006</v>
      </c>
      <c r="O632" s="116">
        <v>637</v>
      </c>
      <c r="P632" s="116">
        <v>644</v>
      </c>
      <c r="Q632" s="116">
        <v>3194.9</v>
      </c>
      <c r="R632">
        <v>77932</v>
      </c>
    </row>
    <row r="633" spans="1:18" x14ac:dyDescent="0.25">
      <c r="A633" s="170">
        <v>43567</v>
      </c>
      <c r="B633" s="116">
        <v>2.6787807104913699</v>
      </c>
      <c r="C633" s="116">
        <v>2.6787807104913699</v>
      </c>
      <c r="D633" s="116">
        <v>2.6787807104913699</v>
      </c>
      <c r="E633" s="116">
        <v>2.6787807104913699</v>
      </c>
      <c r="F633" s="116">
        <v>2.93</v>
      </c>
      <c r="G633">
        <v>1000</v>
      </c>
      <c r="H633" s="116"/>
      <c r="I633" s="116"/>
      <c r="L633" s="170">
        <v>42934</v>
      </c>
      <c r="M633" s="116">
        <v>632.26</v>
      </c>
      <c r="N633" s="116">
        <v>650.56999999999994</v>
      </c>
      <c r="O633" s="116">
        <v>628.81999999999994</v>
      </c>
      <c r="P633" s="116">
        <v>637.96</v>
      </c>
      <c r="Q633" s="116">
        <v>3161.3</v>
      </c>
      <c r="R633">
        <v>174482</v>
      </c>
    </row>
    <row r="634" spans="1:18" x14ac:dyDescent="0.25">
      <c r="A634" s="170">
        <v>43571</v>
      </c>
      <c r="B634" s="116">
        <v>2.6787807104913699</v>
      </c>
      <c r="C634" s="116">
        <v>2.6787807104913699</v>
      </c>
      <c r="D634" s="116">
        <v>2.6787807104913699</v>
      </c>
      <c r="E634" s="116">
        <v>2.6787807104913699</v>
      </c>
      <c r="F634" s="116">
        <v>2.93</v>
      </c>
      <c r="G634">
        <v>25</v>
      </c>
      <c r="H634" s="116"/>
      <c r="I634" s="116"/>
      <c r="L634" s="170">
        <v>42935</v>
      </c>
      <c r="M634" s="116">
        <v>636.6</v>
      </c>
      <c r="N634" s="116">
        <v>638.04999999999995</v>
      </c>
      <c r="O634" s="116">
        <v>624.39</v>
      </c>
      <c r="P634" s="116">
        <v>633.20000000000005</v>
      </c>
      <c r="Q634" s="116">
        <v>3183</v>
      </c>
      <c r="R634">
        <v>84597</v>
      </c>
    </row>
    <row r="635" spans="1:18" x14ac:dyDescent="0.25">
      <c r="A635" s="170">
        <v>43577</v>
      </c>
      <c r="B635" s="116">
        <v>2.7884918658698501</v>
      </c>
      <c r="C635" s="116">
        <v>2.7884918658698501</v>
      </c>
      <c r="D635" s="116">
        <v>2.7884918658698501</v>
      </c>
      <c r="E635" s="116">
        <v>2.7884918658698501</v>
      </c>
      <c r="F635" s="116">
        <v>3.05</v>
      </c>
      <c r="G635">
        <v>1009</v>
      </c>
      <c r="H635" s="116"/>
      <c r="I635" s="116"/>
      <c r="L635" s="170">
        <v>42936</v>
      </c>
      <c r="M635" s="116">
        <v>643.43000000000006</v>
      </c>
      <c r="N635" s="116">
        <v>646.58000000000004</v>
      </c>
      <c r="O635" s="116">
        <v>636</v>
      </c>
      <c r="P635" s="116">
        <v>638.96</v>
      </c>
      <c r="Q635" s="116">
        <v>3217.15</v>
      </c>
      <c r="R635">
        <v>113440</v>
      </c>
    </row>
    <row r="636" spans="1:18" x14ac:dyDescent="0.25">
      <c r="A636" s="170">
        <v>43578</v>
      </c>
      <c r="B636" s="116">
        <v>2.8799178286852598</v>
      </c>
      <c r="C636" s="116">
        <v>2.8342048472775598</v>
      </c>
      <c r="D636" s="116">
        <v>2.8342048472775598</v>
      </c>
      <c r="E636" s="116">
        <v>2.8799178286852598</v>
      </c>
      <c r="F636" s="116">
        <v>3.1</v>
      </c>
      <c r="G636">
        <v>1009</v>
      </c>
      <c r="H636" s="116"/>
      <c r="I636" s="116"/>
      <c r="L636" s="170">
        <v>42937</v>
      </c>
      <c r="M636" s="116">
        <v>628.99</v>
      </c>
      <c r="N636" s="116">
        <v>647.81999999999994</v>
      </c>
      <c r="O636" s="116">
        <v>625.73</v>
      </c>
      <c r="P636" s="116">
        <v>646.4</v>
      </c>
      <c r="Q636" s="116">
        <v>3144.95</v>
      </c>
      <c r="R636">
        <v>280666</v>
      </c>
    </row>
    <row r="637" spans="1:18" x14ac:dyDescent="0.25">
      <c r="A637" s="170">
        <v>43579</v>
      </c>
      <c r="B637" s="116">
        <v>2.9713437915006602</v>
      </c>
      <c r="C637" s="116">
        <v>2.8342048472775598</v>
      </c>
      <c r="D637" s="116">
        <v>2.8342048472775598</v>
      </c>
      <c r="E637" s="116">
        <v>2.9713437915006602</v>
      </c>
      <c r="F637" s="116">
        <v>3.1</v>
      </c>
      <c r="G637">
        <v>109</v>
      </c>
      <c r="H637" s="116"/>
      <c r="I637" s="116"/>
      <c r="L637" s="170">
        <v>42940</v>
      </c>
      <c r="M637" s="116">
        <v>611.56999999999994</v>
      </c>
      <c r="N637" s="116">
        <v>633.28</v>
      </c>
      <c r="O637" s="116">
        <v>608</v>
      </c>
      <c r="P637" s="116">
        <v>629.99</v>
      </c>
      <c r="Q637" s="116">
        <v>3057.85</v>
      </c>
      <c r="R637">
        <v>158894</v>
      </c>
    </row>
    <row r="638" spans="1:18" x14ac:dyDescent="0.25">
      <c r="A638" s="170">
        <v>43581</v>
      </c>
      <c r="B638" s="116">
        <v>2.6970659030544502</v>
      </c>
      <c r="C638" s="116">
        <v>2.6970659030544502</v>
      </c>
      <c r="D638" s="116">
        <v>2.6970659030544502</v>
      </c>
      <c r="E638" s="116">
        <v>2.6970659030544502</v>
      </c>
      <c r="F638" s="116">
        <v>2.95</v>
      </c>
      <c r="G638">
        <v>5502</v>
      </c>
      <c r="H638" s="116"/>
      <c r="I638" s="116"/>
      <c r="L638" s="170">
        <v>42941</v>
      </c>
      <c r="M638" s="116">
        <v>617.37</v>
      </c>
      <c r="N638" s="116">
        <v>621.4</v>
      </c>
      <c r="O638" s="116">
        <v>607.93000000000006</v>
      </c>
      <c r="P638" s="116">
        <v>608</v>
      </c>
      <c r="Q638" s="116">
        <v>3086.85</v>
      </c>
      <c r="R638">
        <v>100114</v>
      </c>
    </row>
    <row r="639" spans="1:18" x14ac:dyDescent="0.25">
      <c r="A639" s="170">
        <v>43585</v>
      </c>
      <c r="B639" s="116">
        <v>2.66963811420983</v>
      </c>
      <c r="C639" s="116">
        <v>2.66963811420983</v>
      </c>
      <c r="D639" s="116">
        <v>2.66963811420983</v>
      </c>
      <c r="E639" s="116">
        <v>2.66963811420983</v>
      </c>
      <c r="F639" s="116">
        <v>2.92</v>
      </c>
      <c r="G639">
        <v>150</v>
      </c>
      <c r="H639" s="116"/>
      <c r="I639" s="116"/>
      <c r="L639" s="170">
        <v>42942</v>
      </c>
      <c r="M639" s="116">
        <v>609.9</v>
      </c>
      <c r="N639" s="116">
        <v>618.6</v>
      </c>
      <c r="O639" s="116">
        <v>607</v>
      </c>
      <c r="P639" s="116">
        <v>617.4</v>
      </c>
      <c r="Q639" s="116">
        <v>3049.5</v>
      </c>
      <c r="R639">
        <v>85282</v>
      </c>
    </row>
    <row r="640" spans="1:18" x14ac:dyDescent="0.25">
      <c r="A640" s="170">
        <v>43587</v>
      </c>
      <c r="B640" s="116">
        <v>2.5416417662682602</v>
      </c>
      <c r="C640" s="116">
        <v>2.5416417662682602</v>
      </c>
      <c r="D640" s="116">
        <v>2.5416417662682602</v>
      </c>
      <c r="E640" s="116">
        <v>2.5416417662682602</v>
      </c>
      <c r="F640" s="116">
        <v>2.78</v>
      </c>
      <c r="G640">
        <v>500</v>
      </c>
      <c r="H640" s="116"/>
      <c r="I640" s="116"/>
      <c r="L640" s="170">
        <v>42943</v>
      </c>
      <c r="M640" s="116">
        <v>623.02</v>
      </c>
      <c r="N640" s="116">
        <v>631</v>
      </c>
      <c r="O640" s="116">
        <v>608.02</v>
      </c>
      <c r="P640" s="116">
        <v>614.95000000000005</v>
      </c>
      <c r="Q640" s="116">
        <v>3115.1</v>
      </c>
      <c r="R640">
        <v>164132</v>
      </c>
    </row>
    <row r="641" spans="1:18" x14ac:dyDescent="0.25">
      <c r="A641" s="170">
        <v>43588</v>
      </c>
      <c r="B641" s="116">
        <v>2.4227880146082299</v>
      </c>
      <c r="C641" s="116">
        <v>2.4227880146082299</v>
      </c>
      <c r="D641" s="116">
        <v>2.4227880146082299</v>
      </c>
      <c r="E641" s="116">
        <v>2.4227880146082299</v>
      </c>
      <c r="F641" s="116">
        <v>2.65</v>
      </c>
      <c r="G641">
        <v>1050</v>
      </c>
      <c r="H641" s="116"/>
      <c r="I641" s="116"/>
      <c r="L641" s="170">
        <v>42944</v>
      </c>
      <c r="M641" s="116">
        <v>621.45000000000005</v>
      </c>
      <c r="N641" s="116">
        <v>627.35</v>
      </c>
      <c r="O641" s="116">
        <v>616.93999999999994</v>
      </c>
      <c r="P641" s="116">
        <v>622</v>
      </c>
      <c r="Q641" s="116">
        <v>3107.25</v>
      </c>
      <c r="R641">
        <v>50491</v>
      </c>
    </row>
    <row r="642" spans="1:18" x14ac:dyDescent="0.25">
      <c r="A642" s="170">
        <v>43591</v>
      </c>
      <c r="B642" s="116">
        <v>2.3039342629482098</v>
      </c>
      <c r="C642" s="116">
        <v>2.3039342629482098</v>
      </c>
      <c r="D642" s="116">
        <v>2.3039342629482098</v>
      </c>
      <c r="E642" s="116">
        <v>2.3039342629482098</v>
      </c>
      <c r="F642" s="116">
        <v>2.52</v>
      </c>
      <c r="G642">
        <v>1000</v>
      </c>
      <c r="H642" s="116"/>
      <c r="I642" s="116"/>
      <c r="L642" s="170">
        <v>42947</v>
      </c>
      <c r="M642" s="116">
        <v>617.78</v>
      </c>
      <c r="N642" s="116">
        <v>625.93999999999994</v>
      </c>
      <c r="O642" s="116">
        <v>608.61</v>
      </c>
      <c r="P642" s="116">
        <v>621.4</v>
      </c>
      <c r="Q642" s="116">
        <v>3088.9</v>
      </c>
      <c r="R642">
        <v>55737</v>
      </c>
    </row>
    <row r="643" spans="1:18" x14ac:dyDescent="0.25">
      <c r="A643" s="170">
        <v>43592</v>
      </c>
      <c r="B643" s="116">
        <v>2.1942231075697198</v>
      </c>
      <c r="C643" s="116">
        <v>2.1942231075697198</v>
      </c>
      <c r="D643" s="116">
        <v>2.1942231075697198</v>
      </c>
      <c r="E643" s="116">
        <v>2.1942231075697198</v>
      </c>
      <c r="F643" s="116">
        <v>2.4</v>
      </c>
      <c r="G643">
        <v>1000</v>
      </c>
      <c r="H643" s="116"/>
      <c r="I643" s="116"/>
      <c r="L643" s="170">
        <v>42948</v>
      </c>
      <c r="M643" s="116">
        <v>617.37</v>
      </c>
      <c r="N643" s="116">
        <v>625.79999999999995</v>
      </c>
      <c r="O643" s="116">
        <v>613</v>
      </c>
      <c r="P643" s="116">
        <v>622.38</v>
      </c>
      <c r="Q643" s="116">
        <v>3086.85</v>
      </c>
      <c r="R643">
        <v>61977</v>
      </c>
    </row>
    <row r="644" spans="1:18" x14ac:dyDescent="0.25">
      <c r="A644" s="170">
        <v>43593</v>
      </c>
      <c r="B644" s="116">
        <v>2.0845119521912299</v>
      </c>
      <c r="C644" s="116">
        <v>2.0845119521912299</v>
      </c>
      <c r="D644" s="116">
        <v>2.0845119521912299</v>
      </c>
      <c r="E644" s="116">
        <v>2.0845119521912299</v>
      </c>
      <c r="F644" s="116">
        <v>2.2799999999999998</v>
      </c>
      <c r="G644">
        <v>1051</v>
      </c>
      <c r="H644" s="116"/>
      <c r="I644" s="116"/>
      <c r="L644" s="170">
        <v>42949</v>
      </c>
      <c r="M644" s="116">
        <v>614.62</v>
      </c>
      <c r="N644" s="116">
        <v>620.97</v>
      </c>
      <c r="O644" s="116">
        <v>610.61</v>
      </c>
      <c r="P644" s="116">
        <v>619.79</v>
      </c>
      <c r="Q644" s="116">
        <v>3073.1</v>
      </c>
      <c r="R644">
        <v>44420</v>
      </c>
    </row>
    <row r="645" spans="1:18" x14ac:dyDescent="0.25">
      <c r="A645" s="170">
        <v>43594</v>
      </c>
      <c r="B645" s="116">
        <v>2.0845119521912299</v>
      </c>
      <c r="C645" s="116">
        <v>2.0845119521912299</v>
      </c>
      <c r="D645" s="116">
        <v>2.0845119521912299</v>
      </c>
      <c r="E645" s="116">
        <v>2.0845119521912299</v>
      </c>
      <c r="F645" s="116">
        <v>2.2799999999999998</v>
      </c>
      <c r="G645">
        <v>100</v>
      </c>
      <c r="H645" s="116"/>
      <c r="I645" s="116"/>
      <c r="L645" s="170">
        <v>42950</v>
      </c>
      <c r="M645" s="116">
        <v>598.38</v>
      </c>
      <c r="N645" s="116">
        <v>613.66999999999996</v>
      </c>
      <c r="O645" s="116">
        <v>594.52</v>
      </c>
      <c r="P645" s="116">
        <v>611</v>
      </c>
      <c r="Q645" s="116">
        <v>2991.9</v>
      </c>
      <c r="R645">
        <v>96050</v>
      </c>
    </row>
    <row r="646" spans="1:18" x14ac:dyDescent="0.25">
      <c r="A646" s="170">
        <v>43595</v>
      </c>
      <c r="B646" s="116">
        <v>2.0845119521912299</v>
      </c>
      <c r="C646" s="116">
        <v>1.98394339309429</v>
      </c>
      <c r="D646" s="116">
        <v>1.98394339309429</v>
      </c>
      <c r="E646" s="116">
        <v>2.0845119521912299</v>
      </c>
      <c r="F646" s="116">
        <v>2.17</v>
      </c>
      <c r="G646">
        <v>1100</v>
      </c>
      <c r="H646" s="116"/>
      <c r="I646" s="116"/>
      <c r="L646" s="170">
        <v>42951</v>
      </c>
      <c r="M646" s="116">
        <v>595.79999999999995</v>
      </c>
      <c r="N646" s="116">
        <v>601.79999999999995</v>
      </c>
      <c r="O646" s="116">
        <v>586.73</v>
      </c>
      <c r="P646" s="116">
        <v>594.20000000000005</v>
      </c>
      <c r="Q646" s="116">
        <v>2979</v>
      </c>
      <c r="R646">
        <v>126778</v>
      </c>
    </row>
    <row r="647" spans="1:18" x14ac:dyDescent="0.25">
      <c r="A647" s="170">
        <v>43598</v>
      </c>
      <c r="B647" s="116">
        <v>1.8925174302788801</v>
      </c>
      <c r="C647" s="116">
        <v>1.8925174302788801</v>
      </c>
      <c r="D647" s="116">
        <v>1.8925174302788801</v>
      </c>
      <c r="E647" s="116">
        <v>1.8925174302788801</v>
      </c>
      <c r="F647" s="116">
        <v>2.0699999999999998</v>
      </c>
      <c r="G647">
        <v>1125</v>
      </c>
      <c r="H647" s="116"/>
      <c r="I647" s="116"/>
      <c r="L647" s="170">
        <v>42954</v>
      </c>
      <c r="M647" s="116">
        <v>589.03</v>
      </c>
      <c r="N647" s="116">
        <v>600.20000000000005</v>
      </c>
      <c r="O647" s="116">
        <v>579</v>
      </c>
      <c r="P647" s="116">
        <v>600</v>
      </c>
      <c r="Q647" s="116">
        <v>2945.15</v>
      </c>
      <c r="R647">
        <v>198091</v>
      </c>
    </row>
    <row r="648" spans="1:18" x14ac:dyDescent="0.25">
      <c r="A648" s="170">
        <v>43600</v>
      </c>
      <c r="B648" s="116">
        <v>1.8742322377158001</v>
      </c>
      <c r="C648" s="116">
        <v>1.8742322377158001</v>
      </c>
      <c r="D648" s="116">
        <v>1.8010914674634799</v>
      </c>
      <c r="E648" s="116">
        <v>1.8742322377158001</v>
      </c>
      <c r="F648" s="116">
        <v>2.0499999999999998</v>
      </c>
      <c r="G648">
        <v>1617</v>
      </c>
      <c r="H648" s="116"/>
      <c r="I648" s="116"/>
      <c r="L648" s="170">
        <v>42955</v>
      </c>
      <c r="M648" s="116">
        <v>584.29999999999995</v>
      </c>
      <c r="N648" s="116">
        <v>593.88</v>
      </c>
      <c r="O648" s="116">
        <v>580.56000000000006</v>
      </c>
      <c r="P648" s="116">
        <v>593</v>
      </c>
      <c r="Q648" s="116">
        <v>2921.5</v>
      </c>
      <c r="R648">
        <v>74213</v>
      </c>
    </row>
    <row r="649" spans="1:18" x14ac:dyDescent="0.25">
      <c r="A649" s="170">
        <v>43601</v>
      </c>
      <c r="B649" s="116">
        <v>1.96565820053121</v>
      </c>
      <c r="C649" s="116">
        <v>1.96565820053121</v>
      </c>
      <c r="D649" s="116">
        <v>1.7828062749003999</v>
      </c>
      <c r="E649" s="116">
        <v>1.7828062749003999</v>
      </c>
      <c r="F649" s="116">
        <v>2.15</v>
      </c>
      <c r="G649">
        <v>6275</v>
      </c>
      <c r="H649" s="116"/>
      <c r="I649" s="116"/>
      <c r="L649" s="170">
        <v>42956</v>
      </c>
      <c r="M649" s="116">
        <v>571.99</v>
      </c>
      <c r="N649" s="116">
        <v>589</v>
      </c>
      <c r="O649" s="116">
        <v>566.1</v>
      </c>
      <c r="P649" s="116">
        <v>583.20000000000005</v>
      </c>
      <c r="Q649" s="116">
        <v>2859.95</v>
      </c>
      <c r="R649">
        <v>90168</v>
      </c>
    </row>
    <row r="650" spans="1:18" x14ac:dyDescent="0.25">
      <c r="A650" s="170">
        <v>43602</v>
      </c>
      <c r="B650" s="116">
        <v>1.8742322377158001</v>
      </c>
      <c r="C650" s="116">
        <v>1.8742322377158001</v>
      </c>
      <c r="D650" s="116">
        <v>1.8742322377158001</v>
      </c>
      <c r="E650" s="116">
        <v>1.8742322377158001</v>
      </c>
      <c r="F650" s="116">
        <v>2.0499999999999998</v>
      </c>
      <c r="G650">
        <v>9050</v>
      </c>
      <c r="H650" s="116"/>
      <c r="I650" s="116"/>
      <c r="L650" s="170">
        <v>42957</v>
      </c>
      <c r="M650" s="116">
        <v>566.47</v>
      </c>
      <c r="N650" s="116">
        <v>582</v>
      </c>
      <c r="O650" s="116">
        <v>554.20000000000005</v>
      </c>
      <c r="P650" s="116">
        <v>571.79999999999995</v>
      </c>
      <c r="Q650" s="116">
        <v>2832.35</v>
      </c>
      <c r="R650">
        <v>114047</v>
      </c>
    </row>
    <row r="651" spans="1:18" x14ac:dyDescent="0.25">
      <c r="A651" s="170">
        <v>43605</v>
      </c>
      <c r="B651" s="116">
        <v>1.8742322377158001</v>
      </c>
      <c r="C651" s="116">
        <v>1.8742322377158001</v>
      </c>
      <c r="D651" s="116">
        <v>1.8742322377158001</v>
      </c>
      <c r="E651" s="116">
        <v>1.8742322377158001</v>
      </c>
      <c r="F651" s="116">
        <v>2.0499999999999998</v>
      </c>
      <c r="G651">
        <v>110</v>
      </c>
      <c r="H651" s="116"/>
      <c r="I651" s="116"/>
      <c r="L651" s="170">
        <v>42958</v>
      </c>
      <c r="M651" s="116">
        <v>576.46</v>
      </c>
      <c r="N651" s="116">
        <v>579.16999999999996</v>
      </c>
      <c r="O651" s="116">
        <v>550.66000000000008</v>
      </c>
      <c r="P651" s="116">
        <v>560</v>
      </c>
      <c r="Q651" s="116">
        <v>2882.3</v>
      </c>
      <c r="R651">
        <v>93810</v>
      </c>
    </row>
    <row r="652" spans="1:18" x14ac:dyDescent="0.25">
      <c r="A652" s="170">
        <v>43606</v>
      </c>
      <c r="B652" s="116">
        <v>1.8742322377158001</v>
      </c>
      <c r="C652" s="116">
        <v>1.7828062749003999</v>
      </c>
      <c r="D652" s="116">
        <v>1.7828062749003999</v>
      </c>
      <c r="E652" s="116">
        <v>1.8742322377158001</v>
      </c>
      <c r="F652" s="116">
        <v>1.95</v>
      </c>
      <c r="G652">
        <v>2800</v>
      </c>
      <c r="H652" s="116"/>
      <c r="I652" s="116"/>
      <c r="L652" s="170">
        <v>42961</v>
      </c>
      <c r="M652" s="116">
        <v>586.12</v>
      </c>
      <c r="N652" s="116">
        <v>593.20000000000005</v>
      </c>
      <c r="O652" s="116">
        <v>580.31999999999994</v>
      </c>
      <c r="P652" s="116">
        <v>584</v>
      </c>
      <c r="Q652" s="116">
        <v>2930.6</v>
      </c>
      <c r="R652">
        <v>46468</v>
      </c>
    </row>
    <row r="653" spans="1:18" x14ac:dyDescent="0.25">
      <c r="A653" s="170">
        <v>43607</v>
      </c>
      <c r="B653" s="116">
        <v>1.7828062749003999</v>
      </c>
      <c r="C653" s="116">
        <v>1.7005229083665301</v>
      </c>
      <c r="D653" s="116">
        <v>1.7005229083665301</v>
      </c>
      <c r="E653" s="116">
        <v>1.7828062749003999</v>
      </c>
      <c r="F653" s="116">
        <v>1.86</v>
      </c>
      <c r="G653">
        <v>1020</v>
      </c>
      <c r="H653" s="116"/>
      <c r="I653" s="116"/>
      <c r="L653" s="170">
        <v>42963</v>
      </c>
      <c r="M653" s="116">
        <v>593.77</v>
      </c>
      <c r="N653" s="116">
        <v>596.01</v>
      </c>
      <c r="O653" s="116">
        <v>575</v>
      </c>
      <c r="P653" s="116">
        <v>590</v>
      </c>
      <c r="Q653" s="116">
        <v>2968.85</v>
      </c>
      <c r="R653">
        <v>55456</v>
      </c>
    </row>
    <row r="654" spans="1:18" x14ac:dyDescent="0.25">
      <c r="A654" s="170">
        <v>43608</v>
      </c>
      <c r="B654" s="116">
        <v>1.7828062749003999</v>
      </c>
      <c r="C654" s="116">
        <v>1.61823954183267</v>
      </c>
      <c r="D654" s="116">
        <v>1.61823954183267</v>
      </c>
      <c r="E654" s="116">
        <v>1.7828062749003999</v>
      </c>
      <c r="F654" s="116">
        <v>1.77</v>
      </c>
      <c r="G654">
        <v>3748</v>
      </c>
      <c r="H654" s="116"/>
      <c r="I654" s="116"/>
      <c r="L654" s="170">
        <v>42964</v>
      </c>
      <c r="M654" s="116">
        <v>591.91999999999996</v>
      </c>
      <c r="N654" s="116">
        <v>603.58999999999992</v>
      </c>
      <c r="O654" s="116">
        <v>588.21</v>
      </c>
      <c r="P654" s="116">
        <v>595.99</v>
      </c>
      <c r="Q654" s="116">
        <v>2959.6</v>
      </c>
      <c r="R654">
        <v>62866</v>
      </c>
    </row>
    <row r="655" spans="1:18" x14ac:dyDescent="0.25">
      <c r="A655" s="170">
        <v>43609</v>
      </c>
      <c r="B655" s="116">
        <v>1.61823954183267</v>
      </c>
      <c r="C655" s="116">
        <v>1.61823954183267</v>
      </c>
      <c r="D655" s="116">
        <v>1.61823954183267</v>
      </c>
      <c r="E655" s="116">
        <v>1.61823954183267</v>
      </c>
      <c r="F655" s="116">
        <v>1.77</v>
      </c>
      <c r="G655">
        <v>50</v>
      </c>
      <c r="H655" s="116"/>
      <c r="I655" s="116"/>
      <c r="L655" s="170">
        <v>42965</v>
      </c>
      <c r="M655" s="116">
        <v>579.62</v>
      </c>
      <c r="N655" s="116">
        <v>587.79999999999995</v>
      </c>
      <c r="O655" s="116">
        <v>576.08000000000004</v>
      </c>
      <c r="P655" s="116">
        <v>587.79999999999995</v>
      </c>
      <c r="Q655" s="116">
        <v>2898.1</v>
      </c>
      <c r="R655">
        <v>51603</v>
      </c>
    </row>
    <row r="656" spans="1:18" x14ac:dyDescent="0.25">
      <c r="A656" s="170">
        <v>43612</v>
      </c>
      <c r="B656" s="116">
        <v>1.61823954183267</v>
      </c>
      <c r="C656" s="116">
        <v>1.61823954183267</v>
      </c>
      <c r="D656" s="116">
        <v>1.61823954183267</v>
      </c>
      <c r="E656" s="116">
        <v>1.61823954183267</v>
      </c>
      <c r="F656" s="116">
        <v>1.77</v>
      </c>
      <c r="G656">
        <v>957</v>
      </c>
      <c r="H656" s="116"/>
      <c r="I656" s="116"/>
      <c r="L656" s="170">
        <v>42968</v>
      </c>
      <c r="M656" s="116">
        <v>558.71</v>
      </c>
      <c r="N656" s="116">
        <v>585.41999999999996</v>
      </c>
      <c r="O656" s="116">
        <v>555</v>
      </c>
      <c r="P656" s="116">
        <v>578.01</v>
      </c>
      <c r="Q656" s="116">
        <v>2793.55</v>
      </c>
      <c r="R656">
        <v>80958</v>
      </c>
    </row>
    <row r="657" spans="1:18" x14ac:dyDescent="0.25">
      <c r="A657" s="170">
        <v>43628</v>
      </c>
      <c r="B657" s="116">
        <v>1.61823954183267</v>
      </c>
      <c r="C657" s="116">
        <v>1.55424136786189</v>
      </c>
      <c r="D657" s="116">
        <v>1.5450987715803499</v>
      </c>
      <c r="E657" s="116">
        <v>1.61823954183267</v>
      </c>
      <c r="F657" s="116">
        <v>1.7</v>
      </c>
      <c r="G657">
        <v>550</v>
      </c>
      <c r="H657" s="116"/>
      <c r="I657" s="116"/>
      <c r="L657" s="170">
        <v>42969</v>
      </c>
      <c r="M657" s="116">
        <v>540.73</v>
      </c>
      <c r="N657" s="116">
        <v>566.38</v>
      </c>
      <c r="O657" s="116">
        <v>539.06000000000006</v>
      </c>
      <c r="P657" s="116">
        <v>558.46</v>
      </c>
      <c r="Q657" s="116">
        <v>2703.65</v>
      </c>
      <c r="R657">
        <v>176107</v>
      </c>
    </row>
    <row r="658" spans="1:18" x14ac:dyDescent="0.25">
      <c r="A658" s="170">
        <v>43630</v>
      </c>
      <c r="B658" s="116">
        <v>1.62738213811421</v>
      </c>
      <c r="C658" s="116">
        <v>1.62738213811421</v>
      </c>
      <c r="D658" s="116">
        <v>1.4811005976095599</v>
      </c>
      <c r="E658" s="116">
        <v>1.55424136786189</v>
      </c>
      <c r="F658" s="116">
        <v>1.78</v>
      </c>
      <c r="G658">
        <v>250</v>
      </c>
      <c r="H658" s="116"/>
      <c r="I658" s="116"/>
      <c r="L658" s="170">
        <v>42970</v>
      </c>
      <c r="M658" s="116">
        <v>557.04999999999995</v>
      </c>
      <c r="N658" s="116">
        <v>561</v>
      </c>
      <c r="O658" s="116">
        <v>534.4</v>
      </c>
      <c r="P658" s="116">
        <v>546.6</v>
      </c>
      <c r="Q658" s="116">
        <v>2785.25</v>
      </c>
      <c r="R658">
        <v>243266</v>
      </c>
    </row>
    <row r="659" spans="1:18" x14ac:dyDescent="0.25">
      <c r="A659" s="170">
        <v>43640</v>
      </c>
      <c r="B659" s="116">
        <v>1.62738213811421</v>
      </c>
      <c r="C659" s="116">
        <v>1.62738213811421</v>
      </c>
      <c r="D659" s="116">
        <v>1.62738213811421</v>
      </c>
      <c r="E659" s="116">
        <v>1.62738213811421</v>
      </c>
      <c r="F659" s="116">
        <v>1.78</v>
      </c>
      <c r="G659">
        <v>115</v>
      </c>
      <c r="H659" s="116"/>
      <c r="I659" s="116"/>
      <c r="L659" s="170">
        <v>42971</v>
      </c>
      <c r="M659" s="116">
        <v>554.43000000000006</v>
      </c>
      <c r="N659" s="116">
        <v>563.89</v>
      </c>
      <c r="O659" s="116">
        <v>551.95000000000005</v>
      </c>
      <c r="P659" s="116">
        <v>560</v>
      </c>
      <c r="Q659" s="116">
        <v>2772.15</v>
      </c>
      <c r="R659">
        <v>90312</v>
      </c>
    </row>
    <row r="660" spans="1:18" x14ac:dyDescent="0.25">
      <c r="A660" s="170">
        <v>43641</v>
      </c>
      <c r="B660" s="116">
        <v>1.62738213811421</v>
      </c>
      <c r="C660" s="116">
        <v>1.62738213811421</v>
      </c>
      <c r="D660" s="116">
        <v>1.62738213811421</v>
      </c>
      <c r="E660" s="116">
        <v>1.62738213811421</v>
      </c>
      <c r="F660" s="116">
        <v>1.78</v>
      </c>
      <c r="G660">
        <v>155</v>
      </c>
      <c r="H660" s="116"/>
      <c r="I660" s="116"/>
      <c r="L660" s="170">
        <v>42975</v>
      </c>
      <c r="M660" s="116">
        <v>556.01</v>
      </c>
      <c r="N660" s="116">
        <v>558.43000000000006</v>
      </c>
      <c r="O660" s="116">
        <v>551</v>
      </c>
      <c r="P660" s="116">
        <v>554</v>
      </c>
      <c r="Q660" s="116">
        <v>2780.05</v>
      </c>
      <c r="R660">
        <v>67007</v>
      </c>
    </row>
    <row r="661" spans="1:18" x14ac:dyDescent="0.25">
      <c r="A661" s="170">
        <v>43661</v>
      </c>
      <c r="B661" s="116">
        <v>1.62738213811421</v>
      </c>
      <c r="C661" s="116">
        <v>1.62738213811421</v>
      </c>
      <c r="D661" s="116">
        <v>1.62738213811421</v>
      </c>
      <c r="E661" s="116">
        <v>1.62738213811421</v>
      </c>
      <c r="F661" s="116">
        <v>1.78</v>
      </c>
      <c r="G661">
        <v>100</v>
      </c>
      <c r="H661" s="116"/>
      <c r="I661" s="116"/>
      <c r="L661" s="170">
        <v>42976</v>
      </c>
      <c r="M661" s="116">
        <v>539.28</v>
      </c>
      <c r="N661" s="116">
        <v>555.6</v>
      </c>
      <c r="O661" s="116">
        <v>536.20000000000005</v>
      </c>
      <c r="P661" s="116">
        <v>551.20000000000005</v>
      </c>
      <c r="Q661" s="116">
        <v>2696.4</v>
      </c>
      <c r="R661">
        <v>91661</v>
      </c>
    </row>
    <row r="662" spans="1:18" x14ac:dyDescent="0.25">
      <c r="A662" s="170">
        <v>43662</v>
      </c>
      <c r="B662" s="116">
        <v>1.7005229083665301</v>
      </c>
      <c r="C662" s="116">
        <v>1.7005229083665301</v>
      </c>
      <c r="D662" s="116">
        <v>1.7005229083665301</v>
      </c>
      <c r="E662" s="116">
        <v>1.7005229083665301</v>
      </c>
      <c r="F662" s="116">
        <v>1.86</v>
      </c>
      <c r="G662">
        <v>114</v>
      </c>
      <c r="H662" s="116"/>
      <c r="I662" s="116"/>
      <c r="L662" s="170">
        <v>42977</v>
      </c>
      <c r="M662" s="116">
        <v>559.89</v>
      </c>
      <c r="N662" s="116">
        <v>564</v>
      </c>
      <c r="O662" s="116">
        <v>542</v>
      </c>
      <c r="P662" s="116">
        <v>542</v>
      </c>
      <c r="Q662" s="116">
        <v>2799.45</v>
      </c>
      <c r="R662">
        <v>106658</v>
      </c>
    </row>
    <row r="663" spans="1:18" x14ac:dyDescent="0.25">
      <c r="A663" s="170">
        <v>43663</v>
      </c>
      <c r="B663" s="116">
        <v>1.7828062749003999</v>
      </c>
      <c r="C663" s="116">
        <v>1.7828062749003999</v>
      </c>
      <c r="D663" s="116">
        <v>1.7828062749003999</v>
      </c>
      <c r="E663" s="116">
        <v>1.7828062749003999</v>
      </c>
      <c r="F663" s="116">
        <v>1.95</v>
      </c>
      <c r="G663">
        <v>807</v>
      </c>
      <c r="H663" s="116"/>
      <c r="I663" s="116"/>
      <c r="L663" s="170">
        <v>42978</v>
      </c>
      <c r="M663" s="116">
        <v>573.11</v>
      </c>
      <c r="N663" s="116">
        <v>575.24</v>
      </c>
      <c r="O663" s="116">
        <v>553.56999999999994</v>
      </c>
      <c r="P663" s="116">
        <v>561.6</v>
      </c>
      <c r="Q663" s="116">
        <v>2865.55</v>
      </c>
      <c r="R663">
        <v>130457</v>
      </c>
    </row>
    <row r="664" spans="1:18" x14ac:dyDescent="0.25">
      <c r="A664" s="170">
        <v>43664</v>
      </c>
      <c r="B664" s="116">
        <v>1.8650896414342599</v>
      </c>
      <c r="C664" s="116">
        <v>1.8650896414342599</v>
      </c>
      <c r="D664" s="116">
        <v>1.8650896414342599</v>
      </c>
      <c r="E664" s="116">
        <v>1.8650896414342599</v>
      </c>
      <c r="F664" s="116">
        <v>2.04</v>
      </c>
      <c r="G664">
        <v>9</v>
      </c>
      <c r="H664" s="116"/>
      <c r="I664" s="116"/>
      <c r="L664" s="170">
        <v>42979</v>
      </c>
      <c r="M664" s="116">
        <v>575.74</v>
      </c>
      <c r="N664" s="116">
        <v>579.18000000000006</v>
      </c>
      <c r="O664" s="116">
        <v>568.38</v>
      </c>
      <c r="P664" s="116">
        <v>572</v>
      </c>
      <c r="Q664" s="116">
        <v>2878.7</v>
      </c>
      <c r="R664">
        <v>75201</v>
      </c>
    </row>
    <row r="665" spans="1:18" x14ac:dyDescent="0.25">
      <c r="A665" s="170">
        <v>43670</v>
      </c>
      <c r="B665" s="116">
        <v>1.9565156042496701</v>
      </c>
      <c r="C665" s="116">
        <v>1.8650896414342599</v>
      </c>
      <c r="D665" s="116">
        <v>1.8650896414342599</v>
      </c>
      <c r="E665" s="116">
        <v>1.9565156042496701</v>
      </c>
      <c r="F665" s="116">
        <v>2.04</v>
      </c>
      <c r="G665">
        <v>297</v>
      </c>
      <c r="H665" s="116"/>
      <c r="I665" s="116"/>
      <c r="L665" s="170">
        <v>42982</v>
      </c>
      <c r="M665" s="116">
        <v>564.08999999999992</v>
      </c>
      <c r="N665" s="116">
        <v>576.58999999999992</v>
      </c>
      <c r="O665" s="116">
        <v>560.20000000000005</v>
      </c>
      <c r="P665" s="116">
        <v>570.02</v>
      </c>
      <c r="Q665" s="116">
        <v>2820.45</v>
      </c>
      <c r="R665">
        <v>46953</v>
      </c>
    </row>
    <row r="666" spans="1:18" x14ac:dyDescent="0.25">
      <c r="A666" s="170">
        <v>43672</v>
      </c>
      <c r="B666" s="116">
        <v>1.9565156042496701</v>
      </c>
      <c r="C666" s="116">
        <v>1.9565156042496701</v>
      </c>
      <c r="D666" s="116">
        <v>1.9565156042496701</v>
      </c>
      <c r="E666" s="116">
        <v>1.9565156042496701</v>
      </c>
      <c r="F666" s="116">
        <v>2.14</v>
      </c>
      <c r="G666">
        <v>100</v>
      </c>
      <c r="H666" s="116"/>
      <c r="I666" s="116"/>
      <c r="L666" s="170">
        <v>42983</v>
      </c>
      <c r="M666" s="116">
        <v>573.52</v>
      </c>
      <c r="N666" s="116">
        <v>577.4</v>
      </c>
      <c r="O666" s="116">
        <v>560.4</v>
      </c>
      <c r="P666" s="116">
        <v>560.4</v>
      </c>
      <c r="Q666" s="116">
        <v>2867.6</v>
      </c>
      <c r="R666">
        <v>65494</v>
      </c>
    </row>
    <row r="667" spans="1:18" x14ac:dyDescent="0.25">
      <c r="A667" s="170">
        <v>43691</v>
      </c>
      <c r="B667" s="116">
        <v>1.9565156042496701</v>
      </c>
      <c r="C667" s="116">
        <v>1.9565156042496701</v>
      </c>
      <c r="D667" s="116">
        <v>1.9565156042496701</v>
      </c>
      <c r="E667" s="116">
        <v>1.9565156042496701</v>
      </c>
      <c r="F667" s="116">
        <v>2.14</v>
      </c>
      <c r="G667">
        <v>500</v>
      </c>
      <c r="H667" s="116"/>
      <c r="I667" s="116"/>
      <c r="L667" s="170">
        <v>42984</v>
      </c>
      <c r="M667" s="116">
        <v>577.95000000000005</v>
      </c>
      <c r="N667" s="116">
        <v>582.6</v>
      </c>
      <c r="O667" s="116">
        <v>567</v>
      </c>
      <c r="P667" s="116">
        <v>569</v>
      </c>
      <c r="Q667" s="116">
        <v>2889.75</v>
      </c>
      <c r="R667">
        <v>100276</v>
      </c>
    </row>
    <row r="668" spans="1:18" x14ac:dyDescent="0.25">
      <c r="A668" s="170">
        <v>43703</v>
      </c>
      <c r="B668" s="116">
        <v>2.0479415670650698</v>
      </c>
      <c r="C668" s="116">
        <v>1.8650896414342599</v>
      </c>
      <c r="D668" s="116">
        <v>1.8650896414342599</v>
      </c>
      <c r="E668" s="116">
        <v>2.0479415670650698</v>
      </c>
      <c r="F668" s="116">
        <v>2.04</v>
      </c>
      <c r="G668">
        <v>2341</v>
      </c>
      <c r="H668" s="116"/>
      <c r="I668" s="116"/>
      <c r="L668" s="170">
        <v>42985</v>
      </c>
      <c r="M668" s="116">
        <v>577.33999999999992</v>
      </c>
      <c r="N668" s="116">
        <v>586.4</v>
      </c>
      <c r="O668" s="116">
        <v>575.23</v>
      </c>
      <c r="P668" s="116">
        <v>575.23</v>
      </c>
      <c r="Q668" s="116">
        <v>2886.7</v>
      </c>
      <c r="R668">
        <v>64612</v>
      </c>
    </row>
    <row r="669" spans="1:18" x14ac:dyDescent="0.25">
      <c r="A669" s="170">
        <v>43704</v>
      </c>
      <c r="B669" s="116">
        <v>1.8650896414342599</v>
      </c>
      <c r="C669" s="116">
        <v>1.77366367861886</v>
      </c>
      <c r="D669" s="116">
        <v>1.77366367861886</v>
      </c>
      <c r="E669" s="116">
        <v>1.8650896414342599</v>
      </c>
      <c r="F669" s="116">
        <v>1.94</v>
      </c>
      <c r="G669">
        <v>2283</v>
      </c>
      <c r="H669" s="116"/>
      <c r="I669" s="116"/>
      <c r="L669" s="170">
        <v>42986</v>
      </c>
      <c r="M669" s="116">
        <v>572.25</v>
      </c>
      <c r="N669" s="116">
        <v>589.89</v>
      </c>
      <c r="O669" s="116">
        <v>568.29999999999995</v>
      </c>
      <c r="P669" s="116">
        <v>578</v>
      </c>
      <c r="Q669" s="116">
        <v>2861.25</v>
      </c>
      <c r="R669">
        <v>97655</v>
      </c>
    </row>
    <row r="670" spans="1:18" x14ac:dyDescent="0.25">
      <c r="A670" s="170">
        <v>43705</v>
      </c>
      <c r="B670" s="116">
        <v>1.77366367861886</v>
      </c>
      <c r="C670" s="116">
        <v>1.77366367861886</v>
      </c>
      <c r="D670" s="116">
        <v>1.77366367861886</v>
      </c>
      <c r="E670" s="116">
        <v>1.77366367861886</v>
      </c>
      <c r="F670" s="116">
        <v>1.94</v>
      </c>
      <c r="G670">
        <v>400</v>
      </c>
      <c r="H670" s="116"/>
      <c r="I670" s="116"/>
      <c r="L670" s="170">
        <v>42989</v>
      </c>
      <c r="M670" s="116">
        <v>568.38</v>
      </c>
      <c r="N670" s="116">
        <v>582</v>
      </c>
      <c r="O670" s="116">
        <v>566</v>
      </c>
      <c r="P670" s="116">
        <v>573.01</v>
      </c>
      <c r="Q670" s="116">
        <v>2841.9</v>
      </c>
      <c r="R670">
        <v>66112</v>
      </c>
    </row>
    <row r="671" spans="1:18" x14ac:dyDescent="0.25">
      <c r="A671" s="170">
        <v>43706</v>
      </c>
      <c r="B671" s="116">
        <v>1.69138031208499</v>
      </c>
      <c r="C671" s="116">
        <v>1.69138031208499</v>
      </c>
      <c r="D671" s="116">
        <v>1.69138031208499</v>
      </c>
      <c r="E671" s="116">
        <v>1.69138031208499</v>
      </c>
      <c r="F671" s="116">
        <v>1.85</v>
      </c>
      <c r="G671">
        <v>40</v>
      </c>
      <c r="H671" s="116"/>
      <c r="I671" s="116"/>
      <c r="L671" s="170">
        <v>42990</v>
      </c>
      <c r="M671" s="116">
        <v>568.5</v>
      </c>
      <c r="N671" s="116">
        <v>575.6</v>
      </c>
      <c r="O671" s="116">
        <v>564.4</v>
      </c>
      <c r="P671" s="116">
        <v>569.02</v>
      </c>
      <c r="Q671" s="116">
        <v>2842.5</v>
      </c>
      <c r="R671">
        <v>43540</v>
      </c>
    </row>
    <row r="672" spans="1:18" x14ac:dyDescent="0.25">
      <c r="A672" s="170">
        <v>43707</v>
      </c>
      <c r="B672" s="116">
        <v>1.69138031208499</v>
      </c>
      <c r="C672" s="116">
        <v>1.69138031208499</v>
      </c>
      <c r="D672" s="116">
        <v>1.69138031208499</v>
      </c>
      <c r="E672" s="116">
        <v>1.69138031208499</v>
      </c>
      <c r="F672" s="116">
        <v>1.85</v>
      </c>
      <c r="G672">
        <v>1</v>
      </c>
      <c r="H672" s="116"/>
      <c r="I672" s="116"/>
      <c r="L672" s="170">
        <v>42991</v>
      </c>
      <c r="M672" s="116">
        <v>561.54</v>
      </c>
      <c r="N672" s="116">
        <v>577.20000000000005</v>
      </c>
      <c r="O672" s="116">
        <v>560</v>
      </c>
      <c r="P672" s="116">
        <v>570.79999999999995</v>
      </c>
      <c r="Q672" s="116">
        <v>2807.7</v>
      </c>
      <c r="R672">
        <v>36607</v>
      </c>
    </row>
    <row r="673" spans="1:18" x14ac:dyDescent="0.25">
      <c r="A673" s="170">
        <v>43711</v>
      </c>
      <c r="B673" s="116">
        <v>1.6090969455511299</v>
      </c>
      <c r="C673" s="116">
        <v>1.6090969455511299</v>
      </c>
      <c r="D673" s="116">
        <v>1.6090969455511299</v>
      </c>
      <c r="E673" s="116">
        <v>1.6090969455511299</v>
      </c>
      <c r="F673" s="116">
        <v>1.76</v>
      </c>
      <c r="G673">
        <v>385</v>
      </c>
      <c r="H673" s="116"/>
      <c r="I673" s="116"/>
      <c r="L673" s="170">
        <v>42992</v>
      </c>
      <c r="M673" s="116">
        <v>560.73</v>
      </c>
      <c r="N673" s="116">
        <v>565.56999999999994</v>
      </c>
      <c r="O673" s="116">
        <v>551</v>
      </c>
      <c r="P673" s="116">
        <v>561</v>
      </c>
      <c r="Q673" s="116">
        <v>2803.65</v>
      </c>
      <c r="R673">
        <v>58425</v>
      </c>
    </row>
    <row r="674" spans="1:18" x14ac:dyDescent="0.25">
      <c r="A674" s="170">
        <v>43712</v>
      </c>
      <c r="B674" s="116">
        <v>1.6090969455511299</v>
      </c>
      <c r="C674" s="116">
        <v>1.6090969455511299</v>
      </c>
      <c r="D674" s="116">
        <v>1.6090969455511299</v>
      </c>
      <c r="E674" s="116">
        <v>1.6090969455511299</v>
      </c>
      <c r="F674" s="116">
        <v>1.76</v>
      </c>
      <c r="G674">
        <v>5</v>
      </c>
      <c r="H674" s="116"/>
      <c r="I674" s="116"/>
      <c r="L674" s="170">
        <v>42993</v>
      </c>
      <c r="M674" s="116">
        <v>558.89</v>
      </c>
      <c r="N674" s="116">
        <v>564</v>
      </c>
      <c r="O674" s="116">
        <v>554.76</v>
      </c>
      <c r="P674" s="116">
        <v>556.02</v>
      </c>
      <c r="Q674" s="116">
        <v>2794.45</v>
      </c>
      <c r="R674">
        <v>38562</v>
      </c>
    </row>
    <row r="675" spans="1:18" x14ac:dyDescent="0.25">
      <c r="A675" s="170">
        <v>43713</v>
      </c>
      <c r="B675" s="116">
        <v>1.6090969455511299</v>
      </c>
      <c r="C675" s="116">
        <v>1.6090969455511299</v>
      </c>
      <c r="D675" s="116">
        <v>1.6090969455511299</v>
      </c>
      <c r="E675" s="116">
        <v>1.6090969455511299</v>
      </c>
      <c r="F675" s="116">
        <v>1.76</v>
      </c>
      <c r="G675">
        <v>69</v>
      </c>
      <c r="H675" s="116"/>
      <c r="I675" s="116"/>
      <c r="L675" s="170">
        <v>42996</v>
      </c>
      <c r="M675" s="116">
        <v>563.96</v>
      </c>
      <c r="N675" s="116">
        <v>567.5</v>
      </c>
      <c r="O675" s="116">
        <v>560</v>
      </c>
      <c r="P675" s="116">
        <v>560</v>
      </c>
      <c r="Q675" s="116">
        <v>2819.8</v>
      </c>
      <c r="R675">
        <v>43073</v>
      </c>
    </row>
    <row r="676" spans="1:18" x14ac:dyDescent="0.25">
      <c r="A676" s="170">
        <v>43720</v>
      </c>
      <c r="B676" s="116">
        <v>1.6822377158034501</v>
      </c>
      <c r="C676" s="116">
        <v>1.6822377158034501</v>
      </c>
      <c r="D676" s="116">
        <v>1.6822377158034501</v>
      </c>
      <c r="E676" s="116">
        <v>1.6822377158034501</v>
      </c>
      <c r="F676" s="116">
        <v>1.84</v>
      </c>
      <c r="G676">
        <v>1000</v>
      </c>
      <c r="H676" s="116"/>
      <c r="I676" s="116"/>
      <c r="L676" s="170">
        <v>42997</v>
      </c>
      <c r="M676" s="116">
        <v>575.87</v>
      </c>
      <c r="N676" s="116">
        <v>578.9</v>
      </c>
      <c r="O676" s="116">
        <v>560.52</v>
      </c>
      <c r="P676" s="116">
        <v>563.96</v>
      </c>
      <c r="Q676" s="116">
        <v>2879.35</v>
      </c>
      <c r="R676">
        <v>99863</v>
      </c>
    </row>
    <row r="677" spans="1:18" x14ac:dyDescent="0.25">
      <c r="A677" s="170">
        <v>43724</v>
      </c>
      <c r="B677" s="116">
        <v>1.7645210823373201</v>
      </c>
      <c r="C677" s="116">
        <v>1.7645210823373201</v>
      </c>
      <c r="D677" s="116">
        <v>1.7645210823373201</v>
      </c>
      <c r="E677" s="116">
        <v>1.7645210823373201</v>
      </c>
      <c r="F677" s="116">
        <v>1.93</v>
      </c>
      <c r="G677">
        <v>2000</v>
      </c>
      <c r="H677" s="116"/>
      <c r="I677" s="116"/>
      <c r="L677" s="170">
        <v>42998</v>
      </c>
      <c r="M677" s="116">
        <v>565.54999999999995</v>
      </c>
      <c r="N677" s="116">
        <v>577.6</v>
      </c>
      <c r="O677" s="116">
        <v>563.72</v>
      </c>
      <c r="P677" s="116">
        <v>577.6</v>
      </c>
      <c r="Q677" s="116">
        <v>2827.75</v>
      </c>
      <c r="R677">
        <v>56793</v>
      </c>
    </row>
    <row r="678" spans="1:18" x14ac:dyDescent="0.25">
      <c r="A678" s="170">
        <v>43725</v>
      </c>
      <c r="B678" s="116">
        <v>1.7645210823373201</v>
      </c>
      <c r="C678" s="116">
        <v>1.7645210823373201</v>
      </c>
      <c r="D678" s="116">
        <v>1.7645210823373201</v>
      </c>
      <c r="E678" s="116">
        <v>1.7645210823373201</v>
      </c>
      <c r="F678" s="116">
        <v>1.93</v>
      </c>
      <c r="G678">
        <v>200</v>
      </c>
      <c r="H678" s="116"/>
      <c r="I678" s="116"/>
      <c r="L678" s="170">
        <v>42999</v>
      </c>
      <c r="M678" s="116">
        <v>559.29999999999995</v>
      </c>
      <c r="N678" s="116">
        <v>566.79</v>
      </c>
      <c r="O678" s="116">
        <v>550.99</v>
      </c>
      <c r="P678" s="116">
        <v>566.79</v>
      </c>
      <c r="Q678" s="116">
        <v>2796.5</v>
      </c>
      <c r="R678">
        <v>79295</v>
      </c>
    </row>
    <row r="679" spans="1:18" x14ac:dyDescent="0.25">
      <c r="A679" s="170">
        <v>43726</v>
      </c>
      <c r="B679" s="116">
        <v>1.8468044488711799</v>
      </c>
      <c r="C679" s="116">
        <v>1.8468044488711799</v>
      </c>
      <c r="D679" s="116">
        <v>1.8468044488711799</v>
      </c>
      <c r="E679" s="116">
        <v>1.8468044488711799</v>
      </c>
      <c r="F679" s="116">
        <v>2.02</v>
      </c>
      <c r="G679">
        <v>1</v>
      </c>
      <c r="H679" s="116"/>
      <c r="I679" s="116"/>
      <c r="L679" s="170">
        <v>43000</v>
      </c>
      <c r="M679" s="116">
        <v>531.63</v>
      </c>
      <c r="N679" s="116">
        <v>557.16000000000008</v>
      </c>
      <c r="O679" s="116">
        <v>529</v>
      </c>
      <c r="P679" s="116">
        <v>557.16000000000008</v>
      </c>
      <c r="Q679" s="116">
        <v>2658.15</v>
      </c>
      <c r="R679">
        <v>149738</v>
      </c>
    </row>
    <row r="680" spans="1:18" x14ac:dyDescent="0.25">
      <c r="A680" s="170">
        <v>43727</v>
      </c>
      <c r="B680" s="116">
        <v>1.8468044488711799</v>
      </c>
      <c r="C680" s="116">
        <v>1.8468044488711799</v>
      </c>
      <c r="D680" s="116">
        <v>1.8468044488711799</v>
      </c>
      <c r="E680" s="116">
        <v>1.8468044488711799</v>
      </c>
      <c r="F680" s="116">
        <v>2.02</v>
      </c>
      <c r="G680">
        <v>9</v>
      </c>
      <c r="H680" s="116"/>
      <c r="I680" s="116"/>
      <c r="L680" s="170">
        <v>43003</v>
      </c>
      <c r="M680" s="116">
        <v>517.56000000000006</v>
      </c>
      <c r="N680" s="116">
        <v>533.06999999999994</v>
      </c>
      <c r="O680" s="116">
        <v>508.18</v>
      </c>
      <c r="P680" s="116">
        <v>532</v>
      </c>
      <c r="Q680" s="116">
        <v>2587.8000000000002</v>
      </c>
      <c r="R680">
        <v>133484</v>
      </c>
    </row>
    <row r="681" spans="1:18" x14ac:dyDescent="0.25">
      <c r="A681" s="170">
        <v>43728</v>
      </c>
      <c r="B681" s="116">
        <v>1.93823041168659</v>
      </c>
      <c r="C681" s="116">
        <v>1.93823041168659</v>
      </c>
      <c r="D681" s="116">
        <v>1.8468044488711799</v>
      </c>
      <c r="E681" s="116">
        <v>1.8468044488711799</v>
      </c>
      <c r="F681" s="116">
        <v>2.12</v>
      </c>
      <c r="G681">
        <v>7389</v>
      </c>
      <c r="H681" s="116"/>
      <c r="I681" s="116"/>
      <c r="L681" s="170">
        <v>43004</v>
      </c>
      <c r="M681" s="116">
        <v>530.66999999999996</v>
      </c>
      <c r="N681" s="116">
        <v>538.64</v>
      </c>
      <c r="O681" s="116">
        <v>516.41000000000008</v>
      </c>
      <c r="P681" s="116">
        <v>520</v>
      </c>
      <c r="Q681" s="116">
        <v>2653.35</v>
      </c>
      <c r="R681">
        <v>129450</v>
      </c>
    </row>
    <row r="682" spans="1:18" x14ac:dyDescent="0.25">
      <c r="A682" s="170">
        <v>43731</v>
      </c>
      <c r="B682" s="116">
        <v>2.02965637450199</v>
      </c>
      <c r="C682" s="116">
        <v>2.02965637450199</v>
      </c>
      <c r="D682" s="116">
        <v>2.02965637450199</v>
      </c>
      <c r="E682" s="116">
        <v>2.02965637450199</v>
      </c>
      <c r="F682" s="116">
        <v>2.2200000000000002</v>
      </c>
      <c r="G682">
        <v>2016</v>
      </c>
      <c r="H682" s="116"/>
      <c r="I682" s="116"/>
      <c r="L682" s="170">
        <v>43005</v>
      </c>
      <c r="M682" s="116">
        <v>519.9</v>
      </c>
      <c r="N682" s="116">
        <v>539.6</v>
      </c>
      <c r="O682" s="116">
        <v>517.08000000000004</v>
      </c>
      <c r="P682" s="116">
        <v>537.01</v>
      </c>
      <c r="Q682" s="116">
        <v>2599.5</v>
      </c>
      <c r="R682">
        <v>96210</v>
      </c>
    </row>
    <row r="683" spans="1:18" x14ac:dyDescent="0.25">
      <c r="A683" s="170">
        <v>43732</v>
      </c>
      <c r="B683" s="116">
        <v>2.1302249335989401</v>
      </c>
      <c r="C683" s="116">
        <v>2.1302249335989401</v>
      </c>
      <c r="D683" s="116">
        <v>2.0479415670650698</v>
      </c>
      <c r="E683" s="116">
        <v>2.0479415670650698</v>
      </c>
      <c r="F683" s="116">
        <v>2.33</v>
      </c>
      <c r="G683">
        <v>281</v>
      </c>
      <c r="H683" s="116"/>
      <c r="I683" s="116"/>
      <c r="L683" s="170">
        <v>43006</v>
      </c>
      <c r="M683" s="116">
        <v>526.58000000000004</v>
      </c>
      <c r="N683" s="116">
        <v>532</v>
      </c>
      <c r="O683" s="116">
        <v>512.96</v>
      </c>
      <c r="P683" s="116">
        <v>520</v>
      </c>
      <c r="Q683" s="116">
        <v>2632.9</v>
      </c>
      <c r="R683">
        <v>104158</v>
      </c>
    </row>
    <row r="684" spans="1:18" x14ac:dyDescent="0.25">
      <c r="A684" s="170">
        <v>43733</v>
      </c>
      <c r="B684" s="116">
        <v>2.2307934926958799</v>
      </c>
      <c r="C684" s="116">
        <v>2.2307934926958799</v>
      </c>
      <c r="D684" s="116">
        <v>2.2307934926958799</v>
      </c>
      <c r="E684" s="116">
        <v>2.2307934926958799</v>
      </c>
      <c r="F684" s="116">
        <v>2.44</v>
      </c>
      <c r="G684">
        <v>209</v>
      </c>
      <c r="H684" s="116"/>
      <c r="I684" s="116"/>
      <c r="L684" s="170">
        <v>43007</v>
      </c>
      <c r="M684" s="116">
        <v>530.91000000000008</v>
      </c>
      <c r="N684" s="116">
        <v>537</v>
      </c>
      <c r="O684" s="116">
        <v>528.13</v>
      </c>
      <c r="P684" s="116">
        <v>530</v>
      </c>
      <c r="Q684" s="116">
        <v>2654.55</v>
      </c>
      <c r="R684">
        <v>76546</v>
      </c>
    </row>
    <row r="685" spans="1:18" x14ac:dyDescent="0.25">
      <c r="A685" s="170">
        <v>43734</v>
      </c>
      <c r="B685" s="116">
        <v>2.2307934926958799</v>
      </c>
      <c r="C685" s="116">
        <v>2.2307934926958799</v>
      </c>
      <c r="D685" s="116">
        <v>2.2307934926958799</v>
      </c>
      <c r="E685" s="116">
        <v>2.2307934926958799</v>
      </c>
      <c r="F685" s="116">
        <v>2.44</v>
      </c>
      <c r="G685">
        <v>151</v>
      </c>
      <c r="H685" s="116"/>
      <c r="I685" s="116"/>
      <c r="L685" s="170">
        <v>43011</v>
      </c>
      <c r="M685" s="116">
        <v>527.86</v>
      </c>
      <c r="N685" s="116">
        <v>538</v>
      </c>
      <c r="O685" s="116">
        <v>525.11</v>
      </c>
      <c r="P685" s="116">
        <v>537.58000000000004</v>
      </c>
      <c r="Q685" s="116">
        <v>2639.3</v>
      </c>
      <c r="R685">
        <v>81026</v>
      </c>
    </row>
    <row r="686" spans="1:18" x14ac:dyDescent="0.25">
      <c r="A686" s="170">
        <v>43735</v>
      </c>
      <c r="B686" s="116">
        <v>2.3405046480743699</v>
      </c>
      <c r="C686" s="116">
        <v>2.3405046480743699</v>
      </c>
      <c r="D686" s="116">
        <v>2.28564907038513</v>
      </c>
      <c r="E686" s="116">
        <v>2.3405046480743699</v>
      </c>
      <c r="F686" s="116">
        <v>2.56</v>
      </c>
      <c r="G686">
        <v>2360</v>
      </c>
      <c r="H686" s="116"/>
      <c r="I686" s="116"/>
      <c r="L686" s="170">
        <v>43012</v>
      </c>
      <c r="M686" s="116">
        <v>525.04999999999995</v>
      </c>
      <c r="N686" s="116">
        <v>534.4</v>
      </c>
      <c r="O686" s="116">
        <v>522.21</v>
      </c>
      <c r="P686" s="116">
        <v>530.4</v>
      </c>
      <c r="Q686" s="116">
        <v>2625.25</v>
      </c>
      <c r="R686">
        <v>78909</v>
      </c>
    </row>
    <row r="687" spans="1:18" x14ac:dyDescent="0.25">
      <c r="A687" s="170">
        <v>43738</v>
      </c>
      <c r="B687" s="116">
        <v>2.4502158034528598</v>
      </c>
      <c r="C687" s="116">
        <v>2.4502158034528598</v>
      </c>
      <c r="D687" s="116">
        <v>2.2307934926958799</v>
      </c>
      <c r="E687" s="116">
        <v>2.2307934926958799</v>
      </c>
      <c r="F687" s="116">
        <v>2.68</v>
      </c>
      <c r="G687">
        <v>160</v>
      </c>
      <c r="H687" s="116"/>
      <c r="I687" s="116"/>
      <c r="L687" s="170">
        <v>43013</v>
      </c>
      <c r="M687" s="116">
        <v>523.39</v>
      </c>
      <c r="N687" s="116">
        <v>532.25</v>
      </c>
      <c r="O687" s="116">
        <v>521.26</v>
      </c>
      <c r="P687" s="116">
        <v>528.74</v>
      </c>
      <c r="Q687" s="116">
        <v>2616.9499999999998</v>
      </c>
      <c r="R687">
        <v>57982</v>
      </c>
    </row>
    <row r="688" spans="1:18" x14ac:dyDescent="0.25">
      <c r="A688" s="170">
        <v>43739</v>
      </c>
      <c r="B688" s="116">
        <v>2.5690695551128799</v>
      </c>
      <c r="C688" s="116">
        <v>2.5690695551128799</v>
      </c>
      <c r="D688" s="116">
        <v>2.5690695551128799</v>
      </c>
      <c r="E688" s="116">
        <v>2.5690695551128799</v>
      </c>
      <c r="F688" s="116">
        <v>2.81</v>
      </c>
      <c r="G688">
        <v>1360</v>
      </c>
      <c r="H688" s="116"/>
      <c r="I688" s="116"/>
      <c r="L688" s="170">
        <v>43014</v>
      </c>
      <c r="M688" s="116">
        <v>529.14</v>
      </c>
      <c r="N688" s="116">
        <v>534.20000000000005</v>
      </c>
      <c r="O688" s="116">
        <v>523.22</v>
      </c>
      <c r="P688" s="116">
        <v>525.20000000000005</v>
      </c>
      <c r="Q688" s="116">
        <v>2645.7</v>
      </c>
      <c r="R688">
        <v>91713</v>
      </c>
    </row>
    <row r="689" spans="1:18" x14ac:dyDescent="0.25">
      <c r="A689" s="170">
        <v>43741</v>
      </c>
      <c r="B689" s="116">
        <v>2.6970659030544502</v>
      </c>
      <c r="C689" s="116">
        <v>2.55992695883134</v>
      </c>
      <c r="D689" s="116">
        <v>2.55992695883134</v>
      </c>
      <c r="E689" s="116">
        <v>2.6970659030544502</v>
      </c>
      <c r="F689" s="116">
        <v>2.8</v>
      </c>
      <c r="G689">
        <v>114</v>
      </c>
      <c r="H689" s="116"/>
      <c r="I689" s="116"/>
      <c r="L689" s="170">
        <v>43017</v>
      </c>
      <c r="M689" s="116">
        <v>533.33999999999992</v>
      </c>
      <c r="N689" s="116">
        <v>536.79999999999995</v>
      </c>
      <c r="O689" s="116">
        <v>527.06999999999994</v>
      </c>
      <c r="P689" s="116">
        <v>530.79999999999995</v>
      </c>
      <c r="Q689" s="116">
        <v>2666.7</v>
      </c>
      <c r="R689">
        <v>47881</v>
      </c>
    </row>
    <row r="690" spans="1:18" x14ac:dyDescent="0.25">
      <c r="A690" s="170">
        <v>43742</v>
      </c>
      <c r="B690" s="116">
        <v>2.6879233067729098</v>
      </c>
      <c r="C690" s="116">
        <v>2.6513529216467502</v>
      </c>
      <c r="D690" s="116">
        <v>2.55992695883134</v>
      </c>
      <c r="E690" s="116">
        <v>2.55992695883134</v>
      </c>
      <c r="F690" s="116">
        <v>2.9</v>
      </c>
      <c r="G690">
        <v>15</v>
      </c>
      <c r="H690" s="116"/>
      <c r="I690" s="116"/>
      <c r="L690" s="170">
        <v>43018</v>
      </c>
      <c r="M690" s="116">
        <v>524.87</v>
      </c>
      <c r="N690" s="116">
        <v>538</v>
      </c>
      <c r="O690" s="116">
        <v>522.65</v>
      </c>
      <c r="P690" s="116">
        <v>538</v>
      </c>
      <c r="Q690" s="116">
        <v>2624.35</v>
      </c>
      <c r="R690">
        <v>82057</v>
      </c>
    </row>
    <row r="691" spans="1:18" x14ac:dyDescent="0.25">
      <c r="A691" s="170">
        <v>43745</v>
      </c>
      <c r="B691" s="116">
        <v>2.7427788844621501</v>
      </c>
      <c r="C691" s="116">
        <v>2.7427788844621501</v>
      </c>
      <c r="D691" s="116">
        <v>2.7427788844621501</v>
      </c>
      <c r="E691" s="116">
        <v>2.7427788844621501</v>
      </c>
      <c r="F691" s="116">
        <v>3</v>
      </c>
      <c r="G691">
        <v>13</v>
      </c>
      <c r="H691" s="116"/>
      <c r="I691" s="116"/>
      <c r="L691" s="170">
        <v>43019</v>
      </c>
      <c r="M691" s="116">
        <v>510.66</v>
      </c>
      <c r="N691" s="116">
        <v>531.4</v>
      </c>
      <c r="O691" s="116">
        <v>507.21000000000004</v>
      </c>
      <c r="P691" s="116">
        <v>528.79999999999995</v>
      </c>
      <c r="Q691" s="116">
        <v>2553.3000000000002</v>
      </c>
      <c r="R691">
        <v>124553</v>
      </c>
    </row>
    <row r="692" spans="1:18" x14ac:dyDescent="0.25">
      <c r="A692" s="170">
        <v>43747</v>
      </c>
      <c r="B692" s="116">
        <v>2.8799178286852598</v>
      </c>
      <c r="C692" s="116">
        <v>2.8342048472775598</v>
      </c>
      <c r="D692" s="116">
        <v>2.7427788844621501</v>
      </c>
      <c r="E692" s="116">
        <v>2.7427788844621501</v>
      </c>
      <c r="F692" s="116">
        <v>3.1</v>
      </c>
      <c r="G692">
        <v>5004</v>
      </c>
      <c r="H692" s="116"/>
      <c r="I692" s="116"/>
      <c r="L692" s="170">
        <v>43020</v>
      </c>
      <c r="M692" s="116">
        <v>526</v>
      </c>
      <c r="N692" s="116">
        <v>529.45000000000005</v>
      </c>
      <c r="O692" s="116">
        <v>510.9</v>
      </c>
      <c r="P692" s="116">
        <v>516</v>
      </c>
      <c r="Q692" s="116">
        <v>526</v>
      </c>
      <c r="R692">
        <v>651990</v>
      </c>
    </row>
    <row r="693" spans="1:18" x14ac:dyDescent="0.25">
      <c r="A693" s="170">
        <v>43748</v>
      </c>
      <c r="B693" s="116">
        <v>2.9713437915006602</v>
      </c>
      <c r="C693" s="116">
        <v>2.7884918658698501</v>
      </c>
      <c r="D693" s="116">
        <v>2.7427788844621501</v>
      </c>
      <c r="E693" s="116">
        <v>2.9713437915006602</v>
      </c>
      <c r="F693" s="116">
        <v>3.05</v>
      </c>
      <c r="G693">
        <v>199</v>
      </c>
      <c r="H693" s="116"/>
      <c r="I693" s="116"/>
      <c r="L693" s="170">
        <v>43021</v>
      </c>
      <c r="M693" s="116">
        <v>558.75</v>
      </c>
      <c r="N693" s="116">
        <v>562</v>
      </c>
      <c r="O693" s="116">
        <v>527</v>
      </c>
      <c r="P693" s="116">
        <v>530</v>
      </c>
      <c r="Q693" s="116">
        <v>558.75</v>
      </c>
      <c r="R693">
        <v>1585443</v>
      </c>
    </row>
    <row r="694" spans="1:18" x14ac:dyDescent="0.25">
      <c r="A694" s="170">
        <v>43749</v>
      </c>
      <c r="B694" s="116">
        <v>2.7884918658698501</v>
      </c>
      <c r="C694" s="116">
        <v>2.7884918658698501</v>
      </c>
      <c r="D694" s="116">
        <v>2.7884918658698501</v>
      </c>
      <c r="E694" s="116">
        <v>2.7884918658698501</v>
      </c>
      <c r="F694" s="116">
        <v>3.05</v>
      </c>
      <c r="G694">
        <v>502</v>
      </c>
      <c r="H694" s="116"/>
      <c r="I694" s="116"/>
      <c r="L694" s="170">
        <v>43024</v>
      </c>
      <c r="M694" s="116">
        <v>549.4</v>
      </c>
      <c r="N694" s="116">
        <v>564.70000000000005</v>
      </c>
      <c r="O694" s="116">
        <v>545.65</v>
      </c>
      <c r="P694" s="116">
        <v>562</v>
      </c>
      <c r="Q694" s="116">
        <v>549.4</v>
      </c>
      <c r="R694">
        <v>876239</v>
      </c>
    </row>
    <row r="695" spans="1:18" x14ac:dyDescent="0.25">
      <c r="A695" s="170">
        <v>43752</v>
      </c>
      <c r="B695" s="116">
        <v>2.9256308100929602</v>
      </c>
      <c r="C695" s="116">
        <v>2.9164882138114199</v>
      </c>
      <c r="D695" s="116">
        <v>2.7884918658698501</v>
      </c>
      <c r="E695" s="116">
        <v>2.9256308100929602</v>
      </c>
      <c r="F695" s="116">
        <v>3.19</v>
      </c>
      <c r="G695">
        <v>3943</v>
      </c>
      <c r="H695" s="116"/>
      <c r="I695" s="116"/>
      <c r="L695" s="170">
        <v>43025</v>
      </c>
      <c r="M695" s="116">
        <v>551.5</v>
      </c>
      <c r="N695" s="116">
        <v>554.75</v>
      </c>
      <c r="O695" s="116">
        <v>545</v>
      </c>
      <c r="P695" s="116">
        <v>551</v>
      </c>
      <c r="Q695" s="116">
        <v>551.5</v>
      </c>
      <c r="R695">
        <v>428851</v>
      </c>
    </row>
    <row r="696" spans="1:18" x14ac:dyDescent="0.25">
      <c r="A696" s="170">
        <v>43753</v>
      </c>
      <c r="B696" s="116">
        <v>3.05362715803453</v>
      </c>
      <c r="C696" s="116">
        <v>3.05362715803453</v>
      </c>
      <c r="D696" s="116">
        <v>2.9164882138114199</v>
      </c>
      <c r="E696" s="116">
        <v>2.9164882138114199</v>
      </c>
      <c r="F696" s="116">
        <v>3.34</v>
      </c>
      <c r="G696">
        <v>1203</v>
      </c>
      <c r="H696" s="116"/>
      <c r="I696" s="116"/>
      <c r="L696" s="170">
        <v>43026</v>
      </c>
      <c r="M696" s="116">
        <v>540.70000000000005</v>
      </c>
      <c r="N696" s="116">
        <v>552</v>
      </c>
      <c r="O696" s="116">
        <v>539.20000000000005</v>
      </c>
      <c r="P696" s="116">
        <v>550.79999999999995</v>
      </c>
      <c r="Q696" s="116">
        <v>540.70000000000005</v>
      </c>
      <c r="R696">
        <v>505344</v>
      </c>
    </row>
    <row r="697" spans="1:18" x14ac:dyDescent="0.25">
      <c r="A697" s="170">
        <v>43754</v>
      </c>
      <c r="B697" s="116">
        <v>3.19990869853918</v>
      </c>
      <c r="C697" s="116">
        <v>3.05362715803453</v>
      </c>
      <c r="D697" s="116">
        <v>3.0444845617529901</v>
      </c>
      <c r="E697" s="116">
        <v>3.05362715803453</v>
      </c>
      <c r="F697" s="116">
        <v>3.34</v>
      </c>
      <c r="G697">
        <v>6896</v>
      </c>
      <c r="H697" s="116"/>
      <c r="I697" s="116"/>
      <c r="L697" s="170">
        <v>43027</v>
      </c>
      <c r="M697" s="116">
        <v>537.15</v>
      </c>
      <c r="N697" s="116">
        <v>544.6</v>
      </c>
      <c r="O697" s="116">
        <v>532.25</v>
      </c>
      <c r="P697" s="116">
        <v>541</v>
      </c>
      <c r="Q697" s="116">
        <v>537.15</v>
      </c>
      <c r="R697">
        <v>134995</v>
      </c>
    </row>
    <row r="698" spans="1:18" x14ac:dyDescent="0.25">
      <c r="A698" s="170">
        <v>43755</v>
      </c>
      <c r="B698" s="116">
        <v>3.19990869853918</v>
      </c>
      <c r="C698" s="116">
        <v>3.1541957171314698</v>
      </c>
      <c r="D698" s="116">
        <v>3.05362715803453</v>
      </c>
      <c r="E698" s="116">
        <v>3.05362715803453</v>
      </c>
      <c r="F698" s="116">
        <v>3.45</v>
      </c>
      <c r="G698">
        <v>78</v>
      </c>
      <c r="H698" s="116"/>
      <c r="I698" s="116"/>
      <c r="L698" s="170">
        <v>43031</v>
      </c>
      <c r="M698" s="116">
        <v>537.85</v>
      </c>
      <c r="N698" s="116">
        <v>545.4</v>
      </c>
      <c r="O698" s="116">
        <v>533.4</v>
      </c>
      <c r="P698" s="116">
        <v>537</v>
      </c>
      <c r="Q698" s="116">
        <v>537.85</v>
      </c>
      <c r="R698">
        <v>439606</v>
      </c>
    </row>
    <row r="699" spans="1:18" x14ac:dyDescent="0.25">
      <c r="A699" s="170">
        <v>43756</v>
      </c>
      <c r="B699" s="116">
        <v>3.29133466135458</v>
      </c>
      <c r="C699" s="116">
        <v>3.1084827357237699</v>
      </c>
      <c r="D699" s="116">
        <v>3.1084827357237699</v>
      </c>
      <c r="E699" s="116">
        <v>3.1541957171314698</v>
      </c>
      <c r="F699" s="116">
        <v>3.4</v>
      </c>
      <c r="G699">
        <v>2602</v>
      </c>
      <c r="H699" s="116"/>
      <c r="I699" s="116"/>
      <c r="L699" s="170">
        <v>43032</v>
      </c>
      <c r="M699" s="116">
        <v>538.9</v>
      </c>
      <c r="N699" s="116">
        <v>555.79999999999995</v>
      </c>
      <c r="O699" s="116">
        <v>534</v>
      </c>
      <c r="P699" s="116">
        <v>540.95000000000005</v>
      </c>
      <c r="Q699" s="116">
        <v>538.9</v>
      </c>
      <c r="R699">
        <v>1735326</v>
      </c>
    </row>
    <row r="700" spans="1:18" x14ac:dyDescent="0.25">
      <c r="A700" s="170">
        <v>43761</v>
      </c>
      <c r="B700" s="116">
        <v>2.9530585989375799</v>
      </c>
      <c r="C700" s="116">
        <v>2.9530585989375799</v>
      </c>
      <c r="D700" s="116">
        <v>2.9530585989375799</v>
      </c>
      <c r="E700" s="116">
        <v>2.9530585989375799</v>
      </c>
      <c r="F700" s="116">
        <v>3.23</v>
      </c>
      <c r="G700">
        <v>143</v>
      </c>
      <c r="H700" s="116"/>
      <c r="I700" s="116"/>
      <c r="L700" s="170">
        <v>43033</v>
      </c>
      <c r="M700" s="116">
        <v>503.1</v>
      </c>
      <c r="N700" s="116">
        <v>539.85</v>
      </c>
      <c r="O700" s="116">
        <v>496.85</v>
      </c>
      <c r="P700" s="116">
        <v>534</v>
      </c>
      <c r="Q700" s="116">
        <v>503.1</v>
      </c>
      <c r="R700">
        <v>1993043</v>
      </c>
    </row>
    <row r="701" spans="1:18" x14ac:dyDescent="0.25">
      <c r="A701" s="170">
        <v>43762</v>
      </c>
      <c r="B701" s="116">
        <v>2.9256308100929602</v>
      </c>
      <c r="C701" s="116">
        <v>2.8982030212483401</v>
      </c>
      <c r="D701" s="116">
        <v>2.8342048472775598</v>
      </c>
      <c r="E701" s="116">
        <v>2.8342048472775598</v>
      </c>
      <c r="F701" s="116">
        <v>3.17</v>
      </c>
      <c r="G701">
        <v>281</v>
      </c>
      <c r="H701" s="116"/>
      <c r="I701" s="116"/>
      <c r="L701" s="170">
        <v>43034</v>
      </c>
      <c r="M701" s="116">
        <v>498.55</v>
      </c>
      <c r="N701" s="116">
        <v>507.95</v>
      </c>
      <c r="O701" s="116">
        <v>480.1</v>
      </c>
      <c r="P701" s="116">
        <v>501</v>
      </c>
      <c r="Q701" s="116">
        <v>498.55</v>
      </c>
      <c r="R701">
        <v>1518657</v>
      </c>
    </row>
    <row r="702" spans="1:18" x14ac:dyDescent="0.25">
      <c r="A702" s="170">
        <v>43763</v>
      </c>
      <c r="B702" s="116">
        <v>2.8982030212483401</v>
      </c>
      <c r="C702" s="116">
        <v>2.8982030212483401</v>
      </c>
      <c r="D702" s="116">
        <v>2.8982030212483401</v>
      </c>
      <c r="E702" s="116">
        <v>2.8982030212483401</v>
      </c>
      <c r="F702" s="116">
        <v>3.17</v>
      </c>
      <c r="G702">
        <v>142</v>
      </c>
      <c r="H702" s="116"/>
      <c r="I702" s="116"/>
      <c r="L702" s="170">
        <v>43035</v>
      </c>
      <c r="M702" s="116">
        <v>495.7</v>
      </c>
      <c r="N702" s="116">
        <v>509.35</v>
      </c>
      <c r="O702" s="116">
        <v>493.1</v>
      </c>
      <c r="P702" s="116">
        <v>504</v>
      </c>
      <c r="Q702" s="116">
        <v>495.7</v>
      </c>
      <c r="R702">
        <v>847741</v>
      </c>
    </row>
    <row r="703" spans="1:18" x14ac:dyDescent="0.25">
      <c r="A703" s="170">
        <v>43765</v>
      </c>
      <c r="B703" s="116">
        <v>3.0353419654714502</v>
      </c>
      <c r="C703" s="116">
        <v>3.0353419654714502</v>
      </c>
      <c r="D703" s="116">
        <v>2.9713437915006602</v>
      </c>
      <c r="E703" s="116">
        <v>3.0353419654714502</v>
      </c>
      <c r="F703" s="116">
        <v>3.32</v>
      </c>
      <c r="G703">
        <v>628</v>
      </c>
      <c r="H703" s="116"/>
      <c r="I703" s="116"/>
      <c r="L703" s="170">
        <v>43038</v>
      </c>
      <c r="M703" s="116">
        <v>488.75</v>
      </c>
      <c r="N703" s="116">
        <v>502.5</v>
      </c>
      <c r="O703" s="116">
        <v>486.5</v>
      </c>
      <c r="P703" s="116">
        <v>496</v>
      </c>
      <c r="Q703" s="116">
        <v>488.75</v>
      </c>
      <c r="R703">
        <v>674251</v>
      </c>
    </row>
    <row r="704" spans="1:18" x14ac:dyDescent="0.25">
      <c r="A704" s="170">
        <v>43767</v>
      </c>
      <c r="B704" s="116">
        <v>2.9713437915006602</v>
      </c>
      <c r="C704" s="116">
        <v>2.9713437915006602</v>
      </c>
      <c r="D704" s="116">
        <v>2.9713437915006602</v>
      </c>
      <c r="E704" s="116">
        <v>2.9713437915006602</v>
      </c>
      <c r="F704" s="116">
        <v>3.25</v>
      </c>
      <c r="G704">
        <v>4</v>
      </c>
      <c r="H704" s="116"/>
      <c r="I704" s="116"/>
      <c r="L704" s="170">
        <v>43039</v>
      </c>
      <c r="M704" s="116">
        <v>480.15</v>
      </c>
      <c r="N704" s="116">
        <v>495.15</v>
      </c>
      <c r="O704" s="116">
        <v>478</v>
      </c>
      <c r="P704" s="116">
        <v>493.9</v>
      </c>
      <c r="Q704" s="116">
        <v>480.15</v>
      </c>
      <c r="R704">
        <v>917182</v>
      </c>
    </row>
    <row r="705" spans="1:18" x14ac:dyDescent="0.25">
      <c r="A705" s="170">
        <v>43768</v>
      </c>
      <c r="B705" s="116">
        <v>2.9256308100929602</v>
      </c>
      <c r="C705" s="116">
        <v>2.9256308100929602</v>
      </c>
      <c r="D705" s="116">
        <v>2.9256308100929602</v>
      </c>
      <c r="E705" s="116">
        <v>2.9256308100929602</v>
      </c>
      <c r="F705" s="116">
        <v>3.2</v>
      </c>
      <c r="G705">
        <v>3151</v>
      </c>
      <c r="H705" s="116"/>
      <c r="I705" s="116"/>
      <c r="L705" s="170">
        <v>43040</v>
      </c>
      <c r="M705" s="116">
        <v>470.9</v>
      </c>
      <c r="N705" s="116">
        <v>485.85</v>
      </c>
      <c r="O705" s="116">
        <v>469.65</v>
      </c>
      <c r="P705" s="116">
        <v>484.8</v>
      </c>
      <c r="Q705" s="116">
        <v>470.9</v>
      </c>
      <c r="R705">
        <v>943274</v>
      </c>
    </row>
    <row r="706" spans="1:18" x14ac:dyDescent="0.25">
      <c r="A706" s="170">
        <v>43770</v>
      </c>
      <c r="B706" s="116">
        <v>2.7884918658698501</v>
      </c>
      <c r="C706" s="116">
        <v>2.7793492695883102</v>
      </c>
      <c r="D706" s="116">
        <v>2.7793492695883102</v>
      </c>
      <c r="E706" s="116">
        <v>2.7884918658698501</v>
      </c>
      <c r="F706" s="116">
        <v>3.04</v>
      </c>
      <c r="G706">
        <v>1102</v>
      </c>
      <c r="H706" s="116"/>
      <c r="I706" s="116"/>
      <c r="L706" s="170">
        <v>43041</v>
      </c>
      <c r="M706" s="116">
        <v>472.6</v>
      </c>
      <c r="N706" s="116">
        <v>482.8</v>
      </c>
      <c r="O706" s="116">
        <v>465.25</v>
      </c>
      <c r="P706" s="116">
        <v>472</v>
      </c>
      <c r="Q706" s="116">
        <v>472.6</v>
      </c>
      <c r="R706">
        <v>1274760</v>
      </c>
    </row>
    <row r="707" spans="1:18" x14ac:dyDescent="0.25">
      <c r="A707" s="170">
        <v>43775</v>
      </c>
      <c r="B707" s="116">
        <v>2.7427788844621501</v>
      </c>
      <c r="C707" s="116">
        <v>2.6513529216467502</v>
      </c>
      <c r="D707" s="116">
        <v>2.6513529216467502</v>
      </c>
      <c r="E707" s="116">
        <v>2.7427788844621501</v>
      </c>
      <c r="F707" s="116">
        <v>2.9</v>
      </c>
      <c r="G707">
        <v>2292</v>
      </c>
      <c r="H707" s="116"/>
      <c r="I707" s="116"/>
      <c r="L707" s="170">
        <v>43042</v>
      </c>
      <c r="M707" s="116">
        <v>467.35</v>
      </c>
      <c r="N707" s="116">
        <v>477.5</v>
      </c>
      <c r="O707" s="116">
        <v>464.8</v>
      </c>
      <c r="P707" s="116">
        <v>471.1</v>
      </c>
      <c r="Q707" s="116">
        <v>467.35</v>
      </c>
      <c r="R707">
        <v>720847</v>
      </c>
    </row>
    <row r="708" spans="1:18" x14ac:dyDescent="0.25">
      <c r="A708" s="170">
        <v>43776</v>
      </c>
      <c r="B708" s="116">
        <v>2.55992695883134</v>
      </c>
      <c r="C708" s="116">
        <v>2.52335657370518</v>
      </c>
      <c r="D708" s="116">
        <v>2.52335657370518</v>
      </c>
      <c r="E708" s="116">
        <v>2.55992695883134</v>
      </c>
      <c r="F708" s="116">
        <v>2.76</v>
      </c>
      <c r="G708">
        <v>800</v>
      </c>
      <c r="H708" s="116"/>
      <c r="I708" s="116"/>
      <c r="L708" s="170">
        <v>43045</v>
      </c>
      <c r="M708" s="116">
        <v>456.15</v>
      </c>
      <c r="N708" s="116">
        <v>470</v>
      </c>
      <c r="O708" s="116">
        <v>454.95</v>
      </c>
      <c r="P708" s="116">
        <v>468</v>
      </c>
      <c r="Q708" s="116">
        <v>456.15</v>
      </c>
      <c r="R708">
        <v>760577</v>
      </c>
    </row>
    <row r="709" spans="1:18" x14ac:dyDescent="0.25">
      <c r="A709" s="170">
        <v>43777</v>
      </c>
      <c r="B709" s="116">
        <v>2.52335657370518</v>
      </c>
      <c r="C709" s="116">
        <v>2.4685009960159401</v>
      </c>
      <c r="D709" s="116">
        <v>2.4685009960159401</v>
      </c>
      <c r="E709" s="116">
        <v>2.52335657370518</v>
      </c>
      <c r="F709" s="116">
        <v>2.7</v>
      </c>
      <c r="G709">
        <v>34</v>
      </c>
      <c r="H709" s="116"/>
      <c r="I709" s="116"/>
      <c r="L709" s="170">
        <v>43046</v>
      </c>
      <c r="M709" s="116">
        <v>456.2</v>
      </c>
      <c r="N709" s="116">
        <v>471.9</v>
      </c>
      <c r="O709" s="116">
        <v>452.35</v>
      </c>
      <c r="P709" s="116">
        <v>456.6</v>
      </c>
      <c r="Q709" s="116">
        <v>456.2</v>
      </c>
      <c r="R709">
        <v>936897</v>
      </c>
    </row>
    <row r="710" spans="1:18" x14ac:dyDescent="0.25">
      <c r="A710" s="170">
        <v>43780</v>
      </c>
      <c r="B710" s="116">
        <v>2.4685009960159401</v>
      </c>
      <c r="C710" s="116">
        <v>2.3496472443559102</v>
      </c>
      <c r="D710" s="116">
        <v>2.3496472443559102</v>
      </c>
      <c r="E710" s="116">
        <v>2.4685009960159401</v>
      </c>
      <c r="F710" s="116">
        <v>2.57</v>
      </c>
      <c r="G710">
        <v>256</v>
      </c>
      <c r="H710" s="116"/>
      <c r="I710" s="116"/>
      <c r="L710" s="170">
        <v>43047</v>
      </c>
      <c r="M710" s="116">
        <v>453.4</v>
      </c>
      <c r="N710" s="116">
        <v>463.75</v>
      </c>
      <c r="O710" s="116">
        <v>443.1</v>
      </c>
      <c r="P710" s="116">
        <v>458.9</v>
      </c>
      <c r="Q710" s="116">
        <v>453.4</v>
      </c>
      <c r="R710">
        <v>607491</v>
      </c>
    </row>
    <row r="711" spans="1:18" x14ac:dyDescent="0.25">
      <c r="A711" s="170">
        <v>43783</v>
      </c>
      <c r="B711" s="116">
        <v>2.3496472443559102</v>
      </c>
      <c r="C711" s="116">
        <v>2.3496472443559102</v>
      </c>
      <c r="D711" s="116">
        <v>2.3496472443559102</v>
      </c>
      <c r="E711" s="116">
        <v>2.3496472443559102</v>
      </c>
      <c r="F711" s="116">
        <v>2.57</v>
      </c>
      <c r="G711">
        <v>101</v>
      </c>
      <c r="H711" s="116"/>
      <c r="I711" s="116"/>
      <c r="L711" s="170">
        <v>43048</v>
      </c>
      <c r="M711" s="116">
        <v>459.9</v>
      </c>
      <c r="N711" s="116">
        <v>465</v>
      </c>
      <c r="O711" s="116">
        <v>453</v>
      </c>
      <c r="P711" s="116">
        <v>455.9</v>
      </c>
      <c r="Q711" s="116">
        <v>459.9</v>
      </c>
      <c r="R711">
        <v>581753</v>
      </c>
    </row>
    <row r="712" spans="1:18" x14ac:dyDescent="0.25">
      <c r="A712" s="170">
        <v>43784</v>
      </c>
      <c r="B712" s="116">
        <v>2.3496472443559102</v>
      </c>
      <c r="C712" s="116">
        <v>2.3496472443559102</v>
      </c>
      <c r="D712" s="116">
        <v>2.3496472443559102</v>
      </c>
      <c r="E712" s="116">
        <v>2.3496472443559102</v>
      </c>
      <c r="F712" s="116">
        <v>2.57</v>
      </c>
      <c r="G712">
        <v>260</v>
      </c>
      <c r="H712" s="116"/>
      <c r="I712" s="116"/>
      <c r="L712" s="170">
        <v>43049</v>
      </c>
      <c r="M712" s="116">
        <v>462.4</v>
      </c>
      <c r="N712" s="116">
        <v>469.8</v>
      </c>
      <c r="O712" s="116">
        <v>457.2</v>
      </c>
      <c r="P712" s="116">
        <v>459</v>
      </c>
      <c r="Q712" s="116">
        <v>462.4</v>
      </c>
      <c r="R712">
        <v>597558</v>
      </c>
    </row>
    <row r="713" spans="1:18" x14ac:dyDescent="0.25">
      <c r="A713" s="170">
        <v>43787</v>
      </c>
      <c r="B713" s="116">
        <v>2.2399360889774198</v>
      </c>
      <c r="C713" s="116">
        <v>2.2399360889774198</v>
      </c>
      <c r="D713" s="116">
        <v>2.2399360889774198</v>
      </c>
      <c r="E713" s="116">
        <v>2.2399360889774198</v>
      </c>
      <c r="F713" s="116">
        <v>2.4500000000000002</v>
      </c>
      <c r="G713">
        <v>109</v>
      </c>
      <c r="H713" s="116"/>
      <c r="I713" s="116"/>
      <c r="L713" s="170">
        <v>43052</v>
      </c>
      <c r="M713" s="116">
        <v>453.05</v>
      </c>
      <c r="N713" s="116">
        <v>467</v>
      </c>
      <c r="O713" s="116">
        <v>452</v>
      </c>
      <c r="P713" s="116">
        <v>463.3</v>
      </c>
      <c r="Q713" s="116">
        <v>453.05</v>
      </c>
      <c r="R713">
        <v>449400</v>
      </c>
    </row>
    <row r="714" spans="1:18" x14ac:dyDescent="0.25">
      <c r="A714" s="170">
        <v>43795</v>
      </c>
      <c r="B714" s="116">
        <v>2.1942231075697198</v>
      </c>
      <c r="C714" s="116">
        <v>2.1942231075697198</v>
      </c>
      <c r="D714" s="116">
        <v>2.1942231075697198</v>
      </c>
      <c r="E714" s="116">
        <v>2.1942231075697198</v>
      </c>
      <c r="F714" s="116">
        <v>2.4</v>
      </c>
      <c r="G714">
        <v>2</v>
      </c>
      <c r="H714" s="116"/>
      <c r="I714" s="116"/>
      <c r="L714" s="170">
        <v>43053</v>
      </c>
      <c r="M714" s="116">
        <v>453.55</v>
      </c>
      <c r="N714" s="116">
        <v>460.75</v>
      </c>
      <c r="O714" s="116">
        <v>451.2</v>
      </c>
      <c r="P714" s="116">
        <v>454.8</v>
      </c>
      <c r="Q714" s="116">
        <v>453.55</v>
      </c>
      <c r="R714">
        <v>406922</v>
      </c>
    </row>
    <row r="715" spans="1:18" x14ac:dyDescent="0.25">
      <c r="A715" s="170">
        <v>43796</v>
      </c>
      <c r="B715" s="116">
        <v>2.1576527224435602</v>
      </c>
      <c r="C715" s="116">
        <v>2.1576527224435602</v>
      </c>
      <c r="D715" s="116">
        <v>2.1576527224435602</v>
      </c>
      <c r="E715" s="116">
        <v>2.1576527224435602</v>
      </c>
      <c r="F715" s="116">
        <v>2.36</v>
      </c>
      <c r="G715">
        <v>1</v>
      </c>
      <c r="H715" s="116"/>
      <c r="I715" s="116"/>
      <c r="L715" s="170">
        <v>43054</v>
      </c>
      <c r="M715" s="116">
        <v>437.9</v>
      </c>
      <c r="N715" s="116">
        <v>455</v>
      </c>
      <c r="O715" s="116">
        <v>434.4</v>
      </c>
      <c r="P715" s="116">
        <v>452.7</v>
      </c>
      <c r="Q715" s="116">
        <v>437.9</v>
      </c>
      <c r="R715">
        <v>467724</v>
      </c>
    </row>
    <row r="716" spans="1:18" x14ac:dyDescent="0.25">
      <c r="A716" s="170">
        <v>43809</v>
      </c>
      <c r="B716" s="116">
        <v>2.0570841633466102</v>
      </c>
      <c r="C716" s="116">
        <v>2.0570841633466102</v>
      </c>
      <c r="D716" s="116">
        <v>2.0570841633466102</v>
      </c>
      <c r="E716" s="116">
        <v>2.0570841633466102</v>
      </c>
      <c r="F716" s="116">
        <v>2.25</v>
      </c>
      <c r="G716">
        <v>109</v>
      </c>
      <c r="H716" s="116"/>
      <c r="I716" s="116"/>
      <c r="L716" s="170">
        <v>43055</v>
      </c>
      <c r="M716" s="116">
        <v>451.55</v>
      </c>
      <c r="N716" s="116">
        <v>460</v>
      </c>
      <c r="O716" s="116">
        <v>430.85</v>
      </c>
      <c r="P716" s="116">
        <v>439.6</v>
      </c>
      <c r="Q716" s="116">
        <v>451.55</v>
      </c>
      <c r="R716">
        <v>685076</v>
      </c>
    </row>
    <row r="717" spans="1:18" x14ac:dyDescent="0.25">
      <c r="A717" s="170">
        <v>43810</v>
      </c>
      <c r="B717" s="116">
        <v>1.9565156042496701</v>
      </c>
      <c r="C717" s="116">
        <v>1.9565156042496701</v>
      </c>
      <c r="D717" s="116">
        <v>1.9565156042496701</v>
      </c>
      <c r="E717" s="116">
        <v>1.9565156042496701</v>
      </c>
      <c r="F717" s="116">
        <v>2.14</v>
      </c>
      <c r="G717">
        <v>109</v>
      </c>
      <c r="H717" s="116"/>
      <c r="I717" s="116"/>
      <c r="L717" s="170">
        <v>43056</v>
      </c>
      <c r="M717" s="116">
        <v>479</v>
      </c>
      <c r="N717" s="116">
        <v>482.2</v>
      </c>
      <c r="O717" s="116">
        <v>461.1</v>
      </c>
      <c r="P717" s="116">
        <v>472.6</v>
      </c>
      <c r="Q717" s="116">
        <v>479</v>
      </c>
      <c r="R717">
        <v>1472164</v>
      </c>
    </row>
    <row r="718" spans="1:18" x14ac:dyDescent="0.25">
      <c r="A718" s="170">
        <v>43811</v>
      </c>
      <c r="B718" s="116">
        <v>1.8650896414342599</v>
      </c>
      <c r="C718" s="116">
        <v>1.8650896414342599</v>
      </c>
      <c r="D718" s="116">
        <v>1.8650896414342599</v>
      </c>
      <c r="E718" s="116">
        <v>1.8650896414342599</v>
      </c>
      <c r="F718" s="116">
        <v>2.04</v>
      </c>
      <c r="G718">
        <v>209</v>
      </c>
      <c r="H718" s="116"/>
      <c r="I718" s="116"/>
      <c r="L718" s="170">
        <v>43059</v>
      </c>
      <c r="M718" s="116">
        <v>472.9</v>
      </c>
      <c r="N718" s="116">
        <v>481.9</v>
      </c>
      <c r="O718" s="116">
        <v>462.65</v>
      </c>
      <c r="P718" s="116">
        <v>479</v>
      </c>
      <c r="Q718" s="116">
        <v>472.9</v>
      </c>
      <c r="R718">
        <v>666400</v>
      </c>
    </row>
    <row r="719" spans="1:18" x14ac:dyDescent="0.25">
      <c r="A719" s="170">
        <v>43812</v>
      </c>
      <c r="B719" s="116">
        <v>1.77366367861886</v>
      </c>
      <c r="C719" s="116">
        <v>1.77366367861886</v>
      </c>
      <c r="D719" s="116">
        <v>1.77366367861886</v>
      </c>
      <c r="E719" s="116">
        <v>1.77366367861886</v>
      </c>
      <c r="F719" s="116">
        <v>1.94</v>
      </c>
      <c r="G719">
        <v>203</v>
      </c>
      <c r="H719" s="116"/>
      <c r="I719" s="116"/>
      <c r="L719" s="170">
        <v>43060</v>
      </c>
      <c r="M719" s="116">
        <v>462.45</v>
      </c>
      <c r="N719" s="116">
        <v>477.25</v>
      </c>
      <c r="O719" s="116">
        <v>460.1</v>
      </c>
      <c r="P719" s="116">
        <v>472.9</v>
      </c>
      <c r="Q719" s="116">
        <v>462.45</v>
      </c>
      <c r="R719">
        <v>490249</v>
      </c>
    </row>
    <row r="720" spans="1:18" x14ac:dyDescent="0.25">
      <c r="A720" s="170">
        <v>43816</v>
      </c>
      <c r="B720" s="116">
        <v>1.8285192563081001</v>
      </c>
      <c r="C720" s="116">
        <v>1.8285192563081001</v>
      </c>
      <c r="D720" s="116">
        <v>1.8285192563081001</v>
      </c>
      <c r="E720" s="116">
        <v>1.8285192563081001</v>
      </c>
      <c r="F720" s="116">
        <v>2</v>
      </c>
      <c r="G720">
        <v>1010</v>
      </c>
      <c r="H720" s="116"/>
      <c r="I720" s="116"/>
      <c r="L720" s="170">
        <v>43061</v>
      </c>
      <c r="M720" s="116">
        <v>464.5</v>
      </c>
      <c r="N720" s="116">
        <v>469.2</v>
      </c>
      <c r="O720" s="116">
        <v>456.2</v>
      </c>
      <c r="P720" s="116">
        <v>462.5</v>
      </c>
      <c r="Q720" s="116">
        <v>464.5</v>
      </c>
      <c r="R720">
        <v>410746</v>
      </c>
    </row>
    <row r="721" spans="1:18" x14ac:dyDescent="0.25">
      <c r="A721" s="170">
        <v>43817</v>
      </c>
      <c r="B721" s="116">
        <v>1.7370932934926999</v>
      </c>
      <c r="C721" s="116">
        <v>1.7370932934926999</v>
      </c>
      <c r="D721" s="116">
        <v>1.7370932934926999</v>
      </c>
      <c r="E721" s="116">
        <v>1.7370932934926999</v>
      </c>
      <c r="F721" s="116">
        <v>1.9</v>
      </c>
      <c r="G721">
        <v>2500</v>
      </c>
      <c r="H721" s="116"/>
      <c r="I721" s="116"/>
      <c r="L721" s="170">
        <v>43062</v>
      </c>
      <c r="M721" s="116">
        <v>460.8</v>
      </c>
      <c r="N721" s="116">
        <v>467.15</v>
      </c>
      <c r="O721" s="116">
        <v>456.75</v>
      </c>
      <c r="P721" s="116">
        <v>464.5</v>
      </c>
      <c r="Q721" s="116">
        <v>460.8</v>
      </c>
      <c r="R721">
        <v>289736</v>
      </c>
    </row>
    <row r="722" spans="1:18" x14ac:dyDescent="0.25">
      <c r="A722" s="170">
        <v>43818</v>
      </c>
      <c r="B722" s="116">
        <v>1.74623588977424</v>
      </c>
      <c r="C722" s="116">
        <v>1.6548099269588299</v>
      </c>
      <c r="D722" s="116">
        <v>1.6548099269588299</v>
      </c>
      <c r="E722" s="116">
        <v>1.74623588977424</v>
      </c>
      <c r="F722" s="116">
        <v>1.81</v>
      </c>
      <c r="G722">
        <v>1010</v>
      </c>
      <c r="H722" s="116"/>
      <c r="I722" s="116"/>
      <c r="L722" s="170">
        <v>43063</v>
      </c>
      <c r="M722" s="116">
        <v>458.65</v>
      </c>
      <c r="N722" s="116">
        <v>463.85</v>
      </c>
      <c r="O722" s="116">
        <v>455.9</v>
      </c>
      <c r="P722" s="116">
        <v>460.05</v>
      </c>
      <c r="Q722" s="116">
        <v>458.65</v>
      </c>
      <c r="R722">
        <v>222022</v>
      </c>
    </row>
    <row r="723" spans="1:18" x14ac:dyDescent="0.25">
      <c r="A723" s="170">
        <v>43819</v>
      </c>
      <c r="B723" s="116">
        <v>1.5725265604249701</v>
      </c>
      <c r="C723" s="116">
        <v>1.5725265604249701</v>
      </c>
      <c r="D723" s="116">
        <v>1.5725265604249701</v>
      </c>
      <c r="E723" s="116">
        <v>1.5725265604249701</v>
      </c>
      <c r="F723" s="116">
        <v>1.72</v>
      </c>
      <c r="G723">
        <v>100</v>
      </c>
      <c r="H723" s="116"/>
      <c r="I723" s="116"/>
      <c r="L723" s="170">
        <v>43066</v>
      </c>
      <c r="M723" s="116">
        <v>473.7</v>
      </c>
      <c r="N723" s="116">
        <v>476</v>
      </c>
      <c r="O723" s="116">
        <v>455</v>
      </c>
      <c r="P723" s="116">
        <v>456.3</v>
      </c>
      <c r="Q723" s="116">
        <v>473.7</v>
      </c>
      <c r="R723">
        <v>735389</v>
      </c>
    </row>
    <row r="724" spans="1:18" x14ac:dyDescent="0.25">
      <c r="A724" s="170">
        <v>43833</v>
      </c>
      <c r="B724" s="116">
        <v>1.55424136786189</v>
      </c>
      <c r="C724" s="116">
        <v>1.55424136786189</v>
      </c>
      <c r="D724" s="116">
        <v>1.55424136786189</v>
      </c>
      <c r="E724" s="116">
        <v>1.55424136786189</v>
      </c>
      <c r="F724" s="116">
        <v>1.7</v>
      </c>
      <c r="G724">
        <v>10</v>
      </c>
      <c r="H724" s="116"/>
      <c r="I724" s="116"/>
      <c r="L724" s="170">
        <v>43067</v>
      </c>
      <c r="M724" s="116">
        <v>483.5</v>
      </c>
      <c r="N724" s="116">
        <v>489.95</v>
      </c>
      <c r="O724" s="116">
        <v>473.95</v>
      </c>
      <c r="P724" s="116">
        <v>473.95</v>
      </c>
      <c r="Q724" s="116">
        <v>483.5</v>
      </c>
      <c r="R724">
        <v>1198682</v>
      </c>
    </row>
    <row r="725" spans="1:18" x14ac:dyDescent="0.25">
      <c r="A725" s="170">
        <v>43836</v>
      </c>
      <c r="B725" s="116">
        <v>1.55424136786189</v>
      </c>
      <c r="C725" s="116">
        <v>1.4811005976095599</v>
      </c>
      <c r="D725" s="116">
        <v>1.4811005976095599</v>
      </c>
      <c r="E725" s="116">
        <v>1.55424136786189</v>
      </c>
      <c r="F725" s="116">
        <v>1.62</v>
      </c>
      <c r="G725">
        <v>1630</v>
      </c>
      <c r="H725" s="116"/>
      <c r="I725" s="116"/>
      <c r="L725" s="170">
        <v>43068</v>
      </c>
      <c r="M725" s="116">
        <v>490.45</v>
      </c>
      <c r="N725" s="116">
        <v>492.6</v>
      </c>
      <c r="O725" s="116">
        <v>478.1</v>
      </c>
      <c r="P725" s="116">
        <v>483.5</v>
      </c>
      <c r="Q725" s="116">
        <v>490.45</v>
      </c>
      <c r="R725">
        <v>824447</v>
      </c>
    </row>
    <row r="726" spans="1:18" x14ac:dyDescent="0.25">
      <c r="A726" s="170">
        <v>43837</v>
      </c>
      <c r="B726" s="116">
        <v>1.4628154050464801</v>
      </c>
      <c r="C726" s="116">
        <v>1.4628154050464801</v>
      </c>
      <c r="D726" s="116">
        <v>1.4628154050464801</v>
      </c>
      <c r="E726" s="116">
        <v>1.4628154050464801</v>
      </c>
      <c r="F726" s="116">
        <v>1.6</v>
      </c>
      <c r="G726">
        <v>100</v>
      </c>
      <c r="H726" s="116"/>
      <c r="I726" s="116"/>
      <c r="L726" s="170">
        <v>43069</v>
      </c>
      <c r="M726" s="116">
        <v>483.55</v>
      </c>
      <c r="N726" s="116">
        <v>495</v>
      </c>
      <c r="O726" s="116">
        <v>481</v>
      </c>
      <c r="P726" s="116">
        <v>488</v>
      </c>
      <c r="Q726" s="116">
        <v>483.55</v>
      </c>
      <c r="R726">
        <v>754189</v>
      </c>
    </row>
    <row r="727" spans="1:18" x14ac:dyDescent="0.25">
      <c r="A727" s="170">
        <v>43838</v>
      </c>
      <c r="B727" s="116">
        <v>1.4445302124834001</v>
      </c>
      <c r="C727" s="116">
        <v>1.4445302124834001</v>
      </c>
      <c r="D727" s="116">
        <v>1.4445302124834001</v>
      </c>
      <c r="E727" s="116">
        <v>1.4445302124834001</v>
      </c>
      <c r="F727" s="116">
        <v>1.58</v>
      </c>
      <c r="G727">
        <v>2006</v>
      </c>
      <c r="H727" s="116"/>
      <c r="I727" s="116"/>
      <c r="L727" s="170">
        <v>43070</v>
      </c>
      <c r="M727" s="116">
        <v>467.05</v>
      </c>
      <c r="N727" s="116">
        <v>491</v>
      </c>
      <c r="O727" s="116">
        <v>464.25</v>
      </c>
      <c r="P727" s="116">
        <v>484</v>
      </c>
      <c r="Q727" s="116">
        <v>467.05</v>
      </c>
      <c r="R727">
        <v>507775</v>
      </c>
    </row>
    <row r="728" spans="1:18" x14ac:dyDescent="0.25">
      <c r="A728" s="170">
        <v>43846</v>
      </c>
      <c r="B728" s="116">
        <v>1.43538761620186</v>
      </c>
      <c r="C728" s="116">
        <v>1.43538761620186</v>
      </c>
      <c r="D728" s="116">
        <v>1.43538761620186</v>
      </c>
      <c r="E728" s="116">
        <v>1.43538761620186</v>
      </c>
      <c r="F728" s="116">
        <v>1.57</v>
      </c>
      <c r="G728">
        <v>11</v>
      </c>
      <c r="H728" s="116"/>
      <c r="I728" s="116"/>
      <c r="L728" s="170">
        <v>43073</v>
      </c>
      <c r="M728" s="116">
        <v>458.8</v>
      </c>
      <c r="N728" s="116">
        <v>471.25</v>
      </c>
      <c r="O728" s="116">
        <v>451.85</v>
      </c>
      <c r="P728" s="116">
        <v>467</v>
      </c>
      <c r="Q728" s="116">
        <v>458.8</v>
      </c>
      <c r="R728">
        <v>352122</v>
      </c>
    </row>
    <row r="729" spans="1:18" x14ac:dyDescent="0.25">
      <c r="A729" s="170">
        <v>43850</v>
      </c>
      <c r="B729" s="116">
        <v>1.42624501992032</v>
      </c>
      <c r="C729" s="116">
        <v>1.42624501992032</v>
      </c>
      <c r="D729" s="116">
        <v>1.42624501992032</v>
      </c>
      <c r="E729" s="116">
        <v>1.42624501992032</v>
      </c>
      <c r="F729" s="116">
        <v>1.56</v>
      </c>
      <c r="G729">
        <v>4</v>
      </c>
      <c r="H729" s="116"/>
      <c r="I729" s="116"/>
      <c r="L729" s="170">
        <v>43074</v>
      </c>
      <c r="M729" s="116">
        <v>464.15</v>
      </c>
      <c r="N729" s="116">
        <v>468</v>
      </c>
      <c r="O729" s="116">
        <v>451.2</v>
      </c>
      <c r="P729" s="116">
        <v>459.5</v>
      </c>
      <c r="Q729" s="116">
        <v>464.15</v>
      </c>
      <c r="R729">
        <v>483178</v>
      </c>
    </row>
    <row r="730" spans="1:18" x14ac:dyDescent="0.25">
      <c r="A730" s="170">
        <v>43851</v>
      </c>
      <c r="B730" s="116">
        <v>1.4171024236387799</v>
      </c>
      <c r="C730" s="116">
        <v>1.4171024236387799</v>
      </c>
      <c r="D730" s="116">
        <v>1.4171024236387799</v>
      </c>
      <c r="E730" s="116">
        <v>1.4171024236387799</v>
      </c>
      <c r="F730" s="116">
        <v>1.55</v>
      </c>
      <c r="G730">
        <v>1000</v>
      </c>
      <c r="H730" s="116"/>
      <c r="I730" s="116"/>
      <c r="L730" s="170">
        <v>43075</v>
      </c>
      <c r="M730" s="116">
        <v>457.95</v>
      </c>
      <c r="N730" s="116">
        <v>472.5</v>
      </c>
      <c r="O730" s="116">
        <v>455.4</v>
      </c>
      <c r="P730" s="116">
        <v>463.8</v>
      </c>
      <c r="Q730" s="116">
        <v>457.95</v>
      </c>
      <c r="R730">
        <v>428913</v>
      </c>
    </row>
    <row r="731" spans="1:18" x14ac:dyDescent="0.25">
      <c r="A731" s="170">
        <v>43853</v>
      </c>
      <c r="B731" s="116">
        <v>1.40795982735724</v>
      </c>
      <c r="C731" s="116">
        <v>1.40795982735724</v>
      </c>
      <c r="D731" s="116">
        <v>1.40795982735724</v>
      </c>
      <c r="E731" s="116">
        <v>1.40795982735724</v>
      </c>
      <c r="F731" s="116">
        <v>1.54</v>
      </c>
      <c r="G731">
        <v>299</v>
      </c>
      <c r="H731" s="116"/>
      <c r="I731" s="116"/>
      <c r="L731" s="170">
        <v>43076</v>
      </c>
      <c r="M731" s="116">
        <v>485.6</v>
      </c>
      <c r="N731" s="116">
        <v>489</v>
      </c>
      <c r="O731" s="116">
        <v>458.65</v>
      </c>
      <c r="P731" s="116">
        <v>458.65</v>
      </c>
      <c r="Q731" s="116">
        <v>485.6</v>
      </c>
      <c r="R731">
        <v>1123851</v>
      </c>
    </row>
    <row r="732" spans="1:18" x14ac:dyDescent="0.25">
      <c r="A732" s="170">
        <v>43854</v>
      </c>
      <c r="B732" s="116">
        <v>1.3988172310757001</v>
      </c>
      <c r="C732" s="116">
        <v>1.3988172310757001</v>
      </c>
      <c r="D732" s="116">
        <v>1.3988172310757001</v>
      </c>
      <c r="E732" s="116">
        <v>1.3988172310757001</v>
      </c>
      <c r="F732" s="116">
        <v>1.53</v>
      </c>
      <c r="G732">
        <v>800</v>
      </c>
      <c r="H732" s="116"/>
      <c r="I732" s="116"/>
      <c r="L732" s="170">
        <v>43077</v>
      </c>
      <c r="M732" s="116">
        <v>481.35</v>
      </c>
      <c r="N732" s="116">
        <v>490.5</v>
      </c>
      <c r="O732" s="116">
        <v>478.2</v>
      </c>
      <c r="P732" s="116">
        <v>482.7</v>
      </c>
      <c r="Q732" s="116">
        <v>481.35</v>
      </c>
      <c r="R732">
        <v>487848</v>
      </c>
    </row>
    <row r="733" spans="1:18" x14ac:dyDescent="0.25">
      <c r="A733" s="170">
        <v>43858</v>
      </c>
      <c r="B733" s="116">
        <v>1.4628154050464801</v>
      </c>
      <c r="C733" s="116">
        <v>1.3348190571049099</v>
      </c>
      <c r="D733" s="116">
        <v>1.3348190571049099</v>
      </c>
      <c r="E733" s="116">
        <v>1.38967463479416</v>
      </c>
      <c r="F733" s="116">
        <v>1.46</v>
      </c>
      <c r="G733">
        <v>3300</v>
      </c>
      <c r="H733" s="116"/>
      <c r="I733" s="116"/>
      <c r="L733" s="170">
        <v>43080</v>
      </c>
      <c r="M733" s="116">
        <v>484.95</v>
      </c>
      <c r="N733" s="116">
        <v>492</v>
      </c>
      <c r="O733" s="116">
        <v>480.75</v>
      </c>
      <c r="P733" s="116">
        <v>483.1</v>
      </c>
      <c r="Q733" s="116">
        <v>484.95</v>
      </c>
      <c r="R733">
        <v>505196</v>
      </c>
    </row>
    <row r="734" spans="1:18" x14ac:dyDescent="0.25">
      <c r="A734" s="170">
        <v>43864</v>
      </c>
      <c r="B734" s="116">
        <v>1.2708208831341301</v>
      </c>
      <c r="C734" s="116">
        <v>1.2708208831341301</v>
      </c>
      <c r="D734" s="116">
        <v>1.2708208831341301</v>
      </c>
      <c r="E734" s="116">
        <v>1.2708208831341301</v>
      </c>
      <c r="F734" s="116">
        <v>1.39</v>
      </c>
      <c r="G734">
        <v>100</v>
      </c>
      <c r="H734" s="116"/>
      <c r="I734" s="116"/>
      <c r="L734" s="170">
        <v>43081</v>
      </c>
      <c r="M734" s="116">
        <v>466.55</v>
      </c>
      <c r="N734" s="116">
        <v>487.5</v>
      </c>
      <c r="O734" s="116">
        <v>465</v>
      </c>
      <c r="P734" s="116">
        <v>487.5</v>
      </c>
      <c r="Q734" s="116">
        <v>466.55</v>
      </c>
      <c r="R734">
        <v>716498</v>
      </c>
    </row>
    <row r="735" spans="1:18" x14ac:dyDescent="0.25">
      <c r="A735" s="170">
        <v>43885</v>
      </c>
      <c r="B735" s="116">
        <v>1.21596530544489</v>
      </c>
      <c r="C735" s="116">
        <v>1.21596530544489</v>
      </c>
      <c r="D735" s="116">
        <v>1.21596530544489</v>
      </c>
      <c r="E735" s="116">
        <v>1.21596530544489</v>
      </c>
      <c r="F735" s="116">
        <v>1.33</v>
      </c>
      <c r="G735">
        <v>1000</v>
      </c>
      <c r="H735" s="116"/>
      <c r="I735" s="116"/>
      <c r="L735" s="170">
        <v>43082</v>
      </c>
      <c r="M735" s="116">
        <v>463.65</v>
      </c>
      <c r="N735" s="116">
        <v>471.7</v>
      </c>
      <c r="O735" s="116">
        <v>460.6</v>
      </c>
      <c r="P735" s="116">
        <v>466.55</v>
      </c>
      <c r="Q735" s="116">
        <v>463.65</v>
      </c>
      <c r="R735">
        <v>407558</v>
      </c>
    </row>
    <row r="736" spans="1:18" x14ac:dyDescent="0.25">
      <c r="A736" s="170">
        <v>43886</v>
      </c>
      <c r="B736" s="116">
        <v>1.1611097277556399</v>
      </c>
      <c r="C736" s="116">
        <v>1.1611097277556399</v>
      </c>
      <c r="D736" s="116">
        <v>1.1611097277556399</v>
      </c>
      <c r="E736" s="116">
        <v>1.1611097277556399</v>
      </c>
      <c r="F736" s="116">
        <v>1.27</v>
      </c>
      <c r="G736">
        <v>370</v>
      </c>
      <c r="H736" s="116"/>
      <c r="I736" s="116"/>
      <c r="L736" s="170">
        <v>43083</v>
      </c>
      <c r="M736" s="116">
        <v>460.45</v>
      </c>
      <c r="N736" s="116">
        <v>468.9</v>
      </c>
      <c r="O736" s="116">
        <v>450</v>
      </c>
      <c r="P736" s="116">
        <v>465.55</v>
      </c>
      <c r="Q736" s="116">
        <v>460.45</v>
      </c>
      <c r="R736">
        <v>589800</v>
      </c>
    </row>
    <row r="737" spans="1:18" x14ac:dyDescent="0.25">
      <c r="A737" s="170">
        <v>43887</v>
      </c>
      <c r="B737" s="116">
        <v>1.1062541500664</v>
      </c>
      <c r="C737" s="116">
        <v>1.1062541500664</v>
      </c>
      <c r="D737" s="116">
        <v>1.1062541500664</v>
      </c>
      <c r="E737" s="116">
        <v>1.1062541500664</v>
      </c>
      <c r="F737" s="116">
        <v>1.21</v>
      </c>
      <c r="G737">
        <v>1000</v>
      </c>
      <c r="H737" s="116"/>
      <c r="I737" s="116"/>
      <c r="L737" s="170">
        <v>43084</v>
      </c>
      <c r="M737" s="116">
        <v>467.6</v>
      </c>
      <c r="N737" s="116">
        <v>473.55</v>
      </c>
      <c r="O737" s="116">
        <v>464</v>
      </c>
      <c r="P737" s="116">
        <v>465.7</v>
      </c>
      <c r="Q737" s="116">
        <v>467.6</v>
      </c>
      <c r="R737">
        <v>440017</v>
      </c>
    </row>
    <row r="738" spans="1:18" x14ac:dyDescent="0.25">
      <c r="A738" s="170">
        <v>43888</v>
      </c>
      <c r="B738" s="116">
        <v>1.0971115537848599</v>
      </c>
      <c r="C738" s="116">
        <v>1.0971115537848599</v>
      </c>
      <c r="D738" s="116">
        <v>1.0971115537848599</v>
      </c>
      <c r="E738" s="116">
        <v>1.0971115537848599</v>
      </c>
      <c r="F738" s="116">
        <v>1.2</v>
      </c>
      <c r="G738">
        <v>1000</v>
      </c>
      <c r="H738" s="116"/>
      <c r="I738" s="116"/>
      <c r="L738" s="170">
        <v>43087</v>
      </c>
      <c r="M738" s="116">
        <v>474.05</v>
      </c>
      <c r="N738" s="116">
        <v>478.85</v>
      </c>
      <c r="O738" s="116">
        <v>450.1</v>
      </c>
      <c r="P738" s="116">
        <v>465.65</v>
      </c>
      <c r="Q738" s="116">
        <v>474.05</v>
      </c>
      <c r="R738">
        <v>663767</v>
      </c>
    </row>
    <row r="739" spans="1:18" x14ac:dyDescent="0.25">
      <c r="A739" s="170">
        <v>43889</v>
      </c>
      <c r="B739" s="116">
        <v>1.0971115537848599</v>
      </c>
      <c r="C739" s="116">
        <v>1.0971115537848599</v>
      </c>
      <c r="D739" s="116">
        <v>1.0971115537848599</v>
      </c>
      <c r="E739" s="116">
        <v>1.0971115537848599</v>
      </c>
      <c r="F739" s="116">
        <v>1.2</v>
      </c>
      <c r="G739">
        <v>1</v>
      </c>
      <c r="H739" s="116"/>
      <c r="I739" s="116"/>
      <c r="L739" s="170">
        <v>43088</v>
      </c>
      <c r="M739" s="116">
        <v>480.4</v>
      </c>
      <c r="N739" s="116">
        <v>483.95</v>
      </c>
      <c r="O739" s="116">
        <v>468</v>
      </c>
      <c r="P739" s="116">
        <v>478.7</v>
      </c>
      <c r="Q739" s="116">
        <v>480.4</v>
      </c>
      <c r="R739">
        <v>462414</v>
      </c>
    </row>
    <row r="740" spans="1:18" x14ac:dyDescent="0.25">
      <c r="A740" s="170">
        <v>43892</v>
      </c>
      <c r="B740" s="116">
        <v>1.04225597609562</v>
      </c>
      <c r="C740" s="116">
        <v>1.04225597609562</v>
      </c>
      <c r="D740" s="116">
        <v>1.04225597609562</v>
      </c>
      <c r="E740" s="116">
        <v>1.04225597609562</v>
      </c>
      <c r="F740" s="116">
        <v>1.1399999999999999</v>
      </c>
      <c r="G740">
        <v>40</v>
      </c>
      <c r="H740" s="116"/>
      <c r="I740" s="116"/>
      <c r="L740" s="170">
        <v>43089</v>
      </c>
      <c r="M740" s="116">
        <v>474.75</v>
      </c>
      <c r="N740" s="116">
        <v>484.5</v>
      </c>
      <c r="O740" s="116">
        <v>472.85</v>
      </c>
      <c r="P740" s="116">
        <v>482</v>
      </c>
      <c r="Q740" s="116">
        <v>474.75</v>
      </c>
      <c r="R740">
        <v>375545</v>
      </c>
    </row>
    <row r="741" spans="1:18" x14ac:dyDescent="0.25">
      <c r="A741" s="170">
        <v>43921</v>
      </c>
      <c r="B741" s="116">
        <v>1.08796895750332</v>
      </c>
      <c r="C741" s="116">
        <v>1.08796895750332</v>
      </c>
      <c r="D741" s="116">
        <v>1.04225597609562</v>
      </c>
      <c r="E741" s="116">
        <v>1.04225597609562</v>
      </c>
      <c r="F741" s="116">
        <v>1.19</v>
      </c>
      <c r="G741">
        <v>16193</v>
      </c>
      <c r="H741" s="116"/>
      <c r="I741" s="116"/>
      <c r="L741" s="170">
        <v>43090</v>
      </c>
      <c r="M741" s="116">
        <v>509.3</v>
      </c>
      <c r="N741" s="116">
        <v>512.45000000000005</v>
      </c>
      <c r="O741" s="116">
        <v>473.05</v>
      </c>
      <c r="P741" s="116">
        <v>475</v>
      </c>
      <c r="Q741" s="116">
        <v>509.3</v>
      </c>
      <c r="R741">
        <v>2541975</v>
      </c>
    </row>
    <row r="742" spans="1:18" x14ac:dyDescent="0.25">
      <c r="A742" s="170">
        <v>43922</v>
      </c>
      <c r="B742" s="116">
        <v>1.13368193891102</v>
      </c>
      <c r="C742" s="116">
        <v>1.13368193891102</v>
      </c>
      <c r="D742" s="116">
        <v>1.04225597609562</v>
      </c>
      <c r="E742" s="116">
        <v>1.04225597609562</v>
      </c>
      <c r="F742" s="116">
        <v>1.24</v>
      </c>
      <c r="G742">
        <v>5806</v>
      </c>
      <c r="H742" s="116"/>
      <c r="I742" s="116"/>
      <c r="L742" s="170">
        <v>43091</v>
      </c>
      <c r="M742" s="116">
        <v>495.65</v>
      </c>
      <c r="N742" s="116">
        <v>510</v>
      </c>
      <c r="O742" s="116">
        <v>492</v>
      </c>
      <c r="P742" s="116">
        <v>510</v>
      </c>
      <c r="Q742" s="116">
        <v>495.65</v>
      </c>
      <c r="R742">
        <v>1544002</v>
      </c>
    </row>
    <row r="743" spans="1:18" x14ac:dyDescent="0.25">
      <c r="A743" s="170">
        <v>43930</v>
      </c>
      <c r="B743" s="116">
        <v>1.13368193891102</v>
      </c>
      <c r="C743" s="116">
        <v>1.13368193891102</v>
      </c>
      <c r="D743" s="116">
        <v>1.13368193891102</v>
      </c>
      <c r="E743" s="116">
        <v>1.13368193891102</v>
      </c>
      <c r="F743" s="116">
        <v>1.24</v>
      </c>
      <c r="G743">
        <v>769</v>
      </c>
      <c r="H743" s="116"/>
      <c r="I743" s="116"/>
      <c r="L743" s="170">
        <v>43095</v>
      </c>
      <c r="M743" s="116">
        <v>500.75</v>
      </c>
      <c r="N743" s="116">
        <v>505</v>
      </c>
      <c r="O743" s="116">
        <v>496.2</v>
      </c>
      <c r="P743" s="116">
        <v>502</v>
      </c>
      <c r="Q743" s="116">
        <v>500.75</v>
      </c>
      <c r="R743">
        <v>713925</v>
      </c>
    </row>
    <row r="744" spans="1:18" x14ac:dyDescent="0.25">
      <c r="A744" s="170">
        <v>43934</v>
      </c>
      <c r="B744" s="116">
        <v>1.13368193891102</v>
      </c>
      <c r="C744" s="116">
        <v>1.13368193891102</v>
      </c>
      <c r="D744" s="116">
        <v>1.13368193891102</v>
      </c>
      <c r="E744" s="116">
        <v>1.13368193891102</v>
      </c>
      <c r="F744" s="116">
        <v>1.24</v>
      </c>
      <c r="G744">
        <v>110</v>
      </c>
      <c r="H744" s="116"/>
      <c r="I744" s="116"/>
      <c r="L744" s="170">
        <v>43096</v>
      </c>
      <c r="M744" s="116">
        <v>489.45</v>
      </c>
      <c r="N744" s="116">
        <v>504.45</v>
      </c>
      <c r="O744" s="116">
        <v>484</v>
      </c>
      <c r="P744" s="116">
        <v>500.75</v>
      </c>
      <c r="Q744" s="116">
        <v>489.45</v>
      </c>
      <c r="R744">
        <v>662942</v>
      </c>
    </row>
    <row r="745" spans="1:18" x14ac:dyDescent="0.25">
      <c r="A745" s="170">
        <v>43938</v>
      </c>
      <c r="B745" s="116">
        <v>1.13368193891102</v>
      </c>
      <c r="C745" s="116">
        <v>1.13368193891102</v>
      </c>
      <c r="D745" s="116">
        <v>1.13368193891102</v>
      </c>
      <c r="E745" s="116">
        <v>1.13368193891102</v>
      </c>
      <c r="F745" s="116">
        <v>1.24</v>
      </c>
      <c r="G745">
        <v>1001</v>
      </c>
      <c r="H745" s="116"/>
      <c r="I745" s="116"/>
      <c r="L745" s="170">
        <v>43097</v>
      </c>
      <c r="M745" s="116">
        <v>474.8</v>
      </c>
      <c r="N745" s="116">
        <v>493</v>
      </c>
      <c r="O745" s="116">
        <v>472.75</v>
      </c>
      <c r="P745" s="116">
        <v>493</v>
      </c>
      <c r="Q745" s="116">
        <v>474.8</v>
      </c>
      <c r="R745">
        <v>1639257</v>
      </c>
    </row>
    <row r="746" spans="1:18" x14ac:dyDescent="0.25">
      <c r="A746" s="170">
        <v>43944</v>
      </c>
      <c r="B746" s="116">
        <v>1.0788263612217801</v>
      </c>
      <c r="C746" s="116">
        <v>1.0788263612217801</v>
      </c>
      <c r="D746" s="116">
        <v>1.0788263612217801</v>
      </c>
      <c r="E746" s="116">
        <v>1.0788263612217801</v>
      </c>
      <c r="F746" s="116">
        <v>1.18</v>
      </c>
      <c r="G746">
        <v>1000</v>
      </c>
      <c r="H746" s="116"/>
      <c r="I746" s="116"/>
      <c r="L746" s="170">
        <v>43098</v>
      </c>
      <c r="M746" s="116">
        <v>472.85</v>
      </c>
      <c r="N746" s="116">
        <v>477.9</v>
      </c>
      <c r="O746" s="116">
        <v>469</v>
      </c>
      <c r="P746" s="116">
        <v>474.8</v>
      </c>
      <c r="Q746" s="116">
        <v>472.85</v>
      </c>
      <c r="R746">
        <v>655927</v>
      </c>
    </row>
    <row r="747" spans="1:18" x14ac:dyDescent="0.25">
      <c r="A747" s="170">
        <v>43945</v>
      </c>
      <c r="B747" s="116">
        <v>1.0788263612217801</v>
      </c>
      <c r="C747" s="116">
        <v>1.0788263612217801</v>
      </c>
      <c r="D747" s="116">
        <v>1.0788263612217801</v>
      </c>
      <c r="E747" s="116">
        <v>1.0788263612217801</v>
      </c>
      <c r="F747" s="116">
        <v>1.18</v>
      </c>
      <c r="G747">
        <v>1000</v>
      </c>
      <c r="H747" s="116"/>
      <c r="I747" s="116"/>
      <c r="L747" s="170">
        <v>43101</v>
      </c>
      <c r="M747" s="116">
        <v>477.4</v>
      </c>
      <c r="N747" s="116">
        <v>485.85</v>
      </c>
      <c r="O747" s="116">
        <v>472</v>
      </c>
      <c r="P747" s="116">
        <v>472</v>
      </c>
      <c r="Q747" s="116">
        <v>477.4</v>
      </c>
      <c r="R747">
        <v>895567</v>
      </c>
    </row>
    <row r="748" spans="1:18" x14ac:dyDescent="0.25">
      <c r="A748" s="170">
        <v>43948</v>
      </c>
      <c r="B748" s="116">
        <v>1.0788263612217801</v>
      </c>
      <c r="C748" s="116">
        <v>1.04225597609562</v>
      </c>
      <c r="D748" s="116">
        <v>1.04225597609562</v>
      </c>
      <c r="E748" s="116">
        <v>1.0788263612217801</v>
      </c>
      <c r="F748" s="116">
        <v>1.1399999999999999</v>
      </c>
      <c r="G748">
        <v>4104</v>
      </c>
      <c r="H748" s="116"/>
      <c r="I748" s="116"/>
      <c r="L748" s="170">
        <v>43102</v>
      </c>
      <c r="M748" s="116">
        <v>473.65</v>
      </c>
      <c r="N748" s="116">
        <v>480.75</v>
      </c>
      <c r="O748" s="116">
        <v>471.05</v>
      </c>
      <c r="P748" s="116">
        <v>479.85</v>
      </c>
      <c r="Q748" s="116">
        <v>473.65</v>
      </c>
      <c r="R748">
        <v>609496</v>
      </c>
    </row>
    <row r="749" spans="1:18" x14ac:dyDescent="0.25">
      <c r="A749" s="170">
        <v>43949</v>
      </c>
      <c r="B749" s="116">
        <v>1.04225597609562</v>
      </c>
      <c r="C749" s="116">
        <v>1.04225597609562</v>
      </c>
      <c r="D749" s="116">
        <v>1.04225597609562</v>
      </c>
      <c r="E749" s="116">
        <v>1.04225597609562</v>
      </c>
      <c r="F749" s="116">
        <v>1.1399999999999999</v>
      </c>
      <c r="G749">
        <v>2101</v>
      </c>
      <c r="H749" s="116"/>
      <c r="I749" s="116"/>
      <c r="L749" s="170">
        <v>43103</v>
      </c>
      <c r="M749" s="116">
        <v>476.4</v>
      </c>
      <c r="N749" s="116">
        <v>482.2</v>
      </c>
      <c r="O749" s="116">
        <v>473.65</v>
      </c>
      <c r="P749" s="116">
        <v>473.65</v>
      </c>
      <c r="Q749" s="116">
        <v>476.4</v>
      </c>
      <c r="R749">
        <v>410061</v>
      </c>
    </row>
    <row r="750" spans="1:18" x14ac:dyDescent="0.25">
      <c r="A750" s="170">
        <v>43950</v>
      </c>
      <c r="B750" s="116">
        <v>1.08796895750332</v>
      </c>
      <c r="C750" s="116">
        <v>1.08796895750332</v>
      </c>
      <c r="D750" s="116">
        <v>1.08796895750332</v>
      </c>
      <c r="E750" s="116">
        <v>1.08796895750332</v>
      </c>
      <c r="F750" s="116">
        <v>1.19</v>
      </c>
      <c r="G750">
        <v>2377</v>
      </c>
      <c r="H750" s="116"/>
      <c r="I750" s="116"/>
      <c r="L750" s="170">
        <v>43104</v>
      </c>
      <c r="M750" s="116">
        <v>469.3</v>
      </c>
      <c r="N750" s="116">
        <v>479.95</v>
      </c>
      <c r="O750" s="116">
        <v>467</v>
      </c>
      <c r="P750" s="116">
        <v>476.4</v>
      </c>
      <c r="Q750" s="116">
        <v>469.3</v>
      </c>
      <c r="R750">
        <v>1489442</v>
      </c>
    </row>
    <row r="751" spans="1:18" x14ac:dyDescent="0.25">
      <c r="A751" s="170">
        <v>43951</v>
      </c>
      <c r="B751" s="116">
        <v>1.13368193891102</v>
      </c>
      <c r="C751" s="116">
        <v>1.13368193891102</v>
      </c>
      <c r="D751" s="116">
        <v>1.13368193891102</v>
      </c>
      <c r="E751" s="116">
        <v>1.13368193891102</v>
      </c>
      <c r="F751" s="116">
        <v>1.24</v>
      </c>
      <c r="G751">
        <v>59</v>
      </c>
      <c r="H751" s="116"/>
      <c r="I751" s="116"/>
      <c r="L751" s="170">
        <v>43105</v>
      </c>
      <c r="M751" s="116">
        <v>470.25</v>
      </c>
      <c r="N751" s="116">
        <v>477.55</v>
      </c>
      <c r="O751" s="116">
        <v>469.25</v>
      </c>
      <c r="P751" s="116">
        <v>472</v>
      </c>
      <c r="Q751" s="116">
        <v>470.25</v>
      </c>
      <c r="R751">
        <v>1087932</v>
      </c>
    </row>
    <row r="752" spans="1:18" x14ac:dyDescent="0.25">
      <c r="A752" s="170">
        <v>43955</v>
      </c>
      <c r="B752" s="116">
        <v>1.13368193891102</v>
      </c>
      <c r="C752" s="116">
        <v>1.13368193891102</v>
      </c>
      <c r="D752" s="116">
        <v>1.13368193891102</v>
      </c>
      <c r="E752" s="116">
        <v>1.13368193891102</v>
      </c>
      <c r="F752" s="116">
        <v>1.24</v>
      </c>
      <c r="G752">
        <v>1000</v>
      </c>
      <c r="H752" s="116"/>
      <c r="I752" s="116"/>
      <c r="L752" s="170">
        <v>43108</v>
      </c>
      <c r="M752" s="116">
        <v>479.4</v>
      </c>
      <c r="N752" s="116">
        <v>481.9</v>
      </c>
      <c r="O752" s="116">
        <v>469.9</v>
      </c>
      <c r="P752" s="116">
        <v>471</v>
      </c>
      <c r="Q752" s="116">
        <v>479.4</v>
      </c>
      <c r="R752">
        <v>1217920</v>
      </c>
    </row>
    <row r="753" spans="1:18" x14ac:dyDescent="0.25">
      <c r="A753" s="170">
        <v>43963</v>
      </c>
      <c r="B753" s="116">
        <v>1.1885375166002701</v>
      </c>
      <c r="C753" s="116">
        <v>1.13368193891102</v>
      </c>
      <c r="D753" s="116">
        <v>1.13368193891102</v>
      </c>
      <c r="E753" s="116">
        <v>1.13368193891102</v>
      </c>
      <c r="F753" s="116">
        <v>1.24</v>
      </c>
      <c r="G753">
        <v>1001</v>
      </c>
      <c r="H753" s="116"/>
      <c r="I753" s="116"/>
      <c r="L753" s="170">
        <v>43109</v>
      </c>
      <c r="M753" s="116">
        <v>479.7</v>
      </c>
      <c r="N753" s="116">
        <v>483.6</v>
      </c>
      <c r="O753" s="116">
        <v>475.1</v>
      </c>
      <c r="P753" s="116">
        <v>483.6</v>
      </c>
      <c r="Q753" s="116">
        <v>479.7</v>
      </c>
      <c r="R753">
        <v>1489090</v>
      </c>
    </row>
    <row r="754" spans="1:18" x14ac:dyDescent="0.25">
      <c r="A754" s="170">
        <v>43964</v>
      </c>
      <c r="B754" s="116">
        <v>1.1793949203187299</v>
      </c>
      <c r="C754" s="116">
        <v>1.1428245351925601</v>
      </c>
      <c r="D754" s="116">
        <v>1.1428245351925601</v>
      </c>
      <c r="E754" s="116">
        <v>1.1793949203187299</v>
      </c>
      <c r="F754" s="116">
        <v>1.25</v>
      </c>
      <c r="G754">
        <v>623</v>
      </c>
      <c r="H754" s="116"/>
      <c r="I754" s="116"/>
      <c r="L754" s="170">
        <v>43110</v>
      </c>
      <c r="M754" s="116">
        <v>480.35</v>
      </c>
      <c r="N754" s="116">
        <v>482</v>
      </c>
      <c r="O754" s="116">
        <v>473.25</v>
      </c>
      <c r="P754" s="116">
        <v>480.95</v>
      </c>
      <c r="Q754" s="116">
        <v>480.35</v>
      </c>
      <c r="R754">
        <v>449033</v>
      </c>
    </row>
    <row r="755" spans="1:18" x14ac:dyDescent="0.25">
      <c r="A755" s="170">
        <v>43970</v>
      </c>
      <c r="B755" s="116">
        <v>1.19768011288181</v>
      </c>
      <c r="C755" s="116">
        <v>1.19768011288181</v>
      </c>
      <c r="D755" s="116">
        <v>1.1428245351925601</v>
      </c>
      <c r="E755" s="116">
        <v>1.1428245351925601</v>
      </c>
      <c r="F755" s="116">
        <v>1.31</v>
      </c>
      <c r="G755">
        <v>2074</v>
      </c>
      <c r="H755" s="116"/>
      <c r="I755" s="116"/>
      <c r="L755" s="170">
        <v>43111</v>
      </c>
      <c r="M755" s="116">
        <v>484.45</v>
      </c>
      <c r="N755" s="116">
        <v>493.35</v>
      </c>
      <c r="O755" s="116">
        <v>480.1</v>
      </c>
      <c r="P755" s="116">
        <v>484</v>
      </c>
      <c r="Q755" s="116">
        <v>484.45</v>
      </c>
      <c r="R755">
        <v>1656369</v>
      </c>
    </row>
    <row r="756" spans="1:18" x14ac:dyDescent="0.25">
      <c r="A756" s="170">
        <v>43971</v>
      </c>
      <c r="B756" s="116">
        <v>1.1428245351925601</v>
      </c>
      <c r="C756" s="116">
        <v>1.1428245351925601</v>
      </c>
      <c r="D756" s="116">
        <v>1.1428245351925601</v>
      </c>
      <c r="E756" s="116">
        <v>1.1428245351925601</v>
      </c>
      <c r="F756" s="116">
        <v>1.25</v>
      </c>
      <c r="G756">
        <v>250</v>
      </c>
      <c r="H756" s="116"/>
      <c r="I756" s="116"/>
      <c r="L756" s="170">
        <v>43112</v>
      </c>
      <c r="M756" s="116">
        <v>481.25</v>
      </c>
      <c r="N756" s="116">
        <v>488.7</v>
      </c>
      <c r="O756" s="116">
        <v>473</v>
      </c>
      <c r="P756" s="116">
        <v>488.7</v>
      </c>
      <c r="Q756" s="116">
        <v>481.25</v>
      </c>
      <c r="R756">
        <v>616812</v>
      </c>
    </row>
    <row r="757" spans="1:18" x14ac:dyDescent="0.25">
      <c r="A757" s="170">
        <v>43973</v>
      </c>
      <c r="B757" s="116">
        <v>1.1428245351925601</v>
      </c>
      <c r="C757" s="116">
        <v>1.1428245351925601</v>
      </c>
      <c r="D757" s="116">
        <v>1.1428245351925601</v>
      </c>
      <c r="E757" s="116">
        <v>1.1428245351925601</v>
      </c>
      <c r="F757" s="116">
        <v>1.25</v>
      </c>
      <c r="G757">
        <v>1000</v>
      </c>
      <c r="H757" s="116"/>
      <c r="I757" s="116"/>
      <c r="L757" s="170">
        <v>43115</v>
      </c>
      <c r="M757" s="116">
        <v>482.3</v>
      </c>
      <c r="N757" s="116">
        <v>486.55</v>
      </c>
      <c r="O757" s="116">
        <v>478.75</v>
      </c>
      <c r="P757" s="116">
        <v>483</v>
      </c>
      <c r="Q757" s="116">
        <v>482.3</v>
      </c>
      <c r="R757">
        <v>432761</v>
      </c>
    </row>
    <row r="758" spans="1:18" x14ac:dyDescent="0.25">
      <c r="A758" s="170">
        <v>43977</v>
      </c>
      <c r="B758" s="116">
        <v>1.0971115537848599</v>
      </c>
      <c r="C758" s="116">
        <v>1.0971115537848599</v>
      </c>
      <c r="D758" s="116">
        <v>1.0971115537848599</v>
      </c>
      <c r="E758" s="116">
        <v>1.0971115537848599</v>
      </c>
      <c r="F758" s="116">
        <v>1.2</v>
      </c>
      <c r="G758">
        <v>108</v>
      </c>
      <c r="H758" s="116"/>
      <c r="I758" s="116"/>
      <c r="L758" s="170">
        <v>43116</v>
      </c>
      <c r="M758" s="116">
        <v>476.45</v>
      </c>
      <c r="N758" s="116">
        <v>485.65</v>
      </c>
      <c r="O758" s="116">
        <v>467.25</v>
      </c>
      <c r="P758" s="116">
        <v>485.65</v>
      </c>
      <c r="Q758" s="116">
        <v>476.45</v>
      </c>
      <c r="R758">
        <v>947076</v>
      </c>
    </row>
    <row r="759" spans="1:18" x14ac:dyDescent="0.25">
      <c r="A759" s="170">
        <v>43978</v>
      </c>
      <c r="B759" s="116">
        <v>1.0971115537848599</v>
      </c>
      <c r="C759" s="116">
        <v>1.04225597609562</v>
      </c>
      <c r="D759" s="116">
        <v>1.04225597609562</v>
      </c>
      <c r="E759" s="116">
        <v>1.0971115537848599</v>
      </c>
      <c r="F759" s="116">
        <v>1.1399999999999999</v>
      </c>
      <c r="G759">
        <v>2022</v>
      </c>
      <c r="H759" s="116"/>
      <c r="I759" s="116"/>
      <c r="L759" s="170">
        <v>43117</v>
      </c>
      <c r="M759" s="116">
        <v>471.4</v>
      </c>
      <c r="N759" s="116">
        <v>475</v>
      </c>
      <c r="O759" s="116">
        <v>464</v>
      </c>
      <c r="P759" s="116">
        <v>474.1</v>
      </c>
      <c r="Q759" s="116">
        <v>471.4</v>
      </c>
      <c r="R759">
        <v>435160</v>
      </c>
    </row>
    <row r="760" spans="1:18" x14ac:dyDescent="0.25">
      <c r="A760" s="170">
        <v>43979</v>
      </c>
      <c r="B760" s="116">
        <v>1.08796895750332</v>
      </c>
      <c r="C760" s="116">
        <v>1.08796895750332</v>
      </c>
      <c r="D760" s="116">
        <v>1.08796895750332</v>
      </c>
      <c r="E760" s="116">
        <v>1.08796895750332</v>
      </c>
      <c r="F760" s="116">
        <v>1.19</v>
      </c>
      <c r="G760">
        <v>11456</v>
      </c>
      <c r="H760" s="116"/>
      <c r="I760" s="116"/>
      <c r="L760" s="170">
        <v>43118</v>
      </c>
      <c r="M760" s="116">
        <v>462.75</v>
      </c>
      <c r="N760" s="116">
        <v>476</v>
      </c>
      <c r="O760" s="116">
        <v>457.15</v>
      </c>
      <c r="P760" s="116">
        <v>472</v>
      </c>
      <c r="Q760" s="116">
        <v>462.75</v>
      </c>
      <c r="R760">
        <v>673146</v>
      </c>
    </row>
    <row r="761" spans="1:18" x14ac:dyDescent="0.25">
      <c r="A761" s="170">
        <v>43980</v>
      </c>
      <c r="B761" s="116">
        <v>1.13368193891102</v>
      </c>
      <c r="C761" s="116">
        <v>1.13368193891102</v>
      </c>
      <c r="D761" s="116">
        <v>1.13368193891102</v>
      </c>
      <c r="E761" s="116">
        <v>1.13368193891102</v>
      </c>
      <c r="F761" s="116">
        <v>1.24</v>
      </c>
      <c r="G761">
        <v>24701</v>
      </c>
      <c r="H761" s="116"/>
      <c r="I761" s="116"/>
      <c r="L761" s="170">
        <v>43119</v>
      </c>
      <c r="M761" s="116">
        <v>474.55</v>
      </c>
      <c r="N761" s="116">
        <v>480</v>
      </c>
      <c r="O761" s="116">
        <v>461.7</v>
      </c>
      <c r="P761" s="116">
        <v>462.5</v>
      </c>
      <c r="Q761" s="116">
        <v>474.55</v>
      </c>
      <c r="R761">
        <v>590778</v>
      </c>
    </row>
    <row r="762" spans="1:18" x14ac:dyDescent="0.25">
      <c r="A762" s="170">
        <v>43983</v>
      </c>
      <c r="B762" s="116">
        <v>1.13368193891102</v>
      </c>
      <c r="C762" s="116">
        <v>1.13368193891102</v>
      </c>
      <c r="D762" s="116">
        <v>1.13368193891102</v>
      </c>
      <c r="E762" s="116">
        <v>1.13368193891102</v>
      </c>
      <c r="F762" s="116">
        <v>1.24</v>
      </c>
      <c r="G762">
        <v>100</v>
      </c>
      <c r="H762" s="116"/>
      <c r="I762" s="116"/>
      <c r="L762" s="170">
        <v>43122</v>
      </c>
      <c r="M762" s="116">
        <v>485.1</v>
      </c>
      <c r="N762" s="116">
        <v>486.2</v>
      </c>
      <c r="O762" s="116">
        <v>472</v>
      </c>
      <c r="P762" s="116">
        <v>477.45</v>
      </c>
      <c r="Q762" s="116">
        <v>485.1</v>
      </c>
      <c r="R762">
        <v>877341</v>
      </c>
    </row>
    <row r="763" spans="1:18" x14ac:dyDescent="0.25">
      <c r="A763" s="170">
        <v>43984</v>
      </c>
      <c r="B763" s="116">
        <v>1.13368193891102</v>
      </c>
      <c r="C763" s="116">
        <v>1.13368193891102</v>
      </c>
      <c r="D763" s="116">
        <v>1.13368193891102</v>
      </c>
      <c r="E763" s="116">
        <v>1.13368193891102</v>
      </c>
      <c r="F763" s="116">
        <v>1.24</v>
      </c>
      <c r="G763">
        <v>3050</v>
      </c>
      <c r="H763" s="116"/>
      <c r="I763" s="116"/>
      <c r="L763" s="170">
        <v>43123</v>
      </c>
      <c r="M763" s="116">
        <v>460.4</v>
      </c>
      <c r="N763" s="116">
        <v>505.45</v>
      </c>
      <c r="O763" s="116">
        <v>457</v>
      </c>
      <c r="P763" s="116">
        <v>488.7</v>
      </c>
      <c r="Q763" s="116">
        <v>460.4</v>
      </c>
      <c r="R763">
        <v>5272087</v>
      </c>
    </row>
    <row r="764" spans="1:18" x14ac:dyDescent="0.25">
      <c r="A764" s="170">
        <v>43985</v>
      </c>
      <c r="B764" s="116">
        <v>1.13368193891102</v>
      </c>
      <c r="C764" s="116">
        <v>1.13368193891102</v>
      </c>
      <c r="D764" s="116">
        <v>1.13368193891102</v>
      </c>
      <c r="E764" s="116">
        <v>1.13368193891102</v>
      </c>
      <c r="F764" s="116">
        <v>1.24</v>
      </c>
      <c r="G764">
        <v>2000</v>
      </c>
      <c r="H764" s="116"/>
      <c r="I764" s="116"/>
      <c r="L764" s="170">
        <v>43124</v>
      </c>
      <c r="M764" s="116">
        <v>443.6</v>
      </c>
      <c r="N764" s="116">
        <v>464</v>
      </c>
      <c r="O764" s="116">
        <v>441</v>
      </c>
      <c r="P764" s="116">
        <v>461</v>
      </c>
      <c r="Q764" s="116">
        <v>443.6</v>
      </c>
      <c r="R764">
        <v>1849506</v>
      </c>
    </row>
    <row r="765" spans="1:18" x14ac:dyDescent="0.25">
      <c r="A765" s="170">
        <v>43986</v>
      </c>
      <c r="B765" s="116">
        <v>1.13368193891102</v>
      </c>
      <c r="C765" s="116">
        <v>1.13368193891102</v>
      </c>
      <c r="D765" s="116">
        <v>1.13368193891102</v>
      </c>
      <c r="E765" s="116">
        <v>1.13368193891102</v>
      </c>
      <c r="F765" s="116">
        <v>1.24</v>
      </c>
      <c r="G765">
        <v>288</v>
      </c>
      <c r="H765" s="116"/>
      <c r="I765" s="116"/>
      <c r="L765" s="170">
        <v>43125</v>
      </c>
      <c r="M765" s="116">
        <v>442.35</v>
      </c>
      <c r="N765" s="116">
        <v>452.8</v>
      </c>
      <c r="O765" s="116">
        <v>437.45</v>
      </c>
      <c r="P765" s="116">
        <v>444</v>
      </c>
      <c r="Q765" s="116">
        <v>442.35</v>
      </c>
      <c r="R765">
        <v>1296243</v>
      </c>
    </row>
    <row r="766" spans="1:18" x14ac:dyDescent="0.25">
      <c r="A766" s="170">
        <v>43987</v>
      </c>
      <c r="B766" s="116">
        <v>1.13368193891102</v>
      </c>
      <c r="C766" s="116">
        <v>1.13368193891102</v>
      </c>
      <c r="D766" s="116">
        <v>1.13368193891102</v>
      </c>
      <c r="E766" s="116">
        <v>1.13368193891102</v>
      </c>
      <c r="F766" s="116">
        <v>1.24</v>
      </c>
      <c r="G766">
        <v>989</v>
      </c>
      <c r="H766" s="116"/>
      <c r="I766" s="116"/>
      <c r="L766" s="170">
        <v>43129</v>
      </c>
      <c r="M766" s="116">
        <v>461.6</v>
      </c>
      <c r="N766" s="116">
        <v>469.9</v>
      </c>
      <c r="O766" s="116">
        <v>448</v>
      </c>
      <c r="P766" s="116">
        <v>448</v>
      </c>
      <c r="Q766" s="116">
        <v>461.6</v>
      </c>
      <c r="R766">
        <v>2534456</v>
      </c>
    </row>
    <row r="767" spans="1:18" x14ac:dyDescent="0.25">
      <c r="A767" s="170">
        <v>43990</v>
      </c>
      <c r="B767" s="116">
        <v>1.13368193891102</v>
      </c>
      <c r="C767" s="116">
        <v>1.13368193891102</v>
      </c>
      <c r="D767" s="116">
        <v>1.13368193891102</v>
      </c>
      <c r="E767" s="116">
        <v>1.13368193891102</v>
      </c>
      <c r="F767" s="116">
        <v>1.24</v>
      </c>
      <c r="G767">
        <v>1074</v>
      </c>
      <c r="H767" s="116"/>
      <c r="I767" s="116"/>
      <c r="L767" s="170">
        <v>43130</v>
      </c>
      <c r="M767" s="116">
        <v>450.05</v>
      </c>
      <c r="N767" s="116">
        <v>463.05</v>
      </c>
      <c r="O767" s="116">
        <v>448.65</v>
      </c>
      <c r="P767" s="116">
        <v>462</v>
      </c>
      <c r="Q767" s="116">
        <v>450.05</v>
      </c>
      <c r="R767">
        <v>702018</v>
      </c>
    </row>
    <row r="768" spans="1:18" x14ac:dyDescent="0.25">
      <c r="A768" s="170">
        <v>43992</v>
      </c>
      <c r="B768" s="116">
        <v>1.13368193891102</v>
      </c>
      <c r="C768" s="116">
        <v>1.13368193891102</v>
      </c>
      <c r="D768" s="116">
        <v>1.13368193891102</v>
      </c>
      <c r="E768" s="116">
        <v>1.13368193891102</v>
      </c>
      <c r="F768" s="116">
        <v>1.24</v>
      </c>
      <c r="G768">
        <v>1</v>
      </c>
      <c r="H768" s="116"/>
      <c r="I768" s="116"/>
      <c r="L768" s="170">
        <v>43131</v>
      </c>
      <c r="M768" s="116">
        <v>449.15</v>
      </c>
      <c r="N768" s="116">
        <v>452.6</v>
      </c>
      <c r="O768" s="116">
        <v>444.1</v>
      </c>
      <c r="P768" s="116">
        <v>448.5</v>
      </c>
      <c r="Q768" s="116">
        <v>449.15</v>
      </c>
      <c r="R768">
        <v>589263</v>
      </c>
    </row>
    <row r="769" spans="1:18" x14ac:dyDescent="0.25">
      <c r="A769" s="170">
        <v>43993</v>
      </c>
      <c r="B769" s="116">
        <v>1.1885375166002701</v>
      </c>
      <c r="C769" s="116">
        <v>1.1885375166002701</v>
      </c>
      <c r="D769" s="116">
        <v>1.1885375166002701</v>
      </c>
      <c r="E769" s="116">
        <v>1.1885375166002701</v>
      </c>
      <c r="F769" s="116">
        <v>1.3</v>
      </c>
      <c r="G769">
        <v>1000</v>
      </c>
      <c r="H769" s="116"/>
      <c r="I769" s="116"/>
      <c r="L769" s="170">
        <v>43132</v>
      </c>
      <c r="M769" s="116">
        <v>446.25</v>
      </c>
      <c r="N769" s="116">
        <v>459</v>
      </c>
      <c r="O769" s="116">
        <v>442.5</v>
      </c>
      <c r="P769" s="116">
        <v>450</v>
      </c>
      <c r="Q769" s="116">
        <v>446.25</v>
      </c>
      <c r="R769">
        <v>991830</v>
      </c>
    </row>
    <row r="770" spans="1:18" x14ac:dyDescent="0.25">
      <c r="A770" s="170">
        <v>43994</v>
      </c>
      <c r="B770" s="116">
        <v>1.1885375166002701</v>
      </c>
      <c r="C770" s="116">
        <v>1.1885375166002701</v>
      </c>
      <c r="D770" s="116">
        <v>1.1885375166002701</v>
      </c>
      <c r="E770" s="116">
        <v>1.1885375166002701</v>
      </c>
      <c r="F770" s="116">
        <v>1.3</v>
      </c>
      <c r="G770">
        <v>1000</v>
      </c>
      <c r="H770" s="116"/>
      <c r="I770" s="116"/>
      <c r="L770" s="170">
        <v>43133</v>
      </c>
      <c r="M770" s="116">
        <v>426.9</v>
      </c>
      <c r="N770" s="116">
        <v>452</v>
      </c>
      <c r="O770" s="116">
        <v>416.2</v>
      </c>
      <c r="P770" s="116">
        <v>442</v>
      </c>
      <c r="Q770" s="116">
        <v>426.9</v>
      </c>
      <c r="R770">
        <v>1529576</v>
      </c>
    </row>
    <row r="771" spans="1:18" x14ac:dyDescent="0.25">
      <c r="A771" s="170">
        <v>43997</v>
      </c>
      <c r="B771" s="116">
        <v>1.1885375166002701</v>
      </c>
      <c r="C771" s="116">
        <v>1.1885375166002701</v>
      </c>
      <c r="D771" s="116">
        <v>1.1885375166002701</v>
      </c>
      <c r="E771" s="116">
        <v>1.1885375166002701</v>
      </c>
      <c r="F771" s="116">
        <v>1.3</v>
      </c>
      <c r="G771">
        <v>1873</v>
      </c>
      <c r="H771" s="116"/>
      <c r="I771" s="116"/>
      <c r="L771" s="170">
        <v>43136</v>
      </c>
      <c r="M771" s="116">
        <v>459.35</v>
      </c>
      <c r="N771" s="116">
        <v>461.75</v>
      </c>
      <c r="O771" s="116">
        <v>402.5</v>
      </c>
      <c r="P771" s="116">
        <v>420</v>
      </c>
      <c r="Q771" s="116">
        <v>459.35</v>
      </c>
      <c r="R771">
        <v>1824328</v>
      </c>
    </row>
    <row r="772" spans="1:18" x14ac:dyDescent="0.25">
      <c r="A772" s="170">
        <v>44001</v>
      </c>
      <c r="B772" s="116">
        <v>1.1885375166002701</v>
      </c>
      <c r="C772" s="116">
        <v>1.1885375166002701</v>
      </c>
      <c r="D772" s="116">
        <v>1.1885375166002701</v>
      </c>
      <c r="E772" s="116">
        <v>1.1885375166002701</v>
      </c>
      <c r="F772" s="116">
        <v>1.3</v>
      </c>
      <c r="G772">
        <v>203</v>
      </c>
      <c r="H772" s="116"/>
      <c r="I772" s="116"/>
      <c r="L772" s="170">
        <v>43137</v>
      </c>
      <c r="M772" s="116">
        <v>458.1</v>
      </c>
      <c r="N772" s="116">
        <v>470.75</v>
      </c>
      <c r="O772" s="116">
        <v>418</v>
      </c>
      <c r="P772" s="116">
        <v>421</v>
      </c>
      <c r="Q772" s="116">
        <v>458.1</v>
      </c>
      <c r="R772">
        <v>2274611</v>
      </c>
    </row>
    <row r="773" spans="1:18" x14ac:dyDescent="0.25">
      <c r="A773" s="170">
        <v>44004</v>
      </c>
      <c r="B773" s="116">
        <v>1.1885375166002701</v>
      </c>
      <c r="C773" s="116">
        <v>1.1885375166002701</v>
      </c>
      <c r="D773" s="116">
        <v>1.1885375166002701</v>
      </c>
      <c r="E773" s="116">
        <v>1.1885375166002701</v>
      </c>
      <c r="F773" s="116">
        <v>1.3</v>
      </c>
      <c r="G773">
        <v>1000</v>
      </c>
      <c r="H773" s="116"/>
      <c r="I773" s="116"/>
      <c r="L773" s="170">
        <v>43138</v>
      </c>
      <c r="M773" s="116">
        <v>460.05</v>
      </c>
      <c r="N773" s="116">
        <v>479.55</v>
      </c>
      <c r="O773" s="116">
        <v>457</v>
      </c>
      <c r="P773" s="116">
        <v>474.9</v>
      </c>
      <c r="Q773" s="116">
        <v>460.05</v>
      </c>
      <c r="R773">
        <v>1601455</v>
      </c>
    </row>
    <row r="774" spans="1:18" x14ac:dyDescent="0.25">
      <c r="A774" s="170">
        <v>44005</v>
      </c>
      <c r="B774" s="116">
        <v>1.1885375166002701</v>
      </c>
      <c r="C774" s="116">
        <v>1.1885375166002701</v>
      </c>
      <c r="D774" s="116">
        <v>1.1885375166002701</v>
      </c>
      <c r="E774" s="116">
        <v>1.1885375166002701</v>
      </c>
      <c r="F774" s="116">
        <v>1.3</v>
      </c>
      <c r="G774">
        <v>1300</v>
      </c>
      <c r="H774" s="116"/>
      <c r="I774" s="116"/>
      <c r="L774" s="170">
        <v>43139</v>
      </c>
      <c r="M774" s="116">
        <v>462.05</v>
      </c>
      <c r="N774" s="116">
        <v>471.35</v>
      </c>
      <c r="O774" s="116">
        <v>453.25</v>
      </c>
      <c r="P774" s="116">
        <v>463.5</v>
      </c>
      <c r="Q774" s="116">
        <v>462.05</v>
      </c>
      <c r="R774">
        <v>764393</v>
      </c>
    </row>
    <row r="775" spans="1:18" x14ac:dyDescent="0.25">
      <c r="A775" s="170">
        <v>44007</v>
      </c>
      <c r="B775" s="116">
        <v>1.2433930942895099</v>
      </c>
      <c r="C775" s="116">
        <v>1.2433930942895099</v>
      </c>
      <c r="D775" s="116">
        <v>1.2433930942895099</v>
      </c>
      <c r="E775" s="116">
        <v>1.2433930942895099</v>
      </c>
      <c r="F775" s="116">
        <v>1.36</v>
      </c>
      <c r="G775">
        <v>20000</v>
      </c>
      <c r="H775" s="116"/>
      <c r="I775" s="116"/>
      <c r="L775" s="170">
        <v>43140</v>
      </c>
      <c r="M775" s="116">
        <v>462.95</v>
      </c>
      <c r="N775" s="116">
        <v>468.6</v>
      </c>
      <c r="O775" s="116">
        <v>450.75</v>
      </c>
      <c r="P775" s="116">
        <v>454</v>
      </c>
      <c r="Q775" s="116">
        <v>462.95</v>
      </c>
      <c r="R775">
        <v>818509</v>
      </c>
    </row>
    <row r="776" spans="1:18" x14ac:dyDescent="0.25">
      <c r="A776" s="170">
        <v>44008</v>
      </c>
      <c r="B776" s="116">
        <v>1.29824867197875</v>
      </c>
      <c r="C776" s="116">
        <v>1.29824867197875</v>
      </c>
      <c r="D776" s="116">
        <v>1.29824867197875</v>
      </c>
      <c r="E776" s="116">
        <v>1.29824867197875</v>
      </c>
      <c r="F776" s="116">
        <v>1.42</v>
      </c>
      <c r="G776">
        <v>1151</v>
      </c>
      <c r="H776" s="116"/>
      <c r="I776" s="116"/>
      <c r="L776" s="170">
        <v>43143</v>
      </c>
      <c r="M776" s="116">
        <v>493.1</v>
      </c>
      <c r="N776" s="116">
        <v>494.95</v>
      </c>
      <c r="O776" s="116">
        <v>466.45</v>
      </c>
      <c r="P776" s="116">
        <v>467.9</v>
      </c>
      <c r="Q776" s="116">
        <v>493.1</v>
      </c>
      <c r="R776">
        <v>2572789</v>
      </c>
    </row>
    <row r="777" spans="1:18" x14ac:dyDescent="0.25">
      <c r="A777" s="170">
        <v>44011</v>
      </c>
      <c r="B777" s="116">
        <v>1.3531042496679899</v>
      </c>
      <c r="C777" s="116">
        <v>1.3531042496679899</v>
      </c>
      <c r="D777" s="116">
        <v>1.3531042496679899</v>
      </c>
      <c r="E777" s="116">
        <v>1.3531042496679899</v>
      </c>
      <c r="F777" s="116">
        <v>1.48</v>
      </c>
      <c r="G777">
        <v>1000</v>
      </c>
      <c r="H777" s="116"/>
      <c r="I777" s="116"/>
      <c r="L777" s="170">
        <v>43145</v>
      </c>
      <c r="M777" s="116">
        <v>519.85</v>
      </c>
      <c r="N777" s="116">
        <v>525.9</v>
      </c>
      <c r="O777" s="116">
        <v>496.9</v>
      </c>
      <c r="P777" s="116">
        <v>497</v>
      </c>
      <c r="Q777" s="116">
        <v>519.85</v>
      </c>
      <c r="R777">
        <v>3765692</v>
      </c>
    </row>
    <row r="778" spans="1:18" x14ac:dyDescent="0.25">
      <c r="A778" s="170">
        <v>44012</v>
      </c>
      <c r="B778" s="116">
        <v>1.4171024236387799</v>
      </c>
      <c r="C778" s="116">
        <v>1.4171024236387799</v>
      </c>
      <c r="D778" s="116">
        <v>1.3531042496679899</v>
      </c>
      <c r="E778" s="116">
        <v>1.3531042496679899</v>
      </c>
      <c r="F778" s="116">
        <v>1.55</v>
      </c>
      <c r="G778">
        <v>524</v>
      </c>
      <c r="H778" s="116"/>
      <c r="I778" s="116"/>
      <c r="L778" s="170">
        <v>43146</v>
      </c>
      <c r="M778" s="116">
        <v>514.29999999999995</v>
      </c>
      <c r="N778" s="116">
        <v>538</v>
      </c>
      <c r="O778" s="116">
        <v>509</v>
      </c>
      <c r="P778" s="116">
        <v>525</v>
      </c>
      <c r="Q778" s="116">
        <v>514.29999999999995</v>
      </c>
      <c r="R778">
        <v>3015341</v>
      </c>
    </row>
    <row r="779" spans="1:18" x14ac:dyDescent="0.25">
      <c r="A779" s="170">
        <v>44013</v>
      </c>
      <c r="B779" s="116">
        <v>1.4811005976095599</v>
      </c>
      <c r="C779" s="116">
        <v>1.4811005976095599</v>
      </c>
      <c r="D779" s="116">
        <v>1.4171024236387799</v>
      </c>
      <c r="E779" s="116">
        <v>1.4171024236387799</v>
      </c>
      <c r="F779" s="116">
        <v>1.62</v>
      </c>
      <c r="G779">
        <v>3853</v>
      </c>
      <c r="H779" s="116"/>
      <c r="I779" s="116"/>
      <c r="L779" s="170">
        <v>43147</v>
      </c>
      <c r="M779" s="116">
        <v>503</v>
      </c>
      <c r="N779" s="116">
        <v>527.4</v>
      </c>
      <c r="O779" s="116">
        <v>497</v>
      </c>
      <c r="P779" s="116">
        <v>519.25</v>
      </c>
      <c r="Q779" s="116">
        <v>503</v>
      </c>
      <c r="R779">
        <v>1697412</v>
      </c>
    </row>
    <row r="780" spans="1:18" x14ac:dyDescent="0.25">
      <c r="A780" s="170">
        <v>44014</v>
      </c>
      <c r="B780" s="116">
        <v>1.55424136786189</v>
      </c>
      <c r="C780" s="116">
        <v>1.55424136786189</v>
      </c>
      <c r="D780" s="116">
        <v>1.55424136786189</v>
      </c>
      <c r="E780" s="116">
        <v>1.55424136786189</v>
      </c>
      <c r="F780" s="116">
        <v>1.7</v>
      </c>
      <c r="G780">
        <v>4946</v>
      </c>
      <c r="H780" s="116"/>
      <c r="I780" s="116"/>
      <c r="L780" s="170">
        <v>43150</v>
      </c>
      <c r="M780" s="116">
        <v>502.75</v>
      </c>
      <c r="N780" s="116">
        <v>511.95</v>
      </c>
      <c r="O780" s="116">
        <v>495.25</v>
      </c>
      <c r="P780" s="116">
        <v>503.9</v>
      </c>
      <c r="Q780" s="116">
        <v>502.75</v>
      </c>
      <c r="R780">
        <v>1388940</v>
      </c>
    </row>
    <row r="781" spans="1:18" x14ac:dyDescent="0.25">
      <c r="A781" s="170">
        <v>44015</v>
      </c>
      <c r="B781" s="116">
        <v>1.62738213811421</v>
      </c>
      <c r="C781" s="116">
        <v>1.62738213811421</v>
      </c>
      <c r="D781" s="116">
        <v>1.61823954183267</v>
      </c>
      <c r="E781" s="116">
        <v>1.62738213811421</v>
      </c>
      <c r="F781" s="116">
        <v>1.78</v>
      </c>
      <c r="G781">
        <v>35904</v>
      </c>
      <c r="H781" s="116"/>
      <c r="I781" s="116"/>
      <c r="L781" s="170">
        <v>43151</v>
      </c>
      <c r="M781" s="116">
        <v>511.55</v>
      </c>
      <c r="N781" s="116">
        <v>523.95000000000005</v>
      </c>
      <c r="O781" s="116">
        <v>501.5</v>
      </c>
      <c r="P781" s="116">
        <v>501.5</v>
      </c>
      <c r="Q781" s="116">
        <v>511.55</v>
      </c>
      <c r="R781">
        <v>2382471</v>
      </c>
    </row>
    <row r="782" spans="1:18" x14ac:dyDescent="0.25">
      <c r="A782" s="170">
        <v>44018</v>
      </c>
      <c r="B782" s="116">
        <v>1.7005229083665301</v>
      </c>
      <c r="C782" s="116">
        <v>1.7005229083665301</v>
      </c>
      <c r="D782" s="116">
        <v>1.7005229083665301</v>
      </c>
      <c r="E782" s="116">
        <v>1.7005229083665301</v>
      </c>
      <c r="F782" s="116">
        <v>1.86</v>
      </c>
      <c r="G782">
        <v>5010</v>
      </c>
      <c r="H782" s="116"/>
      <c r="I782" s="116"/>
      <c r="L782" s="170">
        <v>43152</v>
      </c>
      <c r="M782" s="116">
        <v>518.45000000000005</v>
      </c>
      <c r="N782" s="116">
        <v>522</v>
      </c>
      <c r="O782" s="116">
        <v>511.9</v>
      </c>
      <c r="P782" s="116">
        <v>516</v>
      </c>
      <c r="Q782" s="116">
        <v>518.45000000000005</v>
      </c>
      <c r="R782">
        <v>1025243</v>
      </c>
    </row>
    <row r="783" spans="1:18" x14ac:dyDescent="0.25">
      <c r="A783" s="170">
        <v>44019</v>
      </c>
      <c r="B783" s="116">
        <v>1.7828062749003999</v>
      </c>
      <c r="C783" s="116">
        <v>1.7828062749003999</v>
      </c>
      <c r="D783" s="116">
        <v>1.7005229083665301</v>
      </c>
      <c r="E783" s="116">
        <v>1.7828062749003999</v>
      </c>
      <c r="F783" s="116">
        <v>1.95</v>
      </c>
      <c r="G783">
        <v>9200</v>
      </c>
      <c r="H783" s="116"/>
      <c r="I783" s="116"/>
      <c r="L783" s="170">
        <v>43153</v>
      </c>
      <c r="M783" s="116">
        <v>516.6</v>
      </c>
      <c r="N783" s="116">
        <v>525.95000000000005</v>
      </c>
      <c r="O783" s="116">
        <v>512.6</v>
      </c>
      <c r="P783" s="116">
        <v>517.95000000000005</v>
      </c>
      <c r="Q783" s="116">
        <v>516.6</v>
      </c>
      <c r="R783">
        <v>1197453</v>
      </c>
    </row>
    <row r="784" spans="1:18" x14ac:dyDescent="0.25">
      <c r="A784" s="170">
        <v>44020</v>
      </c>
      <c r="B784" s="116">
        <v>1.8650896414342599</v>
      </c>
      <c r="C784" s="116">
        <v>1.8650896414342599</v>
      </c>
      <c r="D784" s="116">
        <v>1.8650896414342599</v>
      </c>
      <c r="E784" s="116">
        <v>1.8650896414342599</v>
      </c>
      <c r="F784" s="116">
        <v>2.04</v>
      </c>
      <c r="G784">
        <v>2554</v>
      </c>
      <c r="H784" s="116"/>
      <c r="I784" s="116"/>
      <c r="L784" s="170">
        <v>43154</v>
      </c>
      <c r="M784" s="116">
        <v>523.65</v>
      </c>
      <c r="N784" s="116">
        <v>527.35</v>
      </c>
      <c r="O784" s="116">
        <v>517.25</v>
      </c>
      <c r="P784" s="116">
        <v>517.25</v>
      </c>
      <c r="Q784" s="116">
        <v>523.65</v>
      </c>
      <c r="R784">
        <v>1021725</v>
      </c>
    </row>
    <row r="785" spans="1:18" x14ac:dyDescent="0.25">
      <c r="A785" s="170">
        <v>44022</v>
      </c>
      <c r="B785" s="116">
        <v>1.8650896414342599</v>
      </c>
      <c r="C785" s="116">
        <v>1.8650896414342599</v>
      </c>
      <c r="D785" s="116">
        <v>1.8650896414342599</v>
      </c>
      <c r="E785" s="116">
        <v>1.8650896414342599</v>
      </c>
      <c r="F785" s="116">
        <v>2.04</v>
      </c>
      <c r="G785">
        <v>499</v>
      </c>
      <c r="H785" s="116"/>
      <c r="I785" s="116"/>
      <c r="L785" s="170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70">
        <v>44025</v>
      </c>
      <c r="B786" s="116">
        <v>1.9565156042496701</v>
      </c>
      <c r="C786" s="116">
        <v>1.9565156042496701</v>
      </c>
      <c r="D786" s="116">
        <v>1.8650896414342599</v>
      </c>
      <c r="E786" s="116">
        <v>1.8650896414342599</v>
      </c>
      <c r="F786" s="116">
        <v>2.14</v>
      </c>
      <c r="G786">
        <v>4164</v>
      </c>
      <c r="H786" s="116"/>
      <c r="I786" s="116"/>
      <c r="L786" s="170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70">
        <v>44026</v>
      </c>
      <c r="B787" s="116">
        <v>2.0479415670650698</v>
      </c>
      <c r="C787" s="116">
        <v>2.02965637450199</v>
      </c>
      <c r="D787" s="116">
        <v>1.9565156042496701</v>
      </c>
      <c r="E787" s="116">
        <v>1.9565156042496701</v>
      </c>
      <c r="F787" s="116">
        <v>2.2200000000000002</v>
      </c>
      <c r="G787">
        <v>3765</v>
      </c>
      <c r="H787" s="116"/>
      <c r="I787" s="116"/>
      <c r="L787" s="170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70">
        <v>44027</v>
      </c>
      <c r="B788" s="116">
        <v>2.1302249335989401</v>
      </c>
      <c r="C788" s="116">
        <v>2.1302249335989401</v>
      </c>
      <c r="D788" s="116">
        <v>2.02965637450199</v>
      </c>
      <c r="E788" s="116">
        <v>2.1302249335989401</v>
      </c>
      <c r="F788" s="116">
        <v>2.33</v>
      </c>
      <c r="G788">
        <v>13230</v>
      </c>
      <c r="H788" s="116"/>
      <c r="I788" s="116"/>
      <c r="L788" s="170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70">
        <v>44028</v>
      </c>
      <c r="B789" s="116">
        <v>2.2307934926958799</v>
      </c>
      <c r="C789" s="116">
        <v>2.2307934926958799</v>
      </c>
      <c r="D789" s="116">
        <v>2.1942231075697198</v>
      </c>
      <c r="E789" s="116">
        <v>2.1942231075697198</v>
      </c>
      <c r="F789" s="116">
        <v>2.44</v>
      </c>
      <c r="G789">
        <v>14242</v>
      </c>
      <c r="H789" s="116"/>
      <c r="I789" s="116"/>
      <c r="L789" s="170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70">
        <v>44029</v>
      </c>
      <c r="B790" s="116">
        <v>2.3405046480743699</v>
      </c>
      <c r="C790" s="116">
        <v>2.3405046480743699</v>
      </c>
      <c r="D790" s="116">
        <v>2.2307934926958799</v>
      </c>
      <c r="E790" s="116">
        <v>2.2307934926958799</v>
      </c>
      <c r="F790" s="116">
        <v>2.56</v>
      </c>
      <c r="G790">
        <v>10184</v>
      </c>
      <c r="H790" s="116"/>
      <c r="I790" s="116"/>
      <c r="L790" s="170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70">
        <v>44032</v>
      </c>
      <c r="B791" s="116">
        <v>2.3405046480743699</v>
      </c>
      <c r="C791" s="116">
        <v>2.3405046480743699</v>
      </c>
      <c r="D791" s="116">
        <v>2.3405046480743699</v>
      </c>
      <c r="E791" s="116">
        <v>2.3405046480743699</v>
      </c>
      <c r="F791" s="116">
        <v>2.56</v>
      </c>
      <c r="G791">
        <v>1297</v>
      </c>
      <c r="H791" s="116"/>
      <c r="I791" s="116"/>
      <c r="L791" s="170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70">
        <v>44033</v>
      </c>
      <c r="B792" s="116">
        <v>2.3405046480743699</v>
      </c>
      <c r="C792" s="116">
        <v>2.2307934926958799</v>
      </c>
      <c r="D792" s="116">
        <v>2.2307934926958799</v>
      </c>
      <c r="E792" s="116">
        <v>2.3405046480743699</v>
      </c>
      <c r="F792" s="116">
        <v>2.44</v>
      </c>
      <c r="G792">
        <v>259</v>
      </c>
      <c r="H792" s="116"/>
      <c r="I792" s="116"/>
      <c r="L792" s="170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70">
        <v>44034</v>
      </c>
      <c r="B793" s="116">
        <v>2.1485101261620199</v>
      </c>
      <c r="C793" s="116">
        <v>2.1210823373174001</v>
      </c>
      <c r="D793" s="116">
        <v>2.1210823373174001</v>
      </c>
      <c r="E793" s="116">
        <v>2.1485101261620199</v>
      </c>
      <c r="F793" s="116">
        <v>2.3199999999999998</v>
      </c>
      <c r="G793">
        <v>165</v>
      </c>
      <c r="H793" s="116"/>
      <c r="I793" s="116"/>
      <c r="L793" s="170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70">
        <v>44035</v>
      </c>
      <c r="B794" s="116">
        <v>2.1027971447543199</v>
      </c>
      <c r="C794" s="116">
        <v>2.0205137782204501</v>
      </c>
      <c r="D794" s="116">
        <v>2.0205137782204501</v>
      </c>
      <c r="E794" s="116">
        <v>2.1027971447543199</v>
      </c>
      <c r="F794" s="116">
        <v>2.21</v>
      </c>
      <c r="G794">
        <v>311</v>
      </c>
      <c r="H794" s="116"/>
      <c r="I794" s="116"/>
      <c r="L794" s="170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70">
        <v>44036</v>
      </c>
      <c r="B795" s="116">
        <v>1.91994521912351</v>
      </c>
      <c r="C795" s="116">
        <v>1.91994521912351</v>
      </c>
      <c r="D795" s="116">
        <v>1.91994521912351</v>
      </c>
      <c r="E795" s="116">
        <v>1.91994521912351</v>
      </c>
      <c r="F795" s="116">
        <v>2.1</v>
      </c>
      <c r="G795">
        <v>2503</v>
      </c>
      <c r="H795" s="116"/>
      <c r="I795" s="116"/>
      <c r="L795" s="170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70">
        <v>44039</v>
      </c>
      <c r="B796" s="116">
        <v>1.8285192563081001</v>
      </c>
      <c r="C796" s="116">
        <v>1.8285192563081001</v>
      </c>
      <c r="D796" s="116">
        <v>1.8285192563081001</v>
      </c>
      <c r="E796" s="116">
        <v>1.8285192563081001</v>
      </c>
      <c r="F796" s="116">
        <v>2</v>
      </c>
      <c r="G796">
        <v>13</v>
      </c>
      <c r="H796" s="116"/>
      <c r="I796" s="116"/>
      <c r="L796" s="170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70">
        <v>44040</v>
      </c>
      <c r="B797" s="116">
        <v>1.8285192563081001</v>
      </c>
      <c r="C797" s="116">
        <v>1.7370932934926999</v>
      </c>
      <c r="D797" s="116">
        <v>1.7370932934926999</v>
      </c>
      <c r="E797" s="116">
        <v>1.8285192563081001</v>
      </c>
      <c r="F797" s="116">
        <v>1.9</v>
      </c>
      <c r="G797">
        <v>1458</v>
      </c>
      <c r="H797" s="116"/>
      <c r="I797" s="116"/>
      <c r="L797" s="170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70">
        <v>44041</v>
      </c>
      <c r="B798" s="116">
        <v>1.6548099269588299</v>
      </c>
      <c r="C798" s="116">
        <v>1.6548099269588299</v>
      </c>
      <c r="D798" s="116">
        <v>1.6548099269588299</v>
      </c>
      <c r="E798" s="116">
        <v>1.6548099269588299</v>
      </c>
      <c r="F798" s="116">
        <v>1.81</v>
      </c>
      <c r="G798">
        <v>859</v>
      </c>
      <c r="H798" s="116"/>
      <c r="I798" s="116"/>
      <c r="L798" s="170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70">
        <v>44042</v>
      </c>
      <c r="B799" s="116">
        <v>1.6548099269588299</v>
      </c>
      <c r="C799" s="116">
        <v>1.5725265604249701</v>
      </c>
      <c r="D799" s="116">
        <v>1.5725265604249701</v>
      </c>
      <c r="E799" s="116">
        <v>1.6548099269588299</v>
      </c>
      <c r="F799" s="116">
        <v>1.72</v>
      </c>
      <c r="G799">
        <v>1396</v>
      </c>
      <c r="H799" s="116"/>
      <c r="I799" s="116"/>
      <c r="L799" s="170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70">
        <v>44043</v>
      </c>
      <c r="B800" s="116">
        <v>1.5725265604249701</v>
      </c>
      <c r="C800" s="116">
        <v>1.49938579017264</v>
      </c>
      <c r="D800" s="116">
        <v>1.49938579017264</v>
      </c>
      <c r="E800" s="116">
        <v>1.5725265604249701</v>
      </c>
      <c r="F800" s="116">
        <v>1.64</v>
      </c>
      <c r="G800">
        <v>1314</v>
      </c>
      <c r="H800" s="116"/>
      <c r="I800" s="116"/>
      <c r="L800" s="170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70">
        <v>44046</v>
      </c>
      <c r="B801" s="116">
        <v>1.49938579017264</v>
      </c>
      <c r="C801" s="116">
        <v>1.42624501992032</v>
      </c>
      <c r="D801" s="116">
        <v>1.42624501992032</v>
      </c>
      <c r="E801" s="116">
        <v>1.4628154050464801</v>
      </c>
      <c r="F801" s="116">
        <v>1.56</v>
      </c>
      <c r="G801">
        <v>6453</v>
      </c>
      <c r="H801" s="116"/>
      <c r="I801" s="116"/>
      <c r="L801" s="170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70">
        <v>44047</v>
      </c>
      <c r="B802" s="116">
        <v>1.36224684594954</v>
      </c>
      <c r="C802" s="116">
        <v>1.36224684594954</v>
      </c>
      <c r="D802" s="116">
        <v>1.36224684594954</v>
      </c>
      <c r="E802" s="116">
        <v>1.36224684594954</v>
      </c>
      <c r="F802" s="116">
        <v>1.49</v>
      </c>
      <c r="G802">
        <v>8245</v>
      </c>
      <c r="H802" s="116"/>
      <c r="I802" s="116"/>
      <c r="L802" s="170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70">
        <v>44048</v>
      </c>
      <c r="B803" s="116">
        <v>1.29824867197875</v>
      </c>
      <c r="C803" s="116">
        <v>1.29824867197875</v>
      </c>
      <c r="D803" s="116">
        <v>1.29824867197875</v>
      </c>
      <c r="E803" s="116">
        <v>1.29824867197875</v>
      </c>
      <c r="F803" s="116">
        <v>1.42</v>
      </c>
      <c r="G803">
        <v>5840</v>
      </c>
      <c r="H803" s="116"/>
      <c r="I803" s="116"/>
      <c r="L803" s="170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70">
        <v>44049</v>
      </c>
      <c r="B804" s="116">
        <v>1.2433930942895099</v>
      </c>
      <c r="C804" s="116">
        <v>1.23425049800797</v>
      </c>
      <c r="D804" s="116">
        <v>1.23425049800797</v>
      </c>
      <c r="E804" s="116">
        <v>1.23425049800797</v>
      </c>
      <c r="F804" s="116">
        <v>1.35</v>
      </c>
      <c r="G804">
        <v>12909</v>
      </c>
      <c r="H804" s="116"/>
      <c r="I804" s="116"/>
      <c r="L804" s="170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70">
        <v>44050</v>
      </c>
      <c r="B805" s="116">
        <v>1.2525356905710501</v>
      </c>
      <c r="C805" s="116">
        <v>1.2525356905710501</v>
      </c>
      <c r="D805" s="116">
        <v>1.23425049800797</v>
      </c>
      <c r="E805" s="116">
        <v>1.23425049800797</v>
      </c>
      <c r="F805" s="116">
        <v>1.37</v>
      </c>
      <c r="G805">
        <v>938</v>
      </c>
      <c r="H805" s="116"/>
      <c r="I805" s="116"/>
      <c r="L805" s="170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70">
        <v>44053</v>
      </c>
      <c r="B806" s="116">
        <v>1.2708208831341301</v>
      </c>
      <c r="C806" s="116">
        <v>1.2708208831341301</v>
      </c>
      <c r="D806" s="116">
        <v>1.2708208831341301</v>
      </c>
      <c r="E806" s="116">
        <v>1.2708208831341301</v>
      </c>
      <c r="F806" s="116">
        <v>1.39</v>
      </c>
      <c r="G806">
        <v>2</v>
      </c>
      <c r="H806" s="116"/>
      <c r="I806" s="116"/>
      <c r="L806" s="170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70">
        <v>44054</v>
      </c>
      <c r="B807" s="116">
        <v>1.2891060756972099</v>
      </c>
      <c r="C807" s="116">
        <v>1.2891060756972099</v>
      </c>
      <c r="D807" s="116">
        <v>1.27996347941567</v>
      </c>
      <c r="E807" s="116">
        <v>1.2891060756972099</v>
      </c>
      <c r="F807" s="116">
        <v>1.41</v>
      </c>
      <c r="G807">
        <v>2240</v>
      </c>
      <c r="H807" s="116"/>
      <c r="I807" s="116"/>
      <c r="L807" s="170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70">
        <v>44056</v>
      </c>
      <c r="B808" s="116">
        <v>1.30739126826029</v>
      </c>
      <c r="C808" s="116">
        <v>1.30739126826029</v>
      </c>
      <c r="D808" s="116">
        <v>1.30739126826029</v>
      </c>
      <c r="E808" s="116">
        <v>1.30739126826029</v>
      </c>
      <c r="F808" s="116">
        <v>1.43</v>
      </c>
      <c r="G808">
        <v>3945</v>
      </c>
      <c r="H808" s="116"/>
      <c r="I808" s="116"/>
      <c r="L808" s="170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70">
        <v>44057</v>
      </c>
      <c r="B809" s="116">
        <v>1.32567646082337</v>
      </c>
      <c r="C809" s="116">
        <v>1.32567646082337</v>
      </c>
      <c r="D809" s="116">
        <v>1.32567646082337</v>
      </c>
      <c r="E809" s="116">
        <v>1.32567646082337</v>
      </c>
      <c r="F809" s="116">
        <v>1.45</v>
      </c>
      <c r="G809">
        <v>1</v>
      </c>
      <c r="H809" s="116"/>
      <c r="I809" s="116"/>
      <c r="L809" s="170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70">
        <v>44060</v>
      </c>
      <c r="B810" s="116">
        <v>1.34396165338645</v>
      </c>
      <c r="C810" s="116">
        <v>1.34396165338645</v>
      </c>
      <c r="D810" s="116">
        <v>1.34396165338645</v>
      </c>
      <c r="E810" s="116">
        <v>1.34396165338645</v>
      </c>
      <c r="F810" s="116">
        <v>1.47</v>
      </c>
      <c r="G810">
        <v>5888</v>
      </c>
      <c r="H810" s="116"/>
      <c r="I810" s="116"/>
      <c r="L810" s="170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70">
        <v>44061</v>
      </c>
      <c r="B811" s="116">
        <v>1.36224684594954</v>
      </c>
      <c r="C811" s="116">
        <v>1.36224684594954</v>
      </c>
      <c r="D811" s="116">
        <v>1.36224684594954</v>
      </c>
      <c r="E811" s="116">
        <v>1.36224684594954</v>
      </c>
      <c r="F811" s="116">
        <v>1.49</v>
      </c>
      <c r="G811">
        <v>1</v>
      </c>
      <c r="H811" s="116"/>
      <c r="I811" s="116"/>
      <c r="L811" s="170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70">
        <v>44062</v>
      </c>
      <c r="B812" s="116">
        <v>1.3805320385126201</v>
      </c>
      <c r="C812" s="116">
        <v>1.3805320385126201</v>
      </c>
      <c r="D812" s="116">
        <v>1.3805320385126201</v>
      </c>
      <c r="E812" s="116">
        <v>1.3805320385126201</v>
      </c>
      <c r="F812" s="116">
        <v>1.51</v>
      </c>
      <c r="G812">
        <v>629</v>
      </c>
      <c r="H812" s="116"/>
      <c r="I812" s="116"/>
      <c r="L812" s="170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70">
        <v>44063</v>
      </c>
      <c r="B813" s="116">
        <v>1.40795982735724</v>
      </c>
      <c r="C813" s="116">
        <v>1.40795982735724</v>
      </c>
      <c r="D813" s="116">
        <v>1.40795982735724</v>
      </c>
      <c r="E813" s="116">
        <v>1.40795982735724</v>
      </c>
      <c r="F813" s="116">
        <v>1.54</v>
      </c>
      <c r="G813">
        <v>1402</v>
      </c>
      <c r="H813" s="116"/>
      <c r="I813" s="116"/>
      <c r="L813" s="170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70">
        <v>44064</v>
      </c>
      <c r="B814" s="116">
        <v>1.43538761620186</v>
      </c>
      <c r="C814" s="116">
        <v>1.43538761620186</v>
      </c>
      <c r="D814" s="116">
        <v>1.43538761620186</v>
      </c>
      <c r="E814" s="116">
        <v>1.43538761620186</v>
      </c>
      <c r="F814" s="116">
        <v>1.57</v>
      </c>
      <c r="G814">
        <v>855</v>
      </c>
      <c r="H814" s="116"/>
      <c r="I814" s="116"/>
      <c r="L814" s="170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70">
        <v>44067</v>
      </c>
      <c r="B815" s="116">
        <v>1.4628154050464801</v>
      </c>
      <c r="C815" s="116">
        <v>1.4628154050464801</v>
      </c>
      <c r="D815" s="116">
        <v>1.4628154050464801</v>
      </c>
      <c r="E815" s="116">
        <v>1.4628154050464801</v>
      </c>
      <c r="F815" s="116">
        <v>1.6</v>
      </c>
      <c r="G815">
        <v>517</v>
      </c>
      <c r="H815" s="116"/>
      <c r="I815" s="116"/>
      <c r="L815" s="170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70">
        <v>44068</v>
      </c>
      <c r="B816" s="116">
        <v>1.4902431938911</v>
      </c>
      <c r="C816" s="116">
        <v>1.43538761620186</v>
      </c>
      <c r="D816" s="116">
        <v>1.43538761620186</v>
      </c>
      <c r="E816" s="116">
        <v>1.4902431938911</v>
      </c>
      <c r="F816" s="116">
        <v>1.57</v>
      </c>
      <c r="G816">
        <v>12581</v>
      </c>
      <c r="H816" s="116"/>
      <c r="I816" s="116"/>
      <c r="L816" s="170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70">
        <v>44069</v>
      </c>
      <c r="B817" s="116">
        <v>1.4628154050464801</v>
      </c>
      <c r="C817" s="116">
        <v>1.40795982735724</v>
      </c>
      <c r="D817" s="116">
        <v>1.40795982735724</v>
      </c>
      <c r="E817" s="116">
        <v>1.4628154050464801</v>
      </c>
      <c r="F817" s="116">
        <v>1.54</v>
      </c>
      <c r="G817">
        <v>319</v>
      </c>
      <c r="H817" s="116"/>
      <c r="I817" s="116"/>
      <c r="L817" s="170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70">
        <v>44070</v>
      </c>
      <c r="B818" s="116">
        <v>1.40795982735724</v>
      </c>
      <c r="C818" s="116">
        <v>1.40795982735724</v>
      </c>
      <c r="D818" s="116">
        <v>1.40795982735724</v>
      </c>
      <c r="E818" s="116">
        <v>1.40795982735724</v>
      </c>
      <c r="F818" s="116">
        <v>1.54</v>
      </c>
      <c r="G818">
        <v>2416</v>
      </c>
      <c r="H818" s="116"/>
      <c r="I818" s="116"/>
      <c r="L818" s="170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70">
        <v>44071</v>
      </c>
      <c r="B819" s="116">
        <v>1.3805320385126201</v>
      </c>
      <c r="C819" s="116">
        <v>1.3805320385126201</v>
      </c>
      <c r="D819" s="116">
        <v>1.3805320385126201</v>
      </c>
      <c r="E819" s="116">
        <v>1.3805320385126201</v>
      </c>
      <c r="F819" s="116">
        <v>1.51</v>
      </c>
      <c r="G819">
        <v>1252</v>
      </c>
      <c r="H819" s="116"/>
      <c r="I819" s="116"/>
      <c r="L819" s="170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70">
        <v>44074</v>
      </c>
      <c r="B820" s="116">
        <v>1.40795982735724</v>
      </c>
      <c r="C820" s="116">
        <v>1.40795982735724</v>
      </c>
      <c r="D820" s="116">
        <v>1.38967463479416</v>
      </c>
      <c r="E820" s="116">
        <v>1.38967463479416</v>
      </c>
      <c r="F820" s="116">
        <v>1.54</v>
      </c>
      <c r="G820">
        <v>13803</v>
      </c>
      <c r="H820" s="116"/>
      <c r="I820" s="116"/>
      <c r="L820" s="170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70">
        <v>44075</v>
      </c>
      <c r="B821" s="116">
        <v>1.43538761620186</v>
      </c>
      <c r="C821" s="116">
        <v>1.43538761620186</v>
      </c>
      <c r="D821" s="116">
        <v>1.43538761620186</v>
      </c>
      <c r="E821" s="116">
        <v>1.43538761620186</v>
      </c>
      <c r="F821" s="116">
        <v>1.57</v>
      </c>
      <c r="G821">
        <v>2156</v>
      </c>
      <c r="H821" s="116"/>
      <c r="I821" s="116"/>
      <c r="L821" s="170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70">
        <v>44078</v>
      </c>
      <c r="B822" s="116">
        <v>1.4628154050464801</v>
      </c>
      <c r="C822" s="116">
        <v>1.43538761620186</v>
      </c>
      <c r="D822" s="116">
        <v>1.43538761620186</v>
      </c>
      <c r="E822" s="116">
        <v>1.4628154050464801</v>
      </c>
      <c r="F822" s="116">
        <v>1.57</v>
      </c>
      <c r="G822">
        <v>1410</v>
      </c>
      <c r="H822" s="116"/>
      <c r="I822" s="116"/>
      <c r="L822" s="170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70">
        <v>44081</v>
      </c>
      <c r="B823" s="116">
        <v>1.43538761620186</v>
      </c>
      <c r="C823" s="116">
        <v>1.43538761620186</v>
      </c>
      <c r="D823" s="116">
        <v>1.43538761620186</v>
      </c>
      <c r="E823" s="116">
        <v>1.43538761620186</v>
      </c>
      <c r="F823" s="116">
        <v>1.57</v>
      </c>
      <c r="G823">
        <v>205</v>
      </c>
      <c r="H823" s="116"/>
      <c r="I823" s="116"/>
      <c r="L823" s="170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70">
        <v>44082</v>
      </c>
      <c r="B824" s="116">
        <v>1.4628154050464801</v>
      </c>
      <c r="C824" s="116">
        <v>1.4628154050464801</v>
      </c>
      <c r="D824" s="116">
        <v>1.40795982735724</v>
      </c>
      <c r="E824" s="116">
        <v>1.4628154050464801</v>
      </c>
      <c r="F824" s="116">
        <v>1.6</v>
      </c>
      <c r="G824">
        <v>9436</v>
      </c>
      <c r="H824" s="116"/>
      <c r="I824" s="116"/>
      <c r="L824" s="170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70">
        <v>44084</v>
      </c>
      <c r="B825" s="116">
        <v>1.4628154050464801</v>
      </c>
      <c r="C825" s="116">
        <v>1.4628154050464801</v>
      </c>
      <c r="D825" s="116">
        <v>1.4628154050464801</v>
      </c>
      <c r="E825" s="116">
        <v>1.4628154050464801</v>
      </c>
      <c r="F825" s="116">
        <v>1.6</v>
      </c>
      <c r="G825">
        <v>10203</v>
      </c>
      <c r="H825" s="116"/>
      <c r="I825" s="116"/>
      <c r="L825" s="170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70">
        <v>44085</v>
      </c>
      <c r="B826" s="116">
        <v>1.4628154050464801</v>
      </c>
      <c r="C826" s="116">
        <v>1.4628154050464801</v>
      </c>
      <c r="D826" s="116">
        <v>1.4445302124834001</v>
      </c>
      <c r="E826" s="116">
        <v>1.4628154050464801</v>
      </c>
      <c r="F826" s="116">
        <v>1.6</v>
      </c>
      <c r="G826">
        <v>542</v>
      </c>
      <c r="H826" s="116"/>
      <c r="I826" s="116"/>
      <c r="L826" s="170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70">
        <v>44088</v>
      </c>
      <c r="B827" s="116">
        <v>1.4628154050464801</v>
      </c>
      <c r="C827" s="116">
        <v>1.4628154050464801</v>
      </c>
      <c r="D827" s="116">
        <v>1.4628154050464801</v>
      </c>
      <c r="E827" s="116">
        <v>1.4628154050464801</v>
      </c>
      <c r="F827" s="116">
        <v>1.6</v>
      </c>
      <c r="G827">
        <v>1229</v>
      </c>
      <c r="H827" s="116"/>
      <c r="I827" s="116"/>
      <c r="L827" s="170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70">
        <v>44089</v>
      </c>
      <c r="B828" s="116">
        <v>1.4628154050464801</v>
      </c>
      <c r="C828" s="116">
        <v>1.45367280876494</v>
      </c>
      <c r="D828" s="116">
        <v>1.4445302124834001</v>
      </c>
      <c r="E828" s="116">
        <v>1.4628154050464801</v>
      </c>
      <c r="F828" s="116">
        <v>1.59</v>
      </c>
      <c r="G828">
        <v>5229</v>
      </c>
      <c r="H828" s="116"/>
      <c r="I828" s="116"/>
      <c r="L828" s="170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70">
        <v>44090</v>
      </c>
      <c r="B829" s="116">
        <v>1.45367280876494</v>
      </c>
      <c r="C829" s="116">
        <v>1.45367280876494</v>
      </c>
      <c r="D829" s="116">
        <v>1.45367280876494</v>
      </c>
      <c r="E829" s="116">
        <v>1.45367280876494</v>
      </c>
      <c r="F829" s="116">
        <v>1.59</v>
      </c>
      <c r="G829">
        <v>1188</v>
      </c>
      <c r="H829" s="116"/>
      <c r="I829" s="116"/>
      <c r="L829" s="170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70">
        <v>44091</v>
      </c>
      <c r="B830" s="116">
        <v>1.45367280876494</v>
      </c>
      <c r="C830" s="116">
        <v>1.4445302124834001</v>
      </c>
      <c r="D830" s="116">
        <v>1.4445302124834001</v>
      </c>
      <c r="E830" s="116">
        <v>1.45367280876494</v>
      </c>
      <c r="F830" s="116">
        <v>1.58</v>
      </c>
      <c r="G830">
        <v>1500</v>
      </c>
      <c r="H830" s="116"/>
      <c r="I830" s="116"/>
      <c r="L830" s="170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70">
        <v>44092</v>
      </c>
      <c r="B831" s="116">
        <v>1.4445302124834001</v>
      </c>
      <c r="C831" s="116">
        <v>1.43538761620186</v>
      </c>
      <c r="D831" s="116">
        <v>1.43538761620186</v>
      </c>
      <c r="E831" s="116">
        <v>1.4445302124834001</v>
      </c>
      <c r="F831" s="116">
        <v>1.57</v>
      </c>
      <c r="G831">
        <v>26</v>
      </c>
      <c r="H831" s="116"/>
      <c r="I831" s="116"/>
      <c r="L831" s="170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70">
        <v>44095</v>
      </c>
      <c r="B832" s="116">
        <v>1.43538761620186</v>
      </c>
      <c r="C832" s="116">
        <v>1.43538761620186</v>
      </c>
      <c r="D832" s="116">
        <v>1.43538761620186</v>
      </c>
      <c r="E832" s="116">
        <v>1.43538761620186</v>
      </c>
      <c r="F832" s="116">
        <v>1.57</v>
      </c>
      <c r="G832">
        <v>670</v>
      </c>
      <c r="H832" s="116"/>
      <c r="I832" s="116"/>
      <c r="L832" s="170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70">
        <v>44096</v>
      </c>
      <c r="B833" s="116">
        <v>1.43538761620186</v>
      </c>
      <c r="C833" s="116">
        <v>1.43538761620186</v>
      </c>
      <c r="D833" s="116">
        <v>1.43538761620186</v>
      </c>
      <c r="E833" s="116">
        <v>1.43538761620186</v>
      </c>
      <c r="F833" s="116">
        <v>1.57</v>
      </c>
      <c r="G833">
        <v>610</v>
      </c>
      <c r="H833" s="116"/>
      <c r="I833" s="116"/>
      <c r="L833" s="170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70">
        <v>44097</v>
      </c>
      <c r="B834" s="116">
        <v>1.42624501992032</v>
      </c>
      <c r="C834" s="116">
        <v>1.42624501992032</v>
      </c>
      <c r="D834" s="116">
        <v>1.42624501992032</v>
      </c>
      <c r="E834" s="116">
        <v>1.42624501992032</v>
      </c>
      <c r="F834" s="116">
        <v>1.56</v>
      </c>
      <c r="G834">
        <v>3</v>
      </c>
      <c r="H834" s="116"/>
      <c r="I834" s="116"/>
      <c r="L834" s="170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70">
        <v>44099</v>
      </c>
      <c r="B835" s="116">
        <v>1.4171024236387799</v>
      </c>
      <c r="C835" s="116">
        <v>1.4171024236387799</v>
      </c>
      <c r="D835" s="116">
        <v>1.4171024236387799</v>
      </c>
      <c r="E835" s="116">
        <v>1.4171024236387799</v>
      </c>
      <c r="F835" s="116">
        <v>1.55</v>
      </c>
      <c r="G835">
        <v>1</v>
      </c>
      <c r="H835" s="116"/>
      <c r="I835" s="116"/>
      <c r="L835" s="170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70">
        <v>44102</v>
      </c>
      <c r="B836" s="116">
        <v>1.4171024236387799</v>
      </c>
      <c r="C836" s="116">
        <v>1.4171024236387799</v>
      </c>
      <c r="D836" s="116">
        <v>1.4171024236387799</v>
      </c>
      <c r="E836" s="116">
        <v>1.4171024236387799</v>
      </c>
      <c r="F836" s="116">
        <v>1.55</v>
      </c>
      <c r="G836">
        <v>222</v>
      </c>
      <c r="H836" s="116"/>
      <c r="I836" s="116"/>
      <c r="L836" s="170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70">
        <v>44103</v>
      </c>
      <c r="B837" s="116">
        <v>1.4171024236387799</v>
      </c>
      <c r="C837" s="116">
        <v>1.4171024236387799</v>
      </c>
      <c r="D837" s="116">
        <v>1.4171024236387799</v>
      </c>
      <c r="E837" s="116">
        <v>1.4171024236387799</v>
      </c>
      <c r="F837" s="116">
        <v>1.55</v>
      </c>
      <c r="G837">
        <v>1001</v>
      </c>
      <c r="H837" s="116"/>
      <c r="I837" s="116"/>
      <c r="L837" s="170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70">
        <v>44104</v>
      </c>
      <c r="B838" s="116">
        <v>1.4171024236387799</v>
      </c>
      <c r="C838" s="116">
        <v>1.4171024236387799</v>
      </c>
      <c r="D838" s="116">
        <v>1.4171024236387799</v>
      </c>
      <c r="E838" s="116">
        <v>1.4171024236387799</v>
      </c>
      <c r="F838" s="116">
        <v>1.55</v>
      </c>
      <c r="G838">
        <v>802</v>
      </c>
      <c r="H838" s="116"/>
      <c r="I838" s="116"/>
      <c r="L838" s="170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70">
        <v>44105</v>
      </c>
      <c r="B839" s="116">
        <v>1.4171024236387799</v>
      </c>
      <c r="C839" s="116">
        <v>1.4171024236387799</v>
      </c>
      <c r="D839" s="116">
        <v>1.4171024236387799</v>
      </c>
      <c r="E839" s="116">
        <v>1.4171024236387799</v>
      </c>
      <c r="F839" s="116">
        <v>1.55</v>
      </c>
      <c r="G839">
        <v>14</v>
      </c>
      <c r="H839" s="116"/>
      <c r="I839" s="116"/>
      <c r="L839" s="170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70">
        <v>44109</v>
      </c>
      <c r="B840" s="116">
        <v>1.4445302124834001</v>
      </c>
      <c r="C840" s="116">
        <v>1.4171024236387799</v>
      </c>
      <c r="D840" s="116">
        <v>1.4171024236387799</v>
      </c>
      <c r="E840" s="116">
        <v>1.4171024236387799</v>
      </c>
      <c r="F840" s="116">
        <v>1.55</v>
      </c>
      <c r="G840">
        <v>2039</v>
      </c>
      <c r="H840" s="116"/>
      <c r="I840" s="116"/>
      <c r="L840" s="170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70">
        <v>44110</v>
      </c>
      <c r="B841" s="116">
        <v>1.4445302124834001</v>
      </c>
      <c r="C841" s="116">
        <v>1.4445302124834001</v>
      </c>
      <c r="D841" s="116">
        <v>1.4445302124834001</v>
      </c>
      <c r="E841" s="116">
        <v>1.4445302124834001</v>
      </c>
      <c r="F841" s="116">
        <v>1.58</v>
      </c>
      <c r="G841">
        <v>731</v>
      </c>
      <c r="H841" s="116"/>
      <c r="I841" s="116"/>
      <c r="L841" s="170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70">
        <v>44111</v>
      </c>
      <c r="B842" s="116">
        <v>1.43538761620186</v>
      </c>
      <c r="C842" s="116">
        <v>1.43538761620186</v>
      </c>
      <c r="D842" s="116">
        <v>1.43538761620186</v>
      </c>
      <c r="E842" s="116">
        <v>1.43538761620186</v>
      </c>
      <c r="F842" s="116">
        <v>1.57</v>
      </c>
      <c r="G842">
        <v>6147</v>
      </c>
      <c r="H842" s="116"/>
      <c r="I842" s="116"/>
      <c r="L842" s="170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70">
        <v>44112</v>
      </c>
      <c r="B843" s="116">
        <v>1.49938579017264</v>
      </c>
      <c r="C843" s="116">
        <v>1.49938579017264</v>
      </c>
      <c r="D843" s="116">
        <v>1.43538761620186</v>
      </c>
      <c r="E843" s="116">
        <v>1.43538761620186</v>
      </c>
      <c r="F843" s="116">
        <v>1.64</v>
      </c>
      <c r="G843">
        <v>4675</v>
      </c>
      <c r="H843" s="116"/>
      <c r="I843" s="116"/>
      <c r="L843" s="170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70">
        <v>44113</v>
      </c>
      <c r="B844" s="116">
        <v>1.49938579017264</v>
      </c>
      <c r="C844" s="116">
        <v>1.43538761620186</v>
      </c>
      <c r="D844" s="116">
        <v>1.42624501992032</v>
      </c>
      <c r="E844" s="116">
        <v>1.49938579017264</v>
      </c>
      <c r="F844" s="116">
        <v>1.57</v>
      </c>
      <c r="G844">
        <v>145</v>
      </c>
      <c r="H844" s="116"/>
      <c r="I844" s="116"/>
      <c r="L844" s="170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70">
        <v>44116</v>
      </c>
      <c r="B845" s="116">
        <v>1.43538761620186</v>
      </c>
      <c r="C845" s="116">
        <v>1.43538761620186</v>
      </c>
      <c r="D845" s="116">
        <v>1.43538761620186</v>
      </c>
      <c r="E845" s="116">
        <v>1.43538761620186</v>
      </c>
      <c r="F845" s="116">
        <v>1.57</v>
      </c>
      <c r="G845">
        <v>165</v>
      </c>
      <c r="H845" s="116"/>
      <c r="I845" s="116"/>
      <c r="L845" s="170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70">
        <v>44117</v>
      </c>
      <c r="B846" s="116">
        <v>1.43538761620186</v>
      </c>
      <c r="C846" s="116">
        <v>1.43538761620186</v>
      </c>
      <c r="D846" s="116">
        <v>1.43538761620186</v>
      </c>
      <c r="E846" s="116">
        <v>1.43538761620186</v>
      </c>
      <c r="F846" s="116">
        <v>1.57</v>
      </c>
      <c r="G846">
        <v>200</v>
      </c>
      <c r="H846" s="116"/>
      <c r="I846" s="116"/>
      <c r="L846" s="170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70">
        <v>44118</v>
      </c>
      <c r="B847" s="116">
        <v>1.3713894422310799</v>
      </c>
      <c r="C847" s="116">
        <v>1.3713894422310799</v>
      </c>
      <c r="D847" s="116">
        <v>1.3713894422310799</v>
      </c>
      <c r="E847" s="116">
        <v>1.3713894422310799</v>
      </c>
      <c r="F847" s="116">
        <v>1.5</v>
      </c>
      <c r="G847">
        <v>4001</v>
      </c>
      <c r="H847" s="116"/>
      <c r="I847" s="116"/>
      <c r="L847" s="170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70">
        <v>44119</v>
      </c>
      <c r="B848" s="116">
        <v>1.3713894422310799</v>
      </c>
      <c r="C848" s="116">
        <v>1.32567646082337</v>
      </c>
      <c r="D848" s="116">
        <v>1.32567646082337</v>
      </c>
      <c r="E848" s="116">
        <v>1.3713894422310799</v>
      </c>
      <c r="F848" s="116">
        <v>1.45</v>
      </c>
      <c r="G848">
        <v>2642</v>
      </c>
      <c r="H848" s="116"/>
      <c r="I848" s="116"/>
      <c r="L848" s="170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70">
        <v>44120</v>
      </c>
      <c r="B849" s="116">
        <v>1.32567646082337</v>
      </c>
      <c r="C849" s="116">
        <v>1.32567646082337</v>
      </c>
      <c r="D849" s="116">
        <v>1.32567646082337</v>
      </c>
      <c r="E849" s="116">
        <v>1.32567646082337</v>
      </c>
      <c r="F849" s="116">
        <v>1.45</v>
      </c>
      <c r="G849">
        <v>717</v>
      </c>
      <c r="H849" s="116"/>
      <c r="I849" s="116"/>
      <c r="L849" s="170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70">
        <v>44123</v>
      </c>
      <c r="B850" s="116">
        <v>1.3713894422310799</v>
      </c>
      <c r="C850" s="116">
        <v>1.3713894422310799</v>
      </c>
      <c r="D850" s="116">
        <v>1.32567646082337</v>
      </c>
      <c r="E850" s="116">
        <v>1.32567646082337</v>
      </c>
      <c r="F850" s="116">
        <v>1.5</v>
      </c>
      <c r="G850">
        <v>528</v>
      </c>
      <c r="H850" s="116"/>
      <c r="I850" s="116"/>
      <c r="L850" s="170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70">
        <v>44124</v>
      </c>
      <c r="B851" s="116">
        <v>1.43538761620186</v>
      </c>
      <c r="C851" s="116">
        <v>1.43538761620186</v>
      </c>
      <c r="D851" s="116">
        <v>1.43538761620186</v>
      </c>
      <c r="E851" s="116">
        <v>1.43538761620186</v>
      </c>
      <c r="F851" s="116">
        <v>1.57</v>
      </c>
      <c r="G851">
        <v>500</v>
      </c>
      <c r="H851" s="116"/>
      <c r="I851" s="116"/>
      <c r="L851" s="170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70">
        <v>44125</v>
      </c>
      <c r="B852" s="116">
        <v>1.43538761620186</v>
      </c>
      <c r="C852" s="116">
        <v>1.43538761620186</v>
      </c>
      <c r="D852" s="116">
        <v>1.43538761620186</v>
      </c>
      <c r="E852" s="116">
        <v>1.43538761620186</v>
      </c>
      <c r="F852" s="116">
        <v>1.57</v>
      </c>
      <c r="G852">
        <v>839</v>
      </c>
      <c r="H852" s="116"/>
      <c r="I852" s="116"/>
      <c r="L852" s="170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70">
        <v>44126</v>
      </c>
      <c r="B853" s="116">
        <v>1.49938579017264</v>
      </c>
      <c r="C853" s="116">
        <v>1.3713894422310799</v>
      </c>
      <c r="D853" s="116">
        <v>1.3713894422310799</v>
      </c>
      <c r="E853" s="116">
        <v>1.43538761620186</v>
      </c>
      <c r="F853" s="116">
        <v>1.5</v>
      </c>
      <c r="G853">
        <v>169</v>
      </c>
      <c r="H853" s="116"/>
      <c r="I853" s="116"/>
      <c r="L853" s="170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70">
        <v>44127</v>
      </c>
      <c r="B854" s="116">
        <v>1.3713894422310799</v>
      </c>
      <c r="C854" s="116">
        <v>1.3713894422310799</v>
      </c>
      <c r="D854" s="116">
        <v>1.32567646082337</v>
      </c>
      <c r="E854" s="116">
        <v>1.32567646082337</v>
      </c>
      <c r="F854" s="116">
        <v>1.5</v>
      </c>
      <c r="G854">
        <v>4202</v>
      </c>
      <c r="H854" s="116"/>
      <c r="I854" s="116"/>
      <c r="L854" s="170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70">
        <v>44130</v>
      </c>
      <c r="B855" s="116">
        <v>1.42624501992032</v>
      </c>
      <c r="C855" s="116">
        <v>1.42624501992032</v>
      </c>
      <c r="D855" s="116">
        <v>1.40795982735724</v>
      </c>
      <c r="E855" s="116">
        <v>1.40795982735724</v>
      </c>
      <c r="F855" s="116">
        <v>1.56</v>
      </c>
      <c r="G855">
        <v>500</v>
      </c>
      <c r="H855" s="116"/>
      <c r="I855" s="116"/>
      <c r="L855" s="170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70">
        <v>44131</v>
      </c>
      <c r="B856" s="116">
        <v>1.4171024236387799</v>
      </c>
      <c r="C856" s="116">
        <v>1.3713894422310799</v>
      </c>
      <c r="D856" s="116">
        <v>1.36224684594954</v>
      </c>
      <c r="E856" s="116">
        <v>1.4171024236387799</v>
      </c>
      <c r="F856" s="116">
        <v>1.5</v>
      </c>
      <c r="G856">
        <v>554</v>
      </c>
      <c r="H856" s="116"/>
      <c r="I856" s="116"/>
      <c r="L856" s="170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70">
        <v>44132</v>
      </c>
      <c r="B857" s="116">
        <v>1.3713894422310799</v>
      </c>
      <c r="C857" s="116">
        <v>1.30739126826029</v>
      </c>
      <c r="D857" s="116">
        <v>1.30739126826029</v>
      </c>
      <c r="E857" s="116">
        <v>1.3713894422310799</v>
      </c>
      <c r="F857" s="116">
        <v>1.43</v>
      </c>
      <c r="G857">
        <v>1357</v>
      </c>
      <c r="H857" s="116"/>
      <c r="I857" s="116"/>
      <c r="L857" s="170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70">
        <v>44133</v>
      </c>
      <c r="B858" s="116">
        <v>1.30739126826029</v>
      </c>
      <c r="C858" s="116">
        <v>1.2433930942895099</v>
      </c>
      <c r="D858" s="116">
        <v>1.2433930942895099</v>
      </c>
      <c r="E858" s="116">
        <v>1.2433930942895099</v>
      </c>
      <c r="F858" s="116">
        <v>1.36</v>
      </c>
      <c r="G858">
        <v>2002</v>
      </c>
      <c r="H858" s="116"/>
      <c r="I858" s="116"/>
      <c r="L858" s="170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70">
        <v>44134</v>
      </c>
      <c r="B859" s="116">
        <v>1.2251079017264299</v>
      </c>
      <c r="C859" s="116">
        <v>1.2251079017264299</v>
      </c>
      <c r="D859" s="116">
        <v>1.21596530544489</v>
      </c>
      <c r="E859" s="116">
        <v>1.21596530544489</v>
      </c>
      <c r="F859" s="116">
        <v>1.34</v>
      </c>
      <c r="G859">
        <v>101</v>
      </c>
      <c r="H859" s="116"/>
      <c r="I859" s="116"/>
      <c r="L859" s="170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70">
        <v>44137</v>
      </c>
      <c r="B860" s="116">
        <v>1.17025232403718</v>
      </c>
      <c r="C860" s="116">
        <v>1.17025232403718</v>
      </c>
      <c r="D860" s="116">
        <v>1.17025232403718</v>
      </c>
      <c r="E860" s="116">
        <v>1.17025232403718</v>
      </c>
      <c r="F860" s="116">
        <v>1.28</v>
      </c>
      <c r="G860">
        <v>1067</v>
      </c>
      <c r="H860" s="116"/>
      <c r="I860" s="116"/>
      <c r="L860" s="170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70">
        <v>44138</v>
      </c>
      <c r="B861" s="116">
        <v>1.1885375166002701</v>
      </c>
      <c r="C861" s="116">
        <v>1.1885375166002701</v>
      </c>
      <c r="D861" s="116">
        <v>1.1885375166002701</v>
      </c>
      <c r="E861" s="116">
        <v>1.1885375166002701</v>
      </c>
      <c r="F861" s="116">
        <v>1.3</v>
      </c>
      <c r="G861">
        <v>200</v>
      </c>
      <c r="H861" s="116"/>
      <c r="I861" s="116"/>
      <c r="L861" s="170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70">
        <v>44140</v>
      </c>
      <c r="B862" s="116">
        <v>1.1428245351925601</v>
      </c>
      <c r="C862" s="116">
        <v>1.13368193891102</v>
      </c>
      <c r="D862" s="116">
        <v>1.13368193891102</v>
      </c>
      <c r="E862" s="116">
        <v>1.1428245351925601</v>
      </c>
      <c r="F862" s="116">
        <v>1.24</v>
      </c>
      <c r="G862">
        <v>2710</v>
      </c>
      <c r="H862" s="116"/>
      <c r="I862" s="116"/>
      <c r="L862" s="170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70">
        <v>44141</v>
      </c>
      <c r="B863" s="116">
        <v>1.0971115537848599</v>
      </c>
      <c r="C863" s="116">
        <v>1.0971115537848599</v>
      </c>
      <c r="D863" s="116">
        <v>1.0971115537848599</v>
      </c>
      <c r="E863" s="116">
        <v>1.0971115537848599</v>
      </c>
      <c r="F863" s="116">
        <v>1.2</v>
      </c>
      <c r="G863">
        <v>150</v>
      </c>
      <c r="H863" s="116"/>
      <c r="I863" s="116"/>
      <c r="L863" s="170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70">
        <v>44145</v>
      </c>
      <c r="B864" s="116">
        <v>1.0971115537848599</v>
      </c>
      <c r="C864" s="116">
        <v>1.0971115537848599</v>
      </c>
      <c r="D864" s="116">
        <v>1.0971115537848599</v>
      </c>
      <c r="E864" s="116">
        <v>1.0971115537848599</v>
      </c>
      <c r="F864" s="116">
        <v>1.2</v>
      </c>
      <c r="G864">
        <v>440</v>
      </c>
      <c r="H864" s="116"/>
      <c r="I864" s="116"/>
      <c r="L864" s="170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70">
        <v>44146</v>
      </c>
      <c r="B865" s="116">
        <v>1.0971115537848599</v>
      </c>
      <c r="C865" s="116">
        <v>1.0513985723771599</v>
      </c>
      <c r="D865" s="116">
        <v>1.04225597609562</v>
      </c>
      <c r="E865" s="116">
        <v>1.0971115537848599</v>
      </c>
      <c r="F865" s="116">
        <v>1.1499999999999999</v>
      </c>
      <c r="G865">
        <v>5578</v>
      </c>
      <c r="H865" s="116"/>
      <c r="I865" s="116"/>
      <c r="L865" s="170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70">
        <v>44147</v>
      </c>
      <c r="B866" s="116">
        <v>1.04225597609562</v>
      </c>
      <c r="C866" s="116">
        <v>1.04225597609562</v>
      </c>
      <c r="D866" s="116">
        <v>1.04225597609562</v>
      </c>
      <c r="E866" s="116">
        <v>1.04225597609562</v>
      </c>
      <c r="F866" s="116">
        <v>1.1399999999999999</v>
      </c>
      <c r="G866">
        <v>1407</v>
      </c>
      <c r="H866" s="116"/>
      <c r="I866" s="116"/>
      <c r="L866" s="170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70">
        <v>44148</v>
      </c>
      <c r="B867" s="116">
        <v>1.04225597609562</v>
      </c>
      <c r="C867" s="116">
        <v>1.04225597609562</v>
      </c>
      <c r="D867" s="116">
        <v>1.04225597609562</v>
      </c>
      <c r="E867" s="116">
        <v>1.04225597609562</v>
      </c>
      <c r="F867" s="116">
        <v>1.1399999999999999</v>
      </c>
      <c r="G867">
        <v>194</v>
      </c>
      <c r="H867" s="116"/>
      <c r="I867" s="116"/>
      <c r="L867" s="170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70">
        <v>44153</v>
      </c>
      <c r="B868" s="116">
        <v>1.08796895750332</v>
      </c>
      <c r="C868" s="116">
        <v>1.08796895750332</v>
      </c>
      <c r="D868" s="116">
        <v>1.04225597609562</v>
      </c>
      <c r="E868" s="116">
        <v>1.04225597609562</v>
      </c>
      <c r="F868" s="116">
        <v>1.19</v>
      </c>
      <c r="G868">
        <v>1389</v>
      </c>
      <c r="H868" s="116"/>
      <c r="I868" s="116"/>
      <c r="L868" s="170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70">
        <v>44154</v>
      </c>
      <c r="B869" s="116">
        <v>1.13368193891102</v>
      </c>
      <c r="C869" s="116">
        <v>1.13368193891102</v>
      </c>
      <c r="D869" s="116">
        <v>1.13368193891102</v>
      </c>
      <c r="E869" s="116">
        <v>1.13368193891102</v>
      </c>
      <c r="F869" s="116">
        <v>1.24</v>
      </c>
      <c r="G869">
        <v>2631</v>
      </c>
      <c r="H869" s="116"/>
      <c r="I869" s="116"/>
      <c r="L869" s="170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70">
        <v>44155</v>
      </c>
      <c r="B870" s="116">
        <v>1.1885375166002701</v>
      </c>
      <c r="C870" s="116">
        <v>1.13368193891102</v>
      </c>
      <c r="D870" s="116">
        <v>1.0788263612217801</v>
      </c>
      <c r="E870" s="116">
        <v>1.1885375166002701</v>
      </c>
      <c r="F870" s="116">
        <v>1.24</v>
      </c>
      <c r="G870">
        <v>3305</v>
      </c>
      <c r="H870" s="116"/>
      <c r="I870" s="116"/>
      <c r="L870" s="170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70">
        <v>44158</v>
      </c>
      <c r="B871" s="116">
        <v>1.1885375166002701</v>
      </c>
      <c r="C871" s="116">
        <v>1.1885375166002701</v>
      </c>
      <c r="D871" s="116">
        <v>1.13368193891102</v>
      </c>
      <c r="E871" s="116">
        <v>1.1885375166002701</v>
      </c>
      <c r="F871" s="116">
        <v>1.3</v>
      </c>
      <c r="G871">
        <v>984</v>
      </c>
      <c r="H871" s="116"/>
      <c r="I871" s="116"/>
      <c r="L871" s="170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70">
        <v>44159</v>
      </c>
      <c r="B872" s="116">
        <v>1.2433930942895099</v>
      </c>
      <c r="C872" s="116">
        <v>1.17025232403718</v>
      </c>
      <c r="D872" s="116">
        <v>1.13368193891102</v>
      </c>
      <c r="E872" s="116">
        <v>1.2433930942895099</v>
      </c>
      <c r="F872" s="116">
        <v>1.28</v>
      </c>
      <c r="G872">
        <v>13281</v>
      </c>
      <c r="H872" s="116"/>
      <c r="I872" s="116"/>
      <c r="L872" s="170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70">
        <v>44160</v>
      </c>
      <c r="B873" s="116">
        <v>1.2251079017264299</v>
      </c>
      <c r="C873" s="116">
        <v>1.2251079017264299</v>
      </c>
      <c r="D873" s="116">
        <v>1.1153967463479399</v>
      </c>
      <c r="E873" s="116">
        <v>1.17025232403718</v>
      </c>
      <c r="F873" s="116">
        <v>1.34</v>
      </c>
      <c r="G873">
        <v>1105</v>
      </c>
      <c r="H873" s="116"/>
      <c r="I873" s="116"/>
      <c r="L873" s="170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70">
        <v>44161</v>
      </c>
      <c r="B874" s="116">
        <v>1.2251079017264299</v>
      </c>
      <c r="C874" s="116">
        <v>1.2251079017264299</v>
      </c>
      <c r="D874" s="116">
        <v>1.2251079017264299</v>
      </c>
      <c r="E874" s="116">
        <v>1.2251079017264299</v>
      </c>
      <c r="F874" s="116">
        <v>1.34</v>
      </c>
      <c r="G874">
        <v>1500</v>
      </c>
      <c r="H874" s="116"/>
      <c r="I874" s="116"/>
      <c r="L874" s="170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70">
        <v>44162</v>
      </c>
      <c r="B875" s="116">
        <v>1.27996347941567</v>
      </c>
      <c r="C875" s="116">
        <v>1.27996347941567</v>
      </c>
      <c r="D875" s="116">
        <v>1.17025232403718</v>
      </c>
      <c r="E875" s="116">
        <v>1.27996347941567</v>
      </c>
      <c r="F875" s="116">
        <v>1.4</v>
      </c>
      <c r="G875">
        <v>4473</v>
      </c>
      <c r="H875" s="116"/>
      <c r="I875" s="116"/>
      <c r="L875" s="170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70">
        <v>44166</v>
      </c>
      <c r="B876" s="116">
        <v>1.32567646082337</v>
      </c>
      <c r="C876" s="116">
        <v>1.32567646082337</v>
      </c>
      <c r="D876" s="116">
        <v>1.23425049800797</v>
      </c>
      <c r="E876" s="116">
        <v>1.23425049800797</v>
      </c>
      <c r="F876" s="116">
        <v>1.45</v>
      </c>
      <c r="G876">
        <v>4283</v>
      </c>
      <c r="H876" s="116"/>
      <c r="I876" s="116"/>
      <c r="L876" s="170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70">
        <v>44167</v>
      </c>
      <c r="B877" s="116">
        <v>1.38967463479416</v>
      </c>
      <c r="C877" s="116">
        <v>1.38967463479416</v>
      </c>
      <c r="D877" s="116">
        <v>1.38967463479416</v>
      </c>
      <c r="E877" s="116">
        <v>1.38967463479416</v>
      </c>
      <c r="F877" s="116">
        <v>1.52</v>
      </c>
      <c r="G877">
        <v>5209</v>
      </c>
      <c r="H877" s="116"/>
      <c r="I877" s="116"/>
      <c r="L877" s="170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70">
        <v>44168</v>
      </c>
      <c r="B878" s="116">
        <v>1.45367280876494</v>
      </c>
      <c r="C878" s="116">
        <v>1.45367280876494</v>
      </c>
      <c r="D878" s="116">
        <v>1.45367280876494</v>
      </c>
      <c r="E878" s="116">
        <v>1.45367280876494</v>
      </c>
      <c r="F878" s="116">
        <v>1.59</v>
      </c>
      <c r="G878">
        <v>6290</v>
      </c>
      <c r="H878" s="116"/>
      <c r="I878" s="116"/>
      <c r="L878" s="170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70">
        <v>44169</v>
      </c>
      <c r="B879" s="116">
        <v>1.51767098273572</v>
      </c>
      <c r="C879" s="116">
        <v>1.51767098273572</v>
      </c>
      <c r="D879" s="116">
        <v>1.38967463479416</v>
      </c>
      <c r="E879" s="116">
        <v>1.51767098273572</v>
      </c>
      <c r="F879" s="116">
        <v>1.66</v>
      </c>
      <c r="G879">
        <v>7210</v>
      </c>
      <c r="H879" s="116"/>
      <c r="I879" s="116"/>
      <c r="L879" s="170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70">
        <v>44172</v>
      </c>
      <c r="B880" s="116">
        <v>1.5908117529880501</v>
      </c>
      <c r="C880" s="116">
        <v>1.5908117529880501</v>
      </c>
      <c r="D880" s="116">
        <v>1.4445302124834001</v>
      </c>
      <c r="E880" s="116">
        <v>1.55424136786189</v>
      </c>
      <c r="F880" s="116">
        <v>1.74</v>
      </c>
      <c r="G880">
        <v>33858</v>
      </c>
      <c r="H880" s="116"/>
      <c r="I880" s="116"/>
      <c r="L880" s="170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70">
        <v>44173</v>
      </c>
      <c r="B881" s="116">
        <v>1.66395252324037</v>
      </c>
      <c r="C881" s="116">
        <v>1.64566733067729</v>
      </c>
      <c r="D881" s="116">
        <v>1.51767098273572</v>
      </c>
      <c r="E881" s="116">
        <v>1.66395252324037</v>
      </c>
      <c r="F881" s="116">
        <v>1.8</v>
      </c>
      <c r="G881">
        <v>13049</v>
      </c>
      <c r="H881" s="116"/>
      <c r="I881" s="116"/>
      <c r="L881" s="170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70">
        <v>44174</v>
      </c>
      <c r="B882" s="116">
        <v>1.72795069721116</v>
      </c>
      <c r="C882" s="116">
        <v>1.72795069721116</v>
      </c>
      <c r="D882" s="116">
        <v>1.5633839641434299</v>
      </c>
      <c r="E882" s="116">
        <v>1.64566733067729</v>
      </c>
      <c r="F882" s="116">
        <v>1.89</v>
      </c>
      <c r="G882">
        <v>5586</v>
      </c>
      <c r="H882" s="116"/>
      <c r="I882" s="116"/>
      <c r="L882" s="170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70">
        <v>44175</v>
      </c>
      <c r="B883" s="116">
        <v>1.8102340637450201</v>
      </c>
      <c r="C883" s="116">
        <v>1.8102340637450201</v>
      </c>
      <c r="D883" s="116">
        <v>1.7828062749003999</v>
      </c>
      <c r="E883" s="116">
        <v>1.8102340637450201</v>
      </c>
      <c r="F883" s="116">
        <v>1.98</v>
      </c>
      <c r="G883">
        <v>6916</v>
      </c>
      <c r="H883" s="116"/>
      <c r="I883" s="116"/>
      <c r="L883" s="170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70">
        <v>44176</v>
      </c>
      <c r="B884" s="116">
        <v>1.8925174302788801</v>
      </c>
      <c r="C884" s="116">
        <v>1.79194887118194</v>
      </c>
      <c r="D884" s="116">
        <v>1.7370932934926999</v>
      </c>
      <c r="E884" s="116">
        <v>1.8925174302788801</v>
      </c>
      <c r="F884" s="116">
        <v>1.96</v>
      </c>
      <c r="G884">
        <v>5801</v>
      </c>
      <c r="H884" s="116"/>
      <c r="I884" s="116"/>
      <c r="L884" s="170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70">
        <v>44179</v>
      </c>
      <c r="B885" s="116">
        <v>1.8742322377158001</v>
      </c>
      <c r="C885" s="116">
        <v>1.8742322377158001</v>
      </c>
      <c r="D885" s="116">
        <v>1.70966550464807</v>
      </c>
      <c r="E885" s="116">
        <v>1.79194887118194</v>
      </c>
      <c r="F885" s="116">
        <v>2.0499999999999998</v>
      </c>
      <c r="G885">
        <v>6913</v>
      </c>
      <c r="H885" s="116"/>
      <c r="I885" s="116"/>
      <c r="L885" s="170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70">
        <v>44180</v>
      </c>
      <c r="B886" s="116">
        <v>1.96565820053121</v>
      </c>
      <c r="C886" s="116">
        <v>1.83766185258964</v>
      </c>
      <c r="D886" s="116">
        <v>1.7828062749003999</v>
      </c>
      <c r="E886" s="116">
        <v>1.9108026228419701</v>
      </c>
      <c r="F886" s="116">
        <v>2.0099999999999998</v>
      </c>
      <c r="G886">
        <v>31604</v>
      </c>
      <c r="H886" s="116"/>
      <c r="I886" s="116"/>
      <c r="L886" s="170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70">
        <v>44181</v>
      </c>
      <c r="B887" s="116">
        <v>1.91994521912351</v>
      </c>
      <c r="C887" s="116">
        <v>1.77366367861886</v>
      </c>
      <c r="D887" s="116">
        <v>1.74623588977424</v>
      </c>
      <c r="E887" s="116">
        <v>1.8742322377158001</v>
      </c>
      <c r="F887" s="116">
        <v>1.94</v>
      </c>
      <c r="G887">
        <v>9752</v>
      </c>
      <c r="H887" s="116"/>
      <c r="I887" s="116"/>
      <c r="L887" s="170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70">
        <v>44182</v>
      </c>
      <c r="B888" s="116">
        <v>1.8285192563081001</v>
      </c>
      <c r="C888" s="116">
        <v>1.81937666002656</v>
      </c>
      <c r="D888" s="116">
        <v>1.69138031208499</v>
      </c>
      <c r="E888" s="116">
        <v>1.8285192563081001</v>
      </c>
      <c r="F888" s="116">
        <v>1.99</v>
      </c>
      <c r="G888">
        <v>25765</v>
      </c>
      <c r="H888" s="116"/>
      <c r="I888" s="116"/>
      <c r="L888" s="170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70">
        <v>44183</v>
      </c>
      <c r="B889" s="116">
        <v>1.8742322377158001</v>
      </c>
      <c r="C889" s="116">
        <v>1.7370932934926999</v>
      </c>
      <c r="D889" s="116">
        <v>1.7370932934926999</v>
      </c>
      <c r="E889" s="116">
        <v>1.8742322377158001</v>
      </c>
      <c r="F889" s="116">
        <v>1.9</v>
      </c>
      <c r="G889">
        <v>5515</v>
      </c>
      <c r="H889" s="116"/>
      <c r="I889" s="116"/>
      <c r="L889" s="170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70">
        <v>44186</v>
      </c>
      <c r="B890" s="116">
        <v>1.7828062749003999</v>
      </c>
      <c r="C890" s="116">
        <v>1.77366367861886</v>
      </c>
      <c r="D890" s="116">
        <v>1.6548099269588299</v>
      </c>
      <c r="E890" s="116">
        <v>1.7828062749003999</v>
      </c>
      <c r="F890" s="116">
        <v>1.94</v>
      </c>
      <c r="G890">
        <v>2254</v>
      </c>
      <c r="H890" s="116"/>
      <c r="I890" s="116"/>
      <c r="L890" s="170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70">
        <v>44187</v>
      </c>
      <c r="B891" s="116">
        <v>1.7370932934926999</v>
      </c>
      <c r="C891" s="116">
        <v>1.7370932934926999</v>
      </c>
      <c r="D891" s="116">
        <v>1.7370932934926999</v>
      </c>
      <c r="E891" s="116">
        <v>1.7370932934926999</v>
      </c>
      <c r="F891" s="116">
        <v>1.9</v>
      </c>
      <c r="G891">
        <v>81</v>
      </c>
      <c r="H891" s="116"/>
      <c r="I891" s="116"/>
      <c r="L891" s="170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70">
        <v>44188</v>
      </c>
      <c r="B892" s="116">
        <v>1.69138031208499</v>
      </c>
      <c r="C892" s="116">
        <v>1.6548099269588299</v>
      </c>
      <c r="D892" s="116">
        <v>1.6548099269588299</v>
      </c>
      <c r="E892" s="116">
        <v>1.69138031208499</v>
      </c>
      <c r="F892" s="116">
        <v>1.81</v>
      </c>
      <c r="G892">
        <v>6010</v>
      </c>
      <c r="H892" s="116"/>
      <c r="I892" s="116"/>
      <c r="L892" s="170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70">
        <v>44189</v>
      </c>
      <c r="B893" s="116">
        <v>1.69138031208499</v>
      </c>
      <c r="C893" s="116">
        <v>1.59995434926959</v>
      </c>
      <c r="D893" s="116">
        <v>1.5725265604249701</v>
      </c>
      <c r="E893" s="116">
        <v>1.69138031208499</v>
      </c>
      <c r="F893" s="116">
        <v>1.75</v>
      </c>
      <c r="G893">
        <v>4901</v>
      </c>
      <c r="H893" s="116"/>
      <c r="I893" s="116"/>
      <c r="L893" s="170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70">
        <v>44193</v>
      </c>
      <c r="B894" s="116">
        <v>1.62738213811421</v>
      </c>
      <c r="C894" s="116">
        <v>1.5268135790172599</v>
      </c>
      <c r="D894" s="116">
        <v>1.5268135790172599</v>
      </c>
      <c r="E894" s="116">
        <v>1.62738213811421</v>
      </c>
      <c r="F894" s="116">
        <v>1.67</v>
      </c>
      <c r="G894">
        <v>5720</v>
      </c>
      <c r="H894" s="116"/>
      <c r="I894" s="116"/>
      <c r="L894" s="170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70">
        <v>44194</v>
      </c>
      <c r="B895" s="116">
        <v>1.59995434926959</v>
      </c>
      <c r="C895" s="116">
        <v>1.59995434926959</v>
      </c>
      <c r="D895" s="116">
        <v>1.45367280876494</v>
      </c>
      <c r="E895" s="116">
        <v>1.55424136786189</v>
      </c>
      <c r="F895" s="116">
        <v>1.75</v>
      </c>
      <c r="G895">
        <v>6350</v>
      </c>
      <c r="H895" s="116"/>
      <c r="I895" s="116"/>
      <c r="L895" s="170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70">
        <v>44195</v>
      </c>
      <c r="B896" s="116">
        <v>1.6730951195219099</v>
      </c>
      <c r="C896" s="116">
        <v>1.6548099269588299</v>
      </c>
      <c r="D896" s="116">
        <v>1.6365247343957501</v>
      </c>
      <c r="E896" s="116">
        <v>1.64566733067729</v>
      </c>
      <c r="F896" s="116">
        <v>1.81</v>
      </c>
      <c r="G896">
        <v>8429</v>
      </c>
      <c r="H896" s="116"/>
      <c r="I896" s="116"/>
      <c r="L896" s="170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70">
        <v>44196</v>
      </c>
      <c r="B897" s="116">
        <v>1.7370932934926999</v>
      </c>
      <c r="C897" s="116">
        <v>1.64566733067729</v>
      </c>
      <c r="D897" s="116">
        <v>1.5725265604249701</v>
      </c>
      <c r="E897" s="116">
        <v>1.7370932934926999</v>
      </c>
      <c r="F897" s="116">
        <v>1.8</v>
      </c>
      <c r="G897">
        <v>6769</v>
      </c>
      <c r="H897" s="116"/>
      <c r="I897" s="116"/>
      <c r="L897" s="170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70">
        <v>44197</v>
      </c>
      <c r="B898" s="116">
        <v>1.72795069721116</v>
      </c>
      <c r="C898" s="116">
        <v>1.7005229083665301</v>
      </c>
      <c r="D898" s="116">
        <v>1.5633839641434299</v>
      </c>
      <c r="E898" s="116">
        <v>1.69138031208499</v>
      </c>
      <c r="F898" s="116">
        <v>1.86</v>
      </c>
      <c r="G898">
        <v>10622</v>
      </c>
      <c r="H898" s="116"/>
      <c r="I898" s="116"/>
      <c r="L898" s="170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70">
        <v>44200</v>
      </c>
      <c r="B899" s="116">
        <v>1.7828062749003999</v>
      </c>
      <c r="C899" s="116">
        <v>1.77366367861886</v>
      </c>
      <c r="D899" s="116">
        <v>1.64566733067729</v>
      </c>
      <c r="E899" s="116">
        <v>1.7828062749003999</v>
      </c>
      <c r="F899" s="116">
        <v>1.94</v>
      </c>
      <c r="G899">
        <v>10749</v>
      </c>
      <c r="H899" s="116"/>
      <c r="I899" s="116"/>
      <c r="L899" s="170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70">
        <v>44201</v>
      </c>
      <c r="B900" s="116">
        <v>1.85594704515272</v>
      </c>
      <c r="C900" s="116">
        <v>1.8010914674634799</v>
      </c>
      <c r="D900" s="116">
        <v>1.7370932934926999</v>
      </c>
      <c r="E900" s="116">
        <v>1.8285192563081001</v>
      </c>
      <c r="F900" s="116">
        <v>1.97</v>
      </c>
      <c r="G900">
        <v>47775</v>
      </c>
      <c r="H900" s="116"/>
      <c r="I900" s="116"/>
      <c r="L900" s="170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70">
        <v>44202</v>
      </c>
      <c r="B901" s="116">
        <v>1.88337483399734</v>
      </c>
      <c r="C901" s="116">
        <v>1.8285192563081001</v>
      </c>
      <c r="D901" s="116">
        <v>1.75537848605578</v>
      </c>
      <c r="E901" s="116">
        <v>1.8742322377158001</v>
      </c>
      <c r="F901" s="116">
        <v>2</v>
      </c>
      <c r="G901">
        <v>14222</v>
      </c>
      <c r="H901" s="116"/>
      <c r="I901" s="116"/>
      <c r="L901" s="170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70">
        <v>44203</v>
      </c>
      <c r="B902" s="116">
        <v>1.91994521912351</v>
      </c>
      <c r="C902" s="116">
        <v>1.90166002656043</v>
      </c>
      <c r="D902" s="116">
        <v>1.8742322377158001</v>
      </c>
      <c r="E902" s="116">
        <v>1.8742322377158001</v>
      </c>
      <c r="F902" s="116">
        <v>2.08</v>
      </c>
      <c r="G902">
        <v>8281</v>
      </c>
      <c r="H902" s="116"/>
      <c r="I902" s="116"/>
      <c r="L902" s="170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70">
        <v>44204</v>
      </c>
      <c r="B903" s="116">
        <v>1.9930859893758299</v>
      </c>
      <c r="C903" s="116">
        <v>1.9930859893758299</v>
      </c>
      <c r="D903" s="116">
        <v>1.8285192563081001</v>
      </c>
      <c r="E903" s="116">
        <v>1.8285192563081001</v>
      </c>
      <c r="F903" s="116">
        <v>2.1800000000000002</v>
      </c>
      <c r="G903">
        <v>29552</v>
      </c>
      <c r="H903" s="116"/>
      <c r="I903" s="116"/>
      <c r="L903" s="170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70">
        <v>44207</v>
      </c>
      <c r="B904" s="116">
        <v>2.0845119521912299</v>
      </c>
      <c r="C904" s="116">
        <v>2.0845119521912299</v>
      </c>
      <c r="D904" s="116">
        <v>1.9930859893758299</v>
      </c>
      <c r="E904" s="116">
        <v>1.9930859893758299</v>
      </c>
      <c r="F904" s="116">
        <v>2.2799999999999998</v>
      </c>
      <c r="G904">
        <v>9806</v>
      </c>
      <c r="H904" s="116"/>
      <c r="I904" s="116"/>
      <c r="L904" s="170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70">
        <v>44208</v>
      </c>
      <c r="B905" s="116">
        <v>2.17593791500664</v>
      </c>
      <c r="C905" s="116">
        <v>2.09365454847278</v>
      </c>
      <c r="D905" s="116">
        <v>1.98394339309429</v>
      </c>
      <c r="E905" s="116">
        <v>2.1485101261620199</v>
      </c>
      <c r="F905" s="116">
        <v>2.29</v>
      </c>
      <c r="G905">
        <v>21540</v>
      </c>
      <c r="H905" s="116"/>
      <c r="I905" s="116"/>
      <c r="L905" s="170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70">
        <v>44209</v>
      </c>
      <c r="B906" s="116">
        <v>2.1942231075697198</v>
      </c>
      <c r="C906" s="116">
        <v>2.1942231075697198</v>
      </c>
      <c r="D906" s="116">
        <v>2.1027971447543199</v>
      </c>
      <c r="E906" s="116">
        <v>2.1942231075697198</v>
      </c>
      <c r="F906" s="116">
        <v>2.4</v>
      </c>
      <c r="G906">
        <v>10182</v>
      </c>
      <c r="H906" s="116"/>
      <c r="I906" s="116"/>
      <c r="L906" s="170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70">
        <v>44210</v>
      </c>
      <c r="B907" s="116">
        <v>2.3039342629482098</v>
      </c>
      <c r="C907" s="116">
        <v>2.2947916666666699</v>
      </c>
      <c r="D907" s="116">
        <v>2.0845119521912299</v>
      </c>
      <c r="E907" s="116">
        <v>2.3039342629482098</v>
      </c>
      <c r="F907" s="116">
        <v>2.5099999999999998</v>
      </c>
      <c r="G907">
        <v>11240</v>
      </c>
      <c r="H907" s="116"/>
      <c r="I907" s="116"/>
      <c r="L907" s="170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70">
        <v>44211</v>
      </c>
      <c r="B908" s="116">
        <v>2.4045028220451501</v>
      </c>
      <c r="C908" s="116">
        <v>2.3862176294820698</v>
      </c>
      <c r="D908" s="116">
        <v>2.1850805112881799</v>
      </c>
      <c r="E908" s="116">
        <v>2.36793243691899</v>
      </c>
      <c r="F908" s="116">
        <v>2.61</v>
      </c>
      <c r="G908">
        <v>8457</v>
      </c>
      <c r="H908" s="116"/>
      <c r="I908" s="116"/>
      <c r="L908" s="170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70">
        <v>44214</v>
      </c>
      <c r="B909" s="116">
        <v>2.5050713811421002</v>
      </c>
      <c r="C909" s="116">
        <v>2.4045028220451501</v>
      </c>
      <c r="D909" s="116">
        <v>2.2673638778220502</v>
      </c>
      <c r="E909" s="116">
        <v>2.3862176294820698</v>
      </c>
      <c r="F909" s="116">
        <v>2.63</v>
      </c>
      <c r="G909">
        <v>12316</v>
      </c>
      <c r="H909" s="116"/>
      <c r="I909" s="116"/>
      <c r="L909" s="170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70">
        <v>44215</v>
      </c>
      <c r="B910" s="116">
        <v>2.52335657370518</v>
      </c>
      <c r="C910" s="116">
        <v>2.5050713811421002</v>
      </c>
      <c r="D910" s="116">
        <v>2.28564907038513</v>
      </c>
      <c r="E910" s="116">
        <v>2.5050713811421002</v>
      </c>
      <c r="F910" s="116">
        <v>2.74</v>
      </c>
      <c r="G910">
        <v>19303</v>
      </c>
      <c r="H910" s="116"/>
      <c r="I910" s="116"/>
      <c r="L910" s="170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70">
        <v>44216</v>
      </c>
      <c r="B911" s="116">
        <v>2.5050713811421002</v>
      </c>
      <c r="C911" s="116">
        <v>2.4410732071713102</v>
      </c>
      <c r="D911" s="116">
        <v>2.3862176294820698</v>
      </c>
      <c r="E911" s="116">
        <v>2.5050713811421002</v>
      </c>
      <c r="F911" s="116">
        <v>2.67</v>
      </c>
      <c r="G911">
        <v>8839</v>
      </c>
      <c r="H911" s="116"/>
      <c r="I911" s="116"/>
      <c r="L911" s="170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70">
        <v>44217</v>
      </c>
      <c r="B912" s="116">
        <v>2.4593583997344002</v>
      </c>
      <c r="C912" s="116">
        <v>2.36793243691899</v>
      </c>
      <c r="D912" s="116">
        <v>2.36793243691899</v>
      </c>
      <c r="E912" s="116">
        <v>2.4593583997344002</v>
      </c>
      <c r="F912" s="116">
        <v>2.59</v>
      </c>
      <c r="G912">
        <v>3794</v>
      </c>
      <c r="H912" s="116"/>
      <c r="I912" s="116"/>
      <c r="L912" s="170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70">
        <v>44218</v>
      </c>
      <c r="B913" s="116">
        <v>2.36793243691899</v>
      </c>
      <c r="C913" s="116">
        <v>2.2582212815405001</v>
      </c>
      <c r="D913" s="116">
        <v>2.2582212815405001</v>
      </c>
      <c r="E913" s="116">
        <v>2.33136205179283</v>
      </c>
      <c r="F913" s="116">
        <v>2.4700000000000002</v>
      </c>
      <c r="G913">
        <v>6387</v>
      </c>
      <c r="H913" s="116"/>
      <c r="I913" s="116"/>
      <c r="L913" s="170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70">
        <v>44221</v>
      </c>
      <c r="B914" s="116">
        <v>2.36793243691899</v>
      </c>
      <c r="C914" s="116">
        <v>2.1485101261620199</v>
      </c>
      <c r="D914" s="116">
        <v>2.1485101261620199</v>
      </c>
      <c r="E914" s="116">
        <v>2.33136205179283</v>
      </c>
      <c r="F914" s="116">
        <v>2.35</v>
      </c>
      <c r="G914">
        <v>7145</v>
      </c>
      <c r="H914" s="116"/>
      <c r="I914" s="116"/>
      <c r="L914" s="170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70">
        <v>44223</v>
      </c>
      <c r="B915" s="116">
        <v>2.1485101261620199</v>
      </c>
      <c r="C915" s="116">
        <v>2.09365454847278</v>
      </c>
      <c r="D915" s="116">
        <v>2.0479415670650698</v>
      </c>
      <c r="E915" s="116">
        <v>2.1027971447543199</v>
      </c>
      <c r="F915" s="116">
        <v>2.29</v>
      </c>
      <c r="G915">
        <v>1775</v>
      </c>
      <c r="H915" s="116"/>
      <c r="I915" s="116"/>
      <c r="L915" s="170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70">
        <v>44224</v>
      </c>
      <c r="B916" s="116">
        <v>2.09365454847278</v>
      </c>
      <c r="C916" s="116">
        <v>2.09365454847278</v>
      </c>
      <c r="D916" s="116">
        <v>2.09365454847278</v>
      </c>
      <c r="E916" s="116">
        <v>2.09365454847278</v>
      </c>
      <c r="F916" s="116">
        <v>2.29</v>
      </c>
      <c r="G916">
        <v>1279</v>
      </c>
      <c r="H916" s="116"/>
      <c r="I916" s="116"/>
      <c r="L916" s="170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70">
        <v>44225</v>
      </c>
      <c r="B917" s="116">
        <v>2.1942231075697198</v>
      </c>
      <c r="C917" s="116">
        <v>2.09365454847278</v>
      </c>
      <c r="D917" s="116">
        <v>2.09365454847278</v>
      </c>
      <c r="E917" s="116">
        <v>2.1942231075697198</v>
      </c>
      <c r="F917" s="116">
        <v>2.29</v>
      </c>
      <c r="G917">
        <v>4145</v>
      </c>
      <c r="H917" s="116"/>
      <c r="I917" s="116"/>
      <c r="L917" s="170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70">
        <v>44228</v>
      </c>
      <c r="B918" s="116">
        <v>2.1942231075697198</v>
      </c>
      <c r="C918" s="116">
        <v>2.09365454847278</v>
      </c>
      <c r="D918" s="116">
        <v>2.09365454847278</v>
      </c>
      <c r="E918" s="116">
        <v>2.1485101261620199</v>
      </c>
      <c r="F918" s="116">
        <v>2.29</v>
      </c>
      <c r="G918">
        <v>3517</v>
      </c>
      <c r="H918" s="116"/>
      <c r="I918" s="116"/>
      <c r="L918" s="170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70">
        <v>44229</v>
      </c>
      <c r="B919" s="116">
        <v>2.09365454847278</v>
      </c>
      <c r="C919" s="116">
        <v>1.9930859893758299</v>
      </c>
      <c r="D919" s="116">
        <v>1.9930859893758299</v>
      </c>
      <c r="E919" s="116">
        <v>2.09365454847278</v>
      </c>
      <c r="F919" s="116">
        <v>2.1800000000000002</v>
      </c>
      <c r="G919">
        <v>5624</v>
      </c>
      <c r="H919" s="116"/>
      <c r="I919" s="116"/>
      <c r="L919" s="170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70">
        <v>44230</v>
      </c>
      <c r="B920" s="116">
        <v>2.0845119521912299</v>
      </c>
      <c r="C920" s="116">
        <v>2.07536935590969</v>
      </c>
      <c r="D920" s="116">
        <v>1.90166002656043</v>
      </c>
      <c r="E920" s="116">
        <v>1.9930859893758299</v>
      </c>
      <c r="F920" s="116">
        <v>2.27</v>
      </c>
      <c r="G920">
        <v>3107</v>
      </c>
      <c r="H920" s="116"/>
      <c r="I920" s="116"/>
      <c r="L920" s="170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70">
        <v>44231</v>
      </c>
      <c r="B921" s="116">
        <v>2.17593791500664</v>
      </c>
      <c r="C921" s="116">
        <v>2.0570841633466102</v>
      </c>
      <c r="D921" s="116">
        <v>1.9748007968127499</v>
      </c>
      <c r="E921" s="116">
        <v>2.09365454847278</v>
      </c>
      <c r="F921" s="116">
        <v>2.25</v>
      </c>
      <c r="G921">
        <v>1796</v>
      </c>
      <c r="H921" s="116"/>
      <c r="I921" s="116"/>
      <c r="L921" s="170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70">
        <v>44232</v>
      </c>
      <c r="B922" s="116">
        <v>2.0570841633466102</v>
      </c>
      <c r="C922" s="116">
        <v>2.0570841633466102</v>
      </c>
      <c r="D922" s="116">
        <v>1.9565156042496701</v>
      </c>
      <c r="E922" s="116">
        <v>2.0570841633466102</v>
      </c>
      <c r="F922" s="116">
        <v>2.25</v>
      </c>
      <c r="G922">
        <v>2636</v>
      </c>
      <c r="H922" s="116"/>
      <c r="I922" s="116"/>
      <c r="L922" s="170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70">
        <v>44235</v>
      </c>
      <c r="B923" s="116">
        <v>2.1027971447543199</v>
      </c>
      <c r="C923" s="116">
        <v>1.9565156042496701</v>
      </c>
      <c r="D923" s="116">
        <v>1.9565156042496701</v>
      </c>
      <c r="E923" s="116">
        <v>2.1027971447543199</v>
      </c>
      <c r="F923" s="116">
        <v>2.14</v>
      </c>
      <c r="G923">
        <v>6289</v>
      </c>
      <c r="H923" s="116"/>
      <c r="I923" s="116"/>
      <c r="L923" s="170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70">
        <v>44236</v>
      </c>
      <c r="B924" s="116">
        <v>1.9565156042496701</v>
      </c>
      <c r="C924" s="116">
        <v>1.8650896414342599</v>
      </c>
      <c r="D924" s="116">
        <v>1.8650896414342599</v>
      </c>
      <c r="E924" s="116">
        <v>1.9565156042496701</v>
      </c>
      <c r="F924" s="116">
        <v>2.04</v>
      </c>
      <c r="G924">
        <v>2636</v>
      </c>
      <c r="H924" s="116"/>
      <c r="I924" s="116"/>
      <c r="L924" s="170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70">
        <v>44237</v>
      </c>
      <c r="B925" s="116">
        <v>1.8650896414342599</v>
      </c>
      <c r="C925" s="116">
        <v>1.77366367861886</v>
      </c>
      <c r="D925" s="116">
        <v>1.77366367861886</v>
      </c>
      <c r="E925" s="116">
        <v>1.8650896414342599</v>
      </c>
      <c r="F925" s="116">
        <v>1.94</v>
      </c>
      <c r="G925">
        <v>891</v>
      </c>
      <c r="H925" s="116"/>
      <c r="I925" s="116"/>
      <c r="L925" s="170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70">
        <v>44238</v>
      </c>
      <c r="B926" s="116">
        <v>1.77366367861886</v>
      </c>
      <c r="C926" s="116">
        <v>1.69138031208499</v>
      </c>
      <c r="D926" s="116">
        <v>1.69138031208499</v>
      </c>
      <c r="E926" s="116">
        <v>1.77366367861886</v>
      </c>
      <c r="F926" s="116">
        <v>1.85</v>
      </c>
      <c r="G926">
        <v>7676</v>
      </c>
      <c r="H926" s="116"/>
      <c r="I926" s="116"/>
      <c r="L926" s="170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70">
        <v>44239</v>
      </c>
      <c r="B927" s="116">
        <v>1.69138031208499</v>
      </c>
      <c r="C927" s="116">
        <v>1.6090969455511299</v>
      </c>
      <c r="D927" s="116">
        <v>1.6090969455511299</v>
      </c>
      <c r="E927" s="116">
        <v>1.69138031208499</v>
      </c>
      <c r="F927" s="116">
        <v>1.76</v>
      </c>
      <c r="G927">
        <v>6405</v>
      </c>
      <c r="H927" s="116"/>
      <c r="I927" s="116"/>
      <c r="L927" s="170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70">
        <v>44242</v>
      </c>
      <c r="B928" s="116">
        <v>1.6822377158034501</v>
      </c>
      <c r="C928" s="116">
        <v>1.6822377158034501</v>
      </c>
      <c r="D928" s="116">
        <v>1.5359561752988</v>
      </c>
      <c r="E928" s="116">
        <v>1.64566733067729</v>
      </c>
      <c r="F928" s="116">
        <v>1.84</v>
      </c>
      <c r="G928">
        <v>6799</v>
      </c>
      <c r="H928" s="116"/>
      <c r="I928" s="116"/>
      <c r="L928" s="170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70">
        <v>44243</v>
      </c>
      <c r="B929" s="116">
        <v>1.7370932934926999</v>
      </c>
      <c r="C929" s="116">
        <v>1.69138031208499</v>
      </c>
      <c r="D929" s="116">
        <v>1.6822377158034501</v>
      </c>
      <c r="E929" s="116">
        <v>1.7370932934926999</v>
      </c>
      <c r="F929" s="116">
        <v>1.85</v>
      </c>
      <c r="G929">
        <v>3883</v>
      </c>
      <c r="H929" s="116"/>
      <c r="I929" s="116"/>
      <c r="L929" s="170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70">
        <v>44244</v>
      </c>
      <c r="B930" s="116">
        <v>1.72795069721116</v>
      </c>
      <c r="C930" s="116">
        <v>1.72795069721116</v>
      </c>
      <c r="D930" s="116">
        <v>1.69138031208499</v>
      </c>
      <c r="E930" s="116">
        <v>1.69138031208499</v>
      </c>
      <c r="F930" s="116">
        <v>1.89</v>
      </c>
      <c r="G930">
        <v>5381</v>
      </c>
      <c r="H930" s="116"/>
      <c r="I930" s="116"/>
      <c r="L930" s="170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70">
        <v>44245</v>
      </c>
      <c r="B931" s="116">
        <v>1.8102340637450201</v>
      </c>
      <c r="C931" s="116">
        <v>1.8102340637450201</v>
      </c>
      <c r="D931" s="116">
        <v>1.7828062749003999</v>
      </c>
      <c r="E931" s="116">
        <v>1.7828062749003999</v>
      </c>
      <c r="F931" s="116">
        <v>1.98</v>
      </c>
      <c r="G931">
        <v>715</v>
      </c>
      <c r="H931" s="116"/>
      <c r="I931" s="116"/>
      <c r="L931" s="170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70">
        <v>44246</v>
      </c>
      <c r="B932" s="116">
        <v>1.8925174302788801</v>
      </c>
      <c r="C932" s="116">
        <v>1.8925174302788801</v>
      </c>
      <c r="D932" s="116">
        <v>1.7828062749003999</v>
      </c>
      <c r="E932" s="116">
        <v>1.8102340637450201</v>
      </c>
      <c r="F932" s="116">
        <v>2.0699999999999998</v>
      </c>
      <c r="G932">
        <v>4648</v>
      </c>
      <c r="H932" s="116"/>
      <c r="I932" s="116"/>
      <c r="L932" s="170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70">
        <v>44249</v>
      </c>
      <c r="B933" s="116">
        <v>1.98394339309429</v>
      </c>
      <c r="C933" s="116">
        <v>1.98394339309429</v>
      </c>
      <c r="D933" s="116">
        <v>1.98394339309429</v>
      </c>
      <c r="E933" s="116">
        <v>1.98394339309429</v>
      </c>
      <c r="F933" s="116">
        <v>2.17</v>
      </c>
      <c r="G933">
        <v>13</v>
      </c>
      <c r="H933" s="116"/>
      <c r="I933" s="116"/>
      <c r="L933" s="170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70">
        <v>44250</v>
      </c>
      <c r="B934" s="116">
        <v>2.07536935590969</v>
      </c>
      <c r="C934" s="116">
        <v>2.07536935590969</v>
      </c>
      <c r="D934" s="116">
        <v>2.07536935590969</v>
      </c>
      <c r="E934" s="116">
        <v>2.07536935590969</v>
      </c>
      <c r="F934" s="116">
        <v>2.27</v>
      </c>
      <c r="G934">
        <v>7656</v>
      </c>
      <c r="H934" s="116"/>
      <c r="I934" s="116"/>
      <c r="L934" s="170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70">
        <v>44251</v>
      </c>
      <c r="B935" s="116">
        <v>2.17593791500664</v>
      </c>
      <c r="C935" s="116">
        <v>2.1027971447543199</v>
      </c>
      <c r="D935" s="116">
        <v>2.07536935590969</v>
      </c>
      <c r="E935" s="116">
        <v>2.17593791500664</v>
      </c>
      <c r="F935" s="116">
        <v>2.2999999999999998</v>
      </c>
      <c r="G935">
        <v>5076</v>
      </c>
      <c r="H935" s="116"/>
      <c r="I935" s="116"/>
      <c r="L935" s="170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70">
        <v>44252</v>
      </c>
      <c r="B936" s="116">
        <v>2.2033657038512602</v>
      </c>
      <c r="C936" s="116">
        <v>2.2033657038512602</v>
      </c>
      <c r="D936" s="116">
        <v>2.1027971447543199</v>
      </c>
      <c r="E936" s="116">
        <v>2.1027971447543199</v>
      </c>
      <c r="F936" s="116">
        <v>2.41</v>
      </c>
      <c r="G936">
        <v>5906</v>
      </c>
      <c r="H936" s="116"/>
      <c r="I936" s="116"/>
      <c r="L936" s="170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70">
        <v>44253</v>
      </c>
      <c r="B937" s="116">
        <v>2.3130768592297501</v>
      </c>
      <c r="C937" s="116">
        <v>2.3130768592297501</v>
      </c>
      <c r="D937" s="116">
        <v>2.09365454847278</v>
      </c>
      <c r="E937" s="116">
        <v>2.2399360889774198</v>
      </c>
      <c r="F937" s="116">
        <v>2.5299999999999998</v>
      </c>
      <c r="G937">
        <v>11713</v>
      </c>
      <c r="H937" s="116"/>
      <c r="I937" s="116"/>
      <c r="L937" s="170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70">
        <v>44256</v>
      </c>
      <c r="B938" s="116">
        <v>2.4227880146082299</v>
      </c>
      <c r="C938" s="116">
        <v>2.3770750332005299</v>
      </c>
      <c r="D938" s="116">
        <v>2.2033657038512602</v>
      </c>
      <c r="E938" s="116">
        <v>2.4227880146082299</v>
      </c>
      <c r="F938" s="116">
        <v>2.6</v>
      </c>
      <c r="G938">
        <v>13524</v>
      </c>
      <c r="H938" s="116"/>
      <c r="I938" s="116"/>
      <c r="L938" s="170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70">
        <v>44257</v>
      </c>
      <c r="B939" s="116">
        <v>2.4959287848605598</v>
      </c>
      <c r="C939" s="116">
        <v>2.47764359229748</v>
      </c>
      <c r="D939" s="116">
        <v>2.28564907038513</v>
      </c>
      <c r="E939" s="116">
        <v>2.4959287848605598</v>
      </c>
      <c r="F939" s="116">
        <v>2.71</v>
      </c>
      <c r="G939">
        <v>10398</v>
      </c>
      <c r="H939" s="116"/>
      <c r="I939" s="116"/>
      <c r="L939" s="170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70">
        <v>44258</v>
      </c>
      <c r="B940" s="116">
        <v>2.5964973439575001</v>
      </c>
      <c r="C940" s="116">
        <v>2.55992695883134</v>
      </c>
      <c r="D940" s="116">
        <v>2.3587898406374501</v>
      </c>
      <c r="E940" s="116">
        <v>2.4959287848605598</v>
      </c>
      <c r="F940" s="116">
        <v>2.8</v>
      </c>
      <c r="G940">
        <v>15506</v>
      </c>
      <c r="H940" s="116"/>
      <c r="I940" s="116"/>
      <c r="L940" s="170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70">
        <v>44259</v>
      </c>
      <c r="B941" s="116">
        <v>2.6879233067729098</v>
      </c>
      <c r="C941" s="116">
        <v>2.6879233067729098</v>
      </c>
      <c r="D941" s="116">
        <v>2.4319306108897698</v>
      </c>
      <c r="E941" s="116">
        <v>2.5964973439575001</v>
      </c>
      <c r="F941" s="116">
        <v>2.94</v>
      </c>
      <c r="G941">
        <v>22796</v>
      </c>
      <c r="H941" s="116"/>
      <c r="I941" s="116"/>
      <c r="L941" s="170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70">
        <v>44260</v>
      </c>
      <c r="B942" s="116">
        <v>2.81591965471448</v>
      </c>
      <c r="C942" s="116">
        <v>2.7062084993359901</v>
      </c>
      <c r="D942" s="116">
        <v>2.60563994023904</v>
      </c>
      <c r="E942" s="116">
        <v>2.7427788844621501</v>
      </c>
      <c r="F942" s="116">
        <v>2.96</v>
      </c>
      <c r="G942">
        <v>22214</v>
      </c>
      <c r="H942" s="116"/>
      <c r="I942" s="116"/>
      <c r="L942" s="170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70">
        <v>44263</v>
      </c>
      <c r="B943" s="116">
        <v>2.8342048472775598</v>
      </c>
      <c r="C943" s="116">
        <v>2.8342048472775598</v>
      </c>
      <c r="D943" s="116">
        <v>2.5873547476759602</v>
      </c>
      <c r="E943" s="116">
        <v>2.8342048472775598</v>
      </c>
      <c r="F943" s="116">
        <v>3.1</v>
      </c>
      <c r="G943">
        <v>20488</v>
      </c>
      <c r="H943" s="116"/>
      <c r="I943" s="116"/>
      <c r="L943" s="170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70">
        <v>44264</v>
      </c>
      <c r="B944" s="116">
        <v>2.7884918658698501</v>
      </c>
      <c r="C944" s="116">
        <v>2.6970659030544502</v>
      </c>
      <c r="D944" s="116">
        <v>2.6970659030544502</v>
      </c>
      <c r="E944" s="116">
        <v>2.7884918658698501</v>
      </c>
      <c r="F944" s="116">
        <v>2.95</v>
      </c>
      <c r="G944">
        <v>10517</v>
      </c>
      <c r="H944" s="116"/>
      <c r="I944" s="116"/>
      <c r="L944" s="170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70">
        <v>44265</v>
      </c>
      <c r="B945" s="116">
        <v>2.8250622509960199</v>
      </c>
      <c r="C945" s="116">
        <v>2.75192148074369</v>
      </c>
      <c r="D945" s="116">
        <v>2.5690695551128799</v>
      </c>
      <c r="E945" s="116">
        <v>2.75192148074369</v>
      </c>
      <c r="F945" s="116">
        <v>3.01</v>
      </c>
      <c r="G945">
        <v>25314</v>
      </c>
      <c r="H945" s="116"/>
      <c r="I945" s="116"/>
      <c r="L945" s="170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70">
        <v>44267</v>
      </c>
      <c r="B946" s="116">
        <v>2.8799178286852598</v>
      </c>
      <c r="C946" s="116">
        <v>2.6970659030544502</v>
      </c>
      <c r="D946" s="116">
        <v>2.6422103253652098</v>
      </c>
      <c r="E946" s="116">
        <v>2.8799178286852598</v>
      </c>
      <c r="F946" s="116">
        <v>2.95</v>
      </c>
      <c r="G946">
        <v>14462</v>
      </c>
      <c r="H946" s="116"/>
      <c r="I946" s="116"/>
      <c r="L946" s="170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70">
        <v>44270</v>
      </c>
      <c r="B947" s="116">
        <v>2.7884918658698501</v>
      </c>
      <c r="C947" s="116">
        <v>2.62392513280213</v>
      </c>
      <c r="D947" s="116">
        <v>2.5690695551128799</v>
      </c>
      <c r="E947" s="116">
        <v>2.7884918658698501</v>
      </c>
      <c r="F947" s="116">
        <v>2.87</v>
      </c>
      <c r="G947">
        <v>13414</v>
      </c>
      <c r="H947" s="116"/>
      <c r="I947" s="116"/>
      <c r="L947" s="170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70">
        <v>44271</v>
      </c>
      <c r="B948" s="116">
        <v>2.7427788844621501</v>
      </c>
      <c r="C948" s="116">
        <v>2.5142139774236401</v>
      </c>
      <c r="D948" s="116">
        <v>2.5142139774236401</v>
      </c>
      <c r="E948" s="116">
        <v>2.7427788844621501</v>
      </c>
      <c r="F948" s="116">
        <v>2.75</v>
      </c>
      <c r="G948">
        <v>13909</v>
      </c>
      <c r="H948" s="116"/>
      <c r="I948" s="116"/>
      <c r="L948" s="170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70">
        <v>44272</v>
      </c>
      <c r="B949" s="116">
        <v>2.60563994023904</v>
      </c>
      <c r="C949" s="116">
        <v>2.3953602257636102</v>
      </c>
      <c r="D949" s="116">
        <v>2.3953602257636102</v>
      </c>
      <c r="E949" s="116">
        <v>2.60563994023904</v>
      </c>
      <c r="F949" s="116">
        <v>2.62</v>
      </c>
      <c r="G949">
        <v>4421</v>
      </c>
      <c r="H949" s="116"/>
      <c r="I949" s="116"/>
      <c r="L949" s="170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70">
        <v>44273</v>
      </c>
      <c r="B950" s="116">
        <v>2.3770750332005299</v>
      </c>
      <c r="C950" s="116">
        <v>2.36793243691899</v>
      </c>
      <c r="D950" s="116">
        <v>2.2765064741035901</v>
      </c>
      <c r="E950" s="116">
        <v>2.3770750332005299</v>
      </c>
      <c r="F950" s="116">
        <v>2.59</v>
      </c>
      <c r="G950">
        <v>1771</v>
      </c>
      <c r="H950" s="116"/>
      <c r="I950" s="116"/>
      <c r="L950" s="170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70">
        <v>44274</v>
      </c>
      <c r="B951" s="116">
        <v>2.2582212815405001</v>
      </c>
      <c r="C951" s="116">
        <v>2.2582212815405001</v>
      </c>
      <c r="D951" s="116">
        <v>2.2582212815405001</v>
      </c>
      <c r="E951" s="116">
        <v>2.2582212815405001</v>
      </c>
      <c r="F951" s="116">
        <v>2.4700000000000002</v>
      </c>
      <c r="G951">
        <v>2900</v>
      </c>
      <c r="H951" s="116"/>
      <c r="I951" s="116"/>
      <c r="L951" s="170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70">
        <v>44277</v>
      </c>
      <c r="B952" s="116">
        <v>2.2399360889774198</v>
      </c>
      <c r="C952" s="116">
        <v>2.1485101261620199</v>
      </c>
      <c r="D952" s="116">
        <v>2.1485101261620199</v>
      </c>
      <c r="E952" s="116">
        <v>2.2399360889774198</v>
      </c>
      <c r="F952" s="116">
        <v>2.35</v>
      </c>
      <c r="G952">
        <v>13317</v>
      </c>
      <c r="H952" s="116"/>
      <c r="I952" s="116"/>
      <c r="L952" s="170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70">
        <v>44278</v>
      </c>
      <c r="B953" s="116">
        <v>2.2490786852589602</v>
      </c>
      <c r="C953" s="116">
        <v>2.2307934926958799</v>
      </c>
      <c r="D953" s="116">
        <v>2.0479415670650698</v>
      </c>
      <c r="E953" s="116">
        <v>2.1942231075697198</v>
      </c>
      <c r="F953" s="116">
        <v>2.44</v>
      </c>
      <c r="G953">
        <v>7184</v>
      </c>
      <c r="H953" s="116"/>
      <c r="I953" s="116"/>
      <c r="L953" s="170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70">
        <v>44279</v>
      </c>
      <c r="B954" s="116">
        <v>2.33136205179283</v>
      </c>
      <c r="C954" s="116">
        <v>2.3039342629482098</v>
      </c>
      <c r="D954" s="116">
        <v>2.2490786852589602</v>
      </c>
      <c r="E954" s="116">
        <v>2.28564907038513</v>
      </c>
      <c r="F954" s="116">
        <v>2.52</v>
      </c>
      <c r="G954">
        <v>3441</v>
      </c>
      <c r="H954" s="116"/>
      <c r="I954" s="116"/>
      <c r="L954" s="170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70">
        <v>44280</v>
      </c>
      <c r="B955" s="116">
        <v>2.41364541832669</v>
      </c>
      <c r="C955" s="116">
        <v>2.1942231075697198</v>
      </c>
      <c r="D955" s="116">
        <v>2.1942231075697198</v>
      </c>
      <c r="E955" s="116">
        <v>2.3770750332005299</v>
      </c>
      <c r="F955" s="116">
        <v>2.4</v>
      </c>
      <c r="G955">
        <v>12776</v>
      </c>
      <c r="H955" s="116"/>
      <c r="I955" s="116"/>
      <c r="L955" s="170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70">
        <v>44281</v>
      </c>
      <c r="B956" s="116">
        <v>2.3039342629482098</v>
      </c>
      <c r="C956" s="116">
        <v>2.28564907038513</v>
      </c>
      <c r="D956" s="116">
        <v>2.0845119521912299</v>
      </c>
      <c r="E956" s="116">
        <v>2.2399360889774198</v>
      </c>
      <c r="F956" s="116">
        <v>2.5</v>
      </c>
      <c r="G956">
        <v>6753</v>
      </c>
      <c r="H956" s="116"/>
      <c r="I956" s="116"/>
      <c r="L956" s="170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70">
        <v>44285</v>
      </c>
      <c r="B957" s="116">
        <v>2.28564907038513</v>
      </c>
      <c r="C957" s="116">
        <v>2.17593791500664</v>
      </c>
      <c r="D957" s="116">
        <v>2.17593791500664</v>
      </c>
      <c r="E957" s="116">
        <v>2.28564907038513</v>
      </c>
      <c r="F957" s="116">
        <v>2.38</v>
      </c>
      <c r="G957">
        <v>783</v>
      </c>
      <c r="H957" s="116"/>
      <c r="I957" s="116"/>
      <c r="L957" s="170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70">
        <v>44286</v>
      </c>
      <c r="B958" s="116">
        <v>2.1485101261620199</v>
      </c>
      <c r="C958" s="116">
        <v>2.1302249335989401</v>
      </c>
      <c r="D958" s="116">
        <v>2.07536935590969</v>
      </c>
      <c r="E958" s="116">
        <v>2.1485101261620199</v>
      </c>
      <c r="F958" s="116">
        <v>2.33</v>
      </c>
      <c r="G958">
        <v>1313</v>
      </c>
      <c r="H958" s="116"/>
      <c r="I958" s="116"/>
      <c r="L958" s="170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70">
        <v>44287</v>
      </c>
      <c r="B959" s="116">
        <v>2.1302249335989401</v>
      </c>
      <c r="C959" s="116">
        <v>2.1302249335989401</v>
      </c>
      <c r="D959" s="116">
        <v>2.07536935590969</v>
      </c>
      <c r="E959" s="116">
        <v>2.1027971447543199</v>
      </c>
      <c r="F959" s="116">
        <v>2.33</v>
      </c>
      <c r="G959">
        <v>2322</v>
      </c>
      <c r="H959" s="116"/>
      <c r="I959" s="116"/>
      <c r="L959" s="170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70">
        <v>44291</v>
      </c>
      <c r="B960" s="116">
        <v>2.1302249335989401</v>
      </c>
      <c r="C960" s="116">
        <v>2.1027971447543199</v>
      </c>
      <c r="D960" s="116">
        <v>2.0387989707835299</v>
      </c>
      <c r="E960" s="116">
        <v>2.1027971447543199</v>
      </c>
      <c r="F960" s="116">
        <v>2.2999999999999998</v>
      </c>
      <c r="G960">
        <v>3074</v>
      </c>
      <c r="H960" s="116"/>
      <c r="I960" s="116"/>
      <c r="L960" s="170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70">
        <v>44292</v>
      </c>
      <c r="B961" s="116">
        <v>2.1576527224435602</v>
      </c>
      <c r="C961" s="116">
        <v>2.1485101261620199</v>
      </c>
      <c r="D961" s="116">
        <v>2.0022285856573698</v>
      </c>
      <c r="E961" s="116">
        <v>2.1027971447543199</v>
      </c>
      <c r="F961" s="116">
        <v>2.35</v>
      </c>
      <c r="G961">
        <v>4296</v>
      </c>
      <c r="H961" s="116"/>
      <c r="I961" s="116"/>
      <c r="L961" s="170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70">
        <v>44293</v>
      </c>
      <c r="B962" s="116">
        <v>2.2490786852589602</v>
      </c>
      <c r="C962" s="116">
        <v>2.2399360889774198</v>
      </c>
      <c r="D962" s="116">
        <v>2.0479415670650698</v>
      </c>
      <c r="E962" s="116">
        <v>2.1027971447543199</v>
      </c>
      <c r="F962" s="116">
        <v>2.4500000000000002</v>
      </c>
      <c r="G962">
        <v>7116</v>
      </c>
      <c r="H962" s="116"/>
      <c r="I962" s="116"/>
      <c r="L962" s="170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70">
        <v>44294</v>
      </c>
      <c r="B963" s="116">
        <v>2.3496472443559102</v>
      </c>
      <c r="C963" s="116">
        <v>2.1576527224435602</v>
      </c>
      <c r="D963" s="116">
        <v>2.1302249335989401</v>
      </c>
      <c r="E963" s="116">
        <v>2.28564907038513</v>
      </c>
      <c r="F963" s="116">
        <v>2.36</v>
      </c>
      <c r="G963">
        <v>6061</v>
      </c>
      <c r="H963" s="116"/>
      <c r="I963" s="116"/>
      <c r="L963" s="170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70">
        <v>44295</v>
      </c>
      <c r="B964" s="116">
        <v>2.2582212815405001</v>
      </c>
      <c r="C964" s="116">
        <v>2.2582212815405001</v>
      </c>
      <c r="D964" s="116">
        <v>2.0662267596281501</v>
      </c>
      <c r="E964" s="116">
        <v>2.2582212815405001</v>
      </c>
      <c r="F964" s="116">
        <v>2.4700000000000002</v>
      </c>
      <c r="G964">
        <v>6573</v>
      </c>
      <c r="H964" s="116"/>
      <c r="I964" s="116"/>
      <c r="L964" s="170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70">
        <v>44298</v>
      </c>
      <c r="B965" s="116">
        <v>2.36793243691899</v>
      </c>
      <c r="C965" s="116">
        <v>2.36793243691899</v>
      </c>
      <c r="D965" s="116">
        <v>2.1485101261620199</v>
      </c>
      <c r="E965" s="116">
        <v>2.33136205179283</v>
      </c>
      <c r="F965" s="116">
        <v>2.59</v>
      </c>
      <c r="G965">
        <v>10913</v>
      </c>
      <c r="H965" s="116"/>
      <c r="I965" s="116"/>
      <c r="L965" s="170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70">
        <v>44299</v>
      </c>
      <c r="B966" s="116">
        <v>2.47764359229748</v>
      </c>
      <c r="C966" s="116">
        <v>2.47764359229748</v>
      </c>
      <c r="D966" s="116">
        <v>2.28564907038513</v>
      </c>
      <c r="E966" s="116">
        <v>2.4227880146082299</v>
      </c>
      <c r="F966" s="116">
        <v>2.71</v>
      </c>
      <c r="G966">
        <v>8025</v>
      </c>
      <c r="H966" s="116"/>
      <c r="I966" s="116"/>
      <c r="L966" s="170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70">
        <v>44301</v>
      </c>
      <c r="B967" s="116">
        <v>2.5964973439575001</v>
      </c>
      <c r="C967" s="116">
        <v>2.3587898406374501</v>
      </c>
      <c r="D967" s="116">
        <v>2.3587898406374501</v>
      </c>
      <c r="E967" s="116">
        <v>2.55992695883134</v>
      </c>
      <c r="F967" s="116">
        <v>2.58</v>
      </c>
      <c r="G967">
        <v>12328</v>
      </c>
      <c r="H967" s="116"/>
      <c r="I967" s="116"/>
      <c r="L967" s="170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70">
        <v>44302</v>
      </c>
      <c r="B968" s="116">
        <v>2.4685009960159401</v>
      </c>
      <c r="C968" s="116">
        <v>2.4685009960159401</v>
      </c>
      <c r="D968" s="116">
        <v>2.2490786852589602</v>
      </c>
      <c r="E968" s="116">
        <v>2.33136205179283</v>
      </c>
      <c r="F968" s="116">
        <v>2.7</v>
      </c>
      <c r="G968">
        <v>4501</v>
      </c>
      <c r="H968" s="116"/>
      <c r="I968" s="116"/>
      <c r="L968" s="170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70">
        <v>44305</v>
      </c>
      <c r="B969" s="116">
        <v>2.5873547476759602</v>
      </c>
      <c r="C969" s="116">
        <v>2.55992695883134</v>
      </c>
      <c r="D969" s="116">
        <v>2.3496472443559102</v>
      </c>
      <c r="E969" s="116">
        <v>2.4685009960159401</v>
      </c>
      <c r="F969" s="116">
        <v>2.8</v>
      </c>
      <c r="G969">
        <v>12375</v>
      </c>
      <c r="H969" s="116"/>
      <c r="I969" s="116"/>
      <c r="L969" s="170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70">
        <v>44306</v>
      </c>
      <c r="B970" s="116">
        <v>2.6879233067729098</v>
      </c>
      <c r="C970" s="116">
        <v>2.6879233067729098</v>
      </c>
      <c r="D970" s="116">
        <v>2.4319306108897698</v>
      </c>
      <c r="E970" s="116">
        <v>2.5690695551128799</v>
      </c>
      <c r="F970" s="116">
        <v>2.94</v>
      </c>
      <c r="G970">
        <v>26104</v>
      </c>
      <c r="H970" s="116"/>
      <c r="I970" s="116"/>
      <c r="L970" s="170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70">
        <v>44308</v>
      </c>
      <c r="B971" s="116">
        <v>2.81591965471448</v>
      </c>
      <c r="C971" s="116">
        <v>2.81591965471448</v>
      </c>
      <c r="D971" s="116">
        <v>2.7427788844621501</v>
      </c>
      <c r="E971" s="116">
        <v>2.7427788844621501</v>
      </c>
      <c r="F971" s="116">
        <v>3.08</v>
      </c>
      <c r="G971">
        <v>4535</v>
      </c>
      <c r="H971" s="116"/>
      <c r="I971" s="116"/>
      <c r="L971" s="170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70">
        <v>44309</v>
      </c>
      <c r="B972" s="116">
        <v>2.9530585989375799</v>
      </c>
      <c r="C972" s="116">
        <v>2.9530585989375799</v>
      </c>
      <c r="D972" s="116">
        <v>2.9530585989375799</v>
      </c>
      <c r="E972" s="116">
        <v>2.9530585989375799</v>
      </c>
      <c r="F972" s="116">
        <v>3.23</v>
      </c>
      <c r="G972">
        <v>34935</v>
      </c>
      <c r="H972" s="116"/>
      <c r="I972" s="116"/>
      <c r="L972" s="170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70">
        <v>44312</v>
      </c>
      <c r="B973" s="116">
        <v>3.09934013944223</v>
      </c>
      <c r="C973" s="116">
        <v>3.09934013944223</v>
      </c>
      <c r="D973" s="116">
        <v>3.09934013944223</v>
      </c>
      <c r="E973" s="116">
        <v>3.09934013944223</v>
      </c>
      <c r="F973" s="116">
        <v>3.39</v>
      </c>
      <c r="G973">
        <v>9706</v>
      </c>
      <c r="H973" s="116"/>
      <c r="I973" s="116"/>
      <c r="L973" s="170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70">
        <v>44313</v>
      </c>
      <c r="B974" s="116">
        <v>3.24562167994688</v>
      </c>
      <c r="C974" s="116">
        <v>3.24562167994688</v>
      </c>
      <c r="D974" s="116">
        <v>3.24562167994688</v>
      </c>
      <c r="E974" s="116">
        <v>3.24562167994688</v>
      </c>
      <c r="F974" s="116">
        <v>3.55</v>
      </c>
      <c r="G974">
        <v>4922</v>
      </c>
      <c r="H974" s="116"/>
      <c r="I974" s="116"/>
      <c r="L974" s="170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70">
        <v>44314</v>
      </c>
      <c r="B975" s="116">
        <v>3.4010458167330699</v>
      </c>
      <c r="C975" s="116">
        <v>3.4010458167330699</v>
      </c>
      <c r="D975" s="116">
        <v>3.4010458167330699</v>
      </c>
      <c r="E975" s="116">
        <v>3.4010458167330699</v>
      </c>
      <c r="F975" s="116">
        <v>3.72</v>
      </c>
      <c r="G975">
        <v>35288</v>
      </c>
      <c r="H975" s="116"/>
      <c r="I975" s="116"/>
      <c r="L975" s="170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70">
        <v>44315</v>
      </c>
      <c r="B976" s="116">
        <v>3.5656125498007998</v>
      </c>
      <c r="C976" s="116">
        <v>3.5656125498007998</v>
      </c>
      <c r="D976" s="116">
        <v>3.5656125498007998</v>
      </c>
      <c r="E976" s="116">
        <v>3.5656125498007998</v>
      </c>
      <c r="F976" s="116">
        <v>3.9</v>
      </c>
      <c r="G976">
        <v>37523</v>
      </c>
      <c r="H976" s="116"/>
      <c r="I976" s="116"/>
      <c r="L976" s="170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70">
        <v>44316</v>
      </c>
      <c r="B977" s="116">
        <v>3.73932187915007</v>
      </c>
      <c r="C977" s="116">
        <v>3.73932187915007</v>
      </c>
      <c r="D977" s="116">
        <v>3.73932187915007</v>
      </c>
      <c r="E977" s="116">
        <v>3.73932187915007</v>
      </c>
      <c r="F977" s="116">
        <v>4.09</v>
      </c>
      <c r="G977">
        <v>12398</v>
      </c>
      <c r="H977" s="116"/>
      <c r="I977" s="116"/>
      <c r="L977" s="170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70">
        <v>44319</v>
      </c>
      <c r="B978" s="116">
        <v>3.9221738047808801</v>
      </c>
      <c r="C978" s="116">
        <v>3.9221738047808801</v>
      </c>
      <c r="D978" s="116">
        <v>3.9221738047808801</v>
      </c>
      <c r="E978" s="116">
        <v>3.9221738047808801</v>
      </c>
      <c r="F978" s="116">
        <v>4.29</v>
      </c>
      <c r="G978">
        <v>1369</v>
      </c>
      <c r="H978" s="116"/>
      <c r="I978" s="116"/>
      <c r="L978" s="170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70">
        <v>44320</v>
      </c>
      <c r="B979" s="116">
        <v>3.9953145750332002</v>
      </c>
      <c r="C979" s="116">
        <v>3.9953145750332002</v>
      </c>
      <c r="D979" s="116">
        <v>3.9221738047808801</v>
      </c>
      <c r="E979" s="116">
        <v>3.9953145750332002</v>
      </c>
      <c r="F979" s="116">
        <v>4.37</v>
      </c>
      <c r="G979">
        <v>121854</v>
      </c>
      <c r="H979" s="116"/>
      <c r="I979" s="116"/>
      <c r="L979" s="170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70">
        <v>44321</v>
      </c>
      <c r="B980" s="116">
        <v>4.0684553452855203</v>
      </c>
      <c r="C980" s="116">
        <v>4.0684553452855203</v>
      </c>
      <c r="D980" s="116">
        <v>4.0684553452855203</v>
      </c>
      <c r="E980" s="116">
        <v>4.0684553452855203</v>
      </c>
      <c r="F980" s="116">
        <v>4.45</v>
      </c>
      <c r="G980">
        <v>17647</v>
      </c>
      <c r="H980" s="116"/>
      <c r="I980" s="116"/>
      <c r="L980" s="170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70">
        <v>44322</v>
      </c>
      <c r="B981" s="116">
        <v>4.1415961155378502</v>
      </c>
      <c r="C981" s="116">
        <v>4.1415961155378502</v>
      </c>
      <c r="D981" s="116">
        <v>4.1415961155378502</v>
      </c>
      <c r="E981" s="116">
        <v>4.1415961155378502</v>
      </c>
      <c r="F981" s="116">
        <v>4.53</v>
      </c>
      <c r="G981">
        <v>42068</v>
      </c>
      <c r="H981" s="116"/>
      <c r="I981" s="116"/>
      <c r="L981" s="170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70">
        <v>44323</v>
      </c>
      <c r="B982" s="116">
        <v>4.2238794820717098</v>
      </c>
      <c r="C982" s="116">
        <v>4.2238794820717098</v>
      </c>
      <c r="D982" s="116">
        <v>4.2238794820717098</v>
      </c>
      <c r="E982" s="116">
        <v>4.2238794820717098</v>
      </c>
      <c r="F982" s="116">
        <v>4.62</v>
      </c>
      <c r="G982">
        <v>14803</v>
      </c>
      <c r="H982" s="116"/>
      <c r="I982" s="116"/>
      <c r="L982" s="170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70">
        <v>44326</v>
      </c>
      <c r="B983" s="116">
        <v>4.3061628486055801</v>
      </c>
      <c r="C983" s="116">
        <v>4.20559428950863</v>
      </c>
      <c r="D983" s="116">
        <v>4.1690239043824704</v>
      </c>
      <c r="E983" s="116">
        <v>4.3061628486055801</v>
      </c>
      <c r="F983" s="116">
        <v>4.5999999999999996</v>
      </c>
      <c r="G983">
        <v>1595110</v>
      </c>
      <c r="H983" s="116"/>
      <c r="I983" s="116"/>
      <c r="L983" s="170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70">
        <v>44327</v>
      </c>
      <c r="B984" s="116">
        <v>4.2878776560425003</v>
      </c>
      <c r="C984" s="116">
        <v>4.2513072709163398</v>
      </c>
      <c r="D984" s="116">
        <v>4.1233109229747704</v>
      </c>
      <c r="E984" s="116">
        <v>4.1233109229747704</v>
      </c>
      <c r="F984" s="116">
        <v>4.6500000000000004</v>
      </c>
      <c r="G984">
        <v>163904</v>
      </c>
      <c r="H984" s="116"/>
      <c r="I984" s="116"/>
      <c r="L984" s="170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70">
        <v>44328</v>
      </c>
      <c r="B985" s="116">
        <v>4.3335906374502002</v>
      </c>
      <c r="C985" s="116">
        <v>4.2604498671978801</v>
      </c>
      <c r="D985" s="116">
        <v>4.2330220783532502</v>
      </c>
      <c r="E985" s="116">
        <v>4.3244480411686599</v>
      </c>
      <c r="F985" s="116">
        <v>4.66</v>
      </c>
      <c r="G985">
        <v>102927</v>
      </c>
      <c r="H985" s="116"/>
      <c r="I985" s="116"/>
      <c r="L985" s="170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70">
        <v>44330</v>
      </c>
      <c r="B986" s="116">
        <v>4.2878776560425003</v>
      </c>
      <c r="C986" s="116">
        <v>4.2695924634794196</v>
      </c>
      <c r="D986" s="116">
        <v>4.2604498671978801</v>
      </c>
      <c r="E986" s="116">
        <v>4.2878776560425003</v>
      </c>
      <c r="F986" s="116">
        <v>4.67</v>
      </c>
      <c r="G986">
        <v>229380</v>
      </c>
      <c r="H986" s="116"/>
      <c r="I986" s="116"/>
      <c r="L986" s="170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70">
        <v>44333</v>
      </c>
      <c r="B987" s="116">
        <v>4.2970202523240397</v>
      </c>
      <c r="C987" s="116">
        <v>4.2970202523240397</v>
      </c>
      <c r="D987" s="116">
        <v>4.2421646746347896</v>
      </c>
      <c r="E987" s="116">
        <v>4.2787350597609599</v>
      </c>
      <c r="F987" s="116">
        <v>4.7</v>
      </c>
      <c r="G987">
        <v>294410</v>
      </c>
      <c r="H987" s="116"/>
      <c r="I987" s="116"/>
      <c r="L987" s="170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70">
        <v>44334</v>
      </c>
      <c r="B988" s="116">
        <v>4.3793036188579002</v>
      </c>
      <c r="C988" s="116">
        <v>4.3610184262948204</v>
      </c>
      <c r="D988" s="116">
        <v>4.2513072709163398</v>
      </c>
      <c r="E988" s="116">
        <v>4.2513072709163398</v>
      </c>
      <c r="F988" s="116">
        <v>4.7699999999999996</v>
      </c>
      <c r="G988">
        <v>159030</v>
      </c>
      <c r="H988" s="116"/>
      <c r="I988" s="116"/>
      <c r="L988" s="170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70">
        <v>44335</v>
      </c>
      <c r="B989" s="116">
        <v>4.4433017928286898</v>
      </c>
      <c r="C989" s="116">
        <v>4.4341591965471396</v>
      </c>
      <c r="D989" s="116">
        <v>4.3427332337317397</v>
      </c>
      <c r="E989" s="116">
        <v>4.4433017928286898</v>
      </c>
      <c r="F989" s="116">
        <v>4.8499999999999996</v>
      </c>
      <c r="G989">
        <v>360901</v>
      </c>
      <c r="H989" s="116"/>
      <c r="I989" s="116"/>
      <c r="L989" s="170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70">
        <v>44336</v>
      </c>
      <c r="B990" s="116">
        <v>4.5164425630810099</v>
      </c>
      <c r="C990" s="116">
        <v>4.4981573705179301</v>
      </c>
      <c r="D990" s="116">
        <v>4.4250166002656002</v>
      </c>
      <c r="E990" s="116">
        <v>4.5072999667994704</v>
      </c>
      <c r="F990" s="116">
        <v>4.92</v>
      </c>
      <c r="G990">
        <v>711834</v>
      </c>
      <c r="H990" s="116"/>
      <c r="I990" s="116"/>
      <c r="L990" s="170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70">
        <v>44337</v>
      </c>
      <c r="B991" s="116">
        <v>4.5804407370517897</v>
      </c>
      <c r="C991" s="116">
        <v>4.5255851593625502</v>
      </c>
      <c r="D991" s="116">
        <v>4.4341591965471396</v>
      </c>
      <c r="E991" s="116">
        <v>4.5804407370517897</v>
      </c>
      <c r="F991" s="116">
        <v>4.95</v>
      </c>
      <c r="G991">
        <v>736892</v>
      </c>
      <c r="H991" s="116"/>
      <c r="I991" s="116"/>
      <c r="L991" s="170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70">
        <v>44340</v>
      </c>
      <c r="B992" s="116">
        <v>4.5987259296148704</v>
      </c>
      <c r="C992" s="116">
        <v>4.5987259296148704</v>
      </c>
      <c r="D992" s="116">
        <v>4.5164425630810099</v>
      </c>
      <c r="E992" s="116">
        <v>4.5712981407702502</v>
      </c>
      <c r="F992" s="116">
        <v>5.03</v>
      </c>
      <c r="G992">
        <v>589124</v>
      </c>
      <c r="H992" s="116"/>
      <c r="I992" s="116"/>
      <c r="L992" s="170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70">
        <v>44341</v>
      </c>
      <c r="B993" s="116">
        <v>4.6627241035856599</v>
      </c>
      <c r="C993" s="116">
        <v>4.6535815073041196</v>
      </c>
      <c r="D993" s="116">
        <v>4.5164425630810099</v>
      </c>
      <c r="E993" s="116">
        <v>4.5621555444887099</v>
      </c>
      <c r="F993" s="116">
        <v>5.09</v>
      </c>
      <c r="G993">
        <v>398362</v>
      </c>
      <c r="H993" s="116"/>
      <c r="I993" s="116"/>
      <c r="L993" s="170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70">
        <v>44342</v>
      </c>
      <c r="B994" s="116">
        <v>4.7084370849933599</v>
      </c>
      <c r="C994" s="116">
        <v>4.6444389110225801</v>
      </c>
      <c r="D994" s="116">
        <v>4.5712981407702502</v>
      </c>
      <c r="E994" s="116">
        <v>4.5987259296148704</v>
      </c>
      <c r="F994" s="116">
        <v>5.08</v>
      </c>
      <c r="G994">
        <v>227704</v>
      </c>
      <c r="H994" s="116"/>
      <c r="I994" s="116"/>
      <c r="L994" s="170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70">
        <v>44343</v>
      </c>
      <c r="B995" s="116">
        <v>4.73586487383798</v>
      </c>
      <c r="C995" s="116">
        <v>4.7267222775564397</v>
      </c>
      <c r="D995" s="116">
        <v>4.5712981407702502</v>
      </c>
      <c r="E995" s="116">
        <v>4.7084370849933599</v>
      </c>
      <c r="F995" s="116">
        <v>5.17</v>
      </c>
      <c r="G995">
        <v>507734</v>
      </c>
      <c r="H995" s="116"/>
      <c r="I995" s="116"/>
      <c r="L995" s="170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70">
        <v>44344</v>
      </c>
      <c r="B996" s="116">
        <v>4.8181482403718503</v>
      </c>
      <c r="C996" s="116">
        <v>4.8181482403718503</v>
      </c>
      <c r="D996" s="116">
        <v>4.6352963147410398</v>
      </c>
      <c r="E996" s="116">
        <v>4.8181482403718503</v>
      </c>
      <c r="F996" s="116">
        <v>5.27</v>
      </c>
      <c r="G996">
        <v>169381</v>
      </c>
      <c r="H996" s="116"/>
      <c r="I996" s="116"/>
      <c r="L996" s="170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70">
        <v>44347</v>
      </c>
      <c r="B997" s="116">
        <v>4.9095742031872502</v>
      </c>
      <c r="C997" s="116">
        <v>4.9095742031872502</v>
      </c>
      <c r="D997" s="116">
        <v>4.7541500664010599</v>
      </c>
      <c r="E997" s="116">
        <v>4.7541500664010599</v>
      </c>
      <c r="F997" s="116">
        <v>5.37</v>
      </c>
      <c r="G997">
        <v>629048</v>
      </c>
      <c r="H997" s="116"/>
      <c r="I997" s="116"/>
      <c r="L997" s="170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70">
        <v>44348</v>
      </c>
      <c r="B998" s="116">
        <v>4.9827149734395704</v>
      </c>
      <c r="C998" s="116">
        <v>4.9827149734395704</v>
      </c>
      <c r="D998" s="116">
        <v>4.8912890106241704</v>
      </c>
      <c r="E998" s="116">
        <v>4.9827149734395704</v>
      </c>
      <c r="F998" s="116">
        <v>5.45</v>
      </c>
      <c r="G998">
        <v>554039</v>
      </c>
      <c r="H998" s="116"/>
      <c r="I998" s="116"/>
      <c r="L998" s="170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70">
        <v>44349</v>
      </c>
      <c r="B999" s="116">
        <v>5.0741409362549801</v>
      </c>
      <c r="C999" s="116">
        <v>5.0467131474103599</v>
      </c>
      <c r="D999" s="116">
        <v>4.9370019920318704</v>
      </c>
      <c r="E999" s="116">
        <v>4.9918575697211196</v>
      </c>
      <c r="F999" s="116">
        <v>5.52</v>
      </c>
      <c r="G999">
        <v>885237</v>
      </c>
      <c r="H999" s="116"/>
      <c r="I999" s="116"/>
      <c r="L999" s="170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70">
        <v>44350</v>
      </c>
      <c r="B1000" s="116">
        <v>5.1472817065073002</v>
      </c>
      <c r="C1000" s="116">
        <v>5.1198539176626801</v>
      </c>
      <c r="D1000" s="116">
        <v>5.0558557436919003</v>
      </c>
      <c r="E1000" s="116">
        <v>5.1472817065073002</v>
      </c>
      <c r="F1000" s="116">
        <v>5.6</v>
      </c>
      <c r="G1000">
        <v>421730</v>
      </c>
      <c r="H1000" s="116"/>
      <c r="I1000" s="116"/>
      <c r="L1000" s="170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70">
        <v>44351</v>
      </c>
      <c r="B1001" s="116">
        <v>5.1564243027888397</v>
      </c>
      <c r="C1001" s="116">
        <v>5.1289965139442204</v>
      </c>
      <c r="D1001" s="116">
        <v>5.0741409362549801</v>
      </c>
      <c r="E1001" s="116">
        <v>5.1289965139442204</v>
      </c>
      <c r="F1001" s="116">
        <v>5.61</v>
      </c>
      <c r="G1001">
        <v>190314</v>
      </c>
      <c r="H1001" s="116"/>
      <c r="I1001" s="116"/>
      <c r="L1001" s="170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70">
        <v>44354</v>
      </c>
      <c r="B1002" s="116">
        <v>5.2204224767596301</v>
      </c>
      <c r="C1002" s="116">
        <v>5.0741409362549801</v>
      </c>
      <c r="D1002" s="116">
        <v>5.0284279548472801</v>
      </c>
      <c r="E1002" s="116">
        <v>5.1289965139442204</v>
      </c>
      <c r="F1002" s="116">
        <v>5.55</v>
      </c>
      <c r="G1002">
        <v>153853</v>
      </c>
      <c r="H1002" s="116"/>
      <c r="I1002" s="116"/>
      <c r="L1002" s="170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70">
        <v>44355</v>
      </c>
      <c r="B1003" s="116">
        <v>5.1747094953519301</v>
      </c>
      <c r="C1003" s="116">
        <v>5.1472817065073002</v>
      </c>
      <c r="D1003" s="116">
        <v>4.9735723771580398</v>
      </c>
      <c r="E1003" s="116">
        <v>5.0101427622842003</v>
      </c>
      <c r="F1003" s="116">
        <v>5.63</v>
      </c>
      <c r="G1003">
        <v>111722</v>
      </c>
      <c r="H1003" s="116"/>
      <c r="I1003" s="116"/>
      <c r="L1003" s="170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70">
        <v>44356</v>
      </c>
      <c r="B1004" s="116">
        <v>5.2478502656042503</v>
      </c>
      <c r="C1004" s="116">
        <v>5.0467131474103599</v>
      </c>
      <c r="D1004" s="116">
        <v>5.0467131474103599</v>
      </c>
      <c r="E1004" s="116">
        <v>5.2478502656042503</v>
      </c>
      <c r="F1004" s="116">
        <v>5.52</v>
      </c>
      <c r="G1004">
        <v>129642</v>
      </c>
      <c r="H1004" s="116"/>
      <c r="I1004" s="116"/>
      <c r="L1004" s="170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70">
        <v>44357</v>
      </c>
      <c r="B1005" s="116">
        <v>5.1472817065073002</v>
      </c>
      <c r="C1005" s="116">
        <v>5.0284279548472801</v>
      </c>
      <c r="D1005" s="116">
        <v>4.9461445883134099</v>
      </c>
      <c r="E1005" s="116">
        <v>5.0467131474103599</v>
      </c>
      <c r="F1005" s="116">
        <v>5.5</v>
      </c>
      <c r="G1005">
        <v>2583801</v>
      </c>
      <c r="H1005" s="116"/>
      <c r="I1005" s="116"/>
      <c r="L1005" s="170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70">
        <v>44358</v>
      </c>
      <c r="B1006" s="116">
        <v>5.1289965139442204</v>
      </c>
      <c r="C1006" s="116">
        <v>5.1107113213811397</v>
      </c>
      <c r="D1006" s="116">
        <v>4.9278593957503301</v>
      </c>
      <c r="E1006" s="116">
        <v>5.0284279548472801</v>
      </c>
      <c r="F1006" s="116">
        <v>5.59</v>
      </c>
      <c r="G1006">
        <v>2381441</v>
      </c>
      <c r="H1006" s="116"/>
      <c r="I1006" s="116"/>
      <c r="L1006" s="170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70">
        <v>44361</v>
      </c>
      <c r="B1007" s="116">
        <v>5.2112798804780898</v>
      </c>
      <c r="C1007" s="116">
        <v>5.2021372841965503</v>
      </c>
      <c r="D1007" s="116">
        <v>5.0101427622842003</v>
      </c>
      <c r="E1007" s="116">
        <v>5.2112798804780898</v>
      </c>
      <c r="F1007" s="116">
        <v>5.69</v>
      </c>
      <c r="G1007">
        <v>303582</v>
      </c>
      <c r="H1007" s="116"/>
      <c r="I1007" s="116"/>
      <c r="L1007" s="170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70">
        <v>44362</v>
      </c>
      <c r="B1008" s="116">
        <v>5.3027058432934897</v>
      </c>
      <c r="C1008" s="116">
        <v>5.3027058432934897</v>
      </c>
      <c r="D1008" s="116">
        <v>5.1198539176626801</v>
      </c>
      <c r="E1008" s="116">
        <v>5.3027058432934897</v>
      </c>
      <c r="F1008" s="116">
        <v>5.8</v>
      </c>
      <c r="G1008">
        <v>532220</v>
      </c>
      <c r="H1008" s="116"/>
      <c r="I1008" s="116"/>
      <c r="L1008" s="170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70">
        <v>44363</v>
      </c>
      <c r="B1009" s="116">
        <v>5.4032744023904398</v>
      </c>
      <c r="C1009" s="116">
        <v>5.3118484395750301</v>
      </c>
      <c r="D1009" s="116">
        <v>5.2935632470119502</v>
      </c>
      <c r="E1009" s="116">
        <v>5.3027058432934897</v>
      </c>
      <c r="F1009" s="116">
        <v>5.81</v>
      </c>
      <c r="G1009">
        <v>363024</v>
      </c>
      <c r="H1009" s="116"/>
      <c r="I1009" s="116"/>
      <c r="L1009" s="170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70">
        <v>44364</v>
      </c>
      <c r="B1010" s="116">
        <v>5.4032744023904398</v>
      </c>
      <c r="C1010" s="116">
        <v>5.3758466135458196</v>
      </c>
      <c r="D1010" s="116">
        <v>5.2112798804780898</v>
      </c>
      <c r="E1010" s="116">
        <v>5.4032744023904398</v>
      </c>
      <c r="F1010" s="116">
        <v>5.88</v>
      </c>
      <c r="G1010">
        <v>88441</v>
      </c>
      <c r="H1010" s="116"/>
      <c r="I1010" s="116"/>
      <c r="L1010" s="170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70">
        <v>44365</v>
      </c>
      <c r="B1011" s="116">
        <v>5.4764151726427599</v>
      </c>
      <c r="C1011" s="116">
        <v>5.4581299800796801</v>
      </c>
      <c r="D1011" s="116">
        <v>5.2752780544488704</v>
      </c>
      <c r="E1011" s="116">
        <v>5.4124169986719801</v>
      </c>
      <c r="F1011" s="116">
        <v>5.97</v>
      </c>
      <c r="G1011">
        <v>650667</v>
      </c>
      <c r="H1011" s="116"/>
      <c r="I1011" s="116"/>
      <c r="L1011" s="170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70">
        <v>44368</v>
      </c>
      <c r="B1012" s="116">
        <v>5.5586985391766301</v>
      </c>
      <c r="C1012" s="116">
        <v>5.4398447875166003</v>
      </c>
      <c r="D1012" s="116">
        <v>5.3575614209827398</v>
      </c>
      <c r="E1012" s="116">
        <v>5.4581299800796801</v>
      </c>
      <c r="F1012" s="116">
        <v>5.95</v>
      </c>
      <c r="G1012">
        <v>105804</v>
      </c>
      <c r="H1012" s="116"/>
      <c r="I1012" s="116"/>
      <c r="L1012" s="170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70">
        <v>44369</v>
      </c>
      <c r="B1013" s="116">
        <v>5.5404133466135503</v>
      </c>
      <c r="C1013" s="116">
        <v>5.3758466135458196</v>
      </c>
      <c r="D1013" s="116">
        <v>5.3392762284196502</v>
      </c>
      <c r="E1013" s="116">
        <v>5.3575614209827398</v>
      </c>
      <c r="F1013" s="116">
        <v>5.88</v>
      </c>
      <c r="G1013">
        <v>48688</v>
      </c>
      <c r="H1013" s="116"/>
      <c r="I1013" s="116"/>
      <c r="L1013" s="170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70">
        <v>44370</v>
      </c>
      <c r="B1014" s="116">
        <v>5.4764151726427599</v>
      </c>
      <c r="C1014" s="116">
        <v>5.4672725763612204</v>
      </c>
      <c r="D1014" s="116">
        <v>5.2752780544488704</v>
      </c>
      <c r="E1014" s="116">
        <v>5.3392762284196502</v>
      </c>
      <c r="F1014" s="116">
        <v>5.98</v>
      </c>
      <c r="G1014">
        <v>368777</v>
      </c>
      <c r="H1014" s="116"/>
      <c r="I1014" s="116"/>
      <c r="L1014" s="170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70">
        <v>44371</v>
      </c>
      <c r="B1015" s="116">
        <v>5.5678411354581696</v>
      </c>
      <c r="C1015" s="116">
        <v>5.4764151726427599</v>
      </c>
      <c r="D1015" s="116">
        <v>5.3667040172642801</v>
      </c>
      <c r="E1015" s="116">
        <v>5.4672725763612204</v>
      </c>
      <c r="F1015" s="116">
        <v>5.99</v>
      </c>
      <c r="G1015">
        <v>69318</v>
      </c>
      <c r="H1015" s="116"/>
      <c r="I1015" s="116"/>
      <c r="L1015" s="170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70">
        <v>44372</v>
      </c>
      <c r="B1016" s="116">
        <v>5.57698373173971</v>
      </c>
      <c r="C1016" s="116">
        <v>5.4124169986719801</v>
      </c>
      <c r="D1016" s="116">
        <v>5.3758466135458196</v>
      </c>
      <c r="E1016" s="116">
        <v>5.4855577689243002</v>
      </c>
      <c r="F1016" s="116">
        <v>5.92</v>
      </c>
      <c r="G1016">
        <v>2806393</v>
      </c>
      <c r="H1016" s="116"/>
      <c r="I1016" s="116"/>
      <c r="L1016" s="170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70">
        <v>44375</v>
      </c>
      <c r="B1017" s="116">
        <v>5.5129855577689204</v>
      </c>
      <c r="C1017" s="116">
        <v>5.5129855577689204</v>
      </c>
      <c r="D1017" s="116">
        <v>5.3118484395750301</v>
      </c>
      <c r="E1017" s="116">
        <v>5.4032744023904398</v>
      </c>
      <c r="F1017" s="116">
        <v>6.03</v>
      </c>
      <c r="G1017">
        <v>459854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44376</v>
      </c>
      <c r="B1018" s="116">
        <v>5.6226967131474099</v>
      </c>
      <c r="C1018" s="116">
        <v>5.6226967131474099</v>
      </c>
      <c r="D1018" s="116">
        <v>5.57698373173971</v>
      </c>
      <c r="E1018" s="116">
        <v>5.6226967131474099</v>
      </c>
      <c r="F1018" s="116">
        <v>6.15</v>
      </c>
      <c r="G1018">
        <v>1348486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44377</v>
      </c>
      <c r="B1019" s="116">
        <v>5.7324078685259003</v>
      </c>
      <c r="C1019" s="116">
        <v>5.72326527224436</v>
      </c>
      <c r="D1019" s="116">
        <v>5.6226967131474099</v>
      </c>
      <c r="E1019" s="116">
        <v>5.6226967131474099</v>
      </c>
      <c r="F1019" s="116">
        <v>6.26</v>
      </c>
      <c r="G1019">
        <v>4269251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44378</v>
      </c>
      <c r="B1020" s="116">
        <v>5.8329764276228397</v>
      </c>
      <c r="C1020" s="116">
        <v>5.8238338313413003</v>
      </c>
      <c r="D1020" s="116">
        <v>5.6135541168658696</v>
      </c>
      <c r="E1020" s="116">
        <v>5.72326527224436</v>
      </c>
      <c r="F1020" s="116">
        <v>6.37</v>
      </c>
      <c r="G1020">
        <v>3578050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44379</v>
      </c>
      <c r="B1021" s="116">
        <v>5.9335449867197898</v>
      </c>
      <c r="C1021" s="116">
        <v>5.8969746015936302</v>
      </c>
      <c r="D1021" s="116">
        <v>5.7964060424966801</v>
      </c>
      <c r="E1021" s="116">
        <v>5.9335449867197898</v>
      </c>
      <c r="F1021" s="116">
        <v>6.45</v>
      </c>
      <c r="G1021">
        <v>617466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44382</v>
      </c>
      <c r="B1022" s="116">
        <v>6.1255395086321398</v>
      </c>
      <c r="C1022" s="116">
        <v>6.0432561420982696</v>
      </c>
      <c r="D1022" s="116">
        <v>5.8786894090305397</v>
      </c>
      <c r="E1022" s="116">
        <v>6.0341135458167301</v>
      </c>
      <c r="F1022" s="116">
        <v>6.61</v>
      </c>
      <c r="G1022">
        <v>284375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44383</v>
      </c>
      <c r="B1023" s="116">
        <v>6.3083914342629503</v>
      </c>
      <c r="C1023" s="116">
        <v>6.15296729747676</v>
      </c>
      <c r="D1023" s="116">
        <v>5.9426875830013302</v>
      </c>
      <c r="E1023" s="116">
        <v>6.0798265272244398</v>
      </c>
      <c r="F1023" s="116">
        <v>6.73</v>
      </c>
      <c r="G1023">
        <v>370359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44384</v>
      </c>
      <c r="B1024" s="116">
        <v>6.4546729747676004</v>
      </c>
      <c r="C1024" s="116">
        <v>6.4546729747676004</v>
      </c>
      <c r="D1024" s="116">
        <v>5.8695468127490003</v>
      </c>
      <c r="E1024" s="116">
        <v>6.29924883798141</v>
      </c>
      <c r="F1024" s="116">
        <v>7.06</v>
      </c>
      <c r="G1024">
        <v>949376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44385</v>
      </c>
      <c r="B1025" s="116">
        <v>6.7015230743691898</v>
      </c>
      <c r="C1025" s="116">
        <v>6.5460989375830003</v>
      </c>
      <c r="D1025" s="116">
        <v>6.4729581673306802</v>
      </c>
      <c r="E1025" s="116">
        <v>6.5735267264276196</v>
      </c>
      <c r="F1025" s="116">
        <v>7.16</v>
      </c>
      <c r="G1025">
        <v>807919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44386</v>
      </c>
      <c r="B1026" s="116">
        <v>6.8112342297476802</v>
      </c>
      <c r="C1026" s="116">
        <v>6.4638155710491398</v>
      </c>
      <c r="D1026" s="116">
        <v>6.2718210491367898</v>
      </c>
      <c r="E1026" s="116">
        <v>6.6740952855245697</v>
      </c>
      <c r="F1026" s="116">
        <v>7.07</v>
      </c>
      <c r="G1026">
        <v>582144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44389</v>
      </c>
      <c r="B1027" s="116">
        <v>6.7655212483399696</v>
      </c>
      <c r="C1027" s="116">
        <v>6.6009545152722398</v>
      </c>
      <c r="D1027" s="116">
        <v>6.3083914342629503</v>
      </c>
      <c r="E1027" s="116">
        <v>6.3175340305444898</v>
      </c>
      <c r="F1027" s="116">
        <v>7.22</v>
      </c>
      <c r="G1027">
        <v>602101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44390</v>
      </c>
      <c r="B1028" s="116">
        <v>6.7563786520584301</v>
      </c>
      <c r="C1028" s="116">
        <v>6.7015230743691898</v>
      </c>
      <c r="D1028" s="116">
        <v>6.5826693227091599</v>
      </c>
      <c r="E1028" s="116">
        <v>6.5826693227091599</v>
      </c>
      <c r="F1028" s="116">
        <v>7.33</v>
      </c>
      <c r="G1028">
        <v>380839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44391</v>
      </c>
      <c r="B1029" s="116">
        <v>6.8569472111553802</v>
      </c>
      <c r="C1029" s="116">
        <v>6.8386620185923004</v>
      </c>
      <c r="D1029" s="116">
        <v>6.5826693227091599</v>
      </c>
      <c r="E1029" s="116">
        <v>6.8112342297476802</v>
      </c>
      <c r="F1029" s="116">
        <v>7.48</v>
      </c>
      <c r="G1029">
        <v>539107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44392</v>
      </c>
      <c r="B1030" s="116">
        <v>6.9483731739707801</v>
      </c>
      <c r="C1030" s="116">
        <v>6.8660898074369197</v>
      </c>
      <c r="D1030" s="116">
        <v>6.8112342297476802</v>
      </c>
      <c r="E1030" s="116">
        <v>6.9392305776892398</v>
      </c>
      <c r="F1030" s="116">
        <v>7.51</v>
      </c>
      <c r="G1030">
        <v>260047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44393</v>
      </c>
      <c r="B1031" s="116">
        <v>6.9483731739707801</v>
      </c>
      <c r="C1031" s="116">
        <v>6.6558100929614898</v>
      </c>
      <c r="D1031" s="116">
        <v>6.5278137450199196</v>
      </c>
      <c r="E1031" s="116">
        <v>6.9483731739707801</v>
      </c>
      <c r="F1031" s="116">
        <v>7.28</v>
      </c>
      <c r="G1031">
        <v>1309315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44396</v>
      </c>
      <c r="B1032" s="116">
        <v>6.9849435590969504</v>
      </c>
      <c r="C1032" s="116">
        <v>6.9849435590969504</v>
      </c>
      <c r="D1032" s="116">
        <v>6.3266766268260302</v>
      </c>
      <c r="E1032" s="116">
        <v>6.7655212483399696</v>
      </c>
      <c r="F1032" s="116">
        <v>7.64</v>
      </c>
      <c r="G1032">
        <v>1334502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44397</v>
      </c>
      <c r="B1033" s="116">
        <v>7.1220825033200503</v>
      </c>
      <c r="C1033" s="116">
        <v>6.8660898074369197</v>
      </c>
      <c r="D1033" s="116">
        <v>6.63752490039841</v>
      </c>
      <c r="E1033" s="116">
        <v>7.1220825033200503</v>
      </c>
      <c r="F1033" s="116">
        <v>7.51</v>
      </c>
      <c r="G1033">
        <v>231186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44399</v>
      </c>
      <c r="B1034" s="116">
        <v>7.0306565405046504</v>
      </c>
      <c r="C1034" s="116">
        <v>6.9483731739707801</v>
      </c>
      <c r="D1034" s="116">
        <v>6.63752490039841</v>
      </c>
      <c r="E1034" s="116">
        <v>6.8569472111553802</v>
      </c>
      <c r="F1034" s="116">
        <v>7.6</v>
      </c>
      <c r="G1034">
        <v>474915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44400</v>
      </c>
      <c r="B1035" s="116">
        <v>7.06722692563081</v>
      </c>
      <c r="C1035" s="116">
        <v>6.8386620185923004</v>
      </c>
      <c r="D1035" s="116">
        <v>6.68323788180611</v>
      </c>
      <c r="E1035" s="116">
        <v>7.06722692563081</v>
      </c>
      <c r="F1035" s="116">
        <v>7.48</v>
      </c>
      <c r="G1035">
        <v>168676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44403</v>
      </c>
      <c r="B1036" s="116">
        <v>6.8569472111553802</v>
      </c>
      <c r="C1036" s="116">
        <v>6.7838064409030503</v>
      </c>
      <c r="D1036" s="116">
        <v>6.5003859561753004</v>
      </c>
      <c r="E1036" s="116">
        <v>6.8203768260292197</v>
      </c>
      <c r="F1036" s="116">
        <v>7.42</v>
      </c>
      <c r="G1036">
        <v>348241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44404</v>
      </c>
      <c r="B1037" s="116">
        <v>6.8569472111553802</v>
      </c>
      <c r="C1037" s="116">
        <v>6.8020916334661399</v>
      </c>
      <c r="D1037" s="116">
        <v>6.68323788180611</v>
      </c>
      <c r="E1037" s="116">
        <v>6.8569472111553802</v>
      </c>
      <c r="F1037" s="116">
        <v>7.44</v>
      </c>
      <c r="G1037">
        <v>458344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44405</v>
      </c>
      <c r="B1038" s="116">
        <v>7.1403676958831301</v>
      </c>
      <c r="C1038" s="116">
        <v>7.1312250996015898</v>
      </c>
      <c r="D1038" s="116">
        <v>6.6740952855245697</v>
      </c>
      <c r="E1038" s="116">
        <v>6.9118027888446196</v>
      </c>
      <c r="F1038" s="116">
        <v>7.8</v>
      </c>
      <c r="G1038">
        <v>5799306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44406</v>
      </c>
      <c r="B1039" s="116">
        <v>7.3140770252324003</v>
      </c>
      <c r="C1039" s="116">
        <v>7.25922144754316</v>
      </c>
      <c r="D1039" s="116">
        <v>6.8569472111553802</v>
      </c>
      <c r="E1039" s="116">
        <v>7.25922144754316</v>
      </c>
      <c r="F1039" s="116">
        <v>7.94</v>
      </c>
      <c r="G1039">
        <v>821792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44407</v>
      </c>
      <c r="B1040" s="116">
        <v>7.49692895086321</v>
      </c>
      <c r="C1040" s="116">
        <v>7.4603585657370504</v>
      </c>
      <c r="D1040" s="116">
        <v>6.9940861553784899</v>
      </c>
      <c r="E1040" s="116">
        <v>7.3872177954847302</v>
      </c>
      <c r="F1040" s="116">
        <v>8.16</v>
      </c>
      <c r="G1040">
        <v>1076195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44410</v>
      </c>
      <c r="B1041" s="116">
        <v>7.8260624169986697</v>
      </c>
      <c r="C1041" s="116">
        <v>7.8260624169986697</v>
      </c>
      <c r="D1041" s="116">
        <v>7.3323622177954801</v>
      </c>
      <c r="E1041" s="116">
        <v>7.6340678950863197</v>
      </c>
      <c r="F1041" s="116">
        <v>8.56</v>
      </c>
      <c r="G1041">
        <v>933514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44411</v>
      </c>
      <c r="B1042" s="116">
        <v>8.0454847277556407</v>
      </c>
      <c r="C1042" s="116">
        <v>7.9083457835325399</v>
      </c>
      <c r="D1042" s="116">
        <v>7.49692895086321</v>
      </c>
      <c r="E1042" s="116">
        <v>7.9266309760956197</v>
      </c>
      <c r="F1042" s="116">
        <v>8.65</v>
      </c>
      <c r="G1042">
        <v>842589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44412</v>
      </c>
      <c r="B1043" s="116">
        <v>8.0089143426294793</v>
      </c>
      <c r="C1043" s="116">
        <v>7.9540587649402399</v>
      </c>
      <c r="D1043" s="116">
        <v>7.8626328021248302</v>
      </c>
      <c r="E1043" s="116">
        <v>7.9540587649402399</v>
      </c>
      <c r="F1043" s="116">
        <v>8.6999999999999993</v>
      </c>
      <c r="G1043">
        <v>4493651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44413</v>
      </c>
      <c r="B1044" s="116">
        <v>8.1277680942895092</v>
      </c>
      <c r="C1044" s="116">
        <v>8.1186254980079706</v>
      </c>
      <c r="D1044" s="116">
        <v>8.0454847277556407</v>
      </c>
      <c r="E1044" s="116">
        <v>8.0454847277556407</v>
      </c>
      <c r="F1044" s="116">
        <v>8.8800000000000008</v>
      </c>
      <c r="G1044">
        <v>935650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44414</v>
      </c>
      <c r="B1045" s="116">
        <v>8.2283366533864495</v>
      </c>
      <c r="C1045" s="116">
        <v>8.1917662682602899</v>
      </c>
      <c r="D1045" s="116">
        <v>8.0729125166002706</v>
      </c>
      <c r="E1045" s="116">
        <v>8.2100514608233706</v>
      </c>
      <c r="F1045" s="116">
        <v>8.9600000000000009</v>
      </c>
      <c r="G1045">
        <v>1080862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44417</v>
      </c>
      <c r="B1046" s="116">
        <v>8.3654755976095601</v>
      </c>
      <c r="C1046" s="116">
        <v>8.2740496347941601</v>
      </c>
      <c r="D1046" s="116">
        <v>8.1369106905710495</v>
      </c>
      <c r="E1046" s="116">
        <v>8.2191940571049091</v>
      </c>
      <c r="F1046" s="116">
        <v>9.0500000000000007</v>
      </c>
      <c r="G1046">
        <v>388764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44418</v>
      </c>
      <c r="B1047" s="116">
        <v>8.3654755976095601</v>
      </c>
      <c r="C1047" s="116">
        <v>8.3654755976095601</v>
      </c>
      <c r="D1047" s="116">
        <v>8.2740496347941601</v>
      </c>
      <c r="E1047" s="116">
        <v>8.3197626162018601</v>
      </c>
      <c r="F1047" s="116">
        <v>9.15</v>
      </c>
      <c r="G1047">
        <v>548300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44419</v>
      </c>
      <c r="B1048" s="116">
        <v>8.4203311752988093</v>
      </c>
      <c r="C1048" s="116">
        <v>8.4203311752988093</v>
      </c>
      <c r="D1048" s="116">
        <v>7.9540587649402399</v>
      </c>
      <c r="E1048" s="116">
        <v>8.3746181938911004</v>
      </c>
      <c r="F1048" s="116">
        <v>9.2100000000000009</v>
      </c>
      <c r="G1048">
        <v>876093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44420</v>
      </c>
      <c r="B1049" s="116">
        <v>8.5117571381142092</v>
      </c>
      <c r="C1049" s="116">
        <v>8.5026145418326706</v>
      </c>
      <c r="D1049" s="116">
        <v>8.41118857901726</v>
      </c>
      <c r="E1049" s="116">
        <v>8.43861636786189</v>
      </c>
      <c r="F1049" s="116">
        <v>9.3000000000000007</v>
      </c>
      <c r="G1049">
        <v>745691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44421</v>
      </c>
      <c r="B1050" s="116">
        <v>8.5757553120849899</v>
      </c>
      <c r="C1050" s="116">
        <v>8.5574701195219092</v>
      </c>
      <c r="D1050" s="116">
        <v>8.4934719455511303</v>
      </c>
      <c r="E1050" s="116">
        <v>8.5208997343957495</v>
      </c>
      <c r="F1050" s="116">
        <v>9.36</v>
      </c>
      <c r="G1050">
        <v>659783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44424</v>
      </c>
      <c r="B1051" s="116">
        <v>8.7037516600265601</v>
      </c>
      <c r="C1051" s="116">
        <v>8.6854664674634794</v>
      </c>
      <c r="D1051" s="116">
        <v>8.5574701195219092</v>
      </c>
      <c r="E1051" s="116">
        <v>8.5940405046480706</v>
      </c>
      <c r="F1051" s="116">
        <v>9.5</v>
      </c>
      <c r="G1051">
        <v>1241553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44425</v>
      </c>
      <c r="B1052" s="116">
        <v>8.6854664674634794</v>
      </c>
      <c r="C1052" s="116">
        <v>8.4020459827357197</v>
      </c>
      <c r="D1052" s="116">
        <v>8.2557644422310794</v>
      </c>
      <c r="E1052" s="116">
        <v>8.4569015604249707</v>
      </c>
      <c r="F1052" s="116">
        <v>9.19</v>
      </c>
      <c r="G1052">
        <v>1215013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44426</v>
      </c>
      <c r="B1053" s="116">
        <v>8.5940405046480706</v>
      </c>
      <c r="C1053" s="116">
        <v>8.5117571381142092</v>
      </c>
      <c r="D1053" s="116">
        <v>8.2557644422310794</v>
      </c>
      <c r="E1053" s="116">
        <v>8.4020459827357197</v>
      </c>
      <c r="F1053" s="116">
        <v>9.31</v>
      </c>
      <c r="G1053">
        <v>445313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44428</v>
      </c>
      <c r="B1054" s="116">
        <v>8.5026145418326706</v>
      </c>
      <c r="C1054" s="116">
        <v>8.1369106905710495</v>
      </c>
      <c r="D1054" s="116">
        <v>8.0911977091633496</v>
      </c>
      <c r="E1054" s="116">
        <v>8.4934719455511303</v>
      </c>
      <c r="F1054" s="116">
        <v>8.9</v>
      </c>
      <c r="G1054">
        <v>516906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44431</v>
      </c>
      <c r="B1055" s="116">
        <v>8.5208997343957495</v>
      </c>
      <c r="C1055" s="116">
        <v>7.7346364541832697</v>
      </c>
      <c r="D1055" s="116">
        <v>7.7346364541832697</v>
      </c>
      <c r="E1055" s="116">
        <v>8.2100514608233706</v>
      </c>
      <c r="F1055" s="116">
        <v>8.4600000000000009</v>
      </c>
      <c r="G1055">
        <v>617143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44432</v>
      </c>
      <c r="B1056" s="116">
        <v>7.5883549136786197</v>
      </c>
      <c r="C1056" s="116">
        <v>7.3597900066401101</v>
      </c>
      <c r="D1056" s="116">
        <v>7.3506474103585697</v>
      </c>
      <c r="E1056" s="116">
        <v>7.5883549136786197</v>
      </c>
      <c r="F1056" s="116">
        <v>8.0500000000000007</v>
      </c>
      <c r="G1056">
        <v>362507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44433</v>
      </c>
      <c r="B1057" s="116">
        <v>7.7163512616201899</v>
      </c>
      <c r="C1057" s="116">
        <v>6.9940861553784899</v>
      </c>
      <c r="D1057" s="116">
        <v>6.9940861553784899</v>
      </c>
      <c r="E1057" s="116">
        <v>7.3140770252324003</v>
      </c>
      <c r="F1057" s="116">
        <v>7.65</v>
      </c>
      <c r="G1057">
        <v>231197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44434</v>
      </c>
      <c r="B1058" s="116">
        <v>7.3140770252324003</v>
      </c>
      <c r="C1058" s="116">
        <v>7.1952232735723802</v>
      </c>
      <c r="D1058" s="116">
        <v>6.6466674966799504</v>
      </c>
      <c r="E1058" s="116">
        <v>6.7106656706507302</v>
      </c>
      <c r="F1058" s="116">
        <v>7.87</v>
      </c>
      <c r="G1058">
        <v>760707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44435</v>
      </c>
      <c r="B1059" s="116">
        <v>7.5243567397078399</v>
      </c>
      <c r="C1059" s="116">
        <v>7.1586528884462197</v>
      </c>
      <c r="D1059" s="116">
        <v>6.8386620185923004</v>
      </c>
      <c r="E1059" s="116">
        <v>6.8386620185923004</v>
      </c>
      <c r="F1059" s="116">
        <v>7.83</v>
      </c>
      <c r="G1059">
        <v>134292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44438</v>
      </c>
      <c r="B1060" s="116">
        <v>6.8020916334661399</v>
      </c>
      <c r="C1060" s="116">
        <v>6.8020916334661399</v>
      </c>
      <c r="D1060" s="116">
        <v>6.8020916334661399</v>
      </c>
      <c r="E1060" s="116">
        <v>6.8020916334661399</v>
      </c>
      <c r="F1060" s="116">
        <v>7.44</v>
      </c>
      <c r="G1060">
        <v>743241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44439</v>
      </c>
      <c r="B1061" s="116">
        <v>6.4638155710491398</v>
      </c>
      <c r="C1061" s="116">
        <v>6.4638155710491398</v>
      </c>
      <c r="D1061" s="116">
        <v>6.4638155710491398</v>
      </c>
      <c r="E1061" s="116">
        <v>6.4638155710491398</v>
      </c>
      <c r="F1061" s="116">
        <v>7.07</v>
      </c>
      <c r="G1061">
        <v>29505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44440</v>
      </c>
      <c r="B1062" s="116">
        <v>6.1438247011952196</v>
      </c>
      <c r="C1062" s="116">
        <v>6.1438247011952196</v>
      </c>
      <c r="D1062" s="116">
        <v>6.1438247011952196</v>
      </c>
      <c r="E1062" s="116">
        <v>6.1438247011952196</v>
      </c>
      <c r="F1062" s="116">
        <v>6.72</v>
      </c>
      <c r="G1062">
        <v>14893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44441</v>
      </c>
      <c r="B1063" s="116">
        <v>6.0249709495351897</v>
      </c>
      <c r="C1063" s="116">
        <v>5.9335449867197898</v>
      </c>
      <c r="D1063" s="116">
        <v>5.8421190239043801</v>
      </c>
      <c r="E1063" s="116">
        <v>5.8421190239043801</v>
      </c>
      <c r="F1063" s="116">
        <v>6.49</v>
      </c>
      <c r="G1063">
        <v>3004786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44442</v>
      </c>
      <c r="B1064" s="116">
        <v>6.2261080677290801</v>
      </c>
      <c r="C1064" s="116">
        <v>6.1621098937583003</v>
      </c>
      <c r="D1064" s="116">
        <v>5.6409819057104897</v>
      </c>
      <c r="E1064" s="116">
        <v>5.7598356573705196</v>
      </c>
      <c r="F1064" s="116">
        <v>6.74</v>
      </c>
      <c r="G1064">
        <v>1095709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44445</v>
      </c>
      <c r="B1065" s="116">
        <v>6.4638155710491398</v>
      </c>
      <c r="C1065" s="116">
        <v>6.4638155710491398</v>
      </c>
      <c r="D1065" s="116">
        <v>6.1712524900398398</v>
      </c>
      <c r="E1065" s="116">
        <v>6.3083914342629503</v>
      </c>
      <c r="F1065" s="116">
        <v>7.07</v>
      </c>
      <c r="G1065">
        <v>3563225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44446</v>
      </c>
      <c r="B1066" s="116">
        <v>6.7563786520584301</v>
      </c>
      <c r="C1066" s="116">
        <v>6.7198082669322696</v>
      </c>
      <c r="D1066" s="116">
        <v>6.5918119189907003</v>
      </c>
      <c r="E1066" s="116">
        <v>6.5918119189907003</v>
      </c>
      <c r="F1066" s="116">
        <v>7.35</v>
      </c>
      <c r="G1066">
        <v>4630411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44447</v>
      </c>
      <c r="B1067" s="116">
        <v>6.9940861553784899</v>
      </c>
      <c r="C1067" s="116">
        <v>6.53695634130146</v>
      </c>
      <c r="D1067" s="116">
        <v>6.3906748007968099</v>
      </c>
      <c r="E1067" s="116">
        <v>6.9483731739707801</v>
      </c>
      <c r="F1067" s="116">
        <v>7.15</v>
      </c>
      <c r="G1067">
        <v>3217984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44448</v>
      </c>
      <c r="B1068" s="116">
        <v>6.34496181938911</v>
      </c>
      <c r="C1068" s="116">
        <v>6.2169654714475397</v>
      </c>
      <c r="D1068" s="116">
        <v>6.2169654714475397</v>
      </c>
      <c r="E1068" s="116">
        <v>6.34496181938911</v>
      </c>
      <c r="F1068" s="116">
        <v>6.8</v>
      </c>
      <c r="G1068">
        <v>208430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44452</v>
      </c>
      <c r="B1069" s="116">
        <v>5.9061171978751696</v>
      </c>
      <c r="C1069" s="116">
        <v>5.9061171978751696</v>
      </c>
      <c r="D1069" s="116">
        <v>5.9061171978751696</v>
      </c>
      <c r="E1069" s="116">
        <v>5.9061171978751696</v>
      </c>
      <c r="F1069" s="116">
        <v>6.46</v>
      </c>
      <c r="G1069">
        <v>44086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44453</v>
      </c>
      <c r="B1070" s="116">
        <v>5.6135541168658696</v>
      </c>
      <c r="C1070" s="116">
        <v>5.6135541168658696</v>
      </c>
      <c r="D1070" s="116">
        <v>5.6135541168658696</v>
      </c>
      <c r="E1070" s="116">
        <v>5.6135541168658696</v>
      </c>
      <c r="F1070" s="116">
        <v>6.14</v>
      </c>
      <c r="G1070">
        <v>28614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44454</v>
      </c>
      <c r="B1071" s="116">
        <v>5.3392762284196502</v>
      </c>
      <c r="C1071" s="116">
        <v>5.3392762284196502</v>
      </c>
      <c r="D1071" s="116">
        <v>5.3392762284196502</v>
      </c>
      <c r="E1071" s="116">
        <v>5.3392762284196502</v>
      </c>
      <c r="F1071" s="116">
        <v>5.84</v>
      </c>
      <c r="G1071">
        <v>49366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44455</v>
      </c>
      <c r="B1072" s="116">
        <v>5.0741409362549801</v>
      </c>
      <c r="C1072" s="116">
        <v>5.0741409362549801</v>
      </c>
      <c r="D1072" s="116">
        <v>5.0741409362549801</v>
      </c>
      <c r="E1072" s="116">
        <v>5.0741409362549801</v>
      </c>
      <c r="F1072" s="116">
        <v>5.55</v>
      </c>
      <c r="G1072">
        <v>75040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44456</v>
      </c>
      <c r="B1073" s="116">
        <v>4.8272908366533898</v>
      </c>
      <c r="C1073" s="116">
        <v>4.8272908366533898</v>
      </c>
      <c r="D1073" s="116">
        <v>4.8272908366533898</v>
      </c>
      <c r="E1073" s="116">
        <v>4.8272908366533898</v>
      </c>
      <c r="F1073" s="116">
        <v>5.28</v>
      </c>
      <c r="G1073">
        <v>17322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44459</v>
      </c>
      <c r="B1074" s="116">
        <v>4.58958333333333</v>
      </c>
      <c r="C1074" s="116">
        <v>4.58958333333333</v>
      </c>
      <c r="D1074" s="116">
        <v>4.58958333333333</v>
      </c>
      <c r="E1074" s="116">
        <v>4.58958333333333</v>
      </c>
      <c r="F1074" s="116">
        <v>5.0199999999999996</v>
      </c>
      <c r="G1074">
        <v>19089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44460</v>
      </c>
      <c r="B1075" s="116">
        <v>4.3610184262948204</v>
      </c>
      <c r="C1075" s="116">
        <v>4.3610184262948204</v>
      </c>
      <c r="D1075" s="116">
        <v>4.3610184262948204</v>
      </c>
      <c r="E1075" s="116">
        <v>4.3610184262948204</v>
      </c>
      <c r="F1075" s="116">
        <v>4.7699999999999996</v>
      </c>
      <c r="G1075">
        <v>27412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44461</v>
      </c>
      <c r="B1076" s="116">
        <v>4.1507387118193897</v>
      </c>
      <c r="C1076" s="116">
        <v>4.1507387118193897</v>
      </c>
      <c r="D1076" s="116">
        <v>4.1507387118193897</v>
      </c>
      <c r="E1076" s="116">
        <v>4.1507387118193897</v>
      </c>
      <c r="F1076" s="116">
        <v>4.54</v>
      </c>
      <c r="G1076">
        <v>5175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44462</v>
      </c>
      <c r="B1077" s="116">
        <v>3.9496015936254998</v>
      </c>
      <c r="C1077" s="116">
        <v>3.9496015936254998</v>
      </c>
      <c r="D1077" s="116">
        <v>3.9496015936254998</v>
      </c>
      <c r="E1077" s="116">
        <v>3.9496015936254998</v>
      </c>
      <c r="F1077" s="116">
        <v>4.32</v>
      </c>
      <c r="G1077">
        <v>13037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44463</v>
      </c>
      <c r="B1078" s="116">
        <v>3.7576070717131498</v>
      </c>
      <c r="C1078" s="116">
        <v>3.7576070717131498</v>
      </c>
      <c r="D1078" s="116">
        <v>3.7576070717131498</v>
      </c>
      <c r="E1078" s="116">
        <v>3.7576070717131498</v>
      </c>
      <c r="F1078" s="116">
        <v>4.1100000000000003</v>
      </c>
      <c r="G1078">
        <v>19990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44466</v>
      </c>
      <c r="B1079" s="116">
        <v>3.5747551460823401</v>
      </c>
      <c r="C1079" s="116">
        <v>3.5747551460823401</v>
      </c>
      <c r="D1079" s="116">
        <v>3.5747551460823401</v>
      </c>
      <c r="E1079" s="116">
        <v>3.5747551460823401</v>
      </c>
      <c r="F1079" s="116">
        <v>3.91</v>
      </c>
      <c r="G1079">
        <v>51946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44467</v>
      </c>
      <c r="B1080" s="116">
        <v>3.4010458167330699</v>
      </c>
      <c r="C1080" s="116">
        <v>3.4010458167330699</v>
      </c>
      <c r="D1080" s="116">
        <v>3.4010458167330699</v>
      </c>
      <c r="E1080" s="116">
        <v>3.4010458167330699</v>
      </c>
      <c r="F1080" s="116">
        <v>3.72</v>
      </c>
      <c r="G1080">
        <v>36493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44468</v>
      </c>
      <c r="B1081" s="116">
        <v>3.2364790836653401</v>
      </c>
      <c r="C1081" s="116">
        <v>3.2364790836653401</v>
      </c>
      <c r="D1081" s="116">
        <v>3.2364790836653401</v>
      </c>
      <c r="E1081" s="116">
        <v>3.2364790836653401</v>
      </c>
      <c r="F1081" s="116">
        <v>3.54</v>
      </c>
      <c r="G1081">
        <v>8726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44469</v>
      </c>
      <c r="B1082" s="116">
        <v>3.3827606241699901</v>
      </c>
      <c r="C1082" s="116">
        <v>3.1541957171314698</v>
      </c>
      <c r="D1082" s="116">
        <v>3.0810549468791502</v>
      </c>
      <c r="E1082" s="116">
        <v>3.0810549468791502</v>
      </c>
      <c r="F1082" s="116">
        <v>3.45</v>
      </c>
      <c r="G1082">
        <v>1555785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44470</v>
      </c>
      <c r="B1083" s="116">
        <v>3.3096198539176598</v>
      </c>
      <c r="C1083" s="116">
        <v>3.0627697543160699</v>
      </c>
      <c r="D1083" s="116">
        <v>2.9987715803452901</v>
      </c>
      <c r="E1083" s="116">
        <v>2.9987715803452901</v>
      </c>
      <c r="F1083" s="116">
        <v>3.35</v>
      </c>
      <c r="G1083">
        <v>868285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44473</v>
      </c>
      <c r="B1084" s="116">
        <v>3.2090512948207199</v>
      </c>
      <c r="C1084" s="116">
        <v>3.2090512948207199</v>
      </c>
      <c r="D1084" s="116">
        <v>2.9164882138114199</v>
      </c>
      <c r="E1084" s="116">
        <v>3.0627697543160699</v>
      </c>
      <c r="F1084" s="116">
        <v>3.51</v>
      </c>
      <c r="G1084">
        <v>440736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44474</v>
      </c>
      <c r="B1085" s="116">
        <v>3.3644754316069099</v>
      </c>
      <c r="C1085" s="116">
        <v>3.2273364873838002</v>
      </c>
      <c r="D1085" s="116">
        <v>3.05362715803453</v>
      </c>
      <c r="E1085" s="116">
        <v>3.2090512948207199</v>
      </c>
      <c r="F1085" s="116">
        <v>3.53</v>
      </c>
      <c r="G1085">
        <v>460072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44475</v>
      </c>
      <c r="B1086" s="116">
        <v>3.3644754316069099</v>
      </c>
      <c r="C1086" s="116">
        <v>3.0719123505976098</v>
      </c>
      <c r="D1086" s="116">
        <v>3.0719123505976098</v>
      </c>
      <c r="E1086" s="116">
        <v>3.2273364873838002</v>
      </c>
      <c r="F1086" s="116">
        <v>3.36</v>
      </c>
      <c r="G1086">
        <v>243542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44476</v>
      </c>
      <c r="B1087" s="116">
        <v>3.1907661022576401</v>
      </c>
      <c r="C1087" s="116">
        <v>2.9256308100929602</v>
      </c>
      <c r="D1087" s="116">
        <v>2.9256308100929602</v>
      </c>
      <c r="E1087" s="116">
        <v>3.0719123505976098</v>
      </c>
      <c r="F1087" s="116">
        <v>3.2</v>
      </c>
      <c r="G1087">
        <v>108141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44477</v>
      </c>
      <c r="B1088" s="116">
        <v>2.8342048472775598</v>
      </c>
      <c r="C1088" s="116">
        <v>2.7793492695883102</v>
      </c>
      <c r="D1088" s="116">
        <v>2.7793492695883102</v>
      </c>
      <c r="E1088" s="116">
        <v>2.7884918658698501</v>
      </c>
      <c r="F1088" s="116">
        <v>3.04</v>
      </c>
      <c r="G1088">
        <v>70014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44480</v>
      </c>
      <c r="B1089" s="116">
        <v>2.7427788844621501</v>
      </c>
      <c r="C1089" s="116">
        <v>2.6422103253652098</v>
      </c>
      <c r="D1089" s="116">
        <v>2.6422103253652098</v>
      </c>
      <c r="E1089" s="116">
        <v>2.6422103253652098</v>
      </c>
      <c r="F1089" s="116">
        <v>2.89</v>
      </c>
      <c r="G1089">
        <v>180535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44481</v>
      </c>
      <c r="B1090" s="116">
        <v>2.5142139774236401</v>
      </c>
      <c r="C1090" s="116">
        <v>2.5142139774236401</v>
      </c>
      <c r="D1090" s="116">
        <v>2.5142139774236401</v>
      </c>
      <c r="E1090" s="116">
        <v>2.5142139774236401</v>
      </c>
      <c r="F1090" s="116">
        <v>2.75</v>
      </c>
      <c r="G1090">
        <v>34622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44482</v>
      </c>
      <c r="B1091" s="116">
        <v>2.3953602257636102</v>
      </c>
      <c r="C1091" s="116">
        <v>2.3953602257636102</v>
      </c>
      <c r="D1091" s="116">
        <v>2.3953602257636102</v>
      </c>
      <c r="E1091" s="116">
        <v>2.3953602257636102</v>
      </c>
      <c r="F1091" s="116">
        <v>2.62</v>
      </c>
      <c r="G1091">
        <v>77824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44483</v>
      </c>
      <c r="B1092" s="116">
        <v>2.2765064741035901</v>
      </c>
      <c r="C1092" s="116">
        <v>2.2765064741035901</v>
      </c>
      <c r="D1092" s="116">
        <v>2.2765064741035901</v>
      </c>
      <c r="E1092" s="116">
        <v>2.2765064741035901</v>
      </c>
      <c r="F1092" s="116">
        <v>2.4900000000000002</v>
      </c>
      <c r="G1092">
        <v>102537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44487</v>
      </c>
      <c r="B1093" s="116">
        <v>2.1667953187251001</v>
      </c>
      <c r="C1093" s="116">
        <v>2.1667953187251001</v>
      </c>
      <c r="D1093" s="116">
        <v>2.1667953187251001</v>
      </c>
      <c r="E1093" s="116">
        <v>2.1667953187251001</v>
      </c>
      <c r="F1093" s="116">
        <v>2.37</v>
      </c>
      <c r="G1093">
        <v>103585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44488</v>
      </c>
      <c r="B1094" s="116">
        <v>2.2673638778220502</v>
      </c>
      <c r="C1094" s="116">
        <v>2.1850805112881799</v>
      </c>
      <c r="D1094" s="116">
        <v>2.0662267596281501</v>
      </c>
      <c r="E1094" s="116">
        <v>2.0662267596281501</v>
      </c>
      <c r="F1094" s="116">
        <v>2.39</v>
      </c>
      <c r="G1094">
        <v>1201054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44489</v>
      </c>
      <c r="B1095" s="116">
        <v>2.28564907038513</v>
      </c>
      <c r="C1095" s="116">
        <v>2.28564907038513</v>
      </c>
      <c r="D1095" s="116">
        <v>2.0845119521912299</v>
      </c>
      <c r="E1095" s="116">
        <v>2.0845119521912299</v>
      </c>
      <c r="F1095" s="116">
        <v>2.5</v>
      </c>
      <c r="G1095">
        <v>723850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44490</v>
      </c>
      <c r="B1096" s="116">
        <v>2.3953602257636102</v>
      </c>
      <c r="C1096" s="116">
        <v>2.3953602257636102</v>
      </c>
      <c r="D1096" s="116">
        <v>2.2307934926958799</v>
      </c>
      <c r="E1096" s="116">
        <v>2.3953602257636102</v>
      </c>
      <c r="F1096" s="116">
        <v>2.62</v>
      </c>
      <c r="G1096">
        <v>692988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44491</v>
      </c>
      <c r="B1097" s="116">
        <v>2.5142139774236401</v>
      </c>
      <c r="C1097" s="116">
        <v>2.3222194555112901</v>
      </c>
      <c r="D1097" s="116">
        <v>2.2765064741035901</v>
      </c>
      <c r="E1097" s="116">
        <v>2.5050713811421002</v>
      </c>
      <c r="F1097" s="116">
        <v>2.54</v>
      </c>
      <c r="G1097">
        <v>675555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44494</v>
      </c>
      <c r="B1098" s="116">
        <v>2.4319306108897698</v>
      </c>
      <c r="C1098" s="116">
        <v>2.41364541832669</v>
      </c>
      <c r="D1098" s="116">
        <v>2.2125083001328001</v>
      </c>
      <c r="E1098" s="116">
        <v>2.28564907038513</v>
      </c>
      <c r="F1098" s="116">
        <v>2.64</v>
      </c>
      <c r="G1098">
        <v>374778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44495</v>
      </c>
      <c r="B1099" s="116">
        <v>2.5324991699867199</v>
      </c>
      <c r="C1099" s="116">
        <v>2.5142139774236401</v>
      </c>
      <c r="D1099" s="116">
        <v>2.2947916666666699</v>
      </c>
      <c r="E1099" s="116">
        <v>2.4227880146082299</v>
      </c>
      <c r="F1099" s="116">
        <v>2.75</v>
      </c>
      <c r="G1099">
        <v>586506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44496</v>
      </c>
      <c r="B1100" s="116">
        <v>2.6330677290836699</v>
      </c>
      <c r="C1100" s="116">
        <v>2.5507843625498001</v>
      </c>
      <c r="D1100" s="116">
        <v>2.4045028220451501</v>
      </c>
      <c r="E1100" s="116">
        <v>2.5142139774236401</v>
      </c>
      <c r="F1100" s="116">
        <v>2.79</v>
      </c>
      <c r="G1100">
        <v>109030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44497</v>
      </c>
      <c r="B1101" s="116">
        <v>2.66963811420983</v>
      </c>
      <c r="C1101" s="116">
        <v>2.4502158034528598</v>
      </c>
      <c r="D1101" s="116">
        <v>2.4319306108897698</v>
      </c>
      <c r="E1101" s="116">
        <v>2.5507843625498001</v>
      </c>
      <c r="F1101" s="116">
        <v>2.68</v>
      </c>
      <c r="G1101">
        <v>293560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44498</v>
      </c>
      <c r="B1102" s="116">
        <v>2.5690695551128799</v>
      </c>
      <c r="C1102" s="116">
        <v>2.4867861885790199</v>
      </c>
      <c r="D1102" s="116">
        <v>2.33136205179283</v>
      </c>
      <c r="E1102" s="116">
        <v>2.33136205179283</v>
      </c>
      <c r="F1102" s="116">
        <v>2.72</v>
      </c>
      <c r="G1102">
        <v>76088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44501</v>
      </c>
      <c r="B1103" s="116">
        <v>2.60563994023904</v>
      </c>
      <c r="C1103" s="116">
        <v>2.5964973439575001</v>
      </c>
      <c r="D1103" s="116">
        <v>2.36793243691899</v>
      </c>
      <c r="E1103" s="116">
        <v>2.41364541832669</v>
      </c>
      <c r="F1103" s="116">
        <v>2.84</v>
      </c>
      <c r="G1103">
        <v>1454971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44502</v>
      </c>
      <c r="B1104" s="116">
        <v>2.7244936918990699</v>
      </c>
      <c r="C1104" s="116">
        <v>2.7244936918990699</v>
      </c>
      <c r="D1104" s="116">
        <v>2.47764359229748</v>
      </c>
      <c r="E1104" s="116">
        <v>2.7244936918990699</v>
      </c>
      <c r="F1104" s="116">
        <v>2.98</v>
      </c>
      <c r="G1104">
        <v>336434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44503</v>
      </c>
      <c r="B1105" s="116">
        <v>2.8524900398406401</v>
      </c>
      <c r="C1105" s="116">
        <v>2.8524900398406401</v>
      </c>
      <c r="D1105" s="116">
        <v>2.8524900398406401</v>
      </c>
      <c r="E1105" s="116">
        <v>2.8524900398406401</v>
      </c>
      <c r="F1105" s="116">
        <v>3.12</v>
      </c>
      <c r="G1105">
        <v>122103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44504</v>
      </c>
      <c r="B1106" s="116">
        <v>2.98962898406374</v>
      </c>
      <c r="C1106" s="116">
        <v>2.98962898406374</v>
      </c>
      <c r="D1106" s="116">
        <v>2.98962898406374</v>
      </c>
      <c r="E1106" s="116">
        <v>2.98962898406374</v>
      </c>
      <c r="F1106" s="116">
        <v>3.27</v>
      </c>
      <c r="G1106">
        <v>62216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44508</v>
      </c>
      <c r="B1107" s="116">
        <v>3.13591052456839</v>
      </c>
      <c r="C1107" s="116">
        <v>3.13591052456839</v>
      </c>
      <c r="D1107" s="116">
        <v>3.13591052456839</v>
      </c>
      <c r="E1107" s="116">
        <v>3.13591052456839</v>
      </c>
      <c r="F1107" s="116">
        <v>3.43</v>
      </c>
      <c r="G1107">
        <v>93996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44509</v>
      </c>
      <c r="B1108" s="116">
        <v>3.29133466135458</v>
      </c>
      <c r="C1108" s="116">
        <v>3.29133466135458</v>
      </c>
      <c r="D1108" s="116">
        <v>3.29133466135458</v>
      </c>
      <c r="E1108" s="116">
        <v>3.29133466135458</v>
      </c>
      <c r="F1108" s="116">
        <v>3.6</v>
      </c>
      <c r="G1108">
        <v>380449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44510</v>
      </c>
      <c r="B1109" s="116">
        <v>3.4559013944223098</v>
      </c>
      <c r="C1109" s="116">
        <v>3.4559013944223098</v>
      </c>
      <c r="D1109" s="116">
        <v>3.4559013944223098</v>
      </c>
      <c r="E1109" s="116">
        <v>3.4559013944223098</v>
      </c>
      <c r="F1109" s="116">
        <v>3.78</v>
      </c>
      <c r="G1109">
        <v>128079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44511</v>
      </c>
      <c r="B1110" s="116">
        <v>3.6204681274900401</v>
      </c>
      <c r="C1110" s="116">
        <v>3.6204681274900401</v>
      </c>
      <c r="D1110" s="116">
        <v>3.6204681274900401</v>
      </c>
      <c r="E1110" s="116">
        <v>3.6204681274900401</v>
      </c>
      <c r="F1110" s="116">
        <v>3.96</v>
      </c>
      <c r="G1110">
        <v>67757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44512</v>
      </c>
      <c r="B1111" s="116">
        <v>3.7941774568393098</v>
      </c>
      <c r="C1111" s="116">
        <v>3.7027514940239001</v>
      </c>
      <c r="D1111" s="116">
        <v>3.4467587981407699</v>
      </c>
      <c r="E1111" s="116">
        <v>3.7941774568393098</v>
      </c>
      <c r="F1111" s="116">
        <v>4.05</v>
      </c>
      <c r="G1111">
        <v>1802783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44515</v>
      </c>
      <c r="B1112" s="116">
        <v>3.7850348605577699</v>
      </c>
      <c r="C1112" s="116">
        <v>3.51989956839309</v>
      </c>
      <c r="D1112" s="116">
        <v>3.51989956839309</v>
      </c>
      <c r="E1112" s="116">
        <v>3.7484644754316099</v>
      </c>
      <c r="F1112" s="116">
        <v>3.85</v>
      </c>
      <c r="G1112">
        <v>352745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44516</v>
      </c>
      <c r="B1113" s="116">
        <v>3.6204681274900401</v>
      </c>
      <c r="C1113" s="116">
        <v>3.3461902390438198</v>
      </c>
      <c r="D1113" s="116">
        <v>3.3461902390438198</v>
      </c>
      <c r="E1113" s="116">
        <v>3.3461902390438198</v>
      </c>
      <c r="F1113" s="116">
        <v>3.66</v>
      </c>
      <c r="G1113">
        <v>267631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44517</v>
      </c>
      <c r="B1114" s="116">
        <v>3.5107569721115501</v>
      </c>
      <c r="C1114" s="116">
        <v>3.5107569721115501</v>
      </c>
      <c r="D1114" s="116">
        <v>3.1816235059761002</v>
      </c>
      <c r="E1114" s="116">
        <v>3.1816235059761002</v>
      </c>
      <c r="F1114" s="116">
        <v>3.84</v>
      </c>
      <c r="G1114">
        <v>267969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44518</v>
      </c>
      <c r="B1115" s="116">
        <v>3.6844663014608199</v>
      </c>
      <c r="C1115" s="116">
        <v>3.4741865869853901</v>
      </c>
      <c r="D1115" s="116">
        <v>3.3644754316069099</v>
      </c>
      <c r="E1115" s="116">
        <v>3.6844663014608199</v>
      </c>
      <c r="F1115" s="116">
        <v>3.8</v>
      </c>
      <c r="G1115">
        <v>233568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44522</v>
      </c>
      <c r="B1116" s="116">
        <v>3.6478959163346598</v>
      </c>
      <c r="C1116" s="116">
        <v>3.6387533200531199</v>
      </c>
      <c r="D1116" s="116">
        <v>3.3004772576361199</v>
      </c>
      <c r="E1116" s="116">
        <v>3.6478959163346598</v>
      </c>
      <c r="F1116" s="116">
        <v>3.98</v>
      </c>
      <c r="G1116">
        <v>396183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44523</v>
      </c>
      <c r="B1117" s="116">
        <v>3.8124626494023901</v>
      </c>
      <c r="C1117" s="116">
        <v>3.6204681274900401</v>
      </c>
      <c r="D1117" s="116">
        <v>3.4650439907038502</v>
      </c>
      <c r="E1117" s="116">
        <v>3.4650439907038502</v>
      </c>
      <c r="F1117" s="116">
        <v>3.96</v>
      </c>
      <c r="G1117">
        <v>348154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44524</v>
      </c>
      <c r="B1118" s="116">
        <v>3.7941774568393098</v>
      </c>
      <c r="C1118" s="116">
        <v>3.6387533200531199</v>
      </c>
      <c r="D1118" s="116">
        <v>3.4467587981407699</v>
      </c>
      <c r="E1118" s="116">
        <v>3.7941774568393098</v>
      </c>
      <c r="F1118" s="116">
        <v>3.98</v>
      </c>
      <c r="G1118">
        <v>174520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44525</v>
      </c>
      <c r="B1119" s="116">
        <v>3.8124626494023901</v>
      </c>
      <c r="C1119" s="116">
        <v>3.8124626494023901</v>
      </c>
      <c r="D1119" s="116">
        <v>3.8033200531208502</v>
      </c>
      <c r="E1119" s="116">
        <v>3.8033200531208502</v>
      </c>
      <c r="F1119" s="116">
        <v>4.17</v>
      </c>
      <c r="G1119">
        <v>270489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44526</v>
      </c>
      <c r="B1120" s="116">
        <v>3.9953145750332002</v>
      </c>
      <c r="C1120" s="116">
        <v>3.9953145750332002</v>
      </c>
      <c r="D1120" s="116">
        <v>3.6478959163346598</v>
      </c>
      <c r="E1120" s="116">
        <v>3.9953145750332002</v>
      </c>
      <c r="F1120" s="116">
        <v>4.37</v>
      </c>
      <c r="G1120">
        <v>479318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44529</v>
      </c>
      <c r="B1121" s="116">
        <v>4.1873090969455502</v>
      </c>
      <c r="C1121" s="116">
        <v>4.1873090969455502</v>
      </c>
      <c r="D1121" s="116">
        <v>3.8581756308100901</v>
      </c>
      <c r="E1121" s="116">
        <v>4.1873090969455502</v>
      </c>
      <c r="F1121" s="116">
        <v>4.58</v>
      </c>
      <c r="G1121">
        <v>361343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44530</v>
      </c>
      <c r="B1122" s="116">
        <v>4.3884462151394397</v>
      </c>
      <c r="C1122" s="116">
        <v>4.3610184262948204</v>
      </c>
      <c r="D1122" s="116">
        <v>4.0410275564409002</v>
      </c>
      <c r="E1122" s="116">
        <v>4.3793036188579002</v>
      </c>
      <c r="F1122" s="116">
        <v>4.7699999999999996</v>
      </c>
      <c r="G1122">
        <v>391421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44531</v>
      </c>
      <c r="B1123" s="116">
        <v>4.5255851593625502</v>
      </c>
      <c r="C1123" s="116">
        <v>4.1507387118193897</v>
      </c>
      <c r="D1123" s="116">
        <v>4.1507387118193897</v>
      </c>
      <c r="E1123" s="116">
        <v>4.5255851593625502</v>
      </c>
      <c r="F1123" s="116">
        <v>4.54</v>
      </c>
      <c r="G1123">
        <v>155427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44532</v>
      </c>
      <c r="B1124" s="116">
        <v>4.15988130810093</v>
      </c>
      <c r="C1124" s="116">
        <v>3.9496015936254998</v>
      </c>
      <c r="D1124" s="116">
        <v>3.9496015936254998</v>
      </c>
      <c r="E1124" s="116">
        <v>3.9496015936254998</v>
      </c>
      <c r="F1124" s="116">
        <v>4.32</v>
      </c>
      <c r="G1124">
        <v>61064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44533</v>
      </c>
      <c r="B1125" s="116">
        <v>4.0227423638778204</v>
      </c>
      <c r="C1125" s="116">
        <v>3.7576070717131498</v>
      </c>
      <c r="D1125" s="116">
        <v>3.7576070717131498</v>
      </c>
      <c r="E1125" s="116">
        <v>3.7576070717131498</v>
      </c>
      <c r="F1125" s="116">
        <v>4.1100000000000003</v>
      </c>
      <c r="G1125">
        <v>49813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44536</v>
      </c>
      <c r="B1126" s="116">
        <v>3.9404589973439599</v>
      </c>
      <c r="C1126" s="116">
        <v>3.9404589973439599</v>
      </c>
      <c r="D1126" s="116">
        <v>3.58389774236388</v>
      </c>
      <c r="E1126" s="116">
        <v>3.7576070717131498</v>
      </c>
      <c r="F1126" s="116">
        <v>4.3099999999999996</v>
      </c>
      <c r="G1126">
        <v>186976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44537</v>
      </c>
      <c r="B1127" s="116">
        <v>4.1324535192563099</v>
      </c>
      <c r="C1127" s="116">
        <v>3.9404589973439599</v>
      </c>
      <c r="D1127" s="116">
        <v>3.7484644754316099</v>
      </c>
      <c r="E1127" s="116">
        <v>4.1141683266932301</v>
      </c>
      <c r="F1127" s="116">
        <v>4.3099999999999996</v>
      </c>
      <c r="G1127">
        <v>224725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44538</v>
      </c>
      <c r="B1128" s="116">
        <v>4.1324535192563099</v>
      </c>
      <c r="C1128" s="116">
        <v>3.9130312084993402</v>
      </c>
      <c r="D1128" s="116">
        <v>3.7484644754316099</v>
      </c>
      <c r="E1128" s="116">
        <v>4.1324535192563099</v>
      </c>
      <c r="F1128" s="116">
        <v>4.28</v>
      </c>
      <c r="G1128">
        <v>440673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44539</v>
      </c>
      <c r="B1129" s="116">
        <v>4.1050257304116897</v>
      </c>
      <c r="C1129" s="116">
        <v>4.1050257304116897</v>
      </c>
      <c r="D1129" s="116">
        <v>3.7576070717131498</v>
      </c>
      <c r="E1129" s="116">
        <v>3.9221738047808801</v>
      </c>
      <c r="F1129" s="116">
        <v>4.49</v>
      </c>
      <c r="G1129">
        <v>263716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44540</v>
      </c>
      <c r="B1130" s="116">
        <v>4.3061628486055801</v>
      </c>
      <c r="C1130" s="116">
        <v>4.3061628486055801</v>
      </c>
      <c r="D1130" s="116">
        <v>4.3061628486055801</v>
      </c>
      <c r="E1130" s="116">
        <v>4.3061628486055801</v>
      </c>
      <c r="F1130" s="116">
        <v>4.71</v>
      </c>
      <c r="G1130">
        <v>124679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44543</v>
      </c>
      <c r="B1131" s="116">
        <v>4.5164425630810099</v>
      </c>
      <c r="C1131" s="116">
        <v>4.5164425630810099</v>
      </c>
      <c r="D1131" s="116">
        <v>4.0958831341301503</v>
      </c>
      <c r="E1131" s="116">
        <v>4.2238794820717098</v>
      </c>
      <c r="F1131" s="116">
        <v>4.9400000000000004</v>
      </c>
      <c r="G1131">
        <v>673209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44544</v>
      </c>
      <c r="B1132" s="116">
        <v>4.73586487383798</v>
      </c>
      <c r="C1132" s="116">
        <v>4.73586487383798</v>
      </c>
      <c r="D1132" s="116">
        <v>4.6170111221779502</v>
      </c>
      <c r="E1132" s="116">
        <v>4.73586487383798</v>
      </c>
      <c r="F1132" s="116">
        <v>5.18</v>
      </c>
      <c r="G1132">
        <v>262861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44545</v>
      </c>
      <c r="B1133" s="116">
        <v>4.9644297808764897</v>
      </c>
      <c r="C1133" s="116">
        <v>4.9644297808764897</v>
      </c>
      <c r="D1133" s="116">
        <v>4.9644297808764897</v>
      </c>
      <c r="E1133" s="116">
        <v>4.9644297808764897</v>
      </c>
      <c r="F1133" s="116">
        <v>5.43</v>
      </c>
      <c r="G1133">
        <v>205829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44546</v>
      </c>
      <c r="B1134" s="116">
        <v>5.2112798804780898</v>
      </c>
      <c r="C1134" s="116">
        <v>5.2112798804780898</v>
      </c>
      <c r="D1134" s="116">
        <v>5.2112798804780898</v>
      </c>
      <c r="E1134" s="116">
        <v>5.2112798804780898</v>
      </c>
      <c r="F1134" s="116">
        <v>5.7</v>
      </c>
      <c r="G1134">
        <v>74081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44547</v>
      </c>
      <c r="B1135" s="116">
        <v>5.4672725763612204</v>
      </c>
      <c r="C1135" s="116">
        <v>5.4672725763612204</v>
      </c>
      <c r="D1135" s="116">
        <v>5.4672725763612204</v>
      </c>
      <c r="E1135" s="116">
        <v>5.4672725763612204</v>
      </c>
      <c r="F1135" s="116">
        <v>5.98</v>
      </c>
      <c r="G1135">
        <v>306293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44550</v>
      </c>
      <c r="B1136" s="116">
        <v>5.7324078685259003</v>
      </c>
      <c r="C1136" s="116">
        <v>5.7324078685259003</v>
      </c>
      <c r="D1136" s="116">
        <v>5.7324078685259003</v>
      </c>
      <c r="E1136" s="116">
        <v>5.7324078685259003</v>
      </c>
      <c r="F1136" s="116">
        <v>6.27</v>
      </c>
      <c r="G1136">
        <v>577738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44551</v>
      </c>
      <c r="B1137" s="116">
        <v>6.0158283532536503</v>
      </c>
      <c r="C1137" s="116">
        <v>6.0158283532536503</v>
      </c>
      <c r="D1137" s="116">
        <v>6.0158283532536503</v>
      </c>
      <c r="E1137" s="116">
        <v>6.0158283532536503</v>
      </c>
      <c r="F1137" s="116">
        <v>6.58</v>
      </c>
      <c r="G1137">
        <v>575594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44552</v>
      </c>
      <c r="B1138" s="116">
        <v>6.3083914342629503</v>
      </c>
      <c r="C1138" s="116">
        <v>6.3083914342629503</v>
      </c>
      <c r="D1138" s="116">
        <v>6.3083914342629503</v>
      </c>
      <c r="E1138" s="116">
        <v>6.3083914342629503</v>
      </c>
      <c r="F1138" s="116">
        <v>6.9</v>
      </c>
      <c r="G1138">
        <v>520256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44553</v>
      </c>
      <c r="B1139" s="116">
        <v>6.6192397078353302</v>
      </c>
      <c r="C1139" s="116">
        <v>5.9975431606905696</v>
      </c>
      <c r="D1139" s="116">
        <v>5.9975431606905696</v>
      </c>
      <c r="E1139" s="116">
        <v>6.6192397078353302</v>
      </c>
      <c r="F1139" s="116">
        <v>6.56</v>
      </c>
      <c r="G1139">
        <v>2450454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44554</v>
      </c>
      <c r="B1140" s="116">
        <v>6.2901062416998696</v>
      </c>
      <c r="C1140" s="116">
        <v>6.1438247011952196</v>
      </c>
      <c r="D1140" s="116">
        <v>5.7049800796812704</v>
      </c>
      <c r="E1140" s="116">
        <v>5.7049800796812704</v>
      </c>
      <c r="F1140" s="116">
        <v>6.72</v>
      </c>
      <c r="G1140">
        <v>2005163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44557</v>
      </c>
      <c r="B1141" s="116">
        <v>6.44553037848606</v>
      </c>
      <c r="C1141" s="116">
        <v>6.44553037848606</v>
      </c>
      <c r="D1141" s="116">
        <v>6.1803950863213801</v>
      </c>
      <c r="E1141" s="116">
        <v>6.44553037848606</v>
      </c>
      <c r="F1141" s="116">
        <v>7.05</v>
      </c>
      <c r="G1141">
        <v>741208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44558</v>
      </c>
      <c r="B1142" s="116">
        <v>6.7655212483399696</v>
      </c>
      <c r="C1142" s="116">
        <v>6.7655212483399696</v>
      </c>
      <c r="D1142" s="116">
        <v>6.5826693227091599</v>
      </c>
      <c r="E1142" s="116">
        <v>6.7655212483399696</v>
      </c>
      <c r="F1142" s="116">
        <v>7.4</v>
      </c>
      <c r="G1142">
        <v>658239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44559</v>
      </c>
      <c r="B1143" s="116">
        <v>7.1037973107569696</v>
      </c>
      <c r="C1143" s="116">
        <v>7.1037973107569696</v>
      </c>
      <c r="D1143" s="116">
        <v>6.7655212483399696</v>
      </c>
      <c r="E1143" s="116">
        <v>7.1037973107569696</v>
      </c>
      <c r="F1143" s="116">
        <v>7.77</v>
      </c>
      <c r="G1143">
        <v>662596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44560</v>
      </c>
      <c r="B1144" s="116">
        <v>7.45121596945551</v>
      </c>
      <c r="C1144" s="116">
        <v>7.2683640438247004</v>
      </c>
      <c r="D1144" s="116">
        <v>6.7563786520584301</v>
      </c>
      <c r="E1144" s="116">
        <v>7.45121596945551</v>
      </c>
      <c r="F1144" s="116">
        <v>7.95</v>
      </c>
      <c r="G1144">
        <v>2214731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44561</v>
      </c>
      <c r="B1145" s="116">
        <v>7.6249252988047802</v>
      </c>
      <c r="C1145" s="116">
        <v>7.6249252988047802</v>
      </c>
      <c r="D1145" s="116">
        <v>7.3140770252324003</v>
      </c>
      <c r="E1145" s="116">
        <v>7.45121596945551</v>
      </c>
      <c r="F1145" s="116">
        <v>8.34</v>
      </c>
      <c r="G1145">
        <v>1287119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44564</v>
      </c>
      <c r="B1146" s="116">
        <v>7.9997717463479399</v>
      </c>
      <c r="C1146" s="116">
        <v>7.9997717463479399</v>
      </c>
      <c r="D1146" s="116">
        <v>7.8169198207171302</v>
      </c>
      <c r="E1146" s="116">
        <v>7.9997717463479399</v>
      </c>
      <c r="F1146" s="116">
        <v>8.75</v>
      </c>
      <c r="G1146">
        <v>838531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44565</v>
      </c>
      <c r="B1147" s="116">
        <v>8.3929033864541793</v>
      </c>
      <c r="C1147" s="116">
        <v>7.6340678950863197</v>
      </c>
      <c r="D1147" s="116">
        <v>7.6066401062417004</v>
      </c>
      <c r="E1147" s="116">
        <v>8.3929033864541793</v>
      </c>
      <c r="F1147" s="116">
        <v>8.35</v>
      </c>
      <c r="G1147">
        <v>1822007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44566</v>
      </c>
      <c r="B1148" s="116">
        <v>7.5792123173970802</v>
      </c>
      <c r="C1148" s="116">
        <v>7.25922144754316</v>
      </c>
      <c r="D1148" s="116">
        <v>7.25922144754316</v>
      </c>
      <c r="E1148" s="116">
        <v>7.3597900066401101</v>
      </c>
      <c r="F1148" s="116">
        <v>7.94</v>
      </c>
      <c r="G1148">
        <v>1047880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44567</v>
      </c>
      <c r="B1149" s="116">
        <v>7.6157827025232399</v>
      </c>
      <c r="C1149" s="116">
        <v>7.3597900066401101</v>
      </c>
      <c r="D1149" s="116">
        <v>6.9026601925630802</v>
      </c>
      <c r="E1149" s="116">
        <v>7.25922144754316</v>
      </c>
      <c r="F1149" s="116">
        <v>8.0500000000000007</v>
      </c>
      <c r="G1149">
        <v>1282610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44568</v>
      </c>
      <c r="B1150" s="116">
        <v>7.7254938579017303</v>
      </c>
      <c r="C1150" s="116">
        <v>7.7254938579017303</v>
      </c>
      <c r="D1150" s="116">
        <v>7.5426419322709197</v>
      </c>
      <c r="E1150" s="116">
        <v>7.7254938579017303</v>
      </c>
      <c r="F1150" s="116">
        <v>8.4499999999999993</v>
      </c>
      <c r="G1150">
        <v>1262211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44571</v>
      </c>
      <c r="B1151" s="116">
        <v>8.1094829017264303</v>
      </c>
      <c r="C1151" s="116">
        <v>8.1094829017264303</v>
      </c>
      <c r="D1151" s="116">
        <v>7.9083457835325399</v>
      </c>
      <c r="E1151" s="116">
        <v>8.1094829017264303</v>
      </c>
      <c r="F1151" s="116">
        <v>8.8699999999999992</v>
      </c>
      <c r="G1151">
        <v>1218065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44572</v>
      </c>
      <c r="B1152" s="116">
        <v>8.5117571381142092</v>
      </c>
      <c r="C1152" s="116">
        <v>8.5117571381142092</v>
      </c>
      <c r="D1152" s="116">
        <v>7.7072086653386496</v>
      </c>
      <c r="E1152" s="116">
        <v>8.5117571381142092</v>
      </c>
      <c r="F1152" s="116">
        <v>9.31</v>
      </c>
      <c r="G1152">
        <v>2720623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44573</v>
      </c>
      <c r="B1153" s="116">
        <v>8.9323165670650706</v>
      </c>
      <c r="C1153" s="116">
        <v>8.0911977091633496</v>
      </c>
      <c r="D1153" s="116">
        <v>8.0911977091633496</v>
      </c>
      <c r="E1153" s="116">
        <v>8.9323165670650706</v>
      </c>
      <c r="F1153" s="116">
        <v>8.85</v>
      </c>
      <c r="G1153">
        <v>1783533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44574</v>
      </c>
      <c r="B1154" s="116">
        <v>7.9997717463479399</v>
      </c>
      <c r="C1154" s="116">
        <v>7.78949203187251</v>
      </c>
      <c r="D1154" s="116">
        <v>7.68892347277556</v>
      </c>
      <c r="E1154" s="116">
        <v>7.9540587649402399</v>
      </c>
      <c r="F1154" s="116">
        <v>8.52</v>
      </c>
      <c r="G1154">
        <v>594501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44575</v>
      </c>
      <c r="B1155" s="116">
        <v>7.7712068393094302</v>
      </c>
      <c r="C1155" s="116">
        <v>7.5609271248340004</v>
      </c>
      <c r="D1155" s="116">
        <v>7.40550298804781</v>
      </c>
      <c r="E1155" s="116">
        <v>7.68892347277556</v>
      </c>
      <c r="F1155" s="116">
        <v>8.27</v>
      </c>
      <c r="G1155">
        <v>773577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44578</v>
      </c>
      <c r="B1156" s="116">
        <v>7.9357735723771601</v>
      </c>
      <c r="C1156" s="116">
        <v>7.9357735723771601</v>
      </c>
      <c r="D1156" s="116">
        <v>7.5426419322709197</v>
      </c>
      <c r="E1156" s="116">
        <v>7.7163512616201899</v>
      </c>
      <c r="F1156" s="116">
        <v>8.68</v>
      </c>
      <c r="G1156">
        <v>1080750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44579</v>
      </c>
      <c r="B1157" s="116">
        <v>8.3289052124834004</v>
      </c>
      <c r="C1157" s="116">
        <v>8.0729125166002706</v>
      </c>
      <c r="D1157" s="116">
        <v>7.9357735723771601</v>
      </c>
      <c r="E1157" s="116">
        <v>8.3289052124834004</v>
      </c>
      <c r="F1157" s="116">
        <v>8.83</v>
      </c>
      <c r="G1157">
        <v>1095981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44580</v>
      </c>
      <c r="B1158" s="116">
        <v>8.1734810756972092</v>
      </c>
      <c r="C1158" s="116">
        <v>7.7712068393094302</v>
      </c>
      <c r="D1158" s="116">
        <v>7.6706382802124802</v>
      </c>
      <c r="E1158" s="116">
        <v>8.0911977091633496</v>
      </c>
      <c r="F1158" s="116">
        <v>8.5</v>
      </c>
      <c r="G1158">
        <v>361847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44581</v>
      </c>
      <c r="B1159" s="116">
        <v>8.1551958831341302</v>
      </c>
      <c r="C1159" s="116">
        <v>7.5060715471447503</v>
      </c>
      <c r="D1159" s="116">
        <v>7.3872177954847302</v>
      </c>
      <c r="E1159" s="116">
        <v>7.3872177954847302</v>
      </c>
      <c r="F1159" s="116">
        <v>8.2100000000000009</v>
      </c>
      <c r="G1159">
        <v>365809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44582</v>
      </c>
      <c r="B1160" s="116">
        <v>7.6249252988047802</v>
      </c>
      <c r="C1160" s="116">
        <v>7.3140770252324003</v>
      </c>
      <c r="D1160" s="116">
        <v>7.1312250996015898</v>
      </c>
      <c r="E1160" s="116">
        <v>7.2226510624170004</v>
      </c>
      <c r="F1160" s="116">
        <v>8</v>
      </c>
      <c r="G1160">
        <v>411727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44585</v>
      </c>
      <c r="B1161" s="116">
        <v>7.30493442895086</v>
      </c>
      <c r="C1161" s="116">
        <v>6.9483731739707801</v>
      </c>
      <c r="D1161" s="116">
        <v>6.9483731739707801</v>
      </c>
      <c r="E1161" s="116">
        <v>6.9483731739707801</v>
      </c>
      <c r="F1161" s="116">
        <v>7.6</v>
      </c>
      <c r="G1161">
        <v>223917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44586</v>
      </c>
      <c r="B1162" s="116">
        <v>6.6009545152722398</v>
      </c>
      <c r="C1162" s="116">
        <v>6.6009545152722398</v>
      </c>
      <c r="D1162" s="116">
        <v>6.6009545152722398</v>
      </c>
      <c r="E1162" s="116">
        <v>6.6009545152722398</v>
      </c>
      <c r="F1162" s="116">
        <v>7.22</v>
      </c>
      <c r="G1162">
        <v>262999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44588</v>
      </c>
      <c r="B1163" s="116">
        <v>6.9300879814077003</v>
      </c>
      <c r="C1163" s="116">
        <v>6.9300879814077003</v>
      </c>
      <c r="D1163" s="116">
        <v>6.2718210491367898</v>
      </c>
      <c r="E1163" s="116">
        <v>6.2718210491367898</v>
      </c>
      <c r="F1163" s="116">
        <v>7.58</v>
      </c>
      <c r="G1163">
        <v>688322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44589</v>
      </c>
      <c r="B1164" s="116">
        <v>7.2683640438247004</v>
      </c>
      <c r="C1164" s="116">
        <v>7.2683640438247004</v>
      </c>
      <c r="D1164" s="116">
        <v>7.1312250996015898</v>
      </c>
      <c r="E1164" s="116">
        <v>7.1586528884462197</v>
      </c>
      <c r="F1164" s="116">
        <v>7.95</v>
      </c>
      <c r="G1164">
        <v>568245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44592</v>
      </c>
      <c r="B1165" s="116">
        <v>7.6249252988047802</v>
      </c>
      <c r="C1165" s="116">
        <v>7.1220825033200503</v>
      </c>
      <c r="D1165" s="116">
        <v>7.0397991367861898</v>
      </c>
      <c r="E1165" s="116">
        <v>7.5334993359893803</v>
      </c>
      <c r="F1165" s="116">
        <v>7.79</v>
      </c>
      <c r="G1165">
        <v>377068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44593</v>
      </c>
      <c r="B1166" s="116">
        <v>6.9483731739707801</v>
      </c>
      <c r="C1166" s="116">
        <v>6.8020916334661399</v>
      </c>
      <c r="D1166" s="116">
        <v>6.7746638446215099</v>
      </c>
      <c r="E1166" s="116">
        <v>6.9483731739707801</v>
      </c>
      <c r="F1166" s="116">
        <v>7.44</v>
      </c>
      <c r="G1166">
        <v>218425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44594</v>
      </c>
      <c r="B1167" s="116">
        <v>7.1403676958831301</v>
      </c>
      <c r="C1167" s="116">
        <v>7.1403676958831301</v>
      </c>
      <c r="D1167" s="116">
        <v>6.7746638446215099</v>
      </c>
      <c r="E1167" s="116">
        <v>6.9483731739707801</v>
      </c>
      <c r="F1167" s="116">
        <v>7.81</v>
      </c>
      <c r="G1167">
        <v>515135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44595</v>
      </c>
      <c r="B1168" s="116">
        <v>7.49692895086321</v>
      </c>
      <c r="C1168" s="116">
        <v>7.49692895086321</v>
      </c>
      <c r="D1168" s="116">
        <v>7.3140770252324003</v>
      </c>
      <c r="E1168" s="116">
        <v>7.49692895086321</v>
      </c>
      <c r="F1168" s="116">
        <v>8.1999999999999993</v>
      </c>
      <c r="G1168">
        <v>1048911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44596</v>
      </c>
      <c r="B1169" s="116">
        <v>7.8717753984063696</v>
      </c>
      <c r="C1169" s="116">
        <v>7.78949203187251</v>
      </c>
      <c r="D1169" s="116">
        <v>7.1220825033200503</v>
      </c>
      <c r="E1169" s="116">
        <v>7.8717753984063696</v>
      </c>
      <c r="F1169" s="116">
        <v>8.52</v>
      </c>
      <c r="G1169">
        <v>1194270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44599</v>
      </c>
      <c r="B1170" s="116">
        <v>8.1734810756972092</v>
      </c>
      <c r="C1170" s="116">
        <v>8.1734810756972092</v>
      </c>
      <c r="D1170" s="116">
        <v>7.5883549136786197</v>
      </c>
      <c r="E1170" s="116">
        <v>8.1551958831341302</v>
      </c>
      <c r="F1170" s="116">
        <v>8.94</v>
      </c>
      <c r="G1170">
        <v>1732712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44600</v>
      </c>
      <c r="B1171" s="116">
        <v>8.5757553120849899</v>
      </c>
      <c r="C1171" s="116">
        <v>8.4843293492695899</v>
      </c>
      <c r="D1171" s="116">
        <v>7.7712068393094302</v>
      </c>
      <c r="E1171" s="116">
        <v>8.4569015604249707</v>
      </c>
      <c r="F1171" s="116">
        <v>9.2799999999999994</v>
      </c>
      <c r="G1171">
        <v>1480986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44601</v>
      </c>
      <c r="B1172" s="116">
        <v>8.5940405046480706</v>
      </c>
      <c r="C1172" s="116">
        <v>8.4203311752988093</v>
      </c>
      <c r="D1172" s="116">
        <v>8.0637699203187303</v>
      </c>
      <c r="E1172" s="116">
        <v>8.4934719455511303</v>
      </c>
      <c r="F1172" s="116">
        <v>9.2100000000000009</v>
      </c>
      <c r="G1172">
        <v>426843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44602</v>
      </c>
      <c r="B1173" s="116">
        <v>8.3563330013280197</v>
      </c>
      <c r="C1173" s="116">
        <v>8.0729125166002706</v>
      </c>
      <c r="D1173" s="116">
        <v>7.9997717463479399</v>
      </c>
      <c r="E1173" s="116">
        <v>8.2191940571049091</v>
      </c>
      <c r="F1173" s="116">
        <v>8.83</v>
      </c>
      <c r="G1173">
        <v>617637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44603</v>
      </c>
      <c r="B1174" s="116">
        <v>7.9540587649402399</v>
      </c>
      <c r="C1174" s="116">
        <v>7.6980660690571003</v>
      </c>
      <c r="D1174" s="116">
        <v>7.6706382802124802</v>
      </c>
      <c r="E1174" s="116">
        <v>7.9449161686587004</v>
      </c>
      <c r="F1174" s="116">
        <v>8.42</v>
      </c>
      <c r="G1174">
        <v>256222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44606</v>
      </c>
      <c r="B1175" s="116">
        <v>7.5334993359893803</v>
      </c>
      <c r="C1175" s="116">
        <v>7.3140770252324003</v>
      </c>
      <c r="D1175" s="116">
        <v>7.3140770252324003</v>
      </c>
      <c r="E1175" s="116">
        <v>7.3140770252324003</v>
      </c>
      <c r="F1175" s="116">
        <v>8</v>
      </c>
      <c r="G1175">
        <v>185900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44607</v>
      </c>
      <c r="B1176" s="116">
        <v>7.6797808764940196</v>
      </c>
      <c r="C1176" s="116">
        <v>7.6066401062417004</v>
      </c>
      <c r="D1176" s="116">
        <v>6.9483731739707801</v>
      </c>
      <c r="E1176" s="116">
        <v>6.9483731739707801</v>
      </c>
      <c r="F1176" s="116">
        <v>8.32</v>
      </c>
      <c r="G1176">
        <v>531891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44608</v>
      </c>
      <c r="B1177" s="116">
        <v>7.98148655378486</v>
      </c>
      <c r="C1177" s="116">
        <v>7.3597900066401101</v>
      </c>
      <c r="D1177" s="116">
        <v>7.3140770252324003</v>
      </c>
      <c r="E1177" s="116">
        <v>7.8534902058432898</v>
      </c>
      <c r="F1177" s="116">
        <v>8.0500000000000007</v>
      </c>
      <c r="G1177">
        <v>279151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44609</v>
      </c>
      <c r="B1178" s="116">
        <v>7.7163512616201899</v>
      </c>
      <c r="C1178" s="116">
        <v>7.30493442895086</v>
      </c>
      <c r="D1178" s="116">
        <v>6.9940861553784899</v>
      </c>
      <c r="E1178" s="116">
        <v>7.3597900066401101</v>
      </c>
      <c r="F1178" s="116">
        <v>7.99</v>
      </c>
      <c r="G1178">
        <v>119766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44610</v>
      </c>
      <c r="B1179" s="116">
        <v>7.40550298804781</v>
      </c>
      <c r="C1179" s="116">
        <v>6.9849435590969504</v>
      </c>
      <c r="D1179" s="116">
        <v>6.9483731739707801</v>
      </c>
      <c r="E1179" s="116">
        <v>7.40550298804781</v>
      </c>
      <c r="F1179" s="116">
        <v>7.64</v>
      </c>
      <c r="G1179">
        <v>132323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44613</v>
      </c>
      <c r="B1180" s="116">
        <v>7.30493442895086</v>
      </c>
      <c r="C1180" s="116">
        <v>6.7198082669322696</v>
      </c>
      <c r="D1180" s="116">
        <v>6.63752490039841</v>
      </c>
      <c r="E1180" s="116">
        <v>6.63752490039841</v>
      </c>
      <c r="F1180" s="116">
        <v>7.35</v>
      </c>
      <c r="G1180">
        <v>224786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44614</v>
      </c>
      <c r="B1181" s="116">
        <v>6.6283823041168697</v>
      </c>
      <c r="C1181" s="116">
        <v>6.4089599933598898</v>
      </c>
      <c r="D1181" s="116">
        <v>6.3906748007968099</v>
      </c>
      <c r="E1181" s="116">
        <v>6.49124335989376</v>
      </c>
      <c r="F1181" s="116">
        <v>7.01</v>
      </c>
      <c r="G1181">
        <v>153999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44615</v>
      </c>
      <c r="B1182" s="116">
        <v>6.72895086321381</v>
      </c>
      <c r="C1182" s="116">
        <v>6.6740952855245697</v>
      </c>
      <c r="D1182" s="116">
        <v>6.0889691235059802</v>
      </c>
      <c r="E1182" s="116">
        <v>6.49124335989376</v>
      </c>
      <c r="F1182" s="116">
        <v>7.3</v>
      </c>
      <c r="G1182">
        <v>97278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44616</v>
      </c>
      <c r="B1183" s="116">
        <v>6.6283823041168697</v>
      </c>
      <c r="C1183" s="116">
        <v>6.34496181938911</v>
      </c>
      <c r="D1183" s="116">
        <v>6.34496181938911</v>
      </c>
      <c r="E1183" s="116">
        <v>6.6283823041168697</v>
      </c>
      <c r="F1183" s="116">
        <v>6.94</v>
      </c>
      <c r="G1183">
        <v>231508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44617</v>
      </c>
      <c r="B1184" s="116">
        <v>6.6558100929614898</v>
      </c>
      <c r="C1184" s="116">
        <v>6.5918119189907003</v>
      </c>
      <c r="D1184" s="116">
        <v>6.0341135458167301</v>
      </c>
      <c r="E1184" s="116">
        <v>6.0341135458167301</v>
      </c>
      <c r="F1184" s="116">
        <v>7.21</v>
      </c>
      <c r="G1184">
        <v>250117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44620</v>
      </c>
      <c r="B1185" s="116">
        <v>6.92094538512616</v>
      </c>
      <c r="C1185" s="116">
        <v>6.8843750000000004</v>
      </c>
      <c r="D1185" s="116">
        <v>6.3998173970783503</v>
      </c>
      <c r="E1185" s="116">
        <v>6.8569472111553802</v>
      </c>
      <c r="F1185" s="116">
        <v>7.53</v>
      </c>
      <c r="G1185">
        <v>281840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44622</v>
      </c>
      <c r="B1186" s="116">
        <v>6.9392305776892398</v>
      </c>
      <c r="C1186" s="116">
        <v>6.8660898074369197</v>
      </c>
      <c r="D1186" s="116">
        <v>6.5460989375830003</v>
      </c>
      <c r="E1186" s="116">
        <v>6.92094538512616</v>
      </c>
      <c r="F1186" s="116">
        <v>7.51</v>
      </c>
      <c r="G1186">
        <v>115065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44623</v>
      </c>
      <c r="B1187" s="116">
        <v>7.1220825033200503</v>
      </c>
      <c r="C1187" s="116">
        <v>6.8203768260292197</v>
      </c>
      <c r="D1187" s="116">
        <v>6.7655212483399696</v>
      </c>
      <c r="E1187" s="116">
        <v>7.0306565405046504</v>
      </c>
      <c r="F1187" s="116">
        <v>7.46</v>
      </c>
      <c r="G1187">
        <v>65611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44624</v>
      </c>
      <c r="B1188" s="116">
        <v>7.1586528884462197</v>
      </c>
      <c r="C1188" s="116">
        <v>7.1312250996015898</v>
      </c>
      <c r="D1188" s="116">
        <v>6.5003859561753004</v>
      </c>
      <c r="E1188" s="116">
        <v>6.6283823041168697</v>
      </c>
      <c r="F1188" s="116">
        <v>7.8</v>
      </c>
      <c r="G1188">
        <v>243998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44627</v>
      </c>
      <c r="B1189" s="116">
        <v>7.1312250996015898</v>
      </c>
      <c r="C1189" s="116">
        <v>6.7746638446215099</v>
      </c>
      <c r="D1189" s="116">
        <v>6.7746638446215099</v>
      </c>
      <c r="E1189" s="116">
        <v>7.1312250996015898</v>
      </c>
      <c r="F1189" s="116">
        <v>7.41</v>
      </c>
      <c r="G1189">
        <v>155971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44628</v>
      </c>
      <c r="B1190" s="116">
        <v>6.7563786520584301</v>
      </c>
      <c r="C1190" s="116">
        <v>6.49124335989376</v>
      </c>
      <c r="D1190" s="116">
        <v>6.4363877822045197</v>
      </c>
      <c r="E1190" s="116">
        <v>6.7563786520584301</v>
      </c>
      <c r="F1190" s="116">
        <v>7.1</v>
      </c>
      <c r="G1190">
        <v>134291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44629</v>
      </c>
      <c r="B1191" s="116">
        <v>6.8112342297476802</v>
      </c>
      <c r="C1191" s="116">
        <v>6.8112342297476802</v>
      </c>
      <c r="D1191" s="116">
        <v>6.1803950863213801</v>
      </c>
      <c r="E1191" s="116">
        <v>6.6558100929614898</v>
      </c>
      <c r="F1191" s="116">
        <v>7.45</v>
      </c>
      <c r="G1191">
        <v>408740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44630</v>
      </c>
      <c r="B1192" s="116">
        <v>7.0855121181938898</v>
      </c>
      <c r="C1192" s="116">
        <v>6.8203768260292197</v>
      </c>
      <c r="D1192" s="116">
        <v>6.5918119189907003</v>
      </c>
      <c r="E1192" s="116">
        <v>7.0306565405046504</v>
      </c>
      <c r="F1192" s="116">
        <v>7.46</v>
      </c>
      <c r="G1192">
        <v>336372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44631</v>
      </c>
      <c r="B1193" s="116">
        <v>7.1220825033200503</v>
      </c>
      <c r="C1193" s="116">
        <v>6.5003859561753004</v>
      </c>
      <c r="D1193" s="116">
        <v>6.4821007636122197</v>
      </c>
      <c r="E1193" s="116">
        <v>6.8478046148738398</v>
      </c>
      <c r="F1193" s="116">
        <v>7.11</v>
      </c>
      <c r="G1193">
        <v>274944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44634</v>
      </c>
      <c r="B1194" s="116">
        <v>6.8203768260292197</v>
      </c>
      <c r="C1194" s="116">
        <v>6.63752490039841</v>
      </c>
      <c r="D1194" s="116">
        <v>6.1803950863213801</v>
      </c>
      <c r="E1194" s="116">
        <v>6.8203768260292197</v>
      </c>
      <c r="F1194" s="116">
        <v>7.26</v>
      </c>
      <c r="G1194">
        <v>127110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44635</v>
      </c>
      <c r="B1195" s="116">
        <v>6.9392305776892398</v>
      </c>
      <c r="C1195" s="116">
        <v>6.3998173970783503</v>
      </c>
      <c r="D1195" s="116">
        <v>6.3541044156706503</v>
      </c>
      <c r="E1195" s="116">
        <v>6.9392305776892398</v>
      </c>
      <c r="F1195" s="116">
        <v>7</v>
      </c>
      <c r="G1195">
        <v>134792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44636</v>
      </c>
      <c r="B1196" s="116">
        <v>6.6558100929614898</v>
      </c>
      <c r="C1196" s="116">
        <v>6.3723896082337301</v>
      </c>
      <c r="D1196" s="116">
        <v>6.1712524900398398</v>
      </c>
      <c r="E1196" s="116">
        <v>6.3998173970783503</v>
      </c>
      <c r="F1196" s="116">
        <v>6.97</v>
      </c>
      <c r="G1196">
        <v>123554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44637</v>
      </c>
      <c r="B1197" s="116">
        <v>6.5643841301460801</v>
      </c>
      <c r="C1197" s="116">
        <v>6.1621098937583003</v>
      </c>
      <c r="D1197" s="116">
        <v>6.0615413346613503</v>
      </c>
      <c r="E1197" s="116">
        <v>6.3541044156706503</v>
      </c>
      <c r="F1197" s="116">
        <v>6.74</v>
      </c>
      <c r="G1197">
        <v>593912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44641</v>
      </c>
      <c r="B1198" s="116">
        <v>6.4638155710491398</v>
      </c>
      <c r="C1198" s="116">
        <v>5.9335449867197898</v>
      </c>
      <c r="D1198" s="116">
        <v>5.8604042164674599</v>
      </c>
      <c r="E1198" s="116">
        <v>6.4546729747676004</v>
      </c>
      <c r="F1198" s="116">
        <v>6.49</v>
      </c>
      <c r="G1198">
        <v>256412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44642</v>
      </c>
      <c r="B1199" s="116">
        <v>6.1712524900398398</v>
      </c>
      <c r="C1199" s="116">
        <v>5.6409819057104897</v>
      </c>
      <c r="D1199" s="116">
        <v>5.6409819057104897</v>
      </c>
      <c r="E1199" s="116">
        <v>5.9884005644090301</v>
      </c>
      <c r="F1199" s="116">
        <v>6.17</v>
      </c>
      <c r="G1199">
        <v>151861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44643</v>
      </c>
      <c r="B1200" s="116">
        <v>5.8238338313413003</v>
      </c>
      <c r="C1200" s="116">
        <v>5.3758466135458196</v>
      </c>
      <c r="D1200" s="116">
        <v>5.3667040172642801</v>
      </c>
      <c r="E1200" s="116">
        <v>5.3758466135458196</v>
      </c>
      <c r="F1200" s="116">
        <v>5.88</v>
      </c>
      <c r="G1200">
        <v>215980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44644</v>
      </c>
      <c r="B1201" s="116">
        <v>5.3667040172642801</v>
      </c>
      <c r="C1201" s="116">
        <v>5.1107113213811397</v>
      </c>
      <c r="D1201" s="116">
        <v>5.1107113213811397</v>
      </c>
      <c r="E1201" s="116">
        <v>5.3667040172642801</v>
      </c>
      <c r="F1201" s="116">
        <v>5.59</v>
      </c>
      <c r="G1201">
        <v>173319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44645</v>
      </c>
      <c r="B1202" s="116">
        <v>5.3027058432934897</v>
      </c>
      <c r="C1202" s="116">
        <v>4.8638612217795503</v>
      </c>
      <c r="D1202" s="116">
        <v>4.8638612217795503</v>
      </c>
      <c r="E1202" s="116">
        <v>4.8912890106241704</v>
      </c>
      <c r="F1202" s="116">
        <v>5.32</v>
      </c>
      <c r="G1202">
        <v>343837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44648</v>
      </c>
      <c r="B1203" s="116">
        <v>5.0101427622842003</v>
      </c>
      <c r="C1203" s="116">
        <v>4.8638612217795503</v>
      </c>
      <c r="D1203" s="116">
        <v>4.6261537184595003</v>
      </c>
      <c r="E1203" s="116">
        <v>4.8638612217795503</v>
      </c>
      <c r="F1203" s="116">
        <v>5.32</v>
      </c>
      <c r="G1203">
        <v>664301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44649</v>
      </c>
      <c r="B1204" s="116">
        <v>5.0741409362549801</v>
      </c>
      <c r="C1204" s="116">
        <v>4.9918575697211196</v>
      </c>
      <c r="D1204" s="116">
        <v>4.6261537184595003</v>
      </c>
      <c r="E1204" s="116">
        <v>4.8638612217795503</v>
      </c>
      <c r="F1204" s="116">
        <v>5.46</v>
      </c>
      <c r="G1204">
        <v>275691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44650</v>
      </c>
      <c r="B1205" s="116">
        <v>5.2387076693227099</v>
      </c>
      <c r="C1205" s="116">
        <v>5.2387076693227099</v>
      </c>
      <c r="D1205" s="116">
        <v>4.7632926626826002</v>
      </c>
      <c r="E1205" s="116">
        <v>5.1198539176626801</v>
      </c>
      <c r="F1205" s="116">
        <v>5.73</v>
      </c>
      <c r="G1205">
        <v>1720785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44651</v>
      </c>
      <c r="B1206" s="116">
        <v>5.4947003652058397</v>
      </c>
      <c r="C1206" s="116">
        <v>5.4672725763612204</v>
      </c>
      <c r="D1206" s="116">
        <v>5.3484188247012003</v>
      </c>
      <c r="E1206" s="116">
        <v>5.4855577689243002</v>
      </c>
      <c r="F1206" s="116">
        <v>5.98</v>
      </c>
      <c r="G1206">
        <v>508880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44652</v>
      </c>
      <c r="B1207" s="116">
        <v>5.7324078685259003</v>
      </c>
      <c r="C1207" s="116">
        <v>5.7324078685259003</v>
      </c>
      <c r="D1207" s="116">
        <v>5.4855577689243002</v>
      </c>
      <c r="E1207" s="116">
        <v>5.6684096945551099</v>
      </c>
      <c r="F1207" s="116">
        <v>6.27</v>
      </c>
      <c r="G1207">
        <v>105028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44655</v>
      </c>
      <c r="B1208" s="116">
        <v>6.0158283532536503</v>
      </c>
      <c r="C1208" s="116">
        <v>6.0158283532536503</v>
      </c>
      <c r="D1208" s="116">
        <v>5.7781208499336003</v>
      </c>
      <c r="E1208" s="116">
        <v>6.0158283532536503</v>
      </c>
      <c r="F1208" s="116">
        <v>6.58</v>
      </c>
      <c r="G1208">
        <v>1789440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44656</v>
      </c>
      <c r="B1209" s="116">
        <v>6.3083914342629503</v>
      </c>
      <c r="C1209" s="116">
        <v>6.3083914342629503</v>
      </c>
      <c r="D1209" s="116">
        <v>5.72326527224436</v>
      </c>
      <c r="E1209" s="116">
        <v>6.2535358565737003</v>
      </c>
      <c r="F1209" s="116">
        <v>6.9</v>
      </c>
      <c r="G1209">
        <v>577294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44657</v>
      </c>
      <c r="B1210" s="116">
        <v>6.6192397078353302</v>
      </c>
      <c r="C1210" s="116">
        <v>6.6192397078353302</v>
      </c>
      <c r="D1210" s="116">
        <v>6.0432561420982696</v>
      </c>
      <c r="E1210" s="116">
        <v>6.6100971115537899</v>
      </c>
      <c r="F1210" s="116">
        <v>7.24</v>
      </c>
      <c r="G1210">
        <v>642024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44658</v>
      </c>
      <c r="B1211" s="116">
        <v>6.8935175962815398</v>
      </c>
      <c r="C1211" s="116">
        <v>6.4272451859229696</v>
      </c>
      <c r="D1211" s="116">
        <v>6.3541044156706503</v>
      </c>
      <c r="E1211" s="116">
        <v>6.8935175962815398</v>
      </c>
      <c r="F1211" s="116">
        <v>7.03</v>
      </c>
      <c r="G1211">
        <v>210460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44659</v>
      </c>
      <c r="B1212" s="116">
        <v>6.7472360557768898</v>
      </c>
      <c r="C1212" s="116">
        <v>6.72895086321381</v>
      </c>
      <c r="D1212" s="116">
        <v>6.3175340305444898</v>
      </c>
      <c r="E1212" s="116">
        <v>6.4089599933598898</v>
      </c>
      <c r="F1212" s="116">
        <v>7.36</v>
      </c>
      <c r="G1212">
        <v>633789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44662</v>
      </c>
      <c r="B1213" s="116">
        <v>6.9849435590969504</v>
      </c>
      <c r="C1213" s="116">
        <v>6.7929490371846004</v>
      </c>
      <c r="D1213" s="116">
        <v>6.44553037848606</v>
      </c>
      <c r="E1213" s="116">
        <v>6.9026601925630802</v>
      </c>
      <c r="F1213" s="116">
        <v>7.43</v>
      </c>
      <c r="G1213">
        <v>231345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44663</v>
      </c>
      <c r="B1214" s="116">
        <v>6.9940861553784899</v>
      </c>
      <c r="C1214" s="116">
        <v>6.8386620185923004</v>
      </c>
      <c r="D1214" s="116">
        <v>6.4638155710491398</v>
      </c>
      <c r="E1214" s="116">
        <v>6.8569472111553802</v>
      </c>
      <c r="F1214" s="116">
        <v>7.48</v>
      </c>
      <c r="G1214">
        <v>255037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44664</v>
      </c>
      <c r="B1215" s="116">
        <v>7.1769380810093004</v>
      </c>
      <c r="C1215" s="116">
        <v>7.1769380810093004</v>
      </c>
      <c r="D1215" s="116">
        <v>6.7380934594953503</v>
      </c>
      <c r="E1215" s="116">
        <v>6.9849435590969504</v>
      </c>
      <c r="F1215" s="116">
        <v>7.85</v>
      </c>
      <c r="G1215">
        <v>4025715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44669</v>
      </c>
      <c r="B1216" s="116">
        <v>7.5334993359893803</v>
      </c>
      <c r="C1216" s="116">
        <v>7.5334993359893803</v>
      </c>
      <c r="D1216" s="116">
        <v>7.5334993359893803</v>
      </c>
      <c r="E1216" s="116">
        <v>7.5334993359893803</v>
      </c>
      <c r="F1216" s="116">
        <v>8.24</v>
      </c>
      <c r="G1216">
        <v>274592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44670</v>
      </c>
      <c r="B1217" s="116">
        <v>7.9083457835325399</v>
      </c>
      <c r="C1217" s="116">
        <v>7.9083457835325399</v>
      </c>
      <c r="D1217" s="116">
        <v>7.9083457835325399</v>
      </c>
      <c r="E1217" s="116">
        <v>7.9083457835325399</v>
      </c>
      <c r="F1217" s="116">
        <v>8.65</v>
      </c>
      <c r="G1217">
        <v>216122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44671</v>
      </c>
      <c r="B1218" s="116">
        <v>8.3014774236387794</v>
      </c>
      <c r="C1218" s="116">
        <v>8.3014774236387794</v>
      </c>
      <c r="D1218" s="116">
        <v>8.3014774236387794</v>
      </c>
      <c r="E1218" s="116">
        <v>8.3014774236387794</v>
      </c>
      <c r="F1218" s="116">
        <v>9.08</v>
      </c>
      <c r="G1218">
        <v>371390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44672</v>
      </c>
      <c r="B1219" s="116">
        <v>8.7128942563081004</v>
      </c>
      <c r="C1219" s="116">
        <v>8.7128942563081004</v>
      </c>
      <c r="D1219" s="116">
        <v>8.7128942563081004</v>
      </c>
      <c r="E1219" s="116">
        <v>8.7128942563081004</v>
      </c>
      <c r="F1219" s="116">
        <v>9.5299999999999994</v>
      </c>
      <c r="G1219">
        <v>264016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44673</v>
      </c>
      <c r="B1220" s="116">
        <v>9.1425962815405004</v>
      </c>
      <c r="C1220" s="116">
        <v>9.1425962815405004</v>
      </c>
      <c r="D1220" s="116">
        <v>8.3289052124834004</v>
      </c>
      <c r="E1220" s="116">
        <v>9.1425962815405004</v>
      </c>
      <c r="F1220" s="116">
        <v>10</v>
      </c>
      <c r="G1220">
        <v>12090415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44676</v>
      </c>
      <c r="B1221" s="116">
        <v>9.5540131142098303</v>
      </c>
      <c r="C1221" s="116">
        <v>9.1243110889774197</v>
      </c>
      <c r="D1221" s="116">
        <v>8.6854664674634794</v>
      </c>
      <c r="E1221" s="116">
        <v>9.5083001328021304</v>
      </c>
      <c r="F1221" s="116">
        <v>9.98</v>
      </c>
      <c r="G1221">
        <v>2549974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44677</v>
      </c>
      <c r="B1222" s="116">
        <v>9.1243110889774197</v>
      </c>
      <c r="C1222" s="116">
        <v>8.6763238711819408</v>
      </c>
      <c r="D1222" s="116">
        <v>8.6763238711819408</v>
      </c>
      <c r="E1222" s="116">
        <v>8.9597443559097005</v>
      </c>
      <c r="F1222" s="116">
        <v>9.49</v>
      </c>
      <c r="G1222">
        <v>984934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44678</v>
      </c>
      <c r="B1223" s="116">
        <v>8.5940405046480706</v>
      </c>
      <c r="C1223" s="116">
        <v>8.2466218459495408</v>
      </c>
      <c r="D1223" s="116">
        <v>8.2466218459495408</v>
      </c>
      <c r="E1223" s="116">
        <v>8.2466218459495408</v>
      </c>
      <c r="F1223" s="116">
        <v>9.02</v>
      </c>
      <c r="G1223">
        <v>551987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44679</v>
      </c>
      <c r="B1224" s="116">
        <v>8.6580386786188601</v>
      </c>
      <c r="C1224" s="116">
        <v>8.6580386786188601</v>
      </c>
      <c r="D1224" s="116">
        <v>7.83520501328021</v>
      </c>
      <c r="E1224" s="116">
        <v>7.8626328021248302</v>
      </c>
      <c r="F1224" s="116">
        <v>9.4700000000000006</v>
      </c>
      <c r="G1224">
        <v>1341233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44680</v>
      </c>
      <c r="B1225" s="116">
        <v>9.0877407038512601</v>
      </c>
      <c r="C1225" s="116">
        <v>8.2283366533864495</v>
      </c>
      <c r="D1225" s="116">
        <v>8.2283366533864495</v>
      </c>
      <c r="E1225" s="116">
        <v>8.9597443559097005</v>
      </c>
      <c r="F1225" s="116">
        <v>9</v>
      </c>
      <c r="G1225">
        <v>1069136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44683</v>
      </c>
      <c r="B1226" s="116">
        <v>8.2100514608233706</v>
      </c>
      <c r="C1226" s="116">
        <v>8.1094829017264303</v>
      </c>
      <c r="D1226" s="116">
        <v>7.8169198207171302</v>
      </c>
      <c r="E1226" s="116">
        <v>7.8169198207171302</v>
      </c>
      <c r="F1226" s="116">
        <v>8.8699999999999992</v>
      </c>
      <c r="G1226">
        <v>248540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44685</v>
      </c>
      <c r="B1227" s="116">
        <v>8.5117571381142092</v>
      </c>
      <c r="C1227" s="116">
        <v>8.4751867529880496</v>
      </c>
      <c r="D1227" s="116">
        <v>7.8626328021248302</v>
      </c>
      <c r="E1227" s="116">
        <v>7.8626328021248302</v>
      </c>
      <c r="F1227" s="116">
        <v>9.27</v>
      </c>
      <c r="G1227">
        <v>656880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44686</v>
      </c>
      <c r="B1228" s="116">
        <v>8.8683183930942899</v>
      </c>
      <c r="C1228" s="116">
        <v>8.4020459827357197</v>
      </c>
      <c r="D1228" s="116">
        <v>8.1003403054448899</v>
      </c>
      <c r="E1228" s="116">
        <v>8.7951776228419707</v>
      </c>
      <c r="F1228" s="116">
        <v>9.19</v>
      </c>
      <c r="G1228">
        <v>292545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44687</v>
      </c>
      <c r="B1229" s="116">
        <v>8.2283366533864495</v>
      </c>
      <c r="C1229" s="116">
        <v>8.0729125166002706</v>
      </c>
      <c r="D1229" s="116">
        <v>7.9906291500664004</v>
      </c>
      <c r="E1229" s="116">
        <v>8.02719953519256</v>
      </c>
      <c r="F1229" s="116">
        <v>8.83</v>
      </c>
      <c r="G1229">
        <v>336147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44690</v>
      </c>
      <c r="B1230" s="116">
        <v>8.2740496347941601</v>
      </c>
      <c r="C1230" s="116">
        <v>7.9083457835325399</v>
      </c>
      <c r="D1230" s="116">
        <v>7.6706382802124802</v>
      </c>
      <c r="E1230" s="116">
        <v>8.2740496347941601</v>
      </c>
      <c r="F1230" s="116">
        <v>8.65</v>
      </c>
      <c r="G1230">
        <v>389235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44691</v>
      </c>
      <c r="B1231" s="116">
        <v>8.2191940571049091</v>
      </c>
      <c r="C1231" s="116">
        <v>7.5426419322709197</v>
      </c>
      <c r="D1231" s="116">
        <v>7.5152141434262996</v>
      </c>
      <c r="E1231" s="116">
        <v>7.9083457835325399</v>
      </c>
      <c r="F1231" s="116">
        <v>8.25</v>
      </c>
      <c r="G1231">
        <v>275498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44692</v>
      </c>
      <c r="B1232" s="116">
        <v>7.49692895086321</v>
      </c>
      <c r="C1232" s="116">
        <v>7.1677954847277601</v>
      </c>
      <c r="D1232" s="116">
        <v>7.1677954847277601</v>
      </c>
      <c r="E1232" s="116">
        <v>7.2500788512616197</v>
      </c>
      <c r="F1232" s="116">
        <v>7.84</v>
      </c>
      <c r="G1232">
        <v>176893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44693</v>
      </c>
      <c r="B1233" s="116">
        <v>7.2683640438247004</v>
      </c>
      <c r="C1233" s="116">
        <v>6.8112342297476802</v>
      </c>
      <c r="D1233" s="116">
        <v>6.8112342297476802</v>
      </c>
      <c r="E1233" s="116">
        <v>7.2683640438247004</v>
      </c>
      <c r="F1233" s="116">
        <v>7.45</v>
      </c>
      <c r="G1233">
        <v>40722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44694</v>
      </c>
      <c r="B1234" s="116">
        <v>7.1495102921646696</v>
      </c>
      <c r="C1234" s="116">
        <v>7.1495102921646696</v>
      </c>
      <c r="D1234" s="116">
        <v>6.5003859561753004</v>
      </c>
      <c r="E1234" s="116">
        <v>6.5003859561753004</v>
      </c>
      <c r="F1234" s="116">
        <v>7.82</v>
      </c>
      <c r="G1234">
        <v>128454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44697</v>
      </c>
      <c r="B1235" s="116">
        <v>7.45121596945551</v>
      </c>
      <c r="C1235" s="116">
        <v>7.3232196215139398</v>
      </c>
      <c r="D1235" s="116">
        <v>6.9575157702523196</v>
      </c>
      <c r="E1235" s="116">
        <v>7.3140770252324003</v>
      </c>
      <c r="F1235" s="116">
        <v>8.01</v>
      </c>
      <c r="G1235">
        <v>79144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44698</v>
      </c>
      <c r="B1236" s="116">
        <v>7.68892347277556</v>
      </c>
      <c r="C1236" s="116">
        <v>7.6614956839309398</v>
      </c>
      <c r="D1236" s="116">
        <v>7.1586528884462197</v>
      </c>
      <c r="E1236" s="116">
        <v>7.3232196215139398</v>
      </c>
      <c r="F1236" s="116">
        <v>8.3800000000000008</v>
      </c>
      <c r="G1236">
        <v>149228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44699</v>
      </c>
      <c r="B1237" s="116">
        <v>7.9357735723771601</v>
      </c>
      <c r="C1237" s="116">
        <v>7.5883549136786197</v>
      </c>
      <c r="D1237" s="116">
        <v>7.3232196215139398</v>
      </c>
      <c r="E1237" s="116">
        <v>7.3232196215139398</v>
      </c>
      <c r="F1237" s="116">
        <v>8.3000000000000007</v>
      </c>
      <c r="G1237">
        <v>127899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44700</v>
      </c>
      <c r="B1238" s="116">
        <v>7.5426419322709197</v>
      </c>
      <c r="C1238" s="116">
        <v>7.21350846613546</v>
      </c>
      <c r="D1238" s="116">
        <v>7.21350846613546</v>
      </c>
      <c r="E1238" s="116">
        <v>7.49692895086321</v>
      </c>
      <c r="F1238" s="116">
        <v>7.89</v>
      </c>
      <c r="G1238">
        <v>60993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44701</v>
      </c>
      <c r="B1239" s="116">
        <v>7.5426419322709197</v>
      </c>
      <c r="C1239" s="116">
        <v>7.3415048140770196</v>
      </c>
      <c r="D1239" s="116">
        <v>7.0489417330677302</v>
      </c>
      <c r="E1239" s="116">
        <v>7.21350846613546</v>
      </c>
      <c r="F1239" s="116">
        <v>8.0299999999999994</v>
      </c>
      <c r="G1239">
        <v>91036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44704</v>
      </c>
      <c r="B1240" s="116">
        <v>7.4877863545816696</v>
      </c>
      <c r="C1240" s="116">
        <v>7.3597900066401101</v>
      </c>
      <c r="D1240" s="116">
        <v>7.1495102921646696</v>
      </c>
      <c r="E1240" s="116">
        <v>7.4877863545816696</v>
      </c>
      <c r="F1240" s="116">
        <v>8.0500000000000007</v>
      </c>
      <c r="G1240">
        <v>43900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44705</v>
      </c>
      <c r="B1241" s="116">
        <v>7.4237881806108899</v>
      </c>
      <c r="C1241" s="116">
        <v>7.1769380810093004</v>
      </c>
      <c r="D1241" s="116">
        <v>7.11293990703851</v>
      </c>
      <c r="E1241" s="116">
        <v>7.4237881806108899</v>
      </c>
      <c r="F1241" s="116">
        <v>7.85</v>
      </c>
      <c r="G1241">
        <v>41199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44706</v>
      </c>
      <c r="B1242" s="116">
        <v>7.2500788512616197</v>
      </c>
      <c r="C1242" s="116">
        <v>6.8569472111553802</v>
      </c>
      <c r="D1242" s="116">
        <v>6.8203768260292197</v>
      </c>
      <c r="E1242" s="116">
        <v>6.8569472111553802</v>
      </c>
      <c r="F1242" s="116">
        <v>7.5</v>
      </c>
      <c r="G1242">
        <v>40585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44707</v>
      </c>
      <c r="B1243" s="116">
        <v>7.1220825033200503</v>
      </c>
      <c r="C1243" s="116">
        <v>6.6100971115537899</v>
      </c>
      <c r="D1243" s="116">
        <v>6.5186711487383802</v>
      </c>
      <c r="E1243" s="116">
        <v>7.1220825033200503</v>
      </c>
      <c r="F1243" s="116">
        <v>7.23</v>
      </c>
      <c r="G1243">
        <v>56263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44708</v>
      </c>
      <c r="B1244" s="116">
        <v>6.8478046148738398</v>
      </c>
      <c r="C1244" s="116">
        <v>6.6649526892430302</v>
      </c>
      <c r="D1244" s="116">
        <v>6.3266766268260302</v>
      </c>
      <c r="E1244" s="116">
        <v>6.6740952855245697</v>
      </c>
      <c r="F1244" s="116">
        <v>7.29</v>
      </c>
      <c r="G1244">
        <v>46911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44711</v>
      </c>
      <c r="B1245" s="116">
        <v>6.9940861553784899</v>
      </c>
      <c r="C1245" s="116">
        <v>6.9940861553784899</v>
      </c>
      <c r="D1245" s="116">
        <v>6.9483731739707801</v>
      </c>
      <c r="E1245" s="116">
        <v>6.9940861553784899</v>
      </c>
      <c r="F1245" s="116">
        <v>7.65</v>
      </c>
      <c r="G1245">
        <v>107451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44712</v>
      </c>
      <c r="B1246" s="116">
        <v>7.3415048140770196</v>
      </c>
      <c r="C1246" s="116">
        <v>7.3415048140770196</v>
      </c>
      <c r="D1246" s="116">
        <v>7.3323622177954801</v>
      </c>
      <c r="E1246" s="116">
        <v>7.3415048140770196</v>
      </c>
      <c r="F1246" s="116">
        <v>8.0299999999999994</v>
      </c>
      <c r="G1246">
        <v>48080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44713</v>
      </c>
      <c r="B1247" s="116">
        <v>7.7072086653386496</v>
      </c>
      <c r="C1247" s="116">
        <v>7.6706382802124802</v>
      </c>
      <c r="D1247" s="116">
        <v>7.3689326029216504</v>
      </c>
      <c r="E1247" s="116">
        <v>7.7072086653386496</v>
      </c>
      <c r="F1247" s="116">
        <v>8.39</v>
      </c>
      <c r="G1247">
        <v>578240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44714</v>
      </c>
      <c r="B1248" s="116">
        <v>8.0454847277556407</v>
      </c>
      <c r="C1248" s="116">
        <v>8.0454847277556407</v>
      </c>
      <c r="D1248" s="116">
        <v>7.6706382802124802</v>
      </c>
      <c r="E1248" s="116">
        <v>8.02719953519256</v>
      </c>
      <c r="F1248" s="116">
        <v>8.8000000000000007</v>
      </c>
      <c r="G1248">
        <v>246065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44715</v>
      </c>
      <c r="B1249" s="116">
        <v>8.4477589641434303</v>
      </c>
      <c r="C1249" s="116">
        <v>8.41118857901726</v>
      </c>
      <c r="D1249" s="116">
        <v>7.8717753984063696</v>
      </c>
      <c r="E1249" s="116">
        <v>8.4477589641434303</v>
      </c>
      <c r="F1249" s="116">
        <v>9.1999999999999993</v>
      </c>
      <c r="G1249">
        <v>900183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44718</v>
      </c>
      <c r="B1250" s="116">
        <v>8.7586072377158004</v>
      </c>
      <c r="C1250" s="116">
        <v>8.1003403054448899</v>
      </c>
      <c r="D1250" s="116">
        <v>7.9906291500664004</v>
      </c>
      <c r="E1250" s="116">
        <v>8.6763238711819408</v>
      </c>
      <c r="F1250" s="116">
        <v>8.86</v>
      </c>
      <c r="G1250">
        <v>440991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44719</v>
      </c>
      <c r="B1251" s="116">
        <v>8.2283366533864495</v>
      </c>
      <c r="C1251" s="116">
        <v>7.7346364541832697</v>
      </c>
      <c r="D1251" s="116">
        <v>7.6980660690571003</v>
      </c>
      <c r="E1251" s="116">
        <v>8.2283366533864495</v>
      </c>
      <c r="F1251" s="116">
        <v>8.4600000000000009</v>
      </c>
      <c r="G1251">
        <v>277112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44720</v>
      </c>
      <c r="B1252" s="116">
        <v>7.8169198207171302</v>
      </c>
      <c r="C1252" s="116">
        <v>7.4420733731739697</v>
      </c>
      <c r="D1252" s="116">
        <v>7.3506474103585697</v>
      </c>
      <c r="E1252" s="116">
        <v>7.7620642430278899</v>
      </c>
      <c r="F1252" s="116">
        <v>8.14</v>
      </c>
      <c r="G1252">
        <v>242595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44721</v>
      </c>
      <c r="B1253" s="116">
        <v>7.5700697211155399</v>
      </c>
      <c r="C1253" s="116">
        <v>7.30493442895086</v>
      </c>
      <c r="D1253" s="116">
        <v>7.0763695219123504</v>
      </c>
      <c r="E1253" s="116">
        <v>7.5700697211155399</v>
      </c>
      <c r="F1253" s="116">
        <v>7.99</v>
      </c>
      <c r="G1253">
        <v>150684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44722</v>
      </c>
      <c r="B1254" s="116">
        <v>7.6614956839309398</v>
      </c>
      <c r="C1254" s="116">
        <v>7.6614956839309398</v>
      </c>
      <c r="D1254" s="116">
        <v>7.2043658698539197</v>
      </c>
      <c r="E1254" s="116">
        <v>7.4420733731739697</v>
      </c>
      <c r="F1254" s="116">
        <v>8.3800000000000008</v>
      </c>
      <c r="G1254">
        <v>179709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44725</v>
      </c>
      <c r="B1255" s="116">
        <v>7.9540587649402399</v>
      </c>
      <c r="C1255" s="116">
        <v>7.4146455843293504</v>
      </c>
      <c r="D1255" s="116">
        <v>7.2866492363877802</v>
      </c>
      <c r="E1255" s="116">
        <v>7.8169198207171302</v>
      </c>
      <c r="F1255" s="116">
        <v>8.11</v>
      </c>
      <c r="G1255">
        <v>127483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44726</v>
      </c>
      <c r="B1256" s="116">
        <v>7.6706382802124802</v>
      </c>
      <c r="C1256" s="116">
        <v>7.2957918326693196</v>
      </c>
      <c r="D1256" s="116">
        <v>7.0855121181938898</v>
      </c>
      <c r="E1256" s="116">
        <v>7.49692895086321</v>
      </c>
      <c r="F1256" s="116">
        <v>7.98</v>
      </c>
      <c r="G1256">
        <v>94632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44727</v>
      </c>
      <c r="B1257" s="116">
        <v>7.5243567397078399</v>
      </c>
      <c r="C1257" s="116">
        <v>7.30493442895086</v>
      </c>
      <c r="D1257" s="116">
        <v>7.1037973107569696</v>
      </c>
      <c r="E1257" s="116">
        <v>7.4420733731739697</v>
      </c>
      <c r="F1257" s="116">
        <v>7.99</v>
      </c>
      <c r="G1257">
        <v>105551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44728</v>
      </c>
      <c r="B1258" s="116">
        <v>7.6614956839309398</v>
      </c>
      <c r="C1258" s="116">
        <v>7.06722692563081</v>
      </c>
      <c r="D1258" s="116">
        <v>6.9940861553784899</v>
      </c>
      <c r="E1258" s="116">
        <v>7.45121596945551</v>
      </c>
      <c r="F1258" s="116">
        <v>7.73</v>
      </c>
      <c r="G1258">
        <v>146761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44729</v>
      </c>
      <c r="B1259" s="116">
        <v>6.9483731739707801</v>
      </c>
      <c r="C1259" s="116">
        <v>6.7472360557768898</v>
      </c>
      <c r="D1259" s="116">
        <v>6.7198082669322696</v>
      </c>
      <c r="E1259" s="116">
        <v>6.7655212483399696</v>
      </c>
      <c r="F1259" s="116">
        <v>7.38</v>
      </c>
      <c r="G1259">
        <v>117652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44732</v>
      </c>
      <c r="B1260" s="116">
        <v>7.0763695219123504</v>
      </c>
      <c r="C1260" s="116">
        <v>6.4181025896414301</v>
      </c>
      <c r="D1260" s="116">
        <v>6.4181025896414301</v>
      </c>
      <c r="E1260" s="116">
        <v>7.0580843293492697</v>
      </c>
      <c r="F1260" s="116">
        <v>7.02</v>
      </c>
      <c r="G1260">
        <v>127649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44733</v>
      </c>
      <c r="B1261" s="116">
        <v>6.6740952855245697</v>
      </c>
      <c r="C1261" s="116">
        <v>6.5735267264276196</v>
      </c>
      <c r="D1261" s="116">
        <v>6.2169654714475397</v>
      </c>
      <c r="E1261" s="116">
        <v>6.3998173970783503</v>
      </c>
      <c r="F1261" s="116">
        <v>7.19</v>
      </c>
      <c r="G1261">
        <v>95481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44734</v>
      </c>
      <c r="B1262" s="116">
        <v>6.7655212483399696</v>
      </c>
      <c r="C1262" s="116">
        <v>6.6283823041168697</v>
      </c>
      <c r="D1262" s="116">
        <v>6.4272451859229696</v>
      </c>
      <c r="E1262" s="116">
        <v>6.7198082669322696</v>
      </c>
      <c r="F1262" s="116">
        <v>7.25</v>
      </c>
      <c r="G1262">
        <v>51358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44735</v>
      </c>
      <c r="B1263" s="116">
        <v>6.8112342297476802</v>
      </c>
      <c r="C1263" s="116">
        <v>6.6009545152722398</v>
      </c>
      <c r="D1263" s="116">
        <v>6.3175340305444898</v>
      </c>
      <c r="E1263" s="116">
        <v>6.8112342297476802</v>
      </c>
      <c r="F1263" s="116">
        <v>7.22</v>
      </c>
      <c r="G1263">
        <v>92064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44736</v>
      </c>
      <c r="B1264" s="116">
        <v>6.8386620185923004</v>
      </c>
      <c r="C1264" s="116">
        <v>6.8020916334661399</v>
      </c>
      <c r="D1264" s="116">
        <v>6.6009545152722398</v>
      </c>
      <c r="E1264" s="116">
        <v>6.6649526892430302</v>
      </c>
      <c r="F1264" s="116">
        <v>7.44</v>
      </c>
      <c r="G1264">
        <v>77916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44739</v>
      </c>
      <c r="B1265" s="116">
        <v>7.1403676958831301</v>
      </c>
      <c r="C1265" s="116">
        <v>7.1403676958831301</v>
      </c>
      <c r="D1265" s="116">
        <v>6.7655212483399696</v>
      </c>
      <c r="E1265" s="116">
        <v>6.9483731739707801</v>
      </c>
      <c r="F1265" s="116">
        <v>7.81</v>
      </c>
      <c r="G1265">
        <v>210907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44740</v>
      </c>
      <c r="B1266" s="116">
        <v>7.2775066401062398</v>
      </c>
      <c r="C1266" s="116">
        <v>6.8478046148738398</v>
      </c>
      <c r="D1266" s="116">
        <v>6.7929490371846004</v>
      </c>
      <c r="E1266" s="116">
        <v>7.2775066401062398</v>
      </c>
      <c r="F1266" s="116">
        <v>7.49</v>
      </c>
      <c r="G1266">
        <v>113835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44741</v>
      </c>
      <c r="B1267" s="116">
        <v>7.0489417330677302</v>
      </c>
      <c r="C1267" s="116">
        <v>6.68323788180611</v>
      </c>
      <c r="D1267" s="116">
        <v>6.6009545152722398</v>
      </c>
      <c r="E1267" s="116">
        <v>7.0489417330677302</v>
      </c>
      <c r="F1267" s="116">
        <v>7.31</v>
      </c>
      <c r="G1267">
        <v>58735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44742</v>
      </c>
      <c r="B1268" s="116">
        <v>7.0032287516600302</v>
      </c>
      <c r="C1268" s="116">
        <v>6.49124335989376</v>
      </c>
      <c r="D1268" s="116">
        <v>6.44553037848606</v>
      </c>
      <c r="E1268" s="116">
        <v>7.0032287516600302</v>
      </c>
      <c r="F1268" s="116">
        <v>7.1</v>
      </c>
      <c r="G1268">
        <v>64612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44743</v>
      </c>
      <c r="B1269" s="116">
        <v>6.7655212483399696</v>
      </c>
      <c r="C1269" s="116">
        <v>6.3906748007968099</v>
      </c>
      <c r="D1269" s="116">
        <v>6.2078228751660003</v>
      </c>
      <c r="E1269" s="116">
        <v>6.6283823041168697</v>
      </c>
      <c r="F1269" s="116">
        <v>6.99</v>
      </c>
      <c r="G1269">
        <v>9251154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44746</v>
      </c>
      <c r="B1270" s="116">
        <v>6.7015230743691898</v>
      </c>
      <c r="C1270" s="116">
        <v>6.6283823041168697</v>
      </c>
      <c r="D1270" s="116">
        <v>6.3906748007968099</v>
      </c>
      <c r="E1270" s="116">
        <v>6.44553037848606</v>
      </c>
      <c r="F1270" s="116">
        <v>7.25</v>
      </c>
      <c r="G1270">
        <v>8793828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44747</v>
      </c>
      <c r="B1271" s="116">
        <v>6.92094538512616</v>
      </c>
      <c r="C1271" s="116">
        <v>6.9118027888446196</v>
      </c>
      <c r="D1271" s="116">
        <v>6.6649526892430302</v>
      </c>
      <c r="E1271" s="116">
        <v>6.7746638446215099</v>
      </c>
      <c r="F1271" s="116">
        <v>7.56</v>
      </c>
      <c r="G1271">
        <v>4704389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44748</v>
      </c>
      <c r="B1272" s="116">
        <v>7.1220825033200503</v>
      </c>
      <c r="C1272" s="116">
        <v>7.0763695219123504</v>
      </c>
      <c r="D1272" s="116">
        <v>6.7746638446215099</v>
      </c>
      <c r="E1272" s="116">
        <v>7.0763695219123504</v>
      </c>
      <c r="F1272" s="116">
        <v>7.74</v>
      </c>
      <c r="G1272">
        <v>3237723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44749</v>
      </c>
      <c r="B1273" s="116">
        <v>7.25922144754316</v>
      </c>
      <c r="C1273" s="116">
        <v>7.1860806772908399</v>
      </c>
      <c r="D1273" s="116">
        <v>6.8569472111553802</v>
      </c>
      <c r="E1273" s="116">
        <v>7.25922144754316</v>
      </c>
      <c r="F1273" s="116">
        <v>7.86</v>
      </c>
      <c r="G1273">
        <v>628875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44750</v>
      </c>
      <c r="B1274" s="116">
        <v>7.30493442895086</v>
      </c>
      <c r="C1274" s="116">
        <v>7.2043658698539197</v>
      </c>
      <c r="D1274" s="116">
        <v>7.1495102921646696</v>
      </c>
      <c r="E1274" s="116">
        <v>7.30493442895086</v>
      </c>
      <c r="F1274" s="116">
        <v>7.88</v>
      </c>
      <c r="G1274">
        <v>722198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44753</v>
      </c>
      <c r="B1275" s="116">
        <v>7.5609271248340004</v>
      </c>
      <c r="C1275" s="116">
        <v>7.5517845285524601</v>
      </c>
      <c r="D1275" s="116">
        <v>7.1769380810093004</v>
      </c>
      <c r="E1275" s="116">
        <v>7.2043658698539197</v>
      </c>
      <c r="F1275" s="116">
        <v>8.26</v>
      </c>
      <c r="G1275">
        <v>2803595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44754</v>
      </c>
      <c r="B1276" s="116">
        <v>7.9266309760956197</v>
      </c>
      <c r="C1276" s="116">
        <v>7.7437790504648101</v>
      </c>
      <c r="D1276" s="116">
        <v>7.4786437583001302</v>
      </c>
      <c r="E1276" s="116">
        <v>7.5883549136786197</v>
      </c>
      <c r="F1276" s="116">
        <v>8.4700000000000006</v>
      </c>
      <c r="G1276">
        <v>2223730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44755</v>
      </c>
      <c r="B1277" s="116">
        <v>7.8534902058432898</v>
      </c>
      <c r="C1277" s="116">
        <v>7.3597900066401101</v>
      </c>
      <c r="D1277" s="116">
        <v>7.3597900066401101</v>
      </c>
      <c r="E1277" s="116">
        <v>7.8534902058432898</v>
      </c>
      <c r="F1277" s="116">
        <v>8.0500000000000007</v>
      </c>
      <c r="G1277">
        <v>833236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44756</v>
      </c>
      <c r="B1278" s="116">
        <v>7.5792123173970802</v>
      </c>
      <c r="C1278" s="116">
        <v>7.4329307768924302</v>
      </c>
      <c r="D1278" s="116">
        <v>6.9940861553784899</v>
      </c>
      <c r="E1278" s="116">
        <v>6.9940861553784899</v>
      </c>
      <c r="F1278" s="116">
        <v>8.1300000000000008</v>
      </c>
      <c r="G1278">
        <v>842410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44757</v>
      </c>
      <c r="B1279" s="116">
        <v>7.5792123173970802</v>
      </c>
      <c r="C1279" s="116">
        <v>7.3140770252324003</v>
      </c>
      <c r="D1279" s="116">
        <v>7.0946547144754302</v>
      </c>
      <c r="E1279" s="116">
        <v>7.5792123173970802</v>
      </c>
      <c r="F1279" s="116">
        <v>8</v>
      </c>
      <c r="G1279">
        <v>1452860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44760</v>
      </c>
      <c r="B1280" s="116">
        <v>7.6797808764940196</v>
      </c>
      <c r="C1280" s="116">
        <v>7.5792123173970802</v>
      </c>
      <c r="D1280" s="116">
        <v>7.1403676958831301</v>
      </c>
      <c r="E1280" s="116">
        <v>7.49692895086321</v>
      </c>
      <c r="F1280" s="116">
        <v>8.2899999999999991</v>
      </c>
      <c r="G1280">
        <v>2861198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44761</v>
      </c>
      <c r="B1281" s="116">
        <v>7.7529216467463504</v>
      </c>
      <c r="C1281" s="116">
        <v>7.2043658698539197</v>
      </c>
      <c r="D1281" s="116">
        <v>7.2043658698539197</v>
      </c>
      <c r="E1281" s="116">
        <v>7.5792123173970802</v>
      </c>
      <c r="F1281" s="116">
        <v>7.88</v>
      </c>
      <c r="G1281">
        <v>1328590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44762</v>
      </c>
      <c r="B1282" s="116">
        <v>7.0397991367861898</v>
      </c>
      <c r="C1282" s="116">
        <v>6.8478046148738398</v>
      </c>
      <c r="D1282" s="116">
        <v>6.8478046148738398</v>
      </c>
      <c r="E1282" s="116">
        <v>6.8478046148738398</v>
      </c>
      <c r="F1282" s="116">
        <v>7.49</v>
      </c>
      <c r="G1282">
        <v>1399860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44763</v>
      </c>
      <c r="B1283" s="116">
        <v>6.9300879814077003</v>
      </c>
      <c r="C1283" s="116">
        <v>6.6649526892430302</v>
      </c>
      <c r="D1283" s="116">
        <v>6.5095285524568398</v>
      </c>
      <c r="E1283" s="116">
        <v>6.7198082669322696</v>
      </c>
      <c r="F1283" s="116">
        <v>7.29</v>
      </c>
      <c r="G1283">
        <v>1538985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44764</v>
      </c>
      <c r="B1284" s="116">
        <v>6.7106656706507302</v>
      </c>
      <c r="C1284" s="116">
        <v>6.5826693227091599</v>
      </c>
      <c r="D1284" s="116">
        <v>6.49124335989376</v>
      </c>
      <c r="E1284" s="116">
        <v>6.53695634130146</v>
      </c>
      <c r="F1284" s="116">
        <v>7.2</v>
      </c>
      <c r="G1284">
        <v>814432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44767</v>
      </c>
      <c r="B1285" s="116">
        <v>6.9118027888446196</v>
      </c>
      <c r="C1285" s="116">
        <v>6.9118027888446196</v>
      </c>
      <c r="D1285" s="116">
        <v>6.5735267264276196</v>
      </c>
      <c r="E1285" s="116">
        <v>6.7198082669322696</v>
      </c>
      <c r="F1285" s="116">
        <v>7.56</v>
      </c>
      <c r="G1285">
        <v>3233100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44768</v>
      </c>
      <c r="B1286" s="116">
        <v>7.2500788512616197</v>
      </c>
      <c r="C1286" s="116">
        <v>7.2500788512616197</v>
      </c>
      <c r="D1286" s="116">
        <v>6.7380934594953503</v>
      </c>
      <c r="E1286" s="116">
        <v>7.0397991367861898</v>
      </c>
      <c r="F1286" s="116">
        <v>7.93</v>
      </c>
      <c r="G1286">
        <v>4480638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44769</v>
      </c>
      <c r="B1287" s="116">
        <v>7.6066401062417004</v>
      </c>
      <c r="C1287" s="116">
        <v>7.5883549136786197</v>
      </c>
      <c r="D1287" s="116">
        <v>6.9392305776892398</v>
      </c>
      <c r="E1287" s="116">
        <v>7.40550298804781</v>
      </c>
      <c r="F1287" s="116">
        <v>8.3000000000000007</v>
      </c>
      <c r="G1287">
        <v>2099540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44770</v>
      </c>
      <c r="B1288" s="116">
        <v>7.7254938579017303</v>
      </c>
      <c r="C1288" s="116">
        <v>7.21350846613546</v>
      </c>
      <c r="D1288" s="116">
        <v>7.21350846613546</v>
      </c>
      <c r="E1288" s="116">
        <v>7.7254938579017303</v>
      </c>
      <c r="F1288" s="116">
        <v>7.89</v>
      </c>
      <c r="G1288">
        <v>875389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44771</v>
      </c>
      <c r="B1289" s="116">
        <v>7.1952232735723802</v>
      </c>
      <c r="C1289" s="116">
        <v>6.8843750000000004</v>
      </c>
      <c r="D1289" s="116">
        <v>6.8569472111553802</v>
      </c>
      <c r="E1289" s="116">
        <v>7.1952232735723802</v>
      </c>
      <c r="F1289" s="116">
        <v>7.53</v>
      </c>
      <c r="G1289">
        <v>1974464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44774</v>
      </c>
      <c r="B1290" s="116">
        <v>7.2226510624170004</v>
      </c>
      <c r="C1290" s="116">
        <v>7.21350846613546</v>
      </c>
      <c r="D1290" s="116">
        <v>7.0397991367861898</v>
      </c>
      <c r="E1290" s="116">
        <v>7.1952232735723802</v>
      </c>
      <c r="F1290" s="116">
        <v>7.89</v>
      </c>
      <c r="G1290">
        <v>2316846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44775</v>
      </c>
      <c r="B1291" s="116">
        <v>7.30493442895086</v>
      </c>
      <c r="C1291" s="116">
        <v>6.8843750000000004</v>
      </c>
      <c r="D1291" s="116">
        <v>6.8569472111553802</v>
      </c>
      <c r="E1291" s="116">
        <v>7.30493442895086</v>
      </c>
      <c r="F1291" s="116">
        <v>7.53</v>
      </c>
      <c r="G1291">
        <v>1279715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44776</v>
      </c>
      <c r="B1292" s="116">
        <v>7.11293990703851</v>
      </c>
      <c r="C1292" s="116">
        <v>7.0032287516600302</v>
      </c>
      <c r="D1292" s="116">
        <v>6.7655212483399696</v>
      </c>
      <c r="E1292" s="116">
        <v>6.8569472111553802</v>
      </c>
      <c r="F1292" s="116">
        <v>7.66</v>
      </c>
      <c r="G1292">
        <v>1219765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44777</v>
      </c>
      <c r="B1293" s="116">
        <v>7.2226510624170004</v>
      </c>
      <c r="C1293" s="116">
        <v>6.6923804780876504</v>
      </c>
      <c r="D1293" s="116">
        <v>6.6558100929614898</v>
      </c>
      <c r="E1293" s="116">
        <v>7.02151394422311</v>
      </c>
      <c r="F1293" s="116">
        <v>7.32</v>
      </c>
      <c r="G1293">
        <v>1600235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44778</v>
      </c>
      <c r="B1294" s="116">
        <v>6.7198082669322696</v>
      </c>
      <c r="C1294" s="116">
        <v>6.3906748007968099</v>
      </c>
      <c r="D1294" s="116">
        <v>6.3083914342629503</v>
      </c>
      <c r="E1294" s="116">
        <v>6.6740952855245697</v>
      </c>
      <c r="F1294" s="116">
        <v>6.99</v>
      </c>
      <c r="G1294">
        <v>2374291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44781</v>
      </c>
      <c r="B1295" s="116">
        <v>6.7106656706507302</v>
      </c>
      <c r="C1295" s="116">
        <v>5.76897825365206</v>
      </c>
      <c r="D1295" s="116">
        <v>5.4032744023904398</v>
      </c>
      <c r="E1295" s="116">
        <v>6.5826693227091599</v>
      </c>
      <c r="F1295" s="116">
        <v>6.31</v>
      </c>
      <c r="G1295">
        <v>12881318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44783</v>
      </c>
      <c r="B1296" s="116">
        <v>5.9884005644090301</v>
      </c>
      <c r="C1296" s="116">
        <v>5.8238338313413003</v>
      </c>
      <c r="D1296" s="116">
        <v>5.6409819057104897</v>
      </c>
      <c r="E1296" s="116">
        <v>5.6775522908366503</v>
      </c>
      <c r="F1296" s="116">
        <v>6.37</v>
      </c>
      <c r="G1296">
        <v>6886705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44784</v>
      </c>
      <c r="B1297" s="116">
        <v>5.8969746015936302</v>
      </c>
      <c r="C1297" s="116">
        <v>5.72326527224436</v>
      </c>
      <c r="D1297" s="116">
        <v>5.4947003652058397</v>
      </c>
      <c r="E1297" s="116">
        <v>5.8969746015936302</v>
      </c>
      <c r="F1297" s="116">
        <v>6.26</v>
      </c>
      <c r="G1297">
        <v>2868121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44785</v>
      </c>
      <c r="B1298" s="116">
        <v>5.8878320053120898</v>
      </c>
      <c r="C1298" s="116">
        <v>5.8421190239043801</v>
      </c>
      <c r="D1298" s="116">
        <v>5.6135541168658696</v>
      </c>
      <c r="E1298" s="116">
        <v>5.6226967131474099</v>
      </c>
      <c r="F1298" s="116">
        <v>6.39</v>
      </c>
      <c r="G1298">
        <v>1531061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44789</v>
      </c>
      <c r="B1299" s="116">
        <v>5.9426875830013302</v>
      </c>
      <c r="C1299" s="116">
        <v>5.4947003652058397</v>
      </c>
      <c r="D1299" s="116">
        <v>5.4672725763612204</v>
      </c>
      <c r="E1299" s="116">
        <v>5.8512616201859204</v>
      </c>
      <c r="F1299" s="116">
        <v>6.01</v>
      </c>
      <c r="G1299">
        <v>2398825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44790</v>
      </c>
      <c r="B1300" s="116">
        <v>5.6958374833997301</v>
      </c>
      <c r="C1300" s="116">
        <v>5.53127075033201</v>
      </c>
      <c r="D1300" s="116">
        <v>5.4855577689243002</v>
      </c>
      <c r="E1300" s="116">
        <v>5.5221281540504696</v>
      </c>
      <c r="F1300" s="116">
        <v>6.05</v>
      </c>
      <c r="G1300">
        <v>3727952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44791</v>
      </c>
      <c r="B1301" s="116">
        <v>5.8146912350597599</v>
      </c>
      <c r="C1301" s="116">
        <v>5.7598356573705196</v>
      </c>
      <c r="D1301" s="116">
        <v>5.4855577689243002</v>
      </c>
      <c r="E1301" s="116">
        <v>5.5495559428950898</v>
      </c>
      <c r="F1301" s="116">
        <v>6.3</v>
      </c>
      <c r="G1301">
        <v>2334227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44792</v>
      </c>
      <c r="B1302" s="116">
        <v>5.9426875830013302</v>
      </c>
      <c r="C1302" s="116">
        <v>5.8146912350597599</v>
      </c>
      <c r="D1302" s="116">
        <v>5.4855577689243002</v>
      </c>
      <c r="E1302" s="116">
        <v>5.9426875830013302</v>
      </c>
      <c r="F1302" s="116">
        <v>6.36</v>
      </c>
      <c r="G1302">
        <v>3066202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44795</v>
      </c>
      <c r="B1303" s="116">
        <v>5.8512616201859204</v>
      </c>
      <c r="C1303" s="116">
        <v>5.5952689243027898</v>
      </c>
      <c r="D1303" s="116">
        <v>5.4855577689243002</v>
      </c>
      <c r="E1303" s="116">
        <v>5.8512616201859204</v>
      </c>
      <c r="F1303" s="116">
        <v>6.12</v>
      </c>
      <c r="G1303">
        <v>1573505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44796</v>
      </c>
      <c r="B1304" s="116">
        <v>5.6318393094289503</v>
      </c>
      <c r="C1304" s="116">
        <v>5.5038429614873801</v>
      </c>
      <c r="D1304" s="116">
        <v>5.4764151726427599</v>
      </c>
      <c r="E1304" s="116">
        <v>5.5678411354581696</v>
      </c>
      <c r="F1304" s="116">
        <v>6.02</v>
      </c>
      <c r="G1304">
        <v>2916012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44797</v>
      </c>
      <c r="B1305" s="116">
        <v>5.6501245019920301</v>
      </c>
      <c r="C1305" s="116">
        <v>5.3758466135458196</v>
      </c>
      <c r="D1305" s="116">
        <v>5.2112798804780898</v>
      </c>
      <c r="E1305" s="116">
        <v>5.57698373173971</v>
      </c>
      <c r="F1305" s="116">
        <v>5.88</v>
      </c>
      <c r="G1305">
        <v>2906106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44798</v>
      </c>
      <c r="B1306" s="116">
        <v>5.53127075033201</v>
      </c>
      <c r="C1306" s="116">
        <v>5.1655668990703898</v>
      </c>
      <c r="D1306" s="116">
        <v>4.5712981407702502</v>
      </c>
      <c r="E1306" s="116">
        <v>5.3941318061089003</v>
      </c>
      <c r="F1306" s="116">
        <v>5.65</v>
      </c>
      <c r="G1306">
        <v>7868145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44799</v>
      </c>
      <c r="B1307" s="116">
        <v>5.4672725763612204</v>
      </c>
      <c r="C1307" s="116">
        <v>5.4581299800796801</v>
      </c>
      <c r="D1307" s="116">
        <v>5.2478502656042503</v>
      </c>
      <c r="E1307" s="116">
        <v>5.2844206507304099</v>
      </c>
      <c r="F1307" s="116">
        <v>5.97</v>
      </c>
      <c r="G1307">
        <v>1682598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44802</v>
      </c>
      <c r="B1308" s="116">
        <v>5.4489873837981397</v>
      </c>
      <c r="C1308" s="116">
        <v>5.0467131474103599</v>
      </c>
      <c r="D1308" s="116">
        <v>4.9095742031872502</v>
      </c>
      <c r="E1308" s="116">
        <v>5.4489873837981397</v>
      </c>
      <c r="F1308" s="116">
        <v>5.52</v>
      </c>
      <c r="G1308">
        <v>2179061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44803</v>
      </c>
      <c r="B1309" s="116">
        <v>5.3484188247012003</v>
      </c>
      <c r="C1309" s="116">
        <v>4.9918575697211196</v>
      </c>
      <c r="D1309" s="116">
        <v>4.7084370849933599</v>
      </c>
      <c r="E1309" s="116">
        <v>5.1015687250996002</v>
      </c>
      <c r="F1309" s="116">
        <v>5.46</v>
      </c>
      <c r="G1309">
        <v>3212004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44805</v>
      </c>
      <c r="B1310" s="116">
        <v>5.0741409362549801</v>
      </c>
      <c r="C1310" s="116">
        <v>4.1507387118193897</v>
      </c>
      <c r="D1310" s="116">
        <v>3.9953145750332002</v>
      </c>
      <c r="E1310" s="116">
        <v>4.9918575697211196</v>
      </c>
      <c r="F1310" s="116">
        <v>4.54</v>
      </c>
      <c r="G1310">
        <v>6597060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44806</v>
      </c>
      <c r="B1311" s="116">
        <v>4.6261537184595003</v>
      </c>
      <c r="C1311" s="116">
        <v>4.5621555444887099</v>
      </c>
      <c r="D1311" s="116">
        <v>4.1690239043824704</v>
      </c>
      <c r="E1311" s="116">
        <v>4.2878776560425003</v>
      </c>
      <c r="F1311" s="116">
        <v>4.99</v>
      </c>
      <c r="G1311">
        <v>4076025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44809</v>
      </c>
      <c r="B1312" s="116">
        <v>5.0284279548472801</v>
      </c>
      <c r="C1312" s="116">
        <v>4.6535815073041196</v>
      </c>
      <c r="D1312" s="116">
        <v>4.5712981407702502</v>
      </c>
      <c r="E1312" s="116">
        <v>4.7541500664010599</v>
      </c>
      <c r="F1312" s="116">
        <v>5.09</v>
      </c>
      <c r="G1312">
        <v>3407059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44810</v>
      </c>
      <c r="B1313" s="116">
        <v>4.7450074701195204</v>
      </c>
      <c r="C1313" s="116">
        <v>4.5804407370517897</v>
      </c>
      <c r="D1313" s="116">
        <v>4.4341591965471396</v>
      </c>
      <c r="E1313" s="116">
        <v>4.6627241035856599</v>
      </c>
      <c r="F1313" s="116">
        <v>5.01</v>
      </c>
      <c r="G1313">
        <v>2035338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44811</v>
      </c>
      <c r="B1314" s="116">
        <v>5.4855577689243002</v>
      </c>
      <c r="C1314" s="116">
        <v>5.4855577689243002</v>
      </c>
      <c r="D1314" s="116">
        <v>4.4798721779548503</v>
      </c>
      <c r="E1314" s="116">
        <v>4.6627241035856599</v>
      </c>
      <c r="F1314" s="116">
        <v>6</v>
      </c>
      <c r="G1314">
        <v>9507155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44812</v>
      </c>
      <c r="B1315" s="116">
        <v>5.8512616201859204</v>
      </c>
      <c r="C1315" s="116">
        <v>5.76897825365206</v>
      </c>
      <c r="D1315" s="116">
        <v>5.1289965139442204</v>
      </c>
      <c r="E1315" s="116">
        <v>5.6135541168658696</v>
      </c>
      <c r="F1315" s="116">
        <v>6.31</v>
      </c>
      <c r="G1315">
        <v>9183922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44813</v>
      </c>
      <c r="B1316" s="116">
        <v>6.0341135458167301</v>
      </c>
      <c r="C1316" s="116">
        <v>5.9426875830013302</v>
      </c>
      <c r="D1316" s="116">
        <v>5.7141226759628196</v>
      </c>
      <c r="E1316" s="116">
        <v>5.7506930610889802</v>
      </c>
      <c r="F1316" s="116">
        <v>6.5</v>
      </c>
      <c r="G1316">
        <v>4747654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44816</v>
      </c>
      <c r="B1317" s="116">
        <v>6.1803950863213801</v>
      </c>
      <c r="C1317" s="116">
        <v>4.8821464143426301</v>
      </c>
      <c r="D1317" s="116">
        <v>4.7541500664010599</v>
      </c>
      <c r="E1317" s="116">
        <v>6.1621098937583003</v>
      </c>
      <c r="F1317" s="116">
        <v>5.34</v>
      </c>
      <c r="G1317">
        <v>6114887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44817</v>
      </c>
      <c r="B1318" s="116">
        <v>5.1838520916334696</v>
      </c>
      <c r="C1318" s="116">
        <v>5.0375705511288196</v>
      </c>
      <c r="D1318" s="116">
        <v>4.9644297808764897</v>
      </c>
      <c r="E1318" s="116">
        <v>5.00100016600266</v>
      </c>
      <c r="F1318" s="116">
        <v>5.51</v>
      </c>
      <c r="G1318">
        <v>3005232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44818</v>
      </c>
      <c r="B1319" s="116">
        <v>5.57698373173971</v>
      </c>
      <c r="C1319" s="116">
        <v>5.3209910358565704</v>
      </c>
      <c r="D1319" s="116">
        <v>4.58958333333333</v>
      </c>
      <c r="E1319" s="116">
        <v>5.0284279548472801</v>
      </c>
      <c r="F1319" s="116">
        <v>5.82</v>
      </c>
      <c r="G1319">
        <v>3645319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44819</v>
      </c>
      <c r="B1320" s="116">
        <v>5.4581299800796801</v>
      </c>
      <c r="C1320" s="116">
        <v>4.9095742031872502</v>
      </c>
      <c r="D1320" s="116">
        <v>4.8090056440903099</v>
      </c>
      <c r="E1320" s="116">
        <v>5.4581299800796801</v>
      </c>
      <c r="F1320" s="116">
        <v>5.37</v>
      </c>
      <c r="G1320">
        <v>10928122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44820</v>
      </c>
      <c r="B1321" s="116">
        <v>5.0284279548472801</v>
      </c>
      <c r="C1321" s="116">
        <v>4.8638612217795503</v>
      </c>
      <c r="D1321" s="116">
        <v>4.7998630478087696</v>
      </c>
      <c r="E1321" s="116">
        <v>4.9370019920318704</v>
      </c>
      <c r="F1321" s="116">
        <v>5.32</v>
      </c>
      <c r="G1321">
        <v>2044500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44823</v>
      </c>
      <c r="B1322" s="116">
        <v>5.2387076693227099</v>
      </c>
      <c r="C1322" s="116">
        <v>4.9370019920318704</v>
      </c>
      <c r="D1322" s="116">
        <v>4.8455760292164696</v>
      </c>
      <c r="E1322" s="116">
        <v>4.9187167994687897</v>
      </c>
      <c r="F1322" s="116">
        <v>5.4</v>
      </c>
      <c r="G1322">
        <v>1912306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44824</v>
      </c>
      <c r="B1323" s="116">
        <v>5.1381391102257599</v>
      </c>
      <c r="C1323" s="116">
        <v>4.9735723771580398</v>
      </c>
      <c r="D1323" s="116">
        <v>4.8547186254980099</v>
      </c>
      <c r="E1323" s="116">
        <v>5.0284279548472801</v>
      </c>
      <c r="F1323" s="116">
        <v>5.44</v>
      </c>
      <c r="G1323">
        <v>6289284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44825</v>
      </c>
      <c r="B1324" s="116">
        <v>5.1655668990703898</v>
      </c>
      <c r="C1324" s="116">
        <v>4.8455760292164696</v>
      </c>
      <c r="D1324" s="116">
        <v>4.5712981407702502</v>
      </c>
      <c r="E1324" s="116">
        <v>5.0558557436919003</v>
      </c>
      <c r="F1324" s="116">
        <v>5.3</v>
      </c>
      <c r="G1324">
        <v>4017193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44826</v>
      </c>
      <c r="B1325" s="116">
        <v>4.8547186254980099</v>
      </c>
      <c r="C1325" s="116">
        <v>4.6992944887118204</v>
      </c>
      <c r="D1325" s="116">
        <v>4.5712981407702502</v>
      </c>
      <c r="E1325" s="116">
        <v>4.7541500664010599</v>
      </c>
      <c r="F1325" s="116">
        <v>5.14</v>
      </c>
      <c r="G1325">
        <v>5920644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44827</v>
      </c>
      <c r="B1326" s="116">
        <v>4.8638612217795503</v>
      </c>
      <c r="C1326" s="116">
        <v>4.73586487383798</v>
      </c>
      <c r="D1326" s="116">
        <v>4.5712981407702502</v>
      </c>
      <c r="E1326" s="116">
        <v>4.7998630478087696</v>
      </c>
      <c r="F1326" s="116">
        <v>5.18</v>
      </c>
      <c r="G1326">
        <v>8859950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44830</v>
      </c>
      <c r="B1327" s="116">
        <v>4.8272908366533898</v>
      </c>
      <c r="C1327" s="116">
        <v>4.5072999667994704</v>
      </c>
      <c r="D1327" s="116">
        <v>4.4798721779548503</v>
      </c>
      <c r="E1327" s="116">
        <v>4.8272908366533898</v>
      </c>
      <c r="F1327" s="116">
        <v>4.93</v>
      </c>
      <c r="G1327">
        <v>4075388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44831</v>
      </c>
      <c r="B1328" s="116">
        <v>4.6810092961487397</v>
      </c>
      <c r="C1328" s="116">
        <v>4.35187583001328</v>
      </c>
      <c r="D1328" s="116">
        <v>4.2787350597609599</v>
      </c>
      <c r="E1328" s="116">
        <v>4.5072999667994704</v>
      </c>
      <c r="F1328" s="116">
        <v>4.76</v>
      </c>
      <c r="G1328">
        <v>4347494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44832</v>
      </c>
      <c r="B1329" s="116">
        <v>4.39758881142098</v>
      </c>
      <c r="C1329" s="116">
        <v>3.9587441899070401</v>
      </c>
      <c r="D1329" s="116">
        <v>3.67532370517928</v>
      </c>
      <c r="E1329" s="116">
        <v>4.35187583001328</v>
      </c>
      <c r="F1329" s="116">
        <v>4.33</v>
      </c>
      <c r="G1329">
        <v>4904549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44833</v>
      </c>
      <c r="B1330" s="116">
        <v>4.35187583001328</v>
      </c>
      <c r="C1330" s="116">
        <v>3.73932187915007</v>
      </c>
      <c r="D1330" s="116">
        <v>3.6204681274900401</v>
      </c>
      <c r="E1330" s="116">
        <v>4.1141683266932301</v>
      </c>
      <c r="F1330" s="116">
        <v>4.09</v>
      </c>
      <c r="G1330">
        <v>5684312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44834</v>
      </c>
      <c r="B1331" s="116">
        <v>4.1050257304116897</v>
      </c>
      <c r="C1331" s="116">
        <v>4.0227423638778204</v>
      </c>
      <c r="D1331" s="116">
        <v>3.8124626494023901</v>
      </c>
      <c r="E1331" s="116">
        <v>3.8856034196547098</v>
      </c>
      <c r="F1331" s="116">
        <v>4.4000000000000004</v>
      </c>
      <c r="G1331">
        <v>2706508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44837</v>
      </c>
      <c r="B1332" s="116">
        <v>4.3427332337317397</v>
      </c>
      <c r="C1332" s="116">
        <v>4.2147368857901704</v>
      </c>
      <c r="D1332" s="116">
        <v>3.93131640106242</v>
      </c>
      <c r="E1332" s="116">
        <v>4.1050257304116897</v>
      </c>
      <c r="F1332" s="116">
        <v>4.6100000000000003</v>
      </c>
      <c r="G1332">
        <v>1986330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44838</v>
      </c>
      <c r="B1333" s="116">
        <v>4.9552871845949502</v>
      </c>
      <c r="C1333" s="116">
        <v>4.8547186254980099</v>
      </c>
      <c r="D1333" s="116">
        <v>4.3061628486055801</v>
      </c>
      <c r="E1333" s="116">
        <v>4.3061628486055801</v>
      </c>
      <c r="F1333" s="116">
        <v>5.31</v>
      </c>
      <c r="G1333">
        <v>3827041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44840</v>
      </c>
      <c r="B1334" s="116">
        <v>5.3392762284196502</v>
      </c>
      <c r="C1334" s="116">
        <v>4.8455760292164696</v>
      </c>
      <c r="D1334" s="116">
        <v>4.7632926626826002</v>
      </c>
      <c r="E1334" s="116">
        <v>5.3392762284196502</v>
      </c>
      <c r="F1334" s="116">
        <v>5.3</v>
      </c>
      <c r="G1334">
        <v>4101181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44841</v>
      </c>
      <c r="B1335" s="116">
        <v>5.1655668990703898</v>
      </c>
      <c r="C1335" s="116">
        <v>4.7724352589641397</v>
      </c>
      <c r="D1335" s="116">
        <v>4.6352963147410398</v>
      </c>
      <c r="E1335" s="116">
        <v>4.8364334329349301</v>
      </c>
      <c r="F1335" s="116">
        <v>5.22</v>
      </c>
      <c r="G1335">
        <v>3910900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44844</v>
      </c>
      <c r="B1336" s="116">
        <v>4.7450074701195204</v>
      </c>
      <c r="C1336" s="116">
        <v>4.6627241035856599</v>
      </c>
      <c r="D1336" s="116">
        <v>4.5804407370517897</v>
      </c>
      <c r="E1336" s="116">
        <v>4.7450074701195204</v>
      </c>
      <c r="F1336" s="116">
        <v>5.0999999999999996</v>
      </c>
      <c r="G1336">
        <v>2928285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44845</v>
      </c>
      <c r="B1337" s="116">
        <v>4.7998630478087696</v>
      </c>
      <c r="C1337" s="116">
        <v>4.6627241035856599</v>
      </c>
      <c r="D1337" s="116">
        <v>4.5804407370517897</v>
      </c>
      <c r="E1337" s="116">
        <v>4.7998630478087696</v>
      </c>
      <c r="F1337" s="116">
        <v>5.0999999999999996</v>
      </c>
      <c r="G1337">
        <v>3490853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44846</v>
      </c>
      <c r="B1338" s="116">
        <v>4.7450074701195204</v>
      </c>
      <c r="C1338" s="116">
        <v>4.5621555444887099</v>
      </c>
      <c r="D1338" s="116">
        <v>4.35187583001328</v>
      </c>
      <c r="E1338" s="116">
        <v>4.6627241035856599</v>
      </c>
      <c r="F1338" s="116">
        <v>4.99</v>
      </c>
      <c r="G1338">
        <v>2335579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44847</v>
      </c>
      <c r="B1339" s="116">
        <v>4.7907204515272204</v>
      </c>
      <c r="C1339" s="116">
        <v>4.4890147742363897</v>
      </c>
      <c r="D1339" s="116">
        <v>4.4158740039840598</v>
      </c>
      <c r="E1339" s="116">
        <v>4.4707295816733099</v>
      </c>
      <c r="F1339" s="116">
        <v>4.91</v>
      </c>
      <c r="G1339">
        <v>6112835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44848</v>
      </c>
      <c r="B1340" s="116">
        <v>4.4798721779548503</v>
      </c>
      <c r="C1340" s="116">
        <v>4.4433017928286898</v>
      </c>
      <c r="D1340" s="116">
        <v>4.4341591965471396</v>
      </c>
      <c r="E1340" s="116">
        <v>4.4798721779548503</v>
      </c>
      <c r="F1340" s="116">
        <v>4.8600000000000003</v>
      </c>
      <c r="G1340">
        <v>2463507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44851</v>
      </c>
      <c r="B1341" s="116">
        <v>4.4433017928286898</v>
      </c>
      <c r="C1341" s="116">
        <v>4.3884462151394397</v>
      </c>
      <c r="D1341" s="116">
        <v>4.3610184262948204</v>
      </c>
      <c r="E1341" s="116">
        <v>4.4433017928286898</v>
      </c>
      <c r="F1341" s="116">
        <v>4.8</v>
      </c>
      <c r="G1341">
        <v>5837103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44852</v>
      </c>
      <c r="B1342" s="116">
        <v>4.4707295816733099</v>
      </c>
      <c r="C1342" s="116">
        <v>4.3427332337317397</v>
      </c>
      <c r="D1342" s="116">
        <v>4.2970202523240397</v>
      </c>
      <c r="E1342" s="116">
        <v>4.2970202523240397</v>
      </c>
      <c r="F1342" s="116">
        <v>4.75</v>
      </c>
      <c r="G1342">
        <v>4430582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44853</v>
      </c>
      <c r="B1343" s="116">
        <v>4.3427332337317397</v>
      </c>
      <c r="C1343" s="116">
        <v>4.3061628486055801</v>
      </c>
      <c r="D1343" s="116">
        <v>4.2604498671978801</v>
      </c>
      <c r="E1343" s="116">
        <v>4.3427332337317397</v>
      </c>
      <c r="F1343" s="116">
        <v>4.71</v>
      </c>
      <c r="G1343">
        <v>1317881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44854</v>
      </c>
      <c r="B1344" s="116">
        <v>4.2970202523240397</v>
      </c>
      <c r="C1344" s="116">
        <v>4.2787350597609599</v>
      </c>
      <c r="D1344" s="116">
        <v>4.2513072709163398</v>
      </c>
      <c r="E1344" s="116">
        <v>4.2970202523240397</v>
      </c>
      <c r="F1344" s="116">
        <v>4.68</v>
      </c>
      <c r="G1344">
        <v>2740645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44855</v>
      </c>
      <c r="B1345" s="116">
        <v>4.2513072709163398</v>
      </c>
      <c r="C1345" s="116">
        <v>4.2513072709163398</v>
      </c>
      <c r="D1345" s="116">
        <v>4.1690239043824704</v>
      </c>
      <c r="E1345" s="116">
        <v>4.2513072709163398</v>
      </c>
      <c r="F1345" s="116">
        <v>4.6500000000000004</v>
      </c>
      <c r="G1345">
        <v>1992513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44858</v>
      </c>
      <c r="B1346" s="116">
        <v>4.5621555444887099</v>
      </c>
      <c r="C1346" s="116">
        <v>4.2513072709163398</v>
      </c>
      <c r="D1346" s="116">
        <v>4.2238794820717098</v>
      </c>
      <c r="E1346" s="116">
        <v>4.5621555444887099</v>
      </c>
      <c r="F1346" s="116">
        <v>4.6500000000000004</v>
      </c>
      <c r="G1346">
        <v>692182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44859</v>
      </c>
      <c r="B1347" s="116">
        <v>4.8272908366533898</v>
      </c>
      <c r="C1347" s="116">
        <v>4.7450074701195204</v>
      </c>
      <c r="D1347" s="116">
        <v>4.15988130810093</v>
      </c>
      <c r="E1347" s="116">
        <v>4.2513072709163398</v>
      </c>
      <c r="F1347" s="116">
        <v>5.19</v>
      </c>
      <c r="G1347">
        <v>3739862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44861</v>
      </c>
      <c r="B1348" s="116">
        <v>4.8364334329349301</v>
      </c>
      <c r="C1348" s="116">
        <v>4.7450074701195204</v>
      </c>
      <c r="D1348" s="116">
        <v>4.3884462151394397</v>
      </c>
      <c r="E1348" s="116">
        <v>4.8364334329349301</v>
      </c>
      <c r="F1348" s="116">
        <v>5.19</v>
      </c>
      <c r="G1348">
        <v>1331466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44862</v>
      </c>
      <c r="B1349" s="116">
        <v>5.4672725763612204</v>
      </c>
      <c r="C1349" s="116">
        <v>5.2935632470119502</v>
      </c>
      <c r="D1349" s="116">
        <v>4.7632926626826002</v>
      </c>
      <c r="E1349" s="116">
        <v>4.7907204515272204</v>
      </c>
      <c r="F1349" s="116">
        <v>5.79</v>
      </c>
      <c r="G1349">
        <v>8771623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44865</v>
      </c>
      <c r="B1350" s="116">
        <v>5.6684096945551099</v>
      </c>
      <c r="C1350" s="116">
        <v>5.4215595949535196</v>
      </c>
      <c r="D1350" s="116">
        <v>4.9461445883134099</v>
      </c>
      <c r="E1350" s="116">
        <v>5.4855577689243002</v>
      </c>
      <c r="F1350" s="116">
        <v>5.93</v>
      </c>
      <c r="G1350">
        <v>3223997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44866</v>
      </c>
      <c r="B1351" s="116">
        <v>5.5221281540504696</v>
      </c>
      <c r="C1351" s="116">
        <v>5.2844206507304099</v>
      </c>
      <c r="D1351" s="116">
        <v>5.1747094953519301</v>
      </c>
      <c r="E1351" s="116">
        <v>5.4124169986719801</v>
      </c>
      <c r="F1351" s="116">
        <v>5.78</v>
      </c>
      <c r="G1351">
        <v>1368521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44867</v>
      </c>
      <c r="B1352" s="116">
        <v>5.3392762284196502</v>
      </c>
      <c r="C1352" s="116">
        <v>4.9095742031872502</v>
      </c>
      <c r="D1352" s="116">
        <v>4.7998630478087696</v>
      </c>
      <c r="E1352" s="116">
        <v>5.2112798804780898</v>
      </c>
      <c r="F1352" s="116">
        <v>5.37</v>
      </c>
      <c r="G1352">
        <v>1584207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44868</v>
      </c>
      <c r="B1353" s="116">
        <v>5.1015687250996002</v>
      </c>
      <c r="C1353" s="116">
        <v>4.9187167994687897</v>
      </c>
      <c r="D1353" s="116">
        <v>4.7724352589641397</v>
      </c>
      <c r="E1353" s="116">
        <v>4.8821464143426301</v>
      </c>
      <c r="F1353" s="116">
        <v>5.38</v>
      </c>
      <c r="G1353">
        <v>659782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44869</v>
      </c>
      <c r="B1354" s="116">
        <v>5.0649983399734397</v>
      </c>
      <c r="C1354" s="116">
        <v>4.9735723771580398</v>
      </c>
      <c r="D1354" s="116">
        <v>4.78157785524568</v>
      </c>
      <c r="E1354" s="116">
        <v>4.9278593957503301</v>
      </c>
      <c r="F1354" s="116">
        <v>5.44</v>
      </c>
      <c r="G1354">
        <v>706753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44872</v>
      </c>
      <c r="B1355" s="116">
        <v>5.0924261288180599</v>
      </c>
      <c r="C1355" s="116">
        <v>4.7541500664010599</v>
      </c>
      <c r="D1355" s="116">
        <v>4.5712981407702502</v>
      </c>
      <c r="E1355" s="116">
        <v>5.0924261288180599</v>
      </c>
      <c r="F1355" s="116">
        <v>5.2</v>
      </c>
      <c r="G1355">
        <v>1125091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44874</v>
      </c>
      <c r="B1356" s="116">
        <v>4.7450074701195204</v>
      </c>
      <c r="C1356" s="116">
        <v>4.4798721779548503</v>
      </c>
      <c r="D1356" s="116">
        <v>4.4524443891102301</v>
      </c>
      <c r="E1356" s="116">
        <v>4.6170111221779502</v>
      </c>
      <c r="F1356" s="116">
        <v>4.9000000000000004</v>
      </c>
      <c r="G1356">
        <v>6996932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44875</v>
      </c>
      <c r="B1357" s="116">
        <v>4.5621555444887099</v>
      </c>
      <c r="C1357" s="116">
        <v>4.39758881142098</v>
      </c>
      <c r="D1357" s="116">
        <v>4.2970202523240397</v>
      </c>
      <c r="E1357" s="116">
        <v>4.4890147742363897</v>
      </c>
      <c r="F1357" s="116">
        <v>4.8099999999999996</v>
      </c>
      <c r="G1357">
        <v>2423070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44876</v>
      </c>
      <c r="B1358" s="116">
        <v>4.5621555444887099</v>
      </c>
      <c r="C1358" s="116">
        <v>4.2970202523240397</v>
      </c>
      <c r="D1358" s="116">
        <v>4.2421646746347896</v>
      </c>
      <c r="E1358" s="116">
        <v>4.4981573705179301</v>
      </c>
      <c r="F1358" s="116">
        <v>4.7</v>
      </c>
      <c r="G1358">
        <v>3750647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44879</v>
      </c>
      <c r="B1359" s="116">
        <v>4.3701610225763599</v>
      </c>
      <c r="C1359" s="116">
        <v>4.2695924634794196</v>
      </c>
      <c r="D1359" s="116">
        <v>4.1873090969455502</v>
      </c>
      <c r="E1359" s="116">
        <v>4.2970202523240397</v>
      </c>
      <c r="F1359" s="116">
        <v>4.67</v>
      </c>
      <c r="G1359">
        <v>8895260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44880</v>
      </c>
      <c r="B1360" s="116">
        <v>4.4890147742363897</v>
      </c>
      <c r="C1360" s="116">
        <v>4.4341591965471396</v>
      </c>
      <c r="D1360" s="116">
        <v>4.20559428950863</v>
      </c>
      <c r="E1360" s="116">
        <v>4.3061628486055801</v>
      </c>
      <c r="F1360" s="116">
        <v>4.8499999999999996</v>
      </c>
      <c r="G1360">
        <v>16383047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44881</v>
      </c>
      <c r="B1361" s="116">
        <v>4.73586487383798</v>
      </c>
      <c r="C1361" s="116">
        <v>4.6810092961487397</v>
      </c>
      <c r="D1361" s="116">
        <v>4.5072999667994704</v>
      </c>
      <c r="E1361" s="116">
        <v>4.5621555444887099</v>
      </c>
      <c r="F1361" s="116">
        <v>5.12</v>
      </c>
      <c r="G1361">
        <v>4248153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44882</v>
      </c>
      <c r="B1362" s="116">
        <v>4.7541500664010599</v>
      </c>
      <c r="C1362" s="116">
        <v>4.5987259296148704</v>
      </c>
      <c r="D1362" s="116">
        <v>4.4798721779548503</v>
      </c>
      <c r="E1362" s="116">
        <v>4.73586487383798</v>
      </c>
      <c r="F1362" s="116">
        <v>5.03</v>
      </c>
      <c r="G1362">
        <v>1730109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44883</v>
      </c>
      <c r="B1363" s="116">
        <v>4.5712981407702502</v>
      </c>
      <c r="C1363" s="116">
        <v>4.5072999667994704</v>
      </c>
      <c r="D1363" s="116">
        <v>4.3061628486055801</v>
      </c>
      <c r="E1363" s="116">
        <v>4.5712981407702502</v>
      </c>
      <c r="F1363" s="116">
        <v>4.93</v>
      </c>
      <c r="G1363">
        <v>2471802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44886</v>
      </c>
      <c r="B1364" s="116">
        <v>4.5164425630810099</v>
      </c>
      <c r="C1364" s="116">
        <v>4.4798721779548503</v>
      </c>
      <c r="D1364" s="116">
        <v>4.39758881142098</v>
      </c>
      <c r="E1364" s="116">
        <v>4.4798721779548503</v>
      </c>
      <c r="F1364" s="116">
        <v>4.9000000000000004</v>
      </c>
      <c r="G1364">
        <v>1085057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44887</v>
      </c>
      <c r="B1365" s="116">
        <v>4.5164425630810099</v>
      </c>
      <c r="C1365" s="116">
        <v>4.4524443891102301</v>
      </c>
      <c r="D1365" s="116">
        <v>4.4067314077025204</v>
      </c>
      <c r="E1365" s="116">
        <v>4.4067314077025204</v>
      </c>
      <c r="F1365" s="116">
        <v>4.87</v>
      </c>
      <c r="G1365">
        <v>1080030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44888</v>
      </c>
      <c r="B1366" s="116">
        <v>4.7267222775564397</v>
      </c>
      <c r="C1366" s="116">
        <v>4.6444389110225801</v>
      </c>
      <c r="D1366" s="116">
        <v>4.4707295816733099</v>
      </c>
      <c r="E1366" s="116">
        <v>4.4707295816733099</v>
      </c>
      <c r="F1366" s="116">
        <v>5.08</v>
      </c>
      <c r="G1366">
        <v>1668112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44889</v>
      </c>
      <c r="B1367" s="116">
        <v>4.7267222775564397</v>
      </c>
      <c r="C1367" s="116">
        <v>4.6261537184595003</v>
      </c>
      <c r="D1367" s="116">
        <v>4.54387035192563</v>
      </c>
      <c r="E1367" s="116">
        <v>4.6535815073041196</v>
      </c>
      <c r="F1367" s="116">
        <v>5.0599999999999996</v>
      </c>
      <c r="G1367">
        <v>732964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44890</v>
      </c>
      <c r="B1368" s="116">
        <v>4.8181482403718503</v>
      </c>
      <c r="C1368" s="116">
        <v>4.6535815073041196</v>
      </c>
      <c r="D1368" s="116">
        <v>4.5987259296148704</v>
      </c>
      <c r="E1368" s="116">
        <v>4.7998630478087696</v>
      </c>
      <c r="F1368" s="116">
        <v>5.09</v>
      </c>
      <c r="G1368">
        <v>1209701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44893</v>
      </c>
      <c r="B1369" s="116">
        <v>4.7450074701195204</v>
      </c>
      <c r="C1369" s="116">
        <v>4.6901518924302801</v>
      </c>
      <c r="D1369" s="116">
        <v>4.6352963147410398</v>
      </c>
      <c r="E1369" s="116">
        <v>4.7450074701195204</v>
      </c>
      <c r="F1369" s="116">
        <v>5.13</v>
      </c>
      <c r="G1369">
        <v>946930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44894</v>
      </c>
      <c r="B1370" s="116">
        <v>4.7175796812749002</v>
      </c>
      <c r="C1370" s="116">
        <v>4.6352963147410398</v>
      </c>
      <c r="D1370" s="116">
        <v>4.5712981407702502</v>
      </c>
      <c r="E1370" s="116">
        <v>4.6901518924302801</v>
      </c>
      <c r="F1370" s="116">
        <v>5.07</v>
      </c>
      <c r="G1370">
        <v>787820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44895</v>
      </c>
      <c r="B1371" s="116">
        <v>4.6901518924302801</v>
      </c>
      <c r="C1371" s="116">
        <v>4.6627241035856599</v>
      </c>
      <c r="D1371" s="116">
        <v>4.58958333333333</v>
      </c>
      <c r="E1371" s="116">
        <v>4.6535815073041196</v>
      </c>
      <c r="F1371" s="116">
        <v>5.0999999999999996</v>
      </c>
      <c r="G1371">
        <v>740420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44896</v>
      </c>
      <c r="B1372" s="116">
        <v>4.6992944887118204</v>
      </c>
      <c r="C1372" s="116">
        <v>4.6718666998672003</v>
      </c>
      <c r="D1372" s="116">
        <v>4.6078685258964098</v>
      </c>
      <c r="E1372" s="116">
        <v>4.6535815073041196</v>
      </c>
      <c r="F1372" s="116">
        <v>5.1100000000000003</v>
      </c>
      <c r="G1372">
        <v>800750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44897</v>
      </c>
      <c r="B1373" s="116">
        <v>4.7267222775564397</v>
      </c>
      <c r="C1373" s="116">
        <v>4.6261537184595003</v>
      </c>
      <c r="D1373" s="116">
        <v>4.5987259296148704</v>
      </c>
      <c r="E1373" s="116">
        <v>4.6992944887118204</v>
      </c>
      <c r="F1373" s="116">
        <v>5.0599999999999996</v>
      </c>
      <c r="G1373">
        <v>1423975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44900</v>
      </c>
      <c r="B1374" s="116">
        <v>4.6992944887118204</v>
      </c>
      <c r="C1374" s="116">
        <v>4.58958333333333</v>
      </c>
      <c r="D1374" s="116">
        <v>4.5621555444887099</v>
      </c>
      <c r="E1374" s="116">
        <v>4.6627241035856599</v>
      </c>
      <c r="F1374" s="116">
        <v>5.0199999999999996</v>
      </c>
      <c r="G1374">
        <v>1770662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44901</v>
      </c>
      <c r="B1375" s="116">
        <v>4.6444389110225801</v>
      </c>
      <c r="C1375" s="116">
        <v>4.58958333333333</v>
      </c>
      <c r="D1375" s="116">
        <v>4.5712981407702502</v>
      </c>
      <c r="E1375" s="116">
        <v>4.6352963147410398</v>
      </c>
      <c r="F1375" s="116">
        <v>5.0199999999999996</v>
      </c>
      <c r="G1375">
        <v>994110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44902</v>
      </c>
      <c r="B1376" s="116">
        <v>4.6261537184595003</v>
      </c>
      <c r="C1376" s="116">
        <v>4.58958333333333</v>
      </c>
      <c r="D1376" s="116">
        <v>4.5530129482071704</v>
      </c>
      <c r="E1376" s="116">
        <v>4.5987259296148704</v>
      </c>
      <c r="F1376" s="116">
        <v>5.0199999999999996</v>
      </c>
      <c r="G1376">
        <v>765739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44903</v>
      </c>
      <c r="B1377" s="116">
        <v>4.5987259296148704</v>
      </c>
      <c r="C1377" s="116">
        <v>4.54387035192563</v>
      </c>
      <c r="D1377" s="116">
        <v>4.4341591965471396</v>
      </c>
      <c r="E1377" s="116">
        <v>4.5987259296148704</v>
      </c>
      <c r="F1377" s="116">
        <v>4.97</v>
      </c>
      <c r="G1377">
        <v>603815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44904</v>
      </c>
      <c r="B1378" s="116">
        <v>4.5712981407702502</v>
      </c>
      <c r="C1378" s="116">
        <v>4.5072999667994704</v>
      </c>
      <c r="D1378" s="116">
        <v>4.3427332337317397</v>
      </c>
      <c r="E1378" s="116">
        <v>4.5712981407702502</v>
      </c>
      <c r="F1378" s="116">
        <v>4.93</v>
      </c>
      <c r="G1378">
        <v>1318890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44907</v>
      </c>
      <c r="B1379" s="116">
        <v>4.5987259296148704</v>
      </c>
      <c r="C1379" s="116">
        <v>4.5712981407702502</v>
      </c>
      <c r="D1379" s="116">
        <v>4.5072999667994704</v>
      </c>
      <c r="E1379" s="116">
        <v>4.5255851593625502</v>
      </c>
      <c r="F1379" s="116">
        <v>5</v>
      </c>
      <c r="G1379">
        <v>3004001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44908</v>
      </c>
      <c r="B1380" s="116">
        <v>4.6444389110225801</v>
      </c>
      <c r="C1380" s="116">
        <v>4.5347277556440897</v>
      </c>
      <c r="D1380" s="116">
        <v>4.5072999667994704</v>
      </c>
      <c r="E1380" s="116">
        <v>4.6261537184595003</v>
      </c>
      <c r="F1380" s="116">
        <v>4.96</v>
      </c>
      <c r="G1380">
        <v>1512209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44909</v>
      </c>
      <c r="B1381" s="116">
        <v>4.6170111221779502</v>
      </c>
      <c r="C1381" s="116">
        <v>4.5804407370517897</v>
      </c>
      <c r="D1381" s="116">
        <v>4.5347277556440897</v>
      </c>
      <c r="E1381" s="116">
        <v>4.6078685258964098</v>
      </c>
      <c r="F1381" s="116">
        <v>5.01</v>
      </c>
      <c r="G1381">
        <v>846253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44910</v>
      </c>
      <c r="B1382" s="116">
        <v>4.6352963147410398</v>
      </c>
      <c r="C1382" s="116">
        <v>4.5987259296148704</v>
      </c>
      <c r="D1382" s="116">
        <v>4.5347277556440897</v>
      </c>
      <c r="E1382" s="116">
        <v>4.5712981407702502</v>
      </c>
      <c r="F1382" s="116">
        <v>5.03</v>
      </c>
      <c r="G1382">
        <v>953642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44911</v>
      </c>
      <c r="B1383" s="116">
        <v>4.6352963147410398</v>
      </c>
      <c r="C1383" s="116">
        <v>4.54387035192563</v>
      </c>
      <c r="D1383" s="116">
        <v>4.5255851593625502</v>
      </c>
      <c r="E1383" s="116">
        <v>4.5712981407702502</v>
      </c>
      <c r="F1383" s="116">
        <v>4.97</v>
      </c>
      <c r="G1383">
        <v>951171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44914</v>
      </c>
      <c r="B1384" s="116">
        <v>5.4489873837981397</v>
      </c>
      <c r="C1384" s="116">
        <v>5.4398447875166003</v>
      </c>
      <c r="D1384" s="116">
        <v>4.54387035192563</v>
      </c>
      <c r="E1384" s="116">
        <v>4.54387035192563</v>
      </c>
      <c r="F1384" s="116">
        <v>5.95</v>
      </c>
      <c r="G1384">
        <v>8036993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44915</v>
      </c>
      <c r="B1385" s="116">
        <v>6.1712524900398398</v>
      </c>
      <c r="C1385" s="116">
        <v>5.91525979415671</v>
      </c>
      <c r="D1385" s="116">
        <v>5.4672725763612204</v>
      </c>
      <c r="E1385" s="116">
        <v>5.7598356573705196</v>
      </c>
      <c r="F1385" s="116">
        <v>6.47</v>
      </c>
      <c r="G1385">
        <v>7493497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44916</v>
      </c>
      <c r="B1386" s="116">
        <v>6.3906748007968099</v>
      </c>
      <c r="C1386" s="116">
        <v>5.3941318061089003</v>
      </c>
      <c r="D1386" s="116">
        <v>5.2569928618857897</v>
      </c>
      <c r="E1386" s="116">
        <v>6.1163969123506003</v>
      </c>
      <c r="F1386" s="116">
        <v>5.9</v>
      </c>
      <c r="G1386">
        <v>4205835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44917</v>
      </c>
      <c r="B1387" s="116">
        <v>5.7141226759628196</v>
      </c>
      <c r="C1387" s="116">
        <v>5.1107113213811397</v>
      </c>
      <c r="D1387" s="116">
        <v>4.8547186254980099</v>
      </c>
      <c r="E1387" s="116">
        <v>5.3484188247012003</v>
      </c>
      <c r="F1387" s="116">
        <v>5.59</v>
      </c>
      <c r="G1387">
        <v>2772016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44918</v>
      </c>
      <c r="B1388" s="116">
        <v>5.0741409362549801</v>
      </c>
      <c r="C1388" s="116">
        <v>4.7084370849933599</v>
      </c>
      <c r="D1388" s="116">
        <v>4.5804407370517897</v>
      </c>
      <c r="E1388" s="116">
        <v>5.0284279548472801</v>
      </c>
      <c r="F1388" s="116">
        <v>5.15</v>
      </c>
      <c r="G1388">
        <v>1839589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44921</v>
      </c>
      <c r="B1389" s="116">
        <v>5.4672725763612204</v>
      </c>
      <c r="C1389" s="116">
        <v>5.38498920982736</v>
      </c>
      <c r="D1389" s="116">
        <v>4.5347277556440897</v>
      </c>
      <c r="E1389" s="116">
        <v>4.5712981407702502</v>
      </c>
      <c r="F1389" s="116">
        <v>5.89</v>
      </c>
      <c r="G1389">
        <v>1961868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44922</v>
      </c>
      <c r="B1390" s="116">
        <v>5.6592670982735704</v>
      </c>
      <c r="C1390" s="116">
        <v>5.5586985391766301</v>
      </c>
      <c r="D1390" s="116">
        <v>5.4855577689243002</v>
      </c>
      <c r="E1390" s="116">
        <v>5.6135541168658696</v>
      </c>
      <c r="F1390" s="116">
        <v>6.08</v>
      </c>
      <c r="G1390">
        <v>1956177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44923</v>
      </c>
      <c r="B1391" s="116">
        <v>5.96097277556441</v>
      </c>
      <c r="C1391" s="116">
        <v>5.8604042164674599</v>
      </c>
      <c r="D1391" s="116">
        <v>5.4307021912350599</v>
      </c>
      <c r="E1391" s="116">
        <v>5.4947003652058397</v>
      </c>
      <c r="F1391" s="116">
        <v>6.41</v>
      </c>
      <c r="G1391">
        <v>2073580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44924</v>
      </c>
      <c r="B1392" s="116">
        <v>6.0249709495351897</v>
      </c>
      <c r="C1392" s="116">
        <v>5.9792579681274898</v>
      </c>
      <c r="D1392" s="116">
        <v>5.6044115205843301</v>
      </c>
      <c r="E1392" s="116">
        <v>5.8421190239043801</v>
      </c>
      <c r="F1392" s="116">
        <v>6.54</v>
      </c>
      <c r="G1392">
        <v>3391595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44925</v>
      </c>
      <c r="B1393" s="116">
        <v>7.0306565405046504</v>
      </c>
      <c r="C1393" s="116">
        <v>6.6649526892430302</v>
      </c>
      <c r="D1393" s="116">
        <v>5.8969746015936302</v>
      </c>
      <c r="E1393" s="116">
        <v>6.1803950863213801</v>
      </c>
      <c r="F1393" s="116">
        <v>7.29</v>
      </c>
      <c r="G1393">
        <v>8239581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44928</v>
      </c>
      <c r="B1394" s="116">
        <v>7.3232196215139398</v>
      </c>
      <c r="C1394" s="116">
        <v>7.3232196215139398</v>
      </c>
      <c r="D1394" s="116">
        <v>6.8203768260292197</v>
      </c>
      <c r="E1394" s="116">
        <v>7.0855121181938898</v>
      </c>
      <c r="F1394" s="116">
        <v>8.01</v>
      </c>
      <c r="G1394">
        <v>4443238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44929</v>
      </c>
      <c r="B1395" s="116">
        <v>8.0546273240371793</v>
      </c>
      <c r="C1395" s="116">
        <v>8.0363421314741004</v>
      </c>
      <c r="D1395" s="116">
        <v>7.4146455843293504</v>
      </c>
      <c r="E1395" s="116">
        <v>8.0454847277556407</v>
      </c>
      <c r="F1395" s="116">
        <v>8.7899999999999991</v>
      </c>
      <c r="G1395">
        <v>18621497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44930</v>
      </c>
      <c r="B1396" s="116">
        <v>8.3929033864541793</v>
      </c>
      <c r="C1396" s="116">
        <v>7.8260624169986697</v>
      </c>
      <c r="D1396" s="116">
        <v>7.4603585657370504</v>
      </c>
      <c r="E1396" s="116">
        <v>8.0546273240371793</v>
      </c>
      <c r="F1396" s="116">
        <v>8.56</v>
      </c>
      <c r="G1396">
        <v>5169592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44931</v>
      </c>
      <c r="B1397" s="116">
        <v>7.9997717463479399</v>
      </c>
      <c r="C1397" s="116">
        <v>7.6980660690571003</v>
      </c>
      <c r="D1397" s="116">
        <v>7.5792123173970802</v>
      </c>
      <c r="E1397" s="116">
        <v>7.9906291500664004</v>
      </c>
      <c r="F1397" s="116">
        <v>8.42</v>
      </c>
      <c r="G1397">
        <v>2717746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44932</v>
      </c>
      <c r="B1398" s="116">
        <v>7.8626328021248302</v>
      </c>
      <c r="C1398" s="116">
        <v>7.6797808764940196</v>
      </c>
      <c r="D1398" s="116">
        <v>7.59749750996016</v>
      </c>
      <c r="E1398" s="116">
        <v>7.8077772244355899</v>
      </c>
      <c r="F1398" s="116">
        <v>8.4</v>
      </c>
      <c r="G1398">
        <v>1889652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44935</v>
      </c>
      <c r="B1399" s="116">
        <v>7.8626328021248302</v>
      </c>
      <c r="C1399" s="116">
        <v>7.5152141434262996</v>
      </c>
      <c r="D1399" s="116">
        <v>7.3140770252324003</v>
      </c>
      <c r="E1399" s="116">
        <v>7.7986346281540504</v>
      </c>
      <c r="F1399" s="116">
        <v>8.2200000000000006</v>
      </c>
      <c r="G1399">
        <v>2450364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44936</v>
      </c>
      <c r="B1400" s="116">
        <v>7.5243567397078399</v>
      </c>
      <c r="C1400" s="116">
        <v>6.9575157702523196</v>
      </c>
      <c r="D1400" s="116">
        <v>6.9118027888446196</v>
      </c>
      <c r="E1400" s="116">
        <v>7.5152141434262996</v>
      </c>
      <c r="F1400" s="116">
        <v>7.61</v>
      </c>
      <c r="G1400">
        <v>3086275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44937</v>
      </c>
      <c r="B1401" s="116">
        <v>7.6523530876494004</v>
      </c>
      <c r="C1401" s="116">
        <v>7.59749750996016</v>
      </c>
      <c r="D1401" s="116">
        <v>6.8660898074369197</v>
      </c>
      <c r="E1401" s="116">
        <v>6.8660898074369197</v>
      </c>
      <c r="F1401" s="116">
        <v>8.31</v>
      </c>
      <c r="G1401">
        <v>1711210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44938</v>
      </c>
      <c r="B1402" s="116">
        <v>7.8443476095617504</v>
      </c>
      <c r="C1402" s="116">
        <v>7.7712068393094302</v>
      </c>
      <c r="D1402" s="116">
        <v>7.3506474103585697</v>
      </c>
      <c r="E1402" s="116">
        <v>7.7986346281540504</v>
      </c>
      <c r="F1402" s="116">
        <v>8.5</v>
      </c>
      <c r="G1402">
        <v>1594101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44939</v>
      </c>
      <c r="B1403" s="116">
        <v>7.8900605909694601</v>
      </c>
      <c r="C1403" s="116">
        <v>7.49692895086321</v>
      </c>
      <c r="D1403" s="116">
        <v>7.2226510624170004</v>
      </c>
      <c r="E1403" s="116">
        <v>7.8900605909694601</v>
      </c>
      <c r="F1403" s="116">
        <v>8.1999999999999993</v>
      </c>
      <c r="G1403">
        <v>2542883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44942</v>
      </c>
      <c r="B1404" s="116">
        <v>7.6614956839309398</v>
      </c>
      <c r="C1404" s="116">
        <v>7.3872177954847302</v>
      </c>
      <c r="D1404" s="116">
        <v>7.30493442895086</v>
      </c>
      <c r="E1404" s="116">
        <v>7.5883549136786197</v>
      </c>
      <c r="F1404" s="116">
        <v>8.08</v>
      </c>
      <c r="G1404">
        <v>1608977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44943</v>
      </c>
      <c r="B1405" s="116">
        <v>7.4877863545816696</v>
      </c>
      <c r="C1405" s="116">
        <v>7.3689326029216504</v>
      </c>
      <c r="D1405" s="116">
        <v>7.3140770252324003</v>
      </c>
      <c r="E1405" s="116">
        <v>7.45121596945551</v>
      </c>
      <c r="F1405" s="116">
        <v>8.06</v>
      </c>
      <c r="G1405">
        <v>732239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44944</v>
      </c>
      <c r="B1406" s="116">
        <v>7.5792123173970802</v>
      </c>
      <c r="C1406" s="116">
        <v>7.4329307768924302</v>
      </c>
      <c r="D1406" s="116">
        <v>7.2775066401062398</v>
      </c>
      <c r="E1406" s="116">
        <v>7.4420733731739697</v>
      </c>
      <c r="F1406" s="116">
        <v>8.1300000000000008</v>
      </c>
      <c r="G1406">
        <v>948357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44945</v>
      </c>
      <c r="B1407" s="116">
        <v>7.9540587649402399</v>
      </c>
      <c r="C1407" s="116">
        <v>7.64321049136786</v>
      </c>
      <c r="D1407" s="116">
        <v>7.3323622177954801</v>
      </c>
      <c r="E1407" s="116">
        <v>7.4877863545816696</v>
      </c>
      <c r="F1407" s="116">
        <v>8.36</v>
      </c>
      <c r="G1407">
        <v>1708496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44946</v>
      </c>
      <c r="B1408" s="116">
        <v>7.7620642430278899</v>
      </c>
      <c r="C1408" s="116">
        <v>7.6706382802124802</v>
      </c>
      <c r="D1408" s="116">
        <v>7.4603585657370504</v>
      </c>
      <c r="E1408" s="116">
        <v>7.7529216467463504</v>
      </c>
      <c r="F1408" s="116">
        <v>8.39</v>
      </c>
      <c r="G1408">
        <v>1474992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44949</v>
      </c>
      <c r="B1409" s="116">
        <v>8.41118857901726</v>
      </c>
      <c r="C1409" s="116">
        <v>8.3289052124834004</v>
      </c>
      <c r="D1409" s="116">
        <v>7.6340678950863197</v>
      </c>
      <c r="E1409" s="116">
        <v>7.6797808764940196</v>
      </c>
      <c r="F1409" s="116">
        <v>9.11</v>
      </c>
      <c r="G1409">
        <v>6057639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44950</v>
      </c>
      <c r="B1410" s="116">
        <v>9.0511703187251005</v>
      </c>
      <c r="C1410" s="116">
        <v>8.5117571381142092</v>
      </c>
      <c r="D1410" s="116">
        <v>8.3014774236387794</v>
      </c>
      <c r="E1410" s="116">
        <v>8.4203311752988093</v>
      </c>
      <c r="F1410" s="116">
        <v>9.31</v>
      </c>
      <c r="G1410">
        <v>4132085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44951</v>
      </c>
      <c r="B1411" s="116">
        <v>8.8683183930942899</v>
      </c>
      <c r="C1411" s="116">
        <v>8.5300423306772899</v>
      </c>
      <c r="D1411" s="116">
        <v>8.1460532868525899</v>
      </c>
      <c r="E1411" s="116">
        <v>8.6306108897742408</v>
      </c>
      <c r="F1411" s="116">
        <v>9.33</v>
      </c>
      <c r="G1411">
        <v>1960272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44953</v>
      </c>
      <c r="B1412" s="116">
        <v>8.8500332005312092</v>
      </c>
      <c r="C1412" s="116">
        <v>8.0729125166002706</v>
      </c>
      <c r="D1412" s="116">
        <v>7.9083457835325399</v>
      </c>
      <c r="E1412" s="116">
        <v>8.7311794488711794</v>
      </c>
      <c r="F1412" s="116">
        <v>8.83</v>
      </c>
      <c r="G1412">
        <v>2045966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44956</v>
      </c>
      <c r="B1413" s="116">
        <v>8.2740496347941601</v>
      </c>
      <c r="C1413" s="116">
        <v>7.9540587649402399</v>
      </c>
      <c r="D1413" s="116">
        <v>7.78949203187251</v>
      </c>
      <c r="E1413" s="116">
        <v>8.0729125166002706</v>
      </c>
      <c r="F1413" s="116">
        <v>8.6999999999999993</v>
      </c>
      <c r="G1413">
        <v>1697010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44957</v>
      </c>
      <c r="B1414" s="116">
        <v>8.2374792496680005</v>
      </c>
      <c r="C1414" s="116">
        <v>8.1826236719787495</v>
      </c>
      <c r="D1414" s="116">
        <v>7.9540587649402399</v>
      </c>
      <c r="E1414" s="116">
        <v>8.1094829017264303</v>
      </c>
      <c r="F1414" s="116">
        <v>8.9499999999999993</v>
      </c>
      <c r="G1414">
        <v>877252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44958</v>
      </c>
      <c r="B1415" s="116">
        <v>8.3929033864541793</v>
      </c>
      <c r="C1415" s="116">
        <v>8.0180569389110197</v>
      </c>
      <c r="D1415" s="116">
        <v>7.9357735723771601</v>
      </c>
      <c r="E1415" s="116">
        <v>8.3929033864541793</v>
      </c>
      <c r="F1415" s="116">
        <v>8.77</v>
      </c>
      <c r="G1415">
        <v>1574346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44959</v>
      </c>
      <c r="B1416" s="116">
        <v>8.0454847277556407</v>
      </c>
      <c r="C1416" s="116">
        <v>7.8534902058432898</v>
      </c>
      <c r="D1416" s="116">
        <v>7.78949203187251</v>
      </c>
      <c r="E1416" s="116">
        <v>8.0454847277556407</v>
      </c>
      <c r="F1416" s="116">
        <v>8.59</v>
      </c>
      <c r="G1416">
        <v>1147826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44960</v>
      </c>
      <c r="B1417" s="116">
        <v>8.0363421314741004</v>
      </c>
      <c r="C1417" s="116">
        <v>7.7163512616201899</v>
      </c>
      <c r="D1417" s="116">
        <v>7.5609271248340004</v>
      </c>
      <c r="E1417" s="116">
        <v>7.8626328021248302</v>
      </c>
      <c r="F1417" s="116">
        <v>8.44</v>
      </c>
      <c r="G1417">
        <v>1273043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44963</v>
      </c>
      <c r="B1418" s="116">
        <v>8.1826236719787495</v>
      </c>
      <c r="C1418" s="116">
        <v>7.8992031872509996</v>
      </c>
      <c r="D1418" s="116">
        <v>7.3140770252324003</v>
      </c>
      <c r="E1418" s="116">
        <v>7.59749750996016</v>
      </c>
      <c r="F1418" s="116">
        <v>8.64</v>
      </c>
      <c r="G1418">
        <v>661665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44964</v>
      </c>
      <c r="B1419" s="116">
        <v>8.3106200199203197</v>
      </c>
      <c r="C1419" s="116">
        <v>7.9357735723771601</v>
      </c>
      <c r="D1419" s="116">
        <v>7.6157827025232399</v>
      </c>
      <c r="E1419" s="116">
        <v>8.0180569389110197</v>
      </c>
      <c r="F1419" s="116">
        <v>8.68</v>
      </c>
      <c r="G1419">
        <v>2018600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44965</v>
      </c>
      <c r="B1420" s="116">
        <v>8.0180569389110197</v>
      </c>
      <c r="C1420" s="116">
        <v>7.6797808764940196</v>
      </c>
      <c r="D1420" s="116">
        <v>7.6523530876494004</v>
      </c>
      <c r="E1420" s="116">
        <v>7.7803494355909697</v>
      </c>
      <c r="F1420" s="116">
        <v>8.4</v>
      </c>
      <c r="G1420">
        <v>1888232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44966</v>
      </c>
      <c r="B1421" s="116">
        <v>7.8169198207171302</v>
      </c>
      <c r="C1421" s="116">
        <v>7.6614956839309398</v>
      </c>
      <c r="D1421" s="116">
        <v>7.5517845285524601</v>
      </c>
      <c r="E1421" s="116">
        <v>7.5517845285524601</v>
      </c>
      <c r="F1421" s="116">
        <v>8.3800000000000008</v>
      </c>
      <c r="G1421">
        <v>722644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44967</v>
      </c>
      <c r="B1422" s="116">
        <v>7.8626328021248302</v>
      </c>
      <c r="C1422" s="116">
        <v>7.6980660690571003</v>
      </c>
      <c r="D1422" s="116">
        <v>7.59749750996016</v>
      </c>
      <c r="E1422" s="116">
        <v>7.6614956839309398</v>
      </c>
      <c r="F1422" s="116">
        <v>8.42</v>
      </c>
      <c r="G1422">
        <v>475482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44970</v>
      </c>
      <c r="B1423" s="116">
        <v>7.8534902058432898</v>
      </c>
      <c r="C1423" s="116">
        <v>7.68892347277556</v>
      </c>
      <c r="D1423" s="116">
        <v>7.6066401062417004</v>
      </c>
      <c r="E1423" s="116">
        <v>7.8534902058432898</v>
      </c>
      <c r="F1423" s="116">
        <v>8.41</v>
      </c>
      <c r="G1423">
        <v>534779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44971</v>
      </c>
      <c r="B1424" s="116">
        <v>7.7529216467463504</v>
      </c>
      <c r="C1424" s="116">
        <v>7.64321049136786</v>
      </c>
      <c r="D1424" s="116">
        <v>7.5609271248340004</v>
      </c>
      <c r="E1424" s="116">
        <v>7.68892347277556</v>
      </c>
      <c r="F1424" s="116">
        <v>8.36</v>
      </c>
      <c r="G1424">
        <v>848009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44972</v>
      </c>
      <c r="B1425" s="116">
        <v>7.8626328021248302</v>
      </c>
      <c r="C1425" s="116">
        <v>7.7437790504648101</v>
      </c>
      <c r="D1425" s="116">
        <v>7.64321049136786</v>
      </c>
      <c r="E1425" s="116">
        <v>7.7986346281540504</v>
      </c>
      <c r="F1425" s="116">
        <v>8.4700000000000006</v>
      </c>
      <c r="G1425">
        <v>722250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44973</v>
      </c>
      <c r="B1426" s="116">
        <v>8.2100514608233706</v>
      </c>
      <c r="C1426" s="116">
        <v>8.1277680942895092</v>
      </c>
      <c r="D1426" s="116">
        <v>7.8169198207171302</v>
      </c>
      <c r="E1426" s="116">
        <v>7.8443476095617504</v>
      </c>
      <c r="F1426" s="116">
        <v>8.89</v>
      </c>
      <c r="G1426">
        <v>813420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44974</v>
      </c>
      <c r="B1427" s="116">
        <v>8.1369106905710495</v>
      </c>
      <c r="C1427" s="116">
        <v>7.8900605909694601</v>
      </c>
      <c r="D1427" s="116">
        <v>7.8260624169986697</v>
      </c>
      <c r="E1427" s="116">
        <v>7.9723439575033197</v>
      </c>
      <c r="F1427" s="116">
        <v>8.6300000000000008</v>
      </c>
      <c r="G1427">
        <v>351054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44977</v>
      </c>
      <c r="B1428" s="116">
        <v>8.3106200199203197</v>
      </c>
      <c r="C1428" s="116">
        <v>7.7803494355909697</v>
      </c>
      <c r="D1428" s="116">
        <v>7.6797808764940196</v>
      </c>
      <c r="E1428" s="116">
        <v>7.9449161686587004</v>
      </c>
      <c r="F1428" s="116">
        <v>8.51</v>
      </c>
      <c r="G1428">
        <v>962265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44978</v>
      </c>
      <c r="B1429" s="116">
        <v>7.9449161686587004</v>
      </c>
      <c r="C1429" s="116">
        <v>7.7529216467463504</v>
      </c>
      <c r="D1429" s="116">
        <v>7.7163512616201899</v>
      </c>
      <c r="E1429" s="116">
        <v>7.9449161686587004</v>
      </c>
      <c r="F1429" s="116">
        <v>8.48</v>
      </c>
      <c r="G1429">
        <v>701429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44979</v>
      </c>
      <c r="B1430" s="116">
        <v>7.8169198207171302</v>
      </c>
      <c r="C1430" s="116">
        <v>7.4237881806108899</v>
      </c>
      <c r="D1430" s="116">
        <v>7.2957918326693196</v>
      </c>
      <c r="E1430" s="116">
        <v>7.6797808764940196</v>
      </c>
      <c r="F1430" s="116">
        <v>8.1199999999999992</v>
      </c>
      <c r="G1430">
        <v>853006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44980</v>
      </c>
      <c r="B1431" s="116">
        <v>7.49692895086321</v>
      </c>
      <c r="C1431" s="116">
        <v>7.3323622177954801</v>
      </c>
      <c r="D1431" s="116">
        <v>7.2226510624170004</v>
      </c>
      <c r="E1431" s="116">
        <v>7.45121596945551</v>
      </c>
      <c r="F1431" s="116">
        <v>8.02</v>
      </c>
      <c r="G1431">
        <v>622131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44981</v>
      </c>
      <c r="B1432" s="116">
        <v>7.5792123173970802</v>
      </c>
      <c r="C1432" s="116">
        <v>7.2683640438247004</v>
      </c>
      <c r="D1432" s="116">
        <v>7.1860806772908399</v>
      </c>
      <c r="E1432" s="116">
        <v>7.3415048140770196</v>
      </c>
      <c r="F1432" s="116">
        <v>7.95</v>
      </c>
      <c r="G1432">
        <v>462251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44984</v>
      </c>
      <c r="B1433" s="116">
        <v>7.3872177954847302</v>
      </c>
      <c r="C1433" s="116">
        <v>6.8935175962815398</v>
      </c>
      <c r="D1433" s="116">
        <v>6.8478046148738398</v>
      </c>
      <c r="E1433" s="116">
        <v>7.2683640438247004</v>
      </c>
      <c r="F1433" s="116">
        <v>7.54</v>
      </c>
      <c r="G1433">
        <v>725318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44985</v>
      </c>
      <c r="B1434" s="116">
        <v>7.0123713479415697</v>
      </c>
      <c r="C1434" s="116">
        <v>6.6100971115537899</v>
      </c>
      <c r="D1434" s="116">
        <v>6.5460989375830003</v>
      </c>
      <c r="E1434" s="116">
        <v>6.7746638446215099</v>
      </c>
      <c r="F1434" s="116">
        <v>7.23</v>
      </c>
      <c r="G1434">
        <v>425028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44986</v>
      </c>
      <c r="B1435" s="116">
        <v>6.9392305776892398</v>
      </c>
      <c r="C1435" s="116">
        <v>6.9026601925630802</v>
      </c>
      <c r="D1435" s="116">
        <v>6.6100971115537899</v>
      </c>
      <c r="E1435" s="116">
        <v>6.6100971115537899</v>
      </c>
      <c r="F1435" s="116">
        <v>7.55</v>
      </c>
      <c r="G1435">
        <v>340035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44987</v>
      </c>
      <c r="B1436" s="116">
        <v>7.0306565405046504</v>
      </c>
      <c r="C1436" s="116">
        <v>6.7563786520584301</v>
      </c>
      <c r="D1436" s="116">
        <v>6.7198082669322696</v>
      </c>
      <c r="E1436" s="116">
        <v>6.9483731739707801</v>
      </c>
      <c r="F1436" s="116">
        <v>7.39</v>
      </c>
      <c r="G1436">
        <v>352011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44988</v>
      </c>
      <c r="B1437" s="116">
        <v>6.92094538512616</v>
      </c>
      <c r="C1437" s="116">
        <v>6.7929490371846004</v>
      </c>
      <c r="D1437" s="116">
        <v>6.3541044156706503</v>
      </c>
      <c r="E1437" s="116">
        <v>6.8569472111553802</v>
      </c>
      <c r="F1437" s="116">
        <v>7.43</v>
      </c>
      <c r="G1437">
        <v>465518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44991</v>
      </c>
      <c r="B1438" s="116">
        <v>7.4695011620185898</v>
      </c>
      <c r="C1438" s="116">
        <v>7.4695011620185898</v>
      </c>
      <c r="D1438" s="116">
        <v>6.82951942231076</v>
      </c>
      <c r="E1438" s="116">
        <v>6.82951942231076</v>
      </c>
      <c r="F1438" s="116">
        <v>8.17</v>
      </c>
      <c r="G1438">
        <v>2284482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44993</v>
      </c>
      <c r="B1439" s="116">
        <v>7.8626328021248302</v>
      </c>
      <c r="C1439" s="116">
        <v>7.5060715471447503</v>
      </c>
      <c r="D1439" s="116">
        <v>7.3963603917662697</v>
      </c>
      <c r="E1439" s="116">
        <v>7.7712068393094302</v>
      </c>
      <c r="F1439" s="116">
        <v>8.2100000000000009</v>
      </c>
      <c r="G1439">
        <v>868852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44994</v>
      </c>
      <c r="B1440" s="116">
        <v>7.6249252988047802</v>
      </c>
      <c r="C1440" s="116">
        <v>7.2500788512616197</v>
      </c>
      <c r="D1440" s="116">
        <v>7.1769380810093004</v>
      </c>
      <c r="E1440" s="116">
        <v>7.6249252988047802</v>
      </c>
      <c r="F1440" s="116">
        <v>7.93</v>
      </c>
      <c r="G1440">
        <v>807763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44995</v>
      </c>
      <c r="B1441" s="116">
        <v>7.3963603917662697</v>
      </c>
      <c r="C1441" s="116">
        <v>7.1220825033200503</v>
      </c>
      <c r="D1441" s="116">
        <v>6.9940861553784899</v>
      </c>
      <c r="E1441" s="116">
        <v>7.3872177954847302</v>
      </c>
      <c r="F1441" s="116">
        <v>7.79</v>
      </c>
      <c r="G1441">
        <v>482808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44998</v>
      </c>
      <c r="B1442" s="116">
        <v>7.3140770252324003</v>
      </c>
      <c r="C1442" s="116">
        <v>6.6466674966799504</v>
      </c>
      <c r="D1442" s="116">
        <v>6.5826693227091599</v>
      </c>
      <c r="E1442" s="116">
        <v>7.21350846613546</v>
      </c>
      <c r="F1442" s="116">
        <v>7.27</v>
      </c>
      <c r="G1442">
        <v>822178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44999</v>
      </c>
      <c r="B1443" s="116">
        <v>7.2226510624170004</v>
      </c>
      <c r="C1443" s="116">
        <v>6.5735267264276196</v>
      </c>
      <c r="D1443" s="116">
        <v>6.2261080677290801</v>
      </c>
      <c r="E1443" s="116">
        <v>6.7380934594953503</v>
      </c>
      <c r="F1443" s="116">
        <v>7.19</v>
      </c>
      <c r="G1443">
        <v>1129444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45000</v>
      </c>
      <c r="B1444" s="116">
        <v>6.8569472111553802</v>
      </c>
      <c r="C1444" s="116">
        <v>6.5826693227091599</v>
      </c>
      <c r="D1444" s="116">
        <v>6.4729581673306802</v>
      </c>
      <c r="E1444" s="116">
        <v>6.7563786520584301</v>
      </c>
      <c r="F1444" s="116">
        <v>7.2</v>
      </c>
      <c r="G1444">
        <v>559351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45001</v>
      </c>
      <c r="B1445" s="116">
        <v>6.7563786520584301</v>
      </c>
      <c r="C1445" s="116">
        <v>6.63752490039841</v>
      </c>
      <c r="D1445" s="116">
        <v>6.4546729747676004</v>
      </c>
      <c r="E1445" s="116">
        <v>6.4546729747676004</v>
      </c>
      <c r="F1445" s="116">
        <v>7.26</v>
      </c>
      <c r="G1445">
        <v>587671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45002</v>
      </c>
      <c r="B1446" s="116">
        <v>6.82951942231076</v>
      </c>
      <c r="C1446" s="116">
        <v>6.7929490371846004</v>
      </c>
      <c r="D1446" s="116">
        <v>6.5552415338645398</v>
      </c>
      <c r="E1446" s="116">
        <v>6.6740952855245697</v>
      </c>
      <c r="F1446" s="116">
        <v>7.43</v>
      </c>
      <c r="G1446">
        <v>431475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45005</v>
      </c>
      <c r="B1447" s="116">
        <v>6.8569472111553802</v>
      </c>
      <c r="C1447" s="116">
        <v>6.5552415338645398</v>
      </c>
      <c r="D1447" s="116">
        <v>6.3998173970783503</v>
      </c>
      <c r="E1447" s="116">
        <v>6.7838064409030503</v>
      </c>
      <c r="F1447" s="116">
        <v>7.17</v>
      </c>
      <c r="G1447">
        <v>399852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45006</v>
      </c>
      <c r="B1448" s="116">
        <v>6.6558100929614898</v>
      </c>
      <c r="C1448" s="116">
        <v>6.53695634130146</v>
      </c>
      <c r="D1448" s="116">
        <v>6.3632470119521898</v>
      </c>
      <c r="E1448" s="116">
        <v>6.63752490039841</v>
      </c>
      <c r="F1448" s="116">
        <v>7.15</v>
      </c>
      <c r="G1448">
        <v>809972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45007</v>
      </c>
      <c r="B1449" s="116">
        <v>6.6649526892430302</v>
      </c>
      <c r="C1449" s="116">
        <v>6.5735267264276196</v>
      </c>
      <c r="D1449" s="116">
        <v>6.44553037848606</v>
      </c>
      <c r="E1449" s="116">
        <v>6.6100971115537899</v>
      </c>
      <c r="F1449" s="116">
        <v>7.19</v>
      </c>
      <c r="G1449">
        <v>449313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45008</v>
      </c>
      <c r="B1450" s="116">
        <v>6.7655212483399696</v>
      </c>
      <c r="C1450" s="116">
        <v>6.49124335989376</v>
      </c>
      <c r="D1450" s="116">
        <v>6.3541044156706503</v>
      </c>
      <c r="E1450" s="116">
        <v>6.7655212483399696</v>
      </c>
      <c r="F1450" s="116">
        <v>7.1</v>
      </c>
      <c r="G1450">
        <v>941980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45009</v>
      </c>
      <c r="B1451" s="116">
        <v>6.6649526892430302</v>
      </c>
      <c r="C1451" s="116">
        <v>6.3723896082337301</v>
      </c>
      <c r="D1451" s="116">
        <v>6.3175340305444898</v>
      </c>
      <c r="E1451" s="116">
        <v>6.6649526892430302</v>
      </c>
      <c r="F1451" s="116">
        <v>6.97</v>
      </c>
      <c r="G1451">
        <v>515888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45012</v>
      </c>
      <c r="B1452" s="116">
        <v>6.3906748007968099</v>
      </c>
      <c r="C1452" s="116">
        <v>6.2626784528552504</v>
      </c>
      <c r="D1452" s="116">
        <v>6.1438247011952196</v>
      </c>
      <c r="E1452" s="116">
        <v>6.2901062416998696</v>
      </c>
      <c r="F1452" s="116">
        <v>6.85</v>
      </c>
      <c r="G1452">
        <v>505844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45013</v>
      </c>
      <c r="B1453" s="116">
        <v>6.3998173970783503</v>
      </c>
      <c r="C1453" s="116">
        <v>5.8238338313413003</v>
      </c>
      <c r="D1453" s="116">
        <v>5.6866948871181897</v>
      </c>
      <c r="E1453" s="116">
        <v>5.8969746015936302</v>
      </c>
      <c r="F1453" s="116">
        <v>6.37</v>
      </c>
      <c r="G1453">
        <v>1302097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45014</v>
      </c>
      <c r="B1454" s="116">
        <v>6.2626784528552504</v>
      </c>
      <c r="C1454" s="116">
        <v>6.2078228751660003</v>
      </c>
      <c r="D1454" s="116">
        <v>5.5952689243027898</v>
      </c>
      <c r="E1454" s="116">
        <v>5.8421190239043801</v>
      </c>
      <c r="F1454" s="116">
        <v>6.79</v>
      </c>
      <c r="G1454">
        <v>787345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45016</v>
      </c>
      <c r="B1455" s="116">
        <v>6.5826693227091599</v>
      </c>
      <c r="C1455" s="116">
        <v>6.5095285524568398</v>
      </c>
      <c r="D1455" s="116">
        <v>6.1712524900398398</v>
      </c>
      <c r="E1455" s="116">
        <v>6.3083914342629503</v>
      </c>
      <c r="F1455" s="116">
        <v>7.12</v>
      </c>
      <c r="G1455">
        <v>797361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45019</v>
      </c>
      <c r="B1456" s="116">
        <v>6.8386620185923004</v>
      </c>
      <c r="C1456" s="116">
        <v>6.7746638446215099</v>
      </c>
      <c r="D1456" s="116">
        <v>6.49124335989376</v>
      </c>
      <c r="E1456" s="116">
        <v>6.5735267264276196</v>
      </c>
      <c r="F1456" s="116">
        <v>7.41</v>
      </c>
      <c r="G1456">
        <v>538278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45021</v>
      </c>
      <c r="B1457" s="116">
        <v>7.40550298804781</v>
      </c>
      <c r="C1457" s="116">
        <v>7.30493442895086</v>
      </c>
      <c r="D1457" s="116">
        <v>6.5003859561753004</v>
      </c>
      <c r="E1457" s="116">
        <v>6.8569472111553802</v>
      </c>
      <c r="F1457" s="116">
        <v>7.99</v>
      </c>
      <c r="G1457">
        <v>1005642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45022</v>
      </c>
      <c r="B1458" s="116">
        <v>7.7803494355909697</v>
      </c>
      <c r="C1458" s="116">
        <v>7.5792123173970802</v>
      </c>
      <c r="D1458" s="116">
        <v>7.0489417330677302</v>
      </c>
      <c r="E1458" s="116">
        <v>7.3872177954847302</v>
      </c>
      <c r="F1458" s="116">
        <v>8.2899999999999991</v>
      </c>
      <c r="G1458">
        <v>1653720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45026</v>
      </c>
      <c r="B1459" s="116">
        <v>7.7529216467463504</v>
      </c>
      <c r="C1459" s="116">
        <v>7.2043658698539197</v>
      </c>
      <c r="D1459" s="116">
        <v>7.2043658698539197</v>
      </c>
      <c r="E1459" s="116">
        <v>7.5792123173970802</v>
      </c>
      <c r="F1459" s="116">
        <v>7.88</v>
      </c>
      <c r="G1459">
        <v>707248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45027</v>
      </c>
      <c r="B1460" s="116">
        <v>7.2775066401062398</v>
      </c>
      <c r="C1460" s="116">
        <v>7.1403676958831301</v>
      </c>
      <c r="D1460" s="116">
        <v>6.9118027888446196</v>
      </c>
      <c r="E1460" s="116">
        <v>7.0763695219123504</v>
      </c>
      <c r="F1460" s="116">
        <v>7.81</v>
      </c>
      <c r="G1460">
        <v>919065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45028</v>
      </c>
      <c r="B1461" s="116">
        <v>7.40550298804781</v>
      </c>
      <c r="C1461" s="116">
        <v>7.25922144754316</v>
      </c>
      <c r="D1461" s="116">
        <v>6.9758009628154003</v>
      </c>
      <c r="E1461" s="116">
        <v>7.0397991367861898</v>
      </c>
      <c r="F1461" s="116">
        <v>7.94</v>
      </c>
      <c r="G1461">
        <v>507628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45029</v>
      </c>
      <c r="B1462" s="116">
        <v>7.3140770252324003</v>
      </c>
      <c r="C1462" s="116">
        <v>7.1769380810093004</v>
      </c>
      <c r="D1462" s="116">
        <v>7.0946547144754302</v>
      </c>
      <c r="E1462" s="116">
        <v>7.3140770252324003</v>
      </c>
      <c r="F1462" s="116">
        <v>7.85</v>
      </c>
      <c r="G1462">
        <v>335324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45033</v>
      </c>
      <c r="B1463" s="116">
        <v>7.3963603917662697</v>
      </c>
      <c r="C1463" s="116">
        <v>7.3597900066401101</v>
      </c>
      <c r="D1463" s="116">
        <v>7.0580843293492697</v>
      </c>
      <c r="E1463" s="116">
        <v>7.0580843293492697</v>
      </c>
      <c r="F1463" s="116">
        <v>8.0500000000000007</v>
      </c>
      <c r="G1463">
        <v>572687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45034</v>
      </c>
      <c r="B1464" s="116">
        <v>7.49692895086321</v>
      </c>
      <c r="C1464" s="116">
        <v>7.1403676958831301</v>
      </c>
      <c r="D1464" s="116">
        <v>7.0397991367861898</v>
      </c>
      <c r="E1464" s="116">
        <v>7.3597900066401101</v>
      </c>
      <c r="F1464" s="116">
        <v>7.81</v>
      </c>
      <c r="G1464">
        <v>741609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45035</v>
      </c>
      <c r="B1465" s="116">
        <v>7.25922144754316</v>
      </c>
      <c r="C1465" s="116">
        <v>7.1220825033200503</v>
      </c>
      <c r="D1465" s="116">
        <v>7.0397991367861898</v>
      </c>
      <c r="E1465" s="116">
        <v>7.0580843293492697</v>
      </c>
      <c r="F1465" s="116">
        <v>7.79</v>
      </c>
      <c r="G1465">
        <v>398316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45036</v>
      </c>
      <c r="B1466" s="116">
        <v>7.1952232735723802</v>
      </c>
      <c r="C1466" s="116">
        <v>7.1220825033200503</v>
      </c>
      <c r="D1466" s="116">
        <v>7.0489417330677302</v>
      </c>
      <c r="E1466" s="116">
        <v>7.1952232735723802</v>
      </c>
      <c r="F1466" s="116">
        <v>7.79</v>
      </c>
      <c r="G1466">
        <v>400478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45037</v>
      </c>
      <c r="B1467" s="116">
        <v>7.1769380810093004</v>
      </c>
      <c r="C1467" s="116">
        <v>7.0580843293492697</v>
      </c>
      <c r="D1467" s="116">
        <v>6.9758009628154003</v>
      </c>
      <c r="E1467" s="116">
        <v>7.0397991367861898</v>
      </c>
      <c r="F1467" s="116">
        <v>7.72</v>
      </c>
      <c r="G1467">
        <v>621466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45040</v>
      </c>
      <c r="B1468" s="116">
        <v>7.1677954847277601</v>
      </c>
      <c r="C1468" s="116">
        <v>7.1037973107569696</v>
      </c>
      <c r="D1468" s="116">
        <v>7.0397991367861898</v>
      </c>
      <c r="E1468" s="116">
        <v>7.1312250996015898</v>
      </c>
      <c r="F1468" s="116">
        <v>7.77</v>
      </c>
      <c r="G1468">
        <v>348835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45041</v>
      </c>
      <c r="B1469" s="116">
        <v>7.45121596945551</v>
      </c>
      <c r="C1469" s="116">
        <v>7.45121596945551</v>
      </c>
      <c r="D1469" s="116">
        <v>7.0855121181938898</v>
      </c>
      <c r="E1469" s="116">
        <v>7.1586528884462197</v>
      </c>
      <c r="F1469" s="116">
        <v>8.15</v>
      </c>
      <c r="G1469">
        <v>973497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45042</v>
      </c>
      <c r="B1470" s="116">
        <v>7.7163512616201899</v>
      </c>
      <c r="C1470" s="116">
        <v>7.6523530876494004</v>
      </c>
      <c r="D1470" s="116">
        <v>7.25922144754316</v>
      </c>
      <c r="E1470" s="116">
        <v>7.5426419322709197</v>
      </c>
      <c r="F1470" s="116">
        <v>8.3699999999999992</v>
      </c>
      <c r="G1470">
        <v>919950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45043</v>
      </c>
      <c r="B1471" s="116">
        <v>7.7712068393094302</v>
      </c>
      <c r="C1471" s="116">
        <v>7.5243567397078399</v>
      </c>
      <c r="D1471" s="116">
        <v>7.49692895086321</v>
      </c>
      <c r="E1471" s="116">
        <v>7.7529216467463504</v>
      </c>
      <c r="F1471" s="116">
        <v>8.23</v>
      </c>
      <c r="G1471">
        <v>640961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45044</v>
      </c>
      <c r="B1472" s="116">
        <v>7.8169198207171302</v>
      </c>
      <c r="C1472" s="116">
        <v>7.7437790504648101</v>
      </c>
      <c r="D1472" s="116">
        <v>7.3506474103585697</v>
      </c>
      <c r="E1472" s="116">
        <v>7.40550298804781</v>
      </c>
      <c r="F1472" s="116">
        <v>8.4700000000000006</v>
      </c>
      <c r="G1472">
        <v>1161817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45048</v>
      </c>
      <c r="B1473" s="116">
        <v>8.0820551128818092</v>
      </c>
      <c r="C1473" s="116">
        <v>7.8260624169986697</v>
      </c>
      <c r="D1473" s="116">
        <v>7.68892347277556</v>
      </c>
      <c r="E1473" s="116">
        <v>7.83520501328021</v>
      </c>
      <c r="F1473" s="116">
        <v>8.56</v>
      </c>
      <c r="G1473">
        <v>789420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45049</v>
      </c>
      <c r="B1474" s="116">
        <v>7.9540587649402399</v>
      </c>
      <c r="C1474" s="116">
        <v>7.6706382802124802</v>
      </c>
      <c r="D1474" s="116">
        <v>7.5883549136786197</v>
      </c>
      <c r="E1474" s="116">
        <v>7.7712068393094302</v>
      </c>
      <c r="F1474" s="116">
        <v>8.39</v>
      </c>
      <c r="G1474">
        <v>507077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45050</v>
      </c>
      <c r="B1475" s="116">
        <v>8.0363421314741004</v>
      </c>
      <c r="C1475" s="116">
        <v>7.9997717463479399</v>
      </c>
      <c r="D1475" s="116">
        <v>7.5609271248340004</v>
      </c>
      <c r="E1475" s="116">
        <v>7.6706382802124802</v>
      </c>
      <c r="F1475" s="116">
        <v>8.75</v>
      </c>
      <c r="G1475">
        <v>1052802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45051</v>
      </c>
      <c r="B1476" s="116">
        <v>8.1643384794156706</v>
      </c>
      <c r="C1476" s="116">
        <v>7.8900605909694601</v>
      </c>
      <c r="D1476" s="116">
        <v>7.6066401062417004</v>
      </c>
      <c r="E1476" s="116">
        <v>8.1643384794156706</v>
      </c>
      <c r="F1476" s="116">
        <v>8.6300000000000008</v>
      </c>
      <c r="G1476">
        <v>750169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45054</v>
      </c>
      <c r="B1477" s="116">
        <v>8.02719953519256</v>
      </c>
      <c r="C1477" s="116">
        <v>7.7163512616201899</v>
      </c>
      <c r="D1477" s="116">
        <v>7.6340678950863197</v>
      </c>
      <c r="E1477" s="116">
        <v>8.02719953519256</v>
      </c>
      <c r="F1477" s="116">
        <v>8.44</v>
      </c>
      <c r="G1477">
        <v>601099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45055</v>
      </c>
      <c r="B1478" s="116">
        <v>7.8626328021248302</v>
      </c>
      <c r="C1478" s="116">
        <v>7.68892347277556</v>
      </c>
      <c r="D1478" s="116">
        <v>7.6614956839309398</v>
      </c>
      <c r="E1478" s="116">
        <v>7.7254938579017303</v>
      </c>
      <c r="F1478" s="116">
        <v>8.41</v>
      </c>
      <c r="G1478">
        <v>398462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45056</v>
      </c>
      <c r="B1479" s="116">
        <v>7.8260624169986697</v>
      </c>
      <c r="C1479" s="116">
        <v>7.6614956839309398</v>
      </c>
      <c r="D1479" s="116">
        <v>7.5883549136786197</v>
      </c>
      <c r="E1479" s="116">
        <v>7.68892347277556</v>
      </c>
      <c r="F1479" s="116">
        <v>8.3800000000000008</v>
      </c>
      <c r="G1479">
        <v>389451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45057</v>
      </c>
      <c r="B1480" s="116">
        <v>7.7712068393094302</v>
      </c>
      <c r="C1480" s="116">
        <v>7.6340678950863197</v>
      </c>
      <c r="D1480" s="116">
        <v>7.5517845285524601</v>
      </c>
      <c r="E1480" s="116">
        <v>7.7163512616201899</v>
      </c>
      <c r="F1480" s="116">
        <v>8.35</v>
      </c>
      <c r="G1480">
        <v>274060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45058</v>
      </c>
      <c r="B1481" s="116">
        <v>7.7163512616201899</v>
      </c>
      <c r="C1481" s="116">
        <v>7.5243567397078399</v>
      </c>
      <c r="D1481" s="116">
        <v>7.4695011620185898</v>
      </c>
      <c r="E1481" s="116">
        <v>7.5792123173970802</v>
      </c>
      <c r="F1481" s="116">
        <v>8.23</v>
      </c>
      <c r="G1481">
        <v>364487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45061</v>
      </c>
      <c r="B1482" s="116">
        <v>7.6797808764940196</v>
      </c>
      <c r="C1482" s="116">
        <v>7.6249252988047802</v>
      </c>
      <c r="D1482" s="116">
        <v>7.4146455843293504</v>
      </c>
      <c r="E1482" s="116">
        <v>7.5243567397078399</v>
      </c>
      <c r="F1482" s="116">
        <v>8.34</v>
      </c>
      <c r="G1482">
        <v>501773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45062</v>
      </c>
      <c r="B1483" s="116">
        <v>7.8626328021248302</v>
      </c>
      <c r="C1483" s="116">
        <v>7.7072086653386496</v>
      </c>
      <c r="D1483" s="116">
        <v>7.59749750996016</v>
      </c>
      <c r="E1483" s="116">
        <v>7.6797808764940196</v>
      </c>
      <c r="F1483" s="116">
        <v>8.43</v>
      </c>
      <c r="G1483">
        <v>366139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45063</v>
      </c>
      <c r="B1484" s="116">
        <v>7.9083457835325399</v>
      </c>
      <c r="C1484" s="116">
        <v>7.8626328021248302</v>
      </c>
      <c r="D1484" s="116">
        <v>7.40550298804781</v>
      </c>
      <c r="E1484" s="116">
        <v>7.8626328021248302</v>
      </c>
      <c r="F1484" s="116">
        <v>8.6</v>
      </c>
      <c r="G1484">
        <v>919730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45064</v>
      </c>
      <c r="B1485" s="116">
        <v>8.1369106905710495</v>
      </c>
      <c r="C1485" s="116">
        <v>7.8260624169986697</v>
      </c>
      <c r="D1485" s="116">
        <v>7.7437790504648101</v>
      </c>
      <c r="E1485" s="116">
        <v>7.9540587649402399</v>
      </c>
      <c r="F1485" s="116">
        <v>8.56</v>
      </c>
      <c r="G1485">
        <v>860131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45065</v>
      </c>
      <c r="B1486" s="116">
        <v>8.0454847277556407</v>
      </c>
      <c r="C1486" s="116">
        <v>7.8626328021248302</v>
      </c>
      <c r="D1486" s="116">
        <v>7.7346364541832697</v>
      </c>
      <c r="E1486" s="116">
        <v>7.7346364541832697</v>
      </c>
      <c r="F1486" s="116">
        <v>8.6</v>
      </c>
      <c r="G1486">
        <v>348521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45068</v>
      </c>
      <c r="B1487" s="116">
        <v>7.9540587649402399</v>
      </c>
      <c r="C1487" s="116">
        <v>7.6066401062417004</v>
      </c>
      <c r="D1487" s="116">
        <v>7.5426419322709197</v>
      </c>
      <c r="E1487" s="116">
        <v>7.7712068393094302</v>
      </c>
      <c r="F1487" s="116">
        <v>8.32</v>
      </c>
      <c r="G1487">
        <v>774530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45069</v>
      </c>
      <c r="B1488" s="116">
        <v>7.68892347277556</v>
      </c>
      <c r="C1488" s="116">
        <v>7.5792123173970802</v>
      </c>
      <c r="D1488" s="116">
        <v>7.5426419322709197</v>
      </c>
      <c r="E1488" s="116">
        <v>7.6157827025232399</v>
      </c>
      <c r="F1488" s="116">
        <v>8.2899999999999991</v>
      </c>
      <c r="G1488">
        <v>245744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45070</v>
      </c>
      <c r="B1489" s="116">
        <v>7.64321049136786</v>
      </c>
      <c r="C1489" s="116">
        <v>7.5517845285524601</v>
      </c>
      <c r="D1489" s="116">
        <v>7.5152141434262996</v>
      </c>
      <c r="E1489" s="116">
        <v>7.5152141434262996</v>
      </c>
      <c r="F1489" s="116">
        <v>8.26</v>
      </c>
      <c r="G1489">
        <v>271035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45071</v>
      </c>
      <c r="B1490" s="116">
        <v>7.64321049136786</v>
      </c>
      <c r="C1490" s="116">
        <v>7.5609271248340004</v>
      </c>
      <c r="D1490" s="116">
        <v>7.4695011620185898</v>
      </c>
      <c r="E1490" s="116">
        <v>7.64321049136786</v>
      </c>
      <c r="F1490" s="116">
        <v>8.27</v>
      </c>
      <c r="G1490">
        <v>219822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45072</v>
      </c>
      <c r="B1491" s="116">
        <v>7.6066401062417004</v>
      </c>
      <c r="C1491" s="116">
        <v>7.3872177954847302</v>
      </c>
      <c r="D1491" s="116">
        <v>7.3780751992031899</v>
      </c>
      <c r="E1491" s="116">
        <v>7.5334993359893803</v>
      </c>
      <c r="F1491" s="116">
        <v>8.08</v>
      </c>
      <c r="G1491">
        <v>399130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45075</v>
      </c>
      <c r="B1492" s="116">
        <v>7.6797808764940196</v>
      </c>
      <c r="C1492" s="116">
        <v>7.3780751992031899</v>
      </c>
      <c r="D1492" s="116">
        <v>7.3323622177954801</v>
      </c>
      <c r="E1492" s="116">
        <v>7.40550298804781</v>
      </c>
      <c r="F1492" s="116">
        <v>8.07</v>
      </c>
      <c r="G1492">
        <v>457099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45076</v>
      </c>
      <c r="B1493" s="116">
        <v>7.4786437583001302</v>
      </c>
      <c r="C1493" s="116">
        <v>7.3872177954847302</v>
      </c>
      <c r="D1493" s="116">
        <v>7.3597900066401101</v>
      </c>
      <c r="E1493" s="116">
        <v>7.4237881806108899</v>
      </c>
      <c r="F1493" s="116">
        <v>8.08</v>
      </c>
      <c r="G1493">
        <v>226427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45077</v>
      </c>
      <c r="B1494" s="116">
        <v>7.49692895086321</v>
      </c>
      <c r="C1494" s="116">
        <v>7.4329307768924302</v>
      </c>
      <c r="D1494" s="116">
        <v>7.3689326029216504</v>
      </c>
      <c r="E1494" s="116">
        <v>7.4329307768924302</v>
      </c>
      <c r="F1494" s="116">
        <v>8.1300000000000008</v>
      </c>
      <c r="G1494">
        <v>358785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45078</v>
      </c>
      <c r="B1495" s="116">
        <v>7.7986346281540504</v>
      </c>
      <c r="C1495" s="116">
        <v>7.7986346281540504</v>
      </c>
      <c r="D1495" s="116">
        <v>7.3780751992031899</v>
      </c>
      <c r="E1495" s="116">
        <v>7.5517845285524601</v>
      </c>
      <c r="F1495" s="116">
        <v>8.5299999999999994</v>
      </c>
      <c r="G1495">
        <v>1357688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45079</v>
      </c>
      <c r="B1496" s="116">
        <v>8.1826236719787495</v>
      </c>
      <c r="C1496" s="116">
        <v>8.1826236719787495</v>
      </c>
      <c r="D1496" s="116">
        <v>7.9632013612217802</v>
      </c>
      <c r="E1496" s="116">
        <v>8.1094829017264303</v>
      </c>
      <c r="F1496" s="116">
        <v>8.9499999999999993</v>
      </c>
      <c r="G1496">
        <v>1298453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45082</v>
      </c>
      <c r="B1497" s="116">
        <v>8.5848979083665302</v>
      </c>
      <c r="C1497" s="116">
        <v>8.5848979083665302</v>
      </c>
      <c r="D1497" s="116">
        <v>8.5848979083665302</v>
      </c>
      <c r="E1497" s="116">
        <v>8.5848979083665302</v>
      </c>
      <c r="F1497" s="116">
        <v>9.39</v>
      </c>
      <c r="G1497">
        <v>520687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45083</v>
      </c>
      <c r="B1498" s="116">
        <v>9.0054573373174005</v>
      </c>
      <c r="C1498" s="116">
        <v>9.0054573373174005</v>
      </c>
      <c r="D1498" s="116">
        <v>9.0054573373174005</v>
      </c>
      <c r="E1498" s="116">
        <v>9.0054573373174005</v>
      </c>
      <c r="F1498" s="116">
        <v>9.85</v>
      </c>
      <c r="G1498">
        <v>292805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45084</v>
      </c>
      <c r="B1499" s="116">
        <v>10.806548804780901</v>
      </c>
      <c r="C1499" s="116">
        <v>10.559698705179301</v>
      </c>
      <c r="D1499" s="116">
        <v>9.8100058100929601</v>
      </c>
      <c r="E1499" s="116">
        <v>10.239707835325399</v>
      </c>
      <c r="F1499" s="116">
        <v>11.55</v>
      </c>
      <c r="G1499">
        <v>9670919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45085</v>
      </c>
      <c r="B1500" s="116">
        <v>12.223651228419699</v>
      </c>
      <c r="C1500" s="116">
        <v>11.894517762284201</v>
      </c>
      <c r="D1500" s="116">
        <v>10.806548804780901</v>
      </c>
      <c r="E1500" s="116">
        <v>10.9711155378486</v>
      </c>
      <c r="F1500" s="116">
        <v>13.01</v>
      </c>
      <c r="G1500">
        <v>6530731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45086</v>
      </c>
      <c r="B1501" s="116">
        <v>12.296791998671999</v>
      </c>
      <c r="C1501" s="116">
        <v>11.547099103585699</v>
      </c>
      <c r="D1501" s="116">
        <v>10.513985723771601</v>
      </c>
      <c r="E1501" s="116">
        <v>12.123082669322701</v>
      </c>
      <c r="F1501" s="116">
        <v>12.63</v>
      </c>
      <c r="G1501">
        <v>3164519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45089</v>
      </c>
      <c r="B1502" s="116">
        <v>12.772207005312101</v>
      </c>
      <c r="C1502" s="116">
        <v>11.8762325697211</v>
      </c>
      <c r="D1502" s="116">
        <v>11.7025232403718</v>
      </c>
      <c r="E1502" s="116">
        <v>11.7482362217795</v>
      </c>
      <c r="F1502" s="116">
        <v>12.99</v>
      </c>
      <c r="G1502">
        <v>1578856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45090</v>
      </c>
      <c r="B1503" s="116">
        <v>12.296791998671999</v>
      </c>
      <c r="C1503" s="116">
        <v>11.684238047808799</v>
      </c>
      <c r="D1503" s="116">
        <v>11.6110972775564</v>
      </c>
      <c r="E1503" s="116">
        <v>12.095654880478101</v>
      </c>
      <c r="F1503" s="116">
        <v>12.78</v>
      </c>
      <c r="G1503">
        <v>1223773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45091</v>
      </c>
      <c r="B1504" s="116">
        <v>11.931088147410399</v>
      </c>
      <c r="C1504" s="116">
        <v>11.711665836653401</v>
      </c>
      <c r="D1504" s="116">
        <v>11.4282453519256</v>
      </c>
      <c r="E1504" s="116">
        <v>11.885375166002699</v>
      </c>
      <c r="F1504" s="116">
        <v>12.81</v>
      </c>
      <c r="G1504">
        <v>1256853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45092</v>
      </c>
      <c r="B1505" s="116">
        <v>13.2567646082337</v>
      </c>
      <c r="C1505" s="116">
        <v>12.973344123505999</v>
      </c>
      <c r="D1505" s="116">
        <v>11.483100929614899</v>
      </c>
      <c r="E1505" s="116">
        <v>11.729951029216499</v>
      </c>
      <c r="F1505" s="116">
        <v>14.19</v>
      </c>
      <c r="G1505">
        <v>3189725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45093</v>
      </c>
      <c r="B1506" s="116">
        <v>15.2681357901726</v>
      </c>
      <c r="C1506" s="116">
        <v>15.021285690571</v>
      </c>
      <c r="D1506" s="116">
        <v>13.4396165338645</v>
      </c>
      <c r="E1506" s="116">
        <v>13.5310424966799</v>
      </c>
      <c r="F1506" s="116">
        <v>16.43</v>
      </c>
      <c r="G1506">
        <v>5447193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45096</v>
      </c>
      <c r="B1507" s="116">
        <v>16.337819555112901</v>
      </c>
      <c r="C1507" s="116">
        <v>15.8349767596282</v>
      </c>
      <c r="D1507" s="116">
        <v>15.2224228087649</v>
      </c>
      <c r="E1507" s="116">
        <v>15.4052747343958</v>
      </c>
      <c r="F1507" s="116">
        <v>17.32</v>
      </c>
      <c r="G1507">
        <v>5141666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45097</v>
      </c>
      <c r="B1508" s="116">
        <v>16.292106573705201</v>
      </c>
      <c r="C1508" s="116">
        <v>14.2533076029216</v>
      </c>
      <c r="D1508" s="116">
        <v>14.2533076029216</v>
      </c>
      <c r="E1508" s="116">
        <v>16.164110225763601</v>
      </c>
      <c r="F1508" s="116">
        <v>15.59</v>
      </c>
      <c r="G1508">
        <v>3001248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45098</v>
      </c>
      <c r="B1509" s="116">
        <v>14.536728087649401</v>
      </c>
      <c r="C1509" s="116">
        <v>13.713894422310799</v>
      </c>
      <c r="D1509" s="116">
        <v>12.836205179282899</v>
      </c>
      <c r="E1509" s="116">
        <v>12.854490371846</v>
      </c>
      <c r="F1509" s="116">
        <v>15</v>
      </c>
      <c r="G1509">
        <v>4335385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45099</v>
      </c>
      <c r="B1510" s="116">
        <v>14.399589143426301</v>
      </c>
      <c r="C1510" s="116">
        <v>13.4396165338645</v>
      </c>
      <c r="D1510" s="116">
        <v>13.092197875166001</v>
      </c>
      <c r="E1510" s="116">
        <v>13.805320385126199</v>
      </c>
      <c r="F1510" s="116">
        <v>14.7</v>
      </c>
      <c r="G1510">
        <v>1332612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45100</v>
      </c>
      <c r="B1511" s="116">
        <v>13.4853295152722</v>
      </c>
      <c r="C1511" s="116">
        <v>13.0739126826029</v>
      </c>
      <c r="D1511" s="116">
        <v>12.863632968127501</v>
      </c>
      <c r="E1511" s="116">
        <v>13.211051626826</v>
      </c>
      <c r="F1511" s="116">
        <v>14.3</v>
      </c>
      <c r="G1511">
        <v>854866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45103</v>
      </c>
      <c r="B1512" s="116">
        <v>13.6407536520584</v>
      </c>
      <c r="C1512" s="116">
        <v>13.128768260292199</v>
      </c>
      <c r="D1512" s="116">
        <v>12.891060756972101</v>
      </c>
      <c r="E1512" s="116">
        <v>13.3481905710491</v>
      </c>
      <c r="F1512" s="116">
        <v>14.36</v>
      </c>
      <c r="G1512">
        <v>626620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45104</v>
      </c>
      <c r="B1513" s="116">
        <v>13.613325863213801</v>
      </c>
      <c r="C1513" s="116">
        <v>13.512757304116899</v>
      </c>
      <c r="D1513" s="116">
        <v>12.9824867197875</v>
      </c>
      <c r="E1513" s="116">
        <v>13.174481241699899</v>
      </c>
      <c r="F1513" s="116">
        <v>14.78</v>
      </c>
      <c r="G1513">
        <v>953133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45105</v>
      </c>
      <c r="B1514" s="116">
        <v>13.759607403718499</v>
      </c>
      <c r="C1514" s="116">
        <v>13.1013404714475</v>
      </c>
      <c r="D1514" s="116">
        <v>13.0281997011952</v>
      </c>
      <c r="E1514" s="116">
        <v>13.5310424966799</v>
      </c>
      <c r="F1514" s="116">
        <v>14.33</v>
      </c>
      <c r="G1514">
        <v>933938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45107</v>
      </c>
      <c r="B1515" s="116">
        <v>13.5767554780877</v>
      </c>
      <c r="C1515" s="116">
        <v>13.448759130146099</v>
      </c>
      <c r="D1515" s="116">
        <v>13.1013404714475</v>
      </c>
      <c r="E1515" s="116">
        <v>13.1013404714475</v>
      </c>
      <c r="F1515" s="116">
        <v>14.71</v>
      </c>
      <c r="G1515">
        <v>643921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45110</v>
      </c>
      <c r="B1516" s="116">
        <v>14.399589143426301</v>
      </c>
      <c r="C1516" s="116">
        <v>14.280735391766299</v>
      </c>
      <c r="D1516" s="116">
        <v>13.5767554780877</v>
      </c>
      <c r="E1516" s="116">
        <v>13.5767554780877</v>
      </c>
      <c r="F1516" s="116">
        <v>15.62</v>
      </c>
      <c r="G1516">
        <v>1778628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45111</v>
      </c>
      <c r="B1517" s="116">
        <v>15.231565405046499</v>
      </c>
      <c r="C1517" s="116">
        <v>14.427016932270901</v>
      </c>
      <c r="D1517" s="116">
        <v>14.308163180610901</v>
      </c>
      <c r="E1517" s="116">
        <v>14.564155876494</v>
      </c>
      <c r="F1517" s="116">
        <v>15.78</v>
      </c>
      <c r="G1517">
        <v>1659742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45112</v>
      </c>
      <c r="B1518" s="116">
        <v>14.856718957503301</v>
      </c>
      <c r="C1518" s="116">
        <v>14.527585491367899</v>
      </c>
      <c r="D1518" s="116">
        <v>13.851033366533899</v>
      </c>
      <c r="E1518" s="116">
        <v>14.536728087649401</v>
      </c>
      <c r="F1518" s="116">
        <v>15.89</v>
      </c>
      <c r="G1518">
        <v>1107609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45113</v>
      </c>
      <c r="B1519" s="116">
        <v>15.3138487715803</v>
      </c>
      <c r="C1519" s="116">
        <v>15.012143094289501</v>
      </c>
      <c r="D1519" s="116">
        <v>14.536728087649401</v>
      </c>
      <c r="E1519" s="116">
        <v>14.5915836653386</v>
      </c>
      <c r="F1519" s="116">
        <v>16.420000000000002</v>
      </c>
      <c r="G1519">
        <v>1910105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45114</v>
      </c>
      <c r="B1520" s="116">
        <v>16.511528884462201</v>
      </c>
      <c r="C1520" s="116">
        <v>16.511528884462201</v>
      </c>
      <c r="D1520" s="116">
        <v>14.582441069057101</v>
      </c>
      <c r="E1520" s="116">
        <v>14.582441069057101</v>
      </c>
      <c r="F1520" s="116">
        <v>18.059999999999999</v>
      </c>
      <c r="G1520">
        <v>3445189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45117</v>
      </c>
      <c r="B1521" s="116">
        <v>18.1571962151394</v>
      </c>
      <c r="C1521" s="116">
        <v>18.1571962151394</v>
      </c>
      <c r="D1521" s="116">
        <v>18.1571962151394</v>
      </c>
      <c r="E1521" s="116">
        <v>18.1571962151394</v>
      </c>
      <c r="F1521" s="116">
        <v>19.86</v>
      </c>
      <c r="G1521">
        <v>867767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45118</v>
      </c>
      <c r="B1522" s="116">
        <v>19.062313247012</v>
      </c>
      <c r="C1522" s="116">
        <v>19.062313247012</v>
      </c>
      <c r="D1522" s="116">
        <v>19.062313247012</v>
      </c>
      <c r="E1522" s="116">
        <v>19.062313247012</v>
      </c>
      <c r="F1522" s="116">
        <v>20.85</v>
      </c>
      <c r="G1522">
        <v>830998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45119</v>
      </c>
      <c r="B1523" s="116">
        <v>20.0131432602922</v>
      </c>
      <c r="C1523" s="116">
        <v>20.0131432602922</v>
      </c>
      <c r="D1523" s="116">
        <v>20.0131432602922</v>
      </c>
      <c r="E1523" s="116">
        <v>20.0131432602922</v>
      </c>
      <c r="F1523" s="116">
        <v>21.89</v>
      </c>
      <c r="G1523">
        <v>322811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45120</v>
      </c>
      <c r="B1524" s="116">
        <v>21.0096862549801</v>
      </c>
      <c r="C1524" s="116">
        <v>19.556013446215101</v>
      </c>
      <c r="D1524" s="116">
        <v>19.025742861885799</v>
      </c>
      <c r="E1524" s="116">
        <v>21.0096862549801</v>
      </c>
      <c r="F1524" s="116">
        <v>21.39</v>
      </c>
      <c r="G1524">
        <v>18149003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45121</v>
      </c>
      <c r="B1525" s="116">
        <v>20.525128652058399</v>
      </c>
      <c r="C1525" s="116">
        <v>20.488558266932301</v>
      </c>
      <c r="D1525" s="116">
        <v>19.1994521912351</v>
      </c>
      <c r="E1525" s="116">
        <v>19.976572875165999</v>
      </c>
      <c r="F1525" s="116">
        <v>22.41</v>
      </c>
      <c r="G1525">
        <v>4898784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45124</v>
      </c>
      <c r="B1526" s="116">
        <v>21.512529050464799</v>
      </c>
      <c r="C1526" s="116">
        <v>20.845119521912402</v>
      </c>
      <c r="D1526" s="116">
        <v>19.748007968127499</v>
      </c>
      <c r="E1526" s="116">
        <v>21.302249335989401</v>
      </c>
      <c r="F1526" s="116">
        <v>22.8</v>
      </c>
      <c r="G1526">
        <v>5740842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45125</v>
      </c>
      <c r="B1527" s="116">
        <v>21.302249335989401</v>
      </c>
      <c r="C1527" s="116">
        <v>20.6896953851262</v>
      </c>
      <c r="D1527" s="116">
        <v>19.802863545816699</v>
      </c>
      <c r="E1527" s="116">
        <v>20.753693559096899</v>
      </c>
      <c r="F1527" s="116">
        <v>22.63</v>
      </c>
      <c r="G1527">
        <v>3892919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45126</v>
      </c>
      <c r="B1528" s="116">
        <v>21.722808764940201</v>
      </c>
      <c r="C1528" s="116">
        <v>21.713666168658701</v>
      </c>
      <c r="D1528" s="116">
        <v>20.936545484727802</v>
      </c>
      <c r="E1528" s="116">
        <v>21.0096862549801</v>
      </c>
      <c r="F1528" s="116">
        <v>23.75</v>
      </c>
      <c r="G1528">
        <v>5611170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45127</v>
      </c>
      <c r="B1529" s="116">
        <v>22.792492529880501</v>
      </c>
      <c r="C1529" s="116">
        <v>22.792492529880501</v>
      </c>
      <c r="D1529" s="116">
        <v>21.942231075697201</v>
      </c>
      <c r="E1529" s="116">
        <v>21.942231075697201</v>
      </c>
      <c r="F1529" s="116">
        <v>24.93</v>
      </c>
      <c r="G1529">
        <v>3809089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45128</v>
      </c>
      <c r="B1530" s="116">
        <v>23.926174468791501</v>
      </c>
      <c r="C1530" s="116">
        <v>23.926174468791501</v>
      </c>
      <c r="D1530" s="116">
        <v>23.2221945551129</v>
      </c>
      <c r="E1530" s="116">
        <v>23.7158947543161</v>
      </c>
      <c r="F1530" s="116">
        <v>26.17</v>
      </c>
      <c r="G1530">
        <v>6059996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45131</v>
      </c>
      <c r="B1531" s="116">
        <v>25.1147119853918</v>
      </c>
      <c r="C1531" s="116">
        <v>24.950145252323999</v>
      </c>
      <c r="D1531" s="116">
        <v>24.410732071713099</v>
      </c>
      <c r="E1531" s="116">
        <v>25.1147119853918</v>
      </c>
      <c r="F1531" s="116">
        <v>27.29</v>
      </c>
      <c r="G1531">
        <v>5602150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45132</v>
      </c>
      <c r="B1532" s="116">
        <v>24.630154382470099</v>
      </c>
      <c r="C1532" s="116">
        <v>23.706752158034501</v>
      </c>
      <c r="D1532" s="116">
        <v>23.706752158034501</v>
      </c>
      <c r="E1532" s="116">
        <v>24.538728419654699</v>
      </c>
      <c r="F1532" s="116">
        <v>25.93</v>
      </c>
      <c r="G1532">
        <v>4435547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45133</v>
      </c>
      <c r="B1533" s="116">
        <v>24.8861470783533</v>
      </c>
      <c r="C1533" s="116">
        <v>24.694152556440901</v>
      </c>
      <c r="D1533" s="116">
        <v>22.527357237715801</v>
      </c>
      <c r="E1533" s="116">
        <v>22.527357237715801</v>
      </c>
      <c r="F1533" s="116">
        <v>27.01</v>
      </c>
      <c r="G1533">
        <v>7074481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45134</v>
      </c>
      <c r="B1534" s="116">
        <v>25.9284030544489</v>
      </c>
      <c r="C1534" s="116">
        <v>25.9284030544489</v>
      </c>
      <c r="D1534" s="116">
        <v>24.694152556440901</v>
      </c>
      <c r="E1534" s="116">
        <v>25.142139774236401</v>
      </c>
      <c r="F1534" s="116">
        <v>28.36</v>
      </c>
      <c r="G1534">
        <v>8219619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45135</v>
      </c>
      <c r="B1535" s="116">
        <v>27.217509130146102</v>
      </c>
      <c r="C1535" s="116">
        <v>27.217509130146102</v>
      </c>
      <c r="D1535" s="116">
        <v>26.284964309429</v>
      </c>
      <c r="E1535" s="116">
        <v>26.687238545816701</v>
      </c>
      <c r="F1535" s="116">
        <v>29.77</v>
      </c>
      <c r="G1535">
        <v>7932300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45138</v>
      </c>
      <c r="B1536" s="116">
        <v>28.570613379814102</v>
      </c>
      <c r="C1536" s="116">
        <v>28.570613379814102</v>
      </c>
      <c r="D1536" s="116">
        <v>28.3237632802125</v>
      </c>
      <c r="E1536" s="116">
        <v>28.570613379814102</v>
      </c>
      <c r="F1536" s="116">
        <v>31.25</v>
      </c>
      <c r="G1536">
        <v>9764531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45139</v>
      </c>
      <c r="B1537" s="116">
        <v>29.9968583997344</v>
      </c>
      <c r="C1537" s="116">
        <v>29.9968583997344</v>
      </c>
      <c r="D1537" s="116">
        <v>28.570613379814102</v>
      </c>
      <c r="E1537" s="116">
        <v>29.9968583997344</v>
      </c>
      <c r="F1537" s="116">
        <v>32.81</v>
      </c>
      <c r="G1537">
        <v>7724303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45140</v>
      </c>
      <c r="B1538" s="116">
        <v>31.496244189906999</v>
      </c>
      <c r="C1538" s="116">
        <v>31.4322460159363</v>
      </c>
      <c r="D1538" s="116">
        <v>28.524900398406398</v>
      </c>
      <c r="E1538" s="116">
        <v>30.8105494687915</v>
      </c>
      <c r="F1538" s="116">
        <v>34.380000000000003</v>
      </c>
      <c r="G1538">
        <v>9965090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45141</v>
      </c>
      <c r="B1539" s="116">
        <v>32.995629980079698</v>
      </c>
      <c r="C1539" s="116">
        <v>32.748779880478097</v>
      </c>
      <c r="D1539" s="116">
        <v>30.5362715803453</v>
      </c>
      <c r="E1539" s="116">
        <v>32.456216799468798</v>
      </c>
      <c r="F1539" s="116">
        <v>35.82</v>
      </c>
      <c r="G1539">
        <v>7596164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45142</v>
      </c>
      <c r="B1540" s="116">
        <v>34.385304614873803</v>
      </c>
      <c r="C1540" s="116">
        <v>34.385304614873803</v>
      </c>
      <c r="D1540" s="116">
        <v>32.831063247011897</v>
      </c>
      <c r="E1540" s="116">
        <v>32.831063247011897</v>
      </c>
      <c r="F1540" s="116">
        <v>37.61</v>
      </c>
      <c r="G1540">
        <v>5114162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45145</v>
      </c>
      <c r="B1541" s="116">
        <v>36.104112715803502</v>
      </c>
      <c r="C1541" s="116">
        <v>33.388761620185903</v>
      </c>
      <c r="D1541" s="116">
        <v>32.666496513944203</v>
      </c>
      <c r="E1541" s="116">
        <v>36.104112715803502</v>
      </c>
      <c r="F1541" s="116">
        <v>36.520000000000003</v>
      </c>
      <c r="G1541">
        <v>8828739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45146</v>
      </c>
      <c r="B1542" s="116">
        <v>35.0527141434263</v>
      </c>
      <c r="C1542" s="116">
        <v>35.034428950863202</v>
      </c>
      <c r="D1542" s="116">
        <v>31.724809096945599</v>
      </c>
      <c r="E1542" s="116">
        <v>31.724809096945599</v>
      </c>
      <c r="F1542" s="116">
        <v>38.32</v>
      </c>
      <c r="G1542">
        <v>7389754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45147</v>
      </c>
      <c r="B1543" s="116">
        <v>35.656125498008002</v>
      </c>
      <c r="C1543" s="116">
        <v>34.7875788512616</v>
      </c>
      <c r="D1543" s="116">
        <v>33.919032204515297</v>
      </c>
      <c r="E1543" s="116">
        <v>35.198995683930903</v>
      </c>
      <c r="F1543" s="116">
        <v>38.049999999999997</v>
      </c>
      <c r="G1543">
        <v>3717593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45148</v>
      </c>
      <c r="B1544" s="116">
        <v>34.879004814077</v>
      </c>
      <c r="C1544" s="116">
        <v>33.050485557768901</v>
      </c>
      <c r="D1544" s="116">
        <v>33.050485557768901</v>
      </c>
      <c r="E1544" s="116">
        <v>34.833291832669303</v>
      </c>
      <c r="F1544" s="116">
        <v>36.15</v>
      </c>
      <c r="G1544">
        <v>1889716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45149</v>
      </c>
      <c r="B1545" s="116">
        <v>34.3304490371846</v>
      </c>
      <c r="C1545" s="116">
        <v>33.6081839309429</v>
      </c>
      <c r="D1545" s="116">
        <v>31.404818227091599</v>
      </c>
      <c r="E1545" s="116">
        <v>31.404818227091599</v>
      </c>
      <c r="F1545" s="116">
        <v>36.76</v>
      </c>
      <c r="G1545">
        <v>3476191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45152</v>
      </c>
      <c r="B1546" s="116">
        <v>33.827606241699897</v>
      </c>
      <c r="C1546" s="116">
        <v>31.962516600265602</v>
      </c>
      <c r="D1546" s="116">
        <v>31.935088811421</v>
      </c>
      <c r="E1546" s="116">
        <v>33.553328353253697</v>
      </c>
      <c r="F1546" s="116">
        <v>34.96</v>
      </c>
      <c r="G1546">
        <v>3087791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45154</v>
      </c>
      <c r="B1547" s="116">
        <v>31.359105245683899</v>
      </c>
      <c r="C1547" s="116">
        <v>30.371704847277599</v>
      </c>
      <c r="D1547" s="116">
        <v>30.371704847277599</v>
      </c>
      <c r="E1547" s="116">
        <v>30.6276975431607</v>
      </c>
      <c r="F1547" s="116">
        <v>33.22</v>
      </c>
      <c r="G1547">
        <v>1405572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45155</v>
      </c>
      <c r="B1548" s="116">
        <v>31.8528054448871</v>
      </c>
      <c r="C1548" s="116">
        <v>31.541957171314699</v>
      </c>
      <c r="D1548" s="116">
        <v>28.854033864541801</v>
      </c>
      <c r="E1548" s="116">
        <v>29.256308100929601</v>
      </c>
      <c r="F1548" s="116">
        <v>34.5</v>
      </c>
      <c r="G1548">
        <v>3875368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45156</v>
      </c>
      <c r="B1549" s="116">
        <v>32.227651892430302</v>
      </c>
      <c r="C1549" s="116">
        <v>30.0425713811421</v>
      </c>
      <c r="D1549" s="116">
        <v>29.969430610889798</v>
      </c>
      <c r="E1549" s="116">
        <v>31.541957171314699</v>
      </c>
      <c r="F1549" s="116">
        <v>32.86</v>
      </c>
      <c r="G1549">
        <v>2919409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45159</v>
      </c>
      <c r="B1550" s="116">
        <v>30.0334287848606</v>
      </c>
      <c r="C1550" s="116">
        <v>28.991172808764901</v>
      </c>
      <c r="D1550" s="116">
        <v>28.5431855909695</v>
      </c>
      <c r="E1550" s="116">
        <v>30.0334287848606</v>
      </c>
      <c r="F1550" s="116">
        <v>31.71</v>
      </c>
      <c r="G1550">
        <v>3782867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45160</v>
      </c>
      <c r="B1551" s="116">
        <v>29.667724933598901</v>
      </c>
      <c r="C1551" s="116">
        <v>29.2197377158035</v>
      </c>
      <c r="D1551" s="116">
        <v>27.546642596281501</v>
      </c>
      <c r="E1551" s="116">
        <v>29.256308100929601</v>
      </c>
      <c r="F1551" s="116">
        <v>31.96</v>
      </c>
      <c r="G1551">
        <v>3171289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45161</v>
      </c>
      <c r="B1552" s="116">
        <v>30.0791417662683</v>
      </c>
      <c r="C1552" s="116">
        <v>29.036885790172601</v>
      </c>
      <c r="D1552" s="116">
        <v>28.342048472775598</v>
      </c>
      <c r="E1552" s="116">
        <v>28.982030212483401</v>
      </c>
      <c r="F1552" s="116">
        <v>31.76</v>
      </c>
      <c r="G1552">
        <v>1198480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45162</v>
      </c>
      <c r="B1553" s="116">
        <v>29.969430610889798</v>
      </c>
      <c r="C1553" s="116">
        <v>28.607183764940199</v>
      </c>
      <c r="D1553" s="116">
        <v>27.976344621513899</v>
      </c>
      <c r="E1553" s="116">
        <v>29.036885790172601</v>
      </c>
      <c r="F1553" s="116">
        <v>31.29</v>
      </c>
      <c r="G1553">
        <v>878873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45163</v>
      </c>
      <c r="B1554" s="116">
        <v>28.799178286852602</v>
      </c>
      <c r="C1554" s="116">
        <v>27.5557851925631</v>
      </c>
      <c r="D1554" s="116">
        <v>27.226651726427601</v>
      </c>
      <c r="E1554" s="116">
        <v>27.985487217795502</v>
      </c>
      <c r="F1554" s="116">
        <v>30.14</v>
      </c>
      <c r="G1554">
        <v>1314844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45166</v>
      </c>
      <c r="B1555" s="116">
        <v>28.113483565737099</v>
      </c>
      <c r="C1555" s="116">
        <v>26.2941069057105</v>
      </c>
      <c r="D1555" s="116">
        <v>26.184395750332001</v>
      </c>
      <c r="E1555" s="116">
        <v>27.446074037184601</v>
      </c>
      <c r="F1555" s="116">
        <v>28.76</v>
      </c>
      <c r="G1555">
        <v>1184772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45167</v>
      </c>
      <c r="B1556" s="116">
        <v>27.6014981739708</v>
      </c>
      <c r="C1556" s="116">
        <v>27.025514608233699</v>
      </c>
      <c r="D1556" s="116">
        <v>24.9867156374502</v>
      </c>
      <c r="E1556" s="116">
        <v>26.275821713147401</v>
      </c>
      <c r="F1556" s="116">
        <v>29.56</v>
      </c>
      <c r="G1556">
        <v>3246464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45168</v>
      </c>
      <c r="B1557" s="116">
        <v>28.3694762616202</v>
      </c>
      <c r="C1557" s="116">
        <v>28.3694762616202</v>
      </c>
      <c r="D1557" s="116">
        <v>26.988944223107602</v>
      </c>
      <c r="E1557" s="116">
        <v>27.793492695883099</v>
      </c>
      <c r="F1557" s="116">
        <v>31.03</v>
      </c>
      <c r="G1557">
        <v>3221666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45169</v>
      </c>
      <c r="B1558" s="116">
        <v>29.238022908366499</v>
      </c>
      <c r="C1558" s="116">
        <v>28.332905876493999</v>
      </c>
      <c r="D1558" s="116">
        <v>27.610640770252299</v>
      </c>
      <c r="E1558" s="116">
        <v>28.332905876493999</v>
      </c>
      <c r="F1558" s="116">
        <v>30.99</v>
      </c>
      <c r="G1558">
        <v>1450205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45170</v>
      </c>
      <c r="B1559" s="116">
        <v>29.256308100929601</v>
      </c>
      <c r="C1559" s="116">
        <v>28.8723190571049</v>
      </c>
      <c r="D1559" s="116">
        <v>27.619783366533898</v>
      </c>
      <c r="E1559" s="116">
        <v>28.332905876493999</v>
      </c>
      <c r="F1559" s="116">
        <v>31.58</v>
      </c>
      <c r="G1559">
        <v>783540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45173</v>
      </c>
      <c r="B1560" s="116">
        <v>29.603726759628199</v>
      </c>
      <c r="C1560" s="116">
        <v>27.747779714475399</v>
      </c>
      <c r="D1560" s="116">
        <v>27.446074037184601</v>
      </c>
      <c r="E1560" s="116">
        <v>28.799178286852602</v>
      </c>
      <c r="F1560" s="116">
        <v>30.35</v>
      </c>
      <c r="G1560">
        <v>1146056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45174</v>
      </c>
      <c r="B1561" s="116">
        <v>29.128311752988001</v>
      </c>
      <c r="C1561" s="116">
        <v>29.082598771580301</v>
      </c>
      <c r="D1561" s="116">
        <v>27.254079515272199</v>
      </c>
      <c r="E1561" s="116">
        <v>27.839205677290799</v>
      </c>
      <c r="F1561" s="116">
        <v>31.81</v>
      </c>
      <c r="G1561">
        <v>3677898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45175</v>
      </c>
      <c r="B1562" s="116">
        <v>29.347734063745001</v>
      </c>
      <c r="C1562" s="116">
        <v>28.771750498008</v>
      </c>
      <c r="D1562" s="116">
        <v>27.930631640106199</v>
      </c>
      <c r="E1562" s="116">
        <v>29.073456175298801</v>
      </c>
      <c r="F1562" s="116">
        <v>31.47</v>
      </c>
      <c r="G1562">
        <v>1430521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45176</v>
      </c>
      <c r="B1563" s="116">
        <v>29.713437915006601</v>
      </c>
      <c r="C1563" s="116">
        <v>29.128311752988001</v>
      </c>
      <c r="D1563" s="116">
        <v>28.707752324037202</v>
      </c>
      <c r="E1563" s="116">
        <v>29.073456175298801</v>
      </c>
      <c r="F1563" s="116">
        <v>31.86</v>
      </c>
      <c r="G1563">
        <v>1753132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45177</v>
      </c>
      <c r="B1564" s="116">
        <v>30.581984561753</v>
      </c>
      <c r="C1564" s="116">
        <v>29.5854415670651</v>
      </c>
      <c r="D1564" s="116">
        <v>29.256308100929601</v>
      </c>
      <c r="E1564" s="116">
        <v>30.581984561753</v>
      </c>
      <c r="F1564" s="116">
        <v>32.36</v>
      </c>
      <c r="G1564">
        <v>2099208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45180</v>
      </c>
      <c r="B1565" s="116">
        <v>31.057399568393102</v>
      </c>
      <c r="C1565" s="116">
        <v>31.057399568393102</v>
      </c>
      <c r="D1565" s="116">
        <v>29.439160026560401</v>
      </c>
      <c r="E1565" s="116">
        <v>30.1705677290837</v>
      </c>
      <c r="F1565" s="116">
        <v>33.97</v>
      </c>
      <c r="G1565">
        <v>2778393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45181</v>
      </c>
      <c r="B1566" s="116">
        <v>32.602498339973401</v>
      </c>
      <c r="C1566" s="116">
        <v>30.965973605577702</v>
      </c>
      <c r="D1566" s="116">
        <v>29.512300796812699</v>
      </c>
      <c r="E1566" s="116">
        <v>32.593355743691902</v>
      </c>
      <c r="F1566" s="116">
        <v>33.869999999999997</v>
      </c>
      <c r="G1566">
        <v>3429135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45182</v>
      </c>
      <c r="B1567" s="116">
        <v>31.541957171314699</v>
      </c>
      <c r="C1567" s="116">
        <v>31.066542164674601</v>
      </c>
      <c r="D1567" s="116">
        <v>29.484873007968101</v>
      </c>
      <c r="E1567" s="116">
        <v>31.0848273572377</v>
      </c>
      <c r="F1567" s="116">
        <v>33.979999999999997</v>
      </c>
      <c r="G1567">
        <v>1734222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45183</v>
      </c>
      <c r="B1568" s="116">
        <v>32.273364873837998</v>
      </c>
      <c r="C1568" s="116">
        <v>31.971659196547101</v>
      </c>
      <c r="D1568" s="116">
        <v>31.0848273572377</v>
      </c>
      <c r="E1568" s="116">
        <v>31.0848273572377</v>
      </c>
      <c r="F1568" s="116">
        <v>34.97</v>
      </c>
      <c r="G1568">
        <v>2915119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45184</v>
      </c>
      <c r="B1569" s="116">
        <v>33.5167579681275</v>
      </c>
      <c r="C1569" s="116">
        <v>33.178481905710498</v>
      </c>
      <c r="D1569" s="116">
        <v>32.172796314740999</v>
      </c>
      <c r="E1569" s="116">
        <v>32.181938911022598</v>
      </c>
      <c r="F1569" s="116">
        <v>36.29</v>
      </c>
      <c r="G1569">
        <v>2914308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45187</v>
      </c>
      <c r="B1570" s="116">
        <v>34.001315571049098</v>
      </c>
      <c r="C1570" s="116">
        <v>32.584213147410402</v>
      </c>
      <c r="D1570" s="116">
        <v>32.264222277556399</v>
      </c>
      <c r="E1570" s="116">
        <v>33.827606241699897</v>
      </c>
      <c r="F1570" s="116">
        <v>35.64</v>
      </c>
      <c r="G1570">
        <v>1524309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45189</v>
      </c>
      <c r="B1571" s="116">
        <v>32.8036354581673</v>
      </c>
      <c r="C1571" s="116">
        <v>31.925946215139401</v>
      </c>
      <c r="D1571" s="116">
        <v>31.450531208499299</v>
      </c>
      <c r="E1571" s="116">
        <v>31.999086985391799</v>
      </c>
      <c r="F1571" s="116">
        <v>34.92</v>
      </c>
      <c r="G1571">
        <v>1260542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45190</v>
      </c>
      <c r="B1572" s="116">
        <v>32.127083333333303</v>
      </c>
      <c r="C1572" s="116">
        <v>31.1671107237716</v>
      </c>
      <c r="D1572" s="116">
        <v>30.4448456175299</v>
      </c>
      <c r="E1572" s="116">
        <v>31.925946215139401</v>
      </c>
      <c r="F1572" s="116">
        <v>34.090000000000003</v>
      </c>
      <c r="G1572">
        <v>1560963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45191</v>
      </c>
      <c r="B1573" s="116">
        <v>31.999086985391799</v>
      </c>
      <c r="C1573" s="116">
        <v>31.6150979415671</v>
      </c>
      <c r="D1573" s="116">
        <v>30.4448456175299</v>
      </c>
      <c r="E1573" s="116">
        <v>31.450531208499299</v>
      </c>
      <c r="F1573" s="116">
        <v>34.58</v>
      </c>
      <c r="G1573">
        <v>1614868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45194</v>
      </c>
      <c r="B1574" s="116">
        <v>31.953374003984099</v>
      </c>
      <c r="C1574" s="116">
        <v>31.276821879150098</v>
      </c>
      <c r="D1574" s="116">
        <v>30.6734105245684</v>
      </c>
      <c r="E1574" s="116">
        <v>31.953374003984099</v>
      </c>
      <c r="F1574" s="116">
        <v>34.21</v>
      </c>
      <c r="G1574">
        <v>811757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45195</v>
      </c>
      <c r="B1575" s="116">
        <v>31.541957171314699</v>
      </c>
      <c r="C1575" s="116">
        <v>30.645982735723798</v>
      </c>
      <c r="D1575" s="116">
        <v>30.2619936918991</v>
      </c>
      <c r="E1575" s="116">
        <v>30.6276975431607</v>
      </c>
      <c r="F1575" s="116">
        <v>33.520000000000003</v>
      </c>
      <c r="G1575">
        <v>1774129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45196</v>
      </c>
      <c r="B1576" s="116">
        <v>31.0848273572377</v>
      </c>
      <c r="C1576" s="116">
        <v>30.600269754316098</v>
      </c>
      <c r="D1576" s="116">
        <v>30.2619936918991</v>
      </c>
      <c r="E1576" s="116">
        <v>30.7191235059761</v>
      </c>
      <c r="F1576" s="116">
        <v>33.47</v>
      </c>
      <c r="G1576">
        <v>1104017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45197</v>
      </c>
      <c r="B1577" s="116">
        <v>31.2676792828685</v>
      </c>
      <c r="C1577" s="116">
        <v>30.965973605577702</v>
      </c>
      <c r="D1577" s="116">
        <v>30.6276975431607</v>
      </c>
      <c r="E1577" s="116">
        <v>31.0848273572377</v>
      </c>
      <c r="F1577" s="116">
        <v>33.869999999999997</v>
      </c>
      <c r="G1577">
        <v>2326548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45198</v>
      </c>
      <c r="B1578" s="116">
        <v>31.907661022576399</v>
      </c>
      <c r="C1578" s="116">
        <v>30.9019754316069</v>
      </c>
      <c r="D1578" s="116">
        <v>30.2162807104914</v>
      </c>
      <c r="E1578" s="116">
        <v>30.9934013944223</v>
      </c>
      <c r="F1578" s="116">
        <v>33.799999999999997</v>
      </c>
      <c r="G1578">
        <v>892529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45202</v>
      </c>
      <c r="B1579" s="116">
        <v>31.541957171314699</v>
      </c>
      <c r="C1579" s="116">
        <v>30.837977257636101</v>
      </c>
      <c r="D1579" s="116">
        <v>30.6276975431607</v>
      </c>
      <c r="E1579" s="116">
        <v>30.8928328353254</v>
      </c>
      <c r="F1579" s="116">
        <v>33.729999999999997</v>
      </c>
      <c r="G1579">
        <v>1205882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45203</v>
      </c>
      <c r="B1580" s="116">
        <v>31.313392264276199</v>
      </c>
      <c r="C1580" s="116">
        <v>30.591127158034499</v>
      </c>
      <c r="D1580" s="116">
        <v>29.713437915006601</v>
      </c>
      <c r="E1580" s="116">
        <v>30.6276975431607</v>
      </c>
      <c r="F1580" s="116">
        <v>33.46</v>
      </c>
      <c r="G1580">
        <v>1033662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45204</v>
      </c>
      <c r="B1581" s="116">
        <v>31.0756847609562</v>
      </c>
      <c r="C1581" s="116">
        <v>30.591127158034499</v>
      </c>
      <c r="D1581" s="116">
        <v>30.1705677290837</v>
      </c>
      <c r="E1581" s="116">
        <v>30.581984561753</v>
      </c>
      <c r="F1581" s="116">
        <v>33.46</v>
      </c>
      <c r="G1581">
        <v>894240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45205</v>
      </c>
      <c r="B1582" s="116">
        <v>32.117940737051804</v>
      </c>
      <c r="C1582" s="116">
        <v>32.117940737051804</v>
      </c>
      <c r="D1582" s="116">
        <v>30.3077066733068</v>
      </c>
      <c r="E1582" s="116">
        <v>30.3077066733068</v>
      </c>
      <c r="F1582" s="116">
        <v>35.130000000000003</v>
      </c>
      <c r="G1582">
        <v>3049938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45208</v>
      </c>
      <c r="B1583" s="116">
        <v>33.717895086321398</v>
      </c>
      <c r="C1583" s="116">
        <v>32.895061420982699</v>
      </c>
      <c r="D1583" s="116">
        <v>30.554556772908398</v>
      </c>
      <c r="E1583" s="116">
        <v>32.639068725099598</v>
      </c>
      <c r="F1583" s="116">
        <v>35.979999999999997</v>
      </c>
      <c r="G1583">
        <v>4941685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45209</v>
      </c>
      <c r="B1584" s="116">
        <v>34.531586155378498</v>
      </c>
      <c r="C1584" s="116">
        <v>34.531586155378498</v>
      </c>
      <c r="D1584" s="116">
        <v>33.324763446215101</v>
      </c>
      <c r="E1584" s="116">
        <v>33.324763446215101</v>
      </c>
      <c r="F1584" s="116">
        <v>37.770000000000003</v>
      </c>
      <c r="G1584">
        <v>3489390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45210</v>
      </c>
      <c r="B1585" s="116">
        <v>36.250394256308098</v>
      </c>
      <c r="C1585" s="116">
        <v>36.250394256308098</v>
      </c>
      <c r="D1585" s="116">
        <v>35.656125498008002</v>
      </c>
      <c r="E1585" s="116">
        <v>36.250394256308098</v>
      </c>
      <c r="F1585" s="116">
        <v>39.65</v>
      </c>
      <c r="G1585">
        <v>5124635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45211</v>
      </c>
      <c r="B1586" s="116">
        <v>38.060628320053098</v>
      </c>
      <c r="C1586" s="116">
        <v>38.060628320053098</v>
      </c>
      <c r="D1586" s="116">
        <v>36.113255312085002</v>
      </c>
      <c r="E1586" s="116">
        <v>38.060628320053098</v>
      </c>
      <c r="F1586" s="116">
        <v>41.63</v>
      </c>
      <c r="G1586">
        <v>5283965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45212</v>
      </c>
      <c r="B1587" s="116">
        <v>39.962288346613498</v>
      </c>
      <c r="C1587" s="116">
        <v>39.962288346613498</v>
      </c>
      <c r="D1587" s="116">
        <v>37.118940903054501</v>
      </c>
      <c r="E1587" s="116">
        <v>37.8594912018592</v>
      </c>
      <c r="F1587" s="116">
        <v>43.71</v>
      </c>
      <c r="G1587">
        <v>4181325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45215</v>
      </c>
      <c r="B1588" s="116">
        <v>41.955374335989397</v>
      </c>
      <c r="C1588" s="116">
        <v>41.946231739707798</v>
      </c>
      <c r="D1588" s="116">
        <v>41.141683266932297</v>
      </c>
      <c r="E1588" s="116">
        <v>41.946231739707798</v>
      </c>
      <c r="F1588" s="116">
        <v>45.88</v>
      </c>
      <c r="G1588">
        <v>3637806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45216</v>
      </c>
      <c r="B1589" s="116">
        <v>43.655897244355899</v>
      </c>
      <c r="C1589" s="116">
        <v>39.852577191235099</v>
      </c>
      <c r="D1589" s="116">
        <v>39.852577191235099</v>
      </c>
      <c r="E1589" s="116">
        <v>42.970202523240403</v>
      </c>
      <c r="F1589" s="116">
        <v>43.59</v>
      </c>
      <c r="G1589">
        <v>4618587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45217</v>
      </c>
      <c r="B1590" s="116">
        <v>37.868633798140799</v>
      </c>
      <c r="C1590" s="116">
        <v>37.868633798140799</v>
      </c>
      <c r="D1590" s="116">
        <v>37.868633798140799</v>
      </c>
      <c r="E1590" s="116">
        <v>37.868633798140799</v>
      </c>
      <c r="F1590" s="116">
        <v>41.42</v>
      </c>
      <c r="G1590">
        <v>726267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45218</v>
      </c>
      <c r="B1591" s="116">
        <v>39.761151228419699</v>
      </c>
      <c r="C1591" s="116">
        <v>39.733723439575002</v>
      </c>
      <c r="D1591" s="116">
        <v>35.976116367861898</v>
      </c>
      <c r="E1591" s="116">
        <v>35.976116367861898</v>
      </c>
      <c r="F1591" s="116">
        <v>43.46</v>
      </c>
      <c r="G1591">
        <v>8351172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45219</v>
      </c>
      <c r="B1592" s="116">
        <v>41.5531000996016</v>
      </c>
      <c r="C1592" s="116">
        <v>39.560014110225801</v>
      </c>
      <c r="D1592" s="116">
        <v>38.536043326693203</v>
      </c>
      <c r="E1592" s="116">
        <v>39.678867861885799</v>
      </c>
      <c r="F1592" s="116">
        <v>43.27</v>
      </c>
      <c r="G1592">
        <v>4608996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45222</v>
      </c>
      <c r="B1593" s="116">
        <v>41.095970285524601</v>
      </c>
      <c r="C1593" s="116">
        <v>37.585213313413</v>
      </c>
      <c r="D1593" s="116">
        <v>37.585213313413</v>
      </c>
      <c r="E1593" s="116">
        <v>39.5782993027888</v>
      </c>
      <c r="F1593" s="116">
        <v>41.11</v>
      </c>
      <c r="G1593">
        <v>1367461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45224</v>
      </c>
      <c r="B1594" s="116">
        <v>38.344048804780897</v>
      </c>
      <c r="C1594" s="116">
        <v>35.848120019920302</v>
      </c>
      <c r="D1594" s="116">
        <v>35.710981075697198</v>
      </c>
      <c r="E1594" s="116">
        <v>35.793264442231099</v>
      </c>
      <c r="F1594" s="116">
        <v>39.21</v>
      </c>
      <c r="G1594">
        <v>2104097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45225</v>
      </c>
      <c r="B1595" s="116">
        <v>37.640068891102302</v>
      </c>
      <c r="C1595" s="116">
        <v>37.612641102257598</v>
      </c>
      <c r="D1595" s="116">
        <v>34.0561711487384</v>
      </c>
      <c r="E1595" s="116">
        <v>35.710981075697198</v>
      </c>
      <c r="F1595" s="116">
        <v>41.14</v>
      </c>
      <c r="G1595">
        <v>3511903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45226</v>
      </c>
      <c r="B1596" s="116">
        <v>39.2948788180611</v>
      </c>
      <c r="C1596" s="116">
        <v>37.466359561753002</v>
      </c>
      <c r="D1596" s="116">
        <v>37.073227921646698</v>
      </c>
      <c r="E1596" s="116">
        <v>39.2948788180611</v>
      </c>
      <c r="F1596" s="116">
        <v>40.98</v>
      </c>
      <c r="G1596">
        <v>1893221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45229</v>
      </c>
      <c r="B1597" s="116">
        <v>38.353191401062404</v>
      </c>
      <c r="C1597" s="116">
        <v>36.552099933598903</v>
      </c>
      <c r="D1597" s="116">
        <v>36.113255312085002</v>
      </c>
      <c r="E1597" s="116">
        <v>37.466359561753002</v>
      </c>
      <c r="F1597" s="116">
        <v>39.979999999999997</v>
      </c>
      <c r="G1597">
        <v>851321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45230</v>
      </c>
      <c r="B1598" s="116">
        <v>37.484644754316101</v>
      </c>
      <c r="C1598" s="116">
        <v>36.643525896414303</v>
      </c>
      <c r="D1598" s="116">
        <v>35.427560590969499</v>
      </c>
      <c r="E1598" s="116">
        <v>36.552099933598903</v>
      </c>
      <c r="F1598" s="116">
        <v>40.08</v>
      </c>
      <c r="G1598">
        <v>1738293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45231</v>
      </c>
      <c r="B1599" s="116">
        <v>36.643525896414303</v>
      </c>
      <c r="C1599" s="116">
        <v>35.994401560424997</v>
      </c>
      <c r="D1599" s="116">
        <v>35.656125498008002</v>
      </c>
      <c r="E1599" s="116">
        <v>36.643525896414303</v>
      </c>
      <c r="F1599" s="116">
        <v>39.369999999999997</v>
      </c>
      <c r="G1599">
        <v>993352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45232</v>
      </c>
      <c r="B1600" s="116">
        <v>36.9452315737052</v>
      </c>
      <c r="C1600" s="116">
        <v>36.3143924302789</v>
      </c>
      <c r="D1600" s="116">
        <v>35.473273572377202</v>
      </c>
      <c r="E1600" s="116">
        <v>35.473273572377202</v>
      </c>
      <c r="F1600" s="116">
        <v>39.72</v>
      </c>
      <c r="G1600">
        <v>622934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45233</v>
      </c>
      <c r="B1601" s="116">
        <v>37.484644754316101</v>
      </c>
      <c r="C1601" s="116">
        <v>36.122397908366501</v>
      </c>
      <c r="D1601" s="116">
        <v>35.656125498008002</v>
      </c>
      <c r="E1601" s="116">
        <v>36.3143924302789</v>
      </c>
      <c r="F1601" s="116">
        <v>39.51</v>
      </c>
      <c r="G1601">
        <v>2219535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45236</v>
      </c>
      <c r="B1602" s="116">
        <v>36.936088977423601</v>
      </c>
      <c r="C1602" s="116">
        <v>35.912118193891096</v>
      </c>
      <c r="D1602" s="116">
        <v>34.741865869853903</v>
      </c>
      <c r="E1602" s="116">
        <v>36.890375996015898</v>
      </c>
      <c r="F1602" s="116">
        <v>39.28</v>
      </c>
      <c r="G1602">
        <v>1820514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45237</v>
      </c>
      <c r="B1603" s="116">
        <v>36.570385126162002</v>
      </c>
      <c r="C1603" s="116">
        <v>35.162425298804799</v>
      </c>
      <c r="D1603" s="116">
        <v>34.376162018592296</v>
      </c>
      <c r="E1603" s="116">
        <v>36.570385126162002</v>
      </c>
      <c r="F1603" s="116">
        <v>38.46</v>
      </c>
      <c r="G1603">
        <v>1290262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45238</v>
      </c>
      <c r="B1604" s="116">
        <v>35.610412516600299</v>
      </c>
      <c r="C1604" s="116">
        <v>35.180710491367897</v>
      </c>
      <c r="D1604" s="116">
        <v>34.467587981407704</v>
      </c>
      <c r="E1604" s="116">
        <v>35.162425298804799</v>
      </c>
      <c r="F1604" s="116">
        <v>38.479999999999997</v>
      </c>
      <c r="G1604">
        <v>1020270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45239</v>
      </c>
      <c r="B1605" s="116">
        <v>35.198995683930903</v>
      </c>
      <c r="C1605" s="116">
        <v>34.924717795484703</v>
      </c>
      <c r="D1605" s="116">
        <v>34.741865869853903</v>
      </c>
      <c r="E1605" s="116">
        <v>35.107569721115503</v>
      </c>
      <c r="F1605" s="116">
        <v>38.200000000000003</v>
      </c>
      <c r="G1605">
        <v>595020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45240</v>
      </c>
      <c r="B1606" s="116">
        <v>35.381847609561802</v>
      </c>
      <c r="C1606" s="116">
        <v>34.9704307768924</v>
      </c>
      <c r="D1606" s="116">
        <v>34.284736055776897</v>
      </c>
      <c r="E1606" s="116">
        <v>34.741865869853903</v>
      </c>
      <c r="F1606" s="116">
        <v>38.25</v>
      </c>
      <c r="G1606">
        <v>501859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45242</v>
      </c>
      <c r="B1607" s="116">
        <v>35.976116367861898</v>
      </c>
      <c r="C1607" s="116">
        <v>35.125854913678602</v>
      </c>
      <c r="D1607" s="116">
        <v>34.284736055776897</v>
      </c>
      <c r="E1607" s="116">
        <v>35.884690405046499</v>
      </c>
      <c r="F1607" s="116">
        <v>38.42</v>
      </c>
      <c r="G1607">
        <v>502091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45243</v>
      </c>
      <c r="B1608" s="116">
        <v>35.701838479415699</v>
      </c>
      <c r="C1608" s="116">
        <v>34.714438081009298</v>
      </c>
      <c r="D1608" s="116">
        <v>34.0561711487384</v>
      </c>
      <c r="E1608" s="116">
        <v>35.701838479415699</v>
      </c>
      <c r="F1608" s="116">
        <v>37.97</v>
      </c>
      <c r="G1608">
        <v>680353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45245</v>
      </c>
      <c r="B1609" s="116">
        <v>35.884690405046499</v>
      </c>
      <c r="C1609" s="116">
        <v>35.043571547144801</v>
      </c>
      <c r="D1609" s="116">
        <v>34.6870102921647</v>
      </c>
      <c r="E1609" s="116">
        <v>35.290421646746402</v>
      </c>
      <c r="F1609" s="116">
        <v>38.33</v>
      </c>
      <c r="G1609">
        <v>1099819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45246</v>
      </c>
      <c r="B1610" s="116">
        <v>36.341820219123498</v>
      </c>
      <c r="C1610" s="116">
        <v>36.021829349269602</v>
      </c>
      <c r="D1610" s="116">
        <v>33.388761620185903</v>
      </c>
      <c r="E1610" s="116">
        <v>35.0618567397078</v>
      </c>
      <c r="F1610" s="116">
        <v>39.4</v>
      </c>
      <c r="G1610">
        <v>1694388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45247</v>
      </c>
      <c r="B1611" s="116">
        <v>36.469816567065102</v>
      </c>
      <c r="C1611" s="116">
        <v>35.710981075697198</v>
      </c>
      <c r="D1611" s="116">
        <v>35.564699535192602</v>
      </c>
      <c r="E1611" s="116">
        <v>36.469816567065102</v>
      </c>
      <c r="F1611" s="116">
        <v>39.06</v>
      </c>
      <c r="G1611">
        <v>1337964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45250</v>
      </c>
      <c r="B1612" s="116">
        <v>36.515529548472799</v>
      </c>
      <c r="C1612" s="116">
        <v>35.564699535192602</v>
      </c>
      <c r="D1612" s="116">
        <v>35.198995683930903</v>
      </c>
      <c r="E1612" s="116">
        <v>36.387533200531202</v>
      </c>
      <c r="F1612" s="116">
        <v>38.9</v>
      </c>
      <c r="G1612">
        <v>519829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45251</v>
      </c>
      <c r="B1613" s="116">
        <v>36.6800962815405</v>
      </c>
      <c r="C1613" s="116">
        <v>35.765836653386501</v>
      </c>
      <c r="D1613" s="116">
        <v>35.299564243027902</v>
      </c>
      <c r="E1613" s="116">
        <v>35.518986553784899</v>
      </c>
      <c r="F1613" s="116">
        <v>39.119999999999997</v>
      </c>
      <c r="G1613">
        <v>614652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45252</v>
      </c>
      <c r="B1614" s="116">
        <v>36.296107237715802</v>
      </c>
      <c r="C1614" s="116">
        <v>34.668725099601602</v>
      </c>
      <c r="D1614" s="116">
        <v>34.010458167330697</v>
      </c>
      <c r="E1614" s="116">
        <v>36.296107237715802</v>
      </c>
      <c r="F1614" s="116">
        <v>37.92</v>
      </c>
      <c r="G1614">
        <v>988903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45253</v>
      </c>
      <c r="B1615" s="116">
        <v>35.1532827025232</v>
      </c>
      <c r="C1615" s="116">
        <v>34.193310092961497</v>
      </c>
      <c r="D1615" s="116">
        <v>34.010458167330697</v>
      </c>
      <c r="E1615" s="116">
        <v>34.284736055776897</v>
      </c>
      <c r="F1615" s="116">
        <v>37.4</v>
      </c>
      <c r="G1615">
        <v>608707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45254</v>
      </c>
      <c r="B1616" s="116">
        <v>34.5133009628154</v>
      </c>
      <c r="C1616" s="116">
        <v>34.321306440903101</v>
      </c>
      <c r="D1616" s="116">
        <v>33.013915172642797</v>
      </c>
      <c r="E1616" s="116">
        <v>33.013915172642797</v>
      </c>
      <c r="F1616" s="116">
        <v>37.54</v>
      </c>
      <c r="G1616">
        <v>431634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45258</v>
      </c>
      <c r="B1617" s="116">
        <v>34.741865869853903</v>
      </c>
      <c r="C1617" s="116">
        <v>32.940774402390403</v>
      </c>
      <c r="D1617" s="116">
        <v>32.821920650730398</v>
      </c>
      <c r="E1617" s="116">
        <v>34.650439907038503</v>
      </c>
      <c r="F1617" s="116">
        <v>36.03</v>
      </c>
      <c r="G1617">
        <v>1806085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45259</v>
      </c>
      <c r="B1618" s="116">
        <v>34.586441733067701</v>
      </c>
      <c r="C1618" s="116">
        <v>34.586441733067701</v>
      </c>
      <c r="D1618" s="116">
        <v>32.730494687914998</v>
      </c>
      <c r="E1618" s="116">
        <v>33.178481905710498</v>
      </c>
      <c r="F1618" s="116">
        <v>37.83</v>
      </c>
      <c r="G1618">
        <v>3276789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45260</v>
      </c>
      <c r="B1619" s="116">
        <v>35.007001162018597</v>
      </c>
      <c r="C1619" s="116">
        <v>34.257308266932299</v>
      </c>
      <c r="D1619" s="116">
        <v>33.004772576361198</v>
      </c>
      <c r="E1619" s="116">
        <v>34.559013944223103</v>
      </c>
      <c r="F1619" s="116">
        <v>37.47</v>
      </c>
      <c r="G1619">
        <v>3267948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45261</v>
      </c>
      <c r="B1620" s="116">
        <v>35.9669737715803</v>
      </c>
      <c r="C1620" s="116">
        <v>35.9669737715803</v>
      </c>
      <c r="D1620" s="116">
        <v>34.3304490371846</v>
      </c>
      <c r="E1620" s="116">
        <v>34.741865869853903</v>
      </c>
      <c r="F1620" s="116">
        <v>39.340000000000003</v>
      </c>
      <c r="G1620">
        <v>1109629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45264</v>
      </c>
      <c r="B1621" s="116">
        <v>37.7589226427623</v>
      </c>
      <c r="C1621" s="116">
        <v>37.6674966799469</v>
      </c>
      <c r="D1621" s="116">
        <v>35.747551460823402</v>
      </c>
      <c r="E1621" s="116">
        <v>37.7589226427623</v>
      </c>
      <c r="F1621" s="116">
        <v>41.2</v>
      </c>
      <c r="G1621">
        <v>1949713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45265</v>
      </c>
      <c r="B1622" s="116">
        <v>39.550871513944202</v>
      </c>
      <c r="C1622" s="116">
        <v>39.550871513944202</v>
      </c>
      <c r="D1622" s="116">
        <v>36.305249833997301</v>
      </c>
      <c r="E1622" s="116">
        <v>37.6674966799469</v>
      </c>
      <c r="F1622" s="116">
        <v>43.26</v>
      </c>
      <c r="G1622">
        <v>2725696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45266</v>
      </c>
      <c r="B1623" s="116">
        <v>41.507387118193897</v>
      </c>
      <c r="C1623" s="116">
        <v>41.1051128818061</v>
      </c>
      <c r="D1623" s="116">
        <v>39.614869687914997</v>
      </c>
      <c r="E1623" s="116">
        <v>40.218281042496699</v>
      </c>
      <c r="F1623" s="116">
        <v>44.96</v>
      </c>
      <c r="G1623">
        <v>2872749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45267</v>
      </c>
      <c r="B1624" s="116">
        <v>42.787350597609603</v>
      </c>
      <c r="C1624" s="116">
        <v>41.507387118193897</v>
      </c>
      <c r="D1624" s="116">
        <v>41.233109229747697</v>
      </c>
      <c r="E1624" s="116">
        <v>42.055942895086297</v>
      </c>
      <c r="F1624" s="116">
        <v>45.4</v>
      </c>
      <c r="G1624">
        <v>1741671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45268</v>
      </c>
      <c r="B1625" s="116">
        <v>42.686782038512597</v>
      </c>
      <c r="C1625" s="116">
        <v>39.5782993027888</v>
      </c>
      <c r="D1625" s="116">
        <v>39.432017762284197</v>
      </c>
      <c r="E1625" s="116">
        <v>42.055942895086297</v>
      </c>
      <c r="F1625" s="116">
        <v>43.29</v>
      </c>
      <c r="G1625">
        <v>1897349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45271</v>
      </c>
      <c r="B1626" s="116">
        <v>41.141683266932297</v>
      </c>
      <c r="C1626" s="116">
        <v>39.322306606905698</v>
      </c>
      <c r="D1626" s="116">
        <v>38.3989043824701</v>
      </c>
      <c r="E1626" s="116">
        <v>40.574842297476799</v>
      </c>
      <c r="F1626" s="116">
        <v>43.01</v>
      </c>
      <c r="G1626">
        <v>1066834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45272</v>
      </c>
      <c r="B1627" s="116">
        <v>39.861719787516599</v>
      </c>
      <c r="C1627" s="116">
        <v>38.298335823373201</v>
      </c>
      <c r="D1627" s="116">
        <v>37.9509171646746</v>
      </c>
      <c r="E1627" s="116">
        <v>39.861719787516599</v>
      </c>
      <c r="F1627" s="116">
        <v>41.89</v>
      </c>
      <c r="G1627">
        <v>978785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45273</v>
      </c>
      <c r="B1628" s="116">
        <v>39.221738047808799</v>
      </c>
      <c r="C1628" s="116">
        <v>37.338363213811398</v>
      </c>
      <c r="D1628" s="116">
        <v>36.981801958831298</v>
      </c>
      <c r="E1628" s="116">
        <v>38.801178618857897</v>
      </c>
      <c r="F1628" s="116">
        <v>40.840000000000003</v>
      </c>
      <c r="G1628">
        <v>645618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45274</v>
      </c>
      <c r="B1629" s="116">
        <v>38.078913512616197</v>
      </c>
      <c r="C1629" s="116">
        <v>37.054942729083699</v>
      </c>
      <c r="D1629" s="116">
        <v>36.478959163346602</v>
      </c>
      <c r="E1629" s="116">
        <v>37.338363213811398</v>
      </c>
      <c r="F1629" s="116">
        <v>40.53</v>
      </c>
      <c r="G1629">
        <v>805710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45275</v>
      </c>
      <c r="B1630" s="116">
        <v>37.9509171646746</v>
      </c>
      <c r="C1630" s="116">
        <v>36.186396082337303</v>
      </c>
      <c r="D1630" s="116">
        <v>36.067542330677298</v>
      </c>
      <c r="E1630" s="116">
        <v>37.301792828685301</v>
      </c>
      <c r="F1630" s="116">
        <v>39.58</v>
      </c>
      <c r="G1630">
        <v>1166114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45278</v>
      </c>
      <c r="B1631" s="116">
        <v>37.393218791500701</v>
      </c>
      <c r="C1631" s="116">
        <v>36.808092629482097</v>
      </c>
      <c r="D1631" s="116">
        <v>36.186396082337303</v>
      </c>
      <c r="E1631" s="116">
        <v>36.798950033200498</v>
      </c>
      <c r="F1631" s="116">
        <v>40.26</v>
      </c>
      <c r="G1631">
        <v>655047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45279</v>
      </c>
      <c r="B1632" s="116">
        <v>37.274365039840603</v>
      </c>
      <c r="C1632" s="116">
        <v>36.707524070385098</v>
      </c>
      <c r="D1632" s="116">
        <v>36.433246181938898</v>
      </c>
      <c r="E1632" s="116">
        <v>36.890375996015898</v>
      </c>
      <c r="F1632" s="116">
        <v>40.15</v>
      </c>
      <c r="G1632">
        <v>533100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45280</v>
      </c>
      <c r="B1633" s="116">
        <v>36.981801958831298</v>
      </c>
      <c r="C1633" s="116">
        <v>34.879004814077</v>
      </c>
      <c r="D1633" s="116">
        <v>34.879004814077</v>
      </c>
      <c r="E1633" s="116">
        <v>36.707524070385098</v>
      </c>
      <c r="F1633" s="116">
        <v>38.15</v>
      </c>
      <c r="G1633">
        <v>1188634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45281</v>
      </c>
      <c r="B1634" s="116">
        <v>35.107569721115503</v>
      </c>
      <c r="C1634" s="116">
        <v>34.0653137450199</v>
      </c>
      <c r="D1634" s="116">
        <v>33.141911520584301</v>
      </c>
      <c r="E1634" s="116">
        <v>33.141911520584301</v>
      </c>
      <c r="F1634" s="116">
        <v>37.26</v>
      </c>
      <c r="G1634">
        <v>738146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45282</v>
      </c>
      <c r="B1635" s="116">
        <v>35.765836653386501</v>
      </c>
      <c r="C1635" s="116">
        <v>35.765836653386501</v>
      </c>
      <c r="D1635" s="116">
        <v>33.836748837981403</v>
      </c>
      <c r="E1635" s="116">
        <v>35.098427124833997</v>
      </c>
      <c r="F1635" s="116">
        <v>39.119999999999997</v>
      </c>
      <c r="G1635">
        <v>472470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45286</v>
      </c>
      <c r="B1636" s="116">
        <v>37.393218791500701</v>
      </c>
      <c r="C1636" s="116">
        <v>36.442388778220497</v>
      </c>
      <c r="D1636" s="116">
        <v>35.765836653386501</v>
      </c>
      <c r="E1636" s="116">
        <v>36.113255312085002</v>
      </c>
      <c r="F1636" s="116">
        <v>39.86</v>
      </c>
      <c r="G1636">
        <v>518111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45287</v>
      </c>
      <c r="B1637" s="116">
        <v>36.616098107569698</v>
      </c>
      <c r="C1637" s="116">
        <v>35.674410690571101</v>
      </c>
      <c r="D1637" s="116">
        <v>35.198995683930903</v>
      </c>
      <c r="E1637" s="116">
        <v>36.616098107569698</v>
      </c>
      <c r="F1637" s="116">
        <v>39.020000000000003</v>
      </c>
      <c r="G1637">
        <v>523425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45288</v>
      </c>
      <c r="B1638" s="116">
        <v>36.021829349269602</v>
      </c>
      <c r="C1638" s="116">
        <v>35.281279050464804</v>
      </c>
      <c r="D1638" s="116">
        <v>34.796721447543199</v>
      </c>
      <c r="E1638" s="116">
        <v>36.021829349269602</v>
      </c>
      <c r="F1638" s="116">
        <v>38.590000000000003</v>
      </c>
      <c r="G1638">
        <v>438028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45289</v>
      </c>
      <c r="B1639" s="116">
        <v>35.857262616201901</v>
      </c>
      <c r="C1639" s="116">
        <v>34.851577025232402</v>
      </c>
      <c r="D1639" s="116">
        <v>34.385304614873803</v>
      </c>
      <c r="E1639" s="116">
        <v>35.838977423638802</v>
      </c>
      <c r="F1639" s="116">
        <v>38.119999999999997</v>
      </c>
      <c r="G1639">
        <v>765554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45292</v>
      </c>
      <c r="B1640" s="116">
        <v>35.656125498008002</v>
      </c>
      <c r="C1640" s="116">
        <v>34.805864043824698</v>
      </c>
      <c r="D1640" s="116">
        <v>34.568156540504702</v>
      </c>
      <c r="E1640" s="116">
        <v>35.381847609561802</v>
      </c>
      <c r="F1640" s="116">
        <v>38.07</v>
      </c>
      <c r="G1640">
        <v>730030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45293</v>
      </c>
      <c r="B1641" s="116">
        <v>35.564699535192602</v>
      </c>
      <c r="C1641" s="116">
        <v>33.717895086321398</v>
      </c>
      <c r="D1641" s="116">
        <v>33.589898738379802</v>
      </c>
      <c r="E1641" s="116">
        <v>35.189853087649396</v>
      </c>
      <c r="F1641" s="116">
        <v>36.880000000000003</v>
      </c>
      <c r="G1641">
        <v>1218060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45294</v>
      </c>
      <c r="B1642" s="116">
        <v>34.257308266932299</v>
      </c>
      <c r="C1642" s="116">
        <v>33.498472775564402</v>
      </c>
      <c r="D1642" s="116">
        <v>33.187624501991998</v>
      </c>
      <c r="E1642" s="116">
        <v>33.827606241699897</v>
      </c>
      <c r="F1642" s="116">
        <v>36.64</v>
      </c>
      <c r="G1642">
        <v>886507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45295</v>
      </c>
      <c r="B1643" s="116">
        <v>34.924717795484703</v>
      </c>
      <c r="C1643" s="116">
        <v>33.6996098937583</v>
      </c>
      <c r="D1643" s="116">
        <v>32.959059594953501</v>
      </c>
      <c r="E1643" s="116">
        <v>33.6904672974768</v>
      </c>
      <c r="F1643" s="116">
        <v>36.86</v>
      </c>
      <c r="G1643">
        <v>819518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45296</v>
      </c>
      <c r="B1644" s="116">
        <v>34.284736055776897</v>
      </c>
      <c r="C1644" s="116">
        <v>33.827606241699897</v>
      </c>
      <c r="D1644" s="116">
        <v>33.370476427622798</v>
      </c>
      <c r="E1644" s="116">
        <v>34.284736055776897</v>
      </c>
      <c r="F1644" s="116">
        <v>37</v>
      </c>
      <c r="G1644">
        <v>700361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45299</v>
      </c>
      <c r="B1645" s="116">
        <v>35.381847609561802</v>
      </c>
      <c r="C1645" s="116">
        <v>33.1510541168659</v>
      </c>
      <c r="D1645" s="116">
        <v>32.913346613545798</v>
      </c>
      <c r="E1645" s="116">
        <v>35.198995683930903</v>
      </c>
      <c r="F1645" s="116">
        <v>36.26</v>
      </c>
      <c r="G1645">
        <v>804097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45300</v>
      </c>
      <c r="B1646" s="116">
        <v>34.2390230743692</v>
      </c>
      <c r="C1646" s="116">
        <v>32.099655544488698</v>
      </c>
      <c r="D1646" s="116">
        <v>31.596812749003998</v>
      </c>
      <c r="E1646" s="116">
        <v>33.233337483399701</v>
      </c>
      <c r="F1646" s="116">
        <v>35.11</v>
      </c>
      <c r="G1646">
        <v>1253637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45301</v>
      </c>
      <c r="B1647" s="116">
        <v>32.913346613545798</v>
      </c>
      <c r="C1647" s="116">
        <v>31.871090637450202</v>
      </c>
      <c r="D1647" s="116">
        <v>31.633383134130099</v>
      </c>
      <c r="E1647" s="116">
        <v>32.6207835325365</v>
      </c>
      <c r="F1647" s="116">
        <v>34.86</v>
      </c>
      <c r="G1647">
        <v>837254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45302</v>
      </c>
      <c r="B1648" s="116">
        <v>32.913346613545798</v>
      </c>
      <c r="C1648" s="116">
        <v>32.556785358565698</v>
      </c>
      <c r="D1648" s="116">
        <v>31.916803618857902</v>
      </c>
      <c r="E1648" s="116">
        <v>32.4287890106242</v>
      </c>
      <c r="F1648" s="116">
        <v>35.61</v>
      </c>
      <c r="G1648">
        <v>896236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45303</v>
      </c>
      <c r="B1649" s="116">
        <v>33.471044986719797</v>
      </c>
      <c r="C1649" s="116">
        <v>33.1601967131474</v>
      </c>
      <c r="D1649" s="116">
        <v>32.639068725099598</v>
      </c>
      <c r="E1649" s="116">
        <v>33.1510541168659</v>
      </c>
      <c r="F1649" s="116">
        <v>36.270000000000003</v>
      </c>
      <c r="G1649">
        <v>579167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45306</v>
      </c>
      <c r="B1650" s="116">
        <v>33.818463645418298</v>
      </c>
      <c r="C1650" s="116">
        <v>32.812778054448899</v>
      </c>
      <c r="D1650" s="116">
        <v>32.547642762284198</v>
      </c>
      <c r="E1650" s="116">
        <v>33.818463645418298</v>
      </c>
      <c r="F1650" s="116">
        <v>35.89</v>
      </c>
      <c r="G1650">
        <v>673038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45307</v>
      </c>
      <c r="B1651" s="116">
        <v>33.3430486387782</v>
      </c>
      <c r="C1651" s="116">
        <v>32.6207835325365</v>
      </c>
      <c r="D1651" s="116">
        <v>31.999086985391799</v>
      </c>
      <c r="E1651" s="116">
        <v>33.3430486387782</v>
      </c>
      <c r="F1651" s="116">
        <v>35.68</v>
      </c>
      <c r="G1651">
        <v>604110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45308</v>
      </c>
      <c r="B1652" s="116">
        <v>33.178481905710498</v>
      </c>
      <c r="C1652" s="116">
        <v>32.785350265604301</v>
      </c>
      <c r="D1652" s="116">
        <v>32.090512948207198</v>
      </c>
      <c r="E1652" s="116">
        <v>32.730494687914998</v>
      </c>
      <c r="F1652" s="116">
        <v>35.86</v>
      </c>
      <c r="G1652">
        <v>629600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45309</v>
      </c>
      <c r="B1653" s="116">
        <v>33.178481905710498</v>
      </c>
      <c r="C1653" s="116">
        <v>32.017372177954798</v>
      </c>
      <c r="D1653" s="116">
        <v>31.953374003984099</v>
      </c>
      <c r="E1653" s="116">
        <v>33.178481905710498</v>
      </c>
      <c r="F1653" s="116">
        <v>35.020000000000003</v>
      </c>
      <c r="G1653">
        <v>999655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45310</v>
      </c>
      <c r="B1654" s="116">
        <v>32.904204017264298</v>
      </c>
      <c r="C1654" s="116">
        <v>31.953374003984099</v>
      </c>
      <c r="D1654" s="116">
        <v>31.816235059760999</v>
      </c>
      <c r="E1654" s="116">
        <v>32.181938911022598</v>
      </c>
      <c r="F1654" s="116">
        <v>34.950000000000003</v>
      </c>
      <c r="G1654">
        <v>1109326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45311</v>
      </c>
      <c r="B1655" s="116">
        <v>33.004772576361198</v>
      </c>
      <c r="C1655" s="116">
        <v>32.172796314740999</v>
      </c>
      <c r="D1655" s="116">
        <v>31.7065239043825</v>
      </c>
      <c r="E1655" s="116">
        <v>32.629926128818099</v>
      </c>
      <c r="F1655" s="116">
        <v>35.19</v>
      </c>
      <c r="G1655">
        <v>1358883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45314</v>
      </c>
      <c r="B1656" s="116">
        <v>33.708752490039799</v>
      </c>
      <c r="C1656" s="116">
        <v>32.227651892430302</v>
      </c>
      <c r="D1656" s="116">
        <v>31.816235059760999</v>
      </c>
      <c r="E1656" s="116">
        <v>33.370476427622798</v>
      </c>
      <c r="F1656" s="116">
        <v>35.25</v>
      </c>
      <c r="G1656">
        <v>1075869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45315</v>
      </c>
      <c r="B1657" s="116">
        <v>33.836748837981403</v>
      </c>
      <c r="C1657" s="116">
        <v>33.836748837981403</v>
      </c>
      <c r="D1657" s="116">
        <v>33.1601967131474</v>
      </c>
      <c r="E1657" s="116">
        <v>33.836748837981403</v>
      </c>
      <c r="F1657" s="116">
        <v>37.01</v>
      </c>
      <c r="G1657">
        <v>2445646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45316</v>
      </c>
      <c r="B1658" s="116">
        <v>35.528129150066398</v>
      </c>
      <c r="C1658" s="116">
        <v>35.528129150066398</v>
      </c>
      <c r="D1658" s="116">
        <v>34.741865869853903</v>
      </c>
      <c r="E1658" s="116">
        <v>35.381847609561802</v>
      </c>
      <c r="F1658" s="116">
        <v>38.86</v>
      </c>
      <c r="G1658">
        <v>4671931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45320</v>
      </c>
      <c r="B1659" s="116">
        <v>37.210366865869901</v>
      </c>
      <c r="C1659" s="116">
        <v>35.299564243027902</v>
      </c>
      <c r="D1659" s="116">
        <v>35.016143758300103</v>
      </c>
      <c r="E1659" s="116">
        <v>36.5063869521912</v>
      </c>
      <c r="F1659" s="116">
        <v>38.61</v>
      </c>
      <c r="G1659">
        <v>3635416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45321</v>
      </c>
      <c r="B1660" s="116">
        <v>35.646982901726403</v>
      </c>
      <c r="C1660" s="116">
        <v>34.266450863213798</v>
      </c>
      <c r="D1660" s="116">
        <v>33.964745185923</v>
      </c>
      <c r="E1660" s="116">
        <v>35.646982901726403</v>
      </c>
      <c r="F1660" s="116">
        <v>37.479999999999997</v>
      </c>
      <c r="G1660">
        <v>1650099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45322</v>
      </c>
      <c r="B1661" s="116">
        <v>35.976116367861898</v>
      </c>
      <c r="C1661" s="116">
        <v>35.976116367861898</v>
      </c>
      <c r="D1661" s="116">
        <v>33.8733192231076</v>
      </c>
      <c r="E1661" s="116">
        <v>34.641297310756997</v>
      </c>
      <c r="F1661" s="116">
        <v>39.35</v>
      </c>
      <c r="G1661">
        <v>3699753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45323</v>
      </c>
      <c r="B1662" s="116">
        <v>36.753237051792802</v>
      </c>
      <c r="C1662" s="116">
        <v>35.0527141434263</v>
      </c>
      <c r="D1662" s="116">
        <v>34.677867695883101</v>
      </c>
      <c r="E1662" s="116">
        <v>36.753237051792802</v>
      </c>
      <c r="F1662" s="116">
        <v>38.340000000000003</v>
      </c>
      <c r="G1662">
        <v>1407002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45324</v>
      </c>
      <c r="B1663" s="116">
        <v>35.198995683930903</v>
      </c>
      <c r="C1663" s="116">
        <v>34.175024900398398</v>
      </c>
      <c r="D1663" s="116">
        <v>34.0561711487384</v>
      </c>
      <c r="E1663" s="116">
        <v>35.189853087649396</v>
      </c>
      <c r="F1663" s="116">
        <v>37.380000000000003</v>
      </c>
      <c r="G1663">
        <v>1307144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45327</v>
      </c>
      <c r="B1664" s="116">
        <v>35.198995683930903</v>
      </c>
      <c r="C1664" s="116">
        <v>33.955602589641401</v>
      </c>
      <c r="D1664" s="116">
        <v>33.827606241699897</v>
      </c>
      <c r="E1664" s="116">
        <v>35.0618567397078</v>
      </c>
      <c r="F1664" s="116">
        <v>37.14</v>
      </c>
      <c r="G1664">
        <v>1356398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45328</v>
      </c>
      <c r="B1665" s="116">
        <v>35.646982901726403</v>
      </c>
      <c r="C1665" s="116">
        <v>35.646982901726403</v>
      </c>
      <c r="D1665" s="116">
        <v>33.845891434263002</v>
      </c>
      <c r="E1665" s="116">
        <v>33.955602589641401</v>
      </c>
      <c r="F1665" s="116">
        <v>38.99</v>
      </c>
      <c r="G1665">
        <v>1522219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45329</v>
      </c>
      <c r="B1666" s="116">
        <v>37.393218791500701</v>
      </c>
      <c r="C1666" s="116">
        <v>35.5007013612218</v>
      </c>
      <c r="D1666" s="116">
        <v>35.198995683930903</v>
      </c>
      <c r="E1666" s="116">
        <v>37.393218791500701</v>
      </c>
      <c r="F1666" s="116">
        <v>38.83</v>
      </c>
      <c r="G1666">
        <v>2196431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45330</v>
      </c>
      <c r="B1667" s="116">
        <v>36.113255312085002</v>
      </c>
      <c r="C1667" s="116">
        <v>34.348734229747699</v>
      </c>
      <c r="D1667" s="116">
        <v>34.284736055776897</v>
      </c>
      <c r="E1667" s="116">
        <v>36.021829349269602</v>
      </c>
      <c r="F1667" s="116">
        <v>37.57</v>
      </c>
      <c r="G1667">
        <v>1079417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45331</v>
      </c>
      <c r="B1668" s="116">
        <v>34.9704307768924</v>
      </c>
      <c r="C1668" s="116">
        <v>33.891604415670599</v>
      </c>
      <c r="D1668" s="116">
        <v>33.599041334661401</v>
      </c>
      <c r="E1668" s="116">
        <v>34.723580677290798</v>
      </c>
      <c r="F1668" s="116">
        <v>37.07</v>
      </c>
      <c r="G1668">
        <v>1016753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45334</v>
      </c>
      <c r="B1669" s="116">
        <v>34.549871347941597</v>
      </c>
      <c r="C1669" s="116">
        <v>33.224194887118202</v>
      </c>
      <c r="D1669" s="116">
        <v>33.004772576361198</v>
      </c>
      <c r="E1669" s="116">
        <v>34.193310092961497</v>
      </c>
      <c r="F1669" s="116">
        <v>36.340000000000003</v>
      </c>
      <c r="G1669">
        <v>1150118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45335</v>
      </c>
      <c r="B1670" s="116">
        <v>33.919032204515297</v>
      </c>
      <c r="C1670" s="116">
        <v>32.812778054448899</v>
      </c>
      <c r="D1670" s="116">
        <v>32.273364873837998</v>
      </c>
      <c r="E1670" s="116">
        <v>33.589898738379802</v>
      </c>
      <c r="F1670" s="116">
        <v>35.89</v>
      </c>
      <c r="G1670">
        <v>1112056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45336</v>
      </c>
      <c r="B1671" s="116">
        <v>33.178481905710498</v>
      </c>
      <c r="C1671" s="116">
        <v>32.419646414342601</v>
      </c>
      <c r="D1671" s="116">
        <v>31.679096115537799</v>
      </c>
      <c r="E1671" s="116">
        <v>32.730494687914998</v>
      </c>
      <c r="F1671" s="116">
        <v>35.46</v>
      </c>
      <c r="G1671">
        <v>1011657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45337</v>
      </c>
      <c r="B1672" s="116">
        <v>33.7818932602922</v>
      </c>
      <c r="C1672" s="116">
        <v>32.648211321381098</v>
      </c>
      <c r="D1672" s="116">
        <v>32.364790836653398</v>
      </c>
      <c r="E1672" s="116">
        <v>32.456216799468798</v>
      </c>
      <c r="F1672" s="116">
        <v>35.71</v>
      </c>
      <c r="G1672">
        <v>678857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45338</v>
      </c>
      <c r="B1673" s="116">
        <v>34.275593459495397</v>
      </c>
      <c r="C1673" s="116">
        <v>34.275593459495397</v>
      </c>
      <c r="D1673" s="116">
        <v>32.501929780876502</v>
      </c>
      <c r="E1673" s="116">
        <v>33.096198539176598</v>
      </c>
      <c r="F1673" s="116">
        <v>37.49</v>
      </c>
      <c r="G1673">
        <v>1270583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45341</v>
      </c>
      <c r="B1674" s="116">
        <v>35.985258964143398</v>
      </c>
      <c r="C1674" s="116">
        <v>35.921260790172603</v>
      </c>
      <c r="D1674" s="116">
        <v>34.293878652058403</v>
      </c>
      <c r="E1674" s="116">
        <v>34.293878652058403</v>
      </c>
      <c r="F1674" s="116">
        <v>39.29</v>
      </c>
      <c r="G1674">
        <v>2131193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45342</v>
      </c>
      <c r="B1675" s="116">
        <v>37.530357735723797</v>
      </c>
      <c r="C1675" s="116">
        <v>37.173796480743697</v>
      </c>
      <c r="D1675" s="116">
        <v>36.113255312085002</v>
      </c>
      <c r="E1675" s="116">
        <v>37.301792828685301</v>
      </c>
      <c r="F1675" s="116">
        <v>40.659999999999997</v>
      </c>
      <c r="G1675">
        <v>3887959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45343</v>
      </c>
      <c r="B1676" s="116">
        <v>37.9417745683931</v>
      </c>
      <c r="C1676" s="116">
        <v>36.4972443559097</v>
      </c>
      <c r="D1676" s="116">
        <v>36.113255312085002</v>
      </c>
      <c r="E1676" s="116">
        <v>37.484644754316101</v>
      </c>
      <c r="F1676" s="116">
        <v>39.92</v>
      </c>
      <c r="G1676">
        <v>2897325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45344</v>
      </c>
      <c r="B1677" s="116">
        <v>36.926946381142102</v>
      </c>
      <c r="C1677" s="116">
        <v>35.838977423638802</v>
      </c>
      <c r="D1677" s="116">
        <v>34.9704307768924</v>
      </c>
      <c r="E1677" s="116">
        <v>36.890375996015898</v>
      </c>
      <c r="F1677" s="116">
        <v>39.200000000000003</v>
      </c>
      <c r="G1677">
        <v>1120023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45345</v>
      </c>
      <c r="B1678" s="116">
        <v>36.478959163346602</v>
      </c>
      <c r="C1678" s="116">
        <v>34.7875788512616</v>
      </c>
      <c r="D1678" s="116">
        <v>34.613869521912299</v>
      </c>
      <c r="E1678" s="116">
        <v>36.478959163346602</v>
      </c>
      <c r="F1678" s="116">
        <v>38.049999999999997</v>
      </c>
      <c r="G1678">
        <v>1890780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45348</v>
      </c>
      <c r="B1679" s="116">
        <v>35.546414342629497</v>
      </c>
      <c r="C1679" s="116">
        <v>34.184167496679898</v>
      </c>
      <c r="D1679" s="116">
        <v>33.050485557768901</v>
      </c>
      <c r="E1679" s="116">
        <v>35.5098439575033</v>
      </c>
      <c r="F1679" s="116">
        <v>37.39</v>
      </c>
      <c r="G1679">
        <v>841685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45349</v>
      </c>
      <c r="B1680" s="116">
        <v>34.915575199203197</v>
      </c>
      <c r="C1680" s="116">
        <v>34.275593459495397</v>
      </c>
      <c r="D1680" s="116">
        <v>33.827606241699897</v>
      </c>
      <c r="E1680" s="116">
        <v>34.092741533864498</v>
      </c>
      <c r="F1680" s="116">
        <v>37.49</v>
      </c>
      <c r="G1680">
        <v>1286055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45350</v>
      </c>
      <c r="B1681" s="116">
        <v>35.098427124833997</v>
      </c>
      <c r="C1681" s="116">
        <v>34.037885956175302</v>
      </c>
      <c r="D1681" s="116">
        <v>33.279050464807398</v>
      </c>
      <c r="E1681" s="116">
        <v>34.741865869853903</v>
      </c>
      <c r="F1681" s="116">
        <v>37.229999999999997</v>
      </c>
      <c r="G1681">
        <v>1569051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45351</v>
      </c>
      <c r="B1682" s="116">
        <v>34.924717795484703</v>
      </c>
      <c r="C1682" s="116">
        <v>34.7784362549801</v>
      </c>
      <c r="D1682" s="116">
        <v>33.8733192231076</v>
      </c>
      <c r="E1682" s="116">
        <v>34.074456341301499</v>
      </c>
      <c r="F1682" s="116">
        <v>38.04</v>
      </c>
      <c r="G1682">
        <v>883758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45352</v>
      </c>
      <c r="B1683" s="116">
        <v>35.518986553784899</v>
      </c>
      <c r="C1683" s="116">
        <v>34.6047269256308</v>
      </c>
      <c r="D1683" s="116">
        <v>34.293878652058403</v>
      </c>
      <c r="E1683" s="116">
        <v>34.7784362549801</v>
      </c>
      <c r="F1683" s="116">
        <v>37.85</v>
      </c>
      <c r="G1683">
        <v>655282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45353</v>
      </c>
      <c r="B1684" s="116">
        <v>35.198995683930903</v>
      </c>
      <c r="C1684" s="116">
        <v>34.815006640106198</v>
      </c>
      <c r="D1684" s="116">
        <v>34.568156540504702</v>
      </c>
      <c r="E1684" s="116">
        <v>34.741865869853903</v>
      </c>
      <c r="F1684" s="116">
        <v>38.08</v>
      </c>
      <c r="G1684">
        <v>98658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45355</v>
      </c>
      <c r="B1685" s="116">
        <v>35.381847609561802</v>
      </c>
      <c r="C1685" s="116">
        <v>33.754465471447503</v>
      </c>
      <c r="D1685" s="116">
        <v>33.6904672974768</v>
      </c>
      <c r="E1685" s="116">
        <v>35.381847609561802</v>
      </c>
      <c r="F1685" s="116">
        <v>36.92</v>
      </c>
      <c r="G1685">
        <v>965585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45356</v>
      </c>
      <c r="B1686" s="116">
        <v>34.5041583665339</v>
      </c>
      <c r="C1686" s="116">
        <v>33.215052290836702</v>
      </c>
      <c r="D1686" s="116">
        <v>32.739637284196498</v>
      </c>
      <c r="E1686" s="116">
        <v>33.644754316069097</v>
      </c>
      <c r="F1686" s="116">
        <v>36.33</v>
      </c>
      <c r="G1686">
        <v>1032518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45357</v>
      </c>
      <c r="B1687" s="116">
        <v>33.187624501991998</v>
      </c>
      <c r="C1687" s="116">
        <v>32.035657370517903</v>
      </c>
      <c r="D1687" s="116">
        <v>31.5693849601594</v>
      </c>
      <c r="E1687" s="116">
        <v>33.187624501991998</v>
      </c>
      <c r="F1687" s="116">
        <v>35.04</v>
      </c>
      <c r="G1687">
        <v>908148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45358</v>
      </c>
      <c r="B1688" s="116">
        <v>32.831063247011897</v>
      </c>
      <c r="C1688" s="116">
        <v>32.099655544488698</v>
      </c>
      <c r="D1688" s="116">
        <v>31.999086985391799</v>
      </c>
      <c r="E1688" s="116">
        <v>31.999086985391799</v>
      </c>
      <c r="F1688" s="116">
        <v>35.11</v>
      </c>
      <c r="G1688">
        <v>1112875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45362</v>
      </c>
      <c r="B1689" s="116">
        <v>32.447074203187299</v>
      </c>
      <c r="C1689" s="116">
        <v>30.4997011952191</v>
      </c>
      <c r="D1689" s="116">
        <v>30.4997011952191</v>
      </c>
      <c r="E1689" s="116">
        <v>32.447074203187299</v>
      </c>
      <c r="F1689" s="116">
        <v>33.36</v>
      </c>
      <c r="G1689">
        <v>1406436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45363</v>
      </c>
      <c r="B1690" s="116">
        <v>29.8962898406375</v>
      </c>
      <c r="C1690" s="116">
        <v>28.982030212483401</v>
      </c>
      <c r="D1690" s="116">
        <v>28.982030212483401</v>
      </c>
      <c r="E1690" s="116">
        <v>29.576298970783501</v>
      </c>
      <c r="F1690" s="116">
        <v>31.7</v>
      </c>
      <c r="G1690">
        <v>2257891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45364</v>
      </c>
      <c r="B1691" s="116">
        <v>29.247165504648098</v>
      </c>
      <c r="C1691" s="116">
        <v>27.537500000000001</v>
      </c>
      <c r="D1691" s="116">
        <v>27.537500000000001</v>
      </c>
      <c r="E1691" s="116">
        <v>27.884918658698499</v>
      </c>
      <c r="F1691" s="116">
        <v>30.12</v>
      </c>
      <c r="G1691">
        <v>2013448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45365</v>
      </c>
      <c r="B1692" s="116">
        <v>28.8631764608234</v>
      </c>
      <c r="C1692" s="116">
        <v>27.3363628818061</v>
      </c>
      <c r="D1692" s="116">
        <v>26.166110557768899</v>
      </c>
      <c r="E1692" s="116">
        <v>26.166110557768899</v>
      </c>
      <c r="F1692" s="116">
        <v>29.9</v>
      </c>
      <c r="G1692">
        <v>3380992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45366</v>
      </c>
      <c r="B1693" s="116">
        <v>27.848348273572402</v>
      </c>
      <c r="C1693" s="116">
        <v>26.486101427622799</v>
      </c>
      <c r="D1693" s="116">
        <v>26.010686420982701</v>
      </c>
      <c r="E1693" s="116">
        <v>27.3363628818061</v>
      </c>
      <c r="F1693" s="116">
        <v>28.97</v>
      </c>
      <c r="G1693">
        <v>2567811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45369</v>
      </c>
      <c r="B1694" s="116">
        <v>26.9706590305445</v>
      </c>
      <c r="C1694" s="116">
        <v>26.266679116865902</v>
      </c>
      <c r="D1694" s="116">
        <v>26.056399402390401</v>
      </c>
      <c r="E1694" s="116">
        <v>26.6506681606906</v>
      </c>
      <c r="F1694" s="116">
        <v>28.73</v>
      </c>
      <c r="G1694">
        <v>1033297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45370</v>
      </c>
      <c r="B1695" s="116">
        <v>26.9249460491368</v>
      </c>
      <c r="C1695" s="116">
        <v>25.6632677622842</v>
      </c>
      <c r="D1695" s="116">
        <v>25.370704681274901</v>
      </c>
      <c r="E1695" s="116">
        <v>26.9249460491368</v>
      </c>
      <c r="F1695" s="116">
        <v>28.07</v>
      </c>
      <c r="G1695">
        <v>1276392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45371</v>
      </c>
      <c r="B1696" s="116">
        <v>26.038114209827398</v>
      </c>
      <c r="C1696" s="116">
        <v>25.4804158366534</v>
      </c>
      <c r="D1696" s="116">
        <v>25.142139774236401</v>
      </c>
      <c r="E1696" s="116">
        <v>25.151282370517901</v>
      </c>
      <c r="F1696" s="116">
        <v>27.87</v>
      </c>
      <c r="G1696">
        <v>1960365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45372</v>
      </c>
      <c r="B1697" s="116">
        <v>26.751236719787499</v>
      </c>
      <c r="C1697" s="116">
        <v>26.659810756972099</v>
      </c>
      <c r="D1697" s="116">
        <v>25.507843625498001</v>
      </c>
      <c r="E1697" s="116">
        <v>25.507843625498001</v>
      </c>
      <c r="F1697" s="116">
        <v>29.16</v>
      </c>
      <c r="G1697">
        <v>2335892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45373</v>
      </c>
      <c r="B1698" s="116">
        <v>27.985487217795502</v>
      </c>
      <c r="C1698" s="116">
        <v>27.308935092961502</v>
      </c>
      <c r="D1698" s="116">
        <v>26.8792330677291</v>
      </c>
      <c r="E1698" s="116">
        <v>27.382075863213799</v>
      </c>
      <c r="F1698" s="116">
        <v>29.87</v>
      </c>
      <c r="G1698">
        <v>1429581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45377</v>
      </c>
      <c r="B1699" s="116">
        <v>27.656353751659999</v>
      </c>
      <c r="C1699" s="116">
        <v>26.120397576361199</v>
      </c>
      <c r="D1699" s="116">
        <v>25.964973439575001</v>
      </c>
      <c r="E1699" s="116">
        <v>27.0163720119522</v>
      </c>
      <c r="F1699" s="116">
        <v>28.57</v>
      </c>
      <c r="G1699">
        <v>3693566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45378</v>
      </c>
      <c r="B1700" s="116">
        <v>27.0072294156707</v>
      </c>
      <c r="C1700" s="116">
        <v>25.7089807436919</v>
      </c>
      <c r="D1700" s="116">
        <v>25.599269588313401</v>
      </c>
      <c r="E1700" s="116">
        <v>26.9706590305445</v>
      </c>
      <c r="F1700" s="116">
        <v>28.12</v>
      </c>
      <c r="G1700">
        <v>2505246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45379</v>
      </c>
      <c r="B1701" s="116">
        <v>26.284964309429</v>
      </c>
      <c r="C1701" s="116">
        <v>25.279278718459501</v>
      </c>
      <c r="D1701" s="116">
        <v>24.959287848605602</v>
      </c>
      <c r="E1701" s="116">
        <v>26.056399402390401</v>
      </c>
      <c r="F1701" s="116">
        <v>27.65</v>
      </c>
      <c r="G1701">
        <v>2138185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45383</v>
      </c>
      <c r="B1702" s="116">
        <v>26.540957005312102</v>
      </c>
      <c r="C1702" s="116">
        <v>26.540957005312102</v>
      </c>
      <c r="D1702" s="116">
        <v>25.507843625498001</v>
      </c>
      <c r="E1702" s="116">
        <v>25.599269588313401</v>
      </c>
      <c r="F1702" s="116">
        <v>29.03</v>
      </c>
      <c r="G1702">
        <v>455484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45384</v>
      </c>
      <c r="B1703" s="116">
        <v>27.8666334661355</v>
      </c>
      <c r="C1703" s="116">
        <v>27.8666334661355</v>
      </c>
      <c r="D1703" s="116">
        <v>27.199223937583</v>
      </c>
      <c r="E1703" s="116">
        <v>27.7843500996016</v>
      </c>
      <c r="F1703" s="116">
        <v>30.48</v>
      </c>
      <c r="G1703">
        <v>1682506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45385</v>
      </c>
      <c r="B1704" s="116">
        <v>29.256308100929601</v>
      </c>
      <c r="C1704" s="116">
        <v>29.256308100929601</v>
      </c>
      <c r="D1704" s="116">
        <v>28.342048472775598</v>
      </c>
      <c r="E1704" s="116">
        <v>29.256308100929601</v>
      </c>
      <c r="F1704" s="116">
        <v>32</v>
      </c>
      <c r="G1704">
        <v>1148177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45386</v>
      </c>
      <c r="B1705" s="116">
        <v>30.7191235059761</v>
      </c>
      <c r="C1705" s="116">
        <v>30.7191235059761</v>
      </c>
      <c r="D1705" s="116">
        <v>30.7099809096946</v>
      </c>
      <c r="E1705" s="116">
        <v>30.7191235059761</v>
      </c>
      <c r="F1705" s="116">
        <v>33.6</v>
      </c>
      <c r="G1705">
        <v>1277670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45387</v>
      </c>
      <c r="B1706" s="116">
        <v>32.2550796812749</v>
      </c>
      <c r="C1706" s="116">
        <v>32.236794488711801</v>
      </c>
      <c r="D1706" s="116">
        <v>30.9934013944223</v>
      </c>
      <c r="E1706" s="116">
        <v>31.679096115537799</v>
      </c>
      <c r="F1706" s="116">
        <v>35.26</v>
      </c>
      <c r="G1706">
        <v>1588610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45390</v>
      </c>
      <c r="B1707" s="116">
        <v>33.845891434263002</v>
      </c>
      <c r="C1707" s="116">
        <v>31.322534860557798</v>
      </c>
      <c r="D1707" s="116">
        <v>30.7191235059761</v>
      </c>
      <c r="E1707" s="116">
        <v>32.273364873837998</v>
      </c>
      <c r="F1707" s="116">
        <v>34.26</v>
      </c>
      <c r="G1707">
        <v>1836054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45391</v>
      </c>
      <c r="B1708" s="116">
        <v>32.227651892430302</v>
      </c>
      <c r="C1708" s="116">
        <v>30.728266102257599</v>
      </c>
      <c r="D1708" s="116">
        <v>30.581984561753</v>
      </c>
      <c r="E1708" s="116">
        <v>31.6699535192563</v>
      </c>
      <c r="F1708" s="116">
        <v>33.61</v>
      </c>
      <c r="G1708">
        <v>397519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45392</v>
      </c>
      <c r="B1709" s="116">
        <v>31.450531208499299</v>
      </c>
      <c r="C1709" s="116">
        <v>31.093969953519299</v>
      </c>
      <c r="D1709" s="116">
        <v>30.581984561753</v>
      </c>
      <c r="E1709" s="116">
        <v>30.8105494687915</v>
      </c>
      <c r="F1709" s="116">
        <v>34.01</v>
      </c>
      <c r="G1709">
        <v>1210096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45394</v>
      </c>
      <c r="B1710" s="116">
        <v>31.9808017928287</v>
      </c>
      <c r="C1710" s="116">
        <v>31.066542164674601</v>
      </c>
      <c r="D1710" s="116">
        <v>30.6276975431607</v>
      </c>
      <c r="E1710" s="116">
        <v>31.048256972111599</v>
      </c>
      <c r="F1710" s="116">
        <v>33.979999999999997</v>
      </c>
      <c r="G1710">
        <v>495348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45397</v>
      </c>
      <c r="B1711" s="116">
        <v>30.8471198539177</v>
      </c>
      <c r="C1711" s="116">
        <v>29.9877158034529</v>
      </c>
      <c r="D1711" s="116">
        <v>29.521443393094302</v>
      </c>
      <c r="E1711" s="116">
        <v>29.530585989375801</v>
      </c>
      <c r="F1711" s="116">
        <v>32.799999999999997</v>
      </c>
      <c r="G1711">
        <v>1549736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45398</v>
      </c>
      <c r="B1712" s="116">
        <v>30.8928328353254</v>
      </c>
      <c r="C1712" s="116">
        <v>30.0791417662683</v>
      </c>
      <c r="D1712" s="116">
        <v>28.799178286852602</v>
      </c>
      <c r="E1712" s="116">
        <v>28.799178286852602</v>
      </c>
      <c r="F1712" s="116">
        <v>32.9</v>
      </c>
      <c r="G1712">
        <v>934349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45400</v>
      </c>
      <c r="B1713" s="116">
        <v>31.5785275564409</v>
      </c>
      <c r="C1713" s="116">
        <v>30.143139940238999</v>
      </c>
      <c r="D1713" s="116">
        <v>28.579755976095601</v>
      </c>
      <c r="E1713" s="116">
        <v>30.609412350597601</v>
      </c>
      <c r="F1713" s="116">
        <v>32.97</v>
      </c>
      <c r="G1713">
        <v>1200145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45401</v>
      </c>
      <c r="B1714" s="116">
        <v>29.603726759628199</v>
      </c>
      <c r="C1714" s="116">
        <v>28.927174634794198</v>
      </c>
      <c r="D1714" s="116">
        <v>28.707752324037202</v>
      </c>
      <c r="E1714" s="116">
        <v>29.484873007968101</v>
      </c>
      <c r="F1714" s="116">
        <v>31.64</v>
      </c>
      <c r="G1714">
        <v>639149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45404</v>
      </c>
      <c r="B1715" s="116">
        <v>30.371704847277599</v>
      </c>
      <c r="C1715" s="116">
        <v>30.371704847277599</v>
      </c>
      <c r="D1715" s="116">
        <v>28.753465305444902</v>
      </c>
      <c r="E1715" s="116">
        <v>29.439160026560401</v>
      </c>
      <c r="F1715" s="116">
        <v>33.22</v>
      </c>
      <c r="G1715">
        <v>781296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45405</v>
      </c>
      <c r="B1716" s="116">
        <v>31.8893758300133</v>
      </c>
      <c r="C1716" s="116">
        <v>31.8893758300133</v>
      </c>
      <c r="D1716" s="116">
        <v>31.0848273572377</v>
      </c>
      <c r="E1716" s="116">
        <v>31.8893758300133</v>
      </c>
      <c r="F1716" s="116">
        <v>34.880000000000003</v>
      </c>
      <c r="G1716">
        <v>2195013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45406</v>
      </c>
      <c r="B1717" s="116">
        <v>33.370476427622798</v>
      </c>
      <c r="C1717" s="116">
        <v>33.004772576361198</v>
      </c>
      <c r="D1717" s="116">
        <v>31.2219663014608</v>
      </c>
      <c r="E1717" s="116">
        <v>32.364790836653398</v>
      </c>
      <c r="F1717" s="116">
        <v>36.1</v>
      </c>
      <c r="G1717">
        <v>1385448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45407</v>
      </c>
      <c r="B1718" s="116">
        <v>34.650439907038503</v>
      </c>
      <c r="C1718" s="116">
        <v>34.092741533864498</v>
      </c>
      <c r="D1718" s="116">
        <v>33.416189409030501</v>
      </c>
      <c r="E1718" s="116">
        <v>33.727037682602898</v>
      </c>
      <c r="F1718" s="116">
        <v>37.29</v>
      </c>
      <c r="G1718">
        <v>2418480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45408</v>
      </c>
      <c r="B1719" s="116">
        <v>34.9704307768924</v>
      </c>
      <c r="C1719" s="116">
        <v>33.800178452855199</v>
      </c>
      <c r="D1719" s="116">
        <v>32.913346613545798</v>
      </c>
      <c r="E1719" s="116">
        <v>34.101884130146097</v>
      </c>
      <c r="F1719" s="116">
        <v>36.97</v>
      </c>
      <c r="G1719">
        <v>1643362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45411</v>
      </c>
      <c r="B1720" s="116">
        <v>35.482416168658702</v>
      </c>
      <c r="C1720" s="116">
        <v>35.482416168658702</v>
      </c>
      <c r="D1720" s="116">
        <v>33.388761620185903</v>
      </c>
      <c r="E1720" s="116">
        <v>33.800178452855199</v>
      </c>
      <c r="F1720" s="116">
        <v>38.81</v>
      </c>
      <c r="G1720">
        <v>1984817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45412</v>
      </c>
      <c r="B1721" s="116">
        <v>36.524672144754298</v>
      </c>
      <c r="C1721" s="116">
        <v>34.458445385126197</v>
      </c>
      <c r="D1721" s="116">
        <v>34.111026726427603</v>
      </c>
      <c r="E1721" s="116">
        <v>36.524672144754298</v>
      </c>
      <c r="F1721" s="116">
        <v>37.69</v>
      </c>
      <c r="G1721">
        <v>1152742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45414</v>
      </c>
      <c r="B1722" s="116">
        <v>35.884690405046499</v>
      </c>
      <c r="C1722" s="116">
        <v>35.573842131474102</v>
      </c>
      <c r="D1722" s="116">
        <v>34.284736055776897</v>
      </c>
      <c r="E1722" s="116">
        <v>34.458445385126197</v>
      </c>
      <c r="F1722" s="116">
        <v>38.909999999999997</v>
      </c>
      <c r="G1722">
        <v>1812930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45415</v>
      </c>
      <c r="B1723" s="116">
        <v>36.021829349269602</v>
      </c>
      <c r="C1723" s="116">
        <v>34.559013944223103</v>
      </c>
      <c r="D1723" s="116">
        <v>33.964745185923</v>
      </c>
      <c r="E1723" s="116">
        <v>35.656125498008002</v>
      </c>
      <c r="F1723" s="116">
        <v>37.799999999999997</v>
      </c>
      <c r="G1723">
        <v>2890032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45418</v>
      </c>
      <c r="B1724" s="116">
        <v>33.681324701195201</v>
      </c>
      <c r="C1724" s="116">
        <v>32.831063247011897</v>
      </c>
      <c r="D1724" s="116">
        <v>32.831063247011897</v>
      </c>
      <c r="E1724" s="116">
        <v>33.416189409030501</v>
      </c>
      <c r="F1724" s="116">
        <v>35.909999999999997</v>
      </c>
      <c r="G1724">
        <v>1160851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45419</v>
      </c>
      <c r="B1725" s="116">
        <v>33.827606241699897</v>
      </c>
      <c r="C1725" s="116">
        <v>31.6242405378486</v>
      </c>
      <c r="D1725" s="116">
        <v>31.194538512616202</v>
      </c>
      <c r="E1725" s="116">
        <v>31.203681108897701</v>
      </c>
      <c r="F1725" s="116">
        <v>34.590000000000003</v>
      </c>
      <c r="G1725">
        <v>3525698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45420</v>
      </c>
      <c r="B1726" s="116">
        <v>31.6242405378486</v>
      </c>
      <c r="C1726" s="116">
        <v>30.9385458167331</v>
      </c>
      <c r="D1726" s="116">
        <v>30.051713977423599</v>
      </c>
      <c r="E1726" s="116">
        <v>31.002543990703799</v>
      </c>
      <c r="F1726" s="116">
        <v>33.840000000000003</v>
      </c>
      <c r="G1726">
        <v>1371693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45421</v>
      </c>
      <c r="B1727" s="116">
        <v>31.679096115537799</v>
      </c>
      <c r="C1727" s="116">
        <v>30.024286188579001</v>
      </c>
      <c r="D1727" s="116">
        <v>29.622011952191201</v>
      </c>
      <c r="E1727" s="116">
        <v>31.5328145750332</v>
      </c>
      <c r="F1727" s="116">
        <v>32.840000000000003</v>
      </c>
      <c r="G1727">
        <v>721239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45422</v>
      </c>
      <c r="B1728" s="116">
        <v>31.0848273572377</v>
      </c>
      <c r="C1728" s="116">
        <v>30.737408698539198</v>
      </c>
      <c r="D1728" s="116">
        <v>29.256308100929601</v>
      </c>
      <c r="E1728" s="116">
        <v>30.024286188579001</v>
      </c>
      <c r="F1728" s="116">
        <v>33.619999999999997</v>
      </c>
      <c r="G1728">
        <v>727198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45425</v>
      </c>
      <c r="B1729" s="116">
        <v>31.0848273572377</v>
      </c>
      <c r="C1729" s="116">
        <v>30.106569555112898</v>
      </c>
      <c r="D1729" s="116">
        <v>29.256308100929601</v>
      </c>
      <c r="E1729" s="116">
        <v>30.737408698539198</v>
      </c>
      <c r="F1729" s="116">
        <v>32.93</v>
      </c>
      <c r="G1729">
        <v>551589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45426</v>
      </c>
      <c r="B1730" s="116">
        <v>31.359105245683899</v>
      </c>
      <c r="C1730" s="116">
        <v>30.645982735723798</v>
      </c>
      <c r="D1730" s="116">
        <v>29.7225805112882</v>
      </c>
      <c r="E1730" s="116">
        <v>30.152282536520602</v>
      </c>
      <c r="F1730" s="116">
        <v>33.520000000000003</v>
      </c>
      <c r="G1730">
        <v>481175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45427</v>
      </c>
      <c r="B1731" s="116">
        <v>31.0848273572377</v>
      </c>
      <c r="C1731" s="116">
        <v>30.188852921646699</v>
      </c>
      <c r="D1731" s="116">
        <v>29.9877158034529</v>
      </c>
      <c r="E1731" s="116">
        <v>30.645982735723798</v>
      </c>
      <c r="F1731" s="116">
        <v>33.020000000000003</v>
      </c>
      <c r="G1731">
        <v>512932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45428</v>
      </c>
      <c r="B1732" s="116">
        <v>30.9019754316069</v>
      </c>
      <c r="C1732" s="116">
        <v>30.015143592297498</v>
      </c>
      <c r="D1732" s="116">
        <v>29.713437915006601</v>
      </c>
      <c r="E1732" s="116">
        <v>30.9019754316069</v>
      </c>
      <c r="F1732" s="116">
        <v>32.83</v>
      </c>
      <c r="G1732">
        <v>416539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45429</v>
      </c>
      <c r="B1733" s="116">
        <v>30.3991326361222</v>
      </c>
      <c r="C1733" s="116">
        <v>30.143139940238999</v>
      </c>
      <c r="D1733" s="116">
        <v>28.515757802124799</v>
      </c>
      <c r="E1733" s="116">
        <v>30.3991326361222</v>
      </c>
      <c r="F1733" s="116">
        <v>32.97</v>
      </c>
      <c r="G1733">
        <v>543839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45430</v>
      </c>
      <c r="B1734" s="116">
        <v>31.3499626494024</v>
      </c>
      <c r="C1734" s="116">
        <v>30.417417828685299</v>
      </c>
      <c r="D1734" s="116">
        <v>29.713437915006601</v>
      </c>
      <c r="E1734" s="116">
        <v>30.691695717131498</v>
      </c>
      <c r="F1734" s="116">
        <v>33.270000000000003</v>
      </c>
      <c r="G1734">
        <v>374333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45433</v>
      </c>
      <c r="B1735" s="116">
        <v>31.359105245683899</v>
      </c>
      <c r="C1735" s="116">
        <v>30.4448456175299</v>
      </c>
      <c r="D1735" s="116">
        <v>30.1705677290837</v>
      </c>
      <c r="E1735" s="116">
        <v>31.359105245683899</v>
      </c>
      <c r="F1735" s="116">
        <v>33.299999999999997</v>
      </c>
      <c r="G1735">
        <v>596305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45434</v>
      </c>
      <c r="B1736" s="116">
        <v>30.883690239043801</v>
      </c>
      <c r="C1736" s="116">
        <v>30.097426958831299</v>
      </c>
      <c r="D1736" s="116">
        <v>29.9877158034529</v>
      </c>
      <c r="E1736" s="116">
        <v>30.6185549468792</v>
      </c>
      <c r="F1736" s="116">
        <v>32.92</v>
      </c>
      <c r="G1736">
        <v>463353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45435</v>
      </c>
      <c r="B1737" s="116">
        <v>30.435703021248301</v>
      </c>
      <c r="C1737" s="116">
        <v>30.1797103253652</v>
      </c>
      <c r="D1737" s="116">
        <v>29.6311545484728</v>
      </c>
      <c r="E1737" s="116">
        <v>29.6311545484728</v>
      </c>
      <c r="F1737" s="116">
        <v>33.01</v>
      </c>
      <c r="G1737">
        <v>450029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45436</v>
      </c>
      <c r="B1738" s="116">
        <v>30.9934013944223</v>
      </c>
      <c r="C1738" s="116">
        <v>30.3168492695883</v>
      </c>
      <c r="D1738" s="116">
        <v>30.006000996015899</v>
      </c>
      <c r="E1738" s="116">
        <v>30.362562250996</v>
      </c>
      <c r="F1738" s="116">
        <v>33.159999999999997</v>
      </c>
      <c r="G1738">
        <v>2490627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45439</v>
      </c>
      <c r="B1739" s="116">
        <v>30.6276975431607</v>
      </c>
      <c r="C1739" s="116">
        <v>29.850576859229701</v>
      </c>
      <c r="D1739" s="116">
        <v>29.804863877822001</v>
      </c>
      <c r="E1739" s="116">
        <v>30.3168492695883</v>
      </c>
      <c r="F1739" s="116">
        <v>32.65</v>
      </c>
      <c r="G1739">
        <v>811271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45440</v>
      </c>
      <c r="B1740" s="116">
        <v>30.417417828685299</v>
      </c>
      <c r="C1740" s="116">
        <v>29.210595119521901</v>
      </c>
      <c r="D1740" s="116">
        <v>29.164882138114201</v>
      </c>
      <c r="E1740" s="116">
        <v>29.622011952191201</v>
      </c>
      <c r="F1740" s="116">
        <v>31.95</v>
      </c>
      <c r="G1740">
        <v>683515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45441</v>
      </c>
      <c r="B1741" s="116">
        <v>29.347734063745001</v>
      </c>
      <c r="C1741" s="116">
        <v>28.424331839309399</v>
      </c>
      <c r="D1741" s="116">
        <v>28.204909528552498</v>
      </c>
      <c r="E1741" s="116">
        <v>29.256308100929601</v>
      </c>
      <c r="F1741" s="116">
        <v>31.09</v>
      </c>
      <c r="G1741">
        <v>770910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45442</v>
      </c>
      <c r="B1742" s="116">
        <v>28.6803245351926</v>
      </c>
      <c r="C1742" s="116">
        <v>28.1043409694555</v>
      </c>
      <c r="D1742" s="116">
        <v>27.756922310756998</v>
      </c>
      <c r="E1742" s="116">
        <v>28.3237632802125</v>
      </c>
      <c r="F1742" s="116">
        <v>30.74</v>
      </c>
      <c r="G1742">
        <v>2810445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45443</v>
      </c>
      <c r="B1743" s="116">
        <v>29.5031582005312</v>
      </c>
      <c r="C1743" s="116">
        <v>29.4025896414343</v>
      </c>
      <c r="D1743" s="116">
        <v>27.208366533864499</v>
      </c>
      <c r="E1743" s="116">
        <v>28.515757802124799</v>
      </c>
      <c r="F1743" s="116">
        <v>32.159999999999997</v>
      </c>
      <c r="G1743">
        <v>1685849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45446</v>
      </c>
      <c r="B1744" s="116">
        <v>30.865405046480699</v>
      </c>
      <c r="C1744" s="116">
        <v>30.3991326361222</v>
      </c>
      <c r="D1744" s="116">
        <v>29.5031582005312</v>
      </c>
      <c r="E1744" s="116">
        <v>30.865405046480699</v>
      </c>
      <c r="F1744" s="116">
        <v>33.25</v>
      </c>
      <c r="G1744">
        <v>993757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45447</v>
      </c>
      <c r="B1745" s="116">
        <v>30.792264276228401</v>
      </c>
      <c r="C1745" s="116">
        <v>28.881461653386499</v>
      </c>
      <c r="D1745" s="116">
        <v>28.881461653386499</v>
      </c>
      <c r="E1745" s="116">
        <v>30.792264276228401</v>
      </c>
      <c r="F1745" s="116">
        <v>31.59</v>
      </c>
      <c r="G1745">
        <v>527764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45448</v>
      </c>
      <c r="B1746" s="116">
        <v>28.771750498008</v>
      </c>
      <c r="C1746" s="116">
        <v>28.159196547144798</v>
      </c>
      <c r="D1746" s="116">
        <v>27.446074037184601</v>
      </c>
      <c r="E1746" s="116">
        <v>27.564927788844599</v>
      </c>
      <c r="F1746" s="116">
        <v>30.8</v>
      </c>
      <c r="G1746">
        <v>627132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45449</v>
      </c>
      <c r="B1747" s="116">
        <v>29.567156374502002</v>
      </c>
      <c r="C1747" s="116">
        <v>29.146596945551099</v>
      </c>
      <c r="D1747" s="116">
        <v>28.159196547144798</v>
      </c>
      <c r="E1747" s="116">
        <v>28.159196547144798</v>
      </c>
      <c r="F1747" s="116">
        <v>31.88</v>
      </c>
      <c r="G1747">
        <v>856695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45450</v>
      </c>
      <c r="B1748" s="116">
        <v>30.600269754316098</v>
      </c>
      <c r="C1748" s="116">
        <v>30.5362715803453</v>
      </c>
      <c r="D1748" s="116">
        <v>29.119169156706501</v>
      </c>
      <c r="E1748" s="116">
        <v>29.146596945551099</v>
      </c>
      <c r="F1748" s="116">
        <v>33.4</v>
      </c>
      <c r="G1748">
        <v>1034101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45453</v>
      </c>
      <c r="B1749" s="116">
        <v>31.4413886122178</v>
      </c>
      <c r="C1749" s="116">
        <v>30.6642679282869</v>
      </c>
      <c r="D1749" s="116">
        <v>30.3077066733068</v>
      </c>
      <c r="E1749" s="116">
        <v>30.5362715803453</v>
      </c>
      <c r="F1749" s="116">
        <v>33.54</v>
      </c>
      <c r="G1749">
        <v>526137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45454</v>
      </c>
      <c r="B1750" s="116">
        <v>31.999086985391799</v>
      </c>
      <c r="C1750" s="116">
        <v>31.715666500664</v>
      </c>
      <c r="D1750" s="116">
        <v>30.3534196547145</v>
      </c>
      <c r="E1750" s="116">
        <v>31.0848273572377</v>
      </c>
      <c r="F1750" s="116">
        <v>34.69</v>
      </c>
      <c r="G1750">
        <v>662643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45455</v>
      </c>
      <c r="B1751" s="116">
        <v>31.999086985391799</v>
      </c>
      <c r="C1751" s="116">
        <v>30.7191235059761</v>
      </c>
      <c r="D1751" s="116">
        <v>30.5362715803453</v>
      </c>
      <c r="E1751" s="116">
        <v>31.8893758300133</v>
      </c>
      <c r="F1751" s="116">
        <v>33.6</v>
      </c>
      <c r="G1751">
        <v>755714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45456</v>
      </c>
      <c r="B1752" s="116">
        <v>31.541957171314699</v>
      </c>
      <c r="C1752" s="116">
        <v>30.591127158034499</v>
      </c>
      <c r="D1752" s="116">
        <v>30.1705677290837</v>
      </c>
      <c r="E1752" s="116">
        <v>31.0848273572377</v>
      </c>
      <c r="F1752" s="116">
        <v>33.46</v>
      </c>
      <c r="G1752">
        <v>846978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45457</v>
      </c>
      <c r="B1753" s="116">
        <v>31.404818227091599</v>
      </c>
      <c r="C1753" s="116">
        <v>30.773979083665299</v>
      </c>
      <c r="D1753" s="116">
        <v>30.1705677290837</v>
      </c>
      <c r="E1753" s="116">
        <v>31.404818227091599</v>
      </c>
      <c r="F1753" s="116">
        <v>33.659999999999997</v>
      </c>
      <c r="G1753">
        <v>757487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45461</v>
      </c>
      <c r="B1754" s="116">
        <v>31.953374003984099</v>
      </c>
      <c r="C1754" s="116">
        <v>31.148825531208502</v>
      </c>
      <c r="D1754" s="116">
        <v>30.8562624501992</v>
      </c>
      <c r="E1754" s="116">
        <v>31.3499626494024</v>
      </c>
      <c r="F1754" s="116">
        <v>34.07</v>
      </c>
      <c r="G1754">
        <v>1328936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45462</v>
      </c>
      <c r="B1755" s="116">
        <v>31.715666500664</v>
      </c>
      <c r="C1755" s="116">
        <v>30.435703021248301</v>
      </c>
      <c r="D1755" s="116">
        <v>30.2619936918991</v>
      </c>
      <c r="E1755" s="116">
        <v>31.5328145750332</v>
      </c>
      <c r="F1755" s="116">
        <v>33.29</v>
      </c>
      <c r="G1755">
        <v>432634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45463</v>
      </c>
      <c r="B1756" s="116">
        <v>30.9842587981408</v>
      </c>
      <c r="C1756" s="116">
        <v>30.143139940238999</v>
      </c>
      <c r="D1756" s="116">
        <v>29.9877158034529</v>
      </c>
      <c r="E1756" s="116">
        <v>30.3534196547145</v>
      </c>
      <c r="F1756" s="116">
        <v>32.97</v>
      </c>
      <c r="G1756">
        <v>541662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45464</v>
      </c>
      <c r="B1757" s="116">
        <v>31.496244189906999</v>
      </c>
      <c r="C1757" s="116">
        <v>30.335134462151402</v>
      </c>
      <c r="D1757" s="116">
        <v>29.731723107569699</v>
      </c>
      <c r="E1757" s="116">
        <v>29.731723107569699</v>
      </c>
      <c r="F1757" s="116">
        <v>33.18</v>
      </c>
      <c r="G1757">
        <v>682765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45467</v>
      </c>
      <c r="B1758" s="116">
        <v>31.313392264276199</v>
      </c>
      <c r="C1758" s="116">
        <v>30.9842587981408</v>
      </c>
      <c r="D1758" s="116">
        <v>29.8140064741036</v>
      </c>
      <c r="E1758" s="116">
        <v>30.6185549468792</v>
      </c>
      <c r="F1758" s="116">
        <v>33.89</v>
      </c>
      <c r="G1758">
        <v>824924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45468</v>
      </c>
      <c r="B1759" s="116">
        <v>31.0848273572377</v>
      </c>
      <c r="C1759" s="116">
        <v>30.280278884462099</v>
      </c>
      <c r="D1759" s="116">
        <v>30.0791417662683</v>
      </c>
      <c r="E1759" s="116">
        <v>30.8562624501992</v>
      </c>
      <c r="F1759" s="116">
        <v>33.119999999999997</v>
      </c>
      <c r="G1759">
        <v>1371677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45469</v>
      </c>
      <c r="B1760" s="116">
        <v>30.6185549468792</v>
      </c>
      <c r="C1760" s="116">
        <v>30.060856573705198</v>
      </c>
      <c r="D1760" s="116">
        <v>29.713437915006601</v>
      </c>
      <c r="E1760" s="116">
        <v>30.563699369189901</v>
      </c>
      <c r="F1760" s="116">
        <v>32.880000000000003</v>
      </c>
      <c r="G1760">
        <v>576147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45470</v>
      </c>
      <c r="B1761" s="116">
        <v>30.325991865869899</v>
      </c>
      <c r="C1761" s="116">
        <v>29.1831673306773</v>
      </c>
      <c r="D1761" s="116">
        <v>28.982030212483401</v>
      </c>
      <c r="E1761" s="116">
        <v>30.3077066733068</v>
      </c>
      <c r="F1761" s="116">
        <v>31.92</v>
      </c>
      <c r="G1761">
        <v>615612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45471</v>
      </c>
      <c r="B1762" s="116">
        <v>29.6402971447543</v>
      </c>
      <c r="C1762" s="116">
        <v>28.8174634794157</v>
      </c>
      <c r="D1762" s="116">
        <v>28.332905876493999</v>
      </c>
      <c r="E1762" s="116">
        <v>29.612869355909702</v>
      </c>
      <c r="F1762" s="116">
        <v>31.52</v>
      </c>
      <c r="G1762">
        <v>833507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45474</v>
      </c>
      <c r="B1763" s="116">
        <v>29.9877158034529</v>
      </c>
      <c r="C1763" s="116">
        <v>29.228880312085</v>
      </c>
      <c r="D1763" s="116">
        <v>28.342048472775598</v>
      </c>
      <c r="E1763" s="116">
        <v>28.342048472775598</v>
      </c>
      <c r="F1763" s="116">
        <v>31.97</v>
      </c>
      <c r="G1763">
        <v>843779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45475</v>
      </c>
      <c r="B1764" s="116">
        <v>29.704295318725102</v>
      </c>
      <c r="C1764" s="116">
        <v>29.420874833997299</v>
      </c>
      <c r="D1764" s="116">
        <v>29.164882138114201</v>
      </c>
      <c r="E1764" s="116">
        <v>29.256308100929601</v>
      </c>
      <c r="F1764" s="116">
        <v>32.18</v>
      </c>
      <c r="G1764">
        <v>652312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45476</v>
      </c>
      <c r="B1765" s="116">
        <v>29.960288014608199</v>
      </c>
      <c r="C1765" s="116">
        <v>29.018600597609598</v>
      </c>
      <c r="D1765" s="116">
        <v>28.799178286852602</v>
      </c>
      <c r="E1765" s="116">
        <v>29.960288014608199</v>
      </c>
      <c r="F1765" s="116">
        <v>31.74</v>
      </c>
      <c r="G1765">
        <v>698340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45477</v>
      </c>
      <c r="B1766" s="116">
        <v>30.463130810092999</v>
      </c>
      <c r="C1766" s="116">
        <v>30.463130810092999</v>
      </c>
      <c r="D1766" s="116">
        <v>28.808320883134101</v>
      </c>
      <c r="E1766" s="116">
        <v>29.018600597609598</v>
      </c>
      <c r="F1766" s="116">
        <v>33.32</v>
      </c>
      <c r="G1766">
        <v>1298894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45478</v>
      </c>
      <c r="B1767" s="116">
        <v>31.9808017928287</v>
      </c>
      <c r="C1767" s="116">
        <v>31.9808017928287</v>
      </c>
      <c r="D1767" s="116">
        <v>31.185395916334699</v>
      </c>
      <c r="E1767" s="116">
        <v>31.9808017928287</v>
      </c>
      <c r="F1767" s="116">
        <v>34.979999999999997</v>
      </c>
      <c r="G1767">
        <v>1797615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45481</v>
      </c>
      <c r="B1768" s="116">
        <v>33.571613545816703</v>
      </c>
      <c r="C1768" s="116">
        <v>33.571613545816703</v>
      </c>
      <c r="D1768" s="116">
        <v>33.571613545816703</v>
      </c>
      <c r="E1768" s="116">
        <v>33.571613545816703</v>
      </c>
      <c r="F1768" s="116">
        <v>36.72</v>
      </c>
      <c r="G1768">
        <v>856505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45482</v>
      </c>
      <c r="B1769" s="116">
        <v>35.244708665338599</v>
      </c>
      <c r="C1769" s="116">
        <v>35.244708665338599</v>
      </c>
      <c r="D1769" s="116">
        <v>35.244708665338599</v>
      </c>
      <c r="E1769" s="116">
        <v>35.244708665338599</v>
      </c>
      <c r="F1769" s="116">
        <v>38.549999999999997</v>
      </c>
      <c r="G1769">
        <v>769198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45483</v>
      </c>
      <c r="B1770" s="116">
        <v>37.000087151394403</v>
      </c>
      <c r="C1770" s="116">
        <v>37.000087151394403</v>
      </c>
      <c r="D1770" s="116">
        <v>33.836748837981403</v>
      </c>
      <c r="E1770" s="116">
        <v>37.000087151394403</v>
      </c>
      <c r="F1770" s="116">
        <v>40.47</v>
      </c>
      <c r="G1770">
        <v>9333319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45484</v>
      </c>
      <c r="B1771" s="116">
        <v>38.8468916002656</v>
      </c>
      <c r="C1771" s="116">
        <v>36.003544156706504</v>
      </c>
      <c r="D1771" s="116">
        <v>35.436703187250998</v>
      </c>
      <c r="E1771" s="116">
        <v>37.000087151394403</v>
      </c>
      <c r="F1771" s="116">
        <v>39.380000000000003</v>
      </c>
      <c r="G1771">
        <v>4579957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45485</v>
      </c>
      <c r="B1772" s="116">
        <v>37.027514940239001</v>
      </c>
      <c r="C1772" s="116">
        <v>35.582984727755601</v>
      </c>
      <c r="D1772" s="116">
        <v>34.559013944223103</v>
      </c>
      <c r="E1772" s="116">
        <v>36.113255312085002</v>
      </c>
      <c r="F1772" s="116">
        <v>38.92</v>
      </c>
      <c r="G1772">
        <v>2332158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45488</v>
      </c>
      <c r="B1773" s="116">
        <v>36.113255312085002</v>
      </c>
      <c r="C1773" s="116">
        <v>34.0653137450199</v>
      </c>
      <c r="D1773" s="116">
        <v>33.827606241699897</v>
      </c>
      <c r="E1773" s="116">
        <v>35.976116367861898</v>
      </c>
      <c r="F1773" s="116">
        <v>37.26</v>
      </c>
      <c r="G1773">
        <v>1412625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45489</v>
      </c>
      <c r="B1774" s="116">
        <v>34.458445385126197</v>
      </c>
      <c r="C1774" s="116">
        <v>33.653896912350604</v>
      </c>
      <c r="D1774" s="116">
        <v>33.370476427622798</v>
      </c>
      <c r="E1774" s="116">
        <v>34.458445385126197</v>
      </c>
      <c r="F1774" s="116">
        <v>36.81</v>
      </c>
      <c r="G1774">
        <v>894703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45491</v>
      </c>
      <c r="B1775" s="116">
        <v>34.449302788844598</v>
      </c>
      <c r="C1775" s="116">
        <v>33.946459993359902</v>
      </c>
      <c r="D1775" s="116">
        <v>32.456216799468798</v>
      </c>
      <c r="E1775" s="116">
        <v>32.9773447875166</v>
      </c>
      <c r="F1775" s="116">
        <v>37.130000000000003</v>
      </c>
      <c r="G1775">
        <v>1581173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45492</v>
      </c>
      <c r="B1776" s="116">
        <v>35.0527141434263</v>
      </c>
      <c r="C1776" s="116">
        <v>33.352191235059799</v>
      </c>
      <c r="D1776" s="116">
        <v>33.196767098273597</v>
      </c>
      <c r="E1776" s="116">
        <v>34.229880478087701</v>
      </c>
      <c r="F1776" s="116">
        <v>36.479999999999997</v>
      </c>
      <c r="G1776">
        <v>740629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45495</v>
      </c>
      <c r="B1777" s="116">
        <v>33.644754316069097</v>
      </c>
      <c r="C1777" s="116">
        <v>32.821920650730398</v>
      </c>
      <c r="D1777" s="116">
        <v>32.456216799468798</v>
      </c>
      <c r="E1777" s="116">
        <v>33.644754316069097</v>
      </c>
      <c r="F1777" s="116">
        <v>35.9</v>
      </c>
      <c r="G1777">
        <v>850285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45496</v>
      </c>
      <c r="B1778" s="116">
        <v>33.498472775564402</v>
      </c>
      <c r="C1778" s="116">
        <v>32.858491035856602</v>
      </c>
      <c r="D1778" s="116">
        <v>31.2676792828685</v>
      </c>
      <c r="E1778" s="116">
        <v>33.452759794156698</v>
      </c>
      <c r="F1778" s="116">
        <v>35.94</v>
      </c>
      <c r="G1778">
        <v>1076453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45497</v>
      </c>
      <c r="B1779" s="116">
        <v>32.858491035856602</v>
      </c>
      <c r="C1779" s="116">
        <v>32.8036354581673</v>
      </c>
      <c r="D1779" s="116">
        <v>32.319077855245702</v>
      </c>
      <c r="E1779" s="116">
        <v>32.840205843293496</v>
      </c>
      <c r="F1779" s="116">
        <v>35.880000000000003</v>
      </c>
      <c r="G1779">
        <v>942443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45498</v>
      </c>
      <c r="B1780" s="116">
        <v>32.867633632138102</v>
      </c>
      <c r="C1780" s="116">
        <v>32.666496513944203</v>
      </c>
      <c r="D1780" s="116">
        <v>32.410503818061102</v>
      </c>
      <c r="E1780" s="116">
        <v>32.821920650730398</v>
      </c>
      <c r="F1780" s="116">
        <v>35.729999999999997</v>
      </c>
      <c r="G1780">
        <v>825988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45499</v>
      </c>
      <c r="B1781" s="116">
        <v>33.315620849933602</v>
      </c>
      <c r="C1781" s="116">
        <v>32.748779880478097</v>
      </c>
      <c r="D1781" s="116">
        <v>32.556785358565698</v>
      </c>
      <c r="E1781" s="116">
        <v>32.821920650730398</v>
      </c>
      <c r="F1781" s="116">
        <v>35.82</v>
      </c>
      <c r="G1781">
        <v>1757840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45502</v>
      </c>
      <c r="B1782" s="116">
        <v>33.544185756972098</v>
      </c>
      <c r="C1782" s="116">
        <v>33.279050464807398</v>
      </c>
      <c r="D1782" s="116">
        <v>32.776207669322702</v>
      </c>
      <c r="E1782" s="116">
        <v>32.821920650730398</v>
      </c>
      <c r="F1782" s="116">
        <v>36.4</v>
      </c>
      <c r="G1782">
        <v>2643983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45503</v>
      </c>
      <c r="B1783" s="116">
        <v>33.599041334661401</v>
      </c>
      <c r="C1783" s="116">
        <v>33.215052290836702</v>
      </c>
      <c r="D1783" s="116">
        <v>32.913346613545798</v>
      </c>
      <c r="E1783" s="116">
        <v>33.599041334661401</v>
      </c>
      <c r="F1783" s="116">
        <v>36.33</v>
      </c>
      <c r="G1783">
        <v>1348252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45504</v>
      </c>
      <c r="B1784" s="116">
        <v>33.589898738379802</v>
      </c>
      <c r="C1784" s="116">
        <v>33.361333831341298</v>
      </c>
      <c r="D1784" s="116">
        <v>32.9682021912351</v>
      </c>
      <c r="E1784" s="116">
        <v>33.315620849933602</v>
      </c>
      <c r="F1784" s="116">
        <v>36.49</v>
      </c>
      <c r="G1784">
        <v>2908709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45505</v>
      </c>
      <c r="B1785" s="116">
        <v>35.025286354581702</v>
      </c>
      <c r="C1785" s="116">
        <v>35.007001162018597</v>
      </c>
      <c r="D1785" s="116">
        <v>33.800178452855199</v>
      </c>
      <c r="E1785" s="116">
        <v>33.809321049136798</v>
      </c>
      <c r="F1785" s="116">
        <v>38.29</v>
      </c>
      <c r="G1785">
        <v>2243885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45506</v>
      </c>
      <c r="B1786" s="116">
        <v>36.753237051792802</v>
      </c>
      <c r="C1786" s="116">
        <v>35.1532827025232</v>
      </c>
      <c r="D1786" s="116">
        <v>34.284736055776897</v>
      </c>
      <c r="E1786" s="116">
        <v>35.007001162018597</v>
      </c>
      <c r="F1786" s="116">
        <v>38.450000000000003</v>
      </c>
      <c r="G1786">
        <v>5367859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45509</v>
      </c>
      <c r="B1787" s="116">
        <v>34.284736055776897</v>
      </c>
      <c r="C1787" s="116">
        <v>33.461902390438198</v>
      </c>
      <c r="D1787" s="116">
        <v>33.397904216467502</v>
      </c>
      <c r="E1787" s="116">
        <v>33.397904216467502</v>
      </c>
      <c r="F1787" s="116">
        <v>36.6</v>
      </c>
      <c r="G1787">
        <v>3706887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45510</v>
      </c>
      <c r="B1788" s="116">
        <v>35.134997509960201</v>
      </c>
      <c r="C1788" s="116">
        <v>34.367019422310797</v>
      </c>
      <c r="D1788" s="116">
        <v>33.937317397078402</v>
      </c>
      <c r="E1788" s="116">
        <v>34.641297310756997</v>
      </c>
      <c r="F1788" s="116">
        <v>37.590000000000003</v>
      </c>
      <c r="G1788">
        <v>3142917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45511</v>
      </c>
      <c r="B1789" s="116">
        <v>35.189853087649396</v>
      </c>
      <c r="C1789" s="116">
        <v>34.1475971115538</v>
      </c>
      <c r="D1789" s="116">
        <v>33.370476427622798</v>
      </c>
      <c r="E1789" s="116">
        <v>34.741865869853903</v>
      </c>
      <c r="F1789" s="116">
        <v>37.35</v>
      </c>
      <c r="G1789">
        <v>1564073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45512</v>
      </c>
      <c r="B1790" s="116">
        <v>34.824149236387797</v>
      </c>
      <c r="C1790" s="116">
        <v>34.385304614873803</v>
      </c>
      <c r="D1790" s="116">
        <v>33.827606241699897</v>
      </c>
      <c r="E1790" s="116">
        <v>34.5041583665339</v>
      </c>
      <c r="F1790" s="116">
        <v>37.61</v>
      </c>
      <c r="G1790">
        <v>1615053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45513</v>
      </c>
      <c r="B1791" s="116">
        <v>35.098427124833997</v>
      </c>
      <c r="C1791" s="116">
        <v>34.632154714475398</v>
      </c>
      <c r="D1791" s="116">
        <v>34.284736055776897</v>
      </c>
      <c r="E1791" s="116">
        <v>34.421875</v>
      </c>
      <c r="F1791" s="116">
        <v>37.880000000000003</v>
      </c>
      <c r="G1791">
        <v>1390957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45516</v>
      </c>
      <c r="B1792" s="116">
        <v>35.4184179946879</v>
      </c>
      <c r="C1792" s="116">
        <v>34.367019422310797</v>
      </c>
      <c r="D1792" s="116">
        <v>33.845891434263002</v>
      </c>
      <c r="E1792" s="116">
        <v>34.741865869853903</v>
      </c>
      <c r="F1792" s="116">
        <v>37.590000000000003</v>
      </c>
      <c r="G1792">
        <v>1688662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45517</v>
      </c>
      <c r="B1793" s="116">
        <v>34.9612881806109</v>
      </c>
      <c r="C1793" s="116">
        <v>33.352191235059799</v>
      </c>
      <c r="D1793" s="116">
        <v>33.141911520584301</v>
      </c>
      <c r="E1793" s="116">
        <v>34.6961528884462</v>
      </c>
      <c r="F1793" s="116">
        <v>36.479999999999997</v>
      </c>
      <c r="G1793">
        <v>1621410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45518</v>
      </c>
      <c r="B1794" s="116">
        <v>33.818463645418298</v>
      </c>
      <c r="C1794" s="116">
        <v>32.629926128818099</v>
      </c>
      <c r="D1794" s="116">
        <v>32.547642762284198</v>
      </c>
      <c r="E1794" s="116">
        <v>32.913346613545798</v>
      </c>
      <c r="F1794" s="116">
        <v>35.69</v>
      </c>
      <c r="G1794">
        <v>884492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45520</v>
      </c>
      <c r="B1795" s="116">
        <v>33.553328353253697</v>
      </c>
      <c r="C1795" s="116">
        <v>33.397904216467502</v>
      </c>
      <c r="D1795" s="116">
        <v>31.999086985391799</v>
      </c>
      <c r="E1795" s="116">
        <v>32.8859188247012</v>
      </c>
      <c r="F1795" s="116">
        <v>36.53</v>
      </c>
      <c r="G1795">
        <v>926257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45523</v>
      </c>
      <c r="B1796" s="116">
        <v>34.6961528884462</v>
      </c>
      <c r="C1796" s="116">
        <v>34.6047269256308</v>
      </c>
      <c r="D1796" s="116">
        <v>33.370476427622798</v>
      </c>
      <c r="E1796" s="116">
        <v>33.717895086321398</v>
      </c>
      <c r="F1796" s="116">
        <v>37.85</v>
      </c>
      <c r="G1796">
        <v>1658591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45524</v>
      </c>
      <c r="B1797" s="116">
        <v>35.107569721115503</v>
      </c>
      <c r="C1797" s="116">
        <v>34.431017596281499</v>
      </c>
      <c r="D1797" s="116">
        <v>34.193310092961497</v>
      </c>
      <c r="E1797" s="116">
        <v>35.098427124833997</v>
      </c>
      <c r="F1797" s="116">
        <v>37.659999999999997</v>
      </c>
      <c r="G1797">
        <v>920742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45525</v>
      </c>
      <c r="B1798" s="116">
        <v>35.016143758300103</v>
      </c>
      <c r="C1798" s="116">
        <v>34.897290006640098</v>
      </c>
      <c r="D1798" s="116">
        <v>34.293878652058403</v>
      </c>
      <c r="E1798" s="116">
        <v>34.431017596281499</v>
      </c>
      <c r="F1798" s="116">
        <v>38.17</v>
      </c>
      <c r="G1798">
        <v>1642314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45526</v>
      </c>
      <c r="B1799" s="116">
        <v>36.634383300132797</v>
      </c>
      <c r="C1799" s="116">
        <v>36.634383300132797</v>
      </c>
      <c r="D1799" s="116">
        <v>35.656125498008002</v>
      </c>
      <c r="E1799" s="116">
        <v>36.561242529880502</v>
      </c>
      <c r="F1799" s="116">
        <v>40.07</v>
      </c>
      <c r="G1799">
        <v>3207809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45527</v>
      </c>
      <c r="B1800" s="116">
        <v>38.462902556440902</v>
      </c>
      <c r="C1800" s="116">
        <v>38.325763612217798</v>
      </c>
      <c r="D1800" s="116">
        <v>37.073227921646698</v>
      </c>
      <c r="E1800" s="116">
        <v>38.3897617861886</v>
      </c>
      <c r="F1800" s="116">
        <v>41.92</v>
      </c>
      <c r="G1800">
        <v>5722974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45530</v>
      </c>
      <c r="B1801" s="116">
        <v>40.236566235059797</v>
      </c>
      <c r="C1801" s="116">
        <v>40.236566235059797</v>
      </c>
      <c r="D1801" s="116">
        <v>39.331449203187297</v>
      </c>
      <c r="E1801" s="116">
        <v>40.227423638778198</v>
      </c>
      <c r="F1801" s="116">
        <v>44.01</v>
      </c>
      <c r="G1801">
        <v>4633888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45531</v>
      </c>
      <c r="B1802" s="116">
        <v>41.873090969455497</v>
      </c>
      <c r="C1802" s="116">
        <v>40.9222609561753</v>
      </c>
      <c r="D1802" s="116">
        <v>39.825149402390402</v>
      </c>
      <c r="E1802" s="116">
        <v>41.873090969455497</v>
      </c>
      <c r="F1802" s="116">
        <v>44.76</v>
      </c>
      <c r="G1802">
        <v>4686117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45532</v>
      </c>
      <c r="B1803" s="116">
        <v>41.141683266932297</v>
      </c>
      <c r="C1803" s="116">
        <v>39.011458333333302</v>
      </c>
      <c r="D1803" s="116">
        <v>38.883461985391797</v>
      </c>
      <c r="E1803" s="116">
        <v>41.123398074369199</v>
      </c>
      <c r="F1803" s="116">
        <v>42.67</v>
      </c>
      <c r="G1803">
        <v>2713996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45533</v>
      </c>
      <c r="B1804" s="116">
        <v>39.770293824701199</v>
      </c>
      <c r="C1804" s="116">
        <v>38.426332171314698</v>
      </c>
      <c r="D1804" s="116">
        <v>37.393218791500701</v>
      </c>
      <c r="E1804" s="116">
        <v>39.2948788180611</v>
      </c>
      <c r="F1804" s="116">
        <v>42.03</v>
      </c>
      <c r="G1804">
        <v>2925747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45534</v>
      </c>
      <c r="B1805" s="116">
        <v>39.496015936254999</v>
      </c>
      <c r="C1805" s="116">
        <v>38.636611885790202</v>
      </c>
      <c r="D1805" s="116">
        <v>37.9509171646746</v>
      </c>
      <c r="E1805" s="116">
        <v>38.8560341965471</v>
      </c>
      <c r="F1805" s="116">
        <v>42.26</v>
      </c>
      <c r="G1805">
        <v>1380859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45537</v>
      </c>
      <c r="B1806" s="116">
        <v>39.2034528552457</v>
      </c>
      <c r="C1806" s="116">
        <v>37.612641102257598</v>
      </c>
      <c r="D1806" s="116">
        <v>37.164653884462098</v>
      </c>
      <c r="E1806" s="116">
        <v>38.636611885790202</v>
      </c>
      <c r="F1806" s="116">
        <v>41.14</v>
      </c>
      <c r="G1806">
        <v>1348102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45538</v>
      </c>
      <c r="B1807" s="116">
        <v>38.097198705179302</v>
      </c>
      <c r="C1807" s="116">
        <v>36.936088977423601</v>
      </c>
      <c r="D1807" s="116">
        <v>36.570385126162002</v>
      </c>
      <c r="E1807" s="116">
        <v>37.612641102257598</v>
      </c>
      <c r="F1807" s="116">
        <v>40.4</v>
      </c>
      <c r="G1807">
        <v>1004627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45539</v>
      </c>
      <c r="B1808" s="116">
        <v>37.027514940239001</v>
      </c>
      <c r="C1808" s="116">
        <v>36.643525896414303</v>
      </c>
      <c r="D1808" s="116">
        <v>36.113255312085002</v>
      </c>
      <c r="E1808" s="116">
        <v>36.524672144754298</v>
      </c>
      <c r="F1808" s="116">
        <v>40.08</v>
      </c>
      <c r="G1808">
        <v>970846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45540</v>
      </c>
      <c r="B1809" s="116">
        <v>38.2160524568393</v>
      </c>
      <c r="C1809" s="116">
        <v>37.365791002656003</v>
      </c>
      <c r="D1809" s="116">
        <v>36.5886703187251</v>
      </c>
      <c r="E1809" s="116">
        <v>36.5886703187251</v>
      </c>
      <c r="F1809" s="116">
        <v>40.869999999999997</v>
      </c>
      <c r="G1809">
        <v>697157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45541</v>
      </c>
      <c r="B1810" s="116">
        <v>37.804635624169997</v>
      </c>
      <c r="C1810" s="116">
        <v>36.478959163346602</v>
      </c>
      <c r="D1810" s="116">
        <v>35.976116367861898</v>
      </c>
      <c r="E1810" s="116">
        <v>37.027514940239001</v>
      </c>
      <c r="F1810" s="116">
        <v>39.9</v>
      </c>
      <c r="G1810">
        <v>1316535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45544</v>
      </c>
      <c r="B1811" s="116">
        <v>37.027514940239001</v>
      </c>
      <c r="C1811" s="116">
        <v>36.442388778220497</v>
      </c>
      <c r="D1811" s="116">
        <v>35.976116367861898</v>
      </c>
      <c r="E1811" s="116">
        <v>36.753237051792802</v>
      </c>
      <c r="F1811" s="116">
        <v>39.86</v>
      </c>
      <c r="G1811">
        <v>1853636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45545</v>
      </c>
      <c r="B1812" s="116">
        <v>37.256079847277597</v>
      </c>
      <c r="C1812" s="116">
        <v>36.4149609893758</v>
      </c>
      <c r="D1812" s="116">
        <v>36.250394256308098</v>
      </c>
      <c r="E1812" s="116">
        <v>36.442388778220497</v>
      </c>
      <c r="F1812" s="116">
        <v>39.83</v>
      </c>
      <c r="G1812">
        <v>758440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45546</v>
      </c>
      <c r="B1813" s="116">
        <v>36.826377822045202</v>
      </c>
      <c r="C1813" s="116">
        <v>36.177253486055797</v>
      </c>
      <c r="D1813" s="116">
        <v>36.122397908366501</v>
      </c>
      <c r="E1813" s="116">
        <v>36.4149609893758</v>
      </c>
      <c r="F1813" s="116">
        <v>39.57</v>
      </c>
      <c r="G1813">
        <v>656615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45547</v>
      </c>
      <c r="B1814" s="116">
        <v>37.978344953519297</v>
      </c>
      <c r="C1814" s="116">
        <v>37.4115039840637</v>
      </c>
      <c r="D1814" s="116">
        <v>36.113255312085002</v>
      </c>
      <c r="E1814" s="116">
        <v>36.478959163346602</v>
      </c>
      <c r="F1814" s="116">
        <v>40.92</v>
      </c>
      <c r="G1814">
        <v>1876067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45548</v>
      </c>
      <c r="B1815" s="116">
        <v>38.3989043824701</v>
      </c>
      <c r="C1815" s="116">
        <v>37.9509171646746</v>
      </c>
      <c r="D1815" s="116">
        <v>37.027514940239001</v>
      </c>
      <c r="E1815" s="116">
        <v>37.027514940239001</v>
      </c>
      <c r="F1815" s="116">
        <v>41.51</v>
      </c>
      <c r="G1815">
        <v>1912327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45551</v>
      </c>
      <c r="B1816" s="116">
        <v>38.6640396746348</v>
      </c>
      <c r="C1816" s="116">
        <v>38.088056108897703</v>
      </c>
      <c r="D1816" s="116">
        <v>37.5760707171315</v>
      </c>
      <c r="E1816" s="116">
        <v>38.3074784196547</v>
      </c>
      <c r="F1816" s="116">
        <v>41.66</v>
      </c>
      <c r="G1816">
        <v>1487091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45552</v>
      </c>
      <c r="B1817" s="116">
        <v>38.892604581673297</v>
      </c>
      <c r="C1817" s="116">
        <v>38.252622841965497</v>
      </c>
      <c r="D1817" s="116">
        <v>38.0332005312085</v>
      </c>
      <c r="E1817" s="116">
        <v>38.344048804780897</v>
      </c>
      <c r="F1817" s="116">
        <v>41.84</v>
      </c>
      <c r="G1817">
        <v>932717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45553</v>
      </c>
      <c r="B1818" s="116">
        <v>39.8434345949535</v>
      </c>
      <c r="C1818" s="116">
        <v>39.697153054448897</v>
      </c>
      <c r="D1818" s="116">
        <v>38.3074784196547</v>
      </c>
      <c r="E1818" s="116">
        <v>38.3989043824701</v>
      </c>
      <c r="F1818" s="116">
        <v>43.42</v>
      </c>
      <c r="G1818">
        <v>3440397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45554</v>
      </c>
      <c r="B1819" s="116">
        <v>40.593127490039798</v>
      </c>
      <c r="C1819" s="116">
        <v>39.093741699867202</v>
      </c>
      <c r="D1819" s="116">
        <v>37.7680652390438</v>
      </c>
      <c r="E1819" s="116">
        <v>39.861719787516599</v>
      </c>
      <c r="F1819" s="116">
        <v>42.76</v>
      </c>
      <c r="G1819">
        <v>2865820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45555</v>
      </c>
      <c r="B1820" s="116">
        <v>40.227423638778198</v>
      </c>
      <c r="C1820" s="116">
        <v>38.883461985391797</v>
      </c>
      <c r="D1820" s="116">
        <v>38.078913512616197</v>
      </c>
      <c r="E1820" s="116">
        <v>39.404589973439599</v>
      </c>
      <c r="F1820" s="116">
        <v>42.53</v>
      </c>
      <c r="G1820">
        <v>1690531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45558</v>
      </c>
      <c r="B1821" s="116">
        <v>40.821692397078401</v>
      </c>
      <c r="C1821" s="116">
        <v>40.666268260292199</v>
      </c>
      <c r="D1821" s="116">
        <v>38.3989043824701</v>
      </c>
      <c r="E1821" s="116">
        <v>38.536043326693203</v>
      </c>
      <c r="F1821" s="116">
        <v>44.48</v>
      </c>
      <c r="G1821">
        <v>2842261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45559</v>
      </c>
      <c r="B1822" s="116">
        <v>42.695924634794203</v>
      </c>
      <c r="C1822" s="116">
        <v>42.695924634794203</v>
      </c>
      <c r="D1822" s="116">
        <v>41.699381640106203</v>
      </c>
      <c r="E1822" s="116">
        <v>42.695924634794203</v>
      </c>
      <c r="F1822" s="116">
        <v>46.7</v>
      </c>
      <c r="G1822">
        <v>2261718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45560</v>
      </c>
      <c r="B1823" s="116">
        <v>44.789579183266902</v>
      </c>
      <c r="C1823" s="116">
        <v>41.836520584329399</v>
      </c>
      <c r="D1823" s="116">
        <v>41.233109229747697</v>
      </c>
      <c r="E1823" s="116">
        <v>44.753008798140797</v>
      </c>
      <c r="F1823" s="116">
        <v>45.76</v>
      </c>
      <c r="G1823">
        <v>4851527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45561</v>
      </c>
      <c r="B1824" s="116">
        <v>43.921032536520599</v>
      </c>
      <c r="C1824" s="116">
        <v>43.921032536520599</v>
      </c>
      <c r="D1824" s="116">
        <v>42.055942895086297</v>
      </c>
      <c r="E1824" s="116">
        <v>42.055942895086297</v>
      </c>
      <c r="F1824" s="116">
        <v>48.04</v>
      </c>
      <c r="G1824">
        <v>3970794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45562</v>
      </c>
      <c r="B1825" s="116">
        <v>45.164425630810101</v>
      </c>
      <c r="C1825" s="116">
        <v>44.378162350597599</v>
      </c>
      <c r="D1825" s="116">
        <v>43.793036188579002</v>
      </c>
      <c r="E1825" s="116">
        <v>43.975888114209802</v>
      </c>
      <c r="F1825" s="116">
        <v>48.54</v>
      </c>
      <c r="G1825">
        <v>2768478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45565</v>
      </c>
      <c r="B1826" s="116">
        <v>46.581528054448903</v>
      </c>
      <c r="C1826" s="116">
        <v>45.200996015936298</v>
      </c>
      <c r="D1826" s="116">
        <v>44.341591965471501</v>
      </c>
      <c r="E1826" s="116">
        <v>45.7129814077025</v>
      </c>
      <c r="F1826" s="116">
        <v>49.44</v>
      </c>
      <c r="G1826">
        <v>3356603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45566</v>
      </c>
      <c r="B1827" s="116">
        <v>46.352963147410399</v>
      </c>
      <c r="C1827" s="116">
        <v>45.658125830013297</v>
      </c>
      <c r="D1827" s="116">
        <v>44.021601095617498</v>
      </c>
      <c r="E1827" s="116">
        <v>45.667268426294797</v>
      </c>
      <c r="F1827" s="116">
        <v>49.94</v>
      </c>
      <c r="G1827">
        <v>2603043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45568</v>
      </c>
      <c r="B1828" s="116">
        <v>47.029515272244403</v>
      </c>
      <c r="C1828" s="116">
        <v>45.639840637450199</v>
      </c>
      <c r="D1828" s="116">
        <v>44.076456673306801</v>
      </c>
      <c r="E1828" s="116">
        <v>44.707295816733101</v>
      </c>
      <c r="F1828" s="116">
        <v>49.92</v>
      </c>
      <c r="G1828">
        <v>2758869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45569</v>
      </c>
      <c r="B1829" s="116">
        <v>46.352963147410399</v>
      </c>
      <c r="C1829" s="116">
        <v>45.164425630810101</v>
      </c>
      <c r="D1829" s="116">
        <v>44.798721779548501</v>
      </c>
      <c r="E1829" s="116">
        <v>45.923261122177998</v>
      </c>
      <c r="F1829" s="116">
        <v>49.4</v>
      </c>
      <c r="G1829">
        <v>1523761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45572</v>
      </c>
      <c r="B1830" s="116">
        <v>45.703838811421001</v>
      </c>
      <c r="C1830" s="116">
        <v>42.906204349269601</v>
      </c>
      <c r="D1830" s="116">
        <v>42.906204349269601</v>
      </c>
      <c r="E1830" s="116">
        <v>45.5301294820717</v>
      </c>
      <c r="F1830" s="116">
        <v>46.93</v>
      </c>
      <c r="G1830">
        <v>2679119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45573</v>
      </c>
      <c r="B1831" s="116">
        <v>43.418189741035903</v>
      </c>
      <c r="C1831" s="116">
        <v>42.933632138114199</v>
      </c>
      <c r="D1831" s="116">
        <v>40.775979415670697</v>
      </c>
      <c r="E1831" s="116">
        <v>42.101655876494</v>
      </c>
      <c r="F1831" s="116">
        <v>46.96</v>
      </c>
      <c r="G1831">
        <v>2488912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45574</v>
      </c>
      <c r="B1832" s="116">
        <v>45.072999667994701</v>
      </c>
      <c r="C1832" s="116">
        <v>45.072999667994701</v>
      </c>
      <c r="D1832" s="116">
        <v>42.979345119521902</v>
      </c>
      <c r="E1832" s="116">
        <v>43.427332337317402</v>
      </c>
      <c r="F1832" s="116">
        <v>49.3</v>
      </c>
      <c r="G1832">
        <v>1634396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45575</v>
      </c>
      <c r="B1833" s="116">
        <v>47.322078353253701</v>
      </c>
      <c r="C1833" s="116">
        <v>46.471816899070397</v>
      </c>
      <c r="D1833" s="116">
        <v>45.374705345285498</v>
      </c>
      <c r="E1833" s="116">
        <v>47.322078353253701</v>
      </c>
      <c r="F1833" s="116">
        <v>50.83</v>
      </c>
      <c r="G1833">
        <v>4655262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45576</v>
      </c>
      <c r="B1834" s="116">
        <v>46.992944887118199</v>
      </c>
      <c r="C1834" s="116">
        <v>46.535815073041199</v>
      </c>
      <c r="D1834" s="116">
        <v>45.301564575033197</v>
      </c>
      <c r="E1834" s="116">
        <v>46.855805942895103</v>
      </c>
      <c r="F1834" s="116">
        <v>50.9</v>
      </c>
      <c r="G1834">
        <v>1520194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45579</v>
      </c>
      <c r="B1835" s="116">
        <v>46.9746596945551</v>
      </c>
      <c r="C1835" s="116">
        <v>45.548414674634799</v>
      </c>
      <c r="D1835" s="116">
        <v>44.981573705179301</v>
      </c>
      <c r="E1835" s="116">
        <v>46.627241035856599</v>
      </c>
      <c r="F1835" s="116">
        <v>49.82</v>
      </c>
      <c r="G1835">
        <v>1041094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45580</v>
      </c>
      <c r="B1836" s="116">
        <v>46.581528054448903</v>
      </c>
      <c r="C1836" s="116">
        <v>45.813549966799499</v>
      </c>
      <c r="D1836" s="116">
        <v>45.255851593625501</v>
      </c>
      <c r="E1836" s="116">
        <v>45.301564575033197</v>
      </c>
      <c r="F1836" s="116">
        <v>50.11</v>
      </c>
      <c r="G1836">
        <v>1581608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45581</v>
      </c>
      <c r="B1837" s="116">
        <v>48.099199037184597</v>
      </c>
      <c r="C1837" s="116">
        <v>48.099199037184597</v>
      </c>
      <c r="D1837" s="116">
        <v>45.932403718459497</v>
      </c>
      <c r="E1837" s="116">
        <v>45.932403718459497</v>
      </c>
      <c r="F1837" s="116">
        <v>52.61</v>
      </c>
      <c r="G1837">
        <v>2045878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45582</v>
      </c>
      <c r="B1838" s="116">
        <v>49.918575697211203</v>
      </c>
      <c r="C1838" s="116">
        <v>49.360877324037197</v>
      </c>
      <c r="D1838" s="116">
        <v>46.581528054448903</v>
      </c>
      <c r="E1838" s="116">
        <v>49.5985848273572</v>
      </c>
      <c r="F1838" s="116">
        <v>53.99</v>
      </c>
      <c r="G1838">
        <v>2908279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45583</v>
      </c>
      <c r="B1839" s="116">
        <v>49.406590305444901</v>
      </c>
      <c r="C1839" s="116">
        <v>48.227195385126201</v>
      </c>
      <c r="D1839" s="116">
        <v>47.130083831341302</v>
      </c>
      <c r="E1839" s="116">
        <v>49.095742031872497</v>
      </c>
      <c r="F1839" s="116">
        <v>52.75</v>
      </c>
      <c r="G1839">
        <v>824042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45586</v>
      </c>
      <c r="B1840" s="116">
        <v>48.9677456839309</v>
      </c>
      <c r="C1840" s="116">
        <v>46.864948539176602</v>
      </c>
      <c r="D1840" s="116">
        <v>46.627241035856599</v>
      </c>
      <c r="E1840" s="116">
        <v>48.547186254980097</v>
      </c>
      <c r="F1840" s="116">
        <v>51.26</v>
      </c>
      <c r="G1840">
        <v>536740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45587</v>
      </c>
      <c r="B1841" s="116">
        <v>47.3403635458167</v>
      </c>
      <c r="C1841" s="116">
        <v>44.524443891102301</v>
      </c>
      <c r="D1841" s="116">
        <v>44.524443891102301</v>
      </c>
      <c r="E1841" s="116">
        <v>47.3403635458167</v>
      </c>
      <c r="F1841" s="116">
        <v>48.7</v>
      </c>
      <c r="G1841">
        <v>621095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45588</v>
      </c>
      <c r="B1842" s="116">
        <v>43.884462151394402</v>
      </c>
      <c r="C1842" s="116">
        <v>42.302792994687898</v>
      </c>
      <c r="D1842" s="116">
        <v>42.302792994687898</v>
      </c>
      <c r="E1842" s="116">
        <v>42.613641268260302</v>
      </c>
      <c r="F1842" s="116">
        <v>46.27</v>
      </c>
      <c r="G1842">
        <v>1300511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45589</v>
      </c>
      <c r="B1843" s="116">
        <v>42.951917330677297</v>
      </c>
      <c r="C1843" s="116">
        <v>41.726809428950901</v>
      </c>
      <c r="D1843" s="116">
        <v>40.684553452855198</v>
      </c>
      <c r="E1843" s="116">
        <v>41.333677788844597</v>
      </c>
      <c r="F1843" s="116">
        <v>45.64</v>
      </c>
      <c r="G1843">
        <v>518375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45590</v>
      </c>
      <c r="B1844" s="116">
        <v>42.311935590969497</v>
      </c>
      <c r="C1844" s="116">
        <v>39.642297476759602</v>
      </c>
      <c r="D1844" s="116">
        <v>39.642297476759602</v>
      </c>
      <c r="E1844" s="116">
        <v>41.233109229747697</v>
      </c>
      <c r="F1844" s="116">
        <v>43.36</v>
      </c>
      <c r="G1844">
        <v>877621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45593</v>
      </c>
      <c r="B1845" s="116">
        <v>41.589670484727797</v>
      </c>
      <c r="C1845" s="116">
        <v>40.346277390438303</v>
      </c>
      <c r="D1845" s="116">
        <v>37.8503486055777</v>
      </c>
      <c r="E1845" s="116">
        <v>39.6697252656042</v>
      </c>
      <c r="F1845" s="116">
        <v>44.13</v>
      </c>
      <c r="G1845">
        <v>620896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45594</v>
      </c>
      <c r="B1846" s="116">
        <v>40.903975763612202</v>
      </c>
      <c r="C1846" s="116">
        <v>40.190853253652101</v>
      </c>
      <c r="D1846" s="116">
        <v>39.496015936254999</v>
      </c>
      <c r="E1846" s="116">
        <v>40.867405378486097</v>
      </c>
      <c r="F1846" s="116">
        <v>43.96</v>
      </c>
      <c r="G1846">
        <v>155857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45595</v>
      </c>
      <c r="B1847" s="116">
        <v>42.1930818393094</v>
      </c>
      <c r="C1847" s="116">
        <v>42.1930818393094</v>
      </c>
      <c r="D1847" s="116">
        <v>40.501701527224398</v>
      </c>
      <c r="E1847" s="116">
        <v>40.501701527224398</v>
      </c>
      <c r="F1847" s="116">
        <v>46.15</v>
      </c>
      <c r="G1847">
        <v>358544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45596</v>
      </c>
      <c r="B1848" s="116">
        <v>44.295878984063698</v>
      </c>
      <c r="C1848" s="116">
        <v>44.295878984063698</v>
      </c>
      <c r="D1848" s="116">
        <v>43.153054448871202</v>
      </c>
      <c r="E1848" s="116">
        <v>43.893604747676001</v>
      </c>
      <c r="F1848" s="116">
        <v>48.45</v>
      </c>
      <c r="G1848">
        <v>1167414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45597</v>
      </c>
      <c r="B1849" s="116">
        <v>45.7129814077025</v>
      </c>
      <c r="C1849" s="116">
        <v>45.1735682270916</v>
      </c>
      <c r="D1849" s="116">
        <v>44.707295816733101</v>
      </c>
      <c r="E1849" s="116">
        <v>45.703838811421001</v>
      </c>
      <c r="F1849" s="116">
        <v>49.41</v>
      </c>
      <c r="G1849">
        <v>439111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45600</v>
      </c>
      <c r="B1850" s="116">
        <v>46.005544488711799</v>
      </c>
      <c r="C1850" s="116">
        <v>43.0067729083665</v>
      </c>
      <c r="D1850" s="116">
        <v>42.9153469455511</v>
      </c>
      <c r="E1850" s="116">
        <v>45.8044073705179</v>
      </c>
      <c r="F1850" s="116">
        <v>47.04</v>
      </c>
      <c r="G1850">
        <v>449768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45601</v>
      </c>
      <c r="B1851" s="116">
        <v>44.743866201859198</v>
      </c>
      <c r="C1851" s="116">
        <v>42.494787516600297</v>
      </c>
      <c r="D1851" s="116">
        <v>41.763379814076998</v>
      </c>
      <c r="E1851" s="116">
        <v>42.046800298804797</v>
      </c>
      <c r="F1851" s="116">
        <v>46.48</v>
      </c>
      <c r="G1851">
        <v>306630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45602</v>
      </c>
      <c r="B1852" s="116">
        <v>44.615869853917701</v>
      </c>
      <c r="C1852" s="116">
        <v>44.615869853917701</v>
      </c>
      <c r="D1852" s="116">
        <v>42.2845078021248</v>
      </c>
      <c r="E1852" s="116">
        <v>42.2845078021248</v>
      </c>
      <c r="F1852" s="116">
        <v>48.8</v>
      </c>
      <c r="G1852">
        <v>375110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45603</v>
      </c>
      <c r="B1853" s="116">
        <v>46.517529880478101</v>
      </c>
      <c r="C1853" s="116">
        <v>45.685553618857902</v>
      </c>
      <c r="D1853" s="116">
        <v>44.0855992695883</v>
      </c>
      <c r="E1853" s="116">
        <v>45.118712649402397</v>
      </c>
      <c r="F1853" s="116">
        <v>49.97</v>
      </c>
      <c r="G1853">
        <v>533277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45604</v>
      </c>
      <c r="B1854" s="116">
        <v>46.627241035856599</v>
      </c>
      <c r="C1854" s="116">
        <v>44.094741865869899</v>
      </c>
      <c r="D1854" s="116">
        <v>43.564471281540499</v>
      </c>
      <c r="E1854" s="116">
        <v>46.151826029216501</v>
      </c>
      <c r="F1854" s="116">
        <v>48.23</v>
      </c>
      <c r="G1854">
        <v>238926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45607</v>
      </c>
      <c r="B1855" s="116">
        <v>43.783893592297503</v>
      </c>
      <c r="C1855" s="116">
        <v>42.449074535192601</v>
      </c>
      <c r="D1855" s="116">
        <v>42.055942895086297</v>
      </c>
      <c r="E1855" s="116">
        <v>43.537043492695901</v>
      </c>
      <c r="F1855" s="116">
        <v>46.43</v>
      </c>
      <c r="G1855">
        <v>283091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45608</v>
      </c>
      <c r="B1856" s="116">
        <v>43.793036188579002</v>
      </c>
      <c r="C1856" s="116">
        <v>41.598813081009297</v>
      </c>
      <c r="D1856" s="116">
        <v>41.324535192563097</v>
      </c>
      <c r="E1856" s="116">
        <v>43.134769256308097</v>
      </c>
      <c r="F1856" s="116">
        <v>45.5</v>
      </c>
      <c r="G1856">
        <v>153793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45609</v>
      </c>
      <c r="B1857" s="116">
        <v>41.8273779880478</v>
      </c>
      <c r="C1857" s="116">
        <v>39.733723439575002</v>
      </c>
      <c r="D1857" s="116">
        <v>39.523443725099597</v>
      </c>
      <c r="E1857" s="116">
        <v>40.785122011952197</v>
      </c>
      <c r="F1857" s="116">
        <v>43.46</v>
      </c>
      <c r="G1857">
        <v>340306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45610</v>
      </c>
      <c r="B1858" s="116">
        <v>41.214824037184599</v>
      </c>
      <c r="C1858" s="116">
        <v>40.3005644090305</v>
      </c>
      <c r="D1858" s="116">
        <v>39.240023240371798</v>
      </c>
      <c r="E1858" s="116">
        <v>39.377162184595001</v>
      </c>
      <c r="F1858" s="116">
        <v>44.08</v>
      </c>
      <c r="G1858">
        <v>285017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45614</v>
      </c>
      <c r="B1859" s="116">
        <v>42.238794820717096</v>
      </c>
      <c r="C1859" s="116">
        <v>40.9314035524568</v>
      </c>
      <c r="D1859" s="116">
        <v>39.880004980079697</v>
      </c>
      <c r="E1859" s="116">
        <v>41.004544322709201</v>
      </c>
      <c r="F1859" s="116">
        <v>44.77</v>
      </c>
      <c r="G1859">
        <v>458560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45615</v>
      </c>
      <c r="B1860" s="116">
        <v>42.970202523240403</v>
      </c>
      <c r="C1860" s="116">
        <v>42.019372509960199</v>
      </c>
      <c r="D1860" s="116">
        <v>41.507387118193897</v>
      </c>
      <c r="E1860" s="116">
        <v>41.580527888446198</v>
      </c>
      <c r="F1860" s="116">
        <v>45.96</v>
      </c>
      <c r="G1860">
        <v>246865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45617</v>
      </c>
      <c r="B1861" s="116">
        <v>42.0102299136786</v>
      </c>
      <c r="C1861" s="116">
        <v>40.190853253652101</v>
      </c>
      <c r="D1861" s="116">
        <v>39.9257179614874</v>
      </c>
      <c r="E1861" s="116">
        <v>42.0102299136786</v>
      </c>
      <c r="F1861" s="116">
        <v>43.96</v>
      </c>
      <c r="G1861">
        <v>284040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45618</v>
      </c>
      <c r="B1862" s="116">
        <v>41.178253652058402</v>
      </c>
      <c r="C1862" s="116">
        <v>40.291421812749</v>
      </c>
      <c r="D1862" s="116">
        <v>39.432017762284197</v>
      </c>
      <c r="E1862" s="116">
        <v>40.483416334661399</v>
      </c>
      <c r="F1862" s="116">
        <v>44.07</v>
      </c>
      <c r="G1862">
        <v>172532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45621</v>
      </c>
      <c r="B1863" s="116">
        <v>42.147368857901697</v>
      </c>
      <c r="C1863" s="116">
        <v>40.995401726427602</v>
      </c>
      <c r="D1863" s="116">
        <v>40.245708831341297</v>
      </c>
      <c r="E1863" s="116">
        <v>40.556557104913701</v>
      </c>
      <c r="F1863" s="116">
        <v>44.84</v>
      </c>
      <c r="G1863">
        <v>177981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45622</v>
      </c>
      <c r="B1864" s="116">
        <v>41.854805776892398</v>
      </c>
      <c r="C1864" s="116">
        <v>40.519986719787497</v>
      </c>
      <c r="D1864" s="116">
        <v>40.218281042496699</v>
      </c>
      <c r="E1864" s="116">
        <v>41.370248173970801</v>
      </c>
      <c r="F1864" s="116">
        <v>44.32</v>
      </c>
      <c r="G1864">
        <v>213000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45623</v>
      </c>
      <c r="B1865" s="116">
        <v>42.540500498008001</v>
      </c>
      <c r="C1865" s="116">
        <v>42.503930112881797</v>
      </c>
      <c r="D1865" s="116">
        <v>40.337134794156697</v>
      </c>
      <c r="E1865" s="116">
        <v>40.913118359893801</v>
      </c>
      <c r="F1865" s="116">
        <v>46.49</v>
      </c>
      <c r="G1865">
        <v>347832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45624</v>
      </c>
      <c r="B1866" s="116">
        <v>44.250166002656002</v>
      </c>
      <c r="C1866" s="116">
        <v>43.326763778220503</v>
      </c>
      <c r="D1866" s="116">
        <v>42.247937416998703</v>
      </c>
      <c r="E1866" s="116">
        <v>42.247937416998703</v>
      </c>
      <c r="F1866" s="116">
        <v>47.39</v>
      </c>
      <c r="G1866">
        <v>277652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45625</v>
      </c>
      <c r="B1867" s="116">
        <v>44.195310424966799</v>
      </c>
      <c r="C1867" s="116">
        <v>43.5461860889774</v>
      </c>
      <c r="D1867" s="116">
        <v>42.942774734395698</v>
      </c>
      <c r="E1867" s="116">
        <v>44.039886288180597</v>
      </c>
      <c r="F1867" s="116">
        <v>47.63</v>
      </c>
      <c r="G1867">
        <v>154573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45628</v>
      </c>
      <c r="B1868" s="116">
        <v>44.780436586985402</v>
      </c>
      <c r="C1868" s="116">
        <v>44.195310424966799</v>
      </c>
      <c r="D1868" s="116">
        <v>42.979345119521902</v>
      </c>
      <c r="E1868" s="116">
        <v>44.113027058432898</v>
      </c>
      <c r="F1868" s="116">
        <v>48.34</v>
      </c>
      <c r="G1868">
        <v>389331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45629</v>
      </c>
      <c r="B1869" s="116">
        <v>45.594127656042502</v>
      </c>
      <c r="C1869" s="116">
        <v>44.908432934926999</v>
      </c>
      <c r="D1869" s="116">
        <v>44.423875332005302</v>
      </c>
      <c r="E1869" s="116">
        <v>44.698153220451502</v>
      </c>
      <c r="F1869" s="116">
        <v>49.12</v>
      </c>
      <c r="G1869">
        <v>364427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45630</v>
      </c>
      <c r="B1870" s="116">
        <v>46.992944887118199</v>
      </c>
      <c r="C1870" s="116">
        <v>46.170111221779599</v>
      </c>
      <c r="D1870" s="116">
        <v>45.164425630810101</v>
      </c>
      <c r="E1870" s="116">
        <v>45.5301294820717</v>
      </c>
      <c r="F1870" s="116">
        <v>50.5</v>
      </c>
      <c r="G1870">
        <v>337189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45631</v>
      </c>
      <c r="B1871" s="116">
        <v>46.947231905710503</v>
      </c>
      <c r="C1871" s="116">
        <v>44.9907163014608</v>
      </c>
      <c r="D1871" s="116">
        <v>44.570156872509997</v>
      </c>
      <c r="E1871" s="116">
        <v>46.855805942895103</v>
      </c>
      <c r="F1871" s="116">
        <v>49.21</v>
      </c>
      <c r="G1871">
        <v>272436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45632</v>
      </c>
      <c r="B1872" s="116">
        <v>46.627241035856599</v>
      </c>
      <c r="C1872" s="116">
        <v>45.109570053120898</v>
      </c>
      <c r="D1872" s="116">
        <v>44.551871679946899</v>
      </c>
      <c r="E1872" s="116">
        <v>45.255851593625501</v>
      </c>
      <c r="F1872" s="116">
        <v>49.34</v>
      </c>
      <c r="G1872">
        <v>284978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45635</v>
      </c>
      <c r="B1873" s="116">
        <v>47.139226427622802</v>
      </c>
      <c r="C1873" s="116">
        <v>46.087827855245699</v>
      </c>
      <c r="D1873" s="116">
        <v>44.981573705179301</v>
      </c>
      <c r="E1873" s="116">
        <v>45.164425630810101</v>
      </c>
      <c r="F1873" s="116">
        <v>50.41</v>
      </c>
      <c r="G1873">
        <v>315067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45636</v>
      </c>
      <c r="B1874" s="116">
        <v>46.480959495351897</v>
      </c>
      <c r="C1874" s="116">
        <v>44.698153220451502</v>
      </c>
      <c r="D1874" s="116">
        <v>43.893604747676001</v>
      </c>
      <c r="E1874" s="116">
        <v>46.480959495351897</v>
      </c>
      <c r="F1874" s="116">
        <v>48.89</v>
      </c>
      <c r="G1874">
        <v>424394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45637</v>
      </c>
      <c r="B1875" s="116">
        <v>45.484416500663997</v>
      </c>
      <c r="C1875" s="116">
        <v>44.670725431606897</v>
      </c>
      <c r="D1875" s="116">
        <v>44.442160524568401</v>
      </c>
      <c r="E1875" s="116">
        <v>45.210138612217797</v>
      </c>
      <c r="F1875" s="116">
        <v>48.86</v>
      </c>
      <c r="G1875">
        <v>284242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45638</v>
      </c>
      <c r="B1876" s="116">
        <v>44.963288512616202</v>
      </c>
      <c r="C1876" s="116">
        <v>43.756465803452897</v>
      </c>
      <c r="D1876" s="116">
        <v>43.445617529880501</v>
      </c>
      <c r="E1876" s="116">
        <v>44.487873505976097</v>
      </c>
      <c r="F1876" s="116">
        <v>47.86</v>
      </c>
      <c r="G1876">
        <v>201046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45639</v>
      </c>
      <c r="B1877" s="116">
        <v>46.069542662682601</v>
      </c>
      <c r="C1877" s="116">
        <v>45.502701693227102</v>
      </c>
      <c r="D1877" s="116">
        <v>42.805635790172602</v>
      </c>
      <c r="E1877" s="116">
        <v>42.805635790172602</v>
      </c>
      <c r="F1877" s="116">
        <v>49.77</v>
      </c>
      <c r="G1877">
        <v>345784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45642</v>
      </c>
      <c r="B1878" s="116">
        <v>47.084370849933599</v>
      </c>
      <c r="C1878" s="116">
        <v>45.210138612217797</v>
      </c>
      <c r="D1878" s="116">
        <v>44.817006972111599</v>
      </c>
      <c r="E1878" s="116">
        <v>46.142683432934902</v>
      </c>
      <c r="F1878" s="116">
        <v>49.45</v>
      </c>
      <c r="G1878">
        <v>398496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45643</v>
      </c>
      <c r="B1879" s="116">
        <v>45.6215554448871</v>
      </c>
      <c r="C1879" s="116">
        <v>44.762151394422297</v>
      </c>
      <c r="D1879" s="116">
        <v>44.579299468791497</v>
      </c>
      <c r="E1879" s="116">
        <v>44.7164384130146</v>
      </c>
      <c r="F1879" s="116">
        <v>48.96</v>
      </c>
      <c r="G1879">
        <v>215404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45644</v>
      </c>
      <c r="B1880" s="116">
        <v>45.191853419654699</v>
      </c>
      <c r="C1880" s="116">
        <v>43.564471281540499</v>
      </c>
      <c r="D1880" s="116">
        <v>43.299335989375798</v>
      </c>
      <c r="E1880" s="116">
        <v>44.798721779548501</v>
      </c>
      <c r="F1880" s="116">
        <v>47.65</v>
      </c>
      <c r="G1880">
        <v>539987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45645</v>
      </c>
      <c r="B1881" s="116">
        <v>43.162197045152702</v>
      </c>
      <c r="C1881" s="116">
        <v>42.787350597609603</v>
      </c>
      <c r="D1881" s="116">
        <v>42.055942895086297</v>
      </c>
      <c r="E1881" s="116">
        <v>42.531357901726402</v>
      </c>
      <c r="F1881" s="116">
        <v>46.8</v>
      </c>
      <c r="G1881">
        <v>400480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45646</v>
      </c>
      <c r="B1882" s="116">
        <v>43.217052622841997</v>
      </c>
      <c r="C1882" s="116">
        <v>41.8273779880478</v>
      </c>
      <c r="D1882" s="116">
        <v>41.415961155378497</v>
      </c>
      <c r="E1882" s="116">
        <v>42.266222609561801</v>
      </c>
      <c r="F1882" s="116">
        <v>45.75</v>
      </c>
      <c r="G1882">
        <v>230147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45649</v>
      </c>
      <c r="B1883" s="116">
        <v>43.226195219123497</v>
      </c>
      <c r="C1883" s="116">
        <v>41.406818559096898</v>
      </c>
      <c r="D1883" s="116">
        <v>41.141683266932297</v>
      </c>
      <c r="E1883" s="116">
        <v>42.668496845949498</v>
      </c>
      <c r="F1883" s="116">
        <v>45.29</v>
      </c>
      <c r="G1883">
        <v>218215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45650</v>
      </c>
      <c r="B1884" s="116">
        <v>42.403361553784897</v>
      </c>
      <c r="C1884" s="116">
        <v>41.187396248340001</v>
      </c>
      <c r="D1884" s="116">
        <v>41.059399900398397</v>
      </c>
      <c r="E1884" s="116">
        <v>42.037657702523198</v>
      </c>
      <c r="F1884" s="116">
        <v>45.05</v>
      </c>
      <c r="G1884">
        <v>180459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45652</v>
      </c>
      <c r="B1885" s="116">
        <v>41.845663180610899</v>
      </c>
      <c r="C1885" s="116">
        <v>40.775979415670697</v>
      </c>
      <c r="D1885" s="116">
        <v>40.611412682602896</v>
      </c>
      <c r="E1885" s="116">
        <v>41.845663180610899</v>
      </c>
      <c r="F1885" s="116">
        <v>44.6</v>
      </c>
      <c r="G1885">
        <v>183712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45653</v>
      </c>
      <c r="B1886" s="116">
        <v>43.884462151394402</v>
      </c>
      <c r="C1886" s="116">
        <v>42.961059926958796</v>
      </c>
      <c r="D1886" s="116">
        <v>40.684553452855198</v>
      </c>
      <c r="E1886" s="116">
        <v>40.684553452855198</v>
      </c>
      <c r="F1886" s="116">
        <v>46.99</v>
      </c>
      <c r="G1886">
        <v>237183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45656</v>
      </c>
      <c r="B1887" s="116">
        <v>45.255851593625501</v>
      </c>
      <c r="C1887" s="116">
        <v>43.518758300132802</v>
      </c>
      <c r="D1887" s="116">
        <v>42.631926460823401</v>
      </c>
      <c r="E1887" s="116">
        <v>42.961059926958796</v>
      </c>
      <c r="F1887" s="116">
        <v>47.6</v>
      </c>
      <c r="G1887">
        <v>561130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45657</v>
      </c>
      <c r="B1888" s="116">
        <v>46.672954017264303</v>
      </c>
      <c r="C1888" s="116">
        <v>45.063857071713102</v>
      </c>
      <c r="D1888" s="116">
        <v>42.878776560425003</v>
      </c>
      <c r="E1888" s="116">
        <v>42.897061752988101</v>
      </c>
      <c r="F1888" s="116">
        <v>49.29</v>
      </c>
      <c r="G1888">
        <v>639253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45658</v>
      </c>
      <c r="B1889" s="116">
        <v>46.170111221779599</v>
      </c>
      <c r="C1889" s="116">
        <v>45.136997841965503</v>
      </c>
      <c r="D1889" s="116">
        <v>44.835292164674598</v>
      </c>
      <c r="E1889" s="116">
        <v>45.667268426294797</v>
      </c>
      <c r="F1889" s="116">
        <v>49.37</v>
      </c>
      <c r="G1889">
        <v>455563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45659</v>
      </c>
      <c r="B1890" s="116">
        <v>49.644297808764897</v>
      </c>
      <c r="C1890" s="116">
        <v>49.552871845949497</v>
      </c>
      <c r="D1890" s="116">
        <v>45.009001494023899</v>
      </c>
      <c r="E1890" s="116">
        <v>45.118712649402397</v>
      </c>
      <c r="F1890" s="116">
        <v>54.2</v>
      </c>
      <c r="G1890">
        <v>1924631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45660</v>
      </c>
      <c r="B1891" s="116">
        <v>53.932175464807401</v>
      </c>
      <c r="C1891" s="116">
        <v>52.432789674634797</v>
      </c>
      <c r="D1891" s="116">
        <v>49.370019920318697</v>
      </c>
      <c r="E1891" s="116">
        <v>49.379162516600303</v>
      </c>
      <c r="F1891" s="116">
        <v>57.35</v>
      </c>
      <c r="G1891">
        <v>2535365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45663</v>
      </c>
      <c r="B1892" s="116">
        <v>54.5721572045153</v>
      </c>
      <c r="C1892" s="116">
        <v>49.827149734395803</v>
      </c>
      <c r="D1892" s="116">
        <v>49.406590305444901</v>
      </c>
      <c r="E1892" s="116">
        <v>52.487645252324</v>
      </c>
      <c r="F1892" s="116">
        <v>54.5</v>
      </c>
      <c r="G1892">
        <v>1498450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45664</v>
      </c>
      <c r="B1893" s="116">
        <v>54.809864707835303</v>
      </c>
      <c r="C1893" s="116">
        <v>54.499016434262899</v>
      </c>
      <c r="D1893" s="116">
        <v>49.946003486055801</v>
      </c>
      <c r="E1893" s="116">
        <v>49.946003486055801</v>
      </c>
      <c r="F1893" s="116">
        <v>59.61</v>
      </c>
      <c r="G1893">
        <v>1040318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45665</v>
      </c>
      <c r="B1894" s="116">
        <v>54.992716633466102</v>
      </c>
      <c r="C1894" s="116">
        <v>53.045343625497999</v>
      </c>
      <c r="D1894" s="116">
        <v>52.112798804780901</v>
      </c>
      <c r="E1894" s="116">
        <v>54.508159030544498</v>
      </c>
      <c r="F1894" s="116">
        <v>58.02</v>
      </c>
      <c r="G1894">
        <v>970404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45666</v>
      </c>
      <c r="B1895" s="116">
        <v>54.197310756972101</v>
      </c>
      <c r="C1895" s="116">
        <v>52.752780544488701</v>
      </c>
      <c r="D1895" s="116">
        <v>51.929946879150101</v>
      </c>
      <c r="E1895" s="116">
        <v>53.209910358565701</v>
      </c>
      <c r="F1895" s="116">
        <v>57.7</v>
      </c>
      <c r="G1895">
        <v>583564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45667</v>
      </c>
      <c r="B1896" s="116">
        <v>53.621327191235103</v>
      </c>
      <c r="C1896" s="116">
        <v>52.249937749003998</v>
      </c>
      <c r="D1896" s="116">
        <v>50.796264940238999</v>
      </c>
      <c r="E1896" s="116">
        <v>52.524215637450197</v>
      </c>
      <c r="F1896" s="116">
        <v>57.15</v>
      </c>
      <c r="G1896">
        <v>589418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45670</v>
      </c>
      <c r="B1897" s="116">
        <v>52.569928618857901</v>
      </c>
      <c r="C1897" s="116">
        <v>48.556328851261597</v>
      </c>
      <c r="D1897" s="116">
        <v>47.742637782204497</v>
      </c>
      <c r="E1897" s="116">
        <v>52.112798804780901</v>
      </c>
      <c r="F1897" s="116">
        <v>53.11</v>
      </c>
      <c r="G1897">
        <v>493187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45671</v>
      </c>
      <c r="B1898" s="116">
        <v>50.220281374502001</v>
      </c>
      <c r="C1898" s="116">
        <v>49.214595783532502</v>
      </c>
      <c r="D1898" s="116">
        <v>48.144912018592301</v>
      </c>
      <c r="E1898" s="116">
        <v>48.144912018592301</v>
      </c>
      <c r="F1898" s="116">
        <v>53.83</v>
      </c>
      <c r="G1898">
        <v>304171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45672</v>
      </c>
      <c r="B1899" s="116">
        <v>51.747094953519301</v>
      </c>
      <c r="C1899" s="116">
        <v>49.543729249667997</v>
      </c>
      <c r="D1899" s="116">
        <v>49.050029050464801</v>
      </c>
      <c r="E1899" s="116">
        <v>49.982573871181899</v>
      </c>
      <c r="F1899" s="116">
        <v>54.19</v>
      </c>
      <c r="G1899">
        <v>370438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45673</v>
      </c>
      <c r="B1900" s="116">
        <v>52.295650730411701</v>
      </c>
      <c r="C1900" s="116">
        <v>50.567700033200502</v>
      </c>
      <c r="D1900" s="116">
        <v>50.073999833997298</v>
      </c>
      <c r="E1900" s="116">
        <v>50.284279548472803</v>
      </c>
      <c r="F1900" s="116">
        <v>55.31</v>
      </c>
      <c r="G1900">
        <v>386508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45674</v>
      </c>
      <c r="B1901" s="116">
        <v>53.328764110225798</v>
      </c>
      <c r="C1901" s="116">
        <v>51.180253984063697</v>
      </c>
      <c r="D1901" s="116">
        <v>50.238566567065099</v>
      </c>
      <c r="E1901" s="116">
        <v>50.823692729083703</v>
      </c>
      <c r="F1901" s="116">
        <v>55.98</v>
      </c>
      <c r="G1901">
        <v>650252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45677</v>
      </c>
      <c r="B1902" s="116">
        <v>53.8498920982736</v>
      </c>
      <c r="C1902" s="116">
        <v>53.273908532536502</v>
      </c>
      <c r="D1902" s="116">
        <v>50.028286852589602</v>
      </c>
      <c r="E1902" s="116">
        <v>51.3173929282869</v>
      </c>
      <c r="F1902" s="116">
        <v>58.27</v>
      </c>
      <c r="G1902">
        <v>602719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45678</v>
      </c>
      <c r="B1903" s="116">
        <v>57.141226759628204</v>
      </c>
      <c r="C1903" s="116">
        <v>54.371020086321401</v>
      </c>
      <c r="D1903" s="116">
        <v>53.475045650730401</v>
      </c>
      <c r="E1903" s="116">
        <v>53.932175464807401</v>
      </c>
      <c r="F1903" s="116">
        <v>59.47</v>
      </c>
      <c r="G1903">
        <v>2042528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45679</v>
      </c>
      <c r="B1904" s="116">
        <v>57.031515604249698</v>
      </c>
      <c r="C1904" s="116">
        <v>56.702382138114203</v>
      </c>
      <c r="D1904" s="116">
        <v>53.484188247012</v>
      </c>
      <c r="E1904" s="116">
        <v>54.937861055776899</v>
      </c>
      <c r="F1904" s="116">
        <v>62.02</v>
      </c>
      <c r="G1904">
        <v>858170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45680</v>
      </c>
      <c r="B1905" s="116">
        <v>57.753780710491398</v>
      </c>
      <c r="C1905" s="116">
        <v>55.367563081009301</v>
      </c>
      <c r="D1905" s="116">
        <v>55.056714807436897</v>
      </c>
      <c r="E1905" s="116">
        <v>57.150369355909703</v>
      </c>
      <c r="F1905" s="116">
        <v>60.56</v>
      </c>
      <c r="G1905">
        <v>529465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45681</v>
      </c>
      <c r="B1906" s="116">
        <v>56.757237715803399</v>
      </c>
      <c r="C1906" s="116">
        <v>54.233881142098298</v>
      </c>
      <c r="D1906" s="116">
        <v>53.785893924302798</v>
      </c>
      <c r="E1906" s="116">
        <v>55.449846447543202</v>
      </c>
      <c r="F1906" s="116">
        <v>59.32</v>
      </c>
      <c r="G1906">
        <v>416622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45684</v>
      </c>
      <c r="B1907" s="116">
        <v>53.484188247012</v>
      </c>
      <c r="C1907" s="116">
        <v>50.723124169986697</v>
      </c>
      <c r="D1907" s="116">
        <v>50.055714641434299</v>
      </c>
      <c r="E1907" s="116">
        <v>53.484188247012</v>
      </c>
      <c r="F1907" s="116">
        <v>55.48</v>
      </c>
      <c r="G1907">
        <v>632308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45685</v>
      </c>
      <c r="B1908" s="116">
        <v>51.710524568393097</v>
      </c>
      <c r="C1908" s="116">
        <v>49.754008964143402</v>
      </c>
      <c r="D1908" s="116">
        <v>47.852348937583002</v>
      </c>
      <c r="E1908" s="116">
        <v>50.750551958831302</v>
      </c>
      <c r="F1908" s="116">
        <v>54.42</v>
      </c>
      <c r="G1908">
        <v>1017361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45686</v>
      </c>
      <c r="B1909" s="116">
        <v>52.368791500664003</v>
      </c>
      <c r="C1909" s="116">
        <v>52.057943227091599</v>
      </c>
      <c r="D1909" s="116">
        <v>49.754008964143402</v>
      </c>
      <c r="E1909" s="116">
        <v>49.754008964143402</v>
      </c>
      <c r="F1909" s="116">
        <v>56.94</v>
      </c>
      <c r="G1909">
        <v>380429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45687</v>
      </c>
      <c r="B1910" s="116">
        <v>52.835063911022601</v>
      </c>
      <c r="C1910" s="116">
        <v>50.741409362549803</v>
      </c>
      <c r="D1910" s="116">
        <v>50.375705511288203</v>
      </c>
      <c r="E1910" s="116">
        <v>52.057943227091599</v>
      </c>
      <c r="F1910" s="116">
        <v>55.5</v>
      </c>
      <c r="G1910">
        <v>410278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45688</v>
      </c>
      <c r="B1911" s="116">
        <v>52.112798804780901</v>
      </c>
      <c r="C1911" s="116">
        <v>51.299107735723801</v>
      </c>
      <c r="D1911" s="116">
        <v>50.787122343957499</v>
      </c>
      <c r="E1911" s="116">
        <v>50.860263114209801</v>
      </c>
      <c r="F1911" s="116">
        <v>56.11</v>
      </c>
      <c r="G1911">
        <v>265062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45689</v>
      </c>
      <c r="B1912" s="116">
        <v>51.747094953519301</v>
      </c>
      <c r="C1912" s="116">
        <v>49.342592131474099</v>
      </c>
      <c r="D1912" s="116">
        <v>48.638612217795497</v>
      </c>
      <c r="E1912" s="116">
        <v>51.289965139442202</v>
      </c>
      <c r="F1912" s="116">
        <v>53.97</v>
      </c>
      <c r="G1912">
        <v>483751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45691</v>
      </c>
      <c r="B1913" s="116">
        <v>49.626012616201898</v>
      </c>
      <c r="C1913" s="116">
        <v>47.642069223107598</v>
      </c>
      <c r="D1913" s="116">
        <v>46.352963147410399</v>
      </c>
      <c r="E1913" s="116">
        <v>49.269451361221797</v>
      </c>
      <c r="F1913" s="116">
        <v>52.11</v>
      </c>
      <c r="G1913">
        <v>399277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45692</v>
      </c>
      <c r="B1914" s="116">
        <v>48.986030876493999</v>
      </c>
      <c r="C1914" s="116">
        <v>47.907204515272198</v>
      </c>
      <c r="D1914" s="116">
        <v>47.130083831341302</v>
      </c>
      <c r="E1914" s="116">
        <v>48.419189907038501</v>
      </c>
      <c r="F1914" s="116">
        <v>52.4</v>
      </c>
      <c r="G1914">
        <v>231923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45693</v>
      </c>
      <c r="B1915" s="116">
        <v>49.269451361221797</v>
      </c>
      <c r="C1915" s="116">
        <v>47.916347111553797</v>
      </c>
      <c r="D1915" s="116">
        <v>47.815778552456798</v>
      </c>
      <c r="E1915" s="116">
        <v>48.455760292164697</v>
      </c>
      <c r="F1915" s="116">
        <v>52.41</v>
      </c>
      <c r="G1915">
        <v>231990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45694</v>
      </c>
      <c r="B1916" s="116">
        <v>49.7814367529881</v>
      </c>
      <c r="C1916" s="116">
        <v>48.099199037184597</v>
      </c>
      <c r="D1916" s="116">
        <v>47.742637782204497</v>
      </c>
      <c r="E1916" s="116">
        <v>48.437475099601599</v>
      </c>
      <c r="F1916" s="116">
        <v>52.61</v>
      </c>
      <c r="G1916">
        <v>186104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45695</v>
      </c>
      <c r="B1917" s="116">
        <v>48.711752988047799</v>
      </c>
      <c r="C1917" s="116">
        <v>46.947231905710503</v>
      </c>
      <c r="D1917" s="116">
        <v>46.627241035856599</v>
      </c>
      <c r="E1917" s="116">
        <v>48.711752988047799</v>
      </c>
      <c r="F1917" s="116">
        <v>51.35</v>
      </c>
      <c r="G1917">
        <v>247798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45698</v>
      </c>
      <c r="B1918" s="116">
        <v>47.623784030544499</v>
      </c>
      <c r="C1918" s="116">
        <v>46.160968625498001</v>
      </c>
      <c r="D1918" s="116">
        <v>45.100427456839299</v>
      </c>
      <c r="E1918" s="116">
        <v>46.947231905710503</v>
      </c>
      <c r="F1918" s="116">
        <v>50.49</v>
      </c>
      <c r="G1918">
        <v>321075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45699</v>
      </c>
      <c r="B1919" s="116">
        <v>46.389533532536497</v>
      </c>
      <c r="C1919" s="116">
        <v>44.222738213811397</v>
      </c>
      <c r="D1919" s="116">
        <v>44.103884462151399</v>
      </c>
      <c r="E1919" s="116">
        <v>46.389533532536497</v>
      </c>
      <c r="F1919" s="116">
        <v>48.37</v>
      </c>
      <c r="G1919">
        <v>396893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45700</v>
      </c>
      <c r="B1920" s="116">
        <v>45.146140438247002</v>
      </c>
      <c r="C1920" s="116">
        <v>44.021601095617498</v>
      </c>
      <c r="D1920" s="116">
        <v>42.339363379814102</v>
      </c>
      <c r="E1920" s="116">
        <v>44.341591965471501</v>
      </c>
      <c r="F1920" s="116">
        <v>48.15</v>
      </c>
      <c r="G1920">
        <v>397530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45701</v>
      </c>
      <c r="B1921" s="116">
        <v>47.2489375830013</v>
      </c>
      <c r="C1921" s="116">
        <v>45.868405544488702</v>
      </c>
      <c r="D1921" s="116">
        <v>43.262765604249701</v>
      </c>
      <c r="E1921" s="116">
        <v>44.332449369189902</v>
      </c>
      <c r="F1921" s="116">
        <v>50.17</v>
      </c>
      <c r="G1921">
        <v>450848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45702</v>
      </c>
      <c r="B1922" s="116">
        <v>44.698153220451502</v>
      </c>
      <c r="C1922" s="116">
        <v>42.2753652058433</v>
      </c>
      <c r="D1922" s="116">
        <v>39.587441899070399</v>
      </c>
      <c r="E1922" s="116">
        <v>44.698153220451502</v>
      </c>
      <c r="F1922" s="116">
        <v>46.24</v>
      </c>
      <c r="G1922">
        <v>937478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45705</v>
      </c>
      <c r="B1923" s="116">
        <v>43.244480411686602</v>
      </c>
      <c r="C1923" s="116">
        <v>40.958831341301497</v>
      </c>
      <c r="D1923" s="116">
        <v>40.775979415670697</v>
      </c>
      <c r="E1923" s="116">
        <v>42.055942895086297</v>
      </c>
      <c r="F1923" s="116">
        <v>44.8</v>
      </c>
      <c r="G1923">
        <v>532662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45706</v>
      </c>
      <c r="B1924" s="116">
        <v>42.787350597609603</v>
      </c>
      <c r="C1924" s="116">
        <v>41.635383466135501</v>
      </c>
      <c r="D1924" s="116">
        <v>39.980573539176604</v>
      </c>
      <c r="E1924" s="116">
        <v>40.227423638778198</v>
      </c>
      <c r="F1924" s="116">
        <v>45.54</v>
      </c>
      <c r="G1924">
        <v>459111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45707</v>
      </c>
      <c r="B1925" s="116">
        <v>45.566699867197897</v>
      </c>
      <c r="C1925" s="116">
        <v>45.374705345285498</v>
      </c>
      <c r="D1925" s="116">
        <v>41.498244521912397</v>
      </c>
      <c r="E1925" s="116">
        <v>42.467359727755699</v>
      </c>
      <c r="F1925" s="116">
        <v>49.63</v>
      </c>
      <c r="G1925">
        <v>2240646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45708</v>
      </c>
      <c r="B1926" s="116">
        <v>47.898061918990699</v>
      </c>
      <c r="C1926" s="116">
        <v>46.691239209827401</v>
      </c>
      <c r="D1926" s="116">
        <v>44.341591965471501</v>
      </c>
      <c r="E1926" s="116">
        <v>45.520986885790201</v>
      </c>
      <c r="F1926" s="116">
        <v>51.07</v>
      </c>
      <c r="G1926">
        <v>320749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45709</v>
      </c>
      <c r="B1927" s="116">
        <v>48.263765770252299</v>
      </c>
      <c r="C1927" s="116">
        <v>45.7129814077025</v>
      </c>
      <c r="D1927" s="116">
        <v>44.908432934926999</v>
      </c>
      <c r="E1927" s="116">
        <v>46.627241035856599</v>
      </c>
      <c r="F1927" s="116">
        <v>50</v>
      </c>
      <c r="G1927">
        <v>466830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45712</v>
      </c>
      <c r="B1928" s="116">
        <v>45.392990537848597</v>
      </c>
      <c r="C1928" s="116">
        <v>43.354191567065101</v>
      </c>
      <c r="D1928" s="116">
        <v>43.061628486055803</v>
      </c>
      <c r="E1928" s="116">
        <v>45.392990537848597</v>
      </c>
      <c r="F1928" s="116">
        <v>47.42</v>
      </c>
      <c r="G1928">
        <v>160595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45713</v>
      </c>
      <c r="B1929" s="116">
        <v>43.975888114209802</v>
      </c>
      <c r="C1929" s="116">
        <v>42.750780212483399</v>
      </c>
      <c r="D1929" s="116">
        <v>42.513072709163303</v>
      </c>
      <c r="E1929" s="116">
        <v>43.683325033200497</v>
      </c>
      <c r="F1929" s="116">
        <v>46.76</v>
      </c>
      <c r="G1929">
        <v>186540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45715</v>
      </c>
      <c r="B1930" s="116">
        <v>43.418189741035903</v>
      </c>
      <c r="C1930" s="116">
        <v>41.580527888446198</v>
      </c>
      <c r="D1930" s="116">
        <v>41.159968459495403</v>
      </c>
      <c r="E1930" s="116">
        <v>42.878776560425003</v>
      </c>
      <c r="F1930" s="116">
        <v>45.48</v>
      </c>
      <c r="G1930">
        <v>272060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45716</v>
      </c>
      <c r="B1931" s="116">
        <v>42.494787516600297</v>
      </c>
      <c r="C1931" s="116">
        <v>41.2879648074369</v>
      </c>
      <c r="D1931" s="116">
        <v>38.901747177954803</v>
      </c>
      <c r="E1931" s="116">
        <v>40.684553452855198</v>
      </c>
      <c r="F1931" s="116">
        <v>45.16</v>
      </c>
      <c r="G1931">
        <v>7175908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45719</v>
      </c>
      <c r="B1932" s="116">
        <v>42.174796646746401</v>
      </c>
      <c r="C1932" s="116">
        <v>37.475502158034502</v>
      </c>
      <c r="D1932" s="116">
        <v>37.009229747676002</v>
      </c>
      <c r="E1932" s="116">
        <v>41.242251826029197</v>
      </c>
      <c r="F1932" s="116">
        <v>40.99</v>
      </c>
      <c r="G1932">
        <v>595548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45720</v>
      </c>
      <c r="B1933" s="116">
        <v>40.337134794156697</v>
      </c>
      <c r="C1933" s="116">
        <v>38.115483897742401</v>
      </c>
      <c r="D1933" s="116">
        <v>37.082370517928297</v>
      </c>
      <c r="E1933" s="116">
        <v>37.914346779548502</v>
      </c>
      <c r="F1933" s="116">
        <v>41.69</v>
      </c>
      <c r="G1933">
        <v>1032304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45721</v>
      </c>
      <c r="B1934" s="116">
        <v>40.2091384462151</v>
      </c>
      <c r="C1934" s="116">
        <v>39.907432768924302</v>
      </c>
      <c r="D1934" s="116">
        <v>38.472045152722401</v>
      </c>
      <c r="E1934" s="116">
        <v>38.472045152722401</v>
      </c>
      <c r="F1934" s="116">
        <v>43.65</v>
      </c>
      <c r="G1934">
        <v>741034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45722</v>
      </c>
      <c r="B1935" s="116">
        <v>41.1051128818061</v>
      </c>
      <c r="C1935" s="116">
        <v>39.532586321381103</v>
      </c>
      <c r="D1935" s="116">
        <v>38.892604581673297</v>
      </c>
      <c r="E1935" s="116">
        <v>41.041114707835298</v>
      </c>
      <c r="F1935" s="116">
        <v>43.24</v>
      </c>
      <c r="G1935">
        <v>392795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45723</v>
      </c>
      <c r="B1936" s="116">
        <v>41.370248173970801</v>
      </c>
      <c r="C1936" s="116">
        <v>40.3005644090305</v>
      </c>
      <c r="D1936" s="116">
        <v>39.432017762284197</v>
      </c>
      <c r="E1936" s="116">
        <v>39.532586321381103</v>
      </c>
      <c r="F1936" s="116">
        <v>44.08</v>
      </c>
      <c r="G1936">
        <v>304938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45726</v>
      </c>
      <c r="B1937" s="116">
        <v>40.940546148738399</v>
      </c>
      <c r="C1937" s="116">
        <v>38.9474601593625</v>
      </c>
      <c r="D1937" s="116">
        <v>38.197767264276202</v>
      </c>
      <c r="E1937" s="116">
        <v>40.309707005312099</v>
      </c>
      <c r="F1937" s="116">
        <v>42.6</v>
      </c>
      <c r="G1937">
        <v>378264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45727</v>
      </c>
      <c r="B1938" s="116">
        <v>38.8560341965471</v>
      </c>
      <c r="C1938" s="116">
        <v>37.914346779548502</v>
      </c>
      <c r="D1938" s="116">
        <v>36.9452315737052</v>
      </c>
      <c r="E1938" s="116">
        <v>38.252622841965497</v>
      </c>
      <c r="F1938" s="116">
        <v>41.47</v>
      </c>
      <c r="G1938">
        <v>291444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45728</v>
      </c>
      <c r="B1939" s="116">
        <v>38.865176792828699</v>
      </c>
      <c r="C1939" s="116">
        <v>37.5760707171315</v>
      </c>
      <c r="D1939" s="116">
        <v>37.438931772908397</v>
      </c>
      <c r="E1939" s="116">
        <v>38.654897078353301</v>
      </c>
      <c r="F1939" s="116">
        <v>41.1</v>
      </c>
      <c r="G1939">
        <v>235395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45729</v>
      </c>
      <c r="B1940" s="116">
        <v>37.868633798140799</v>
      </c>
      <c r="C1940" s="116">
        <v>35.902975597609597</v>
      </c>
      <c r="D1940" s="116">
        <v>35.656125498008002</v>
      </c>
      <c r="E1940" s="116">
        <v>37.630926294820704</v>
      </c>
      <c r="F1940" s="116">
        <v>39.270000000000003</v>
      </c>
      <c r="G1940">
        <v>149723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45733</v>
      </c>
      <c r="B1941" s="116">
        <v>37.128083499336</v>
      </c>
      <c r="C1941" s="116">
        <v>34.403589807436902</v>
      </c>
      <c r="D1941" s="116">
        <v>34.0561711487384</v>
      </c>
      <c r="E1941" s="116">
        <v>36.698381474103599</v>
      </c>
      <c r="F1941" s="116">
        <v>37.630000000000003</v>
      </c>
      <c r="G1941">
        <v>273307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45734</v>
      </c>
      <c r="B1942" s="116">
        <v>37.8594912018592</v>
      </c>
      <c r="C1942" s="116">
        <v>37.713209661354597</v>
      </c>
      <c r="D1942" s="116">
        <v>34.943002988047802</v>
      </c>
      <c r="E1942" s="116">
        <v>35.098427124833997</v>
      </c>
      <c r="F1942" s="116">
        <v>41.25</v>
      </c>
      <c r="G1942">
        <v>233829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45735</v>
      </c>
      <c r="B1943" s="116">
        <v>40.135997675962798</v>
      </c>
      <c r="C1943" s="116">
        <v>39.788579017264297</v>
      </c>
      <c r="D1943" s="116">
        <v>37.9417745683931</v>
      </c>
      <c r="E1943" s="116">
        <v>38.2160524568393</v>
      </c>
      <c r="F1943" s="116">
        <v>43.52</v>
      </c>
      <c r="G1943">
        <v>365902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45736</v>
      </c>
      <c r="B1944" s="116">
        <v>42.046800298804797</v>
      </c>
      <c r="C1944" s="116">
        <v>39.102884296148702</v>
      </c>
      <c r="D1944" s="116">
        <v>38.8560341965471</v>
      </c>
      <c r="E1944" s="116">
        <v>42.046800298804797</v>
      </c>
      <c r="F1944" s="116">
        <v>42.77</v>
      </c>
      <c r="G1944">
        <v>220802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45737</v>
      </c>
      <c r="B1945" s="116">
        <v>40.675410856573698</v>
      </c>
      <c r="C1945" s="116">
        <v>39.953145750331998</v>
      </c>
      <c r="D1945" s="116">
        <v>39.194310258964101</v>
      </c>
      <c r="E1945" s="116">
        <v>39.7520086321381</v>
      </c>
      <c r="F1945" s="116">
        <v>43.7</v>
      </c>
      <c r="G1945">
        <v>344584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45740</v>
      </c>
      <c r="B1946" s="116">
        <v>41.141683266932297</v>
      </c>
      <c r="C1946" s="116">
        <v>40.547414508632102</v>
      </c>
      <c r="D1946" s="116">
        <v>39.825149402390402</v>
      </c>
      <c r="E1946" s="116">
        <v>40.318849601593598</v>
      </c>
      <c r="F1946" s="116">
        <v>44.35</v>
      </c>
      <c r="G1946">
        <v>235002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45741</v>
      </c>
      <c r="B1947" s="116">
        <v>41.306249999999999</v>
      </c>
      <c r="C1947" s="116">
        <v>38.499472941567099</v>
      </c>
      <c r="D1947" s="116">
        <v>38.2160524568393</v>
      </c>
      <c r="E1947" s="116">
        <v>41.132540670650698</v>
      </c>
      <c r="F1947" s="116">
        <v>42.11</v>
      </c>
      <c r="G1947">
        <v>211932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45742</v>
      </c>
      <c r="B1948" s="116">
        <v>39.688010458167298</v>
      </c>
      <c r="C1948" s="116">
        <v>38.2251950531208</v>
      </c>
      <c r="D1948" s="116">
        <v>37.722352257636103</v>
      </c>
      <c r="E1948" s="116">
        <v>38.691467463479398</v>
      </c>
      <c r="F1948" s="116">
        <v>41.81</v>
      </c>
      <c r="G1948">
        <v>308147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45743</v>
      </c>
      <c r="B1949" s="116">
        <v>41.306249999999999</v>
      </c>
      <c r="C1949" s="116">
        <v>40.309707005312099</v>
      </c>
      <c r="D1949" s="116">
        <v>37.813778220451503</v>
      </c>
      <c r="E1949" s="116">
        <v>38.234337649402399</v>
      </c>
      <c r="F1949" s="116">
        <v>44.09</v>
      </c>
      <c r="G1949">
        <v>536837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45744</v>
      </c>
      <c r="B1950" s="116">
        <v>40.958831341301497</v>
      </c>
      <c r="C1950" s="116">
        <v>40.583984893758299</v>
      </c>
      <c r="D1950" s="116">
        <v>39.313164010624199</v>
      </c>
      <c r="E1950" s="116">
        <v>39.605727091633497</v>
      </c>
      <c r="F1950" s="116">
        <v>44.39</v>
      </c>
      <c r="G1950">
        <v>176399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45748</v>
      </c>
      <c r="B1951" s="116">
        <v>42.677639442231097</v>
      </c>
      <c r="C1951" s="116">
        <v>42.2845078021248</v>
      </c>
      <c r="D1951" s="116">
        <v>39.998858731739702</v>
      </c>
      <c r="E1951" s="116">
        <v>40.410275564408998</v>
      </c>
      <c r="F1951" s="116">
        <v>46.25</v>
      </c>
      <c r="G1951">
        <v>264392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45749</v>
      </c>
      <c r="B1952" s="116">
        <v>44.798721779548501</v>
      </c>
      <c r="C1952" s="116">
        <v>44.067314077025202</v>
      </c>
      <c r="D1952" s="116">
        <v>41.644526062417</v>
      </c>
      <c r="E1952" s="116">
        <v>43.025058100929598</v>
      </c>
      <c r="F1952" s="116">
        <v>48.2</v>
      </c>
      <c r="G1952">
        <v>383270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45750</v>
      </c>
      <c r="B1953" s="116">
        <v>47.468359893758297</v>
      </c>
      <c r="C1953" s="116">
        <v>46.389533532536497</v>
      </c>
      <c r="D1953" s="116">
        <v>43.5461860889774</v>
      </c>
      <c r="E1953" s="116">
        <v>43.774750996015896</v>
      </c>
      <c r="F1953" s="116">
        <v>50.74</v>
      </c>
      <c r="G1953">
        <v>391362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45751</v>
      </c>
      <c r="B1954" s="116">
        <v>46.179253818061099</v>
      </c>
      <c r="C1954" s="116">
        <v>45.5301294820717</v>
      </c>
      <c r="D1954" s="116">
        <v>44.341591965471501</v>
      </c>
      <c r="E1954" s="116">
        <v>46.179253818061099</v>
      </c>
      <c r="F1954" s="116">
        <v>49.8</v>
      </c>
      <c r="G1954">
        <v>289260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45754</v>
      </c>
      <c r="B1955" s="116">
        <v>42.869633964143397</v>
      </c>
      <c r="C1955" s="116">
        <v>42.110798472775599</v>
      </c>
      <c r="D1955" s="116">
        <v>37.585213313413</v>
      </c>
      <c r="E1955" s="116">
        <v>37.585213313413</v>
      </c>
      <c r="F1955" s="116">
        <v>46.06</v>
      </c>
      <c r="G1955">
        <v>381972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45755</v>
      </c>
      <c r="B1956" s="116">
        <v>44.917575531208499</v>
      </c>
      <c r="C1956" s="116">
        <v>43.948460325365197</v>
      </c>
      <c r="D1956" s="116">
        <v>42.759922808764898</v>
      </c>
      <c r="E1956" s="116">
        <v>44.771293990703903</v>
      </c>
      <c r="F1956" s="116">
        <v>48.07</v>
      </c>
      <c r="G1956">
        <v>248200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45756</v>
      </c>
      <c r="B1957" s="116">
        <v>45.274136786188599</v>
      </c>
      <c r="C1957" s="116">
        <v>44.213595617529897</v>
      </c>
      <c r="D1957" s="116">
        <v>42.129083665338598</v>
      </c>
      <c r="E1957" s="116">
        <v>43.070771082337302</v>
      </c>
      <c r="F1957" s="116">
        <v>48.36</v>
      </c>
      <c r="G1957">
        <v>148285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45758</v>
      </c>
      <c r="B1958" s="116">
        <v>47.998630478087598</v>
      </c>
      <c r="C1958" s="116">
        <v>47.706067397078399</v>
      </c>
      <c r="D1958" s="116">
        <v>45.347277556440901</v>
      </c>
      <c r="E1958" s="116">
        <v>45.5301294820717</v>
      </c>
      <c r="F1958" s="116">
        <v>52.18</v>
      </c>
      <c r="G1958">
        <v>386568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45762</v>
      </c>
      <c r="B1959" s="116">
        <v>49.159740205843299</v>
      </c>
      <c r="C1959" s="116">
        <v>48.099199037184597</v>
      </c>
      <c r="D1959" s="116">
        <v>47.203224601593597</v>
      </c>
      <c r="E1959" s="116">
        <v>47.568928452855197</v>
      </c>
      <c r="F1959" s="116">
        <v>52.61</v>
      </c>
      <c r="G1959">
        <v>425229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45763</v>
      </c>
      <c r="B1960" s="116">
        <v>49.2420235723772</v>
      </c>
      <c r="C1960" s="116">
        <v>49.077456839309399</v>
      </c>
      <c r="D1960" s="116">
        <v>47.194082005312097</v>
      </c>
      <c r="E1960" s="116">
        <v>48.309478751660002</v>
      </c>
      <c r="F1960" s="116">
        <v>53.68</v>
      </c>
      <c r="G1960">
        <v>226219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45764</v>
      </c>
      <c r="B1961" s="116">
        <v>49.132312416998701</v>
      </c>
      <c r="C1961" s="116">
        <v>48.1540546148738</v>
      </c>
      <c r="D1961" s="116">
        <v>47.815778552456798</v>
      </c>
      <c r="E1961" s="116">
        <v>48.510615869853901</v>
      </c>
      <c r="F1961" s="116">
        <v>52.67</v>
      </c>
      <c r="G1961">
        <v>283256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45768</v>
      </c>
      <c r="B1962" s="116">
        <v>48.848891932270902</v>
      </c>
      <c r="C1962" s="116">
        <v>48.419189907038501</v>
      </c>
      <c r="D1962" s="116">
        <v>47.925489707835297</v>
      </c>
      <c r="E1962" s="116">
        <v>48.007773074369197</v>
      </c>
      <c r="F1962" s="116">
        <v>52.96</v>
      </c>
      <c r="G1962">
        <v>684832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45769</v>
      </c>
      <c r="B1963" s="116">
        <v>51.180253984063697</v>
      </c>
      <c r="C1963" s="116">
        <v>50.174568393094297</v>
      </c>
      <c r="D1963" s="116">
        <v>48.227195385126201</v>
      </c>
      <c r="E1963" s="116">
        <v>48.227195385126201</v>
      </c>
      <c r="F1963" s="116">
        <v>54.88</v>
      </c>
      <c r="G1963">
        <v>498911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45770</v>
      </c>
      <c r="B1964" s="116">
        <v>51.161968791500698</v>
      </c>
      <c r="C1964" s="116">
        <v>50.311707337317401</v>
      </c>
      <c r="D1964" s="116">
        <v>49.0591716467463</v>
      </c>
      <c r="E1964" s="116">
        <v>50.284279548472803</v>
      </c>
      <c r="F1964" s="116">
        <v>55.03</v>
      </c>
      <c r="G1964">
        <v>261342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45771</v>
      </c>
      <c r="B1965" s="116">
        <v>50.723124169986697</v>
      </c>
      <c r="C1965" s="116">
        <v>50.220281374502001</v>
      </c>
      <c r="D1965" s="116">
        <v>49.306021746347902</v>
      </c>
      <c r="E1965" s="116">
        <v>50.147140604249699</v>
      </c>
      <c r="F1965" s="116">
        <v>54.93</v>
      </c>
      <c r="G1965">
        <v>296268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45772</v>
      </c>
      <c r="B1966" s="116">
        <v>50.777979747676</v>
      </c>
      <c r="C1966" s="116">
        <v>48.583756640106202</v>
      </c>
      <c r="D1966" s="116">
        <v>46.663811420982697</v>
      </c>
      <c r="E1966" s="116">
        <v>50.265994355909697</v>
      </c>
      <c r="F1966" s="116">
        <v>53.14</v>
      </c>
      <c r="G1966">
        <v>1120125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45775</v>
      </c>
      <c r="B1967" s="116">
        <v>49.351734727755598</v>
      </c>
      <c r="C1967" s="116">
        <v>47.907204515272198</v>
      </c>
      <c r="D1967" s="116">
        <v>47.221509794156702</v>
      </c>
      <c r="E1967" s="116">
        <v>48.272908366533898</v>
      </c>
      <c r="F1967" s="116">
        <v>52.4</v>
      </c>
      <c r="G1967">
        <v>236865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45776</v>
      </c>
      <c r="B1968" s="116">
        <v>48.254623173970799</v>
      </c>
      <c r="C1968" s="116">
        <v>47.0660856573705</v>
      </c>
      <c r="D1968" s="116">
        <v>46.855805942895103</v>
      </c>
      <c r="E1968" s="116">
        <v>47.596356241699901</v>
      </c>
      <c r="F1968" s="116">
        <v>51.48</v>
      </c>
      <c r="G1968">
        <v>142896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45777</v>
      </c>
      <c r="B1969" s="116">
        <v>47.797493359893799</v>
      </c>
      <c r="C1969" s="116">
        <v>46.645526228419698</v>
      </c>
      <c r="D1969" s="116">
        <v>45.868405544488702</v>
      </c>
      <c r="E1969" s="116">
        <v>47.797493359893799</v>
      </c>
      <c r="F1969" s="116">
        <v>51.02</v>
      </c>
      <c r="G1969">
        <v>140081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45779</v>
      </c>
      <c r="B1970" s="116">
        <v>47.4317895086321</v>
      </c>
      <c r="C1970" s="116">
        <v>46.919804116865897</v>
      </c>
      <c r="D1970" s="116">
        <v>45.813549966799499</v>
      </c>
      <c r="E1970" s="116">
        <v>46.627241035856599</v>
      </c>
      <c r="F1970" s="116">
        <v>51.32</v>
      </c>
      <c r="G1970">
        <v>288028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45782</v>
      </c>
      <c r="B1971" s="116">
        <v>46.9746596945551</v>
      </c>
      <c r="C1971" s="116">
        <v>46.727809594953499</v>
      </c>
      <c r="D1971" s="116">
        <v>46.0786852589641</v>
      </c>
      <c r="E1971" s="116">
        <v>46.371248339973398</v>
      </c>
      <c r="F1971" s="116">
        <v>51.11</v>
      </c>
      <c r="G1971">
        <v>202369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45783</v>
      </c>
      <c r="B1972" s="116">
        <v>47.0660856573705</v>
      </c>
      <c r="C1972" s="116">
        <v>44.405590139442197</v>
      </c>
      <c r="D1972" s="116">
        <v>44.049028884462203</v>
      </c>
      <c r="E1972" s="116">
        <v>46.773522576361202</v>
      </c>
      <c r="F1972" s="116">
        <v>48.57</v>
      </c>
      <c r="G1972">
        <v>157015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45784</v>
      </c>
      <c r="B1973" s="116">
        <v>45.868405544488702</v>
      </c>
      <c r="C1973" s="116">
        <v>45.648983233731698</v>
      </c>
      <c r="D1973" s="116">
        <v>43.107341467463499</v>
      </c>
      <c r="E1973" s="116">
        <v>43.107341467463499</v>
      </c>
      <c r="F1973" s="116">
        <v>49.93</v>
      </c>
      <c r="G1973">
        <v>314155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45785</v>
      </c>
      <c r="B1974" s="116">
        <v>46.535815073041199</v>
      </c>
      <c r="C1974" s="116">
        <v>44.5427290836653</v>
      </c>
      <c r="D1974" s="116">
        <v>43.975888114209802</v>
      </c>
      <c r="E1974" s="116">
        <v>45.941546314740997</v>
      </c>
      <c r="F1974" s="116">
        <v>48.72</v>
      </c>
      <c r="G1974">
        <v>187191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45786</v>
      </c>
      <c r="B1975" s="116">
        <v>44.433017928286901</v>
      </c>
      <c r="C1975" s="116">
        <v>43.381619355909699</v>
      </c>
      <c r="D1975" s="116">
        <v>42.513072709163303</v>
      </c>
      <c r="E1975" s="116">
        <v>43.738180610889799</v>
      </c>
      <c r="F1975" s="116">
        <v>47.45</v>
      </c>
      <c r="G1975">
        <v>294018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45789</v>
      </c>
      <c r="B1976" s="116">
        <v>47.541500664010599</v>
      </c>
      <c r="C1976" s="116">
        <v>47.084370849933599</v>
      </c>
      <c r="D1976" s="116">
        <v>45.7129814077025</v>
      </c>
      <c r="E1976" s="116">
        <v>46.3438205511288</v>
      </c>
      <c r="F1976" s="116">
        <v>51.5</v>
      </c>
      <c r="G1976">
        <v>285681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45790</v>
      </c>
      <c r="B1977" s="116">
        <v>47.495787682602902</v>
      </c>
      <c r="C1977" s="116">
        <v>47.230652390438202</v>
      </c>
      <c r="D1977" s="116">
        <v>46.7095244023904</v>
      </c>
      <c r="E1977" s="116">
        <v>47.166654216467499</v>
      </c>
      <c r="F1977" s="116">
        <v>51.66</v>
      </c>
      <c r="G1977">
        <v>99796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45791</v>
      </c>
      <c r="B1978" s="116">
        <v>49.827149734395803</v>
      </c>
      <c r="C1978" s="116">
        <v>48.583756640106202</v>
      </c>
      <c r="D1978" s="116">
        <v>46.051257470119502</v>
      </c>
      <c r="E1978" s="116">
        <v>46.051257470119502</v>
      </c>
      <c r="F1978" s="116">
        <v>53.14</v>
      </c>
      <c r="G1978">
        <v>225618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45792</v>
      </c>
      <c r="B1979" s="116">
        <v>49.9642886786189</v>
      </c>
      <c r="C1979" s="116">
        <v>48.42833250332</v>
      </c>
      <c r="D1979" s="116">
        <v>47.632926626825999</v>
      </c>
      <c r="E1979" s="116">
        <v>47.632926626825999</v>
      </c>
      <c r="F1979" s="116">
        <v>52.97</v>
      </c>
      <c r="G1979">
        <v>105627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45793</v>
      </c>
      <c r="B1980" s="116">
        <v>48.757465969455502</v>
      </c>
      <c r="C1980" s="116">
        <v>47.532358067729099</v>
      </c>
      <c r="D1980" s="116">
        <v>47.093513446215098</v>
      </c>
      <c r="E1980" s="116">
        <v>48.016915670650697</v>
      </c>
      <c r="F1980" s="116">
        <v>51.99</v>
      </c>
      <c r="G1980">
        <v>157622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45796</v>
      </c>
      <c r="B1981" s="116">
        <v>48.647754814076997</v>
      </c>
      <c r="C1981" s="116">
        <v>47.888919322709199</v>
      </c>
      <c r="D1981" s="116">
        <v>47.102656042496697</v>
      </c>
      <c r="E1981" s="116">
        <v>48.208910192563103</v>
      </c>
      <c r="F1981" s="116">
        <v>52.38</v>
      </c>
      <c r="G1981">
        <v>147228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45797</v>
      </c>
      <c r="B1982" s="116">
        <v>48.510615869853901</v>
      </c>
      <c r="C1982" s="116">
        <v>46.014687084993398</v>
      </c>
      <c r="D1982" s="116">
        <v>45.411275730411703</v>
      </c>
      <c r="E1982" s="116">
        <v>47.952917496680001</v>
      </c>
      <c r="F1982" s="116">
        <v>50.33</v>
      </c>
      <c r="G1982">
        <v>163700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45798</v>
      </c>
      <c r="B1983" s="116">
        <v>47.130083831341302</v>
      </c>
      <c r="C1983" s="116">
        <v>46.700381806108901</v>
      </c>
      <c r="D1983" s="116">
        <v>45.237566401062402</v>
      </c>
      <c r="E1983" s="116">
        <v>46.608955843293501</v>
      </c>
      <c r="F1983" s="116">
        <v>51.08</v>
      </c>
      <c r="G1983">
        <v>123135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45799</v>
      </c>
      <c r="B1984" s="116">
        <v>46.901518924302799</v>
      </c>
      <c r="C1984" s="116">
        <v>45.868405544488702</v>
      </c>
      <c r="D1984" s="116">
        <v>45.5301294820717</v>
      </c>
      <c r="E1984" s="116">
        <v>46.215824203187204</v>
      </c>
      <c r="F1984" s="116">
        <v>50.17</v>
      </c>
      <c r="G1984">
        <v>32012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45800</v>
      </c>
      <c r="B1985" s="116">
        <v>47.770065571049102</v>
      </c>
      <c r="C1985" s="116">
        <v>46.983802290836699</v>
      </c>
      <c r="D1985" s="116">
        <v>45.831835159362598</v>
      </c>
      <c r="E1985" s="116">
        <v>45.8958333333333</v>
      </c>
      <c r="F1985" s="116">
        <v>51.39</v>
      </c>
      <c r="G1985">
        <v>183162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45803</v>
      </c>
      <c r="B1986" s="116">
        <v>53.932175464807401</v>
      </c>
      <c r="C1986" s="116">
        <v>52.213367363877801</v>
      </c>
      <c r="D1986" s="116">
        <v>47.102656042496697</v>
      </c>
      <c r="E1986" s="116">
        <v>47.989487881806099</v>
      </c>
      <c r="F1986" s="116">
        <v>57.11</v>
      </c>
      <c r="G1986">
        <v>911034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45804</v>
      </c>
      <c r="B1987" s="116">
        <v>52.542500830013303</v>
      </c>
      <c r="C1987" s="116">
        <v>50.366562915006597</v>
      </c>
      <c r="D1987" s="116">
        <v>50.055714641434299</v>
      </c>
      <c r="E1987" s="116">
        <v>51.399676294820701</v>
      </c>
      <c r="F1987" s="116">
        <v>55.09</v>
      </c>
      <c r="G1987">
        <v>209599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45805</v>
      </c>
      <c r="B1988" s="116">
        <v>51.993945053120797</v>
      </c>
      <c r="C1988" s="116">
        <v>50.704838977423599</v>
      </c>
      <c r="D1988" s="116">
        <v>50.3208499335989</v>
      </c>
      <c r="E1988" s="116">
        <v>51.171111387782197</v>
      </c>
      <c r="F1988" s="116">
        <v>55.46</v>
      </c>
      <c r="G1988">
        <v>253205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45806</v>
      </c>
      <c r="B1989" s="116">
        <v>57.598356573705203</v>
      </c>
      <c r="C1989" s="116">
        <v>56.665811752987999</v>
      </c>
      <c r="D1989" s="116">
        <v>51.244252158034499</v>
      </c>
      <c r="E1989" s="116">
        <v>51.637383798140803</v>
      </c>
      <c r="F1989" s="116">
        <v>61.98</v>
      </c>
      <c r="G1989">
        <v>1746402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45807</v>
      </c>
      <c r="B1990" s="116">
        <v>58.558329183266899</v>
      </c>
      <c r="C1990" s="116">
        <v>57.031515604249698</v>
      </c>
      <c r="D1990" s="116">
        <v>55.824692895086301</v>
      </c>
      <c r="E1990" s="116">
        <v>57.040658200531198</v>
      </c>
      <c r="F1990" s="116">
        <v>62.38</v>
      </c>
      <c r="G1990">
        <v>680700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45810</v>
      </c>
      <c r="B1991" s="116">
        <v>57.5526435922975</v>
      </c>
      <c r="C1991" s="116">
        <v>55.404133466135498</v>
      </c>
      <c r="D1991" s="116">
        <v>54.956146248339998</v>
      </c>
      <c r="E1991" s="116">
        <v>57.5526435922975</v>
      </c>
      <c r="F1991" s="116">
        <v>60.6</v>
      </c>
      <c r="G1991">
        <v>213287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45811</v>
      </c>
      <c r="B1992" s="116">
        <v>57.9092048472776</v>
      </c>
      <c r="C1992" s="116">
        <v>56.583528386454198</v>
      </c>
      <c r="D1992" s="116">
        <v>55.413276062416998</v>
      </c>
      <c r="E1992" s="116">
        <v>55.961831839309397</v>
      </c>
      <c r="F1992" s="116">
        <v>61.89</v>
      </c>
      <c r="G1992">
        <v>288897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45812</v>
      </c>
      <c r="B1993" s="116">
        <v>62.261080677290799</v>
      </c>
      <c r="C1993" s="116">
        <v>60.761694887118203</v>
      </c>
      <c r="D1993" s="116">
        <v>56.720667330677301</v>
      </c>
      <c r="E1993" s="116">
        <v>56.720667330677301</v>
      </c>
      <c r="F1993" s="116">
        <v>66.459999999999994</v>
      </c>
      <c r="G1993">
        <v>1222962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45813</v>
      </c>
      <c r="B1994" s="116">
        <v>61.7033823041169</v>
      </c>
      <c r="C1994" s="116">
        <v>59.618870351925601</v>
      </c>
      <c r="D1994" s="116">
        <v>59.052029382470103</v>
      </c>
      <c r="E1994" s="116">
        <v>61.648526726427598</v>
      </c>
      <c r="F1994" s="116">
        <v>65.209999999999994</v>
      </c>
      <c r="G1994">
        <v>497140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45814</v>
      </c>
      <c r="B1995" s="116">
        <v>65.369563413014603</v>
      </c>
      <c r="C1995" s="116">
        <v>64.235881474103607</v>
      </c>
      <c r="D1995" s="116">
        <v>59.426875830013302</v>
      </c>
      <c r="E1995" s="116">
        <v>59.426875830013302</v>
      </c>
      <c r="F1995" s="116">
        <v>70.260000000000005</v>
      </c>
      <c r="G1995">
        <v>1159046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45817</v>
      </c>
      <c r="B1996" s="116">
        <v>67.2986512284197</v>
      </c>
      <c r="C1996" s="116">
        <v>64.290737051792803</v>
      </c>
      <c r="D1996" s="116">
        <v>63.723896082337298</v>
      </c>
      <c r="E1996" s="116">
        <v>64.181025896414297</v>
      </c>
      <c r="F1996" s="116">
        <v>70.319999999999993</v>
      </c>
      <c r="G1996">
        <v>601342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45818</v>
      </c>
      <c r="B1997" s="116">
        <v>65.671269090305401</v>
      </c>
      <c r="C1997" s="116">
        <v>64.629013114209798</v>
      </c>
      <c r="D1997" s="116">
        <v>62.553643758300097</v>
      </c>
      <c r="E1997" s="116">
        <v>65.296422642762295</v>
      </c>
      <c r="F1997" s="116">
        <v>70.69</v>
      </c>
      <c r="G1997">
        <v>665187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45819</v>
      </c>
      <c r="B1998" s="116">
        <v>67.746638446215101</v>
      </c>
      <c r="C1998" s="116">
        <v>67.188940073041195</v>
      </c>
      <c r="D1998" s="116">
        <v>64.199311088977396</v>
      </c>
      <c r="E1998" s="116">
        <v>65.241567065072999</v>
      </c>
      <c r="F1998" s="116">
        <v>73.489999999999995</v>
      </c>
      <c r="G1998">
        <v>580629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45820</v>
      </c>
      <c r="B1999" s="116">
        <v>69.273452025232402</v>
      </c>
      <c r="C1999" s="116">
        <v>66.512387948207206</v>
      </c>
      <c r="D1999" s="116">
        <v>65.396991201859194</v>
      </c>
      <c r="E1999" s="116">
        <v>67.344364209827404</v>
      </c>
      <c r="F1999" s="116">
        <v>72.75</v>
      </c>
      <c r="G1999">
        <v>609078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45821</v>
      </c>
      <c r="B2000" s="116">
        <v>69.986574535192602</v>
      </c>
      <c r="C2000" s="116">
        <v>67.5820717131474</v>
      </c>
      <c r="D2000" s="116">
        <v>63.559329349269603</v>
      </c>
      <c r="E2000" s="116">
        <v>63.559329349269603</v>
      </c>
      <c r="F2000" s="116">
        <v>73.92</v>
      </c>
      <c r="G2000">
        <v>422337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45824</v>
      </c>
      <c r="B2001" s="116">
        <v>68.057486719787505</v>
      </c>
      <c r="C2001" s="116">
        <v>66.5855287184595</v>
      </c>
      <c r="D2001" s="116">
        <v>64.318164840637493</v>
      </c>
      <c r="E2001" s="116">
        <v>68.057486719787505</v>
      </c>
      <c r="F2001" s="116">
        <v>72.83</v>
      </c>
      <c r="G2001">
        <v>230294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45825</v>
      </c>
      <c r="B2002" s="116">
        <v>66.987802954847297</v>
      </c>
      <c r="C2002" s="116">
        <v>65.643841301460796</v>
      </c>
      <c r="D2002" s="116">
        <v>65.433561586985405</v>
      </c>
      <c r="E2002" s="116">
        <v>65.835835823373202</v>
      </c>
      <c r="F2002" s="116">
        <v>71.8</v>
      </c>
      <c r="G2002">
        <v>208458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45826</v>
      </c>
      <c r="B2003" s="116">
        <v>66.073543326693198</v>
      </c>
      <c r="C2003" s="116">
        <v>64.555872343957503</v>
      </c>
      <c r="D2003" s="116">
        <v>63.861035026560401</v>
      </c>
      <c r="E2003" s="116">
        <v>66.073543326693198</v>
      </c>
      <c r="F2003" s="116">
        <v>70.61</v>
      </c>
      <c r="G2003">
        <v>224776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45827</v>
      </c>
      <c r="B2004" s="116">
        <v>66.923804780876495</v>
      </c>
      <c r="C2004" s="116">
        <v>65.049572543160707</v>
      </c>
      <c r="D2004" s="116">
        <v>62.645069721115497</v>
      </c>
      <c r="E2004" s="116">
        <v>65.351278220451505</v>
      </c>
      <c r="F2004" s="116">
        <v>71.150000000000006</v>
      </c>
      <c r="G2004">
        <v>384959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45828</v>
      </c>
      <c r="B2005" s="116">
        <v>65.872406208499299</v>
      </c>
      <c r="C2005" s="116">
        <v>64.171883300132805</v>
      </c>
      <c r="D2005" s="116">
        <v>63.659897908366503</v>
      </c>
      <c r="E2005" s="116">
        <v>64.903291002656005</v>
      </c>
      <c r="F2005" s="116">
        <v>70.19</v>
      </c>
      <c r="G2005">
        <v>170794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45831</v>
      </c>
      <c r="B2006" s="116">
        <v>67.198082669322702</v>
      </c>
      <c r="C2006" s="116">
        <v>65.817550630810103</v>
      </c>
      <c r="D2006" s="116">
        <v>63.632470119521898</v>
      </c>
      <c r="E2006" s="116">
        <v>63.925033200531203</v>
      </c>
      <c r="F2006" s="116">
        <v>71.989999999999995</v>
      </c>
      <c r="G2006">
        <v>197273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45832</v>
      </c>
      <c r="B2007" s="116">
        <v>72.711068227091602</v>
      </c>
      <c r="C2007" s="116">
        <v>70.809408200531195</v>
      </c>
      <c r="D2007" s="116">
        <v>67.124941899070393</v>
      </c>
      <c r="E2007" s="116">
        <v>67.152369687914998</v>
      </c>
      <c r="F2007" s="116">
        <v>77.45</v>
      </c>
      <c r="G2007">
        <v>789613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45833</v>
      </c>
      <c r="B2008" s="116">
        <v>72.226510624170004</v>
      </c>
      <c r="C2008" s="116">
        <v>71.577386288180605</v>
      </c>
      <c r="D2008" s="116">
        <v>69.483731739707807</v>
      </c>
      <c r="E2008" s="116">
        <v>71.888234561752995</v>
      </c>
      <c r="F2008" s="116">
        <v>78.290000000000006</v>
      </c>
      <c r="G2008">
        <v>432545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45834</v>
      </c>
      <c r="B2009" s="116">
        <v>74.082457669322693</v>
      </c>
      <c r="C2009" s="116">
        <v>73.552187084993406</v>
      </c>
      <c r="D2009" s="116">
        <v>71.028830511288206</v>
      </c>
      <c r="E2009" s="116">
        <v>71.028830511288206</v>
      </c>
      <c r="F2009" s="116">
        <v>80.45</v>
      </c>
      <c r="G2009">
        <v>520629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45835</v>
      </c>
      <c r="B2010" s="116">
        <v>84.642156374501994</v>
      </c>
      <c r="C2010" s="116">
        <v>81.286823539176595</v>
      </c>
      <c r="D2010" s="116">
        <v>74.119028054448904</v>
      </c>
      <c r="E2010" s="116">
        <v>74.603585657370502</v>
      </c>
      <c r="F2010" s="116">
        <v>88.91</v>
      </c>
      <c r="G2010">
        <v>2425731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45838</v>
      </c>
      <c r="B2011" s="116">
        <v>82.639927788844602</v>
      </c>
      <c r="C2011" s="116">
        <v>81.588529216467506</v>
      </c>
      <c r="D2011" s="116">
        <v>80.034287848605601</v>
      </c>
      <c r="E2011" s="116">
        <v>82.566787018592294</v>
      </c>
      <c r="F2011" s="116">
        <v>89.24</v>
      </c>
      <c r="G2011">
        <v>304589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45839</v>
      </c>
      <c r="B2012" s="116">
        <v>82.813637118193896</v>
      </c>
      <c r="C2012" s="116">
        <v>80.966832669322699</v>
      </c>
      <c r="D2012" s="116">
        <v>80.546273240371804</v>
      </c>
      <c r="E2012" s="116">
        <v>81.460532868525902</v>
      </c>
      <c r="F2012" s="116">
        <v>88.56</v>
      </c>
      <c r="G2012">
        <v>260372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45840</v>
      </c>
      <c r="B2013" s="116">
        <v>81.689097775564406</v>
      </c>
      <c r="C2013" s="116">
        <v>76.240110391766294</v>
      </c>
      <c r="D2013" s="116">
        <v>74.969289508632102</v>
      </c>
      <c r="E2013" s="116">
        <v>81.689097775564406</v>
      </c>
      <c r="F2013" s="116">
        <v>83.39</v>
      </c>
      <c r="G2013">
        <v>389777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45841</v>
      </c>
      <c r="B2014" s="116">
        <v>85.254710325365195</v>
      </c>
      <c r="C2014" s="116">
        <v>84.495874833997306</v>
      </c>
      <c r="D2014" s="116">
        <v>76.358964143426306</v>
      </c>
      <c r="E2014" s="116">
        <v>76.404677124833995</v>
      </c>
      <c r="F2014" s="116">
        <v>92.42</v>
      </c>
      <c r="G2014">
        <v>1263448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45842</v>
      </c>
      <c r="B2015" s="116">
        <v>88.125485557768897</v>
      </c>
      <c r="C2015" s="116">
        <v>83.197626162018594</v>
      </c>
      <c r="D2015" s="116">
        <v>81.826236719787502</v>
      </c>
      <c r="E2015" s="116">
        <v>82.694783366533898</v>
      </c>
      <c r="F2015" s="116">
        <v>91</v>
      </c>
      <c r="G2015">
        <v>1300046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45845</v>
      </c>
      <c r="B2016" s="116">
        <v>85.611271580345303</v>
      </c>
      <c r="C2016" s="116">
        <v>81.981660856573697</v>
      </c>
      <c r="D2016" s="116">
        <v>81.524531042496704</v>
      </c>
      <c r="E2016" s="116">
        <v>83.279909528552494</v>
      </c>
      <c r="F2016" s="116">
        <v>89.67</v>
      </c>
      <c r="G2016">
        <v>497547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45846</v>
      </c>
      <c r="B2017" s="116">
        <v>82.548501826029195</v>
      </c>
      <c r="C2017" s="116">
        <v>80.473132470119495</v>
      </c>
      <c r="D2017" s="116">
        <v>78.809179946879198</v>
      </c>
      <c r="E2017" s="116">
        <v>81.551958831341295</v>
      </c>
      <c r="F2017" s="116">
        <v>88.02</v>
      </c>
      <c r="G2017">
        <v>471505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45847</v>
      </c>
      <c r="B2018" s="116">
        <v>83.654755976095601</v>
      </c>
      <c r="C2018" s="116">
        <v>81.3142513280212</v>
      </c>
      <c r="D2018" s="116">
        <v>80.445704681274904</v>
      </c>
      <c r="E2018" s="116">
        <v>80.454847277556397</v>
      </c>
      <c r="F2018" s="116">
        <v>88.94</v>
      </c>
      <c r="G2018">
        <v>484411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45848</v>
      </c>
      <c r="B2019" s="116">
        <v>86.342679282868502</v>
      </c>
      <c r="C2019" s="116">
        <v>85.026145418326706</v>
      </c>
      <c r="D2019" s="116">
        <v>81.487960657370493</v>
      </c>
      <c r="E2019" s="116">
        <v>81.780523738379799</v>
      </c>
      <c r="F2019" s="116">
        <v>93</v>
      </c>
      <c r="G2019">
        <v>820755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45849</v>
      </c>
      <c r="B2020" s="116">
        <v>85.510703021248304</v>
      </c>
      <c r="C2020" s="116">
        <v>82.877635292164697</v>
      </c>
      <c r="D2020" s="116">
        <v>82.292509130146101</v>
      </c>
      <c r="E2020" s="116">
        <v>84.084458001328002</v>
      </c>
      <c r="F2020" s="116">
        <v>90.65</v>
      </c>
      <c r="G2020">
        <v>498112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45852</v>
      </c>
      <c r="B2021" s="116">
        <v>83.554187416998701</v>
      </c>
      <c r="C2021" s="116">
        <v>81.414819887118199</v>
      </c>
      <c r="D2021" s="116">
        <v>80.1348564077025</v>
      </c>
      <c r="E2021" s="116">
        <v>82.877635292164697</v>
      </c>
      <c r="F2021" s="116">
        <v>89.05</v>
      </c>
      <c r="G2021">
        <v>368098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45853</v>
      </c>
      <c r="B2022" s="116">
        <v>83.8376079017264</v>
      </c>
      <c r="C2022" s="116">
        <v>79.202311586985402</v>
      </c>
      <c r="D2022" s="116">
        <v>78.772609561753001</v>
      </c>
      <c r="E2022" s="116">
        <v>81.817094123505996</v>
      </c>
      <c r="F2022" s="116">
        <v>86.63</v>
      </c>
      <c r="G2022">
        <v>1020165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45854</v>
      </c>
      <c r="B2023" s="116">
        <v>79.805722941567097</v>
      </c>
      <c r="C2023" s="116">
        <v>77.602357237715793</v>
      </c>
      <c r="D2023" s="116">
        <v>75.517845285524601</v>
      </c>
      <c r="E2023" s="116">
        <v>79.622871015936298</v>
      </c>
      <c r="F2023" s="116">
        <v>84.88</v>
      </c>
      <c r="G2023">
        <v>624432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45855</v>
      </c>
      <c r="B2024" s="116">
        <v>78.672041002656002</v>
      </c>
      <c r="C2024" s="116">
        <v>73.360192563081</v>
      </c>
      <c r="D2024" s="116">
        <v>72.9122053452855</v>
      </c>
      <c r="E2024" s="116">
        <v>77.401220119521895</v>
      </c>
      <c r="F2024" s="116">
        <v>80.239999999999995</v>
      </c>
      <c r="G2024">
        <v>812172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45856</v>
      </c>
      <c r="B2025" s="116">
        <v>74.530444887118193</v>
      </c>
      <c r="C2025" s="116">
        <v>73.8081797808765</v>
      </c>
      <c r="D2025" s="116">
        <v>71.696240039840603</v>
      </c>
      <c r="E2025" s="116">
        <v>73.634470451527207</v>
      </c>
      <c r="F2025" s="116">
        <v>80.73</v>
      </c>
      <c r="G2025">
        <v>446252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45859</v>
      </c>
      <c r="B2026" s="116">
        <v>76.2492529880478</v>
      </c>
      <c r="C2026" s="116">
        <v>75.2527099933599</v>
      </c>
      <c r="D2026" s="116">
        <v>73.1773406374502</v>
      </c>
      <c r="E2026" s="116">
        <v>74.749867197875204</v>
      </c>
      <c r="F2026" s="116">
        <v>82.31</v>
      </c>
      <c r="G2026">
        <v>685142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45860</v>
      </c>
      <c r="B2027" s="116">
        <v>75.947547310757002</v>
      </c>
      <c r="C2027" s="116">
        <v>74.795580179282894</v>
      </c>
      <c r="D2027" s="116">
        <v>73.579614873837997</v>
      </c>
      <c r="E2027" s="116">
        <v>75.947547310757002</v>
      </c>
      <c r="F2027" s="116">
        <v>81.81</v>
      </c>
      <c r="G2027">
        <v>307098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45861</v>
      </c>
      <c r="B2028" s="116">
        <v>75.426419322709194</v>
      </c>
      <c r="C2028" s="116">
        <v>75.079000664010593</v>
      </c>
      <c r="D2028" s="116">
        <v>74.3567355577689</v>
      </c>
      <c r="E2028" s="116">
        <v>74.795580179282894</v>
      </c>
      <c r="F2028" s="116">
        <v>82.12</v>
      </c>
      <c r="G2028">
        <v>244170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45862</v>
      </c>
      <c r="B2029" s="116">
        <v>75.389848937582997</v>
      </c>
      <c r="C2029" s="116">
        <v>74.429876328021294</v>
      </c>
      <c r="D2029" s="116">
        <v>73.826464973439599</v>
      </c>
      <c r="E2029" s="116">
        <v>75.325850763612195</v>
      </c>
      <c r="F2029" s="116">
        <v>81.41</v>
      </c>
      <c r="G2029">
        <v>142000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45863</v>
      </c>
      <c r="B2030" s="116">
        <v>74.420733731739702</v>
      </c>
      <c r="C2030" s="116">
        <v>72.738496015936306</v>
      </c>
      <c r="D2030" s="116">
        <v>72.317936586985397</v>
      </c>
      <c r="E2030" s="116">
        <v>74.420733731739702</v>
      </c>
      <c r="F2030" s="116">
        <v>79.56</v>
      </c>
      <c r="G2030">
        <v>229079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45866</v>
      </c>
      <c r="B2031" s="116">
        <v>74.512159694555095</v>
      </c>
      <c r="C2031" s="116">
        <v>74.091600265604299</v>
      </c>
      <c r="D2031" s="116">
        <v>71.431104747676002</v>
      </c>
      <c r="E2031" s="116">
        <v>72.263081009296201</v>
      </c>
      <c r="F2031" s="116">
        <v>81.040000000000006</v>
      </c>
      <c r="G2031">
        <v>470166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45867</v>
      </c>
      <c r="B2032" s="116">
        <v>75.526987881806093</v>
      </c>
      <c r="C2032" s="116">
        <v>75.033287682602904</v>
      </c>
      <c r="D2032" s="116">
        <v>72.848207171314797</v>
      </c>
      <c r="E2032" s="116">
        <v>74.832150564409005</v>
      </c>
      <c r="F2032" s="116">
        <v>82.07</v>
      </c>
      <c r="G2032">
        <v>170153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45868</v>
      </c>
      <c r="B2033" s="116">
        <v>76.523530876493993</v>
      </c>
      <c r="C2033" s="116">
        <v>74.265309594953493</v>
      </c>
      <c r="D2033" s="116">
        <v>73.9910317065073</v>
      </c>
      <c r="E2033" s="116">
        <v>75.636699037184599</v>
      </c>
      <c r="F2033" s="116">
        <v>81.23</v>
      </c>
      <c r="G2033">
        <v>367899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45869</v>
      </c>
      <c r="B2034" s="116">
        <v>80.811408532536504</v>
      </c>
      <c r="C2034" s="116">
        <v>79.220596779548501</v>
      </c>
      <c r="D2034" s="116">
        <v>72.537358897742394</v>
      </c>
      <c r="E2034" s="116">
        <v>74.000174302788807</v>
      </c>
      <c r="F2034" s="116">
        <v>86.65</v>
      </c>
      <c r="G2034">
        <v>563460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45870</v>
      </c>
      <c r="B2035" s="116">
        <v>79.302880146082302</v>
      </c>
      <c r="C2035" s="116">
        <v>73.853892762284204</v>
      </c>
      <c r="D2035" s="116">
        <v>72.738496015936306</v>
      </c>
      <c r="E2035" s="116">
        <v>79.302880146082302</v>
      </c>
      <c r="F2035" s="116">
        <v>80.78</v>
      </c>
      <c r="G2035">
        <v>461908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45873</v>
      </c>
      <c r="B2036" s="116">
        <v>78.114342629482096</v>
      </c>
      <c r="C2036" s="116">
        <v>76.578386454183303</v>
      </c>
      <c r="D2036" s="116">
        <v>73.213911022576397</v>
      </c>
      <c r="E2036" s="116">
        <v>73.762466799468797</v>
      </c>
      <c r="F2036" s="116">
        <v>83.76</v>
      </c>
      <c r="G2036">
        <v>460170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45874</v>
      </c>
      <c r="B2037" s="116">
        <v>79.440019090305398</v>
      </c>
      <c r="C2037" s="116">
        <v>77.904062915006605</v>
      </c>
      <c r="D2037" s="116">
        <v>75.892691733067707</v>
      </c>
      <c r="E2037" s="116">
        <v>75.892691733067707</v>
      </c>
      <c r="F2037" s="116">
        <v>85.21</v>
      </c>
      <c r="G2037">
        <v>371107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45875</v>
      </c>
      <c r="B2038" s="116">
        <v>79.129170816733094</v>
      </c>
      <c r="C2038" s="116">
        <v>76.541816069057106</v>
      </c>
      <c r="D2038" s="116">
        <v>76.057258466135494</v>
      </c>
      <c r="E2038" s="116">
        <v>79.129170816733094</v>
      </c>
      <c r="F2038" s="116">
        <v>83.72</v>
      </c>
      <c r="G2038">
        <v>291815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45876</v>
      </c>
      <c r="B2039" s="116">
        <v>77.885777722443606</v>
      </c>
      <c r="C2039" s="116">
        <v>77.620642430278906</v>
      </c>
      <c r="D2039" s="116">
        <v>74.311022576361196</v>
      </c>
      <c r="E2039" s="116">
        <v>75.152141434263001</v>
      </c>
      <c r="F2039" s="116">
        <v>84.9</v>
      </c>
      <c r="G2039">
        <v>377140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45877</v>
      </c>
      <c r="B2040" s="116">
        <v>79.156598605577699</v>
      </c>
      <c r="C2040" s="116">
        <v>76.651527224435597</v>
      </c>
      <c r="D2040" s="116">
        <v>75.947547310757002</v>
      </c>
      <c r="E2040" s="116">
        <v>78.224053784860601</v>
      </c>
      <c r="F2040" s="116">
        <v>83.84</v>
      </c>
      <c r="G2040">
        <v>318842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45880</v>
      </c>
      <c r="B2041" s="116">
        <v>78.626328021248298</v>
      </c>
      <c r="C2041" s="116">
        <v>71.623099269588295</v>
      </c>
      <c r="D2041" s="116">
        <v>71.0196879150066</v>
      </c>
      <c r="E2041" s="116">
        <v>76.605814243027893</v>
      </c>
      <c r="F2041" s="116">
        <v>78.34</v>
      </c>
      <c r="G2041">
        <v>780324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45881</v>
      </c>
      <c r="B2042" s="116">
        <v>72.125942065073005</v>
      </c>
      <c r="C2042" s="116">
        <v>69.337450199203204</v>
      </c>
      <c r="D2042" s="116">
        <v>68.203768260292193</v>
      </c>
      <c r="E2042" s="116">
        <v>71.348821381142102</v>
      </c>
      <c r="F2042" s="116">
        <v>75.84</v>
      </c>
      <c r="G2042">
        <v>456514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45882</v>
      </c>
      <c r="B2043" s="116">
        <v>74.055029880478102</v>
      </c>
      <c r="C2043" s="116">
        <v>73.433333333333294</v>
      </c>
      <c r="D2043" s="116">
        <v>69.255166832669303</v>
      </c>
      <c r="E2043" s="116">
        <v>69.255166832669303</v>
      </c>
      <c r="F2043" s="116">
        <v>80.319999999999993</v>
      </c>
      <c r="G2043">
        <v>1775594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45883</v>
      </c>
      <c r="B2044" s="116">
        <v>73.8</v>
      </c>
      <c r="C2044" s="116">
        <v>72.7</v>
      </c>
      <c r="D2044" s="116">
        <v>69.06</v>
      </c>
      <c r="E2044" s="116">
        <v>71.680000000000007</v>
      </c>
      <c r="F2044" s="116">
        <v>72.7</v>
      </c>
      <c r="G2044">
        <v>2426424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45887</v>
      </c>
      <c r="B2045" s="116">
        <v>78.36</v>
      </c>
      <c r="C2045" s="116">
        <v>77.39</v>
      </c>
      <c r="D2045" s="116">
        <v>70.72</v>
      </c>
      <c r="E2045" s="116">
        <v>72.97</v>
      </c>
      <c r="F2045" s="116">
        <v>77.39</v>
      </c>
      <c r="G2045">
        <v>809986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45888</v>
      </c>
      <c r="B2046" s="116">
        <v>78.53</v>
      </c>
      <c r="C2046" s="116">
        <v>75.959999999999994</v>
      </c>
      <c r="D2046" s="116">
        <v>75.28</v>
      </c>
      <c r="E2046" s="116">
        <v>77.55</v>
      </c>
      <c r="F2046" s="116">
        <v>75.959999999999994</v>
      </c>
      <c r="G2046">
        <v>3844234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45889</v>
      </c>
      <c r="B2047" s="116">
        <v>77.63</v>
      </c>
      <c r="C2047" s="116">
        <v>76.02</v>
      </c>
      <c r="D2047" s="116">
        <v>75.5</v>
      </c>
      <c r="E2047" s="116">
        <v>76.62</v>
      </c>
      <c r="F2047" s="116">
        <v>76.02</v>
      </c>
      <c r="G2047">
        <v>336801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45890</v>
      </c>
      <c r="B2048" s="116">
        <v>76.89</v>
      </c>
      <c r="C2048" s="116">
        <v>74.05</v>
      </c>
      <c r="D2048" s="116">
        <v>72.72</v>
      </c>
      <c r="E2048" s="116">
        <v>76.78</v>
      </c>
      <c r="F2048" s="116">
        <v>74.05</v>
      </c>
      <c r="G2048">
        <v>297651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45891</v>
      </c>
      <c r="B2049" s="116">
        <v>74.989999999999995</v>
      </c>
      <c r="C2049" s="116">
        <v>71.709999999999994</v>
      </c>
      <c r="D2049" s="116">
        <v>71.08</v>
      </c>
      <c r="E2049" s="116">
        <v>74.989999999999995</v>
      </c>
      <c r="F2049" s="116">
        <v>71.709999999999994</v>
      </c>
      <c r="G2049">
        <v>188819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45894</v>
      </c>
      <c r="B2050" s="116">
        <v>75.8</v>
      </c>
      <c r="C2050" s="116">
        <v>74.09</v>
      </c>
      <c r="D2050" s="116">
        <v>70.569999999999993</v>
      </c>
      <c r="E2050" s="116">
        <v>71.709999999999994</v>
      </c>
      <c r="F2050" s="116">
        <v>74.09</v>
      </c>
      <c r="G2050">
        <v>665971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45895</v>
      </c>
      <c r="B2051" s="116">
        <v>74.39</v>
      </c>
      <c r="C2051" s="116">
        <v>71.72</v>
      </c>
      <c r="D2051" s="116">
        <v>70.599999999999994</v>
      </c>
      <c r="E2051" s="116">
        <v>74.39</v>
      </c>
      <c r="F2051" s="116">
        <v>71.72</v>
      </c>
      <c r="G2051">
        <v>461586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45897</v>
      </c>
      <c r="B2052" s="116">
        <v>71.95</v>
      </c>
      <c r="C2052" s="116">
        <v>70.52</v>
      </c>
      <c r="D2052" s="116">
        <v>70.099999999999994</v>
      </c>
      <c r="E2052" s="116">
        <v>71.72</v>
      </c>
      <c r="F2052" s="116">
        <v>70.52</v>
      </c>
      <c r="G2052">
        <v>441535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45898</v>
      </c>
      <c r="B2053" s="116">
        <v>72.78</v>
      </c>
      <c r="C2053" s="116">
        <v>70.760000000000005</v>
      </c>
      <c r="D2053" s="116">
        <v>70.19</v>
      </c>
      <c r="E2053" s="116">
        <v>70.7</v>
      </c>
      <c r="F2053" s="116">
        <v>70.760000000000005</v>
      </c>
      <c r="G2053">
        <v>331459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45901</v>
      </c>
      <c r="B2054" s="116">
        <v>73.58</v>
      </c>
      <c r="C2054" s="116">
        <v>72.5</v>
      </c>
      <c r="D2054" s="116">
        <v>71.2</v>
      </c>
      <c r="E2054" s="116">
        <v>71.2</v>
      </c>
      <c r="F2054" s="116">
        <v>72.5</v>
      </c>
      <c r="G2054">
        <v>357974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45902</v>
      </c>
      <c r="B2055" s="116">
        <v>74.069999999999993</v>
      </c>
      <c r="C2055" s="116">
        <v>72.97</v>
      </c>
      <c r="D2055" s="116">
        <v>71.58</v>
      </c>
      <c r="E2055" s="116">
        <v>72.63</v>
      </c>
      <c r="F2055" s="116">
        <v>72.97</v>
      </c>
      <c r="G2055">
        <v>296171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45903</v>
      </c>
      <c r="B2056" s="116">
        <v>73</v>
      </c>
      <c r="C2056" s="116">
        <v>72.44</v>
      </c>
      <c r="D2056" s="116">
        <v>70</v>
      </c>
      <c r="E2056" s="116">
        <v>72.989999999999995</v>
      </c>
      <c r="F2056" s="116">
        <v>72.44</v>
      </c>
      <c r="G2056">
        <v>202061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45904</v>
      </c>
      <c r="B2057" s="116">
        <v>73.41</v>
      </c>
      <c r="C2057" s="116">
        <v>70.56</v>
      </c>
      <c r="D2057" s="116">
        <v>70.31</v>
      </c>
      <c r="E2057" s="116">
        <v>72.52</v>
      </c>
      <c r="F2057" s="116">
        <v>70.56</v>
      </c>
      <c r="G2057">
        <v>252552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45905</v>
      </c>
      <c r="B2058" s="116">
        <v>75</v>
      </c>
      <c r="C2058" s="116">
        <v>74.23</v>
      </c>
      <c r="D2058" s="116">
        <v>70.2</v>
      </c>
      <c r="E2058" s="116">
        <v>70.91</v>
      </c>
      <c r="F2058" s="116">
        <v>74.23</v>
      </c>
      <c r="G2058">
        <v>500711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45908</v>
      </c>
      <c r="B2059" s="116">
        <v>74.75</v>
      </c>
      <c r="C2059" s="116">
        <v>72.25</v>
      </c>
      <c r="D2059" s="116">
        <v>71.63</v>
      </c>
      <c r="E2059" s="116">
        <v>74.2</v>
      </c>
      <c r="F2059" s="116">
        <v>72.25</v>
      </c>
      <c r="G2059">
        <v>300727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45909</v>
      </c>
      <c r="B2060" s="116">
        <v>72.52</v>
      </c>
      <c r="C2060" s="116">
        <v>71.400000000000006</v>
      </c>
      <c r="D2060" s="116">
        <v>70.569999999999993</v>
      </c>
      <c r="E2060" s="116">
        <v>72.489999999999995</v>
      </c>
      <c r="F2060" s="116">
        <v>71.400000000000006</v>
      </c>
      <c r="G2060">
        <v>118504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45910</v>
      </c>
      <c r="B2061" s="116">
        <v>72.44</v>
      </c>
      <c r="C2061" s="116">
        <v>71.73</v>
      </c>
      <c r="D2061" s="116">
        <v>70.91</v>
      </c>
      <c r="E2061" s="116">
        <v>72</v>
      </c>
      <c r="F2061" s="116">
        <v>71.73</v>
      </c>
      <c r="G2061">
        <v>282851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45911</v>
      </c>
      <c r="B2062" s="116">
        <v>71.930000000000007</v>
      </c>
      <c r="C2062" s="116">
        <v>70.45</v>
      </c>
      <c r="D2062" s="116">
        <v>70</v>
      </c>
      <c r="E2062" s="116">
        <v>71.010000000000005</v>
      </c>
      <c r="F2062" s="116">
        <v>70.45</v>
      </c>
      <c r="G2062">
        <v>293037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45912</v>
      </c>
      <c r="B2063" s="116">
        <v>71.14</v>
      </c>
      <c r="C2063" s="116">
        <v>70.7</v>
      </c>
      <c r="D2063" s="116">
        <v>70</v>
      </c>
      <c r="E2063" s="116">
        <v>70.260000000000005</v>
      </c>
      <c r="F2063" s="116">
        <v>70.7</v>
      </c>
      <c r="G2063">
        <v>177171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45915</v>
      </c>
      <c r="B2064" s="116">
        <v>73.099999999999994</v>
      </c>
      <c r="C2064" s="116">
        <v>70.599999999999994</v>
      </c>
      <c r="D2064" s="116">
        <v>70.260000000000005</v>
      </c>
      <c r="E2064" s="116">
        <v>71.48</v>
      </c>
      <c r="F2064" s="116">
        <v>70.599999999999994</v>
      </c>
      <c r="G2064">
        <v>396402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45916</v>
      </c>
      <c r="B2065" s="116">
        <v>71.69</v>
      </c>
      <c r="C2065" s="116">
        <v>70.180000000000007</v>
      </c>
      <c r="D2065" s="116">
        <v>69.709999999999994</v>
      </c>
      <c r="E2065" s="116">
        <v>71</v>
      </c>
      <c r="F2065" s="116">
        <v>70.180000000000007</v>
      </c>
      <c r="G2065">
        <v>214425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45917</v>
      </c>
      <c r="B2066" s="116">
        <v>70.92</v>
      </c>
      <c r="C2066" s="116">
        <v>69.36</v>
      </c>
      <c r="D2066" s="116">
        <v>69.209999999999994</v>
      </c>
      <c r="E2066" s="116">
        <v>70.5</v>
      </c>
      <c r="F2066" s="116">
        <v>69.36</v>
      </c>
      <c r="G2066">
        <v>105054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45918</v>
      </c>
      <c r="B2067" s="116">
        <v>70.430000000000007</v>
      </c>
      <c r="C2067" s="116">
        <v>67.33</v>
      </c>
      <c r="D2067" s="116">
        <v>67.099999999999994</v>
      </c>
      <c r="E2067" s="116">
        <v>70.430000000000007</v>
      </c>
      <c r="F2067" s="116">
        <v>67.33</v>
      </c>
      <c r="G2067">
        <v>288505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45919</v>
      </c>
      <c r="B2068" s="116">
        <v>68.69</v>
      </c>
      <c r="C2068" s="116">
        <v>66.94</v>
      </c>
      <c r="D2068" s="116">
        <v>66.75</v>
      </c>
      <c r="E2068" s="116">
        <v>67.33</v>
      </c>
      <c r="F2068" s="116">
        <v>66.94</v>
      </c>
      <c r="G2068">
        <v>272957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45922</v>
      </c>
      <c r="B2069" s="116">
        <v>68.88</v>
      </c>
      <c r="C2069" s="116">
        <v>67.31</v>
      </c>
      <c r="D2069" s="116">
        <v>66.61</v>
      </c>
      <c r="E2069" s="116">
        <v>67.2</v>
      </c>
      <c r="F2069" s="116">
        <v>67.31</v>
      </c>
      <c r="G2069">
        <v>195446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45923</v>
      </c>
      <c r="B2070" s="116">
        <v>68.66</v>
      </c>
      <c r="C2070" s="116">
        <v>66.540000000000006</v>
      </c>
      <c r="D2070" s="116">
        <v>66.05</v>
      </c>
      <c r="E2070" s="116">
        <v>68.66</v>
      </c>
      <c r="F2070" s="116">
        <v>66.540000000000006</v>
      </c>
      <c r="G2070">
        <v>102067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45924</v>
      </c>
      <c r="B2071" s="116">
        <v>66.98</v>
      </c>
      <c r="C2071" s="116">
        <v>65.78</v>
      </c>
      <c r="D2071" s="116">
        <v>65.319999999999993</v>
      </c>
      <c r="E2071" s="116">
        <v>66.98</v>
      </c>
      <c r="F2071" s="116">
        <v>65.78</v>
      </c>
      <c r="G2071">
        <v>80615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45925</v>
      </c>
      <c r="B2072" s="116">
        <v>66.5</v>
      </c>
      <c r="C2072" s="116">
        <v>64.86</v>
      </c>
      <c r="D2072" s="116">
        <v>64.650000000000006</v>
      </c>
      <c r="E2072" s="116">
        <v>66.5</v>
      </c>
      <c r="F2072" s="116">
        <v>64.86</v>
      </c>
      <c r="G2072">
        <v>198745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45926</v>
      </c>
      <c r="B2073" s="116">
        <v>65.5</v>
      </c>
      <c r="C2073" s="116">
        <v>63.12</v>
      </c>
      <c r="D2073" s="116">
        <v>62.96</v>
      </c>
      <c r="E2073" s="116">
        <v>65</v>
      </c>
      <c r="F2073" s="116">
        <v>63.12</v>
      </c>
      <c r="G2073">
        <v>229228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45929</v>
      </c>
      <c r="B2074" s="116">
        <v>70</v>
      </c>
      <c r="C2074" s="116">
        <v>61.95</v>
      </c>
      <c r="D2074" s="116">
        <v>61.6</v>
      </c>
      <c r="E2074" s="116">
        <v>70</v>
      </c>
      <c r="F2074" s="116">
        <v>61.95</v>
      </c>
      <c r="G2074">
        <v>78305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45930</v>
      </c>
      <c r="B2075" s="116">
        <v>63.14</v>
      </c>
      <c r="C2075" s="116">
        <v>62.49</v>
      </c>
      <c r="D2075" s="116">
        <v>60.2</v>
      </c>
      <c r="E2075" s="116">
        <v>60.2</v>
      </c>
      <c r="F2075" s="116">
        <v>62.49</v>
      </c>
      <c r="G2075">
        <v>147409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45931</v>
      </c>
      <c r="B2076" s="116">
        <v>66.38</v>
      </c>
      <c r="C2076" s="116">
        <v>64.819999999999993</v>
      </c>
      <c r="D2076" s="116">
        <v>62.28</v>
      </c>
      <c r="E2076" s="116">
        <v>62.87</v>
      </c>
      <c r="F2076" s="116">
        <v>64.819999999999993</v>
      </c>
      <c r="G2076">
        <v>110135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45933</v>
      </c>
      <c r="B2077" s="116">
        <v>69.400000000000006</v>
      </c>
      <c r="C2077" s="116">
        <v>69</v>
      </c>
      <c r="D2077" s="116">
        <v>64.73</v>
      </c>
      <c r="E2077" s="116">
        <v>65.989999999999995</v>
      </c>
      <c r="F2077" s="116">
        <v>69</v>
      </c>
      <c r="G2077">
        <v>302966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45936</v>
      </c>
      <c r="B2078" s="116">
        <v>71.03</v>
      </c>
      <c r="C2078" s="116">
        <v>69.95</v>
      </c>
      <c r="D2078" s="116">
        <v>68.97</v>
      </c>
      <c r="E2078" s="116">
        <v>69.989999999999995</v>
      </c>
      <c r="F2078" s="116">
        <v>69.95</v>
      </c>
      <c r="G2078">
        <v>159955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45937</v>
      </c>
      <c r="B2079" s="116">
        <v>70.48</v>
      </c>
      <c r="C2079" s="116">
        <v>69.06</v>
      </c>
      <c r="D2079" s="116">
        <v>68.75</v>
      </c>
      <c r="E2079" s="116">
        <v>70.48</v>
      </c>
      <c r="F2079" s="116">
        <v>69.06</v>
      </c>
      <c r="G2079">
        <v>73272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45938</v>
      </c>
      <c r="B2080" s="116">
        <v>69.44</v>
      </c>
      <c r="C2080" s="116">
        <v>66.73</v>
      </c>
      <c r="D2080" s="116">
        <v>65.48</v>
      </c>
      <c r="E2080" s="116">
        <v>68.52</v>
      </c>
      <c r="F2080" s="116">
        <v>66.73</v>
      </c>
      <c r="G2080">
        <v>147240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45939</v>
      </c>
      <c r="B2081" s="116">
        <v>73.760000000000005</v>
      </c>
      <c r="C2081" s="116">
        <v>70.290000000000006</v>
      </c>
      <c r="D2081" s="116">
        <v>66.8</v>
      </c>
      <c r="E2081" s="116">
        <v>67.47</v>
      </c>
      <c r="F2081" s="116">
        <v>70.290000000000006</v>
      </c>
      <c r="G2081">
        <v>457167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45940</v>
      </c>
      <c r="B2082" s="116">
        <v>71.400000000000006</v>
      </c>
      <c r="C2082" s="116">
        <v>70.39</v>
      </c>
      <c r="D2082" s="116">
        <v>68.959999999999994</v>
      </c>
      <c r="E2082" s="116">
        <v>68.959999999999994</v>
      </c>
      <c r="F2082" s="116">
        <v>70.39</v>
      </c>
      <c r="G2082">
        <v>203459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45943</v>
      </c>
      <c r="B2083" s="116">
        <v>71.42</v>
      </c>
      <c r="C2083" s="116">
        <v>68.52</v>
      </c>
      <c r="D2083" s="116">
        <v>67.92</v>
      </c>
      <c r="E2083" s="116">
        <v>71.42</v>
      </c>
      <c r="F2083" s="116">
        <v>68.52</v>
      </c>
      <c r="G2083">
        <v>127121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45944</v>
      </c>
      <c r="B2084" s="116">
        <v>70.03</v>
      </c>
      <c r="C2084" s="116">
        <v>66.52</v>
      </c>
      <c r="D2084" s="116">
        <v>65.31</v>
      </c>
      <c r="E2084" s="116">
        <v>69.47</v>
      </c>
      <c r="F2084" s="116">
        <v>66.52</v>
      </c>
      <c r="G2084">
        <v>330397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45945</v>
      </c>
      <c r="B2085" s="116">
        <v>68.900000000000006</v>
      </c>
      <c r="C2085" s="116">
        <v>68.680000000000007</v>
      </c>
      <c r="D2085" s="116">
        <v>65</v>
      </c>
      <c r="E2085" s="116">
        <v>65</v>
      </c>
      <c r="F2085" s="116">
        <v>68.680000000000007</v>
      </c>
      <c r="G2085">
        <v>188706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45946</v>
      </c>
      <c r="B2086" s="116">
        <v>69.489999999999995</v>
      </c>
      <c r="C2086" s="116">
        <v>68.180000000000007</v>
      </c>
      <c r="D2086" s="116">
        <v>67.64</v>
      </c>
      <c r="E2086" s="116">
        <v>68.12</v>
      </c>
      <c r="F2086" s="116">
        <v>68.180000000000007</v>
      </c>
      <c r="G2086">
        <v>107143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45947</v>
      </c>
      <c r="B2087" s="116">
        <v>69.650000000000006</v>
      </c>
      <c r="C2087" s="116">
        <v>68.8</v>
      </c>
      <c r="D2087" s="116">
        <v>67.52</v>
      </c>
      <c r="E2087" s="116">
        <v>67.52</v>
      </c>
      <c r="F2087" s="116">
        <v>68.8</v>
      </c>
      <c r="G2087">
        <v>199769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45950</v>
      </c>
      <c r="B2088" s="116">
        <v>69.48</v>
      </c>
      <c r="C2088" s="116">
        <v>68.89</v>
      </c>
      <c r="D2088" s="116">
        <v>68.12</v>
      </c>
      <c r="E2088" s="116">
        <v>69.209999999999994</v>
      </c>
      <c r="F2088" s="116">
        <v>68.89</v>
      </c>
      <c r="G2088">
        <v>104100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45951</v>
      </c>
      <c r="B2089" s="116">
        <v>71.53</v>
      </c>
      <c r="C2089" s="116">
        <v>70.33</v>
      </c>
      <c r="D2089" s="116">
        <v>69.48</v>
      </c>
      <c r="E2089" s="116">
        <v>69.489999999999995</v>
      </c>
      <c r="F2089" s="116">
        <v>70.33</v>
      </c>
      <c r="G2089">
        <v>228873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45953</v>
      </c>
      <c r="B2090" s="116">
        <v>70.87</v>
      </c>
      <c r="C2090" s="116">
        <v>68.92</v>
      </c>
      <c r="D2090" s="116">
        <v>68.739999999999995</v>
      </c>
      <c r="E2090" s="116">
        <v>70.87</v>
      </c>
      <c r="F2090" s="116">
        <v>68.92</v>
      </c>
      <c r="G2090">
        <v>151961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45954</v>
      </c>
      <c r="B2091" s="116">
        <v>69.459999999999994</v>
      </c>
      <c r="C2091" s="116">
        <v>68.22</v>
      </c>
      <c r="D2091" s="116">
        <v>67.8</v>
      </c>
      <c r="E2091" s="116">
        <v>68.03</v>
      </c>
      <c r="F2091" s="116">
        <v>68.22</v>
      </c>
      <c r="G2091">
        <v>50972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45957</v>
      </c>
      <c r="B2092" s="116">
        <v>68.81</v>
      </c>
      <c r="C2092" s="116">
        <v>66.760000000000005</v>
      </c>
      <c r="D2092" s="116">
        <v>66.2</v>
      </c>
      <c r="E2092" s="116">
        <v>68.099999999999994</v>
      </c>
      <c r="F2092" s="116">
        <v>66.760000000000005</v>
      </c>
      <c r="G2092">
        <v>590222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45958</v>
      </c>
      <c r="B2093" s="116">
        <v>67.540000000000006</v>
      </c>
      <c r="C2093" s="116">
        <v>66.56</v>
      </c>
      <c r="D2093" s="116">
        <v>65.930000000000007</v>
      </c>
      <c r="E2093" s="116">
        <v>66.22</v>
      </c>
      <c r="F2093" s="116">
        <v>66.56</v>
      </c>
      <c r="G2093">
        <v>53738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45959</v>
      </c>
      <c r="B2094" s="116">
        <v>69.8</v>
      </c>
      <c r="C2094" s="116">
        <v>69.459999999999994</v>
      </c>
      <c r="D2094" s="116">
        <v>66.2</v>
      </c>
      <c r="E2094" s="116">
        <v>66.56</v>
      </c>
      <c r="F2094" s="116">
        <v>69.459999999999994</v>
      </c>
      <c r="G2094">
        <v>297759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45960</v>
      </c>
      <c r="B2095" s="116">
        <v>70.150000000000006</v>
      </c>
      <c r="C2095" s="116">
        <v>69.73</v>
      </c>
      <c r="D2095" s="116">
        <v>68.55</v>
      </c>
      <c r="E2095" s="116">
        <v>70.150000000000006</v>
      </c>
      <c r="F2095" s="116">
        <v>69.73</v>
      </c>
      <c r="G2095">
        <v>219994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45961</v>
      </c>
      <c r="B2096" s="116">
        <v>70.36</v>
      </c>
      <c r="C2096" s="116">
        <v>68.44</v>
      </c>
      <c r="D2096" s="116">
        <v>68.11</v>
      </c>
      <c r="E2096" s="116">
        <v>70.08</v>
      </c>
      <c r="F2096" s="116">
        <v>68.44</v>
      </c>
      <c r="G2096">
        <v>121420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45964</v>
      </c>
      <c r="B2097" s="116">
        <v>70.099999999999994</v>
      </c>
      <c r="C2097" s="116">
        <v>69.73</v>
      </c>
      <c r="D2097" s="116">
        <v>68.53</v>
      </c>
      <c r="E2097" s="116">
        <v>68.98</v>
      </c>
      <c r="F2097" s="116">
        <v>69.73</v>
      </c>
      <c r="G2097">
        <v>66528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45965</v>
      </c>
      <c r="B2098" s="116">
        <v>70.72</v>
      </c>
      <c r="C2098" s="116">
        <v>69.28</v>
      </c>
      <c r="D2098" s="116">
        <v>68.790000000000006</v>
      </c>
      <c r="E2098" s="116">
        <v>70.27</v>
      </c>
      <c r="F2098" s="116">
        <v>69.28</v>
      </c>
      <c r="G2098">
        <v>72413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45967</v>
      </c>
      <c r="B2099" s="116">
        <v>69.78</v>
      </c>
      <c r="C2099" s="116">
        <v>66.72</v>
      </c>
      <c r="D2099" s="116">
        <v>66.14</v>
      </c>
      <c r="E2099" s="116">
        <v>69.78</v>
      </c>
      <c r="F2099" s="116">
        <v>66.72</v>
      </c>
      <c r="G2099">
        <v>96803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45968</v>
      </c>
      <c r="B2100" s="116">
        <v>67.099999999999994</v>
      </c>
      <c r="C2100" s="116">
        <v>66.34</v>
      </c>
      <c r="D2100" s="116">
        <v>64.67</v>
      </c>
      <c r="E2100" s="116">
        <v>67.099999999999994</v>
      </c>
      <c r="F2100" s="116">
        <v>66.34</v>
      </c>
      <c r="G2100">
        <v>205010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45971</v>
      </c>
      <c r="B2101" s="116">
        <v>66.89</v>
      </c>
      <c r="C2101" s="116">
        <v>66.27</v>
      </c>
      <c r="D2101" s="116">
        <v>65.5</v>
      </c>
      <c r="E2101" s="116">
        <v>66.3</v>
      </c>
      <c r="F2101" s="116">
        <v>66.27</v>
      </c>
      <c r="G2101">
        <v>142597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45972</v>
      </c>
      <c r="B2102" s="116">
        <v>67.5</v>
      </c>
      <c r="C2102" s="116">
        <v>64.37</v>
      </c>
      <c r="D2102" s="116">
        <v>63.54</v>
      </c>
      <c r="E2102" s="116">
        <v>66.400000000000006</v>
      </c>
      <c r="F2102" s="116">
        <v>64.37</v>
      </c>
      <c r="G2102">
        <v>209185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45973</v>
      </c>
      <c r="B2103" s="116">
        <v>64.989999999999995</v>
      </c>
      <c r="C2103" s="116">
        <v>64.069999999999993</v>
      </c>
      <c r="D2103" s="116">
        <v>63.48</v>
      </c>
      <c r="E2103" s="116">
        <v>64.989999999999995</v>
      </c>
      <c r="F2103" s="116">
        <v>64.069999999999993</v>
      </c>
      <c r="G2103">
        <v>110402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45974</v>
      </c>
      <c r="B2104" s="116">
        <v>66.010000000000005</v>
      </c>
      <c r="C2104" s="116">
        <v>65.16</v>
      </c>
      <c r="D2104" s="116">
        <v>63.82</v>
      </c>
      <c r="E2104" s="116">
        <v>64.23</v>
      </c>
      <c r="F2104" s="116">
        <v>65.16</v>
      </c>
      <c r="G2104">
        <v>166184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45975</v>
      </c>
      <c r="B2105" s="116">
        <v>66.349999999999994</v>
      </c>
      <c r="C2105" s="116">
        <v>65.37</v>
      </c>
      <c r="D2105" s="116">
        <v>64.92</v>
      </c>
      <c r="E2105" s="116">
        <v>65.31</v>
      </c>
      <c r="F2105" s="116">
        <v>65.37</v>
      </c>
      <c r="G2105">
        <v>47596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45978</v>
      </c>
      <c r="B2106" s="116">
        <v>65.59</v>
      </c>
      <c r="C2106" s="116">
        <v>64.650000000000006</v>
      </c>
      <c r="D2106" s="116">
        <v>64.45</v>
      </c>
      <c r="E2106" s="116">
        <v>65.459999999999994</v>
      </c>
      <c r="F2106" s="116">
        <v>64.650000000000006</v>
      </c>
      <c r="G2106">
        <v>60748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45979</v>
      </c>
      <c r="B2107" s="116">
        <v>65.48</v>
      </c>
      <c r="C2107" s="116">
        <v>63.35</v>
      </c>
      <c r="D2107" s="116">
        <v>63.15</v>
      </c>
      <c r="E2107" s="116">
        <v>64</v>
      </c>
      <c r="F2107" s="116">
        <v>63.35</v>
      </c>
      <c r="G2107">
        <v>30598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45980</v>
      </c>
      <c r="B2108" s="116">
        <v>63.49</v>
      </c>
      <c r="C2108" s="116">
        <v>62.41</v>
      </c>
      <c r="D2108" s="116">
        <v>62.12</v>
      </c>
      <c r="E2108" s="116">
        <v>62.86</v>
      </c>
      <c r="F2108" s="116">
        <v>62.41</v>
      </c>
      <c r="G2108">
        <v>40460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45981</v>
      </c>
      <c r="B2109" s="116">
        <v>62.91</v>
      </c>
      <c r="C2109" s="116">
        <v>60.53</v>
      </c>
      <c r="D2109" s="116">
        <v>59.97</v>
      </c>
      <c r="E2109" s="116">
        <v>62</v>
      </c>
      <c r="F2109" s="116">
        <v>60.53</v>
      </c>
      <c r="G2109">
        <v>390924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45982</v>
      </c>
      <c r="B2110" s="116">
        <v>60.79</v>
      </c>
      <c r="C2110" s="116">
        <v>60.03</v>
      </c>
      <c r="D2110" s="116">
        <v>58.64</v>
      </c>
      <c r="E2110" s="116">
        <v>59.56</v>
      </c>
      <c r="F2110" s="116">
        <v>60.03</v>
      </c>
      <c r="G2110">
        <v>52484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45985</v>
      </c>
      <c r="B2111" s="116">
        <v>60.1</v>
      </c>
      <c r="C2111" s="116">
        <v>57.77</v>
      </c>
      <c r="D2111" s="116">
        <v>57.05</v>
      </c>
      <c r="E2111" s="116">
        <v>60.1</v>
      </c>
      <c r="F2111" s="116">
        <v>57.77</v>
      </c>
      <c r="G2111">
        <v>308880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45986</v>
      </c>
      <c r="B2112" s="116">
        <v>58.36</v>
      </c>
      <c r="C2112" s="116">
        <v>56.67</v>
      </c>
      <c r="D2112" s="116">
        <v>56.41</v>
      </c>
      <c r="E2112" s="116">
        <v>57.1</v>
      </c>
      <c r="F2112" s="116">
        <v>56.67</v>
      </c>
      <c r="G2112">
        <v>88432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45987</v>
      </c>
      <c r="B2113" s="116">
        <v>58.51</v>
      </c>
      <c r="C2113" s="116">
        <v>58.19</v>
      </c>
      <c r="D2113" s="116">
        <v>56</v>
      </c>
      <c r="E2113" s="116">
        <v>56</v>
      </c>
      <c r="F2113" s="116">
        <v>58.19</v>
      </c>
      <c r="G2113">
        <v>73352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45988</v>
      </c>
      <c r="B2114" s="116">
        <v>59.46</v>
      </c>
      <c r="C2114" s="116">
        <v>57.72</v>
      </c>
      <c r="D2114" s="116">
        <v>57.3</v>
      </c>
      <c r="E2114" s="116">
        <v>59</v>
      </c>
      <c r="F2114" s="116">
        <v>57.72</v>
      </c>
      <c r="G2114">
        <v>77083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45989</v>
      </c>
      <c r="B2115" s="116">
        <v>58.68</v>
      </c>
      <c r="C2115" s="116">
        <v>58.39</v>
      </c>
      <c r="D2115" s="116">
        <v>57.3</v>
      </c>
      <c r="E2115" s="116">
        <v>57.64</v>
      </c>
      <c r="F2115" s="116">
        <v>58.39</v>
      </c>
      <c r="G2115">
        <v>156920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45992</v>
      </c>
      <c r="B2116" s="116">
        <v>59.28</v>
      </c>
      <c r="C2116" s="116">
        <v>57.12</v>
      </c>
      <c r="D2116" s="116">
        <v>56.82</v>
      </c>
      <c r="E2116" s="116">
        <v>58.98</v>
      </c>
      <c r="F2116" s="116">
        <v>57.12</v>
      </c>
      <c r="G2116">
        <v>50748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45993</v>
      </c>
      <c r="B2117" s="116">
        <v>56.95</v>
      </c>
      <c r="C2117" s="116">
        <v>55.81</v>
      </c>
      <c r="D2117" s="116">
        <v>55.6</v>
      </c>
      <c r="E2117" s="116">
        <v>56.52</v>
      </c>
      <c r="F2117" s="116">
        <v>55.81</v>
      </c>
      <c r="G2117">
        <v>81954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45994</v>
      </c>
      <c r="B2118" s="116">
        <v>56.23</v>
      </c>
      <c r="C2118" s="116">
        <v>55.55</v>
      </c>
      <c r="D2118" s="116">
        <v>54.18</v>
      </c>
      <c r="E2118" s="116">
        <v>55.9</v>
      </c>
      <c r="F2118" s="116">
        <v>55.55</v>
      </c>
      <c r="G2118">
        <v>57963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45995</v>
      </c>
      <c r="B2119" s="116">
        <v>55.87</v>
      </c>
      <c r="C2119" s="116">
        <v>53.91</v>
      </c>
      <c r="D2119" s="116">
        <v>53.72</v>
      </c>
      <c r="E2119" s="116">
        <v>55.78</v>
      </c>
      <c r="F2119" s="116">
        <v>53.91</v>
      </c>
      <c r="G2119">
        <v>43833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45996</v>
      </c>
      <c r="B2120" s="116">
        <v>56.86</v>
      </c>
      <c r="C2120" s="116">
        <v>55.19</v>
      </c>
      <c r="D2120" s="116">
        <v>54.03</v>
      </c>
      <c r="E2120" s="116">
        <v>55.09</v>
      </c>
      <c r="F2120" s="116">
        <v>55.19</v>
      </c>
      <c r="G2120">
        <v>140902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45999</v>
      </c>
      <c r="B2121" s="116">
        <v>55.88</v>
      </c>
      <c r="C2121" s="116">
        <v>52.21</v>
      </c>
      <c r="D2121" s="116">
        <v>51.9</v>
      </c>
      <c r="E2121" s="116">
        <v>54.01</v>
      </c>
      <c r="F2121" s="116">
        <v>52.21</v>
      </c>
      <c r="G2121">
        <v>112928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46000</v>
      </c>
      <c r="B2122" s="116">
        <v>58.5</v>
      </c>
      <c r="C2122" s="116">
        <v>57.19</v>
      </c>
      <c r="D2122" s="116">
        <v>50.66</v>
      </c>
      <c r="E2122" s="116">
        <v>52.05</v>
      </c>
      <c r="F2122" s="116">
        <v>57.19</v>
      </c>
      <c r="G2122">
        <v>9437154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46001</v>
      </c>
      <c r="B2123" s="116">
        <v>58.41</v>
      </c>
      <c r="C2123" s="116">
        <v>56.38</v>
      </c>
      <c r="D2123" s="116">
        <v>55.29</v>
      </c>
      <c r="E2123" s="116">
        <v>57.7</v>
      </c>
      <c r="F2123" s="116">
        <v>56.38</v>
      </c>
      <c r="G2123">
        <v>15764835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46002</v>
      </c>
      <c r="B2124" s="116">
        <v>57.51</v>
      </c>
      <c r="C2124" s="116">
        <v>55.87</v>
      </c>
      <c r="D2124" s="116">
        <v>55.12</v>
      </c>
      <c r="E2124" s="116">
        <v>57.51</v>
      </c>
      <c r="F2124" s="116">
        <v>55.87</v>
      </c>
      <c r="G2124">
        <v>106043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46003</v>
      </c>
      <c r="B2125" s="116">
        <v>58.36</v>
      </c>
      <c r="C2125" s="116">
        <v>57.89</v>
      </c>
      <c r="D2125" s="116">
        <v>55.65</v>
      </c>
      <c r="E2125" s="116">
        <v>56.12</v>
      </c>
      <c r="F2125" s="116">
        <v>57.89</v>
      </c>
      <c r="G2125">
        <v>96065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46006</v>
      </c>
      <c r="B2126" s="116">
        <v>59.27</v>
      </c>
      <c r="C2126" s="116">
        <v>58.59</v>
      </c>
      <c r="D2126" s="116">
        <v>57.47</v>
      </c>
      <c r="E2126" s="116">
        <v>58.5</v>
      </c>
      <c r="F2126" s="116">
        <v>58.59</v>
      </c>
      <c r="G2126">
        <v>63756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46007</v>
      </c>
      <c r="B2127" s="116">
        <v>66.77</v>
      </c>
      <c r="C2127" s="116">
        <v>64.930000000000007</v>
      </c>
      <c r="D2127" s="116">
        <v>58.38</v>
      </c>
      <c r="E2127" s="116">
        <v>58.8</v>
      </c>
      <c r="F2127" s="116">
        <v>64.930000000000007</v>
      </c>
      <c r="G2127">
        <v>929295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46008</v>
      </c>
      <c r="B2128" s="116">
        <v>66.02</v>
      </c>
      <c r="C2128" s="116">
        <v>63.57</v>
      </c>
      <c r="D2128" s="116">
        <v>62.62</v>
      </c>
      <c r="E2128" s="116">
        <v>64.33</v>
      </c>
      <c r="F2128" s="116">
        <v>63.57</v>
      </c>
      <c r="G2128">
        <v>280439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46009</v>
      </c>
      <c r="B2129" s="116">
        <v>67.900000000000006</v>
      </c>
      <c r="C2129" s="116">
        <v>67.180000000000007</v>
      </c>
      <c r="D2129" s="116">
        <v>61.6</v>
      </c>
      <c r="E2129" s="116">
        <v>62.18</v>
      </c>
      <c r="F2129" s="116">
        <v>67.180000000000007</v>
      </c>
      <c r="G2129">
        <v>412974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46010</v>
      </c>
      <c r="B2130" s="116">
        <v>71.28</v>
      </c>
      <c r="C2130" s="116">
        <v>70.849999999999994</v>
      </c>
      <c r="D2130" s="116">
        <v>66.87</v>
      </c>
      <c r="E2130" s="116">
        <v>66.87</v>
      </c>
      <c r="F2130" s="116">
        <v>70.849999999999994</v>
      </c>
      <c r="G2130">
        <v>461961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46013</v>
      </c>
      <c r="B2131" s="116">
        <v>73.7</v>
      </c>
      <c r="C2131" s="116">
        <v>73.349999999999994</v>
      </c>
      <c r="D2131" s="116">
        <v>70.3</v>
      </c>
      <c r="E2131" s="116">
        <v>71.11</v>
      </c>
      <c r="F2131" s="116">
        <v>73.349999999999994</v>
      </c>
      <c r="G2131">
        <v>349271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46014</v>
      </c>
      <c r="B2132" s="116">
        <v>75.400000000000006</v>
      </c>
      <c r="C2132" s="116">
        <v>69.52</v>
      </c>
      <c r="D2132" s="116">
        <v>69.010000000000005</v>
      </c>
      <c r="E2132" s="116">
        <v>74.150000000000006</v>
      </c>
      <c r="F2132" s="116">
        <v>69.52</v>
      </c>
      <c r="G2132">
        <v>412919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46015</v>
      </c>
      <c r="B2133" s="116">
        <v>70.47</v>
      </c>
      <c r="C2133" s="116">
        <v>67.569999999999993</v>
      </c>
      <c r="D2133" s="116">
        <v>66.2</v>
      </c>
      <c r="E2133" s="116">
        <v>69.010000000000005</v>
      </c>
      <c r="F2133" s="116">
        <v>67.569999999999993</v>
      </c>
      <c r="G2133">
        <v>384299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46017</v>
      </c>
      <c r="B2134" s="116">
        <v>68.510000000000005</v>
      </c>
      <c r="C2134" s="116">
        <v>62.54</v>
      </c>
      <c r="D2134" s="116">
        <v>62.3</v>
      </c>
      <c r="E2134" s="116">
        <v>67</v>
      </c>
      <c r="F2134" s="116">
        <v>62.54</v>
      </c>
      <c r="G2134">
        <v>390113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46020</v>
      </c>
      <c r="B2135" s="116">
        <v>63.85</v>
      </c>
      <c r="C2135" s="116">
        <v>61.01</v>
      </c>
      <c r="D2135" s="116">
        <v>60.59</v>
      </c>
      <c r="E2135" s="116">
        <v>62.68</v>
      </c>
      <c r="F2135" s="116">
        <v>61.01</v>
      </c>
      <c r="G2135">
        <v>317413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46021</v>
      </c>
      <c r="B2136" s="116">
        <v>61.58</v>
      </c>
      <c r="C2136" s="116">
        <v>60.15</v>
      </c>
      <c r="D2136" s="116">
        <v>59.7</v>
      </c>
      <c r="E2136" s="116">
        <v>61.58</v>
      </c>
      <c r="F2136" s="116">
        <v>60.15</v>
      </c>
      <c r="G2136">
        <v>95644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46022</v>
      </c>
      <c r="B2137" s="116">
        <v>61.29</v>
      </c>
      <c r="C2137" s="116">
        <v>59.72</v>
      </c>
      <c r="D2137" s="116">
        <v>59.26</v>
      </c>
      <c r="E2137" s="116">
        <v>59.95</v>
      </c>
      <c r="F2137" s="116">
        <v>59.72</v>
      </c>
      <c r="G2137">
        <v>229552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46023</v>
      </c>
      <c r="B2138" s="116">
        <v>63.38</v>
      </c>
      <c r="C2138" s="116">
        <v>62.65</v>
      </c>
      <c r="D2138" s="116">
        <v>59.71</v>
      </c>
      <c r="E2138" s="116">
        <v>60</v>
      </c>
      <c r="F2138" s="116">
        <v>62.65</v>
      </c>
      <c r="G2138">
        <v>284806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46024</v>
      </c>
      <c r="B2139" s="116">
        <v>63.28</v>
      </c>
      <c r="C2139" s="116">
        <v>62.68</v>
      </c>
      <c r="D2139" s="116">
        <v>61.85</v>
      </c>
      <c r="E2139" s="116">
        <v>62.5</v>
      </c>
      <c r="F2139" s="116">
        <v>62.68</v>
      </c>
      <c r="G2139">
        <v>158307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46027</v>
      </c>
      <c r="B2140" s="116">
        <v>68.739999999999995</v>
      </c>
      <c r="C2140" s="116">
        <v>68.010000000000005</v>
      </c>
      <c r="D2140" s="116">
        <v>61.96</v>
      </c>
      <c r="E2140" s="116">
        <v>61.96</v>
      </c>
      <c r="F2140" s="116">
        <v>68.010000000000005</v>
      </c>
      <c r="G2140">
        <v>677121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46028</v>
      </c>
      <c r="B2141" s="116">
        <v>68.28</v>
      </c>
      <c r="C2141" s="116">
        <v>66.08</v>
      </c>
      <c r="D2141" s="116">
        <v>65.650000000000006</v>
      </c>
      <c r="E2141" s="116">
        <v>68.11</v>
      </c>
      <c r="F2141" s="116">
        <v>66.08</v>
      </c>
      <c r="G2141">
        <v>120864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46029</v>
      </c>
      <c r="B2142" s="116">
        <v>67.3</v>
      </c>
      <c r="C2142" s="116">
        <v>66.95</v>
      </c>
      <c r="D2142" s="116">
        <v>65.27</v>
      </c>
      <c r="E2142" s="116">
        <v>66</v>
      </c>
      <c r="F2142" s="116">
        <v>66.95</v>
      </c>
      <c r="G2142">
        <v>104388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46030</v>
      </c>
      <c r="B2143" s="116">
        <v>67.3</v>
      </c>
      <c r="C2143" s="116">
        <v>63.91</v>
      </c>
      <c r="D2143" s="116">
        <v>62.75</v>
      </c>
      <c r="E2143" s="116">
        <v>65.03</v>
      </c>
      <c r="F2143" s="116">
        <v>63.91</v>
      </c>
      <c r="G2143">
        <v>289862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46031</v>
      </c>
      <c r="B2144" s="116">
        <v>64.28</v>
      </c>
      <c r="C2144" s="116">
        <v>62.01</v>
      </c>
      <c r="D2144" s="116">
        <v>61.5</v>
      </c>
      <c r="E2144" s="116">
        <v>62.22</v>
      </c>
      <c r="F2144" s="116">
        <v>62.01</v>
      </c>
      <c r="G2144">
        <v>121446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46034</v>
      </c>
      <c r="B2145" s="116">
        <v>61.84</v>
      </c>
      <c r="C2145" s="116">
        <v>61.05</v>
      </c>
      <c r="D2145" s="116">
        <v>59.62</v>
      </c>
      <c r="E2145" s="116">
        <v>61.39</v>
      </c>
      <c r="F2145" s="116">
        <v>61.05</v>
      </c>
      <c r="G2145">
        <v>182621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46035</v>
      </c>
      <c r="B2146" s="116">
        <v>62.67</v>
      </c>
      <c r="C2146" s="116">
        <v>59.89</v>
      </c>
      <c r="D2146" s="116">
        <v>59.31</v>
      </c>
      <c r="E2146" s="116">
        <v>61.98</v>
      </c>
      <c r="F2146" s="116">
        <v>59.89</v>
      </c>
      <c r="G2146">
        <v>121328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46036</v>
      </c>
      <c r="B2147" s="116">
        <v>60.16</v>
      </c>
      <c r="C2147" s="116">
        <v>59.21</v>
      </c>
      <c r="D2147" s="116">
        <v>58.58</v>
      </c>
      <c r="E2147" s="116">
        <v>58.7</v>
      </c>
      <c r="F2147" s="116">
        <v>59.21</v>
      </c>
      <c r="G2147">
        <v>817951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46038</v>
      </c>
      <c r="B2148" s="116">
        <v>59.88</v>
      </c>
      <c r="C2148" s="116">
        <v>58.44</v>
      </c>
      <c r="D2148" s="116">
        <v>58.22</v>
      </c>
      <c r="E2148" s="116">
        <v>59.88</v>
      </c>
      <c r="F2148" s="116">
        <v>58.44</v>
      </c>
      <c r="G2148">
        <v>199360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46041</v>
      </c>
      <c r="B2149" s="116">
        <v>58.09</v>
      </c>
      <c r="C2149" s="116">
        <v>56.26</v>
      </c>
      <c r="D2149" s="116">
        <v>56</v>
      </c>
      <c r="E2149" s="116">
        <v>57</v>
      </c>
      <c r="F2149" s="116">
        <v>56.26</v>
      </c>
      <c r="G2149">
        <v>144036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46042</v>
      </c>
      <c r="B2150" s="116">
        <v>56.4</v>
      </c>
      <c r="C2150" s="116">
        <v>53.9</v>
      </c>
      <c r="D2150" s="116">
        <v>53.67</v>
      </c>
      <c r="E2150" s="116">
        <v>56.35</v>
      </c>
      <c r="F2150" s="116">
        <v>53.9</v>
      </c>
      <c r="G2150">
        <v>103540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46043</v>
      </c>
      <c r="B2151" s="116">
        <v>55.78</v>
      </c>
      <c r="C2151" s="116">
        <v>54.68</v>
      </c>
      <c r="D2151" s="116">
        <v>53.24</v>
      </c>
      <c r="E2151" s="116">
        <v>54</v>
      </c>
      <c r="F2151" s="116">
        <v>54.68</v>
      </c>
      <c r="G2151">
        <v>203830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46044</v>
      </c>
      <c r="B2152" s="116">
        <v>56.82</v>
      </c>
      <c r="C2152" s="116">
        <v>55.34</v>
      </c>
      <c r="D2152" s="116">
        <v>54.02</v>
      </c>
      <c r="E2152" s="116">
        <v>54.02</v>
      </c>
      <c r="F2152" s="116">
        <v>55.34</v>
      </c>
      <c r="G2152">
        <v>149582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46045</v>
      </c>
      <c r="B2153" s="116">
        <v>55.72</v>
      </c>
      <c r="C2153" s="116">
        <v>52.81</v>
      </c>
      <c r="D2153" s="116">
        <v>52.71</v>
      </c>
      <c r="E2153" s="116">
        <v>55.72</v>
      </c>
      <c r="F2153" s="116">
        <v>52.81</v>
      </c>
      <c r="G2153">
        <v>118281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46049</v>
      </c>
      <c r="B2154" s="116">
        <v>54.88</v>
      </c>
      <c r="C2154" s="116">
        <v>54.13</v>
      </c>
      <c r="D2154" s="116">
        <v>51.4</v>
      </c>
      <c r="E2154" s="116">
        <v>52.81</v>
      </c>
      <c r="F2154" s="116">
        <v>54.13</v>
      </c>
      <c r="G2154">
        <v>258743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46050</v>
      </c>
      <c r="B2155" s="116">
        <v>59.08</v>
      </c>
      <c r="C2155" s="116">
        <v>58.63</v>
      </c>
      <c r="D2155" s="116">
        <v>53.98</v>
      </c>
      <c r="E2155" s="116">
        <v>54.5</v>
      </c>
      <c r="F2155" s="116">
        <v>58.63</v>
      </c>
      <c r="G2155">
        <v>601477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46051</v>
      </c>
      <c r="B2156" s="116">
        <v>59</v>
      </c>
      <c r="C2156" s="116">
        <v>58.23</v>
      </c>
      <c r="D2156" s="116">
        <v>56.53</v>
      </c>
      <c r="E2156" s="116">
        <v>59</v>
      </c>
      <c r="F2156" s="116">
        <v>58.23</v>
      </c>
      <c r="G2156">
        <v>157046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46052</v>
      </c>
      <c r="B2157" s="116">
        <v>61.2</v>
      </c>
      <c r="C2157" s="116">
        <v>58.16</v>
      </c>
      <c r="D2157" s="116">
        <v>56.76</v>
      </c>
      <c r="E2157" s="116">
        <v>57.5</v>
      </c>
      <c r="F2157" s="116">
        <v>58.16</v>
      </c>
      <c r="G2157">
        <v>264809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46054</v>
      </c>
      <c r="B2158" s="116">
        <v>59.27</v>
      </c>
      <c r="C2158" s="116">
        <v>56.02</v>
      </c>
      <c r="D2158" s="116">
        <v>55.1</v>
      </c>
      <c r="E2158" s="116">
        <v>59.27</v>
      </c>
      <c r="F2158" s="116">
        <v>56.02</v>
      </c>
      <c r="G2158">
        <v>105925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46055</v>
      </c>
      <c r="B2159" s="116">
        <v>58.28</v>
      </c>
      <c r="C2159" s="116">
        <v>57.53</v>
      </c>
      <c r="D2159" s="116">
        <v>54.5</v>
      </c>
      <c r="E2159" s="116">
        <v>55.2</v>
      </c>
      <c r="F2159" s="116">
        <v>57.53</v>
      </c>
      <c r="G2159">
        <v>87913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46056</v>
      </c>
      <c r="B2160" s="116">
        <v>60</v>
      </c>
      <c r="C2160" s="116">
        <v>59.28</v>
      </c>
      <c r="D2160" s="116">
        <v>58.32</v>
      </c>
      <c r="E2160" s="116">
        <v>59.98</v>
      </c>
      <c r="F2160" s="116">
        <v>59.28</v>
      </c>
      <c r="G2160">
        <v>94164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46057</v>
      </c>
      <c r="B2161" s="116">
        <v>63.55</v>
      </c>
      <c r="C2161" s="116">
        <v>63.27</v>
      </c>
      <c r="D2161" s="116">
        <v>58.09</v>
      </c>
      <c r="E2161" s="116">
        <v>59.28</v>
      </c>
      <c r="F2161" s="116">
        <v>63.27</v>
      </c>
      <c r="G2161">
        <v>230287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46058</v>
      </c>
      <c r="B2162" s="116">
        <v>63.5</v>
      </c>
      <c r="C2162" s="116">
        <v>62.01</v>
      </c>
      <c r="D2162" s="116">
        <v>61.16</v>
      </c>
      <c r="E2162" s="116">
        <v>63.5</v>
      </c>
      <c r="F2162" s="116">
        <v>62.01</v>
      </c>
      <c r="G2162">
        <v>104883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46059</v>
      </c>
      <c r="B2163" s="116">
        <v>62.06</v>
      </c>
      <c r="C2163" s="116">
        <v>59.92</v>
      </c>
      <c r="D2163" s="116">
        <v>59.12</v>
      </c>
      <c r="E2163" s="116">
        <v>62.06</v>
      </c>
      <c r="F2163" s="116">
        <v>59.92</v>
      </c>
      <c r="G2163">
        <v>69262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46062</v>
      </c>
      <c r="B2164" s="116">
        <v>62.78</v>
      </c>
      <c r="C2164" s="116">
        <v>58.58</v>
      </c>
      <c r="D2164" s="116">
        <v>57.76</v>
      </c>
      <c r="E2164" s="116">
        <v>60.98</v>
      </c>
      <c r="F2164" s="116">
        <v>58.58</v>
      </c>
      <c r="G2164">
        <v>248546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46063</v>
      </c>
      <c r="B2165" s="116">
        <v>61.1</v>
      </c>
      <c r="C2165" s="116">
        <v>58.97</v>
      </c>
      <c r="D2165" s="116">
        <v>58.66</v>
      </c>
      <c r="E2165" s="116">
        <v>58.69</v>
      </c>
      <c r="F2165" s="116">
        <v>58.97</v>
      </c>
      <c r="G2165">
        <v>136251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46064</v>
      </c>
      <c r="B2166" s="116">
        <v>58.68</v>
      </c>
      <c r="C2166" s="116">
        <v>58.04</v>
      </c>
      <c r="D2166" s="116">
        <v>57.26</v>
      </c>
      <c r="E2166" s="116">
        <v>58.38</v>
      </c>
      <c r="F2166" s="116">
        <v>58.04</v>
      </c>
      <c r="G2166">
        <v>55044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46065</v>
      </c>
      <c r="B2167" s="116">
        <v>59.14</v>
      </c>
      <c r="C2167" s="116">
        <v>57.45</v>
      </c>
      <c r="D2167" s="116">
        <v>56.89</v>
      </c>
      <c r="E2167" s="116">
        <v>58</v>
      </c>
      <c r="F2167" s="116">
        <v>57.45</v>
      </c>
      <c r="G2167">
        <v>53417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46066</v>
      </c>
      <c r="B2168" s="116">
        <v>56.94</v>
      </c>
      <c r="C2168" s="116">
        <v>55.31</v>
      </c>
      <c r="D2168" s="116">
        <v>54.9</v>
      </c>
      <c r="E2168" s="116">
        <v>56.94</v>
      </c>
      <c r="F2168" s="116">
        <v>55.31</v>
      </c>
      <c r="G2168">
        <v>87685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46069</v>
      </c>
      <c r="B2169" s="116">
        <v>55.3</v>
      </c>
      <c r="C2169" s="116">
        <v>54.73</v>
      </c>
      <c r="D2169" s="116">
        <v>53.86</v>
      </c>
      <c r="E2169" s="116">
        <v>55.3</v>
      </c>
      <c r="F2169" s="116">
        <v>54.73</v>
      </c>
      <c r="G2169">
        <v>74143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46070</v>
      </c>
      <c r="B2170" s="116">
        <v>57.48</v>
      </c>
      <c r="C2170" s="116">
        <v>57.23</v>
      </c>
      <c r="D2170" s="116">
        <v>53.98</v>
      </c>
      <c r="E2170" s="116">
        <v>53.98</v>
      </c>
      <c r="F2170" s="116">
        <v>57.23</v>
      </c>
      <c r="G2170">
        <v>502877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46071</v>
      </c>
      <c r="B2171" s="116">
        <v>59</v>
      </c>
      <c r="C2171" s="116">
        <v>58.68</v>
      </c>
      <c r="D2171" s="116">
        <v>55.82</v>
      </c>
      <c r="E2171" s="116">
        <v>57.4</v>
      </c>
      <c r="F2171" s="116">
        <v>58.68</v>
      </c>
      <c r="G2171">
        <v>87040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46072</v>
      </c>
      <c r="B2172" s="116">
        <v>59.09</v>
      </c>
      <c r="C2172" s="116">
        <v>55.14</v>
      </c>
      <c r="D2172" s="116">
        <v>54.79</v>
      </c>
      <c r="E2172" s="116">
        <v>59.09</v>
      </c>
      <c r="F2172" s="116">
        <v>55.14</v>
      </c>
      <c r="G2172">
        <v>79366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46073</v>
      </c>
      <c r="B2173" s="116">
        <v>55.92</v>
      </c>
      <c r="C2173" s="116">
        <v>55.08</v>
      </c>
      <c r="D2173" s="116">
        <v>54.22</v>
      </c>
      <c r="E2173" s="116">
        <v>54.22</v>
      </c>
      <c r="F2173" s="116">
        <v>55.08</v>
      </c>
      <c r="G2173">
        <v>70246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46076</v>
      </c>
      <c r="B2174" s="116">
        <v>54.73</v>
      </c>
      <c r="C2174" s="116">
        <v>53.33</v>
      </c>
      <c r="D2174" s="116">
        <v>52.79</v>
      </c>
      <c r="E2174" s="116">
        <v>54.52</v>
      </c>
      <c r="F2174" s="116">
        <v>53.33</v>
      </c>
      <c r="G2174">
        <v>97357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46077</v>
      </c>
      <c r="B2175" s="116">
        <v>55.5</v>
      </c>
      <c r="C2175" s="116">
        <v>54</v>
      </c>
      <c r="D2175" s="116">
        <v>52.02</v>
      </c>
      <c r="E2175" s="116">
        <v>53.33</v>
      </c>
      <c r="F2175" s="116">
        <v>54</v>
      </c>
      <c r="G2175">
        <v>117548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46078</v>
      </c>
      <c r="B2176" s="116">
        <v>55.31</v>
      </c>
      <c r="C2176" s="116">
        <v>54.14</v>
      </c>
      <c r="D2176" s="116">
        <v>52.52</v>
      </c>
      <c r="E2176" s="116">
        <v>52.52</v>
      </c>
      <c r="F2176" s="116">
        <v>54.14</v>
      </c>
      <c r="G2176">
        <v>111324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46079</v>
      </c>
      <c r="B2177" s="116">
        <v>55.18</v>
      </c>
      <c r="C2177" s="116">
        <v>53.28</v>
      </c>
      <c r="D2177" s="116">
        <v>53.08</v>
      </c>
      <c r="E2177" s="116">
        <v>54.78</v>
      </c>
      <c r="F2177" s="116">
        <v>53.28</v>
      </c>
      <c r="G2177">
        <v>62928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46080</v>
      </c>
      <c r="B2178" s="116">
        <v>53.24</v>
      </c>
      <c r="C2178" s="116">
        <v>51.15</v>
      </c>
      <c r="D2178" s="116">
        <v>50.72</v>
      </c>
      <c r="E2178" s="116">
        <v>53.01</v>
      </c>
      <c r="F2178" s="116">
        <v>51.15</v>
      </c>
      <c r="G2178">
        <v>166964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46083</v>
      </c>
      <c r="B2179" s="116">
        <v>50.98</v>
      </c>
      <c r="C2179" s="116">
        <v>49.63</v>
      </c>
      <c r="D2179" s="116">
        <v>49.18</v>
      </c>
      <c r="E2179" s="116">
        <v>49.5</v>
      </c>
      <c r="F2179" s="116">
        <v>49.63</v>
      </c>
      <c r="G2179">
        <v>177125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46085</v>
      </c>
      <c r="B2180" s="116">
        <v>49</v>
      </c>
      <c r="C2180" s="116">
        <v>46.23</v>
      </c>
      <c r="D2180" s="116">
        <v>45.17</v>
      </c>
      <c r="E2180" s="116">
        <v>49</v>
      </c>
      <c r="F2180" s="116">
        <v>46.23</v>
      </c>
      <c r="G2180">
        <v>336367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46086</v>
      </c>
      <c r="B2181" s="116">
        <v>49.52</v>
      </c>
      <c r="C2181" s="116">
        <v>49.03</v>
      </c>
      <c r="D2181" s="116">
        <v>45.25</v>
      </c>
      <c r="E2181" s="116">
        <v>45.25</v>
      </c>
      <c r="F2181" s="116">
        <v>49.03</v>
      </c>
      <c r="G2181">
        <v>20560819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46087</v>
      </c>
      <c r="B2182" s="116">
        <v>49.59</v>
      </c>
      <c r="C2182" s="116">
        <v>47.59</v>
      </c>
      <c r="D2182" s="116">
        <v>47.3</v>
      </c>
      <c r="E2182" s="116">
        <v>49.59</v>
      </c>
      <c r="F2182" s="116">
        <v>47.59</v>
      </c>
      <c r="G2182">
        <v>206332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46090</v>
      </c>
      <c r="B2183" s="116">
        <v>47.48</v>
      </c>
      <c r="C2183" s="116">
        <v>47.02</v>
      </c>
      <c r="D2183" s="116">
        <v>44.97</v>
      </c>
      <c r="E2183" s="116">
        <v>46.99</v>
      </c>
      <c r="F2183" s="116">
        <v>47.02</v>
      </c>
      <c r="G2183">
        <v>276175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46091</v>
      </c>
      <c r="B2184" s="116">
        <v>49.83</v>
      </c>
      <c r="C2184" s="116">
        <v>49.32</v>
      </c>
      <c r="D2184" s="116">
        <v>47.42</v>
      </c>
      <c r="E2184" s="116">
        <v>47.5</v>
      </c>
      <c r="F2184" s="116">
        <v>49.32</v>
      </c>
      <c r="G2184">
        <v>132265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46092</v>
      </c>
      <c r="B2185" s="116">
        <v>50.35</v>
      </c>
      <c r="C2185" s="116">
        <v>48.99</v>
      </c>
      <c r="D2185" s="116">
        <v>48.02</v>
      </c>
      <c r="E2185" s="116">
        <v>49.8</v>
      </c>
      <c r="F2185" s="116">
        <v>48.99</v>
      </c>
      <c r="G2185">
        <v>192380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46093</v>
      </c>
      <c r="B2186" s="116">
        <v>49.4</v>
      </c>
      <c r="C2186" s="116">
        <v>48.71</v>
      </c>
      <c r="D2186" s="116">
        <v>47.36</v>
      </c>
      <c r="E2186" s="116">
        <v>48.03</v>
      </c>
      <c r="F2186" s="116">
        <v>48.71</v>
      </c>
      <c r="G2186">
        <v>402263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46094</v>
      </c>
      <c r="B2187" s="116">
        <v>49.71</v>
      </c>
      <c r="C2187" s="116">
        <v>47.64</v>
      </c>
      <c r="D2187" s="116">
        <v>47.11</v>
      </c>
      <c r="E2187" s="116">
        <v>47.11</v>
      </c>
      <c r="F2187" s="116">
        <v>47.64</v>
      </c>
      <c r="G2187">
        <v>844287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46097</v>
      </c>
      <c r="B2188" s="116">
        <v>48</v>
      </c>
      <c r="C2188" s="116">
        <v>45.8</v>
      </c>
      <c r="D2188" s="116">
        <v>45.1</v>
      </c>
      <c r="E2188" s="116">
        <v>47.01</v>
      </c>
      <c r="F2188" s="116">
        <v>45.8</v>
      </c>
      <c r="G2188">
        <v>163004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46098</v>
      </c>
      <c r="B2189" s="116">
        <v>46.68</v>
      </c>
      <c r="C2189" s="116">
        <v>45.54</v>
      </c>
      <c r="D2189" s="116">
        <v>44.45</v>
      </c>
      <c r="E2189" s="116">
        <v>46.23</v>
      </c>
      <c r="F2189" s="116">
        <v>45.54</v>
      </c>
      <c r="G2189">
        <v>322828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46099</v>
      </c>
      <c r="B2190" s="116">
        <v>47.98</v>
      </c>
      <c r="C2190" s="116">
        <v>47.49</v>
      </c>
      <c r="D2190" s="116">
        <v>45.7</v>
      </c>
      <c r="E2190" s="116">
        <v>45.97</v>
      </c>
      <c r="F2190" s="116">
        <v>47.49</v>
      </c>
      <c r="G2190">
        <v>173151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46100</v>
      </c>
      <c r="B2191" s="116">
        <v>47.49</v>
      </c>
      <c r="C2191" s="116">
        <v>45.43</v>
      </c>
      <c r="D2191" s="116">
        <v>45.2</v>
      </c>
      <c r="E2191" s="116">
        <v>47.49</v>
      </c>
      <c r="F2191" s="116">
        <v>45.43</v>
      </c>
      <c r="G2191">
        <v>87637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46101</v>
      </c>
      <c r="B2192" s="116">
        <v>49</v>
      </c>
      <c r="C2192" s="116">
        <v>45.27</v>
      </c>
      <c r="D2192" s="116">
        <v>44.92</v>
      </c>
      <c r="E2192" s="116">
        <v>49</v>
      </c>
      <c r="F2192" s="116">
        <v>45.27</v>
      </c>
      <c r="G2192">
        <v>259797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46104</v>
      </c>
      <c r="B2193" s="116">
        <v>45.38</v>
      </c>
      <c r="C2193" s="116">
        <v>42.28</v>
      </c>
      <c r="D2193" s="116">
        <v>41.7</v>
      </c>
      <c r="E2193" s="116">
        <v>45.38</v>
      </c>
      <c r="F2193" s="116">
        <v>42.28</v>
      </c>
      <c r="G2193">
        <v>905224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46105</v>
      </c>
      <c r="B2194" s="116">
        <v>44</v>
      </c>
      <c r="C2194" s="116">
        <v>42.87</v>
      </c>
      <c r="D2194" s="116">
        <v>42.45</v>
      </c>
      <c r="E2194" s="116">
        <v>42.84</v>
      </c>
      <c r="F2194" s="116">
        <v>42.87</v>
      </c>
      <c r="G2194">
        <v>936437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46106</v>
      </c>
      <c r="B2195" s="116">
        <v>46</v>
      </c>
      <c r="C2195" s="116">
        <v>44.44</v>
      </c>
      <c r="D2195" s="116">
        <v>43</v>
      </c>
      <c r="E2195" s="116">
        <v>43</v>
      </c>
      <c r="F2195" s="116">
        <v>44.44</v>
      </c>
      <c r="G2195">
        <v>832207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46108</v>
      </c>
      <c r="B2196" s="116">
        <v>44.03</v>
      </c>
      <c r="C2196" s="116">
        <v>42.57</v>
      </c>
      <c r="D2196" s="116">
        <v>41.12</v>
      </c>
      <c r="E2196" s="116">
        <v>43.71</v>
      </c>
      <c r="F2196" s="116">
        <v>42.57</v>
      </c>
      <c r="G2196">
        <v>18946953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46111</v>
      </c>
      <c r="B2197" s="116">
        <v>42.92</v>
      </c>
      <c r="C2197" s="116">
        <v>41.39</v>
      </c>
      <c r="D2197" s="116">
        <v>40.86</v>
      </c>
      <c r="E2197" s="116">
        <v>42.08</v>
      </c>
      <c r="F2197" s="116">
        <v>41.39</v>
      </c>
      <c r="G2197">
        <v>630070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46113</v>
      </c>
      <c r="B2198" s="116">
        <v>45.38</v>
      </c>
      <c r="C2198" s="116">
        <v>44.8</v>
      </c>
      <c r="D2198" s="116">
        <v>42.3</v>
      </c>
      <c r="E2198" s="116">
        <v>42.97</v>
      </c>
      <c r="F2198" s="116">
        <v>44.8</v>
      </c>
      <c r="G2198">
        <v>369890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46114</v>
      </c>
      <c r="B2199" s="116">
        <v>45.9</v>
      </c>
      <c r="C2199" s="116">
        <v>45.42</v>
      </c>
      <c r="D2199" s="116">
        <v>42.74</v>
      </c>
      <c r="E2199" s="116">
        <v>43.8</v>
      </c>
      <c r="F2199" s="116">
        <v>45.42</v>
      </c>
      <c r="G2199">
        <v>247526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46118</v>
      </c>
      <c r="B2200" s="116">
        <v>47.8</v>
      </c>
      <c r="C2200" s="116">
        <v>47.61</v>
      </c>
      <c r="D2200" s="116">
        <v>44.12</v>
      </c>
      <c r="E2200" s="116">
        <v>46.05</v>
      </c>
      <c r="F2200" s="116">
        <v>47.61</v>
      </c>
      <c r="G2200">
        <v>397691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46119</v>
      </c>
      <c r="B2201" s="116">
        <v>52.2</v>
      </c>
      <c r="C2201" s="116">
        <v>51.61</v>
      </c>
      <c r="D2201" s="116">
        <v>47.02</v>
      </c>
      <c r="E2201" s="116">
        <v>47.16</v>
      </c>
      <c r="F2201" s="116">
        <v>51.61</v>
      </c>
      <c r="G2201">
        <v>498153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46120</v>
      </c>
      <c r="B2202" s="116">
        <v>60.78</v>
      </c>
      <c r="C2202" s="116">
        <v>58.95</v>
      </c>
      <c r="D2202" s="116">
        <v>53.21</v>
      </c>
      <c r="E2202" s="116">
        <v>54.22</v>
      </c>
      <c r="F2202" s="116">
        <v>58.95</v>
      </c>
      <c r="G2202">
        <v>922110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46121</v>
      </c>
      <c r="B2203" s="116">
        <v>61.8</v>
      </c>
      <c r="C2203" s="116">
        <v>61.15</v>
      </c>
      <c r="D2203" s="116">
        <v>57.42</v>
      </c>
      <c r="E2203" s="116">
        <v>59.74</v>
      </c>
      <c r="F2203" s="116">
        <v>61.15</v>
      </c>
      <c r="G2203">
        <v>310219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46122</v>
      </c>
      <c r="B2204" s="116">
        <v>62.6</v>
      </c>
      <c r="C2204" s="116">
        <v>59.32</v>
      </c>
      <c r="D2204" s="116">
        <v>58.62</v>
      </c>
      <c r="E2204" s="116">
        <v>61.72</v>
      </c>
      <c r="F2204" s="116">
        <v>59.32</v>
      </c>
      <c r="G2204">
        <v>181238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46125</v>
      </c>
      <c r="B2205" s="116">
        <v>59.48</v>
      </c>
      <c r="C2205" s="116">
        <v>58.04</v>
      </c>
      <c r="D2205" s="116">
        <v>56.88</v>
      </c>
      <c r="E2205" s="116">
        <v>57.08</v>
      </c>
      <c r="F2205" s="116">
        <v>58.04</v>
      </c>
      <c r="G2205">
        <v>293873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46127</v>
      </c>
      <c r="B2206" s="116">
        <v>61</v>
      </c>
      <c r="C2206" s="116">
        <v>60.63</v>
      </c>
      <c r="D2206" s="116">
        <v>58.55</v>
      </c>
      <c r="E2206" s="116">
        <v>58.55</v>
      </c>
      <c r="F2206" s="116">
        <v>60.63</v>
      </c>
      <c r="G2206">
        <v>187735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46128</v>
      </c>
      <c r="B2207" s="116">
        <v>65.25</v>
      </c>
      <c r="C2207" s="116">
        <v>64.22</v>
      </c>
      <c r="D2207" s="116">
        <v>59.9</v>
      </c>
      <c r="E2207" s="116">
        <v>60.63</v>
      </c>
      <c r="F2207" s="116">
        <v>64.22</v>
      </c>
      <c r="G2207">
        <v>288143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46129</v>
      </c>
      <c r="B2208" s="116">
        <v>65.650000000000006</v>
      </c>
      <c r="C2208" s="116">
        <v>63.38</v>
      </c>
      <c r="D2208" s="116">
        <v>63.13</v>
      </c>
      <c r="E2208" s="116">
        <v>64.23</v>
      </c>
      <c r="F2208" s="116">
        <v>63.38</v>
      </c>
      <c r="G2208">
        <v>198151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46132</v>
      </c>
      <c r="B2209" s="116">
        <v>66.98</v>
      </c>
      <c r="C2209" s="116">
        <v>66.14</v>
      </c>
      <c r="D2209" s="116">
        <v>64.31</v>
      </c>
      <c r="E2209" s="116">
        <v>64.84</v>
      </c>
      <c r="F2209" s="116">
        <v>66.14</v>
      </c>
      <c r="G2209">
        <v>212615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46133</v>
      </c>
      <c r="B2210" s="116">
        <v>66.180000000000007</v>
      </c>
      <c r="C2210" s="116">
        <v>65.790000000000006</v>
      </c>
      <c r="D2210" s="116">
        <v>65.22</v>
      </c>
      <c r="E2210" s="116">
        <v>65.849999999999994</v>
      </c>
      <c r="F2210" s="116">
        <v>65.790000000000006</v>
      </c>
      <c r="G2210">
        <v>159021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46134</v>
      </c>
      <c r="B2211" s="116">
        <v>69.989999999999995</v>
      </c>
      <c r="C2211" s="116">
        <v>69.11</v>
      </c>
      <c r="D2211" s="116">
        <v>65.22</v>
      </c>
      <c r="E2211" s="116">
        <v>65.22</v>
      </c>
      <c r="F2211" s="116">
        <v>69.11</v>
      </c>
      <c r="G2211">
        <v>270001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46135</v>
      </c>
      <c r="B2212" s="116">
        <v>70.25</v>
      </c>
      <c r="C2212" s="116">
        <v>67.11</v>
      </c>
      <c r="D2212" s="116">
        <v>66.97</v>
      </c>
      <c r="E2212" s="116">
        <v>69.349999999999994</v>
      </c>
      <c r="F2212" s="116">
        <v>67.11</v>
      </c>
      <c r="G2212">
        <v>178569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46136</v>
      </c>
      <c r="B2213" s="116">
        <v>68.77</v>
      </c>
      <c r="C2213" s="116">
        <v>67.59</v>
      </c>
      <c r="D2213" s="116">
        <v>65.52</v>
      </c>
      <c r="E2213" s="116">
        <v>67.11</v>
      </c>
      <c r="F2213" s="116">
        <v>67.59</v>
      </c>
      <c r="G2213">
        <v>133093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46139</v>
      </c>
      <c r="B2214" s="116">
        <v>69.63</v>
      </c>
      <c r="C2214" s="116">
        <v>69.16</v>
      </c>
      <c r="D2214" s="116">
        <v>67.31</v>
      </c>
      <c r="E2214" s="116">
        <v>68</v>
      </c>
      <c r="F2214" s="116">
        <v>69.16</v>
      </c>
      <c r="G2214">
        <v>120171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46140</v>
      </c>
      <c r="B2215" s="116">
        <v>71.55</v>
      </c>
      <c r="C2215" s="116">
        <v>71.2</v>
      </c>
      <c r="D2215" s="116">
        <v>69.12</v>
      </c>
      <c r="E2215" s="116">
        <v>70.06</v>
      </c>
      <c r="F2215" s="116">
        <v>71.2</v>
      </c>
      <c r="G2215">
        <v>162866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46141</v>
      </c>
      <c r="B2216" s="116">
        <v>71.87</v>
      </c>
      <c r="C2216" s="116">
        <v>69.12</v>
      </c>
      <c r="D2216" s="116">
        <v>68.94</v>
      </c>
      <c r="E2216" s="116">
        <v>71.2</v>
      </c>
      <c r="F2216" s="116">
        <v>69.12</v>
      </c>
      <c r="G2216">
        <v>79051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46142</v>
      </c>
      <c r="B2217" s="116">
        <v>68.88</v>
      </c>
      <c r="C2217" s="116">
        <v>68.400000000000006</v>
      </c>
      <c r="D2217" s="116">
        <v>66.72</v>
      </c>
      <c r="E2217" s="116">
        <v>67.349999999999994</v>
      </c>
      <c r="F2217" s="116">
        <v>68.400000000000006</v>
      </c>
      <c r="G2217">
        <v>87118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46146</v>
      </c>
      <c r="B2218" s="116">
        <v>69.69</v>
      </c>
      <c r="C2218" s="116">
        <v>68.19</v>
      </c>
      <c r="D2218" s="116">
        <v>67.91</v>
      </c>
      <c r="E2218" s="116">
        <v>69.11</v>
      </c>
      <c r="F2218" s="116">
        <v>68.19</v>
      </c>
      <c r="G2218">
        <v>319361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46147</v>
      </c>
      <c r="B2219" s="116">
        <v>69.959999999999994</v>
      </c>
      <c r="C2219" s="116">
        <v>67.78</v>
      </c>
      <c r="D2219" s="116">
        <v>67.38</v>
      </c>
      <c r="E2219" s="116">
        <v>67.510000000000005</v>
      </c>
      <c r="F2219" s="116">
        <v>67.78</v>
      </c>
      <c r="G2219">
        <v>100597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46148</v>
      </c>
      <c r="B2220" s="116">
        <v>70.81</v>
      </c>
      <c r="C2220" s="116">
        <v>67.77</v>
      </c>
      <c r="D2220" s="116">
        <v>66.459999999999994</v>
      </c>
      <c r="E2220" s="116">
        <v>68.81</v>
      </c>
      <c r="F2220" s="116">
        <v>67.77</v>
      </c>
      <c r="G2220">
        <v>234903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46149</v>
      </c>
      <c r="B2221" s="116">
        <v>71</v>
      </c>
      <c r="C2221" s="116">
        <v>69.97</v>
      </c>
      <c r="D2221" s="116">
        <v>67.89</v>
      </c>
      <c r="E2221" s="116">
        <v>68.77</v>
      </c>
      <c r="F2221" s="116">
        <v>69.97</v>
      </c>
      <c r="G2221">
        <v>133530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46150</v>
      </c>
      <c r="B2222" s="116">
        <v>73.77</v>
      </c>
      <c r="C2222" s="116">
        <v>71.900000000000006</v>
      </c>
      <c r="D2222" s="116">
        <v>69.33</v>
      </c>
      <c r="E2222" s="116">
        <v>69.33</v>
      </c>
      <c r="F2222" s="116">
        <v>71.900000000000006</v>
      </c>
      <c r="G2222">
        <v>723846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46153</v>
      </c>
      <c r="B2223" s="116">
        <v>73.67</v>
      </c>
      <c r="C2223" s="116">
        <v>71.430000000000007</v>
      </c>
      <c r="D2223" s="116">
        <v>70.069999999999993</v>
      </c>
      <c r="E2223" s="116">
        <v>71.89</v>
      </c>
      <c r="F2223" s="116">
        <v>71.430000000000007</v>
      </c>
      <c r="G2223">
        <v>316555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46154</v>
      </c>
      <c r="B2224" s="116">
        <v>74.900000000000006</v>
      </c>
      <c r="C2224" s="116">
        <v>70.92</v>
      </c>
      <c r="D2224" s="116">
        <v>70.680000000000007</v>
      </c>
      <c r="E2224" s="116">
        <v>71.48</v>
      </c>
      <c r="F2224" s="116">
        <v>70.92</v>
      </c>
      <c r="G2224">
        <v>416988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46155</v>
      </c>
      <c r="B2225" s="116">
        <v>72.92</v>
      </c>
      <c r="C2225" s="116">
        <v>71.11</v>
      </c>
      <c r="D2225" s="116">
        <v>69.98</v>
      </c>
      <c r="E2225" s="116">
        <v>70.37</v>
      </c>
      <c r="F2225" s="116">
        <v>71.11</v>
      </c>
      <c r="G2225">
        <v>180286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46156</v>
      </c>
      <c r="B2226" s="116">
        <v>74.400000000000006</v>
      </c>
      <c r="C2226" s="116">
        <v>72.59</v>
      </c>
      <c r="D2226" s="116">
        <v>71.290000000000006</v>
      </c>
      <c r="E2226" s="116">
        <v>71.88</v>
      </c>
      <c r="F2226" s="116">
        <v>72.59</v>
      </c>
      <c r="G2226">
        <v>231926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46157</v>
      </c>
      <c r="B2227" s="116">
        <v>73.790000000000006</v>
      </c>
      <c r="C2227" s="116">
        <v>70.61</v>
      </c>
      <c r="D2227" s="116">
        <v>70.3</v>
      </c>
      <c r="E2227" s="116">
        <v>72.650000000000006</v>
      </c>
      <c r="F2227" s="116">
        <v>70.61</v>
      </c>
      <c r="G2227">
        <v>437037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46160</v>
      </c>
      <c r="B2228" s="116">
        <v>70.16</v>
      </c>
      <c r="C2228" s="116">
        <v>69</v>
      </c>
      <c r="D2228" s="116">
        <v>67.22</v>
      </c>
      <c r="E2228" s="116">
        <v>70.16</v>
      </c>
      <c r="F2228" s="116">
        <v>69</v>
      </c>
      <c r="G2228">
        <v>409894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46161</v>
      </c>
      <c r="B2229" s="116">
        <v>70.36</v>
      </c>
      <c r="C2229" s="116">
        <v>68.349999999999994</v>
      </c>
      <c r="D2229" s="116">
        <v>68.11</v>
      </c>
      <c r="E2229" s="116">
        <v>68.11</v>
      </c>
      <c r="F2229" s="116">
        <v>68.349999999999994</v>
      </c>
      <c r="G2229">
        <v>307786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46162</v>
      </c>
      <c r="B2230" s="116">
        <v>69.989999999999995</v>
      </c>
      <c r="C2230" s="116">
        <v>69.52</v>
      </c>
      <c r="D2230" s="116">
        <v>67.540000000000006</v>
      </c>
      <c r="E2230" s="116">
        <v>67.540000000000006</v>
      </c>
      <c r="F2230" s="116">
        <v>69.52</v>
      </c>
      <c r="G2230">
        <v>115901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46163</v>
      </c>
      <c r="B2231" s="116">
        <v>71</v>
      </c>
      <c r="C2231" s="116">
        <v>68.709999999999994</v>
      </c>
      <c r="D2231" s="116">
        <v>68.42</v>
      </c>
      <c r="E2231" s="116">
        <v>70</v>
      </c>
      <c r="F2231" s="116">
        <v>68.709999999999994</v>
      </c>
      <c r="G2231">
        <v>144857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46164</v>
      </c>
      <c r="B2232" s="116">
        <v>70.25</v>
      </c>
      <c r="C2232" s="116">
        <v>67.819999999999993</v>
      </c>
      <c r="D2232" s="116">
        <v>67.62</v>
      </c>
      <c r="E2232" s="116">
        <v>68.39</v>
      </c>
      <c r="F2232" s="116">
        <v>67.819999999999993</v>
      </c>
      <c r="G2232">
        <v>176186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46167</v>
      </c>
      <c r="B2233" s="116">
        <v>72.2</v>
      </c>
      <c r="C2233" s="116">
        <v>71.27</v>
      </c>
      <c r="D2233" s="116">
        <v>68</v>
      </c>
      <c r="E2233" s="116">
        <v>68</v>
      </c>
      <c r="F2233" s="116">
        <v>71.27</v>
      </c>
      <c r="G2233">
        <v>353641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46168</v>
      </c>
      <c r="B2234" s="116">
        <v>73.819999999999993</v>
      </c>
      <c r="C2234" s="116">
        <v>72.459999999999994</v>
      </c>
      <c r="D2234" s="116">
        <v>71.45</v>
      </c>
      <c r="E2234" s="116">
        <v>71.91</v>
      </c>
      <c r="F2234" s="116">
        <v>72.459999999999994</v>
      </c>
      <c r="G2234">
        <v>224204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46169</v>
      </c>
      <c r="B2235" s="116">
        <v>76.12</v>
      </c>
      <c r="C2235" s="116">
        <v>74.790000000000006</v>
      </c>
      <c r="D2235" s="116">
        <v>72.45</v>
      </c>
      <c r="E2235" s="116">
        <v>72.45</v>
      </c>
      <c r="F2235" s="116">
        <v>74.790000000000006</v>
      </c>
      <c r="G2235">
        <v>386502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46171</v>
      </c>
      <c r="B2236" s="116">
        <v>75.69</v>
      </c>
      <c r="C2236" s="116">
        <v>72.13</v>
      </c>
      <c r="D2236" s="116">
        <v>70.95</v>
      </c>
      <c r="E2236" s="116">
        <v>74.53</v>
      </c>
      <c r="F2236" s="116">
        <v>72.13</v>
      </c>
      <c r="G2236">
        <v>293483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46174</v>
      </c>
      <c r="B2237" s="116">
        <v>72.569999999999993</v>
      </c>
      <c r="C2237" s="116">
        <v>67.73</v>
      </c>
      <c r="D2237" s="116">
        <v>67.260000000000005</v>
      </c>
      <c r="E2237" s="116">
        <v>72.150000000000006</v>
      </c>
      <c r="F2237" s="116">
        <v>67.73</v>
      </c>
      <c r="G2237">
        <v>226977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46175</v>
      </c>
      <c r="B2238" s="116">
        <v>68.95</v>
      </c>
      <c r="C2238" s="116">
        <v>68.63</v>
      </c>
      <c r="D2238" s="116">
        <v>67.13</v>
      </c>
      <c r="E2238" s="116">
        <v>67.900000000000006</v>
      </c>
      <c r="F2238" s="116">
        <v>68.63</v>
      </c>
      <c r="G2238">
        <v>130793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46176</v>
      </c>
      <c r="B2239" s="116">
        <v>68.87</v>
      </c>
      <c r="C2239" s="116">
        <v>67.19</v>
      </c>
      <c r="D2239" s="116">
        <v>66.12</v>
      </c>
      <c r="E2239" s="116">
        <v>68.87</v>
      </c>
      <c r="F2239" s="116">
        <v>67.19</v>
      </c>
      <c r="G2239">
        <v>128606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46177</v>
      </c>
      <c r="B2240" s="116">
        <v>68.38</v>
      </c>
      <c r="C2240" s="116">
        <v>67.13</v>
      </c>
      <c r="D2240" s="116">
        <v>67</v>
      </c>
      <c r="E2240" s="116">
        <v>67</v>
      </c>
      <c r="F2240" s="116">
        <v>67.13</v>
      </c>
      <c r="G2240">
        <v>179330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46178</v>
      </c>
      <c r="B2241" s="116">
        <v>69.69</v>
      </c>
      <c r="C2241" s="116">
        <v>66.709999999999994</v>
      </c>
      <c r="D2241" s="116">
        <v>66.5</v>
      </c>
      <c r="E2241" s="116">
        <v>67.09</v>
      </c>
      <c r="F2241" s="116">
        <v>66.709999999999994</v>
      </c>
      <c r="G2241">
        <v>273577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46181</v>
      </c>
      <c r="B2242" s="116">
        <v>66.510000000000005</v>
      </c>
      <c r="C2242" s="116">
        <v>64.06</v>
      </c>
      <c r="D2242" s="116">
        <v>63.65</v>
      </c>
      <c r="E2242" s="116">
        <v>65.69</v>
      </c>
      <c r="F2242" s="116">
        <v>64.06</v>
      </c>
      <c r="G2242">
        <v>310978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46182</v>
      </c>
      <c r="B2243" s="116">
        <v>68.17</v>
      </c>
      <c r="C2243" s="116">
        <v>67.900000000000006</v>
      </c>
      <c r="D2243" s="116">
        <v>64.72</v>
      </c>
      <c r="E2243" s="116">
        <v>64.88</v>
      </c>
      <c r="F2243" s="116">
        <v>67.900000000000006</v>
      </c>
      <c r="G2243">
        <v>513379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46183</v>
      </c>
      <c r="B2244" s="116">
        <v>68.28</v>
      </c>
      <c r="C2244" s="116">
        <v>66.58</v>
      </c>
      <c r="D2244" s="116">
        <v>65.8</v>
      </c>
      <c r="E2244" s="116">
        <v>68</v>
      </c>
      <c r="F2244" s="116">
        <v>66.58</v>
      </c>
      <c r="G2244">
        <v>111285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46184</v>
      </c>
      <c r="B2245" s="116">
        <v>66.88</v>
      </c>
      <c r="C2245" s="116">
        <v>64.58</v>
      </c>
      <c r="D2245" s="116">
        <v>64.22</v>
      </c>
      <c r="E2245" s="116">
        <v>64.84</v>
      </c>
      <c r="F2245" s="116">
        <v>64.58</v>
      </c>
      <c r="G2245">
        <v>312580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46185</v>
      </c>
      <c r="B2246" s="116">
        <v>67.37</v>
      </c>
      <c r="C2246" s="116">
        <v>66.89</v>
      </c>
      <c r="D2246" s="116">
        <v>64.88</v>
      </c>
      <c r="E2246" s="116">
        <v>65.709999999999994</v>
      </c>
      <c r="F2246" s="116">
        <v>66.89</v>
      </c>
      <c r="G2246">
        <v>160614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46188</v>
      </c>
      <c r="B2247" s="116">
        <v>70.290000000000006</v>
      </c>
      <c r="C2247" s="116">
        <v>69.37</v>
      </c>
      <c r="D2247" s="116">
        <v>67.930000000000007</v>
      </c>
      <c r="E2247" s="116">
        <v>70.290000000000006</v>
      </c>
      <c r="F2247" s="116">
        <v>69.37</v>
      </c>
      <c r="G2247">
        <v>294314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46189</v>
      </c>
      <c r="B2248" s="116">
        <v>73.540000000000006</v>
      </c>
      <c r="C2248" s="116">
        <v>70.900000000000006</v>
      </c>
      <c r="D2248" s="116">
        <v>67.989999999999995</v>
      </c>
      <c r="E2248" s="116">
        <v>70.22</v>
      </c>
      <c r="F2248" s="116">
        <v>70.900000000000006</v>
      </c>
      <c r="G2248">
        <v>434629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46190</v>
      </c>
      <c r="B2249" s="116">
        <v>76.81</v>
      </c>
      <c r="C2249" s="116">
        <v>75.56</v>
      </c>
      <c r="D2249" s="116">
        <v>71.400000000000006</v>
      </c>
      <c r="E2249" s="116">
        <v>71.56</v>
      </c>
      <c r="F2249" s="116">
        <v>75.56</v>
      </c>
      <c r="G2249">
        <v>1160351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/>
      <c r="B2250" s="116"/>
      <c r="C2250" s="116"/>
      <c r="D2250" s="116"/>
      <c r="E2250" s="116"/>
      <c r="F2250" s="116"/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/>
      <c r="B2251" s="116"/>
      <c r="C2251" s="116"/>
      <c r="D2251" s="116"/>
      <c r="E2251" s="116"/>
      <c r="F2251" s="116"/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/>
      <c r="B2252" s="116"/>
      <c r="C2252" s="116"/>
      <c r="D2252" s="116"/>
      <c r="E2252" s="116"/>
      <c r="F2252" s="116"/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/>
      <c r="B2253" s="116"/>
      <c r="C2253" s="116"/>
      <c r="D2253" s="116"/>
      <c r="E2253" s="116"/>
      <c r="F2253" s="116"/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/>
      <c r="B2254" s="116"/>
      <c r="C2254" s="116"/>
      <c r="D2254" s="116"/>
      <c r="E2254" s="116"/>
      <c r="F2254" s="116"/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/>
      <c r="B2255" s="116"/>
      <c r="C2255" s="116"/>
      <c r="D2255" s="116"/>
      <c r="E2255" s="116"/>
      <c r="F2255" s="116"/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/>
      <c r="B2256" s="116"/>
      <c r="C2256" s="116"/>
      <c r="D2256" s="116"/>
      <c r="E2256" s="116"/>
      <c r="F2256" s="116"/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/>
      <c r="B2257" s="116"/>
      <c r="C2257" s="116"/>
      <c r="D2257" s="116"/>
      <c r="E2257" s="116"/>
      <c r="F2257" s="116"/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/>
      <c r="B2258" s="116"/>
      <c r="C2258" s="116"/>
      <c r="D2258" s="116"/>
      <c r="E2258" s="116"/>
      <c r="F2258" s="116"/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/>
      <c r="B2259" s="116"/>
      <c r="C2259" s="116"/>
      <c r="D2259" s="116"/>
      <c r="E2259" s="116"/>
      <c r="F2259" s="116"/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/>
      <c r="B2260" s="116"/>
      <c r="C2260" s="116"/>
      <c r="D2260" s="116"/>
      <c r="E2260" s="116"/>
      <c r="F2260" s="116"/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/>
      <c r="B2261" s="116"/>
      <c r="C2261" s="116"/>
      <c r="D2261" s="116"/>
      <c r="E2261" s="116"/>
      <c r="F2261" s="116"/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/>
      <c r="B2262" s="116"/>
      <c r="C2262" s="116"/>
      <c r="D2262" s="116"/>
      <c r="E2262" s="116"/>
      <c r="F2262" s="116"/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/>
      <c r="B2263" s="116"/>
      <c r="C2263" s="116"/>
      <c r="D2263" s="116"/>
      <c r="E2263" s="116"/>
      <c r="F2263" s="116"/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/>
      <c r="B2264" s="116"/>
      <c r="C2264" s="116"/>
      <c r="D2264" s="116"/>
      <c r="E2264" s="116"/>
      <c r="F2264" s="116"/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/>
      <c r="B2265" s="116"/>
      <c r="C2265" s="116"/>
      <c r="D2265" s="116"/>
      <c r="E2265" s="116"/>
      <c r="F2265" s="116"/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/>
      <c r="B2266" s="116"/>
      <c r="C2266" s="116"/>
      <c r="D2266" s="116"/>
      <c r="E2266" s="116"/>
      <c r="F2266" s="116"/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/>
      <c r="B2267" s="116"/>
      <c r="C2267" s="116"/>
      <c r="D2267" s="116"/>
      <c r="E2267" s="116"/>
      <c r="F2267" s="116"/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/>
      <c r="B2268" s="116"/>
      <c r="C2268" s="116"/>
      <c r="D2268" s="116"/>
      <c r="E2268" s="116"/>
      <c r="F2268" s="116"/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/>
      <c r="B2269" s="116"/>
      <c r="C2269" s="116"/>
      <c r="D2269" s="116"/>
      <c r="E2269" s="116"/>
      <c r="F2269" s="116"/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/>
      <c r="B2270" s="116"/>
      <c r="C2270" s="116"/>
      <c r="D2270" s="116"/>
      <c r="E2270" s="116"/>
      <c r="F2270" s="116"/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/>
      <c r="B2271" s="116"/>
      <c r="C2271" s="116"/>
      <c r="D2271" s="116"/>
      <c r="E2271" s="116"/>
      <c r="F2271" s="116"/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/>
      <c r="B2272" s="116"/>
      <c r="C2272" s="116"/>
      <c r="D2272" s="116"/>
      <c r="E2272" s="116"/>
      <c r="F2272" s="116"/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/>
      <c r="B2273" s="116"/>
      <c r="C2273" s="116"/>
      <c r="D2273" s="116"/>
      <c r="E2273" s="116"/>
      <c r="F2273" s="116"/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/>
      <c r="B2274" s="116"/>
      <c r="C2274" s="116"/>
      <c r="D2274" s="116"/>
      <c r="E2274" s="116"/>
      <c r="F2274" s="116"/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/>
      <c r="B2275" s="116"/>
      <c r="C2275" s="116"/>
      <c r="D2275" s="116"/>
      <c r="E2275" s="116"/>
      <c r="F2275" s="116"/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/>
      <c r="B2276" s="116"/>
      <c r="C2276" s="116"/>
      <c r="D2276" s="116"/>
      <c r="E2276" s="116"/>
      <c r="F2276" s="116"/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/>
      <c r="B2277" s="116"/>
      <c r="C2277" s="116"/>
      <c r="D2277" s="116"/>
      <c r="E2277" s="116"/>
      <c r="F2277" s="116"/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/>
      <c r="B2278" s="116"/>
      <c r="C2278" s="116"/>
      <c r="D2278" s="116"/>
      <c r="E2278" s="116"/>
      <c r="F2278" s="116"/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/>
      <c r="B2279" s="116"/>
      <c r="C2279" s="116"/>
      <c r="D2279" s="116"/>
      <c r="E2279" s="116"/>
      <c r="F2279" s="116"/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/>
      <c r="B2280" s="116"/>
      <c r="C2280" s="116"/>
      <c r="D2280" s="116"/>
      <c r="E2280" s="116"/>
      <c r="F2280" s="116"/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/>
      <c r="B2281" s="116"/>
      <c r="C2281" s="116"/>
      <c r="D2281" s="116"/>
      <c r="E2281" s="116"/>
      <c r="F2281" s="116"/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/>
      <c r="B2282" s="116"/>
      <c r="C2282" s="116"/>
      <c r="D2282" s="116"/>
      <c r="E2282" s="116"/>
      <c r="F2282" s="116"/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/>
      <c r="B2283" s="116"/>
      <c r="C2283" s="116"/>
      <c r="D2283" s="116"/>
      <c r="E2283" s="116"/>
      <c r="F2283" s="116"/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/>
      <c r="B2284" s="116"/>
      <c r="C2284" s="116"/>
      <c r="D2284" s="116"/>
      <c r="E2284" s="116"/>
      <c r="F2284" s="116"/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/>
      <c r="B2285" s="116"/>
      <c r="C2285" s="116"/>
      <c r="D2285" s="116"/>
      <c r="E2285" s="116"/>
      <c r="F2285" s="116"/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/>
      <c r="B2286" s="116"/>
      <c r="C2286" s="116"/>
      <c r="D2286" s="116"/>
      <c r="E2286" s="116"/>
      <c r="F2286" s="116"/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/>
      <c r="B2287" s="116"/>
      <c r="C2287" s="116"/>
      <c r="D2287" s="116"/>
      <c r="E2287" s="116"/>
      <c r="F2287" s="116"/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/>
      <c r="B2288" s="116"/>
      <c r="C2288" s="116"/>
      <c r="D2288" s="116"/>
      <c r="E2288" s="116"/>
      <c r="F2288" s="116"/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/>
      <c r="B2289" s="116"/>
      <c r="C2289" s="116"/>
      <c r="D2289" s="116"/>
      <c r="E2289" s="116"/>
      <c r="F2289" s="116"/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/>
      <c r="B2290" s="116"/>
      <c r="C2290" s="116"/>
      <c r="D2290" s="116"/>
      <c r="E2290" s="116"/>
      <c r="F2290" s="116"/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/>
      <c r="B2291" s="116"/>
      <c r="C2291" s="116"/>
      <c r="D2291" s="116"/>
      <c r="E2291" s="116"/>
      <c r="F2291" s="116"/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/>
      <c r="B2292" s="116"/>
      <c r="C2292" s="116"/>
      <c r="D2292" s="116"/>
      <c r="E2292" s="116"/>
      <c r="F2292" s="116"/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/>
      <c r="B2293" s="116"/>
      <c r="C2293" s="116"/>
      <c r="D2293" s="116"/>
      <c r="E2293" s="116"/>
      <c r="F2293" s="116"/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/>
      <c r="B2294" s="116"/>
      <c r="C2294" s="116"/>
      <c r="D2294" s="116"/>
      <c r="E2294" s="116"/>
      <c r="F2294" s="116"/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/>
      <c r="B2295" s="116"/>
      <c r="C2295" s="116"/>
      <c r="D2295" s="116"/>
      <c r="E2295" s="116"/>
      <c r="F2295" s="116"/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/>
      <c r="B2296" s="116"/>
      <c r="C2296" s="116"/>
      <c r="D2296" s="116"/>
      <c r="E2296" s="116"/>
      <c r="F2296" s="116"/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/>
      <c r="B2297" s="116"/>
      <c r="C2297" s="116"/>
      <c r="D2297" s="116"/>
      <c r="E2297" s="116"/>
      <c r="F2297" s="116"/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/>
      <c r="B2298" s="116"/>
      <c r="C2298" s="116"/>
      <c r="D2298" s="116"/>
      <c r="E2298" s="116"/>
      <c r="F2298" s="116"/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/>
      <c r="B2299" s="116"/>
      <c r="C2299" s="116"/>
      <c r="D2299" s="116"/>
      <c r="E2299" s="116"/>
      <c r="F2299" s="116"/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/>
      <c r="B2300" s="116"/>
      <c r="C2300" s="116"/>
      <c r="D2300" s="116"/>
      <c r="E2300" s="116"/>
      <c r="F2300" s="116"/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/>
      <c r="B2301" s="116"/>
      <c r="C2301" s="116"/>
      <c r="D2301" s="116"/>
      <c r="E2301" s="116"/>
      <c r="F2301" s="116"/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/>
      <c r="B2302" s="116"/>
      <c r="C2302" s="116"/>
      <c r="D2302" s="116"/>
      <c r="E2302" s="116"/>
      <c r="F2302" s="116"/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/>
      <c r="B2303" s="116"/>
      <c r="C2303" s="116"/>
      <c r="D2303" s="116"/>
      <c r="E2303" s="116"/>
      <c r="F2303" s="116"/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/>
      <c r="B2304" s="116"/>
      <c r="C2304" s="116"/>
      <c r="D2304" s="116"/>
      <c r="E2304" s="116"/>
      <c r="F2304" s="116"/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/>
      <c r="B2305" s="116"/>
      <c r="C2305" s="116"/>
      <c r="D2305" s="116"/>
      <c r="E2305" s="116"/>
      <c r="F2305" s="116"/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/>
      <c r="B2306" s="116"/>
      <c r="C2306" s="116"/>
      <c r="D2306" s="116"/>
      <c r="E2306" s="116"/>
      <c r="F2306" s="116"/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/>
      <c r="B2307" s="116"/>
      <c r="C2307" s="116"/>
      <c r="D2307" s="116"/>
      <c r="E2307" s="116"/>
      <c r="F2307" s="116"/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/>
      <c r="B2308" s="116"/>
      <c r="C2308" s="116"/>
      <c r="D2308" s="116"/>
      <c r="E2308" s="116"/>
      <c r="F2308" s="116"/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/>
      <c r="B2309" s="116"/>
      <c r="C2309" s="116"/>
      <c r="D2309" s="116"/>
      <c r="E2309" s="116"/>
      <c r="F2309" s="116"/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/>
      <c r="B2310" s="116"/>
      <c r="C2310" s="116"/>
      <c r="D2310" s="116"/>
      <c r="E2310" s="116"/>
      <c r="F2310" s="116"/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/>
      <c r="B2311" s="116"/>
      <c r="C2311" s="116"/>
      <c r="D2311" s="116"/>
      <c r="E2311" s="116"/>
      <c r="F2311" s="116"/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/>
      <c r="B2312" s="116"/>
      <c r="C2312" s="116"/>
      <c r="D2312" s="116"/>
      <c r="E2312" s="116"/>
      <c r="F2312" s="116"/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/>
      <c r="B2313" s="116"/>
      <c r="C2313" s="116"/>
      <c r="D2313" s="116"/>
      <c r="E2313" s="116"/>
      <c r="F2313" s="116"/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/>
      <c r="B2314" s="116"/>
      <c r="C2314" s="116"/>
      <c r="D2314" s="116"/>
      <c r="E2314" s="116"/>
      <c r="F2314" s="116"/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/>
      <c r="B2315" s="116"/>
      <c r="C2315" s="116"/>
      <c r="D2315" s="116"/>
      <c r="E2315" s="116"/>
      <c r="F2315" s="116"/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/>
      <c r="B2316" s="116"/>
      <c r="C2316" s="116"/>
      <c r="D2316" s="116"/>
      <c r="E2316" s="116"/>
      <c r="F2316" s="116"/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/>
      <c r="B2317" s="116"/>
      <c r="C2317" s="116"/>
      <c r="D2317" s="116"/>
      <c r="E2317" s="116"/>
      <c r="F2317" s="116"/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/>
      <c r="B2318" s="116"/>
      <c r="C2318" s="116"/>
      <c r="D2318" s="116"/>
      <c r="E2318" s="116"/>
      <c r="F2318" s="116"/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/>
      <c r="B2319" s="116"/>
      <c r="C2319" s="116"/>
      <c r="D2319" s="116"/>
      <c r="E2319" s="116"/>
      <c r="F2319" s="116"/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/>
      <c r="B2320" s="116"/>
      <c r="C2320" s="116"/>
      <c r="D2320" s="116"/>
      <c r="E2320" s="116"/>
      <c r="F2320" s="116"/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/>
      <c r="B2321" s="116"/>
      <c r="C2321" s="116"/>
      <c r="D2321" s="116"/>
      <c r="E2321" s="116"/>
      <c r="F2321" s="116"/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/>
      <c r="B2322" s="116"/>
      <c r="C2322" s="116"/>
      <c r="D2322" s="116"/>
      <c r="E2322" s="116"/>
      <c r="F2322" s="116"/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/>
      <c r="B2323" s="116"/>
      <c r="C2323" s="116"/>
      <c r="D2323" s="116"/>
      <c r="E2323" s="116"/>
      <c r="F2323" s="116"/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/>
      <c r="B2324" s="116"/>
      <c r="C2324" s="116"/>
      <c r="D2324" s="116"/>
      <c r="E2324" s="116"/>
      <c r="F2324" s="116"/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/>
      <c r="B2325" s="116"/>
      <c r="C2325" s="116"/>
      <c r="D2325" s="116"/>
      <c r="E2325" s="116"/>
      <c r="F2325" s="116"/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/>
      <c r="B2326" s="116"/>
      <c r="C2326" s="116"/>
      <c r="D2326" s="116"/>
      <c r="E2326" s="116"/>
      <c r="F2326" s="116"/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/>
      <c r="B2327" s="116"/>
      <c r="C2327" s="116"/>
      <c r="D2327" s="116"/>
      <c r="E2327" s="116"/>
      <c r="F2327" s="116"/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/>
      <c r="B2328" s="116"/>
      <c r="C2328" s="116"/>
      <c r="D2328" s="116"/>
      <c r="E2328" s="116"/>
      <c r="F2328" s="116"/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/>
      <c r="B2329" s="116"/>
      <c r="C2329" s="116"/>
      <c r="D2329" s="116"/>
      <c r="E2329" s="116"/>
      <c r="F2329" s="116"/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/>
      <c r="B2330" s="116"/>
      <c r="C2330" s="116"/>
      <c r="D2330" s="116"/>
      <c r="E2330" s="116"/>
      <c r="F2330" s="116"/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/>
      <c r="B2331" s="116"/>
      <c r="C2331" s="116"/>
      <c r="D2331" s="116"/>
      <c r="E2331" s="116"/>
      <c r="F2331" s="116"/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/>
      <c r="B2332" s="116"/>
      <c r="C2332" s="116"/>
      <c r="D2332" s="116"/>
      <c r="E2332" s="116"/>
      <c r="F2332" s="116"/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/>
      <c r="B2333" s="116"/>
      <c r="C2333" s="116"/>
      <c r="D2333" s="116"/>
      <c r="E2333" s="116"/>
      <c r="F2333" s="116"/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/>
      <c r="B2334" s="116"/>
      <c r="C2334" s="116"/>
      <c r="D2334" s="116"/>
      <c r="E2334" s="116"/>
      <c r="F2334" s="116"/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/>
      <c r="B2335" s="116"/>
      <c r="C2335" s="116"/>
      <c r="D2335" s="116"/>
      <c r="E2335" s="116"/>
      <c r="F2335" s="116"/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/>
      <c r="B2336" s="116"/>
      <c r="C2336" s="116"/>
      <c r="D2336" s="116"/>
      <c r="E2336" s="116"/>
      <c r="F2336" s="116"/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/>
      <c r="B2337" s="116"/>
      <c r="C2337" s="116"/>
      <c r="D2337" s="116"/>
      <c r="E2337" s="116"/>
      <c r="F2337" s="116"/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/>
      <c r="B2338" s="116"/>
      <c r="C2338" s="116"/>
      <c r="D2338" s="116"/>
      <c r="E2338" s="116"/>
      <c r="F2338" s="116"/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/>
      <c r="B2339" s="116"/>
      <c r="C2339" s="116"/>
      <c r="D2339" s="116"/>
      <c r="E2339" s="116"/>
      <c r="F2339" s="116"/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/>
      <c r="B2340" s="116"/>
      <c r="C2340" s="116"/>
      <c r="D2340" s="116"/>
      <c r="E2340" s="116"/>
      <c r="F2340" s="116"/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/>
      <c r="B2341" s="116"/>
      <c r="C2341" s="116"/>
      <c r="D2341" s="116"/>
      <c r="E2341" s="116"/>
      <c r="F2341" s="116"/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/>
      <c r="B2342" s="116"/>
      <c r="C2342" s="116"/>
      <c r="D2342" s="116"/>
      <c r="E2342" s="116"/>
      <c r="F2342" s="116"/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/>
      <c r="B2343" s="116"/>
      <c r="C2343" s="116"/>
      <c r="D2343" s="116"/>
      <c r="E2343" s="116"/>
      <c r="F2343" s="116"/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/>
      <c r="B2344" s="116"/>
      <c r="C2344" s="116"/>
      <c r="D2344" s="116"/>
      <c r="E2344" s="116"/>
      <c r="F2344" s="116"/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/>
      <c r="B2345" s="116"/>
      <c r="C2345" s="116"/>
      <c r="D2345" s="116"/>
      <c r="E2345" s="116"/>
      <c r="F2345" s="116"/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/>
      <c r="B2346" s="116"/>
      <c r="C2346" s="116"/>
      <c r="D2346" s="116"/>
      <c r="E2346" s="116"/>
      <c r="F2346" s="116"/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/>
      <c r="B2347" s="116"/>
      <c r="C2347" s="116"/>
      <c r="D2347" s="116"/>
      <c r="E2347" s="116"/>
      <c r="F2347" s="116"/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/>
      <c r="B2348" s="116"/>
      <c r="C2348" s="116"/>
      <c r="D2348" s="116"/>
      <c r="E2348" s="116"/>
      <c r="F2348" s="116"/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/>
      <c r="B2349" s="116"/>
      <c r="C2349" s="116"/>
      <c r="D2349" s="116"/>
      <c r="E2349" s="116"/>
      <c r="F2349" s="116"/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/>
      <c r="B2350" s="116"/>
      <c r="C2350" s="116"/>
      <c r="D2350" s="116"/>
      <c r="E2350" s="116"/>
      <c r="F2350" s="116"/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/>
      <c r="B2351" s="116"/>
      <c r="C2351" s="116"/>
      <c r="D2351" s="116"/>
      <c r="E2351" s="116"/>
      <c r="F2351" s="116"/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/>
      <c r="B2352" s="116"/>
      <c r="C2352" s="116"/>
      <c r="D2352" s="116"/>
      <c r="E2352" s="116"/>
      <c r="F2352" s="116"/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/>
      <c r="B2353" s="116"/>
      <c r="C2353" s="116"/>
      <c r="D2353" s="116"/>
      <c r="E2353" s="116"/>
      <c r="F2353" s="116"/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/>
      <c r="B2354" s="116"/>
      <c r="C2354" s="116"/>
      <c r="D2354" s="116"/>
      <c r="E2354" s="116"/>
      <c r="F2354" s="116"/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/>
      <c r="B2355" s="116"/>
      <c r="C2355" s="116"/>
      <c r="D2355" s="116"/>
      <c r="E2355" s="116"/>
      <c r="F2355" s="116"/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/>
      <c r="B2356" s="116"/>
      <c r="C2356" s="116"/>
      <c r="D2356" s="116"/>
      <c r="E2356" s="116"/>
      <c r="F2356" s="116"/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/>
      <c r="B2357" s="116"/>
      <c r="C2357" s="116"/>
      <c r="D2357" s="116"/>
      <c r="E2357" s="116"/>
      <c r="F2357" s="116"/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/>
      <c r="B2358" s="116"/>
      <c r="C2358" s="116"/>
      <c r="D2358" s="116"/>
      <c r="E2358" s="116"/>
      <c r="F2358" s="116"/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/>
      <c r="B2359" s="116"/>
      <c r="C2359" s="116"/>
      <c r="D2359" s="116"/>
      <c r="E2359" s="116"/>
      <c r="F2359" s="116"/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/>
      <c r="B2360" s="116"/>
      <c r="C2360" s="116"/>
      <c r="D2360" s="116"/>
      <c r="E2360" s="116"/>
      <c r="F2360" s="116"/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/>
      <c r="B2361" s="116"/>
      <c r="C2361" s="116"/>
      <c r="D2361" s="116"/>
      <c r="E2361" s="116"/>
      <c r="F2361" s="116"/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/>
      <c r="B2362" s="116"/>
      <c r="C2362" s="116"/>
      <c r="D2362" s="116"/>
      <c r="E2362" s="116"/>
      <c r="F2362" s="116"/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/>
      <c r="B2363" s="116"/>
      <c r="C2363" s="116"/>
      <c r="D2363" s="116"/>
      <c r="E2363" s="116"/>
      <c r="F2363" s="116"/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/>
      <c r="B2364" s="116"/>
      <c r="C2364" s="116"/>
      <c r="D2364" s="116"/>
      <c r="E2364" s="116"/>
      <c r="F2364" s="116"/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/>
      <c r="B2365" s="116"/>
      <c r="C2365" s="116"/>
      <c r="D2365" s="116"/>
      <c r="E2365" s="116"/>
      <c r="F2365" s="116"/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/>
      <c r="B2366" s="116"/>
      <c r="C2366" s="116"/>
      <c r="D2366" s="116"/>
      <c r="E2366" s="116"/>
      <c r="F2366" s="116"/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/>
      <c r="B2367" s="116"/>
      <c r="C2367" s="116"/>
      <c r="D2367" s="116"/>
      <c r="E2367" s="116"/>
      <c r="F2367" s="116"/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/>
      <c r="B2368" s="116"/>
      <c r="C2368" s="116"/>
      <c r="D2368" s="116"/>
      <c r="E2368" s="116"/>
      <c r="F2368" s="116"/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/>
      <c r="B2369" s="116"/>
      <c r="C2369" s="116"/>
      <c r="D2369" s="116"/>
      <c r="E2369" s="116"/>
      <c r="F2369" s="116"/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/>
      <c r="B2370" s="116"/>
      <c r="C2370" s="116"/>
      <c r="D2370" s="116"/>
      <c r="E2370" s="116"/>
      <c r="F2370" s="116"/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/>
      <c r="B2371" s="116"/>
      <c r="C2371" s="116"/>
      <c r="D2371" s="116"/>
      <c r="E2371" s="116"/>
      <c r="F2371" s="116"/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/>
      <c r="B2372" s="116"/>
      <c r="C2372" s="116"/>
      <c r="D2372" s="116"/>
      <c r="E2372" s="116"/>
      <c r="F2372" s="116"/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/>
      <c r="B2373" s="116"/>
      <c r="C2373" s="116"/>
      <c r="D2373" s="116"/>
      <c r="E2373" s="116"/>
      <c r="F2373" s="116"/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/>
      <c r="B2374" s="116"/>
      <c r="C2374" s="116"/>
      <c r="D2374" s="116"/>
      <c r="E2374" s="116"/>
      <c r="F2374" s="116"/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/>
      <c r="B2375" s="116"/>
      <c r="C2375" s="116"/>
      <c r="D2375" s="116"/>
      <c r="E2375" s="116"/>
      <c r="F2375" s="116"/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/>
      <c r="B2376" s="116"/>
      <c r="C2376" s="116"/>
      <c r="D2376" s="116"/>
      <c r="E2376" s="116"/>
      <c r="F2376" s="116"/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/>
      <c r="B2377" s="116"/>
      <c r="C2377" s="116"/>
      <c r="D2377" s="116"/>
      <c r="E2377" s="116"/>
      <c r="F2377" s="116"/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/>
      <c r="B2378" s="116"/>
      <c r="C2378" s="116"/>
      <c r="D2378" s="116"/>
      <c r="E2378" s="116"/>
      <c r="F2378" s="116"/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/>
      <c r="B2379" s="116"/>
      <c r="C2379" s="116"/>
      <c r="D2379" s="116"/>
      <c r="E2379" s="116"/>
      <c r="F2379" s="116"/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/>
      <c r="B2380" s="116"/>
      <c r="C2380" s="116"/>
      <c r="D2380" s="116"/>
      <c r="E2380" s="116"/>
      <c r="F2380" s="116"/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/>
      <c r="B2381" s="116"/>
      <c r="C2381" s="116"/>
      <c r="D2381" s="116"/>
      <c r="E2381" s="116"/>
      <c r="F2381" s="116"/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/>
      <c r="B2382" s="116"/>
      <c r="C2382" s="116"/>
      <c r="D2382" s="116"/>
      <c r="E2382" s="116"/>
      <c r="F2382" s="116"/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/>
      <c r="B2383" s="116"/>
      <c r="C2383" s="116"/>
      <c r="D2383" s="116"/>
      <c r="E2383" s="116"/>
      <c r="F2383" s="116"/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/>
      <c r="B2384" s="116"/>
      <c r="C2384" s="116"/>
      <c r="D2384" s="116"/>
      <c r="E2384" s="116"/>
      <c r="F2384" s="116"/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/>
      <c r="B2385" s="116"/>
      <c r="C2385" s="116"/>
      <c r="D2385" s="116"/>
      <c r="E2385" s="116"/>
      <c r="F2385" s="116"/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/>
      <c r="B2386" s="116"/>
      <c r="C2386" s="116"/>
      <c r="D2386" s="116"/>
      <c r="E2386" s="116"/>
      <c r="F2386" s="116"/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/>
      <c r="B2387" s="116"/>
      <c r="C2387" s="116"/>
      <c r="D2387" s="116"/>
      <c r="E2387" s="116"/>
      <c r="F2387" s="116"/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/>
      <c r="B2388" s="116"/>
      <c r="C2388" s="116"/>
      <c r="D2388" s="116"/>
      <c r="E2388" s="116"/>
      <c r="F2388" s="116"/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/>
      <c r="B2389" s="116"/>
      <c r="C2389" s="116"/>
      <c r="D2389" s="116"/>
      <c r="E2389" s="116"/>
      <c r="F2389" s="116"/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/>
      <c r="B2390" s="116"/>
      <c r="C2390" s="116"/>
      <c r="D2390" s="116"/>
      <c r="E2390" s="116"/>
      <c r="F2390" s="116"/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/>
      <c r="B2391" s="116"/>
      <c r="C2391" s="116"/>
      <c r="D2391" s="116"/>
      <c r="E2391" s="116"/>
      <c r="F2391" s="116"/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/>
      <c r="B2392" s="116"/>
      <c r="C2392" s="116"/>
      <c r="D2392" s="116"/>
      <c r="E2392" s="116"/>
      <c r="F2392" s="116"/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/>
      <c r="B2393" s="116"/>
      <c r="C2393" s="116"/>
      <c r="D2393" s="116"/>
      <c r="E2393" s="116"/>
      <c r="F2393" s="116"/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/>
      <c r="B2394" s="116"/>
      <c r="C2394" s="116"/>
      <c r="D2394" s="116"/>
      <c r="E2394" s="116"/>
      <c r="F2394" s="116"/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/>
      <c r="B2395" s="116"/>
      <c r="C2395" s="116"/>
      <c r="D2395" s="116"/>
      <c r="E2395" s="116"/>
      <c r="F2395" s="116"/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/>
      <c r="B2396" s="116"/>
      <c r="C2396" s="116"/>
      <c r="D2396" s="116"/>
      <c r="E2396" s="116"/>
      <c r="F2396" s="116"/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/>
      <c r="B2397" s="116"/>
      <c r="C2397" s="116"/>
      <c r="D2397" s="116"/>
      <c r="E2397" s="116"/>
      <c r="F2397" s="116"/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/>
      <c r="B2398" s="116"/>
      <c r="C2398" s="116"/>
      <c r="D2398" s="116"/>
      <c r="E2398" s="116"/>
      <c r="F2398" s="116"/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/>
      <c r="B2399" s="116"/>
      <c r="C2399" s="116"/>
      <c r="D2399" s="116"/>
      <c r="E2399" s="116"/>
      <c r="F2399" s="116"/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2026-06-17T15:34:05Z</dcterms:modified>
  <cp:category/>
  <cp:contentStatus/>
</cp:coreProperties>
</file>